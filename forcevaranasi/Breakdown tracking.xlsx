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13_ncr:1_{9EB54953-AE09-46B6-8A1E-82F257B31682}" xr6:coauthVersionLast="47" xr6:coauthVersionMax="47" xr10:uidLastSave="{00000000-0000-0000-0000-000000000000}"/>
  <bookViews>
    <workbookView xWindow="-110" yWindow="-110" windowWidth="19420" windowHeight="11500" xr2:uid="{00000000-000D-0000-FFFF-FFFF00000000}"/>
  </bookViews>
  <sheets>
    <sheet name="Daily service Tracker" sheetId="2" r:id="rId1"/>
    <sheet name="Sheet2" sheetId="3" r:id="rId2"/>
  </sheets>
  <definedNames>
    <definedName name="_xlnm._FilterDatabase" localSheetId="0" hidden="1">'Daily service Tracker'!$A$1:$U$22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2" l="1"/>
  <c r="L21" i="2"/>
  <c r="L20" i="2"/>
  <c r="L19" i="2"/>
  <c r="L18" i="2"/>
  <c r="L17" i="2"/>
  <c r="L16" i="2"/>
  <c r="L15" i="2"/>
  <c r="L14" i="2"/>
  <c r="L13" i="2"/>
  <c r="L12" i="2"/>
  <c r="L11" i="2"/>
  <c r="L10" i="2"/>
  <c r="L9" i="2"/>
  <c r="L8" i="2"/>
  <c r="L7" i="2"/>
  <c r="L5" i="2"/>
  <c r="L4" i="2"/>
  <c r="L3" i="2"/>
  <c r="L2" i="2"/>
  <c r="L6" i="2"/>
</calcChain>
</file>

<file path=xl/sharedStrings.xml><?xml version="1.0" encoding="utf-8"?>
<sst xmlns="http://schemas.openxmlformats.org/spreadsheetml/2006/main" count="305" uniqueCount="172">
  <si>
    <t>Remarks</t>
  </si>
  <si>
    <t>Customer satisfaction form signed Y/N</t>
  </si>
  <si>
    <t>Monobus</t>
  </si>
  <si>
    <t>VehicleRegistrationNo</t>
  </si>
  <si>
    <t>ChassisNo</t>
  </si>
  <si>
    <t>CustomerName</t>
  </si>
  <si>
    <t>CustomerContactnumber</t>
  </si>
  <si>
    <t>VehicleType</t>
  </si>
  <si>
    <t>VehicleModel</t>
  </si>
  <si>
    <t>Complain No</t>
  </si>
  <si>
    <t>Complain date</t>
  </si>
  <si>
    <t>Customer location</t>
  </si>
  <si>
    <t>Customer complain</t>
  </si>
  <si>
    <t>Response Date</t>
  </si>
  <si>
    <t>No. days Open</t>
  </si>
  <si>
    <t>Supervisor Name/Manager</t>
  </si>
  <si>
    <t>SPO Order No</t>
  </si>
  <si>
    <t>Order Date</t>
  </si>
  <si>
    <t>complain Person</t>
  </si>
  <si>
    <t>Complain type</t>
  </si>
  <si>
    <t>Customer call</t>
  </si>
  <si>
    <t>through sales</t>
  </si>
  <si>
    <t>I-pules</t>
  </si>
  <si>
    <t>CRM complain</t>
  </si>
  <si>
    <t>Corporate complain </t>
  </si>
  <si>
    <t>PSF/SDR complain </t>
  </si>
  <si>
    <t>Closer document required</t>
  </si>
  <si>
    <t>Customer feedback</t>
  </si>
  <si>
    <t xml:space="preserve">PCR+ Closer format </t>
  </si>
  <si>
    <t xml:space="preserve"> Closer format </t>
  </si>
  <si>
    <t xml:space="preserve">Satisfaction letter </t>
  </si>
  <si>
    <t>MC1L4AGA9TP003024</t>
  </si>
  <si>
    <t>BS6.2</t>
  </si>
  <si>
    <t>Mr. Vikash Singh</t>
  </si>
  <si>
    <t>Ghazipur</t>
  </si>
  <si>
    <t xml:space="preserve">Open </t>
  </si>
  <si>
    <t>FMCMP0411202509385</t>
  </si>
  <si>
    <t>UP64CT5260</t>
  </si>
  <si>
    <t>MC1E4DDA4SP056873</t>
  </si>
  <si>
    <t xml:space="preserve">M/s. SUKHRAM SINGH MODERN PUBLIC SCHOOL  </t>
  </si>
  <si>
    <t>Sonbhadra</t>
  </si>
  <si>
    <t>T1 SCB3700 2.6BSVI.2</t>
  </si>
  <si>
    <t>PICK UP PROBLEM,DPF LIGHT</t>
  </si>
  <si>
    <t>Y</t>
  </si>
  <si>
    <t>VEHICLE ATTEND SUPERVISOR</t>
  </si>
  <si>
    <t>RISHU MISHRA</t>
  </si>
  <si>
    <t xml:space="preserve">M/s. ASHA MAHAVIDYALAYA  </t>
  </si>
  <si>
    <t>MC1L4BFA5RP000685</t>
  </si>
  <si>
    <t>YOGESH CHAUBEY</t>
  </si>
  <si>
    <t>AJIT SINGH</t>
  </si>
  <si>
    <t>MC1L4AGA0TP002988</t>
  </si>
  <si>
    <t>FUEL METER IS NOT SHOWIN</t>
  </si>
  <si>
    <t>CLOSE</t>
  </si>
  <si>
    <t>N</t>
  </si>
  <si>
    <t>SPO26E000122</t>
  </si>
  <si>
    <t>UP61CT5001</t>
  </si>
  <si>
    <t>UP61CT8133</t>
  </si>
  <si>
    <t>MC1L4AGA7TP002986</t>
  </si>
  <si>
    <t>UP61CT5002</t>
  </si>
  <si>
    <t>MC1L4AGA6TP003000</t>
  </si>
  <si>
    <t>UP61CT3222</t>
  </si>
  <si>
    <t>UP61CT3221</t>
  </si>
  <si>
    <t>Closer/OPEN</t>
  </si>
  <si>
    <t>FMCMP2410202507745</t>
  </si>
  <si>
    <t>A/F</t>
  </si>
  <si>
    <t>MC1E4DFA5SP057964</t>
  </si>
  <si>
    <t>Chandauli</t>
  </si>
  <si>
    <t>T1 SCB 3700 BSVI.2 ACPS 17DABS FDSS FAPS</t>
  </si>
  <si>
    <t>P2463	Particulate Filter Restriction - Soot Accumulation Bank</t>
  </si>
  <si>
    <t>I PULSE</t>
  </si>
  <si>
    <t>FMCMP1011202509687</t>
  </si>
  <si>
    <t>Mr. DHARMENDRA  KUMAR  GAUR</t>
  </si>
  <si>
    <t>MC1E4EHA7TP017423</t>
  </si>
  <si>
    <t>VARANASI</t>
  </si>
  <si>
    <t xml:space="preserve">T1MB4020FM2.6CRBSVI.2 </t>
  </si>
  <si>
    <t>P2267-12Water In Fuel Sensor "A" Circuit High</t>
  </si>
  <si>
    <t>The vehicle was repaired after talking to the customer</t>
  </si>
  <si>
    <t xml:space="preserve">parts receive date </t>
  </si>
  <si>
    <t>FMCMP1011202509735</t>
  </si>
  <si>
    <t>UP65QT8479</t>
  </si>
  <si>
    <t>MC1M4AJA3TP006062</t>
  </si>
  <si>
    <t>Mr. INDRESH  KUMAR  SINGH</t>
  </si>
  <si>
    <t>URBANiALWBFM2.6CRBSVI.2</t>
  </si>
  <si>
    <t>P0110-12 Intake Air Temperature Sensor 1 Bank 1 P2463-85 Particulate Filter Restriction - Soot Accumulation Bank 1</t>
  </si>
  <si>
    <t>Sir, the customer has 
been contacted and the vehicle has been attended to by the Ayodhya dealership</t>
  </si>
  <si>
    <t>UP67BT3365</t>
  </si>
  <si>
    <t>MC1D4DHAXSP105337</t>
  </si>
  <si>
    <t xml:space="preserve">M/s. AMBROSIA ACADEMY  </t>
  </si>
  <si>
    <t xml:space="preserve">CRUISER(12+D)SCV FM2.6 </t>
  </si>
  <si>
    <t>STARTING PROBLEM</t>
  </si>
  <si>
    <t>VIKASH SINGH</t>
  </si>
  <si>
    <t>PRADEEP SHRIVTASTAV()</t>
  </si>
  <si>
    <t>UP65PT6726</t>
  </si>
  <si>
    <t>MC1M4AHA6SP002138</t>
  </si>
  <si>
    <t xml:space="preserve">JEEVAK TOUR &amp;TRAVELS  </t>
  </si>
  <si>
    <t>EDC LIGHT &amp; PICK UP PROBLEM</t>
  </si>
  <si>
    <t>VIVEK SIR</t>
  </si>
  <si>
    <t>WORK DONE (CUSTOMER SATISFIED)</t>
  </si>
  <si>
    <t>UP65PT5359</t>
  </si>
  <si>
    <t>MC1E4CFA3RP079790</t>
  </si>
  <si>
    <t xml:space="preserve">M/s. NEEVATI GROUP OF COMPANIES  </t>
  </si>
  <si>
    <t>varanasi</t>
  </si>
  <si>
    <t>T1 SCB3350 BSVI.2</t>
  </si>
  <si>
    <t>EDC LIGHT ON PICK UP PROBLEM</t>
  </si>
  <si>
    <t>GAURAV</t>
  </si>
  <si>
    <t>MC1E5DGA5SP000563</t>
  </si>
  <si>
    <t xml:space="preserve">M/s. DEVATA ACADEMY ENGLISH SCHOOL  </t>
  </si>
  <si>
    <t>BS6CNG</t>
  </si>
  <si>
    <t xml:space="preserve">T1 SCB3700CNGBSVI.2 </t>
  </si>
  <si>
    <t>SHUKLA JI SALES</t>
  </si>
  <si>
    <t>WORK ONE(The vehicle was repaired by talking to the customer on video call.)</t>
  </si>
  <si>
    <t xml:space="preserve">M/s. ARYAN INTERNATIONAL SCHOOL  </t>
  </si>
  <si>
    <t> MC1E4FCA6RP019928</t>
  </si>
  <si>
    <t>BR44P 8547</t>
  </si>
  <si>
    <t>M/s Foundation School </t>
  </si>
  <si>
    <t xml:space="preserve">bihar </t>
  </si>
  <si>
    <t xml:space="preserve">Traveller T2 </t>
  </si>
  <si>
    <t>MC1D4DBA7GP060275</t>
  </si>
  <si>
    <t xml:space="preserve"> B &amp; B INTERNATIONAL SCHOOL  </t>
  </si>
  <si>
    <t>UP67T8326</t>
  </si>
  <si>
    <t>BS 3</t>
  </si>
  <si>
    <t xml:space="preserve">CRUISER CLASSIC(13+D)BS 3 </t>
  </si>
  <si>
    <t xml:space="preserve">SRISHTI </t>
  </si>
  <si>
    <t xml:space="preserve">OPEN </t>
  </si>
  <si>
    <t xml:space="preserve">BREAKE PROBLEM </t>
  </si>
  <si>
    <t>WHEEL ALAIMENT</t>
  </si>
  <si>
    <t>Our team attended the vehicle at the school, 
it had a problem with the alternator, which was dismantled and given 
to the vendor for repair.( THE ALERNATOR WAS FOUND FAULTY AND WAS REMOVED AND SENT TO THE VENDOR FOR WARRANTY REPAIR. AFTER WARRANTY APPROVAL THE ALTERNATOR WAS REINSTALLED AND TESTED THE VEHICLE IS NOW FUNCTIONING NORMALLY.</t>
  </si>
  <si>
    <t>UP65LT2229</t>
  </si>
  <si>
    <t xml:space="preserve">SUNBEAM ENGLISH SCHOOL  </t>
  </si>
  <si>
    <t>MC1E5DHA7PP000344</t>
  </si>
  <si>
    <t>BS6</t>
  </si>
  <si>
    <t>Traveller (P)</t>
  </si>
  <si>
    <t>CNG LEAKAGE</t>
  </si>
  <si>
    <t>I HAVE SPOKEN TO THE CUSTOMER AND HE SAID THAT THE VEHICLE WILL BE SHIPPED NEXT MONTH ,</t>
  </si>
  <si>
    <t>UP64BT9018</t>
  </si>
  <si>
    <t>MC1L4BHA1RP000485</t>
  </si>
  <si>
    <t>sonbhadra</t>
  </si>
  <si>
    <t xml:space="preserve"> BS6.2 </t>
  </si>
  <si>
    <t>Traveller Monobus 41</t>
  </si>
  <si>
    <t xml:space="preserve">CLUTCH PROBLEM </t>
  </si>
  <si>
    <t>ASHISH VARMA</t>
  </si>
  <si>
    <t>UP64BT9019</t>
  </si>
  <si>
    <t>MC1L4BHA4RP000481</t>
  </si>
  <si>
    <t xml:space="preserve">HINDALCO INDUSTRIES LIMITED  </t>
  </si>
  <si>
    <t>SANJEET</t>
  </si>
  <si>
    <t>Currently, the parts are not available in the store and it will take two days to arrive, the customer has been informed.</t>
  </si>
  <si>
    <t>UP64BT9017</t>
  </si>
  <si>
    <t>MC1L4BHA8RP000483</t>
  </si>
  <si>
    <t>SERVICE 0IL CHANGE,GEAR WORK,LIGHT CHCEK</t>
  </si>
  <si>
    <t>DEEPAK</t>
  </si>
  <si>
    <t>The vehicle was brought to the workshop and all the work was done.</t>
  </si>
  <si>
    <t>THE VEHICLE COULD NOT BE REPAIRED AT THE CUSTOMER LOCATION AND THE CUSTOMER BROUGHT THE VEHICLE TO THE WORKSHOP (WORK ON PROCESS)</t>
  </si>
  <si>
    <t>PARTS FML ORDER (The team is going to the customer location tomorrow.)</t>
  </si>
  <si>
    <t>Rishu Sir please go and get the work done at the customer location.</t>
  </si>
  <si>
    <t>PARTS FML ORDER (The team is going to the customer location tomorrow.)WORK DONE 26-11-2025</t>
  </si>
  <si>
    <t>UP67AT2204</t>
  </si>
  <si>
    <t>MC1E4FGAXKP010018</t>
  </si>
  <si>
    <t>ST.MARY CONVENT SCHOOL</t>
  </si>
  <si>
    <t>MUGALSARAI</t>
  </si>
  <si>
    <t>BS4</t>
  </si>
  <si>
    <t>T2 SCB 4020 3250CRBS4</t>
  </si>
  <si>
    <t xml:space="preserve">GEAR PROBLEM </t>
  </si>
  <si>
    <t>WORK DONE (CUSTOMER SATISFIED)Ashish Sir got this work done through a vendor.</t>
  </si>
  <si>
    <t>WORK DONE(27-11-2025)CUSTOMER SATISFIED)</t>
  </si>
  <si>
    <t>NEW(PDI)</t>
  </si>
  <si>
    <t>MC1D4DJA4TP110724</t>
  </si>
  <si>
    <t>HP CONVENT SCHHOL</t>
  </si>
  <si>
    <t>TRAX BS6</t>
  </si>
  <si>
    <t xml:space="preserve">MIL LIGHT ON </t>
  </si>
  <si>
    <t>WORK DONE (27-11-2025)FEEDBACK CALL 28-11-2025CUSTOMER SATISFIED</t>
  </si>
  <si>
    <t xml:space="preserve">AJIT SINGH/ASHISH </t>
  </si>
  <si>
    <t>BHADOHI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</si>
</sst>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rgb="FF000000"/>
      <name val="Tahoma"/>
      <family val="2"/>
    </font>
    <font>
      <b/>
      <sz val="12"/>
      <color theme="1"/>
      <name val="Arial"/>
      <family val="2"/>
    </font>
    <font>
      <b/>
      <sz val="12"/>
      <color theme="1"/>
      <name val="Calibri"/>
      <family val="2"/>
    </font>
    <font>
      <b/>
      <sz val="12"/>
      <color theme="1"/>
      <name val="Calibri"/>
      <family val="2"/>
      <scheme val="minor"/>
    </font>
    <font>
      <b/>
      <sz val="12"/>
      <color rgb="FFFF0000"/>
      <name val="Calibri"/>
      <family val="2"/>
      <scheme val="minor"/>
    </font>
    <font>
      <b/>
      <sz val="12"/>
      <color rgb="FFFF0000"/>
      <name val="Tahoma"/>
      <family val="2"/>
    </font>
    <font>
      <b/>
      <sz val="12"/>
      <color rgb="FFFF0000"/>
      <name val="Century Gothic"/>
      <family val="2"/>
    </font>
    <font>
      <sz val="12"/>
      <color theme="1"/>
      <name val="Calibri"/>
      <family val="2"/>
      <scheme val="minor"/>
    </font>
    <font>
      <sz val="12"/>
      <color rgb="FFFF0000"/>
      <name val="Calibri"/>
      <family val="2"/>
      <scheme val="minor"/>
    </font>
    <font>
      <b/>
      <sz val="12"/>
      <color theme="1" tint="4.9989318521683403E-2"/>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0" fillId="0" borderId="1" xfId="0" applyBorder="1"/>
    <xf numFmtId="0" fontId="1" fillId="0" borderId="1" xfId="0" applyFont="1" applyBorder="1"/>
    <xf numFmtId="0" fontId="1" fillId="0" borderId="1" xfId="0" applyFont="1" applyBorder="1" applyAlignment="1">
      <alignment horizontal="left" vertical="center" wrapText="1"/>
    </xf>
    <xf numFmtId="0" fontId="0" fillId="3" borderId="1" xfId="0" applyFill="1" applyBorder="1"/>
    <xf numFmtId="0" fontId="1" fillId="3" borderId="1" xfId="0" applyFont="1" applyFill="1" applyBorder="1"/>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xf>
    <xf numFmtId="0" fontId="0" fillId="0" borderId="0" xfId="0" applyAlignment="1">
      <alignment horizontal="center" vertical="center" wrapText="1"/>
    </xf>
    <xf numFmtId="0" fontId="2" fillId="0" borderId="1" xfId="0" applyFont="1" applyBorder="1" applyAlignment="1">
      <alignment horizontal="center" vertical="center"/>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0" fontId="0" fillId="0" borderId="0" xfId="0" applyAlignment="1">
      <alignment horizontal="center" vertical="center"/>
    </xf>
    <xf numFmtId="14" fontId="5"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5" fillId="0" borderId="3" xfId="0" applyFont="1" applyBorder="1" applyAlignment="1">
      <alignment horizontal="center" vertical="center"/>
    </xf>
    <xf numFmtId="0" fontId="6" fillId="0" borderId="0" xfId="0" applyFont="1" applyAlignment="1">
      <alignment horizontal="center" vertical="center"/>
    </xf>
    <xf numFmtId="0" fontId="5" fillId="0" borderId="1" xfId="0" applyFont="1" applyBorder="1" applyAlignment="1">
      <alignment horizontal="center" vertical="center" wrapText="1"/>
    </xf>
    <xf numFmtId="0" fontId="8" fillId="0" borderId="2" xfId="0" applyFont="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14" fontId="9" fillId="0" borderId="1" xfId="0" applyNumberFormat="1" applyFont="1" applyBorder="1" applyAlignment="1">
      <alignment horizontal="center" vertical="center"/>
    </xf>
    <xf numFmtId="0" fontId="8" fillId="0" borderId="3" xfId="0" applyFont="1" applyBorder="1" applyAlignment="1">
      <alignment horizontal="center" vertical="center"/>
    </xf>
    <xf numFmtId="14" fontId="8" fillId="0" borderId="1" xfId="0" applyNumberFormat="1" applyFont="1" applyBorder="1" applyAlignment="1">
      <alignment horizontal="center" vertical="center"/>
    </xf>
    <xf numFmtId="0" fontId="10" fillId="0" borderId="1" xfId="0" applyFont="1" applyBorder="1" applyAlignment="1">
      <alignment horizontal="center" vertical="center"/>
    </xf>
    <xf numFmtId="14" fontId="10" fillId="0" borderId="1" xfId="0" applyNumberFormat="1" applyFont="1" applyBorder="1" applyAlignment="1">
      <alignment horizontal="center" vertical="center"/>
    </xf>
    <xf numFmtId="0" fontId="8" fillId="0" borderId="0" xfId="0" applyFont="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6A833-AD1E-4B60-AA8A-F8C3FD97F328}">
  <sheetPr filterMode="1"/>
  <dimension ref="A1:U31"/>
  <sheetViews>
    <sheetView tabSelected="1" workbookViewId="0">
      <selection activeCell="D26" sqref="D26"/>
    </sheetView>
  </sheetViews>
  <sheetFormatPr defaultRowHeight="14.5" x14ac:dyDescent="0.35"/>
  <cols>
    <col min="1" max="1" width="24.453125" style="13" bestFit="1" customWidth="1"/>
    <col min="2" max="2" width="18.81640625" style="13" bestFit="1" customWidth="1"/>
    <col min="3" max="3" width="22.453125" style="13" customWidth="1"/>
    <col min="4" max="4" width="30.81640625" style="13" customWidth="1"/>
    <col min="5" max="5" width="17.1796875" style="13" customWidth="1"/>
    <col min="6" max="6" width="14.81640625" style="13" customWidth="1"/>
    <col min="7" max="7" width="10.54296875" style="13" bestFit="1" customWidth="1"/>
    <col min="8" max="8" width="10.26953125" style="13" customWidth="1"/>
    <col min="9" max="9" width="12.453125" style="13" bestFit="1" customWidth="1"/>
    <col min="10" max="10" width="27.26953125" style="13" customWidth="1"/>
    <col min="11" max="11" width="17.1796875" style="13" customWidth="1"/>
    <col min="12" max="12" width="6.7265625" style="13" customWidth="1"/>
    <col min="13" max="13" width="14.1796875" style="13" bestFit="1" customWidth="1"/>
    <col min="14" max="14" width="7.26953125" style="13" customWidth="1"/>
    <col min="15" max="15" width="20.81640625" style="13" customWidth="1"/>
    <col min="16" max="16" width="24" style="13" customWidth="1"/>
    <col min="17" max="17" width="30.6328125" style="13" customWidth="1"/>
    <col min="18" max="18" width="38.36328125" style="13" customWidth="1"/>
    <col min="19" max="19" width="13.453125" style="13" bestFit="1" customWidth="1"/>
    <col min="20" max="20" width="13.81640625" style="13" customWidth="1"/>
    <col min="21" max="21" width="11.90625" style="13" bestFit="1" customWidth="1"/>
    <col min="22" max="16384" width="8.7265625" style="13"/>
  </cols>
  <sheetData>
    <row r="1" spans="1:21" s="9" customFormat="1" ht="51.65" customHeight="1" x14ac:dyDescent="0.35">
      <c r="A1" s="6" t="s">
        <v>9</v>
      </c>
      <c r="B1" s="6" t="s">
        <v>3</v>
      </c>
      <c r="C1" s="6" t="s">
        <v>4</v>
      </c>
      <c r="D1" s="6" t="s">
        <v>5</v>
      </c>
      <c r="E1" s="6" t="s">
        <v>6</v>
      </c>
      <c r="F1" s="6" t="s">
        <v>11</v>
      </c>
      <c r="G1" s="6" t="s">
        <v>7</v>
      </c>
      <c r="H1" s="6" t="s">
        <v>8</v>
      </c>
      <c r="I1" s="6" t="s">
        <v>10</v>
      </c>
      <c r="J1" s="6" t="s">
        <v>12</v>
      </c>
      <c r="K1" s="6" t="s">
        <v>18</v>
      </c>
      <c r="L1" s="6" t="s">
        <v>14</v>
      </c>
      <c r="M1" s="6" t="s">
        <v>13</v>
      </c>
      <c r="N1" s="6" t="s">
        <v>62</v>
      </c>
      <c r="O1" s="6" t="s">
        <v>15</v>
      </c>
      <c r="P1" s="6" t="s">
        <v>44</v>
      </c>
      <c r="Q1" s="6" t="s">
        <v>1</v>
      </c>
      <c r="R1" s="7" t="s">
        <v>0</v>
      </c>
      <c r="S1" s="7" t="s">
        <v>16</v>
      </c>
      <c r="T1" s="7" t="s">
        <v>17</v>
      </c>
      <c r="U1" s="7" t="s">
        <v>77</v>
      </c>
    </row>
    <row r="2" spans="1:21" ht="15.5" hidden="1" x14ac:dyDescent="0.35">
      <c r="A2" s="10" t="s">
        <v>36</v>
      </c>
      <c r="B2" s="11" t="s">
        <v>37</v>
      </c>
      <c r="C2" s="11" t="s">
        <v>38</v>
      </c>
      <c r="D2" s="11" t="s">
        <v>39</v>
      </c>
      <c r="E2" s="11">
        <v>9935836452</v>
      </c>
      <c r="F2" s="11" t="s">
        <v>40</v>
      </c>
      <c r="G2" s="11" t="s">
        <v>32</v>
      </c>
      <c r="H2" s="11" t="s">
        <v>41</v>
      </c>
      <c r="I2" s="12">
        <v>45965</v>
      </c>
      <c r="J2" s="11" t="s">
        <v>42</v>
      </c>
      <c r="K2" s="11" t="s">
        <v>91</v>
      </c>
      <c r="L2" s="11">
        <f t="shared" ref="L2:L5" ca="1" si="0">IF(M2="",TODAY()-I2,M2-I2)</f>
        <v>2</v>
      </c>
      <c r="M2" s="12">
        <v>45967</v>
      </c>
      <c r="N2" s="12" t="s">
        <v>52</v>
      </c>
      <c r="O2" s="11" t="s">
        <v>33</v>
      </c>
      <c r="P2" s="11" t="s">
        <v>45</v>
      </c>
      <c r="Q2" s="11" t="s">
        <v>43</v>
      </c>
      <c r="R2" s="11" t="s">
        <v>153</v>
      </c>
      <c r="S2" s="11"/>
      <c r="T2" s="11"/>
      <c r="U2" s="11"/>
    </row>
    <row r="3" spans="1:21" ht="15.5" hidden="1" x14ac:dyDescent="0.35">
      <c r="A3" s="11"/>
      <c r="B3" s="11" t="s">
        <v>56</v>
      </c>
      <c r="C3" s="11" t="s">
        <v>47</v>
      </c>
      <c r="D3" s="11" t="s">
        <v>46</v>
      </c>
      <c r="E3" s="11">
        <v>8303465300</v>
      </c>
      <c r="F3" s="11" t="s">
        <v>34</v>
      </c>
      <c r="G3" s="11" t="s">
        <v>32</v>
      </c>
      <c r="H3" s="11" t="s">
        <v>2</v>
      </c>
      <c r="I3" s="12">
        <v>45967</v>
      </c>
      <c r="J3" s="11" t="s">
        <v>42</v>
      </c>
      <c r="K3" s="11" t="s">
        <v>48</v>
      </c>
      <c r="L3" s="11">
        <f t="shared" ca="1" si="0"/>
        <v>1</v>
      </c>
      <c r="M3" s="12">
        <v>45968</v>
      </c>
      <c r="N3" s="12" t="s">
        <v>52</v>
      </c>
      <c r="O3" s="11" t="s">
        <v>33</v>
      </c>
      <c r="P3" s="11" t="s">
        <v>49</v>
      </c>
      <c r="Q3" s="11" t="s">
        <v>43</v>
      </c>
      <c r="R3" s="11"/>
      <c r="S3" s="11"/>
      <c r="T3" s="11"/>
      <c r="U3" s="11"/>
    </row>
    <row r="4" spans="1:21" ht="15.5" hidden="1" x14ac:dyDescent="0.35">
      <c r="A4" s="11"/>
      <c r="B4" s="11" t="s">
        <v>55</v>
      </c>
      <c r="C4" s="11" t="s">
        <v>50</v>
      </c>
      <c r="D4" s="11" t="s">
        <v>46</v>
      </c>
      <c r="E4" s="11">
        <v>8303465300</v>
      </c>
      <c r="F4" s="11" t="s">
        <v>34</v>
      </c>
      <c r="G4" s="11" t="s">
        <v>32</v>
      </c>
      <c r="H4" s="11" t="s">
        <v>2</v>
      </c>
      <c r="I4" s="12">
        <v>45958</v>
      </c>
      <c r="J4" s="11" t="s">
        <v>51</v>
      </c>
      <c r="K4" s="11" t="s">
        <v>48</v>
      </c>
      <c r="L4" s="11">
        <f t="shared" ca="1" si="0"/>
        <v>29</v>
      </c>
      <c r="M4" s="12">
        <v>45987</v>
      </c>
      <c r="N4" s="12" t="s">
        <v>52</v>
      </c>
      <c r="O4" s="11" t="s">
        <v>33</v>
      </c>
      <c r="P4" s="11" t="s">
        <v>45</v>
      </c>
      <c r="Q4" s="11" t="s">
        <v>43</v>
      </c>
      <c r="R4" s="11" t="s">
        <v>154</v>
      </c>
      <c r="S4" s="11" t="s">
        <v>54</v>
      </c>
      <c r="T4" s="12">
        <v>45961</v>
      </c>
      <c r="U4" s="12">
        <v>45971</v>
      </c>
    </row>
    <row r="5" spans="1:21" ht="15.5" hidden="1" x14ac:dyDescent="0.35">
      <c r="A5" s="11"/>
      <c r="B5" s="11" t="s">
        <v>58</v>
      </c>
      <c r="C5" s="11" t="s">
        <v>57</v>
      </c>
      <c r="D5" s="11" t="s">
        <v>46</v>
      </c>
      <c r="E5" s="11">
        <v>8303465300</v>
      </c>
      <c r="F5" s="11" t="s">
        <v>34</v>
      </c>
      <c r="G5" s="11" t="s">
        <v>32</v>
      </c>
      <c r="H5" s="11" t="s">
        <v>2</v>
      </c>
      <c r="I5" s="12">
        <v>45958</v>
      </c>
      <c r="J5" s="11" t="s">
        <v>51</v>
      </c>
      <c r="K5" s="11" t="s">
        <v>48</v>
      </c>
      <c r="L5" s="11">
        <f t="shared" ca="1" si="0"/>
        <v>29</v>
      </c>
      <c r="M5" s="12">
        <v>45987</v>
      </c>
      <c r="N5" s="12" t="s">
        <v>52</v>
      </c>
      <c r="O5" s="11" t="s">
        <v>33</v>
      </c>
      <c r="P5" s="11" t="s">
        <v>45</v>
      </c>
      <c r="Q5" s="11" t="s">
        <v>43</v>
      </c>
      <c r="R5" s="11" t="s">
        <v>154</v>
      </c>
      <c r="S5" s="11" t="s">
        <v>54</v>
      </c>
      <c r="T5" s="12">
        <v>45961</v>
      </c>
      <c r="U5" s="12">
        <v>45971</v>
      </c>
    </row>
    <row r="6" spans="1:21" ht="15.5" hidden="1" x14ac:dyDescent="0.35">
      <c r="A6" s="11"/>
      <c r="B6" s="11" t="s">
        <v>60</v>
      </c>
      <c r="C6" s="11" t="s">
        <v>59</v>
      </c>
      <c r="D6" s="11" t="s">
        <v>46</v>
      </c>
      <c r="E6" s="11">
        <v>8303465300</v>
      </c>
      <c r="F6" s="11" t="s">
        <v>34</v>
      </c>
      <c r="G6" s="11" t="s">
        <v>32</v>
      </c>
      <c r="H6" s="11" t="s">
        <v>2</v>
      </c>
      <c r="I6" s="12">
        <v>45958</v>
      </c>
      <c r="J6" s="11" t="s">
        <v>51</v>
      </c>
      <c r="K6" s="11" t="s">
        <v>48</v>
      </c>
      <c r="L6" s="11">
        <f ca="1">IF(M6="",TODAY()-I6,M6-I6)</f>
        <v>29</v>
      </c>
      <c r="M6" s="12">
        <v>45987</v>
      </c>
      <c r="N6" s="12" t="s">
        <v>52</v>
      </c>
      <c r="O6" s="11" t="s">
        <v>33</v>
      </c>
      <c r="P6" s="11" t="s">
        <v>45</v>
      </c>
      <c r="Q6" s="11" t="s">
        <v>43</v>
      </c>
      <c r="R6" s="11" t="s">
        <v>154</v>
      </c>
      <c r="S6" s="11" t="s">
        <v>54</v>
      </c>
      <c r="T6" s="12">
        <v>45961</v>
      </c>
      <c r="U6" s="12">
        <v>45971</v>
      </c>
    </row>
    <row r="7" spans="1:21" ht="15.5" x14ac:dyDescent="0.35">
      <c r="A7" s="8"/>
      <c r="B7" s="8" t="s">
        <v>61</v>
      </c>
      <c r="C7" s="8" t="s">
        <v>31</v>
      </c>
      <c r="D7" s="8" t="s">
        <v>46</v>
      </c>
      <c r="E7" s="8">
        <v>8303465300</v>
      </c>
      <c r="F7" s="8" t="s">
        <v>34</v>
      </c>
      <c r="G7" s="8" t="s">
        <v>32</v>
      </c>
      <c r="H7" s="8" t="s">
        <v>2</v>
      </c>
      <c r="I7" s="14">
        <v>45958</v>
      </c>
      <c r="J7" s="8" t="s">
        <v>51</v>
      </c>
      <c r="K7" s="8" t="s">
        <v>48</v>
      </c>
      <c r="L7" s="11">
        <f t="shared" ref="L7:L22" ca="1" si="1">IF(M7="",TODAY()-I7,M7-I7)</f>
        <v>35</v>
      </c>
      <c r="M7" s="14"/>
      <c r="N7" s="8" t="s">
        <v>35</v>
      </c>
      <c r="O7" s="8"/>
      <c r="P7" s="8"/>
      <c r="Q7" s="8" t="s">
        <v>53</v>
      </c>
      <c r="R7" s="8" t="s">
        <v>152</v>
      </c>
      <c r="S7" s="8" t="s">
        <v>54</v>
      </c>
      <c r="T7" s="14">
        <v>45961</v>
      </c>
      <c r="U7" s="14">
        <v>45971</v>
      </c>
    </row>
    <row r="8" spans="1:21" ht="15.65" hidden="1" customHeight="1" x14ac:dyDescent="0.35">
      <c r="A8" s="10" t="s">
        <v>63</v>
      </c>
      <c r="B8" s="11" t="s">
        <v>64</v>
      </c>
      <c r="C8" s="11" t="s">
        <v>65</v>
      </c>
      <c r="D8" s="11" t="s">
        <v>111</v>
      </c>
      <c r="E8" s="11">
        <v>8009899449</v>
      </c>
      <c r="F8" s="11" t="s">
        <v>66</v>
      </c>
      <c r="G8" s="11" t="s">
        <v>32</v>
      </c>
      <c r="H8" s="11" t="s">
        <v>67</v>
      </c>
      <c r="I8" s="12">
        <v>45954</v>
      </c>
      <c r="J8" s="11" t="s">
        <v>68</v>
      </c>
      <c r="K8" s="11" t="s">
        <v>69</v>
      </c>
      <c r="L8" s="11">
        <f t="shared" ca="1" si="1"/>
        <v>17</v>
      </c>
      <c r="M8" s="12">
        <v>45971</v>
      </c>
      <c r="N8" s="12" t="s">
        <v>52</v>
      </c>
      <c r="O8" s="11" t="s">
        <v>33</v>
      </c>
      <c r="P8" s="11"/>
      <c r="Q8" s="11" t="s">
        <v>43</v>
      </c>
      <c r="R8" s="11" t="s">
        <v>76</v>
      </c>
      <c r="S8" s="11"/>
      <c r="T8" s="11"/>
      <c r="U8" s="11"/>
    </row>
    <row r="9" spans="1:21" ht="14.5" hidden="1" customHeight="1" x14ac:dyDescent="0.35">
      <c r="A9" s="10" t="s">
        <v>70</v>
      </c>
      <c r="B9" s="11"/>
      <c r="C9" s="11" t="s">
        <v>72</v>
      </c>
      <c r="D9" s="11" t="s">
        <v>71</v>
      </c>
      <c r="E9" s="11">
        <v>7905326421</v>
      </c>
      <c r="F9" s="11" t="s">
        <v>73</v>
      </c>
      <c r="G9" s="11" t="s">
        <v>32</v>
      </c>
      <c r="H9" s="11" t="s">
        <v>74</v>
      </c>
      <c r="I9" s="12">
        <v>45971</v>
      </c>
      <c r="J9" s="11" t="s">
        <v>75</v>
      </c>
      <c r="K9" s="11" t="s">
        <v>69</v>
      </c>
      <c r="L9" s="11">
        <f t="shared" ca="1" si="1"/>
        <v>0</v>
      </c>
      <c r="M9" s="12">
        <v>45971</v>
      </c>
      <c r="N9" s="12" t="s">
        <v>52</v>
      </c>
      <c r="O9" s="11" t="s">
        <v>33</v>
      </c>
      <c r="P9" s="11"/>
      <c r="Q9" s="11" t="s">
        <v>43</v>
      </c>
      <c r="R9" s="15" t="s">
        <v>76</v>
      </c>
      <c r="S9" s="11"/>
      <c r="T9" s="11"/>
      <c r="U9" s="11"/>
    </row>
    <row r="10" spans="1:21" ht="62" hidden="1" x14ac:dyDescent="0.35">
      <c r="A10" s="10" t="s">
        <v>78</v>
      </c>
      <c r="B10" s="11" t="s">
        <v>79</v>
      </c>
      <c r="C10" s="11" t="s">
        <v>80</v>
      </c>
      <c r="D10" s="11" t="s">
        <v>81</v>
      </c>
      <c r="E10" s="11">
        <v>9794444947</v>
      </c>
      <c r="F10" s="11" t="s">
        <v>73</v>
      </c>
      <c r="G10" s="11" t="s">
        <v>32</v>
      </c>
      <c r="H10" s="11" t="s">
        <v>82</v>
      </c>
      <c r="I10" s="12">
        <v>45971</v>
      </c>
      <c r="J10" s="16" t="s">
        <v>83</v>
      </c>
      <c r="K10" s="11" t="s">
        <v>69</v>
      </c>
      <c r="L10" s="11">
        <f t="shared" ca="1" si="1"/>
        <v>0</v>
      </c>
      <c r="M10" s="12">
        <v>45971</v>
      </c>
      <c r="N10" s="12" t="s">
        <v>52</v>
      </c>
      <c r="O10" s="11" t="s">
        <v>33</v>
      </c>
      <c r="P10" s="11"/>
      <c r="Q10" s="11" t="s">
        <v>43</v>
      </c>
      <c r="R10" s="17" t="s">
        <v>84</v>
      </c>
      <c r="S10" s="11"/>
      <c r="T10" s="11"/>
      <c r="U10" s="11"/>
    </row>
    <row r="11" spans="1:21" ht="73.5" hidden="1" customHeight="1" x14ac:dyDescent="0.35">
      <c r="A11" s="11"/>
      <c r="B11" s="11" t="s">
        <v>85</v>
      </c>
      <c r="C11" s="11" t="s">
        <v>86</v>
      </c>
      <c r="D11" s="11" t="s">
        <v>87</v>
      </c>
      <c r="E11" s="11">
        <v>7408217000</v>
      </c>
      <c r="F11" s="11" t="s">
        <v>66</v>
      </c>
      <c r="G11" s="11" t="s">
        <v>32</v>
      </c>
      <c r="H11" s="11" t="s">
        <v>88</v>
      </c>
      <c r="I11" s="12">
        <v>45970</v>
      </c>
      <c r="J11" s="11" t="s">
        <v>89</v>
      </c>
      <c r="K11" s="11" t="s">
        <v>90</v>
      </c>
      <c r="L11" s="11">
        <f t="shared" ca="1" si="1"/>
        <v>2</v>
      </c>
      <c r="M11" s="12">
        <v>45972</v>
      </c>
      <c r="N11" s="11" t="s">
        <v>52</v>
      </c>
      <c r="O11" s="11" t="s">
        <v>33</v>
      </c>
      <c r="P11" s="11" t="s">
        <v>49</v>
      </c>
      <c r="Q11" s="11" t="s">
        <v>43</v>
      </c>
      <c r="R11" s="15" t="s">
        <v>126</v>
      </c>
      <c r="S11" s="11"/>
      <c r="T11" s="11"/>
      <c r="U11" s="11"/>
    </row>
    <row r="12" spans="1:21" ht="20.25" hidden="1" customHeight="1" x14ac:dyDescent="0.35">
      <c r="A12" s="18"/>
      <c r="B12" s="11" t="s">
        <v>92</v>
      </c>
      <c r="C12" s="11" t="s">
        <v>93</v>
      </c>
      <c r="D12" s="11" t="s">
        <v>94</v>
      </c>
      <c r="E12" s="11">
        <v>8210152672</v>
      </c>
      <c r="F12" s="19" t="s">
        <v>73</v>
      </c>
      <c r="G12" s="11" t="s">
        <v>32</v>
      </c>
      <c r="H12" s="11" t="s">
        <v>82</v>
      </c>
      <c r="I12" s="12">
        <v>45975</v>
      </c>
      <c r="J12" s="11" t="s">
        <v>95</v>
      </c>
      <c r="K12" s="11" t="s">
        <v>96</v>
      </c>
      <c r="L12" s="11">
        <f t="shared" ca="1" si="1"/>
        <v>0</v>
      </c>
      <c r="M12" s="12">
        <v>45975</v>
      </c>
      <c r="N12" s="11" t="s">
        <v>52</v>
      </c>
      <c r="O12" s="11" t="s">
        <v>33</v>
      </c>
      <c r="P12" s="11" t="s">
        <v>49</v>
      </c>
      <c r="Q12" s="11" t="s">
        <v>43</v>
      </c>
      <c r="R12" s="11" t="s">
        <v>97</v>
      </c>
      <c r="S12" s="11"/>
      <c r="T12" s="11"/>
      <c r="U12" s="11"/>
    </row>
    <row r="13" spans="1:21" ht="20.25" hidden="1" customHeight="1" x14ac:dyDescent="0.35">
      <c r="A13" s="18"/>
      <c r="B13" s="11" t="s">
        <v>98</v>
      </c>
      <c r="C13" s="11" t="s">
        <v>99</v>
      </c>
      <c r="D13" s="11" t="s">
        <v>100</v>
      </c>
      <c r="E13" s="11">
        <v>9919067999</v>
      </c>
      <c r="F13" s="19" t="s">
        <v>101</v>
      </c>
      <c r="G13" s="11" t="s">
        <v>32</v>
      </c>
      <c r="H13" s="11" t="s">
        <v>102</v>
      </c>
      <c r="I13" s="12">
        <v>45973</v>
      </c>
      <c r="J13" s="11" t="s">
        <v>103</v>
      </c>
      <c r="K13" s="11" t="s">
        <v>104</v>
      </c>
      <c r="L13" s="11">
        <f t="shared" ca="1" si="1"/>
        <v>0</v>
      </c>
      <c r="M13" s="12">
        <v>45973</v>
      </c>
      <c r="N13" s="11" t="s">
        <v>52</v>
      </c>
      <c r="O13" s="11" t="s">
        <v>33</v>
      </c>
      <c r="P13" s="11" t="s">
        <v>49</v>
      </c>
      <c r="Q13" s="11" t="s">
        <v>43</v>
      </c>
      <c r="R13" s="11" t="s">
        <v>97</v>
      </c>
      <c r="S13" s="11"/>
      <c r="T13" s="11"/>
      <c r="U13" s="11"/>
    </row>
    <row r="14" spans="1:21" ht="31" hidden="1" x14ac:dyDescent="0.35">
      <c r="A14" s="18"/>
      <c r="B14" s="11"/>
      <c r="C14" s="11" t="s">
        <v>105</v>
      </c>
      <c r="D14" s="11" t="s">
        <v>106</v>
      </c>
      <c r="E14" s="11">
        <v>9793489174</v>
      </c>
      <c r="F14" s="19" t="s">
        <v>66</v>
      </c>
      <c r="G14" s="11" t="s">
        <v>107</v>
      </c>
      <c r="H14" s="11" t="s">
        <v>108</v>
      </c>
      <c r="I14" s="12">
        <v>45980</v>
      </c>
      <c r="J14" s="11" t="s">
        <v>89</v>
      </c>
      <c r="K14" s="11" t="s">
        <v>109</v>
      </c>
      <c r="L14" s="11">
        <f t="shared" ca="1" si="1"/>
        <v>0</v>
      </c>
      <c r="M14" s="12">
        <v>45980</v>
      </c>
      <c r="N14" s="11" t="s">
        <v>52</v>
      </c>
      <c r="O14" s="11" t="s">
        <v>33</v>
      </c>
      <c r="P14" s="11" t="s">
        <v>90</v>
      </c>
      <c r="Q14" s="11" t="s">
        <v>43</v>
      </c>
      <c r="R14" s="15" t="s">
        <v>110</v>
      </c>
      <c r="S14" s="11"/>
      <c r="T14" s="11"/>
      <c r="U14" s="11"/>
    </row>
    <row r="15" spans="1:21" ht="20.25" customHeight="1" x14ac:dyDescent="0.35">
      <c r="A15" s="18"/>
      <c r="B15" s="20" t="s">
        <v>113</v>
      </c>
      <c r="C15" s="20" t="s">
        <v>112</v>
      </c>
      <c r="D15" s="20" t="s">
        <v>114</v>
      </c>
      <c r="E15" s="21">
        <v>7632980909</v>
      </c>
      <c r="F15" s="22" t="s">
        <v>115</v>
      </c>
      <c r="G15" s="8"/>
      <c r="H15" s="23" t="s">
        <v>116</v>
      </c>
      <c r="I15" s="14">
        <v>45982</v>
      </c>
      <c r="J15" s="23" t="s">
        <v>125</v>
      </c>
      <c r="K15" s="8" t="s">
        <v>96</v>
      </c>
      <c r="L15" s="11">
        <f t="shared" ca="1" si="1"/>
        <v>2</v>
      </c>
      <c r="M15" s="14">
        <v>45984</v>
      </c>
      <c r="N15" s="8" t="s">
        <v>123</v>
      </c>
      <c r="O15" s="8" t="s">
        <v>33</v>
      </c>
      <c r="P15" s="8"/>
      <c r="Q15" s="8" t="s">
        <v>53</v>
      </c>
      <c r="R15" s="8" t="s">
        <v>133</v>
      </c>
      <c r="S15" s="11"/>
      <c r="T15" s="11"/>
      <c r="U15" s="11"/>
    </row>
    <row r="16" spans="1:21" ht="28.5" customHeight="1" x14ac:dyDescent="0.35">
      <c r="A16" s="18"/>
      <c r="B16" s="8" t="s">
        <v>119</v>
      </c>
      <c r="C16" s="8" t="s">
        <v>117</v>
      </c>
      <c r="D16" s="8" t="s">
        <v>118</v>
      </c>
      <c r="E16" s="8">
        <v>9451774911</v>
      </c>
      <c r="F16" s="22" t="s">
        <v>66</v>
      </c>
      <c r="G16" s="8" t="s">
        <v>120</v>
      </c>
      <c r="H16" s="24" t="s">
        <v>121</v>
      </c>
      <c r="I16" s="14">
        <v>45982</v>
      </c>
      <c r="J16" s="8" t="s">
        <v>124</v>
      </c>
      <c r="K16" s="8" t="s">
        <v>122</v>
      </c>
      <c r="L16" s="11">
        <f t="shared" ca="1" si="1"/>
        <v>0</v>
      </c>
      <c r="M16" s="14">
        <v>45982</v>
      </c>
      <c r="N16" s="8" t="s">
        <v>123</v>
      </c>
      <c r="O16" s="8" t="s">
        <v>33</v>
      </c>
      <c r="P16" s="8" t="s">
        <v>170</v>
      </c>
      <c r="Q16" s="8" t="s">
        <v>53</v>
      </c>
      <c r="R16" s="8" t="s">
        <v>151</v>
      </c>
      <c r="S16" s="11"/>
      <c r="T16" s="11"/>
      <c r="U16" s="11"/>
    </row>
    <row r="17" spans="1:21" ht="15.5" hidden="1" x14ac:dyDescent="0.35">
      <c r="A17" s="25"/>
      <c r="B17" s="11" t="s">
        <v>127</v>
      </c>
      <c r="C17" s="11" t="s">
        <v>129</v>
      </c>
      <c r="D17" s="11" t="s">
        <v>128</v>
      </c>
      <c r="E17" s="11">
        <v>6390898053</v>
      </c>
      <c r="F17" s="19" t="s">
        <v>73</v>
      </c>
      <c r="G17" s="11" t="s">
        <v>130</v>
      </c>
      <c r="H17" s="11" t="s">
        <v>131</v>
      </c>
      <c r="I17" s="12">
        <v>45985</v>
      </c>
      <c r="J17" s="11" t="s">
        <v>132</v>
      </c>
      <c r="K17" s="11" t="s">
        <v>33</v>
      </c>
      <c r="L17" s="11">
        <f t="shared" ca="1" si="1"/>
        <v>0</v>
      </c>
      <c r="M17" s="12">
        <v>45985</v>
      </c>
      <c r="N17" s="11" t="s">
        <v>52</v>
      </c>
      <c r="O17" s="11" t="s">
        <v>33</v>
      </c>
      <c r="P17" s="11" t="s">
        <v>45</v>
      </c>
      <c r="Q17" s="11" t="s">
        <v>43</v>
      </c>
      <c r="R17" s="11" t="s">
        <v>97</v>
      </c>
      <c r="S17" s="26"/>
      <c r="T17" s="26"/>
      <c r="U17" s="26"/>
    </row>
    <row r="18" spans="1:21" ht="46.5" hidden="1" x14ac:dyDescent="0.35">
      <c r="A18" s="25"/>
      <c r="B18" s="11" t="s">
        <v>134</v>
      </c>
      <c r="C18" s="11" t="s">
        <v>135</v>
      </c>
      <c r="D18" s="11" t="s">
        <v>143</v>
      </c>
      <c r="E18" s="15">
        <v>9149655812</v>
      </c>
      <c r="F18" s="19" t="s">
        <v>136</v>
      </c>
      <c r="G18" s="11" t="s">
        <v>137</v>
      </c>
      <c r="H18" s="15" t="s">
        <v>138</v>
      </c>
      <c r="I18" s="12">
        <v>45985</v>
      </c>
      <c r="J18" s="11" t="s">
        <v>139</v>
      </c>
      <c r="K18" s="11" t="s">
        <v>140</v>
      </c>
      <c r="L18" s="11">
        <f t="shared" ca="1" si="1"/>
        <v>0</v>
      </c>
      <c r="M18" s="12">
        <v>45985</v>
      </c>
      <c r="N18" s="11" t="s">
        <v>52</v>
      </c>
      <c r="O18" s="11" t="s">
        <v>140</v>
      </c>
      <c r="P18" s="11" t="s">
        <v>140</v>
      </c>
      <c r="Q18" s="11" t="s">
        <v>43</v>
      </c>
      <c r="R18" s="11" t="s">
        <v>162</v>
      </c>
      <c r="S18" s="26"/>
      <c r="T18" s="26"/>
      <c r="U18" s="26"/>
    </row>
    <row r="19" spans="1:21" ht="46.5" x14ac:dyDescent="0.35">
      <c r="A19" s="26"/>
      <c r="B19" s="27" t="s">
        <v>141</v>
      </c>
      <c r="C19" s="27" t="s">
        <v>142</v>
      </c>
      <c r="D19" s="8" t="s">
        <v>143</v>
      </c>
      <c r="E19" s="24">
        <v>9149655812</v>
      </c>
      <c r="F19" s="22" t="s">
        <v>136</v>
      </c>
      <c r="G19" s="8" t="s">
        <v>137</v>
      </c>
      <c r="H19" s="24" t="s">
        <v>138</v>
      </c>
      <c r="I19" s="28">
        <v>45986</v>
      </c>
      <c r="J19" s="8" t="s">
        <v>139</v>
      </c>
      <c r="K19" s="27" t="s">
        <v>144</v>
      </c>
      <c r="L19" s="11">
        <f t="shared" ca="1" si="1"/>
        <v>7</v>
      </c>
      <c r="M19" s="28"/>
      <c r="N19" s="8" t="s">
        <v>123</v>
      </c>
      <c r="O19" s="8" t="s">
        <v>33</v>
      </c>
      <c r="P19" s="27"/>
      <c r="Q19" s="27" t="s">
        <v>53</v>
      </c>
      <c r="R19" s="8" t="s">
        <v>145</v>
      </c>
      <c r="S19" s="26"/>
      <c r="T19" s="26"/>
      <c r="U19" s="29"/>
    </row>
    <row r="20" spans="1:21" ht="46.5" hidden="1" x14ac:dyDescent="0.35">
      <c r="A20" s="26"/>
      <c r="B20" s="11" t="s">
        <v>146</v>
      </c>
      <c r="C20" s="11" t="s">
        <v>147</v>
      </c>
      <c r="D20" s="11" t="s">
        <v>143</v>
      </c>
      <c r="E20" s="15">
        <v>9149655812</v>
      </c>
      <c r="F20" s="19" t="s">
        <v>136</v>
      </c>
      <c r="G20" s="11" t="s">
        <v>137</v>
      </c>
      <c r="H20" s="15" t="s">
        <v>138</v>
      </c>
      <c r="I20" s="30">
        <v>45984</v>
      </c>
      <c r="J20" s="11" t="s">
        <v>148</v>
      </c>
      <c r="K20" s="11" t="s">
        <v>144</v>
      </c>
      <c r="L20" s="11">
        <f t="shared" ca="1" si="1"/>
        <v>2</v>
      </c>
      <c r="M20" s="12">
        <v>45986</v>
      </c>
      <c r="N20" s="11" t="s">
        <v>52</v>
      </c>
      <c r="O20" s="11" t="s">
        <v>33</v>
      </c>
      <c r="P20" s="11" t="s">
        <v>149</v>
      </c>
      <c r="Q20" s="11" t="s">
        <v>43</v>
      </c>
      <c r="R20" s="11" t="s">
        <v>150</v>
      </c>
      <c r="S20" s="26"/>
      <c r="T20" s="26"/>
      <c r="U20" s="29"/>
    </row>
    <row r="21" spans="1:21" ht="15.5" hidden="1" x14ac:dyDescent="0.35">
      <c r="A21" s="26"/>
      <c r="B21" s="31" t="s">
        <v>155</v>
      </c>
      <c r="C21" s="31" t="s">
        <v>156</v>
      </c>
      <c r="D21" s="31" t="s">
        <v>157</v>
      </c>
      <c r="E21" s="31">
        <v>8081928999</v>
      </c>
      <c r="F21" s="31" t="s">
        <v>158</v>
      </c>
      <c r="G21" s="31" t="s">
        <v>159</v>
      </c>
      <c r="H21" s="31" t="s">
        <v>160</v>
      </c>
      <c r="I21" s="32">
        <v>45987</v>
      </c>
      <c r="J21" s="31" t="s">
        <v>161</v>
      </c>
      <c r="K21" s="31" t="s">
        <v>90</v>
      </c>
      <c r="L21" s="11">
        <f t="shared" ca="1" si="1"/>
        <v>1</v>
      </c>
      <c r="M21" s="32">
        <v>45988</v>
      </c>
      <c r="N21" s="31" t="s">
        <v>52</v>
      </c>
      <c r="O21" s="31" t="s">
        <v>33</v>
      </c>
      <c r="P21" s="31" t="s">
        <v>49</v>
      </c>
      <c r="Q21" s="31" t="s">
        <v>43</v>
      </c>
      <c r="R21" s="31" t="s">
        <v>163</v>
      </c>
      <c r="S21" s="26"/>
      <c r="T21" s="26"/>
      <c r="U21" s="33"/>
    </row>
    <row r="22" spans="1:21" ht="15.5" hidden="1" x14ac:dyDescent="0.35">
      <c r="A22" s="26"/>
      <c r="B22" s="11" t="s">
        <v>164</v>
      </c>
      <c r="C22" s="11" t="s">
        <v>165</v>
      </c>
      <c r="D22" s="11" t="s">
        <v>166</v>
      </c>
      <c r="E22" s="11">
        <v>6307062797</v>
      </c>
      <c r="F22" s="11" t="s">
        <v>171</v>
      </c>
      <c r="G22" s="11" t="s">
        <v>137</v>
      </c>
      <c r="H22" s="11" t="s">
        <v>167</v>
      </c>
      <c r="I22" s="12">
        <v>45988</v>
      </c>
      <c r="J22" s="11" t="s">
        <v>168</v>
      </c>
      <c r="K22" s="11" t="s">
        <v>90</v>
      </c>
      <c r="L22" s="11">
        <f t="shared" ca="1" si="1"/>
        <v>0</v>
      </c>
      <c r="M22" s="12">
        <v>45988</v>
      </c>
      <c r="N22" s="31" t="s">
        <v>52</v>
      </c>
      <c r="O22" s="31" t="s">
        <v>33</v>
      </c>
      <c r="P22" s="11" t="s">
        <v>140</v>
      </c>
      <c r="Q22" s="11" t="s">
        <v>43</v>
      </c>
      <c r="R22" s="11" t="s">
        <v>169</v>
      </c>
      <c r="S22" s="26"/>
      <c r="T22" s="26"/>
      <c r="U22" s="33"/>
    </row>
    <row r="23" spans="1:21" x14ac:dyDescent="0.35">
      <c r="A23" s="34"/>
      <c r="B23" s="34"/>
      <c r="C23" s="34"/>
      <c r="D23" s="34"/>
      <c r="E23" s="34"/>
      <c r="F23" s="34"/>
      <c r="G23" s="34"/>
      <c r="H23" s="34"/>
      <c r="I23" s="34"/>
      <c r="J23" s="34"/>
      <c r="K23" s="34"/>
      <c r="L23" s="34"/>
      <c r="M23" s="34"/>
      <c r="N23" s="34"/>
      <c r="O23" s="34"/>
      <c r="P23" s="34"/>
      <c r="Q23" s="34"/>
      <c r="R23" s="34"/>
      <c r="S23" s="34"/>
      <c r="T23" s="34"/>
    </row>
    <row r="24" spans="1:21" x14ac:dyDescent="0.35">
      <c r="A24" s="34"/>
      <c r="B24" s="34"/>
      <c r="C24" s="34"/>
      <c r="D24" s="34"/>
      <c r="E24" s="34"/>
      <c r="F24" s="34"/>
      <c r="G24" s="34"/>
      <c r="H24" s="34"/>
      <c r="I24" s="34"/>
      <c r="J24" s="34"/>
      <c r="K24" s="34"/>
      <c r="L24" s="34"/>
      <c r="M24" s="34"/>
      <c r="N24" s="34"/>
      <c r="O24" s="34"/>
      <c r="P24" s="34"/>
      <c r="Q24" s="34"/>
      <c r="R24" s="34"/>
      <c r="S24" s="34"/>
      <c r="T24" s="34"/>
    </row>
    <row r="25" spans="1:21" x14ac:dyDescent="0.35">
      <c r="A25" s="34"/>
      <c r="B25" s="34"/>
      <c r="C25" s="34"/>
      <c r="D25" s="34"/>
      <c r="E25" s="34"/>
      <c r="F25" s="34"/>
      <c r="G25" s="34"/>
      <c r="H25" s="34"/>
      <c r="I25" s="34"/>
      <c r="J25" s="34"/>
      <c r="K25" s="34"/>
      <c r="L25" s="34"/>
      <c r="M25" s="34"/>
      <c r="N25" s="34"/>
      <c r="O25" s="34"/>
      <c r="P25" s="34"/>
      <c r="Q25" s="34"/>
      <c r="R25" s="34"/>
      <c r="S25" s="34"/>
      <c r="T25" s="34"/>
    </row>
    <row r="26" spans="1:21" x14ac:dyDescent="0.35">
      <c r="A26" s="34"/>
      <c r="B26" s="34"/>
      <c r="C26" s="34"/>
      <c r="D26" s="34"/>
      <c r="E26" s="34"/>
      <c r="F26" s="34"/>
      <c r="G26" s="34"/>
      <c r="H26" s="34"/>
      <c r="I26" s="34"/>
      <c r="J26" s="34"/>
      <c r="K26" s="34"/>
      <c r="L26" s="34"/>
      <c r="M26" s="34"/>
      <c r="N26" s="34"/>
      <c r="O26" s="34"/>
      <c r="P26" s="34"/>
      <c r="Q26" s="34"/>
      <c r="R26" s="34"/>
      <c r="S26" s="34"/>
      <c r="T26" s="34"/>
    </row>
    <row r="27" spans="1:21" x14ac:dyDescent="0.35">
      <c r="A27" s="34"/>
      <c r="B27" s="34"/>
      <c r="C27" s="34"/>
      <c r="D27" s="34"/>
      <c r="E27" s="34"/>
      <c r="F27" s="34"/>
      <c r="G27" s="34"/>
      <c r="H27" s="34"/>
      <c r="I27" s="34"/>
      <c r="J27" s="34"/>
      <c r="K27" s="34"/>
      <c r="L27" s="34"/>
      <c r="M27" s="34"/>
      <c r="N27" s="34"/>
      <c r="O27" s="34"/>
      <c r="P27" s="34"/>
      <c r="Q27" s="34"/>
      <c r="R27" s="34"/>
      <c r="S27" s="34"/>
      <c r="T27" s="34"/>
    </row>
    <row r="28" spans="1:21" x14ac:dyDescent="0.35">
      <c r="A28" s="34"/>
      <c r="B28" s="34"/>
      <c r="C28" s="34"/>
      <c r="D28" s="34"/>
      <c r="E28" s="34"/>
      <c r="F28" s="34"/>
      <c r="G28" s="34"/>
      <c r="H28" s="34"/>
      <c r="I28" s="34"/>
      <c r="J28" s="34"/>
      <c r="K28" s="34"/>
      <c r="L28" s="34"/>
      <c r="M28" s="34"/>
      <c r="N28" s="34"/>
      <c r="O28" s="34"/>
      <c r="P28" s="34"/>
      <c r="Q28" s="34"/>
      <c r="R28" s="34"/>
      <c r="S28" s="34"/>
      <c r="T28" s="34"/>
    </row>
    <row r="29" spans="1:21" x14ac:dyDescent="0.35">
      <c r="A29" s="34"/>
      <c r="B29" s="34"/>
      <c r="C29" s="34"/>
      <c r="D29" s="34"/>
      <c r="E29" s="34"/>
      <c r="F29" s="34"/>
      <c r="G29" s="34"/>
      <c r="H29" s="34"/>
      <c r="I29" s="34"/>
      <c r="J29" s="34"/>
      <c r="K29" s="34"/>
      <c r="L29" s="34"/>
      <c r="M29" s="34"/>
      <c r="N29" s="34"/>
      <c r="O29" s="34"/>
      <c r="P29" s="34"/>
      <c r="Q29" s="34"/>
      <c r="R29" s="34"/>
      <c r="S29" s="34"/>
      <c r="T29" s="34"/>
    </row>
    <row r="30" spans="1:21" x14ac:dyDescent="0.35">
      <c r="A30" s="34"/>
      <c r="B30" s="34"/>
      <c r="C30" s="34"/>
      <c r="D30" s="34"/>
      <c r="E30" s="34"/>
      <c r="F30" s="34"/>
      <c r="G30" s="34"/>
      <c r="H30" s="34"/>
      <c r="I30" s="34"/>
      <c r="J30" s="34"/>
      <c r="K30" s="34"/>
      <c r="L30" s="34"/>
      <c r="M30" s="34"/>
      <c r="N30" s="34"/>
      <c r="O30" s="34"/>
      <c r="P30" s="34"/>
      <c r="Q30" s="34"/>
      <c r="R30" s="34"/>
      <c r="S30" s="34"/>
      <c r="T30" s="34"/>
    </row>
    <row r="31" spans="1:21" x14ac:dyDescent="0.35">
      <c r="A31" s="34"/>
      <c r="B31" s="34"/>
      <c r="C31" s="34"/>
      <c r="D31" s="34"/>
      <c r="E31" s="34"/>
      <c r="F31" s="34"/>
      <c r="G31" s="34"/>
      <c r="H31" s="34"/>
      <c r="I31" s="34"/>
      <c r="J31" s="34"/>
      <c r="K31" s="34"/>
      <c r="L31" s="34"/>
      <c r="M31" s="34"/>
      <c r="N31" s="34"/>
      <c r="O31" s="34"/>
      <c r="P31" s="34"/>
      <c r="Q31" s="34"/>
      <c r="R31" s="34"/>
      <c r="S31" s="34"/>
      <c r="T31" s="34"/>
    </row>
  </sheetData>
  <autoFilter ref="A1:U22" xr:uid="{A386A833-AD1E-4B60-AA8A-F8C3FD97F328}">
    <filterColumn colId="13">
      <filters>
        <filter val="Open"/>
      </filters>
    </filterColumn>
  </autoFilter>
  <pageMargins left="1" right="1"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38DCB-98A9-4C9A-A4B8-93B86FFA1BA3}">
  <dimension ref="C2:D8"/>
  <sheetViews>
    <sheetView workbookViewId="0">
      <selection activeCell="D2" sqref="D2"/>
    </sheetView>
  </sheetViews>
  <sheetFormatPr defaultRowHeight="14.5" x14ac:dyDescent="0.35"/>
  <cols>
    <col min="3" max="3" width="19.81640625" customWidth="1"/>
    <col min="4" max="4" width="23.1796875" bestFit="1" customWidth="1"/>
  </cols>
  <sheetData>
    <row r="2" spans="3:4" x14ac:dyDescent="0.35">
      <c r="C2" s="4" t="s">
        <v>19</v>
      </c>
      <c r="D2" s="5" t="s">
        <v>26</v>
      </c>
    </row>
    <row r="3" spans="3:4" x14ac:dyDescent="0.35">
      <c r="C3" s="2" t="s">
        <v>20</v>
      </c>
      <c r="D3" s="2" t="s">
        <v>27</v>
      </c>
    </row>
    <row r="4" spans="3:4" x14ac:dyDescent="0.35">
      <c r="C4" s="3" t="s">
        <v>21</v>
      </c>
      <c r="D4" s="2" t="s">
        <v>27</v>
      </c>
    </row>
    <row r="5" spans="3:4" x14ac:dyDescent="0.35">
      <c r="C5" s="3" t="s">
        <v>22</v>
      </c>
      <c r="D5" s="1" t="s">
        <v>28</v>
      </c>
    </row>
    <row r="6" spans="3:4" x14ac:dyDescent="0.35">
      <c r="C6" s="3" t="s">
        <v>23</v>
      </c>
      <c r="D6" s="1" t="s">
        <v>29</v>
      </c>
    </row>
    <row r="7" spans="3:4" x14ac:dyDescent="0.35">
      <c r="C7" s="3" t="s">
        <v>24</v>
      </c>
      <c r="D7" s="1" t="s">
        <v>30</v>
      </c>
    </row>
    <row r="8" spans="3:4" x14ac:dyDescent="0.35">
      <c r="C8" s="3" t="s">
        <v>25</v>
      </c>
      <c r="D8"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service Tracker</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2025-12-02T10:48:04Z</dcterms:modified>
</cp:coreProperties>
</file>
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ffice Template\Finance\Workshop related\Reporting\"/>
    </mc:Choice>
  </mc:AlternateContent>
  <xr:revisionPtr revIDLastSave="0" documentId="13_ncr:1_{27271D60-0D98-47FE-BAEE-2CEF916CCCFB}" xr6:coauthVersionLast="47" xr6:coauthVersionMax="47" xr10:uidLastSave="{00000000-0000-0000-0000-000000000000}"/>
  <bookViews>
    <workbookView xWindow="-110" yWindow="-110" windowWidth="19420" windowHeight="11500" activeTab="1" xr2:uid="{E9BF545C-29D0-4064-B3BA-CD9BFC77AB62}"/>
  </bookViews>
  <sheets>
    <sheet name="Instructions" sheetId="6" r:id="rId1"/>
    <sheet name="Data Report sheet" sheetId="1" r:id="rId2"/>
    <sheet name="Claim Summary" sheetId="7" r:id="rId3"/>
    <sheet name="PDI report" sheetId="2" r:id="rId4"/>
    <sheet name="FSC report" sheetId="3" r:id="rId5"/>
    <sheet name="Warranty report" sheetId="4" r:id="rId6"/>
    <sheet name="Report" sheetId="5" r:id="rId7"/>
  </sheets>
  <definedNames>
    <definedName name="_xlnm._FilterDatabase" localSheetId="1" hidden="1">'Data Report sheet'!$A$1:$N$697</definedName>
    <definedName name="_xlnm._FilterDatabase" localSheetId="4" hidden="1">'FSC report'!$A$1:$AI$1910</definedName>
    <definedName name="_xlnm._FilterDatabase" localSheetId="3" hidden="1">'PDI report'!$A$1:$AD$213</definedName>
    <definedName name="_xlnm._FilterDatabase" localSheetId="5" hidden="1">'Warranty report'!$A$1:$AI$610</definedName>
  </definedNames>
  <calcPr calcId="191029"/>
  <pivotCaches>
    <pivotCache cacheId="138" r:id="rId8"/>
    <pivotCache cacheId="143" r:id="rId9"/>
    <pivotCache cacheId="148" r:id="rId10"/>
    <pivotCache cacheId="153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7" l="1"/>
  <c r="F8" i="7"/>
  <c r="F9" i="7"/>
  <c r="F10" i="7"/>
  <c r="F11" i="7"/>
  <c r="F12" i="7"/>
  <c r="F13" i="7"/>
  <c r="F14" i="7"/>
  <c r="F15" i="7"/>
  <c r="F16" i="7"/>
  <c r="F6" i="7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L2627" i="1" l="1"/>
  <c r="K2627" i="1"/>
  <c r="L2626" i="1"/>
  <c r="K2626" i="1"/>
  <c r="L2625" i="1"/>
  <c r="K2625" i="1"/>
  <c r="L2624" i="1"/>
  <c r="K2624" i="1"/>
  <c r="L2623" i="1"/>
  <c r="K2623" i="1"/>
  <c r="L2622" i="1"/>
  <c r="K2622" i="1"/>
  <c r="L2621" i="1"/>
  <c r="K2621" i="1"/>
  <c r="L2620" i="1"/>
  <c r="K2620" i="1"/>
  <c r="L2619" i="1"/>
  <c r="K2619" i="1"/>
  <c r="L2618" i="1"/>
  <c r="K2618" i="1"/>
  <c r="L2617" i="1"/>
  <c r="K2617" i="1"/>
  <c r="L2616" i="1"/>
  <c r="K2616" i="1"/>
  <c r="L2615" i="1"/>
  <c r="K2615" i="1"/>
  <c r="L2614" i="1"/>
  <c r="K2614" i="1"/>
  <c r="L2613" i="1"/>
  <c r="K2613" i="1"/>
  <c r="L2612" i="1"/>
  <c r="K2612" i="1"/>
  <c r="L2611" i="1"/>
  <c r="K2611" i="1"/>
  <c r="L2610" i="1"/>
  <c r="K2610" i="1"/>
  <c r="L2609" i="1"/>
  <c r="K2609" i="1"/>
  <c r="L2608" i="1"/>
  <c r="K2608" i="1"/>
  <c r="L2607" i="1"/>
  <c r="K2607" i="1"/>
  <c r="L2606" i="1"/>
  <c r="K2606" i="1"/>
  <c r="L2605" i="1"/>
  <c r="K2605" i="1"/>
  <c r="L2604" i="1"/>
  <c r="K2604" i="1"/>
  <c r="L2603" i="1"/>
  <c r="K2603" i="1"/>
  <c r="L2602" i="1"/>
  <c r="K2602" i="1"/>
  <c r="L2601" i="1"/>
  <c r="K2601" i="1"/>
  <c r="L2600" i="1"/>
  <c r="K2600" i="1"/>
  <c r="L2599" i="1"/>
  <c r="K2599" i="1"/>
  <c r="L2598" i="1"/>
  <c r="K2598" i="1"/>
  <c r="L2597" i="1"/>
  <c r="K2597" i="1"/>
  <c r="L2596" i="1"/>
  <c r="K2596" i="1"/>
  <c r="L2595" i="1"/>
  <c r="K2595" i="1"/>
  <c r="L2594" i="1"/>
  <c r="K2594" i="1"/>
  <c r="L2593" i="1"/>
  <c r="K2593" i="1"/>
  <c r="L2592" i="1"/>
  <c r="K2592" i="1"/>
  <c r="L2591" i="1"/>
  <c r="K2591" i="1"/>
  <c r="L2590" i="1"/>
  <c r="K2590" i="1"/>
  <c r="L2589" i="1"/>
  <c r="K2589" i="1"/>
  <c r="L2588" i="1"/>
  <c r="K2588" i="1"/>
  <c r="L2587" i="1"/>
  <c r="K2587" i="1"/>
  <c r="L2586" i="1"/>
  <c r="K2586" i="1"/>
  <c r="L2585" i="1"/>
  <c r="K2585" i="1"/>
  <c r="L2584" i="1"/>
  <c r="K2584" i="1"/>
  <c r="L2583" i="1"/>
  <c r="K2583" i="1"/>
  <c r="L2582" i="1"/>
  <c r="K2582" i="1"/>
  <c r="L2581" i="1"/>
  <c r="K2581" i="1"/>
  <c r="L2580" i="1"/>
  <c r="K2580" i="1"/>
  <c r="L2579" i="1"/>
  <c r="K2579" i="1"/>
  <c r="L2578" i="1"/>
  <c r="K2578" i="1"/>
  <c r="L2577" i="1"/>
  <c r="K2577" i="1"/>
  <c r="L2576" i="1"/>
  <c r="K2576" i="1"/>
  <c r="L2575" i="1"/>
  <c r="K2575" i="1"/>
  <c r="L2574" i="1"/>
  <c r="K2574" i="1"/>
  <c r="L2573" i="1"/>
  <c r="K2573" i="1"/>
  <c r="L2572" i="1"/>
  <c r="K2572" i="1"/>
  <c r="L2571" i="1"/>
  <c r="K2571" i="1"/>
  <c r="L2570" i="1"/>
  <c r="K2570" i="1"/>
  <c r="L2569" i="1"/>
  <c r="K2569" i="1"/>
  <c r="L2568" i="1"/>
  <c r="K2568" i="1"/>
  <c r="L2567" i="1"/>
  <c r="K2567" i="1"/>
  <c r="L2566" i="1"/>
  <c r="K2566" i="1"/>
  <c r="L2565" i="1"/>
  <c r="K2565" i="1"/>
  <c r="L2564" i="1"/>
  <c r="K2564" i="1"/>
  <c r="L2563" i="1"/>
  <c r="K2563" i="1"/>
  <c r="L2562" i="1"/>
  <c r="K2562" i="1"/>
  <c r="L2561" i="1"/>
  <c r="K2561" i="1"/>
  <c r="L2560" i="1"/>
  <c r="K2560" i="1"/>
  <c r="L2559" i="1"/>
  <c r="K2559" i="1"/>
  <c r="L2558" i="1"/>
  <c r="K2558" i="1"/>
  <c r="L2557" i="1"/>
  <c r="K2557" i="1"/>
  <c r="L2556" i="1"/>
  <c r="K2556" i="1"/>
  <c r="L2555" i="1"/>
  <c r="K2555" i="1"/>
  <c r="L2554" i="1"/>
  <c r="K2554" i="1"/>
  <c r="L2553" i="1"/>
  <c r="K2553" i="1"/>
  <c r="L2552" i="1"/>
  <c r="K2552" i="1"/>
  <c r="L2551" i="1"/>
  <c r="K2551" i="1"/>
  <c r="L2550" i="1"/>
  <c r="K2550" i="1"/>
  <c r="L2549" i="1"/>
  <c r="K2549" i="1"/>
  <c r="L2548" i="1"/>
  <c r="K2548" i="1"/>
  <c r="L2547" i="1"/>
  <c r="K2547" i="1"/>
  <c r="L2546" i="1"/>
  <c r="K2546" i="1"/>
  <c r="L2545" i="1"/>
  <c r="K2545" i="1"/>
  <c r="L2544" i="1"/>
  <c r="K2544" i="1"/>
  <c r="L2543" i="1"/>
  <c r="K2543" i="1"/>
  <c r="L2542" i="1"/>
  <c r="K2542" i="1"/>
  <c r="L2541" i="1"/>
  <c r="K2541" i="1"/>
  <c r="L2540" i="1"/>
  <c r="K2540" i="1"/>
  <c r="L2539" i="1"/>
  <c r="K2539" i="1"/>
  <c r="L2538" i="1"/>
  <c r="K2538" i="1"/>
  <c r="L2537" i="1"/>
  <c r="K2537" i="1"/>
  <c r="L2536" i="1"/>
  <c r="K2536" i="1"/>
  <c r="L2535" i="1"/>
  <c r="K2535" i="1"/>
  <c r="L2534" i="1"/>
  <c r="K2534" i="1"/>
  <c r="L2533" i="1"/>
  <c r="K2533" i="1"/>
  <c r="L2532" i="1"/>
  <c r="K2532" i="1"/>
  <c r="L2531" i="1"/>
  <c r="K2531" i="1"/>
  <c r="L2530" i="1"/>
  <c r="K2530" i="1"/>
  <c r="L2529" i="1"/>
  <c r="K2529" i="1"/>
  <c r="L2528" i="1"/>
  <c r="K2528" i="1"/>
  <c r="L2527" i="1"/>
  <c r="K2527" i="1"/>
  <c r="L2526" i="1"/>
  <c r="K2526" i="1"/>
  <c r="L2525" i="1"/>
  <c r="K2525" i="1"/>
  <c r="L2524" i="1"/>
  <c r="K2524" i="1"/>
  <c r="L2523" i="1"/>
  <c r="K2523" i="1"/>
  <c r="L2522" i="1"/>
  <c r="K2522" i="1"/>
  <c r="L2521" i="1"/>
  <c r="K2521" i="1"/>
  <c r="L2520" i="1"/>
  <c r="K2520" i="1"/>
  <c r="L2519" i="1"/>
  <c r="K2519" i="1"/>
  <c r="L2518" i="1"/>
  <c r="K2518" i="1"/>
  <c r="L2517" i="1"/>
  <c r="K2517" i="1"/>
  <c r="L2516" i="1"/>
  <c r="K2516" i="1"/>
  <c r="L2515" i="1"/>
  <c r="K2515" i="1"/>
  <c r="L2514" i="1"/>
  <c r="K2514" i="1"/>
  <c r="L2513" i="1"/>
  <c r="K2513" i="1"/>
  <c r="L2512" i="1"/>
  <c r="K2512" i="1"/>
  <c r="L2511" i="1"/>
  <c r="K2511" i="1"/>
  <c r="L2510" i="1"/>
  <c r="K2510" i="1"/>
  <c r="L2509" i="1"/>
  <c r="K2509" i="1"/>
  <c r="L2508" i="1"/>
  <c r="K2508" i="1"/>
  <c r="L2507" i="1"/>
  <c r="K2507" i="1"/>
  <c r="L2506" i="1"/>
  <c r="K2506" i="1"/>
  <c r="L2505" i="1"/>
  <c r="K2505" i="1"/>
  <c r="L2504" i="1"/>
  <c r="K2504" i="1"/>
  <c r="L2503" i="1"/>
  <c r="K2503" i="1"/>
  <c r="L2502" i="1"/>
  <c r="K2502" i="1"/>
  <c r="L2501" i="1"/>
  <c r="K2501" i="1"/>
  <c r="L2500" i="1"/>
  <c r="K2500" i="1"/>
  <c r="L2499" i="1"/>
  <c r="K2499" i="1"/>
  <c r="L2498" i="1"/>
  <c r="K2498" i="1"/>
  <c r="L2497" i="1"/>
  <c r="K2497" i="1"/>
  <c r="L2496" i="1"/>
  <c r="K2496" i="1"/>
  <c r="L2495" i="1"/>
  <c r="K2495" i="1"/>
  <c r="L2494" i="1"/>
  <c r="K2494" i="1"/>
  <c r="L2493" i="1"/>
  <c r="K2493" i="1"/>
  <c r="L2492" i="1"/>
  <c r="K2492" i="1"/>
  <c r="L2491" i="1"/>
  <c r="K2491" i="1"/>
  <c r="L2490" i="1"/>
  <c r="K2490" i="1"/>
  <c r="L2489" i="1"/>
  <c r="K2489" i="1"/>
  <c r="L2488" i="1"/>
  <c r="K2488" i="1"/>
  <c r="L2487" i="1"/>
  <c r="K2487" i="1"/>
  <c r="L2486" i="1"/>
  <c r="K2486" i="1"/>
  <c r="L2485" i="1"/>
  <c r="K2485" i="1"/>
  <c r="L2484" i="1"/>
  <c r="K2484" i="1"/>
  <c r="L2483" i="1"/>
  <c r="K2483" i="1"/>
  <c r="L2482" i="1"/>
  <c r="K2482" i="1"/>
  <c r="L2481" i="1"/>
  <c r="K2481" i="1"/>
  <c r="L2480" i="1"/>
  <c r="K2480" i="1"/>
  <c r="L2479" i="1"/>
  <c r="K2479" i="1"/>
  <c r="L2478" i="1"/>
  <c r="K2478" i="1"/>
  <c r="L2477" i="1"/>
  <c r="K2477" i="1"/>
  <c r="L2476" i="1"/>
  <c r="K2476" i="1"/>
  <c r="L2475" i="1"/>
  <c r="K2475" i="1"/>
  <c r="L2474" i="1"/>
  <c r="K2474" i="1"/>
  <c r="L2473" i="1"/>
  <c r="K2473" i="1"/>
  <c r="L2472" i="1"/>
  <c r="K2472" i="1"/>
  <c r="L2471" i="1"/>
  <c r="K2471" i="1"/>
  <c r="L2470" i="1"/>
  <c r="K2470" i="1"/>
  <c r="L2469" i="1"/>
  <c r="K2469" i="1"/>
  <c r="L2468" i="1"/>
  <c r="K2468" i="1"/>
  <c r="L2467" i="1"/>
  <c r="K2467" i="1"/>
  <c r="L2466" i="1"/>
  <c r="K2466" i="1"/>
  <c r="L2465" i="1"/>
  <c r="K2465" i="1"/>
  <c r="L2464" i="1"/>
  <c r="K2464" i="1"/>
  <c r="L2463" i="1"/>
  <c r="K2463" i="1"/>
  <c r="L2462" i="1"/>
  <c r="K2462" i="1"/>
  <c r="L2461" i="1"/>
  <c r="K2461" i="1"/>
  <c r="L2460" i="1"/>
  <c r="K2460" i="1"/>
  <c r="L2459" i="1"/>
  <c r="K2459" i="1"/>
  <c r="L2458" i="1"/>
  <c r="K2458" i="1"/>
  <c r="L2457" i="1"/>
  <c r="K2457" i="1"/>
  <c r="L2456" i="1"/>
  <c r="K2456" i="1"/>
  <c r="L2455" i="1"/>
  <c r="K2455" i="1"/>
  <c r="L2454" i="1"/>
  <c r="K2454" i="1"/>
  <c r="L2453" i="1"/>
  <c r="K2453" i="1"/>
  <c r="L2452" i="1"/>
  <c r="K2452" i="1"/>
  <c r="L2451" i="1"/>
  <c r="K2451" i="1"/>
  <c r="L2450" i="1"/>
  <c r="K2450" i="1"/>
  <c r="L2449" i="1"/>
  <c r="K2449" i="1"/>
  <c r="L2448" i="1"/>
  <c r="K2448" i="1"/>
  <c r="L2447" i="1"/>
  <c r="K2447" i="1"/>
  <c r="L2446" i="1"/>
  <c r="K2446" i="1"/>
  <c r="L2445" i="1"/>
  <c r="K2445" i="1"/>
  <c r="L2444" i="1"/>
  <c r="K2444" i="1"/>
  <c r="L2443" i="1"/>
  <c r="K2443" i="1"/>
  <c r="L2442" i="1"/>
  <c r="K2442" i="1"/>
  <c r="L2441" i="1"/>
  <c r="K2441" i="1"/>
  <c r="L2440" i="1"/>
  <c r="K2440" i="1"/>
  <c r="L2439" i="1"/>
  <c r="K2439" i="1"/>
  <c r="L2438" i="1"/>
  <c r="K2438" i="1"/>
  <c r="L2437" i="1"/>
  <c r="K2437" i="1"/>
  <c r="L2436" i="1"/>
  <c r="K2436" i="1"/>
  <c r="L2435" i="1"/>
  <c r="K2435" i="1"/>
  <c r="L2434" i="1"/>
  <c r="K2434" i="1"/>
  <c r="L2433" i="1"/>
  <c r="K2433" i="1"/>
  <c r="L2432" i="1"/>
  <c r="K2432" i="1"/>
  <c r="L2431" i="1"/>
  <c r="K2431" i="1"/>
  <c r="L2430" i="1"/>
  <c r="K2430" i="1"/>
  <c r="L2429" i="1"/>
  <c r="K2429" i="1"/>
  <c r="L2428" i="1"/>
  <c r="K2428" i="1"/>
  <c r="L2427" i="1"/>
  <c r="K2427" i="1"/>
  <c r="L2426" i="1"/>
  <c r="K2426" i="1"/>
  <c r="L2425" i="1"/>
  <c r="K2425" i="1"/>
  <c r="L2424" i="1"/>
  <c r="K2424" i="1"/>
  <c r="L2423" i="1"/>
  <c r="K2423" i="1"/>
  <c r="L2422" i="1"/>
  <c r="K2422" i="1"/>
  <c r="L2421" i="1"/>
  <c r="K2421" i="1"/>
  <c r="L2420" i="1"/>
  <c r="K2420" i="1"/>
  <c r="L2419" i="1"/>
  <c r="K2419" i="1"/>
  <c r="L2418" i="1"/>
  <c r="K2418" i="1"/>
  <c r="L2417" i="1"/>
  <c r="K2417" i="1"/>
  <c r="L2416" i="1"/>
  <c r="K2416" i="1"/>
  <c r="L2415" i="1"/>
  <c r="K2415" i="1"/>
  <c r="L2414" i="1"/>
  <c r="K2414" i="1"/>
  <c r="L2413" i="1"/>
  <c r="K2413" i="1"/>
  <c r="L2412" i="1"/>
  <c r="K2412" i="1"/>
  <c r="L2411" i="1"/>
  <c r="K2411" i="1"/>
  <c r="L2410" i="1"/>
  <c r="K2410" i="1"/>
  <c r="L2409" i="1"/>
  <c r="K2409" i="1"/>
  <c r="L2408" i="1"/>
  <c r="K2408" i="1"/>
  <c r="L2407" i="1"/>
  <c r="K2407" i="1"/>
  <c r="L2406" i="1"/>
  <c r="K2406" i="1"/>
  <c r="L2405" i="1"/>
  <c r="K2405" i="1"/>
  <c r="L2404" i="1"/>
  <c r="K2404" i="1"/>
  <c r="L2403" i="1"/>
  <c r="K2403" i="1"/>
  <c r="L2402" i="1"/>
  <c r="K2402" i="1"/>
  <c r="L2401" i="1"/>
  <c r="K2401" i="1"/>
  <c r="L2400" i="1"/>
  <c r="K2400" i="1"/>
  <c r="L2399" i="1"/>
  <c r="K2399" i="1"/>
  <c r="L2398" i="1"/>
  <c r="K2398" i="1"/>
  <c r="L2397" i="1"/>
  <c r="K2397" i="1"/>
  <c r="L2396" i="1"/>
  <c r="K2396" i="1"/>
  <c r="L2395" i="1"/>
  <c r="K2395" i="1"/>
  <c r="L2394" i="1"/>
  <c r="K2394" i="1"/>
  <c r="L2393" i="1"/>
  <c r="K2393" i="1"/>
  <c r="L2392" i="1"/>
  <c r="K2392" i="1"/>
  <c r="L2391" i="1"/>
  <c r="K2391" i="1"/>
  <c r="L2390" i="1"/>
  <c r="K2390" i="1"/>
  <c r="L2389" i="1"/>
  <c r="K2389" i="1"/>
  <c r="L2388" i="1"/>
  <c r="K2388" i="1"/>
  <c r="L2387" i="1"/>
  <c r="K2387" i="1"/>
  <c r="L2386" i="1"/>
  <c r="K2386" i="1"/>
  <c r="L2385" i="1"/>
  <c r="K2385" i="1"/>
  <c r="L2384" i="1"/>
  <c r="K2384" i="1"/>
  <c r="L2383" i="1"/>
  <c r="K2383" i="1"/>
  <c r="L2382" i="1"/>
  <c r="K2382" i="1"/>
  <c r="L2381" i="1"/>
  <c r="K2381" i="1"/>
  <c r="L2380" i="1"/>
  <c r="K2380" i="1"/>
  <c r="L2379" i="1"/>
  <c r="K2379" i="1"/>
  <c r="L2378" i="1"/>
  <c r="K2378" i="1"/>
  <c r="L2377" i="1"/>
  <c r="K2377" i="1"/>
  <c r="L2376" i="1"/>
  <c r="K2376" i="1"/>
  <c r="L2375" i="1"/>
  <c r="K2375" i="1"/>
  <c r="L2374" i="1"/>
  <c r="K2374" i="1"/>
  <c r="L2373" i="1"/>
  <c r="K2373" i="1"/>
  <c r="L2372" i="1"/>
  <c r="K2372" i="1"/>
  <c r="L2371" i="1"/>
  <c r="K2371" i="1"/>
  <c r="L2370" i="1"/>
  <c r="K2370" i="1"/>
  <c r="L2369" i="1"/>
  <c r="K2369" i="1"/>
  <c r="L2368" i="1"/>
  <c r="K2368" i="1"/>
  <c r="L2367" i="1"/>
  <c r="K2367" i="1"/>
  <c r="L2366" i="1"/>
  <c r="K2366" i="1"/>
  <c r="L2365" i="1"/>
  <c r="K2365" i="1"/>
  <c r="L2364" i="1"/>
  <c r="K2364" i="1"/>
  <c r="L2363" i="1"/>
  <c r="K2363" i="1"/>
  <c r="L2362" i="1"/>
  <c r="K2362" i="1"/>
  <c r="L2361" i="1"/>
  <c r="K2361" i="1"/>
  <c r="L2360" i="1"/>
  <c r="K2360" i="1"/>
  <c r="L2359" i="1"/>
  <c r="K2359" i="1"/>
  <c r="L2358" i="1"/>
  <c r="K2358" i="1"/>
  <c r="L2357" i="1"/>
  <c r="K2357" i="1"/>
  <c r="L2356" i="1"/>
  <c r="K2356" i="1"/>
  <c r="L2355" i="1"/>
  <c r="K2355" i="1"/>
  <c r="L2354" i="1"/>
  <c r="K2354" i="1"/>
  <c r="L2353" i="1"/>
  <c r="K2353" i="1"/>
  <c r="L2352" i="1"/>
  <c r="K2352" i="1"/>
  <c r="L2351" i="1"/>
  <c r="K2351" i="1"/>
  <c r="L2350" i="1"/>
  <c r="K2350" i="1"/>
  <c r="L2349" i="1"/>
  <c r="K2349" i="1"/>
  <c r="L2348" i="1"/>
  <c r="K2348" i="1"/>
  <c r="L2347" i="1"/>
  <c r="K2347" i="1"/>
  <c r="L2346" i="1"/>
  <c r="K2346" i="1"/>
  <c r="L2345" i="1"/>
  <c r="K2345" i="1"/>
  <c r="L2344" i="1"/>
  <c r="K2344" i="1"/>
  <c r="L2343" i="1"/>
  <c r="K2343" i="1"/>
  <c r="L2342" i="1"/>
  <c r="K2342" i="1"/>
  <c r="L2341" i="1"/>
  <c r="K2341" i="1"/>
  <c r="L2340" i="1"/>
  <c r="K2340" i="1"/>
  <c r="L2339" i="1"/>
  <c r="K2339" i="1"/>
  <c r="L2338" i="1"/>
  <c r="K2338" i="1"/>
  <c r="L2337" i="1"/>
  <c r="K2337" i="1"/>
  <c r="L2336" i="1"/>
  <c r="K2336" i="1"/>
  <c r="L2335" i="1"/>
  <c r="K2335" i="1"/>
  <c r="L2334" i="1"/>
  <c r="K2334" i="1"/>
  <c r="L2333" i="1"/>
  <c r="K2333" i="1"/>
  <c r="L2332" i="1"/>
  <c r="K2332" i="1"/>
  <c r="L2331" i="1"/>
  <c r="K2331" i="1"/>
  <c r="L2330" i="1"/>
  <c r="K2330" i="1"/>
  <c r="L2329" i="1"/>
  <c r="K2329" i="1"/>
  <c r="L2328" i="1"/>
  <c r="K2328" i="1"/>
  <c r="L2327" i="1"/>
  <c r="K2327" i="1"/>
  <c r="L2326" i="1"/>
  <c r="K2326" i="1"/>
  <c r="L2325" i="1"/>
  <c r="K2325" i="1"/>
  <c r="L2324" i="1"/>
  <c r="K2324" i="1"/>
  <c r="L2323" i="1"/>
  <c r="K2323" i="1"/>
  <c r="L2322" i="1"/>
  <c r="K2322" i="1"/>
  <c r="L2321" i="1"/>
  <c r="K2321" i="1"/>
  <c r="L2320" i="1"/>
  <c r="K2320" i="1"/>
  <c r="L2319" i="1"/>
  <c r="K2319" i="1"/>
  <c r="L2318" i="1"/>
  <c r="K2318" i="1"/>
  <c r="L2317" i="1"/>
  <c r="K2317" i="1"/>
  <c r="L2316" i="1"/>
  <c r="K2316" i="1"/>
  <c r="L2315" i="1"/>
  <c r="K2315" i="1"/>
  <c r="L2314" i="1"/>
  <c r="K2314" i="1"/>
  <c r="L2313" i="1"/>
  <c r="K2313" i="1"/>
  <c r="L2312" i="1"/>
  <c r="K2312" i="1"/>
  <c r="L2311" i="1"/>
  <c r="K2311" i="1"/>
  <c r="L2310" i="1"/>
  <c r="K2310" i="1"/>
  <c r="L2309" i="1"/>
  <c r="K2309" i="1"/>
  <c r="L2308" i="1"/>
  <c r="K2308" i="1"/>
  <c r="L2307" i="1"/>
  <c r="K2307" i="1"/>
  <c r="L2306" i="1"/>
  <c r="K2306" i="1"/>
  <c r="L2305" i="1"/>
  <c r="K2305" i="1"/>
  <c r="L2304" i="1"/>
  <c r="K2304" i="1"/>
  <c r="L2303" i="1"/>
  <c r="K2303" i="1"/>
  <c r="L2302" i="1"/>
  <c r="K2302" i="1"/>
  <c r="L2301" i="1"/>
  <c r="K2301" i="1"/>
  <c r="L2300" i="1"/>
  <c r="K2300" i="1"/>
  <c r="L2299" i="1"/>
  <c r="K2299" i="1"/>
  <c r="L2298" i="1"/>
  <c r="K2298" i="1"/>
  <c r="L2297" i="1"/>
  <c r="K2297" i="1"/>
  <c r="L2296" i="1"/>
  <c r="K2296" i="1"/>
  <c r="L2295" i="1"/>
  <c r="K2295" i="1"/>
  <c r="L2294" i="1"/>
  <c r="K2294" i="1"/>
  <c r="L2293" i="1"/>
  <c r="K2293" i="1"/>
  <c r="L2292" i="1"/>
  <c r="K2292" i="1"/>
  <c r="L2291" i="1"/>
  <c r="K2291" i="1"/>
  <c r="L2290" i="1"/>
  <c r="K2290" i="1"/>
  <c r="L2289" i="1"/>
  <c r="K2289" i="1"/>
  <c r="L2288" i="1"/>
  <c r="K2288" i="1"/>
  <c r="L2287" i="1"/>
  <c r="K2287" i="1"/>
  <c r="L2286" i="1"/>
  <c r="K2286" i="1"/>
  <c r="L2285" i="1"/>
  <c r="K2285" i="1"/>
  <c r="L2284" i="1"/>
  <c r="K2284" i="1"/>
  <c r="L2283" i="1"/>
  <c r="K2283" i="1"/>
  <c r="L2282" i="1"/>
  <c r="K2282" i="1"/>
  <c r="L2281" i="1"/>
  <c r="K2281" i="1"/>
  <c r="L2280" i="1"/>
  <c r="K2280" i="1"/>
  <c r="L2279" i="1"/>
  <c r="K2279" i="1"/>
  <c r="L2278" i="1"/>
  <c r="K2278" i="1"/>
  <c r="L2277" i="1"/>
  <c r="K2277" i="1"/>
  <c r="L2276" i="1"/>
  <c r="K2276" i="1"/>
  <c r="L2275" i="1"/>
  <c r="K2275" i="1"/>
  <c r="L2274" i="1"/>
  <c r="K2274" i="1"/>
  <c r="L2273" i="1"/>
  <c r="K2273" i="1"/>
  <c r="L2272" i="1"/>
  <c r="K2272" i="1"/>
  <c r="L2271" i="1"/>
  <c r="K2271" i="1"/>
  <c r="L2270" i="1"/>
  <c r="K2270" i="1"/>
  <c r="L2269" i="1"/>
  <c r="K2269" i="1"/>
  <c r="L2268" i="1"/>
  <c r="K2268" i="1"/>
  <c r="L2267" i="1"/>
  <c r="K2267" i="1"/>
  <c r="L2266" i="1"/>
  <c r="K2266" i="1"/>
  <c r="L2265" i="1"/>
  <c r="K2265" i="1"/>
  <c r="L2264" i="1"/>
  <c r="K2264" i="1"/>
  <c r="L2263" i="1"/>
  <c r="K2263" i="1"/>
  <c r="L2262" i="1"/>
  <c r="K2262" i="1"/>
  <c r="L2261" i="1"/>
  <c r="K2261" i="1"/>
  <c r="L2260" i="1"/>
  <c r="K2260" i="1"/>
  <c r="L2259" i="1"/>
  <c r="K2259" i="1"/>
  <c r="L2258" i="1"/>
  <c r="K2258" i="1"/>
  <c r="L2257" i="1"/>
  <c r="K2257" i="1"/>
  <c r="L2256" i="1"/>
  <c r="K2256" i="1"/>
  <c r="L2255" i="1"/>
  <c r="K2255" i="1"/>
  <c r="L2254" i="1"/>
  <c r="K2254" i="1"/>
  <c r="L2253" i="1"/>
  <c r="K2253" i="1"/>
  <c r="L2252" i="1"/>
  <c r="K2252" i="1"/>
  <c r="L2251" i="1"/>
  <c r="K2251" i="1"/>
  <c r="L2250" i="1"/>
  <c r="K2250" i="1"/>
  <c r="L2249" i="1"/>
  <c r="K2249" i="1"/>
  <c r="L2248" i="1"/>
  <c r="K2248" i="1"/>
  <c r="L2247" i="1"/>
  <c r="K2247" i="1"/>
  <c r="L2246" i="1"/>
  <c r="K2246" i="1"/>
  <c r="L2245" i="1"/>
  <c r="K2245" i="1"/>
  <c r="L2244" i="1"/>
  <c r="K2244" i="1"/>
  <c r="L2243" i="1"/>
  <c r="K2243" i="1"/>
  <c r="L2242" i="1"/>
  <c r="K2242" i="1"/>
  <c r="L2241" i="1"/>
  <c r="K2241" i="1"/>
  <c r="L2240" i="1"/>
  <c r="K2240" i="1"/>
  <c r="L2239" i="1"/>
  <c r="K2239" i="1"/>
  <c r="L2238" i="1"/>
  <c r="K2238" i="1"/>
  <c r="L2237" i="1"/>
  <c r="K2237" i="1"/>
  <c r="L2236" i="1"/>
  <c r="K2236" i="1"/>
  <c r="L2235" i="1"/>
  <c r="K2235" i="1"/>
  <c r="L2234" i="1"/>
  <c r="K2234" i="1"/>
  <c r="L2233" i="1"/>
  <c r="K2233" i="1"/>
  <c r="L2232" i="1"/>
  <c r="K2232" i="1"/>
  <c r="L2231" i="1"/>
  <c r="K2231" i="1"/>
  <c r="L2230" i="1"/>
  <c r="K2230" i="1"/>
  <c r="L2229" i="1"/>
  <c r="K2229" i="1"/>
  <c r="L2228" i="1"/>
  <c r="K2228" i="1"/>
  <c r="L2227" i="1"/>
  <c r="K2227" i="1"/>
  <c r="L2226" i="1"/>
  <c r="K2226" i="1"/>
  <c r="L2225" i="1"/>
  <c r="K2225" i="1"/>
  <c r="L2224" i="1"/>
  <c r="K2224" i="1"/>
  <c r="L2223" i="1"/>
  <c r="K2223" i="1"/>
  <c r="L2222" i="1"/>
  <c r="K2222" i="1"/>
  <c r="L2221" i="1"/>
  <c r="K2221" i="1"/>
  <c r="L2220" i="1"/>
  <c r="K2220" i="1"/>
  <c r="L2219" i="1"/>
  <c r="K2219" i="1"/>
  <c r="L2218" i="1"/>
  <c r="K2218" i="1"/>
  <c r="L2217" i="1"/>
  <c r="K2217" i="1"/>
  <c r="L2216" i="1"/>
  <c r="K2216" i="1"/>
  <c r="L2215" i="1"/>
  <c r="K2215" i="1"/>
  <c r="L2214" i="1"/>
  <c r="K2214" i="1"/>
  <c r="L2213" i="1"/>
  <c r="K2213" i="1"/>
  <c r="L2212" i="1"/>
  <c r="K2212" i="1"/>
  <c r="L2211" i="1"/>
  <c r="K2211" i="1"/>
  <c r="L2210" i="1"/>
  <c r="K2210" i="1"/>
  <c r="L2209" i="1"/>
  <c r="K2209" i="1"/>
  <c r="L2208" i="1"/>
  <c r="K2208" i="1"/>
  <c r="L2207" i="1"/>
  <c r="K2207" i="1"/>
  <c r="L2206" i="1"/>
  <c r="K2206" i="1"/>
  <c r="L2205" i="1"/>
  <c r="K2205" i="1"/>
  <c r="L2204" i="1"/>
  <c r="K2204" i="1"/>
  <c r="L2203" i="1"/>
  <c r="K2203" i="1"/>
  <c r="L2202" i="1"/>
  <c r="K2202" i="1"/>
  <c r="L2201" i="1"/>
  <c r="K2201" i="1"/>
  <c r="L2200" i="1"/>
  <c r="K2200" i="1"/>
  <c r="L2199" i="1"/>
  <c r="K2199" i="1"/>
  <c r="L2198" i="1"/>
  <c r="K2198" i="1"/>
  <c r="L2197" i="1"/>
  <c r="K2197" i="1"/>
  <c r="L2196" i="1"/>
  <c r="K2196" i="1"/>
  <c r="L2195" i="1"/>
  <c r="K2195" i="1"/>
  <c r="L2194" i="1"/>
  <c r="K2194" i="1"/>
  <c r="L2193" i="1"/>
  <c r="K2193" i="1"/>
  <c r="L2192" i="1"/>
  <c r="K2192" i="1"/>
  <c r="L2191" i="1"/>
  <c r="K2191" i="1"/>
  <c r="L2190" i="1"/>
  <c r="K2190" i="1"/>
  <c r="L2189" i="1"/>
  <c r="K2189" i="1"/>
  <c r="L2188" i="1"/>
  <c r="K2188" i="1"/>
  <c r="L2187" i="1"/>
  <c r="K2187" i="1"/>
  <c r="L2186" i="1"/>
  <c r="K2186" i="1"/>
  <c r="L2185" i="1"/>
  <c r="K2185" i="1"/>
  <c r="L2184" i="1"/>
  <c r="K2184" i="1"/>
  <c r="L2183" i="1"/>
  <c r="K2183" i="1"/>
  <c r="L2182" i="1"/>
  <c r="K2182" i="1"/>
  <c r="L2181" i="1"/>
  <c r="K2181" i="1"/>
  <c r="L2180" i="1"/>
  <c r="K2180" i="1"/>
  <c r="L2179" i="1"/>
  <c r="K2179" i="1"/>
  <c r="L2178" i="1"/>
  <c r="K2178" i="1"/>
  <c r="L2177" i="1"/>
  <c r="K2177" i="1"/>
  <c r="L2176" i="1"/>
  <c r="K2176" i="1"/>
  <c r="L2175" i="1"/>
  <c r="K2175" i="1"/>
  <c r="L2174" i="1"/>
  <c r="K2174" i="1"/>
  <c r="L2173" i="1"/>
  <c r="K2173" i="1"/>
  <c r="L2172" i="1"/>
  <c r="K2172" i="1"/>
  <c r="L2171" i="1"/>
  <c r="K2171" i="1"/>
  <c r="L2170" i="1"/>
  <c r="K2170" i="1"/>
  <c r="L2169" i="1"/>
  <c r="K2169" i="1"/>
  <c r="L2168" i="1"/>
  <c r="K2168" i="1"/>
  <c r="L2167" i="1"/>
  <c r="K2167" i="1"/>
  <c r="L2166" i="1"/>
  <c r="K2166" i="1"/>
  <c r="L2165" i="1"/>
  <c r="K2165" i="1"/>
  <c r="L2164" i="1"/>
  <c r="K2164" i="1"/>
  <c r="L2163" i="1"/>
  <c r="K2163" i="1"/>
  <c r="L2162" i="1"/>
  <c r="K2162" i="1"/>
  <c r="L2161" i="1"/>
  <c r="K2161" i="1"/>
  <c r="L2160" i="1"/>
  <c r="K2160" i="1"/>
  <c r="L2159" i="1"/>
  <c r="K2159" i="1"/>
  <c r="L2158" i="1"/>
  <c r="K2158" i="1"/>
  <c r="L2157" i="1"/>
  <c r="K2157" i="1"/>
  <c r="L2156" i="1"/>
  <c r="K2156" i="1"/>
  <c r="L2155" i="1"/>
  <c r="K2155" i="1"/>
  <c r="L2154" i="1"/>
  <c r="K2154" i="1"/>
  <c r="L2153" i="1"/>
  <c r="K2153" i="1"/>
  <c r="L2152" i="1"/>
  <c r="K2152" i="1"/>
  <c r="L2151" i="1"/>
  <c r="K2151" i="1"/>
  <c r="L2150" i="1"/>
  <c r="K2150" i="1"/>
  <c r="L2149" i="1"/>
  <c r="K2149" i="1"/>
  <c r="L2148" i="1"/>
  <c r="K2148" i="1"/>
  <c r="L2147" i="1"/>
  <c r="K2147" i="1"/>
  <c r="L2146" i="1"/>
  <c r="K2146" i="1"/>
  <c r="L2145" i="1"/>
  <c r="K2145" i="1"/>
  <c r="L2144" i="1"/>
  <c r="K2144" i="1"/>
  <c r="L2143" i="1"/>
  <c r="K2143" i="1"/>
  <c r="L2142" i="1"/>
  <c r="K2142" i="1"/>
  <c r="L2141" i="1"/>
  <c r="K2141" i="1"/>
  <c r="L2140" i="1"/>
  <c r="K2140" i="1"/>
  <c r="L2139" i="1"/>
  <c r="K2139" i="1"/>
  <c r="L2138" i="1"/>
  <c r="K2138" i="1"/>
  <c r="L2137" i="1"/>
  <c r="K2137" i="1"/>
  <c r="L2136" i="1"/>
  <c r="K2136" i="1"/>
  <c r="L2135" i="1"/>
  <c r="K2135" i="1"/>
  <c r="L2134" i="1"/>
  <c r="K2134" i="1"/>
  <c r="L2133" i="1"/>
  <c r="K2133" i="1"/>
  <c r="L2132" i="1"/>
  <c r="K2132" i="1"/>
  <c r="L2131" i="1"/>
  <c r="K2131" i="1"/>
  <c r="L2130" i="1"/>
  <c r="K2130" i="1"/>
  <c r="L2129" i="1"/>
  <c r="K2129" i="1"/>
  <c r="L2128" i="1"/>
  <c r="K2128" i="1"/>
  <c r="L2127" i="1"/>
  <c r="K2127" i="1"/>
  <c r="L2126" i="1"/>
  <c r="K2126" i="1"/>
  <c r="L2125" i="1"/>
  <c r="K2125" i="1"/>
  <c r="L2124" i="1"/>
  <c r="K2124" i="1"/>
  <c r="L2123" i="1"/>
  <c r="K2123" i="1"/>
  <c r="L2122" i="1"/>
  <c r="K2122" i="1"/>
  <c r="L2121" i="1"/>
  <c r="K2121" i="1"/>
  <c r="L2120" i="1"/>
  <c r="K2120" i="1"/>
  <c r="L2119" i="1"/>
  <c r="K2119" i="1"/>
  <c r="L2118" i="1"/>
  <c r="K2118" i="1"/>
  <c r="L2117" i="1"/>
  <c r="K2117" i="1"/>
  <c r="L2116" i="1"/>
  <c r="K2116" i="1"/>
  <c r="L2115" i="1"/>
  <c r="K2115" i="1"/>
  <c r="L2114" i="1"/>
  <c r="K2114" i="1"/>
  <c r="L2113" i="1"/>
  <c r="K2113" i="1"/>
  <c r="L2112" i="1"/>
  <c r="K2112" i="1"/>
  <c r="L2111" i="1"/>
  <c r="K2111" i="1"/>
  <c r="L2110" i="1"/>
  <c r="K2110" i="1"/>
  <c r="L2109" i="1"/>
  <c r="K2109" i="1"/>
  <c r="L2108" i="1"/>
  <c r="K2108" i="1"/>
  <c r="L2107" i="1"/>
  <c r="K2107" i="1"/>
  <c r="L2106" i="1"/>
  <c r="K2106" i="1"/>
  <c r="L2105" i="1"/>
  <c r="K2105" i="1"/>
  <c r="L2104" i="1"/>
  <c r="K2104" i="1"/>
  <c r="L2103" i="1"/>
  <c r="K2103" i="1"/>
  <c r="L2102" i="1"/>
  <c r="K2102" i="1"/>
  <c r="L2101" i="1"/>
  <c r="K2101" i="1"/>
  <c r="L2100" i="1"/>
  <c r="K2100" i="1"/>
  <c r="L2099" i="1"/>
  <c r="K2099" i="1"/>
  <c r="L2098" i="1"/>
  <c r="K2098" i="1"/>
  <c r="L2097" i="1"/>
  <c r="K2097" i="1"/>
  <c r="L2096" i="1"/>
  <c r="K2096" i="1"/>
  <c r="L2095" i="1"/>
  <c r="K2095" i="1"/>
  <c r="L2094" i="1"/>
  <c r="K2094" i="1"/>
  <c r="L2093" i="1"/>
  <c r="K2093" i="1"/>
  <c r="L2092" i="1"/>
  <c r="K2092" i="1"/>
  <c r="L2091" i="1"/>
  <c r="K2091" i="1"/>
  <c r="L2090" i="1"/>
  <c r="K2090" i="1"/>
  <c r="L2089" i="1"/>
  <c r="K2089" i="1"/>
  <c r="L2088" i="1"/>
  <c r="K2088" i="1"/>
  <c r="L2087" i="1"/>
  <c r="K2087" i="1"/>
  <c r="L2086" i="1"/>
  <c r="K2086" i="1"/>
  <c r="L2085" i="1"/>
  <c r="K2085" i="1"/>
  <c r="L2084" i="1"/>
  <c r="K2084" i="1"/>
  <c r="L2083" i="1"/>
  <c r="K2083" i="1"/>
  <c r="L2082" i="1"/>
  <c r="K2082" i="1"/>
  <c r="L2081" i="1"/>
  <c r="K2081" i="1"/>
  <c r="L2080" i="1"/>
  <c r="K2080" i="1"/>
  <c r="L2079" i="1"/>
  <c r="K2079" i="1"/>
  <c r="L2078" i="1"/>
  <c r="K2078" i="1"/>
  <c r="L2077" i="1"/>
  <c r="K2077" i="1"/>
  <c r="L2076" i="1"/>
  <c r="K2076" i="1"/>
  <c r="L2075" i="1"/>
  <c r="K2075" i="1"/>
  <c r="L2074" i="1"/>
  <c r="K2074" i="1"/>
  <c r="L2073" i="1"/>
  <c r="K2073" i="1"/>
  <c r="L2072" i="1"/>
  <c r="K2072" i="1"/>
  <c r="L2071" i="1"/>
  <c r="K2071" i="1"/>
  <c r="L2070" i="1"/>
  <c r="K2070" i="1"/>
  <c r="L2069" i="1"/>
  <c r="K2069" i="1"/>
  <c r="L2068" i="1"/>
  <c r="K2068" i="1"/>
  <c r="L2067" i="1"/>
  <c r="K2067" i="1"/>
  <c r="L2066" i="1"/>
  <c r="K2066" i="1"/>
  <c r="L2065" i="1"/>
  <c r="K2065" i="1"/>
  <c r="L2064" i="1"/>
  <c r="K2064" i="1"/>
  <c r="L2063" i="1"/>
  <c r="K2063" i="1"/>
  <c r="L2062" i="1"/>
  <c r="K2062" i="1"/>
  <c r="L2061" i="1"/>
  <c r="K2061" i="1"/>
  <c r="L2060" i="1"/>
  <c r="K2060" i="1"/>
  <c r="L2059" i="1"/>
  <c r="K2059" i="1"/>
  <c r="L2058" i="1"/>
  <c r="K2058" i="1"/>
  <c r="L2057" i="1"/>
  <c r="K2057" i="1"/>
  <c r="L2056" i="1"/>
  <c r="K2056" i="1"/>
  <c r="L2055" i="1"/>
  <c r="K2055" i="1"/>
  <c r="L2054" i="1"/>
  <c r="K2054" i="1"/>
  <c r="L2053" i="1"/>
  <c r="K2053" i="1"/>
  <c r="L2052" i="1"/>
  <c r="K2052" i="1"/>
  <c r="L2051" i="1"/>
  <c r="K2051" i="1"/>
  <c r="L2050" i="1"/>
  <c r="K2050" i="1"/>
  <c r="L2049" i="1"/>
  <c r="K2049" i="1"/>
  <c r="L2048" i="1"/>
  <c r="K2048" i="1"/>
  <c r="L2047" i="1"/>
  <c r="K2047" i="1"/>
  <c r="L2046" i="1"/>
  <c r="K2046" i="1"/>
  <c r="L2045" i="1"/>
  <c r="K2045" i="1"/>
  <c r="L2044" i="1"/>
  <c r="K2044" i="1"/>
  <c r="L2043" i="1"/>
  <c r="K2043" i="1"/>
  <c r="L2042" i="1"/>
  <c r="K2042" i="1"/>
  <c r="L2041" i="1"/>
  <c r="K2041" i="1"/>
  <c r="L2040" i="1"/>
  <c r="K2040" i="1"/>
  <c r="L2039" i="1"/>
  <c r="K2039" i="1"/>
  <c r="L2038" i="1"/>
  <c r="K2038" i="1"/>
  <c r="L2037" i="1"/>
  <c r="K2037" i="1"/>
  <c r="L2036" i="1"/>
  <c r="K2036" i="1"/>
  <c r="L2035" i="1"/>
  <c r="K2035" i="1"/>
  <c r="L2034" i="1"/>
  <c r="K2034" i="1"/>
  <c r="L2033" i="1"/>
  <c r="K2033" i="1"/>
  <c r="L2032" i="1"/>
  <c r="K2032" i="1"/>
  <c r="L2031" i="1"/>
  <c r="K2031" i="1"/>
  <c r="L2030" i="1"/>
  <c r="K2030" i="1"/>
  <c r="L2029" i="1"/>
  <c r="K2029" i="1"/>
  <c r="L2028" i="1"/>
  <c r="K2028" i="1"/>
  <c r="L2027" i="1"/>
  <c r="K2027" i="1"/>
  <c r="L2026" i="1"/>
  <c r="K2026" i="1"/>
  <c r="L2025" i="1"/>
  <c r="K2025" i="1"/>
  <c r="L2024" i="1"/>
  <c r="K2024" i="1"/>
  <c r="L2023" i="1"/>
  <c r="K2023" i="1"/>
  <c r="L2022" i="1"/>
  <c r="K2022" i="1"/>
  <c r="L2021" i="1"/>
  <c r="K2021" i="1"/>
  <c r="L2020" i="1"/>
  <c r="K2020" i="1"/>
  <c r="L2019" i="1"/>
  <c r="K2019" i="1"/>
  <c r="L2018" i="1"/>
  <c r="K2018" i="1"/>
  <c r="L2017" i="1"/>
  <c r="K2017" i="1"/>
  <c r="L2016" i="1"/>
  <c r="K2016" i="1"/>
  <c r="L2015" i="1"/>
  <c r="K2015" i="1"/>
  <c r="L2014" i="1"/>
  <c r="K2014" i="1"/>
  <c r="L2013" i="1"/>
  <c r="K2013" i="1"/>
  <c r="L2012" i="1"/>
  <c r="K2012" i="1"/>
  <c r="L2011" i="1"/>
  <c r="K2011" i="1"/>
  <c r="L2010" i="1"/>
  <c r="K2010" i="1"/>
  <c r="L2009" i="1"/>
  <c r="K2009" i="1"/>
  <c r="L2008" i="1"/>
  <c r="K2008" i="1"/>
  <c r="L2007" i="1"/>
  <c r="K2007" i="1"/>
  <c r="L2006" i="1"/>
  <c r="K2006" i="1"/>
  <c r="L2005" i="1"/>
  <c r="K2005" i="1"/>
  <c r="L2004" i="1"/>
  <c r="K2004" i="1"/>
  <c r="L2003" i="1"/>
  <c r="K2003" i="1"/>
  <c r="L2002" i="1"/>
  <c r="K2002" i="1"/>
  <c r="L2001" i="1"/>
  <c r="K2001" i="1"/>
  <c r="L2000" i="1"/>
  <c r="K2000" i="1"/>
  <c r="L1999" i="1"/>
  <c r="K1999" i="1"/>
  <c r="L1998" i="1"/>
  <c r="K1998" i="1"/>
  <c r="L1997" i="1"/>
  <c r="K1997" i="1"/>
  <c r="L1996" i="1"/>
  <c r="K1996" i="1"/>
  <c r="L1995" i="1"/>
  <c r="K1995" i="1"/>
  <c r="L1994" i="1"/>
  <c r="K1994" i="1"/>
  <c r="L1993" i="1"/>
  <c r="K1993" i="1"/>
  <c r="L1992" i="1"/>
  <c r="K1992" i="1"/>
  <c r="L1991" i="1"/>
  <c r="K1991" i="1"/>
  <c r="L1990" i="1"/>
  <c r="K1990" i="1"/>
  <c r="L1989" i="1"/>
  <c r="K1989" i="1"/>
  <c r="L1988" i="1"/>
  <c r="K1988" i="1"/>
  <c r="L1987" i="1"/>
  <c r="K1987" i="1"/>
  <c r="L1986" i="1"/>
  <c r="K1986" i="1"/>
  <c r="L1985" i="1"/>
  <c r="K1985" i="1"/>
  <c r="L1984" i="1"/>
  <c r="K1984" i="1"/>
  <c r="L1983" i="1"/>
  <c r="K1983" i="1"/>
  <c r="L1982" i="1"/>
  <c r="K1982" i="1"/>
  <c r="L1981" i="1"/>
  <c r="K1981" i="1"/>
  <c r="L1980" i="1"/>
  <c r="K1980" i="1"/>
  <c r="L1979" i="1"/>
  <c r="K1979" i="1"/>
  <c r="L1978" i="1"/>
  <c r="K1978" i="1"/>
  <c r="L1977" i="1"/>
  <c r="K1977" i="1"/>
  <c r="L1976" i="1"/>
  <c r="K1976" i="1"/>
  <c r="L1975" i="1"/>
  <c r="K1975" i="1"/>
  <c r="L1974" i="1"/>
  <c r="K1974" i="1"/>
  <c r="L1973" i="1"/>
  <c r="K1973" i="1"/>
  <c r="L1972" i="1"/>
  <c r="K1972" i="1"/>
  <c r="L1971" i="1"/>
  <c r="K1971" i="1"/>
  <c r="L1970" i="1"/>
  <c r="K1970" i="1"/>
  <c r="L1969" i="1"/>
  <c r="K1969" i="1"/>
  <c r="L1968" i="1"/>
  <c r="K1968" i="1"/>
  <c r="L1967" i="1"/>
  <c r="K1967" i="1"/>
  <c r="L1966" i="1"/>
  <c r="K1966" i="1"/>
  <c r="L1965" i="1"/>
  <c r="K1965" i="1"/>
  <c r="L1964" i="1"/>
  <c r="K1964" i="1"/>
  <c r="L1963" i="1"/>
  <c r="K1963" i="1"/>
  <c r="L1962" i="1"/>
  <c r="K1962" i="1"/>
  <c r="L1961" i="1"/>
  <c r="K1961" i="1"/>
  <c r="L1960" i="1"/>
  <c r="K1960" i="1"/>
  <c r="L1959" i="1"/>
  <c r="K1959" i="1"/>
  <c r="L1958" i="1"/>
  <c r="K1958" i="1"/>
  <c r="L1957" i="1"/>
  <c r="K1957" i="1"/>
  <c r="L1956" i="1"/>
  <c r="K1956" i="1"/>
  <c r="L1955" i="1"/>
  <c r="K1955" i="1"/>
  <c r="L1954" i="1"/>
  <c r="K1954" i="1"/>
  <c r="L1953" i="1"/>
  <c r="K1953" i="1"/>
  <c r="L1952" i="1"/>
  <c r="K1952" i="1"/>
  <c r="L1951" i="1"/>
  <c r="K1951" i="1"/>
  <c r="L1950" i="1"/>
  <c r="K1950" i="1"/>
  <c r="L1949" i="1"/>
  <c r="K1949" i="1"/>
  <c r="L1948" i="1"/>
  <c r="K1948" i="1"/>
  <c r="L1947" i="1"/>
  <c r="K1947" i="1"/>
  <c r="L1946" i="1"/>
  <c r="K1946" i="1"/>
  <c r="L1945" i="1"/>
  <c r="K1945" i="1"/>
  <c r="L1944" i="1"/>
  <c r="K1944" i="1"/>
  <c r="L1943" i="1"/>
  <c r="K1943" i="1"/>
  <c r="L1942" i="1"/>
  <c r="K1942" i="1"/>
  <c r="L1941" i="1"/>
  <c r="K1941" i="1"/>
  <c r="L1940" i="1"/>
  <c r="K1940" i="1"/>
  <c r="L1939" i="1"/>
  <c r="K1939" i="1"/>
  <c r="L1938" i="1"/>
  <c r="K1938" i="1"/>
  <c r="L1937" i="1"/>
  <c r="K1937" i="1"/>
  <c r="L1936" i="1"/>
  <c r="K1936" i="1"/>
  <c r="L1935" i="1"/>
  <c r="K1935" i="1"/>
  <c r="L1934" i="1"/>
  <c r="K1934" i="1"/>
  <c r="L1933" i="1"/>
  <c r="K1933" i="1"/>
  <c r="L1932" i="1"/>
  <c r="K1932" i="1"/>
  <c r="L1931" i="1"/>
  <c r="K1931" i="1"/>
  <c r="L1930" i="1"/>
  <c r="K1930" i="1"/>
  <c r="L1929" i="1"/>
  <c r="K1929" i="1"/>
  <c r="L1928" i="1"/>
  <c r="K1928" i="1"/>
  <c r="L1927" i="1"/>
  <c r="K1927" i="1"/>
  <c r="L1926" i="1"/>
  <c r="K1926" i="1"/>
  <c r="L1925" i="1"/>
  <c r="K1925" i="1"/>
  <c r="L1924" i="1"/>
  <c r="K1924" i="1"/>
  <c r="L1923" i="1"/>
  <c r="K1923" i="1"/>
  <c r="L1922" i="1"/>
  <c r="K1922" i="1"/>
  <c r="L1921" i="1"/>
  <c r="K1921" i="1"/>
  <c r="L1920" i="1"/>
  <c r="K1920" i="1"/>
  <c r="L1919" i="1"/>
  <c r="K1919" i="1"/>
  <c r="L1918" i="1"/>
  <c r="K1918" i="1"/>
  <c r="L1917" i="1"/>
  <c r="K1917" i="1"/>
  <c r="L1916" i="1"/>
  <c r="K1916" i="1"/>
  <c r="L1915" i="1"/>
  <c r="K1915" i="1"/>
  <c r="L1914" i="1"/>
  <c r="K1914" i="1"/>
  <c r="L1913" i="1"/>
  <c r="K1913" i="1"/>
  <c r="L1912" i="1"/>
  <c r="K1912" i="1"/>
  <c r="L1911" i="1"/>
  <c r="K1911" i="1"/>
  <c r="L1910" i="1"/>
  <c r="K1910" i="1"/>
  <c r="L1909" i="1"/>
  <c r="K1909" i="1"/>
  <c r="L1908" i="1"/>
  <c r="K1908" i="1"/>
  <c r="L1907" i="1"/>
  <c r="K1907" i="1"/>
  <c r="L1906" i="1"/>
  <c r="K1906" i="1"/>
  <c r="L1905" i="1"/>
  <c r="K1905" i="1"/>
  <c r="L1904" i="1"/>
  <c r="K1904" i="1"/>
  <c r="L1903" i="1"/>
  <c r="K1903" i="1"/>
  <c r="L1902" i="1"/>
  <c r="K1902" i="1"/>
  <c r="L1901" i="1"/>
  <c r="K1901" i="1"/>
  <c r="L1900" i="1"/>
  <c r="K1900" i="1"/>
  <c r="L1899" i="1"/>
  <c r="K1899" i="1"/>
  <c r="L1898" i="1"/>
  <c r="K1898" i="1"/>
  <c r="L1897" i="1"/>
  <c r="K1897" i="1"/>
  <c r="L1896" i="1"/>
  <c r="K1896" i="1"/>
  <c r="L1895" i="1"/>
  <c r="K1895" i="1"/>
  <c r="L1894" i="1"/>
  <c r="K1894" i="1"/>
  <c r="L1893" i="1"/>
  <c r="K1893" i="1"/>
  <c r="L1892" i="1"/>
  <c r="K1892" i="1"/>
  <c r="L1891" i="1"/>
  <c r="K1891" i="1"/>
  <c r="L1890" i="1"/>
  <c r="K1890" i="1"/>
  <c r="L1889" i="1"/>
  <c r="K1889" i="1"/>
  <c r="L1888" i="1"/>
  <c r="K1888" i="1"/>
  <c r="L1887" i="1"/>
  <c r="K1887" i="1"/>
  <c r="L1886" i="1"/>
  <c r="K1886" i="1"/>
  <c r="L1885" i="1"/>
  <c r="K1885" i="1"/>
  <c r="L1884" i="1"/>
  <c r="K1884" i="1"/>
  <c r="L1883" i="1"/>
  <c r="K1883" i="1"/>
  <c r="L1882" i="1"/>
  <c r="K1882" i="1"/>
  <c r="L1881" i="1"/>
  <c r="K1881" i="1"/>
  <c r="L1880" i="1"/>
  <c r="K1880" i="1"/>
  <c r="L1879" i="1"/>
  <c r="K1879" i="1"/>
  <c r="L1878" i="1"/>
  <c r="K1878" i="1"/>
  <c r="L1877" i="1"/>
  <c r="K1877" i="1"/>
  <c r="L1876" i="1"/>
  <c r="K1876" i="1"/>
  <c r="L1875" i="1"/>
  <c r="K1875" i="1"/>
  <c r="L1874" i="1"/>
  <c r="K1874" i="1"/>
  <c r="L1873" i="1"/>
  <c r="K1873" i="1"/>
  <c r="L1872" i="1"/>
  <c r="K1872" i="1"/>
  <c r="L1871" i="1"/>
  <c r="K1871" i="1"/>
  <c r="L1870" i="1"/>
  <c r="K1870" i="1"/>
  <c r="L1869" i="1"/>
  <c r="K1869" i="1"/>
  <c r="L1868" i="1"/>
  <c r="K1868" i="1"/>
  <c r="L1867" i="1"/>
  <c r="K1867" i="1"/>
  <c r="L1866" i="1"/>
  <c r="K1866" i="1"/>
  <c r="L1865" i="1"/>
  <c r="K1865" i="1"/>
  <c r="L1864" i="1"/>
  <c r="K1864" i="1"/>
  <c r="L1863" i="1"/>
  <c r="K1863" i="1"/>
  <c r="L1862" i="1"/>
  <c r="K1862" i="1"/>
  <c r="L1861" i="1"/>
  <c r="K1861" i="1"/>
  <c r="L1860" i="1"/>
  <c r="K1860" i="1"/>
  <c r="L1859" i="1"/>
  <c r="K1859" i="1"/>
  <c r="L1858" i="1"/>
  <c r="K1858" i="1"/>
  <c r="L1857" i="1"/>
  <c r="K1857" i="1"/>
  <c r="L1856" i="1"/>
  <c r="K1856" i="1"/>
  <c r="L1855" i="1"/>
  <c r="K1855" i="1"/>
  <c r="L1854" i="1"/>
  <c r="K1854" i="1"/>
  <c r="L1853" i="1"/>
  <c r="K1853" i="1"/>
  <c r="L1852" i="1"/>
  <c r="K1852" i="1"/>
  <c r="L1851" i="1"/>
  <c r="K1851" i="1"/>
  <c r="L1850" i="1"/>
  <c r="K1850" i="1"/>
  <c r="L1849" i="1"/>
  <c r="K1849" i="1"/>
  <c r="L1848" i="1"/>
  <c r="K1848" i="1"/>
  <c r="L1847" i="1"/>
  <c r="K1847" i="1"/>
  <c r="L1846" i="1"/>
  <c r="K1846" i="1"/>
  <c r="L1845" i="1"/>
  <c r="K1845" i="1"/>
  <c r="L1844" i="1"/>
  <c r="K1844" i="1"/>
  <c r="L1843" i="1"/>
  <c r="K1843" i="1"/>
  <c r="L1842" i="1"/>
  <c r="K1842" i="1"/>
  <c r="L1841" i="1"/>
  <c r="K1841" i="1"/>
  <c r="L1840" i="1"/>
  <c r="K1840" i="1"/>
  <c r="L1839" i="1"/>
  <c r="K1839" i="1"/>
  <c r="L1838" i="1"/>
  <c r="K1838" i="1"/>
  <c r="L1837" i="1"/>
  <c r="K1837" i="1"/>
  <c r="L1836" i="1"/>
  <c r="K1836" i="1"/>
  <c r="L1835" i="1"/>
  <c r="K1835" i="1"/>
  <c r="L1834" i="1"/>
  <c r="K1834" i="1"/>
  <c r="L1833" i="1"/>
  <c r="K1833" i="1"/>
  <c r="L1832" i="1"/>
  <c r="K1832" i="1"/>
  <c r="L1831" i="1"/>
  <c r="K1831" i="1"/>
  <c r="L1830" i="1"/>
  <c r="K1830" i="1"/>
  <c r="L1829" i="1"/>
  <c r="K1829" i="1"/>
  <c r="L1828" i="1"/>
  <c r="K1828" i="1"/>
  <c r="L1827" i="1"/>
  <c r="K1827" i="1"/>
  <c r="L1826" i="1"/>
  <c r="K1826" i="1"/>
  <c r="L1825" i="1"/>
  <c r="K1825" i="1"/>
  <c r="L1824" i="1"/>
  <c r="K1824" i="1"/>
  <c r="L1823" i="1"/>
  <c r="K1823" i="1"/>
  <c r="L1822" i="1"/>
  <c r="K1822" i="1"/>
  <c r="L1821" i="1"/>
  <c r="K1821" i="1"/>
  <c r="L1820" i="1"/>
  <c r="K1820" i="1"/>
  <c r="L1819" i="1"/>
  <c r="K1819" i="1"/>
  <c r="L1818" i="1"/>
  <c r="K1818" i="1"/>
  <c r="L1817" i="1"/>
  <c r="K1817" i="1"/>
  <c r="L1816" i="1"/>
  <c r="K1816" i="1"/>
  <c r="L1815" i="1"/>
  <c r="K1815" i="1"/>
  <c r="L1814" i="1"/>
  <c r="K1814" i="1"/>
  <c r="L1813" i="1"/>
  <c r="K1813" i="1"/>
  <c r="L1812" i="1"/>
  <c r="K1812" i="1"/>
  <c r="L1811" i="1"/>
  <c r="K1811" i="1"/>
  <c r="L1810" i="1"/>
  <c r="K1810" i="1"/>
  <c r="L1809" i="1"/>
  <c r="K1809" i="1"/>
  <c r="L1808" i="1"/>
  <c r="K1808" i="1"/>
  <c r="L1807" i="1"/>
  <c r="K1807" i="1"/>
  <c r="L1806" i="1"/>
  <c r="K1806" i="1"/>
  <c r="L1805" i="1"/>
  <c r="K1805" i="1"/>
  <c r="L1804" i="1"/>
  <c r="K1804" i="1"/>
  <c r="L1803" i="1"/>
  <c r="K1803" i="1"/>
  <c r="L1802" i="1"/>
  <c r="K1802" i="1"/>
  <c r="L1801" i="1"/>
  <c r="K1801" i="1"/>
  <c r="L1800" i="1"/>
  <c r="K1800" i="1"/>
  <c r="L1799" i="1"/>
  <c r="K1799" i="1"/>
  <c r="L1798" i="1"/>
  <c r="K1798" i="1"/>
  <c r="L1797" i="1"/>
  <c r="K1797" i="1"/>
  <c r="L1796" i="1"/>
  <c r="K1796" i="1"/>
  <c r="L1795" i="1"/>
  <c r="K1795" i="1"/>
  <c r="L1794" i="1"/>
  <c r="K1794" i="1"/>
  <c r="L1793" i="1"/>
  <c r="K1793" i="1"/>
  <c r="L1792" i="1"/>
  <c r="K1792" i="1"/>
  <c r="L1791" i="1"/>
  <c r="K1791" i="1"/>
  <c r="L1790" i="1"/>
  <c r="K1790" i="1"/>
  <c r="L1789" i="1"/>
  <c r="K1789" i="1"/>
  <c r="L1788" i="1"/>
  <c r="K1788" i="1"/>
  <c r="L1787" i="1"/>
  <c r="K1787" i="1"/>
  <c r="L1786" i="1"/>
  <c r="K1786" i="1"/>
  <c r="L1785" i="1"/>
  <c r="K1785" i="1"/>
  <c r="L1784" i="1"/>
  <c r="K1784" i="1"/>
  <c r="L1783" i="1"/>
  <c r="K1783" i="1"/>
  <c r="L1782" i="1"/>
  <c r="K1782" i="1"/>
  <c r="L1781" i="1"/>
  <c r="K1781" i="1"/>
  <c r="L1780" i="1"/>
  <c r="K1780" i="1"/>
  <c r="L1779" i="1"/>
  <c r="K1779" i="1"/>
  <c r="L1778" i="1"/>
  <c r="K1778" i="1"/>
  <c r="L1777" i="1"/>
  <c r="K1777" i="1"/>
  <c r="L1776" i="1"/>
  <c r="K1776" i="1"/>
  <c r="L1775" i="1"/>
  <c r="K1775" i="1"/>
  <c r="L1774" i="1"/>
  <c r="K1774" i="1"/>
  <c r="L1773" i="1"/>
  <c r="K1773" i="1"/>
  <c r="L1772" i="1"/>
  <c r="K1772" i="1"/>
  <c r="L1771" i="1"/>
  <c r="K1771" i="1"/>
  <c r="L1770" i="1"/>
  <c r="K1770" i="1"/>
  <c r="L1769" i="1"/>
  <c r="K1769" i="1"/>
  <c r="L1768" i="1"/>
  <c r="K1768" i="1"/>
  <c r="L1767" i="1"/>
  <c r="K1767" i="1"/>
  <c r="L1766" i="1"/>
  <c r="K1766" i="1"/>
  <c r="L1765" i="1"/>
  <c r="K1765" i="1"/>
  <c r="L1764" i="1"/>
  <c r="K1764" i="1"/>
  <c r="L1763" i="1"/>
  <c r="K1763" i="1"/>
  <c r="L1762" i="1"/>
  <c r="K1762" i="1"/>
  <c r="L1761" i="1"/>
  <c r="K1761" i="1"/>
  <c r="L1760" i="1"/>
  <c r="K1760" i="1"/>
  <c r="L1759" i="1"/>
  <c r="K1759" i="1"/>
  <c r="L1758" i="1"/>
  <c r="K1758" i="1"/>
  <c r="L1757" i="1"/>
  <c r="K1757" i="1"/>
  <c r="L1756" i="1"/>
  <c r="K1756" i="1"/>
  <c r="L1755" i="1"/>
  <c r="K1755" i="1"/>
  <c r="L1754" i="1"/>
  <c r="K1754" i="1"/>
  <c r="L1753" i="1"/>
  <c r="K1753" i="1"/>
  <c r="L1752" i="1"/>
  <c r="K1752" i="1"/>
  <c r="L1751" i="1"/>
  <c r="K1751" i="1"/>
  <c r="L1750" i="1"/>
  <c r="K1750" i="1"/>
  <c r="L1749" i="1"/>
  <c r="K1749" i="1"/>
  <c r="L1748" i="1"/>
  <c r="K1748" i="1"/>
  <c r="L1747" i="1"/>
  <c r="K1747" i="1"/>
  <c r="L1746" i="1"/>
  <c r="K1746" i="1"/>
  <c r="L1745" i="1"/>
  <c r="K1745" i="1"/>
  <c r="L1744" i="1"/>
  <c r="K1744" i="1"/>
  <c r="L1743" i="1"/>
  <c r="K1743" i="1"/>
  <c r="L1742" i="1"/>
  <c r="K1742" i="1"/>
  <c r="L1741" i="1"/>
  <c r="K1741" i="1"/>
  <c r="L1740" i="1"/>
  <c r="K1740" i="1"/>
  <c r="L1739" i="1"/>
  <c r="K1739" i="1"/>
  <c r="L1738" i="1"/>
  <c r="K1738" i="1"/>
  <c r="L1737" i="1"/>
  <c r="K1737" i="1"/>
  <c r="L1736" i="1"/>
  <c r="K1736" i="1"/>
  <c r="L1735" i="1"/>
  <c r="K1735" i="1"/>
  <c r="L1734" i="1"/>
  <c r="K1734" i="1"/>
  <c r="L1733" i="1"/>
  <c r="K1733" i="1"/>
  <c r="L1732" i="1"/>
  <c r="K1732" i="1"/>
  <c r="L1731" i="1"/>
  <c r="K1731" i="1"/>
  <c r="L1730" i="1"/>
  <c r="K1730" i="1"/>
  <c r="L1729" i="1"/>
  <c r="K1729" i="1"/>
  <c r="L1728" i="1"/>
  <c r="K1728" i="1"/>
  <c r="L1727" i="1"/>
  <c r="K1727" i="1"/>
  <c r="L1726" i="1"/>
  <c r="K1726" i="1"/>
  <c r="L1725" i="1"/>
  <c r="K1725" i="1"/>
  <c r="L1724" i="1"/>
  <c r="K1724" i="1"/>
  <c r="L1723" i="1"/>
  <c r="K1723" i="1"/>
  <c r="L1722" i="1"/>
  <c r="K1722" i="1"/>
  <c r="L1721" i="1"/>
  <c r="K1721" i="1"/>
  <c r="L1720" i="1"/>
  <c r="K1720" i="1"/>
  <c r="L1719" i="1"/>
  <c r="K1719" i="1"/>
  <c r="L1718" i="1"/>
  <c r="K1718" i="1"/>
  <c r="L1717" i="1"/>
  <c r="K1717" i="1"/>
  <c r="L1716" i="1"/>
  <c r="K1716" i="1"/>
  <c r="L1715" i="1"/>
  <c r="K1715" i="1"/>
  <c r="L1714" i="1"/>
  <c r="K1714" i="1"/>
  <c r="L1713" i="1"/>
  <c r="K1713" i="1"/>
  <c r="L1712" i="1"/>
  <c r="K1712" i="1"/>
  <c r="L1711" i="1"/>
  <c r="K1711" i="1"/>
  <c r="L1710" i="1"/>
  <c r="K1710" i="1"/>
  <c r="L1709" i="1"/>
  <c r="K1709" i="1"/>
  <c r="L1708" i="1"/>
  <c r="K1708" i="1"/>
  <c r="L1707" i="1"/>
  <c r="K1707" i="1"/>
  <c r="L1706" i="1"/>
  <c r="K1706" i="1"/>
  <c r="L1705" i="1"/>
  <c r="K1705" i="1"/>
  <c r="L1704" i="1"/>
  <c r="K1704" i="1"/>
  <c r="L1703" i="1"/>
  <c r="K1703" i="1"/>
  <c r="L1702" i="1"/>
  <c r="K1702" i="1"/>
  <c r="L1701" i="1"/>
  <c r="K1701" i="1"/>
  <c r="L1700" i="1"/>
  <c r="K1700" i="1"/>
  <c r="L1699" i="1"/>
  <c r="K1699" i="1"/>
  <c r="L1698" i="1"/>
  <c r="K1698" i="1"/>
  <c r="L1697" i="1"/>
  <c r="K1697" i="1"/>
  <c r="L1696" i="1"/>
  <c r="K1696" i="1"/>
  <c r="L1695" i="1"/>
  <c r="K1695" i="1"/>
  <c r="L1694" i="1"/>
  <c r="K1694" i="1"/>
  <c r="L1693" i="1"/>
  <c r="K1693" i="1"/>
  <c r="L1692" i="1"/>
  <c r="K1692" i="1"/>
  <c r="L1691" i="1"/>
  <c r="K1691" i="1"/>
  <c r="L1690" i="1"/>
  <c r="K1690" i="1"/>
  <c r="L1689" i="1"/>
  <c r="K1689" i="1"/>
  <c r="L1688" i="1"/>
  <c r="K1688" i="1"/>
  <c r="L1687" i="1"/>
  <c r="K1687" i="1"/>
  <c r="L1686" i="1"/>
  <c r="K1686" i="1"/>
  <c r="L1685" i="1"/>
  <c r="K1685" i="1"/>
  <c r="L1684" i="1"/>
  <c r="K1684" i="1"/>
  <c r="L1683" i="1"/>
  <c r="K1683" i="1"/>
  <c r="L1682" i="1"/>
  <c r="K1682" i="1"/>
  <c r="L1681" i="1"/>
  <c r="K1681" i="1"/>
  <c r="L1680" i="1"/>
  <c r="K1680" i="1"/>
  <c r="L1679" i="1"/>
  <c r="K1679" i="1"/>
  <c r="L1678" i="1"/>
  <c r="K1678" i="1"/>
  <c r="L1677" i="1"/>
  <c r="K1677" i="1"/>
  <c r="L1676" i="1"/>
  <c r="K1676" i="1"/>
  <c r="L1675" i="1"/>
  <c r="K1675" i="1"/>
  <c r="L1674" i="1"/>
  <c r="K1674" i="1"/>
  <c r="L1673" i="1"/>
  <c r="K1673" i="1"/>
  <c r="L1672" i="1"/>
  <c r="K1672" i="1"/>
  <c r="L1671" i="1"/>
  <c r="K1671" i="1"/>
  <c r="L1670" i="1"/>
  <c r="K1670" i="1"/>
  <c r="L1669" i="1"/>
  <c r="K1669" i="1"/>
  <c r="L1668" i="1"/>
  <c r="K1668" i="1"/>
  <c r="L1667" i="1"/>
  <c r="K1667" i="1"/>
  <c r="L1666" i="1"/>
  <c r="K1666" i="1"/>
  <c r="L1665" i="1"/>
  <c r="K1665" i="1"/>
  <c r="L1664" i="1"/>
  <c r="K1664" i="1"/>
  <c r="L1663" i="1"/>
  <c r="K1663" i="1"/>
  <c r="L1662" i="1"/>
  <c r="K1662" i="1"/>
  <c r="L1661" i="1"/>
  <c r="K1661" i="1"/>
  <c r="L1660" i="1"/>
  <c r="K1660" i="1"/>
  <c r="L1659" i="1"/>
  <c r="K1659" i="1"/>
  <c r="L1658" i="1"/>
  <c r="K1658" i="1"/>
  <c r="L1657" i="1"/>
  <c r="K1657" i="1"/>
  <c r="L1656" i="1"/>
  <c r="K1656" i="1"/>
  <c r="L1655" i="1"/>
  <c r="K1655" i="1"/>
  <c r="L1654" i="1"/>
  <c r="K1654" i="1"/>
  <c r="L1653" i="1"/>
  <c r="K1653" i="1"/>
  <c r="L1652" i="1"/>
  <c r="K1652" i="1"/>
  <c r="L1651" i="1"/>
  <c r="K1651" i="1"/>
  <c r="L1650" i="1"/>
  <c r="K1650" i="1"/>
  <c r="L1649" i="1"/>
  <c r="K1649" i="1"/>
  <c r="L1648" i="1"/>
  <c r="K1648" i="1"/>
  <c r="L1647" i="1"/>
  <c r="K1647" i="1"/>
  <c r="L1646" i="1"/>
  <c r="K1646" i="1"/>
  <c r="L1645" i="1"/>
  <c r="K1645" i="1"/>
  <c r="L1644" i="1"/>
  <c r="K1644" i="1"/>
  <c r="L1643" i="1"/>
  <c r="K1643" i="1"/>
  <c r="L1642" i="1"/>
  <c r="K1642" i="1"/>
  <c r="L1641" i="1"/>
  <c r="K1641" i="1"/>
  <c r="L1640" i="1"/>
  <c r="K1640" i="1"/>
  <c r="L1639" i="1"/>
  <c r="K1639" i="1"/>
  <c r="L1638" i="1"/>
  <c r="K1638" i="1"/>
  <c r="L1637" i="1"/>
  <c r="K1637" i="1"/>
  <c r="L1636" i="1"/>
  <c r="K1636" i="1"/>
  <c r="L1635" i="1"/>
  <c r="K1635" i="1"/>
  <c r="L1634" i="1"/>
  <c r="K1634" i="1"/>
  <c r="L1633" i="1"/>
  <c r="K1633" i="1"/>
  <c r="L1632" i="1"/>
  <c r="K1632" i="1"/>
  <c r="L1631" i="1"/>
  <c r="K1631" i="1"/>
  <c r="L1630" i="1"/>
  <c r="K1630" i="1"/>
  <c r="L1629" i="1"/>
  <c r="K1629" i="1"/>
  <c r="L1628" i="1"/>
  <c r="K1628" i="1"/>
  <c r="L1627" i="1"/>
  <c r="K1627" i="1"/>
  <c r="L1626" i="1"/>
  <c r="K1626" i="1"/>
  <c r="L1625" i="1"/>
  <c r="K1625" i="1"/>
  <c r="L1624" i="1"/>
  <c r="K1624" i="1"/>
  <c r="L1623" i="1"/>
  <c r="K1623" i="1"/>
  <c r="L1622" i="1"/>
  <c r="K1622" i="1"/>
  <c r="L1621" i="1"/>
  <c r="K1621" i="1"/>
  <c r="L1620" i="1"/>
  <c r="K1620" i="1"/>
  <c r="L1619" i="1"/>
  <c r="K1619" i="1"/>
  <c r="L1618" i="1"/>
  <c r="K1618" i="1"/>
  <c r="L1617" i="1"/>
  <c r="K1617" i="1"/>
  <c r="L1616" i="1"/>
  <c r="K1616" i="1"/>
  <c r="L1615" i="1"/>
  <c r="K1615" i="1"/>
  <c r="L1614" i="1"/>
  <c r="K1614" i="1"/>
  <c r="L1613" i="1"/>
  <c r="K1613" i="1"/>
  <c r="L1612" i="1"/>
  <c r="K1612" i="1"/>
  <c r="L1611" i="1"/>
  <c r="K1611" i="1"/>
  <c r="L1610" i="1"/>
  <c r="K1610" i="1"/>
  <c r="L1609" i="1"/>
  <c r="K1609" i="1"/>
  <c r="L1608" i="1"/>
  <c r="K1608" i="1"/>
  <c r="L1607" i="1"/>
  <c r="K1607" i="1"/>
  <c r="L1606" i="1"/>
  <c r="K1606" i="1"/>
  <c r="L1605" i="1"/>
  <c r="K1605" i="1"/>
  <c r="L1604" i="1"/>
  <c r="K1604" i="1"/>
  <c r="L1603" i="1"/>
  <c r="K1603" i="1"/>
  <c r="L1602" i="1"/>
  <c r="K1602" i="1"/>
  <c r="L1601" i="1"/>
  <c r="K1601" i="1"/>
  <c r="L1600" i="1"/>
  <c r="K1600" i="1"/>
  <c r="L1599" i="1"/>
  <c r="K1599" i="1"/>
  <c r="L1598" i="1"/>
  <c r="K1598" i="1"/>
  <c r="L1597" i="1"/>
  <c r="K1597" i="1"/>
  <c r="L1596" i="1"/>
  <c r="K1596" i="1"/>
  <c r="L1595" i="1"/>
  <c r="K1595" i="1"/>
  <c r="L1594" i="1"/>
  <c r="K1594" i="1"/>
  <c r="L1593" i="1"/>
  <c r="K1593" i="1"/>
  <c r="L1592" i="1"/>
  <c r="K1592" i="1"/>
  <c r="L1591" i="1"/>
  <c r="K1591" i="1"/>
  <c r="L1590" i="1"/>
  <c r="K1590" i="1"/>
  <c r="L1589" i="1"/>
  <c r="K1589" i="1"/>
  <c r="L1588" i="1"/>
  <c r="K1588" i="1"/>
  <c r="L1587" i="1"/>
  <c r="K1587" i="1"/>
  <c r="L1586" i="1"/>
  <c r="K1586" i="1"/>
  <c r="L1585" i="1"/>
  <c r="K1585" i="1"/>
  <c r="L1584" i="1"/>
  <c r="K1584" i="1"/>
  <c r="L1583" i="1"/>
  <c r="K1583" i="1"/>
  <c r="L1582" i="1"/>
  <c r="K1582" i="1"/>
  <c r="L1581" i="1"/>
  <c r="K1581" i="1"/>
  <c r="L1580" i="1"/>
  <c r="K1580" i="1"/>
  <c r="L1579" i="1"/>
  <c r="K1579" i="1"/>
  <c r="L1578" i="1"/>
  <c r="K1578" i="1"/>
  <c r="L1577" i="1"/>
  <c r="K1577" i="1"/>
  <c r="L1576" i="1"/>
  <c r="K1576" i="1"/>
  <c r="L1575" i="1"/>
  <c r="K1575" i="1"/>
  <c r="L1574" i="1"/>
  <c r="K1574" i="1"/>
  <c r="L1573" i="1"/>
  <c r="K1573" i="1"/>
  <c r="L1572" i="1"/>
  <c r="K1572" i="1"/>
  <c r="L1571" i="1"/>
  <c r="K1571" i="1"/>
  <c r="L1570" i="1"/>
  <c r="K1570" i="1"/>
  <c r="L1569" i="1"/>
  <c r="K1569" i="1"/>
  <c r="L1568" i="1"/>
  <c r="K1568" i="1"/>
  <c r="L1567" i="1"/>
  <c r="K1567" i="1"/>
  <c r="L1566" i="1"/>
  <c r="K1566" i="1"/>
  <c r="L1565" i="1"/>
  <c r="K1565" i="1"/>
  <c r="L1564" i="1"/>
  <c r="K1564" i="1"/>
  <c r="L1563" i="1"/>
  <c r="K1563" i="1"/>
  <c r="L1562" i="1"/>
  <c r="K1562" i="1"/>
  <c r="L1561" i="1"/>
  <c r="K1561" i="1"/>
  <c r="L1560" i="1"/>
  <c r="K1560" i="1"/>
  <c r="L1559" i="1"/>
  <c r="K1559" i="1"/>
  <c r="L1558" i="1"/>
  <c r="K1558" i="1"/>
  <c r="L1557" i="1"/>
  <c r="K1557" i="1"/>
  <c r="L1556" i="1"/>
  <c r="K1556" i="1"/>
  <c r="L1555" i="1"/>
  <c r="K1555" i="1"/>
  <c r="L1554" i="1"/>
  <c r="K1554" i="1"/>
  <c r="L1553" i="1"/>
  <c r="K1553" i="1"/>
  <c r="L1552" i="1"/>
  <c r="K1552" i="1"/>
  <c r="L1551" i="1"/>
  <c r="K1551" i="1"/>
  <c r="L1550" i="1"/>
  <c r="K1550" i="1"/>
  <c r="L1549" i="1"/>
  <c r="K1549" i="1"/>
  <c r="L1548" i="1"/>
  <c r="K1548" i="1"/>
  <c r="L1547" i="1"/>
  <c r="K1547" i="1"/>
  <c r="L1546" i="1"/>
  <c r="K1546" i="1"/>
  <c r="L1545" i="1"/>
  <c r="K1545" i="1"/>
  <c r="L1544" i="1"/>
  <c r="K1544" i="1"/>
  <c r="L1543" i="1"/>
  <c r="K1543" i="1"/>
  <c r="L1542" i="1"/>
  <c r="K1542" i="1"/>
  <c r="L1541" i="1"/>
  <c r="K1541" i="1"/>
  <c r="L1540" i="1"/>
  <c r="K1540" i="1"/>
  <c r="L1539" i="1"/>
  <c r="K1539" i="1"/>
  <c r="L1538" i="1"/>
  <c r="K1538" i="1"/>
  <c r="L1537" i="1"/>
  <c r="K1537" i="1"/>
  <c r="L1536" i="1"/>
  <c r="K1536" i="1"/>
  <c r="L1535" i="1"/>
  <c r="K1535" i="1"/>
  <c r="L1534" i="1"/>
  <c r="K1534" i="1"/>
  <c r="L1533" i="1"/>
  <c r="K1533" i="1"/>
  <c r="L1532" i="1"/>
  <c r="K1532" i="1"/>
  <c r="L1531" i="1"/>
  <c r="K1531" i="1"/>
  <c r="L1530" i="1"/>
  <c r="K1530" i="1"/>
  <c r="L1529" i="1"/>
  <c r="K1529" i="1"/>
  <c r="L1528" i="1"/>
  <c r="K1528" i="1"/>
  <c r="L1527" i="1"/>
  <c r="K1527" i="1"/>
  <c r="L1526" i="1"/>
  <c r="K1526" i="1"/>
  <c r="L1525" i="1"/>
  <c r="K1525" i="1"/>
  <c r="L1524" i="1"/>
  <c r="K1524" i="1"/>
  <c r="L1523" i="1"/>
  <c r="K1523" i="1"/>
  <c r="L1522" i="1"/>
  <c r="K1522" i="1"/>
  <c r="L1521" i="1"/>
  <c r="K1521" i="1"/>
  <c r="L1520" i="1"/>
  <c r="K1520" i="1"/>
  <c r="L1519" i="1"/>
  <c r="K1519" i="1"/>
  <c r="L1518" i="1"/>
  <c r="K1518" i="1"/>
  <c r="L1517" i="1"/>
  <c r="K1517" i="1"/>
  <c r="L1516" i="1"/>
  <c r="K1516" i="1"/>
  <c r="L1515" i="1"/>
  <c r="K1515" i="1"/>
  <c r="L1514" i="1"/>
  <c r="K1514" i="1"/>
  <c r="L1513" i="1"/>
  <c r="K1513" i="1"/>
  <c r="L1512" i="1"/>
  <c r="K1512" i="1"/>
  <c r="L1511" i="1"/>
  <c r="K1511" i="1"/>
  <c r="L1510" i="1"/>
  <c r="K1510" i="1"/>
  <c r="L1509" i="1"/>
  <c r="K1509" i="1"/>
  <c r="L1508" i="1"/>
  <c r="K1508" i="1"/>
  <c r="L1507" i="1"/>
  <c r="K1507" i="1"/>
  <c r="L1506" i="1"/>
  <c r="K1506" i="1"/>
  <c r="L1505" i="1"/>
  <c r="K1505" i="1"/>
  <c r="L1504" i="1"/>
  <c r="K1504" i="1"/>
  <c r="L1503" i="1"/>
  <c r="K1503" i="1"/>
  <c r="L1502" i="1"/>
  <c r="K1502" i="1"/>
  <c r="L1501" i="1"/>
  <c r="K1501" i="1"/>
  <c r="L1500" i="1"/>
  <c r="K1500" i="1"/>
  <c r="L1499" i="1"/>
  <c r="K1499" i="1"/>
  <c r="L1498" i="1"/>
  <c r="K1498" i="1"/>
  <c r="L1497" i="1"/>
  <c r="K1497" i="1"/>
  <c r="L1496" i="1"/>
  <c r="K1496" i="1"/>
  <c r="L1495" i="1"/>
  <c r="K1495" i="1"/>
  <c r="L1494" i="1"/>
  <c r="K1494" i="1"/>
  <c r="L1493" i="1"/>
  <c r="K1493" i="1"/>
  <c r="L1492" i="1"/>
  <c r="K1492" i="1"/>
  <c r="L1491" i="1"/>
  <c r="K1491" i="1"/>
  <c r="L1490" i="1"/>
  <c r="K1490" i="1"/>
  <c r="L1489" i="1"/>
  <c r="K1489" i="1"/>
  <c r="L1488" i="1"/>
  <c r="K1488" i="1"/>
  <c r="L1487" i="1"/>
  <c r="K1487" i="1"/>
  <c r="L1486" i="1"/>
  <c r="K1486" i="1"/>
  <c r="L1485" i="1"/>
  <c r="K1485" i="1"/>
  <c r="L1484" i="1"/>
  <c r="K1484" i="1"/>
  <c r="L1483" i="1"/>
  <c r="K1483" i="1"/>
  <c r="L1482" i="1"/>
  <c r="K1482" i="1"/>
  <c r="L1481" i="1"/>
  <c r="K1481" i="1"/>
  <c r="L1480" i="1"/>
  <c r="K1480" i="1"/>
  <c r="L1479" i="1"/>
  <c r="K1479" i="1"/>
  <c r="L1478" i="1"/>
  <c r="K1478" i="1"/>
  <c r="L1477" i="1"/>
  <c r="K1477" i="1"/>
  <c r="L1476" i="1"/>
  <c r="K1476" i="1"/>
  <c r="L1475" i="1"/>
  <c r="K1475" i="1"/>
  <c r="L1474" i="1"/>
  <c r="K1474" i="1"/>
  <c r="L1473" i="1"/>
  <c r="K1473" i="1"/>
  <c r="L1472" i="1"/>
  <c r="K1472" i="1"/>
  <c r="L1471" i="1"/>
  <c r="K1471" i="1"/>
  <c r="L1470" i="1"/>
  <c r="K1470" i="1"/>
  <c r="L1469" i="1"/>
  <c r="K1469" i="1"/>
  <c r="L1468" i="1"/>
  <c r="K1468" i="1"/>
  <c r="L1467" i="1"/>
  <c r="K1467" i="1"/>
  <c r="L1466" i="1"/>
  <c r="K1466" i="1"/>
  <c r="L1465" i="1"/>
  <c r="K1465" i="1"/>
  <c r="L1464" i="1"/>
  <c r="K1464" i="1"/>
  <c r="L1463" i="1"/>
  <c r="K1463" i="1"/>
  <c r="L1462" i="1"/>
  <c r="K1462" i="1"/>
  <c r="L1461" i="1"/>
  <c r="K1461" i="1"/>
  <c r="L1460" i="1"/>
  <c r="K1460" i="1"/>
  <c r="L1459" i="1"/>
  <c r="K1459" i="1"/>
  <c r="L1458" i="1"/>
  <c r="K1458" i="1"/>
  <c r="L1457" i="1"/>
  <c r="K1457" i="1"/>
  <c r="L1456" i="1"/>
  <c r="K1456" i="1"/>
  <c r="L1455" i="1"/>
  <c r="K1455" i="1"/>
  <c r="L1454" i="1"/>
  <c r="K1454" i="1"/>
  <c r="L1453" i="1"/>
  <c r="K1453" i="1"/>
  <c r="L1452" i="1"/>
  <c r="K1452" i="1"/>
  <c r="L1451" i="1"/>
  <c r="K1451" i="1"/>
  <c r="L1450" i="1"/>
  <c r="K1450" i="1"/>
  <c r="L1449" i="1"/>
  <c r="K1449" i="1"/>
  <c r="L1448" i="1"/>
  <c r="K1448" i="1"/>
  <c r="L1447" i="1"/>
  <c r="K1447" i="1"/>
  <c r="L1446" i="1"/>
  <c r="K1446" i="1"/>
  <c r="L1445" i="1"/>
  <c r="K1445" i="1"/>
  <c r="L1444" i="1"/>
  <c r="K1444" i="1"/>
  <c r="L1443" i="1"/>
  <c r="K1443" i="1"/>
  <c r="L1442" i="1"/>
  <c r="K1442" i="1"/>
  <c r="L1441" i="1"/>
  <c r="K1441" i="1"/>
  <c r="L1440" i="1"/>
  <c r="K1440" i="1"/>
  <c r="L1439" i="1"/>
  <c r="K1439" i="1"/>
  <c r="L1438" i="1"/>
  <c r="K1438" i="1"/>
  <c r="L1437" i="1"/>
  <c r="K1437" i="1"/>
  <c r="L1436" i="1"/>
  <c r="K1436" i="1"/>
  <c r="L1435" i="1"/>
  <c r="K1435" i="1"/>
  <c r="L1434" i="1"/>
  <c r="K1434" i="1"/>
  <c r="L1433" i="1"/>
  <c r="K1433" i="1"/>
  <c r="L1432" i="1"/>
  <c r="K1432" i="1"/>
  <c r="L1431" i="1"/>
  <c r="K1431" i="1"/>
  <c r="L1430" i="1"/>
  <c r="K1430" i="1"/>
  <c r="L1429" i="1"/>
  <c r="K1429" i="1"/>
  <c r="L1428" i="1"/>
  <c r="K1428" i="1"/>
  <c r="L1427" i="1"/>
  <c r="K1427" i="1"/>
  <c r="L1426" i="1"/>
  <c r="K1426" i="1"/>
  <c r="L1425" i="1"/>
  <c r="K1425" i="1"/>
  <c r="L1424" i="1"/>
  <c r="K1424" i="1"/>
  <c r="L1423" i="1"/>
  <c r="K1423" i="1"/>
  <c r="L1422" i="1"/>
  <c r="K1422" i="1"/>
  <c r="L1421" i="1"/>
  <c r="K1421" i="1"/>
  <c r="L1420" i="1"/>
  <c r="K1420" i="1"/>
  <c r="L1419" i="1"/>
  <c r="K1419" i="1"/>
  <c r="L1418" i="1"/>
  <c r="K1418" i="1"/>
  <c r="L1417" i="1"/>
  <c r="K1417" i="1"/>
  <c r="L1416" i="1"/>
  <c r="K1416" i="1"/>
  <c r="L1415" i="1"/>
  <c r="K1415" i="1"/>
  <c r="L1414" i="1"/>
  <c r="K1414" i="1"/>
  <c r="L1413" i="1"/>
  <c r="K1413" i="1"/>
  <c r="L1412" i="1"/>
  <c r="K1412" i="1"/>
  <c r="L1411" i="1"/>
  <c r="K1411" i="1"/>
  <c r="L1410" i="1"/>
  <c r="K1410" i="1"/>
  <c r="L1409" i="1"/>
  <c r="K1409" i="1"/>
  <c r="L1408" i="1"/>
  <c r="K1408" i="1"/>
  <c r="L1407" i="1"/>
  <c r="K1407" i="1"/>
  <c r="L1406" i="1"/>
  <c r="K1406" i="1"/>
  <c r="L1405" i="1"/>
  <c r="K1405" i="1"/>
  <c r="L1404" i="1"/>
  <c r="K1404" i="1"/>
  <c r="L1403" i="1"/>
  <c r="K1403" i="1"/>
  <c r="L1402" i="1"/>
  <c r="K1402" i="1"/>
  <c r="L1401" i="1"/>
  <c r="K1401" i="1"/>
  <c r="L1400" i="1"/>
  <c r="K1400" i="1"/>
  <c r="L1399" i="1"/>
  <c r="K1399" i="1"/>
  <c r="L1398" i="1"/>
  <c r="K1398" i="1"/>
  <c r="L1397" i="1"/>
  <c r="K1397" i="1"/>
  <c r="L1396" i="1"/>
  <c r="K1396" i="1"/>
  <c r="L1395" i="1"/>
  <c r="K1395" i="1"/>
  <c r="L1394" i="1"/>
  <c r="K1394" i="1"/>
  <c r="L1393" i="1"/>
  <c r="K1393" i="1"/>
  <c r="L1392" i="1"/>
  <c r="K1392" i="1"/>
  <c r="L1391" i="1"/>
  <c r="K1391" i="1"/>
  <c r="L1390" i="1"/>
  <c r="K1390" i="1"/>
  <c r="L1389" i="1"/>
  <c r="K1389" i="1"/>
  <c r="L1388" i="1"/>
  <c r="K1388" i="1"/>
  <c r="L1387" i="1"/>
  <c r="K1387" i="1"/>
  <c r="L1386" i="1"/>
  <c r="K1386" i="1"/>
  <c r="L1385" i="1"/>
  <c r="K1385" i="1"/>
  <c r="L1384" i="1"/>
  <c r="K1384" i="1"/>
  <c r="L1383" i="1"/>
  <c r="K1383" i="1"/>
  <c r="L1382" i="1"/>
  <c r="K1382" i="1"/>
  <c r="L1381" i="1"/>
  <c r="K1381" i="1"/>
  <c r="L1380" i="1"/>
  <c r="K1380" i="1"/>
  <c r="L1379" i="1"/>
  <c r="K1379" i="1"/>
  <c r="L1378" i="1"/>
  <c r="K1378" i="1"/>
  <c r="L1377" i="1"/>
  <c r="K1377" i="1"/>
  <c r="L1376" i="1"/>
  <c r="K1376" i="1"/>
  <c r="L1375" i="1"/>
  <c r="K1375" i="1"/>
  <c r="L1374" i="1"/>
  <c r="K1374" i="1"/>
  <c r="L1373" i="1"/>
  <c r="K1373" i="1"/>
  <c r="L1372" i="1"/>
  <c r="K1372" i="1"/>
  <c r="L1371" i="1"/>
  <c r="K1371" i="1"/>
  <c r="L1370" i="1"/>
  <c r="K1370" i="1"/>
  <c r="L1369" i="1"/>
  <c r="K1369" i="1"/>
  <c r="L1368" i="1"/>
  <c r="K1368" i="1"/>
  <c r="L1367" i="1"/>
  <c r="K1367" i="1"/>
  <c r="L1366" i="1"/>
  <c r="K1366" i="1"/>
  <c r="L1365" i="1"/>
  <c r="K1365" i="1"/>
  <c r="L1364" i="1"/>
  <c r="K1364" i="1"/>
  <c r="L1363" i="1"/>
  <c r="K1363" i="1"/>
  <c r="L1362" i="1"/>
  <c r="K1362" i="1"/>
  <c r="L1361" i="1"/>
  <c r="K1361" i="1"/>
  <c r="L1360" i="1"/>
  <c r="K1360" i="1"/>
  <c r="L1359" i="1"/>
  <c r="K1359" i="1"/>
  <c r="L1358" i="1"/>
  <c r="K1358" i="1"/>
  <c r="L1357" i="1"/>
  <c r="K1357" i="1"/>
  <c r="L1356" i="1"/>
  <c r="K1356" i="1"/>
  <c r="L1355" i="1"/>
  <c r="K1355" i="1"/>
  <c r="L1354" i="1"/>
  <c r="K1354" i="1"/>
  <c r="L1353" i="1"/>
  <c r="K1353" i="1"/>
  <c r="L1352" i="1"/>
  <c r="K1352" i="1"/>
  <c r="L1351" i="1"/>
  <c r="K1351" i="1"/>
  <c r="L1350" i="1"/>
  <c r="K1350" i="1"/>
  <c r="L1349" i="1"/>
  <c r="K1349" i="1"/>
  <c r="L1348" i="1"/>
  <c r="K1348" i="1"/>
  <c r="L1347" i="1"/>
  <c r="K1347" i="1"/>
  <c r="L1346" i="1"/>
  <c r="K1346" i="1"/>
  <c r="L1345" i="1"/>
  <c r="K1345" i="1"/>
  <c r="L1344" i="1"/>
  <c r="K1344" i="1"/>
  <c r="L1343" i="1"/>
  <c r="K1343" i="1"/>
  <c r="L1342" i="1"/>
  <c r="K1342" i="1"/>
  <c r="L1341" i="1"/>
  <c r="K1341" i="1"/>
  <c r="L1340" i="1"/>
  <c r="K1340" i="1"/>
  <c r="L1339" i="1"/>
  <c r="K1339" i="1"/>
  <c r="L1338" i="1"/>
  <c r="K1338" i="1"/>
  <c r="L1337" i="1"/>
  <c r="K1337" i="1"/>
  <c r="L1336" i="1"/>
  <c r="K1336" i="1"/>
  <c r="L1335" i="1"/>
  <c r="K1335" i="1"/>
  <c r="L1334" i="1"/>
  <c r="K1334" i="1"/>
  <c r="L1333" i="1"/>
  <c r="K1333" i="1"/>
  <c r="L1332" i="1"/>
  <c r="K1332" i="1"/>
  <c r="L1331" i="1"/>
  <c r="K1331" i="1"/>
  <c r="L1330" i="1"/>
  <c r="K1330" i="1"/>
  <c r="L1329" i="1"/>
  <c r="K1329" i="1"/>
  <c r="L1328" i="1"/>
  <c r="K1328" i="1"/>
  <c r="L1327" i="1"/>
  <c r="K1327" i="1"/>
  <c r="L1326" i="1"/>
  <c r="K1326" i="1"/>
  <c r="L1325" i="1"/>
  <c r="K1325" i="1"/>
  <c r="L1324" i="1"/>
  <c r="K1324" i="1"/>
  <c r="L1323" i="1"/>
  <c r="K1323" i="1"/>
  <c r="L1322" i="1"/>
  <c r="K1322" i="1"/>
  <c r="L1321" i="1"/>
  <c r="K1321" i="1"/>
  <c r="L1320" i="1"/>
  <c r="K1320" i="1"/>
  <c r="L1319" i="1"/>
  <c r="K1319" i="1"/>
  <c r="L1318" i="1"/>
  <c r="K1318" i="1"/>
  <c r="L1317" i="1"/>
  <c r="K1317" i="1"/>
  <c r="L1316" i="1"/>
  <c r="K1316" i="1"/>
  <c r="L1315" i="1"/>
  <c r="K1315" i="1"/>
  <c r="L1314" i="1"/>
  <c r="K1314" i="1"/>
  <c r="L1313" i="1"/>
  <c r="K1313" i="1"/>
  <c r="L1312" i="1"/>
  <c r="K1312" i="1"/>
  <c r="L1311" i="1"/>
  <c r="K1311" i="1"/>
  <c r="L1310" i="1"/>
  <c r="K1310" i="1"/>
  <c r="L1309" i="1"/>
  <c r="K1309" i="1"/>
  <c r="L1308" i="1"/>
  <c r="K1308" i="1"/>
  <c r="L1307" i="1"/>
  <c r="K1307" i="1"/>
  <c r="L1306" i="1"/>
  <c r="K1306" i="1"/>
  <c r="L1305" i="1"/>
  <c r="K1305" i="1"/>
  <c r="L1304" i="1"/>
  <c r="K1304" i="1"/>
  <c r="L1303" i="1"/>
  <c r="K1303" i="1"/>
  <c r="L1302" i="1"/>
  <c r="K1302" i="1"/>
  <c r="L1301" i="1"/>
  <c r="K1301" i="1"/>
  <c r="L1300" i="1"/>
  <c r="K1300" i="1"/>
  <c r="L1299" i="1"/>
  <c r="K1299" i="1"/>
  <c r="L1298" i="1"/>
  <c r="K1298" i="1"/>
  <c r="L1297" i="1"/>
  <c r="K1297" i="1"/>
  <c r="L1296" i="1"/>
  <c r="K1296" i="1"/>
  <c r="L1295" i="1"/>
  <c r="K1295" i="1"/>
  <c r="L1294" i="1"/>
  <c r="K1294" i="1"/>
  <c r="L1293" i="1"/>
  <c r="K1293" i="1"/>
  <c r="L1292" i="1"/>
  <c r="K1292" i="1"/>
  <c r="L1291" i="1"/>
  <c r="K1291" i="1"/>
  <c r="L1290" i="1"/>
  <c r="K1290" i="1"/>
  <c r="L1289" i="1"/>
  <c r="K1289" i="1"/>
  <c r="L1288" i="1"/>
  <c r="K1288" i="1"/>
  <c r="L1287" i="1"/>
  <c r="K1287" i="1"/>
  <c r="L1286" i="1"/>
  <c r="K1286" i="1"/>
  <c r="L1285" i="1"/>
  <c r="K1285" i="1"/>
  <c r="L1284" i="1"/>
  <c r="K1284" i="1"/>
  <c r="L1283" i="1"/>
  <c r="K1283" i="1"/>
  <c r="L1282" i="1"/>
  <c r="K1282" i="1"/>
  <c r="L1281" i="1"/>
  <c r="K1281" i="1"/>
  <c r="L1280" i="1"/>
  <c r="K1280" i="1"/>
  <c r="L1279" i="1"/>
  <c r="K1279" i="1"/>
  <c r="L1278" i="1"/>
  <c r="K1278" i="1"/>
  <c r="L1277" i="1"/>
  <c r="K1277" i="1"/>
  <c r="L1276" i="1"/>
  <c r="K1276" i="1"/>
  <c r="L1275" i="1"/>
  <c r="K1275" i="1"/>
  <c r="L1274" i="1"/>
  <c r="K1274" i="1"/>
  <c r="L1273" i="1"/>
  <c r="K1273" i="1"/>
  <c r="L1272" i="1"/>
  <c r="K1272" i="1"/>
  <c r="L1271" i="1"/>
  <c r="K1271" i="1"/>
  <c r="L1270" i="1"/>
  <c r="K1270" i="1"/>
  <c r="L1269" i="1"/>
  <c r="K1269" i="1"/>
  <c r="L1268" i="1"/>
  <c r="K1268" i="1"/>
  <c r="L1267" i="1"/>
  <c r="K1267" i="1"/>
  <c r="L1266" i="1"/>
  <c r="K1266" i="1"/>
  <c r="L1265" i="1"/>
  <c r="K1265" i="1"/>
  <c r="L1264" i="1"/>
  <c r="K1264" i="1"/>
  <c r="L1263" i="1"/>
  <c r="K1263" i="1"/>
  <c r="L1262" i="1"/>
  <c r="K1262" i="1"/>
  <c r="L1261" i="1"/>
  <c r="K1261" i="1"/>
  <c r="L1260" i="1"/>
  <c r="K1260" i="1"/>
  <c r="L1259" i="1"/>
  <c r="K1259" i="1"/>
  <c r="L1258" i="1"/>
  <c r="K1258" i="1"/>
  <c r="L1257" i="1"/>
  <c r="K1257" i="1"/>
  <c r="L1256" i="1"/>
  <c r="K1256" i="1"/>
  <c r="L1255" i="1"/>
  <c r="K1255" i="1"/>
  <c r="L1254" i="1"/>
  <c r="K1254" i="1"/>
  <c r="L1253" i="1"/>
  <c r="K1253" i="1"/>
  <c r="L1252" i="1"/>
  <c r="K1252" i="1"/>
  <c r="L1251" i="1"/>
  <c r="K1251" i="1"/>
  <c r="L1250" i="1"/>
  <c r="K1250" i="1"/>
  <c r="L1249" i="1"/>
  <c r="K1249" i="1"/>
  <c r="L1248" i="1"/>
  <c r="K1248" i="1"/>
  <c r="L1247" i="1"/>
  <c r="K1247" i="1"/>
  <c r="L1246" i="1"/>
  <c r="K1246" i="1"/>
  <c r="L1245" i="1"/>
  <c r="K1245" i="1"/>
  <c r="L1244" i="1"/>
  <c r="K1244" i="1"/>
  <c r="L1243" i="1"/>
  <c r="K1243" i="1"/>
  <c r="L1242" i="1"/>
  <c r="K1242" i="1"/>
  <c r="L1241" i="1"/>
  <c r="K1241" i="1"/>
  <c r="L1240" i="1"/>
  <c r="K1240" i="1"/>
  <c r="L1239" i="1"/>
  <c r="K1239" i="1"/>
  <c r="L1238" i="1"/>
  <c r="K1238" i="1"/>
  <c r="L1237" i="1"/>
  <c r="K1237" i="1"/>
  <c r="L1236" i="1"/>
  <c r="K1236" i="1"/>
  <c r="L1235" i="1"/>
  <c r="K1235" i="1"/>
  <c r="L1234" i="1"/>
  <c r="K1234" i="1"/>
  <c r="L1233" i="1"/>
  <c r="K1233" i="1"/>
  <c r="L1232" i="1"/>
  <c r="K1232" i="1"/>
  <c r="L1231" i="1"/>
  <c r="K1231" i="1"/>
  <c r="L1230" i="1"/>
  <c r="K1230" i="1"/>
  <c r="L1229" i="1"/>
  <c r="K1229" i="1"/>
  <c r="L1228" i="1"/>
  <c r="K1228" i="1"/>
  <c r="L1227" i="1"/>
  <c r="K1227" i="1"/>
  <c r="L1226" i="1"/>
  <c r="K1226" i="1"/>
  <c r="L1225" i="1"/>
  <c r="K1225" i="1"/>
  <c r="L1224" i="1"/>
  <c r="K1224" i="1"/>
  <c r="L1223" i="1"/>
  <c r="K1223" i="1"/>
  <c r="L1222" i="1"/>
  <c r="K1222" i="1"/>
  <c r="L1221" i="1"/>
  <c r="K1221" i="1"/>
  <c r="L1220" i="1"/>
  <c r="K1220" i="1"/>
  <c r="L1219" i="1"/>
  <c r="K1219" i="1"/>
  <c r="L1218" i="1"/>
  <c r="K1218" i="1"/>
  <c r="L1217" i="1"/>
  <c r="K1217" i="1"/>
  <c r="L1216" i="1"/>
  <c r="K1216" i="1"/>
  <c r="L1215" i="1"/>
  <c r="K1215" i="1"/>
  <c r="L1214" i="1"/>
  <c r="K1214" i="1"/>
  <c r="L1213" i="1"/>
  <c r="K1213" i="1"/>
  <c r="L1212" i="1"/>
  <c r="K1212" i="1"/>
  <c r="L1211" i="1"/>
  <c r="K1211" i="1"/>
  <c r="L1210" i="1"/>
  <c r="K1210" i="1"/>
  <c r="L1209" i="1"/>
  <c r="K1209" i="1"/>
  <c r="L1208" i="1"/>
  <c r="K1208" i="1"/>
  <c r="L1207" i="1"/>
  <c r="K1207" i="1"/>
  <c r="L1206" i="1"/>
  <c r="K1206" i="1"/>
  <c r="L1205" i="1"/>
  <c r="K1205" i="1"/>
  <c r="L1204" i="1"/>
  <c r="K1204" i="1"/>
  <c r="L1203" i="1"/>
  <c r="K1203" i="1"/>
  <c r="L1202" i="1"/>
  <c r="K1202" i="1"/>
  <c r="L1201" i="1"/>
  <c r="K1201" i="1"/>
  <c r="L1200" i="1"/>
  <c r="K1200" i="1"/>
  <c r="L1199" i="1"/>
  <c r="K1199" i="1"/>
  <c r="L1198" i="1"/>
  <c r="K1198" i="1"/>
  <c r="L1197" i="1"/>
  <c r="K1197" i="1"/>
  <c r="L1196" i="1"/>
  <c r="K1196" i="1"/>
  <c r="L1195" i="1"/>
  <c r="K1195" i="1"/>
  <c r="L1194" i="1"/>
  <c r="K1194" i="1"/>
  <c r="L1193" i="1"/>
  <c r="K1193" i="1"/>
  <c r="L1192" i="1"/>
  <c r="K1192" i="1"/>
  <c r="L1191" i="1"/>
  <c r="K1191" i="1"/>
  <c r="L1190" i="1"/>
  <c r="K1190" i="1"/>
  <c r="L1189" i="1"/>
  <c r="K1189" i="1"/>
  <c r="L1188" i="1"/>
  <c r="K1188" i="1"/>
  <c r="L1187" i="1"/>
  <c r="K1187" i="1"/>
  <c r="L1186" i="1"/>
  <c r="K1186" i="1"/>
  <c r="L1185" i="1"/>
  <c r="K1185" i="1"/>
  <c r="L1184" i="1"/>
  <c r="K1184" i="1"/>
  <c r="L1183" i="1"/>
  <c r="K1183" i="1"/>
  <c r="L1182" i="1"/>
  <c r="K1182" i="1"/>
  <c r="L1181" i="1"/>
  <c r="K1181" i="1"/>
  <c r="L1180" i="1"/>
  <c r="K1180" i="1"/>
  <c r="L1179" i="1"/>
  <c r="K1179" i="1"/>
  <c r="L1178" i="1"/>
  <c r="K1178" i="1"/>
  <c r="L1177" i="1"/>
  <c r="K1177" i="1"/>
  <c r="L1176" i="1"/>
  <c r="K1176" i="1"/>
  <c r="L1175" i="1"/>
  <c r="K1175" i="1"/>
  <c r="L1174" i="1"/>
  <c r="K1174" i="1"/>
  <c r="L1173" i="1"/>
  <c r="K1173" i="1"/>
  <c r="L1172" i="1"/>
  <c r="K1172" i="1"/>
  <c r="L1171" i="1"/>
  <c r="K1171" i="1"/>
  <c r="L1170" i="1"/>
  <c r="K1170" i="1"/>
  <c r="L1169" i="1"/>
  <c r="K1169" i="1"/>
  <c r="L1168" i="1"/>
  <c r="K1168" i="1"/>
  <c r="L1167" i="1"/>
  <c r="K1167" i="1"/>
  <c r="L1166" i="1"/>
  <c r="K1166" i="1"/>
  <c r="L1165" i="1"/>
  <c r="K1165" i="1"/>
  <c r="L1164" i="1"/>
  <c r="K1164" i="1"/>
  <c r="L1163" i="1"/>
  <c r="K1163" i="1"/>
  <c r="L1162" i="1"/>
  <c r="K1162" i="1"/>
  <c r="L1161" i="1"/>
  <c r="K1161" i="1"/>
  <c r="L1160" i="1"/>
  <c r="K1160" i="1"/>
  <c r="L1159" i="1"/>
  <c r="K1159" i="1"/>
  <c r="L1158" i="1"/>
  <c r="K1158" i="1"/>
  <c r="L1157" i="1"/>
  <c r="K1157" i="1"/>
  <c r="L1156" i="1"/>
  <c r="K1156" i="1"/>
  <c r="L1155" i="1"/>
  <c r="K1155" i="1"/>
  <c r="L1154" i="1"/>
  <c r="K1154" i="1"/>
  <c r="L1153" i="1"/>
  <c r="K1153" i="1"/>
  <c r="L1152" i="1"/>
  <c r="K1152" i="1"/>
  <c r="L1151" i="1"/>
  <c r="K1151" i="1"/>
  <c r="L1150" i="1"/>
  <c r="K1150" i="1"/>
  <c r="L1149" i="1"/>
  <c r="K1149" i="1"/>
  <c r="L1148" i="1"/>
  <c r="K1148" i="1"/>
  <c r="L1147" i="1"/>
  <c r="K1147" i="1"/>
  <c r="L1146" i="1"/>
  <c r="K1146" i="1"/>
  <c r="L1145" i="1"/>
  <c r="K1145" i="1"/>
  <c r="L1144" i="1"/>
  <c r="K1144" i="1"/>
  <c r="L1143" i="1"/>
  <c r="K1143" i="1"/>
  <c r="L1142" i="1"/>
  <c r="K1142" i="1"/>
  <c r="L1141" i="1"/>
  <c r="K1141" i="1"/>
  <c r="L1140" i="1"/>
  <c r="K1140" i="1"/>
  <c r="L1139" i="1"/>
  <c r="K1139" i="1"/>
  <c r="L1138" i="1"/>
  <c r="K1138" i="1"/>
  <c r="L1137" i="1"/>
  <c r="K1137" i="1"/>
  <c r="L1136" i="1"/>
  <c r="K1136" i="1"/>
  <c r="L1135" i="1"/>
  <c r="K1135" i="1"/>
  <c r="L1134" i="1"/>
  <c r="K1134" i="1"/>
  <c r="L1133" i="1"/>
  <c r="K1133" i="1"/>
  <c r="L1132" i="1"/>
  <c r="K1132" i="1"/>
  <c r="L1131" i="1"/>
  <c r="K1131" i="1"/>
  <c r="L1130" i="1"/>
  <c r="K1130" i="1"/>
  <c r="L1129" i="1"/>
  <c r="K1129" i="1"/>
  <c r="L1128" i="1"/>
  <c r="K1128" i="1"/>
  <c r="L1127" i="1"/>
  <c r="K1127" i="1"/>
  <c r="L1126" i="1"/>
  <c r="K1126" i="1"/>
  <c r="L1125" i="1"/>
  <c r="K1125" i="1"/>
  <c r="L1124" i="1"/>
  <c r="K1124" i="1"/>
  <c r="L1123" i="1"/>
  <c r="K1123" i="1"/>
  <c r="L1122" i="1"/>
  <c r="K1122" i="1"/>
  <c r="L1121" i="1"/>
  <c r="K1121" i="1"/>
  <c r="L1120" i="1"/>
  <c r="K1120" i="1"/>
  <c r="L1119" i="1"/>
  <c r="K1119" i="1"/>
  <c r="L1118" i="1"/>
  <c r="K1118" i="1"/>
  <c r="L1117" i="1"/>
  <c r="K1117" i="1"/>
  <c r="L1116" i="1"/>
  <c r="K1116" i="1"/>
  <c r="L1115" i="1"/>
  <c r="K1115" i="1"/>
  <c r="L1114" i="1"/>
  <c r="K1114" i="1"/>
  <c r="L1113" i="1"/>
  <c r="K1113" i="1"/>
  <c r="L1112" i="1"/>
  <c r="K1112" i="1"/>
  <c r="L1111" i="1"/>
  <c r="K1111" i="1"/>
  <c r="L1110" i="1"/>
  <c r="K1110" i="1"/>
  <c r="L1109" i="1"/>
  <c r="K1109" i="1"/>
  <c r="L1108" i="1"/>
  <c r="K1108" i="1"/>
  <c r="L1107" i="1"/>
  <c r="K1107" i="1"/>
  <c r="L1106" i="1"/>
  <c r="K1106" i="1"/>
  <c r="L1105" i="1"/>
  <c r="K1105" i="1"/>
  <c r="L1104" i="1"/>
  <c r="K1104" i="1"/>
  <c r="L1103" i="1"/>
  <c r="K1103" i="1"/>
  <c r="L1102" i="1"/>
  <c r="K1102" i="1"/>
  <c r="L1101" i="1"/>
  <c r="K1101" i="1"/>
  <c r="L1100" i="1"/>
  <c r="K1100" i="1"/>
  <c r="L1099" i="1"/>
  <c r="K1099" i="1"/>
  <c r="L1098" i="1"/>
  <c r="K1098" i="1"/>
  <c r="L1097" i="1"/>
  <c r="K1097" i="1"/>
  <c r="L1096" i="1"/>
  <c r="K1096" i="1"/>
  <c r="L1095" i="1"/>
  <c r="K1095" i="1"/>
  <c r="L1094" i="1"/>
  <c r="K1094" i="1"/>
  <c r="L1093" i="1"/>
  <c r="K1093" i="1"/>
  <c r="L1092" i="1"/>
  <c r="K1092" i="1"/>
  <c r="L1091" i="1"/>
  <c r="K1091" i="1"/>
  <c r="L1090" i="1"/>
  <c r="K1090" i="1"/>
  <c r="L1089" i="1"/>
  <c r="K1089" i="1"/>
  <c r="L1088" i="1"/>
  <c r="K1088" i="1"/>
  <c r="L1087" i="1"/>
  <c r="K1087" i="1"/>
  <c r="L1086" i="1"/>
  <c r="K1086" i="1"/>
  <c r="L1085" i="1"/>
  <c r="K1085" i="1"/>
  <c r="L1084" i="1"/>
  <c r="K1084" i="1"/>
  <c r="L1083" i="1"/>
  <c r="K1083" i="1"/>
  <c r="L1082" i="1"/>
  <c r="K1082" i="1"/>
  <c r="L1081" i="1"/>
  <c r="K1081" i="1"/>
  <c r="L1080" i="1"/>
  <c r="K1080" i="1"/>
  <c r="L1079" i="1"/>
  <c r="K1079" i="1"/>
  <c r="L1078" i="1"/>
  <c r="K1078" i="1"/>
  <c r="L1077" i="1"/>
  <c r="K1077" i="1"/>
  <c r="L1076" i="1"/>
  <c r="K1076" i="1"/>
  <c r="L1075" i="1"/>
  <c r="K1075" i="1"/>
  <c r="L1074" i="1"/>
  <c r="K1074" i="1"/>
  <c r="L1073" i="1"/>
  <c r="K1073" i="1"/>
  <c r="L1072" i="1"/>
  <c r="K1072" i="1"/>
  <c r="L1071" i="1"/>
  <c r="K1071" i="1"/>
  <c r="L1070" i="1"/>
  <c r="K1070" i="1"/>
  <c r="L1069" i="1"/>
  <c r="K1069" i="1"/>
  <c r="L1068" i="1"/>
  <c r="K1068" i="1"/>
  <c r="L1067" i="1"/>
  <c r="K1067" i="1"/>
  <c r="L1066" i="1"/>
  <c r="K1066" i="1"/>
  <c r="L1065" i="1"/>
  <c r="K1065" i="1"/>
  <c r="L1064" i="1"/>
  <c r="K1064" i="1"/>
  <c r="L1063" i="1"/>
  <c r="K1063" i="1"/>
  <c r="L1062" i="1"/>
  <c r="K1062" i="1"/>
  <c r="L1061" i="1"/>
  <c r="K1061" i="1"/>
  <c r="L1060" i="1"/>
  <c r="K1060" i="1"/>
  <c r="L1059" i="1"/>
  <c r="K1059" i="1"/>
  <c r="L1058" i="1"/>
  <c r="K1058" i="1"/>
  <c r="L1057" i="1"/>
  <c r="K1057" i="1"/>
  <c r="L1056" i="1"/>
  <c r="K1056" i="1"/>
  <c r="L1055" i="1"/>
  <c r="K1055" i="1"/>
  <c r="L1054" i="1"/>
  <c r="K1054" i="1"/>
  <c r="L1053" i="1"/>
  <c r="K1053" i="1"/>
  <c r="L1052" i="1"/>
  <c r="K1052" i="1"/>
  <c r="L1051" i="1"/>
  <c r="K1051" i="1"/>
  <c r="L1050" i="1"/>
  <c r="K1050" i="1"/>
  <c r="L1049" i="1"/>
  <c r="K1049" i="1"/>
  <c r="L1048" i="1"/>
  <c r="K1048" i="1"/>
  <c r="L1047" i="1"/>
  <c r="K1047" i="1"/>
  <c r="L1046" i="1"/>
  <c r="K1046" i="1"/>
  <c r="L1045" i="1"/>
  <c r="K1045" i="1"/>
  <c r="L1044" i="1"/>
  <c r="K1044" i="1"/>
  <c r="L1043" i="1"/>
  <c r="K1043" i="1"/>
  <c r="L1042" i="1"/>
  <c r="K1042" i="1"/>
  <c r="L1041" i="1"/>
  <c r="K1041" i="1"/>
  <c r="L1040" i="1"/>
  <c r="K1040" i="1"/>
  <c r="L1039" i="1"/>
  <c r="K1039" i="1"/>
  <c r="L1038" i="1"/>
  <c r="K1038" i="1"/>
  <c r="L1037" i="1"/>
  <c r="K1037" i="1"/>
  <c r="L1036" i="1"/>
  <c r="K1036" i="1"/>
  <c r="L1035" i="1"/>
  <c r="K1035" i="1"/>
  <c r="L1034" i="1"/>
  <c r="K1034" i="1"/>
  <c r="L1033" i="1"/>
  <c r="K1033" i="1"/>
  <c r="L1032" i="1"/>
  <c r="K1032" i="1"/>
  <c r="L1031" i="1"/>
  <c r="K1031" i="1"/>
  <c r="L1030" i="1"/>
  <c r="K1030" i="1"/>
  <c r="L1029" i="1"/>
  <c r="K1029" i="1"/>
  <c r="L1028" i="1"/>
  <c r="K1028" i="1"/>
  <c r="L1027" i="1"/>
  <c r="K1027" i="1"/>
  <c r="L1026" i="1"/>
  <c r="K1026" i="1"/>
  <c r="L1025" i="1"/>
  <c r="K1025" i="1"/>
  <c r="L1024" i="1"/>
  <c r="K1024" i="1"/>
  <c r="L1023" i="1"/>
  <c r="K1023" i="1"/>
  <c r="L1022" i="1"/>
  <c r="K1022" i="1"/>
  <c r="L1021" i="1"/>
  <c r="K1021" i="1"/>
  <c r="L1020" i="1"/>
  <c r="K1020" i="1"/>
  <c r="L1019" i="1"/>
  <c r="K1019" i="1"/>
  <c r="L1018" i="1"/>
  <c r="K1018" i="1"/>
  <c r="L1017" i="1"/>
  <c r="K1017" i="1"/>
  <c r="L1016" i="1"/>
  <c r="K1016" i="1"/>
  <c r="L1015" i="1"/>
  <c r="K1015" i="1"/>
  <c r="L1014" i="1"/>
  <c r="K1014" i="1"/>
  <c r="L1013" i="1"/>
  <c r="K1013" i="1"/>
  <c r="L1012" i="1"/>
  <c r="K1012" i="1"/>
  <c r="L1011" i="1"/>
  <c r="K1011" i="1"/>
  <c r="L1010" i="1"/>
  <c r="K1010" i="1"/>
  <c r="L1009" i="1"/>
  <c r="K1009" i="1"/>
  <c r="L1008" i="1"/>
  <c r="K1008" i="1"/>
  <c r="L1007" i="1"/>
  <c r="K1007" i="1"/>
  <c r="L1006" i="1"/>
  <c r="K1006" i="1"/>
  <c r="L1005" i="1"/>
  <c r="K1005" i="1"/>
  <c r="L1004" i="1"/>
  <c r="K1004" i="1"/>
  <c r="L1003" i="1"/>
  <c r="K1003" i="1"/>
  <c r="L1002" i="1"/>
  <c r="K1002" i="1"/>
  <c r="L1001" i="1"/>
  <c r="K1001" i="1"/>
  <c r="L1000" i="1"/>
  <c r="K1000" i="1"/>
  <c r="L999" i="1"/>
  <c r="K999" i="1"/>
  <c r="L998" i="1"/>
  <c r="K998" i="1"/>
  <c r="L997" i="1"/>
  <c r="K997" i="1"/>
  <c r="L996" i="1"/>
  <c r="K996" i="1"/>
  <c r="L995" i="1"/>
  <c r="K995" i="1"/>
  <c r="L994" i="1"/>
  <c r="K994" i="1"/>
  <c r="L993" i="1"/>
  <c r="K993" i="1"/>
  <c r="L992" i="1"/>
  <c r="K992" i="1"/>
  <c r="L991" i="1"/>
  <c r="K991" i="1"/>
  <c r="L990" i="1"/>
  <c r="K990" i="1"/>
  <c r="L989" i="1"/>
  <c r="K989" i="1"/>
  <c r="L988" i="1"/>
  <c r="K988" i="1"/>
  <c r="L987" i="1"/>
  <c r="K987" i="1"/>
  <c r="L986" i="1"/>
  <c r="K986" i="1"/>
  <c r="L985" i="1"/>
  <c r="K985" i="1"/>
  <c r="L984" i="1"/>
  <c r="K984" i="1"/>
  <c r="L983" i="1"/>
  <c r="K983" i="1"/>
  <c r="L982" i="1"/>
  <c r="K982" i="1"/>
  <c r="L981" i="1"/>
  <c r="K981" i="1"/>
  <c r="L980" i="1"/>
  <c r="K980" i="1"/>
  <c r="L979" i="1"/>
  <c r="K979" i="1"/>
  <c r="L978" i="1"/>
  <c r="K978" i="1"/>
  <c r="L977" i="1"/>
  <c r="K977" i="1"/>
  <c r="L976" i="1"/>
  <c r="K976" i="1"/>
  <c r="L975" i="1"/>
  <c r="K975" i="1"/>
  <c r="L974" i="1"/>
  <c r="K974" i="1"/>
  <c r="L973" i="1"/>
  <c r="K973" i="1"/>
  <c r="L972" i="1"/>
  <c r="K972" i="1"/>
  <c r="L971" i="1"/>
  <c r="K971" i="1"/>
  <c r="L970" i="1"/>
  <c r="K970" i="1"/>
  <c r="L969" i="1"/>
  <c r="K969" i="1"/>
  <c r="L968" i="1"/>
  <c r="K968" i="1"/>
  <c r="L967" i="1"/>
  <c r="K967" i="1"/>
  <c r="L966" i="1"/>
  <c r="K966" i="1"/>
  <c r="L965" i="1"/>
  <c r="K965" i="1"/>
  <c r="L964" i="1"/>
  <c r="K964" i="1"/>
  <c r="L963" i="1"/>
  <c r="K963" i="1"/>
  <c r="L962" i="1"/>
  <c r="K962" i="1"/>
  <c r="L961" i="1"/>
  <c r="K961" i="1"/>
  <c r="L960" i="1"/>
  <c r="K960" i="1"/>
  <c r="L959" i="1"/>
  <c r="K959" i="1"/>
  <c r="L958" i="1"/>
  <c r="K958" i="1"/>
  <c r="L957" i="1"/>
  <c r="K957" i="1"/>
  <c r="L956" i="1"/>
  <c r="K956" i="1"/>
  <c r="L955" i="1"/>
  <c r="K955" i="1"/>
  <c r="L954" i="1"/>
  <c r="K954" i="1"/>
  <c r="L953" i="1"/>
  <c r="K953" i="1"/>
  <c r="L952" i="1"/>
  <c r="K952" i="1"/>
  <c r="L951" i="1"/>
  <c r="K951" i="1"/>
  <c r="L950" i="1"/>
  <c r="K950" i="1"/>
  <c r="L949" i="1"/>
  <c r="K949" i="1"/>
  <c r="L948" i="1"/>
  <c r="K948" i="1"/>
  <c r="L947" i="1"/>
  <c r="K947" i="1"/>
  <c r="L946" i="1"/>
  <c r="K946" i="1"/>
  <c r="L945" i="1"/>
  <c r="K945" i="1"/>
  <c r="L944" i="1"/>
  <c r="K944" i="1"/>
  <c r="L943" i="1"/>
  <c r="K943" i="1"/>
  <c r="L942" i="1"/>
  <c r="K942" i="1"/>
  <c r="L941" i="1"/>
  <c r="K941" i="1"/>
  <c r="L940" i="1"/>
  <c r="K940" i="1"/>
  <c r="L939" i="1"/>
  <c r="K939" i="1"/>
  <c r="L938" i="1"/>
  <c r="K938" i="1"/>
  <c r="L937" i="1"/>
  <c r="K937" i="1"/>
  <c r="L936" i="1"/>
  <c r="K936" i="1"/>
  <c r="L935" i="1"/>
  <c r="K935" i="1"/>
  <c r="L934" i="1"/>
  <c r="K934" i="1"/>
  <c r="L933" i="1"/>
  <c r="K933" i="1"/>
  <c r="L932" i="1"/>
  <c r="K932" i="1"/>
  <c r="L931" i="1"/>
  <c r="K931" i="1"/>
  <c r="L930" i="1"/>
  <c r="K930" i="1"/>
  <c r="L929" i="1"/>
  <c r="K929" i="1"/>
  <c r="L928" i="1"/>
  <c r="K928" i="1"/>
  <c r="L927" i="1"/>
  <c r="K927" i="1"/>
  <c r="L926" i="1"/>
  <c r="K926" i="1"/>
  <c r="L925" i="1"/>
  <c r="K925" i="1"/>
  <c r="L924" i="1"/>
  <c r="K924" i="1"/>
  <c r="L923" i="1"/>
  <c r="K923" i="1"/>
  <c r="L922" i="1"/>
  <c r="K922" i="1"/>
  <c r="L921" i="1"/>
  <c r="K921" i="1"/>
  <c r="L920" i="1"/>
  <c r="K920" i="1"/>
  <c r="L919" i="1"/>
  <c r="K919" i="1"/>
  <c r="L918" i="1"/>
  <c r="K918" i="1"/>
  <c r="L917" i="1"/>
  <c r="K917" i="1"/>
  <c r="L916" i="1"/>
  <c r="K916" i="1"/>
  <c r="L915" i="1"/>
  <c r="K915" i="1"/>
  <c r="L914" i="1"/>
  <c r="K914" i="1"/>
  <c r="L913" i="1"/>
  <c r="K913" i="1"/>
  <c r="L912" i="1"/>
  <c r="K912" i="1"/>
  <c r="L911" i="1"/>
  <c r="K911" i="1"/>
  <c r="L910" i="1"/>
  <c r="K910" i="1"/>
  <c r="L909" i="1"/>
  <c r="K909" i="1"/>
  <c r="L908" i="1"/>
  <c r="K908" i="1"/>
  <c r="L907" i="1"/>
  <c r="K907" i="1"/>
  <c r="L906" i="1"/>
  <c r="K906" i="1"/>
  <c r="L905" i="1"/>
  <c r="K905" i="1"/>
  <c r="L904" i="1"/>
  <c r="K904" i="1"/>
  <c r="L903" i="1"/>
  <c r="K903" i="1"/>
  <c r="L902" i="1"/>
  <c r="K902" i="1"/>
  <c r="L901" i="1"/>
  <c r="K901" i="1"/>
  <c r="L900" i="1"/>
  <c r="K900" i="1"/>
  <c r="L899" i="1"/>
  <c r="K899" i="1"/>
  <c r="L898" i="1"/>
  <c r="K898" i="1"/>
  <c r="L897" i="1"/>
  <c r="K897" i="1"/>
  <c r="L896" i="1"/>
  <c r="K896" i="1"/>
  <c r="L895" i="1"/>
  <c r="K895" i="1"/>
  <c r="L894" i="1"/>
  <c r="K894" i="1"/>
  <c r="L893" i="1"/>
  <c r="K893" i="1"/>
  <c r="L892" i="1"/>
  <c r="K892" i="1"/>
  <c r="L891" i="1"/>
  <c r="K891" i="1"/>
  <c r="L890" i="1"/>
  <c r="K890" i="1"/>
  <c r="L889" i="1"/>
  <c r="K889" i="1"/>
  <c r="L888" i="1"/>
  <c r="K888" i="1"/>
  <c r="L887" i="1"/>
  <c r="K887" i="1"/>
  <c r="L886" i="1"/>
  <c r="K886" i="1"/>
  <c r="L885" i="1"/>
  <c r="K885" i="1"/>
  <c r="L884" i="1"/>
  <c r="K884" i="1"/>
  <c r="L883" i="1"/>
  <c r="K883" i="1"/>
  <c r="L882" i="1"/>
  <c r="K882" i="1"/>
  <c r="L881" i="1"/>
  <c r="K881" i="1"/>
  <c r="L880" i="1"/>
  <c r="K880" i="1"/>
  <c r="L879" i="1"/>
  <c r="K879" i="1"/>
  <c r="L878" i="1"/>
  <c r="K878" i="1"/>
  <c r="L877" i="1"/>
  <c r="K877" i="1"/>
  <c r="L876" i="1"/>
  <c r="K876" i="1"/>
  <c r="L875" i="1"/>
  <c r="K875" i="1"/>
  <c r="L874" i="1"/>
  <c r="K874" i="1"/>
  <c r="L873" i="1"/>
  <c r="K873" i="1"/>
  <c r="L872" i="1"/>
  <c r="K872" i="1"/>
  <c r="L871" i="1"/>
  <c r="K871" i="1"/>
  <c r="L870" i="1"/>
  <c r="K870" i="1"/>
  <c r="L869" i="1"/>
  <c r="K869" i="1"/>
  <c r="L868" i="1"/>
  <c r="K868" i="1"/>
  <c r="L867" i="1"/>
  <c r="K867" i="1"/>
  <c r="L866" i="1"/>
  <c r="K866" i="1"/>
  <c r="L865" i="1"/>
  <c r="K865" i="1"/>
  <c r="L864" i="1"/>
  <c r="K864" i="1"/>
  <c r="L863" i="1"/>
  <c r="K863" i="1"/>
  <c r="L862" i="1"/>
  <c r="K862" i="1"/>
  <c r="L861" i="1"/>
  <c r="K861" i="1"/>
  <c r="L860" i="1"/>
  <c r="K860" i="1"/>
  <c r="L859" i="1"/>
  <c r="K859" i="1"/>
  <c r="L858" i="1"/>
  <c r="K858" i="1"/>
  <c r="L857" i="1"/>
  <c r="K857" i="1"/>
  <c r="L856" i="1"/>
  <c r="K856" i="1"/>
  <c r="L855" i="1"/>
  <c r="K855" i="1"/>
  <c r="L854" i="1"/>
  <c r="K854" i="1"/>
  <c r="L853" i="1"/>
  <c r="K853" i="1"/>
  <c r="L852" i="1"/>
  <c r="K852" i="1"/>
  <c r="L851" i="1"/>
  <c r="K851" i="1"/>
  <c r="L850" i="1"/>
  <c r="K850" i="1"/>
  <c r="L849" i="1"/>
  <c r="K849" i="1"/>
  <c r="L848" i="1"/>
  <c r="K848" i="1"/>
  <c r="L847" i="1"/>
  <c r="K847" i="1"/>
  <c r="L846" i="1"/>
  <c r="K846" i="1"/>
  <c r="L845" i="1"/>
  <c r="K845" i="1"/>
  <c r="L844" i="1"/>
  <c r="K844" i="1"/>
  <c r="L843" i="1"/>
  <c r="K843" i="1"/>
  <c r="L842" i="1"/>
  <c r="K842" i="1"/>
  <c r="L841" i="1"/>
  <c r="K841" i="1"/>
  <c r="L840" i="1"/>
  <c r="K840" i="1"/>
  <c r="L839" i="1"/>
  <c r="K839" i="1"/>
  <c r="L838" i="1"/>
  <c r="K838" i="1"/>
  <c r="L837" i="1"/>
  <c r="K837" i="1"/>
  <c r="L836" i="1"/>
  <c r="K836" i="1"/>
  <c r="L835" i="1"/>
  <c r="K835" i="1"/>
  <c r="L834" i="1"/>
  <c r="K834" i="1"/>
  <c r="L833" i="1"/>
  <c r="K833" i="1"/>
  <c r="L832" i="1"/>
  <c r="K832" i="1"/>
  <c r="L831" i="1"/>
  <c r="K831" i="1"/>
  <c r="L830" i="1"/>
  <c r="K830" i="1"/>
  <c r="L829" i="1"/>
  <c r="K829" i="1"/>
  <c r="L828" i="1"/>
  <c r="K828" i="1"/>
  <c r="L827" i="1"/>
  <c r="K827" i="1"/>
  <c r="L826" i="1"/>
  <c r="K826" i="1"/>
  <c r="L825" i="1"/>
  <c r="K825" i="1"/>
  <c r="L824" i="1"/>
  <c r="K824" i="1"/>
  <c r="L823" i="1"/>
  <c r="K823" i="1"/>
  <c r="L822" i="1"/>
  <c r="K822" i="1"/>
  <c r="L821" i="1"/>
  <c r="K821" i="1"/>
  <c r="L820" i="1"/>
  <c r="K820" i="1"/>
  <c r="L819" i="1"/>
  <c r="K819" i="1"/>
  <c r="L818" i="1"/>
  <c r="K818" i="1"/>
  <c r="L817" i="1"/>
  <c r="K817" i="1"/>
  <c r="L816" i="1"/>
  <c r="K816" i="1"/>
  <c r="L815" i="1"/>
  <c r="K815" i="1"/>
  <c r="L814" i="1"/>
  <c r="K814" i="1"/>
  <c r="L813" i="1"/>
  <c r="K813" i="1"/>
  <c r="L812" i="1"/>
  <c r="K812" i="1"/>
  <c r="L811" i="1"/>
  <c r="K811" i="1"/>
  <c r="L810" i="1"/>
  <c r="K810" i="1"/>
  <c r="L809" i="1"/>
  <c r="K809" i="1"/>
  <c r="L808" i="1"/>
  <c r="K808" i="1"/>
  <c r="L807" i="1"/>
  <c r="K807" i="1"/>
  <c r="L806" i="1"/>
  <c r="K806" i="1"/>
  <c r="L805" i="1"/>
  <c r="K805" i="1"/>
  <c r="L804" i="1"/>
  <c r="K804" i="1"/>
  <c r="L803" i="1"/>
  <c r="K803" i="1"/>
  <c r="L802" i="1"/>
  <c r="K802" i="1"/>
  <c r="L801" i="1"/>
  <c r="K801" i="1"/>
  <c r="L800" i="1"/>
  <c r="K800" i="1"/>
  <c r="L799" i="1"/>
  <c r="K799" i="1"/>
  <c r="L798" i="1"/>
  <c r="K798" i="1"/>
  <c r="L797" i="1"/>
  <c r="K797" i="1"/>
  <c r="L796" i="1"/>
  <c r="K796" i="1"/>
  <c r="L795" i="1"/>
  <c r="K795" i="1"/>
  <c r="L794" i="1"/>
  <c r="K794" i="1"/>
  <c r="L793" i="1"/>
  <c r="K793" i="1"/>
  <c r="L792" i="1"/>
  <c r="K792" i="1"/>
  <c r="L791" i="1"/>
  <c r="K791" i="1"/>
  <c r="L790" i="1"/>
  <c r="K790" i="1"/>
  <c r="L789" i="1"/>
  <c r="K789" i="1"/>
  <c r="L788" i="1"/>
  <c r="K788" i="1"/>
  <c r="L787" i="1"/>
  <c r="K787" i="1"/>
  <c r="L786" i="1"/>
  <c r="K786" i="1"/>
  <c r="L785" i="1"/>
  <c r="K785" i="1"/>
  <c r="L784" i="1"/>
  <c r="K784" i="1"/>
  <c r="L783" i="1"/>
  <c r="K783" i="1"/>
  <c r="L782" i="1"/>
  <c r="K782" i="1"/>
  <c r="L781" i="1"/>
  <c r="K781" i="1"/>
  <c r="L780" i="1"/>
  <c r="K780" i="1"/>
  <c r="L779" i="1"/>
  <c r="K779" i="1"/>
  <c r="L778" i="1"/>
  <c r="K778" i="1"/>
  <c r="L777" i="1"/>
  <c r="K777" i="1"/>
  <c r="L776" i="1"/>
  <c r="K776" i="1"/>
  <c r="L775" i="1"/>
  <c r="K775" i="1"/>
  <c r="L774" i="1"/>
  <c r="K774" i="1"/>
  <c r="L773" i="1"/>
  <c r="K773" i="1"/>
  <c r="L772" i="1"/>
  <c r="K772" i="1"/>
  <c r="L771" i="1"/>
  <c r="K771" i="1"/>
  <c r="L770" i="1"/>
  <c r="K770" i="1"/>
  <c r="L769" i="1"/>
  <c r="K769" i="1"/>
  <c r="L768" i="1"/>
  <c r="K768" i="1"/>
  <c r="L767" i="1"/>
  <c r="K767" i="1"/>
  <c r="L766" i="1"/>
  <c r="K766" i="1"/>
  <c r="L765" i="1"/>
  <c r="K765" i="1"/>
  <c r="L764" i="1"/>
  <c r="K764" i="1"/>
  <c r="L763" i="1"/>
  <c r="K763" i="1"/>
  <c r="L762" i="1"/>
  <c r="K762" i="1"/>
  <c r="L761" i="1"/>
  <c r="K761" i="1"/>
  <c r="L760" i="1"/>
  <c r="K760" i="1"/>
  <c r="L759" i="1"/>
  <c r="K759" i="1"/>
  <c r="L758" i="1"/>
  <c r="K758" i="1"/>
  <c r="L757" i="1"/>
  <c r="K757" i="1"/>
  <c r="L756" i="1"/>
  <c r="K756" i="1"/>
  <c r="L755" i="1"/>
  <c r="K755" i="1"/>
  <c r="L754" i="1"/>
  <c r="K754" i="1"/>
  <c r="L753" i="1"/>
  <c r="K753" i="1"/>
  <c r="L752" i="1"/>
  <c r="K752" i="1"/>
  <c r="L751" i="1"/>
  <c r="K751" i="1"/>
  <c r="L750" i="1"/>
  <c r="K750" i="1"/>
  <c r="L749" i="1"/>
  <c r="K749" i="1"/>
  <c r="L748" i="1"/>
  <c r="K748" i="1"/>
  <c r="L747" i="1"/>
  <c r="K747" i="1"/>
  <c r="L746" i="1"/>
  <c r="K746" i="1"/>
  <c r="L745" i="1"/>
  <c r="K745" i="1"/>
  <c r="L744" i="1"/>
  <c r="K744" i="1"/>
  <c r="L743" i="1"/>
  <c r="K743" i="1"/>
  <c r="L742" i="1"/>
  <c r="K742" i="1"/>
  <c r="L741" i="1"/>
  <c r="K741" i="1"/>
  <c r="L740" i="1"/>
  <c r="K740" i="1"/>
  <c r="L739" i="1"/>
  <c r="K739" i="1"/>
  <c r="L738" i="1"/>
  <c r="K738" i="1"/>
  <c r="L737" i="1"/>
  <c r="K737" i="1"/>
  <c r="L736" i="1"/>
  <c r="K736" i="1"/>
  <c r="L735" i="1"/>
  <c r="K735" i="1"/>
  <c r="L734" i="1"/>
  <c r="K734" i="1"/>
  <c r="L733" i="1"/>
  <c r="K733" i="1"/>
  <c r="L732" i="1"/>
  <c r="K732" i="1"/>
  <c r="L731" i="1"/>
  <c r="K731" i="1"/>
  <c r="L730" i="1"/>
  <c r="K730" i="1"/>
  <c r="L729" i="1"/>
  <c r="K729" i="1"/>
  <c r="L728" i="1"/>
  <c r="K728" i="1"/>
  <c r="L727" i="1"/>
  <c r="K727" i="1"/>
  <c r="L726" i="1"/>
  <c r="K726" i="1"/>
  <c r="L725" i="1"/>
  <c r="K725" i="1"/>
  <c r="L724" i="1"/>
  <c r="K724" i="1"/>
  <c r="L723" i="1"/>
  <c r="K723" i="1"/>
  <c r="L722" i="1"/>
  <c r="K722" i="1"/>
  <c r="L721" i="1"/>
  <c r="K721" i="1"/>
  <c r="L720" i="1"/>
  <c r="K720" i="1"/>
  <c r="L719" i="1"/>
  <c r="K719" i="1"/>
  <c r="L718" i="1"/>
  <c r="K718" i="1"/>
  <c r="L717" i="1"/>
  <c r="K717" i="1"/>
  <c r="L716" i="1"/>
  <c r="K716" i="1"/>
  <c r="L715" i="1"/>
  <c r="K715" i="1"/>
  <c r="L714" i="1"/>
  <c r="K714" i="1"/>
  <c r="L713" i="1"/>
  <c r="K713" i="1"/>
  <c r="L712" i="1"/>
  <c r="K712" i="1"/>
  <c r="L711" i="1"/>
  <c r="K711" i="1"/>
  <c r="L710" i="1"/>
  <c r="K710" i="1"/>
  <c r="L709" i="1"/>
  <c r="K709" i="1"/>
  <c r="L708" i="1"/>
  <c r="K708" i="1"/>
  <c r="L707" i="1"/>
  <c r="K707" i="1"/>
  <c r="L706" i="1"/>
  <c r="K706" i="1"/>
  <c r="L705" i="1"/>
  <c r="K705" i="1"/>
  <c r="L704" i="1"/>
  <c r="K704" i="1"/>
  <c r="L703" i="1"/>
  <c r="K703" i="1"/>
  <c r="L702" i="1"/>
  <c r="K702" i="1"/>
  <c r="L701" i="1"/>
  <c r="K701" i="1"/>
  <c r="L700" i="1"/>
  <c r="K700" i="1"/>
  <c r="L699" i="1"/>
  <c r="K699" i="1"/>
  <c r="L698" i="1"/>
  <c r="K698" i="1"/>
  <c r="L697" i="1"/>
  <c r="K697" i="1"/>
  <c r="L696" i="1"/>
  <c r="K696" i="1"/>
  <c r="L695" i="1"/>
  <c r="K695" i="1"/>
  <c r="L694" i="1"/>
  <c r="K694" i="1"/>
  <c r="L693" i="1"/>
  <c r="K693" i="1"/>
  <c r="L692" i="1"/>
  <c r="K692" i="1"/>
  <c r="L691" i="1"/>
  <c r="K691" i="1"/>
  <c r="L690" i="1"/>
  <c r="K690" i="1"/>
  <c r="L689" i="1"/>
  <c r="K689" i="1"/>
  <c r="L688" i="1"/>
  <c r="K688" i="1"/>
  <c r="L687" i="1"/>
  <c r="K687" i="1"/>
  <c r="L686" i="1"/>
  <c r="K686" i="1"/>
  <c r="L685" i="1"/>
  <c r="K685" i="1"/>
  <c r="L684" i="1"/>
  <c r="K684" i="1"/>
  <c r="L683" i="1"/>
  <c r="K683" i="1"/>
  <c r="L682" i="1"/>
  <c r="K682" i="1"/>
  <c r="L681" i="1"/>
  <c r="K681" i="1"/>
  <c r="L680" i="1"/>
  <c r="K680" i="1"/>
  <c r="L679" i="1"/>
  <c r="K679" i="1"/>
  <c r="L678" i="1"/>
  <c r="K678" i="1"/>
  <c r="L677" i="1"/>
  <c r="K677" i="1"/>
  <c r="L676" i="1"/>
  <c r="K676" i="1"/>
  <c r="L675" i="1"/>
  <c r="K675" i="1"/>
  <c r="L674" i="1"/>
  <c r="K674" i="1"/>
  <c r="L673" i="1"/>
  <c r="K673" i="1"/>
  <c r="L672" i="1"/>
  <c r="K672" i="1"/>
  <c r="L671" i="1"/>
  <c r="K671" i="1"/>
  <c r="L670" i="1"/>
  <c r="K670" i="1"/>
  <c r="L669" i="1"/>
  <c r="K669" i="1"/>
  <c r="L668" i="1"/>
  <c r="K668" i="1"/>
  <c r="L667" i="1"/>
  <c r="K667" i="1"/>
  <c r="L666" i="1"/>
  <c r="K666" i="1"/>
  <c r="L665" i="1"/>
  <c r="K665" i="1"/>
  <c r="L664" i="1"/>
  <c r="K664" i="1"/>
  <c r="L663" i="1"/>
  <c r="K663" i="1"/>
  <c r="L662" i="1"/>
  <c r="K662" i="1"/>
  <c r="L661" i="1"/>
  <c r="K661" i="1"/>
  <c r="L660" i="1"/>
  <c r="K660" i="1"/>
  <c r="L659" i="1"/>
  <c r="K659" i="1"/>
  <c r="L658" i="1"/>
  <c r="K658" i="1"/>
  <c r="L657" i="1"/>
  <c r="K657" i="1"/>
  <c r="L656" i="1"/>
  <c r="K656" i="1"/>
  <c r="L655" i="1"/>
  <c r="K655" i="1"/>
  <c r="L654" i="1"/>
  <c r="K654" i="1"/>
  <c r="L653" i="1"/>
  <c r="K653" i="1"/>
  <c r="L652" i="1"/>
  <c r="K652" i="1"/>
  <c r="L651" i="1"/>
  <c r="K651" i="1"/>
  <c r="L650" i="1"/>
  <c r="K650" i="1"/>
  <c r="L649" i="1"/>
  <c r="K649" i="1"/>
  <c r="L648" i="1"/>
  <c r="K648" i="1"/>
  <c r="L647" i="1"/>
  <c r="K647" i="1"/>
  <c r="L646" i="1"/>
  <c r="K646" i="1"/>
  <c r="L645" i="1"/>
  <c r="K645" i="1"/>
  <c r="L644" i="1"/>
  <c r="K644" i="1"/>
  <c r="L643" i="1"/>
  <c r="K643" i="1"/>
  <c r="L642" i="1"/>
  <c r="K642" i="1"/>
  <c r="L641" i="1"/>
  <c r="K641" i="1"/>
  <c r="L640" i="1"/>
  <c r="K640" i="1"/>
  <c r="L639" i="1"/>
  <c r="K639" i="1"/>
  <c r="L638" i="1"/>
  <c r="K638" i="1"/>
  <c r="L637" i="1"/>
  <c r="K637" i="1"/>
  <c r="L636" i="1"/>
  <c r="K636" i="1"/>
  <c r="L635" i="1"/>
  <c r="K635" i="1"/>
  <c r="L634" i="1"/>
  <c r="K634" i="1"/>
  <c r="L633" i="1"/>
  <c r="K633" i="1"/>
  <c r="L632" i="1"/>
  <c r="K632" i="1"/>
  <c r="L631" i="1"/>
  <c r="K631" i="1"/>
  <c r="L630" i="1"/>
  <c r="K630" i="1"/>
  <c r="L629" i="1"/>
  <c r="K629" i="1"/>
  <c r="L628" i="1"/>
  <c r="K628" i="1"/>
  <c r="L627" i="1"/>
  <c r="K627" i="1"/>
  <c r="L626" i="1"/>
  <c r="K626" i="1"/>
  <c r="L625" i="1"/>
  <c r="K625" i="1"/>
  <c r="L624" i="1"/>
  <c r="K624" i="1"/>
  <c r="L623" i="1"/>
  <c r="K623" i="1"/>
  <c r="L622" i="1"/>
  <c r="K622" i="1"/>
  <c r="L621" i="1"/>
  <c r="K621" i="1"/>
  <c r="L620" i="1"/>
  <c r="K620" i="1"/>
  <c r="L619" i="1"/>
  <c r="K619" i="1"/>
  <c r="L618" i="1"/>
  <c r="K618" i="1"/>
  <c r="L617" i="1"/>
  <c r="K617" i="1"/>
  <c r="L616" i="1"/>
  <c r="K616" i="1"/>
  <c r="L615" i="1"/>
  <c r="K615" i="1"/>
  <c r="L614" i="1"/>
  <c r="K614" i="1"/>
  <c r="L613" i="1"/>
  <c r="K613" i="1"/>
  <c r="L612" i="1"/>
  <c r="K612" i="1"/>
  <c r="L611" i="1"/>
  <c r="K611" i="1"/>
  <c r="L610" i="1"/>
  <c r="K610" i="1"/>
  <c r="L609" i="1"/>
  <c r="K609" i="1"/>
  <c r="L608" i="1"/>
  <c r="K608" i="1"/>
  <c r="L607" i="1"/>
  <c r="K607" i="1"/>
  <c r="L606" i="1"/>
  <c r="K606" i="1"/>
  <c r="L605" i="1"/>
  <c r="K605" i="1"/>
  <c r="L604" i="1"/>
  <c r="K604" i="1"/>
  <c r="L603" i="1"/>
  <c r="K603" i="1"/>
  <c r="L602" i="1"/>
  <c r="K602" i="1"/>
  <c r="L601" i="1"/>
  <c r="K601" i="1"/>
  <c r="L600" i="1"/>
  <c r="K600" i="1"/>
  <c r="L599" i="1"/>
  <c r="K599" i="1"/>
  <c r="L598" i="1"/>
  <c r="K598" i="1"/>
  <c r="L597" i="1"/>
  <c r="K597" i="1"/>
  <c r="L596" i="1"/>
  <c r="K596" i="1"/>
  <c r="L595" i="1"/>
  <c r="K595" i="1"/>
  <c r="L594" i="1"/>
  <c r="K594" i="1"/>
  <c r="L593" i="1"/>
  <c r="K593" i="1"/>
  <c r="L592" i="1"/>
  <c r="K592" i="1"/>
  <c r="L591" i="1"/>
  <c r="K591" i="1"/>
  <c r="L590" i="1"/>
  <c r="K590" i="1"/>
  <c r="L589" i="1"/>
  <c r="K589" i="1"/>
  <c r="L588" i="1"/>
  <c r="K588" i="1"/>
  <c r="L587" i="1"/>
  <c r="K587" i="1"/>
  <c r="L586" i="1"/>
  <c r="K586" i="1"/>
  <c r="L585" i="1"/>
  <c r="K585" i="1"/>
  <c r="L584" i="1"/>
  <c r="K584" i="1"/>
  <c r="L583" i="1"/>
  <c r="K583" i="1"/>
  <c r="L582" i="1"/>
  <c r="K582" i="1"/>
  <c r="L581" i="1"/>
  <c r="K581" i="1"/>
  <c r="L580" i="1"/>
  <c r="K580" i="1"/>
  <c r="L579" i="1"/>
  <c r="K579" i="1"/>
  <c r="L578" i="1"/>
  <c r="K578" i="1"/>
  <c r="L577" i="1"/>
  <c r="K577" i="1"/>
  <c r="L576" i="1"/>
  <c r="K576" i="1"/>
  <c r="L575" i="1"/>
  <c r="K575" i="1"/>
  <c r="L574" i="1"/>
  <c r="K574" i="1"/>
  <c r="L573" i="1"/>
  <c r="K573" i="1"/>
  <c r="L572" i="1"/>
  <c r="K572" i="1"/>
  <c r="L571" i="1"/>
  <c r="K571" i="1"/>
  <c r="L570" i="1"/>
  <c r="K570" i="1"/>
  <c r="L569" i="1"/>
  <c r="K569" i="1"/>
  <c r="L568" i="1"/>
  <c r="K568" i="1"/>
  <c r="L567" i="1"/>
  <c r="K567" i="1"/>
  <c r="L566" i="1"/>
  <c r="K566" i="1"/>
  <c r="L565" i="1"/>
  <c r="K565" i="1"/>
  <c r="L564" i="1"/>
  <c r="K564" i="1"/>
  <c r="L563" i="1"/>
  <c r="K563" i="1"/>
  <c r="L562" i="1"/>
  <c r="K562" i="1"/>
  <c r="L561" i="1"/>
  <c r="K561" i="1"/>
  <c r="L560" i="1"/>
  <c r="K560" i="1"/>
  <c r="L559" i="1"/>
  <c r="K559" i="1"/>
  <c r="L558" i="1"/>
  <c r="K558" i="1"/>
  <c r="L557" i="1"/>
  <c r="K557" i="1"/>
  <c r="L556" i="1"/>
  <c r="K556" i="1"/>
  <c r="L555" i="1"/>
  <c r="K555" i="1"/>
  <c r="L554" i="1"/>
  <c r="K554" i="1"/>
  <c r="L553" i="1"/>
  <c r="K553" i="1"/>
  <c r="L552" i="1"/>
  <c r="K552" i="1"/>
  <c r="L551" i="1"/>
  <c r="K551" i="1"/>
  <c r="L550" i="1"/>
  <c r="K550" i="1"/>
  <c r="L549" i="1"/>
  <c r="K549" i="1"/>
  <c r="L548" i="1"/>
  <c r="K548" i="1"/>
  <c r="L547" i="1"/>
  <c r="K547" i="1"/>
  <c r="L546" i="1"/>
  <c r="K546" i="1"/>
  <c r="L545" i="1"/>
  <c r="K545" i="1"/>
  <c r="L544" i="1"/>
  <c r="K544" i="1"/>
  <c r="L543" i="1"/>
  <c r="K543" i="1"/>
  <c r="L542" i="1"/>
  <c r="K542" i="1"/>
  <c r="L541" i="1"/>
  <c r="K541" i="1"/>
  <c r="L540" i="1"/>
  <c r="K540" i="1"/>
  <c r="L539" i="1"/>
  <c r="K539" i="1"/>
  <c r="L538" i="1"/>
  <c r="K538" i="1"/>
  <c r="L537" i="1"/>
  <c r="K537" i="1"/>
  <c r="L536" i="1"/>
  <c r="K536" i="1"/>
  <c r="L535" i="1"/>
  <c r="K535" i="1"/>
  <c r="L534" i="1"/>
  <c r="K534" i="1"/>
  <c r="L533" i="1"/>
  <c r="K533" i="1"/>
  <c r="L532" i="1"/>
  <c r="K532" i="1"/>
  <c r="L531" i="1"/>
  <c r="K531" i="1"/>
  <c r="L530" i="1"/>
  <c r="K530" i="1"/>
  <c r="L529" i="1"/>
  <c r="K529" i="1"/>
  <c r="L528" i="1"/>
  <c r="K528" i="1"/>
  <c r="L527" i="1"/>
  <c r="K527" i="1"/>
  <c r="L526" i="1"/>
  <c r="K526" i="1"/>
  <c r="L525" i="1"/>
  <c r="K525" i="1"/>
  <c r="L524" i="1"/>
  <c r="K524" i="1"/>
  <c r="L523" i="1"/>
  <c r="K523" i="1"/>
  <c r="L522" i="1"/>
  <c r="K522" i="1"/>
  <c r="L521" i="1"/>
  <c r="K521" i="1"/>
  <c r="L520" i="1"/>
  <c r="K520" i="1"/>
  <c r="L519" i="1"/>
  <c r="K519" i="1"/>
  <c r="L518" i="1"/>
  <c r="K518" i="1"/>
  <c r="L517" i="1"/>
  <c r="K517" i="1"/>
  <c r="L516" i="1"/>
  <c r="K516" i="1"/>
  <c r="L515" i="1"/>
  <c r="K515" i="1"/>
  <c r="L514" i="1"/>
  <c r="K514" i="1"/>
  <c r="L513" i="1"/>
  <c r="K513" i="1"/>
  <c r="L512" i="1"/>
  <c r="K512" i="1"/>
  <c r="L511" i="1"/>
  <c r="K511" i="1"/>
  <c r="L510" i="1"/>
  <c r="K510" i="1"/>
  <c r="L509" i="1"/>
  <c r="K509" i="1"/>
  <c r="L508" i="1"/>
  <c r="K508" i="1"/>
  <c r="L507" i="1"/>
  <c r="K507" i="1"/>
  <c r="L506" i="1"/>
  <c r="K506" i="1"/>
  <c r="L505" i="1"/>
  <c r="K505" i="1"/>
  <c r="L504" i="1"/>
  <c r="K504" i="1"/>
  <c r="L503" i="1"/>
  <c r="K503" i="1"/>
  <c r="L502" i="1"/>
  <c r="K502" i="1"/>
  <c r="L501" i="1"/>
  <c r="K501" i="1"/>
  <c r="L500" i="1"/>
  <c r="K500" i="1"/>
  <c r="L499" i="1"/>
  <c r="K499" i="1"/>
  <c r="L498" i="1"/>
  <c r="K498" i="1"/>
  <c r="L497" i="1"/>
  <c r="K497" i="1"/>
  <c r="L496" i="1"/>
  <c r="K496" i="1"/>
  <c r="L495" i="1"/>
  <c r="K495" i="1"/>
  <c r="L494" i="1"/>
  <c r="K494" i="1"/>
  <c r="L493" i="1"/>
  <c r="K493" i="1"/>
  <c r="L492" i="1"/>
  <c r="K492" i="1"/>
  <c r="L491" i="1"/>
  <c r="K491" i="1"/>
  <c r="L490" i="1"/>
  <c r="K490" i="1"/>
  <c r="L489" i="1"/>
  <c r="K489" i="1"/>
  <c r="L488" i="1"/>
  <c r="K488" i="1"/>
  <c r="L487" i="1"/>
  <c r="K487" i="1"/>
  <c r="L486" i="1"/>
  <c r="K486" i="1"/>
  <c r="L485" i="1"/>
  <c r="K485" i="1"/>
  <c r="L484" i="1"/>
  <c r="K484" i="1"/>
  <c r="L483" i="1"/>
  <c r="K483" i="1"/>
  <c r="L482" i="1"/>
  <c r="K482" i="1"/>
  <c r="L481" i="1"/>
  <c r="K481" i="1"/>
  <c r="L480" i="1"/>
  <c r="K480" i="1"/>
  <c r="L479" i="1"/>
  <c r="K479" i="1"/>
  <c r="L478" i="1"/>
  <c r="K478" i="1"/>
  <c r="L477" i="1"/>
  <c r="K477" i="1"/>
  <c r="L476" i="1"/>
  <c r="K476" i="1"/>
  <c r="L475" i="1"/>
  <c r="K475" i="1"/>
  <c r="L474" i="1"/>
  <c r="K474" i="1"/>
  <c r="L473" i="1"/>
  <c r="K473" i="1"/>
  <c r="L472" i="1"/>
  <c r="K472" i="1"/>
  <c r="L471" i="1"/>
  <c r="K471" i="1"/>
  <c r="L470" i="1"/>
  <c r="K470" i="1"/>
  <c r="L469" i="1"/>
  <c r="K469" i="1"/>
  <c r="L468" i="1"/>
  <c r="K468" i="1"/>
  <c r="L467" i="1"/>
  <c r="K467" i="1"/>
  <c r="L466" i="1"/>
  <c r="K466" i="1"/>
  <c r="L465" i="1"/>
  <c r="K465" i="1"/>
  <c r="L464" i="1"/>
  <c r="K464" i="1"/>
  <c r="L463" i="1"/>
  <c r="K463" i="1"/>
  <c r="L462" i="1"/>
  <c r="K462" i="1"/>
  <c r="L461" i="1"/>
  <c r="K461" i="1"/>
  <c r="L460" i="1"/>
  <c r="K460" i="1"/>
  <c r="L459" i="1"/>
  <c r="K459" i="1"/>
  <c r="L458" i="1"/>
  <c r="K458" i="1"/>
  <c r="L457" i="1"/>
  <c r="K457" i="1"/>
  <c r="L456" i="1"/>
  <c r="K456" i="1"/>
  <c r="L455" i="1"/>
  <c r="K455" i="1"/>
  <c r="L454" i="1"/>
  <c r="K454" i="1"/>
  <c r="L453" i="1"/>
  <c r="K453" i="1"/>
  <c r="L452" i="1"/>
  <c r="K452" i="1"/>
  <c r="L451" i="1"/>
  <c r="K451" i="1"/>
  <c r="L450" i="1"/>
  <c r="K450" i="1"/>
  <c r="L449" i="1"/>
  <c r="K449" i="1"/>
  <c r="L448" i="1"/>
  <c r="K448" i="1"/>
  <c r="L447" i="1"/>
  <c r="K447" i="1"/>
  <c r="L446" i="1"/>
  <c r="K446" i="1"/>
  <c r="L445" i="1"/>
  <c r="K445" i="1"/>
  <c r="L444" i="1"/>
  <c r="K444" i="1"/>
  <c r="L443" i="1"/>
  <c r="K443" i="1"/>
  <c r="L442" i="1"/>
  <c r="K442" i="1"/>
  <c r="L441" i="1"/>
  <c r="K441" i="1"/>
  <c r="L440" i="1"/>
  <c r="K440" i="1"/>
  <c r="L439" i="1"/>
  <c r="K439" i="1"/>
  <c r="L438" i="1"/>
  <c r="K438" i="1"/>
  <c r="L437" i="1"/>
  <c r="K437" i="1"/>
  <c r="L436" i="1"/>
  <c r="K436" i="1"/>
  <c r="L435" i="1"/>
  <c r="K435" i="1"/>
  <c r="L434" i="1"/>
  <c r="K434" i="1"/>
  <c r="L433" i="1"/>
  <c r="K433" i="1"/>
  <c r="L432" i="1"/>
  <c r="K432" i="1"/>
  <c r="L431" i="1"/>
  <c r="K431" i="1"/>
  <c r="L430" i="1"/>
  <c r="K430" i="1"/>
  <c r="L429" i="1"/>
  <c r="K429" i="1"/>
  <c r="L428" i="1"/>
  <c r="K428" i="1"/>
  <c r="L427" i="1"/>
  <c r="K427" i="1"/>
  <c r="L426" i="1"/>
  <c r="K426" i="1"/>
  <c r="L425" i="1"/>
  <c r="K425" i="1"/>
  <c r="L424" i="1"/>
  <c r="K424" i="1"/>
  <c r="L423" i="1"/>
  <c r="K423" i="1"/>
  <c r="L422" i="1"/>
  <c r="K422" i="1"/>
  <c r="L421" i="1"/>
  <c r="K421" i="1"/>
  <c r="L420" i="1"/>
  <c r="K420" i="1"/>
  <c r="L419" i="1"/>
  <c r="K419" i="1"/>
  <c r="L418" i="1"/>
  <c r="K418" i="1"/>
  <c r="L417" i="1"/>
  <c r="K417" i="1"/>
  <c r="L416" i="1"/>
  <c r="K416" i="1"/>
  <c r="L415" i="1"/>
  <c r="K415" i="1"/>
  <c r="L414" i="1"/>
  <c r="K414" i="1"/>
  <c r="L413" i="1"/>
  <c r="K413" i="1"/>
  <c r="L412" i="1"/>
  <c r="K412" i="1"/>
  <c r="L411" i="1"/>
  <c r="K411" i="1"/>
  <c r="L410" i="1"/>
  <c r="K410" i="1"/>
  <c r="L409" i="1"/>
  <c r="K409" i="1"/>
  <c r="L408" i="1"/>
  <c r="K408" i="1"/>
  <c r="L407" i="1"/>
  <c r="K407" i="1"/>
  <c r="L406" i="1"/>
  <c r="K406" i="1"/>
  <c r="L405" i="1"/>
  <c r="K405" i="1"/>
  <c r="L404" i="1"/>
  <c r="K404" i="1"/>
  <c r="L403" i="1"/>
  <c r="K403" i="1"/>
  <c r="L402" i="1"/>
  <c r="K402" i="1"/>
  <c r="L401" i="1"/>
  <c r="K401" i="1"/>
  <c r="L400" i="1"/>
  <c r="K400" i="1"/>
  <c r="L399" i="1"/>
  <c r="K399" i="1"/>
  <c r="L398" i="1"/>
  <c r="K398" i="1"/>
  <c r="L397" i="1"/>
  <c r="K397" i="1"/>
  <c r="L396" i="1"/>
  <c r="K396" i="1"/>
  <c r="L395" i="1"/>
  <c r="K395" i="1"/>
  <c r="L394" i="1"/>
  <c r="K394" i="1"/>
  <c r="L393" i="1"/>
  <c r="K393" i="1"/>
  <c r="L392" i="1"/>
  <c r="K392" i="1"/>
  <c r="L391" i="1"/>
  <c r="K391" i="1"/>
  <c r="L390" i="1"/>
  <c r="K390" i="1"/>
  <c r="L389" i="1"/>
  <c r="K389" i="1"/>
  <c r="L388" i="1"/>
  <c r="K388" i="1"/>
  <c r="L387" i="1"/>
  <c r="K387" i="1"/>
  <c r="L386" i="1"/>
  <c r="K386" i="1"/>
  <c r="L385" i="1"/>
  <c r="K385" i="1"/>
  <c r="L384" i="1"/>
  <c r="K384" i="1"/>
  <c r="L383" i="1"/>
  <c r="K383" i="1"/>
  <c r="L382" i="1"/>
  <c r="K382" i="1"/>
  <c r="L381" i="1"/>
  <c r="K381" i="1"/>
  <c r="L380" i="1"/>
  <c r="K380" i="1"/>
  <c r="L379" i="1"/>
  <c r="K379" i="1"/>
  <c r="L378" i="1"/>
  <c r="K378" i="1"/>
  <c r="L377" i="1"/>
  <c r="K377" i="1"/>
  <c r="L376" i="1"/>
  <c r="K376" i="1"/>
  <c r="L375" i="1"/>
  <c r="K375" i="1"/>
  <c r="L374" i="1"/>
  <c r="K374" i="1"/>
  <c r="L373" i="1"/>
  <c r="K373" i="1"/>
  <c r="L372" i="1"/>
  <c r="K372" i="1"/>
  <c r="L371" i="1"/>
  <c r="K371" i="1"/>
  <c r="L370" i="1"/>
  <c r="K370" i="1"/>
  <c r="L369" i="1"/>
  <c r="K369" i="1"/>
  <c r="L368" i="1"/>
  <c r="K368" i="1"/>
  <c r="L367" i="1"/>
  <c r="K367" i="1"/>
  <c r="L366" i="1"/>
  <c r="K366" i="1"/>
  <c r="L365" i="1"/>
  <c r="K365" i="1"/>
  <c r="L364" i="1"/>
  <c r="K364" i="1"/>
  <c r="L363" i="1"/>
  <c r="K363" i="1"/>
  <c r="L362" i="1"/>
  <c r="K362" i="1"/>
  <c r="L361" i="1"/>
  <c r="K361" i="1"/>
  <c r="L360" i="1"/>
  <c r="K360" i="1"/>
  <c r="L359" i="1"/>
  <c r="K359" i="1"/>
  <c r="L358" i="1"/>
  <c r="K358" i="1"/>
  <c r="L357" i="1"/>
  <c r="K357" i="1"/>
  <c r="L356" i="1"/>
  <c r="K356" i="1"/>
  <c r="L355" i="1"/>
  <c r="K355" i="1"/>
  <c r="L354" i="1"/>
  <c r="K354" i="1"/>
  <c r="L353" i="1"/>
  <c r="K353" i="1"/>
  <c r="L352" i="1"/>
  <c r="K352" i="1"/>
  <c r="L351" i="1"/>
  <c r="K351" i="1"/>
  <c r="L350" i="1"/>
  <c r="K350" i="1"/>
  <c r="L349" i="1"/>
  <c r="K349" i="1"/>
  <c r="L348" i="1"/>
  <c r="K348" i="1"/>
  <c r="L347" i="1"/>
  <c r="K347" i="1"/>
  <c r="L346" i="1"/>
  <c r="K346" i="1"/>
  <c r="L345" i="1"/>
  <c r="K345" i="1"/>
  <c r="L344" i="1"/>
  <c r="K344" i="1"/>
  <c r="L343" i="1"/>
  <c r="K343" i="1"/>
  <c r="L342" i="1"/>
  <c r="K342" i="1"/>
  <c r="L341" i="1"/>
  <c r="K341" i="1"/>
  <c r="L340" i="1"/>
  <c r="K340" i="1"/>
  <c r="L339" i="1"/>
  <c r="K339" i="1"/>
  <c r="L338" i="1"/>
  <c r="K338" i="1"/>
  <c r="L337" i="1"/>
  <c r="K337" i="1"/>
  <c r="L336" i="1"/>
  <c r="K336" i="1"/>
  <c r="L335" i="1"/>
  <c r="K335" i="1"/>
  <c r="L334" i="1"/>
  <c r="K334" i="1"/>
  <c r="L333" i="1"/>
  <c r="K333" i="1"/>
  <c r="L332" i="1"/>
  <c r="K332" i="1"/>
  <c r="L331" i="1"/>
  <c r="K331" i="1"/>
  <c r="L330" i="1"/>
  <c r="K330" i="1"/>
  <c r="L329" i="1"/>
  <c r="K329" i="1"/>
  <c r="L328" i="1"/>
  <c r="K328" i="1"/>
  <c r="L327" i="1"/>
  <c r="K327" i="1"/>
  <c r="L326" i="1"/>
  <c r="K326" i="1"/>
  <c r="L325" i="1"/>
  <c r="K325" i="1"/>
  <c r="L324" i="1"/>
  <c r="K324" i="1"/>
  <c r="L323" i="1"/>
  <c r="K323" i="1"/>
  <c r="L322" i="1"/>
  <c r="K322" i="1"/>
  <c r="L321" i="1"/>
  <c r="K321" i="1"/>
  <c r="L320" i="1"/>
  <c r="K320" i="1"/>
  <c r="L319" i="1"/>
  <c r="K319" i="1"/>
  <c r="L318" i="1"/>
  <c r="K318" i="1"/>
  <c r="L317" i="1"/>
  <c r="K317" i="1"/>
  <c r="L316" i="1"/>
  <c r="K316" i="1"/>
  <c r="L315" i="1"/>
  <c r="K315" i="1"/>
  <c r="L314" i="1"/>
  <c r="K314" i="1"/>
  <c r="L313" i="1"/>
  <c r="K313" i="1"/>
  <c r="L312" i="1"/>
  <c r="K312" i="1"/>
  <c r="L311" i="1"/>
  <c r="K311" i="1"/>
  <c r="L310" i="1"/>
  <c r="K310" i="1"/>
  <c r="L309" i="1"/>
  <c r="K309" i="1"/>
  <c r="L308" i="1"/>
  <c r="K308" i="1"/>
  <c r="L307" i="1"/>
  <c r="K307" i="1"/>
  <c r="L306" i="1"/>
  <c r="K306" i="1"/>
  <c r="L305" i="1"/>
  <c r="K305" i="1"/>
  <c r="L304" i="1"/>
  <c r="K304" i="1"/>
  <c r="L303" i="1"/>
  <c r="K303" i="1"/>
  <c r="L302" i="1"/>
  <c r="K302" i="1"/>
  <c r="L301" i="1"/>
  <c r="K301" i="1"/>
  <c r="L300" i="1"/>
  <c r="K300" i="1"/>
  <c r="L299" i="1"/>
  <c r="K299" i="1"/>
  <c r="L298" i="1"/>
  <c r="K298" i="1"/>
  <c r="L297" i="1"/>
  <c r="K297" i="1"/>
  <c r="L296" i="1"/>
  <c r="K296" i="1"/>
  <c r="L295" i="1"/>
  <c r="K295" i="1"/>
  <c r="L294" i="1"/>
  <c r="K294" i="1"/>
  <c r="L293" i="1"/>
  <c r="K293" i="1"/>
  <c r="L292" i="1"/>
  <c r="K292" i="1"/>
  <c r="L291" i="1"/>
  <c r="K291" i="1"/>
  <c r="L290" i="1"/>
  <c r="K290" i="1"/>
  <c r="L289" i="1"/>
  <c r="K289" i="1"/>
  <c r="L288" i="1"/>
  <c r="K288" i="1"/>
  <c r="L287" i="1"/>
  <c r="K287" i="1"/>
  <c r="L286" i="1"/>
  <c r="K286" i="1"/>
  <c r="L285" i="1"/>
  <c r="K285" i="1"/>
  <c r="L284" i="1"/>
  <c r="K284" i="1"/>
  <c r="L283" i="1"/>
  <c r="K283" i="1"/>
  <c r="L282" i="1"/>
  <c r="K282" i="1"/>
  <c r="L281" i="1"/>
  <c r="K281" i="1"/>
  <c r="L280" i="1"/>
  <c r="K280" i="1"/>
  <c r="L279" i="1"/>
  <c r="K279" i="1"/>
  <c r="L278" i="1"/>
  <c r="K278" i="1"/>
  <c r="L277" i="1"/>
  <c r="K277" i="1"/>
  <c r="L276" i="1"/>
  <c r="K276" i="1"/>
  <c r="L275" i="1"/>
  <c r="K275" i="1"/>
  <c r="L274" i="1"/>
  <c r="K274" i="1"/>
  <c r="L273" i="1"/>
  <c r="K273" i="1"/>
  <c r="L272" i="1"/>
  <c r="K272" i="1"/>
  <c r="L271" i="1"/>
  <c r="K271" i="1"/>
  <c r="L270" i="1"/>
  <c r="K270" i="1"/>
  <c r="L269" i="1"/>
  <c r="K269" i="1"/>
  <c r="L268" i="1"/>
  <c r="K268" i="1"/>
  <c r="L267" i="1"/>
  <c r="K267" i="1"/>
  <c r="L266" i="1"/>
  <c r="K266" i="1"/>
  <c r="L265" i="1"/>
  <c r="K265" i="1"/>
  <c r="L264" i="1"/>
  <c r="K264" i="1"/>
  <c r="L263" i="1"/>
  <c r="K263" i="1"/>
  <c r="L262" i="1"/>
  <c r="K262" i="1"/>
  <c r="L261" i="1"/>
  <c r="K261" i="1"/>
  <c r="L260" i="1"/>
  <c r="K260" i="1"/>
  <c r="L259" i="1"/>
  <c r="K259" i="1"/>
  <c r="L258" i="1"/>
  <c r="K258" i="1"/>
  <c r="L257" i="1"/>
  <c r="K257" i="1"/>
  <c r="L256" i="1"/>
  <c r="K256" i="1"/>
  <c r="L255" i="1"/>
  <c r="K255" i="1"/>
  <c r="L254" i="1"/>
  <c r="K254" i="1"/>
  <c r="L253" i="1"/>
  <c r="K253" i="1"/>
  <c r="L252" i="1"/>
  <c r="K252" i="1"/>
  <c r="L251" i="1"/>
  <c r="K251" i="1"/>
  <c r="L250" i="1"/>
  <c r="K250" i="1"/>
  <c r="L249" i="1"/>
  <c r="K249" i="1"/>
  <c r="L248" i="1"/>
  <c r="K248" i="1"/>
  <c r="L247" i="1"/>
  <c r="K247" i="1"/>
  <c r="L246" i="1"/>
  <c r="K246" i="1"/>
  <c r="L245" i="1"/>
  <c r="K245" i="1"/>
  <c r="L244" i="1"/>
  <c r="K244" i="1"/>
  <c r="L243" i="1"/>
  <c r="K243" i="1"/>
  <c r="L242" i="1"/>
  <c r="K242" i="1"/>
  <c r="L241" i="1"/>
  <c r="K241" i="1"/>
  <c r="L240" i="1"/>
  <c r="K240" i="1"/>
  <c r="L239" i="1"/>
  <c r="K239" i="1"/>
  <c r="L238" i="1"/>
  <c r="K238" i="1"/>
  <c r="L237" i="1"/>
  <c r="K237" i="1"/>
  <c r="L236" i="1"/>
  <c r="K236" i="1"/>
  <c r="L235" i="1"/>
  <c r="K235" i="1"/>
  <c r="L234" i="1"/>
  <c r="K234" i="1"/>
  <c r="L233" i="1"/>
  <c r="K233" i="1"/>
  <c r="L232" i="1"/>
  <c r="K232" i="1"/>
  <c r="L231" i="1"/>
  <c r="K231" i="1"/>
  <c r="L230" i="1"/>
  <c r="K230" i="1"/>
  <c r="L229" i="1"/>
  <c r="K229" i="1"/>
  <c r="L228" i="1"/>
  <c r="K228" i="1"/>
  <c r="L227" i="1"/>
  <c r="K227" i="1"/>
  <c r="L226" i="1"/>
  <c r="K226" i="1"/>
  <c r="L225" i="1"/>
  <c r="K225" i="1"/>
  <c r="L224" i="1"/>
  <c r="K224" i="1"/>
  <c r="L223" i="1"/>
  <c r="K223" i="1"/>
  <c r="L222" i="1"/>
  <c r="K222" i="1"/>
  <c r="L221" i="1"/>
  <c r="K221" i="1"/>
  <c r="L220" i="1"/>
  <c r="K220" i="1"/>
  <c r="L219" i="1"/>
  <c r="K219" i="1"/>
  <c r="L218" i="1"/>
  <c r="K218" i="1"/>
  <c r="L217" i="1"/>
  <c r="K217" i="1"/>
  <c r="L216" i="1"/>
  <c r="K216" i="1"/>
  <c r="L215" i="1"/>
  <c r="K215" i="1"/>
  <c r="L214" i="1"/>
  <c r="K214" i="1"/>
  <c r="L213" i="1"/>
  <c r="K213" i="1"/>
  <c r="L212" i="1"/>
  <c r="K212" i="1"/>
  <c r="L211" i="1"/>
  <c r="K211" i="1"/>
  <c r="L210" i="1"/>
  <c r="K210" i="1"/>
  <c r="L209" i="1"/>
  <c r="K209" i="1"/>
  <c r="L208" i="1"/>
  <c r="K208" i="1"/>
  <c r="L207" i="1"/>
  <c r="K207" i="1"/>
  <c r="L206" i="1"/>
  <c r="K206" i="1"/>
  <c r="L205" i="1"/>
  <c r="K205" i="1"/>
  <c r="L204" i="1"/>
  <c r="K204" i="1"/>
  <c r="L203" i="1"/>
  <c r="K203" i="1"/>
  <c r="L202" i="1"/>
  <c r="K202" i="1"/>
  <c r="L201" i="1"/>
  <c r="K201" i="1"/>
  <c r="L200" i="1"/>
  <c r="K200" i="1"/>
  <c r="L199" i="1"/>
  <c r="K199" i="1"/>
  <c r="L198" i="1"/>
  <c r="K198" i="1"/>
  <c r="L197" i="1"/>
  <c r="K197" i="1"/>
  <c r="L196" i="1"/>
  <c r="K196" i="1"/>
  <c r="L195" i="1"/>
  <c r="K195" i="1"/>
  <c r="L194" i="1"/>
  <c r="K194" i="1"/>
  <c r="L193" i="1"/>
  <c r="K193" i="1"/>
  <c r="L192" i="1"/>
  <c r="K192" i="1"/>
  <c r="L191" i="1"/>
  <c r="K191" i="1"/>
  <c r="L190" i="1"/>
  <c r="K190" i="1"/>
  <c r="L189" i="1"/>
  <c r="K189" i="1"/>
  <c r="L188" i="1"/>
  <c r="K188" i="1"/>
  <c r="L187" i="1"/>
  <c r="K187" i="1"/>
  <c r="L186" i="1"/>
  <c r="K186" i="1"/>
  <c r="L185" i="1"/>
  <c r="K185" i="1"/>
  <c r="L184" i="1"/>
  <c r="K184" i="1"/>
  <c r="L183" i="1"/>
  <c r="K183" i="1"/>
  <c r="L182" i="1"/>
  <c r="K182" i="1"/>
  <c r="L181" i="1"/>
  <c r="K181" i="1"/>
  <c r="L180" i="1"/>
  <c r="K180" i="1"/>
  <c r="L179" i="1"/>
  <c r="K179" i="1"/>
  <c r="L178" i="1"/>
  <c r="K178" i="1"/>
  <c r="L177" i="1"/>
  <c r="K177" i="1"/>
  <c r="L176" i="1"/>
  <c r="K176" i="1"/>
  <c r="L175" i="1"/>
  <c r="K175" i="1"/>
  <c r="L174" i="1"/>
  <c r="K174" i="1"/>
  <c r="L173" i="1"/>
  <c r="K173" i="1"/>
  <c r="L172" i="1"/>
  <c r="K172" i="1"/>
  <c r="L171" i="1"/>
  <c r="K171" i="1"/>
  <c r="L170" i="1"/>
  <c r="K170" i="1"/>
  <c r="L169" i="1"/>
  <c r="K169" i="1"/>
  <c r="L168" i="1"/>
  <c r="K168" i="1"/>
  <c r="L167" i="1"/>
  <c r="K167" i="1"/>
  <c r="L166" i="1"/>
  <c r="K166" i="1"/>
  <c r="L165" i="1"/>
  <c r="K165" i="1"/>
  <c r="L164" i="1"/>
  <c r="K164" i="1"/>
  <c r="L163" i="1"/>
  <c r="K163" i="1"/>
  <c r="L162" i="1"/>
  <c r="K162" i="1"/>
  <c r="L161" i="1"/>
  <c r="K161" i="1"/>
  <c r="L160" i="1"/>
  <c r="K160" i="1"/>
  <c r="L159" i="1"/>
  <c r="K159" i="1"/>
  <c r="L158" i="1"/>
  <c r="K158" i="1"/>
  <c r="L157" i="1"/>
  <c r="K157" i="1"/>
  <c r="L156" i="1"/>
  <c r="K156" i="1"/>
  <c r="L155" i="1"/>
  <c r="K155" i="1"/>
  <c r="L154" i="1"/>
  <c r="K154" i="1"/>
  <c r="L153" i="1"/>
  <c r="K153" i="1"/>
  <c r="L152" i="1"/>
  <c r="K152" i="1"/>
  <c r="L151" i="1"/>
  <c r="K151" i="1"/>
  <c r="L150" i="1"/>
  <c r="K150" i="1"/>
  <c r="L149" i="1"/>
  <c r="K149" i="1"/>
  <c r="L148" i="1"/>
  <c r="K148" i="1"/>
  <c r="L147" i="1"/>
  <c r="K147" i="1"/>
  <c r="L146" i="1"/>
  <c r="K146" i="1"/>
  <c r="L145" i="1"/>
  <c r="K145" i="1"/>
  <c r="L144" i="1"/>
  <c r="K144" i="1"/>
  <c r="L143" i="1"/>
  <c r="K143" i="1"/>
  <c r="L142" i="1"/>
  <c r="K142" i="1"/>
  <c r="L141" i="1"/>
  <c r="K141" i="1"/>
  <c r="L140" i="1"/>
  <c r="K140" i="1"/>
  <c r="L139" i="1"/>
  <c r="K139" i="1"/>
  <c r="L138" i="1"/>
  <c r="K138" i="1"/>
  <c r="L137" i="1"/>
  <c r="K137" i="1"/>
  <c r="L136" i="1"/>
  <c r="K136" i="1"/>
  <c r="L135" i="1"/>
  <c r="K135" i="1"/>
  <c r="L134" i="1"/>
  <c r="K134" i="1"/>
  <c r="L133" i="1"/>
  <c r="K133" i="1"/>
  <c r="L132" i="1"/>
  <c r="K132" i="1"/>
  <c r="L131" i="1"/>
  <c r="K131" i="1"/>
  <c r="L130" i="1"/>
  <c r="K130" i="1"/>
  <c r="L129" i="1"/>
  <c r="K129" i="1"/>
  <c r="L128" i="1"/>
  <c r="K128" i="1"/>
  <c r="L127" i="1"/>
  <c r="K127" i="1"/>
  <c r="L126" i="1"/>
  <c r="K126" i="1"/>
  <c r="L125" i="1"/>
  <c r="K125" i="1"/>
  <c r="L124" i="1"/>
  <c r="K124" i="1"/>
  <c r="L123" i="1"/>
  <c r="K123" i="1"/>
  <c r="L122" i="1"/>
  <c r="K122" i="1"/>
  <c r="L121" i="1"/>
  <c r="K121" i="1"/>
  <c r="L120" i="1"/>
  <c r="K120" i="1"/>
  <c r="L119" i="1"/>
  <c r="K119" i="1"/>
  <c r="L118" i="1"/>
  <c r="K118" i="1"/>
  <c r="L117" i="1"/>
  <c r="K117" i="1"/>
  <c r="L116" i="1"/>
  <c r="K116" i="1"/>
  <c r="L115" i="1"/>
  <c r="K115" i="1"/>
  <c r="L114" i="1"/>
  <c r="K114" i="1"/>
  <c r="L113" i="1"/>
  <c r="K113" i="1"/>
  <c r="L112" i="1"/>
  <c r="K112" i="1"/>
  <c r="L111" i="1"/>
  <c r="K111" i="1"/>
  <c r="L110" i="1"/>
  <c r="K110" i="1"/>
  <c r="L109" i="1"/>
  <c r="K109" i="1"/>
  <c r="L108" i="1"/>
  <c r="K108" i="1"/>
  <c r="L107" i="1"/>
  <c r="K107" i="1"/>
  <c r="L106" i="1"/>
  <c r="K106" i="1"/>
  <c r="L105" i="1"/>
  <c r="K105" i="1"/>
  <c r="L104" i="1"/>
  <c r="K104" i="1"/>
  <c r="L103" i="1"/>
  <c r="K103" i="1"/>
  <c r="L102" i="1"/>
  <c r="K102" i="1"/>
  <c r="L101" i="1"/>
  <c r="K101" i="1"/>
  <c r="L100" i="1"/>
  <c r="K100" i="1"/>
  <c r="L99" i="1"/>
  <c r="K99" i="1"/>
  <c r="L98" i="1"/>
  <c r="K98" i="1"/>
  <c r="L97" i="1"/>
  <c r="K97" i="1"/>
  <c r="L96" i="1"/>
  <c r="K96" i="1"/>
  <c r="L95" i="1"/>
  <c r="K95" i="1"/>
  <c r="L94" i="1"/>
  <c r="K94" i="1"/>
  <c r="L93" i="1"/>
  <c r="K93" i="1"/>
  <c r="L92" i="1"/>
  <c r="K92" i="1"/>
  <c r="L91" i="1"/>
  <c r="K91" i="1"/>
  <c r="L90" i="1"/>
  <c r="K90" i="1"/>
  <c r="L89" i="1"/>
  <c r="K89" i="1"/>
  <c r="L88" i="1"/>
  <c r="K88" i="1"/>
  <c r="L87" i="1"/>
  <c r="K87" i="1"/>
  <c r="L86" i="1"/>
  <c r="K86" i="1"/>
  <c r="L85" i="1"/>
  <c r="K85" i="1"/>
  <c r="L84" i="1"/>
  <c r="K84" i="1"/>
  <c r="L83" i="1"/>
  <c r="K83" i="1"/>
  <c r="L82" i="1"/>
  <c r="K82" i="1"/>
  <c r="L81" i="1"/>
  <c r="K81" i="1"/>
  <c r="L80" i="1"/>
  <c r="K80" i="1"/>
  <c r="L79" i="1"/>
  <c r="K79" i="1"/>
  <c r="L78" i="1"/>
  <c r="K78" i="1"/>
  <c r="L77" i="1"/>
  <c r="K77" i="1"/>
  <c r="L76" i="1"/>
  <c r="K76" i="1"/>
  <c r="L75" i="1"/>
  <c r="K75" i="1"/>
  <c r="L74" i="1"/>
  <c r="K74" i="1"/>
  <c r="L73" i="1"/>
  <c r="K73" i="1"/>
  <c r="L72" i="1"/>
  <c r="K72" i="1"/>
  <c r="L71" i="1"/>
  <c r="K71" i="1"/>
  <c r="L70" i="1"/>
  <c r="K70" i="1"/>
  <c r="L69" i="1"/>
  <c r="K69" i="1"/>
  <c r="L68" i="1"/>
  <c r="K68" i="1"/>
  <c r="L67" i="1"/>
  <c r="K67" i="1"/>
  <c r="L66" i="1"/>
  <c r="K66" i="1"/>
  <c r="L65" i="1"/>
  <c r="K65" i="1"/>
  <c r="L64" i="1"/>
  <c r="K64" i="1"/>
  <c r="L63" i="1"/>
  <c r="K63" i="1"/>
  <c r="L62" i="1"/>
  <c r="K62" i="1"/>
  <c r="L61" i="1"/>
  <c r="K61" i="1"/>
  <c r="L60" i="1"/>
  <c r="K60" i="1"/>
  <c r="L59" i="1"/>
  <c r="K59" i="1"/>
  <c r="L58" i="1"/>
  <c r="K58" i="1"/>
  <c r="L57" i="1"/>
  <c r="K57" i="1"/>
  <c r="L56" i="1"/>
  <c r="K56" i="1"/>
  <c r="L55" i="1"/>
  <c r="K55" i="1"/>
  <c r="L54" i="1"/>
  <c r="K54" i="1"/>
  <c r="L53" i="1"/>
  <c r="K53" i="1"/>
  <c r="L52" i="1"/>
  <c r="K52" i="1"/>
  <c r="L51" i="1"/>
  <c r="K51" i="1"/>
  <c r="L50" i="1"/>
  <c r="K50" i="1"/>
  <c r="L49" i="1"/>
  <c r="K49" i="1"/>
  <c r="L48" i="1"/>
  <c r="K48" i="1"/>
  <c r="L47" i="1"/>
  <c r="K47" i="1"/>
  <c r="L46" i="1"/>
  <c r="K46" i="1"/>
  <c r="L45" i="1"/>
  <c r="K45" i="1"/>
  <c r="L44" i="1"/>
  <c r="K44" i="1"/>
  <c r="L43" i="1"/>
  <c r="K43" i="1"/>
  <c r="L42" i="1"/>
  <c r="K42" i="1"/>
  <c r="L41" i="1"/>
  <c r="K41" i="1"/>
  <c r="L40" i="1"/>
  <c r="K40" i="1"/>
  <c r="L39" i="1"/>
  <c r="K39" i="1"/>
  <c r="L38" i="1"/>
  <c r="K38" i="1"/>
  <c r="L37" i="1"/>
  <c r="K37" i="1"/>
  <c r="L36" i="1"/>
  <c r="K36" i="1"/>
  <c r="L35" i="1"/>
  <c r="K35" i="1"/>
  <c r="L34" i="1"/>
  <c r="K34" i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L3" i="1"/>
  <c r="K3" i="1"/>
  <c r="L2" i="1"/>
  <c r="K2" i="1"/>
  <c r="F6" i="1"/>
  <c r="F7" i="1"/>
  <c r="F8" i="1"/>
  <c r="F9" i="1"/>
  <c r="F10" i="1"/>
  <c r="F11" i="1"/>
  <c r="F12" i="1"/>
  <c r="F13" i="1"/>
  <c r="F459" i="1"/>
  <c r="F460" i="1"/>
  <c r="F461" i="1"/>
  <c r="F463" i="1"/>
  <c r="F464" i="1"/>
  <c r="F465" i="1"/>
  <c r="F466" i="1"/>
  <c r="F467" i="1"/>
  <c r="F475" i="1"/>
  <c r="F476" i="1"/>
  <c r="F477" i="1"/>
  <c r="F479" i="1"/>
  <c r="F481" i="1"/>
  <c r="I506" i="1"/>
  <c r="H506" i="1"/>
  <c r="G506" i="1"/>
  <c r="F506" i="1" s="1"/>
  <c r="I505" i="1"/>
  <c r="H505" i="1"/>
  <c r="G505" i="1"/>
  <c r="F505" i="1" s="1"/>
  <c r="I480" i="1"/>
  <c r="H480" i="1"/>
  <c r="G480" i="1"/>
  <c r="F480" i="1" s="1"/>
  <c r="G482" i="1"/>
  <c r="F482" i="1" s="1"/>
  <c r="H482" i="1"/>
  <c r="I482" i="1"/>
  <c r="G483" i="1"/>
  <c r="F483" i="1" s="1"/>
  <c r="H483" i="1"/>
  <c r="I483" i="1"/>
  <c r="G484" i="1"/>
  <c r="F484" i="1" s="1"/>
  <c r="H484" i="1"/>
  <c r="I484" i="1"/>
  <c r="G485" i="1"/>
  <c r="F485" i="1" s="1"/>
  <c r="H485" i="1"/>
  <c r="I485" i="1"/>
  <c r="G486" i="1"/>
  <c r="F486" i="1" s="1"/>
  <c r="H486" i="1"/>
  <c r="I486" i="1"/>
  <c r="G487" i="1"/>
  <c r="F487" i="1" s="1"/>
  <c r="H487" i="1"/>
  <c r="I487" i="1"/>
  <c r="G488" i="1"/>
  <c r="F488" i="1" s="1"/>
  <c r="H488" i="1"/>
  <c r="I488" i="1"/>
  <c r="G489" i="1"/>
  <c r="F489" i="1" s="1"/>
  <c r="H489" i="1"/>
  <c r="I489" i="1"/>
  <c r="G490" i="1"/>
  <c r="F490" i="1" s="1"/>
  <c r="H490" i="1"/>
  <c r="I490" i="1"/>
  <c r="G491" i="1"/>
  <c r="F491" i="1" s="1"/>
  <c r="H491" i="1"/>
  <c r="I491" i="1"/>
  <c r="G492" i="1"/>
  <c r="F492" i="1" s="1"/>
  <c r="H492" i="1"/>
  <c r="I492" i="1"/>
  <c r="G493" i="1"/>
  <c r="F493" i="1" s="1"/>
  <c r="H493" i="1"/>
  <c r="I493" i="1"/>
  <c r="G494" i="1"/>
  <c r="F494" i="1" s="1"/>
  <c r="H494" i="1"/>
  <c r="I494" i="1"/>
  <c r="G495" i="1"/>
  <c r="F495" i="1" s="1"/>
  <c r="H495" i="1"/>
  <c r="I495" i="1"/>
  <c r="G496" i="1"/>
  <c r="F496" i="1" s="1"/>
  <c r="H496" i="1"/>
  <c r="I496" i="1"/>
  <c r="G497" i="1"/>
  <c r="F497" i="1" s="1"/>
  <c r="H497" i="1"/>
  <c r="I497" i="1"/>
  <c r="G498" i="1"/>
  <c r="F498" i="1" s="1"/>
  <c r="H498" i="1"/>
  <c r="I498" i="1"/>
  <c r="G499" i="1"/>
  <c r="F499" i="1" s="1"/>
  <c r="H499" i="1"/>
  <c r="I499" i="1"/>
  <c r="G500" i="1"/>
  <c r="F500" i="1" s="1"/>
  <c r="H500" i="1"/>
  <c r="I500" i="1"/>
  <c r="G501" i="1"/>
  <c r="F501" i="1" s="1"/>
  <c r="H501" i="1"/>
  <c r="I501" i="1"/>
  <c r="G502" i="1"/>
  <c r="F502" i="1" s="1"/>
  <c r="H502" i="1"/>
  <c r="I502" i="1"/>
  <c r="G503" i="1"/>
  <c r="F503" i="1" s="1"/>
  <c r="H503" i="1"/>
  <c r="I503" i="1"/>
  <c r="G504" i="1"/>
  <c r="F504" i="1" s="1"/>
  <c r="H504" i="1"/>
  <c r="I504" i="1"/>
  <c r="I478" i="1"/>
  <c r="H478" i="1"/>
  <c r="G478" i="1"/>
  <c r="F478" i="1" s="1"/>
  <c r="I474" i="1"/>
  <c r="H474" i="1"/>
  <c r="G474" i="1"/>
  <c r="F474" i="1" s="1"/>
  <c r="I470" i="1"/>
  <c r="H470" i="1"/>
  <c r="G470" i="1"/>
  <c r="F470" i="1" s="1"/>
  <c r="I469" i="1"/>
  <c r="H469" i="1"/>
  <c r="G469" i="1"/>
  <c r="F469" i="1" s="1"/>
  <c r="I468" i="1"/>
  <c r="H468" i="1"/>
  <c r="G468" i="1"/>
  <c r="F468" i="1" s="1"/>
  <c r="G471" i="1"/>
  <c r="F471" i="1" s="1"/>
  <c r="H471" i="1"/>
  <c r="I471" i="1"/>
  <c r="G472" i="1"/>
  <c r="F472" i="1" s="1"/>
  <c r="H472" i="1"/>
  <c r="I472" i="1"/>
  <c r="G473" i="1"/>
  <c r="F473" i="1" s="1"/>
  <c r="H473" i="1"/>
  <c r="I473" i="1"/>
  <c r="G462" i="1"/>
  <c r="F462" i="1" s="1"/>
  <c r="H462" i="1"/>
  <c r="I462" i="1"/>
  <c r="H5" i="1" l="1"/>
  <c r="H13" i="1"/>
  <c r="H12" i="1"/>
  <c r="H11" i="1"/>
  <c r="H10" i="1"/>
  <c r="H9" i="1"/>
  <c r="H8" i="1"/>
  <c r="H7" i="1"/>
  <c r="H6" i="1"/>
  <c r="I378" i="1" l="1"/>
  <c r="H378" i="1"/>
  <c r="G378" i="1"/>
  <c r="F378" i="1" s="1"/>
  <c r="I377" i="1"/>
  <c r="H377" i="1"/>
  <c r="G377" i="1"/>
  <c r="F377" i="1" s="1"/>
  <c r="I376" i="1"/>
  <c r="H376" i="1"/>
  <c r="G376" i="1"/>
  <c r="F376" i="1" s="1"/>
  <c r="I375" i="1"/>
  <c r="H375" i="1"/>
  <c r="G375" i="1"/>
  <c r="F375" i="1" s="1"/>
  <c r="I374" i="1"/>
  <c r="H374" i="1"/>
  <c r="G374" i="1"/>
  <c r="F374" i="1" s="1"/>
  <c r="I373" i="1"/>
  <c r="H373" i="1"/>
  <c r="G373" i="1"/>
  <c r="F373" i="1" s="1"/>
  <c r="I372" i="1"/>
  <c r="H372" i="1"/>
  <c r="G372" i="1"/>
  <c r="F372" i="1" s="1"/>
  <c r="I371" i="1"/>
  <c r="H371" i="1"/>
  <c r="G371" i="1"/>
  <c r="F371" i="1" s="1"/>
  <c r="I370" i="1"/>
  <c r="H370" i="1"/>
  <c r="G370" i="1"/>
  <c r="F370" i="1" s="1"/>
  <c r="I369" i="1"/>
  <c r="H369" i="1"/>
  <c r="G369" i="1"/>
  <c r="F369" i="1" s="1"/>
  <c r="I368" i="1"/>
  <c r="H368" i="1"/>
  <c r="G368" i="1"/>
  <c r="F368" i="1" s="1"/>
  <c r="I367" i="1"/>
  <c r="H367" i="1"/>
  <c r="G367" i="1"/>
  <c r="F367" i="1" s="1"/>
  <c r="I366" i="1"/>
  <c r="H366" i="1"/>
  <c r="G366" i="1"/>
  <c r="F366" i="1" s="1"/>
  <c r="I365" i="1"/>
  <c r="H365" i="1"/>
  <c r="G365" i="1"/>
  <c r="F365" i="1" s="1"/>
  <c r="I364" i="1"/>
  <c r="H364" i="1"/>
  <c r="G364" i="1"/>
  <c r="F364" i="1" s="1"/>
  <c r="I363" i="1"/>
  <c r="H363" i="1"/>
  <c r="G363" i="1"/>
  <c r="F363" i="1" s="1"/>
  <c r="I362" i="1"/>
  <c r="H362" i="1"/>
  <c r="G362" i="1"/>
  <c r="F362" i="1" s="1"/>
  <c r="I361" i="1"/>
  <c r="H361" i="1"/>
  <c r="G361" i="1"/>
  <c r="F361" i="1" s="1"/>
  <c r="I360" i="1"/>
  <c r="H360" i="1"/>
  <c r="G360" i="1"/>
  <c r="F360" i="1" s="1"/>
  <c r="I359" i="1"/>
  <c r="H359" i="1"/>
  <c r="G359" i="1"/>
  <c r="F359" i="1" s="1"/>
  <c r="I358" i="1"/>
  <c r="H358" i="1"/>
  <c r="G358" i="1"/>
  <c r="F358" i="1" s="1"/>
  <c r="I357" i="1"/>
  <c r="H357" i="1"/>
  <c r="G357" i="1"/>
  <c r="F357" i="1" s="1"/>
  <c r="I356" i="1"/>
  <c r="H356" i="1"/>
  <c r="G356" i="1"/>
  <c r="F356" i="1" s="1"/>
  <c r="I355" i="1"/>
  <c r="H355" i="1"/>
  <c r="G355" i="1"/>
  <c r="F355" i="1" s="1"/>
  <c r="I354" i="1"/>
  <c r="H354" i="1"/>
  <c r="G354" i="1"/>
  <c r="F354" i="1" s="1"/>
  <c r="I353" i="1"/>
  <c r="H353" i="1"/>
  <c r="G353" i="1"/>
  <c r="F353" i="1" s="1"/>
  <c r="I352" i="1"/>
  <c r="H352" i="1"/>
  <c r="G352" i="1"/>
  <c r="F352" i="1" s="1"/>
  <c r="I351" i="1"/>
  <c r="H351" i="1"/>
  <c r="G351" i="1"/>
  <c r="F351" i="1" s="1"/>
  <c r="I350" i="1"/>
  <c r="H350" i="1"/>
  <c r="G350" i="1"/>
  <c r="F350" i="1" s="1"/>
  <c r="I349" i="1"/>
  <c r="H349" i="1"/>
  <c r="G349" i="1"/>
  <c r="F349" i="1" s="1"/>
  <c r="I348" i="1"/>
  <c r="H348" i="1"/>
  <c r="G348" i="1"/>
  <c r="F348" i="1" s="1"/>
  <c r="I347" i="1"/>
  <c r="H347" i="1"/>
  <c r="G347" i="1"/>
  <c r="F347" i="1" s="1"/>
  <c r="I346" i="1"/>
  <c r="H346" i="1"/>
  <c r="G346" i="1"/>
  <c r="F346" i="1" s="1"/>
  <c r="I345" i="1"/>
  <c r="H345" i="1"/>
  <c r="G345" i="1"/>
  <c r="F345" i="1" s="1"/>
  <c r="I344" i="1"/>
  <c r="H344" i="1"/>
  <c r="G344" i="1"/>
  <c r="F344" i="1" s="1"/>
  <c r="I343" i="1"/>
  <c r="H343" i="1"/>
  <c r="G343" i="1"/>
  <c r="F343" i="1" s="1"/>
  <c r="I342" i="1"/>
  <c r="H342" i="1"/>
  <c r="G342" i="1"/>
  <c r="F342" i="1" s="1"/>
  <c r="I341" i="1"/>
  <c r="H341" i="1"/>
  <c r="G341" i="1"/>
  <c r="F341" i="1" s="1"/>
  <c r="I340" i="1"/>
  <c r="H340" i="1"/>
  <c r="G340" i="1"/>
  <c r="F340" i="1" s="1"/>
  <c r="I339" i="1"/>
  <c r="H339" i="1"/>
  <c r="G339" i="1"/>
  <c r="F339" i="1" s="1"/>
  <c r="I338" i="1"/>
  <c r="H338" i="1"/>
  <c r="G338" i="1"/>
  <c r="F338" i="1" s="1"/>
  <c r="I337" i="1"/>
  <c r="H337" i="1"/>
  <c r="G337" i="1"/>
  <c r="F337" i="1" s="1"/>
  <c r="I336" i="1"/>
  <c r="H336" i="1"/>
  <c r="G336" i="1"/>
  <c r="F336" i="1" s="1"/>
  <c r="I335" i="1"/>
  <c r="H335" i="1"/>
  <c r="G335" i="1"/>
  <c r="F335" i="1" s="1"/>
  <c r="I334" i="1"/>
  <c r="H334" i="1"/>
  <c r="G334" i="1"/>
  <c r="F334" i="1" s="1"/>
  <c r="I333" i="1"/>
  <c r="H333" i="1"/>
  <c r="G333" i="1"/>
  <c r="F333" i="1" s="1"/>
  <c r="I332" i="1"/>
  <c r="H332" i="1"/>
  <c r="G332" i="1"/>
  <c r="F332" i="1" s="1"/>
  <c r="I331" i="1"/>
  <c r="H331" i="1"/>
  <c r="G331" i="1"/>
  <c r="F331" i="1" s="1"/>
  <c r="I330" i="1"/>
  <c r="H330" i="1"/>
  <c r="G330" i="1"/>
  <c r="F330" i="1" s="1"/>
  <c r="I329" i="1"/>
  <c r="H329" i="1"/>
  <c r="G329" i="1"/>
  <c r="F329" i="1" s="1"/>
  <c r="I328" i="1"/>
  <c r="H328" i="1"/>
  <c r="G328" i="1"/>
  <c r="F328" i="1" s="1"/>
  <c r="I327" i="1"/>
  <c r="H327" i="1"/>
  <c r="G327" i="1"/>
  <c r="F327" i="1" s="1"/>
  <c r="I304" i="1"/>
  <c r="H304" i="1"/>
  <c r="G304" i="1"/>
  <c r="F304" i="1" s="1"/>
  <c r="I303" i="1"/>
  <c r="H303" i="1"/>
  <c r="G303" i="1"/>
  <c r="F303" i="1" s="1"/>
  <c r="I302" i="1"/>
  <c r="H302" i="1"/>
  <c r="G302" i="1"/>
  <c r="F302" i="1" s="1"/>
  <c r="I301" i="1"/>
  <c r="H301" i="1"/>
  <c r="G301" i="1"/>
  <c r="F301" i="1" s="1"/>
  <c r="I300" i="1"/>
  <c r="H300" i="1"/>
  <c r="G300" i="1"/>
  <c r="F300" i="1" s="1"/>
  <c r="I299" i="1"/>
  <c r="H299" i="1"/>
  <c r="G299" i="1"/>
  <c r="F299" i="1" s="1"/>
  <c r="I298" i="1"/>
  <c r="H298" i="1"/>
  <c r="G298" i="1"/>
  <c r="F298" i="1" s="1"/>
  <c r="I297" i="1"/>
  <c r="H297" i="1"/>
  <c r="G297" i="1"/>
  <c r="F297" i="1" s="1"/>
  <c r="I296" i="1"/>
  <c r="H296" i="1"/>
  <c r="G296" i="1"/>
  <c r="F296" i="1" s="1"/>
  <c r="I295" i="1"/>
  <c r="H295" i="1"/>
  <c r="G295" i="1"/>
  <c r="F295" i="1" s="1"/>
  <c r="I294" i="1"/>
  <c r="H294" i="1"/>
  <c r="G294" i="1"/>
  <c r="F294" i="1" s="1"/>
  <c r="I293" i="1"/>
  <c r="H293" i="1"/>
  <c r="G293" i="1"/>
  <c r="F293" i="1" s="1"/>
  <c r="I292" i="1"/>
  <c r="H292" i="1"/>
  <c r="G292" i="1"/>
  <c r="F292" i="1" s="1"/>
  <c r="I291" i="1"/>
  <c r="H291" i="1"/>
  <c r="G291" i="1"/>
  <c r="F291" i="1" s="1"/>
  <c r="I290" i="1"/>
  <c r="H290" i="1"/>
  <c r="G290" i="1"/>
  <c r="F290" i="1" s="1"/>
  <c r="I289" i="1"/>
  <c r="H289" i="1"/>
  <c r="G289" i="1"/>
  <c r="F289" i="1" s="1"/>
  <c r="I288" i="1"/>
  <c r="H288" i="1"/>
  <c r="G288" i="1"/>
  <c r="F288" i="1" s="1"/>
  <c r="I287" i="1"/>
  <c r="H287" i="1"/>
  <c r="G287" i="1"/>
  <c r="F287" i="1" s="1"/>
  <c r="I286" i="1"/>
  <c r="H286" i="1"/>
  <c r="G286" i="1"/>
  <c r="F286" i="1" s="1"/>
  <c r="I285" i="1"/>
  <c r="H285" i="1"/>
  <c r="G285" i="1"/>
  <c r="F285" i="1" s="1"/>
  <c r="I284" i="1"/>
  <c r="H284" i="1"/>
  <c r="G284" i="1"/>
  <c r="F284" i="1" s="1"/>
  <c r="I283" i="1"/>
  <c r="H283" i="1"/>
  <c r="G283" i="1"/>
  <c r="F283" i="1" s="1"/>
  <c r="I282" i="1"/>
  <c r="H282" i="1"/>
  <c r="G282" i="1"/>
  <c r="F282" i="1" s="1"/>
  <c r="I281" i="1"/>
  <c r="H281" i="1"/>
  <c r="G281" i="1"/>
  <c r="F281" i="1" s="1"/>
  <c r="I280" i="1"/>
  <c r="H280" i="1"/>
  <c r="G280" i="1"/>
  <c r="F280" i="1" s="1"/>
  <c r="I279" i="1"/>
  <c r="H279" i="1"/>
  <c r="G279" i="1"/>
  <c r="F279" i="1" s="1"/>
  <c r="I278" i="1"/>
  <c r="H278" i="1"/>
  <c r="G278" i="1"/>
  <c r="F278" i="1" s="1"/>
  <c r="I277" i="1"/>
  <c r="H277" i="1"/>
  <c r="G277" i="1"/>
  <c r="F277" i="1" s="1"/>
  <c r="I276" i="1"/>
  <c r="H276" i="1"/>
  <c r="G276" i="1"/>
  <c r="F276" i="1" s="1"/>
  <c r="I275" i="1"/>
  <c r="H275" i="1"/>
  <c r="G275" i="1"/>
  <c r="F275" i="1" s="1"/>
  <c r="I274" i="1"/>
  <c r="H274" i="1"/>
  <c r="G274" i="1"/>
  <c r="F274" i="1" s="1"/>
  <c r="I273" i="1"/>
  <c r="H273" i="1"/>
  <c r="G273" i="1"/>
  <c r="F273" i="1" s="1"/>
  <c r="I272" i="1"/>
  <c r="H272" i="1"/>
  <c r="G272" i="1"/>
  <c r="F272" i="1" s="1"/>
  <c r="I271" i="1"/>
  <c r="H271" i="1"/>
  <c r="G271" i="1"/>
  <c r="F271" i="1" s="1"/>
  <c r="I270" i="1"/>
  <c r="H270" i="1"/>
  <c r="G270" i="1"/>
  <c r="F270" i="1" s="1"/>
  <c r="I269" i="1"/>
  <c r="H269" i="1"/>
  <c r="G269" i="1"/>
  <c r="F269" i="1" s="1"/>
  <c r="I268" i="1"/>
  <c r="H268" i="1"/>
  <c r="G268" i="1"/>
  <c r="F268" i="1" s="1"/>
  <c r="I267" i="1"/>
  <c r="H267" i="1"/>
  <c r="G267" i="1"/>
  <c r="F267" i="1" s="1"/>
  <c r="I266" i="1"/>
  <c r="H266" i="1"/>
  <c r="G266" i="1"/>
  <c r="F266" i="1" s="1"/>
  <c r="I265" i="1"/>
  <c r="H265" i="1"/>
  <c r="G265" i="1"/>
  <c r="F265" i="1" s="1"/>
  <c r="I264" i="1"/>
  <c r="H264" i="1"/>
  <c r="G264" i="1"/>
  <c r="F264" i="1" s="1"/>
  <c r="I263" i="1"/>
  <c r="H263" i="1"/>
  <c r="G263" i="1"/>
  <c r="F263" i="1" s="1"/>
  <c r="I262" i="1"/>
  <c r="H262" i="1"/>
  <c r="G262" i="1"/>
  <c r="F262" i="1" s="1"/>
  <c r="I261" i="1"/>
  <c r="H261" i="1"/>
  <c r="G261" i="1"/>
  <c r="F261" i="1" s="1"/>
  <c r="I260" i="1"/>
  <c r="H260" i="1"/>
  <c r="G260" i="1"/>
  <c r="F260" i="1" s="1"/>
  <c r="I259" i="1"/>
  <c r="H259" i="1"/>
  <c r="G259" i="1"/>
  <c r="F259" i="1" s="1"/>
  <c r="I258" i="1"/>
  <c r="H258" i="1"/>
  <c r="G258" i="1"/>
  <c r="F258" i="1" s="1"/>
  <c r="I257" i="1"/>
  <c r="H257" i="1"/>
  <c r="G257" i="1"/>
  <c r="F257" i="1" s="1"/>
  <c r="I256" i="1"/>
  <c r="H256" i="1"/>
  <c r="G256" i="1"/>
  <c r="F256" i="1" s="1"/>
  <c r="I255" i="1"/>
  <c r="H255" i="1"/>
  <c r="G255" i="1"/>
  <c r="F255" i="1" s="1"/>
  <c r="I254" i="1"/>
  <c r="H254" i="1"/>
  <c r="G254" i="1"/>
  <c r="F254" i="1" s="1"/>
  <c r="I253" i="1"/>
  <c r="H253" i="1"/>
  <c r="G253" i="1"/>
  <c r="F253" i="1" s="1"/>
  <c r="G209" i="1"/>
  <c r="F209" i="1" s="1"/>
  <c r="H209" i="1"/>
  <c r="I209" i="1"/>
  <c r="G210" i="1"/>
  <c r="F210" i="1" s="1"/>
  <c r="H210" i="1"/>
  <c r="I210" i="1"/>
  <c r="G211" i="1"/>
  <c r="F211" i="1" s="1"/>
  <c r="H211" i="1"/>
  <c r="I211" i="1"/>
  <c r="G212" i="1"/>
  <c r="F212" i="1" s="1"/>
  <c r="H212" i="1"/>
  <c r="I212" i="1"/>
  <c r="G213" i="1"/>
  <c r="F213" i="1" s="1"/>
  <c r="H213" i="1"/>
  <c r="I213" i="1"/>
  <c r="G214" i="1"/>
  <c r="F214" i="1" s="1"/>
  <c r="H214" i="1"/>
  <c r="I214" i="1"/>
  <c r="G215" i="1"/>
  <c r="F215" i="1" s="1"/>
  <c r="H215" i="1"/>
  <c r="I215" i="1"/>
  <c r="G216" i="1"/>
  <c r="F216" i="1" s="1"/>
  <c r="H216" i="1"/>
  <c r="I216" i="1"/>
  <c r="G217" i="1"/>
  <c r="F217" i="1" s="1"/>
  <c r="H217" i="1"/>
  <c r="I217" i="1"/>
  <c r="G218" i="1"/>
  <c r="F218" i="1" s="1"/>
  <c r="H218" i="1"/>
  <c r="I218" i="1"/>
  <c r="G219" i="1"/>
  <c r="F219" i="1" s="1"/>
  <c r="H219" i="1"/>
  <c r="I219" i="1"/>
  <c r="G220" i="1"/>
  <c r="F220" i="1" s="1"/>
  <c r="H220" i="1"/>
  <c r="I220" i="1"/>
  <c r="G221" i="1"/>
  <c r="F221" i="1" s="1"/>
  <c r="H221" i="1"/>
  <c r="I221" i="1"/>
  <c r="G222" i="1"/>
  <c r="F222" i="1" s="1"/>
  <c r="H222" i="1"/>
  <c r="I222" i="1"/>
  <c r="G223" i="1"/>
  <c r="F223" i="1" s="1"/>
  <c r="H223" i="1"/>
  <c r="I223" i="1"/>
  <c r="G224" i="1"/>
  <c r="F224" i="1" s="1"/>
  <c r="H224" i="1"/>
  <c r="I224" i="1"/>
  <c r="G225" i="1"/>
  <c r="F225" i="1" s="1"/>
  <c r="H225" i="1"/>
  <c r="I225" i="1"/>
  <c r="G226" i="1"/>
  <c r="F226" i="1" s="1"/>
  <c r="H226" i="1"/>
  <c r="I226" i="1"/>
  <c r="G227" i="1"/>
  <c r="F227" i="1" s="1"/>
  <c r="H227" i="1"/>
  <c r="I227" i="1"/>
  <c r="G228" i="1"/>
  <c r="F228" i="1" s="1"/>
  <c r="H228" i="1"/>
  <c r="I228" i="1"/>
  <c r="G229" i="1"/>
  <c r="F229" i="1" s="1"/>
  <c r="H229" i="1"/>
  <c r="I229" i="1"/>
  <c r="G230" i="1"/>
  <c r="F230" i="1" s="1"/>
  <c r="H230" i="1"/>
  <c r="I230" i="1"/>
  <c r="G231" i="1"/>
  <c r="F231" i="1" s="1"/>
  <c r="H231" i="1"/>
  <c r="I231" i="1"/>
  <c r="G232" i="1"/>
  <c r="F232" i="1" s="1"/>
  <c r="H232" i="1"/>
  <c r="I232" i="1"/>
  <c r="G233" i="1"/>
  <c r="F233" i="1" s="1"/>
  <c r="H233" i="1"/>
  <c r="I233" i="1"/>
  <c r="G234" i="1"/>
  <c r="F234" i="1" s="1"/>
  <c r="H234" i="1"/>
  <c r="I234" i="1"/>
  <c r="G235" i="1"/>
  <c r="F235" i="1" s="1"/>
  <c r="H235" i="1"/>
  <c r="I235" i="1"/>
  <c r="G236" i="1"/>
  <c r="F236" i="1" s="1"/>
  <c r="H236" i="1"/>
  <c r="I236" i="1"/>
  <c r="G237" i="1"/>
  <c r="F237" i="1" s="1"/>
  <c r="H237" i="1"/>
  <c r="I237" i="1"/>
  <c r="G238" i="1"/>
  <c r="F238" i="1" s="1"/>
  <c r="H238" i="1"/>
  <c r="I238" i="1"/>
  <c r="G239" i="1"/>
  <c r="F239" i="1" s="1"/>
  <c r="H239" i="1"/>
  <c r="I239" i="1"/>
  <c r="G240" i="1"/>
  <c r="F240" i="1" s="1"/>
  <c r="H240" i="1"/>
  <c r="I240" i="1"/>
  <c r="G241" i="1"/>
  <c r="F241" i="1" s="1"/>
  <c r="H241" i="1"/>
  <c r="I241" i="1"/>
  <c r="G242" i="1"/>
  <c r="F242" i="1" s="1"/>
  <c r="H242" i="1"/>
  <c r="I242" i="1"/>
  <c r="G243" i="1"/>
  <c r="F243" i="1" s="1"/>
  <c r="H243" i="1"/>
  <c r="I243" i="1"/>
  <c r="G244" i="1"/>
  <c r="F244" i="1" s="1"/>
  <c r="H244" i="1"/>
  <c r="I244" i="1"/>
  <c r="G245" i="1"/>
  <c r="F245" i="1" s="1"/>
  <c r="H245" i="1"/>
  <c r="I245" i="1"/>
  <c r="G246" i="1"/>
  <c r="F246" i="1" s="1"/>
  <c r="H246" i="1"/>
  <c r="I246" i="1"/>
  <c r="G247" i="1"/>
  <c r="F247" i="1" s="1"/>
  <c r="H247" i="1"/>
  <c r="I247" i="1"/>
  <c r="G248" i="1"/>
  <c r="F248" i="1" s="1"/>
  <c r="H248" i="1"/>
  <c r="I248" i="1"/>
  <c r="G249" i="1"/>
  <c r="F249" i="1" s="1"/>
  <c r="H249" i="1"/>
  <c r="I249" i="1"/>
  <c r="G250" i="1"/>
  <c r="F250" i="1" s="1"/>
  <c r="H250" i="1"/>
  <c r="I250" i="1"/>
  <c r="G251" i="1"/>
  <c r="F251" i="1" s="1"/>
  <c r="H251" i="1"/>
  <c r="I251" i="1"/>
  <c r="G252" i="1"/>
  <c r="F252" i="1" s="1"/>
  <c r="H252" i="1"/>
  <c r="I252" i="1"/>
  <c r="G305" i="1"/>
  <c r="F305" i="1" s="1"/>
  <c r="H305" i="1"/>
  <c r="I305" i="1"/>
  <c r="G306" i="1"/>
  <c r="F306" i="1" s="1"/>
  <c r="H306" i="1"/>
  <c r="I306" i="1"/>
  <c r="G307" i="1"/>
  <c r="F307" i="1" s="1"/>
  <c r="H307" i="1"/>
  <c r="I307" i="1"/>
  <c r="G308" i="1"/>
  <c r="F308" i="1" s="1"/>
  <c r="H308" i="1"/>
  <c r="I308" i="1"/>
  <c r="G309" i="1"/>
  <c r="F309" i="1" s="1"/>
  <c r="H309" i="1"/>
  <c r="I309" i="1"/>
  <c r="G310" i="1"/>
  <c r="F310" i="1" s="1"/>
  <c r="H310" i="1"/>
  <c r="I310" i="1"/>
  <c r="G311" i="1"/>
  <c r="F311" i="1" s="1"/>
  <c r="H311" i="1"/>
  <c r="I311" i="1"/>
  <c r="G312" i="1"/>
  <c r="F312" i="1" s="1"/>
  <c r="H312" i="1"/>
  <c r="I312" i="1"/>
  <c r="G313" i="1"/>
  <c r="F313" i="1" s="1"/>
  <c r="H313" i="1"/>
  <c r="I313" i="1"/>
  <c r="G314" i="1"/>
  <c r="F314" i="1" s="1"/>
  <c r="H314" i="1"/>
  <c r="I314" i="1"/>
  <c r="G315" i="1"/>
  <c r="F315" i="1" s="1"/>
  <c r="H315" i="1"/>
  <c r="I315" i="1"/>
  <c r="G316" i="1"/>
  <c r="F316" i="1" s="1"/>
  <c r="H316" i="1"/>
  <c r="I316" i="1"/>
  <c r="G317" i="1"/>
  <c r="F317" i="1" s="1"/>
  <c r="H317" i="1"/>
  <c r="I317" i="1"/>
  <c r="G318" i="1"/>
  <c r="F318" i="1" s="1"/>
  <c r="H318" i="1"/>
  <c r="I318" i="1"/>
  <c r="G319" i="1"/>
  <c r="F319" i="1" s="1"/>
  <c r="H319" i="1"/>
  <c r="I319" i="1"/>
  <c r="G320" i="1"/>
  <c r="F320" i="1" s="1"/>
  <c r="H320" i="1"/>
  <c r="I320" i="1"/>
  <c r="G321" i="1"/>
  <c r="F321" i="1" s="1"/>
  <c r="H321" i="1"/>
  <c r="I321" i="1"/>
  <c r="G322" i="1"/>
  <c r="F322" i="1" s="1"/>
  <c r="H322" i="1"/>
  <c r="I322" i="1"/>
  <c r="G323" i="1"/>
  <c r="F323" i="1" s="1"/>
  <c r="H323" i="1"/>
  <c r="I323" i="1"/>
  <c r="G324" i="1"/>
  <c r="F324" i="1" s="1"/>
  <c r="H324" i="1"/>
  <c r="I324" i="1"/>
  <c r="G325" i="1"/>
  <c r="F325" i="1" s="1"/>
  <c r="H325" i="1"/>
  <c r="I325" i="1"/>
  <c r="G326" i="1"/>
  <c r="F326" i="1" s="1"/>
  <c r="H326" i="1"/>
  <c r="I326" i="1"/>
  <c r="G379" i="1"/>
  <c r="F379" i="1" s="1"/>
  <c r="H379" i="1"/>
  <c r="I379" i="1"/>
  <c r="G380" i="1"/>
  <c r="F380" i="1" s="1"/>
  <c r="H380" i="1"/>
  <c r="I380" i="1"/>
  <c r="G381" i="1"/>
  <c r="F381" i="1" s="1"/>
  <c r="H381" i="1"/>
  <c r="I381" i="1"/>
  <c r="G382" i="1"/>
  <c r="F382" i="1" s="1"/>
  <c r="H382" i="1"/>
  <c r="I382" i="1"/>
  <c r="G383" i="1"/>
  <c r="F383" i="1" s="1"/>
  <c r="H383" i="1"/>
  <c r="I383" i="1"/>
  <c r="G384" i="1"/>
  <c r="F384" i="1" s="1"/>
  <c r="H384" i="1"/>
  <c r="I384" i="1"/>
  <c r="G385" i="1"/>
  <c r="F385" i="1" s="1"/>
  <c r="H385" i="1"/>
  <c r="I385" i="1"/>
  <c r="G386" i="1"/>
  <c r="F386" i="1" s="1"/>
  <c r="H386" i="1"/>
  <c r="I386" i="1"/>
  <c r="G387" i="1"/>
  <c r="F387" i="1" s="1"/>
  <c r="H387" i="1"/>
  <c r="I387" i="1"/>
  <c r="G388" i="1"/>
  <c r="F388" i="1" s="1"/>
  <c r="H388" i="1"/>
  <c r="I388" i="1"/>
  <c r="G389" i="1"/>
  <c r="F389" i="1" s="1"/>
  <c r="H389" i="1"/>
  <c r="I389" i="1"/>
  <c r="G390" i="1"/>
  <c r="F390" i="1" s="1"/>
  <c r="H390" i="1"/>
  <c r="I390" i="1"/>
  <c r="G391" i="1"/>
  <c r="F391" i="1" s="1"/>
  <c r="H391" i="1"/>
  <c r="I391" i="1"/>
  <c r="G392" i="1"/>
  <c r="F392" i="1" s="1"/>
  <c r="H392" i="1"/>
  <c r="I392" i="1"/>
  <c r="G393" i="1"/>
  <c r="F393" i="1" s="1"/>
  <c r="H393" i="1"/>
  <c r="I393" i="1"/>
  <c r="G394" i="1"/>
  <c r="F394" i="1" s="1"/>
  <c r="H394" i="1"/>
  <c r="I394" i="1"/>
  <c r="G395" i="1"/>
  <c r="F395" i="1" s="1"/>
  <c r="H395" i="1"/>
  <c r="I395" i="1"/>
  <c r="G396" i="1"/>
  <c r="F396" i="1" s="1"/>
  <c r="H396" i="1"/>
  <c r="I396" i="1"/>
  <c r="G397" i="1"/>
  <c r="F397" i="1" s="1"/>
  <c r="H397" i="1"/>
  <c r="I397" i="1"/>
  <c r="G398" i="1"/>
  <c r="F398" i="1" s="1"/>
  <c r="H398" i="1"/>
  <c r="I398" i="1"/>
  <c r="G399" i="1"/>
  <c r="F399" i="1" s="1"/>
  <c r="H399" i="1"/>
  <c r="I399" i="1"/>
  <c r="G400" i="1"/>
  <c r="F400" i="1" s="1"/>
  <c r="H400" i="1"/>
  <c r="I400" i="1"/>
  <c r="G401" i="1"/>
  <c r="F401" i="1" s="1"/>
  <c r="H401" i="1"/>
  <c r="I401" i="1"/>
  <c r="G402" i="1"/>
  <c r="F402" i="1" s="1"/>
  <c r="H402" i="1"/>
  <c r="I402" i="1"/>
  <c r="G403" i="1"/>
  <c r="F403" i="1" s="1"/>
  <c r="H403" i="1"/>
  <c r="I403" i="1"/>
  <c r="G404" i="1"/>
  <c r="F404" i="1" s="1"/>
  <c r="H404" i="1"/>
  <c r="I404" i="1"/>
  <c r="G405" i="1"/>
  <c r="F405" i="1" s="1"/>
  <c r="H405" i="1"/>
  <c r="I405" i="1"/>
  <c r="G406" i="1"/>
  <c r="F406" i="1" s="1"/>
  <c r="H406" i="1"/>
  <c r="I406" i="1"/>
  <c r="G407" i="1"/>
  <c r="F407" i="1" s="1"/>
  <c r="H407" i="1"/>
  <c r="I407" i="1"/>
  <c r="G408" i="1"/>
  <c r="F408" i="1" s="1"/>
  <c r="H408" i="1"/>
  <c r="I408" i="1"/>
  <c r="G409" i="1"/>
  <c r="F409" i="1" s="1"/>
  <c r="H409" i="1"/>
  <c r="I409" i="1"/>
  <c r="G410" i="1"/>
  <c r="F410" i="1" s="1"/>
  <c r="H410" i="1"/>
  <c r="I410" i="1"/>
  <c r="G411" i="1"/>
  <c r="F411" i="1" s="1"/>
  <c r="H411" i="1"/>
  <c r="I411" i="1"/>
  <c r="G412" i="1"/>
  <c r="F412" i="1" s="1"/>
  <c r="H412" i="1"/>
  <c r="I412" i="1"/>
  <c r="G413" i="1"/>
  <c r="F413" i="1" s="1"/>
  <c r="H413" i="1"/>
  <c r="I413" i="1"/>
  <c r="G414" i="1"/>
  <c r="F414" i="1" s="1"/>
  <c r="H414" i="1"/>
  <c r="I414" i="1"/>
  <c r="G415" i="1"/>
  <c r="F415" i="1" s="1"/>
  <c r="H415" i="1"/>
  <c r="I415" i="1"/>
  <c r="G416" i="1"/>
  <c r="F416" i="1" s="1"/>
  <c r="H416" i="1"/>
  <c r="I416" i="1"/>
  <c r="G417" i="1"/>
  <c r="F417" i="1" s="1"/>
  <c r="H417" i="1"/>
  <c r="I417" i="1"/>
  <c r="G418" i="1"/>
  <c r="F418" i="1" s="1"/>
  <c r="H418" i="1"/>
  <c r="I418" i="1"/>
  <c r="G419" i="1"/>
  <c r="F419" i="1" s="1"/>
  <c r="H419" i="1"/>
  <c r="I419" i="1"/>
  <c r="G420" i="1"/>
  <c r="F420" i="1" s="1"/>
  <c r="H420" i="1"/>
  <c r="I420" i="1"/>
  <c r="G421" i="1"/>
  <c r="F421" i="1" s="1"/>
  <c r="H421" i="1"/>
  <c r="I421" i="1"/>
  <c r="G422" i="1"/>
  <c r="F422" i="1" s="1"/>
  <c r="H422" i="1"/>
  <c r="I422" i="1"/>
  <c r="G423" i="1"/>
  <c r="F423" i="1" s="1"/>
  <c r="H423" i="1"/>
  <c r="I423" i="1"/>
  <c r="G424" i="1"/>
  <c r="F424" i="1" s="1"/>
  <c r="H424" i="1"/>
  <c r="I424" i="1"/>
  <c r="G425" i="1"/>
  <c r="F425" i="1" s="1"/>
  <c r="H425" i="1"/>
  <c r="I425" i="1"/>
  <c r="G426" i="1"/>
  <c r="F426" i="1" s="1"/>
  <c r="H426" i="1"/>
  <c r="I426" i="1"/>
  <c r="G427" i="1"/>
  <c r="F427" i="1" s="1"/>
  <c r="H427" i="1"/>
  <c r="I427" i="1"/>
  <c r="G428" i="1"/>
  <c r="F428" i="1" s="1"/>
  <c r="H428" i="1"/>
  <c r="I428" i="1"/>
  <c r="G429" i="1"/>
  <c r="F429" i="1" s="1"/>
  <c r="H429" i="1"/>
  <c r="I429" i="1"/>
  <c r="G430" i="1"/>
  <c r="F430" i="1" s="1"/>
  <c r="H430" i="1"/>
  <c r="I430" i="1"/>
  <c r="G431" i="1"/>
  <c r="F431" i="1" s="1"/>
  <c r="H431" i="1"/>
  <c r="I431" i="1"/>
  <c r="G432" i="1"/>
  <c r="F432" i="1" s="1"/>
  <c r="H432" i="1"/>
  <c r="I432" i="1"/>
  <c r="G433" i="1"/>
  <c r="F433" i="1" s="1"/>
  <c r="H433" i="1"/>
  <c r="I433" i="1"/>
  <c r="G434" i="1"/>
  <c r="F434" i="1" s="1"/>
  <c r="H434" i="1"/>
  <c r="I434" i="1"/>
  <c r="G435" i="1"/>
  <c r="F435" i="1" s="1"/>
  <c r="H435" i="1"/>
  <c r="I435" i="1"/>
  <c r="G436" i="1"/>
  <c r="F436" i="1" s="1"/>
  <c r="H436" i="1"/>
  <c r="I436" i="1"/>
  <c r="G437" i="1"/>
  <c r="F437" i="1" s="1"/>
  <c r="H437" i="1"/>
  <c r="I437" i="1"/>
  <c r="G438" i="1"/>
  <c r="F438" i="1" s="1"/>
  <c r="H438" i="1"/>
  <c r="I438" i="1"/>
  <c r="G439" i="1"/>
  <c r="F439" i="1" s="1"/>
  <c r="H439" i="1"/>
  <c r="I439" i="1"/>
  <c r="G440" i="1"/>
  <c r="F440" i="1" s="1"/>
  <c r="H440" i="1"/>
  <c r="I440" i="1"/>
  <c r="G441" i="1"/>
  <c r="F441" i="1" s="1"/>
  <c r="H441" i="1"/>
  <c r="I441" i="1"/>
  <c r="G442" i="1"/>
  <c r="F442" i="1" s="1"/>
  <c r="H442" i="1"/>
  <c r="I442" i="1"/>
  <c r="G443" i="1"/>
  <c r="F443" i="1" s="1"/>
  <c r="H443" i="1"/>
  <c r="I443" i="1"/>
  <c r="G444" i="1"/>
  <c r="F444" i="1" s="1"/>
  <c r="H444" i="1"/>
  <c r="I444" i="1"/>
  <c r="G445" i="1"/>
  <c r="F445" i="1" s="1"/>
  <c r="H445" i="1"/>
  <c r="I445" i="1"/>
  <c r="G446" i="1"/>
  <c r="F446" i="1" s="1"/>
  <c r="H446" i="1"/>
  <c r="I446" i="1"/>
  <c r="G447" i="1"/>
  <c r="F447" i="1" s="1"/>
  <c r="H447" i="1"/>
  <c r="I447" i="1"/>
  <c r="G448" i="1"/>
  <c r="F448" i="1" s="1"/>
  <c r="H448" i="1"/>
  <c r="I448" i="1"/>
  <c r="G449" i="1"/>
  <c r="F449" i="1" s="1"/>
  <c r="H449" i="1"/>
  <c r="I449" i="1"/>
  <c r="G450" i="1"/>
  <c r="F450" i="1" s="1"/>
  <c r="H450" i="1"/>
  <c r="I450" i="1"/>
  <c r="G451" i="1"/>
  <c r="F451" i="1" s="1"/>
  <c r="H451" i="1"/>
  <c r="I451" i="1"/>
  <c r="G452" i="1"/>
  <c r="F452" i="1" s="1"/>
  <c r="H452" i="1"/>
  <c r="I452" i="1"/>
  <c r="G453" i="1"/>
  <c r="F453" i="1" s="1"/>
  <c r="H453" i="1"/>
  <c r="I453" i="1"/>
  <c r="G454" i="1"/>
  <c r="F454" i="1" s="1"/>
  <c r="H454" i="1"/>
  <c r="I454" i="1"/>
  <c r="G455" i="1"/>
  <c r="F455" i="1" s="1"/>
  <c r="H455" i="1"/>
  <c r="I455" i="1"/>
  <c r="G456" i="1"/>
  <c r="F456" i="1" s="1"/>
  <c r="H456" i="1"/>
  <c r="I456" i="1"/>
  <c r="G457" i="1"/>
  <c r="F457" i="1" s="1"/>
  <c r="H457" i="1"/>
  <c r="I457" i="1"/>
  <c r="G458" i="1"/>
  <c r="F458" i="1" s="1"/>
  <c r="H458" i="1"/>
  <c r="I458" i="1"/>
  <c r="H2" i="1"/>
  <c r="H3" i="1"/>
  <c r="I5" i="1"/>
  <c r="I4" i="1"/>
  <c r="G5" i="1"/>
  <c r="F5" i="1" s="1"/>
  <c r="H4" i="1"/>
  <c r="G4" i="1"/>
  <c r="G121" i="1"/>
  <c r="F121" i="1" s="1"/>
  <c r="G100" i="1"/>
  <c r="F100" i="1" s="1"/>
  <c r="G88" i="1"/>
  <c r="F88" i="1" s="1"/>
  <c r="G76" i="1"/>
  <c r="F76" i="1" s="1"/>
  <c r="G66" i="1"/>
  <c r="F66" i="1" s="1"/>
  <c r="G64" i="1"/>
  <c r="F64" i="1" s="1"/>
  <c r="G62" i="1"/>
  <c r="F62" i="1" s="1"/>
  <c r="G58" i="1"/>
  <c r="F58" i="1" s="1"/>
  <c r="G56" i="1"/>
  <c r="F56" i="1" s="1"/>
  <c r="I54" i="1"/>
  <c r="G52" i="1"/>
  <c r="F52" i="1" s="1"/>
  <c r="I50" i="1"/>
  <c r="G48" i="1"/>
  <c r="F48" i="1" s="1"/>
  <c r="I46" i="1"/>
  <c r="G44" i="1"/>
  <c r="F44" i="1" s="1"/>
  <c r="I42" i="1"/>
  <c r="G40" i="1"/>
  <c r="F40" i="1" s="1"/>
  <c r="I38" i="1"/>
  <c r="G36" i="1"/>
  <c r="F36" i="1" s="1"/>
  <c r="I34" i="1"/>
  <c r="G32" i="1"/>
  <c r="F32" i="1" s="1"/>
  <c r="I30" i="1"/>
  <c r="G28" i="1"/>
  <c r="F28" i="1" s="1"/>
  <c r="I26" i="1"/>
  <c r="G24" i="1"/>
  <c r="F24" i="1" s="1"/>
  <c r="I22" i="1"/>
  <c r="G20" i="1"/>
  <c r="F20" i="1" s="1"/>
  <c r="G19" i="1"/>
  <c r="F19" i="1" s="1"/>
  <c r="I18" i="1"/>
  <c r="G14" i="1"/>
  <c r="F14" i="1" s="1"/>
  <c r="H14" i="1"/>
  <c r="I14" i="1"/>
  <c r="G15" i="1"/>
  <c r="F15" i="1" s="1"/>
  <c r="H15" i="1"/>
  <c r="I15" i="1"/>
  <c r="G16" i="1"/>
  <c r="F16" i="1" s="1"/>
  <c r="H16" i="1"/>
  <c r="I16" i="1"/>
  <c r="G17" i="1"/>
  <c r="F17" i="1" s="1"/>
  <c r="H17" i="1"/>
  <c r="I17" i="1"/>
  <c r="H20" i="1"/>
  <c r="G21" i="1"/>
  <c r="F21" i="1" s="1"/>
  <c r="H21" i="1"/>
  <c r="I21" i="1"/>
  <c r="H22" i="1"/>
  <c r="G23" i="1"/>
  <c r="F23" i="1" s="1"/>
  <c r="H23" i="1"/>
  <c r="I23" i="1"/>
  <c r="H24" i="1"/>
  <c r="I24" i="1"/>
  <c r="G25" i="1"/>
  <c r="F25" i="1" s="1"/>
  <c r="H25" i="1"/>
  <c r="I25" i="1"/>
  <c r="G27" i="1"/>
  <c r="F27" i="1" s="1"/>
  <c r="H27" i="1"/>
  <c r="I27" i="1"/>
  <c r="G29" i="1"/>
  <c r="F29" i="1" s="1"/>
  <c r="H29" i="1"/>
  <c r="I29" i="1"/>
  <c r="H30" i="1"/>
  <c r="G31" i="1"/>
  <c r="F31" i="1" s="1"/>
  <c r="H31" i="1"/>
  <c r="I31" i="1"/>
  <c r="H32" i="1"/>
  <c r="I32" i="1"/>
  <c r="G33" i="1"/>
  <c r="F33" i="1" s="1"/>
  <c r="H33" i="1"/>
  <c r="I33" i="1"/>
  <c r="H34" i="1"/>
  <c r="G35" i="1"/>
  <c r="F35" i="1" s="1"/>
  <c r="H35" i="1"/>
  <c r="I35" i="1"/>
  <c r="H36" i="1"/>
  <c r="I36" i="1"/>
  <c r="G37" i="1"/>
  <c r="F37" i="1" s="1"/>
  <c r="H37" i="1"/>
  <c r="I37" i="1"/>
  <c r="H38" i="1"/>
  <c r="G39" i="1"/>
  <c r="F39" i="1" s="1"/>
  <c r="H39" i="1"/>
  <c r="I39" i="1"/>
  <c r="G41" i="1"/>
  <c r="F41" i="1" s="1"/>
  <c r="H41" i="1"/>
  <c r="I41" i="1"/>
  <c r="H42" i="1"/>
  <c r="G43" i="1"/>
  <c r="F43" i="1" s="1"/>
  <c r="H43" i="1"/>
  <c r="I43" i="1"/>
  <c r="H44" i="1"/>
  <c r="I44" i="1"/>
  <c r="G45" i="1"/>
  <c r="F45" i="1" s="1"/>
  <c r="H45" i="1"/>
  <c r="I45" i="1"/>
  <c r="H46" i="1"/>
  <c r="G47" i="1"/>
  <c r="F47" i="1" s="1"/>
  <c r="H47" i="1"/>
  <c r="I47" i="1"/>
  <c r="H48" i="1"/>
  <c r="I48" i="1"/>
  <c r="G49" i="1"/>
  <c r="F49" i="1" s="1"/>
  <c r="H49" i="1"/>
  <c r="I49" i="1"/>
  <c r="H50" i="1"/>
  <c r="G51" i="1"/>
  <c r="F51" i="1" s="1"/>
  <c r="H51" i="1"/>
  <c r="I51" i="1"/>
  <c r="G53" i="1"/>
  <c r="F53" i="1" s="1"/>
  <c r="H53" i="1"/>
  <c r="I53" i="1"/>
  <c r="H54" i="1"/>
  <c r="G55" i="1"/>
  <c r="F55" i="1" s="1"/>
  <c r="H55" i="1"/>
  <c r="I55" i="1"/>
  <c r="H56" i="1"/>
  <c r="I56" i="1"/>
  <c r="G57" i="1"/>
  <c r="F57" i="1" s="1"/>
  <c r="H57" i="1"/>
  <c r="I57" i="1"/>
  <c r="H58" i="1"/>
  <c r="I58" i="1"/>
  <c r="G59" i="1"/>
  <c r="F59" i="1" s="1"/>
  <c r="H59" i="1"/>
  <c r="I59" i="1"/>
  <c r="G60" i="1"/>
  <c r="F60" i="1" s="1"/>
  <c r="H60" i="1"/>
  <c r="I60" i="1"/>
  <c r="G61" i="1"/>
  <c r="F61" i="1" s="1"/>
  <c r="H61" i="1"/>
  <c r="I61" i="1"/>
  <c r="H62" i="1"/>
  <c r="I62" i="1"/>
  <c r="G63" i="1"/>
  <c r="F63" i="1" s="1"/>
  <c r="H63" i="1"/>
  <c r="I63" i="1"/>
  <c r="G65" i="1"/>
  <c r="F65" i="1" s="1"/>
  <c r="H65" i="1"/>
  <c r="I65" i="1"/>
  <c r="H66" i="1"/>
  <c r="I66" i="1"/>
  <c r="G67" i="1"/>
  <c r="F67" i="1" s="1"/>
  <c r="H67" i="1"/>
  <c r="I67" i="1"/>
  <c r="G68" i="1"/>
  <c r="F68" i="1" s="1"/>
  <c r="H68" i="1"/>
  <c r="I68" i="1"/>
  <c r="G69" i="1"/>
  <c r="F69" i="1" s="1"/>
  <c r="H69" i="1"/>
  <c r="I69" i="1"/>
  <c r="G70" i="1"/>
  <c r="F70" i="1" s="1"/>
  <c r="H70" i="1"/>
  <c r="I70" i="1"/>
  <c r="G71" i="1"/>
  <c r="F71" i="1" s="1"/>
  <c r="H71" i="1"/>
  <c r="I71" i="1"/>
  <c r="G72" i="1"/>
  <c r="F72" i="1" s="1"/>
  <c r="H72" i="1"/>
  <c r="I72" i="1"/>
  <c r="G73" i="1"/>
  <c r="F73" i="1" s="1"/>
  <c r="H73" i="1"/>
  <c r="I73" i="1"/>
  <c r="G74" i="1"/>
  <c r="F74" i="1" s="1"/>
  <c r="H74" i="1"/>
  <c r="I74" i="1"/>
  <c r="G75" i="1"/>
  <c r="F75" i="1" s="1"/>
  <c r="H75" i="1"/>
  <c r="I75" i="1"/>
  <c r="H76" i="1"/>
  <c r="I76" i="1"/>
  <c r="G77" i="1"/>
  <c r="F77" i="1" s="1"/>
  <c r="H77" i="1"/>
  <c r="I77" i="1"/>
  <c r="G78" i="1"/>
  <c r="F78" i="1" s="1"/>
  <c r="H78" i="1"/>
  <c r="I78" i="1"/>
  <c r="G79" i="1"/>
  <c r="F79" i="1" s="1"/>
  <c r="H79" i="1"/>
  <c r="I79" i="1"/>
  <c r="G80" i="1"/>
  <c r="F80" i="1" s="1"/>
  <c r="H80" i="1"/>
  <c r="I80" i="1"/>
  <c r="G81" i="1"/>
  <c r="F81" i="1" s="1"/>
  <c r="H81" i="1"/>
  <c r="I81" i="1"/>
  <c r="G82" i="1"/>
  <c r="F82" i="1" s="1"/>
  <c r="H82" i="1"/>
  <c r="I82" i="1"/>
  <c r="G83" i="1"/>
  <c r="F83" i="1" s="1"/>
  <c r="H83" i="1"/>
  <c r="I83" i="1"/>
  <c r="G84" i="1"/>
  <c r="F84" i="1" s="1"/>
  <c r="H84" i="1"/>
  <c r="I84" i="1"/>
  <c r="G85" i="1"/>
  <c r="F85" i="1" s="1"/>
  <c r="H85" i="1"/>
  <c r="I85" i="1"/>
  <c r="G86" i="1"/>
  <c r="F86" i="1" s="1"/>
  <c r="H86" i="1"/>
  <c r="I86" i="1"/>
  <c r="G87" i="1"/>
  <c r="F87" i="1" s="1"/>
  <c r="H87" i="1"/>
  <c r="I87" i="1"/>
  <c r="H88" i="1"/>
  <c r="I88" i="1"/>
  <c r="G89" i="1"/>
  <c r="F89" i="1" s="1"/>
  <c r="H89" i="1"/>
  <c r="I89" i="1"/>
  <c r="G90" i="1"/>
  <c r="F90" i="1" s="1"/>
  <c r="H90" i="1"/>
  <c r="I90" i="1"/>
  <c r="G91" i="1"/>
  <c r="F91" i="1" s="1"/>
  <c r="H91" i="1"/>
  <c r="I91" i="1"/>
  <c r="G92" i="1"/>
  <c r="F92" i="1" s="1"/>
  <c r="H92" i="1"/>
  <c r="I92" i="1"/>
  <c r="G93" i="1"/>
  <c r="F93" i="1" s="1"/>
  <c r="H93" i="1"/>
  <c r="I93" i="1"/>
  <c r="G94" i="1"/>
  <c r="F94" i="1" s="1"/>
  <c r="H94" i="1"/>
  <c r="I94" i="1"/>
  <c r="G95" i="1"/>
  <c r="F95" i="1" s="1"/>
  <c r="H95" i="1"/>
  <c r="I95" i="1"/>
  <c r="G96" i="1"/>
  <c r="F96" i="1" s="1"/>
  <c r="H96" i="1"/>
  <c r="I96" i="1"/>
  <c r="G97" i="1"/>
  <c r="F97" i="1" s="1"/>
  <c r="H97" i="1"/>
  <c r="I97" i="1"/>
  <c r="G98" i="1"/>
  <c r="F98" i="1" s="1"/>
  <c r="H98" i="1"/>
  <c r="I98" i="1"/>
  <c r="G99" i="1"/>
  <c r="F99" i="1" s="1"/>
  <c r="H99" i="1"/>
  <c r="I99" i="1"/>
  <c r="H100" i="1"/>
  <c r="I100" i="1"/>
  <c r="G101" i="1"/>
  <c r="F101" i="1" s="1"/>
  <c r="H101" i="1"/>
  <c r="I101" i="1"/>
  <c r="G102" i="1"/>
  <c r="F102" i="1" s="1"/>
  <c r="H102" i="1"/>
  <c r="I102" i="1"/>
  <c r="G103" i="1"/>
  <c r="F103" i="1" s="1"/>
  <c r="H103" i="1"/>
  <c r="I103" i="1"/>
  <c r="G104" i="1"/>
  <c r="F104" i="1" s="1"/>
  <c r="H104" i="1"/>
  <c r="I104" i="1"/>
  <c r="G105" i="1"/>
  <c r="F105" i="1" s="1"/>
  <c r="H105" i="1"/>
  <c r="I105" i="1"/>
  <c r="G106" i="1"/>
  <c r="F106" i="1" s="1"/>
  <c r="H106" i="1"/>
  <c r="I106" i="1"/>
  <c r="G107" i="1"/>
  <c r="F107" i="1" s="1"/>
  <c r="H107" i="1"/>
  <c r="I107" i="1"/>
  <c r="G108" i="1"/>
  <c r="F108" i="1" s="1"/>
  <c r="H108" i="1"/>
  <c r="I108" i="1"/>
  <c r="G109" i="1"/>
  <c r="F109" i="1" s="1"/>
  <c r="H109" i="1"/>
  <c r="I109" i="1"/>
  <c r="G110" i="1"/>
  <c r="F110" i="1" s="1"/>
  <c r="H110" i="1"/>
  <c r="I110" i="1"/>
  <c r="G111" i="1"/>
  <c r="F111" i="1" s="1"/>
  <c r="H111" i="1"/>
  <c r="I111" i="1"/>
  <c r="G112" i="1"/>
  <c r="F112" i="1" s="1"/>
  <c r="H112" i="1"/>
  <c r="I112" i="1"/>
  <c r="G113" i="1"/>
  <c r="F113" i="1" s="1"/>
  <c r="H113" i="1"/>
  <c r="I113" i="1"/>
  <c r="G114" i="1"/>
  <c r="F114" i="1" s="1"/>
  <c r="H114" i="1"/>
  <c r="I114" i="1"/>
  <c r="G115" i="1"/>
  <c r="F115" i="1" s="1"/>
  <c r="H115" i="1"/>
  <c r="I115" i="1"/>
  <c r="G116" i="1"/>
  <c r="F116" i="1" s="1"/>
  <c r="H116" i="1"/>
  <c r="I116" i="1"/>
  <c r="G117" i="1"/>
  <c r="F117" i="1" s="1"/>
  <c r="H117" i="1"/>
  <c r="I117" i="1"/>
  <c r="G118" i="1"/>
  <c r="F118" i="1" s="1"/>
  <c r="H118" i="1"/>
  <c r="I118" i="1"/>
  <c r="G119" i="1"/>
  <c r="F119" i="1" s="1"/>
  <c r="H119" i="1"/>
  <c r="I119" i="1"/>
  <c r="G120" i="1"/>
  <c r="F120" i="1" s="1"/>
  <c r="H120" i="1"/>
  <c r="I120" i="1"/>
  <c r="H121" i="1"/>
  <c r="I121" i="1"/>
  <c r="G122" i="1"/>
  <c r="F122" i="1" s="1"/>
  <c r="H122" i="1"/>
  <c r="I122" i="1"/>
  <c r="G123" i="1"/>
  <c r="F123" i="1" s="1"/>
  <c r="H123" i="1"/>
  <c r="I123" i="1"/>
  <c r="G124" i="1"/>
  <c r="F124" i="1" s="1"/>
  <c r="H124" i="1"/>
  <c r="I124" i="1"/>
  <c r="G125" i="1"/>
  <c r="F125" i="1" s="1"/>
  <c r="H125" i="1"/>
  <c r="I125" i="1"/>
  <c r="G126" i="1"/>
  <c r="F126" i="1" s="1"/>
  <c r="H126" i="1"/>
  <c r="I126" i="1"/>
  <c r="G127" i="1"/>
  <c r="F127" i="1" s="1"/>
  <c r="H127" i="1"/>
  <c r="I127" i="1"/>
  <c r="G128" i="1"/>
  <c r="F128" i="1" s="1"/>
  <c r="H128" i="1"/>
  <c r="I128" i="1"/>
  <c r="G129" i="1"/>
  <c r="F129" i="1" s="1"/>
  <c r="H129" i="1"/>
  <c r="I129" i="1"/>
  <c r="G130" i="1"/>
  <c r="F130" i="1" s="1"/>
  <c r="H130" i="1"/>
  <c r="I130" i="1"/>
  <c r="G131" i="1"/>
  <c r="F131" i="1" s="1"/>
  <c r="H131" i="1"/>
  <c r="I131" i="1"/>
  <c r="G132" i="1"/>
  <c r="F132" i="1" s="1"/>
  <c r="H132" i="1"/>
  <c r="I132" i="1"/>
  <c r="G133" i="1"/>
  <c r="F133" i="1" s="1"/>
  <c r="H133" i="1"/>
  <c r="I133" i="1"/>
  <c r="G134" i="1"/>
  <c r="F134" i="1" s="1"/>
  <c r="H134" i="1"/>
  <c r="I134" i="1"/>
  <c r="G135" i="1"/>
  <c r="F135" i="1" s="1"/>
  <c r="H135" i="1"/>
  <c r="I135" i="1"/>
  <c r="G136" i="1"/>
  <c r="F136" i="1" s="1"/>
  <c r="H136" i="1"/>
  <c r="I136" i="1"/>
  <c r="G137" i="1"/>
  <c r="F137" i="1" s="1"/>
  <c r="H137" i="1"/>
  <c r="I137" i="1"/>
  <c r="G138" i="1"/>
  <c r="F138" i="1" s="1"/>
  <c r="H138" i="1"/>
  <c r="I138" i="1"/>
  <c r="G139" i="1"/>
  <c r="F139" i="1" s="1"/>
  <c r="H139" i="1"/>
  <c r="I139" i="1"/>
  <c r="G140" i="1"/>
  <c r="F140" i="1" s="1"/>
  <c r="H140" i="1"/>
  <c r="I140" i="1"/>
  <c r="G141" i="1"/>
  <c r="F141" i="1" s="1"/>
  <c r="H141" i="1"/>
  <c r="I141" i="1"/>
  <c r="G142" i="1"/>
  <c r="F142" i="1" s="1"/>
  <c r="H142" i="1"/>
  <c r="I142" i="1"/>
  <c r="G143" i="1"/>
  <c r="F143" i="1" s="1"/>
  <c r="H143" i="1"/>
  <c r="I143" i="1"/>
  <c r="G144" i="1"/>
  <c r="F144" i="1" s="1"/>
  <c r="H144" i="1"/>
  <c r="I144" i="1"/>
  <c r="G145" i="1"/>
  <c r="F145" i="1" s="1"/>
  <c r="H145" i="1"/>
  <c r="I145" i="1"/>
  <c r="G146" i="1"/>
  <c r="F146" i="1" s="1"/>
  <c r="H146" i="1"/>
  <c r="I146" i="1"/>
  <c r="G147" i="1"/>
  <c r="F147" i="1" s="1"/>
  <c r="H147" i="1"/>
  <c r="I147" i="1"/>
  <c r="G148" i="1"/>
  <c r="F148" i="1" s="1"/>
  <c r="H148" i="1"/>
  <c r="I148" i="1"/>
  <c r="G149" i="1"/>
  <c r="F149" i="1" s="1"/>
  <c r="H149" i="1"/>
  <c r="I149" i="1"/>
  <c r="G150" i="1"/>
  <c r="F150" i="1" s="1"/>
  <c r="H150" i="1"/>
  <c r="I150" i="1"/>
  <c r="G151" i="1"/>
  <c r="F151" i="1" s="1"/>
  <c r="H151" i="1"/>
  <c r="I151" i="1"/>
  <c r="G152" i="1"/>
  <c r="F152" i="1" s="1"/>
  <c r="H152" i="1"/>
  <c r="I152" i="1"/>
  <c r="G153" i="1"/>
  <c r="F153" i="1" s="1"/>
  <c r="H153" i="1"/>
  <c r="I153" i="1"/>
  <c r="G154" i="1"/>
  <c r="F154" i="1" s="1"/>
  <c r="H154" i="1"/>
  <c r="I154" i="1"/>
  <c r="G155" i="1"/>
  <c r="F155" i="1" s="1"/>
  <c r="H155" i="1"/>
  <c r="I155" i="1"/>
  <c r="G156" i="1"/>
  <c r="F156" i="1" s="1"/>
  <c r="H156" i="1"/>
  <c r="I156" i="1"/>
  <c r="G157" i="1"/>
  <c r="F157" i="1" s="1"/>
  <c r="H157" i="1"/>
  <c r="I157" i="1"/>
  <c r="G158" i="1"/>
  <c r="F158" i="1" s="1"/>
  <c r="H158" i="1"/>
  <c r="I158" i="1"/>
  <c r="G159" i="1"/>
  <c r="F159" i="1" s="1"/>
  <c r="H159" i="1"/>
  <c r="I159" i="1"/>
  <c r="G160" i="1"/>
  <c r="F160" i="1" s="1"/>
  <c r="H160" i="1"/>
  <c r="I160" i="1"/>
  <c r="G161" i="1"/>
  <c r="F161" i="1" s="1"/>
  <c r="H161" i="1"/>
  <c r="I161" i="1"/>
  <c r="G162" i="1"/>
  <c r="F162" i="1" s="1"/>
  <c r="H162" i="1"/>
  <c r="I162" i="1"/>
  <c r="G163" i="1"/>
  <c r="F163" i="1" s="1"/>
  <c r="H163" i="1"/>
  <c r="I163" i="1"/>
  <c r="G164" i="1"/>
  <c r="F164" i="1" s="1"/>
  <c r="H164" i="1"/>
  <c r="I164" i="1"/>
  <c r="G165" i="1"/>
  <c r="F165" i="1" s="1"/>
  <c r="H165" i="1"/>
  <c r="I165" i="1"/>
  <c r="G166" i="1"/>
  <c r="F166" i="1" s="1"/>
  <c r="H166" i="1"/>
  <c r="I166" i="1"/>
  <c r="G167" i="1"/>
  <c r="F167" i="1" s="1"/>
  <c r="H167" i="1"/>
  <c r="I167" i="1"/>
  <c r="G168" i="1"/>
  <c r="F168" i="1" s="1"/>
  <c r="H168" i="1"/>
  <c r="I168" i="1"/>
  <c r="G169" i="1"/>
  <c r="F169" i="1" s="1"/>
  <c r="H169" i="1"/>
  <c r="I169" i="1"/>
  <c r="G170" i="1"/>
  <c r="F170" i="1" s="1"/>
  <c r="H170" i="1"/>
  <c r="I170" i="1"/>
  <c r="G171" i="1"/>
  <c r="F171" i="1" s="1"/>
  <c r="H171" i="1"/>
  <c r="I171" i="1"/>
  <c r="G172" i="1"/>
  <c r="F172" i="1" s="1"/>
  <c r="H172" i="1"/>
  <c r="I172" i="1"/>
  <c r="G173" i="1"/>
  <c r="F173" i="1" s="1"/>
  <c r="H173" i="1"/>
  <c r="I173" i="1"/>
  <c r="G174" i="1"/>
  <c r="F174" i="1" s="1"/>
  <c r="H174" i="1"/>
  <c r="I174" i="1"/>
  <c r="G175" i="1"/>
  <c r="F175" i="1" s="1"/>
  <c r="H175" i="1"/>
  <c r="I175" i="1"/>
  <c r="G176" i="1"/>
  <c r="F176" i="1" s="1"/>
  <c r="H176" i="1"/>
  <c r="I176" i="1"/>
  <c r="G177" i="1"/>
  <c r="F177" i="1" s="1"/>
  <c r="H177" i="1"/>
  <c r="I177" i="1"/>
  <c r="G178" i="1"/>
  <c r="F178" i="1" s="1"/>
  <c r="H178" i="1"/>
  <c r="I178" i="1"/>
  <c r="G179" i="1"/>
  <c r="F179" i="1" s="1"/>
  <c r="H179" i="1"/>
  <c r="I179" i="1"/>
  <c r="G180" i="1"/>
  <c r="F180" i="1" s="1"/>
  <c r="H180" i="1"/>
  <c r="I180" i="1"/>
  <c r="G181" i="1"/>
  <c r="F181" i="1" s="1"/>
  <c r="H181" i="1"/>
  <c r="I181" i="1"/>
  <c r="G182" i="1"/>
  <c r="F182" i="1" s="1"/>
  <c r="H182" i="1"/>
  <c r="I182" i="1"/>
  <c r="G183" i="1"/>
  <c r="F183" i="1" s="1"/>
  <c r="H183" i="1"/>
  <c r="I183" i="1"/>
  <c r="G184" i="1"/>
  <c r="F184" i="1" s="1"/>
  <c r="H184" i="1"/>
  <c r="I184" i="1"/>
  <c r="G185" i="1"/>
  <c r="F185" i="1" s="1"/>
  <c r="H185" i="1"/>
  <c r="I185" i="1"/>
  <c r="G186" i="1"/>
  <c r="F186" i="1" s="1"/>
  <c r="H186" i="1"/>
  <c r="I186" i="1"/>
  <c r="G187" i="1"/>
  <c r="F187" i="1" s="1"/>
  <c r="H187" i="1"/>
  <c r="I187" i="1"/>
  <c r="G188" i="1"/>
  <c r="F188" i="1" s="1"/>
  <c r="H188" i="1"/>
  <c r="I188" i="1"/>
  <c r="G189" i="1"/>
  <c r="F189" i="1" s="1"/>
  <c r="H189" i="1"/>
  <c r="I189" i="1"/>
  <c r="G190" i="1"/>
  <c r="F190" i="1" s="1"/>
  <c r="H190" i="1"/>
  <c r="I190" i="1"/>
  <c r="G191" i="1"/>
  <c r="F191" i="1" s="1"/>
  <c r="H191" i="1"/>
  <c r="I191" i="1"/>
  <c r="G192" i="1"/>
  <c r="F192" i="1" s="1"/>
  <c r="H192" i="1"/>
  <c r="I192" i="1"/>
  <c r="G193" i="1"/>
  <c r="F193" i="1" s="1"/>
  <c r="H193" i="1"/>
  <c r="I193" i="1"/>
  <c r="G194" i="1"/>
  <c r="F194" i="1" s="1"/>
  <c r="H194" i="1"/>
  <c r="I194" i="1"/>
  <c r="G195" i="1"/>
  <c r="F195" i="1" s="1"/>
  <c r="H195" i="1"/>
  <c r="I195" i="1"/>
  <c r="G196" i="1"/>
  <c r="F196" i="1" s="1"/>
  <c r="H196" i="1"/>
  <c r="I196" i="1"/>
  <c r="G197" i="1"/>
  <c r="F197" i="1" s="1"/>
  <c r="H197" i="1"/>
  <c r="I197" i="1"/>
  <c r="G198" i="1"/>
  <c r="F198" i="1" s="1"/>
  <c r="H198" i="1"/>
  <c r="I198" i="1"/>
  <c r="G199" i="1"/>
  <c r="F199" i="1" s="1"/>
  <c r="H199" i="1"/>
  <c r="I199" i="1"/>
  <c r="G200" i="1"/>
  <c r="F200" i="1" s="1"/>
  <c r="H200" i="1"/>
  <c r="I200" i="1"/>
  <c r="G201" i="1"/>
  <c r="F201" i="1" s="1"/>
  <c r="H201" i="1"/>
  <c r="I201" i="1"/>
  <c r="G202" i="1"/>
  <c r="F202" i="1" s="1"/>
  <c r="H202" i="1"/>
  <c r="I202" i="1"/>
  <c r="G203" i="1"/>
  <c r="F203" i="1" s="1"/>
  <c r="H203" i="1"/>
  <c r="I203" i="1"/>
  <c r="G204" i="1"/>
  <c r="F204" i="1" s="1"/>
  <c r="H204" i="1"/>
  <c r="I204" i="1"/>
  <c r="G205" i="1"/>
  <c r="F205" i="1" s="1"/>
  <c r="H205" i="1"/>
  <c r="I205" i="1"/>
  <c r="G206" i="1"/>
  <c r="F206" i="1" s="1"/>
  <c r="H206" i="1"/>
  <c r="I206" i="1"/>
  <c r="G207" i="1"/>
  <c r="F207" i="1" s="1"/>
  <c r="H207" i="1"/>
  <c r="I207" i="1"/>
  <c r="G208" i="1"/>
  <c r="F208" i="1" s="1"/>
  <c r="H208" i="1"/>
  <c r="I208" i="1"/>
  <c r="H18" i="1" l="1"/>
  <c r="H26" i="1"/>
  <c r="G54" i="1"/>
  <c r="F54" i="1" s="1"/>
  <c r="G50" i="1"/>
  <c r="F50" i="1" s="1"/>
  <c r="G46" i="1"/>
  <c r="F46" i="1" s="1"/>
  <c r="G42" i="1"/>
  <c r="F42" i="1" s="1"/>
  <c r="G38" i="1"/>
  <c r="F38" i="1" s="1"/>
  <c r="G34" i="1"/>
  <c r="F34" i="1" s="1"/>
  <c r="G30" i="1"/>
  <c r="F30" i="1" s="1"/>
  <c r="G26" i="1"/>
  <c r="F26" i="1" s="1"/>
  <c r="G22" i="1"/>
  <c r="F22" i="1" s="1"/>
  <c r="G18" i="1"/>
  <c r="F18" i="1" s="1"/>
  <c r="I64" i="1"/>
  <c r="I52" i="1"/>
  <c r="I40" i="1"/>
  <c r="I28" i="1"/>
  <c r="I20" i="1"/>
  <c r="H52" i="1"/>
  <c r="H40" i="1"/>
  <c r="H28" i="1"/>
  <c r="H64" i="1"/>
  <c r="I19" i="1"/>
  <c r="H19" i="1"/>
</calcChain>
</file>

<file path=xl/sharedStrings.xml><?xml version="1.0" encoding="utf-8"?>
<sst xmlns="http://schemas.openxmlformats.org/spreadsheetml/2006/main" count="50374" uniqueCount="5246">
  <si>
    <t>GAPL Claim invoice number</t>
  </si>
  <si>
    <t>GAPL Invoice Date</t>
  </si>
  <si>
    <t>Invoice Value</t>
  </si>
  <si>
    <t>Claim status</t>
  </si>
  <si>
    <t>Payment Date</t>
  </si>
  <si>
    <r>
      <t>Type of Claim (</t>
    </r>
    <r>
      <rPr>
        <b/>
        <sz val="11"/>
        <color rgb="FFFF0000"/>
        <rFont val="Calibri"/>
        <family val="2"/>
        <scheme val="minor"/>
      </rPr>
      <t>PDI/Warranty/Service Campaign/Breakdown/Others</t>
    </r>
    <r>
      <rPr>
        <b/>
        <sz val="11"/>
        <color theme="1"/>
        <rFont val="Calibri"/>
        <family val="2"/>
        <scheme val="minor"/>
      </rPr>
      <t>)</t>
    </r>
  </si>
  <si>
    <t>Remarks</t>
  </si>
  <si>
    <t>GAPL Internal Claim No</t>
  </si>
  <si>
    <t>WAR26C000001</t>
  </si>
  <si>
    <t>WAR26C000002</t>
  </si>
  <si>
    <t>WAR26E000098</t>
  </si>
  <si>
    <t>WAR26C000003</t>
  </si>
  <si>
    <t>WAR26C000004</t>
  </si>
  <si>
    <t>WAR26C000005</t>
  </si>
  <si>
    <t>WAR26C000006</t>
  </si>
  <si>
    <t>WAR26C000007</t>
  </si>
  <si>
    <t>WAR26C000008</t>
  </si>
  <si>
    <t>WAR26C000010</t>
  </si>
  <si>
    <t>WAR26C000012</t>
  </si>
  <si>
    <t>WAR26C000013</t>
  </si>
  <si>
    <t>WAR26C000014</t>
  </si>
  <si>
    <t>WAR26C000015</t>
  </si>
  <si>
    <t>WAR26E000005</t>
  </si>
  <si>
    <t>WAR26E000004</t>
  </si>
  <si>
    <t>WAR26E000001</t>
  </si>
  <si>
    <t>WAR26E000002</t>
  </si>
  <si>
    <t>WAR26E000003</t>
  </si>
  <si>
    <t>WAR26E000097</t>
  </si>
  <si>
    <t>WAR26E000099</t>
  </si>
  <si>
    <t>WAR26E000100</t>
  </si>
  <si>
    <t>WAR26E000101</t>
  </si>
  <si>
    <t>WAR26E000102</t>
  </si>
  <si>
    <t>WAR26E000103</t>
  </si>
  <si>
    <t>Warranty</t>
  </si>
  <si>
    <t>CANCELL</t>
  </si>
  <si>
    <t>Accepted</t>
  </si>
  <si>
    <t>05-06-2025</t>
  </si>
  <si>
    <t>REJECTED</t>
  </si>
  <si>
    <t>CLAIM HOLD FOR FML APPROVAL</t>
  </si>
  <si>
    <t>FDMS ERROR MAIL TO FML</t>
  </si>
  <si>
    <t>WORNG CLAIM</t>
  </si>
  <si>
    <t>WAR26E000106</t>
  </si>
  <si>
    <t>NOT WARRANTY/PARTS HANDOVER TO CUSTOMER ON PAID BASIS</t>
  </si>
  <si>
    <t>HOLD FOR APPROVAL</t>
  </si>
  <si>
    <t>WAR26E000108</t>
  </si>
  <si>
    <t>WAR26E000109</t>
  </si>
  <si>
    <t>WORNG CLAIM/NOT WARRANTY/PARTS BILLING OUTSIDE</t>
  </si>
  <si>
    <t>REMOTE SERVICE CAMP</t>
  </si>
  <si>
    <t>MAHAKUMBH MELA</t>
  </si>
  <si>
    <t>PCI26C000001</t>
  </si>
  <si>
    <t>PCI26C000002</t>
  </si>
  <si>
    <t>PCI26C000003</t>
  </si>
  <si>
    <t>PCI26C000004</t>
  </si>
  <si>
    <t>PCI26C000005</t>
  </si>
  <si>
    <t>PCI26C000006</t>
  </si>
  <si>
    <t>PCI26E000001</t>
  </si>
  <si>
    <t>PCI26E000002</t>
  </si>
  <si>
    <t>SCI26E000007</t>
  </si>
  <si>
    <t>SCI26E000008</t>
  </si>
  <si>
    <t>SCI26D000002</t>
  </si>
  <si>
    <t>WAR26E000006</t>
  </si>
  <si>
    <t>WAR26E000007</t>
  </si>
  <si>
    <t>WAR26E000008</t>
  </si>
  <si>
    <t>WAR26E000009</t>
  </si>
  <si>
    <t>WAR26E000010</t>
  </si>
  <si>
    <t>WAR26E000011</t>
  </si>
  <si>
    <t>WAR26E000012</t>
  </si>
  <si>
    <t>WAR26E000013</t>
  </si>
  <si>
    <t>WAR26E000014</t>
  </si>
  <si>
    <t>WAR26E000015</t>
  </si>
  <si>
    <t>WAR26E000016</t>
  </si>
  <si>
    <t>WAR26E000017</t>
  </si>
  <si>
    <t>WAR26E000018</t>
  </si>
  <si>
    <t>WAR26E000019</t>
  </si>
  <si>
    <t>WAR26E000020</t>
  </si>
  <si>
    <t>WAR26E000021</t>
  </si>
  <si>
    <t>WAR26E000022</t>
  </si>
  <si>
    <t>WAR26E000023</t>
  </si>
  <si>
    <t>WAR26E000024</t>
  </si>
  <si>
    <t>WAR26E000025</t>
  </si>
  <si>
    <t>WAR26E000026</t>
  </si>
  <si>
    <t>WAR26E000027</t>
  </si>
  <si>
    <t>WAR26E000028</t>
  </si>
  <si>
    <t>WAR26E000029</t>
  </si>
  <si>
    <t>WAR26E000030</t>
  </si>
  <si>
    <t>WAR26E000031</t>
  </si>
  <si>
    <t>WAR26E000032</t>
  </si>
  <si>
    <t>WAR26E000033</t>
  </si>
  <si>
    <t>WAR26E000034</t>
  </si>
  <si>
    <t>WAR26E000035</t>
  </si>
  <si>
    <t>WAR26E000036</t>
  </si>
  <si>
    <t>WAR26E000037</t>
  </si>
  <si>
    <t>WAR26E000038</t>
  </si>
  <si>
    <t>WAR26E000039</t>
  </si>
  <si>
    <t>WAR26E000040</t>
  </si>
  <si>
    <t>WAR26E000041</t>
  </si>
  <si>
    <t>WAR26E000042</t>
  </si>
  <si>
    <t>WAR26E000043</t>
  </si>
  <si>
    <t>WAR26E000044</t>
  </si>
  <si>
    <t>WAR26E000045</t>
  </si>
  <si>
    <t>WAR26E000046</t>
  </si>
  <si>
    <t>WAR26E000047</t>
  </si>
  <si>
    <t>WAR26E000048</t>
  </si>
  <si>
    <t>WAR26E000049</t>
  </si>
  <si>
    <t>WAR26E000050</t>
  </si>
  <si>
    <t>WAR26E000051</t>
  </si>
  <si>
    <t>WAR26E000052</t>
  </si>
  <si>
    <t>WAR26E000053</t>
  </si>
  <si>
    <t>WAR26E000054</t>
  </si>
  <si>
    <t>WAR26E000055</t>
  </si>
  <si>
    <t>WAR26E000056</t>
  </si>
  <si>
    <t>WAR26E000057</t>
  </si>
  <si>
    <t>WAR26E000058</t>
  </si>
  <si>
    <t>WAR26E000059</t>
  </si>
  <si>
    <t>WAR26E000060</t>
  </si>
  <si>
    <t>WAR26E000061</t>
  </si>
  <si>
    <t>WAR26E000062</t>
  </si>
  <si>
    <t>WAR26E000063</t>
  </si>
  <si>
    <t>WAR26E000064</t>
  </si>
  <si>
    <t>WAR26E000065</t>
  </si>
  <si>
    <t>WAR26E000066</t>
  </si>
  <si>
    <t>WAR26E000067</t>
  </si>
  <si>
    <t>WAR26E000068</t>
  </si>
  <si>
    <t>WAR26E000069</t>
  </si>
  <si>
    <t>WAR26E000070</t>
  </si>
  <si>
    <t>WAR26E000071</t>
  </si>
  <si>
    <t>WAR26E000072</t>
  </si>
  <si>
    <t>WAR26E000073</t>
  </si>
  <si>
    <t>WAR26E000074</t>
  </si>
  <si>
    <t>WAR26E000075</t>
  </si>
  <si>
    <t>WAR26E000076</t>
  </si>
  <si>
    <t>WAR26E000077</t>
  </si>
  <si>
    <t>WAR26E000078</t>
  </si>
  <si>
    <t>WAR26E000079</t>
  </si>
  <si>
    <t>WAR26E000080</t>
  </si>
  <si>
    <t>WAR26E000081</t>
  </si>
  <si>
    <t>WAR26E000082</t>
  </si>
  <si>
    <t>WAR26E000083</t>
  </si>
  <si>
    <t>WAR26E000084</t>
  </si>
  <si>
    <t>WAR26E000085</t>
  </si>
  <si>
    <t>WAR26E000086</t>
  </si>
  <si>
    <t>WAR26E000087</t>
  </si>
  <si>
    <t>WAR26E000088</t>
  </si>
  <si>
    <t>WAR26E000089</t>
  </si>
  <si>
    <t>WAR26E000090</t>
  </si>
  <si>
    <t>WAR26E000091</t>
  </si>
  <si>
    <t>WAR26E000092</t>
  </si>
  <si>
    <t>WAR26E000093</t>
  </si>
  <si>
    <t>WAR26E000094</t>
  </si>
  <si>
    <t>WAR26E000095</t>
  </si>
  <si>
    <t>WAR26E000096</t>
  </si>
  <si>
    <t>SCI26E000009</t>
  </si>
  <si>
    <t>SCI26E000010</t>
  </si>
  <si>
    <t>PDI COUPON CLAIM</t>
  </si>
  <si>
    <t>FREE SERVICE CLAIM</t>
  </si>
  <si>
    <t>WAR26E000110</t>
  </si>
  <si>
    <t>WAR26E000111</t>
  </si>
  <si>
    <t>WAR26E000112</t>
  </si>
  <si>
    <t>WAR26E000113</t>
  </si>
  <si>
    <t>WAR26E000114</t>
  </si>
  <si>
    <t>WAR26E000115</t>
  </si>
  <si>
    <t>WAR26E000116</t>
  </si>
  <si>
    <t>WAR26E000117</t>
  </si>
  <si>
    <t>WAR26E000118</t>
  </si>
  <si>
    <t>WAR26E000119</t>
  </si>
  <si>
    <t>WAR26E000120</t>
  </si>
  <si>
    <t>WAR26E000121</t>
  </si>
  <si>
    <t>WAR26E000122</t>
  </si>
  <si>
    <t>WAR26E000123</t>
  </si>
  <si>
    <t>WAR26E000124</t>
  </si>
  <si>
    <t>WAR26E000125</t>
  </si>
  <si>
    <t>WAR26E000126</t>
  </si>
  <si>
    <t>WAR26E000127</t>
  </si>
  <si>
    <t>WAR26E000128</t>
  </si>
  <si>
    <t>WAR26E000129</t>
  </si>
  <si>
    <t>WAR26E000130</t>
  </si>
  <si>
    <t>WAR26E000131</t>
  </si>
  <si>
    <t>WAR26E000132</t>
  </si>
  <si>
    <t>WAR26E000133</t>
  </si>
  <si>
    <t>WAR26E000134</t>
  </si>
  <si>
    <t>WAR26E000135</t>
  </si>
  <si>
    <t>WAR26E000136</t>
  </si>
  <si>
    <t>WAR26E000137</t>
  </si>
  <si>
    <t>WAR26E000138</t>
  </si>
  <si>
    <t>WAR26E000139</t>
  </si>
  <si>
    <t>WAR26E000140</t>
  </si>
  <si>
    <t>WAR26E000141</t>
  </si>
  <si>
    <t>WAR26E000142</t>
  </si>
  <si>
    <t>WAR26E000143</t>
  </si>
  <si>
    <t>WAR26E000144</t>
  </si>
  <si>
    <t>WAR26E000145</t>
  </si>
  <si>
    <t>WAR26E000146</t>
  </si>
  <si>
    <t>WAR26E000147</t>
  </si>
  <si>
    <t>WAR26E000148</t>
  </si>
  <si>
    <t>WAR26E000149</t>
  </si>
  <si>
    <t>WAR26E000150</t>
  </si>
  <si>
    <t>WAR26E000151</t>
  </si>
  <si>
    <t>WAR26E000152</t>
  </si>
  <si>
    <t>WAR26E000153</t>
  </si>
  <si>
    <t>WAR26E000154</t>
  </si>
  <si>
    <t>WAR26E000155</t>
  </si>
  <si>
    <t>WAR26E000156</t>
  </si>
  <si>
    <t>WAR26E000157</t>
  </si>
  <si>
    <t>WAR26E000158</t>
  </si>
  <si>
    <t>WAR26E000159</t>
  </si>
  <si>
    <t>WAR26E000160</t>
  </si>
  <si>
    <t>WAR26E000104</t>
  </si>
  <si>
    <t>WAR26E000105</t>
  </si>
  <si>
    <t>SCI26E000011</t>
  </si>
  <si>
    <t>SCI26E000012</t>
  </si>
  <si>
    <t>SCI26E000013</t>
  </si>
  <si>
    <t>SCI26E000014</t>
  </si>
  <si>
    <t>SCI26E000015</t>
  </si>
  <si>
    <t>Sr. No.</t>
  </si>
  <si>
    <t>Zone</t>
  </si>
  <si>
    <t>State</t>
  </si>
  <si>
    <t>Dealer Code</t>
  </si>
  <si>
    <t>Dealer Name</t>
  </si>
  <si>
    <t>Dealer Location</t>
  </si>
  <si>
    <t>Scheme</t>
  </si>
  <si>
    <t>Sale Date</t>
  </si>
  <si>
    <t>Sale Kms/Hrs.</t>
  </si>
  <si>
    <t>Coupon No.</t>
  </si>
  <si>
    <t>Chassis No.</t>
  </si>
  <si>
    <t>Engine No.</t>
  </si>
  <si>
    <t>Vehicle Type</t>
  </si>
  <si>
    <t>Invoice No.</t>
  </si>
  <si>
    <t>INVOICE_DATE</t>
  </si>
  <si>
    <t>Settlement Date</t>
  </si>
  <si>
    <t>Invoice Amount</t>
  </si>
  <si>
    <t>Credit Amount</t>
  </si>
  <si>
    <t>GST Amount</t>
  </si>
  <si>
    <t>Net Amount</t>
  </si>
  <si>
    <t>Credit Note No.</t>
  </si>
  <si>
    <t>Credit Note Date</t>
  </si>
  <si>
    <t>Debit Amount</t>
  </si>
  <si>
    <t>Debit Note No.</t>
  </si>
  <si>
    <t>Debit Note Date</t>
  </si>
  <si>
    <t>FI Doc No Credit</t>
  </si>
  <si>
    <t>FI Doc No Debit</t>
  </si>
  <si>
    <t>Rejection Code</t>
  </si>
  <si>
    <t>Rejection Desc.</t>
  </si>
  <si>
    <t>Rejection Percent</t>
  </si>
  <si>
    <t>NORTH</t>
  </si>
  <si>
    <t>UTTAR PRADESH</t>
  </si>
  <si>
    <t>M/S GOENKA AUTO PRIVATE LIMITED.</t>
  </si>
  <si>
    <t>VARANASI</t>
  </si>
  <si>
    <t>S</t>
  </si>
  <si>
    <t>26-Mar-25</t>
  </si>
  <si>
    <t>00327337</t>
  </si>
  <si>
    <t>MC1D4DBA4SP107268</t>
  </si>
  <si>
    <t>D72018873</t>
  </si>
  <si>
    <t>TRAX</t>
  </si>
  <si>
    <t>SCI25C000040</t>
  </si>
  <si>
    <t>26-Feb-2025</t>
  </si>
  <si>
    <t>23-Apr-25</t>
  </si>
  <si>
    <t>03-Jun-25</t>
  </si>
  <si>
    <t>21-Mar-25</t>
  </si>
  <si>
    <t>00795278</t>
  </si>
  <si>
    <t>MC1E4DBA8SP056040</t>
  </si>
  <si>
    <t>D71072655</t>
  </si>
  <si>
    <t>T-1</t>
  </si>
  <si>
    <t>07-Mar-2025</t>
  </si>
  <si>
    <t>24-Mar-25</t>
  </si>
  <si>
    <t>00784699</t>
  </si>
  <si>
    <t>MC1E4FBA8SP022644</t>
  </si>
  <si>
    <t>D71071824</t>
  </si>
  <si>
    <t>T26</t>
  </si>
  <si>
    <t>12-Mar-2025</t>
  </si>
  <si>
    <t>18-Mar-25</t>
  </si>
  <si>
    <t>00327338</t>
  </si>
  <si>
    <t>MC1D4DBA4SP107271</t>
  </si>
  <si>
    <t>D72018874</t>
  </si>
  <si>
    <t>30-Mar-25</t>
  </si>
  <si>
    <t>00796641</t>
  </si>
  <si>
    <t>MC1E4DCA0SP056225</t>
  </si>
  <si>
    <t>D71074854</t>
  </si>
  <si>
    <t>19-Mar-2025</t>
  </si>
  <si>
    <t>31-Mar-25</t>
  </si>
  <si>
    <t>00789040</t>
  </si>
  <si>
    <t>MC1E4FCA2SP023142</t>
  </si>
  <si>
    <t>D71076641</t>
  </si>
  <si>
    <t>29-Mar-2025</t>
  </si>
  <si>
    <t>022</t>
  </si>
  <si>
    <t>08-Mar-25</t>
  </si>
  <si>
    <t>00327811</t>
  </si>
  <si>
    <t>MC1D4DBA5SP107330</t>
  </si>
  <si>
    <t>D72018945</t>
  </si>
  <si>
    <t>18-Feb-2025</t>
  </si>
  <si>
    <t>00801400</t>
  </si>
  <si>
    <t>MC1E4DCA0SP056435</t>
  </si>
  <si>
    <t>D71075442</t>
  </si>
  <si>
    <t>17-Mar-2025</t>
  </si>
  <si>
    <t>29-Mar-25</t>
  </si>
  <si>
    <t>00784996</t>
  </si>
  <si>
    <t>MC1E4FCA8SP022965</t>
  </si>
  <si>
    <t>D71074950</t>
  </si>
  <si>
    <t>20-Mar-2025</t>
  </si>
  <si>
    <t>00327606</t>
  </si>
  <si>
    <t>MC1D4DBA3SP107505</t>
  </si>
  <si>
    <t>D72019127</t>
  </si>
  <si>
    <t>00797196</t>
  </si>
  <si>
    <t>MC1E4DBA0SP055996</t>
  </si>
  <si>
    <t>D71071829</t>
  </si>
  <si>
    <t>05-Mar-2025</t>
  </si>
  <si>
    <t>00784698</t>
  </si>
  <si>
    <t>MC1E4FBA0SP022668</t>
  </si>
  <si>
    <t>D71071710</t>
  </si>
  <si>
    <t>06-Mar-25</t>
  </si>
  <si>
    <t>00327885</t>
  </si>
  <si>
    <t>MC1D4DAA9SP107140</t>
  </si>
  <si>
    <t>D72018775</t>
  </si>
  <si>
    <t>15-Feb-2025</t>
  </si>
  <si>
    <t>13-Mar-25</t>
  </si>
  <si>
    <t>00797216</t>
  </si>
  <si>
    <t>MC1E4DAA1SP055796</t>
  </si>
  <si>
    <t>D71068659</t>
  </si>
  <si>
    <t>31-Jan-2025</t>
  </si>
  <si>
    <t>00781693</t>
  </si>
  <si>
    <t>MC1E4EFA1RP013332</t>
  </si>
  <si>
    <t>D71057281</t>
  </si>
  <si>
    <t>18-Jul-2024</t>
  </si>
  <si>
    <t>00327605</t>
  </si>
  <si>
    <t>MC1D4DBA2SP107513</t>
  </si>
  <si>
    <t>D72019118</t>
  </si>
  <si>
    <t>00798847</t>
  </si>
  <si>
    <t>MC1E4DAA5SP055932</t>
  </si>
  <si>
    <t>D71069296</t>
  </si>
  <si>
    <t>17-Mar-25</t>
  </si>
  <si>
    <t>00784362</t>
  </si>
  <si>
    <t>MC1E4FAA3SP022049</t>
  </si>
  <si>
    <t>D71067216</t>
  </si>
  <si>
    <t>16-Jan-2025</t>
  </si>
  <si>
    <t>22-Mar-25</t>
  </si>
  <si>
    <t>00328028</t>
  </si>
  <si>
    <t>MC1D1DBA7SP001616</t>
  </si>
  <si>
    <t>D72018969</t>
  </si>
  <si>
    <t>11-Mar-2025</t>
  </si>
  <si>
    <t>00327607</t>
  </si>
  <si>
    <t>MC1D4DBA8SP107483</t>
  </si>
  <si>
    <t>D72019091</t>
  </si>
  <si>
    <t>00796637</t>
  </si>
  <si>
    <t>MC1E4DCA4SP056163</t>
  </si>
  <si>
    <t>D71074480</t>
  </si>
  <si>
    <t>00796243</t>
  </si>
  <si>
    <t>MC1E5DAA6SP000614</t>
  </si>
  <si>
    <t>D73001641</t>
  </si>
  <si>
    <t>24-Jan-2025</t>
  </si>
  <si>
    <t>00327879</t>
  </si>
  <si>
    <t>MC1D4DAA2SP107111</t>
  </si>
  <si>
    <t>D72018740</t>
  </si>
  <si>
    <t>00327370</t>
  </si>
  <si>
    <t>MC1D4DCA0SP107864</t>
  </si>
  <si>
    <t>D72019478</t>
  </si>
  <si>
    <t>00792931</t>
  </si>
  <si>
    <t>MC1E4EBA7SP015193</t>
  </si>
  <si>
    <t>D71071490</t>
  </si>
  <si>
    <t>13-Feb-2025</t>
  </si>
  <si>
    <t>00006960</t>
  </si>
  <si>
    <t>MC1M4ACA2SP003858</t>
  </si>
  <si>
    <t>D71076103</t>
  </si>
  <si>
    <t>T1N</t>
  </si>
  <si>
    <t>25-Mar-2025</t>
  </si>
  <si>
    <t>25-Mar-25</t>
  </si>
  <si>
    <t>00327825</t>
  </si>
  <si>
    <t>MC1D4DAA4SP107109</t>
  </si>
  <si>
    <t>D72018744</t>
  </si>
  <si>
    <t>19-Feb-2025</t>
  </si>
  <si>
    <t>00795898</t>
  </si>
  <si>
    <t>MC1E4BCA4SP009848</t>
  </si>
  <si>
    <t>D71075406</t>
  </si>
  <si>
    <t>26-Mar-2025</t>
  </si>
  <si>
    <t>00785189</t>
  </si>
  <si>
    <t>MC1E4EBA7SP015422</t>
  </si>
  <si>
    <t>D71073642</t>
  </si>
  <si>
    <t>28-Feb-2025</t>
  </si>
  <si>
    <t>00327821</t>
  </si>
  <si>
    <t>MC1D4DAA3SP107117</t>
  </si>
  <si>
    <t>D72018790</t>
  </si>
  <si>
    <t>00327424</t>
  </si>
  <si>
    <t>MC1D4DCA3SP107776</t>
  </si>
  <si>
    <t>D72019387</t>
  </si>
  <si>
    <t>00785188</t>
  </si>
  <si>
    <t>MC1E4EBA7SP015419</t>
  </si>
  <si>
    <t>D71073629</t>
  </si>
  <si>
    <t>00328462</t>
  </si>
  <si>
    <t>MC1D1DCA2SP001618</t>
  </si>
  <si>
    <t>D72019587</t>
  </si>
  <si>
    <t>21-Mar-2025</t>
  </si>
  <si>
    <t>00327379</t>
  </si>
  <si>
    <t>MC1D4DBAXSP107470</t>
  </si>
  <si>
    <t>D72019078</t>
  </si>
  <si>
    <t>00796638</t>
  </si>
  <si>
    <t>MC1E4DCA6SP056245</t>
  </si>
  <si>
    <t>D71074689</t>
  </si>
  <si>
    <t>00788228</t>
  </si>
  <si>
    <t>MC1L4BGA5SP000738</t>
  </si>
  <si>
    <t>D71058742</t>
  </si>
  <si>
    <t>T3</t>
  </si>
  <si>
    <t>04-Oct-2024</t>
  </si>
  <si>
    <t>07-Mar-25</t>
  </si>
  <si>
    <t>00327227</t>
  </si>
  <si>
    <t>MC1D4DAAXSP107003</t>
  </si>
  <si>
    <t>D72018646</t>
  </si>
  <si>
    <t>11-Mar-25</t>
  </si>
  <si>
    <t>00797921</t>
  </si>
  <si>
    <t>MC1E4DAA2SP055855</t>
  </si>
  <si>
    <t>D71070759</t>
  </si>
  <si>
    <t>00784731</t>
  </si>
  <si>
    <t>MC1E4FAA2SP022334</t>
  </si>
  <si>
    <t>D71069755</t>
  </si>
  <si>
    <t>27-Feb-2025</t>
  </si>
  <si>
    <t>05-Mar-25</t>
  </si>
  <si>
    <t>00795725</t>
  </si>
  <si>
    <t>MC1E4DAA1SP055832</t>
  </si>
  <si>
    <t>D71068928</t>
  </si>
  <si>
    <t>SCI26E000001</t>
  </si>
  <si>
    <t>09-Jul-25</t>
  </si>
  <si>
    <t>19-Aug-25</t>
  </si>
  <si>
    <t>27-Feb-25</t>
  </si>
  <si>
    <t>00785025</t>
  </si>
  <si>
    <t>MC1E4EBA2SP015313</t>
  </si>
  <si>
    <t>D71072545</t>
  </si>
  <si>
    <t>25-Feb-2025</t>
  </si>
  <si>
    <t>00789309</t>
  </si>
  <si>
    <t>MC1E4FLA7SP021807</t>
  </si>
  <si>
    <t>D71066302</t>
  </si>
  <si>
    <t>25-Dec-2024</t>
  </si>
  <si>
    <t>00795726</t>
  </si>
  <si>
    <t>MC1E4DAA9SP055836</t>
  </si>
  <si>
    <t>D71069019</t>
  </si>
  <si>
    <t>13-Feb-25</t>
  </si>
  <si>
    <t>00326051</t>
  </si>
  <si>
    <t>MC1D4DKA2SP105924</t>
  </si>
  <si>
    <t>D72017397</t>
  </si>
  <si>
    <t>30-Nov-2024</t>
  </si>
  <si>
    <t>00006118</t>
  </si>
  <si>
    <t>MC1M4ALA8SP002956</t>
  </si>
  <si>
    <t>D71066667</t>
  </si>
  <si>
    <t>31-Dec-2024</t>
  </si>
  <si>
    <t>00793736</t>
  </si>
  <si>
    <t>MC1E4FCA8SP022920</t>
  </si>
  <si>
    <t>D71074369</t>
  </si>
  <si>
    <t>SCI26E000002</t>
  </si>
  <si>
    <t>00798838</t>
  </si>
  <si>
    <t>MC1E4DAA5SP055929</t>
  </si>
  <si>
    <t>D71070921</t>
  </si>
  <si>
    <t>00800870</t>
  </si>
  <si>
    <t>MC1E4ECA7SP015645</t>
  </si>
  <si>
    <t>D71075726</t>
  </si>
  <si>
    <t>00789037</t>
  </si>
  <si>
    <t>MC1E4FCAXSP023146</t>
  </si>
  <si>
    <t>D71076503</t>
  </si>
  <si>
    <t>28-Mar-2025</t>
  </si>
  <si>
    <t>00801496</t>
  </si>
  <si>
    <t>MC1E4ECA8SP015718</t>
  </si>
  <si>
    <t>D71076194</t>
  </si>
  <si>
    <t>00789038</t>
  </si>
  <si>
    <t>MC1E4FCAXSP023177</t>
  </si>
  <si>
    <t>D71076546</t>
  </si>
  <si>
    <t>00789022</t>
  </si>
  <si>
    <t>MC1E4FCA1SP023116</t>
  </si>
  <si>
    <t>D71076361</t>
  </si>
  <si>
    <t>00789021</t>
  </si>
  <si>
    <t>MC1E4FCA0SP023088</t>
  </si>
  <si>
    <t>D71076373</t>
  </si>
  <si>
    <t>00789530</t>
  </si>
  <si>
    <t>MC1E4FBA3SP022860</t>
  </si>
  <si>
    <t>D71074009</t>
  </si>
  <si>
    <t>MC1M4ABA8SP003414</t>
  </si>
  <si>
    <t>D71072338</t>
  </si>
  <si>
    <t>00794595</t>
  </si>
  <si>
    <t>MC1E4FCA6SP023063</t>
  </si>
  <si>
    <t>D71075908</t>
  </si>
  <si>
    <t>22-Mar-2025</t>
  </si>
  <si>
    <t>00789023</t>
  </si>
  <si>
    <t>MC1E4FCA2SP023089</t>
  </si>
  <si>
    <t>D71076495</t>
  </si>
  <si>
    <t>00794594</t>
  </si>
  <si>
    <t>MC1E4FCA4SP023076</t>
  </si>
  <si>
    <t>D71075966</t>
  </si>
  <si>
    <t>00789024</t>
  </si>
  <si>
    <t>MC1E4FCA4SP023093</t>
  </si>
  <si>
    <t>D71076443</t>
  </si>
  <si>
    <t>00789361</t>
  </si>
  <si>
    <t>MC1E4FCA3SP023022</t>
  </si>
  <si>
    <t>D71075605</t>
  </si>
  <si>
    <t>00796920</t>
  </si>
  <si>
    <t>MC1E4DAA2SP055953</t>
  </si>
  <si>
    <t>D71072071</t>
  </si>
  <si>
    <t>06-Mar-2025</t>
  </si>
  <si>
    <t>20-Mar-25</t>
  </si>
  <si>
    <t>00000001</t>
  </si>
  <si>
    <t>MC1D4DAA9SP106862</t>
  </si>
  <si>
    <t>D72018463</t>
  </si>
  <si>
    <t>00801727</t>
  </si>
  <si>
    <t>MC1E4DCA7SP056335</t>
  </si>
  <si>
    <t>D71075083</t>
  </si>
  <si>
    <t>00789025</t>
  </si>
  <si>
    <t>MC1E4FCA8SP023176</t>
  </si>
  <si>
    <t>D71076538</t>
  </si>
  <si>
    <t>21-Apr-25</t>
  </si>
  <si>
    <t>00328807</t>
  </si>
  <si>
    <t>MC1D1DDA1SP001625</t>
  </si>
  <si>
    <t>D72020101</t>
  </si>
  <si>
    <t>SCI26E000003</t>
  </si>
  <si>
    <t>15-Apr-2025</t>
  </si>
  <si>
    <t>30-Apr-25</t>
  </si>
  <si>
    <t>00798249</t>
  </si>
  <si>
    <t>MC1E4DDA7SP056723</t>
  </si>
  <si>
    <t>D71078029</t>
  </si>
  <si>
    <t>18-Apr-2025</t>
  </si>
  <si>
    <t>14-Apr-25</t>
  </si>
  <si>
    <t>00796642</t>
  </si>
  <si>
    <t>MC1E4DCA1SP056217</t>
  </si>
  <si>
    <t>D71074610</t>
  </si>
  <si>
    <t>18-Apr-25</t>
  </si>
  <si>
    <t>00796643</t>
  </si>
  <si>
    <t>MC1E4DCA0SP056340</t>
  </si>
  <si>
    <t>D71075044</t>
  </si>
  <si>
    <t>00006730</t>
  </si>
  <si>
    <t>MC1M4ADAXSP004013</t>
  </si>
  <si>
    <t>D71077066</t>
  </si>
  <si>
    <t>08-Apr-2025</t>
  </si>
  <si>
    <t>00796676</t>
  </si>
  <si>
    <t>MC1E4DCA2SP056341</t>
  </si>
  <si>
    <t>D71075208</t>
  </si>
  <si>
    <t>29-Apr-25</t>
  </si>
  <si>
    <t>00328294</t>
  </si>
  <si>
    <t>MC1D4DDA5SP108491</t>
  </si>
  <si>
    <t>D72020135</t>
  </si>
  <si>
    <t>10-Apr-25</t>
  </si>
  <si>
    <t>00801228</t>
  </si>
  <si>
    <t>MC1E4ECA4SP015800</t>
  </si>
  <si>
    <t>D71076699</t>
  </si>
  <si>
    <t>04-Apr-2025</t>
  </si>
  <si>
    <t>00796631</t>
  </si>
  <si>
    <t>MC1E4CAA9SP083369</t>
  </si>
  <si>
    <t>D71069051</t>
  </si>
  <si>
    <t>26-Apr-25</t>
  </si>
  <si>
    <t>00784079</t>
  </si>
  <si>
    <t>MC1E4FCA6SP022978</t>
  </si>
  <si>
    <t>D71075006</t>
  </si>
  <si>
    <t>28-Apr-25</t>
  </si>
  <si>
    <t>00796647</t>
  </si>
  <si>
    <t>MC1E4CAAXSP083364</t>
  </si>
  <si>
    <t>D71069119</t>
  </si>
  <si>
    <t>00784080</t>
  </si>
  <si>
    <t>MC1E4FCA7SP022987</t>
  </si>
  <si>
    <t>D71074891</t>
  </si>
  <si>
    <t>15-Apr-25</t>
  </si>
  <si>
    <t>00327621</t>
  </si>
  <si>
    <t>MC1D4DCAXSP108052</t>
  </si>
  <si>
    <t>D72019707</t>
  </si>
  <si>
    <t>27-Mar-2025</t>
  </si>
  <si>
    <t>09-Apr-25</t>
  </si>
  <si>
    <t>00801227</t>
  </si>
  <si>
    <t>MC1E4ECA2SP015763</t>
  </si>
  <si>
    <t>D71076632</t>
  </si>
  <si>
    <t>00327377</t>
  </si>
  <si>
    <t>MC1D4DBA9SP107444</t>
  </si>
  <si>
    <t>D72019051</t>
  </si>
  <si>
    <t>00785190</t>
  </si>
  <si>
    <t>MC1E4EBA8SP015414</t>
  </si>
  <si>
    <t>D71073577</t>
  </si>
  <si>
    <t>00798248</t>
  </si>
  <si>
    <t>MC1E4DDA5SP056784</t>
  </si>
  <si>
    <t>D71077983</t>
  </si>
  <si>
    <t>00798272</t>
  </si>
  <si>
    <t>MC1E4CCA9SP086446</t>
  </si>
  <si>
    <t>D71074379</t>
  </si>
  <si>
    <t>22-Apr-25</t>
  </si>
  <si>
    <t>00007021</t>
  </si>
  <si>
    <t>MC1M4ADA1SP004093</t>
  </si>
  <si>
    <t>D71077575</t>
  </si>
  <si>
    <t>00796644</t>
  </si>
  <si>
    <t>MC1E4DCA0SP056371</t>
  </si>
  <si>
    <t>D71075297</t>
  </si>
  <si>
    <t>12-May-25</t>
  </si>
  <si>
    <t>00328366</t>
  </si>
  <si>
    <t>MC1D1DDA0SP001633</t>
  </si>
  <si>
    <t>D72020239</t>
  </si>
  <si>
    <t>SCI26E000004</t>
  </si>
  <si>
    <t>24-Apr-2025</t>
  </si>
  <si>
    <t>05-Jun-25</t>
  </si>
  <si>
    <t>00802127</t>
  </si>
  <si>
    <t>MC1E4EEA0SP016293</t>
  </si>
  <si>
    <t>D71080819</t>
  </si>
  <si>
    <t>27-May-2025</t>
  </si>
  <si>
    <t>06-May-25</t>
  </si>
  <si>
    <t>00802530</t>
  </si>
  <si>
    <t>MC1E4EDA5SP016002</t>
  </si>
  <si>
    <t>D71078588</t>
  </si>
  <si>
    <t>23-Apr-2025</t>
  </si>
  <si>
    <t>13-May-25</t>
  </si>
  <si>
    <t>00326025</t>
  </si>
  <si>
    <t>MC1D4DLA6SP106329</t>
  </si>
  <si>
    <t>D72017803</t>
  </si>
  <si>
    <t>27-May-25</t>
  </si>
  <si>
    <t>00768236</t>
  </si>
  <si>
    <t>MC1E4FCA4SP022963</t>
  </si>
  <si>
    <t>D71074932</t>
  </si>
  <si>
    <t>09-May-25</t>
  </si>
  <si>
    <t>00797572</t>
  </si>
  <si>
    <t>MC1E4CCA9SP087029</t>
  </si>
  <si>
    <t>D71076761</t>
  </si>
  <si>
    <t>07-Apr-2025</t>
  </si>
  <si>
    <t>19-May-25</t>
  </si>
  <si>
    <t>00795534</t>
  </si>
  <si>
    <t>MC1E5CBA3SP000160</t>
  </si>
  <si>
    <t>D73001680</t>
  </si>
  <si>
    <t>24-Feb-2025</t>
  </si>
  <si>
    <t>28-May-25</t>
  </si>
  <si>
    <t>00803547</t>
  </si>
  <si>
    <t>MC1E4CDA6SP087245</t>
  </si>
  <si>
    <t>D71077690</t>
  </si>
  <si>
    <t>06-May-2025</t>
  </si>
  <si>
    <t>00796763</t>
  </si>
  <si>
    <t>MC1E4DDA9SP056836</t>
  </si>
  <si>
    <t>D71078564</t>
  </si>
  <si>
    <t>00803474</t>
  </si>
  <si>
    <t>MC1E5CDA8SP000166</t>
  </si>
  <si>
    <t>D73001881</t>
  </si>
  <si>
    <t>30-Apr-2025</t>
  </si>
  <si>
    <t>08-May-25</t>
  </si>
  <si>
    <t>00798262</t>
  </si>
  <si>
    <t>MC1E4DDA3SP056797</t>
  </si>
  <si>
    <t>D71077924</t>
  </si>
  <si>
    <t>16-Apr-2025</t>
  </si>
  <si>
    <t>16-May-25</t>
  </si>
  <si>
    <t>00803473</t>
  </si>
  <si>
    <t>MC1E5CCA2SP000164</t>
  </si>
  <si>
    <t>D73001880</t>
  </si>
  <si>
    <t>14-May-25</t>
  </si>
  <si>
    <t>00798231</t>
  </si>
  <si>
    <t>MC1E4DDA3SP056718</t>
  </si>
  <si>
    <t>D71077738</t>
  </si>
  <si>
    <t>17-Apr-2025</t>
  </si>
  <si>
    <t>00327617</t>
  </si>
  <si>
    <t>MC1D4DCA2SP107879</t>
  </si>
  <si>
    <t>D72019510</t>
  </si>
  <si>
    <t>00802873</t>
  </si>
  <si>
    <t>MC1E4EEA6SP016279</t>
  </si>
  <si>
    <t>D71080664</t>
  </si>
  <si>
    <t>23-May-2025</t>
  </si>
  <si>
    <t>31-May-25</t>
  </si>
  <si>
    <t>00007590</t>
  </si>
  <si>
    <t>MC1M4AEA6SP004587</t>
  </si>
  <si>
    <t>D71081160</t>
  </si>
  <si>
    <t>26-May-25</t>
  </si>
  <si>
    <t>00778143</t>
  </si>
  <si>
    <t>MC1E5DDA1SP000662</t>
  </si>
  <si>
    <t>D73001851</t>
  </si>
  <si>
    <t>14-Apr-2025</t>
  </si>
  <si>
    <t>00803475</t>
  </si>
  <si>
    <t>MC1E5CDAXSP000167</t>
  </si>
  <si>
    <t>D73001901</t>
  </si>
  <si>
    <t>15-May-25</t>
  </si>
  <si>
    <t>00802597</t>
  </si>
  <si>
    <t>MC1E4EDA9SP016021</t>
  </si>
  <si>
    <t>D71078879</t>
  </si>
  <si>
    <t>26-Apr-2025</t>
  </si>
  <si>
    <t>00327378</t>
  </si>
  <si>
    <t>MC1D4DBAXSP107453</t>
  </si>
  <si>
    <t>D72019077</t>
  </si>
  <si>
    <t>00802355</t>
  </si>
  <si>
    <t>MC1E4EEA1SP016111</t>
  </si>
  <si>
    <t>D71079576</t>
  </si>
  <si>
    <t>08-May-2025</t>
  </si>
  <si>
    <t>00007532</t>
  </si>
  <si>
    <t>MC1M4ADA0SP004277</t>
  </si>
  <si>
    <t>D71079105</t>
  </si>
  <si>
    <t>29-Apr-2025</t>
  </si>
  <si>
    <t>10-May-25</t>
  </si>
  <si>
    <t>00802549</t>
  </si>
  <si>
    <t>MC1E1DDA7SP003402</t>
  </si>
  <si>
    <t>D71079127</t>
  </si>
  <si>
    <t>00768071</t>
  </si>
  <si>
    <t>MC1E4FDA9SP023265</t>
  </si>
  <si>
    <t>D71077328</t>
  </si>
  <si>
    <t>00778995</t>
  </si>
  <si>
    <t>MC1E5DDA1SP000645</t>
  </si>
  <si>
    <t>D73001860</t>
  </si>
  <si>
    <t>13-Jun-25</t>
  </si>
  <si>
    <t>00328250</t>
  </si>
  <si>
    <t>MC1D4DDA0SP108494</t>
  </si>
  <si>
    <t>D72020146</t>
  </si>
  <si>
    <t>19-Apr-2025</t>
  </si>
  <si>
    <t>20-Aug-25</t>
  </si>
  <si>
    <t>09-Jun-25</t>
  </si>
  <si>
    <t>00802872</t>
  </si>
  <si>
    <t>MC1E4EEA7SP016226</t>
  </si>
  <si>
    <t>D71080252</t>
  </si>
  <si>
    <t>23-Jun-25</t>
  </si>
  <si>
    <t>00796788</t>
  </si>
  <si>
    <t>MC1E4DDA6SP056891</t>
  </si>
  <si>
    <t>D71078680</t>
  </si>
  <si>
    <t>24-Jun-25</t>
  </si>
  <si>
    <t>00788114</t>
  </si>
  <si>
    <t>MC1L4AFA0RP001821</t>
  </si>
  <si>
    <t>D71057673</t>
  </si>
  <si>
    <t>31-Aug-2024</t>
  </si>
  <si>
    <t>28-Jun-25</t>
  </si>
  <si>
    <t>00807227</t>
  </si>
  <si>
    <t>MC1E4DEA9SP057564</t>
  </si>
  <si>
    <t>D71081401</t>
  </si>
  <si>
    <t>21-Jun-2025</t>
  </si>
  <si>
    <t>19-Jun-25</t>
  </si>
  <si>
    <t>00008108</t>
  </si>
  <si>
    <t>MC1M4AFA0SP004812</t>
  </si>
  <si>
    <t>D71082360</t>
  </si>
  <si>
    <t>07-Jun-2025</t>
  </si>
  <si>
    <t>00327542</t>
  </si>
  <si>
    <t>MC1D4DCA2SP107980</t>
  </si>
  <si>
    <t>D72019619</t>
  </si>
  <si>
    <t>00802650</t>
  </si>
  <si>
    <t>MC1E4EEA3SP016174</t>
  </si>
  <si>
    <t>D71079998</t>
  </si>
  <si>
    <t>10-May-2025</t>
  </si>
  <si>
    <t>00328365</t>
  </si>
  <si>
    <t>MC1D1DDA2SP001634</t>
  </si>
  <si>
    <t>D72020229</t>
  </si>
  <si>
    <t>17-Jun-25</t>
  </si>
  <si>
    <t>00802984</t>
  </si>
  <si>
    <t>MC1E4EEA1SP016349</t>
  </si>
  <si>
    <t>D71081124</t>
  </si>
  <si>
    <t>31-May-2025</t>
  </si>
  <si>
    <t>30-Jun-25</t>
  </si>
  <si>
    <t>00008144</t>
  </si>
  <si>
    <t>MC1M4AFAXSP004865</t>
  </si>
  <si>
    <t>D71082718</t>
  </si>
  <si>
    <t>25-Jun-2025</t>
  </si>
  <si>
    <t>07-Jun-25</t>
  </si>
  <si>
    <t>00326024</t>
  </si>
  <si>
    <t>MC1D4DLA4SP106328</t>
  </si>
  <si>
    <t>D72017786</t>
  </si>
  <si>
    <t>00778993</t>
  </si>
  <si>
    <t>MC1E5DDA2SP000654</t>
  </si>
  <si>
    <t>D73001869</t>
  </si>
  <si>
    <t>25-Jun-25</t>
  </si>
  <si>
    <t>00805146</t>
  </si>
  <si>
    <t>MC1E4CEA2SP087838</t>
  </si>
  <si>
    <t>D71080518</t>
  </si>
  <si>
    <t>13-Jun-2025</t>
  </si>
  <si>
    <t>00778198</t>
  </si>
  <si>
    <t>MC1E5DDA7SP000651</t>
  </si>
  <si>
    <t>D73001872</t>
  </si>
  <si>
    <t>00328672</t>
  </si>
  <si>
    <t>MC1D4DDA6SP108404</t>
  </si>
  <si>
    <t>D72020089</t>
  </si>
  <si>
    <t>00778956</t>
  </si>
  <si>
    <t>MC1E5CEA6SP000178</t>
  </si>
  <si>
    <t>D73002059</t>
  </si>
  <si>
    <t>12-Jun-2025</t>
  </si>
  <si>
    <t>00327640</t>
  </si>
  <si>
    <t>MC1D4DCA7SP108073</t>
  </si>
  <si>
    <t>D72019720</t>
  </si>
  <si>
    <t>06-Jun-25</t>
  </si>
  <si>
    <t>00802196</t>
  </si>
  <si>
    <t>MC1E4EEA4SP016247</t>
  </si>
  <si>
    <t>D71080336</t>
  </si>
  <si>
    <t>28-May-2025</t>
  </si>
  <si>
    <t>11-Jun-25</t>
  </si>
  <si>
    <t>00796765</t>
  </si>
  <si>
    <t>MC1E4DDA4SP056873</t>
  </si>
  <si>
    <t>D71078602</t>
  </si>
  <si>
    <t>00767562</t>
  </si>
  <si>
    <t>MC1L4AEA3RP001636</t>
  </si>
  <si>
    <t>D71055291</t>
  </si>
  <si>
    <t>28-Jun-2024</t>
  </si>
  <si>
    <t>10-Jun-25</t>
  </si>
  <si>
    <t>00328518</t>
  </si>
  <si>
    <t>MC1D4DDA5SP108619</t>
  </si>
  <si>
    <t>D72020308</t>
  </si>
  <si>
    <t>28-Apr-2025</t>
  </si>
  <si>
    <t>00806131</t>
  </si>
  <si>
    <t>MC1E4FEA8SP023787</t>
  </si>
  <si>
    <t>D71081852</t>
  </si>
  <si>
    <t>24-Jun-2025</t>
  </si>
  <si>
    <t>00328673</t>
  </si>
  <si>
    <t>MC1D4DEAXSP108968</t>
  </si>
  <si>
    <t>D72020656</t>
  </si>
  <si>
    <t>00778953</t>
  </si>
  <si>
    <t>MC1E5CEA8SP000179</t>
  </si>
  <si>
    <t>D73002061</t>
  </si>
  <si>
    <t>11-Jun-2025</t>
  </si>
  <si>
    <t>Location</t>
  </si>
  <si>
    <t>Service Date</t>
  </si>
  <si>
    <t>Sale KMS/Hrs</t>
  </si>
  <si>
    <t>Service KMS/Hrs</t>
  </si>
  <si>
    <t>Service No.</t>
  </si>
  <si>
    <t>GST Invoice No.</t>
  </si>
  <si>
    <t>Invoice Date</t>
  </si>
  <si>
    <t>Vehicle Sub Type</t>
  </si>
  <si>
    <t>Division</t>
  </si>
  <si>
    <t>Coupon Type</t>
  </si>
  <si>
    <t>10-Feb-24</t>
  </si>
  <si>
    <t>28-Feb-25</t>
  </si>
  <si>
    <t>MC1E4EAA4RP011520</t>
  </si>
  <si>
    <t>D71045359</t>
  </si>
  <si>
    <t>SCI25C000036</t>
  </si>
  <si>
    <t>T1BS6</t>
  </si>
  <si>
    <t>CVD</t>
  </si>
  <si>
    <t>P</t>
  </si>
  <si>
    <t>27-Feb-23</t>
  </si>
  <si>
    <t>14-Feb-25</t>
  </si>
  <si>
    <t>MC1E5CDA9NP000083</t>
  </si>
  <si>
    <t>D73000092</t>
  </si>
  <si>
    <t>T1CNGL</t>
  </si>
  <si>
    <t>26-Sep-23</t>
  </si>
  <si>
    <t>26-Feb-25</t>
  </si>
  <si>
    <t>MC1E4EJA6RP010529</t>
  </si>
  <si>
    <t>D71039065</t>
  </si>
  <si>
    <t>08-Aug-24</t>
  </si>
  <si>
    <t>09-Feb-25</t>
  </si>
  <si>
    <t>MC1E4DGA0SP053576</t>
  </si>
  <si>
    <t>D71058041</t>
  </si>
  <si>
    <t>T1BS6N</t>
  </si>
  <si>
    <t>F</t>
  </si>
  <si>
    <t>09-Mar-24</t>
  </si>
  <si>
    <t>07-Feb-25</t>
  </si>
  <si>
    <t>MC1M4ABA5RP001114</t>
  </si>
  <si>
    <t>D71048194</t>
  </si>
  <si>
    <t>URBN</t>
  </si>
  <si>
    <t>05-Jul-24</t>
  </si>
  <si>
    <t>11-Feb-25</t>
  </si>
  <si>
    <t>MC1E4FEA6RP020333</t>
  </si>
  <si>
    <t>D71054105</t>
  </si>
  <si>
    <t>T26BS6</t>
  </si>
  <si>
    <t>14-Jan-25</t>
  </si>
  <si>
    <t>MC1E4ELA2SP014645</t>
  </si>
  <si>
    <t>D71065178</t>
  </si>
  <si>
    <t>23-Oct-24</t>
  </si>
  <si>
    <t>MC1E4EJA5SP014061</t>
  </si>
  <si>
    <t>D71062337</t>
  </si>
  <si>
    <t>27-Jun-23</t>
  </si>
  <si>
    <t>MC1E4EFA5PP009796</t>
  </si>
  <si>
    <t>D71032748</t>
  </si>
  <si>
    <t>31-Jul-23</t>
  </si>
  <si>
    <t>02-Feb-25</t>
  </si>
  <si>
    <t>MC1E4DGA2RP046977</t>
  </si>
  <si>
    <t>D71033670</t>
  </si>
  <si>
    <t>28-Mar-24</t>
  </si>
  <si>
    <t>24-Feb-25</t>
  </si>
  <si>
    <t>MC1M4ACA6RP001203</t>
  </si>
  <si>
    <t>D71050375</t>
  </si>
  <si>
    <t>25-Feb-25</t>
  </si>
  <si>
    <t>MC1E4EAA5RP011669</t>
  </si>
  <si>
    <t>D71046362</t>
  </si>
  <si>
    <t>28-Sep-24</t>
  </si>
  <si>
    <t>MC1E4EHA9SP013842</t>
  </si>
  <si>
    <t>D71060493</t>
  </si>
  <si>
    <t>20-Oct-23</t>
  </si>
  <si>
    <t>06-Feb-25</t>
  </si>
  <si>
    <t>MC1E4EKAXRP010712</t>
  </si>
  <si>
    <t>D71040328</t>
  </si>
  <si>
    <t>MC1E4EAA5RP011672</t>
  </si>
  <si>
    <t>D71046345</t>
  </si>
  <si>
    <t>07-Dec-24</t>
  </si>
  <si>
    <t>MC1E4EKA1SP014296</t>
  </si>
  <si>
    <t>D71062279</t>
  </si>
  <si>
    <t>20-Aug-24</t>
  </si>
  <si>
    <t>MC1E4DDA5RP052440</t>
  </si>
  <si>
    <t>D71053480</t>
  </si>
  <si>
    <t>30-Jun-24</t>
  </si>
  <si>
    <t>MC1M4AFAXRP001720</t>
  </si>
  <si>
    <t>D71055788</t>
  </si>
  <si>
    <t>30-Oct-24</t>
  </si>
  <si>
    <t>MC1E4EKA5SP014270</t>
  </si>
  <si>
    <t>D71063329</t>
  </si>
  <si>
    <t>002</t>
  </si>
  <si>
    <t>SERV DATE EXCEEDS</t>
  </si>
  <si>
    <t>28-Jun-24</t>
  </si>
  <si>
    <t>MC1E4EEA7RP012994</t>
  </si>
  <si>
    <t>D71054867</t>
  </si>
  <si>
    <t>13-Jun-24</t>
  </si>
  <si>
    <t>MC1E4EEA0RP013016</t>
  </si>
  <si>
    <t>D71055025</t>
  </si>
  <si>
    <t>21-Sep-24</t>
  </si>
  <si>
    <t>MC1E4EHA1SP013740</t>
  </si>
  <si>
    <t>D71060115</t>
  </si>
  <si>
    <t>30-Sep-24</t>
  </si>
  <si>
    <t>MC1E4DFA3RP053275</t>
  </si>
  <si>
    <t>D71056778</t>
  </si>
  <si>
    <t>31-Dec-23</t>
  </si>
  <si>
    <t>20-Feb-25</t>
  </si>
  <si>
    <t>MC1M4AHA1RP000534</t>
  </si>
  <si>
    <t>D71037781</t>
  </si>
  <si>
    <t>28-May-24</t>
  </si>
  <si>
    <t>MC1E4FEA9RP020391</t>
  </si>
  <si>
    <t>D71054667</t>
  </si>
  <si>
    <t>17-Aug-24</t>
  </si>
  <si>
    <t>MC1E4EGAXSP013446</t>
  </si>
  <si>
    <t>D71058090</t>
  </si>
  <si>
    <t>27-Jan-23</t>
  </si>
  <si>
    <t>04-Feb-25</t>
  </si>
  <si>
    <t>MC1E4DMA6PP043808</t>
  </si>
  <si>
    <t>D71023849</t>
  </si>
  <si>
    <t>15-Oct-24</t>
  </si>
  <si>
    <t>05-Feb-25</t>
  </si>
  <si>
    <t>MC1M4AJA3SP002284</t>
  </si>
  <si>
    <t>D71061468</t>
  </si>
  <si>
    <t>19-Dec-24</t>
  </si>
  <si>
    <t>21-Feb-25</t>
  </si>
  <si>
    <t>MC1E4FLA6SP021782</t>
  </si>
  <si>
    <t>D71065402</t>
  </si>
  <si>
    <t>MC1E4EFA9PP009977</t>
  </si>
  <si>
    <t>D71034030</t>
  </si>
  <si>
    <t>001</t>
  </si>
  <si>
    <t>SERV KMS  / HRS EXCEEDS</t>
  </si>
  <si>
    <t>06-Jan-25</t>
  </si>
  <si>
    <t>MC1E4ELA3SP014637</t>
  </si>
  <si>
    <t>D71065348</t>
  </si>
  <si>
    <t>20-Jul-24</t>
  </si>
  <si>
    <t>17-Feb-25</t>
  </si>
  <si>
    <t>MC1M4AFA5RP001723</t>
  </si>
  <si>
    <t>D71056049</t>
  </si>
  <si>
    <t>10-Feb-25</t>
  </si>
  <si>
    <t>MC1M4AKA8SP002635</t>
  </si>
  <si>
    <t>D71064370</t>
  </si>
  <si>
    <t>22-Feb-23</t>
  </si>
  <si>
    <t>18-Feb-25</t>
  </si>
  <si>
    <t>MC1M4ABA8PP000150</t>
  </si>
  <si>
    <t>D71026419</t>
  </si>
  <si>
    <t>20-Nov-24</t>
  </si>
  <si>
    <t>MC1E4EKA1SP014315</t>
  </si>
  <si>
    <t>D71063632</t>
  </si>
  <si>
    <t>25-Apr-24</t>
  </si>
  <si>
    <t>MC1M4ADA9RP001369</t>
  </si>
  <si>
    <t>D71052448</t>
  </si>
  <si>
    <t>27-Jun-24</t>
  </si>
  <si>
    <t>MC1E4DEA9RP052746</t>
  </si>
  <si>
    <t>D71054585</t>
  </si>
  <si>
    <t>17-Feb-23</t>
  </si>
  <si>
    <t>16-Feb-25</t>
  </si>
  <si>
    <t>MC1D4DAA1PP099672</t>
  </si>
  <si>
    <t>D72010154</t>
  </si>
  <si>
    <t>TRXBS6</t>
  </si>
  <si>
    <t>13-May-24</t>
  </si>
  <si>
    <t>03-Feb-25</t>
  </si>
  <si>
    <t>MC1E4ECAXRP012359</t>
  </si>
  <si>
    <t>D71051066</t>
  </si>
  <si>
    <t>26-Jun-24</t>
  </si>
  <si>
    <t>MC1D4DEA2RP104584</t>
  </si>
  <si>
    <t>D72015514</t>
  </si>
  <si>
    <t>31-Aug-23</t>
  </si>
  <si>
    <t>MC1E4FHA2RP017831</t>
  </si>
  <si>
    <t>D71037510</t>
  </si>
  <si>
    <t>27-Jul-24</t>
  </si>
  <si>
    <t>MC1E4EFA2RP013193</t>
  </si>
  <si>
    <t>D71056618</t>
  </si>
  <si>
    <t>18-Jun-24</t>
  </si>
  <si>
    <t>MC1E4FDA3RP020209</t>
  </si>
  <si>
    <t>D71053461</t>
  </si>
  <si>
    <t>15-Nov-24</t>
  </si>
  <si>
    <t>MC1E4FJA7SP021633</t>
  </si>
  <si>
    <t>D71063051</t>
  </si>
  <si>
    <t>09-Oct-24</t>
  </si>
  <si>
    <t>MC1D4DHAXSP105337</t>
  </si>
  <si>
    <t>D72016757</t>
  </si>
  <si>
    <t>22-Aug-23</t>
  </si>
  <si>
    <t>MC1E4FHA3RP017756</t>
  </si>
  <si>
    <t>D71036723</t>
  </si>
  <si>
    <t>MC1M4AJA6SP002358</t>
  </si>
  <si>
    <t>D71062135</t>
  </si>
  <si>
    <t>15-Jul-24</t>
  </si>
  <si>
    <t>MC1E4EFA8RP013229</t>
  </si>
  <si>
    <t>D71056708</t>
  </si>
  <si>
    <t>MC1E4DGA9SP053950</t>
  </si>
  <si>
    <t>D71059289</t>
  </si>
  <si>
    <t>12-Feb-25</t>
  </si>
  <si>
    <t>MC1D4DFAXRP104783</t>
  </si>
  <si>
    <t>D72015804</t>
  </si>
  <si>
    <t>28-Dec-24</t>
  </si>
  <si>
    <t>MC1E4FLA6SP021779</t>
  </si>
  <si>
    <t>D71065359</t>
  </si>
  <si>
    <t>31-Oct-24</t>
  </si>
  <si>
    <t>MC1E4CKA4SP081267</t>
  </si>
  <si>
    <t>D71063533</t>
  </si>
  <si>
    <t>13-Dec-24</t>
  </si>
  <si>
    <t>MC1D4DJA5SP105675</t>
  </si>
  <si>
    <t>D72017155</t>
  </si>
  <si>
    <t>25-Oct-24</t>
  </si>
  <si>
    <t>MC1E4EHA4SP013800</t>
  </si>
  <si>
    <t>D71060490</t>
  </si>
  <si>
    <t>23-Jan-24</t>
  </si>
  <si>
    <t>MC1M4AAA2RP000892</t>
  </si>
  <si>
    <t>D71044975</t>
  </si>
  <si>
    <t>29-Jun-24</t>
  </si>
  <si>
    <t>MC1E4EFA5RP013091</t>
  </si>
  <si>
    <t>D71055952</t>
  </si>
  <si>
    <t>MC1D4DFA3RP104799</t>
  </si>
  <si>
    <t>D72015923</t>
  </si>
  <si>
    <t>18-Sep-24</t>
  </si>
  <si>
    <t>MC1M4AJA3SP002320</t>
  </si>
  <si>
    <t>D71061676</t>
  </si>
  <si>
    <t>19-Feb-24</t>
  </si>
  <si>
    <t>MC1M4ABA1RP000994</t>
  </si>
  <si>
    <t>D71047182</t>
  </si>
  <si>
    <t>29-Oct-24</t>
  </si>
  <si>
    <t>MC1E4DKA8SP054739</t>
  </si>
  <si>
    <t>D71063348</t>
  </si>
  <si>
    <t>MC1M4ALA7SP002849</t>
  </si>
  <si>
    <t>D71066165</t>
  </si>
  <si>
    <t>31-Dec-24</t>
  </si>
  <si>
    <t>MC1M4ALA5SP002834</t>
  </si>
  <si>
    <t>D71066059</t>
  </si>
  <si>
    <t>MC1E4EFA7RP013089</t>
  </si>
  <si>
    <t>D71055925</t>
  </si>
  <si>
    <t>MC1M4AGA3SP001949</t>
  </si>
  <si>
    <t>D71058108</t>
  </si>
  <si>
    <t>24-Jul-24</t>
  </si>
  <si>
    <t>MC1E4EFA5RP013351</t>
  </si>
  <si>
    <t>D71057450</t>
  </si>
  <si>
    <t>23-Sep-23</t>
  </si>
  <si>
    <t>MC1E4DHA8RP047825</t>
  </si>
  <si>
    <t>D71037972</t>
  </si>
  <si>
    <t>07-Jul-23</t>
  </si>
  <si>
    <t>MC1D4DFA2PP100417</t>
  </si>
  <si>
    <t>D72010990</t>
  </si>
  <si>
    <t>MC1E4EKA2SP014274</t>
  </si>
  <si>
    <t>D71063383</t>
  </si>
  <si>
    <t>MC1D4DHAXSP105385</t>
  </si>
  <si>
    <t>D72016803</t>
  </si>
  <si>
    <t>11-Sep-24</t>
  </si>
  <si>
    <t>MC1E4EHA9SP013713</t>
  </si>
  <si>
    <t>D71060226</t>
  </si>
  <si>
    <t>25-Jun-24</t>
  </si>
  <si>
    <t>MC1E4EFA2RP013095</t>
  </si>
  <si>
    <t>D71055313</t>
  </si>
  <si>
    <t>MC1M4ALA9SP002903</t>
  </si>
  <si>
    <t>D71066450</t>
  </si>
  <si>
    <t>18-Aug-23</t>
  </si>
  <si>
    <t>MC1E4DHA0RP047429</t>
  </si>
  <si>
    <t>D71036561</t>
  </si>
  <si>
    <t>30-Jul-24</t>
  </si>
  <si>
    <t>MC1E4DGA6SP053629</t>
  </si>
  <si>
    <t>D71058038</t>
  </si>
  <si>
    <t>30-Apr-24</t>
  </si>
  <si>
    <t>MC1M4ADA3RP001383</t>
  </si>
  <si>
    <t>D71052257</t>
  </si>
  <si>
    <t>18-Nov-24</t>
  </si>
  <si>
    <t>MC1E4FJA2SP021586</t>
  </si>
  <si>
    <t>D71062197</t>
  </si>
  <si>
    <t>31-Aug-24</t>
  </si>
  <si>
    <t>MC1E4EGA0SP013472</t>
  </si>
  <si>
    <t>D71058264</t>
  </si>
  <si>
    <t>02-May-24</t>
  </si>
  <si>
    <t>MC1D1DDA0RP001528</t>
  </si>
  <si>
    <t>D72015068</t>
  </si>
  <si>
    <t>14-Oct-24</t>
  </si>
  <si>
    <t>MC1M4AKA7SP002481</t>
  </si>
  <si>
    <t>D71063459</t>
  </si>
  <si>
    <t>23-Aug-24</t>
  </si>
  <si>
    <t>MC1M4AGA0SP001973</t>
  </si>
  <si>
    <t>D71058189</t>
  </si>
  <si>
    <t>16-Mar-23</t>
  </si>
  <si>
    <t>MC1E4EMA8PP008922</t>
  </si>
  <si>
    <t>D71024006</t>
  </si>
  <si>
    <t>25-Nov-24</t>
  </si>
  <si>
    <t>MC1M4AKAXSP002572</t>
  </si>
  <si>
    <t>D71063955</t>
  </si>
  <si>
    <t>SERVICE COUPON HARD COPY NOT RECEIVED</t>
  </si>
  <si>
    <t>08-Jul-24</t>
  </si>
  <si>
    <t>MC1E4EFA0RP013158</t>
  </si>
  <si>
    <t>D71056321</t>
  </si>
  <si>
    <t>22-Nov-23</t>
  </si>
  <si>
    <t>MC1D4DGA8RP100617</t>
  </si>
  <si>
    <t>D72011234</t>
  </si>
  <si>
    <t>18-Jan-25</t>
  </si>
  <si>
    <t>MC1E4EKA7SP014402</t>
  </si>
  <si>
    <t>D71064055</t>
  </si>
  <si>
    <t>10-Jul-24</t>
  </si>
  <si>
    <t>MC1E4EFA6RP013360</t>
  </si>
  <si>
    <t>D71057471</t>
  </si>
  <si>
    <t>23-Feb-23</t>
  </si>
  <si>
    <t>MC1M4ABAXPP000151</t>
  </si>
  <si>
    <t>D71026417</t>
  </si>
  <si>
    <t>MC1E4EJA5RP010487</t>
  </si>
  <si>
    <t>D71038820</t>
  </si>
  <si>
    <t>22-Mar-24</t>
  </si>
  <si>
    <t>MC1D4DBA4RP103635</t>
  </si>
  <si>
    <t>D72014410</t>
  </si>
  <si>
    <t>MC1E4EKA6SP014276</t>
  </si>
  <si>
    <t>D71063328</t>
  </si>
  <si>
    <t>21-Oct-24</t>
  </si>
  <si>
    <t>MC1D4DJA7SP105502</t>
  </si>
  <si>
    <t>D72016937</t>
  </si>
  <si>
    <t>08-Oct-24</t>
  </si>
  <si>
    <t>MC1E4FJA4SP021525</t>
  </si>
  <si>
    <t>D71061849</t>
  </si>
  <si>
    <t>09-Dec-24</t>
  </si>
  <si>
    <t>19-Feb-25</t>
  </si>
  <si>
    <t>MC1E5DGA3SP000559</t>
  </si>
  <si>
    <t>D73001405</t>
  </si>
  <si>
    <t>22-May-24</t>
  </si>
  <si>
    <t>MC1E1CEA7RP007811</t>
  </si>
  <si>
    <t>D71054290</t>
  </si>
  <si>
    <t>16-Nov-23</t>
  </si>
  <si>
    <t>MC1M4ALA5RP000706</t>
  </si>
  <si>
    <t>D71042291</t>
  </si>
  <si>
    <t>30-Nov-24</t>
  </si>
  <si>
    <t>MC1E4EJA0SP014176</t>
  </si>
  <si>
    <t>D71062910</t>
  </si>
  <si>
    <t>15-Feb-24</t>
  </si>
  <si>
    <t>MC1M4ABA3RP000978</t>
  </si>
  <si>
    <t>D71046706</t>
  </si>
  <si>
    <t>28-Jul-23</t>
  </si>
  <si>
    <t>MC1D4DGA3RP100492</t>
  </si>
  <si>
    <t>D72011096</t>
  </si>
  <si>
    <t>22-Mar-23</t>
  </si>
  <si>
    <t>MC1E4EBA3PP009155</t>
  </si>
  <si>
    <t>D71026032</t>
  </si>
  <si>
    <t>02-Jul-24</t>
  </si>
  <si>
    <t>MC1E4EFA7RP013092</t>
  </si>
  <si>
    <t>D71055951</t>
  </si>
  <si>
    <t>30-Aug-24</t>
  </si>
  <si>
    <t>MC1E4EGA5SP013614</t>
  </si>
  <si>
    <t>D71059197</t>
  </si>
  <si>
    <t>MC1E4EKA4SP014275</t>
  </si>
  <si>
    <t>D71063275</t>
  </si>
  <si>
    <t>03-May-24</t>
  </si>
  <si>
    <t>MC1E4FCA1RP019657</t>
  </si>
  <si>
    <t>D71049595</t>
  </si>
  <si>
    <t>T26BS6N</t>
  </si>
  <si>
    <t>29-Feb-24</t>
  </si>
  <si>
    <t>MC1M4ABA8RP001057</t>
  </si>
  <si>
    <t>D71048003</t>
  </si>
  <si>
    <t>19-Jul-24</t>
  </si>
  <si>
    <t>MC1D1DEA4RP001546</t>
  </si>
  <si>
    <t>D72015420</t>
  </si>
  <si>
    <t>17-Sep-24</t>
  </si>
  <si>
    <t>MC1M4AHAXSP002238</t>
  </si>
  <si>
    <t>D71060908</t>
  </si>
  <si>
    <t>24-Jan-24</t>
  </si>
  <si>
    <t>MC1E4EAA5RP011526</t>
  </si>
  <si>
    <t>D71045349</t>
  </si>
  <si>
    <t>24-Aug-24</t>
  </si>
  <si>
    <t>MC1D4DHA2SP105199</t>
  </si>
  <si>
    <t>D72016528</t>
  </si>
  <si>
    <t>MC1E4DJA3RP048116</t>
  </si>
  <si>
    <t>D71039101</t>
  </si>
  <si>
    <t>28-Mar-23</t>
  </si>
  <si>
    <t>MC1E4DAA5PP044162</t>
  </si>
  <si>
    <t>D71024466</t>
  </si>
  <si>
    <t>30-Sep-23</t>
  </si>
  <si>
    <t>MC1E4FJA3RP018139</t>
  </si>
  <si>
    <t>D71039030</t>
  </si>
  <si>
    <t>29-Jan-24</t>
  </si>
  <si>
    <t>MC1E1CAA2RP007611</t>
  </si>
  <si>
    <t>D71045174</t>
  </si>
  <si>
    <t>MC1E4EHA9SP013856</t>
  </si>
  <si>
    <t>D71061114</t>
  </si>
  <si>
    <t>25-Jan-24</t>
  </si>
  <si>
    <t>MC1D4DMAXRP102762</t>
  </si>
  <si>
    <t>D72013178</t>
  </si>
  <si>
    <t>16-Oct-24</t>
  </si>
  <si>
    <t>MC1D4DHA2SP105462</t>
  </si>
  <si>
    <t>D72016887</t>
  </si>
  <si>
    <t>12-Jul-24</t>
  </si>
  <si>
    <t>MC1E4EFA5RP013219</t>
  </si>
  <si>
    <t>D71056637</t>
  </si>
  <si>
    <t>17-Nov-23</t>
  </si>
  <si>
    <t>MC1E4FJA5RP018224</t>
  </si>
  <si>
    <t>D71039485</t>
  </si>
  <si>
    <t>30-Jun-23</t>
  </si>
  <si>
    <t>MC1D4DFAXPP100326</t>
  </si>
  <si>
    <t>D72010898</t>
  </si>
  <si>
    <t>19-Aug-23</t>
  </si>
  <si>
    <t>MC1E4EHAXRP010300</t>
  </si>
  <si>
    <t>D71037063</t>
  </si>
  <si>
    <t>MC1E4FFA0RP020858</t>
  </si>
  <si>
    <t>D71057668</t>
  </si>
  <si>
    <t>MC1E4EAA2RP011497</t>
  </si>
  <si>
    <t>D71045143</t>
  </si>
  <si>
    <t>MC1E4FHA0SP021351</t>
  </si>
  <si>
    <t>D71060818</t>
  </si>
  <si>
    <t>26-Dec-24</t>
  </si>
  <si>
    <t>MC1D4DHA4SP105477</t>
  </si>
  <si>
    <t>D72016904</t>
  </si>
  <si>
    <t>09-Aug-24</t>
  </si>
  <si>
    <t>MC1E4EFA8RP013148</t>
  </si>
  <si>
    <t>D71056274</t>
  </si>
  <si>
    <t>MC1M4AMA9SP003001</t>
  </si>
  <si>
    <t>D71066870</t>
  </si>
  <si>
    <t>12-Feb-24</t>
  </si>
  <si>
    <t>MC1E4FAA2RP019007</t>
  </si>
  <si>
    <t>D71045082</t>
  </si>
  <si>
    <t>13-Jul-24</t>
  </si>
  <si>
    <t>MC1E4EEA5RP013061</t>
  </si>
  <si>
    <t>D71055469</t>
  </si>
  <si>
    <t>15-Feb-23</t>
  </si>
  <si>
    <t>MC1E4FAA6PP016186</t>
  </si>
  <si>
    <t>D71025294</t>
  </si>
  <si>
    <t>29-Apr-24</t>
  </si>
  <si>
    <t>MC1E4EDA5RP012526</t>
  </si>
  <si>
    <t>D71051928</t>
  </si>
  <si>
    <t>20-Jan-25</t>
  </si>
  <si>
    <t>MC1M4AAA6SP003235</t>
  </si>
  <si>
    <t>D71069285</t>
  </si>
  <si>
    <t>MC1E4DJA5RP048036</t>
  </si>
  <si>
    <t>D71038347</t>
  </si>
  <si>
    <t>22-Jun-24</t>
  </si>
  <si>
    <t>MC1E4EDA0RP012854</t>
  </si>
  <si>
    <t>D71053907</t>
  </si>
  <si>
    <t>MC1E4EHA8SP013850</t>
  </si>
  <si>
    <t>D71061089</t>
  </si>
  <si>
    <t>MC1E4DHA2SP054033</t>
  </si>
  <si>
    <t>D71059735</t>
  </si>
  <si>
    <t>MC1M4AJA2SP002387</t>
  </si>
  <si>
    <t>D71062463</t>
  </si>
  <si>
    <t>MC1E4EFA6RP013102</t>
  </si>
  <si>
    <t>D71055772</t>
  </si>
  <si>
    <t>MC1M4AJA8SP002393</t>
  </si>
  <si>
    <t>D71062471</t>
  </si>
  <si>
    <t>20-Feb-24</t>
  </si>
  <si>
    <t>MC1E4FAA9RP019134</t>
  </si>
  <si>
    <t>D71046150</t>
  </si>
  <si>
    <t>31-Mar-23</t>
  </si>
  <si>
    <t>MC1E4DCA3PP044965</t>
  </si>
  <si>
    <t>D71028276</t>
  </si>
  <si>
    <t>30-May-24</t>
  </si>
  <si>
    <t>MC1D4DBA9RP103565</t>
  </si>
  <si>
    <t>D72014281</t>
  </si>
  <si>
    <t>27-Mar-25</t>
  </si>
  <si>
    <t>SCI25C000039</t>
  </si>
  <si>
    <t>31-Mar-24</t>
  </si>
  <si>
    <t>MC1E4DAA2RP050262</t>
  </si>
  <si>
    <t>D71045470</t>
  </si>
  <si>
    <t>MC1M4AJA4SP002407</t>
  </si>
  <si>
    <t>D71062651</t>
  </si>
  <si>
    <t>02-Mar-25</t>
  </si>
  <si>
    <t>MC1E4EDA9RP012805</t>
  </si>
  <si>
    <t>D71053488</t>
  </si>
  <si>
    <t>MC1E4DFA5RP053276</t>
  </si>
  <si>
    <t>D71056809</t>
  </si>
  <si>
    <t>07-Oct-24</t>
  </si>
  <si>
    <t>19-Mar-25</t>
  </si>
  <si>
    <t>MC1E4FJA5SP021596</t>
  </si>
  <si>
    <t>D71062879</t>
  </si>
  <si>
    <t>03-Jul-24</t>
  </si>
  <si>
    <t>MC1E4EFA9RP013093</t>
  </si>
  <si>
    <t>D71055949</t>
  </si>
  <si>
    <t>MC1E4FBA3RP019533</t>
  </si>
  <si>
    <t>D71049075</t>
  </si>
  <si>
    <t>07-Sep-23</t>
  </si>
  <si>
    <t>MC1E5DGA2RP000384</t>
  </si>
  <si>
    <t>D73000503</t>
  </si>
  <si>
    <t>MC1E4EFA1RP013377</t>
  </si>
  <si>
    <t>D71057656</t>
  </si>
  <si>
    <t>MC1M4AGA2SP002056</t>
  </si>
  <si>
    <t>D71058792</t>
  </si>
  <si>
    <t>21-Aug-23</t>
  </si>
  <si>
    <t>01-Mar-25</t>
  </si>
  <si>
    <t>MC1E4DHA3RP047392</t>
  </si>
  <si>
    <t>D71036487</t>
  </si>
  <si>
    <t>31-Jan-24</t>
  </si>
  <si>
    <t>04-Mar-25</t>
  </si>
  <si>
    <t>MC1M4AAA5RP000921</t>
  </si>
  <si>
    <t>D71044541</t>
  </si>
  <si>
    <t>MC1E4DGA7SP053543</t>
  </si>
  <si>
    <t>D71057790</t>
  </si>
  <si>
    <t>MC1M4ACA8RP001252</t>
  </si>
  <si>
    <t>D71050836</t>
  </si>
  <si>
    <t>26-Jul-24</t>
  </si>
  <si>
    <t>MC1E4EFA1RP013184</t>
  </si>
  <si>
    <t>D71056676</t>
  </si>
  <si>
    <t>23-Jan-25</t>
  </si>
  <si>
    <t>MC1E4FAA3SP022178</t>
  </si>
  <si>
    <t>D71068604</t>
  </si>
  <si>
    <t>26-Aug-24</t>
  </si>
  <si>
    <t>MC1E4EHA3SP013657</t>
  </si>
  <si>
    <t>D71059698</t>
  </si>
  <si>
    <t>04-Sep-24</t>
  </si>
  <si>
    <t>10-Mar-25</t>
  </si>
  <si>
    <t>MC1D4DHA8SP105336</t>
  </si>
  <si>
    <t>D72016762</t>
  </si>
  <si>
    <t>11-Dec-24</t>
  </si>
  <si>
    <t>MC1M4ALA7SP002785</t>
  </si>
  <si>
    <t>D71064906</t>
  </si>
  <si>
    <t>17-Apr-23</t>
  </si>
  <si>
    <t>MC1M4ACA2PP000188</t>
  </si>
  <si>
    <t>D71027122</t>
  </si>
  <si>
    <t>MC1D4DKA3SP106032</t>
  </si>
  <si>
    <t>D72017498</t>
  </si>
  <si>
    <t>MC1E4DFA8RP053465</t>
  </si>
  <si>
    <t>D71057531</t>
  </si>
  <si>
    <t>10-Sep-24</t>
  </si>
  <si>
    <t>MC1E4FHA8SP021288</t>
  </si>
  <si>
    <t>D71060855</t>
  </si>
  <si>
    <t>16-Mar-25</t>
  </si>
  <si>
    <t>MC1M4AHA7SP002245</t>
  </si>
  <si>
    <t>D71061030</t>
  </si>
  <si>
    <t>29-Jun-23</t>
  </si>
  <si>
    <t>MC1E4DFA2PP046590</t>
  </si>
  <si>
    <t>D71033796</t>
  </si>
  <si>
    <t>MC1D4DFA0RP104744</t>
  </si>
  <si>
    <t>D72015770</t>
  </si>
  <si>
    <t>MC1D4DJA8SP105766</t>
  </si>
  <si>
    <t>D72017241</t>
  </si>
  <si>
    <t>MC1M4AFA4RP001924</t>
  </si>
  <si>
    <t>D71057611</t>
  </si>
  <si>
    <t>31-Jul-24</t>
  </si>
  <si>
    <t>MC1M4AGA7SP002019</t>
  </si>
  <si>
    <t>D71058503</t>
  </si>
  <si>
    <t>20-Jun-24</t>
  </si>
  <si>
    <t>03-Mar-25</t>
  </si>
  <si>
    <t>MC1E4EDA2RP012872</t>
  </si>
  <si>
    <t>D71053886</t>
  </si>
  <si>
    <t>20-Dec-23</t>
  </si>
  <si>
    <t>MC1E4DLA0RP049236</t>
  </si>
  <si>
    <t>D71042572</t>
  </si>
  <si>
    <t>04-Jan-23</t>
  </si>
  <si>
    <t>MC1E4BHA7PP008029</t>
  </si>
  <si>
    <t>D72008131</t>
  </si>
  <si>
    <t>T1CD</t>
  </si>
  <si>
    <t>12-Mar-25</t>
  </si>
  <si>
    <t>MC1M4AEA4RP001648</t>
  </si>
  <si>
    <t>D71055397</t>
  </si>
  <si>
    <t>19-Nov-24</t>
  </si>
  <si>
    <t>MC1E4FHA0SP021429</t>
  </si>
  <si>
    <t>D71061119</t>
  </si>
  <si>
    <t>MC1E4EGA4SP013474</t>
  </si>
  <si>
    <t>D71058225</t>
  </si>
  <si>
    <t>18-Dec-24</t>
  </si>
  <si>
    <t>09-Mar-25</t>
  </si>
  <si>
    <t>MC1D4DKA3SP106175</t>
  </si>
  <si>
    <t>D72017652</t>
  </si>
  <si>
    <t>07-Jul-24</t>
  </si>
  <si>
    <t>MC1E4EFA4RP013146</t>
  </si>
  <si>
    <t>D71056292</t>
  </si>
  <si>
    <t>17-Jan-25</t>
  </si>
  <si>
    <t>MC1E4FAAXSP022095</t>
  </si>
  <si>
    <t>D71067661</t>
  </si>
  <si>
    <t>MC1E5CGA0RP000135</t>
  </si>
  <si>
    <t>D73000533</t>
  </si>
  <si>
    <t>MC1E4EAA5PP009109</t>
  </si>
  <si>
    <t>D71025589</t>
  </si>
  <si>
    <t>MC1E4EJA6SP014182</t>
  </si>
  <si>
    <t>D71062929</t>
  </si>
  <si>
    <t>09-Jul-24</t>
  </si>
  <si>
    <t>MC1D4DFA2RP104728</t>
  </si>
  <si>
    <t>D72015787</t>
  </si>
  <si>
    <t>24-Jun-23</t>
  </si>
  <si>
    <t>MC1E4DFA3PP046534</t>
  </si>
  <si>
    <t>D71033624</t>
  </si>
  <si>
    <t>23-Feb-24</t>
  </si>
  <si>
    <t>MC1E5CHA6RP000137</t>
  </si>
  <si>
    <t>D73000599</t>
  </si>
  <si>
    <t>MC1M4AKA8SP002571</t>
  </si>
  <si>
    <t>D71063952</t>
  </si>
  <si>
    <t>MC1M4ALA7SP002799</t>
  </si>
  <si>
    <t>D71065600</t>
  </si>
  <si>
    <t>09-Jan-24</t>
  </si>
  <si>
    <t>MC1E4FMA9RP018724</t>
  </si>
  <si>
    <t>D71043407</t>
  </si>
  <si>
    <t>13-Mar-24</t>
  </si>
  <si>
    <t>MC1E4EMA8RP011306</t>
  </si>
  <si>
    <t>D71043916</t>
  </si>
  <si>
    <t>20-Mar-24</t>
  </si>
  <si>
    <t>MC1E4DBAXRP050766</t>
  </si>
  <si>
    <t>D71046963</t>
  </si>
  <si>
    <t>16-Sep-24</t>
  </si>
  <si>
    <t>MC1L4BFA5RP000685</t>
  </si>
  <si>
    <t>D71056081</t>
  </si>
  <si>
    <t>T3MONBS6</t>
  </si>
  <si>
    <t>10-May-23</t>
  </si>
  <si>
    <t>MC1E4EDA1PP009510</t>
  </si>
  <si>
    <t>D71030097</t>
  </si>
  <si>
    <t>20-Sep-23</t>
  </si>
  <si>
    <t>MC1D4DJA2RP101366</t>
  </si>
  <si>
    <t>D72011985</t>
  </si>
  <si>
    <t>24-Oct-24</t>
  </si>
  <si>
    <t>MC1E1CHA1SP007904</t>
  </si>
  <si>
    <t>D71060547</t>
  </si>
  <si>
    <t>29-May-23</t>
  </si>
  <si>
    <t>MC1E4DDA4PP045265</t>
  </si>
  <si>
    <t>D71029344</t>
  </si>
  <si>
    <t>MC1M4ALA6SP002809</t>
  </si>
  <si>
    <t>D71065837</t>
  </si>
  <si>
    <t>MC1M4ACA2RP001151</t>
  </si>
  <si>
    <t>D71048960</t>
  </si>
  <si>
    <t>28-Oct-24</t>
  </si>
  <si>
    <t>MC1M4AKA7SP002562</t>
  </si>
  <si>
    <t>D71063886</t>
  </si>
  <si>
    <t>05-Sep-23</t>
  </si>
  <si>
    <t>MC1E4EHA0RP010404</t>
  </si>
  <si>
    <t>D71038033</t>
  </si>
  <si>
    <t>27-May-24</t>
  </si>
  <si>
    <t>MC1E4EBA6RP011971</t>
  </si>
  <si>
    <t>D71048731</t>
  </si>
  <si>
    <t>MC1E4FGA7SP020943</t>
  </si>
  <si>
    <t>D71058284</t>
  </si>
  <si>
    <t>08-Jul-23</t>
  </si>
  <si>
    <t>MC1E4DCA0PP045006</t>
  </si>
  <si>
    <t>D71028390</t>
  </si>
  <si>
    <t>31-Jan-25</t>
  </si>
  <si>
    <t>MC1M4AAA2SP003295</t>
  </si>
  <si>
    <t>D71070121</t>
  </si>
  <si>
    <t>19-Mar-24</t>
  </si>
  <si>
    <t>MC1M4BBA2RP000489</t>
  </si>
  <si>
    <t>D71049526</t>
  </si>
  <si>
    <t>MC1E4FHA2SP021349</t>
  </si>
  <si>
    <t>D71060882</t>
  </si>
  <si>
    <t>27-Apr-24</t>
  </si>
  <si>
    <t>MC1E4FDAXRP020093</t>
  </si>
  <si>
    <t>D71052513</t>
  </si>
  <si>
    <t>MC1E4EJA7SP014014</t>
  </si>
  <si>
    <t>D71062081</t>
  </si>
  <si>
    <t>25-Sep-23</t>
  </si>
  <si>
    <t>MC1E4DHA5RP047801</t>
  </si>
  <si>
    <t>D71037750</t>
  </si>
  <si>
    <t>MC1E4CMA3SP082679</t>
  </si>
  <si>
    <t>D71068123</t>
  </si>
  <si>
    <t>MC1E5DGA5SP000563</t>
  </si>
  <si>
    <t>D73001407</t>
  </si>
  <si>
    <t>15-Sep-23</t>
  </si>
  <si>
    <t>MC1E4EJA3RP010441</t>
  </si>
  <si>
    <t>D71038477</t>
  </si>
  <si>
    <t>MC1M4AKAXSP002667</t>
  </si>
  <si>
    <t>D71064615</t>
  </si>
  <si>
    <t>15-Nov-23</t>
  </si>
  <si>
    <t>MC1D4DKA6RP101787</t>
  </si>
  <si>
    <t>D72012455</t>
  </si>
  <si>
    <t>MC1D4DKA5PP098913</t>
  </si>
  <si>
    <t>D72008986</t>
  </si>
  <si>
    <t>MC1E4EFA0RP013385</t>
  </si>
  <si>
    <t>D71057618</t>
  </si>
  <si>
    <t>27-Feb-24</t>
  </si>
  <si>
    <t>MC1M4ABA6RP001056</t>
  </si>
  <si>
    <t>D71048004</t>
  </si>
  <si>
    <t>15-Jun-24</t>
  </si>
  <si>
    <t>MC1E4DEA8RP052866</t>
  </si>
  <si>
    <t>D71055403</t>
  </si>
  <si>
    <t>02-Sep-23</t>
  </si>
  <si>
    <t>MC1D4DHA0RP101176</t>
  </si>
  <si>
    <t>D72011794</t>
  </si>
  <si>
    <t>MC1E5CDA2RP000139</t>
  </si>
  <si>
    <t>D73001099</t>
  </si>
  <si>
    <t>21-Mar-24</t>
  </si>
  <si>
    <t>MC1E4ECA5RP012138</t>
  </si>
  <si>
    <t>D71050140</t>
  </si>
  <si>
    <t>MC1E4EAA2RP011600</t>
  </si>
  <si>
    <t>D71045926</t>
  </si>
  <si>
    <t>MC1M4AKA9SP002577</t>
  </si>
  <si>
    <t>D71064017</t>
  </si>
  <si>
    <t>03-Feb-24</t>
  </si>
  <si>
    <t>MC1D4DLA1RP102182</t>
  </si>
  <si>
    <t>D72012825</t>
  </si>
  <si>
    <t>03-Apr-23</t>
  </si>
  <si>
    <t>27-Jan-25</t>
  </si>
  <si>
    <t>MC1E4EBA0PP009257</t>
  </si>
  <si>
    <t>D71026894</t>
  </si>
  <si>
    <t>23-Dec-24</t>
  </si>
  <si>
    <t>MC1E4FKA5SP021760</t>
  </si>
  <si>
    <t>D71065153</t>
  </si>
  <si>
    <t>18-Oct-23</t>
  </si>
  <si>
    <t>23-Mar-25</t>
  </si>
  <si>
    <t>MC1E4FJA4RP018196</t>
  </si>
  <si>
    <t>D71039396</t>
  </si>
  <si>
    <t>MC1E4EKA6SP014620</t>
  </si>
  <si>
    <t>D71065098</t>
  </si>
  <si>
    <t>MC1E5DEA1RP000492</t>
  </si>
  <si>
    <t>D73001153</t>
  </si>
  <si>
    <t>MC1M4AJA1SP002395</t>
  </si>
  <si>
    <t>D71062536</t>
  </si>
  <si>
    <t>MC1L4ACAXRP001359</t>
  </si>
  <si>
    <t>D71049945</t>
  </si>
  <si>
    <t>12-Jan-24</t>
  </si>
  <si>
    <t>MC1E4FJA5RP018336</t>
  </si>
  <si>
    <t>D71040157</t>
  </si>
  <si>
    <t>24-Mar-23</t>
  </si>
  <si>
    <t>MC1E4ECA9PP009305</t>
  </si>
  <si>
    <t>D71027313</t>
  </si>
  <si>
    <t>09-Sep-24</t>
  </si>
  <si>
    <t>MC1E4FGA0SP021030</t>
  </si>
  <si>
    <t>D71059001</t>
  </si>
  <si>
    <t>MC1D4DJA6SP105491</t>
  </si>
  <si>
    <t>D72016912</t>
  </si>
  <si>
    <t>28-Jan-25</t>
  </si>
  <si>
    <t>MC1E4ELA2SP014662</t>
  </si>
  <si>
    <t>D71065325</t>
  </si>
  <si>
    <t>16-May-23</t>
  </si>
  <si>
    <t>MC1E4DCA3PP044996</t>
  </si>
  <si>
    <t>D71028164</t>
  </si>
  <si>
    <t>18-Jan-24</t>
  </si>
  <si>
    <t>MC1E4DJAXRP048419</t>
  </si>
  <si>
    <t>D71040132</t>
  </si>
  <si>
    <t>28-Nov-24</t>
  </si>
  <si>
    <t>MC1M4AKA5SP002673</t>
  </si>
  <si>
    <t>D71064545</t>
  </si>
  <si>
    <t>MC1E4DHA9SP054031</t>
  </si>
  <si>
    <t>D71059709</t>
  </si>
  <si>
    <t>MC1E4FDA3RP020047</t>
  </si>
  <si>
    <t>D71052347</t>
  </si>
  <si>
    <t>28-Oct-23</t>
  </si>
  <si>
    <t>MC1E4DJA6RP048367</t>
  </si>
  <si>
    <t>D71040080</t>
  </si>
  <si>
    <t>MC1D4DHA3SP105471</t>
  </si>
  <si>
    <t>D72016897</t>
  </si>
  <si>
    <t>MC1M4AMA1SP003008</t>
  </si>
  <si>
    <t>D71066986</t>
  </si>
  <si>
    <t>MC1E4DHA5SP054043</t>
  </si>
  <si>
    <t>D71059617</t>
  </si>
  <si>
    <t>MC1D4DEA2RP104598</t>
  </si>
  <si>
    <t>D72015580</t>
  </si>
  <si>
    <t>26-Apr-24</t>
  </si>
  <si>
    <t>MC1E4DBA8RP050751</t>
  </si>
  <si>
    <t>D71046972</t>
  </si>
  <si>
    <t>05-Feb-23</t>
  </si>
  <si>
    <t>MC1E4EAA2PP009049</t>
  </si>
  <si>
    <t>D71025100</t>
  </si>
  <si>
    <t>11-Jul-24</t>
  </si>
  <si>
    <t>MC1E4EFA3RP013090</t>
  </si>
  <si>
    <t>D71055784</t>
  </si>
  <si>
    <t>02-Mar-23</t>
  </si>
  <si>
    <t>MC1E4EMAXPP008906</t>
  </si>
  <si>
    <t>D71024090</t>
  </si>
  <si>
    <t>16-Apr-24</t>
  </si>
  <si>
    <t>MC1E4EDAXRP012537</t>
  </si>
  <si>
    <t>D71052049</t>
  </si>
  <si>
    <t>02-Aug-24</t>
  </si>
  <si>
    <t>MC1E4EDA9RP012853</t>
  </si>
  <si>
    <t>D71053859</t>
  </si>
  <si>
    <t>MC1E4CKA9SP081412</t>
  </si>
  <si>
    <t>D71063849</t>
  </si>
  <si>
    <t>MC1D1DJA5RP001495</t>
  </si>
  <si>
    <t>D72012052</t>
  </si>
  <si>
    <t>MC1E4FAAXSP022100</t>
  </si>
  <si>
    <t>D71067934</t>
  </si>
  <si>
    <t>24-Jan-25</t>
  </si>
  <si>
    <t>MC1M4AAA3SP003242</t>
  </si>
  <si>
    <t>D71069327</t>
  </si>
  <si>
    <t>MC1E4DFA7RP053277</t>
  </si>
  <si>
    <t>D71056758</t>
  </si>
  <si>
    <t>28-Feb-24</t>
  </si>
  <si>
    <t>MC1E4FAA5RP019177</t>
  </si>
  <si>
    <t>D71046539</t>
  </si>
  <si>
    <t>MC1E4DFA9RP053121</t>
  </si>
  <si>
    <t>D71056204</t>
  </si>
  <si>
    <t>MC1E4DHA3SP054042</t>
  </si>
  <si>
    <t>D71059618</t>
  </si>
  <si>
    <t>24-Feb-24</t>
  </si>
  <si>
    <t>MC1M4ABA2RP001023</t>
  </si>
  <si>
    <t>D71047495</t>
  </si>
  <si>
    <t>MC1E4FGA5SP020990</t>
  </si>
  <si>
    <t>D71058768</t>
  </si>
  <si>
    <t>MC1E4DHA7SP054030</t>
  </si>
  <si>
    <t>D71059706</t>
  </si>
  <si>
    <t>MC1E4EFA3RP013218</t>
  </si>
  <si>
    <t>D71056616</t>
  </si>
  <si>
    <t>24-Apr-24</t>
  </si>
  <si>
    <t>MC1D4DBA6RP103555</t>
  </si>
  <si>
    <t>D72014275</t>
  </si>
  <si>
    <t>MC1E4DAA4PP044055</t>
  </si>
  <si>
    <t>D71025091</t>
  </si>
  <si>
    <t>12-Oct-23</t>
  </si>
  <si>
    <t>MC1E4EJA0RP010574</t>
  </si>
  <si>
    <t>D71039432</t>
  </si>
  <si>
    <t>21-Aug-24</t>
  </si>
  <si>
    <t>MC1E4EGA5SP013466</t>
  </si>
  <si>
    <t>D71058218</t>
  </si>
  <si>
    <t>MC1M4AJA0SP002369</t>
  </si>
  <si>
    <t>D71062324</t>
  </si>
  <si>
    <t>MC1E4EFA3RP013378</t>
  </si>
  <si>
    <t>D71057643</t>
  </si>
  <si>
    <t>06-Aug-24</t>
  </si>
  <si>
    <t>MC1E4DGA1SP053621</t>
  </si>
  <si>
    <t>D71058053</t>
  </si>
  <si>
    <t>MC1E4DEA3RP052936</t>
  </si>
  <si>
    <t>D71055439</t>
  </si>
  <si>
    <t>31-May-24</t>
  </si>
  <si>
    <t>MC1E4EBA6RP011940</t>
  </si>
  <si>
    <t>D71048561</t>
  </si>
  <si>
    <t>07-Jan-25</t>
  </si>
  <si>
    <t>MC1E4DKA3SP054924</t>
  </si>
  <si>
    <t>D71064189</t>
  </si>
  <si>
    <t>18-Oct-24</t>
  </si>
  <si>
    <t>MC1M4AJA0SP002436</t>
  </si>
  <si>
    <t>D71062823</t>
  </si>
  <si>
    <t>23-Apr-24</t>
  </si>
  <si>
    <t>MC1M4ADA5RP001370</t>
  </si>
  <si>
    <t>D71052482</t>
  </si>
  <si>
    <t>16-Dec-24</t>
  </si>
  <si>
    <t>MC1E4EJA6SP014151</t>
  </si>
  <si>
    <t>D71062726</t>
  </si>
  <si>
    <t>06-Nov-24</t>
  </si>
  <si>
    <t>MC1D4DJA7SP105824</t>
  </si>
  <si>
    <t>D72017294</t>
  </si>
  <si>
    <t>26-Oct-24</t>
  </si>
  <si>
    <t>MC1E4EJA9SP014242</t>
  </si>
  <si>
    <t>D71063229</t>
  </si>
  <si>
    <t>MC1M4ALA7SP002883</t>
  </si>
  <si>
    <t>D71066311</t>
  </si>
  <si>
    <t>11-Jan-25</t>
  </si>
  <si>
    <t>MC1E4EKA8SP014618</t>
  </si>
  <si>
    <t>D71065160</t>
  </si>
  <si>
    <t>07-Apr-25</t>
  </si>
  <si>
    <t>MC1M4AJA1SP002400</t>
  </si>
  <si>
    <t>D71062532</t>
  </si>
  <si>
    <t>SCI26E000005</t>
  </si>
  <si>
    <t>08-Jun-25</t>
  </si>
  <si>
    <t>02-Jul-25</t>
  </si>
  <si>
    <t>02-Apr-25</t>
  </si>
  <si>
    <t>MC1M4AGA4SP002057</t>
  </si>
  <si>
    <t>D71058793</t>
  </si>
  <si>
    <t>19-Sep-23</t>
  </si>
  <si>
    <t>MC1E4EJA2RP010494</t>
  </si>
  <si>
    <t>D71038349</t>
  </si>
  <si>
    <t>29-Nov-23</t>
  </si>
  <si>
    <t>MC1D4DJA3RP101358</t>
  </si>
  <si>
    <t>D72011950</t>
  </si>
  <si>
    <t>MC1E4FFAXPP017169</t>
  </si>
  <si>
    <t>D71033468</t>
  </si>
  <si>
    <t>22-Feb-24</t>
  </si>
  <si>
    <t>24-Apr-25</t>
  </si>
  <si>
    <t>MC1D4DJA8RP101565</t>
  </si>
  <si>
    <t>D72012161</t>
  </si>
  <si>
    <t>11-Jun-24</t>
  </si>
  <si>
    <t>03-Apr-25</t>
  </si>
  <si>
    <t>MC1E4EDA7RP012835</t>
  </si>
  <si>
    <t>D71053741</t>
  </si>
  <si>
    <t>27-Mar-24</t>
  </si>
  <si>
    <t>25-Apr-25</t>
  </si>
  <si>
    <t>MC1E4ECA3RP012316</t>
  </si>
  <si>
    <t>D71050628</t>
  </si>
  <si>
    <t>MC1M4AKAXSP002586</t>
  </si>
  <si>
    <t>D71064043</t>
  </si>
  <si>
    <t>29-Jan-25</t>
  </si>
  <si>
    <t>MC1E4EMA2SP014787</t>
  </si>
  <si>
    <t>D71067028</t>
  </si>
  <si>
    <t>27-Apr-25</t>
  </si>
  <si>
    <t>21-Dec-24</t>
  </si>
  <si>
    <t>MC1E4DKA5SP054973</t>
  </si>
  <si>
    <t>D71064416</t>
  </si>
  <si>
    <t>16-Apr-25</t>
  </si>
  <si>
    <t>MC1E4DJA1RP048101</t>
  </si>
  <si>
    <t>D71039051</t>
  </si>
  <si>
    <t>MC1D4DAA1SP107052</t>
  </si>
  <si>
    <t>D72018569</t>
  </si>
  <si>
    <t>26-Dec-23</t>
  </si>
  <si>
    <t>20-Apr-25</t>
  </si>
  <si>
    <t>MC1E4EMA6RP011224</t>
  </si>
  <si>
    <t>D71043573</t>
  </si>
  <si>
    <t>04-Apr-25</t>
  </si>
  <si>
    <t>30-Dec-23</t>
  </si>
  <si>
    <t>MC1E4DMA8RP049774</t>
  </si>
  <si>
    <t>D71043394</t>
  </si>
  <si>
    <t>MC1E4DGA4SP053628</t>
  </si>
  <si>
    <t>D71058115</t>
  </si>
  <si>
    <t>MC1E4DBA7RP051132</t>
  </si>
  <si>
    <t>D71047994</t>
  </si>
  <si>
    <t>10-Jun-24</t>
  </si>
  <si>
    <t>MC1E4FDA9RP020327</t>
  </si>
  <si>
    <t>D71054049</t>
  </si>
  <si>
    <t>MC1M4AKAXSP002670</t>
  </si>
  <si>
    <t>D71064697</t>
  </si>
  <si>
    <t>07-Aug-24</t>
  </si>
  <si>
    <t>MC1E4FEA5RP020498</t>
  </si>
  <si>
    <t>D71055405</t>
  </si>
  <si>
    <t>17-Apr-25</t>
  </si>
  <si>
    <t>13-Apr-25</t>
  </si>
  <si>
    <t>MC1E4FBAXRP019416</t>
  </si>
  <si>
    <t>D71047729</t>
  </si>
  <si>
    <t>28-Feb-23</t>
  </si>
  <si>
    <t>MC1E4DAA3PP044046</t>
  </si>
  <si>
    <t>D71024776</t>
  </si>
  <si>
    <t>010, 022</t>
  </si>
  <si>
    <t>LATE SUBMISSION, SERVICE COUPON HARD COPY NOT RECEIVED</t>
  </si>
  <si>
    <t>07-Jun-24</t>
  </si>
  <si>
    <t>MC1E4FDA5RP019952</t>
  </si>
  <si>
    <t>D71048321</t>
  </si>
  <si>
    <t>06-Apr-25</t>
  </si>
  <si>
    <t>MC1E4EJAXSP014167</t>
  </si>
  <si>
    <t>D71062561</t>
  </si>
  <si>
    <t>MC1M4AAA7SP003356</t>
  </si>
  <si>
    <t>D71071189</t>
  </si>
  <si>
    <t>29-Mar-24</t>
  </si>
  <si>
    <t>MC1E4DBA3RP050768</t>
  </si>
  <si>
    <t>D71047053</t>
  </si>
  <si>
    <t>18-Dec-23</t>
  </si>
  <si>
    <t>MC1E4EKA4RP010852</t>
  </si>
  <si>
    <t>D71041152</t>
  </si>
  <si>
    <t>MC1D1DEA3RP001537</t>
  </si>
  <si>
    <t>D72015316</t>
  </si>
  <si>
    <t>11-Apr-25</t>
  </si>
  <si>
    <t>04-Aug-23</t>
  </si>
  <si>
    <t>MC1M4AGAXRP000405</t>
  </si>
  <si>
    <t>D71033054</t>
  </si>
  <si>
    <t>MC1E4BBA6RP009314</t>
  </si>
  <si>
    <t>D71048939</t>
  </si>
  <si>
    <t>23-May-24</t>
  </si>
  <si>
    <t>MC1M4ADA6RP001460</t>
  </si>
  <si>
    <t>D71053484</t>
  </si>
  <si>
    <t>MC1M4AAA0SP003358</t>
  </si>
  <si>
    <t>D71057957</t>
  </si>
  <si>
    <t>MC1E4DGA1SP053702</t>
  </si>
  <si>
    <t>D71058492</t>
  </si>
  <si>
    <t>16-Aug-24</t>
  </si>
  <si>
    <t>01-Apr-25</t>
  </si>
  <si>
    <t>MC1E4DFA5RP053259</t>
  </si>
  <si>
    <t>D71056905</t>
  </si>
  <si>
    <t>26-May-23</t>
  </si>
  <si>
    <t>MC1E4FEA1PP016851</t>
  </si>
  <si>
    <t>D71031035</t>
  </si>
  <si>
    <t>06-Jul-24</t>
  </si>
  <si>
    <t>MC1E4FFA8RP020641</t>
  </si>
  <si>
    <t>D71056088</t>
  </si>
  <si>
    <t>20-Dec-24</t>
  </si>
  <si>
    <t>MC1E4FLA8SP021783</t>
  </si>
  <si>
    <t>D71065448</t>
  </si>
  <si>
    <t>07-Nov-24</t>
  </si>
  <si>
    <t>MC1D4DJA6SP105829</t>
  </si>
  <si>
    <t>D72017292</t>
  </si>
  <si>
    <t>MC1E4DMA7RP049698</t>
  </si>
  <si>
    <t>D71043659</t>
  </si>
  <si>
    <t>MC1E4EAA1PP009091</t>
  </si>
  <si>
    <t>D71025587</t>
  </si>
  <si>
    <t>MC1E4DFA7RP053280</t>
  </si>
  <si>
    <t>D71056816</t>
  </si>
  <si>
    <t>22-Aug-24</t>
  </si>
  <si>
    <t>MC1E4FGA7SP020988</t>
  </si>
  <si>
    <t>D71058698</t>
  </si>
  <si>
    <t>MC1E4FMA5RP018879</t>
  </si>
  <si>
    <t>D71044348</t>
  </si>
  <si>
    <t>MC1E4BGA8RP008870</t>
  </si>
  <si>
    <t>D71035121</t>
  </si>
  <si>
    <t>17-Feb-24</t>
  </si>
  <si>
    <t>MC1D4DMAXRP102440</t>
  </si>
  <si>
    <t>D72013157</t>
  </si>
  <si>
    <t>18-Jul-24</t>
  </si>
  <si>
    <t>MC1E4FEAXRP020528</t>
  </si>
  <si>
    <t>D71055105</t>
  </si>
  <si>
    <t>25-Jul-24</t>
  </si>
  <si>
    <t>08-Apr-25</t>
  </si>
  <si>
    <t>MC1E4EFA1RP013380</t>
  </si>
  <si>
    <t>D71057493</t>
  </si>
  <si>
    <t>22-Oct-24</t>
  </si>
  <si>
    <t>MC1E1CJA6SP007925</t>
  </si>
  <si>
    <t>D71062105</t>
  </si>
  <si>
    <t>17-May-24</t>
  </si>
  <si>
    <t>MC1E4DBA9RP051133</t>
  </si>
  <si>
    <t>D71047944</t>
  </si>
  <si>
    <t>MC1D4DAA0SP107009</t>
  </si>
  <si>
    <t>D72018644</t>
  </si>
  <si>
    <t>10-Jan-25</t>
  </si>
  <si>
    <t>MC1E4EKA5SP014589</t>
  </si>
  <si>
    <t>D71064930</t>
  </si>
  <si>
    <t>MC1E4FAA0SP022574</t>
  </si>
  <si>
    <t>D71071184</t>
  </si>
  <si>
    <t>MC1E4DEAXPP045611</t>
  </si>
  <si>
    <t>D71030639</t>
  </si>
  <si>
    <t>16-Sep-23</t>
  </si>
  <si>
    <t>MC1E4EJA4RP010481</t>
  </si>
  <si>
    <t>D71038700</t>
  </si>
  <si>
    <t>24-Jul-23</t>
  </si>
  <si>
    <t>MC1E4DGA0RP046847</t>
  </si>
  <si>
    <t>D71034917</t>
  </si>
  <si>
    <t>MC1E4BBA4RP009313</t>
  </si>
  <si>
    <t>D71049051</t>
  </si>
  <si>
    <t>MC1E4EAA2SP015023</t>
  </si>
  <si>
    <t>D71069123</t>
  </si>
  <si>
    <t>05-Aug-24</t>
  </si>
  <si>
    <t>MC1E4DGA9SP053625</t>
  </si>
  <si>
    <t>D71058142</t>
  </si>
  <si>
    <t>13-Sep-24</t>
  </si>
  <si>
    <t>MC1E4EHA0SP013776</t>
  </si>
  <si>
    <t>D71060563</t>
  </si>
  <si>
    <t>MC1E4FAA1SP022096</t>
  </si>
  <si>
    <t>D71067736</t>
  </si>
  <si>
    <t>28-Jul-21</t>
  </si>
  <si>
    <t>MC1E4GFA4MP000787</t>
  </si>
  <si>
    <t>D71007813</t>
  </si>
  <si>
    <t>16-Nov-24</t>
  </si>
  <si>
    <t>MC1M4AKA4SP002552</t>
  </si>
  <si>
    <t>D71063800</t>
  </si>
  <si>
    <t>MC1L4ADA9PP000733</t>
  </si>
  <si>
    <t>D71030100</t>
  </si>
  <si>
    <t>MC1D4DMA2SP106617</t>
  </si>
  <si>
    <t>D72018107</t>
  </si>
  <si>
    <t>MC1E4FAA1SP022101</t>
  </si>
  <si>
    <t>D71067536</t>
  </si>
  <si>
    <t>MC1E4FJA1SP021496</t>
  </si>
  <si>
    <t>D71061662</t>
  </si>
  <si>
    <t>MC1E4FEA4RP020394</t>
  </si>
  <si>
    <t>D71054669</t>
  </si>
  <si>
    <t>MC1E4DEA0RP053042</t>
  </si>
  <si>
    <t>D71055729</t>
  </si>
  <si>
    <t>MC1M4ABA8SP003400</t>
  </si>
  <si>
    <t>D71072085</t>
  </si>
  <si>
    <t>MC1E4DGA9SP053995</t>
  </si>
  <si>
    <t>D71059499</t>
  </si>
  <si>
    <t>MC1E4DMA7RP049748</t>
  </si>
  <si>
    <t>D71043571</t>
  </si>
  <si>
    <t>MC1E4FCA7RP019775</t>
  </si>
  <si>
    <t>D71050753</t>
  </si>
  <si>
    <t>MC1D4DJA1SP105494</t>
  </si>
  <si>
    <t>D72016942</t>
  </si>
  <si>
    <t>30-May-25</t>
  </si>
  <si>
    <t>MC1E4FHA3SP021148</t>
  </si>
  <si>
    <t>D71059666</t>
  </si>
  <si>
    <t>SCI26E000006</t>
  </si>
  <si>
    <t>27-Jun-25</t>
  </si>
  <si>
    <t>18-Jul-25</t>
  </si>
  <si>
    <t>04-May-25</t>
  </si>
  <si>
    <t>MC1E4CAAXSP083820</t>
  </si>
  <si>
    <t>D71069906</t>
  </si>
  <si>
    <t>01-May-25</t>
  </si>
  <si>
    <t>20-May-25</t>
  </si>
  <si>
    <t>MC1E4CBA3SP085746</t>
  </si>
  <si>
    <t>D71073028</t>
  </si>
  <si>
    <t>MC1E4CBA5SP086204</t>
  </si>
  <si>
    <t>D71073761</t>
  </si>
  <si>
    <t>22-Jul-24</t>
  </si>
  <si>
    <t>25-May-25</t>
  </si>
  <si>
    <t>MC1E4CFA3RP079790</t>
  </si>
  <si>
    <t>D71056355</t>
  </si>
  <si>
    <t>16-Jul-24</t>
  </si>
  <si>
    <t>05-May-25</t>
  </si>
  <si>
    <t>MC1L4ADA6RP001499</t>
  </si>
  <si>
    <t>D71053395</t>
  </si>
  <si>
    <t>MC1E4CBAXSP085811</t>
  </si>
  <si>
    <t>D71073110</t>
  </si>
  <si>
    <t>MC1E4EBA1SP015190</t>
  </si>
  <si>
    <t>D71071493</t>
  </si>
  <si>
    <t>MC1E4CBA1SP085941</t>
  </si>
  <si>
    <t>D71073364</t>
  </si>
  <si>
    <t>23-May-25</t>
  </si>
  <si>
    <t>MC1L4AKA5RP001190</t>
  </si>
  <si>
    <t>D71041494</t>
  </si>
  <si>
    <t>11-May-25</t>
  </si>
  <si>
    <t>MC1E4CAA5SP084664</t>
  </si>
  <si>
    <t>D71069764</t>
  </si>
  <si>
    <t>MC1E4CAA6SP083829</t>
  </si>
  <si>
    <t>D71069913</t>
  </si>
  <si>
    <t>02-May-25</t>
  </si>
  <si>
    <t>MC1E4CAA0SP083454</t>
  </si>
  <si>
    <t>D71069389</t>
  </si>
  <si>
    <t>MC1E4CAA9SP083520</t>
  </si>
  <si>
    <t>D71069251</t>
  </si>
  <si>
    <t>MC1E4CAA5SP083398</t>
  </si>
  <si>
    <t>D71069236</t>
  </si>
  <si>
    <t>21-May-25</t>
  </si>
  <si>
    <t>MC1E4CAA4SP084509</t>
  </si>
  <si>
    <t>D71071059</t>
  </si>
  <si>
    <t>MC1E4DEA9RP052715</t>
  </si>
  <si>
    <t>D71054523</t>
  </si>
  <si>
    <t>MC1E4DFAXRP053256</t>
  </si>
  <si>
    <t>D71056704</t>
  </si>
  <si>
    <t>MC1E4CBA9SP086044</t>
  </si>
  <si>
    <t>D71073592</t>
  </si>
  <si>
    <t>MC1E4CAA8SP084271</t>
  </si>
  <si>
    <t>D71070670</t>
  </si>
  <si>
    <t>MC1E4CAA2SP083990</t>
  </si>
  <si>
    <t>D71070093</t>
  </si>
  <si>
    <t>29-May-25</t>
  </si>
  <si>
    <t>MC1E4CAA1SP084418</t>
  </si>
  <si>
    <t>D71070826</t>
  </si>
  <si>
    <t>MC1E4DFA9PP046568</t>
  </si>
  <si>
    <t>D71033839</t>
  </si>
  <si>
    <t>MC1E4CAA9SP084442</t>
  </si>
  <si>
    <t>D71069729</t>
  </si>
  <si>
    <t>22-Jan-25</t>
  </si>
  <si>
    <t>MC1E4EFA8RP013277</t>
  </si>
  <si>
    <t>D71056908</t>
  </si>
  <si>
    <t>MC1E4CAA9SP083498</t>
  </si>
  <si>
    <t>D71069177</t>
  </si>
  <si>
    <t>MC1E4CAA8SP083444</t>
  </si>
  <si>
    <t>D71069262</t>
  </si>
  <si>
    <t>MC1E4EAA7RP011477</t>
  </si>
  <si>
    <t>D71044954</t>
  </si>
  <si>
    <t>MC1E4CAA9SP083386</t>
  </si>
  <si>
    <t>D71069257</t>
  </si>
  <si>
    <t>MC1E4DEA1RP052689</t>
  </si>
  <si>
    <t>D71054537</t>
  </si>
  <si>
    <t>18-May-25</t>
  </si>
  <si>
    <t>MC1E4CBA3SP085102</t>
  </si>
  <si>
    <t>D71071758</t>
  </si>
  <si>
    <t>MC1M4AJA3SP002298</t>
  </si>
  <si>
    <t>D71061487</t>
  </si>
  <si>
    <t>MC1E4CAA8SP083573</t>
  </si>
  <si>
    <t>D71069529</t>
  </si>
  <si>
    <t>10-Aug-23</t>
  </si>
  <si>
    <t>MC1E5DGAXRP000388</t>
  </si>
  <si>
    <t>D73000522</t>
  </si>
  <si>
    <t>MC1E4CAA9SP084666</t>
  </si>
  <si>
    <t>D71069810</t>
  </si>
  <si>
    <t>22-May-25</t>
  </si>
  <si>
    <t>MC1E4CGA3SP080135</t>
  </si>
  <si>
    <t>D71058379</t>
  </si>
  <si>
    <t>MC1M4ALA3SP002959</t>
  </si>
  <si>
    <t>D71066712</t>
  </si>
  <si>
    <t>MC1E4CBA4SP085335</t>
  </si>
  <si>
    <t>D71072191</t>
  </si>
  <si>
    <t>MC1E4CBA3SP085259</t>
  </si>
  <si>
    <t>D71072102</t>
  </si>
  <si>
    <t>MC1E4CBA4SP085870</t>
  </si>
  <si>
    <t>D71073183</t>
  </si>
  <si>
    <t>MC1E4CAA0SP084510</t>
  </si>
  <si>
    <t>D71070855</t>
  </si>
  <si>
    <t>MC1E4CAA6SP084351</t>
  </si>
  <si>
    <t>D71070672</t>
  </si>
  <si>
    <t>002, 022</t>
  </si>
  <si>
    <t>SERV DATE EXCEEDS, SERVICE COUPON HARD COPY NOT RECEIVED</t>
  </si>
  <si>
    <t>MC1E4CBA8SP085354</t>
  </si>
  <si>
    <t>D71072199</t>
  </si>
  <si>
    <t>08-Feb-25</t>
  </si>
  <si>
    <t>MC1D4DJAXSP105865</t>
  </si>
  <si>
    <t>D72017337</t>
  </si>
  <si>
    <t>MC1E4CBA6SP085739</t>
  </si>
  <si>
    <t>D71073050</t>
  </si>
  <si>
    <t>MC1E4CAA2SP084511</t>
  </si>
  <si>
    <t>D71070996</t>
  </si>
  <si>
    <t>MC1E4CAA1SP084645</t>
  </si>
  <si>
    <t>D71069511</t>
  </si>
  <si>
    <t>MC1E4EBA9RP011981</t>
  </si>
  <si>
    <t>D71048753</t>
  </si>
  <si>
    <t>001, 022</t>
  </si>
  <si>
    <t>SERV KMS  / HRS EXCEEDS, SERVICE COUPON HARD COPY NOT RECEIVED</t>
  </si>
  <si>
    <t>13-Jan-25</t>
  </si>
  <si>
    <t>MC1E4CAA6SP083443</t>
  </si>
  <si>
    <t>D71069271</t>
  </si>
  <si>
    <t>MC1E4CBA0SP085879</t>
  </si>
  <si>
    <t>D71073109</t>
  </si>
  <si>
    <t>MC1E4CBA4SP086078</t>
  </si>
  <si>
    <t>D71073649</t>
  </si>
  <si>
    <t>16-May-24</t>
  </si>
  <si>
    <t>MC1E4DDA5RP052082</t>
  </si>
  <si>
    <t>D71052040</t>
  </si>
  <si>
    <t>MC1E4CBA4SP085254</t>
  </si>
  <si>
    <t>D71072177</t>
  </si>
  <si>
    <t>MC1L4AFA5PP000855</t>
  </si>
  <si>
    <t>D71033462</t>
  </si>
  <si>
    <t>MC1E4CBA6SP085434</t>
  </si>
  <si>
    <t>D71072423</t>
  </si>
  <si>
    <t>MC1E4FEA5PP016853</t>
  </si>
  <si>
    <t>D71030922</t>
  </si>
  <si>
    <t>MC1E4CAA5SP084180</t>
  </si>
  <si>
    <t>D71070495</t>
  </si>
  <si>
    <t>MC1E4CAA0SP084197</t>
  </si>
  <si>
    <t>D71070488</t>
  </si>
  <si>
    <t>MC1E4CBA0SP085624</t>
  </si>
  <si>
    <t>D71072799</t>
  </si>
  <si>
    <t>MC1E4CAA6SP084401</t>
  </si>
  <si>
    <t>D71070795</t>
  </si>
  <si>
    <t>MC1E5ECA0SP003317</t>
  </si>
  <si>
    <t>D73001777</t>
  </si>
  <si>
    <t>MC1E4CAA1SP083396</t>
  </si>
  <si>
    <t>D71069263</t>
  </si>
  <si>
    <t>MC1E4CAA8SP084111</t>
  </si>
  <si>
    <t>D71070286</t>
  </si>
  <si>
    <t>MC1E4CAA9SP083839</t>
  </si>
  <si>
    <t>D71069966</t>
  </si>
  <si>
    <t>MC1E4CAA5SP084454</t>
  </si>
  <si>
    <t>D71069491</t>
  </si>
  <si>
    <t>28-Aug-24</t>
  </si>
  <si>
    <t>MC1D1DGA1SP001555</t>
  </si>
  <si>
    <t>D72016189</t>
  </si>
  <si>
    <t>MC1E4CAA2SP083844</t>
  </si>
  <si>
    <t>D71069961</t>
  </si>
  <si>
    <t>MC1E4CAA6SP084124</t>
  </si>
  <si>
    <t>D71070391</t>
  </si>
  <si>
    <t>MC1E4CAA4SP083747</t>
  </si>
  <si>
    <t>D71069845</t>
  </si>
  <si>
    <t>MC1E4CAA0SP084507</t>
  </si>
  <si>
    <t>D71071034</t>
  </si>
  <si>
    <t>13-Jun-23</t>
  </si>
  <si>
    <t>MC1E5DEA2PP000370</t>
  </si>
  <si>
    <t>D73000441</t>
  </si>
  <si>
    <t>MC1E4CAAXSP083574</t>
  </si>
  <si>
    <t>D71069315</t>
  </si>
  <si>
    <t>MC1E4CAA2SP084671</t>
  </si>
  <si>
    <t>D71069731</t>
  </si>
  <si>
    <t>MC1E4CBA2SP085270</t>
  </si>
  <si>
    <t>D71072201</t>
  </si>
  <si>
    <t>MC1E4DGA2SP053627</t>
  </si>
  <si>
    <t>D71058150</t>
  </si>
  <si>
    <t>MC1E4DBA3PP044384</t>
  </si>
  <si>
    <t>D71025909</t>
  </si>
  <si>
    <t>MC1E4CAA3SP083545</t>
  </si>
  <si>
    <t>D71069443</t>
  </si>
  <si>
    <t>MC1E4CBA2SP085740</t>
  </si>
  <si>
    <t>D71073077</t>
  </si>
  <si>
    <t>MC1E4CAA4SP084266</t>
  </si>
  <si>
    <t>D71070512</t>
  </si>
  <si>
    <t>MC1E4EEA9RP013001</t>
  </si>
  <si>
    <t>D71054846</t>
  </si>
  <si>
    <t>MC1E4CBA2SP086015</t>
  </si>
  <si>
    <t>D71073516</t>
  </si>
  <si>
    <t>MC1E4CFA7RP079789</t>
  </si>
  <si>
    <t>D71056356</t>
  </si>
  <si>
    <t>MC1E4CAA1SP083561</t>
  </si>
  <si>
    <t>D71069587</t>
  </si>
  <si>
    <t>08-Mar-24</t>
  </si>
  <si>
    <t>MC1E4EAA5RP011624</t>
  </si>
  <si>
    <t>D71045990</t>
  </si>
  <si>
    <t>07-Apr-16</t>
  </si>
  <si>
    <t>MC1E4DBA0GP022777</t>
  </si>
  <si>
    <t>D63026147</t>
  </si>
  <si>
    <t>MC1E4CAA4SP084283</t>
  </si>
  <si>
    <t>D71070751</t>
  </si>
  <si>
    <t>MC1E4CEA1RP079644</t>
  </si>
  <si>
    <t>D71054693</t>
  </si>
  <si>
    <t>MC1E4CAA6SP083877</t>
  </si>
  <si>
    <t>D71070045</t>
  </si>
  <si>
    <t>MC1E4CAA5SP083515</t>
  </si>
  <si>
    <t>D71069440</t>
  </si>
  <si>
    <t>MC1E4CAA6SP083538</t>
  </si>
  <si>
    <t>D71069179</t>
  </si>
  <si>
    <t>MC1D4DCA0SP107816</t>
  </si>
  <si>
    <t>D72019419</t>
  </si>
  <si>
    <t>MC1E4CBA7SP085362</t>
  </si>
  <si>
    <t>D71072194</t>
  </si>
  <si>
    <t>MC1E4CBA4SP084993</t>
  </si>
  <si>
    <t>D71071659</t>
  </si>
  <si>
    <t>MC1E4CAA3SP083612</t>
  </si>
  <si>
    <t>D71069490</t>
  </si>
  <si>
    <t>MC1M4AHA7SP002231</t>
  </si>
  <si>
    <t>D71060846</t>
  </si>
  <si>
    <t>MC1E4CMA6SP082675</t>
  </si>
  <si>
    <t>D71068079</t>
  </si>
  <si>
    <t>20-Jul-23</t>
  </si>
  <si>
    <t>MC1E4DCA1PP044964</t>
  </si>
  <si>
    <t>D71028227</t>
  </si>
  <si>
    <t>MC1E5EKAXSP003214</t>
  </si>
  <si>
    <t>D73001597</t>
  </si>
  <si>
    <t>MC1E4FJA7RP018337</t>
  </si>
  <si>
    <t>D71040158</t>
  </si>
  <si>
    <t>MC1E4CAAXSP083977</t>
  </si>
  <si>
    <t>D71070100</t>
  </si>
  <si>
    <t>MC1E4CAA8SP084268</t>
  </si>
  <si>
    <t>D71070648</t>
  </si>
  <si>
    <t>MC1E4CAA1SP084712</t>
  </si>
  <si>
    <t>D71069517</t>
  </si>
  <si>
    <t>MC1E4CBA7SP086057</t>
  </si>
  <si>
    <t>D71073648</t>
  </si>
  <si>
    <t>MC1E4CAA8SP083766</t>
  </si>
  <si>
    <t>D71069763</t>
  </si>
  <si>
    <t>07-May-25</t>
  </si>
  <si>
    <t>MC1E4ECA9PP009336</t>
  </si>
  <si>
    <t>D71027559</t>
  </si>
  <si>
    <t>MC1E4CAA0SP084278</t>
  </si>
  <si>
    <t>D71070689</t>
  </si>
  <si>
    <t>MC1E4CBA5SP085344</t>
  </si>
  <si>
    <t>D71072197</t>
  </si>
  <si>
    <t>MC1E4CAA7SP083659</t>
  </si>
  <si>
    <t>D71069664</t>
  </si>
  <si>
    <t>MC1E4CAA1SP083639</t>
  </si>
  <si>
    <t>D71069660</t>
  </si>
  <si>
    <t>11-Aug-23</t>
  </si>
  <si>
    <t>MC1E5DGA4RP000385</t>
  </si>
  <si>
    <t>D73000510</t>
  </si>
  <si>
    <t>MC1M4AKA9SP002546</t>
  </si>
  <si>
    <t>D71063692</t>
  </si>
  <si>
    <t>MC1E4EFA4RP013096</t>
  </si>
  <si>
    <t>D71055365</t>
  </si>
  <si>
    <t>MC1E4CAA0SP084412</t>
  </si>
  <si>
    <t>D71069289</t>
  </si>
  <si>
    <t>MC1E4DAA1SP055524</t>
  </si>
  <si>
    <t>D71067085</t>
  </si>
  <si>
    <t>MC1E4CAAXSP083980</t>
  </si>
  <si>
    <t>D71070150</t>
  </si>
  <si>
    <t>MC1E4EFA3RP013185</t>
  </si>
  <si>
    <t>D71056695</t>
  </si>
  <si>
    <t>MC1E4CAAXSP083543</t>
  </si>
  <si>
    <t>D71069411</t>
  </si>
  <si>
    <t>MC1E4CAA5SP084261</t>
  </si>
  <si>
    <t>D71070197</t>
  </si>
  <si>
    <t>MC1E4CAA2SP083665</t>
  </si>
  <si>
    <t>D71069644</t>
  </si>
  <si>
    <t>MC1E4ECA0PP009323</t>
  </si>
  <si>
    <t>D71027062</t>
  </si>
  <si>
    <t>MC1E4CAA7SP084407</t>
  </si>
  <si>
    <t>D71069823</t>
  </si>
  <si>
    <t>MC1E4EFA6RP013147</t>
  </si>
  <si>
    <t>D71056273</t>
  </si>
  <si>
    <t>MC1E4CEA8RP079639</t>
  </si>
  <si>
    <t>D71055245</t>
  </si>
  <si>
    <t>29-Aug-24</t>
  </si>
  <si>
    <t>12-Jun-25</t>
  </si>
  <si>
    <t>MC1E4DGA7SP053641</t>
  </si>
  <si>
    <t>D71058370</t>
  </si>
  <si>
    <t>21-Aug-25</t>
  </si>
  <si>
    <t>16-Jun-25</t>
  </si>
  <si>
    <t>MC1E5EBA9SP003267</t>
  </si>
  <si>
    <t>D73001779</t>
  </si>
  <si>
    <t>22-Jun-25</t>
  </si>
  <si>
    <t>MC1M4AEAXRP001668</t>
  </si>
  <si>
    <t>D71055604</t>
  </si>
  <si>
    <t>26-Jun-25</t>
  </si>
  <si>
    <t>MC1E5EBA8SP003275</t>
  </si>
  <si>
    <t>D73001696</t>
  </si>
  <si>
    <t>15-Jun-25</t>
  </si>
  <si>
    <t>04-Jun-25</t>
  </si>
  <si>
    <t>MC1E4DGA5SP053699</t>
  </si>
  <si>
    <t>D71058470</t>
  </si>
  <si>
    <t>MC1E4DAAXSP055814</t>
  </si>
  <si>
    <t>D71069018</t>
  </si>
  <si>
    <t>MC1M4ALAXSP002831</t>
  </si>
  <si>
    <t>D71065996</t>
  </si>
  <si>
    <t>MC1E1CHA1SP007899</t>
  </si>
  <si>
    <t>D71060480</t>
  </si>
  <si>
    <t>MC1E4CAA6SP083362</t>
  </si>
  <si>
    <t>D71069118</t>
  </si>
  <si>
    <t>01-Jun-25</t>
  </si>
  <si>
    <t>MC1E4CAA9SP084182</t>
  </si>
  <si>
    <t>D71070493</t>
  </si>
  <si>
    <t>MC1E4CAAXSP084045</t>
  </si>
  <si>
    <t>D71070266</t>
  </si>
  <si>
    <t>MC1E4CBA5SP084999</t>
  </si>
  <si>
    <t>D71071676</t>
  </si>
  <si>
    <t>29-May-24</t>
  </si>
  <si>
    <t>MC1E4BCA9RP009354</t>
  </si>
  <si>
    <t>D71050055</t>
  </si>
  <si>
    <t>MC1E4CAA1SP084550</t>
  </si>
  <si>
    <t>D71069498</t>
  </si>
  <si>
    <t>MC1E4CAA6SP083376</t>
  </si>
  <si>
    <t>D71069109</t>
  </si>
  <si>
    <t>MC1E4CAA7SP084102</t>
  </si>
  <si>
    <t>D71070175</t>
  </si>
  <si>
    <t>14-May-24</t>
  </si>
  <si>
    <t>MC1E4FCA7RP019923</t>
  </si>
  <si>
    <t>D71051420</t>
  </si>
  <si>
    <t>MC1E4CAA5SP084583</t>
  </si>
  <si>
    <t>D71071153</t>
  </si>
  <si>
    <t>31-May-23</t>
  </si>
  <si>
    <t>MC1E4DEA0PP045830</t>
  </si>
  <si>
    <t>D71031521</t>
  </si>
  <si>
    <t>MC1E4CBA1SP085373</t>
  </si>
  <si>
    <t>D71072195</t>
  </si>
  <si>
    <t>20-Jun-25</t>
  </si>
  <si>
    <t>12-Aug-24</t>
  </si>
  <si>
    <t>MC1E4DGA8SP053678</t>
  </si>
  <si>
    <t>D71058371</t>
  </si>
  <si>
    <t>MC1E4CBA4SP085738</t>
  </si>
  <si>
    <t>D71073004</t>
  </si>
  <si>
    <t>MC1M4AAA0RP000924</t>
  </si>
  <si>
    <t>D71044973</t>
  </si>
  <si>
    <t>23-Jul-24</t>
  </si>
  <si>
    <t>MC1E4DGA5SP053623</t>
  </si>
  <si>
    <t>D71058139</t>
  </si>
  <si>
    <t>MC1E4CBA5SP084940</t>
  </si>
  <si>
    <t>D71071458</t>
  </si>
  <si>
    <t>04-Jul-24</t>
  </si>
  <si>
    <t>MC1E4EEA2RP013048</t>
  </si>
  <si>
    <t>D71055352</t>
  </si>
  <si>
    <t>MC1E4CBA0SP085672</t>
  </si>
  <si>
    <t>D71072887</t>
  </si>
  <si>
    <t>27-Aug-24</t>
  </si>
  <si>
    <t>MC1D4DHA5SP105178</t>
  </si>
  <si>
    <t>D72016500</t>
  </si>
  <si>
    <t>30-Oct-23</t>
  </si>
  <si>
    <t>18-Jun-25</t>
  </si>
  <si>
    <t>MC1E5EGA4RP002515</t>
  </si>
  <si>
    <t>D73000540</t>
  </si>
  <si>
    <t>MC1D4DKA9SP106021</t>
  </si>
  <si>
    <t>D72017466</t>
  </si>
  <si>
    <t>MC1E4DEA6RP052851</t>
  </si>
  <si>
    <t>D71055149</t>
  </si>
  <si>
    <t>12-Sep-24</t>
  </si>
  <si>
    <t>MC1D1DGA8SP001553</t>
  </si>
  <si>
    <t>D72016186</t>
  </si>
  <si>
    <t>MC1E4CBA3SP085231</t>
  </si>
  <si>
    <t>D71072091</t>
  </si>
  <si>
    <t>02-Jun-25</t>
  </si>
  <si>
    <t>MC1E4FCA0SP023169</t>
  </si>
  <si>
    <t>D71076683</t>
  </si>
  <si>
    <t>MC1E4CBA7SP085345</t>
  </si>
  <si>
    <t>D71072202</t>
  </si>
  <si>
    <t>28-Aug-23</t>
  </si>
  <si>
    <t>MC1M4ADA0PP000303</t>
  </si>
  <si>
    <t>D71030180</t>
  </si>
  <si>
    <t>MC1M4AHA3SP002243</t>
  </si>
  <si>
    <t>D71060936</t>
  </si>
  <si>
    <t>MC1E4CAA4SP083988</t>
  </si>
  <si>
    <t>D71070108</t>
  </si>
  <si>
    <t>MC1E4CBA9SP085346</t>
  </si>
  <si>
    <t>D71072193</t>
  </si>
  <si>
    <t>MC1E4CAA9SP083985</t>
  </si>
  <si>
    <t>D71070090</t>
  </si>
  <si>
    <t>MC1E5EDA9SP003332</t>
  </si>
  <si>
    <t>D73001797</t>
  </si>
  <si>
    <t>29-Jun-25</t>
  </si>
  <si>
    <t>MC1E5ECA9SP003316</t>
  </si>
  <si>
    <t>D73001784</t>
  </si>
  <si>
    <t>08-May-24</t>
  </si>
  <si>
    <t>MC1E4FCAXRP019656</t>
  </si>
  <si>
    <t>D71049452</t>
  </si>
  <si>
    <t>MC1E5EDA4SP003335</t>
  </si>
  <si>
    <t>D73001808</t>
  </si>
  <si>
    <t>MC1E4CAA9SP083484</t>
  </si>
  <si>
    <t>D71069434</t>
  </si>
  <si>
    <t>MC1E4CAA3SP083786</t>
  </si>
  <si>
    <t>D71069895</t>
  </si>
  <si>
    <t>MC1E5EBA1SP003277</t>
  </si>
  <si>
    <t>D73001698</t>
  </si>
  <si>
    <t>MC1E4CAA5SP084258</t>
  </si>
  <si>
    <t>D71070623</t>
  </si>
  <si>
    <t>MC1E4DBA0RP050758</t>
  </si>
  <si>
    <t>D71047039</t>
  </si>
  <si>
    <t>MC1E4CBA2SP085365</t>
  </si>
  <si>
    <t>D71072196</t>
  </si>
  <si>
    <t>MC1E4CBA6SP085336</t>
  </si>
  <si>
    <t>D71072203</t>
  </si>
  <si>
    <t>MC1E5EDA0SP003347</t>
  </si>
  <si>
    <t>D73001814</t>
  </si>
  <si>
    <t>MC1E4CAA1SP084273</t>
  </si>
  <si>
    <t>D71070598</t>
  </si>
  <si>
    <t>MC1E4CAA1SP084547</t>
  </si>
  <si>
    <t>D71070976</t>
  </si>
  <si>
    <t>MC1E5EBA7SP003266</t>
  </si>
  <si>
    <t>D73001699</t>
  </si>
  <si>
    <t>MC1E4CBA8SP085810</t>
  </si>
  <si>
    <t>D71073147</t>
  </si>
  <si>
    <t>MC1E4CAA6SP084771</t>
  </si>
  <si>
    <t>D71069789</t>
  </si>
  <si>
    <t>MC1E4FBA6RP019316</t>
  </si>
  <si>
    <t>D71048279</t>
  </si>
  <si>
    <t>MC1E4CAA7SP083984</t>
  </si>
  <si>
    <t>D71070180</t>
  </si>
  <si>
    <t>MC1E5EDA3SP003357</t>
  </si>
  <si>
    <t>D73001815</t>
  </si>
  <si>
    <t>MC1E4FBA1RP019563</t>
  </si>
  <si>
    <t>D71047984</t>
  </si>
  <si>
    <t>MC1E4CBA6SP085580</t>
  </si>
  <si>
    <t>D71072678</t>
  </si>
  <si>
    <t>10-May-24</t>
  </si>
  <si>
    <t>MC1E4FCA8RP019655</t>
  </si>
  <si>
    <t>D71049564</t>
  </si>
  <si>
    <t>EDP No.</t>
  </si>
  <si>
    <t>Invoice Number</t>
  </si>
  <si>
    <t>Printed No</t>
  </si>
  <si>
    <t>Mfg Claim Id</t>
  </si>
  <si>
    <t>Claim Id</t>
  </si>
  <si>
    <t>Received Date</t>
  </si>
  <si>
    <t>Accept Date</t>
  </si>
  <si>
    <t>Sale Kms/Hrs</t>
  </si>
  <si>
    <t>Fail Date</t>
  </si>
  <si>
    <t>Fail Kms</t>
  </si>
  <si>
    <t>GST Inv Rej Cd</t>
  </si>
  <si>
    <t>GST_Inv_Rej_Desc</t>
  </si>
  <si>
    <t>Item Serial</t>
  </si>
  <si>
    <t>Item Code</t>
  </si>
  <si>
    <t>Item Description</t>
  </si>
  <si>
    <t>Qty</t>
  </si>
  <si>
    <t>Credit Rs.</t>
  </si>
  <si>
    <t>Remark</t>
  </si>
  <si>
    <t>Rej Code</t>
  </si>
  <si>
    <t>Rejection Description</t>
  </si>
  <si>
    <t>CR Note Details</t>
  </si>
  <si>
    <t>CR Note Date</t>
  </si>
  <si>
    <t>GST Invc Amt(A)</t>
  </si>
  <si>
    <t>Dealer Debit Amt (B)</t>
  </si>
  <si>
    <t>Debit Note No for Rej Claim</t>
  </si>
  <si>
    <t>Debit Note Dt</t>
  </si>
  <si>
    <t>Actual Credit Amt To dealer (A-B)</t>
  </si>
  <si>
    <t>SAP Cr note no</t>
  </si>
  <si>
    <t>SAP Db note no</t>
  </si>
  <si>
    <t>Comment on Claim</t>
  </si>
  <si>
    <t>WCI25C000101</t>
  </si>
  <si>
    <t>27-03-2025</t>
  </si>
  <si>
    <t>W25C00007502</t>
  </si>
  <si>
    <t>WAR25C000105</t>
  </si>
  <si>
    <t>01-04-2025</t>
  </si>
  <si>
    <t>07-04-2025</t>
  </si>
  <si>
    <t>03-07-2024</t>
  </si>
  <si>
    <t>04-03-2025</t>
  </si>
  <si>
    <t>B008545002003</t>
  </si>
  <si>
    <t>RADIATOR ASSLY(RFR B</t>
  </si>
  <si>
    <t>-</t>
  </si>
  <si>
    <t>ENCOL-6</t>
  </si>
  <si>
    <t>Labour Charges</t>
  </si>
  <si>
    <t>WCI25C000100</t>
  </si>
  <si>
    <t>W25C00007501</t>
  </si>
  <si>
    <t>WAR25C000104</t>
  </si>
  <si>
    <t>24-08-2024</t>
  </si>
  <si>
    <t>WCI26C000008</t>
  </si>
  <si>
    <t>30-04-2025</t>
  </si>
  <si>
    <t>W26C00000808</t>
  </si>
  <si>
    <t>08-05-2025</t>
  </si>
  <si>
    <t>29-05-2025</t>
  </si>
  <si>
    <t>21-09-2024</t>
  </si>
  <si>
    <t>B008624200017</t>
  </si>
  <si>
    <t>PARKING BRAKE ASSY.</t>
  </si>
  <si>
    <t>10-07-2025</t>
  </si>
  <si>
    <t>BR1201</t>
  </si>
  <si>
    <t>WCI26C000009</t>
  </si>
  <si>
    <t>W26C00000816</t>
  </si>
  <si>
    <t>13-05-2025</t>
  </si>
  <si>
    <t>29-03-2024</t>
  </si>
  <si>
    <t>T006865420618</t>
  </si>
  <si>
    <t>TEMPERATURE SENSOR(E</t>
  </si>
  <si>
    <t>Adblue light on error code P242A-13,P2BA8-00</t>
  </si>
  <si>
    <t>EX-4</t>
  </si>
  <si>
    <t>WCI26C000001</t>
  </si>
  <si>
    <t>W26C00000782</t>
  </si>
  <si>
    <t>10-09-2024</t>
  </si>
  <si>
    <t>12-04-2025</t>
  </si>
  <si>
    <t>T006868200542</t>
  </si>
  <si>
    <t>WIPER MOTOR ASSY - R</t>
  </si>
  <si>
    <t>Rejected</t>
  </si>
  <si>
    <t>04</t>
  </si>
  <si>
    <t>VEHICLE OUT OF WARRANTY KILOMETER WISE / TIME WISE</t>
  </si>
  <si>
    <t>BD0801</t>
  </si>
  <si>
    <t>WCI26E000004</t>
  </si>
  <si>
    <t>31-05-2025</t>
  </si>
  <si>
    <t>W26C00001505</t>
  </si>
  <si>
    <t>04-06-2025</t>
  </si>
  <si>
    <t>23-07-2025</t>
  </si>
  <si>
    <t>13-07-2024</t>
  </si>
  <si>
    <t>22-04-2025</t>
  </si>
  <si>
    <t>B008092000001</t>
  </si>
  <si>
    <t>WATER PUMP ASSY (TD</t>
  </si>
  <si>
    <t>Cr note under process</t>
  </si>
  <si>
    <t>ENCOL-10</t>
  </si>
  <si>
    <t>WCI26E000005</t>
  </si>
  <si>
    <t>W26C00001509</t>
  </si>
  <si>
    <t>11-06-2025</t>
  </si>
  <si>
    <t>19-12-2024</t>
  </si>
  <si>
    <t>04-05-2025</t>
  </si>
  <si>
    <t>T006865425918</t>
  </si>
  <si>
    <t>REVERSE &amp; NEUTRAL GE</t>
  </si>
  <si>
    <t>GB-25</t>
  </si>
  <si>
    <t>WCI26E000002</t>
  </si>
  <si>
    <t>W26C00001482</t>
  </si>
  <si>
    <t>21-10-2024</t>
  </si>
  <si>
    <t>B008080500511</t>
  </si>
  <si>
    <t>CHAIN TENSIONER ASSE</t>
  </si>
  <si>
    <t>ENHead-5</t>
  </si>
  <si>
    <t>WCI26E000003</t>
  </si>
  <si>
    <t>W26C00001504</t>
  </si>
  <si>
    <t>26-06-2024</t>
  </si>
  <si>
    <t>B008082002215</t>
  </si>
  <si>
    <t>THERMOSTAT  VALVE AS</t>
  </si>
  <si>
    <t>ENCOL-8</t>
  </si>
  <si>
    <t>WCI26E000008</t>
  </si>
  <si>
    <t>28-06-2025</t>
  </si>
  <si>
    <t>W26C00002632</t>
  </si>
  <si>
    <t>01-07-2025</t>
  </si>
  <si>
    <t>30-05-2024</t>
  </si>
  <si>
    <t>WCI26E000064</t>
  </si>
  <si>
    <t>W26C00003115</t>
  </si>
  <si>
    <t>31-07-2025</t>
  </si>
  <si>
    <t>MC1E4FMA2RP018726</t>
  </si>
  <si>
    <t>D71043458</t>
  </si>
  <si>
    <t>09-01-2024</t>
  </si>
  <si>
    <t>20-06-2025</t>
  </si>
  <si>
    <t>EL2026</t>
  </si>
  <si>
    <t>WCI26E000087</t>
  </si>
  <si>
    <t>W26C00003143</t>
  </si>
  <si>
    <t>MC1E4FAA0RP019118</t>
  </si>
  <si>
    <t>D71045606</t>
  </si>
  <si>
    <t>16-02-2024</t>
  </si>
  <si>
    <t>24-06-2025</t>
  </si>
  <si>
    <t>WCI26E000019</t>
  </si>
  <si>
    <t>W26C00002810</t>
  </si>
  <si>
    <t>MC1E4FGA5RP017484</t>
  </si>
  <si>
    <t>D71035405</t>
  </si>
  <si>
    <t>23-10-2023</t>
  </si>
  <si>
    <t>03-06-2025</t>
  </si>
  <si>
    <t>WCI26E000057</t>
  </si>
  <si>
    <t>W26C00003108</t>
  </si>
  <si>
    <t>MC1E4FFAXPP017219</t>
  </si>
  <si>
    <t>D71033981</t>
  </si>
  <si>
    <t>25-11-2023</t>
  </si>
  <si>
    <t>WCI26E000035</t>
  </si>
  <si>
    <t>W26C00003072</t>
  </si>
  <si>
    <t>MC1E4FCA7PP016632</t>
  </si>
  <si>
    <t>D71028758</t>
  </si>
  <si>
    <t>08-05-2023</t>
  </si>
  <si>
    <t>12-06-2025</t>
  </si>
  <si>
    <t>WCI26E000061</t>
  </si>
  <si>
    <t>W26C00003112</t>
  </si>
  <si>
    <t>MC1E4FFA2PP017232</t>
  </si>
  <si>
    <t>D71034038</t>
  </si>
  <si>
    <t>11-12-2023</t>
  </si>
  <si>
    <t>WCI26E000033</t>
  </si>
  <si>
    <t>W26C00003001</t>
  </si>
  <si>
    <t>MC1E4FCA5PP016631</t>
  </si>
  <si>
    <t>D71028757</t>
  </si>
  <si>
    <t>02-05-2023</t>
  </si>
  <si>
    <t>06-06-2025</t>
  </si>
  <si>
    <t>WCI26E000016</t>
  </si>
  <si>
    <t>W26C00002807</t>
  </si>
  <si>
    <t>MC1E4FJA1RP018320</t>
  </si>
  <si>
    <t>D71040192</t>
  </si>
  <si>
    <t>19-10-2023</t>
  </si>
  <si>
    <t>WCI26E000069</t>
  </si>
  <si>
    <t>W26C00003125</t>
  </si>
  <si>
    <t>15-11-2024</t>
  </si>
  <si>
    <t>23-06-2025</t>
  </si>
  <si>
    <t>WCI26E000039</t>
  </si>
  <si>
    <t>W26C00003079</t>
  </si>
  <si>
    <t>MC1E4FCA3PP016630</t>
  </si>
  <si>
    <t>D71028756</t>
  </si>
  <si>
    <t>25-05-2023</t>
  </si>
  <si>
    <t>WCI26E000040</t>
  </si>
  <si>
    <t>W26C00003081</t>
  </si>
  <si>
    <t>26-05-2023</t>
  </si>
  <si>
    <t>WCI26E000046</t>
  </si>
  <si>
    <t>W26C00003093</t>
  </si>
  <si>
    <t>MC1E4FEA5PP016884</t>
  </si>
  <si>
    <t>D71031443</t>
  </si>
  <si>
    <t>17-06-2023</t>
  </si>
  <si>
    <t>WCI26E000017</t>
  </si>
  <si>
    <t>W26C00002808</t>
  </si>
  <si>
    <t>MC1E4FEA4PP016911</t>
  </si>
  <si>
    <t>D71034316</t>
  </si>
  <si>
    <t>20-10-2023</t>
  </si>
  <si>
    <t>WCI26E000070</t>
  </si>
  <si>
    <t>W26C00003126</t>
  </si>
  <si>
    <t>18-11-2024</t>
  </si>
  <si>
    <t>WCI26E000089</t>
  </si>
  <si>
    <t>W26C00003145</t>
  </si>
  <si>
    <t>MC1E4FBA4RP019332</t>
  </si>
  <si>
    <t>D71047197</t>
  </si>
  <si>
    <t>21-02-2024</t>
  </si>
  <si>
    <t>WCI26E000052</t>
  </si>
  <si>
    <t>W26C00003103</t>
  </si>
  <si>
    <t>MC1E4FJA5RP018370</t>
  </si>
  <si>
    <t>D71040372</t>
  </si>
  <si>
    <t>31-10-2023</t>
  </si>
  <si>
    <t>WCI26E000095</t>
  </si>
  <si>
    <t>30-06-2025</t>
  </si>
  <si>
    <t>W26C00003368</t>
  </si>
  <si>
    <t>MC1E4FAA2RP019136</t>
  </si>
  <si>
    <t>D71046280</t>
  </si>
  <si>
    <t>19-03-2024</t>
  </si>
  <si>
    <t>26-06-2025</t>
  </si>
  <si>
    <t>WCI26E000085</t>
  </si>
  <si>
    <t>W26C00003141</t>
  </si>
  <si>
    <t>12-02-2024</t>
  </si>
  <si>
    <t>WCI26E000032</t>
  </si>
  <si>
    <t>W26C00003000</t>
  </si>
  <si>
    <t>MC1E4FCA2PP016652</t>
  </si>
  <si>
    <t>D71028778</t>
  </si>
  <si>
    <t>29-04-2023</t>
  </si>
  <si>
    <t>WCI26E000014</t>
  </si>
  <si>
    <t>W26C00002805</t>
  </si>
  <si>
    <t>18-10-2023</t>
  </si>
  <si>
    <t>WCI26E000097</t>
  </si>
  <si>
    <t>W26C00003370</t>
  </si>
  <si>
    <t>20-03-2024</t>
  </si>
  <si>
    <t>WCI26E000098</t>
  </si>
  <si>
    <t>W26C00003371</t>
  </si>
  <si>
    <t>21-03-2024</t>
  </si>
  <si>
    <t>WCI26E000021</t>
  </si>
  <si>
    <t>W26C00002812</t>
  </si>
  <si>
    <t>MC1E4DHA5RP047796</t>
  </si>
  <si>
    <t>D71037923</t>
  </si>
  <si>
    <t>25-10-2023</t>
  </si>
  <si>
    <t>WCI26E000081</t>
  </si>
  <si>
    <t>W26C00003137</t>
  </si>
  <si>
    <t>25-01-2024</t>
  </si>
  <si>
    <t>WCI26E000041</t>
  </si>
  <si>
    <t>W26C00003084</t>
  </si>
  <si>
    <t>MC1E4DEA3PP045921</t>
  </si>
  <si>
    <t>D71031778</t>
  </si>
  <si>
    <t>30-05-2023</t>
  </si>
  <si>
    <t>WCI26E000024</t>
  </si>
  <si>
    <t>W26C00002815</t>
  </si>
  <si>
    <t>28-10-2023</t>
  </si>
  <si>
    <t>WCI26E000093</t>
  </si>
  <si>
    <t>W26C00003366</t>
  </si>
  <si>
    <t>13-03-2024</t>
  </si>
  <si>
    <t>WCI26E000045</t>
  </si>
  <si>
    <t>W26C00003091</t>
  </si>
  <si>
    <t>MC1E4EEAXPP009746</t>
  </si>
  <si>
    <t>D71032469</t>
  </si>
  <si>
    <t>10-06-2023</t>
  </si>
  <si>
    <t>WCI26E000028</t>
  </si>
  <si>
    <t>W26C00002996</t>
  </si>
  <si>
    <t>MC1E4DCA3PP044951</t>
  </si>
  <si>
    <t>D71028245</t>
  </si>
  <si>
    <t>18-04-2023</t>
  </si>
  <si>
    <t>WCI26E000048</t>
  </si>
  <si>
    <t>W26C00003096</t>
  </si>
  <si>
    <t>24-06-2023</t>
  </si>
  <si>
    <t>WCI26E000063</t>
  </si>
  <si>
    <t>W26C00003114</t>
  </si>
  <si>
    <t>30-12-2023</t>
  </si>
  <si>
    <t>WCI26E000038</t>
  </si>
  <si>
    <t>W26C00003077</t>
  </si>
  <si>
    <t>MC1E4ECA3PP009414</t>
  </si>
  <si>
    <t>D71028636</t>
  </si>
  <si>
    <t>13-05-2023</t>
  </si>
  <si>
    <t>WCI26E000079</t>
  </si>
  <si>
    <t>W26C00003135</t>
  </si>
  <si>
    <t>MC1E4DAA5RP050188</t>
  </si>
  <si>
    <t>D71045042</t>
  </si>
  <si>
    <t>24-01-2024</t>
  </si>
  <si>
    <t>WCI26E000092</t>
  </si>
  <si>
    <t>W26C00003365</t>
  </si>
  <si>
    <t>02-07-2025</t>
  </si>
  <si>
    <t>MC1E4EAA6RP011650</t>
  </si>
  <si>
    <t>D71045830</t>
  </si>
  <si>
    <t>11-03-2024</t>
  </si>
  <si>
    <t>WCI26E000042</t>
  </si>
  <si>
    <t>W26C00003086</t>
  </si>
  <si>
    <t>29-05-2023</t>
  </si>
  <si>
    <t>WCI26E000012</t>
  </si>
  <si>
    <t>W26C00002803</t>
  </si>
  <si>
    <t>14-10-2023</t>
  </si>
  <si>
    <t>WCI26E000044</t>
  </si>
  <si>
    <t>W26C00003089</t>
  </si>
  <si>
    <t>MC1E4EDAXPP009523</t>
  </si>
  <si>
    <t>D71030235</t>
  </si>
  <si>
    <t>WCI26E000054</t>
  </si>
  <si>
    <t>W26C00003105</t>
  </si>
  <si>
    <t>MC1E4DJA2RP048396</t>
  </si>
  <si>
    <t>D71040109</t>
  </si>
  <si>
    <t>11-11-2023</t>
  </si>
  <si>
    <t>WCI26E000049</t>
  </si>
  <si>
    <t>W26C00003098</t>
  </si>
  <si>
    <t>MC1E4DGAXRP046838</t>
  </si>
  <si>
    <t>D71034752</t>
  </si>
  <si>
    <t>31-07-2023</t>
  </si>
  <si>
    <t>WCI26E000043</t>
  </si>
  <si>
    <t>W26C00003088</t>
  </si>
  <si>
    <t>MC1E4DDA6PP045445</t>
  </si>
  <si>
    <t>D71030127</t>
  </si>
  <si>
    <t>WCI26E000065</t>
  </si>
  <si>
    <t>W26C00003121</t>
  </si>
  <si>
    <t>30-10-2024</t>
  </si>
  <si>
    <t>WCI26E000082</t>
  </si>
  <si>
    <t>W26C00003138</t>
  </si>
  <si>
    <t>31-01-2024</t>
  </si>
  <si>
    <t>WCI26E000047</t>
  </si>
  <si>
    <t>W26C00003095</t>
  </si>
  <si>
    <t>MC1E4EFAXPP009874</t>
  </si>
  <si>
    <t>D71033244</t>
  </si>
  <si>
    <t>WCI26E000056</t>
  </si>
  <si>
    <t>W26C00003107</t>
  </si>
  <si>
    <t>MC1E4BJAXRP009043</t>
  </si>
  <si>
    <t>D71038556</t>
  </si>
  <si>
    <t>18-11-2023</t>
  </si>
  <si>
    <t>WCI26E000022</t>
  </si>
  <si>
    <t>W26C00002813</t>
  </si>
  <si>
    <t>MC1E4CJA7RP075927</t>
  </si>
  <si>
    <t>D71039481</t>
  </si>
  <si>
    <t>26-10-2023</t>
  </si>
  <si>
    <t>WCI26E000072</t>
  </si>
  <si>
    <t>W26C00003128</t>
  </si>
  <si>
    <t>20-11-2024</t>
  </si>
  <si>
    <t>WCI26E000080</t>
  </si>
  <si>
    <t>W26C00003136</t>
  </si>
  <si>
    <t>WCI26E000071</t>
  </si>
  <si>
    <t>W26C00003127</t>
  </si>
  <si>
    <t>MC1E4DKA3SP054910</t>
  </si>
  <si>
    <t>D71063808</t>
  </si>
  <si>
    <t>19-11-2024</t>
  </si>
  <si>
    <t>WCI26E000084</t>
  </si>
  <si>
    <t>W26C00003140</t>
  </si>
  <si>
    <t>10-02-2024</t>
  </si>
  <si>
    <t>WCI26E000015</t>
  </si>
  <si>
    <t>W26C00002806</t>
  </si>
  <si>
    <t>MC1E4BJA8RP009039</t>
  </si>
  <si>
    <t>D71038558</t>
  </si>
  <si>
    <t>WCI26E000036</t>
  </si>
  <si>
    <t>W26C00003073</t>
  </si>
  <si>
    <t>MC1E4EDA8PP009522</t>
  </si>
  <si>
    <t>D71030124</t>
  </si>
  <si>
    <t>09-05-2023</t>
  </si>
  <si>
    <t>WCI26E000009</t>
  </si>
  <si>
    <t>W26C00002666</t>
  </si>
  <si>
    <t>25-07-2025</t>
  </si>
  <si>
    <t>20-02-2025</t>
  </si>
  <si>
    <t>VT8</t>
  </si>
  <si>
    <t>127 km x 2 = 254 kms x 10rs = 2540</t>
  </si>
  <si>
    <t>VT9-175 KM</t>
  </si>
  <si>
    <t>WCI26E000034</t>
  </si>
  <si>
    <t>W26C00003002</t>
  </si>
  <si>
    <t>MC1E4DCA5PP045003</t>
  </si>
  <si>
    <t>D71028083</t>
  </si>
  <si>
    <t>03-05-2023</t>
  </si>
  <si>
    <t>WCI26E000066</t>
  </si>
  <si>
    <t>W26C00003122</t>
  </si>
  <si>
    <t>WCI26E000091</t>
  </si>
  <si>
    <t>W26C00003363</t>
  </si>
  <si>
    <t>09-03-2024</t>
  </si>
  <si>
    <t>WCI26E000060</t>
  </si>
  <si>
    <t>W26C00003111</t>
  </si>
  <si>
    <t>MC1E4DJA3RP048424</t>
  </si>
  <si>
    <t>D71040137</t>
  </si>
  <si>
    <t>28-11-2023</t>
  </si>
  <si>
    <t>WCI26E000018</t>
  </si>
  <si>
    <t>W26C00002809</t>
  </si>
  <si>
    <t>21-10-2023</t>
  </si>
  <si>
    <t>WCI26E000007</t>
  </si>
  <si>
    <t>W26C00002630</t>
  </si>
  <si>
    <t>MC1E4ECA1SP015608</t>
  </si>
  <si>
    <t>D71075838</t>
  </si>
  <si>
    <t>10-04-2025</t>
  </si>
  <si>
    <t>T006865423817</t>
  </si>
  <si>
    <t>VEHICLE SPEED SENSOR</t>
  </si>
  <si>
    <t>ELCO2</t>
  </si>
  <si>
    <t>WCI26E000031</t>
  </si>
  <si>
    <t>W26C00002999</t>
  </si>
  <si>
    <t>MC1E4ECA4PP009311</t>
  </si>
  <si>
    <t>D71027353</t>
  </si>
  <si>
    <t>28-04-2023</t>
  </si>
  <si>
    <t>WCI26E000050</t>
  </si>
  <si>
    <t>W26C00003097</t>
  </si>
  <si>
    <t>27-06-2023</t>
  </si>
  <si>
    <t>WCI26E000090</t>
  </si>
  <si>
    <t>W26C00003364</t>
  </si>
  <si>
    <t>WCI26E000099</t>
  </si>
  <si>
    <t>W26C00003372</t>
  </si>
  <si>
    <t>MC1E4BJA6RP009072</t>
  </si>
  <si>
    <t>D71039961</t>
  </si>
  <si>
    <t>23-03-2024</t>
  </si>
  <si>
    <t>WCI26E000013</t>
  </si>
  <si>
    <t>W26C00002804</t>
  </si>
  <si>
    <t>MC1E4EJA6RP010627</t>
  </si>
  <si>
    <t>D71039725</t>
  </si>
  <si>
    <t>17-10-2023</t>
  </si>
  <si>
    <t>WCI26E000058</t>
  </si>
  <si>
    <t>W26C00003109</t>
  </si>
  <si>
    <t>MC1E4BHA0RP009011</t>
  </si>
  <si>
    <t>D71038967</t>
  </si>
  <si>
    <t>27-11-2023</t>
  </si>
  <si>
    <t>WCI26E000010</t>
  </si>
  <si>
    <t>W26C00002667</t>
  </si>
  <si>
    <t>MC1E4CAA9SP083694</t>
  </si>
  <si>
    <t>D71069528</t>
  </si>
  <si>
    <t>23-03-2025</t>
  </si>
  <si>
    <t>394 kms x 10rs = 3940 rs</t>
  </si>
  <si>
    <t>VT9-200 KM</t>
  </si>
  <si>
    <t>WCI26E000100</t>
  </si>
  <si>
    <t>W26C00003373</t>
  </si>
  <si>
    <t>MC1E4EBA7RP011896</t>
  </si>
  <si>
    <t>D71048169</t>
  </si>
  <si>
    <t>28-03-2024</t>
  </si>
  <si>
    <t>WCI26E000027</t>
  </si>
  <si>
    <t>W26C00002995</t>
  </si>
  <si>
    <t>MC1E4DCA3PP044948</t>
  </si>
  <si>
    <t>D71028191</t>
  </si>
  <si>
    <t>15-04-2023</t>
  </si>
  <si>
    <t>WCI26E000029</t>
  </si>
  <si>
    <t>W26C00002997</t>
  </si>
  <si>
    <t>MC1E4DCA1PP045015</t>
  </si>
  <si>
    <t>D71028058</t>
  </si>
  <si>
    <t>19-04-2023</t>
  </si>
  <si>
    <t>WCI26E000062</t>
  </si>
  <si>
    <t>W26C00003113</t>
  </si>
  <si>
    <t>MC1E4EKA0RP010752</t>
  </si>
  <si>
    <t>D71040644</t>
  </si>
  <si>
    <t>15-12-2023</t>
  </si>
  <si>
    <t>WCI26E000030</t>
  </si>
  <si>
    <t>W26C00002998</t>
  </si>
  <si>
    <t>MC1E4ECA8PP009392</t>
  </si>
  <si>
    <t>D71028489</t>
  </si>
  <si>
    <t>WCI26E000020</t>
  </si>
  <si>
    <t>W26C00002811</t>
  </si>
  <si>
    <t>MC1E4DJA0RP048431</t>
  </si>
  <si>
    <t>D71039918</t>
  </si>
  <si>
    <t>24-10-2023</t>
  </si>
  <si>
    <t>WCI26E000026</t>
  </si>
  <si>
    <t>W26C00002994</t>
  </si>
  <si>
    <t>MC1E4DCA4PP044814</t>
  </si>
  <si>
    <t>D71027315</t>
  </si>
  <si>
    <t>31-03-2023</t>
  </si>
  <si>
    <t>WCI26E000037</t>
  </si>
  <si>
    <t>W26C00003075</t>
  </si>
  <si>
    <t>MC1E4DCAXPP045000</t>
  </si>
  <si>
    <t>D71028118</t>
  </si>
  <si>
    <t>10-05-2023</t>
  </si>
  <si>
    <t>WCI26E000023</t>
  </si>
  <si>
    <t>W26C00002814</t>
  </si>
  <si>
    <t>MC1E4CJA9RP075928</t>
  </si>
  <si>
    <t>D71039590</t>
  </si>
  <si>
    <t>27-10-2023</t>
  </si>
  <si>
    <t>WCI26E000059</t>
  </si>
  <si>
    <t>W26C00003110</t>
  </si>
  <si>
    <t>MC1E4DJAXRP048338</t>
  </si>
  <si>
    <t>D71040051</t>
  </si>
  <si>
    <t>WCI26E000094</t>
  </si>
  <si>
    <t>W26C00003367</t>
  </si>
  <si>
    <t>MC1E4DAA9RP050419</t>
  </si>
  <si>
    <t>D71045974</t>
  </si>
  <si>
    <t>15-03-2024</t>
  </si>
  <si>
    <t>WCI26E000011</t>
  </si>
  <si>
    <t>W26C00002802</t>
  </si>
  <si>
    <t>MC1E4EJA1RP010602</t>
  </si>
  <si>
    <t>D71039527</t>
  </si>
  <si>
    <t>12-10-2023</t>
  </si>
  <si>
    <t>WCI26E000077</t>
  </si>
  <si>
    <t>W26C00003133</t>
  </si>
  <si>
    <t>29-10-2024</t>
  </si>
  <si>
    <t>WCI26E000078</t>
  </si>
  <si>
    <t>W26C00003134</t>
  </si>
  <si>
    <t>MC1E4EEAXPP009682</t>
  </si>
  <si>
    <t>D71031955</t>
  </si>
  <si>
    <t>31-05-2023</t>
  </si>
  <si>
    <t>WCI26E000104</t>
  </si>
  <si>
    <t>W26C00004156</t>
  </si>
  <si>
    <t>04-08-2025</t>
  </si>
  <si>
    <t>22-07-2025</t>
  </si>
  <si>
    <t>XFOIL00016</t>
  </si>
  <si>
    <t>COOLANT BS6</t>
  </si>
  <si>
    <t>THIS PART IS NOT COVERED UNDER WARRANTY.</t>
  </si>
  <si>
    <t>N/A</t>
  </si>
  <si>
    <t>T006865007003</t>
  </si>
  <si>
    <t>RADIATOR ASLY</t>
  </si>
  <si>
    <t>WCI26E000106</t>
  </si>
  <si>
    <t>W26C00004188</t>
  </si>
  <si>
    <t>06-08-2025</t>
  </si>
  <si>
    <t>B008544900021</t>
  </si>
  <si>
    <t>DOSING MODULE (WATER</t>
  </si>
  <si>
    <t>EXH-13</t>
  </si>
  <si>
    <t>WCI26C000006</t>
  </si>
  <si>
    <t>W26C00000795</t>
  </si>
  <si>
    <t>12-05-2025</t>
  </si>
  <si>
    <t>MC1M4AAAXSP003240</t>
  </si>
  <si>
    <t>D71069281</t>
  </si>
  <si>
    <t>29-01-2025</t>
  </si>
  <si>
    <t>23-04-2025</t>
  </si>
  <si>
    <t>B008688300140</t>
  </si>
  <si>
    <t>BLOWER MOTOR HOLDER</t>
  </si>
  <si>
    <t>EL0207</t>
  </si>
  <si>
    <t>WCI26C000003</t>
  </si>
  <si>
    <t>W26C00000787</t>
  </si>
  <si>
    <t>14-05-2025</t>
  </si>
  <si>
    <t>MC1M4AJA9SP002404</t>
  </si>
  <si>
    <t>D71062633</t>
  </si>
  <si>
    <t>09-10-2024</t>
  </si>
  <si>
    <t>29-03-2025</t>
  </si>
  <si>
    <t>B00808200000101</t>
  </si>
  <si>
    <t>WATER PUMP ASSLY WIT</t>
  </si>
  <si>
    <t>WCI26C000004</t>
  </si>
  <si>
    <t>W26C00000788</t>
  </si>
  <si>
    <t>15-05-2025</t>
  </si>
  <si>
    <t>18-10-2024</t>
  </si>
  <si>
    <t>B008685421317</t>
  </si>
  <si>
    <t>COOLANT LEVEL SENSOR</t>
  </si>
  <si>
    <t>WCI26C000007</t>
  </si>
  <si>
    <t>W26C00000801</t>
  </si>
  <si>
    <t>MC1M4AEA7RP001515</t>
  </si>
  <si>
    <t>D71054485</t>
  </si>
  <si>
    <t>28-05-2024</t>
  </si>
  <si>
    <t>B008685010003</t>
  </si>
  <si>
    <t>RADIATOR</t>
  </si>
  <si>
    <t>WCI26C000005</t>
  </si>
  <si>
    <t>W26C00000789</t>
  </si>
  <si>
    <t>16-05-2025</t>
  </si>
  <si>
    <t>30-06-2024</t>
  </si>
  <si>
    <t>WCI26C000002</t>
  </si>
  <si>
    <t>W26C00000786</t>
  </si>
  <si>
    <t>31-12-2024</t>
  </si>
  <si>
    <t>B00868470000110</t>
  </si>
  <si>
    <t>FUEL FILTER ASSLY (S</t>
  </si>
  <si>
    <t>WCI26E000001</t>
  </si>
  <si>
    <t>W26C00001480</t>
  </si>
  <si>
    <t>WAR26C000011</t>
  </si>
  <si>
    <t>02-06-2025</t>
  </si>
  <si>
    <t>20-07-2024</t>
  </si>
  <si>
    <t>WCI26E000006</t>
  </si>
  <si>
    <t>W26C00002629</t>
  </si>
  <si>
    <t>28-10-2024</t>
  </si>
  <si>
    <t>24-04-2025</t>
  </si>
  <si>
    <t>B008682500004</t>
  </si>
  <si>
    <t>CLUTCH COVER ASSLY (</t>
  </si>
  <si>
    <t>B008682500103</t>
  </si>
  <si>
    <t>CLUTCH PLATE ASSLY (</t>
  </si>
  <si>
    <t>CL-3</t>
  </si>
  <si>
    <t>WCI26E000086</t>
  </si>
  <si>
    <t>W26C00003142</t>
  </si>
  <si>
    <t>15-02-2024</t>
  </si>
  <si>
    <t>WCI26E000076</t>
  </si>
  <si>
    <t>W26C00003132</t>
  </si>
  <si>
    <t>WCI26E000053</t>
  </si>
  <si>
    <t>W26C00003104</t>
  </si>
  <si>
    <t>MC1M4AKAXRP000671</t>
  </si>
  <si>
    <t>D71041770</t>
  </si>
  <si>
    <t>06-11-2023</t>
  </si>
  <si>
    <t>WCI26E000083</t>
  </si>
  <si>
    <t>W26C00003139</t>
  </si>
  <si>
    <t>WCI26E000025</t>
  </si>
  <si>
    <t>W26C00002816</t>
  </si>
  <si>
    <t>MC1M4AKAXRP000654</t>
  </si>
  <si>
    <t>D71041031</t>
  </si>
  <si>
    <t>30-10-2023</t>
  </si>
  <si>
    <t>WCI26E000051</t>
  </si>
  <si>
    <t>W26C00003100</t>
  </si>
  <si>
    <t>WCI26E000073</t>
  </si>
  <si>
    <t>W26C00003129</t>
  </si>
  <si>
    <t>25-11-2024</t>
  </si>
  <si>
    <t>WCI26E000067</t>
  </si>
  <si>
    <t>W26C00003123</t>
  </si>
  <si>
    <t>WCI26E000075</t>
  </si>
  <si>
    <t>W26C00003131</t>
  </si>
  <si>
    <t>MC1M4AKA2SP002632</t>
  </si>
  <si>
    <t>D71064354</t>
  </si>
  <si>
    <t>WCI26E000055</t>
  </si>
  <si>
    <t>W26C00003106</t>
  </si>
  <si>
    <t>16-11-2023</t>
  </si>
  <si>
    <t>WCI26E000068</t>
  </si>
  <si>
    <t>W26C00003124</t>
  </si>
  <si>
    <t>31-10-2024</t>
  </si>
  <si>
    <t>WCI26E000088</t>
  </si>
  <si>
    <t>W26C00003144</t>
  </si>
  <si>
    <t>19-02-2024</t>
  </si>
  <si>
    <t>WCI26E000074</t>
  </si>
  <si>
    <t>W26C00003130</t>
  </si>
  <si>
    <t>28-11-2024</t>
  </si>
  <si>
    <t>WCI26E000101</t>
  </si>
  <si>
    <t>W26C00003374</t>
  </si>
  <si>
    <t>WCI26E000096</t>
  </si>
  <si>
    <t>W26C00003369</t>
  </si>
  <si>
    <t>WCI26E000105</t>
  </si>
  <si>
    <t>W26C00004165</t>
  </si>
  <si>
    <t>01-08-2025</t>
  </si>
  <si>
    <t>B00868500000103</t>
  </si>
  <si>
    <t>RADIATOR ASSY</t>
  </si>
  <si>
    <t>WCI26E000102</t>
  </si>
  <si>
    <t>W26C00003850</t>
  </si>
  <si>
    <t>ENCON2</t>
  </si>
  <si>
    <t>WCI26E000103</t>
  </si>
  <si>
    <t>W26C00003937</t>
  </si>
  <si>
    <t>MC1M4ACA1RP001285</t>
  </si>
  <si>
    <t>D71051505</t>
  </si>
  <si>
    <t>20-04-2024</t>
  </si>
  <si>
    <t>20-07-2025</t>
  </si>
  <si>
    <t>B008080941148</t>
  </si>
  <si>
    <t>HFM SENSOR(BOSCH)</t>
  </si>
  <si>
    <t>T006865425418</t>
  </si>
  <si>
    <t>NOX SENSOR DOWN STRE</t>
  </si>
  <si>
    <t>T006864900021</t>
  </si>
  <si>
    <t>DOSING MODULE 3.6 (A</t>
  </si>
  <si>
    <t>B008080173521</t>
  </si>
  <si>
    <t>INJECTOR  ASSLY FM 2</t>
  </si>
  <si>
    <t>T006865421218</t>
  </si>
  <si>
    <t>DIFF PRESSURE SENSOR</t>
  </si>
  <si>
    <t>T006864904206</t>
  </si>
  <si>
    <t>DPF ASLY T1 BSVI (M/</t>
  </si>
  <si>
    <t>EX-16</t>
  </si>
  <si>
    <t>EX-7</t>
  </si>
  <si>
    <t>EX-3</t>
  </si>
  <si>
    <t>ENFS-6</t>
  </si>
  <si>
    <t>EX-9</t>
  </si>
  <si>
    <t>EL0504</t>
  </si>
  <si>
    <t>MWCI25C000012</t>
  </si>
  <si>
    <t>31-03-2025</t>
  </si>
  <si>
    <t>11-04-2025</t>
  </si>
  <si>
    <t>25-08-2024</t>
  </si>
  <si>
    <t>B008544920680</t>
  </si>
  <si>
    <t>GASKET V-CLAMP DIA.6</t>
  </si>
  <si>
    <t>APPROVED BY SER HO HEAD DPF CHOCKED</t>
  </si>
  <si>
    <t>B008544920780</t>
  </si>
  <si>
    <t>GASKET V-CLAMP DIA.1</t>
  </si>
  <si>
    <t>B008544903906</t>
  </si>
  <si>
    <t>DPF ASSLY SPARE (TFR</t>
  </si>
  <si>
    <t>L</t>
  </si>
  <si>
    <t>13-Aug-25</t>
  </si>
  <si>
    <t>03-Jul-25</t>
  </si>
  <si>
    <t>(blank)</t>
  </si>
  <si>
    <t>Grand Total</t>
  </si>
  <si>
    <t>Sum of Debit Amount</t>
  </si>
  <si>
    <t>PDI Report</t>
  </si>
  <si>
    <t>FSC Report</t>
  </si>
  <si>
    <t>Warranty Report</t>
  </si>
  <si>
    <t>Sum of Dealer Debit Amt (B)</t>
  </si>
  <si>
    <t>Rejected Amount</t>
  </si>
  <si>
    <t>Claim Passed Amount</t>
  </si>
  <si>
    <t>INSTRUCTION on How to USE this report</t>
  </si>
  <si>
    <t>1) Enter all FML claim details in "Data Report Sheet" TAB - make sure all Invoice number is correct</t>
  </si>
  <si>
    <t>2) Paste the report downloaded from fml on "PDI report", FSC report and" Warranty report" TABS</t>
  </si>
  <si>
    <t>3) Make sure that duplication data is not pasted on the report sheet</t>
  </si>
  <si>
    <t>4) Goto "DATA" in menu -  Click on "Refresh All"</t>
  </si>
  <si>
    <t>WCI26E000110</t>
  </si>
  <si>
    <t>31-08-2025</t>
  </si>
  <si>
    <t>W26C00004952</t>
  </si>
  <si>
    <t>03-09-2025</t>
  </si>
  <si>
    <t>11-09-2025</t>
  </si>
  <si>
    <t>31-03-2024</t>
  </si>
  <si>
    <t>WCI26E000114</t>
  </si>
  <si>
    <t>W26C00004956</t>
  </si>
  <si>
    <t>MC1E4DMA4RP049769</t>
  </si>
  <si>
    <t>D71043633</t>
  </si>
  <si>
    <t>WCI26E000135</t>
  </si>
  <si>
    <t>W26C00004981</t>
  </si>
  <si>
    <t>16-07-2025</t>
  </si>
  <si>
    <t>WCI26E000119</t>
  </si>
  <si>
    <t>W26C00004961</t>
  </si>
  <si>
    <t>08-09-2025</t>
  </si>
  <si>
    <t>MC1E4DAA0RP050289</t>
  </si>
  <si>
    <t>D71045580</t>
  </si>
  <si>
    <t>03-07-2025</t>
  </si>
  <si>
    <t>WCI26E000111</t>
  </si>
  <si>
    <t>W26C00004953</t>
  </si>
  <si>
    <t>MC1E4DBA4RP051007</t>
  </si>
  <si>
    <t>D71047578</t>
  </si>
  <si>
    <t>18-04-2024</t>
  </si>
  <si>
    <t>WCI26E000158</t>
  </si>
  <si>
    <t>W26C00005006</t>
  </si>
  <si>
    <t>19-08-2023</t>
  </si>
  <si>
    <t>WCI26E000120</t>
  </si>
  <si>
    <t>W26C00004962</t>
  </si>
  <si>
    <t>MC1E4DBA7RP051373</t>
  </si>
  <si>
    <t>D71048762</t>
  </si>
  <si>
    <t>25-04-2024</t>
  </si>
  <si>
    <t>WCI26E000127</t>
  </si>
  <si>
    <t>W26C00004973</t>
  </si>
  <si>
    <t>WCI26E000133</t>
  </si>
  <si>
    <t>W26C00004979</t>
  </si>
  <si>
    <t>MC1E4DJA2SP054625</t>
  </si>
  <si>
    <t>D71062702</t>
  </si>
  <si>
    <t>WCI26E000143</t>
  </si>
  <si>
    <t>W26C00004991</t>
  </si>
  <si>
    <t>12-07-2024</t>
  </si>
  <si>
    <t>24-07-2025</t>
  </si>
  <si>
    <t>WCI26E000126</t>
  </si>
  <si>
    <t>W26C00004972</t>
  </si>
  <si>
    <t>29-04-2024</t>
  </si>
  <si>
    <t>WCI26E000147</t>
  </si>
  <si>
    <t>W26C00004995</t>
  </si>
  <si>
    <t>08-08-2024</t>
  </si>
  <si>
    <t>28-07-2025</t>
  </si>
  <si>
    <t>WCI26E000124</t>
  </si>
  <si>
    <t>W26C00004966</t>
  </si>
  <si>
    <t>MC1E4DCA7RP051596</t>
  </si>
  <si>
    <t>D71049069</t>
  </si>
  <si>
    <t>26-04-2024</t>
  </si>
  <si>
    <t>WCI26E000150</t>
  </si>
  <si>
    <t>W26C00004998</t>
  </si>
  <si>
    <t>09-08-2024</t>
  </si>
  <si>
    <t>WCI26E000121</t>
  </si>
  <si>
    <t>W26C00004963</t>
  </si>
  <si>
    <t>WCI26E000112</t>
  </si>
  <si>
    <t>W26C00004954</t>
  </si>
  <si>
    <t>MC1E4DBA6RP050909</t>
  </si>
  <si>
    <t>D71047353</t>
  </si>
  <si>
    <t>19-04-2024</t>
  </si>
  <si>
    <t>WCI26E000125</t>
  </si>
  <si>
    <t>W26C00004968</t>
  </si>
  <si>
    <t>MC1E4DCAXRP051527</t>
  </si>
  <si>
    <t>D71049384</t>
  </si>
  <si>
    <t>23-04-2024</t>
  </si>
  <si>
    <t>WCI26E000141</t>
  </si>
  <si>
    <t>W26C00004989</t>
  </si>
  <si>
    <t>05-08-2024</t>
  </si>
  <si>
    <t>WCI26E000137</t>
  </si>
  <si>
    <t>W26C00004983</t>
  </si>
  <si>
    <t>30-07-2024</t>
  </si>
  <si>
    <t>WCI26E000154</t>
  </si>
  <si>
    <t>W26C00005002</t>
  </si>
  <si>
    <t>MC1E4DGA8RP047079</t>
  </si>
  <si>
    <t>D71035723</t>
  </si>
  <si>
    <t>WCI26E000151</t>
  </si>
  <si>
    <t>W26C00004999</t>
  </si>
  <si>
    <t>MC1E4EFA8RP013151</t>
  </si>
  <si>
    <t>D71056021</t>
  </si>
  <si>
    <t>12-08-2024</t>
  </si>
  <si>
    <t>WCI26E000142</t>
  </si>
  <si>
    <t>W26C00004990</t>
  </si>
  <si>
    <t>08-07-2024</t>
  </si>
  <si>
    <t>WCI26E000138</t>
  </si>
  <si>
    <t>W26C00004984</t>
  </si>
  <si>
    <t>WCI26E000136</t>
  </si>
  <si>
    <t>W26C00004982</t>
  </si>
  <si>
    <t>WCI26E000134</t>
  </si>
  <si>
    <t>W26C00004980</t>
  </si>
  <si>
    <t>26-10-2024</t>
  </si>
  <si>
    <t>WCI26E000140</t>
  </si>
  <si>
    <t>W26C00004988</t>
  </si>
  <si>
    <t>06-08-2024</t>
  </si>
  <si>
    <t>WCI26E000107</t>
  </si>
  <si>
    <t>W26C00004214</t>
  </si>
  <si>
    <t>T006862622937</t>
  </si>
  <si>
    <t>SYNCHRO RING 3RD,4TH</t>
  </si>
  <si>
    <t>GB-19</t>
  </si>
  <si>
    <t>WCI26E000109</t>
  </si>
  <si>
    <t>W26C00004827</t>
  </si>
  <si>
    <t>T006869971684</t>
  </si>
  <si>
    <t>OIL PRESSURE HOSE(PU</t>
  </si>
  <si>
    <t>ST1206</t>
  </si>
  <si>
    <t>WCI26E000122</t>
  </si>
  <si>
    <t>W26C00004964</t>
  </si>
  <si>
    <t>MC1E4DBA9RP050998</t>
  </si>
  <si>
    <t>D71047630</t>
  </si>
  <si>
    <t>22-04-2024</t>
  </si>
  <si>
    <t>WCI26E000156</t>
  </si>
  <si>
    <t>W26C00005004</t>
  </si>
  <si>
    <t>MC1E4DHA6RP047385</t>
  </si>
  <si>
    <t>D71036429</t>
  </si>
  <si>
    <t>12-08-2023</t>
  </si>
  <si>
    <t>WCI26E000113</t>
  </si>
  <si>
    <t>W26C00004955</t>
  </si>
  <si>
    <t>MC1E4DBA7RP051048</t>
  </si>
  <si>
    <t>D71047394</t>
  </si>
  <si>
    <t>16-04-2024</t>
  </si>
  <si>
    <t>WCI26E000115</t>
  </si>
  <si>
    <t>W26C00004957</t>
  </si>
  <si>
    <t>MC1E4EBA8RP011938</t>
  </si>
  <si>
    <t>D71048617</t>
  </si>
  <si>
    <t>10-04-2024</t>
  </si>
  <si>
    <t>WCI26E000123</t>
  </si>
  <si>
    <t>W26C00004965</t>
  </si>
  <si>
    <t>MC1E4DBA9RP051004</t>
  </si>
  <si>
    <t>D71047641</t>
  </si>
  <si>
    <t>WCI26E000139</t>
  </si>
  <si>
    <t>W26C00004987</t>
  </si>
  <si>
    <t>MC1E4DGA8SP053518</t>
  </si>
  <si>
    <t>D71057753</t>
  </si>
  <si>
    <t>27-07-2024</t>
  </si>
  <si>
    <t>WCI26E000153</t>
  </si>
  <si>
    <t>W26C00005001</t>
  </si>
  <si>
    <t>WCI26E000155</t>
  </si>
  <si>
    <t>W26C00005003</t>
  </si>
  <si>
    <t>18-08-2023</t>
  </si>
  <si>
    <t>WCI26E000116</t>
  </si>
  <si>
    <t>W26C00004958</t>
  </si>
  <si>
    <t>09-09-2025</t>
  </si>
  <si>
    <t>MC1E4ECA7RP012304</t>
  </si>
  <si>
    <t>D71050911</t>
  </si>
  <si>
    <t>WCI26E000149</t>
  </si>
  <si>
    <t>W26C00004997</t>
  </si>
  <si>
    <t>WCI26E000132</t>
  </si>
  <si>
    <t>W26C00004978</t>
  </si>
  <si>
    <t>MC1E4DHA0SP054273</t>
  </si>
  <si>
    <t>D71060917</t>
  </si>
  <si>
    <t>WCI26E000148</t>
  </si>
  <si>
    <t>W26C00004996</t>
  </si>
  <si>
    <t>WCI26E000157</t>
  </si>
  <si>
    <t>W26C00005005</t>
  </si>
  <si>
    <t>MC1E4EGA9RP010192</t>
  </si>
  <si>
    <t>D71036287</t>
  </si>
  <si>
    <t>14-08-2023</t>
  </si>
  <si>
    <t>WCI26E000128</t>
  </si>
  <si>
    <t>W26C00004974</t>
  </si>
  <si>
    <t>27-04-2024</t>
  </si>
  <si>
    <t>WCI26E000152</t>
  </si>
  <si>
    <t>W26C00005000</t>
  </si>
  <si>
    <t>07-08-2024</t>
  </si>
  <si>
    <t>WCI26E000129</t>
  </si>
  <si>
    <t>W26C00004975</t>
  </si>
  <si>
    <t>10-09-2025</t>
  </si>
  <si>
    <t>WCI26E000130</t>
  </si>
  <si>
    <t>W26C00004976</t>
  </si>
  <si>
    <t>WCI26E000159</t>
  </si>
  <si>
    <t>W26C00005007</t>
  </si>
  <si>
    <t>MC1E4FGA4RP017556</t>
  </si>
  <si>
    <t>D71035872</t>
  </si>
  <si>
    <t>10-08-2023</t>
  </si>
  <si>
    <t>WCI26E000117</t>
  </si>
  <si>
    <t>W26C00004959</t>
  </si>
  <si>
    <t>MC1E4FCA1RP019724</t>
  </si>
  <si>
    <t>D71049999</t>
  </si>
  <si>
    <t>12-04-2024</t>
  </si>
  <si>
    <t>WCI26E000144</t>
  </si>
  <si>
    <t>W26C00004992</t>
  </si>
  <si>
    <t>MC1M4AFA1RP001833</t>
  </si>
  <si>
    <t>D71056914</t>
  </si>
  <si>
    <t>31-07-2024</t>
  </si>
  <si>
    <t>WCI26E000146</t>
  </si>
  <si>
    <t>W26C00004994</t>
  </si>
  <si>
    <t>WCI26E000131</t>
  </si>
  <si>
    <t>W26C00004977</t>
  </si>
  <si>
    <t>WCI26E000118</t>
  </si>
  <si>
    <t>W26C00004960</t>
  </si>
  <si>
    <t>WCI26E000160</t>
  </si>
  <si>
    <t>W26C00005008</t>
  </si>
  <si>
    <t>04-08-2023</t>
  </si>
  <si>
    <t>WCI26E000108</t>
  </si>
  <si>
    <t>W26C00004313</t>
  </si>
  <si>
    <t>11-12-2024</t>
  </si>
  <si>
    <t>B008685010203</t>
  </si>
  <si>
    <t>CONDENSOR</t>
  </si>
  <si>
    <t>AC0101</t>
  </si>
  <si>
    <t>AC0103</t>
  </si>
  <si>
    <t>AC0104</t>
  </si>
  <si>
    <t>WCI26E000145</t>
  </si>
  <si>
    <t>W26C00004993</t>
  </si>
  <si>
    <t>WCI26D000001</t>
  </si>
  <si>
    <t>14-Jul-25</t>
  </si>
  <si>
    <t>7134-20250923</t>
  </si>
  <si>
    <t>23-Sep-25</t>
  </si>
  <si>
    <t>24-Jul-25</t>
  </si>
  <si>
    <t>31-Jul-25</t>
  </si>
  <si>
    <t>20-Sep-24</t>
  </si>
  <si>
    <t>01-Jul-25</t>
  </si>
  <si>
    <t>MC1E4CHA1SP080648</t>
  </si>
  <si>
    <t>D71061309</t>
  </si>
  <si>
    <t>21-Jan-25</t>
  </si>
  <si>
    <t>MC1E4DHA4SP054308</t>
  </si>
  <si>
    <t>D71060911</t>
  </si>
  <si>
    <t>16-Jul-25</t>
  </si>
  <si>
    <t>MC1E4EJA5SP013895</t>
  </si>
  <si>
    <t>D71061564</t>
  </si>
  <si>
    <t>28-Jul-25</t>
  </si>
  <si>
    <t>08-Jul-25</t>
  </si>
  <si>
    <t>06-May-24</t>
  </si>
  <si>
    <t>15-Jul-25</t>
  </si>
  <si>
    <t>MC1E4DDA2RP051990</t>
  </si>
  <si>
    <t>D71051716</t>
  </si>
  <si>
    <t>27-Jul-25</t>
  </si>
  <si>
    <t>13-Jul-25</t>
  </si>
  <si>
    <t>29-Jul-25</t>
  </si>
  <si>
    <t>07-Jul-25</t>
  </si>
  <si>
    <t>23-Aug-23</t>
  </si>
  <si>
    <t>MC1E4DHA8RP047484</t>
  </si>
  <si>
    <t>D71036644</t>
  </si>
  <si>
    <t>23-Jul-25</t>
  </si>
  <si>
    <t>20-Apr-24</t>
  </si>
  <si>
    <t>25-Jul-25</t>
  </si>
  <si>
    <t>12-Jul-25</t>
  </si>
  <si>
    <t>21-Jul-25</t>
  </si>
  <si>
    <t>17-Oct-24</t>
  </si>
  <si>
    <t>10-Jul-25</t>
  </si>
  <si>
    <t>MC1E5DGA8SP000573</t>
  </si>
  <si>
    <t>D73001418</t>
  </si>
  <si>
    <t>11-Jul-25</t>
  </si>
  <si>
    <t>20-Jul-25</t>
  </si>
  <si>
    <t>MC1E1CCA5SP008223</t>
  </si>
  <si>
    <t>D71075439</t>
  </si>
  <si>
    <t>003</t>
  </si>
  <si>
    <t>OWNER'S SIGNATURE MISSING</t>
  </si>
  <si>
    <t>30-Jan-24</t>
  </si>
  <si>
    <t>MC1M4AAA3RP000934</t>
  </si>
  <si>
    <t>D71046057</t>
  </si>
  <si>
    <t>17-Jul-25</t>
  </si>
  <si>
    <t>04-Jul-25</t>
  </si>
  <si>
    <t>22-Jul-25</t>
  </si>
  <si>
    <t>03-Sep-24</t>
  </si>
  <si>
    <t>MC1L4AFA1RP001763</t>
  </si>
  <si>
    <t>D71056957</t>
  </si>
  <si>
    <t>18-Apr-24</t>
  </si>
  <si>
    <t>MC1E4DBA7RP051129</t>
  </si>
  <si>
    <t>D71047827</t>
  </si>
  <si>
    <t>10-Oct-24</t>
  </si>
  <si>
    <t>MC1E4DGA4SP053709</t>
  </si>
  <si>
    <t>D71058494</t>
  </si>
  <si>
    <t>MC1M4BDA7RP000596</t>
  </si>
  <si>
    <t>D71052415</t>
  </si>
  <si>
    <t>MC1D4DBA6SP107417</t>
  </si>
  <si>
    <t>D72019042</t>
  </si>
  <si>
    <t>30-Jul-25</t>
  </si>
  <si>
    <t>11-Dec-23</t>
  </si>
  <si>
    <t>06-Jul-25</t>
  </si>
  <si>
    <t>MC1E4DFA1RP053159</t>
  </si>
  <si>
    <t>D71056459</t>
  </si>
  <si>
    <t>MC1E5EBA4SP003273</t>
  </si>
  <si>
    <t>D73001702</t>
  </si>
  <si>
    <t>07-May-24</t>
  </si>
  <si>
    <t>MC1E4DCA4RP051524</t>
  </si>
  <si>
    <t>D71049327</t>
  </si>
  <si>
    <t>07-Nov-23</t>
  </si>
  <si>
    <t>MC1D4DKA3RP101830</t>
  </si>
  <si>
    <t>D72012439</t>
  </si>
  <si>
    <t>MC1E4DHA4SP054146</t>
  </si>
  <si>
    <t>D71060235</t>
  </si>
  <si>
    <t>MC1E4CAA2SP083746</t>
  </si>
  <si>
    <t>D71069835</t>
  </si>
  <si>
    <t>MC1M4AJA0SP002470</t>
  </si>
  <si>
    <t>D71063430</t>
  </si>
  <si>
    <t>00328308</t>
  </si>
  <si>
    <t>MC1D4DDA0SP108642</t>
  </si>
  <si>
    <t>D72020323</t>
  </si>
  <si>
    <t>12-Sep-25</t>
  </si>
  <si>
    <t>MC1D4DFA7SP109381</t>
  </si>
  <si>
    <t>D72021106</t>
  </si>
  <si>
    <t>30-Jun-2025</t>
  </si>
  <si>
    <t>00795498</t>
  </si>
  <si>
    <t>MC1E4BAA2SP009754</t>
  </si>
  <si>
    <t>D71067568</t>
  </si>
  <si>
    <t>00804071</t>
  </si>
  <si>
    <t>MC1E4BFA3SP010064</t>
  </si>
  <si>
    <t>D71083747</t>
  </si>
  <si>
    <t>07-Jul-2025</t>
  </si>
  <si>
    <t>00805199</t>
  </si>
  <si>
    <t>MC1E4DEA1SP057512</t>
  </si>
  <si>
    <t>D71081186</t>
  </si>
  <si>
    <t>00803688</t>
  </si>
  <si>
    <t>MC1E4DEA2SP057468</t>
  </si>
  <si>
    <t>D71081081</t>
  </si>
  <si>
    <t>00803682</t>
  </si>
  <si>
    <t>MC1E4DEA3SP057379</t>
  </si>
  <si>
    <t>D71080953</t>
  </si>
  <si>
    <t>26-Jul-25</t>
  </si>
  <si>
    <t>00803683</t>
  </si>
  <si>
    <t>MC1E4DEA4SP057388</t>
  </si>
  <si>
    <t>D71080878</t>
  </si>
  <si>
    <t>00803684</t>
  </si>
  <si>
    <t>MC1E4DEA4SP057472</t>
  </si>
  <si>
    <t>D71080952</t>
  </si>
  <si>
    <t>00805200</t>
  </si>
  <si>
    <t>MC1E4DEA5SP057514</t>
  </si>
  <si>
    <t>D71081183</t>
  </si>
  <si>
    <t>00804423</t>
  </si>
  <si>
    <t>MC1E4DFA0SP057967</t>
  </si>
  <si>
    <t>D71083598</t>
  </si>
  <si>
    <t>00805160</t>
  </si>
  <si>
    <t>MC1E4DFA4SP057857</t>
  </si>
  <si>
    <t>D71082665</t>
  </si>
  <si>
    <t>10-Jun-2025</t>
  </si>
  <si>
    <t>00805055</t>
  </si>
  <si>
    <t>MC1E4DFA9SP057966</t>
  </si>
  <si>
    <t>D71083562</t>
  </si>
  <si>
    <t>00809973</t>
  </si>
  <si>
    <t>MC1E4DGA6TP058136</t>
  </si>
  <si>
    <t>D71085713</t>
  </si>
  <si>
    <t>14-Jul-2025</t>
  </si>
  <si>
    <t>00804641</t>
  </si>
  <si>
    <t>MC1E4DGAXTP058107</t>
  </si>
  <si>
    <t>D71085381</t>
  </si>
  <si>
    <t>00803991</t>
  </si>
  <si>
    <t>MC1E4DGAXTP058141</t>
  </si>
  <si>
    <t>D71085683</t>
  </si>
  <si>
    <t>15-Jul-2025</t>
  </si>
  <si>
    <t>00802983</t>
  </si>
  <si>
    <t>MC1E4EEA7SP016310</t>
  </si>
  <si>
    <t>D71080968</t>
  </si>
  <si>
    <t>00784965</t>
  </si>
  <si>
    <t>MC1E4FDA3SP023293</t>
  </si>
  <si>
    <t>D71077455</t>
  </si>
  <si>
    <t>09-Apr-2025</t>
  </si>
  <si>
    <t>19-Jul-25</t>
  </si>
  <si>
    <t>00806496</t>
  </si>
  <si>
    <t>MC1E4FEA1SP023730</t>
  </si>
  <si>
    <t>D71080907</t>
  </si>
  <si>
    <t>08-Jul-2025</t>
  </si>
  <si>
    <t>00805943</t>
  </si>
  <si>
    <t>MC1E4FEA4SP023849</t>
  </si>
  <si>
    <t>D71082108</t>
  </si>
  <si>
    <t>00806451</t>
  </si>
  <si>
    <t>MC1E4FEAXSP023855</t>
  </si>
  <si>
    <t>D71081991</t>
  </si>
  <si>
    <t>10-Jul-2025</t>
  </si>
  <si>
    <t>00806310</t>
  </si>
  <si>
    <t>MC1E4FFA1SP023967</t>
  </si>
  <si>
    <t>D71082863</t>
  </si>
  <si>
    <t>00778917</t>
  </si>
  <si>
    <t>MC1E5CFA1SP000183</t>
  </si>
  <si>
    <t>D73002101</t>
  </si>
  <si>
    <t>28-Jun-2025</t>
  </si>
  <si>
    <t>00778938</t>
  </si>
  <si>
    <t>MC1E5CFA3SP000184</t>
  </si>
  <si>
    <t>D73002103</t>
  </si>
  <si>
    <t>00778945</t>
  </si>
  <si>
    <t>MC1E5CFA5SP000185</t>
  </si>
  <si>
    <t>D73002102</t>
  </si>
  <si>
    <t>23-Jun-2025</t>
  </si>
  <si>
    <t>00778992</t>
  </si>
  <si>
    <t>MC1E5DDA0SP000653</t>
  </si>
  <si>
    <t>D73001870</t>
  </si>
  <si>
    <t>00778771</t>
  </si>
  <si>
    <t>MC1E5DFA6SP000699</t>
  </si>
  <si>
    <t>D73002071</t>
  </si>
  <si>
    <t>16-Jul-2025</t>
  </si>
  <si>
    <t>00008044</t>
  </si>
  <si>
    <t>MC1M4AFA2SP005086</t>
  </si>
  <si>
    <t>D71083980</t>
  </si>
  <si>
    <t>00008573</t>
  </si>
  <si>
    <t>MC1M4AFA4SP005137</t>
  </si>
  <si>
    <t>D71084206</t>
  </si>
  <si>
    <t>12-Jul-2025</t>
  </si>
  <si>
    <t>00008123</t>
  </si>
  <si>
    <t>MC1M4AFA5SP004885</t>
  </si>
  <si>
    <t>D71082692</t>
  </si>
  <si>
    <t>00007892</t>
  </si>
  <si>
    <t>MC1M4AFA7SP005116</t>
  </si>
  <si>
    <t>D71084105</t>
  </si>
  <si>
    <t>00008052</t>
  </si>
  <si>
    <t>MC1M4AFA9SP005151</t>
  </si>
  <si>
    <t>D71084126</t>
  </si>
  <si>
    <t>23-Jul-2025</t>
  </si>
  <si>
    <t>WAR26E000163</t>
  </si>
  <si>
    <t>WAR26E000165</t>
  </si>
  <si>
    <t>WAR26E000166</t>
  </si>
  <si>
    <t>25-09-2025</t>
  </si>
  <si>
    <t>30-09-2025</t>
  </si>
  <si>
    <t>WCI26E000165</t>
  </si>
  <si>
    <t>W26C00004828</t>
  </si>
  <si>
    <t>07-10-2025</t>
  </si>
  <si>
    <t>22-03-2025</t>
  </si>
  <si>
    <t>29-07-2025</t>
  </si>
  <si>
    <t>B001245400244</t>
  </si>
  <si>
    <t>LEVEL SENSOR</t>
  </si>
  <si>
    <t>WCI26E000169</t>
  </si>
  <si>
    <t>W26C00005476</t>
  </si>
  <si>
    <t>MC1E4CBAXSP085081</t>
  </si>
  <si>
    <t>D71071633</t>
  </si>
  <si>
    <t>24-03-2025</t>
  </si>
  <si>
    <t>10-08-2025</t>
  </si>
  <si>
    <t>B008082001123</t>
  </si>
  <si>
    <t>VISCOUS FAN ASLY DIA</t>
  </si>
  <si>
    <t>ENCOL-11</t>
  </si>
  <si>
    <t>WCI26E000162</t>
  </si>
  <si>
    <t>W26C00004645</t>
  </si>
  <si>
    <t>MC1E4CAA4SP084672</t>
  </si>
  <si>
    <t>D71069503</t>
  </si>
  <si>
    <t>25-03-2025</t>
  </si>
  <si>
    <t>T006868200541</t>
  </si>
  <si>
    <t>WIPER LINKAGE</t>
  </si>
  <si>
    <t>WCI26E000161</t>
  </si>
  <si>
    <t>W26C00004642</t>
  </si>
  <si>
    <t>26-03-2025</t>
  </si>
  <si>
    <t>T006863200989</t>
  </si>
  <si>
    <t>ANTI ROLL BAR LINK A</t>
  </si>
  <si>
    <t>WCI26E000163</t>
  </si>
  <si>
    <t>W26C00004825</t>
  </si>
  <si>
    <t>08-10-2025</t>
  </si>
  <si>
    <t>MC1D4DEA3SP109136</t>
  </si>
  <si>
    <t>D72020881</t>
  </si>
  <si>
    <t>20-09-2025</t>
  </si>
  <si>
    <t>EXH-5</t>
  </si>
  <si>
    <t>WCI26E000166</t>
  </si>
  <si>
    <t>W26C00005314</t>
  </si>
  <si>
    <t>WAR26E000161</t>
  </si>
  <si>
    <t>16-10-2024</t>
  </si>
  <si>
    <t>02-08-2025</t>
  </si>
  <si>
    <t>WCI26E000167</t>
  </si>
  <si>
    <t>W26C00005320</t>
  </si>
  <si>
    <t>03-10-2025</t>
  </si>
  <si>
    <t>22-10-2024</t>
  </si>
  <si>
    <t>13-09-2025</t>
  </si>
  <si>
    <t>T006862602037</t>
  </si>
  <si>
    <t>ASSLY DUAL CONE 3RD/</t>
  </si>
  <si>
    <t>WCI26E000168</t>
  </si>
  <si>
    <t>W26C00005473</t>
  </si>
  <si>
    <t>04-10-2025</t>
  </si>
  <si>
    <t>31-08-2024</t>
  </si>
  <si>
    <t>T006862601082</t>
  </si>
  <si>
    <t>SHIFTING DOME ASSLY</t>
  </si>
  <si>
    <t>GB-11</t>
  </si>
  <si>
    <t>GDW26E000002</t>
  </si>
  <si>
    <t>CSI CLAIM</t>
  </si>
  <si>
    <t>WCI26E000170</t>
  </si>
  <si>
    <t>WCI26E000164</t>
  </si>
  <si>
    <t>WCI26E000174</t>
  </si>
  <si>
    <t>WCI26E000171</t>
  </si>
  <si>
    <t>WCI26E000177</t>
  </si>
  <si>
    <t>WCI26E000178</t>
  </si>
  <si>
    <t>WCI26E000173</t>
  </si>
  <si>
    <t>WCI26E000175</t>
  </si>
  <si>
    <t>WCI26E000176</t>
  </si>
  <si>
    <t>WCI26E000179</t>
  </si>
  <si>
    <t>WCI26E000180</t>
  </si>
  <si>
    <t>WCI26E000181</t>
  </si>
  <si>
    <t>WCI26E000182</t>
  </si>
  <si>
    <t>WCI26E000188</t>
  </si>
  <si>
    <t>WCI26E000189</t>
  </si>
  <si>
    <t>WCI26E000190</t>
  </si>
  <si>
    <t>WCI26E000191</t>
  </si>
  <si>
    <t>WCI26E000187</t>
  </si>
  <si>
    <t>WCI26E000185</t>
  </si>
  <si>
    <t>WCI26E000183</t>
  </si>
  <si>
    <t>WCI26E000186</t>
  </si>
  <si>
    <t>WCI26E000184</t>
  </si>
  <si>
    <t>WCI25C000102</t>
  </si>
  <si>
    <t>WCI25C000103</t>
  </si>
  <si>
    <t>16-Sep-25</t>
  </si>
  <si>
    <t>28-Oct-25</t>
  </si>
  <si>
    <t>05-Aug-25</t>
  </si>
  <si>
    <t>29-Aug-25</t>
  </si>
  <si>
    <t>13-Oct-25</t>
  </si>
  <si>
    <t>22-Aug-25</t>
  </si>
  <si>
    <t>01-Aug-25</t>
  </si>
  <si>
    <t>MC1E4EFA2PP009917</t>
  </si>
  <si>
    <t>D71033770</t>
  </si>
  <si>
    <t>06-Aug-25</t>
  </si>
  <si>
    <t>24-Aug-25</t>
  </si>
  <si>
    <t>MC1E4CAA1SP083558</t>
  </si>
  <si>
    <t>D71069586</t>
  </si>
  <si>
    <t>MC1E4CAA7SP084505</t>
  </si>
  <si>
    <t>D71070522</t>
  </si>
  <si>
    <t>07-Aug-25</t>
  </si>
  <si>
    <t>MC1E4CAA4SP083943</t>
  </si>
  <si>
    <t>D71070105</t>
  </si>
  <si>
    <t>17-Aug-25</t>
  </si>
  <si>
    <t>12-Aug-25</t>
  </si>
  <si>
    <t>26-Aug-25</t>
  </si>
  <si>
    <t>03-Aug-25</t>
  </si>
  <si>
    <t>MC1E4CAAXSP084496</t>
  </si>
  <si>
    <t>D71070991</t>
  </si>
  <si>
    <t>MC1D1DDA0RP001531</t>
  </si>
  <si>
    <t>D72015005</t>
  </si>
  <si>
    <t>11-Aug-25</t>
  </si>
  <si>
    <t>10-Aug-25</t>
  </si>
  <si>
    <t>13-Jul-23</t>
  </si>
  <si>
    <t>MC1M4AFA1PP000372</t>
  </si>
  <si>
    <t>D71032242</t>
  </si>
  <si>
    <t>04-Aug-25</t>
  </si>
  <si>
    <t>25-Aug-25</t>
  </si>
  <si>
    <t>MC1E4CAAXSP083882</t>
  </si>
  <si>
    <t>D71069921</t>
  </si>
  <si>
    <t>18-Aug-25</t>
  </si>
  <si>
    <t>MC1E4EEA9SP016230</t>
  </si>
  <si>
    <t>D71080349</t>
  </si>
  <si>
    <t>MC1D4DKA6SP106154</t>
  </si>
  <si>
    <t>D72017629</t>
  </si>
  <si>
    <t>MC1E4CAAXSP083655</t>
  </si>
  <si>
    <t>D71069695</t>
  </si>
  <si>
    <t>MC1E4CAAXSP083767</t>
  </si>
  <si>
    <t>D71069836</t>
  </si>
  <si>
    <t>14-Aug-25</t>
  </si>
  <si>
    <t>MC1E4EMA3SP014782</t>
  </si>
  <si>
    <t>D71067104</t>
  </si>
  <si>
    <t>MC1E4EHA6SP013801</t>
  </si>
  <si>
    <t>D71060519</t>
  </si>
  <si>
    <t>MC1E4CAA4SP084574</t>
  </si>
  <si>
    <t>D71069488</t>
  </si>
  <si>
    <t>MC1D1DJA8SP001576</t>
  </si>
  <si>
    <t>D72017128</t>
  </si>
  <si>
    <t>MC1E4CBA2SP086158</t>
  </si>
  <si>
    <t>D71073777</t>
  </si>
  <si>
    <t>08-Aug-25</t>
  </si>
  <si>
    <t>MC1E4CAA9SP083856</t>
  </si>
  <si>
    <t>D71069969</t>
  </si>
  <si>
    <t>MC1E4CAA2SP083648</t>
  </si>
  <si>
    <t>D71069647</t>
  </si>
  <si>
    <t>MC1E4BGA3SP009592</t>
  </si>
  <si>
    <t>D71058673</t>
  </si>
  <si>
    <t>27-Aug-25</t>
  </si>
  <si>
    <t>02-Aug-23</t>
  </si>
  <si>
    <t>MC1D4DGA1RP100698</t>
  </si>
  <si>
    <t>D72011293</t>
  </si>
  <si>
    <t>MC1E4CAA2SP083732</t>
  </si>
  <si>
    <t>D71069293</t>
  </si>
  <si>
    <t>MC1E4CAA5SP083613</t>
  </si>
  <si>
    <t>D71069567</t>
  </si>
  <si>
    <t>MC1E4DBA9RP050757</t>
  </si>
  <si>
    <t>D71047077</t>
  </si>
  <si>
    <t>31-Aug-25</t>
  </si>
  <si>
    <t>MC1E4CAA6SP083460</t>
  </si>
  <si>
    <t>D71069217</t>
  </si>
  <si>
    <t>30-Oct-25</t>
  </si>
  <si>
    <t>MC1D4DBA7SP107247</t>
  </si>
  <si>
    <t>D72018852</t>
  </si>
  <si>
    <t>MC1D4DEA3SP108987</t>
  </si>
  <si>
    <t>D72020755</t>
  </si>
  <si>
    <t>27-Jun-2025</t>
  </si>
  <si>
    <t>07-Oct-25</t>
  </si>
  <si>
    <t>00809278</t>
  </si>
  <si>
    <t>MC1E4DGA0TP058262</t>
  </si>
  <si>
    <t>D71086623</t>
  </si>
  <si>
    <t>00807201</t>
  </si>
  <si>
    <t>MC1E4EEA9SP016518</t>
  </si>
  <si>
    <t>D71081968</t>
  </si>
  <si>
    <t>00807123</t>
  </si>
  <si>
    <t>MC1E4EFA1SP016625</t>
  </si>
  <si>
    <t>D71082796</t>
  </si>
  <si>
    <t>00803177</t>
  </si>
  <si>
    <t>MC1L4ACA1SP002504</t>
  </si>
  <si>
    <t>D71076207</t>
  </si>
  <si>
    <t>19-Jun-2025</t>
  </si>
  <si>
    <t>00807509</t>
  </si>
  <si>
    <t>MC1L4BEA6SP001013</t>
  </si>
  <si>
    <t>D71080841</t>
  </si>
  <si>
    <t>SHKT400</t>
  </si>
  <si>
    <t>00008133</t>
  </si>
  <si>
    <t>MC1M4AFAXSP004879</t>
  </si>
  <si>
    <t>D71082671</t>
  </si>
  <si>
    <t>00328556</t>
  </si>
  <si>
    <t>MC1D4DDA6SP108709</t>
  </si>
  <si>
    <t>D72020395</t>
  </si>
  <si>
    <t>07-May-2025</t>
  </si>
  <si>
    <t>28-Aug-25</t>
  </si>
  <si>
    <t>00328544</t>
  </si>
  <si>
    <t>MC1D4DDA6SP108712</t>
  </si>
  <si>
    <t>D72020414</t>
  </si>
  <si>
    <t>MC1D4DFA6SP109257</t>
  </si>
  <si>
    <t>D72020977</t>
  </si>
  <si>
    <t>00803716</t>
  </si>
  <si>
    <t>MC1E4BGA2TP010119</t>
  </si>
  <si>
    <t>D71084805</t>
  </si>
  <si>
    <t>05-Aug-2025</t>
  </si>
  <si>
    <t>09-Aug-25</t>
  </si>
  <si>
    <t>00803681</t>
  </si>
  <si>
    <t>MC1E4DEA1SP057462</t>
  </si>
  <si>
    <t>D71081127</t>
  </si>
  <si>
    <t>00804424</t>
  </si>
  <si>
    <t>MC1E4DFA5SP057964</t>
  </si>
  <si>
    <t>D71083483</t>
  </si>
  <si>
    <t>00804752</t>
  </si>
  <si>
    <t>MC1E4DFA6SP058024</t>
  </si>
  <si>
    <t>D71084329</t>
  </si>
  <si>
    <t>22-Jul-2025</t>
  </si>
  <si>
    <t>00803976</t>
  </si>
  <si>
    <t>MC1E4DGA0TP058150</t>
  </si>
  <si>
    <t>D71085798</t>
  </si>
  <si>
    <t>00803925</t>
  </si>
  <si>
    <t>MC1E4DGA0TP058214</t>
  </si>
  <si>
    <t>D71086208</t>
  </si>
  <si>
    <t>19-Jul-2025</t>
  </si>
  <si>
    <t>00811130</t>
  </si>
  <si>
    <t>MC1E4DGA1TP058268</t>
  </si>
  <si>
    <t>D71086726</t>
  </si>
  <si>
    <t>31-Jul-2025</t>
  </si>
  <si>
    <t>00803982</t>
  </si>
  <si>
    <t>MC1E4DGA4TP058152</t>
  </si>
  <si>
    <t>D71084760</t>
  </si>
  <si>
    <t>17-Jul-2025</t>
  </si>
  <si>
    <t>00803926</t>
  </si>
  <si>
    <t>MC1E4DGA4TP058183</t>
  </si>
  <si>
    <t>D71085684</t>
  </si>
  <si>
    <t>00803927</t>
  </si>
  <si>
    <t>MC1E4DGA5TP058208</t>
  </si>
  <si>
    <t>D71086083</t>
  </si>
  <si>
    <t>00803739</t>
  </si>
  <si>
    <t>MC1E4DGA6TP058427</t>
  </si>
  <si>
    <t>D71086483</t>
  </si>
  <si>
    <t>00803751</t>
  </si>
  <si>
    <t>MC1E4DGA7TP058193</t>
  </si>
  <si>
    <t>D71086063</t>
  </si>
  <si>
    <t>00803995</t>
  </si>
  <si>
    <t>MC1E4DGA9TP058146</t>
  </si>
  <si>
    <t>D71085879</t>
  </si>
  <si>
    <t>00809428</t>
  </si>
  <si>
    <t>MC1E4EFA6SP016846</t>
  </si>
  <si>
    <t>D71084407</t>
  </si>
  <si>
    <t>26-Jul-2025</t>
  </si>
  <si>
    <t>00804649</t>
  </si>
  <si>
    <t>MC1E4EGA2TP016942</t>
  </si>
  <si>
    <t>D71085151</t>
  </si>
  <si>
    <t>00807004</t>
  </si>
  <si>
    <t>MC1E4EGAXTP017062</t>
  </si>
  <si>
    <t>D71086073</t>
  </si>
  <si>
    <t>13-Aug-2025</t>
  </si>
  <si>
    <t>00784170</t>
  </si>
  <si>
    <t>MC1E4FEAXSP023810</t>
  </si>
  <si>
    <t>D71081785</t>
  </si>
  <si>
    <t>00805597</t>
  </si>
  <si>
    <t>MC1E4FGA6TP024192</t>
  </si>
  <si>
    <t>D71084960</t>
  </si>
  <si>
    <t>30-Jul-2025</t>
  </si>
  <si>
    <t>00805626</t>
  </si>
  <si>
    <t>MC1E4FHA6TP024451</t>
  </si>
  <si>
    <t>D71084603</t>
  </si>
  <si>
    <t>20-Aug-2025</t>
  </si>
  <si>
    <t>00789501</t>
  </si>
  <si>
    <t>MC1E4FMA7SP021952</t>
  </si>
  <si>
    <t>D71067134</t>
  </si>
  <si>
    <t>28-Dec-2024</t>
  </si>
  <si>
    <t>00807558</t>
  </si>
  <si>
    <t>MC1L4AGA5TP002940</t>
  </si>
  <si>
    <t>D71084943</t>
  </si>
  <si>
    <t>18-Jul-2025</t>
  </si>
  <si>
    <t>00007823</t>
  </si>
  <si>
    <t>MC1M4AFAXSP005174</t>
  </si>
  <si>
    <t>D71084195</t>
  </si>
  <si>
    <t>25-Jul-2025</t>
  </si>
  <si>
    <t>00008254</t>
  </si>
  <si>
    <t>MC1M4AGA9TP005375</t>
  </si>
  <si>
    <t>D71086045</t>
  </si>
  <si>
    <t>29-Jul-2025</t>
  </si>
  <si>
    <t>00784273</t>
  </si>
  <si>
    <t>MC1E4FGA3TP024277</t>
  </si>
  <si>
    <t>D71086390</t>
  </si>
  <si>
    <t>21-Jul-2025</t>
  </si>
  <si>
    <t>00784274</t>
  </si>
  <si>
    <t>MC1E4FGA7TP024279</t>
  </si>
  <si>
    <t>D71086413</t>
  </si>
  <si>
    <t>00008040</t>
  </si>
  <si>
    <t>MC1M4AGA6TP005589</t>
  </si>
  <si>
    <t>D71087408</t>
  </si>
  <si>
    <t>11-11-2025</t>
  </si>
  <si>
    <t>03-11-2025</t>
  </si>
  <si>
    <t>W26C00006722</t>
  </si>
  <si>
    <t>WAR26E000177</t>
  </si>
  <si>
    <t>MC1E4CAA4SP083554</t>
  </si>
  <si>
    <t>D71069609</t>
  </si>
  <si>
    <t>23-10-2025</t>
  </si>
  <si>
    <t>AC0113</t>
  </si>
  <si>
    <t>AC0114</t>
  </si>
  <si>
    <t>W26C00006731</t>
  </si>
  <si>
    <t>WAR26E000182</t>
  </si>
  <si>
    <t>06-11-2025</t>
  </si>
  <si>
    <t>MC1E4CAAXSP084658</t>
  </si>
  <si>
    <t>D71070288</t>
  </si>
  <si>
    <t>29-10-2025</t>
  </si>
  <si>
    <t>W26C00006714</t>
  </si>
  <si>
    <t>WAR26E000176</t>
  </si>
  <si>
    <t>MC1E4EKA0SP014533</t>
  </si>
  <si>
    <t>D71064560</t>
  </si>
  <si>
    <t>28-12-2024</t>
  </si>
  <si>
    <t>26-10-2025</t>
  </si>
  <si>
    <t>P229E-08, P229E-91, P229E-85 &amp; P2BAE-09</t>
  </si>
  <si>
    <t>W26C00006730</t>
  </si>
  <si>
    <t>WAR26E000181</t>
  </si>
  <si>
    <t>MC1E4CBA6SP086065</t>
  </si>
  <si>
    <t>D71073626</t>
  </si>
  <si>
    <t>W26C00006706</t>
  </si>
  <si>
    <t>WAR26E000175</t>
  </si>
  <si>
    <t>24-10-2025</t>
  </si>
  <si>
    <t>T006865860030</t>
  </si>
  <si>
    <t>RADIATOR PART KIT -</t>
  </si>
  <si>
    <t>WRONG PART RECEIVED / CLAIMED</t>
  </si>
  <si>
    <t>W26C00006724</t>
  </si>
  <si>
    <t>WAR26E000178</t>
  </si>
  <si>
    <t>MC1E4CAA5SP084244</t>
  </si>
  <si>
    <t>D71069525</t>
  </si>
  <si>
    <t>W26C00006734</t>
  </si>
  <si>
    <t>WAR26E000185</t>
  </si>
  <si>
    <t>MC1E4CAA4SP084087</t>
  </si>
  <si>
    <t>D71070298</t>
  </si>
  <si>
    <t>31-10-2025</t>
  </si>
  <si>
    <t>W26C00005928</t>
  </si>
  <si>
    <t>WAR26E000168</t>
  </si>
  <si>
    <t>26-08-2025</t>
  </si>
  <si>
    <t>T006864300201</t>
  </si>
  <si>
    <t>TANDEM MASTER CYL. A</t>
  </si>
  <si>
    <t>ABS-10</t>
  </si>
  <si>
    <t>W26C00006732</t>
  </si>
  <si>
    <t>WAR26E000183</t>
  </si>
  <si>
    <t>MC1E4CAA1SP084676</t>
  </si>
  <si>
    <t>D71069730</t>
  </si>
  <si>
    <t>W26C00006727</t>
  </si>
  <si>
    <t>WAR26E000179</t>
  </si>
  <si>
    <t>MC1E4CAA8SP083640</t>
  </si>
  <si>
    <t>D71069409</t>
  </si>
  <si>
    <t>W26C00005924</t>
  </si>
  <si>
    <t>WAR26E000167</t>
  </si>
  <si>
    <t>27-02-2025</t>
  </si>
  <si>
    <t>17-08-2025</t>
  </si>
  <si>
    <t>T006869813905</t>
  </si>
  <si>
    <t>TAPER ROLLER BEARING</t>
  </si>
  <si>
    <t>RA0301</t>
  </si>
  <si>
    <t>W26C00006729</t>
  </si>
  <si>
    <t>WAR26E000180</t>
  </si>
  <si>
    <t>W26C00006613</t>
  </si>
  <si>
    <t>WAR26E000172</t>
  </si>
  <si>
    <t>24-09-2025</t>
  </si>
  <si>
    <t>trouble code are P2BA8-00 P242C-11 P2463-85 P24A-00.</t>
  </si>
  <si>
    <t>EL2014</t>
  </si>
  <si>
    <t>W26C00006609</t>
  </si>
  <si>
    <t>WAR26E000171</t>
  </si>
  <si>
    <t>05-03-2025</t>
  </si>
  <si>
    <t>16-09-2025</t>
  </si>
  <si>
    <t>VERY POOR FREE SERVICE RECORD.</t>
  </si>
  <si>
    <t>. Error codes found: P106000, P204713, P2BA800 , Adblue Purchase histo</t>
  </si>
  <si>
    <t>W26C00006733</t>
  </si>
  <si>
    <t>WAR26E000184</t>
  </si>
  <si>
    <t>WCI26E000192</t>
  </si>
  <si>
    <t>G26C00000099</t>
  </si>
  <si>
    <t>25-11-2025</t>
  </si>
  <si>
    <t>22-03-2024</t>
  </si>
  <si>
    <t>30-10-2025</t>
  </si>
  <si>
    <t>EXH-2</t>
  </si>
  <si>
    <t>W26C00005325</t>
  </si>
  <si>
    <t>WAR26E000164</t>
  </si>
  <si>
    <t>30-07-2025</t>
  </si>
  <si>
    <t>B008545420117</t>
  </si>
  <si>
    <t>Error Code Not Submitted By Dealer</t>
  </si>
  <si>
    <t>W26C00006527</t>
  </si>
  <si>
    <t>WAR26E000170</t>
  </si>
  <si>
    <t>05-09-2025</t>
  </si>
  <si>
    <t>T006865862431</t>
  </si>
  <si>
    <t>SHIFTING DOME KIT</t>
  </si>
  <si>
    <t>Request all dealers to use correct Shifting Dome  Assly part code as T</t>
  </si>
  <si>
    <t>W26C00004826</t>
  </si>
  <si>
    <t>WAR26E000107</t>
  </si>
  <si>
    <t>26-11-2025</t>
  </si>
  <si>
    <t>21-04-2025</t>
  </si>
  <si>
    <t>18-07-2025</t>
  </si>
  <si>
    <t>W26C00005317</t>
  </si>
  <si>
    <t>WAR26E000162</t>
  </si>
  <si>
    <t>11-02-2025</t>
  </si>
  <si>
    <t>W26C00006646</t>
  </si>
  <si>
    <t>WAR26E000174</t>
  </si>
  <si>
    <t>05-11-2025</t>
  </si>
  <si>
    <t>T006864001117</t>
  </si>
  <si>
    <t>SPARE WHEEL MTG. UNI</t>
  </si>
  <si>
    <t>W26C00005929</t>
  </si>
  <si>
    <t>WAR26E000169</t>
  </si>
  <si>
    <t>10-10-2025</t>
  </si>
  <si>
    <t>B008688300003</t>
  </si>
  <si>
    <t>EVAPORATOR ASSY COMP</t>
  </si>
  <si>
    <t>W26C00006643</t>
  </si>
  <si>
    <t>WAR26E000173</t>
  </si>
  <si>
    <t>MC1M4AHA3TP005810</t>
  </si>
  <si>
    <t>D71088618</t>
  </si>
  <si>
    <t>05-10-2025</t>
  </si>
  <si>
    <t>EL2076</t>
  </si>
  <si>
    <t>WCI25D000009</t>
  </si>
  <si>
    <t>W25P00000544</t>
  </si>
  <si>
    <t>WAR25D000009</t>
  </si>
  <si>
    <t>09-04-2025</t>
  </si>
  <si>
    <t>MC1D4GFA5RP000137</t>
  </si>
  <si>
    <t>D72015603</t>
  </si>
  <si>
    <t>GURKHA</t>
  </si>
  <si>
    <t>25-06-2024</t>
  </si>
  <si>
    <t>B008555404762</t>
  </si>
  <si>
    <t>INSTRUMENT CLUSTER A</t>
  </si>
  <si>
    <t>WCI25D000008</t>
  </si>
  <si>
    <t>W25P00000542</t>
  </si>
  <si>
    <t>WAR25D000008</t>
  </si>
  <si>
    <t>B008682600045</t>
  </si>
  <si>
    <t>ASSLY TRIPLE CONE SY</t>
  </si>
  <si>
    <t>G28-33</t>
  </si>
  <si>
    <t>WCI25D000007</t>
  </si>
  <si>
    <t>W25P00000540</t>
  </si>
  <si>
    <t>WAR25D000007</t>
  </si>
  <si>
    <t>MC1D4GGAXSP000249</t>
  </si>
  <si>
    <t>D72015970</t>
  </si>
  <si>
    <t>09-12-2024</t>
  </si>
  <si>
    <t>16-02-2025</t>
  </si>
  <si>
    <t>B008685450211</t>
  </si>
  <si>
    <t>NEUTRAL SWITCH (T1N)</t>
  </si>
  <si>
    <t>G28-16</t>
  </si>
  <si>
    <t>W26P00000132</t>
  </si>
  <si>
    <t>WAR26D000001</t>
  </si>
  <si>
    <t>15-09-2025</t>
  </si>
  <si>
    <t>B008553300802</t>
  </si>
  <si>
    <t>DRIVE SHAFT ASLY COM</t>
  </si>
  <si>
    <t>6 months/50k kms, whichever occurs earlier</t>
  </si>
  <si>
    <t>FA-1</t>
  </si>
  <si>
    <t>WCI26D000002</t>
  </si>
  <si>
    <t>G26P00000056</t>
  </si>
  <si>
    <t>GDW26D000001</t>
  </si>
  <si>
    <t>MC1D4GFA5RP000218</t>
  </si>
  <si>
    <t>D72015987</t>
  </si>
  <si>
    <t>A000049979047</t>
  </si>
  <si>
    <t>CRANKSHAFT OIL SEAL</t>
  </si>
  <si>
    <t>B008080110010</t>
  </si>
  <si>
    <t>CYLINDER LINER (TD26</t>
  </si>
  <si>
    <t>B008080161420</t>
  </si>
  <si>
    <t>CYLINDER HEAD GASKET</t>
  </si>
  <si>
    <t>B008080302620</t>
  </si>
  <si>
    <t>CONN ROD ASSY SET FO</t>
  </si>
  <si>
    <t>B008080307901</t>
  </si>
  <si>
    <t>CRANK SHAFT ASSLY (C</t>
  </si>
  <si>
    <t>B008080705201</t>
  </si>
  <si>
    <t>FIP DUP1.18 WITH CAM</t>
  </si>
  <si>
    <t>EN0104</t>
  </si>
  <si>
    <t>13-Nov-25</t>
  </si>
  <si>
    <t>SCI26E000016</t>
  </si>
  <si>
    <t>29-Oct-25</t>
  </si>
  <si>
    <t>28-Nov-25</t>
  </si>
  <si>
    <t>07-Sep-25</t>
  </si>
  <si>
    <t>15-Sep-25</t>
  </si>
  <si>
    <t>19-Sep-25</t>
  </si>
  <si>
    <t>04-Sep-25</t>
  </si>
  <si>
    <t>24-Sep-25</t>
  </si>
  <si>
    <t>25-Sep-25</t>
  </si>
  <si>
    <t>21-Sep-25</t>
  </si>
  <si>
    <t>29-Sep-25</t>
  </si>
  <si>
    <t>26-Sep-25</t>
  </si>
  <si>
    <t>03-Sep-25</t>
  </si>
  <si>
    <t>14-Sep-25</t>
  </si>
  <si>
    <t>08-Sep-25</t>
  </si>
  <si>
    <t>02-Sep-25</t>
  </si>
  <si>
    <t>MC1D4DCA8RP103829</t>
  </si>
  <si>
    <t>D72014553</t>
  </si>
  <si>
    <t>05-Sep-25</t>
  </si>
  <si>
    <t>10-Sep-25</t>
  </si>
  <si>
    <t>11-Sep-25</t>
  </si>
  <si>
    <t>MC1E4CAA8SP084044</t>
  </si>
  <si>
    <t>D71070263</t>
  </si>
  <si>
    <t>27-Sep-25</t>
  </si>
  <si>
    <t>30-Sep-25</t>
  </si>
  <si>
    <t>28-Sep-25</t>
  </si>
  <si>
    <t>MC1E5DFA5RP000543</t>
  </si>
  <si>
    <t>D73001391</t>
  </si>
  <si>
    <t>MC1E4CAAXSP083963</t>
  </si>
  <si>
    <t>D71070041</t>
  </si>
  <si>
    <t>09-Sep-25</t>
  </si>
  <si>
    <t>MC1D4DBAXSP107694</t>
  </si>
  <si>
    <t>D72019388</t>
  </si>
  <si>
    <t>MC1E4CBAXSP085503</t>
  </si>
  <si>
    <t>D71072602</t>
  </si>
  <si>
    <t>MC1E4CAA0SP084202</t>
  </si>
  <si>
    <t>D71069719</t>
  </si>
  <si>
    <t>06-Nov-23</t>
  </si>
  <si>
    <t>M/S GOENKA AUTO PVT LTD</t>
  </si>
  <si>
    <t>SCI26D000001</t>
  </si>
  <si>
    <t>GURK44B6</t>
  </si>
  <si>
    <t>PVD</t>
  </si>
  <si>
    <t>MC1D4GFAXRP000201</t>
  </si>
  <si>
    <t>D72015901</t>
  </si>
  <si>
    <t>PDI COUPON HARD COPY NOT RECEIVED</t>
  </si>
  <si>
    <t>010</t>
  </si>
  <si>
    <t>LATE SUBMISSION</t>
  </si>
  <si>
    <t>00107479</t>
  </si>
  <si>
    <t>MC1D4GHA8SP000314</t>
  </si>
  <si>
    <t>D72016659</t>
  </si>
  <si>
    <t>19-Nov-2024</t>
  </si>
  <si>
    <t>WCI26E000268</t>
  </si>
  <si>
    <t>WCI26E000269</t>
  </si>
  <si>
    <t>WCI26E000270</t>
  </si>
  <si>
    <t>WCI26E000271</t>
  </si>
  <si>
    <t>WCI26E000272</t>
  </si>
  <si>
    <t>WCI26E000273</t>
  </si>
  <si>
    <t>WCI26E000274</t>
  </si>
  <si>
    <t>WCI26E000275</t>
  </si>
  <si>
    <t>WCI26E000276</t>
  </si>
  <si>
    <t>WCI26E000277</t>
  </si>
  <si>
    <t>WCI26E000278</t>
  </si>
  <si>
    <t>WCI26E000279</t>
  </si>
  <si>
    <t>WCI26E000280</t>
  </si>
  <si>
    <t>WCI26E000281</t>
  </si>
  <si>
    <t>WCI26E000282</t>
  </si>
  <si>
    <t>WCI26E000283</t>
  </si>
  <si>
    <t>SCI26E000017</t>
  </si>
  <si>
    <t>SCI26E000018</t>
  </si>
  <si>
    <t>PCI26E000003</t>
  </si>
  <si>
    <t>PCI26E000004</t>
  </si>
  <si>
    <t>PCI26E000005</t>
  </si>
  <si>
    <t>SCI26E000019</t>
  </si>
  <si>
    <t>SCI26E000020</t>
  </si>
  <si>
    <t>SCI26E000021</t>
  </si>
  <si>
    <t>SCI26E000022</t>
  </si>
  <si>
    <t>WCI26E000284</t>
  </si>
  <si>
    <t>WCI26E000285</t>
  </si>
  <si>
    <t>WCI26E000286</t>
  </si>
  <si>
    <t>WCI26E000287</t>
  </si>
  <si>
    <t>WCI26E000288</t>
  </si>
  <si>
    <t>WCI26E000289</t>
  </si>
  <si>
    <t>WCI26E000290</t>
  </si>
  <si>
    <t>WCI26E000291</t>
  </si>
  <si>
    <t>WCI26E000292</t>
  </si>
  <si>
    <t>WCI26E000293</t>
  </si>
  <si>
    <t>WCI26E000294</t>
  </si>
  <si>
    <t>WCI26E000295</t>
  </si>
  <si>
    <t>WCI26E000296</t>
  </si>
  <si>
    <t>WCI26E000297</t>
  </si>
  <si>
    <t>WCI26E000298</t>
  </si>
  <si>
    <t>WCI26E000299</t>
  </si>
  <si>
    <t>WCI26E000300</t>
  </si>
  <si>
    <t>WCI26E000301</t>
  </si>
  <si>
    <t>WCI26E000302</t>
  </si>
  <si>
    <t>WCI26E000303</t>
  </si>
  <si>
    <t>WCI26E000304</t>
  </si>
  <si>
    <t>WCI26E000305</t>
  </si>
  <si>
    <t>WCI26E000306</t>
  </si>
  <si>
    <t>WCI26E000307</t>
  </si>
  <si>
    <t>WCI26E000308</t>
  </si>
  <si>
    <t>WCI26E000309</t>
  </si>
  <si>
    <t>SCI26E000023</t>
  </si>
  <si>
    <t>SCI26E000024</t>
  </si>
  <si>
    <t>SCI26E000025</t>
  </si>
  <si>
    <t>SCI26E000026</t>
  </si>
  <si>
    <t>WCI26E000193</t>
  </si>
  <si>
    <t>WCI26E000194</t>
  </si>
  <si>
    <t>WCI26E000195</t>
  </si>
  <si>
    <t>WCI26E000196</t>
  </si>
  <si>
    <t>WCI26E000197</t>
  </si>
  <si>
    <t>WCI26E000198</t>
  </si>
  <si>
    <t>WCI26E000199</t>
  </si>
  <si>
    <t>WCI26E000200</t>
  </si>
  <si>
    <t>WCI26E000201</t>
  </si>
  <si>
    <t>WCI26E000202</t>
  </si>
  <si>
    <t>WCI26E000203</t>
  </si>
  <si>
    <t>WCI26E000204</t>
  </si>
  <si>
    <t>WCI26E000205</t>
  </si>
  <si>
    <t>WCI26E000206</t>
  </si>
  <si>
    <t>WCI26E000207</t>
  </si>
  <si>
    <t>WCI26E000208</t>
  </si>
  <si>
    <t>WCI26E000209</t>
  </si>
  <si>
    <t>WCI26E000210</t>
  </si>
  <si>
    <t>WCI26E000211</t>
  </si>
  <si>
    <t>WCI26E000212</t>
  </si>
  <si>
    <t>WCI26E000213</t>
  </si>
  <si>
    <t>WCI26E000214</t>
  </si>
  <si>
    <t>WCI26E000215</t>
  </si>
  <si>
    <t>WCI26E000216</t>
  </si>
  <si>
    <t>WCI26E000217</t>
  </si>
  <si>
    <t>WCI26E000218</t>
  </si>
  <si>
    <t>WCI26E000219</t>
  </si>
  <si>
    <t>WCI26E000220</t>
  </si>
  <si>
    <t>WCI26E000221</t>
  </si>
  <si>
    <t>WCI26E000222</t>
  </si>
  <si>
    <t>WCI26E000223</t>
  </si>
  <si>
    <t>WCI26E000224</t>
  </si>
  <si>
    <t>WCI26E000225</t>
  </si>
  <si>
    <t>WCI26E000226</t>
  </si>
  <si>
    <t>WCI26E000227</t>
  </si>
  <si>
    <t>WCI26E000228</t>
  </si>
  <si>
    <t>WCI26E000229</t>
  </si>
  <si>
    <t>WCI26E000230</t>
  </si>
  <si>
    <t>WCI26E000231</t>
  </si>
  <si>
    <t>WCI26E000232</t>
  </si>
  <si>
    <t>WCI26E000233</t>
  </si>
  <si>
    <t>WCI26E000234</t>
  </si>
  <si>
    <t>WCI26E000235</t>
  </si>
  <si>
    <t>WCI26E000236</t>
  </si>
  <si>
    <t>WCI26E000237</t>
  </si>
  <si>
    <t>WCI26E000238</t>
  </si>
  <si>
    <t>WCI26E000239</t>
  </si>
  <si>
    <t>WCI26E000240</t>
  </si>
  <si>
    <t>WCI26E000241</t>
  </si>
  <si>
    <t>WCI26E000242</t>
  </si>
  <si>
    <t>WCI26E000243</t>
  </si>
  <si>
    <t>WCI26E000244</t>
  </si>
  <si>
    <t>WCI26E000245</t>
  </si>
  <si>
    <t>WCI26E000246</t>
  </si>
  <si>
    <t>WCI26E000247</t>
  </si>
  <si>
    <t>WCI26E000248</t>
  </si>
  <si>
    <t>WCI26E000249</t>
  </si>
  <si>
    <t>WCI26E000250</t>
  </si>
  <si>
    <t>WCI26E000251</t>
  </si>
  <si>
    <t>WCI26E000252</t>
  </si>
  <si>
    <t>WCI26E000253</t>
  </si>
  <si>
    <t>WCI26E000254</t>
  </si>
  <si>
    <t>WCI26E000255</t>
  </si>
  <si>
    <t>WCI26E000256</t>
  </si>
  <si>
    <t>WCI26E000257</t>
  </si>
  <si>
    <t>WCI26E000258</t>
  </si>
  <si>
    <t>WCI26E000259</t>
  </si>
  <si>
    <t>WCI26E000260</t>
  </si>
  <si>
    <t>WCI26E000261</t>
  </si>
  <si>
    <t>WCI26E000262</t>
  </si>
  <si>
    <t>WCI26E000263</t>
  </si>
  <si>
    <t>WCI26E000264</t>
  </si>
  <si>
    <t>WCI26E000265</t>
  </si>
  <si>
    <t>WCI26E000266</t>
  </si>
  <si>
    <t>WCI26E000267</t>
  </si>
  <si>
    <t>SCI26D000003</t>
  </si>
  <si>
    <t>SCI26D000004</t>
  </si>
  <si>
    <t>HOLD DUE TO PCR</t>
  </si>
  <si>
    <t>03-12-2025</t>
  </si>
  <si>
    <t>17-12-2025</t>
  </si>
  <si>
    <t>01-12-2025</t>
  </si>
  <si>
    <t>02-12-2025</t>
  </si>
  <si>
    <t>30-11-2025</t>
  </si>
  <si>
    <t>W26C00007181</t>
  </si>
  <si>
    <t>WAR26E000190</t>
  </si>
  <si>
    <t>05-12-2025</t>
  </si>
  <si>
    <t>14-10-2024</t>
  </si>
  <si>
    <t>29-09-2025</t>
  </si>
  <si>
    <t>EL2017</t>
  </si>
  <si>
    <t>W26C00007177</t>
  </si>
  <si>
    <t>WAR26E000186</t>
  </si>
  <si>
    <t>W26C00007192</t>
  </si>
  <si>
    <t>WAR26E000199</t>
  </si>
  <si>
    <t>MC1D4DFA4SP109550</t>
  </si>
  <si>
    <t>D72021317</t>
  </si>
  <si>
    <t>W26C00007612</t>
  </si>
  <si>
    <t>WAR26E000244</t>
  </si>
  <si>
    <t>08-03-2025</t>
  </si>
  <si>
    <t>17-11-2025</t>
  </si>
  <si>
    <t>W26C00007194</t>
  </si>
  <si>
    <t>WAR26E000200</t>
  </si>
  <si>
    <t>07-11-2024</t>
  </si>
  <si>
    <t>W26C00007712</t>
  </si>
  <si>
    <t>WAR26E000260</t>
  </si>
  <si>
    <t>MC1D4DGA8TP109874</t>
  </si>
  <si>
    <t>D72021754</t>
  </si>
  <si>
    <t>29-11-2025</t>
  </si>
  <si>
    <t>W26C00007186</t>
  </si>
  <si>
    <t>WAR26E000194</t>
  </si>
  <si>
    <t>W26C00007614</t>
  </si>
  <si>
    <t>WAR26E000246</t>
  </si>
  <si>
    <t>MC1D4DEA0SP109143</t>
  </si>
  <si>
    <t>D72020882</t>
  </si>
  <si>
    <t>W26C00007197</t>
  </si>
  <si>
    <t>WAR26E000203</t>
  </si>
  <si>
    <t>07-08-2025</t>
  </si>
  <si>
    <t>W26C00007178</t>
  </si>
  <si>
    <t>WAR26E000187</t>
  </si>
  <si>
    <t>W26C00007625</t>
  </si>
  <si>
    <t>WAR26E000257</t>
  </si>
  <si>
    <t>22-02-2024</t>
  </si>
  <si>
    <t>W26C00007624</t>
  </si>
  <si>
    <t>WAR26E000256</t>
  </si>
  <si>
    <t>24-11-2023</t>
  </si>
  <si>
    <t>W26C00007207</t>
  </si>
  <si>
    <t>WAR26E000211</t>
  </si>
  <si>
    <t>28-08-2025</t>
  </si>
  <si>
    <t>W26C00007183</t>
  </si>
  <si>
    <t>WAR26E000191</t>
  </si>
  <si>
    <t>15-10-2024</t>
  </si>
  <si>
    <t>W26C00007201</t>
  </si>
  <si>
    <t>WAR26E000206</t>
  </si>
  <si>
    <t>14-04-2025</t>
  </si>
  <si>
    <t>W26C00007195</t>
  </si>
  <si>
    <t>WAR26E000201</t>
  </si>
  <si>
    <t>W26C00007191</t>
  </si>
  <si>
    <t>WAR26E000198</t>
  </si>
  <si>
    <t>29-04-2025</t>
  </si>
  <si>
    <t>W26C00007179</t>
  </si>
  <si>
    <t>WAR26E000188</t>
  </si>
  <si>
    <t>08-02-2025</t>
  </si>
  <si>
    <t>W26C00007190</t>
  </si>
  <si>
    <t>WAR26E000197</t>
  </si>
  <si>
    <t>02-08-2023</t>
  </si>
  <si>
    <t>W26C00007626</t>
  </si>
  <si>
    <t>WAR26E000258</t>
  </si>
  <si>
    <t>W26C00007621</t>
  </si>
  <si>
    <t>WAR26E000253</t>
  </si>
  <si>
    <t>MC1D4DJA4SP105571</t>
  </si>
  <si>
    <t>D72016966</t>
  </si>
  <si>
    <t>W26C00007623</t>
  </si>
  <si>
    <t>WAR26E000255</t>
  </si>
  <si>
    <t>27-08-2025</t>
  </si>
  <si>
    <t>W26C00007620</t>
  </si>
  <si>
    <t>WAR26E000252</t>
  </si>
  <si>
    <t>MC1D4DFA3SP109541</t>
  </si>
  <si>
    <t>D72021333</t>
  </si>
  <si>
    <t>W26C00007622</t>
  </si>
  <si>
    <t>WAR26E000254</t>
  </si>
  <si>
    <t>13-06-2025</t>
  </si>
  <si>
    <t>W26C00007184</t>
  </si>
  <si>
    <t>WAR26E000192</t>
  </si>
  <si>
    <t>28-02-2025</t>
  </si>
  <si>
    <t>W26C00007619</t>
  </si>
  <si>
    <t>WAR26E000251</t>
  </si>
  <si>
    <t>07-06-2025</t>
  </si>
  <si>
    <t>W26C00007188</t>
  </si>
  <si>
    <t>WAR26E000196</t>
  </si>
  <si>
    <t>20-08-2024</t>
  </si>
  <si>
    <t>W26C00007196</t>
  </si>
  <si>
    <t>WAR26E000202</t>
  </si>
  <si>
    <t>MC1D4DEAXPP100103</t>
  </si>
  <si>
    <t>D72010666</t>
  </si>
  <si>
    <t>13-06-2023</t>
  </si>
  <si>
    <t>W26C00007616</t>
  </si>
  <si>
    <t>WAR26E000248</t>
  </si>
  <si>
    <t>MC1D4DHA1RP100960</t>
  </si>
  <si>
    <t>D72011582</t>
  </si>
  <si>
    <t>24-08-2023</t>
  </si>
  <si>
    <t>W26C00007180</t>
  </si>
  <si>
    <t>WAR26E000189</t>
  </si>
  <si>
    <t>MC1D4DAA3SP106971</t>
  </si>
  <si>
    <t>D72018621</t>
  </si>
  <si>
    <t>W26C00007615</t>
  </si>
  <si>
    <t>WAR26E000247</t>
  </si>
  <si>
    <t>30-06-2023</t>
  </si>
  <si>
    <t>W26C00007627</t>
  </si>
  <si>
    <t>WAR26E000259</t>
  </si>
  <si>
    <t>13-12-2024</t>
  </si>
  <si>
    <t>W26C00007206</t>
  </si>
  <si>
    <t>WAR26E000210</t>
  </si>
  <si>
    <t>MC1D4DLA6SP106539</t>
  </si>
  <si>
    <t>D72018061</t>
  </si>
  <si>
    <t>W26C00007613</t>
  </si>
  <si>
    <t>WAR26E000245</t>
  </si>
  <si>
    <t>W26C00007187</t>
  </si>
  <si>
    <t>WAR26E000195</t>
  </si>
  <si>
    <t>W26C00007185</t>
  </si>
  <si>
    <t>WAR26E000193</t>
  </si>
  <si>
    <t>07-03-2025</t>
  </si>
  <si>
    <t>W26C00007205</t>
  </si>
  <si>
    <t>WAR26E000209</t>
  </si>
  <si>
    <t>26-12-2024</t>
  </si>
  <si>
    <t>W26C00007237</t>
  </si>
  <si>
    <t>WAR26E000238</t>
  </si>
  <si>
    <t>W26C00007220</t>
  </si>
  <si>
    <t>WAR26E000223</t>
  </si>
  <si>
    <t>23-08-2024</t>
  </si>
  <si>
    <t>W26C00007219</t>
  </si>
  <si>
    <t>WAR26E000222</t>
  </si>
  <si>
    <t>22-08-2024</t>
  </si>
  <si>
    <t>W26C00007236</t>
  </si>
  <si>
    <t>WAR26E000237</t>
  </si>
  <si>
    <t>09-09-2024</t>
  </si>
  <si>
    <t>W26C00007198</t>
  </si>
  <si>
    <t>WAR26E000204</t>
  </si>
  <si>
    <t>W26C00007199</t>
  </si>
  <si>
    <t>WAR26E000205</t>
  </si>
  <si>
    <t>19-07-2024</t>
  </si>
  <si>
    <t>W26C00007202</t>
  </si>
  <si>
    <t>WAR26E000207</t>
  </si>
  <si>
    <t>W26C00007618</t>
  </si>
  <si>
    <t>WAR26E000250</t>
  </si>
  <si>
    <t>MC1D1DFA8SP001649</t>
  </si>
  <si>
    <t>D72021156</t>
  </si>
  <si>
    <t>19-09-2025</t>
  </si>
  <si>
    <t>W26C00007203</t>
  </si>
  <si>
    <t>WAR26E000208</t>
  </si>
  <si>
    <t>W26C00007617</t>
  </si>
  <si>
    <t>WAR26E000249</t>
  </si>
  <si>
    <t>MC1D1DEA5RP001541</t>
  </si>
  <si>
    <t>D72015320</t>
  </si>
  <si>
    <t>10-08-2024</t>
  </si>
  <si>
    <t>W26C00007233</t>
  </si>
  <si>
    <t>WAR26E000234</t>
  </si>
  <si>
    <t>MC1M4AHA6SP002138</t>
  </si>
  <si>
    <t>D71060021</t>
  </si>
  <si>
    <t>W26C00007242</t>
  </si>
  <si>
    <t>WAR26E000243</t>
  </si>
  <si>
    <t>17-09-2024</t>
  </si>
  <si>
    <t>W26C00007229</t>
  </si>
  <si>
    <t>WAR26E000232</t>
  </si>
  <si>
    <t>W26C00007726</t>
  </si>
  <si>
    <t>WAR26E000263</t>
  </si>
  <si>
    <t>ERROR CODE P2BA8-00.</t>
  </si>
  <si>
    <t>W26C00007212</t>
  </si>
  <si>
    <t>WAR26E000215</t>
  </si>
  <si>
    <t>MC1M4AFA7RP001836</t>
  </si>
  <si>
    <t>D71056939</t>
  </si>
  <si>
    <t>W26C00007228</t>
  </si>
  <si>
    <t>WAR26E000231</t>
  </si>
  <si>
    <t>MC1M4AFA8RP001909</t>
  </si>
  <si>
    <t>D71057506</t>
  </si>
  <si>
    <t>W26C00007231</t>
  </si>
  <si>
    <t>WAR26E000233</t>
  </si>
  <si>
    <t>W26C00007213</t>
  </si>
  <si>
    <t>WAR26E000216</t>
  </si>
  <si>
    <t>04-12-2025</t>
  </si>
  <si>
    <t>MC1E4BGA0SP009615</t>
  </si>
  <si>
    <t>D71059434</t>
  </si>
  <si>
    <t>13-08-2024</t>
  </si>
  <si>
    <t>W26C00007735</t>
  </si>
  <si>
    <t>WAR26E000271</t>
  </si>
  <si>
    <t>24-11-2025</t>
  </si>
  <si>
    <t>W26C00007217</t>
  </si>
  <si>
    <t>WAR26E000220</t>
  </si>
  <si>
    <t>21-08-2024</t>
  </si>
  <si>
    <t>W26C00007740</t>
  </si>
  <si>
    <t>WAR26E000275</t>
  </si>
  <si>
    <t>MC1E4CAA8SP083461</t>
  </si>
  <si>
    <t>D71069266</t>
  </si>
  <si>
    <t>04-11-2025</t>
  </si>
  <si>
    <t>W26C00007210</t>
  </si>
  <si>
    <t>WAR26E000213</t>
  </si>
  <si>
    <t>26-07-2024</t>
  </si>
  <si>
    <t>W26C00007738</t>
  </si>
  <si>
    <t>WAR26E000274</t>
  </si>
  <si>
    <t>MC1E4CAA0SP083650</t>
  </si>
  <si>
    <t>D71069701</t>
  </si>
  <si>
    <t>W26C00007218</t>
  </si>
  <si>
    <t>WAR26E000221</t>
  </si>
  <si>
    <t>MC1E4DFA6RP053254</t>
  </si>
  <si>
    <t>D71056489</t>
  </si>
  <si>
    <t>W26C00007727</t>
  </si>
  <si>
    <t>WAR26E000264</t>
  </si>
  <si>
    <t>15-11-2025</t>
  </si>
  <si>
    <t>W26C00007216</t>
  </si>
  <si>
    <t>WAR26E000219</t>
  </si>
  <si>
    <t>17-08-2024</t>
  </si>
  <si>
    <t>W26C00007227</t>
  </si>
  <si>
    <t>WAR26E000230</t>
  </si>
  <si>
    <t>W26C00007209</t>
  </si>
  <si>
    <t>WAR26E000212</t>
  </si>
  <si>
    <t>25-07-2024</t>
  </si>
  <si>
    <t>W26C00007225</t>
  </si>
  <si>
    <t>WAR26E000228</t>
  </si>
  <si>
    <t>30-08-2024</t>
  </si>
  <si>
    <t>W26C00007717</t>
  </si>
  <si>
    <t>WAR26E000262</t>
  </si>
  <si>
    <t>MC1E5EHA5TP003503</t>
  </si>
  <si>
    <t>D73002245</t>
  </si>
  <si>
    <t>28-11-2025</t>
  </si>
  <si>
    <t>T006865427120</t>
  </si>
  <si>
    <t>HORN WITH CAPACITOR</t>
  </si>
  <si>
    <t>W26C00007734</t>
  </si>
  <si>
    <t>WAR26E000270</t>
  </si>
  <si>
    <t>18-11-2025</t>
  </si>
  <si>
    <t>AC0106</t>
  </si>
  <si>
    <t>W26C00007211</t>
  </si>
  <si>
    <t>WAR26E000214</t>
  </si>
  <si>
    <t>W26C00007238</t>
  </si>
  <si>
    <t>WAR26E000239</t>
  </si>
  <si>
    <t>11-09-2024</t>
  </si>
  <si>
    <t>W26C00007728</t>
  </si>
  <si>
    <t>WAR26E000265</t>
  </si>
  <si>
    <t>W26C00007736</t>
  </si>
  <si>
    <t>WAR26E000272</t>
  </si>
  <si>
    <t>W26C00007731</t>
  </si>
  <si>
    <t>WAR26E000268</t>
  </si>
  <si>
    <t>13-11-2025</t>
  </si>
  <si>
    <t>W26C00007729</t>
  </si>
  <si>
    <t>WAR26E000266</t>
  </si>
  <si>
    <t>W26C00007741</t>
  </si>
  <si>
    <t>WAR26E000276</t>
  </si>
  <si>
    <t>MC1E4CAA8SP084478</t>
  </si>
  <si>
    <t>D71071008</t>
  </si>
  <si>
    <t>W26C00007223</t>
  </si>
  <si>
    <t>WAR26E000226</t>
  </si>
  <si>
    <t>29-08-2024</t>
  </si>
  <si>
    <t>W26C00007224</t>
  </si>
  <si>
    <t>WAR26E000227</t>
  </si>
  <si>
    <t>W26C00007733</t>
  </si>
  <si>
    <t>WAR26E000269</t>
  </si>
  <si>
    <t>W26C00007742</t>
  </si>
  <si>
    <t>WAR26E000277</t>
  </si>
  <si>
    <t>W26C00007235</t>
  </si>
  <si>
    <t>WAR26E000236</t>
  </si>
  <si>
    <t>W26C00007222</t>
  </si>
  <si>
    <t>WAR26E000225</t>
  </si>
  <si>
    <t>26-08-2024</t>
  </si>
  <si>
    <t>W26C00007241</t>
  </si>
  <si>
    <t>WAR26E000242</t>
  </si>
  <si>
    <t>MC1E4DGA0SP053691</t>
  </si>
  <si>
    <t>D71058472</t>
  </si>
  <si>
    <t>16-09-2024</t>
  </si>
  <si>
    <t>W26C00007221</t>
  </si>
  <si>
    <t>WAR26E000224</t>
  </si>
  <si>
    <t>MC1E4DGA8SP053650</t>
  </si>
  <si>
    <t>D71058152</t>
  </si>
  <si>
    <t>W26C00007240</t>
  </si>
  <si>
    <t>WAR26E000241</t>
  </si>
  <si>
    <t>13-09-2024</t>
  </si>
  <si>
    <t>W26C00007730</t>
  </si>
  <si>
    <t>WAR26E000267</t>
  </si>
  <si>
    <t>W26C00007737</t>
  </si>
  <si>
    <t>WAR26E000273</t>
  </si>
  <si>
    <t>W26C00007214</t>
  </si>
  <si>
    <t>WAR26E000217</t>
  </si>
  <si>
    <t>16-08-2024</t>
  </si>
  <si>
    <t>W26C00007215</t>
  </si>
  <si>
    <t>WAR26E000218</t>
  </si>
  <si>
    <t>MC1E4EFA5RP013365</t>
  </si>
  <si>
    <t>D71057523</t>
  </si>
  <si>
    <t>W26C00007239</t>
  </si>
  <si>
    <t>WAR26E000240</t>
  </si>
  <si>
    <t>27-12-2025</t>
  </si>
  <si>
    <t>W26C00008204</t>
  </si>
  <si>
    <t>WAR26E000278</t>
  </si>
  <si>
    <t>29-12-2025</t>
  </si>
  <si>
    <t>13-12-2025</t>
  </si>
  <si>
    <t>W26C00008498</t>
  </si>
  <si>
    <t>WAR26E000293</t>
  </si>
  <si>
    <t>21-12-2025</t>
  </si>
  <si>
    <t>W26C00008228</t>
  </si>
  <si>
    <t>WAR26E000286</t>
  </si>
  <si>
    <t>27-11-2025</t>
  </si>
  <si>
    <t>AdBlue light glowing on dashboard and vehicle pick-up reduced.P2BAE-09</t>
  </si>
  <si>
    <t>W26C00008217</t>
  </si>
  <si>
    <t>WAR26E000283</t>
  </si>
  <si>
    <t>B008558302465</t>
  </si>
  <si>
    <t>COMPRESSOR ASSLY(647</t>
  </si>
  <si>
    <t>W26C00008466</t>
  </si>
  <si>
    <t>WAR26E000291</t>
  </si>
  <si>
    <t>08-12-2025</t>
  </si>
  <si>
    <t>W26C00008225</t>
  </si>
  <si>
    <t>WAR26E000285</t>
  </si>
  <si>
    <t>W26C00008500</t>
  </si>
  <si>
    <t>WAR26E000295</t>
  </si>
  <si>
    <t>W26C00008465</t>
  </si>
  <si>
    <t>WAR26E000290</t>
  </si>
  <si>
    <t>MC1E4CAA0SP084474</t>
  </si>
  <si>
    <t>D71070995</t>
  </si>
  <si>
    <t>W26C00008209</t>
  </si>
  <si>
    <t>WAR26E000282</t>
  </si>
  <si>
    <t>MC1E4EHA7TP017423</t>
  </si>
  <si>
    <t>D71089516</t>
  </si>
  <si>
    <t>20-11-2025</t>
  </si>
  <si>
    <t>B008085420717</t>
  </si>
  <si>
    <t>OIL PRESSURE SWITCH</t>
  </si>
  <si>
    <t>W26C00008208</t>
  </si>
  <si>
    <t>WAR26E000281</t>
  </si>
  <si>
    <t>W26C00008497</t>
  </si>
  <si>
    <t>WAR26E000292</t>
  </si>
  <si>
    <t>A000042030080</t>
  </si>
  <si>
    <t>GASKET</t>
  </si>
  <si>
    <t>Half Engine accepted after discussion /confirmation from Service HO</t>
  </si>
  <si>
    <t>A000042030980</t>
  </si>
  <si>
    <t>GASKET FOR WATERPUMP</t>
  </si>
  <si>
    <t>B008080520180</t>
  </si>
  <si>
    <t>GASKET- CHAIN TENSIO</t>
  </si>
  <si>
    <t>B008081420180</t>
  </si>
  <si>
    <t>GASKET INTAKE FRONT</t>
  </si>
  <si>
    <t>B008081420380</t>
  </si>
  <si>
    <t>GASKET INTAKE REAR</t>
  </si>
  <si>
    <t>B008081800443</t>
  </si>
  <si>
    <t>PISTON COOLING NOZZL</t>
  </si>
  <si>
    <t>B008089801805</t>
  </si>
  <si>
    <t>DEEP GROOVE BALL BRG</t>
  </si>
  <si>
    <t>B008081424380</t>
  </si>
  <si>
    <t>GASKET (INTAKE MANIF</t>
  </si>
  <si>
    <t>B008080161021</t>
  </si>
  <si>
    <t>GASKET (CYLINDER HEA</t>
  </si>
  <si>
    <t>XFOIL00014</t>
  </si>
  <si>
    <t>ENGINE OIL CK4 10W30</t>
  </si>
  <si>
    <t>B008081595401</t>
  </si>
  <si>
    <t>GLOW PLUG  BS VI  FM</t>
  </si>
  <si>
    <t>B008085868529</t>
  </si>
  <si>
    <t>HALF ENGINE ASSLY FM</t>
  </si>
  <si>
    <t>W26C00008499</t>
  </si>
  <si>
    <t>WAR26E000294</t>
  </si>
  <si>
    <t>MC1E4CBA1SP084935</t>
  </si>
  <si>
    <t>D71071483</t>
  </si>
  <si>
    <t>W26C00008207</t>
  </si>
  <si>
    <t>WAR26E000280</t>
  </si>
  <si>
    <t>31-12-2025</t>
  </si>
  <si>
    <t>18-08-2025</t>
  </si>
  <si>
    <t>10-11-2025</t>
  </si>
  <si>
    <t>B908687300495</t>
  </si>
  <si>
    <t>ASSLY INNER HANDLE S</t>
  </si>
  <si>
    <t>BD0433</t>
  </si>
  <si>
    <t>30-12-2025</t>
  </si>
  <si>
    <t>W26C00008702</t>
  </si>
  <si>
    <t>WAR26E000296</t>
  </si>
  <si>
    <t>B008684010001</t>
  </si>
  <si>
    <t>WHEEL RIM (6.5J R16)</t>
  </si>
  <si>
    <t>6 months/50k kms whichever occurs earlier</t>
  </si>
  <si>
    <t>W26C00008706</t>
  </si>
  <si>
    <t>WAR26E000299</t>
  </si>
  <si>
    <t>MC1E4CBA7SP086043</t>
  </si>
  <si>
    <t>D71073314</t>
  </si>
  <si>
    <t>24-12-2025</t>
  </si>
  <si>
    <t>W26C00008711</t>
  </si>
  <si>
    <t>WAR26E000303</t>
  </si>
  <si>
    <t>MC1E4CAA0SP083857</t>
  </si>
  <si>
    <t>D71069982</t>
  </si>
  <si>
    <t>28-12-2025</t>
  </si>
  <si>
    <t>W26C00008710</t>
  </si>
  <si>
    <t>WAR26E000302</t>
  </si>
  <si>
    <t>MC1E4CAA1SP084628</t>
  </si>
  <si>
    <t>D71070998</t>
  </si>
  <si>
    <t>W26C00008709</t>
  </si>
  <si>
    <t>WAR26E000301</t>
  </si>
  <si>
    <t>MC1E4CAA3SP083884</t>
  </si>
  <si>
    <t>D71069691</t>
  </si>
  <si>
    <t>W26C00008703</t>
  </si>
  <si>
    <t>WAR26E000297</t>
  </si>
  <si>
    <t>W26C00008707</t>
  </si>
  <si>
    <t>WAR26E000300</t>
  </si>
  <si>
    <t>W26C00008704</t>
  </si>
  <si>
    <t>WAR26E000298</t>
  </si>
  <si>
    <t>W26C00008221</t>
  </si>
  <si>
    <t>WAR26E000284</t>
  </si>
  <si>
    <t>14-11-2025</t>
  </si>
  <si>
    <t>B008081502502</t>
  </si>
  <si>
    <t>ALTERNATOR 12 V 110</t>
  </si>
  <si>
    <t>ENALT-3</t>
  </si>
  <si>
    <t>W26C00008458</t>
  </si>
  <si>
    <t>WAR26E000288</t>
  </si>
  <si>
    <t>MC1L4AGA0TP002988</t>
  </si>
  <si>
    <t>D71085640</t>
  </si>
  <si>
    <t>20-12-2025</t>
  </si>
  <si>
    <t>B008614700108</t>
  </si>
  <si>
    <t>FLOAT UNIT ASSEMBLY</t>
  </si>
  <si>
    <t>EL-32</t>
  </si>
  <si>
    <t>W26C00008456</t>
  </si>
  <si>
    <t>WAR26E000287</t>
  </si>
  <si>
    <t>MC1L4AGA6TP003000</t>
  </si>
  <si>
    <t>D71085641</t>
  </si>
  <si>
    <t>W26C00008206</t>
  </si>
  <si>
    <t>WAR26E000279</t>
  </si>
  <si>
    <t>MC1L4AGA7TP002972</t>
  </si>
  <si>
    <t>D71085539</t>
  </si>
  <si>
    <t>27-09-2025</t>
  </si>
  <si>
    <t>07-11-2025</t>
  </si>
  <si>
    <t>W26C00008460</t>
  </si>
  <si>
    <t>WAR26E000289</t>
  </si>
  <si>
    <t>MC1L4AGA9TP003024</t>
  </si>
  <si>
    <t>D71086843</t>
  </si>
  <si>
    <t>B008614300208</t>
  </si>
  <si>
    <t>UNIBOOSTER ASSLY (BR</t>
  </si>
  <si>
    <t>BR-10</t>
  </si>
  <si>
    <t>W26C00007226</t>
  </si>
  <si>
    <t>WAR26E000229</t>
  </si>
  <si>
    <t>MC1E4FGA6SP020920</t>
  </si>
  <si>
    <t>D71058109</t>
  </si>
  <si>
    <t>W26C00007234</t>
  </si>
  <si>
    <t>WAR26E000235</t>
  </si>
  <si>
    <t>MC1E4FHA7SP021377</t>
  </si>
  <si>
    <t>D71060883</t>
  </si>
  <si>
    <t>05-09-2024</t>
  </si>
  <si>
    <t>30-Aug-25</t>
  </si>
  <si>
    <t>00809348</t>
  </si>
  <si>
    <t>MC1E4EFA7SP016841</t>
  </si>
  <si>
    <t>D71084344</t>
  </si>
  <si>
    <t>28-Jul-2025</t>
  </si>
  <si>
    <t>12-Dec-25</t>
  </si>
  <si>
    <t>00331230</t>
  </si>
  <si>
    <t>20-Sep-25</t>
  </si>
  <si>
    <t>00328660</t>
  </si>
  <si>
    <t>00330206</t>
  </si>
  <si>
    <t>00807030</t>
  </si>
  <si>
    <t>MC1E4BGA0TP010121</t>
  </si>
  <si>
    <t>D71085880</t>
  </si>
  <si>
    <t>21-Aug-2025</t>
  </si>
  <si>
    <t>00804200</t>
  </si>
  <si>
    <t>MC1E4CEAXSP087859</t>
  </si>
  <si>
    <t>D71080519</t>
  </si>
  <si>
    <t>17-Jun-2025</t>
  </si>
  <si>
    <t>00804311</t>
  </si>
  <si>
    <t>MC1E4CGA7TP088661</t>
  </si>
  <si>
    <t>D71085433</t>
  </si>
  <si>
    <t>00811129</t>
  </si>
  <si>
    <t>MC1E4DGA1TP058352</t>
  </si>
  <si>
    <t>D71086950</t>
  </si>
  <si>
    <t>00803737</t>
  </si>
  <si>
    <t>MC1E4DGA2TP058456</t>
  </si>
  <si>
    <t>D71087194</t>
  </si>
  <si>
    <t>00803738</t>
  </si>
  <si>
    <t>MC1E4DGA4TP058426</t>
  </si>
  <si>
    <t>D71086884</t>
  </si>
  <si>
    <t>00803740</t>
  </si>
  <si>
    <t>MC1E4DGA7TP058422</t>
  </si>
  <si>
    <t>D71086391</t>
  </si>
  <si>
    <t>MC1E4DGA9TP058454</t>
  </si>
  <si>
    <t>D71087328</t>
  </si>
  <si>
    <t>11-Aug-2025</t>
  </si>
  <si>
    <t>00808516</t>
  </si>
  <si>
    <t>MC1E4DHA9TP058548</t>
  </si>
  <si>
    <t>D71087190</t>
  </si>
  <si>
    <t>31-Aug-2025</t>
  </si>
  <si>
    <t>00809347</t>
  </si>
  <si>
    <t>MC1E4EFA9SP016825</t>
  </si>
  <si>
    <t>D71084322</t>
  </si>
  <si>
    <t>00809345</t>
  </si>
  <si>
    <t>MC1E4EFA9SP016839</t>
  </si>
  <si>
    <t>D71084370</t>
  </si>
  <si>
    <t>00812507</t>
  </si>
  <si>
    <t>MC1E4EHA1TP017336</t>
  </si>
  <si>
    <t>D71088319</t>
  </si>
  <si>
    <t>23-Sep-2025</t>
  </si>
  <si>
    <t>00812646</t>
  </si>
  <si>
    <t>MC1E4EHA2TP017409</t>
  </si>
  <si>
    <t>D71089032</t>
  </si>
  <si>
    <t>26-Sep-2025</t>
  </si>
  <si>
    <t>00812654</t>
  </si>
  <si>
    <t>MC1E4EHA3TP017418</t>
  </si>
  <si>
    <t>D71084598</t>
  </si>
  <si>
    <t>29-Sep-2025</t>
  </si>
  <si>
    <t>00813415</t>
  </si>
  <si>
    <t>MC1E4EHA7TP017406</t>
  </si>
  <si>
    <t>D71089324</t>
  </si>
  <si>
    <t>27-Sep-2025</t>
  </si>
  <si>
    <t>00812740</t>
  </si>
  <si>
    <t>MC1E4EHAXTP017223</t>
  </si>
  <si>
    <t>D71087675</t>
  </si>
  <si>
    <t>00810977</t>
  </si>
  <si>
    <t>MC1E4FFA7SP023956</t>
  </si>
  <si>
    <t>D71083068</t>
  </si>
  <si>
    <t>30-Sep-2025</t>
  </si>
  <si>
    <t>00807898</t>
  </si>
  <si>
    <t>25-Sep-2025</t>
  </si>
  <si>
    <t>00807899</t>
  </si>
  <si>
    <t>MC1L4AGA7TP003023</t>
  </si>
  <si>
    <t>D71086825</t>
  </si>
  <si>
    <t>00807900</t>
  </si>
  <si>
    <t>00008001</t>
  </si>
  <si>
    <t>MC1M4AGA7TP005598</t>
  </si>
  <si>
    <t>D71086772</t>
  </si>
  <si>
    <t>00010848</t>
  </si>
  <si>
    <t>MC1M4AHA1TP005787</t>
  </si>
  <si>
    <t>D71088204</t>
  </si>
  <si>
    <t>22-Sep-2025</t>
  </si>
  <si>
    <t>00009007</t>
  </si>
  <si>
    <t>30-Aug-2025</t>
  </si>
  <si>
    <t>00009009</t>
  </si>
  <si>
    <t>MC1M4AHA5TP005808</t>
  </si>
  <si>
    <t>D71088617</t>
  </si>
  <si>
    <t>00009836</t>
  </si>
  <si>
    <t>MC1M4AHA6TP005896</t>
  </si>
  <si>
    <t>D71088837</t>
  </si>
  <si>
    <t>00009322</t>
  </si>
  <si>
    <t>MC1M4AHAXTP005898</t>
  </si>
  <si>
    <t>D71088606</t>
  </si>
  <si>
    <t>00009769</t>
  </si>
  <si>
    <t>MC1M4AJA3TP006062</t>
  </si>
  <si>
    <t>D71089963</t>
  </si>
  <si>
    <t>00010846</t>
  </si>
  <si>
    <t>MC1M4AJA5TP006077</t>
  </si>
  <si>
    <t>D71089905</t>
  </si>
  <si>
    <t>17-Dec-25</t>
  </si>
  <si>
    <t>Sum of Actual Credit Amt To dealer (A-B)</t>
  </si>
  <si>
    <t>Sum of Net Amount</t>
  </si>
  <si>
    <t>Pending for SHVP Approval</t>
  </si>
  <si>
    <t>MWCI26E000002</t>
  </si>
  <si>
    <t>MWCI26E000003</t>
  </si>
  <si>
    <t>MWCI26E000004</t>
  </si>
  <si>
    <t>16-02-2026</t>
  </si>
  <si>
    <t>31-01-2026</t>
  </si>
  <si>
    <t>02-02-2026</t>
  </si>
  <si>
    <t>WCI26E000349</t>
  </si>
  <si>
    <t>28-01-2026</t>
  </si>
  <si>
    <t>W26C00009281</t>
  </si>
  <si>
    <t>WAR26E000343</t>
  </si>
  <si>
    <t>27-02-2026</t>
  </si>
  <si>
    <t>20-03-2025</t>
  </si>
  <si>
    <t>05-01-2026</t>
  </si>
  <si>
    <t>WCI26E000324</t>
  </si>
  <si>
    <t>W26C00009255</t>
  </si>
  <si>
    <t>WAR26E000318</t>
  </si>
  <si>
    <t>17-06-2025</t>
  </si>
  <si>
    <t>WCI26E000344</t>
  </si>
  <si>
    <t>W26C00009276</t>
  </si>
  <si>
    <t>WAR26E000338</t>
  </si>
  <si>
    <t>WCI26E000336</t>
  </si>
  <si>
    <t>W26C00009267</t>
  </si>
  <si>
    <t>WAR26E000330</t>
  </si>
  <si>
    <t>29-01-2026</t>
  </si>
  <si>
    <t>WCI26E000316</t>
  </si>
  <si>
    <t>W26C00009246</t>
  </si>
  <si>
    <t>WAR26E000310</t>
  </si>
  <si>
    <t>MC1D4DJA5RP101362</t>
  </si>
  <si>
    <t>D72011982</t>
  </si>
  <si>
    <t>22-09-2023</t>
  </si>
  <si>
    <t>09-12-2025</t>
  </si>
  <si>
    <t>WCI26E000314</t>
  </si>
  <si>
    <t>W26C00009244</t>
  </si>
  <si>
    <t>WAR26E000308</t>
  </si>
  <si>
    <t>20-09-2023</t>
  </si>
  <si>
    <t>WCI26E000331</t>
  </si>
  <si>
    <t>W26C00009262</t>
  </si>
  <si>
    <t>WAR26E000325</t>
  </si>
  <si>
    <t>17-02-2024</t>
  </si>
  <si>
    <t>WCI26E000315</t>
  </si>
  <si>
    <t>W26C00009245</t>
  </si>
  <si>
    <t>WAR26E000309</t>
  </si>
  <si>
    <t>29-11-2023</t>
  </si>
  <si>
    <t>WCI26E000334</t>
  </si>
  <si>
    <t>W26C00009265</t>
  </si>
  <si>
    <t>WAR26E000328</t>
  </si>
  <si>
    <t>MC1D4DEA8PP100150</t>
  </si>
  <si>
    <t>D72010717</t>
  </si>
  <si>
    <t>14-06-2023</t>
  </si>
  <si>
    <t>WCI26E000347</t>
  </si>
  <si>
    <t>W26C00009279</t>
  </si>
  <si>
    <t>WAR26E000341</t>
  </si>
  <si>
    <t>28-05-2025</t>
  </si>
  <si>
    <t>WCI26E000322</t>
  </si>
  <si>
    <t>W26C00009253</t>
  </si>
  <si>
    <t>WAR26E000316</t>
  </si>
  <si>
    <t>WCI26E000333</t>
  </si>
  <si>
    <t>W26C00009264</t>
  </si>
  <si>
    <t>WAR26E000327</t>
  </si>
  <si>
    <t>MC1D4DCA4RP103830</t>
  </si>
  <si>
    <t>D72014569</t>
  </si>
  <si>
    <t>WCI26E000328</t>
  </si>
  <si>
    <t>W26C00009259</t>
  </si>
  <si>
    <t>WAR26E000322</t>
  </si>
  <si>
    <t>06-11-2024</t>
  </si>
  <si>
    <t>WCI26E000311</t>
  </si>
  <si>
    <t>W26C00009241</t>
  </si>
  <si>
    <t>WAR26E000305</t>
  </si>
  <si>
    <t>WCI26E000326</t>
  </si>
  <si>
    <t>W26C00009257</t>
  </si>
  <si>
    <t>WAR26E000320</t>
  </si>
  <si>
    <t>04-09-2024</t>
  </si>
  <si>
    <t>WCI26E000310</t>
  </si>
  <si>
    <t>W26C00009240</t>
  </si>
  <si>
    <t>WAR26E000304</t>
  </si>
  <si>
    <t>02-09-2023</t>
  </si>
  <si>
    <t>WCI26E000348</t>
  </si>
  <si>
    <t>W26C00009280</t>
  </si>
  <si>
    <t>WAR26E000342</t>
  </si>
  <si>
    <t>21-03-2025</t>
  </si>
  <si>
    <t>WCI26E000343</t>
  </si>
  <si>
    <t>W26C00009275</t>
  </si>
  <si>
    <t>WAR26E000337</t>
  </si>
  <si>
    <t>MC1D4DHA8SP105305</t>
  </si>
  <si>
    <t>D72016452</t>
  </si>
  <si>
    <t>WCI26E000335</t>
  </si>
  <si>
    <t>W26C00009266</t>
  </si>
  <si>
    <t>WAR26E000329</t>
  </si>
  <si>
    <t>06-03-2025</t>
  </si>
  <si>
    <t>WCI26E000339</t>
  </si>
  <si>
    <t>W26C00009271</t>
  </si>
  <si>
    <t>WAR26E000333</t>
  </si>
  <si>
    <t>WCI26E000345</t>
  </si>
  <si>
    <t>W26C00009277</t>
  </si>
  <si>
    <t>WAR26E000339</t>
  </si>
  <si>
    <t>18-12-2024</t>
  </si>
  <si>
    <t>WCI26E000337</t>
  </si>
  <si>
    <t>W26C00009268</t>
  </si>
  <si>
    <t>WAR26E000331</t>
  </si>
  <si>
    <t>MC1D4DLA6SP106413</t>
  </si>
  <si>
    <t>D72017951</t>
  </si>
  <si>
    <t>30-01-2025</t>
  </si>
  <si>
    <t>WCI26E000330</t>
  </si>
  <si>
    <t>W26C00009261</t>
  </si>
  <si>
    <t>WAR26E000324</t>
  </si>
  <si>
    <t>15-04-2025</t>
  </si>
  <si>
    <t>WCI26E000332</t>
  </si>
  <si>
    <t>W26C00009263</t>
  </si>
  <si>
    <t>WAR26E000326</t>
  </si>
  <si>
    <t>WCI26E000350</t>
  </si>
  <si>
    <t>W26C00009290</t>
  </si>
  <si>
    <t>WAR26E000344</t>
  </si>
  <si>
    <t>19-06-2025</t>
  </si>
  <si>
    <t>06-01-2026</t>
  </si>
  <si>
    <t>WCI26E000367</t>
  </si>
  <si>
    <t>W26C00009310</t>
  </si>
  <si>
    <t>WAR26E000361</t>
  </si>
  <si>
    <t>MC1D4DLAXRP102214</t>
  </si>
  <si>
    <t>D72012859</t>
  </si>
  <si>
    <t>08-12-2023</t>
  </si>
  <si>
    <t>08-01-2026</t>
  </si>
  <si>
    <t>WCI26E000371</t>
  </si>
  <si>
    <t>W26C00009315</t>
  </si>
  <si>
    <t>WAR26E000365</t>
  </si>
  <si>
    <t>WCI26E000366</t>
  </si>
  <si>
    <t>W26C00009309</t>
  </si>
  <si>
    <t>WAR26E000360</t>
  </si>
  <si>
    <t>07-07-2023</t>
  </si>
  <si>
    <t>WCI26E000369</t>
  </si>
  <si>
    <t>W26C00009312</t>
  </si>
  <si>
    <t>WAR26E000363</t>
  </si>
  <si>
    <t>MC1D4DEA6PP100213</t>
  </si>
  <si>
    <t>D72010792</t>
  </si>
  <si>
    <t>WCI26E000398</t>
  </si>
  <si>
    <t>W26C00009345</t>
  </si>
  <si>
    <t>WAR26E000392</t>
  </si>
  <si>
    <t>18-01-2026</t>
  </si>
  <si>
    <t>WCI26E000399</t>
  </si>
  <si>
    <t>W26C00009346</t>
  </si>
  <si>
    <t>WAR26E000393</t>
  </si>
  <si>
    <t>MC1D4DHA3RP100863</t>
  </si>
  <si>
    <t>D72011483</t>
  </si>
  <si>
    <t>17-08-2023</t>
  </si>
  <si>
    <t>WCI26E000364</t>
  </si>
  <si>
    <t>W26C00009307</t>
  </si>
  <si>
    <t>WAR26E000358</t>
  </si>
  <si>
    <t>WCI26E000392</t>
  </si>
  <si>
    <t>W26C00009339</t>
  </si>
  <si>
    <t>WAR26E000386</t>
  </si>
  <si>
    <t>03-02-2024</t>
  </si>
  <si>
    <t>WCI26E000387</t>
  </si>
  <si>
    <t>W26C00009333</t>
  </si>
  <si>
    <t>WAR26E000381</t>
  </si>
  <si>
    <t>10-01-2026</t>
  </si>
  <si>
    <t>WCI26E000393</t>
  </si>
  <si>
    <t>W26C00009340</t>
  </si>
  <si>
    <t>WAR26E000387</t>
  </si>
  <si>
    <t>MC1D4DKAXRP101937</t>
  </si>
  <si>
    <t>D72012567</t>
  </si>
  <si>
    <t>06-12-2023</t>
  </si>
  <si>
    <t>WCI26E000386</t>
  </si>
  <si>
    <t>W26C00009332</t>
  </si>
  <si>
    <t>WAR26E000380</t>
  </si>
  <si>
    <t>MC1D4DJA4RP101370</t>
  </si>
  <si>
    <t>D72011995</t>
  </si>
  <si>
    <t>25-09-2023</t>
  </si>
  <si>
    <t>WCI26E000370</t>
  </si>
  <si>
    <t>W26C00009314</t>
  </si>
  <si>
    <t>WAR26E000364</t>
  </si>
  <si>
    <t>MC1D4DHA6RP100971</t>
  </si>
  <si>
    <t>D72011571</t>
  </si>
  <si>
    <t>22-08-2023</t>
  </si>
  <si>
    <t>WCI26E000365</t>
  </si>
  <si>
    <t>W26C00009308</t>
  </si>
  <si>
    <t>WAR26E000359</t>
  </si>
  <si>
    <t>24-04-2024</t>
  </si>
  <si>
    <t>WCI26E000395</t>
  </si>
  <si>
    <t>W26C00009342</t>
  </si>
  <si>
    <t>WAR26E000389</t>
  </si>
  <si>
    <t>MC1D4DKA1RP102023</t>
  </si>
  <si>
    <t>D72012642</t>
  </si>
  <si>
    <t>WCI26E000396</t>
  </si>
  <si>
    <t>W26C00009343</t>
  </si>
  <si>
    <t>WAR26E000390</t>
  </si>
  <si>
    <t>MC1D4DJA6SP105555</t>
  </si>
  <si>
    <t>D72016971</t>
  </si>
  <si>
    <t>WCI26E000376</t>
  </si>
  <si>
    <t>W26C00009321</t>
  </si>
  <si>
    <t>WAR26E000370</t>
  </si>
  <si>
    <t>WCI26E000379</t>
  </si>
  <si>
    <t>W26C00009324</t>
  </si>
  <si>
    <t>WAR26E000373</t>
  </si>
  <si>
    <t>WCI26E000380</t>
  </si>
  <si>
    <t>W26C00009326</t>
  </si>
  <si>
    <t>WAR26E000374</t>
  </si>
  <si>
    <t>WCI26E000375</t>
  </si>
  <si>
    <t>W26C00009320</t>
  </si>
  <si>
    <t>WAR26E000369</t>
  </si>
  <si>
    <t>20-06-2024</t>
  </si>
  <si>
    <t>WCI26E000373</t>
  </si>
  <si>
    <t>W26C00009317</t>
  </si>
  <si>
    <t>WAR26E000367</t>
  </si>
  <si>
    <t>13-02-2025</t>
  </si>
  <si>
    <t>WCI26E000377</t>
  </si>
  <si>
    <t>W26C00009322</t>
  </si>
  <si>
    <t>WAR26E000371</t>
  </si>
  <si>
    <t>MC1D4DEA0RP104597</t>
  </si>
  <si>
    <t>D72015517</t>
  </si>
  <si>
    <t>11-06-2024</t>
  </si>
  <si>
    <t>WCI26E000374</t>
  </si>
  <si>
    <t>W26C00009318</t>
  </si>
  <si>
    <t>WAR26E000368</t>
  </si>
  <si>
    <t>14-02-2025</t>
  </si>
  <si>
    <t>WCI26E000372</t>
  </si>
  <si>
    <t>W26C00009316</t>
  </si>
  <si>
    <t>WAR26E000366</t>
  </si>
  <si>
    <t>WCI26E000394</t>
  </si>
  <si>
    <t>W26C00009341</t>
  </si>
  <si>
    <t>WAR26E000388</t>
  </si>
  <si>
    <t>15-11-2023</t>
  </si>
  <si>
    <t>WCI26E000397</t>
  </si>
  <si>
    <t>W26C00009344</t>
  </si>
  <si>
    <t>WAR26E000391</t>
  </si>
  <si>
    <t>MC1D4DJA1SP105558</t>
  </si>
  <si>
    <t>D72016968</t>
  </si>
  <si>
    <t>WCI26E000382</t>
  </si>
  <si>
    <t>W26C00009328</t>
  </si>
  <si>
    <t>WAR26E000376</t>
  </si>
  <si>
    <t>WCI26E000313</t>
  </si>
  <si>
    <t>W26C00009243</t>
  </si>
  <si>
    <t>WAR26E000307</t>
  </si>
  <si>
    <t>17-07-2025</t>
  </si>
  <si>
    <t>WCI26E000362</t>
  </si>
  <si>
    <t>W26C00009304</t>
  </si>
  <si>
    <t>WAR26E000356</t>
  </si>
  <si>
    <t>30-03-2025</t>
  </si>
  <si>
    <t>WCI26E000381</t>
  </si>
  <si>
    <t>W26C00009327</t>
  </si>
  <si>
    <t>WAR26E000375</t>
  </si>
  <si>
    <t>WCI26E000340</t>
  </si>
  <si>
    <t>W26C00009272</t>
  </si>
  <si>
    <t>WAR26E000334</t>
  </si>
  <si>
    <t>WCI26E000327</t>
  </si>
  <si>
    <t>W26C00009258</t>
  </si>
  <si>
    <t>WAR26E000321</t>
  </si>
  <si>
    <t>WCI26E000351</t>
  </si>
  <si>
    <t>W26C00009291</t>
  </si>
  <si>
    <t>WAR26E000345</t>
  </si>
  <si>
    <t>MC1D4DBA9SP107279</t>
  </si>
  <si>
    <t>D72018872</t>
  </si>
  <si>
    <t>WCI26E000338</t>
  </si>
  <si>
    <t>W26C00009269</t>
  </si>
  <si>
    <t>WAR26E000332</t>
  </si>
  <si>
    <t>MC1D4DKA2RP102029</t>
  </si>
  <si>
    <t>D72012709</t>
  </si>
  <si>
    <t>WCI26E000378</t>
  </si>
  <si>
    <t>W26C00009323</t>
  </si>
  <si>
    <t>WAR26E000372</t>
  </si>
  <si>
    <t>10-02-2025</t>
  </si>
  <si>
    <t>WCI26E000329</t>
  </si>
  <si>
    <t>W26C00009260</t>
  </si>
  <si>
    <t>WAR26E000323</t>
  </si>
  <si>
    <t>MC1D4DMA2RP102738</t>
  </si>
  <si>
    <t>D72013165</t>
  </si>
  <si>
    <t>WCI26E000383</t>
  </si>
  <si>
    <t>W26C00009329</t>
  </si>
  <si>
    <t>WAR26E000377</t>
  </si>
  <si>
    <t>MC1D4DEA6SP109048</t>
  </si>
  <si>
    <t>D72020746</t>
  </si>
  <si>
    <t>WCI26E000385</t>
  </si>
  <si>
    <t>W26C00009331</t>
  </si>
  <si>
    <t>WAR26E000379</t>
  </si>
  <si>
    <t>WCI26E000346</t>
  </si>
  <si>
    <t>W26C00009278</t>
  </si>
  <si>
    <t>WAR26E000340</t>
  </si>
  <si>
    <t>10-06-2025</t>
  </si>
  <si>
    <t>WCI26E000323</t>
  </si>
  <si>
    <t>W26C00009254</t>
  </si>
  <si>
    <t>WAR26E000317</t>
  </si>
  <si>
    <t>WCI26E000361</t>
  </si>
  <si>
    <t>W26C00009303</t>
  </si>
  <si>
    <t>WAR26E000355</t>
  </si>
  <si>
    <t>WCI26E000384</t>
  </si>
  <si>
    <t>W26C00009330</t>
  </si>
  <si>
    <t>WAR26E000378</t>
  </si>
  <si>
    <t>WCI26E000317</t>
  </si>
  <si>
    <t>W26C00009248</t>
  </si>
  <si>
    <t>WAR26E000311</t>
  </si>
  <si>
    <t>WCI26E000312</t>
  </si>
  <si>
    <t>W26C00009242</t>
  </si>
  <si>
    <t>WAR26E000306</t>
  </si>
  <si>
    <t>WCI26E000363</t>
  </si>
  <si>
    <t>W26C00009305</t>
  </si>
  <si>
    <t>WAR26E000357</t>
  </si>
  <si>
    <t>18-03-2025</t>
  </si>
  <si>
    <t>WCI26E000389</t>
  </si>
  <si>
    <t>W26C00009336</t>
  </si>
  <si>
    <t>WAR26E000383</t>
  </si>
  <si>
    <t>30-01-2026</t>
  </si>
  <si>
    <t>MC1E4CAA7SP083709</t>
  </si>
  <si>
    <t>D71069256</t>
  </si>
  <si>
    <t>17-01-2026</t>
  </si>
  <si>
    <t>WCI26E000391</t>
  </si>
  <si>
    <t>W26C00009338</t>
  </si>
  <si>
    <t>WAR26E000385</t>
  </si>
  <si>
    <t>MC1E4CBA4SP085433</t>
  </si>
  <si>
    <t>D71072431</t>
  </si>
  <si>
    <t>WCI26E000388</t>
  </si>
  <si>
    <t>W26C00009334</t>
  </si>
  <si>
    <t>WAR26E000382</t>
  </si>
  <si>
    <t>WCI26E000390</t>
  </si>
  <si>
    <t>W26C00009337</t>
  </si>
  <si>
    <t>WAR26E000384</t>
  </si>
  <si>
    <t>MC1E4CAA2SP084041</t>
  </si>
  <si>
    <t>D71070195</t>
  </si>
  <si>
    <t>WCI26E000402</t>
  </si>
  <si>
    <t>W26C00009469</t>
  </si>
  <si>
    <t>WAR26E000396</t>
  </si>
  <si>
    <t>05-02-2026</t>
  </si>
  <si>
    <t>09-07-2024</t>
  </si>
  <si>
    <t>WCI26E000401</t>
  </si>
  <si>
    <t>W26C00009467</t>
  </si>
  <si>
    <t>WAR26E000395</t>
  </si>
  <si>
    <t>MC1D4DFA8SP109597</t>
  </si>
  <si>
    <t>D72021364</t>
  </si>
  <si>
    <t>WCI26E000403</t>
  </si>
  <si>
    <t>W26C00009470</t>
  </si>
  <si>
    <t>WAR26E000397</t>
  </si>
  <si>
    <t>15-07-2025</t>
  </si>
  <si>
    <t>WCI26E000405</t>
  </si>
  <si>
    <t>W26C00009473</t>
  </si>
  <si>
    <t>WAR26E000399</t>
  </si>
  <si>
    <t>WCI26E000404</t>
  </si>
  <si>
    <t>W26C00009472</t>
  </si>
  <si>
    <t>WAR26E000398</t>
  </si>
  <si>
    <t>WCI26E000400</t>
  </si>
  <si>
    <t>W26C00009466</t>
  </si>
  <si>
    <t>WAR26E000394</t>
  </si>
  <si>
    <t>WCI26E000406</t>
  </si>
  <si>
    <t>11-02-2026</t>
  </si>
  <si>
    <t>G26C00000120</t>
  </si>
  <si>
    <t>GDW26E000003</t>
  </si>
  <si>
    <t>23-02-2026</t>
  </si>
  <si>
    <t>WCI26D000004</t>
  </si>
  <si>
    <t>W26P00000432</t>
  </si>
  <si>
    <t>WAR26D000003</t>
  </si>
  <si>
    <t>03-02-2026</t>
  </si>
  <si>
    <t>MC1D4GJAXTP000746</t>
  </si>
  <si>
    <t>D72022400</t>
  </si>
  <si>
    <t>11-01-2026</t>
  </si>
  <si>
    <t>B008085420617</t>
  </si>
  <si>
    <t>WATER TEMP SENSOR (V</t>
  </si>
  <si>
    <t>B008557301835</t>
  </si>
  <si>
    <t>SIDE DOOR LATCH ASSL</t>
  </si>
  <si>
    <t>BDR090</t>
  </si>
  <si>
    <t>ENEL-6</t>
  </si>
  <si>
    <t>WCI26D000003</t>
  </si>
  <si>
    <t>W26P00000431</t>
  </si>
  <si>
    <t>WAR26D000002</t>
  </si>
  <si>
    <t>B008545002103</t>
  </si>
  <si>
    <t>DOSER COOLANT PUMP(M</t>
  </si>
  <si>
    <t>B008555420717</t>
  </si>
  <si>
    <t>WHEEL SPEED SENSOR F</t>
  </si>
  <si>
    <t>ABS-7</t>
  </si>
  <si>
    <t>23-01-2026</t>
  </si>
  <si>
    <t>Goodwill Approval recd from SER HO</t>
  </si>
  <si>
    <t>CONSEQUENTIAL TO AC DISCHARG PIPE DAMAGED</t>
  </si>
  <si>
    <t>DEBITED TO BOSCH AS PER M/S BOSCH MAIL DT 19.11.25 CC TO MR. N.  RAUT</t>
  </si>
  <si>
    <t>A000040110080</t>
  </si>
  <si>
    <t>GASKET VACUUM PUMP C</t>
  </si>
  <si>
    <t>A000040130002</t>
  </si>
  <si>
    <t>OIL SEAL FOR VALVE S</t>
  </si>
  <si>
    <t>A000040330862</t>
  </si>
  <si>
    <t>TH WASHER UPPER</t>
  </si>
  <si>
    <t>A000040331262</t>
  </si>
  <si>
    <t>THRUST WASHER LOWER</t>
  </si>
  <si>
    <t>B008080372619</t>
  </si>
  <si>
    <t>PISTON TOP RING</t>
  </si>
  <si>
    <t>B008080372719</t>
  </si>
  <si>
    <t>PISTION 2ND RING</t>
  </si>
  <si>
    <t>B008080372819</t>
  </si>
  <si>
    <t>PISTION OIL RING</t>
  </si>
  <si>
    <t>B008081802310</t>
  </si>
  <si>
    <t>ASSY SPIN ON FILTER</t>
  </si>
  <si>
    <t>B008089940735</t>
  </si>
  <si>
    <t>CIRCLIP</t>
  </si>
  <si>
    <t>B008090520016</t>
  </si>
  <si>
    <t>SLIDE RAIL TD3250 FT</t>
  </si>
  <si>
    <t>T006860940280</t>
  </si>
  <si>
    <t>AIR FILTER ELEMENT-F</t>
  </si>
  <si>
    <t>T006862500215</t>
  </si>
  <si>
    <t>CLUTCH RELEASE BEARI</t>
  </si>
  <si>
    <t>B008080382210</t>
  </si>
  <si>
    <t>CONN ROD  BRG UPPER</t>
  </si>
  <si>
    <t>C000933008030</t>
  </si>
  <si>
    <t>HHS M8 X 30 DIN 933</t>
  </si>
  <si>
    <t>B008080370620</t>
  </si>
  <si>
    <t>PISTON PIN</t>
  </si>
  <si>
    <t>B008089972147</t>
  </si>
  <si>
    <t>REAR OIL SEAL (SKF)</t>
  </si>
  <si>
    <t>B008040330001</t>
  </si>
  <si>
    <t>MAIN BEARING UPPER</t>
  </si>
  <si>
    <t>B008040330002</t>
  </si>
  <si>
    <t>MAIN BEARING LOWER</t>
  </si>
  <si>
    <t>B008081872580</t>
  </si>
  <si>
    <t>GASKET (FOR SPINON F</t>
  </si>
  <si>
    <t>B008081802727</t>
  </si>
  <si>
    <t>LUB OIL PIPE ASSY (F</t>
  </si>
  <si>
    <t>B00868470000210</t>
  </si>
  <si>
    <t>SPIN-ON FILTER</t>
  </si>
  <si>
    <t>EH-3A</t>
  </si>
  <si>
    <t>EH-5A</t>
  </si>
  <si>
    <t>EN8057</t>
  </si>
  <si>
    <t>27-Oct-25</t>
  </si>
  <si>
    <t>19-Jan-26</t>
  </si>
  <si>
    <t>16-Feb-26</t>
  </si>
  <si>
    <t>03-Oct-25</t>
  </si>
  <si>
    <t>16-Oct-25</t>
  </si>
  <si>
    <t>31-Oct-25</t>
  </si>
  <si>
    <t>23-Oct-25</t>
  </si>
  <si>
    <t>05-Oct-25</t>
  </si>
  <si>
    <t>01-Oct-25</t>
  </si>
  <si>
    <t>10-Oct-25</t>
  </si>
  <si>
    <t>24-Oct-25</t>
  </si>
  <si>
    <t>09-Oct-25</t>
  </si>
  <si>
    <t>12-Oct-25</t>
  </si>
  <si>
    <t>19-Oct-25</t>
  </si>
  <si>
    <t>06-Oct-25</t>
  </si>
  <si>
    <t>19-Sep-24</t>
  </si>
  <si>
    <t>MC1E4CKA9SP081538</t>
  </si>
  <si>
    <t>D71064317</t>
  </si>
  <si>
    <t>30-Jan-25</t>
  </si>
  <si>
    <t>17-Oct-25</t>
  </si>
  <si>
    <t>26-Oct-25</t>
  </si>
  <si>
    <t>21-Oct-15</t>
  </si>
  <si>
    <t>MC1E4DHA4GP019971</t>
  </si>
  <si>
    <t>D63018701</t>
  </si>
  <si>
    <t>14-Oct-25</t>
  </si>
  <si>
    <t>08-Oct-25</t>
  </si>
  <si>
    <t>15-Oct-25</t>
  </si>
  <si>
    <t>MC1E4CKA3SP081566</t>
  </si>
  <si>
    <t>D71064193</t>
  </si>
  <si>
    <t>MC1E4CKA7SP081537</t>
  </si>
  <si>
    <t>D71064335</t>
  </si>
  <si>
    <t>12-Apr-24</t>
  </si>
  <si>
    <t>07-Feb-24</t>
  </si>
  <si>
    <t>MC1E4FAA5RP019065</t>
  </si>
  <si>
    <t>D71045495</t>
  </si>
  <si>
    <t>27-Dec-22</t>
  </si>
  <si>
    <t>MC1E4ELA2PP008819</t>
  </si>
  <si>
    <t>D71023391</t>
  </si>
  <si>
    <t>MC1E4CAA9SP083761</t>
  </si>
  <si>
    <t>D71069275</t>
  </si>
  <si>
    <t>MC1E4EFA9RP013272</t>
  </si>
  <si>
    <t>D71056732</t>
  </si>
  <si>
    <t>26-Nov-24</t>
  </si>
  <si>
    <t>MC1E4CKA0SP081685</t>
  </si>
  <si>
    <t>D71064659</t>
  </si>
  <si>
    <t>26-Nov-25</t>
  </si>
  <si>
    <t>30-Nov-25</t>
  </si>
  <si>
    <t>10-Nov-25</t>
  </si>
  <si>
    <t>06-Nov-25</t>
  </si>
  <si>
    <t>20-Nov-25</t>
  </si>
  <si>
    <t>04-Nov-25</t>
  </si>
  <si>
    <t>12-Nov-25</t>
  </si>
  <si>
    <t>14-Nov-25</t>
  </si>
  <si>
    <t>23-Nov-25</t>
  </si>
  <si>
    <t>MC1E4EGA7SP013551</t>
  </si>
  <si>
    <t>D71058782</t>
  </si>
  <si>
    <t>03-Nov-25</t>
  </si>
  <si>
    <t>11-Nov-25</t>
  </si>
  <si>
    <t>21-Nov-25</t>
  </si>
  <si>
    <t>16-Nov-25</t>
  </si>
  <si>
    <t>27-Nov-25</t>
  </si>
  <si>
    <t>19-Nov-25</t>
  </si>
  <si>
    <t>25-Nov-25</t>
  </si>
  <si>
    <t>24-Nov-25</t>
  </si>
  <si>
    <t>MC1D4DGA1SP104949</t>
  </si>
  <si>
    <t>D72016128</t>
  </si>
  <si>
    <t>02-Nov-25</t>
  </si>
  <si>
    <t>18-Nov-25</t>
  </si>
  <si>
    <t>05-Nov-25</t>
  </si>
  <si>
    <t>17-Nov-25</t>
  </si>
  <si>
    <t>07-Nov-25</t>
  </si>
  <si>
    <t>MC1E4FBA5RP019470</t>
  </si>
  <si>
    <t>D71048420</t>
  </si>
  <si>
    <t>MC1E4EHA8TP017480</t>
  </si>
  <si>
    <t>D71089682</t>
  </si>
  <si>
    <t>MC1E4CAAXSP083672</t>
  </si>
  <si>
    <t>D71069684</t>
  </si>
  <si>
    <t>MC1E4DAA1SP055720</t>
  </si>
  <si>
    <t>D71068167</t>
  </si>
  <si>
    <t>MC1E4CAA8SP084190</t>
  </si>
  <si>
    <t>D71070503</t>
  </si>
  <si>
    <t>MC1L4ADA7RP001494</t>
  </si>
  <si>
    <t>D71053272</t>
  </si>
  <si>
    <t>01-Dec-25</t>
  </si>
  <si>
    <t>31-Dec-25</t>
  </si>
  <si>
    <t>12-Feb-26</t>
  </si>
  <si>
    <t>26-Dec-25</t>
  </si>
  <si>
    <t>02-Dec-25</t>
  </si>
  <si>
    <t>04-Dec-25</t>
  </si>
  <si>
    <t>MC1M4AJA8TP006235</t>
  </si>
  <si>
    <t>D71090797</t>
  </si>
  <si>
    <t>24-Dec-25</t>
  </si>
  <si>
    <t>07-Dec-25</t>
  </si>
  <si>
    <t>MC1M4AKA8TP006993</t>
  </si>
  <si>
    <t>D71092657</t>
  </si>
  <si>
    <t>11-Dec-25</t>
  </si>
  <si>
    <t>22-Dec-25</t>
  </si>
  <si>
    <t>18-Dec-25</t>
  </si>
  <si>
    <t>23-Dec-25</t>
  </si>
  <si>
    <t>21-Dec-25</t>
  </si>
  <si>
    <t>25-Dec-25</t>
  </si>
  <si>
    <t>30-Dec-25</t>
  </si>
  <si>
    <t>19-Dec-25</t>
  </si>
  <si>
    <t>29-Dec-25</t>
  </si>
  <si>
    <t>14-Dec-25</t>
  </si>
  <si>
    <t>001, 014</t>
  </si>
  <si>
    <t>ERROR IN COUPON, SERV KMS  / HRS EXCEEDS</t>
  </si>
  <si>
    <t>05-Dec-25</t>
  </si>
  <si>
    <t>09-Dec-25</t>
  </si>
  <si>
    <t>MC1M4AJA2TP006442</t>
  </si>
  <si>
    <t>D71091691</t>
  </si>
  <si>
    <t>16-Dec-25</t>
  </si>
  <si>
    <t>10-Dec-25</t>
  </si>
  <si>
    <t>08-Dec-25</t>
  </si>
  <si>
    <t>MC1D4DKA5TP110875</t>
  </si>
  <si>
    <t>D72022685</t>
  </si>
  <si>
    <t>MC1D4DJA4TP110383</t>
  </si>
  <si>
    <t>D72022331</t>
  </si>
  <si>
    <t>15-Dec-25</t>
  </si>
  <si>
    <t>MC1M4AJA1TP006139</t>
  </si>
  <si>
    <t>D71089949</t>
  </si>
  <si>
    <t>28-Dec-25</t>
  </si>
  <si>
    <t>MC1E4CBA4SP086159</t>
  </si>
  <si>
    <t>D71073748</t>
  </si>
  <si>
    <t>MC1M4AKA7TP006614</t>
  </si>
  <si>
    <t>D71091854</t>
  </si>
  <si>
    <t>03-Dec-25</t>
  </si>
  <si>
    <t>MC1E4DKA6SP055081</t>
  </si>
  <si>
    <t>D71065081</t>
  </si>
  <si>
    <t>MC1E4EFA8SP016654</t>
  </si>
  <si>
    <t>D71082978</t>
  </si>
  <si>
    <t>MC1D4DJA2TP110608</t>
  </si>
  <si>
    <t>D72022563</t>
  </si>
  <si>
    <t>MC1E4CAA2SP084590</t>
  </si>
  <si>
    <t>D71070978</t>
  </si>
  <si>
    <t>16-Feb-24</t>
  </si>
  <si>
    <t>MC1E4CAA0SP084832</t>
  </si>
  <si>
    <t>D71071296</t>
  </si>
  <si>
    <t>MC1E4CBA1SP085308</t>
  </si>
  <si>
    <t>D71072308</t>
  </si>
  <si>
    <t>MC1E4FBA3RP019399</t>
  </si>
  <si>
    <t>D71047702</t>
  </si>
  <si>
    <t>MC1M4AJA6TP006363</t>
  </si>
  <si>
    <t>D71091373</t>
  </si>
  <si>
    <t>MC1E4CAA5SP083563</t>
  </si>
  <si>
    <t>D71069532</t>
  </si>
  <si>
    <t>MC1E4CAA2SP084461</t>
  </si>
  <si>
    <t>D71070990</t>
  </si>
  <si>
    <t>MC1E4CAA5SP083692</t>
  </si>
  <si>
    <t>D71069698</t>
  </si>
  <si>
    <t>MC1D4DLA2SP106490</t>
  </si>
  <si>
    <t>D72018027</t>
  </si>
  <si>
    <t>MC1M4AJA0TP006438</t>
  </si>
  <si>
    <t>D71091730</t>
  </si>
  <si>
    <t>MC1E4FAA7SP022426</t>
  </si>
  <si>
    <t>D71070345</t>
  </si>
  <si>
    <t>MC1E4CAA4SP084512</t>
  </si>
  <si>
    <t>D71071060</t>
  </si>
  <si>
    <t>MC1E4CBA0SP085459</t>
  </si>
  <si>
    <t>D71072480</t>
  </si>
  <si>
    <t>MC1E4CAA1SP084452</t>
  </si>
  <si>
    <t>D71070992</t>
  </si>
  <si>
    <t>15-Jan-26</t>
  </si>
  <si>
    <t>SCI26E000030</t>
  </si>
  <si>
    <t>30-Jan-26</t>
  </si>
  <si>
    <t>27-Feb-26</t>
  </si>
  <si>
    <t>09-Jan-26</t>
  </si>
  <si>
    <t>03-Jan-26</t>
  </si>
  <si>
    <t>27-Jan-26</t>
  </si>
  <si>
    <t>MC1E4FLA8TP024989</t>
  </si>
  <si>
    <t>D71093826</t>
  </si>
  <si>
    <t>12-Jan-26</t>
  </si>
  <si>
    <t>20-Jan-26</t>
  </si>
  <si>
    <t>MC1M4AHA5TP005792</t>
  </si>
  <si>
    <t>D71087766</t>
  </si>
  <si>
    <t>23-Jan-26</t>
  </si>
  <si>
    <t>18-Jan-26</t>
  </si>
  <si>
    <t>MC1E4EAA9PP009095</t>
  </si>
  <si>
    <t>D71025232</t>
  </si>
  <si>
    <t>13-Jan-26</t>
  </si>
  <si>
    <t>05-Jan-26</t>
  </si>
  <si>
    <t>MC1E4CAA8SP083864</t>
  </si>
  <si>
    <t>D71070013</t>
  </si>
  <si>
    <t>MC1M4AMA4TP007586</t>
  </si>
  <si>
    <t>D71095583</t>
  </si>
  <si>
    <t>04-Jan-26</t>
  </si>
  <si>
    <t>004</t>
  </si>
  <si>
    <t>SERV KMS / HRS NOT MENTIONED</t>
  </si>
  <si>
    <t>01-Jan-26</t>
  </si>
  <si>
    <t>07-Jan-26</t>
  </si>
  <si>
    <t>21-Jan-26</t>
  </si>
  <si>
    <t>MC1E4CAA5SP084471</t>
  </si>
  <si>
    <t>D71070988</t>
  </si>
  <si>
    <t>28-Jan-26</t>
  </si>
  <si>
    <t>MC1M4ALA6TP007218</t>
  </si>
  <si>
    <t>D71094021</t>
  </si>
  <si>
    <t>06-Jan-26</t>
  </si>
  <si>
    <t>02-Jan-26</t>
  </si>
  <si>
    <t>25-Jan-26</t>
  </si>
  <si>
    <t>03-Mar-24</t>
  </si>
  <si>
    <t>16-Jan-26</t>
  </si>
  <si>
    <t>MC1E5DEA4PP000371</t>
  </si>
  <si>
    <t>D73000443</t>
  </si>
  <si>
    <t>11-Jan-26</t>
  </si>
  <si>
    <t>14-Jan-26</t>
  </si>
  <si>
    <t>22-Jan-26</t>
  </si>
  <si>
    <t>29-Nov-25</t>
  </si>
  <si>
    <t>MC1M4AKA8TP006945</t>
  </si>
  <si>
    <t>D71092561</t>
  </si>
  <si>
    <t>MC1D4DJA4TP110724</t>
  </si>
  <si>
    <t>D72022655</t>
  </si>
  <si>
    <t>08-Jan-26</t>
  </si>
  <si>
    <t>29-Jan-26</t>
  </si>
  <si>
    <t>MC1D4DKA5TP111041</t>
  </si>
  <si>
    <t>D72022585</t>
  </si>
  <si>
    <t>22-Nov-25</t>
  </si>
  <si>
    <t>MC1M4ALA2TP007202</t>
  </si>
  <si>
    <t>D71094077</t>
  </si>
  <si>
    <t>MC1M4ALA4TP007153</t>
  </si>
  <si>
    <t>D71093888</t>
  </si>
  <si>
    <t>MC1E4FDA8PP016752</t>
  </si>
  <si>
    <t>D71030337</t>
  </si>
  <si>
    <t>MC1M4AJA7TP006050</t>
  </si>
  <si>
    <t>D71089907</t>
  </si>
  <si>
    <t>00784252</t>
  </si>
  <si>
    <t>MC1E4FGAXTP024275</t>
  </si>
  <si>
    <t>D71086469</t>
  </si>
  <si>
    <t>00009489</t>
  </si>
  <si>
    <t>13-Oct-2025</t>
  </si>
  <si>
    <t>00331892</t>
  </si>
  <si>
    <t>00806700</t>
  </si>
  <si>
    <t>27-Oct-2025</t>
  </si>
  <si>
    <t>00812404</t>
  </si>
  <si>
    <t>00331201</t>
  </si>
  <si>
    <t>MC1D1DGAXTP001653</t>
  </si>
  <si>
    <t>D72021576</t>
  </si>
  <si>
    <t>00810919</t>
  </si>
  <si>
    <t>MC1E4EJA1TP017721</t>
  </si>
  <si>
    <t>D71091123</t>
  </si>
  <si>
    <t>29-Oct-2025</t>
  </si>
  <si>
    <t>00807856</t>
  </si>
  <si>
    <t>MC1L4AGA7TP002986</t>
  </si>
  <si>
    <t>D71085629</t>
  </si>
  <si>
    <t>09-Oct-2025</t>
  </si>
  <si>
    <t>00330596</t>
  </si>
  <si>
    <t>11-Oct-2025</t>
  </si>
  <si>
    <t>MC1D4DJAXTP110615</t>
  </si>
  <si>
    <t>D72022682</t>
  </si>
  <si>
    <t>17-Oct-2025</t>
  </si>
  <si>
    <t>00807855</t>
  </si>
  <si>
    <t>00807860</t>
  </si>
  <si>
    <t>MC1L4AGA9TP002990</t>
  </si>
  <si>
    <t>D71086143</t>
  </si>
  <si>
    <t>14-Oct-2025</t>
  </si>
  <si>
    <t>00331537</t>
  </si>
  <si>
    <t>00009768</t>
  </si>
  <si>
    <t>00812162</t>
  </si>
  <si>
    <t>00011404</t>
  </si>
  <si>
    <t>19-Oct-2025</t>
  </si>
  <si>
    <t>00010163</t>
  </si>
  <si>
    <t>07-Oct-2025</t>
  </si>
  <si>
    <t>00808119</t>
  </si>
  <si>
    <t>MC1E4DHA3TP058559</t>
  </si>
  <si>
    <t>D71087640</t>
  </si>
  <si>
    <t>00010198</t>
  </si>
  <si>
    <t>06-Oct-2025</t>
  </si>
  <si>
    <t>00807522</t>
  </si>
  <si>
    <t>MC1E4DHAXTP058607</t>
  </si>
  <si>
    <t>D71086795</t>
  </si>
  <si>
    <t>00813232</t>
  </si>
  <si>
    <t>MC1E4EKA4TP017906</t>
  </si>
  <si>
    <t>D71092248</t>
  </si>
  <si>
    <t>18-Nov-2025</t>
  </si>
  <si>
    <t>00807121</t>
  </si>
  <si>
    <t>MC1E4DHA3TP058707</t>
  </si>
  <si>
    <t>D71088733</t>
  </si>
  <si>
    <t>31-Oct-2025</t>
  </si>
  <si>
    <t>00333672</t>
  </si>
  <si>
    <t>MC1D4DJA6TP110725</t>
  </si>
  <si>
    <t>D72022832</t>
  </si>
  <si>
    <t>00009706</t>
  </si>
  <si>
    <t>MC1M4ALA2TP007152</t>
  </si>
  <si>
    <t>D71094109</t>
  </si>
  <si>
    <t>13-Nov-2025</t>
  </si>
  <si>
    <t>00010666</t>
  </si>
  <si>
    <t>30-Oct-2025</t>
  </si>
  <si>
    <t>00011425</t>
  </si>
  <si>
    <t>MC1M4AJA8TP006042</t>
  </si>
  <si>
    <t>D71089909</t>
  </si>
  <si>
    <t>00009957</t>
  </si>
  <si>
    <t>17-Nov-2025</t>
  </si>
  <si>
    <t>13-Feb-26</t>
  </si>
  <si>
    <t>00803730</t>
  </si>
  <si>
    <t>MC1E4DGA9TP058194</t>
  </si>
  <si>
    <t>D71086056</t>
  </si>
  <si>
    <t>00809682</t>
  </si>
  <si>
    <t>MC1E4EJA3TP017798</t>
  </si>
  <si>
    <t>D71091613</t>
  </si>
  <si>
    <t>00333667</t>
  </si>
  <si>
    <t>00784221</t>
  </si>
  <si>
    <t>MC1E4FFA4SP024112</t>
  </si>
  <si>
    <t>D71084175</t>
  </si>
  <si>
    <t>00810392</t>
  </si>
  <si>
    <t>MC1E4EKA6TP017874</t>
  </si>
  <si>
    <t>D71091802</t>
  </si>
  <si>
    <t>12-Nov-2025</t>
  </si>
  <si>
    <t>00011018</t>
  </si>
  <si>
    <t>MC1M4ALA8TP007351</t>
  </si>
  <si>
    <t>D71094809</t>
  </si>
  <si>
    <t>17-Dec-2025</t>
  </si>
  <si>
    <t>00807595</t>
  </si>
  <si>
    <t>MC1E4DHA0TP058566</t>
  </si>
  <si>
    <t>D71087921</t>
  </si>
  <si>
    <t>24-Nov-2025</t>
  </si>
  <si>
    <t>00807803</t>
  </si>
  <si>
    <t>MC1L4ALA9TP003210</t>
  </si>
  <si>
    <t>D71094471</t>
  </si>
  <si>
    <t>30-Nov-2025</t>
  </si>
  <si>
    <t>00810865</t>
  </si>
  <si>
    <t>MC1E4ELA5TP018027</t>
  </si>
  <si>
    <t>D71093717</t>
  </si>
  <si>
    <t>00809314</t>
  </si>
  <si>
    <t>MC1E4FGA5TP024300</t>
  </si>
  <si>
    <t>D71086135</t>
  </si>
  <si>
    <t>19-Dec-2025</t>
  </si>
  <si>
    <t>00813844</t>
  </si>
  <si>
    <t>MC1E4EKA9TP017982</t>
  </si>
  <si>
    <t>D71091386</t>
  </si>
  <si>
    <t>29-Nov-2025</t>
  </si>
  <si>
    <t>00010277</t>
  </si>
  <si>
    <t>MC1M4ALA9TP007147</t>
  </si>
  <si>
    <t>D71094113</t>
  </si>
  <si>
    <t>00332653</t>
  </si>
  <si>
    <t>06-Nov-2025</t>
  </si>
  <si>
    <t>13-Dec-25</t>
  </si>
  <si>
    <t>00009576</t>
  </si>
  <si>
    <t>MC1M4AJA2TP006215</t>
  </si>
  <si>
    <t>D71089912</t>
  </si>
  <si>
    <t>00009952</t>
  </si>
  <si>
    <t>00010447</t>
  </si>
  <si>
    <t>MC1M4ALA4TP007394</t>
  </si>
  <si>
    <t>D71094937</t>
  </si>
  <si>
    <t>20-Dec-2025</t>
  </si>
  <si>
    <t>00011288</t>
  </si>
  <si>
    <t>21-Nov-2025</t>
  </si>
  <si>
    <t>00011767</t>
  </si>
  <si>
    <t>MC1M4ALA5TP007260</t>
  </si>
  <si>
    <t>D71094481</t>
  </si>
  <si>
    <t>10-Dec-2025</t>
  </si>
  <si>
    <t>WCI26E000318</t>
  </si>
  <si>
    <t>WCI26E000319</t>
  </si>
  <si>
    <t>WCI26E000320</t>
  </si>
  <si>
    <t>WCI26E000321</t>
  </si>
  <si>
    <t>WCI26E000325</t>
  </si>
  <si>
    <t>WCI26E000341</t>
  </si>
  <si>
    <t>WCI26E000342</t>
  </si>
  <si>
    <t>WCI26E000352</t>
  </si>
  <si>
    <t>WCI26E000353</t>
  </si>
  <si>
    <t>WCI26E000354</t>
  </si>
  <si>
    <t>WCI26E000355</t>
  </si>
  <si>
    <t>WCI26E000356</t>
  </si>
  <si>
    <t>WCI26E000357</t>
  </si>
  <si>
    <t>WCI26E000358</t>
  </si>
  <si>
    <t>WCI26E000359</t>
  </si>
  <si>
    <t>WCI26E000360</t>
  </si>
  <si>
    <t>WCI26E000368</t>
  </si>
  <si>
    <t>SCI26E000027</t>
  </si>
  <si>
    <t>SCI26E000028</t>
  </si>
  <si>
    <t>SCI26E000029</t>
  </si>
  <si>
    <t>SCI26D000005</t>
  </si>
  <si>
    <t>SCI26D000006</t>
  </si>
  <si>
    <t>SCI26D000007</t>
  </si>
  <si>
    <t>MWCI26E00008</t>
  </si>
  <si>
    <t>MWCI26E00009</t>
  </si>
  <si>
    <t>MWCI26E00005</t>
  </si>
  <si>
    <t>MWCI26E00006</t>
  </si>
  <si>
    <t>MWCI26E00007</t>
  </si>
  <si>
    <t>EXTRAA CLAIM</t>
  </si>
  <si>
    <t>Claim Month</t>
  </si>
  <si>
    <t>Claim Year</t>
  </si>
  <si>
    <t>Sum of Claim Passed Amount</t>
  </si>
  <si>
    <t>Sum of Rejected Amount</t>
  </si>
  <si>
    <t>Type of Claim (PDI/Warranty/Service Campaign/Breakdown/Others)</t>
  </si>
  <si>
    <t>2025 Total</t>
  </si>
  <si>
    <t>2026 Total</t>
  </si>
  <si>
    <t>(All)</t>
  </si>
  <si>
    <t>Percentage of rejection</t>
  </si>
  <si>
    <t>Sum of Invoice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</si>
</sst>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0"/>
      <color rgb="FF333333"/>
      <name val="Arial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3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6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0" xfId="1"/>
    <xf numFmtId="0" fontId="4" fillId="0" borderId="0" xfId="1" applyFont="1"/>
    <xf numFmtId="1" fontId="3" fillId="0" borderId="0" xfId="1" applyNumberFormat="1"/>
    <xf numFmtId="2" fontId="3" fillId="0" borderId="0" xfId="1" applyNumberFormat="1"/>
    <xf numFmtId="0" fontId="4" fillId="0" borderId="0" xfId="0" applyFont="1"/>
    <xf numFmtId="1" fontId="0" fillId="0" borderId="0" xfId="0" applyNumberFormat="1"/>
    <xf numFmtId="2" fontId="0" fillId="0" borderId="0" xfId="0" applyNumberFormat="1"/>
    <xf numFmtId="0" fontId="0" fillId="0" borderId="0" xfId="0" pivotButton="1"/>
    <xf numFmtId="0" fontId="6" fillId="3" borderId="0" xfId="0" applyFont="1" applyFill="1"/>
    <xf numFmtId="0" fontId="0" fillId="0" borderId="1" xfId="0" applyBorder="1" applyAlignment="1">
      <alignment horizontal="center" vertical="center"/>
    </xf>
    <xf numFmtId="164" fontId="1" fillId="2" borderId="1" xfId="2" applyNumberFormat="1" applyFont="1" applyFill="1" applyBorder="1" applyAlignment="1">
      <alignment horizontal="center" vertical="center" wrapText="1"/>
    </xf>
    <xf numFmtId="164" fontId="0" fillId="0" borderId="1" xfId="2" applyNumberFormat="1" applyFont="1" applyBorder="1" applyAlignment="1">
      <alignment horizontal="center" vertical="center"/>
    </xf>
    <xf numFmtId="49" fontId="7" fillId="0" borderId="0" xfId="0" applyNumberFormat="1" applyFont="1"/>
    <xf numFmtId="49" fontId="6" fillId="2" borderId="0" xfId="0" applyNumberFormat="1" applyFont="1" applyFill="1"/>
    <xf numFmtId="49" fontId="7" fillId="2" borderId="0" xfId="0" applyNumberFormat="1" applyFont="1" applyFill="1"/>
    <xf numFmtId="49" fontId="7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164" fontId="0" fillId="6" borderId="1" xfId="2" applyNumberFormat="1" applyFont="1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164" fontId="0" fillId="0" borderId="2" xfId="2" applyNumberFormat="1" applyFont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4" fontId="0" fillId="0" borderId="0" xfId="2" applyNumberFormat="1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right" vertical="center"/>
    </xf>
    <xf numFmtId="14" fontId="0" fillId="0" borderId="1" xfId="0" applyNumberFormat="1" applyBorder="1" applyAlignment="1">
      <alignment horizontal="center" vertical="center"/>
    </xf>
    <xf numFmtId="0" fontId="8" fillId="0" borderId="0" xfId="0" applyFont="1"/>
    <xf numFmtId="0" fontId="1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2" fillId="0" borderId="4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right" vertical="center"/>
    </xf>
    <xf numFmtId="164" fontId="9" fillId="6" borderId="1" xfId="2" applyNumberFormat="1" applyFont="1" applyFill="1" applyBorder="1" applyAlignment="1">
      <alignment horizontal="center" vertical="center"/>
    </xf>
    <xf numFmtId="14" fontId="9" fillId="6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2" xfId="0" pivotButton="1" applyBorder="1" applyAlignment="1">
      <alignment wrapText="1"/>
    </xf>
    <xf numFmtId="164" fontId="0" fillId="0" borderId="1" xfId="0" applyNumberFormat="1" applyBorder="1"/>
    <xf numFmtId="9" fontId="0" fillId="0" borderId="0" xfId="3" applyFont="1"/>
    <xf numFmtId="0" fontId="0" fillId="7" borderId="1" xfId="0" applyFill="1" applyBorder="1" applyAlignment="1">
      <alignment horizontal="center" vertical="center" wrapText="1"/>
    </xf>
    <xf numFmtId="9" fontId="0" fillId="7" borderId="1" xfId="3" applyFont="1" applyFill="1" applyBorder="1" applyAlignment="1">
      <alignment horizontal="center" vertical="center"/>
    </xf>
    <xf numFmtId="0" fontId="0" fillId="0" borderId="0" xfId="0" applyNumberFormat="1"/>
  </cellXfs>
  <cellStyles count="4">
    <cellStyle name="Comma" xfId="2" builtinId="3"/>
    <cellStyle name="Normal" xfId="0" builtinId="0"/>
    <cellStyle name="Normal 2" xfId="1" xr:uid="{6C50413D-0E3A-40D2-9E01-FE808E37A675}"/>
    <cellStyle name="Percent" xfId="3" builtinId="5"/>
  </cellStyles>
  <dxfs count="159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4" formatCode="_ * #,##0_ ;_ * \-#,##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4" formatCode="_ * #,##0_ ;_ * \-#,##0_ ;_ * &quot;-&quot;??_ ;_ @_ "/>
    </dxf>
    <dxf>
      <numFmt numFmtId="164" formatCode="_ * #,##0_ ;_ * \-#,##0_ ;_ * &quot;-&quot;??_ ;_ @_ 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it Goenka" refreshedDate="46084.634655208334" createdVersion="8" refreshedVersion="8" minRefreshableVersion="3" recordCount="2632" xr:uid="{3A7455BB-826D-4108-9E11-5E987C14B561}">
  <cacheSource type="worksheet">
    <worksheetSource ref="A1:L1048576" sheet="Data Report sheet"/>
  </cacheSource>
  <cacheFields count="12">
    <cacheField name="GAPL Claim invoice number" numFmtId="0">
      <sharedItems containsBlank="1"/>
    </cacheField>
    <cacheField name="GAPL Internal Claim No" numFmtId="0">
      <sharedItems containsBlank="1" containsMixedTypes="1" containsNumber="1" containsInteger="1" minValue="356" maxValue="500"/>
    </cacheField>
    <cacheField name="GAPL Invoice Date" numFmtId="0">
      <sharedItems containsNonDate="0" containsDate="1" containsString="0" containsBlank="1" minDate="2025-03-27T00:00:00" maxDate="2026-02-01T00:00:00"/>
    </cacheField>
    <cacheField name="Invoice Value" numFmtId="0">
      <sharedItems containsString="0" containsBlank="1" containsNumber="1" minValue="53" maxValue="186794"/>
    </cacheField>
    <cacheField name="Type of Claim (PDI/Warranty/Service Campaign/Breakdown/Others)" numFmtId="0">
      <sharedItems containsBlank="1" count="8">
        <s v="Warranty"/>
        <s v="REMOTE SERVICE CAMP"/>
        <s v="MAHAKUMBH MELA"/>
        <s v="FREE SERVICE CLAIM"/>
        <s v="PDI COUPON CLAIM"/>
        <m/>
        <s v="CSI CLAIM"/>
        <s v="CANCELL"/>
      </sharedItems>
    </cacheField>
    <cacheField name="Claim status" numFmtId="0">
      <sharedItems containsBlank="1"/>
    </cacheField>
    <cacheField name="Claim Passed Amount" numFmtId="164">
      <sharedItems containsBlank="1" containsMixedTypes="1" containsNumber="1" minValue="0" maxValue="186794"/>
    </cacheField>
    <cacheField name="Rejected Amount" numFmtId="164">
      <sharedItems containsBlank="1" containsMixedTypes="1" containsNumber="1" minValue="0" maxValue="29237.72"/>
    </cacheField>
    <cacheField name="Payment Date" numFmtId="0">
      <sharedItems containsDate="1" containsBlank="1" containsMixedTypes="1" minDate="2025-06-05T00:00:00" maxDate="2025-08-01T00:00:00"/>
    </cacheField>
    <cacheField name="Remarks" numFmtId="0">
      <sharedItems containsBlank="1"/>
    </cacheField>
    <cacheField name="Claim Month" numFmtId="0">
      <sharedItems containsString="0" containsBlank="1" containsNumber="1" containsInteger="1" minValue="1" maxValue="12" count="12">
        <n v="3"/>
        <n v="4"/>
        <n v="5"/>
        <n v="7"/>
        <n v="1"/>
        <n v="6"/>
        <n v="10"/>
        <n v="8"/>
        <n v="9"/>
        <n v="12"/>
        <n v="11"/>
        <m/>
      </sharedItems>
    </cacheField>
    <cacheField name="Claim Year" numFmtId="0">
      <sharedItems containsString="0" containsBlank="1" containsNumber="1" containsInteger="1" minValue="1900" maxValue="2026" count="4">
        <n v="2025"/>
        <n v="1900"/>
        <n v="2026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it Goenka" refreshedDate="46084.634656712966" createdVersion="8" refreshedVersion="8" minRefreshableVersion="3" recordCount="1064" xr:uid="{02C87960-B011-49F2-863D-174458230D3E}">
  <cacheSource type="worksheet">
    <worksheetSource ref="A1:AI1048576" sheet="Warranty report"/>
  </cacheSource>
  <cacheFields count="35">
    <cacheField name="EDP No." numFmtId="0">
      <sharedItems containsString="0" containsBlank="1" containsNumber="1" containsInteger="1" minValue="1007683" maxValue="10143238"/>
    </cacheField>
    <cacheField name="Invoice Number" numFmtId="0">
      <sharedItems containsBlank="1" count="408">
        <s v="WCI25C000101"/>
        <s v="WCI25C000100"/>
        <s v="WCI26C000008"/>
        <s v="WCI26C000009"/>
        <s v="WCI26C000001"/>
        <s v="WCI26E000004"/>
        <s v="WCI26E000005"/>
        <s v="WCI26E000002"/>
        <s v="WCI26E000003"/>
        <s v="WCI26E000008"/>
        <s v="WCI26E000064"/>
        <s v="WCI26E000087"/>
        <s v="WCI26E000019"/>
        <s v="WCI26E000057"/>
        <s v="WCI26E000035"/>
        <s v="WCI26E000061"/>
        <s v="WCI26E000033"/>
        <s v="WCI26E000016"/>
        <s v="WCI26E000069"/>
        <s v="WCI26E000039"/>
        <s v="WCI26E000040"/>
        <s v="WCI26E000046"/>
        <s v="WCI26E000017"/>
        <s v="WCI26E000070"/>
        <s v="WCI26E000089"/>
        <s v="WCI26E000052"/>
        <s v="WCI26E000095"/>
        <s v="WCI26E000085"/>
        <s v="WCI26E000032"/>
        <s v="WCI26E000014"/>
        <s v="WCI26E000097"/>
        <s v="WCI26E000098"/>
        <s v="WCI26E000021"/>
        <s v="WCI26E000081"/>
        <s v="WCI26E000041"/>
        <s v="WCI26E000024"/>
        <s v="WCI26E000093"/>
        <s v="WCI26E000045"/>
        <s v="WCI26E000028"/>
        <s v="WCI26E000048"/>
        <s v="WCI26E000063"/>
        <s v="WCI26E000038"/>
        <s v="WCI26E000079"/>
        <s v="WCI26E000092"/>
        <s v="WCI26E000042"/>
        <s v="WCI26E000012"/>
        <s v="WCI26E000044"/>
        <s v="WCI26E000054"/>
        <s v="WCI26E000049"/>
        <s v="WCI26E000043"/>
        <s v="WCI26E000065"/>
        <s v="WCI26E000082"/>
        <s v="WCI26E000047"/>
        <s v="WCI26E000056"/>
        <s v="WCI26E000022"/>
        <s v="WCI26E000072"/>
        <s v="WCI26E000080"/>
        <s v="WCI26E000071"/>
        <s v="WCI26E000084"/>
        <s v="WCI26E000015"/>
        <s v="WCI26E000036"/>
        <s v="WCI26E000009"/>
        <s v="WCI26E000034"/>
        <s v="WCI26E000066"/>
        <s v="WCI26E000091"/>
        <s v="WCI26E000060"/>
        <s v="WCI26E000018"/>
        <s v="WCI26E000007"/>
        <s v="WCI26E000031"/>
        <s v="WCI26E000050"/>
        <s v="WCI26E000090"/>
        <s v="WCI26E000099"/>
        <s v="WCI26E000013"/>
        <s v="WCI26E000058"/>
        <s v="WCI26E000010"/>
        <s v="WCI26E000100"/>
        <s v="WCI26E000027"/>
        <s v="WCI26E000029"/>
        <s v="WCI26E000062"/>
        <s v="WCI26E000030"/>
        <s v="WCI26E000020"/>
        <s v="WCI26E000026"/>
        <s v="WCI26E000037"/>
        <s v="WCI26E000023"/>
        <s v="WCI26E000059"/>
        <s v="WCI26E000094"/>
        <s v="WCI26E000011"/>
        <s v="WCI26E000077"/>
        <s v="WCI26E000078"/>
        <s v="WCI26E000104"/>
        <s v="WCI26E000106"/>
        <s v="WCI26E000110"/>
        <s v="WCI26E000114"/>
        <s v="WCI26E000135"/>
        <s v="WCI26E000119"/>
        <s v="WCI26E000111"/>
        <s v="WCI26E000158"/>
        <s v="WCI26E000120"/>
        <s v="WCI26E000127"/>
        <s v="WCI26E000133"/>
        <s v="WCI26E000143"/>
        <s v="WCI26E000126"/>
        <s v="WCI26E000147"/>
        <s v="WCI26E000124"/>
        <s v="WCI26E000150"/>
        <s v="WCI26E000121"/>
        <s v="WCI26E000112"/>
        <s v="WCI26E000125"/>
        <s v="WCI26E000141"/>
        <s v="WCI26E000137"/>
        <s v="WCI26E000154"/>
        <s v="WCI26E000151"/>
        <s v="WCI26E000142"/>
        <s v="WCI26E000138"/>
        <s v="WCI26E000136"/>
        <s v="WCI26E000134"/>
        <s v="WCI26E000140"/>
        <s v="WCI26E000107"/>
        <s v="WCI26E000109"/>
        <s v="WCI26E000122"/>
        <s v="WCI26E000156"/>
        <s v="WCI26E000113"/>
        <s v="WCI26E000115"/>
        <s v="WCI26E000123"/>
        <s v="WCI26E000139"/>
        <s v="WCI26E000153"/>
        <s v="WCI26E000155"/>
        <s v="WCI26E000116"/>
        <s v="WCI26E000149"/>
        <s v="WCI26E000132"/>
        <s v="WCI26E000148"/>
        <s v="WCI26E000157"/>
        <s v="WCI26E000128"/>
        <s v="WCI26E000152"/>
        <s v="WCI26E000129"/>
        <s v="WCI26E000130"/>
        <s v="WCI26E000159"/>
        <s v="WCI26E000117"/>
        <s v="WCI26E000165"/>
        <s v="WCI26E000169"/>
        <s v="WCI26E000162"/>
        <s v="WCI26E000161"/>
        <s v="WCI26E000163"/>
        <s v="WCI26E000166"/>
        <s v="WCI26E000183"/>
        <s v="WCI26E000188"/>
        <s v="WCI26E000182"/>
        <s v="WCI26E000187"/>
        <s v="WCI26E000181"/>
        <s v="WCI26E000184"/>
        <s v="WCI26E000191"/>
        <s v="WCI26E000178"/>
        <s v="WCI26E000189"/>
        <s v="WCI26E000185"/>
        <s v="WCI26E000177"/>
        <s v="WCI26E000186"/>
        <s v="WCI26E000176"/>
        <s v="WCI26E000175"/>
        <s v="WCI26E000190"/>
        <s v="WCI26E000192"/>
        <s v="WCI26E000171"/>
        <s v="WCI26E000174"/>
        <s v="WCI26E000164"/>
        <s v="WCI26E000197"/>
        <s v="WCI26E000193"/>
        <s v="WCI26E000206"/>
        <s v="WCI26E000251"/>
        <s v="WCI26E000207"/>
        <s v="WCI26E000267"/>
        <s v="WCI26E000201"/>
        <s v="WCI26E000253"/>
        <s v="WCI26E000210"/>
        <s v="WCI26E000194"/>
        <s v="WCI26E000264"/>
        <s v="WCI26E000263"/>
        <s v="WCI26E000218"/>
        <s v="WCI26E000198"/>
        <s v="WCI26E000213"/>
        <s v="WCI26E000208"/>
        <s v="WCI26E000205"/>
        <s v="WCI26E000195"/>
        <s v="WCI26E000204"/>
        <s v="WCI26E000265"/>
        <s v="WCI26E000260"/>
        <s v="WCI26E000262"/>
        <s v="WCI26E000259"/>
        <s v="WCI26E000261"/>
        <s v="WCI26E000199"/>
        <s v="WCI26E000258"/>
        <s v="WCI26E000203"/>
        <s v="WCI26E000209"/>
        <s v="WCI26E000255"/>
        <s v="WCI26E000196"/>
        <s v="WCI26E000254"/>
        <s v="WCI26E000266"/>
        <s v="WCI26E000217"/>
        <s v="WCI26E000252"/>
        <s v="WCI26E000202"/>
        <s v="WCI26E000200"/>
        <s v="WCI26E000216"/>
        <s v="WCI26E000245"/>
        <s v="WCI26E000230"/>
        <s v="WCI26E000229"/>
        <s v="WCI26E000244"/>
        <s v="WCI26E000211"/>
        <s v="WCI26E000212"/>
        <s v="WCI26E000214"/>
        <s v="WCI26E000257"/>
        <s v="WCI26E000215"/>
        <s v="WCI26E000256"/>
        <s v="WCI26E000241"/>
        <s v="WCI26E000250"/>
        <s v="WCI26E000239"/>
        <s v="WCI26E000269"/>
        <s v="WCI26E000222"/>
        <s v="WCI26E000238"/>
        <s v="WCI26E000240"/>
        <s v="WCI26E000223"/>
        <s v="WCI26E000277"/>
        <s v="WCI26E000227"/>
        <s v="WCI26E000281"/>
        <s v="WCI26E000220"/>
        <s v="WCI26E000280"/>
        <s v="WCI26E000228"/>
        <s v="WCI26E000270"/>
        <s v="WCI26E000226"/>
        <s v="WCI26E000237"/>
        <s v="WCI26E000219"/>
        <s v="WCI26E000235"/>
        <s v="WCI26E000268"/>
        <s v="WCI26E000276"/>
        <s v="WCI26E000221"/>
        <s v="WCI26E000246"/>
        <s v="WCI26E000271"/>
        <s v="WCI26E000278"/>
        <s v="WCI26E000274"/>
        <s v="WCI26E000272"/>
        <s v="WCI26E000282"/>
        <s v="WCI26E000233"/>
        <s v="WCI26E000234"/>
        <s v="WCI26E000275"/>
        <s v="WCI26E000283"/>
        <s v="WCI26E000243"/>
        <s v="WCI26E000232"/>
        <s v="WCI26E000249"/>
        <s v="WCI26E000231"/>
        <s v="WCI26E000248"/>
        <s v="WCI26E000273"/>
        <s v="WCI26E000279"/>
        <s v="WCI26E000224"/>
        <s v="WCI26E000225"/>
        <s v="WCI26E000247"/>
        <s v="WCI26E000284"/>
        <s v="WCI26E000299"/>
        <s v="WCI26E000292"/>
        <s v="WCI26E000289"/>
        <s v="WCI26E000297"/>
        <s v="WCI26E000291"/>
        <s v="WCI26E000301"/>
        <s v="WCI26E000296"/>
        <s v="WCI26E000288"/>
        <s v="WCI26E000287"/>
        <s v="WCI26E000298"/>
        <s v="WCI26E000300"/>
        <s v="WCI26E000286"/>
        <s v="WCI26E000302"/>
        <s v="WCI26E000305"/>
        <s v="WCI26E000309"/>
        <s v="WCI26E000308"/>
        <s v="WCI26E000307"/>
        <s v="WCI26E000303"/>
        <s v="WCI26E000306"/>
        <s v="WCI26E000304"/>
        <s v="WCI26E000290"/>
        <s v="WCI26E000294"/>
        <s v="WCI26E000293"/>
        <s v="WCI26E000285"/>
        <s v="WCI26E000295"/>
        <s v="WCI26E000349"/>
        <s v="WCI26E000324"/>
        <s v="WCI26E000344"/>
        <s v="WCI26E000336"/>
        <s v="WCI26E000316"/>
        <s v="WCI26E000314"/>
        <s v="WCI26E000331"/>
        <s v="WCI26E000315"/>
        <s v="WCI26E000334"/>
        <s v="WCI26E000347"/>
        <s v="WCI26E000322"/>
        <s v="WCI26E000333"/>
        <s v="WCI26E000328"/>
        <s v="WCI26E000311"/>
        <s v="WCI26E000326"/>
        <s v="WCI26E000310"/>
        <s v="WCI26E000348"/>
        <s v="WCI26E000343"/>
        <s v="WCI26E000335"/>
        <s v="WCI26E000339"/>
        <s v="WCI26E000345"/>
        <s v="WCI26E000337"/>
        <s v="WCI26E000330"/>
        <s v="WCI26E000332"/>
        <s v="WCI26E000350"/>
        <s v="WCI26E000367"/>
        <s v="WCI26E000371"/>
        <s v="WCI26E000366"/>
        <s v="WCI26E000369"/>
        <s v="WCI26E000398"/>
        <s v="WCI26E000399"/>
        <s v="WCI26E000364"/>
        <s v="WCI26E000392"/>
        <s v="WCI26E000387"/>
        <s v="WCI26E000393"/>
        <s v="WCI26E000386"/>
        <s v="WCI26E000370"/>
        <s v="WCI26E000365"/>
        <s v="WCI26E000395"/>
        <s v="WCI26E000396"/>
        <s v="WCI26E000376"/>
        <s v="WCI26E000379"/>
        <s v="WCI26E000380"/>
        <s v="WCI26E000375"/>
        <s v="WCI26E000373"/>
        <s v="WCI26E000377"/>
        <s v="WCI26E000374"/>
        <s v="WCI26E000372"/>
        <s v="WCI26E000394"/>
        <s v="WCI26E000397"/>
        <s v="WCI26E000382"/>
        <s v="WCI26E000313"/>
        <s v="WCI26E000362"/>
        <s v="WCI26E000381"/>
        <s v="WCI26E000340"/>
        <s v="WCI26E000327"/>
        <s v="WCI26E000351"/>
        <s v="WCI26E000338"/>
        <s v="WCI26E000378"/>
        <s v="WCI26E000329"/>
        <s v="WCI26E000383"/>
        <s v="WCI26E000385"/>
        <s v="WCI26E000346"/>
        <s v="WCI26E000323"/>
        <s v="WCI26E000361"/>
        <s v="WCI26E000384"/>
        <s v="WCI26E000317"/>
        <s v="WCI26E000312"/>
        <s v="WCI26E000363"/>
        <s v="WCI26E000389"/>
        <s v="WCI26E000391"/>
        <s v="WCI26E000388"/>
        <s v="WCI26E000390"/>
        <s v="WCI26E000402"/>
        <s v="WCI26E000401"/>
        <s v="WCI26E000403"/>
        <s v="WCI26E000405"/>
        <s v="WCI26E000404"/>
        <s v="WCI26E000400"/>
        <s v="WCI26E000406"/>
        <s v="WCI26C000006"/>
        <s v="WCI26C000003"/>
        <s v="WCI26C000004"/>
        <s v="WCI26C000007"/>
        <s v="WCI26C000005"/>
        <s v="WCI26C000002"/>
        <s v="WCI26E000001"/>
        <s v="WCI26E000006"/>
        <s v="WCI26E000086"/>
        <s v="WCI26E000076"/>
        <s v="WCI26E000053"/>
        <s v="WCI26E000083"/>
        <s v="WCI26E000025"/>
        <s v="WCI26E000051"/>
        <s v="WCI26E000073"/>
        <s v="WCI26E000067"/>
        <s v="WCI26E000075"/>
        <s v="WCI26E000055"/>
        <s v="WCI26E000068"/>
        <s v="WCI26E000088"/>
        <s v="WCI26E000074"/>
        <s v="WCI26E000101"/>
        <s v="WCI26E000096"/>
        <s v="WCI26E000105"/>
        <s v="WCI26E000102"/>
        <s v="WCI26E000103"/>
        <s v="WCI26E000144"/>
        <s v="WCI26E000146"/>
        <s v="WCI26E000131"/>
        <s v="WCI26E000118"/>
        <s v="WCI26E000160"/>
        <s v="WCI26E000108"/>
        <s v="WCI26E000145"/>
        <s v="WCI26E000167"/>
        <s v="WCI26E000168"/>
        <s v="WCI26E000170"/>
        <s v="WCI26E000180"/>
        <s v="WCI26E000173"/>
        <s v="WCI26E000179"/>
        <s v="MWCI25C000012"/>
        <s v="WCI26E000236"/>
        <s v="WCI26E000242"/>
        <s v="WCI25D000009"/>
        <s v="WCI25D000008"/>
        <s v="WCI25D000007"/>
        <s v="WCI26D000001"/>
        <s v="WCI26D000002"/>
        <s v="WCI26D000004"/>
        <s v="WCI26D000003"/>
        <m/>
      </sharedItems>
    </cacheField>
    <cacheField name="Invoice Date" numFmtId="0">
      <sharedItems containsBlank="1"/>
    </cacheField>
    <cacheField name="Printed No" numFmtId="0">
      <sharedItems containsString="0" containsBlank="1" containsNumber="1" containsInteger="1" minValue="713425042" maxValue="7160260122028"/>
    </cacheField>
    <cacheField name="Mfg Claim Id" numFmtId="0">
      <sharedItems containsBlank="1"/>
    </cacheField>
    <cacheField name="Claim Id" numFmtId="0">
      <sharedItems containsBlank="1"/>
    </cacheField>
    <cacheField name="Received Date" numFmtId="0">
      <sharedItems containsBlank="1"/>
    </cacheField>
    <cacheField name="Accept Date" numFmtId="0">
      <sharedItems containsBlank="1" count="19">
        <s v="07-04-2025"/>
        <s v="29-05-2025"/>
        <s v="23-07-2025"/>
        <s v="31-07-2025"/>
        <s v="25-07-2025"/>
        <s v="30-09-2025"/>
        <s v="11-09-2025"/>
        <s v="11-11-2025"/>
        <s v="17-12-2025"/>
        <s v="01-12-2025"/>
        <s v="16-02-2026"/>
        <s v="02-12-2025"/>
        <s v="05-12-2025"/>
        <s v="31-01-2026"/>
        <s v="02-02-2026"/>
        <s v="27-02-2026"/>
        <m/>
        <s v="30-04-2025"/>
        <s v="09-04-2025"/>
      </sharedItems>
    </cacheField>
    <cacheField name="Chassis No." numFmtId="0">
      <sharedItems containsBlank="1"/>
    </cacheField>
    <cacheField name="Engine No." numFmtId="0">
      <sharedItems containsBlank="1"/>
    </cacheField>
    <cacheField name="Vehicle Type" numFmtId="0">
      <sharedItems containsBlank="1"/>
    </cacheField>
    <cacheField name="Sale Date" numFmtId="0">
      <sharedItems containsBlank="1"/>
    </cacheField>
    <cacheField name="Sale Kms/Hrs" numFmtId="0">
      <sharedItems containsString="0" containsBlank="1" containsNumber="1" containsInteger="1" minValue="1060" maxValue="1165"/>
    </cacheField>
    <cacheField name="Fail Date" numFmtId="0">
      <sharedItems containsBlank="1"/>
    </cacheField>
    <cacheField name="Fail Kms" numFmtId="0">
      <sharedItems containsString="0" containsBlank="1" containsNumber="1" containsInteger="1" minValue="1160" maxValue="228588"/>
    </cacheField>
    <cacheField name="GST Inv Rej Cd" numFmtId="0">
      <sharedItems containsNonDate="0" containsString="0" containsBlank="1"/>
    </cacheField>
    <cacheField name="GST_Inv_Rej_Desc" numFmtId="0">
      <sharedItems containsNonDate="0" containsString="0" containsBlank="1"/>
    </cacheField>
    <cacheField name="Item Serial" numFmtId="0">
      <sharedItems containsString="0" containsBlank="1" containsNumber="1" containsInteger="1" minValue="1" maxValue="39"/>
    </cacheField>
    <cacheField name="Item Code" numFmtId="0">
      <sharedItems containsBlank="1"/>
    </cacheField>
    <cacheField name="Item Description" numFmtId="0">
      <sharedItems containsBlank="1"/>
    </cacheField>
    <cacheField name="Qty" numFmtId="0">
      <sharedItems containsString="0" containsBlank="1" containsNumber="1" containsInteger="1" minValue="1" maxValue="13"/>
    </cacheField>
    <cacheField name="Credit Rs." numFmtId="0">
      <sharedItems containsString="0" containsBlank="1" containsNumber="1" minValue="3.25" maxValue="99964.53"/>
    </cacheField>
    <cacheField name="Remark" numFmtId="0">
      <sharedItems containsBlank="1"/>
    </cacheField>
    <cacheField name="Rej Code" numFmtId="0">
      <sharedItems containsBlank="1" containsMixedTypes="1" containsNumber="1" containsInteger="1" minValue="10" maxValue="73"/>
    </cacheField>
    <cacheField name="Rejection Description" numFmtId="0">
      <sharedItems containsBlank="1"/>
    </cacheField>
    <cacheField name="CR Note Details" numFmtId="0">
      <sharedItems containsBlank="1" containsMixedTypes="1" containsNumber="1" containsInteger="1" minValue="1749457" maxValue="1755738"/>
    </cacheField>
    <cacheField name="CR Note Date" numFmtId="0">
      <sharedItems containsBlank="1"/>
    </cacheField>
    <cacheField name="GST Invc Amt(A)" numFmtId="0">
      <sharedItems containsString="0" containsBlank="1" containsNumber="1" minValue="3.84" maxValue="117958.15"/>
    </cacheField>
    <cacheField name="Dealer Debit Amt (B)" numFmtId="0">
      <sharedItems containsString="0" containsBlank="1" containsNumber="1" minValue="0" maxValue="28677.22"/>
    </cacheField>
    <cacheField name="Debit Note No for Rej Claim" numFmtId="0">
      <sharedItems containsString="0" containsBlank="1" containsNumber="1" containsInteger="1" minValue="1517573" maxValue="1517885"/>
    </cacheField>
    <cacheField name="Debit Note Dt" numFmtId="0">
      <sharedItems containsBlank="1"/>
    </cacheField>
    <cacheField name="Actual Credit Amt To dealer (A-B)" numFmtId="0">
      <sharedItems containsString="0" containsBlank="1" containsNumber="1" minValue="0" maxValue="117958.15"/>
    </cacheField>
    <cacheField name="SAP Cr note no" numFmtId="0">
      <sharedItems containsNonDate="0" containsString="0" containsBlank="1"/>
    </cacheField>
    <cacheField name="SAP Db note no" numFmtId="0">
      <sharedItems containsNonDate="0" containsString="0" containsBlank="1"/>
    </cacheField>
    <cacheField name="Comment on Claim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it Goenka" refreshedDate="46084.634657870367" createdVersion="8" refreshedVersion="8" minRefreshableVersion="3" recordCount="1604" xr:uid="{9DB12FBD-33BB-43EA-98A5-05F73B1377E5}">
  <cacheSource type="worksheet">
    <worksheetSource ref="A1:AD1048576" sheet="PDI report"/>
  </cacheSource>
  <cacheFields count="30">
    <cacheField name="Sr. No." numFmtId="0">
      <sharedItems containsString="0" containsBlank="1" containsNumber="1" containsInteger="1" minValue="1" maxValue="281"/>
    </cacheField>
    <cacheField name="Zone" numFmtId="0">
      <sharedItems containsBlank="1"/>
    </cacheField>
    <cacheField name="State" numFmtId="0">
      <sharedItems containsBlank="1"/>
    </cacheField>
    <cacheField name="Dealer Code" numFmtId="0">
      <sharedItems containsString="0" containsBlank="1" containsNumber="1" containsInteger="1" minValue="7134" maxValue="7160"/>
    </cacheField>
    <cacheField name="Dealer Name" numFmtId="0">
      <sharedItems containsBlank="1"/>
    </cacheField>
    <cacheField name="Dealer Location" numFmtId="0">
      <sharedItems containsBlank="1"/>
    </cacheField>
    <cacheField name="Scheme" numFmtId="0">
      <sharedItems containsBlank="1"/>
    </cacheField>
    <cacheField name="Sale Date" numFmtId="0">
      <sharedItems containsBlank="1"/>
    </cacheField>
    <cacheField name="Sale Kms/Hrs." numFmtId="0">
      <sharedItems containsString="0" containsBlank="1" containsNumber="1" containsInteger="1" minValue="1092" maxValue="221001"/>
    </cacheField>
    <cacheField name="Coupon No." numFmtId="0">
      <sharedItems containsBlank="1" containsMixedTypes="1" containsNumber="1" containsInteger="1" minValue="91005790" maxValue="91005790"/>
    </cacheField>
    <cacheField name="Chassis No." numFmtId="0">
      <sharedItems containsBlank="1"/>
    </cacheField>
    <cacheField name="Engine No." numFmtId="0">
      <sharedItems containsBlank="1"/>
    </cacheField>
    <cacheField name="Vehicle Type" numFmtId="0">
      <sharedItems containsBlank="1"/>
    </cacheField>
    <cacheField name="Invoice No." numFmtId="0">
      <sharedItems containsBlank="1" count="19">
        <s v="SCI25C000040"/>
        <s v="SCI26E000001"/>
        <s v="SCI26E000002"/>
        <s v="SCI26E000003"/>
        <s v="SCI26E000004"/>
        <s v="SCI26E000008"/>
        <s v="SCI26E000009"/>
        <s v="SCI26E000011"/>
        <s v="SCI26E000012"/>
        <s v="SCI26E000013"/>
        <s v="SCI26E000017"/>
        <s v="SCI26E000018"/>
        <s v="SCI26E000019"/>
        <s v="SCI26E000022"/>
        <s v="SCI26E000023"/>
        <s v="SCI26E000024"/>
        <s v="SCI26E000025"/>
        <s v="SCI26D000002"/>
        <m/>
      </sharedItems>
    </cacheField>
    <cacheField name="INVOICE_DATE" numFmtId="0">
      <sharedItems containsBlank="1"/>
    </cacheField>
    <cacheField name="Settlement Date" numFmtId="0">
      <sharedItems containsBlank="1" count="10">
        <s v="23-Apr-25"/>
        <s v="09-Jul-25"/>
        <s v="20-Aug-25"/>
        <s v="12-Sep-25"/>
        <s v="07-Oct-25"/>
        <s v="12-Dec-25"/>
        <s v="22-Jan-26"/>
        <s v="13-Feb-26"/>
        <s v="13-Aug-25"/>
        <m/>
      </sharedItems>
    </cacheField>
    <cacheField name="Invoice Amount" numFmtId="0">
      <sharedItems containsString="0" containsBlank="1" containsNumber="1" containsInteger="1" minValue="1050" maxValue="1500"/>
    </cacheField>
    <cacheField name="Credit Amount" numFmtId="0">
      <sharedItems containsString="0" containsBlank="1" containsNumber="1" containsInteger="1" minValue="0" maxValue="1500"/>
    </cacheField>
    <cacheField name="GST Amount" numFmtId="0">
      <sharedItems containsString="0" containsBlank="1" containsNumber="1" containsInteger="1" minValue="189" maxValue="270"/>
    </cacheField>
    <cacheField name="Net Amount" numFmtId="0">
      <sharedItems containsString="0" containsBlank="1" containsNumber="1" containsInteger="1" minValue="1239" maxValue="1770"/>
    </cacheField>
    <cacheField name="Credit Note No." numFmtId="0">
      <sharedItems containsString="0" containsBlank="1" containsNumber="1" containsInteger="1" minValue="0" maxValue="622941"/>
    </cacheField>
    <cacheField name="Credit Note Date" numFmtId="0">
      <sharedItems containsBlank="1"/>
    </cacheField>
    <cacheField name="Debit Amount" numFmtId="0">
      <sharedItems containsString="0" containsBlank="1" containsNumber="1" containsInteger="1" minValue="0" maxValue="1500"/>
    </cacheField>
    <cacheField name="Debit Note No." numFmtId="0">
      <sharedItems containsString="0" containsBlank="1" containsNumber="1" containsInteger="1" minValue="0" maxValue="34194"/>
    </cacheField>
    <cacheField name="Debit Note Date" numFmtId="0">
      <sharedItems containsBlank="1"/>
    </cacheField>
    <cacheField name="FI Doc No Credit" numFmtId="0">
      <sharedItems containsNonDate="0" containsString="0" containsBlank="1"/>
    </cacheField>
    <cacheField name="FI Doc No Debit" numFmtId="0">
      <sharedItems containsNonDate="0" containsString="0" containsBlank="1"/>
    </cacheField>
    <cacheField name="Rejection Code" numFmtId="0">
      <sharedItems containsBlank="1"/>
    </cacheField>
    <cacheField name="Rejection Desc." numFmtId="0">
      <sharedItems containsBlank="1"/>
    </cacheField>
    <cacheField name="Rejection Percent" numFmtId="0">
      <sharedItems containsString="0" containsBlank="1" containsNumber="1" containsInteger="1" minValue="10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it Goenka" refreshedDate="46084.634658912037" createdVersion="8" refreshedVersion="8" minRefreshableVersion="3" recordCount="2471" xr:uid="{74AA393B-3430-4589-AEA6-1801FE5F63A7}">
  <cacheSource type="worksheet">
    <worksheetSource ref="A1:AI1048576" sheet="FSC report"/>
  </cacheSource>
  <cacheFields count="35">
    <cacheField name="Sr. No." numFmtId="0">
      <sharedItems containsString="0" containsBlank="1" containsNumber="1" containsInteger="1" minValue="1" maxValue="1909"/>
    </cacheField>
    <cacheField name="Zone" numFmtId="0">
      <sharedItems containsBlank="1"/>
    </cacheField>
    <cacheField name="State" numFmtId="0">
      <sharedItems containsBlank="1"/>
    </cacheField>
    <cacheField name="Dealer Code" numFmtId="0">
      <sharedItems containsString="0" containsBlank="1" containsNumber="1" containsInteger="1" minValue="7134" maxValue="7160"/>
    </cacheField>
    <cacheField name="Dealer Name" numFmtId="0">
      <sharedItems containsBlank="1"/>
    </cacheField>
    <cacheField name="Location" numFmtId="0">
      <sharedItems containsBlank="1"/>
    </cacheField>
    <cacheField name="Sale Date" numFmtId="0">
      <sharedItems containsBlank="1"/>
    </cacheField>
    <cacheField name="Service Date" numFmtId="0">
      <sharedItems containsBlank="1"/>
    </cacheField>
    <cacheField name="Sale KMS/Hrs" numFmtId="0">
      <sharedItems containsString="0" containsBlank="1" containsNumber="1" containsInteger="1" minValue="1" maxValue="221001"/>
    </cacheField>
    <cacheField name="Service KMS/Hrs" numFmtId="0">
      <sharedItems containsString="0" containsBlank="1" containsNumber="1" containsInteger="1" minValue="1165" maxValue="11989902"/>
    </cacheField>
    <cacheField name="Service No." numFmtId="0">
      <sharedItems containsString="0" containsBlank="1" containsNumber="1" containsInteger="1" minValue="1" maxValue="16"/>
    </cacheField>
    <cacheField name="Scheme" numFmtId="0">
      <sharedItems containsBlank="1"/>
    </cacheField>
    <cacheField name="Vehicle Type" numFmtId="0">
      <sharedItems containsBlank="1"/>
    </cacheField>
    <cacheField name="Coupon No." numFmtId="0">
      <sharedItems containsString="0" containsBlank="1" containsNumber="1" containsInteger="1" minValue="1" maxValue="910080011"/>
    </cacheField>
    <cacheField name="Chassis No." numFmtId="0">
      <sharedItems containsBlank="1"/>
    </cacheField>
    <cacheField name="Engine No." numFmtId="0">
      <sharedItems containsBlank="1"/>
    </cacheField>
    <cacheField name="Rejection Code" numFmtId="0">
      <sharedItems containsBlank="1"/>
    </cacheField>
    <cacheField name="Rejection Desc." numFmtId="0">
      <sharedItems containsBlank="1"/>
    </cacheField>
    <cacheField name="GST Invoice No." numFmtId="0">
      <sharedItems containsBlank="1" count="18">
        <s v="7134-20250923"/>
        <s v="SCI25C000036"/>
        <s v="SCI25C000039"/>
        <s v="SCI26E000005"/>
        <s v="SCI26E000006"/>
        <s v="SCI26E000007"/>
        <s v="SCI26E000010"/>
        <s v="SCI26E000014"/>
        <s v="SCI26E000015"/>
        <s v="SCI26E000016"/>
        <s v="SCI26E000020"/>
        <s v="SCI26E000021"/>
        <s v="SCI26E000026"/>
        <s v="SCI26E000030"/>
        <s v="SCI26D000001"/>
        <s v="SCI26D000003"/>
        <s v="SCI26D000004"/>
        <m/>
      </sharedItems>
    </cacheField>
    <cacheField name="Invoice Date" numFmtId="0">
      <sharedItems containsBlank="1"/>
    </cacheField>
    <cacheField name="Settlement Date" numFmtId="0">
      <sharedItems containsBlank="1" count="14">
        <s v="23-Sep-25"/>
        <s v="15-Apr-25"/>
        <s v="14-May-25"/>
        <s v="02-Jul-25"/>
        <s v="27-Jun-25"/>
        <s v="21-Aug-25"/>
        <s v="13-Oct-25"/>
        <s v="30-Oct-25"/>
        <s v="28-Nov-25"/>
        <s v="19-Jan-26"/>
        <s v="12-Feb-26"/>
        <s v="27-Feb-26"/>
        <s v="03-Jul-25"/>
        <m/>
      </sharedItems>
    </cacheField>
    <cacheField name="Invoice Amount" numFmtId="0">
      <sharedItems containsString="0" containsBlank="1" containsNumber="1" containsInteger="1" minValue="0" maxValue="1650"/>
    </cacheField>
    <cacheField name="Credit Note No." numFmtId="0">
      <sharedItems containsString="0" containsBlank="1" containsNumber="1" containsInteger="1" minValue="0" maxValue="590054"/>
    </cacheField>
    <cacheField name="Credit Note Date" numFmtId="0">
      <sharedItems containsBlank="1"/>
    </cacheField>
    <cacheField name="Credit Amount" numFmtId="0">
      <sharedItems containsString="0" containsBlank="1" containsNumber="1" containsInteger="1" minValue="0" maxValue="1650"/>
    </cacheField>
    <cacheField name="Net Amount" numFmtId="0">
      <sharedItems containsString="0" containsBlank="1" containsNumber="1" containsInteger="1" minValue="0" maxValue="1947"/>
    </cacheField>
    <cacheField name="GST Amount" numFmtId="0">
      <sharedItems containsString="0" containsBlank="1" containsNumber="1" containsInteger="1" minValue="0" maxValue="297"/>
    </cacheField>
    <cacheField name="Debit Note No." numFmtId="0">
      <sharedItems containsString="0" containsBlank="1" containsNumber="1" containsInteger="1" minValue="0" maxValue="113521"/>
    </cacheField>
    <cacheField name="Debit Note Date" numFmtId="0">
      <sharedItems containsBlank="1"/>
    </cacheField>
    <cacheField name="Debit Amount" numFmtId="0">
      <sharedItems containsString="0" containsBlank="1" containsNumber="1" containsInteger="1" minValue="0" maxValue="1650"/>
    </cacheField>
    <cacheField name="FI Doc No Credit" numFmtId="0">
      <sharedItems containsNonDate="0" containsString="0" containsBlank="1"/>
    </cacheField>
    <cacheField name="FI Doc No Debit" numFmtId="0">
      <sharedItems containsNonDate="0" containsString="0" containsBlank="1"/>
    </cacheField>
    <cacheField name="Vehicle Sub Type" numFmtId="0">
      <sharedItems containsBlank="1"/>
    </cacheField>
    <cacheField name="Division" numFmtId="0">
      <sharedItems containsBlank="1"/>
    </cacheField>
    <cacheField name="Coupon Typ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32">
  <r>
    <s v="WCI25C000102"/>
    <n v="356"/>
    <d v="2025-03-27T00:00:00"/>
    <n v="2765"/>
    <x v="0"/>
    <s v="Accepted"/>
    <n v="2765"/>
    <s v="NOT FOUND"/>
    <d v="2025-06-05T00:00:00"/>
    <m/>
    <x v="0"/>
    <x v="0"/>
  </r>
  <r>
    <s v="WCI25C000103"/>
    <n v="357"/>
    <d v="2025-03-27T00:00:00"/>
    <n v="2588"/>
    <x v="0"/>
    <s v="Accepted"/>
    <n v="2588"/>
    <s v="NOT FOUND"/>
    <d v="2025-06-05T00:00:00"/>
    <m/>
    <x v="0"/>
    <x v="0"/>
  </r>
  <r>
    <s v="WCI26C000001"/>
    <n v="358"/>
    <d v="2025-04-30T00:00:00"/>
    <n v="1465"/>
    <x v="0"/>
    <s v="REJECTED"/>
    <n v="0"/>
    <n v="1464.91"/>
    <s v="29-05-2025"/>
    <m/>
    <x v="1"/>
    <x v="0"/>
  </r>
  <r>
    <s v="WCI26C000002"/>
    <n v="359"/>
    <d v="2025-04-30T00:00:00"/>
    <n v="2187"/>
    <x v="0"/>
    <s v="Accepted"/>
    <n v="2186.85"/>
    <n v="0"/>
    <s v="29-05-2025"/>
    <m/>
    <x v="1"/>
    <x v="0"/>
  </r>
  <r>
    <s v="PCI26C000001"/>
    <m/>
    <d v="2025-04-23T00:00:00"/>
    <n v="7375"/>
    <x v="1"/>
    <s v="Accepted"/>
    <n v="7375"/>
    <s v="NOT FOUND"/>
    <d v="2025-06-23T00:00:00"/>
    <m/>
    <x v="1"/>
    <x v="0"/>
  </r>
  <r>
    <s v="PCI26C000002"/>
    <m/>
    <d v="2025-04-23T00:00:00"/>
    <n v="8661"/>
    <x v="1"/>
    <s v="Accepted"/>
    <n v="8661.2000000000007"/>
    <s v="NOT FOUND"/>
    <d v="2025-06-23T00:00:00"/>
    <m/>
    <x v="1"/>
    <x v="0"/>
  </r>
  <r>
    <s v="PCI26C000003"/>
    <m/>
    <d v="2025-04-30T00:00:00"/>
    <n v="8685"/>
    <x v="1"/>
    <s v="Accepted"/>
    <n v="8684.7999999999993"/>
    <s v="NOT FOUND"/>
    <d v="2025-07-30T00:00:00"/>
    <m/>
    <x v="1"/>
    <x v="0"/>
  </r>
  <r>
    <s v="PCI26C000004"/>
    <m/>
    <d v="2025-04-30T00:00:00"/>
    <n v="8484"/>
    <x v="1"/>
    <s v="Partial/Rejected"/>
    <n v="8340.2000000000007"/>
    <s v="NOT FOUND"/>
    <d v="2025-07-31T00:00:00"/>
    <m/>
    <x v="1"/>
    <x v="0"/>
  </r>
  <r>
    <s v="PCI26C000005"/>
    <m/>
    <d v="2025-04-30T00:00:00"/>
    <n v="142876"/>
    <x v="2"/>
    <s v="Accepted"/>
    <n v="142875.57999999999"/>
    <s v="NOT FOUND"/>
    <d v="2025-07-30T00:00:00"/>
    <m/>
    <x v="1"/>
    <x v="0"/>
  </r>
  <r>
    <s v="PCI26C000006"/>
    <m/>
    <d v="2025-04-30T00:00:00"/>
    <n v="8832"/>
    <x v="1"/>
    <s v="Partial/Rejected"/>
    <n v="8682.2999999999993"/>
    <s v="NOT FOUND"/>
    <d v="2025-07-30T00:00:00"/>
    <m/>
    <x v="1"/>
    <x v="0"/>
  </r>
  <r>
    <s v="PCI26E000001"/>
    <m/>
    <d v="2025-05-31T00:00:00"/>
    <n v="7776"/>
    <x v="1"/>
    <s v="Partial/Rejected"/>
    <n v="7644.2"/>
    <s v="NOT FOUND"/>
    <d v="2025-07-31T00:00:00"/>
    <m/>
    <x v="2"/>
    <x v="0"/>
  </r>
  <r>
    <s v="PCI26E000002"/>
    <m/>
    <d v="2025-05-31T00:00:00"/>
    <n v="8838"/>
    <x v="1"/>
    <s v="Partial/Rejected"/>
    <n v="8688.2000000000007"/>
    <s v="NOT FOUND"/>
    <d v="2025-07-31T00:00:00"/>
    <m/>
    <x v="2"/>
    <x v="0"/>
  </r>
  <r>
    <s v="SCI26E000007"/>
    <m/>
    <d v="2025-07-01T00:00:00"/>
    <n v="159064"/>
    <x v="3"/>
    <s v="Accepted"/>
    <n v="159064"/>
    <n v="3750"/>
    <s v="21-Aug-25"/>
    <m/>
    <x v="3"/>
    <x v="0"/>
  </r>
  <r>
    <s v="SCI26E000008"/>
    <m/>
    <d v="2025-07-01T00:00:00"/>
    <n v="34751"/>
    <x v="4"/>
    <s v="Accepted"/>
    <n v="34751"/>
    <n v="0"/>
    <s v="20-Aug-25"/>
    <m/>
    <x v="3"/>
    <x v="0"/>
  </r>
  <r>
    <s v="SCI26D000002"/>
    <m/>
    <d v="2025-07-01T00:00:00"/>
    <n v="1239"/>
    <x v="4"/>
    <s v="Accepted"/>
    <n v="1239"/>
    <n v="0"/>
    <s v="13-Aug-25"/>
    <m/>
    <x v="3"/>
    <x v="0"/>
  </r>
  <r>
    <s v="WCI26E000011"/>
    <m/>
    <d v="2025-07-01T00:00:00"/>
    <n v="53"/>
    <x v="0"/>
    <s v="Accepted"/>
    <n v="53.1"/>
    <n v="0"/>
    <s v="23-07-2025"/>
    <m/>
    <x v="3"/>
    <x v="0"/>
  </r>
  <r>
    <s v="WCI26E000012"/>
    <m/>
    <d v="2025-07-01T00:00:00"/>
    <n v="53"/>
    <x v="0"/>
    <s v="Accepted"/>
    <n v="53.1"/>
    <n v="0"/>
    <s v="23-07-2025"/>
    <m/>
    <x v="3"/>
    <x v="0"/>
  </r>
  <r>
    <s v="WCI26E000013"/>
    <m/>
    <d v="2025-07-01T00:00:00"/>
    <n v="53"/>
    <x v="0"/>
    <s v="Accepted"/>
    <n v="53.1"/>
    <n v="0"/>
    <s v="23-07-2025"/>
    <m/>
    <x v="3"/>
    <x v="0"/>
  </r>
  <r>
    <s v="WCI26E000014"/>
    <m/>
    <d v="2025-07-01T00:00:00"/>
    <n v="53"/>
    <x v="0"/>
    <s v="Accepted"/>
    <n v="53.1"/>
    <n v="0"/>
    <s v="23-07-2025"/>
    <m/>
    <x v="3"/>
    <x v="0"/>
  </r>
  <r>
    <s v="WCI26E000015"/>
    <m/>
    <d v="2025-07-01T00:00:00"/>
    <n v="53"/>
    <x v="0"/>
    <s v="Accepted"/>
    <n v="53.1"/>
    <n v="0"/>
    <s v="23-07-2025"/>
    <m/>
    <x v="3"/>
    <x v="0"/>
  </r>
  <r>
    <s v="WCI26E000016"/>
    <m/>
    <d v="2025-07-01T00:00:00"/>
    <n v="53"/>
    <x v="0"/>
    <s v="Accepted"/>
    <n v="53.1"/>
    <n v="0"/>
    <s v="23-07-2025"/>
    <m/>
    <x v="3"/>
    <x v="0"/>
  </r>
  <r>
    <s v="WCI26E000017"/>
    <m/>
    <d v="2025-07-01T00:00:00"/>
    <n v="53"/>
    <x v="0"/>
    <s v="Accepted"/>
    <n v="53.1"/>
    <n v="0"/>
    <s v="23-07-2025"/>
    <m/>
    <x v="3"/>
    <x v="0"/>
  </r>
  <r>
    <s v="WCI26E000018"/>
    <m/>
    <d v="2025-07-01T00:00:00"/>
    <n v="53"/>
    <x v="0"/>
    <s v="Accepted"/>
    <n v="53.1"/>
    <n v="0"/>
    <s v="23-07-2025"/>
    <m/>
    <x v="3"/>
    <x v="0"/>
  </r>
  <r>
    <s v="WCI26E000019"/>
    <m/>
    <d v="2025-07-01T00:00:00"/>
    <n v="53"/>
    <x v="0"/>
    <s v="Accepted"/>
    <n v="53.1"/>
    <n v="0"/>
    <s v="23-07-2025"/>
    <m/>
    <x v="3"/>
    <x v="0"/>
  </r>
  <r>
    <s v="WCI26E000020"/>
    <m/>
    <d v="2025-07-01T00:00:00"/>
    <n v="53"/>
    <x v="0"/>
    <s v="Accepted"/>
    <n v="53.1"/>
    <n v="0"/>
    <s v="23-07-2025"/>
    <m/>
    <x v="3"/>
    <x v="0"/>
  </r>
  <r>
    <s v="WCI26E000021"/>
    <m/>
    <d v="2025-07-01T00:00:00"/>
    <n v="53"/>
    <x v="0"/>
    <s v="Accepted"/>
    <n v="53.1"/>
    <n v="0"/>
    <s v="31-07-2025"/>
    <m/>
    <x v="3"/>
    <x v="0"/>
  </r>
  <r>
    <s v="WCI26E000022"/>
    <m/>
    <d v="2025-07-01T00:00:00"/>
    <n v="53"/>
    <x v="0"/>
    <s v="Accepted"/>
    <n v="53.1"/>
    <n v="0"/>
    <s v="31-07-2025"/>
    <m/>
    <x v="3"/>
    <x v="0"/>
  </r>
  <r>
    <s v="WCI26E000023"/>
    <m/>
    <d v="2025-07-01T00:00:00"/>
    <n v="53"/>
    <x v="0"/>
    <s v="Accepted"/>
    <n v="53.1"/>
    <n v="0"/>
    <s v="31-07-2025"/>
    <m/>
    <x v="3"/>
    <x v="0"/>
  </r>
  <r>
    <s v="WCI26E000024"/>
    <m/>
    <d v="2025-07-01T00:00:00"/>
    <n v="53"/>
    <x v="0"/>
    <s v="Accepted"/>
    <n v="53.1"/>
    <n v="0"/>
    <s v="31-07-2025"/>
    <m/>
    <x v="3"/>
    <x v="0"/>
  </r>
  <r>
    <s v="WCI26E000025"/>
    <m/>
    <d v="2025-07-01T00:00:00"/>
    <n v="53"/>
    <x v="0"/>
    <s v="Accepted"/>
    <n v="53.1"/>
    <n v="0"/>
    <s v="31-07-2025"/>
    <m/>
    <x v="3"/>
    <x v="0"/>
  </r>
  <r>
    <s v="WCI26E000026"/>
    <m/>
    <d v="2025-07-01T00:00:00"/>
    <n v="62"/>
    <x v="0"/>
    <s v="Accepted"/>
    <n v="61.95"/>
    <n v="0"/>
    <s v="31-07-2025"/>
    <m/>
    <x v="3"/>
    <x v="0"/>
  </r>
  <r>
    <s v="WCI26E000027"/>
    <m/>
    <d v="2025-07-01T00:00:00"/>
    <n v="62"/>
    <x v="0"/>
    <s v="Accepted"/>
    <n v="61.95"/>
    <n v="0"/>
    <s v="31-07-2025"/>
    <m/>
    <x v="3"/>
    <x v="0"/>
  </r>
  <r>
    <s v="WCI26E000028"/>
    <m/>
    <d v="2025-07-01T00:00:00"/>
    <n v="62"/>
    <x v="0"/>
    <s v="Accepted"/>
    <n v="61.95"/>
    <n v="0"/>
    <s v="31-07-2025"/>
    <m/>
    <x v="3"/>
    <x v="0"/>
  </r>
  <r>
    <s v="WCI26E000029"/>
    <m/>
    <d v="2025-07-01T00:00:00"/>
    <n v="62"/>
    <x v="0"/>
    <s v="Accepted"/>
    <n v="61.95"/>
    <n v="0"/>
    <s v="31-07-2025"/>
    <m/>
    <x v="3"/>
    <x v="0"/>
  </r>
  <r>
    <s v="WCI26E000030"/>
    <m/>
    <d v="2025-07-01T00:00:00"/>
    <n v="62"/>
    <x v="0"/>
    <s v="Accepted"/>
    <n v="61.95"/>
    <n v="0"/>
    <s v="31-07-2025"/>
    <m/>
    <x v="3"/>
    <x v="0"/>
  </r>
  <r>
    <s v="WCI26E000031"/>
    <m/>
    <d v="2025-07-01T00:00:00"/>
    <n v="62"/>
    <x v="0"/>
    <s v="Accepted"/>
    <n v="61.95"/>
    <n v="0"/>
    <s v="31-07-2025"/>
    <m/>
    <x v="3"/>
    <x v="0"/>
  </r>
  <r>
    <s v="WCI26E000032"/>
    <m/>
    <d v="2025-07-01T00:00:00"/>
    <n v="62"/>
    <x v="0"/>
    <s v="Accepted"/>
    <n v="61.95"/>
    <n v="0"/>
    <s v="31-07-2025"/>
    <m/>
    <x v="3"/>
    <x v="0"/>
  </r>
  <r>
    <s v="WCI26E000033"/>
    <m/>
    <d v="2025-07-01T00:00:00"/>
    <n v="62"/>
    <x v="0"/>
    <s v="Accepted"/>
    <n v="61.95"/>
    <n v="0"/>
    <s v="31-07-2025"/>
    <m/>
    <x v="3"/>
    <x v="0"/>
  </r>
  <r>
    <s v="WCI26E000034"/>
    <m/>
    <d v="2025-07-01T00:00:00"/>
    <n v="62"/>
    <x v="0"/>
    <s v="Accepted"/>
    <n v="61.95"/>
    <n v="0"/>
    <s v="31-07-2025"/>
    <m/>
    <x v="3"/>
    <x v="0"/>
  </r>
  <r>
    <s v="WCI26E000035"/>
    <m/>
    <d v="2025-07-01T00:00:00"/>
    <n v="62"/>
    <x v="0"/>
    <s v="Accepted"/>
    <n v="61.95"/>
    <n v="0"/>
    <s v="31-07-2025"/>
    <m/>
    <x v="3"/>
    <x v="0"/>
  </r>
  <r>
    <s v="WCI26E000036"/>
    <m/>
    <d v="2025-07-01T00:00:00"/>
    <n v="62"/>
    <x v="0"/>
    <s v="Accepted"/>
    <n v="61.95"/>
    <n v="0"/>
    <s v="31-07-2025"/>
    <m/>
    <x v="3"/>
    <x v="0"/>
  </r>
  <r>
    <s v="WCI26E000037"/>
    <m/>
    <d v="2025-07-01T00:00:00"/>
    <n v="62"/>
    <x v="0"/>
    <s v="Accepted"/>
    <n v="61.95"/>
    <n v="0"/>
    <s v="31-07-2025"/>
    <m/>
    <x v="3"/>
    <x v="0"/>
  </r>
  <r>
    <s v="WCI26E000038"/>
    <m/>
    <d v="2025-07-01T00:00:00"/>
    <n v="62"/>
    <x v="0"/>
    <s v="Accepted"/>
    <n v="61.95"/>
    <n v="0"/>
    <s v="31-07-2025"/>
    <m/>
    <x v="3"/>
    <x v="0"/>
  </r>
  <r>
    <s v="WCI26E000039"/>
    <m/>
    <d v="2025-07-01T00:00:00"/>
    <n v="62"/>
    <x v="0"/>
    <s v="Accepted"/>
    <n v="61.95"/>
    <n v="0"/>
    <s v="31-07-2025"/>
    <m/>
    <x v="3"/>
    <x v="0"/>
  </r>
  <r>
    <s v="WCI26E000040"/>
    <m/>
    <d v="2025-07-01T00:00:00"/>
    <n v="62"/>
    <x v="0"/>
    <s v="Accepted"/>
    <n v="61.95"/>
    <n v="0"/>
    <s v="31-07-2025"/>
    <m/>
    <x v="3"/>
    <x v="0"/>
  </r>
  <r>
    <s v="WCI26E000041"/>
    <m/>
    <d v="2025-07-01T00:00:00"/>
    <n v="62"/>
    <x v="0"/>
    <s v="Accepted"/>
    <n v="61.95"/>
    <n v="0"/>
    <s v="31-07-2025"/>
    <m/>
    <x v="3"/>
    <x v="0"/>
  </r>
  <r>
    <s v="WCI26E000042"/>
    <m/>
    <d v="2025-07-01T00:00:00"/>
    <n v="62"/>
    <x v="0"/>
    <s v="Accepted"/>
    <n v="61.95"/>
    <n v="0"/>
    <s v="31-07-2025"/>
    <m/>
    <x v="3"/>
    <x v="0"/>
  </r>
  <r>
    <s v="WCI26E000043"/>
    <m/>
    <d v="2025-07-01T00:00:00"/>
    <n v="62"/>
    <x v="0"/>
    <s v="Accepted"/>
    <n v="61.95"/>
    <n v="0"/>
    <s v="31-07-2025"/>
    <m/>
    <x v="3"/>
    <x v="0"/>
  </r>
  <r>
    <s v="WCI26E000044"/>
    <m/>
    <d v="2025-07-01T00:00:00"/>
    <n v="62"/>
    <x v="0"/>
    <s v="Accepted"/>
    <n v="61.95"/>
    <n v="0"/>
    <s v="31-07-2025"/>
    <m/>
    <x v="3"/>
    <x v="0"/>
  </r>
  <r>
    <s v="WCI26E000045"/>
    <m/>
    <d v="2025-07-01T00:00:00"/>
    <n v="62"/>
    <x v="0"/>
    <s v="Accepted"/>
    <n v="61.95"/>
    <n v="0"/>
    <s v="31-07-2025"/>
    <m/>
    <x v="3"/>
    <x v="0"/>
  </r>
  <r>
    <s v="WCI26E000046"/>
    <m/>
    <d v="2025-07-01T00:00:00"/>
    <n v="62"/>
    <x v="0"/>
    <s v="Accepted"/>
    <n v="61.95"/>
    <n v="0"/>
    <s v="31-07-2025"/>
    <m/>
    <x v="3"/>
    <x v="0"/>
  </r>
  <r>
    <s v="WCI26E000047"/>
    <m/>
    <d v="2025-07-01T00:00:00"/>
    <n v="62"/>
    <x v="0"/>
    <s v="Accepted"/>
    <n v="61.95"/>
    <n v="0"/>
    <s v="31-07-2025"/>
    <m/>
    <x v="3"/>
    <x v="0"/>
  </r>
  <r>
    <s v="WCI26E000048"/>
    <m/>
    <d v="2025-07-01T00:00:00"/>
    <n v="62"/>
    <x v="0"/>
    <s v="Accepted"/>
    <n v="61.95"/>
    <n v="0"/>
    <s v="31-07-2025"/>
    <m/>
    <x v="3"/>
    <x v="0"/>
  </r>
  <r>
    <s v="WCI26E000050"/>
    <m/>
    <d v="2025-07-01T00:00:00"/>
    <n v="62"/>
    <x v="0"/>
    <s v="Accepted"/>
    <n v="61.95"/>
    <n v="0"/>
    <s v="31-07-2025"/>
    <m/>
    <x v="3"/>
    <x v="0"/>
  </r>
  <r>
    <s v="WCI26E000049"/>
    <m/>
    <d v="2025-07-01T00:00:00"/>
    <n v="62"/>
    <x v="0"/>
    <s v="Accepted"/>
    <n v="61.95"/>
    <n v="0"/>
    <s v="31-07-2025"/>
    <m/>
    <x v="3"/>
    <x v="0"/>
  </r>
  <r>
    <s v="WCI26E000051"/>
    <m/>
    <d v="2025-07-01T00:00:00"/>
    <n v="62"/>
    <x v="0"/>
    <s v="Accepted"/>
    <n v="61.95"/>
    <n v="0"/>
    <s v="31-07-2025"/>
    <m/>
    <x v="3"/>
    <x v="0"/>
  </r>
  <r>
    <s v="WCI26E000052"/>
    <m/>
    <d v="2025-07-01T00:00:00"/>
    <n v="62"/>
    <x v="0"/>
    <s v="Accepted"/>
    <n v="61.95"/>
    <n v="0"/>
    <s v="31-07-2025"/>
    <m/>
    <x v="3"/>
    <x v="0"/>
  </r>
  <r>
    <s v="WCI26E000053"/>
    <m/>
    <d v="2025-07-01T00:00:00"/>
    <n v="62"/>
    <x v="0"/>
    <s v="Accepted"/>
    <n v="61.95"/>
    <n v="0"/>
    <s v="31-07-2025"/>
    <m/>
    <x v="3"/>
    <x v="0"/>
  </r>
  <r>
    <s v="WCI26E000054"/>
    <m/>
    <d v="2025-07-01T00:00:00"/>
    <n v="62"/>
    <x v="0"/>
    <s v="Accepted"/>
    <n v="61.95"/>
    <n v="0"/>
    <s v="31-07-2025"/>
    <m/>
    <x v="3"/>
    <x v="0"/>
  </r>
  <r>
    <s v="WCI26E000055"/>
    <m/>
    <d v="2025-07-01T00:00:00"/>
    <n v="62"/>
    <x v="0"/>
    <s v="Accepted"/>
    <n v="61.95"/>
    <n v="0"/>
    <s v="31-07-2025"/>
    <m/>
    <x v="3"/>
    <x v="0"/>
  </r>
  <r>
    <s v="WCI26E000056"/>
    <m/>
    <d v="2025-07-01T00:00:00"/>
    <n v="62"/>
    <x v="0"/>
    <s v="Accepted"/>
    <n v="61.95"/>
    <n v="0"/>
    <s v="31-07-2025"/>
    <m/>
    <x v="3"/>
    <x v="0"/>
  </r>
  <r>
    <s v="WCI26E000057"/>
    <m/>
    <d v="2025-07-01T00:00:00"/>
    <n v="62"/>
    <x v="0"/>
    <s v="Accepted"/>
    <n v="61.95"/>
    <n v="0"/>
    <s v="31-07-2025"/>
    <m/>
    <x v="3"/>
    <x v="0"/>
  </r>
  <r>
    <s v="WCI26E000058"/>
    <m/>
    <d v="2025-07-01T00:00:00"/>
    <n v="62"/>
    <x v="0"/>
    <s v="Accepted"/>
    <n v="61.95"/>
    <n v="0"/>
    <s v="31-07-2025"/>
    <m/>
    <x v="3"/>
    <x v="0"/>
  </r>
  <r>
    <s v="WCI26E000059"/>
    <m/>
    <d v="2025-07-01T00:00:00"/>
    <n v="62"/>
    <x v="0"/>
    <s v="Accepted"/>
    <n v="61.95"/>
    <n v="0"/>
    <s v="31-07-2025"/>
    <m/>
    <x v="3"/>
    <x v="0"/>
  </r>
  <r>
    <s v="WCI26E000060"/>
    <m/>
    <d v="2025-07-01T00:00:00"/>
    <n v="62"/>
    <x v="0"/>
    <s v="Accepted"/>
    <n v="61.95"/>
    <n v="0"/>
    <s v="31-07-2025"/>
    <m/>
    <x v="3"/>
    <x v="0"/>
  </r>
  <r>
    <s v="WCI26E000061"/>
    <m/>
    <d v="2025-07-01T00:00:00"/>
    <n v="62"/>
    <x v="0"/>
    <s v="Accepted"/>
    <n v="61.95"/>
    <n v="0"/>
    <s v="31-07-2025"/>
    <m/>
    <x v="3"/>
    <x v="0"/>
  </r>
  <r>
    <s v="WCI26E000062"/>
    <m/>
    <d v="2025-07-01T00:00:00"/>
    <n v="62"/>
    <x v="0"/>
    <s v="Accepted"/>
    <n v="61.95"/>
    <n v="0"/>
    <s v="31-07-2025"/>
    <m/>
    <x v="3"/>
    <x v="0"/>
  </r>
  <r>
    <s v="WCI26E000063"/>
    <m/>
    <d v="2025-07-01T00:00:00"/>
    <n v="62"/>
    <x v="0"/>
    <s v="Accepted"/>
    <n v="61.95"/>
    <n v="0"/>
    <s v="31-07-2025"/>
    <m/>
    <x v="3"/>
    <x v="0"/>
  </r>
  <r>
    <s v="WCI26E000064"/>
    <m/>
    <d v="2025-07-01T00:00:00"/>
    <n v="62"/>
    <x v="0"/>
    <s v="Accepted"/>
    <n v="61.95"/>
    <n v="0"/>
    <s v="31-07-2025"/>
    <m/>
    <x v="3"/>
    <x v="0"/>
  </r>
  <r>
    <s v="WCI26E000065"/>
    <m/>
    <d v="2025-07-01T00:00:00"/>
    <n v="62"/>
    <x v="0"/>
    <s v="Accepted"/>
    <n v="61.95"/>
    <n v="0"/>
    <s v="31-07-2025"/>
    <m/>
    <x v="3"/>
    <x v="0"/>
  </r>
  <r>
    <s v="WCI26E000066"/>
    <m/>
    <d v="2025-07-01T00:00:00"/>
    <n v="62"/>
    <x v="0"/>
    <s v="Accepted"/>
    <n v="61.95"/>
    <n v="0"/>
    <s v="31-07-2025"/>
    <m/>
    <x v="3"/>
    <x v="0"/>
  </r>
  <r>
    <s v="WCI26E000067"/>
    <m/>
    <d v="2025-07-01T00:00:00"/>
    <n v="62"/>
    <x v="0"/>
    <s v="Accepted"/>
    <n v="61.95"/>
    <n v="0"/>
    <s v="31-07-2025"/>
    <m/>
    <x v="3"/>
    <x v="0"/>
  </r>
  <r>
    <s v="WCI26E000068"/>
    <m/>
    <d v="2025-07-01T00:00:00"/>
    <n v="62"/>
    <x v="0"/>
    <s v="Accepted"/>
    <n v="61.95"/>
    <n v="0"/>
    <s v="31-07-2025"/>
    <m/>
    <x v="3"/>
    <x v="0"/>
  </r>
  <r>
    <s v="WCI26E000069"/>
    <m/>
    <d v="2025-07-01T00:00:00"/>
    <n v="62"/>
    <x v="0"/>
    <s v="Accepted"/>
    <n v="61.95"/>
    <n v="0"/>
    <s v="31-07-2025"/>
    <m/>
    <x v="3"/>
    <x v="0"/>
  </r>
  <r>
    <s v="WCI26E000070"/>
    <m/>
    <d v="2025-07-01T00:00:00"/>
    <n v="62"/>
    <x v="0"/>
    <s v="Accepted"/>
    <n v="61.95"/>
    <n v="0"/>
    <s v="31-07-2025"/>
    <m/>
    <x v="3"/>
    <x v="0"/>
  </r>
  <r>
    <s v="WCI26E000071"/>
    <m/>
    <d v="2025-07-01T00:00:00"/>
    <n v="62"/>
    <x v="0"/>
    <s v="Accepted"/>
    <n v="61.95"/>
    <n v="0"/>
    <s v="31-07-2025"/>
    <m/>
    <x v="3"/>
    <x v="0"/>
  </r>
  <r>
    <s v="WCI26E000072"/>
    <m/>
    <d v="2025-07-01T00:00:00"/>
    <n v="62"/>
    <x v="0"/>
    <s v="Accepted"/>
    <n v="61.95"/>
    <n v="0"/>
    <s v="31-07-2025"/>
    <m/>
    <x v="3"/>
    <x v="0"/>
  </r>
  <r>
    <s v="WCI26E000073"/>
    <m/>
    <d v="2025-07-01T00:00:00"/>
    <n v="62"/>
    <x v="0"/>
    <s v="Accepted"/>
    <n v="61.95"/>
    <n v="0"/>
    <s v="31-07-2025"/>
    <m/>
    <x v="3"/>
    <x v="0"/>
  </r>
  <r>
    <s v="WCI26E000074"/>
    <m/>
    <d v="2025-07-01T00:00:00"/>
    <n v="62"/>
    <x v="0"/>
    <s v="Accepted"/>
    <n v="61.95"/>
    <n v="0"/>
    <s v="31-07-2025"/>
    <m/>
    <x v="3"/>
    <x v="0"/>
  </r>
  <r>
    <s v="WCI26E000075"/>
    <m/>
    <d v="2025-07-01T00:00:00"/>
    <n v="62"/>
    <x v="0"/>
    <s v="Accepted"/>
    <n v="61.95"/>
    <n v="0"/>
    <s v="31-07-2025"/>
    <m/>
    <x v="3"/>
    <x v="0"/>
  </r>
  <r>
    <s v="WCI26E000076"/>
    <m/>
    <d v="2025-07-01T00:00:00"/>
    <n v="62"/>
    <x v="0"/>
    <s v="Accepted"/>
    <n v="61.95"/>
    <n v="0"/>
    <s v="31-07-2025"/>
    <m/>
    <x v="3"/>
    <x v="0"/>
  </r>
  <r>
    <s v="WCI26E000077"/>
    <m/>
    <d v="2025-07-01T00:00:00"/>
    <n v="62"/>
    <x v="0"/>
    <s v="Accepted"/>
    <n v="61.95"/>
    <n v="0"/>
    <s v="31-07-2025"/>
    <m/>
    <x v="3"/>
    <x v="0"/>
  </r>
  <r>
    <s v="WCI26E000078"/>
    <m/>
    <d v="2025-07-01T00:00:00"/>
    <n v="62"/>
    <x v="0"/>
    <s v="Accepted"/>
    <n v="61.95"/>
    <n v="0"/>
    <s v="31-07-2025"/>
    <m/>
    <x v="3"/>
    <x v="0"/>
  </r>
  <r>
    <s v="WCI26E000079"/>
    <m/>
    <d v="2025-07-01T00:00:00"/>
    <n v="62"/>
    <x v="0"/>
    <s v="Accepted"/>
    <n v="61.95"/>
    <n v="0"/>
    <s v="31-07-2025"/>
    <m/>
    <x v="3"/>
    <x v="0"/>
  </r>
  <r>
    <s v="WCI26E000080"/>
    <m/>
    <d v="2025-07-01T00:00:00"/>
    <n v="62"/>
    <x v="0"/>
    <s v="Accepted"/>
    <n v="61.95"/>
    <n v="0"/>
    <s v="31-07-2025"/>
    <m/>
    <x v="3"/>
    <x v="0"/>
  </r>
  <r>
    <s v="WCI26E000081"/>
    <m/>
    <d v="2025-07-01T00:00:00"/>
    <n v="62"/>
    <x v="0"/>
    <s v="Accepted"/>
    <n v="61.95"/>
    <n v="0"/>
    <s v="31-07-2025"/>
    <m/>
    <x v="3"/>
    <x v="0"/>
  </r>
  <r>
    <s v="WCI26E000082"/>
    <m/>
    <d v="2025-07-01T00:00:00"/>
    <n v="62"/>
    <x v="0"/>
    <s v="Accepted"/>
    <n v="61.95"/>
    <n v="0"/>
    <s v="31-07-2025"/>
    <m/>
    <x v="3"/>
    <x v="0"/>
  </r>
  <r>
    <s v="WCI26E000083"/>
    <m/>
    <d v="2025-07-01T00:00:00"/>
    <n v="62"/>
    <x v="0"/>
    <s v="Accepted"/>
    <n v="61.95"/>
    <n v="0"/>
    <s v="31-07-2025"/>
    <m/>
    <x v="3"/>
    <x v="0"/>
  </r>
  <r>
    <s v="WCI26E000084"/>
    <m/>
    <d v="2025-07-01T00:00:00"/>
    <n v="62"/>
    <x v="0"/>
    <s v="Accepted"/>
    <n v="61.95"/>
    <n v="0"/>
    <s v="31-07-2025"/>
    <m/>
    <x v="3"/>
    <x v="0"/>
  </r>
  <r>
    <s v="WCI26E000085"/>
    <m/>
    <d v="2025-07-01T00:00:00"/>
    <n v="62"/>
    <x v="0"/>
    <s v="Accepted"/>
    <n v="61.95"/>
    <n v="0"/>
    <s v="31-07-2025"/>
    <m/>
    <x v="3"/>
    <x v="0"/>
  </r>
  <r>
    <s v="WCI26E000086"/>
    <m/>
    <d v="2025-07-01T00:00:00"/>
    <n v="62"/>
    <x v="0"/>
    <s v="Accepted"/>
    <n v="61.95"/>
    <n v="0"/>
    <s v="31-07-2025"/>
    <m/>
    <x v="3"/>
    <x v="0"/>
  </r>
  <r>
    <s v="WCI26E000087"/>
    <m/>
    <d v="2025-07-01T00:00:00"/>
    <n v="62"/>
    <x v="0"/>
    <s v="Accepted"/>
    <n v="61.95"/>
    <n v="0"/>
    <s v="31-07-2025"/>
    <m/>
    <x v="3"/>
    <x v="0"/>
  </r>
  <r>
    <s v="WCI26E000088"/>
    <m/>
    <d v="2025-07-01T00:00:00"/>
    <n v="62"/>
    <x v="0"/>
    <s v="Accepted"/>
    <n v="61.95"/>
    <n v="0"/>
    <s v="31-07-2025"/>
    <m/>
    <x v="3"/>
    <x v="0"/>
  </r>
  <r>
    <s v="WCI26E000089"/>
    <m/>
    <d v="2025-07-01T00:00:00"/>
    <n v="62"/>
    <x v="0"/>
    <s v="Accepted"/>
    <n v="61.95"/>
    <n v="0"/>
    <s v="31-07-2025"/>
    <m/>
    <x v="3"/>
    <x v="0"/>
  </r>
  <r>
    <s v="WCI26E000091"/>
    <m/>
    <d v="2025-07-01T00:00:00"/>
    <n v="62"/>
    <x v="0"/>
    <s v="Accepted"/>
    <n v="61.95"/>
    <n v="0"/>
    <s v="31-07-2025"/>
    <m/>
    <x v="3"/>
    <x v="0"/>
  </r>
  <r>
    <s v="WCI26E000090"/>
    <m/>
    <d v="2025-07-01T00:00:00"/>
    <n v="62"/>
    <x v="0"/>
    <s v="Accepted"/>
    <n v="61.95"/>
    <n v="0"/>
    <s v="31-07-2025"/>
    <m/>
    <x v="3"/>
    <x v="0"/>
  </r>
  <r>
    <s v="WCI26E000092"/>
    <m/>
    <d v="2025-07-01T00:00:00"/>
    <n v="62"/>
    <x v="0"/>
    <s v="Accepted"/>
    <n v="61.95"/>
    <n v="0"/>
    <s v="31-07-2025"/>
    <m/>
    <x v="3"/>
    <x v="0"/>
  </r>
  <r>
    <s v="WCI26E000093"/>
    <m/>
    <d v="2025-07-01T00:00:00"/>
    <n v="62"/>
    <x v="0"/>
    <s v="Accepted"/>
    <n v="61.95"/>
    <n v="0"/>
    <s v="31-07-2025"/>
    <m/>
    <x v="3"/>
    <x v="0"/>
  </r>
  <r>
    <s v="WCI26E000094"/>
    <m/>
    <d v="2025-07-01T00:00:00"/>
    <n v="62"/>
    <x v="0"/>
    <s v="Accepted"/>
    <n v="61.95"/>
    <n v="0"/>
    <s v="31-07-2025"/>
    <m/>
    <x v="3"/>
    <x v="0"/>
  </r>
  <r>
    <s v="WCI26E000095"/>
    <m/>
    <d v="2025-07-01T00:00:00"/>
    <n v="62"/>
    <x v="0"/>
    <s v="Accepted"/>
    <n v="61.95"/>
    <n v="0"/>
    <s v="31-07-2025"/>
    <m/>
    <x v="3"/>
    <x v="0"/>
  </r>
  <r>
    <s v="WCI26E000096"/>
    <m/>
    <d v="2025-07-01T00:00:00"/>
    <n v="62"/>
    <x v="0"/>
    <s v="Accepted"/>
    <n v="61.95"/>
    <n v="0"/>
    <s v="31-07-2025"/>
    <m/>
    <x v="3"/>
    <x v="0"/>
  </r>
  <r>
    <s v="WCI26E000097"/>
    <m/>
    <d v="2025-07-01T00:00:00"/>
    <n v="62"/>
    <x v="0"/>
    <s v="Accepted"/>
    <n v="61.95"/>
    <n v="0"/>
    <s v="31-07-2025"/>
    <m/>
    <x v="3"/>
    <x v="0"/>
  </r>
  <r>
    <s v="WCI26E000098"/>
    <m/>
    <d v="2025-07-01T00:00:00"/>
    <n v="62"/>
    <x v="0"/>
    <s v="Accepted"/>
    <n v="61.95"/>
    <n v="0"/>
    <s v="31-07-2025"/>
    <m/>
    <x v="3"/>
    <x v="0"/>
  </r>
  <r>
    <s v="WCI26E000099"/>
    <m/>
    <d v="2025-07-01T00:00:00"/>
    <n v="62"/>
    <x v="0"/>
    <s v="Accepted"/>
    <n v="61.95"/>
    <n v="0"/>
    <s v="31-07-2025"/>
    <m/>
    <x v="3"/>
    <x v="0"/>
  </r>
  <r>
    <s v="WCI26E000100"/>
    <m/>
    <d v="2025-07-01T00:00:00"/>
    <n v="62"/>
    <x v="0"/>
    <s v="Accepted"/>
    <n v="61.95"/>
    <n v="0"/>
    <s v="31-07-2025"/>
    <m/>
    <x v="3"/>
    <x v="0"/>
  </r>
  <r>
    <s v="WCI26E000101"/>
    <m/>
    <d v="2025-07-01T00:00:00"/>
    <n v="62"/>
    <x v="0"/>
    <s v="Accepted"/>
    <n v="61.95"/>
    <n v="0"/>
    <s v="31-07-2025"/>
    <m/>
    <x v="3"/>
    <x v="0"/>
  </r>
  <r>
    <s v="WCI26E000103"/>
    <n v="360"/>
    <d v="2025-07-31T00:00:00"/>
    <n v="88274"/>
    <x v="0"/>
    <s v="Accepted"/>
    <n v="88274.19"/>
    <n v="0"/>
    <s v="30-09-2025"/>
    <m/>
    <x v="3"/>
    <x v="0"/>
  </r>
  <r>
    <s v="WCI26C000003"/>
    <n v="361"/>
    <d v="2025-04-30T00:00:00"/>
    <n v="4471"/>
    <x v="0"/>
    <s v="Accepted"/>
    <n v="4470.63"/>
    <n v="0"/>
    <s v="29-05-2025"/>
    <m/>
    <x v="1"/>
    <x v="0"/>
  </r>
  <r>
    <s v="WCI26C000004"/>
    <n v="362"/>
    <d v="2025-04-30T00:00:00"/>
    <n v="2765"/>
    <x v="0"/>
    <s v="Accepted"/>
    <n v="2765.42"/>
    <n v="0"/>
    <s v="29-05-2025"/>
    <m/>
    <x v="1"/>
    <x v="0"/>
  </r>
  <r>
    <s v="WCI26C000005"/>
    <n v="363"/>
    <d v="2025-04-30T00:00:00"/>
    <n v="3419"/>
    <x v="0"/>
    <s v="Accepted"/>
    <n v="3419.35"/>
    <n v="0"/>
    <s v="29-05-2025"/>
    <m/>
    <x v="1"/>
    <x v="0"/>
  </r>
  <r>
    <s v="WCI26C000006"/>
    <n v="364"/>
    <d v="2025-04-30T00:00:00"/>
    <n v="2916"/>
    <x v="0"/>
    <s v="Accepted"/>
    <n v="2916.44"/>
    <n v="0"/>
    <s v="29-05-2025"/>
    <m/>
    <x v="1"/>
    <x v="0"/>
  </r>
  <r>
    <s v="WCI26C000007"/>
    <n v="365"/>
    <d v="2025-04-30T00:00:00"/>
    <n v="8418"/>
    <x v="0"/>
    <s v="Accepted"/>
    <n v="8418.35"/>
    <n v="0"/>
    <s v="29-05-2025"/>
    <m/>
    <x v="1"/>
    <x v="0"/>
  </r>
  <r>
    <s v="CANCELL"/>
    <n v="366"/>
    <m/>
    <m/>
    <x v="5"/>
    <e v="#VALUE!"/>
    <s v="NOT FOUND"/>
    <s v="NOT FOUND"/>
    <s v="NOT FOUND"/>
    <m/>
    <x v="4"/>
    <x v="1"/>
  </r>
  <r>
    <s v="WCI26C000008"/>
    <n v="367"/>
    <d v="2025-04-30T00:00:00"/>
    <n v="1927"/>
    <x v="0"/>
    <s v="Accepted"/>
    <n v="1926.94"/>
    <n v="0"/>
    <s v="29-05-2025"/>
    <m/>
    <x v="1"/>
    <x v="0"/>
  </r>
  <r>
    <m/>
    <n v="368"/>
    <m/>
    <m/>
    <x v="5"/>
    <e v="#VALUE!"/>
    <s v="NOT FOUND"/>
    <s v="NOT FOUND"/>
    <s v="NOT FOUND"/>
    <s v="WORNG CLAIM/NOT WARRANTY/PARTS BILLING OUTSIDE"/>
    <x v="4"/>
    <x v="1"/>
  </r>
  <r>
    <s v="WCI26C000009"/>
    <n v="369"/>
    <d v="2025-04-30T00:00:00"/>
    <n v="11953"/>
    <x v="0"/>
    <s v="Accepted"/>
    <n v="11952.71"/>
    <n v="0"/>
    <s v="29-05-2025"/>
    <m/>
    <x v="1"/>
    <x v="0"/>
  </r>
  <r>
    <s v="WCI26E000002"/>
    <n v="370"/>
    <d v="2025-05-31T00:00:00"/>
    <n v="689"/>
    <x v="0"/>
    <s v="Accepted"/>
    <n v="689.3599999999999"/>
    <n v="0"/>
    <s v="23-07-2025"/>
    <m/>
    <x v="2"/>
    <x v="0"/>
  </r>
  <r>
    <s v="WCI26E000003"/>
    <n v="371"/>
    <d v="2025-05-31T00:00:00"/>
    <n v="7636"/>
    <x v="0"/>
    <s v="Accepted"/>
    <n v="7635.58"/>
    <n v="0"/>
    <s v="23-07-2025"/>
    <m/>
    <x v="2"/>
    <x v="0"/>
  </r>
  <r>
    <s v="WCI26E000003"/>
    <n v="371"/>
    <d v="2025-05-31T00:00:00"/>
    <n v="7636"/>
    <x v="0"/>
    <s v="Accepted"/>
    <n v="7635.58"/>
    <n v="0"/>
    <s v="23-07-2025"/>
    <m/>
    <x v="2"/>
    <x v="0"/>
  </r>
  <r>
    <s v="WCI26E000004"/>
    <n v="372"/>
    <d v="2025-05-31T00:00:00"/>
    <n v="3419"/>
    <x v="0"/>
    <s v="Accepted"/>
    <n v="3419.35"/>
    <n v="0"/>
    <s v="23-07-2025"/>
    <m/>
    <x v="2"/>
    <x v="0"/>
  </r>
  <r>
    <s v="WCI26E000005"/>
    <n v="373"/>
    <d v="2025-05-31T00:00:00"/>
    <n v="2049"/>
    <x v="0"/>
    <s v="Accepted"/>
    <n v="2049.08"/>
    <n v="0"/>
    <s v="23-07-2025"/>
    <m/>
    <x v="2"/>
    <x v="0"/>
  </r>
  <r>
    <s v="WCI26E000010"/>
    <n v="374"/>
    <d v="2025-06-28T00:00:00"/>
    <n v="3186"/>
    <x v="0"/>
    <s v="Accepted"/>
    <n v="3186"/>
    <n v="0"/>
    <s v="25-07-2025"/>
    <m/>
    <x v="5"/>
    <x v="0"/>
  </r>
  <r>
    <s v="WCI26E000009"/>
    <n v="375"/>
    <d v="2025-06-28T00:00:00"/>
    <n v="2965"/>
    <x v="0"/>
    <s v="Accepted"/>
    <n v="2964.75"/>
    <n v="0"/>
    <s v="25-07-2025"/>
    <m/>
    <x v="5"/>
    <x v="0"/>
  </r>
  <r>
    <s v="WCI26E000006"/>
    <n v="376"/>
    <d v="2025-06-28T00:00:00"/>
    <n v="8045"/>
    <x v="0"/>
    <s v="Accepted"/>
    <n v="8045.09"/>
    <n v="0"/>
    <s v="23-07-2025"/>
    <m/>
    <x v="5"/>
    <x v="0"/>
  </r>
  <r>
    <s v="WCI26E000006"/>
    <n v="376"/>
    <d v="2025-06-28T00:00:00"/>
    <m/>
    <x v="0"/>
    <s v="Accepted"/>
    <n v="8045.09"/>
    <n v="0"/>
    <s v="23-07-2025"/>
    <m/>
    <x v="5"/>
    <x v="0"/>
  </r>
  <r>
    <s v="WCI26E000007"/>
    <n v="377"/>
    <d v="2025-06-28T00:00:00"/>
    <n v="396"/>
    <x v="0"/>
    <s v="Accepted"/>
    <n v="396.47"/>
    <n v="0"/>
    <s v="23-07-2025"/>
    <m/>
    <x v="5"/>
    <x v="0"/>
  </r>
  <r>
    <s v="WCI26E000008"/>
    <n v="378"/>
    <d v="2025-06-28T00:00:00"/>
    <n v="7105"/>
    <x v="0"/>
    <s v="Accepted"/>
    <n v="7104.77"/>
    <n v="0"/>
    <s v="23-07-2025"/>
    <m/>
    <x v="5"/>
    <x v="0"/>
  </r>
  <r>
    <s v="WCI26E000102"/>
    <n v="379"/>
    <d v="2025-07-31T00:00:00"/>
    <n v="2539"/>
    <x v="0"/>
    <s v="Accepted"/>
    <n v="2538.69"/>
    <n v="0"/>
    <s v="30-09-2025"/>
    <m/>
    <x v="3"/>
    <x v="0"/>
  </r>
  <r>
    <s v="WCI26E000104"/>
    <n v="380"/>
    <d v="2025-07-31T00:00:00"/>
    <n v="14960"/>
    <x v="0"/>
    <s v="Partial/Rejected"/>
    <n v="11164.7"/>
    <n v="3794.88"/>
    <s v="30-09-2025"/>
    <m/>
    <x v="3"/>
    <x v="0"/>
  </r>
  <r>
    <s v="WCI26E000105"/>
    <n v="381"/>
    <d v="2025-07-31T00:00:00"/>
    <n v="11795"/>
    <x v="0"/>
    <s v="Accepted"/>
    <n v="11794.92"/>
    <n v="0"/>
    <s v="30-09-2025"/>
    <m/>
    <x v="3"/>
    <x v="0"/>
  </r>
  <r>
    <s v="WCI26E000106"/>
    <n v="382"/>
    <d v="2025-07-31T00:00:00"/>
    <n v="8539"/>
    <x v="0"/>
    <s v="Accepted"/>
    <n v="8539.08"/>
    <n v="0"/>
    <s v="30-09-2025"/>
    <m/>
    <x v="3"/>
    <x v="0"/>
  </r>
  <r>
    <s v="SCI26E000009"/>
    <m/>
    <d v="2025-07-31T00:00:00"/>
    <n v="45489"/>
    <x v="4"/>
    <s v="Accepted"/>
    <n v="45489"/>
    <n v="0"/>
    <s v="12-Sep-25"/>
    <m/>
    <x v="3"/>
    <x v="0"/>
  </r>
  <r>
    <s v="SCI26E000010"/>
    <m/>
    <d v="2025-07-31T00:00:00"/>
    <n v="118295"/>
    <x v="3"/>
    <s v="Accepted"/>
    <n v="118295"/>
    <n v="5320"/>
    <s v="23-Sep-25"/>
    <m/>
    <x v="3"/>
    <x v="0"/>
  </r>
  <r>
    <s v="WCI26E000192"/>
    <n v="383"/>
    <d v="2025-10-31T00:00:00"/>
    <n v="31147"/>
    <x v="0"/>
    <s v="Accepted"/>
    <n v="31147.129999999997"/>
    <n v="0"/>
    <s v="16-02-2026"/>
    <m/>
    <x v="6"/>
    <x v="0"/>
  </r>
  <r>
    <s v="WCI26E000107"/>
    <n v="384"/>
    <d v="2025-08-25T00:00:00"/>
    <n v="2539"/>
    <x v="0"/>
    <s v="Accepted"/>
    <n v="2881.94"/>
    <n v="0"/>
    <s v="30-09-2025"/>
    <m/>
    <x v="7"/>
    <x v="0"/>
  </r>
  <r>
    <m/>
    <n v="385"/>
    <m/>
    <m/>
    <x v="0"/>
    <e v="#VALUE!"/>
    <s v="NOT FOUND"/>
    <s v="NOT FOUND"/>
    <s v="NOT FOUND"/>
    <s v="FDMS ERROR MAIL TO FML"/>
    <x v="4"/>
    <x v="1"/>
  </r>
  <r>
    <s v="WCI26D000001"/>
    <n v="386"/>
    <d v="2025-08-25T00:00:00"/>
    <n v="29238"/>
    <x v="0"/>
    <s v="Partial/Rejected"/>
    <n v="0"/>
    <n v="29237.72"/>
    <s v="30-09-2025"/>
    <m/>
    <x v="7"/>
    <x v="0"/>
  </r>
  <r>
    <s v="WCI26E000108"/>
    <n v="387"/>
    <d v="2025-08-25T00:00:00"/>
    <n v="5720"/>
    <x v="0"/>
    <s v="Accepted"/>
    <n v="5719.86"/>
    <n v="0"/>
    <s v="30-09-2025"/>
    <m/>
    <x v="7"/>
    <x v="0"/>
  </r>
  <r>
    <s v="WCI26E000167"/>
    <n v="388"/>
    <d v="2025-08-25T00:00:00"/>
    <n v="2938"/>
    <x v="0"/>
    <s v="Accepted"/>
    <n v="2937.7700000000004"/>
    <n v="0"/>
    <s v="11-11-2025"/>
    <m/>
    <x v="7"/>
    <x v="0"/>
  </r>
  <r>
    <s v="WCI26E000161"/>
    <n v="389"/>
    <d v="2025-08-25T00:00:00"/>
    <n v="300"/>
    <x v="0"/>
    <s v="Accepted"/>
    <n v="299.79000000000002"/>
    <n v="0"/>
    <s v="11-11-2025"/>
    <m/>
    <x v="7"/>
    <x v="0"/>
  </r>
  <r>
    <s v="WCI26E000162"/>
    <n v="390"/>
    <d v="2025-08-25T00:00:00"/>
    <n v="669"/>
    <x v="0"/>
    <s v="Accepted"/>
    <n v="669.04"/>
    <n v="0"/>
    <s v="11-11-2025"/>
    <m/>
    <x v="7"/>
    <x v="0"/>
  </r>
  <r>
    <m/>
    <n v="391"/>
    <m/>
    <m/>
    <x v="0"/>
    <e v="#VALUE!"/>
    <s v="NOT FOUND"/>
    <s v="NOT FOUND"/>
    <s v="NOT FOUND"/>
    <s v="WORNG CLAIM"/>
    <x v="4"/>
    <x v="1"/>
  </r>
  <r>
    <s v="WCI26E000170"/>
    <n v="392"/>
    <d v="2025-08-26T00:00:00"/>
    <m/>
    <x v="0"/>
    <s v="Accepted"/>
    <n v="2588.42"/>
    <n v="0"/>
    <s v="01-12-2025"/>
    <m/>
    <x v="7"/>
    <x v="0"/>
  </r>
  <r>
    <s v="WCI26E000163"/>
    <n v="393"/>
    <d v="2025-08-25T00:00:00"/>
    <n v="1120"/>
    <x v="0"/>
    <s v="Accepted"/>
    <n v="1120.1099999999999"/>
    <n v="0"/>
    <s v="11-11-2025"/>
    <m/>
    <x v="7"/>
    <x v="0"/>
  </r>
  <r>
    <m/>
    <n v="393"/>
    <d v="2025-08-25T00:00:00"/>
    <m/>
    <x v="0"/>
    <e v="#VALUE!"/>
    <s v="NOT FOUND"/>
    <s v="NOT FOUND"/>
    <s v="NOT FOUND"/>
    <m/>
    <x v="7"/>
    <x v="0"/>
  </r>
  <r>
    <s v="CANCELL"/>
    <n v="394"/>
    <m/>
    <m/>
    <x v="0"/>
    <e v="#VALUE!"/>
    <s v="NOT FOUND"/>
    <s v="NOT FOUND"/>
    <s v="NOT FOUND"/>
    <s v="NOT WARRANTY/PARTS HANDOVER TO CUSTOMER ON PAID BASIS"/>
    <x v="4"/>
    <x v="1"/>
  </r>
  <r>
    <s v="WCI26E000164"/>
    <n v="395"/>
    <d v="2025-08-25T00:00:00"/>
    <n v="717"/>
    <x v="0"/>
    <s v="Accepted"/>
    <n v="717.27"/>
    <n v="0"/>
    <s v="02-12-2025"/>
    <m/>
    <x v="7"/>
    <x v="0"/>
  </r>
  <r>
    <m/>
    <n v="395"/>
    <d v="2025-08-25T00:00:00"/>
    <m/>
    <x v="0"/>
    <e v="#VALUE!"/>
    <s v="NOT FOUND"/>
    <s v="NOT FOUND"/>
    <s v="NOT FOUND"/>
    <m/>
    <x v="7"/>
    <x v="0"/>
  </r>
  <r>
    <s v="WCI26E000174"/>
    <n v="396"/>
    <d v="2025-10-29T00:00:00"/>
    <n v="21166"/>
    <x v="0"/>
    <s v="Partial/Rejected"/>
    <n v="0"/>
    <n v="21666.44"/>
    <s v="01-12-2025"/>
    <m/>
    <x v="6"/>
    <x v="0"/>
  </r>
  <r>
    <s v="WCI26E000109"/>
    <n v="397"/>
    <d v="2025-08-25T00:00:00"/>
    <n v="1447"/>
    <x v="0"/>
    <s v="Accepted"/>
    <n v="1446.8600000000001"/>
    <n v="0"/>
    <s v="30-09-2025"/>
    <m/>
    <x v="7"/>
    <x v="0"/>
  </r>
  <r>
    <s v="WCI26E000165"/>
    <n v="398"/>
    <d v="2025-08-25T00:00:00"/>
    <n v="1990"/>
    <x v="0"/>
    <s v="Accepted"/>
    <n v="1989.73"/>
    <n v="0"/>
    <s v="11-11-2025"/>
    <m/>
    <x v="7"/>
    <x v="0"/>
  </r>
  <r>
    <s v="WCI26E000110"/>
    <m/>
    <d v="2025-08-31T00:00:00"/>
    <n v="62"/>
    <x v="0"/>
    <s v="Accepted"/>
    <n v="61.95"/>
    <n v="0"/>
    <s v="11-09-2025"/>
    <m/>
    <x v="7"/>
    <x v="0"/>
  </r>
  <r>
    <s v="WCI26E000111"/>
    <m/>
    <d v="2025-08-31T00:00:00"/>
    <n v="62"/>
    <x v="0"/>
    <s v="Accepted"/>
    <n v="61.95"/>
    <n v="0"/>
    <s v="11-09-2025"/>
    <m/>
    <x v="7"/>
    <x v="0"/>
  </r>
  <r>
    <s v="WCI26E000112"/>
    <m/>
    <d v="2025-08-31T00:00:00"/>
    <n v="62"/>
    <x v="0"/>
    <s v="Accepted"/>
    <n v="61.95"/>
    <n v="0"/>
    <s v="11-09-2025"/>
    <m/>
    <x v="7"/>
    <x v="0"/>
  </r>
  <r>
    <s v="WCI26E000113"/>
    <m/>
    <d v="2025-08-31T00:00:00"/>
    <n v="62"/>
    <x v="0"/>
    <s v="Accepted"/>
    <n v="61.95"/>
    <n v="0"/>
    <s v="11-09-2025"/>
    <m/>
    <x v="7"/>
    <x v="0"/>
  </r>
  <r>
    <s v="WCI26E000114"/>
    <m/>
    <d v="2025-08-31T00:00:00"/>
    <n v="62"/>
    <x v="0"/>
    <s v="Accepted"/>
    <n v="61.95"/>
    <n v="0"/>
    <s v="11-09-2025"/>
    <m/>
    <x v="7"/>
    <x v="0"/>
  </r>
  <r>
    <s v="WCI26E000115"/>
    <m/>
    <d v="2025-08-31T00:00:00"/>
    <n v="62"/>
    <x v="0"/>
    <s v="Accepted"/>
    <n v="61.95"/>
    <n v="0"/>
    <s v="11-09-2025"/>
    <m/>
    <x v="7"/>
    <x v="0"/>
  </r>
  <r>
    <s v="WCI26E000116"/>
    <m/>
    <d v="2025-08-31T00:00:00"/>
    <n v="62"/>
    <x v="0"/>
    <s v="Accepted"/>
    <n v="61.95"/>
    <n v="0"/>
    <s v="11-09-2025"/>
    <m/>
    <x v="7"/>
    <x v="0"/>
  </r>
  <r>
    <s v="WCI26E000117"/>
    <m/>
    <d v="2025-08-31T00:00:00"/>
    <n v="62"/>
    <x v="0"/>
    <s v="Accepted"/>
    <n v="61.95"/>
    <n v="0"/>
    <s v="11-09-2025"/>
    <m/>
    <x v="7"/>
    <x v="0"/>
  </r>
  <r>
    <s v="WCI26E000118"/>
    <m/>
    <d v="2025-08-31T00:00:00"/>
    <n v="62"/>
    <x v="0"/>
    <s v="Accepted"/>
    <n v="61.95"/>
    <n v="0"/>
    <s v="11-09-2025"/>
    <m/>
    <x v="7"/>
    <x v="0"/>
  </r>
  <r>
    <s v="WCI26E000119"/>
    <m/>
    <d v="2025-08-31T00:00:00"/>
    <n v="62"/>
    <x v="0"/>
    <s v="Accepted"/>
    <n v="61.95"/>
    <n v="0"/>
    <s v="11-09-2025"/>
    <m/>
    <x v="7"/>
    <x v="0"/>
  </r>
  <r>
    <s v="WCI26E000120"/>
    <m/>
    <d v="2025-08-31T00:00:00"/>
    <n v="62"/>
    <x v="0"/>
    <s v="Accepted"/>
    <n v="61.95"/>
    <n v="0"/>
    <s v="11-09-2025"/>
    <m/>
    <x v="7"/>
    <x v="0"/>
  </r>
  <r>
    <s v="WCI26E000121"/>
    <m/>
    <d v="2025-08-31T00:00:00"/>
    <n v="62"/>
    <x v="0"/>
    <s v="Accepted"/>
    <n v="61.95"/>
    <n v="0"/>
    <s v="11-09-2025"/>
    <m/>
    <x v="7"/>
    <x v="0"/>
  </r>
  <r>
    <s v="WCI26E000122"/>
    <m/>
    <d v="2025-08-31T00:00:00"/>
    <n v="62"/>
    <x v="0"/>
    <s v="Accepted"/>
    <n v="61.95"/>
    <n v="0"/>
    <s v="11-09-2025"/>
    <m/>
    <x v="7"/>
    <x v="0"/>
  </r>
  <r>
    <s v="WCI26E000123"/>
    <m/>
    <d v="2025-08-31T00:00:00"/>
    <n v="62"/>
    <x v="0"/>
    <s v="Accepted"/>
    <n v="61.95"/>
    <n v="0"/>
    <s v="11-09-2025"/>
    <m/>
    <x v="7"/>
    <x v="0"/>
  </r>
  <r>
    <s v="WCI26E000124"/>
    <m/>
    <d v="2025-08-31T00:00:00"/>
    <n v="62"/>
    <x v="0"/>
    <s v="Accepted"/>
    <n v="61.95"/>
    <n v="0"/>
    <s v="11-09-2025"/>
    <m/>
    <x v="7"/>
    <x v="0"/>
  </r>
  <r>
    <s v="WCI26E000125"/>
    <m/>
    <d v="2025-08-31T00:00:00"/>
    <n v="62"/>
    <x v="0"/>
    <s v="Accepted"/>
    <n v="61.95"/>
    <n v="0"/>
    <s v="11-09-2025"/>
    <m/>
    <x v="7"/>
    <x v="0"/>
  </r>
  <r>
    <s v="WCI26E000126"/>
    <m/>
    <d v="2025-08-31T00:00:00"/>
    <n v="62"/>
    <x v="0"/>
    <s v="Accepted"/>
    <n v="61.95"/>
    <n v="0"/>
    <s v="11-09-2025"/>
    <m/>
    <x v="7"/>
    <x v="0"/>
  </r>
  <r>
    <s v="WCI26E000127"/>
    <m/>
    <d v="2025-08-31T00:00:00"/>
    <n v="62"/>
    <x v="0"/>
    <s v="Accepted"/>
    <n v="61.95"/>
    <n v="0"/>
    <s v="11-09-2025"/>
    <m/>
    <x v="7"/>
    <x v="0"/>
  </r>
  <r>
    <s v="WCI26E000128"/>
    <m/>
    <d v="2025-08-31T00:00:00"/>
    <n v="62"/>
    <x v="0"/>
    <s v="Accepted"/>
    <n v="61.95"/>
    <n v="0"/>
    <s v="11-09-2025"/>
    <m/>
    <x v="7"/>
    <x v="0"/>
  </r>
  <r>
    <s v="WCI26E000129"/>
    <m/>
    <d v="2025-08-31T00:00:00"/>
    <n v="62"/>
    <x v="0"/>
    <s v="Accepted"/>
    <n v="61.95"/>
    <n v="0"/>
    <s v="11-09-2025"/>
    <m/>
    <x v="7"/>
    <x v="0"/>
  </r>
  <r>
    <s v="WCI26E000130"/>
    <m/>
    <d v="2025-08-31T00:00:00"/>
    <n v="62"/>
    <x v="0"/>
    <s v="Accepted"/>
    <n v="61.95"/>
    <n v="0"/>
    <s v="11-09-2025"/>
    <m/>
    <x v="7"/>
    <x v="0"/>
  </r>
  <r>
    <s v="WCI26E000131"/>
    <m/>
    <d v="2025-08-31T00:00:00"/>
    <n v="62"/>
    <x v="0"/>
    <s v="Accepted"/>
    <n v="61.95"/>
    <n v="0"/>
    <s v="11-09-2025"/>
    <m/>
    <x v="7"/>
    <x v="0"/>
  </r>
  <r>
    <s v="WCI26E000132"/>
    <m/>
    <d v="2025-08-31T00:00:00"/>
    <n v="62"/>
    <x v="0"/>
    <s v="Accepted"/>
    <n v="61.95"/>
    <n v="0"/>
    <s v="11-09-2025"/>
    <m/>
    <x v="7"/>
    <x v="0"/>
  </r>
  <r>
    <s v="WCI26E000133"/>
    <m/>
    <d v="2025-08-31T00:00:00"/>
    <n v="62"/>
    <x v="0"/>
    <s v="Accepted"/>
    <n v="61.95"/>
    <n v="0"/>
    <s v="11-09-2025"/>
    <m/>
    <x v="7"/>
    <x v="0"/>
  </r>
  <r>
    <s v="WCI26E000134"/>
    <m/>
    <d v="2025-08-31T00:00:00"/>
    <n v="62"/>
    <x v="0"/>
    <s v="Accepted"/>
    <n v="61.95"/>
    <n v="0"/>
    <s v="11-09-2025"/>
    <m/>
    <x v="7"/>
    <x v="0"/>
  </r>
  <r>
    <s v="WCI26E000135"/>
    <m/>
    <d v="2025-08-31T00:00:00"/>
    <n v="62"/>
    <x v="0"/>
    <s v="Accepted"/>
    <n v="61.95"/>
    <n v="0"/>
    <s v="11-09-2025"/>
    <m/>
    <x v="7"/>
    <x v="0"/>
  </r>
  <r>
    <s v="WCI26E000136"/>
    <m/>
    <d v="2025-08-31T00:00:00"/>
    <n v="62"/>
    <x v="0"/>
    <s v="Accepted"/>
    <n v="61.95"/>
    <n v="0"/>
    <s v="11-09-2025"/>
    <m/>
    <x v="7"/>
    <x v="0"/>
  </r>
  <r>
    <s v="WCI26E000137"/>
    <m/>
    <d v="2025-08-31T00:00:00"/>
    <n v="62"/>
    <x v="0"/>
    <s v="Accepted"/>
    <n v="61.95"/>
    <n v="0"/>
    <s v="11-09-2025"/>
    <m/>
    <x v="7"/>
    <x v="0"/>
  </r>
  <r>
    <s v="WCI26E000138"/>
    <m/>
    <d v="2025-08-31T00:00:00"/>
    <n v="62"/>
    <x v="0"/>
    <s v="Accepted"/>
    <n v="61.95"/>
    <n v="0"/>
    <s v="11-09-2025"/>
    <m/>
    <x v="7"/>
    <x v="0"/>
  </r>
  <r>
    <s v="WCI26E000139"/>
    <m/>
    <d v="2025-08-31T00:00:00"/>
    <n v="62"/>
    <x v="0"/>
    <s v="Accepted"/>
    <n v="61.95"/>
    <n v="0"/>
    <s v="11-09-2025"/>
    <m/>
    <x v="7"/>
    <x v="0"/>
  </r>
  <r>
    <s v="WCI26E000140"/>
    <m/>
    <d v="2025-08-31T00:00:00"/>
    <n v="62"/>
    <x v="0"/>
    <s v="Accepted"/>
    <n v="61.95"/>
    <n v="0"/>
    <s v="11-09-2025"/>
    <m/>
    <x v="7"/>
    <x v="0"/>
  </r>
  <r>
    <s v="WCI26E000141"/>
    <m/>
    <d v="2025-08-31T00:00:00"/>
    <n v="62"/>
    <x v="0"/>
    <s v="Accepted"/>
    <n v="61.95"/>
    <n v="0"/>
    <s v="11-09-2025"/>
    <m/>
    <x v="7"/>
    <x v="0"/>
  </r>
  <r>
    <s v="WCI26E000142"/>
    <m/>
    <d v="2025-08-31T00:00:00"/>
    <n v="62"/>
    <x v="0"/>
    <s v="Accepted"/>
    <n v="61.95"/>
    <n v="0"/>
    <s v="11-09-2025"/>
    <m/>
    <x v="7"/>
    <x v="0"/>
  </r>
  <r>
    <s v="WCI26E000143"/>
    <m/>
    <d v="2025-08-31T00:00:00"/>
    <n v="62"/>
    <x v="0"/>
    <s v="Accepted"/>
    <n v="61.95"/>
    <n v="0"/>
    <s v="11-09-2025"/>
    <m/>
    <x v="7"/>
    <x v="0"/>
  </r>
  <r>
    <s v="WCI26E000144"/>
    <m/>
    <d v="2025-08-31T00:00:00"/>
    <n v="62"/>
    <x v="0"/>
    <s v="Accepted"/>
    <n v="61.95"/>
    <n v="0"/>
    <s v="11-09-2025"/>
    <m/>
    <x v="7"/>
    <x v="0"/>
  </r>
  <r>
    <s v="WCI26E000145"/>
    <m/>
    <d v="2025-08-31T00:00:00"/>
    <n v="62"/>
    <x v="0"/>
    <s v="Accepted"/>
    <n v="61.95"/>
    <n v="0"/>
    <s v="11-09-2025"/>
    <m/>
    <x v="7"/>
    <x v="0"/>
  </r>
  <r>
    <s v="WCI26E000146"/>
    <m/>
    <d v="2025-08-31T00:00:00"/>
    <n v="62"/>
    <x v="0"/>
    <s v="Accepted"/>
    <n v="61.95"/>
    <n v="0"/>
    <s v="11-09-2025"/>
    <m/>
    <x v="7"/>
    <x v="0"/>
  </r>
  <r>
    <s v="WCI26E000147"/>
    <m/>
    <d v="2025-08-31T00:00:00"/>
    <n v="62"/>
    <x v="0"/>
    <s v="Accepted"/>
    <n v="61.95"/>
    <n v="0"/>
    <s v="11-09-2025"/>
    <m/>
    <x v="7"/>
    <x v="0"/>
  </r>
  <r>
    <s v="WCI26E000148"/>
    <m/>
    <d v="2025-08-31T00:00:00"/>
    <n v="62"/>
    <x v="0"/>
    <s v="Accepted"/>
    <n v="61.95"/>
    <n v="0"/>
    <s v="11-09-2025"/>
    <m/>
    <x v="7"/>
    <x v="0"/>
  </r>
  <r>
    <s v="WCI26E000149"/>
    <m/>
    <d v="2025-08-31T00:00:00"/>
    <n v="62"/>
    <x v="0"/>
    <s v="Accepted"/>
    <n v="61.95"/>
    <n v="0"/>
    <s v="11-09-2025"/>
    <m/>
    <x v="7"/>
    <x v="0"/>
  </r>
  <r>
    <s v="WCI26E000150"/>
    <m/>
    <d v="2025-08-31T00:00:00"/>
    <n v="62"/>
    <x v="0"/>
    <s v="Accepted"/>
    <n v="61.95"/>
    <n v="0"/>
    <s v="11-09-2025"/>
    <m/>
    <x v="7"/>
    <x v="0"/>
  </r>
  <r>
    <s v="WCI26E000151"/>
    <m/>
    <d v="2025-08-31T00:00:00"/>
    <n v="62"/>
    <x v="0"/>
    <s v="Accepted"/>
    <n v="61.95"/>
    <n v="0"/>
    <s v="11-09-2025"/>
    <m/>
    <x v="7"/>
    <x v="0"/>
  </r>
  <r>
    <s v="WCI26E000152"/>
    <m/>
    <d v="2025-08-31T00:00:00"/>
    <n v="62"/>
    <x v="0"/>
    <s v="Accepted"/>
    <n v="61.95"/>
    <n v="0"/>
    <s v="11-09-2025"/>
    <m/>
    <x v="7"/>
    <x v="0"/>
  </r>
  <r>
    <s v="WCI26E000153"/>
    <m/>
    <d v="2025-08-31T00:00:00"/>
    <n v="62"/>
    <x v="0"/>
    <s v="Accepted"/>
    <n v="61.95"/>
    <n v="0"/>
    <s v="11-09-2025"/>
    <m/>
    <x v="7"/>
    <x v="0"/>
  </r>
  <r>
    <s v="WCI26E000154"/>
    <m/>
    <d v="2025-08-31T00:00:00"/>
    <n v="62"/>
    <x v="0"/>
    <s v="Accepted"/>
    <n v="61.95"/>
    <n v="0"/>
    <s v="11-09-2025"/>
    <m/>
    <x v="7"/>
    <x v="0"/>
  </r>
  <r>
    <s v="WCI26E000155"/>
    <m/>
    <d v="2025-08-31T00:00:00"/>
    <n v="62"/>
    <x v="0"/>
    <s v="Accepted"/>
    <n v="61.95"/>
    <n v="0"/>
    <s v="11-09-2025"/>
    <m/>
    <x v="7"/>
    <x v="0"/>
  </r>
  <r>
    <s v="WCI26E000156"/>
    <m/>
    <d v="2025-08-31T00:00:00"/>
    <n v="62"/>
    <x v="0"/>
    <s v="Accepted"/>
    <n v="61.95"/>
    <n v="0"/>
    <s v="11-09-2025"/>
    <m/>
    <x v="7"/>
    <x v="0"/>
  </r>
  <r>
    <s v="WCI26E000157"/>
    <m/>
    <d v="2025-08-31T00:00:00"/>
    <n v="62"/>
    <x v="0"/>
    <s v="Accepted"/>
    <n v="61.95"/>
    <n v="0"/>
    <s v="11-09-2025"/>
    <m/>
    <x v="7"/>
    <x v="0"/>
  </r>
  <r>
    <s v="WCI26E000158"/>
    <m/>
    <d v="2025-08-31T00:00:00"/>
    <n v="62"/>
    <x v="0"/>
    <s v="Accepted"/>
    <n v="61.95"/>
    <n v="0"/>
    <s v="11-09-2025"/>
    <m/>
    <x v="7"/>
    <x v="0"/>
  </r>
  <r>
    <s v="WCI26E000159"/>
    <m/>
    <d v="2025-08-31T00:00:00"/>
    <n v="62"/>
    <x v="0"/>
    <s v="Accepted"/>
    <n v="61.95"/>
    <n v="0"/>
    <s v="11-09-2025"/>
    <m/>
    <x v="7"/>
    <x v="0"/>
  </r>
  <r>
    <s v="WCI26E000160"/>
    <m/>
    <d v="2025-08-31T00:00:00"/>
    <n v="62"/>
    <x v="0"/>
    <s v="Accepted"/>
    <n v="61.95"/>
    <n v="0"/>
    <s v="11-09-2025"/>
    <m/>
    <x v="7"/>
    <x v="0"/>
  </r>
  <r>
    <s v="SCI26E000011"/>
    <m/>
    <d v="2025-08-28T00:00:00"/>
    <n v="9912"/>
    <x v="4"/>
    <s v="Accepted"/>
    <n v="9912"/>
    <n v="0"/>
    <s v="07-Oct-25"/>
    <m/>
    <x v="7"/>
    <x v="0"/>
  </r>
  <r>
    <s v="SCI26E000012"/>
    <m/>
    <d v="2025-08-28T00:00:00"/>
    <n v="36108"/>
    <x v="4"/>
    <s v="Accepted"/>
    <n v="36108"/>
    <n v="0"/>
    <s v="07-Oct-25"/>
    <m/>
    <x v="7"/>
    <x v="0"/>
  </r>
  <r>
    <s v="SCI26E000013"/>
    <m/>
    <d v="2025-08-28T00:00:00"/>
    <n v="4484"/>
    <x v="4"/>
    <s v="Accepted"/>
    <n v="4484"/>
    <n v="0"/>
    <s v="07-Oct-25"/>
    <m/>
    <x v="7"/>
    <x v="0"/>
  </r>
  <r>
    <s v="SCI26E000014"/>
    <m/>
    <d v="2025-08-29T00:00:00"/>
    <n v="141010"/>
    <x v="3"/>
    <s v="Accepted"/>
    <n v="141010"/>
    <n v="8000"/>
    <s v="13-Oct-25"/>
    <m/>
    <x v="7"/>
    <x v="0"/>
  </r>
  <r>
    <s v="SCI26E000015"/>
    <m/>
    <d v="2025-08-29T00:00:00"/>
    <n v="10325"/>
    <x v="3"/>
    <s v="Accepted"/>
    <n v="10325"/>
    <n v="500"/>
    <s v="30-Oct-25"/>
    <m/>
    <x v="7"/>
    <x v="0"/>
  </r>
  <r>
    <s v="WCI26E000167"/>
    <n v="399"/>
    <d v="2025-09-13T00:00:00"/>
    <n v="2938"/>
    <x v="0"/>
    <s v="Accepted"/>
    <n v="2937.7700000000004"/>
    <n v="0"/>
    <s v="11-11-2025"/>
    <m/>
    <x v="8"/>
    <x v="0"/>
  </r>
  <r>
    <s v="WCI26E000171"/>
    <n v="400"/>
    <d v="2025-09-13T00:00:00"/>
    <n v="1327"/>
    <x v="0"/>
    <s v="Partial/Rejected"/>
    <n v="0"/>
    <n v="1327.45"/>
    <s v="01-12-2025"/>
    <m/>
    <x v="8"/>
    <x v="0"/>
  </r>
  <r>
    <s v="WCI26E000168"/>
    <n v="401"/>
    <d v="2025-09-25T00:00:00"/>
    <n v="11506"/>
    <x v="0"/>
    <s v="Accepted"/>
    <n v="11505.64"/>
    <n v="0"/>
    <s v="11-11-2025"/>
    <m/>
    <x v="8"/>
    <x v="0"/>
  </r>
  <r>
    <s v="WCI26E000169"/>
    <n v="402"/>
    <d v="2025-09-25T00:00:00"/>
    <n v="13667"/>
    <x v="0"/>
    <s v="Accepted"/>
    <n v="13666.75"/>
    <n v="0"/>
    <s v="11-11-2025"/>
    <m/>
    <x v="8"/>
    <x v="0"/>
  </r>
  <r>
    <s v="WCI26E000177"/>
    <n v="403"/>
    <d v="2025-08-17T00:00:00"/>
    <n v="1701"/>
    <x v="0"/>
    <s v="Accepted"/>
    <n v="1700.53"/>
    <n v="0"/>
    <s v="01-12-2025"/>
    <m/>
    <x v="7"/>
    <x v="0"/>
  </r>
  <r>
    <s v="CANCELL"/>
    <n v="404"/>
    <m/>
    <m/>
    <x v="5"/>
    <e v="#VALUE!"/>
    <s v="NOT FOUND"/>
    <s v="NOT FOUND"/>
    <s v="NOT FOUND"/>
    <m/>
    <x v="4"/>
    <x v="1"/>
  </r>
  <r>
    <s v="WCI26E000178"/>
    <n v="405"/>
    <d v="2025-08-26T00:00:00"/>
    <n v="3985"/>
    <x v="0"/>
    <s v="Accepted"/>
    <n v="3985.48"/>
    <n v="0"/>
    <s v="01-12-2025"/>
    <m/>
    <x v="7"/>
    <x v="0"/>
  </r>
  <r>
    <s v="WCI26E000173"/>
    <n v="406"/>
    <d v="2025-10-31T00:00:00"/>
    <n v="4048"/>
    <x v="0"/>
    <s v="Accepted"/>
    <n v="4047.94"/>
    <n v="0"/>
    <s v="01-12-2025"/>
    <m/>
    <x v="6"/>
    <x v="0"/>
  </r>
  <r>
    <s v="MWCI26E000002"/>
    <n v="407"/>
    <d v="2025-10-31T00:00:00"/>
    <n v="17700"/>
    <x v="6"/>
    <e v="#VALUE!"/>
    <s v="NOT FOUND"/>
    <s v="NOT FOUND"/>
    <s v="NOT FOUND"/>
    <m/>
    <x v="6"/>
    <x v="0"/>
  </r>
  <r>
    <s v="CANCELL"/>
    <n v="408"/>
    <m/>
    <m/>
    <x v="5"/>
    <e v="#VALUE!"/>
    <s v="NOT FOUND"/>
    <s v="NOT FOUND"/>
    <s v="NOT FOUND"/>
    <m/>
    <x v="4"/>
    <x v="1"/>
  </r>
  <r>
    <m/>
    <n v="409"/>
    <d v="2025-08-31T00:00:00"/>
    <m/>
    <x v="5"/>
    <e v="#VALUE!"/>
    <s v="NOT FOUND"/>
    <s v="NOT FOUND"/>
    <s v="NOT FOUND"/>
    <m/>
    <x v="7"/>
    <x v="0"/>
  </r>
  <r>
    <m/>
    <n v="410"/>
    <m/>
    <m/>
    <x v="5"/>
    <e v="#VALUE!"/>
    <s v="NOT FOUND"/>
    <s v="NOT FOUND"/>
    <s v="NOT FOUND"/>
    <m/>
    <x v="4"/>
    <x v="1"/>
  </r>
  <r>
    <s v="WCI26E000175"/>
    <n v="411"/>
    <d v="2025-10-31T00:00:00"/>
    <n v="3404"/>
    <x v="0"/>
    <s v="Partial/Rejected"/>
    <n v="0"/>
    <n v="3404.01"/>
    <s v="01-12-2025"/>
    <m/>
    <x v="6"/>
    <x v="0"/>
  </r>
  <r>
    <s v="WCI26E000176"/>
    <n v="412"/>
    <d v="2025-10-31T00:00:00"/>
    <n v="10956"/>
    <x v="0"/>
    <s v="Accepted"/>
    <n v="10956.32"/>
    <n v="0"/>
    <s v="01-12-2025"/>
    <m/>
    <x v="6"/>
    <x v="0"/>
  </r>
  <r>
    <s v="MWCI26E000003"/>
    <n v="413"/>
    <d v="2026-01-17T00:00:00"/>
    <n v="9167"/>
    <x v="6"/>
    <e v="#VALUE!"/>
    <s v="NOT FOUND"/>
    <s v="NOT FOUND"/>
    <s v="NOT FOUND"/>
    <m/>
    <x v="4"/>
    <x v="2"/>
  </r>
  <r>
    <s v="MWCI26E000004"/>
    <n v="414"/>
    <d v="2026-01-17T00:00:00"/>
    <n v="3940"/>
    <x v="6"/>
    <e v="#VALUE!"/>
    <s v="NOT FOUND"/>
    <s v="NOT FOUND"/>
    <s v="NOT FOUND"/>
    <m/>
    <x v="4"/>
    <x v="2"/>
  </r>
  <r>
    <s v="WCI26E000179"/>
    <n v="415"/>
    <d v="2025-10-31T00:00:00"/>
    <n v="3917"/>
    <x v="0"/>
    <s v="Accepted"/>
    <n v="3917.43"/>
    <n v="0"/>
    <s v="01-12-2025"/>
    <m/>
    <x v="6"/>
    <x v="0"/>
  </r>
  <r>
    <s v="CANCELL"/>
    <n v="416"/>
    <m/>
    <m/>
    <x v="5"/>
    <e v="#VALUE!"/>
    <s v="NOT FOUND"/>
    <s v="NOT FOUND"/>
    <s v="NOT FOUND"/>
    <m/>
    <x v="4"/>
    <x v="1"/>
  </r>
  <r>
    <m/>
    <n v="417"/>
    <d v="2025-12-13T00:00:00"/>
    <m/>
    <x v="5"/>
    <e v="#VALUE!"/>
    <s v="NOT FOUND"/>
    <s v="NOT FOUND"/>
    <s v="NOT FOUND"/>
    <s v="Pending for SHVP Approval"/>
    <x v="9"/>
    <x v="0"/>
  </r>
  <r>
    <s v="WCI26E000180"/>
    <n v="418"/>
    <d v="2025-10-31T00:00:00"/>
    <n v="1575"/>
    <x v="0"/>
    <s v="Accepted"/>
    <n v="1574.92"/>
    <n v="0"/>
    <s v="01-12-2025"/>
    <m/>
    <x v="6"/>
    <x v="0"/>
  </r>
  <r>
    <s v="WCI26E000267"/>
    <n v="419"/>
    <d v="2025-11-30T00:00:00"/>
    <n v="717"/>
    <x v="0"/>
    <s v="Accepted"/>
    <n v="717.27"/>
    <n v="0"/>
    <s v="31-01-2026"/>
    <m/>
    <x v="10"/>
    <x v="0"/>
  </r>
  <r>
    <s v="WCI26E000181"/>
    <n v="420"/>
    <d v="2025-10-31T00:00:00"/>
    <n v="14670"/>
    <x v="0"/>
    <s v="Partial/Rejected"/>
    <n v="3485.93"/>
    <n v="11183.64"/>
    <s v="01-12-2025"/>
    <m/>
    <x v="6"/>
    <x v="0"/>
  </r>
  <r>
    <s v="WCI26E000182"/>
    <n v="421"/>
    <d v="2025-11-01T00:00:00"/>
    <n v="14674"/>
    <x v="0"/>
    <s v="Accepted"/>
    <n v="14673.92"/>
    <n v="0"/>
    <s v="01-12-2025"/>
    <m/>
    <x v="10"/>
    <x v="0"/>
  </r>
  <r>
    <s v="WCI26E000188"/>
    <n v="422"/>
    <d v="2025-11-01T00:00:00"/>
    <n v="4956"/>
    <x v="0"/>
    <s v="Accepted"/>
    <n v="4956"/>
    <n v="0"/>
    <s v="17-12-2025"/>
    <m/>
    <x v="10"/>
    <x v="0"/>
  </r>
  <r>
    <s v="WCI26E000189"/>
    <n v="423"/>
    <d v="2025-11-01T00:00:00"/>
    <n v="4956"/>
    <x v="0"/>
    <s v="Accepted"/>
    <n v="4956"/>
    <n v="0"/>
    <s v="17-12-2025"/>
    <m/>
    <x v="10"/>
    <x v="0"/>
  </r>
  <r>
    <s v="WCI26E000190"/>
    <n v="424"/>
    <d v="2025-11-01T00:00:00"/>
    <n v="4956"/>
    <x v="0"/>
    <s v="Accepted"/>
    <n v="4956"/>
    <n v="0"/>
    <s v="17-12-2025"/>
    <m/>
    <x v="10"/>
    <x v="0"/>
  </r>
  <r>
    <s v="WCI26E000191"/>
    <n v="425"/>
    <d v="2025-11-01T00:00:00"/>
    <n v="4956"/>
    <x v="0"/>
    <s v="Accepted"/>
    <n v="4956"/>
    <n v="0"/>
    <s v="17-12-2025"/>
    <m/>
    <x v="10"/>
    <x v="0"/>
  </r>
  <r>
    <s v="WCI26E000187"/>
    <n v="426"/>
    <d v="2025-11-01T00:00:00"/>
    <n v="4956"/>
    <x v="0"/>
    <s v="Accepted"/>
    <n v="4956"/>
    <n v="0"/>
    <s v="17-12-2025"/>
    <m/>
    <x v="10"/>
    <x v="0"/>
  </r>
  <r>
    <s v="WCI26E000185"/>
    <n v="427"/>
    <d v="2025-11-01T00:00:00"/>
    <n v="4956"/>
    <x v="0"/>
    <s v="Accepted"/>
    <n v="4956"/>
    <n v="0"/>
    <s v="17-12-2025"/>
    <m/>
    <x v="10"/>
    <x v="0"/>
  </r>
  <r>
    <s v="WCI26E000183"/>
    <n v="428"/>
    <d v="2025-11-01T00:00:00"/>
    <n v="4956"/>
    <x v="0"/>
    <s v="Accepted"/>
    <n v="4956"/>
    <n v="0"/>
    <s v="17-12-2025"/>
    <m/>
    <x v="10"/>
    <x v="0"/>
  </r>
  <r>
    <s v="WCI26E000186"/>
    <n v="429"/>
    <d v="2025-11-01T00:00:00"/>
    <n v="4956"/>
    <x v="0"/>
    <s v="Accepted"/>
    <n v="4956"/>
    <n v="0"/>
    <s v="17-12-2025"/>
    <m/>
    <x v="10"/>
    <x v="0"/>
  </r>
  <r>
    <s v="WCI26E000184"/>
    <n v="430"/>
    <d v="2025-11-01T00:00:00"/>
    <n v="4956"/>
    <x v="0"/>
    <s v="Accepted"/>
    <n v="4956"/>
    <n v="0"/>
    <s v="17-12-2025"/>
    <m/>
    <x v="10"/>
    <x v="0"/>
  </r>
  <r>
    <s v="WCI26E000284"/>
    <n v="431"/>
    <d v="2025-12-27T00:00:00"/>
    <n v="14674"/>
    <x v="0"/>
    <s v="Accepted"/>
    <n v="14673.92"/>
    <n v="0"/>
    <s v="31-01-2026"/>
    <m/>
    <x v="9"/>
    <x v="0"/>
  </r>
  <r>
    <s v="WCI26E000268"/>
    <n v="432"/>
    <d v="2025-11-30T00:00:00"/>
    <n v="203"/>
    <x v="0"/>
    <s v="Accepted"/>
    <n v="203"/>
    <n v="0"/>
    <s v="31-01-2026"/>
    <m/>
    <x v="10"/>
    <x v="0"/>
  </r>
  <r>
    <s v="WCI26E000269"/>
    <n v="433"/>
    <d v="2025-11-30T00:00:00"/>
    <n v="3466"/>
    <x v="0"/>
    <s v="Accepted"/>
    <n v="3465.96"/>
    <n v="0"/>
    <s v="31-01-2026"/>
    <m/>
    <x v="10"/>
    <x v="0"/>
  </r>
  <r>
    <s v="WCI26E000270"/>
    <n v="434"/>
    <d v="2025-11-30T00:00:00"/>
    <n v="4956"/>
    <x v="0"/>
    <s v="Accepted"/>
    <n v="4956"/>
    <n v="0"/>
    <s v="17-12-2025"/>
    <m/>
    <x v="10"/>
    <x v="0"/>
  </r>
  <r>
    <s v="WCI26E000271"/>
    <n v="435"/>
    <d v="2025-11-30T00:00:00"/>
    <n v="4956"/>
    <x v="0"/>
    <s v="Accepted"/>
    <n v="4956"/>
    <n v="0"/>
    <s v="17-12-2025"/>
    <m/>
    <x v="10"/>
    <x v="0"/>
  </r>
  <r>
    <s v="WCI26E000285"/>
    <n v="436"/>
    <d v="2025-12-27T00:00:00"/>
    <n v="435"/>
    <x v="0"/>
    <s v="Accepted"/>
    <n v="434.61"/>
    <n v="0"/>
    <s v="31-01-2026"/>
    <m/>
    <x v="9"/>
    <x v="0"/>
  </r>
  <r>
    <s v="WCI26E000286"/>
    <n v="437"/>
    <d v="2025-12-27T00:00:00"/>
    <n v="1537"/>
    <x v="0"/>
    <s v="Accepted"/>
    <n v="1537.01"/>
    <n v="0"/>
    <s v="31-01-2026"/>
    <m/>
    <x v="9"/>
    <x v="0"/>
  </r>
  <r>
    <m/>
    <n v="438"/>
    <m/>
    <m/>
    <x v="5"/>
    <e v="#VALUE!"/>
    <s v="NOT FOUND"/>
    <s v="NOT FOUND"/>
    <s v="NOT FOUND"/>
    <s v="CLAIM HOLD FOR FML APPROVAL"/>
    <x v="4"/>
    <x v="1"/>
  </r>
  <r>
    <m/>
    <n v="439"/>
    <m/>
    <m/>
    <x v="5"/>
    <e v="#VALUE!"/>
    <s v="NOT FOUND"/>
    <s v="NOT FOUND"/>
    <s v="NOT FOUND"/>
    <s v="CLAIM HOLD FOR FML APPROVAL"/>
    <x v="4"/>
    <x v="1"/>
  </r>
  <r>
    <m/>
    <n v="440"/>
    <m/>
    <m/>
    <x v="5"/>
    <e v="#VALUE!"/>
    <s v="NOT FOUND"/>
    <s v="NOT FOUND"/>
    <s v="NOT FOUND"/>
    <s v="CLAIM HOLD FOR FML APPROVAL"/>
    <x v="4"/>
    <x v="1"/>
  </r>
  <r>
    <s v="WCI26E000272"/>
    <n v="441"/>
    <d v="2025-11-30T00:00:00"/>
    <n v="4956"/>
    <x v="0"/>
    <s v="Accepted"/>
    <n v="4956"/>
    <n v="0"/>
    <s v="17-12-2025"/>
    <m/>
    <x v="10"/>
    <x v="0"/>
  </r>
  <r>
    <s v="WCI26E000273"/>
    <n v="442"/>
    <d v="2025-11-30T00:00:00"/>
    <n v="4956"/>
    <x v="0"/>
    <s v="Accepted"/>
    <n v="4956"/>
    <n v="0"/>
    <s v="02-02-2026"/>
    <m/>
    <x v="10"/>
    <x v="0"/>
  </r>
  <r>
    <s v="WCI26E000193"/>
    <m/>
    <d v="2025-12-01T00:00:00"/>
    <n v="4956"/>
    <x v="0"/>
    <s v="Partial/Rejected"/>
    <n v="103.25"/>
    <n v="0"/>
    <s v="05-12-2025"/>
    <m/>
    <x v="9"/>
    <x v="0"/>
  </r>
  <r>
    <s v="WCI26E000194"/>
    <m/>
    <d v="2025-12-01T00:00:00"/>
    <n v="103"/>
    <x v="0"/>
    <s v="Accepted"/>
    <n v="103.25"/>
    <n v="0"/>
    <s v="05-12-2025"/>
    <m/>
    <x v="9"/>
    <x v="0"/>
  </r>
  <r>
    <s v="WCI26E000195"/>
    <m/>
    <d v="2025-12-01T00:00:00"/>
    <n v="103"/>
    <x v="0"/>
    <s v="Accepted"/>
    <n v="103.25"/>
    <n v="0"/>
    <s v="05-12-2025"/>
    <m/>
    <x v="9"/>
    <x v="0"/>
  </r>
  <r>
    <s v="WCI26E000196"/>
    <m/>
    <d v="2025-12-01T00:00:00"/>
    <n v="103"/>
    <x v="0"/>
    <s v="Accepted"/>
    <n v="103.25"/>
    <n v="0"/>
    <s v="05-12-2025"/>
    <m/>
    <x v="9"/>
    <x v="0"/>
  </r>
  <r>
    <s v="WCI26E000197"/>
    <m/>
    <d v="2025-12-01T00:00:00"/>
    <n v="103"/>
    <x v="0"/>
    <s v="Accepted"/>
    <n v="103.25"/>
    <n v="0"/>
    <s v="05-12-2025"/>
    <m/>
    <x v="9"/>
    <x v="0"/>
  </r>
  <r>
    <s v="WCI26E000198"/>
    <m/>
    <d v="2025-12-01T00:00:00"/>
    <n v="103"/>
    <x v="0"/>
    <s v="Accepted"/>
    <n v="103.25"/>
    <n v="0"/>
    <s v="05-12-2025"/>
    <m/>
    <x v="9"/>
    <x v="0"/>
  </r>
  <r>
    <s v="WCI26E000199"/>
    <m/>
    <d v="2025-12-01T00:00:00"/>
    <n v="103"/>
    <x v="0"/>
    <s v="Accepted"/>
    <n v="103.25"/>
    <n v="0"/>
    <s v="05-12-2025"/>
    <m/>
    <x v="9"/>
    <x v="0"/>
  </r>
  <r>
    <s v="WCI26E000200"/>
    <m/>
    <d v="2025-12-01T00:00:00"/>
    <n v="103"/>
    <x v="0"/>
    <s v="Accepted"/>
    <n v="103.25"/>
    <n v="0"/>
    <s v="05-12-2025"/>
    <m/>
    <x v="9"/>
    <x v="0"/>
  </r>
  <r>
    <s v="WCI26E000201"/>
    <m/>
    <d v="2025-12-01T00:00:00"/>
    <n v="103"/>
    <x v="0"/>
    <s v="Accepted"/>
    <n v="103.25"/>
    <n v="0"/>
    <s v="05-12-2025"/>
    <m/>
    <x v="9"/>
    <x v="0"/>
  </r>
  <r>
    <s v="WCI26E000202"/>
    <m/>
    <d v="2025-12-01T00:00:00"/>
    <n v="103"/>
    <x v="0"/>
    <s v="Accepted"/>
    <n v="103.25"/>
    <n v="0"/>
    <s v="05-12-2025"/>
    <m/>
    <x v="9"/>
    <x v="0"/>
  </r>
  <r>
    <s v="WCI26E000203"/>
    <m/>
    <d v="2025-12-01T00:00:00"/>
    <n v="103"/>
    <x v="0"/>
    <s v="Accepted"/>
    <n v="103.25"/>
    <n v="0"/>
    <s v="05-12-2025"/>
    <m/>
    <x v="9"/>
    <x v="0"/>
  </r>
  <r>
    <s v="WCI26E000204"/>
    <m/>
    <d v="2025-12-01T00:00:00"/>
    <n v="103"/>
    <x v="0"/>
    <s v="Accepted"/>
    <n v="103.25"/>
    <n v="0"/>
    <s v="05-12-2025"/>
    <m/>
    <x v="9"/>
    <x v="0"/>
  </r>
  <r>
    <s v="WCI26E000205"/>
    <m/>
    <d v="2025-12-01T00:00:00"/>
    <n v="103"/>
    <x v="0"/>
    <s v="Accepted"/>
    <n v="103.25"/>
    <n v="0"/>
    <s v="05-12-2025"/>
    <m/>
    <x v="9"/>
    <x v="0"/>
  </r>
  <r>
    <s v="WCI26E000206"/>
    <m/>
    <d v="2025-12-01T00:00:00"/>
    <n v="103"/>
    <x v="0"/>
    <s v="Accepted"/>
    <n v="103.25"/>
    <n v="0"/>
    <s v="05-12-2025"/>
    <m/>
    <x v="9"/>
    <x v="0"/>
  </r>
  <r>
    <s v="WCI26E000207"/>
    <m/>
    <d v="2025-12-01T00:00:00"/>
    <n v="103"/>
    <x v="0"/>
    <s v="Accepted"/>
    <n v="103.25"/>
    <n v="0"/>
    <s v="05-12-2025"/>
    <m/>
    <x v="9"/>
    <x v="0"/>
  </r>
  <r>
    <s v="WCI26E000208"/>
    <m/>
    <d v="2025-12-01T00:00:00"/>
    <n v="103"/>
    <x v="0"/>
    <s v="Accepted"/>
    <n v="103.25"/>
    <n v="0"/>
    <s v="05-12-2025"/>
    <m/>
    <x v="9"/>
    <x v="0"/>
  </r>
  <r>
    <s v="WCI26E000209"/>
    <m/>
    <d v="2025-12-01T00:00:00"/>
    <n v="103"/>
    <x v="0"/>
    <s v="Accepted"/>
    <n v="103.25"/>
    <n v="0"/>
    <s v="05-12-2025"/>
    <m/>
    <x v="9"/>
    <x v="0"/>
  </r>
  <r>
    <s v="WCI26E000210"/>
    <m/>
    <d v="2025-12-01T00:00:00"/>
    <n v="103"/>
    <x v="0"/>
    <s v="Accepted"/>
    <n v="103.25"/>
    <n v="0"/>
    <s v="05-12-2025"/>
    <m/>
    <x v="9"/>
    <x v="0"/>
  </r>
  <r>
    <s v="WCI26E000211"/>
    <m/>
    <d v="2025-12-01T00:00:00"/>
    <n v="103"/>
    <x v="0"/>
    <s v="Accepted"/>
    <n v="103.25"/>
    <n v="0"/>
    <s v="05-12-2025"/>
    <m/>
    <x v="9"/>
    <x v="0"/>
  </r>
  <r>
    <s v="WCI26E000212"/>
    <m/>
    <d v="2025-12-01T00:00:00"/>
    <n v="103"/>
    <x v="0"/>
    <s v="Accepted"/>
    <n v="103.25"/>
    <n v="0"/>
    <s v="05-12-2025"/>
    <m/>
    <x v="9"/>
    <x v="0"/>
  </r>
  <r>
    <s v="WCI26E000213"/>
    <m/>
    <d v="2025-12-01T00:00:00"/>
    <n v="103"/>
    <x v="0"/>
    <s v="Accepted"/>
    <n v="103.25"/>
    <n v="0"/>
    <s v="05-12-2025"/>
    <m/>
    <x v="9"/>
    <x v="0"/>
  </r>
  <r>
    <s v="WCI26E000214"/>
    <m/>
    <d v="2025-12-01T00:00:00"/>
    <n v="103"/>
    <x v="0"/>
    <s v="Accepted"/>
    <n v="103.25"/>
    <n v="0"/>
    <s v="05-12-2025"/>
    <m/>
    <x v="9"/>
    <x v="0"/>
  </r>
  <r>
    <s v="WCI26E000215"/>
    <m/>
    <d v="2025-12-01T00:00:00"/>
    <n v="103"/>
    <x v="0"/>
    <s v="Accepted"/>
    <n v="103.25"/>
    <n v="0"/>
    <s v="05-12-2025"/>
    <m/>
    <x v="9"/>
    <x v="0"/>
  </r>
  <r>
    <s v="WCI26E000216"/>
    <m/>
    <d v="2025-12-01T00:00:00"/>
    <n v="103"/>
    <x v="0"/>
    <s v="Accepted"/>
    <n v="103.25"/>
    <n v="0"/>
    <s v="05-12-2025"/>
    <m/>
    <x v="9"/>
    <x v="0"/>
  </r>
  <r>
    <s v="WCI26E000217"/>
    <m/>
    <d v="2025-12-01T00:00:00"/>
    <n v="103"/>
    <x v="0"/>
    <s v="Accepted"/>
    <n v="103.25"/>
    <n v="0"/>
    <s v="05-12-2025"/>
    <m/>
    <x v="9"/>
    <x v="0"/>
  </r>
  <r>
    <s v="WCI26E000218"/>
    <m/>
    <d v="2025-12-01T00:00:00"/>
    <n v="103"/>
    <x v="0"/>
    <s v="Accepted"/>
    <n v="103.25"/>
    <n v="0"/>
    <s v="05-12-2025"/>
    <m/>
    <x v="9"/>
    <x v="0"/>
  </r>
  <r>
    <s v="WCI26E000219"/>
    <m/>
    <d v="2025-12-01T00:00:00"/>
    <n v="62"/>
    <x v="0"/>
    <s v="Accepted"/>
    <n v="61.95"/>
    <n v="0"/>
    <s v="05-12-2025"/>
    <m/>
    <x v="9"/>
    <x v="0"/>
  </r>
  <r>
    <s v="WCI26E000220"/>
    <m/>
    <d v="2025-12-01T00:00:00"/>
    <n v="62"/>
    <x v="0"/>
    <s v="Accepted"/>
    <n v="61.95"/>
    <n v="0"/>
    <s v="05-12-2025"/>
    <m/>
    <x v="9"/>
    <x v="0"/>
  </r>
  <r>
    <s v="WCI26E000221"/>
    <m/>
    <d v="2025-12-01T00:00:00"/>
    <n v="62"/>
    <x v="0"/>
    <s v="Accepted"/>
    <n v="61.95"/>
    <n v="0"/>
    <s v="05-12-2025"/>
    <m/>
    <x v="9"/>
    <x v="0"/>
  </r>
  <r>
    <s v="WCI26E000222"/>
    <m/>
    <d v="2025-12-01T00:00:00"/>
    <n v="62"/>
    <x v="0"/>
    <s v="Accepted"/>
    <n v="61.95"/>
    <n v="0"/>
    <s v="05-12-2025"/>
    <m/>
    <x v="9"/>
    <x v="0"/>
  </r>
  <r>
    <s v="WCI26E000223"/>
    <m/>
    <d v="2025-12-01T00:00:00"/>
    <n v="62"/>
    <x v="0"/>
    <s v="Accepted"/>
    <n v="61.95"/>
    <n v="0"/>
    <s v="05-12-2025"/>
    <m/>
    <x v="9"/>
    <x v="0"/>
  </r>
  <r>
    <s v="WCI26E000224"/>
    <m/>
    <d v="2025-12-01T00:00:00"/>
    <n v="62"/>
    <x v="0"/>
    <s v="Accepted"/>
    <n v="61.95"/>
    <n v="0"/>
    <s v="05-12-2025"/>
    <m/>
    <x v="9"/>
    <x v="0"/>
  </r>
  <r>
    <s v="WCI26E000225"/>
    <m/>
    <d v="2025-12-01T00:00:00"/>
    <n v="62"/>
    <x v="0"/>
    <s v="Accepted"/>
    <n v="61.95"/>
    <n v="0"/>
    <s v="05-12-2025"/>
    <m/>
    <x v="9"/>
    <x v="0"/>
  </r>
  <r>
    <s v="WCI26E000226"/>
    <m/>
    <d v="2025-12-01T00:00:00"/>
    <n v="62"/>
    <x v="0"/>
    <s v="Accepted"/>
    <n v="61.95"/>
    <n v="0"/>
    <s v="05-12-2025"/>
    <m/>
    <x v="9"/>
    <x v="0"/>
  </r>
  <r>
    <s v="WCI26E000227"/>
    <m/>
    <d v="2025-12-01T00:00:00"/>
    <n v="62"/>
    <x v="0"/>
    <s v="Accepted"/>
    <n v="61.95"/>
    <n v="0"/>
    <s v="05-12-2025"/>
    <m/>
    <x v="9"/>
    <x v="0"/>
  </r>
  <r>
    <s v="WCI26E000228"/>
    <m/>
    <d v="2025-12-01T00:00:00"/>
    <n v="62"/>
    <x v="0"/>
    <s v="Accepted"/>
    <n v="61.95"/>
    <n v="0"/>
    <s v="05-12-2025"/>
    <m/>
    <x v="9"/>
    <x v="0"/>
  </r>
  <r>
    <s v="WCI26E000229"/>
    <m/>
    <d v="2025-12-01T00:00:00"/>
    <n v="62"/>
    <x v="0"/>
    <s v="Accepted"/>
    <n v="61.95"/>
    <n v="0"/>
    <s v="05-12-2025"/>
    <m/>
    <x v="9"/>
    <x v="0"/>
  </r>
  <r>
    <s v="WCI26E000230"/>
    <m/>
    <d v="2025-12-01T00:00:00"/>
    <n v="62"/>
    <x v="0"/>
    <s v="Accepted"/>
    <n v="61.95"/>
    <n v="0"/>
    <s v="05-12-2025"/>
    <m/>
    <x v="9"/>
    <x v="0"/>
  </r>
  <r>
    <s v="WCI26E000231"/>
    <m/>
    <d v="2025-12-01T00:00:00"/>
    <n v="62"/>
    <x v="0"/>
    <s v="Accepted"/>
    <n v="61.95"/>
    <n v="0"/>
    <s v="05-12-2025"/>
    <m/>
    <x v="9"/>
    <x v="0"/>
  </r>
  <r>
    <s v="WCI26E000232"/>
    <m/>
    <d v="2025-12-01T00:00:00"/>
    <n v="62"/>
    <x v="0"/>
    <s v="Accepted"/>
    <n v="61.95"/>
    <n v="0"/>
    <s v="05-12-2025"/>
    <m/>
    <x v="9"/>
    <x v="0"/>
  </r>
  <r>
    <s v="WCI26E000233"/>
    <m/>
    <d v="2025-12-01T00:00:00"/>
    <n v="62"/>
    <x v="0"/>
    <s v="Accepted"/>
    <n v="61.95"/>
    <n v="0"/>
    <s v="05-12-2025"/>
    <m/>
    <x v="9"/>
    <x v="0"/>
  </r>
  <r>
    <s v="WCI26E000234"/>
    <m/>
    <d v="2025-12-01T00:00:00"/>
    <n v="62"/>
    <x v="0"/>
    <s v="Accepted"/>
    <n v="61.95"/>
    <n v="0"/>
    <s v="05-12-2025"/>
    <m/>
    <x v="9"/>
    <x v="0"/>
  </r>
  <r>
    <s v="WCI26E000235"/>
    <m/>
    <d v="2025-12-01T00:00:00"/>
    <n v="62"/>
    <x v="0"/>
    <s v="Accepted"/>
    <n v="61.95"/>
    <n v="0"/>
    <s v="05-12-2025"/>
    <m/>
    <x v="9"/>
    <x v="0"/>
  </r>
  <r>
    <s v="WCI26E000236"/>
    <m/>
    <d v="2025-12-01T00:00:00"/>
    <n v="62"/>
    <x v="0"/>
    <s v="Accepted"/>
    <n v="61.95"/>
    <n v="0"/>
    <s v="05-12-2025"/>
    <m/>
    <x v="9"/>
    <x v="0"/>
  </r>
  <r>
    <s v="WCI26E000237"/>
    <m/>
    <d v="2025-12-01T00:00:00"/>
    <n v="62"/>
    <x v="0"/>
    <s v="Accepted"/>
    <n v="61.95"/>
    <n v="0"/>
    <s v="05-12-2025"/>
    <m/>
    <x v="9"/>
    <x v="0"/>
  </r>
  <r>
    <s v="WCI26E000238"/>
    <m/>
    <d v="2025-12-01T00:00:00"/>
    <n v="62"/>
    <x v="0"/>
    <s v="Accepted"/>
    <n v="61.95"/>
    <n v="0"/>
    <s v="05-12-2025"/>
    <m/>
    <x v="9"/>
    <x v="0"/>
  </r>
  <r>
    <s v="WCI26E000239"/>
    <m/>
    <d v="2025-12-01T00:00:00"/>
    <n v="62"/>
    <x v="0"/>
    <s v="Accepted"/>
    <n v="61.95"/>
    <n v="0"/>
    <s v="05-12-2025"/>
    <m/>
    <x v="9"/>
    <x v="0"/>
  </r>
  <r>
    <s v="WCI26E000240"/>
    <m/>
    <d v="2025-12-01T00:00:00"/>
    <n v="62"/>
    <x v="0"/>
    <s v="Accepted"/>
    <n v="61.95"/>
    <n v="0"/>
    <s v="05-12-2025"/>
    <m/>
    <x v="9"/>
    <x v="0"/>
  </r>
  <r>
    <s v="WCI26E000241"/>
    <m/>
    <d v="2025-12-01T00:00:00"/>
    <n v="62"/>
    <x v="0"/>
    <s v="Accepted"/>
    <n v="61.95"/>
    <n v="0"/>
    <s v="05-12-2025"/>
    <m/>
    <x v="9"/>
    <x v="0"/>
  </r>
  <r>
    <s v="WCI26E000242"/>
    <m/>
    <d v="2025-12-01T00:00:00"/>
    <n v="62"/>
    <x v="0"/>
    <s v="Accepted"/>
    <n v="61.95"/>
    <n v="0"/>
    <s v="05-12-2025"/>
    <m/>
    <x v="9"/>
    <x v="0"/>
  </r>
  <r>
    <s v="WCI26E000243"/>
    <m/>
    <d v="2025-12-01T00:00:00"/>
    <n v="62"/>
    <x v="0"/>
    <s v="Accepted"/>
    <n v="61.95"/>
    <n v="0"/>
    <s v="05-12-2025"/>
    <m/>
    <x v="9"/>
    <x v="0"/>
  </r>
  <r>
    <s v="WCI26E000244"/>
    <m/>
    <d v="2025-12-01T00:00:00"/>
    <n v="62"/>
    <x v="0"/>
    <s v="Accepted"/>
    <n v="61.95"/>
    <n v="0"/>
    <s v="05-12-2025"/>
    <m/>
    <x v="9"/>
    <x v="0"/>
  </r>
  <r>
    <s v="WCI26E000245"/>
    <m/>
    <d v="2025-12-01T00:00:00"/>
    <n v="62"/>
    <x v="0"/>
    <s v="Accepted"/>
    <n v="61.95"/>
    <n v="0"/>
    <s v="05-12-2025"/>
    <m/>
    <x v="9"/>
    <x v="0"/>
  </r>
  <r>
    <s v="WCI26E000246"/>
    <m/>
    <d v="2025-12-01T00:00:00"/>
    <n v="62"/>
    <x v="0"/>
    <s v="Accepted"/>
    <n v="61.95"/>
    <n v="0"/>
    <s v="05-12-2025"/>
    <m/>
    <x v="9"/>
    <x v="0"/>
  </r>
  <r>
    <s v="WCI26E000247"/>
    <m/>
    <d v="2025-12-01T00:00:00"/>
    <n v="62"/>
    <x v="0"/>
    <s v="Accepted"/>
    <n v="61.95"/>
    <n v="0"/>
    <s v="05-12-2025"/>
    <m/>
    <x v="9"/>
    <x v="0"/>
  </r>
  <r>
    <s v="WCI26E000248"/>
    <m/>
    <d v="2025-12-01T00:00:00"/>
    <n v="62"/>
    <x v="0"/>
    <s v="Accepted"/>
    <n v="61.95"/>
    <n v="0"/>
    <s v="17-12-2025"/>
    <m/>
    <x v="9"/>
    <x v="0"/>
  </r>
  <r>
    <s v="WCI26E000249"/>
    <m/>
    <d v="2025-12-01T00:00:00"/>
    <n v="62"/>
    <x v="0"/>
    <s v="Accepted"/>
    <n v="61.95"/>
    <n v="0"/>
    <s v="17-12-2025"/>
    <m/>
    <x v="9"/>
    <x v="0"/>
  </r>
  <r>
    <s v="WCI26E000250"/>
    <m/>
    <d v="2025-12-01T00:00:00"/>
    <n v="62"/>
    <x v="0"/>
    <s v="Accepted"/>
    <n v="61.95"/>
    <n v="0"/>
    <s v="17-12-2025"/>
    <m/>
    <x v="9"/>
    <x v="0"/>
  </r>
  <r>
    <s v="WCI26E000251"/>
    <m/>
    <d v="2025-12-01T00:00:00"/>
    <n v="103"/>
    <x v="0"/>
    <s v="Accepted"/>
    <n v="103.25"/>
    <n v="0"/>
    <s v="17-12-2025"/>
    <m/>
    <x v="9"/>
    <x v="0"/>
  </r>
  <r>
    <s v="WCI26E000252"/>
    <m/>
    <d v="2025-12-01T00:00:00"/>
    <n v="103"/>
    <x v="0"/>
    <s v="Accepted"/>
    <n v="103.25"/>
    <n v="0"/>
    <s v="17-12-2025"/>
    <m/>
    <x v="9"/>
    <x v="0"/>
  </r>
  <r>
    <s v="WCI26E000253"/>
    <m/>
    <d v="2025-12-01T00:00:00"/>
    <n v="103"/>
    <x v="0"/>
    <s v="Accepted"/>
    <n v="103.25"/>
    <n v="0"/>
    <s v="17-12-2025"/>
    <m/>
    <x v="9"/>
    <x v="0"/>
  </r>
  <r>
    <s v="WCI26E000254"/>
    <m/>
    <d v="2025-12-01T00:00:00"/>
    <n v="103"/>
    <x v="0"/>
    <s v="Accepted"/>
    <n v="103.25"/>
    <n v="0"/>
    <s v="17-12-2025"/>
    <m/>
    <x v="9"/>
    <x v="0"/>
  </r>
  <r>
    <s v="WCI26E000255"/>
    <m/>
    <d v="2025-12-01T00:00:00"/>
    <n v="103"/>
    <x v="0"/>
    <s v="Accepted"/>
    <n v="103.25"/>
    <n v="0"/>
    <s v="17-12-2025"/>
    <m/>
    <x v="9"/>
    <x v="0"/>
  </r>
  <r>
    <s v="WCI26E000256"/>
    <m/>
    <d v="2025-12-01T00:00:00"/>
    <n v="103"/>
    <x v="0"/>
    <s v="Accepted"/>
    <n v="103.25"/>
    <n v="0"/>
    <s v="17-12-2025"/>
    <m/>
    <x v="9"/>
    <x v="0"/>
  </r>
  <r>
    <s v="WCI26E000257"/>
    <m/>
    <d v="2025-12-01T00:00:00"/>
    <n v="103"/>
    <x v="0"/>
    <s v="Accepted"/>
    <n v="103.25"/>
    <n v="0"/>
    <s v="17-12-2025"/>
    <m/>
    <x v="9"/>
    <x v="0"/>
  </r>
  <r>
    <s v="WCI26E000258"/>
    <m/>
    <d v="2025-12-01T00:00:00"/>
    <n v="103"/>
    <x v="0"/>
    <s v="Accepted"/>
    <n v="103.25"/>
    <n v="0"/>
    <s v="17-12-2025"/>
    <m/>
    <x v="9"/>
    <x v="0"/>
  </r>
  <r>
    <s v="WCI26E000259"/>
    <m/>
    <d v="2025-12-01T00:00:00"/>
    <n v="103"/>
    <x v="0"/>
    <s v="Accepted"/>
    <n v="103.25"/>
    <n v="0"/>
    <s v="17-12-2025"/>
    <m/>
    <x v="9"/>
    <x v="0"/>
  </r>
  <r>
    <s v="WCI26E000260"/>
    <m/>
    <d v="2025-12-01T00:00:00"/>
    <n v="103"/>
    <x v="0"/>
    <s v="Accepted"/>
    <n v="103.25"/>
    <n v="0"/>
    <s v="17-12-2025"/>
    <m/>
    <x v="9"/>
    <x v="0"/>
  </r>
  <r>
    <s v="WCI26E000261"/>
    <m/>
    <d v="2025-12-01T00:00:00"/>
    <n v="103"/>
    <x v="0"/>
    <s v="Accepted"/>
    <n v="103.25"/>
    <n v="0"/>
    <s v="17-12-2025"/>
    <m/>
    <x v="9"/>
    <x v="0"/>
  </r>
  <r>
    <s v="WCI26E000262"/>
    <m/>
    <d v="2025-12-01T00:00:00"/>
    <n v="103"/>
    <x v="0"/>
    <s v="Accepted"/>
    <n v="103.25"/>
    <n v="0"/>
    <s v="17-12-2025"/>
    <m/>
    <x v="9"/>
    <x v="0"/>
  </r>
  <r>
    <s v="WCI26E000263"/>
    <m/>
    <d v="2025-12-01T00:00:00"/>
    <n v="103"/>
    <x v="0"/>
    <s v="Accepted"/>
    <n v="103.25"/>
    <n v="0"/>
    <s v="17-12-2025"/>
    <m/>
    <x v="9"/>
    <x v="0"/>
  </r>
  <r>
    <s v="WCI26E000264"/>
    <m/>
    <d v="2025-12-01T00:00:00"/>
    <n v="103"/>
    <x v="0"/>
    <s v="Accepted"/>
    <n v="103.25"/>
    <n v="0"/>
    <s v="17-12-2025"/>
    <m/>
    <x v="9"/>
    <x v="0"/>
  </r>
  <r>
    <s v="WCI26E000265"/>
    <m/>
    <d v="2025-12-01T00:00:00"/>
    <n v="103"/>
    <x v="0"/>
    <s v="Accepted"/>
    <n v="103.25"/>
    <n v="0"/>
    <s v="17-12-2025"/>
    <m/>
    <x v="9"/>
    <x v="0"/>
  </r>
  <r>
    <s v="WCI26E000266"/>
    <m/>
    <d v="2025-12-01T00:00:00"/>
    <n v="103"/>
    <x v="0"/>
    <s v="Accepted"/>
    <n v="103.25"/>
    <n v="0"/>
    <s v="17-12-2025"/>
    <m/>
    <x v="9"/>
    <x v="0"/>
  </r>
  <r>
    <s v="WCI26E000287"/>
    <n v="443"/>
    <d v="2025-12-27T00:00:00"/>
    <n v="3819"/>
    <x v="0"/>
    <s v="Accepted"/>
    <n v="3819.49"/>
    <n v="0"/>
    <s v="31-01-2026"/>
    <m/>
    <x v="9"/>
    <x v="0"/>
  </r>
  <r>
    <s v="WCI26E000274"/>
    <n v="444"/>
    <d v="2025-11-30T00:00:00"/>
    <n v="5452"/>
    <x v="0"/>
    <s v="Accepted"/>
    <n v="5451.6"/>
    <n v="0"/>
    <s v="17-12-2025"/>
    <m/>
    <x v="10"/>
    <x v="0"/>
  </r>
  <r>
    <s v="WCI26E000275"/>
    <n v="445"/>
    <d v="2025-11-30T00:00:00"/>
    <n v="5452"/>
    <x v="0"/>
    <s v="Accepted"/>
    <n v="5451.6"/>
    <n v="0"/>
    <s v="17-12-2025"/>
    <m/>
    <x v="10"/>
    <x v="0"/>
  </r>
  <r>
    <s v="WCI26E000276"/>
    <n v="446"/>
    <d v="2025-11-30T00:00:00"/>
    <n v="5452"/>
    <x v="0"/>
    <s v="Accepted"/>
    <n v="5451.6"/>
    <n v="0"/>
    <s v="17-12-2025"/>
    <m/>
    <x v="10"/>
    <x v="0"/>
  </r>
  <r>
    <s v="WCI26E000288"/>
    <n v="447"/>
    <d v="2025-12-27T00:00:00"/>
    <n v="89"/>
    <x v="0"/>
    <s v="Accepted"/>
    <n v="89.2"/>
    <n v="0"/>
    <s v="31-01-2026"/>
    <m/>
    <x v="9"/>
    <x v="0"/>
  </r>
  <r>
    <s v="WCI26E000289"/>
    <n v="448"/>
    <d v="2025-12-27T00:00:00"/>
    <n v="22192"/>
    <x v="0"/>
    <s v="Accepted"/>
    <n v="22191.559999999998"/>
    <n v="0"/>
    <s v="31-01-2026"/>
    <m/>
    <x v="9"/>
    <x v="0"/>
  </r>
  <r>
    <s v="WCI26E000277"/>
    <n v="449"/>
    <d v="2025-11-30T00:00:00"/>
    <n v="4956"/>
    <x v="0"/>
    <s v="Accepted"/>
    <n v="4956"/>
    <n v="0"/>
    <s v="17-12-2025"/>
    <m/>
    <x v="10"/>
    <x v="0"/>
  </r>
  <r>
    <s v="WCI26E000278"/>
    <n v="450"/>
    <d v="2025-11-30T00:00:00"/>
    <n v="4956"/>
    <x v="0"/>
    <s v="Accepted"/>
    <n v="4956"/>
    <n v="0"/>
    <s v="17-12-2025"/>
    <m/>
    <x v="10"/>
    <x v="0"/>
  </r>
  <r>
    <m/>
    <n v="451"/>
    <m/>
    <m/>
    <x v="5"/>
    <e v="#VALUE!"/>
    <s v="NOT FOUND"/>
    <s v="NOT FOUND"/>
    <s v="NOT FOUND"/>
    <s v="CANCELL"/>
    <x v="4"/>
    <x v="1"/>
  </r>
  <r>
    <s v="WCI26E000279"/>
    <n v="452"/>
    <d v="2025-11-30T00:00:00"/>
    <n v="4956"/>
    <x v="0"/>
    <s v="Accepted"/>
    <n v="4956"/>
    <n v="0"/>
    <s v="17-12-2025"/>
    <m/>
    <x v="10"/>
    <x v="0"/>
  </r>
  <r>
    <s v="WCI26E000280"/>
    <n v="453"/>
    <d v="2025-11-30T00:00:00"/>
    <n v="4956"/>
    <x v="0"/>
    <s v="Accepted"/>
    <n v="4956"/>
    <n v="0"/>
    <s v="17-12-2025"/>
    <m/>
    <x v="10"/>
    <x v="0"/>
  </r>
  <r>
    <s v="WCI26E000281"/>
    <n v="454"/>
    <d v="2025-11-30T00:00:00"/>
    <n v="4956"/>
    <x v="0"/>
    <s v="Accepted"/>
    <n v="4956"/>
    <n v="0"/>
    <s v="17-12-2025"/>
    <m/>
    <x v="10"/>
    <x v="0"/>
  </r>
  <r>
    <s v="WCI26E000290"/>
    <n v="455"/>
    <d v="2025-12-27T00:00:00"/>
    <n v="9691"/>
    <x v="0"/>
    <s v="Accepted"/>
    <n v="9691.2200000000012"/>
    <n v="0"/>
    <s v="31-01-2026"/>
    <m/>
    <x v="9"/>
    <x v="0"/>
  </r>
  <r>
    <s v="WCI26E000282"/>
    <n v="456"/>
    <d v="2025-11-30T00:00:00"/>
    <n v="4956"/>
    <x v="0"/>
    <s v="Accepted"/>
    <n v="4956"/>
    <n v="0"/>
    <s v="17-12-2025"/>
    <m/>
    <x v="10"/>
    <x v="0"/>
  </r>
  <r>
    <s v="WCI26E000283"/>
    <n v="457"/>
    <d v="2025-11-30T00:00:00"/>
    <n v="4956"/>
    <x v="0"/>
    <s v="Accepted"/>
    <n v="4956"/>
    <n v="0"/>
    <s v="17-12-2025"/>
    <m/>
    <x v="10"/>
    <x v="0"/>
  </r>
  <r>
    <s v="SCI26E000016"/>
    <m/>
    <d v="2025-11-30T00:00:00"/>
    <n v="147146"/>
    <x v="3"/>
    <s v="Accepted"/>
    <n v="147146"/>
    <n v="8910"/>
    <s v="28-Nov-25"/>
    <m/>
    <x v="10"/>
    <x v="0"/>
  </r>
  <r>
    <s v="SCI26E000017"/>
    <m/>
    <d v="2025-11-30T00:00:00"/>
    <n v="1357"/>
    <x v="4"/>
    <s v="Accepted"/>
    <n v="1357"/>
    <n v="0"/>
    <s v="12-Dec-25"/>
    <m/>
    <x v="10"/>
    <x v="0"/>
  </r>
  <r>
    <s v="SCI26E000018"/>
    <m/>
    <d v="2025-11-30T00:00:00"/>
    <n v="45371"/>
    <x v="4"/>
    <s v="Accepted"/>
    <n v="45371"/>
    <n v="0"/>
    <s v="12-Dec-25"/>
    <m/>
    <x v="10"/>
    <x v="0"/>
  </r>
  <r>
    <s v="PCI26E000003"/>
    <m/>
    <d v="2025-11-30T00:00:00"/>
    <n v="8684.7999999999993"/>
    <x v="1"/>
    <e v="#VALUE!"/>
    <s v="NOT FOUND"/>
    <s v="NOT FOUND"/>
    <s v="NOT FOUND"/>
    <m/>
    <x v="10"/>
    <x v="0"/>
  </r>
  <r>
    <s v="PCI26E000004"/>
    <m/>
    <d v="2025-11-30T00:00:00"/>
    <n v="7434"/>
    <x v="1"/>
    <e v="#VALUE!"/>
    <s v="NOT FOUND"/>
    <s v="NOT FOUND"/>
    <s v="NOT FOUND"/>
    <m/>
    <x v="10"/>
    <x v="0"/>
  </r>
  <r>
    <s v="PCI26E000005"/>
    <m/>
    <d v="2025-11-30T00:00:00"/>
    <n v="7434"/>
    <x v="1"/>
    <e v="#VALUE!"/>
    <s v="NOT FOUND"/>
    <s v="NOT FOUND"/>
    <s v="NOT FOUND"/>
    <m/>
    <x v="10"/>
    <x v="0"/>
  </r>
  <r>
    <s v="SCI26E000019"/>
    <m/>
    <d v="2025-11-30T00:00:00"/>
    <n v="29205"/>
    <x v="4"/>
    <s v="Accepted"/>
    <n v="29205"/>
    <n v="0"/>
    <s v="22-Jan-26"/>
    <m/>
    <x v="10"/>
    <x v="0"/>
  </r>
  <r>
    <s v="SCI26E000020"/>
    <m/>
    <d v="2025-11-30T00:00:00"/>
    <n v="118118"/>
    <x v="3"/>
    <s v="Accepted"/>
    <n v="118118"/>
    <n v="6660"/>
    <s v="19-Jan-26"/>
    <m/>
    <x v="10"/>
    <x v="0"/>
  </r>
  <r>
    <s v="SCI26E000021"/>
    <m/>
    <d v="2025-11-30T00:00:00"/>
    <n v="175820"/>
    <x v="3"/>
    <s v="Accepted"/>
    <n v="175820"/>
    <n v="14910"/>
    <s v="19-Jan-26"/>
    <m/>
    <x v="10"/>
    <x v="0"/>
  </r>
  <r>
    <s v="SCI26E000022"/>
    <m/>
    <d v="2025-11-30T00:00:00"/>
    <n v="11151"/>
    <x v="4"/>
    <s v="Accepted"/>
    <n v="11151"/>
    <n v="0"/>
    <s v="22-Jan-26"/>
    <m/>
    <x v="10"/>
    <x v="0"/>
  </r>
  <r>
    <s v="WCI26E000291"/>
    <n v="458"/>
    <d v="2025-12-27T00:00:00"/>
    <n v="17236"/>
    <x v="0"/>
    <s v="Accepted"/>
    <n v="17235.559999999998"/>
    <n v="0"/>
    <s v="31-01-2026"/>
    <m/>
    <x v="9"/>
    <x v="0"/>
  </r>
  <r>
    <s v="WCI26E000292"/>
    <n v="459"/>
    <d v="2025-12-27T00:00:00"/>
    <n v="14602"/>
    <x v="0"/>
    <s v="Accepted"/>
    <n v="14601.64"/>
    <n v="0"/>
    <s v="31-01-2026"/>
    <m/>
    <x v="9"/>
    <x v="0"/>
  </r>
  <r>
    <s v="WCI26E000293"/>
    <n v="460"/>
    <d v="2025-12-27T00:00:00"/>
    <n v="435"/>
    <x v="0"/>
    <s v="Accepted"/>
    <n v="434.61"/>
    <n v="0"/>
    <s v="31-01-2026"/>
    <m/>
    <x v="9"/>
    <x v="0"/>
  </r>
  <r>
    <s v="WCI26E000294"/>
    <n v="461"/>
    <d v="2025-12-27T00:00:00"/>
    <n v="435"/>
    <x v="0"/>
    <s v="Accepted"/>
    <n v="434.61"/>
    <n v="0"/>
    <s v="31-01-2026"/>
    <m/>
    <x v="9"/>
    <x v="0"/>
  </r>
  <r>
    <s v="WCI26E000295"/>
    <n v="462"/>
    <d v="2025-12-27T00:00:00"/>
    <n v="30335"/>
    <x v="0"/>
    <s v="Accepted"/>
    <n v="30334.84"/>
    <n v="0"/>
    <s v="31-01-2026"/>
    <m/>
    <x v="9"/>
    <x v="0"/>
  </r>
  <r>
    <s v="WCI26E000296"/>
    <n v="463"/>
    <d v="2025-12-27T00:00:00"/>
    <n v="4956"/>
    <x v="0"/>
    <s v="Accepted"/>
    <n v="4956"/>
    <n v="0"/>
    <s v="31-01-2026"/>
    <m/>
    <x v="9"/>
    <x v="0"/>
  </r>
  <r>
    <s v="WCI26E000297"/>
    <n v="464"/>
    <d v="2025-12-27T00:00:00"/>
    <n v="4956"/>
    <x v="0"/>
    <s v="Accepted"/>
    <n v="4956"/>
    <n v="0"/>
    <s v="31-01-2026"/>
    <m/>
    <x v="9"/>
    <x v="0"/>
  </r>
  <r>
    <s v="WCI26E000291"/>
    <n v="465"/>
    <d v="2025-12-27T00:00:00"/>
    <n v="4956"/>
    <x v="0"/>
    <s v="Accepted"/>
    <n v="17235.559999999998"/>
    <n v="0"/>
    <s v="31-01-2026"/>
    <m/>
    <x v="9"/>
    <x v="0"/>
  </r>
  <r>
    <s v="WCI26E000298"/>
    <n v="466"/>
    <d v="2025-12-27T00:00:00"/>
    <n v="128686"/>
    <x v="0"/>
    <s v="Accepted"/>
    <n v="128685.56999999999"/>
    <n v="0"/>
    <s v="31-01-2026"/>
    <m/>
    <x v="9"/>
    <x v="0"/>
  </r>
  <r>
    <m/>
    <n v="467"/>
    <d v="2026-01-02T00:00:00"/>
    <m/>
    <x v="5"/>
    <e v="#VALUE!"/>
    <s v="NOT FOUND"/>
    <s v="NOT FOUND"/>
    <s v="NOT FOUND"/>
    <s v="HOLD FOR APPROVAL"/>
    <x v="4"/>
    <x v="2"/>
  </r>
  <r>
    <s v="WCI26E000299"/>
    <n v="468"/>
    <d v="2025-12-27T00:00:00"/>
    <n v="4956"/>
    <x v="0"/>
    <s v="Accepted"/>
    <n v="4956"/>
    <n v="0"/>
    <s v="31-01-2026"/>
    <m/>
    <x v="9"/>
    <x v="0"/>
  </r>
  <r>
    <s v="WCI26E000300"/>
    <n v="469"/>
    <d v="2025-12-27T00:00:00"/>
    <n v="4956"/>
    <x v="0"/>
    <s v="Accepted"/>
    <n v="4956"/>
    <n v="0"/>
    <s v="31-01-2026"/>
    <m/>
    <x v="9"/>
    <x v="0"/>
  </r>
  <r>
    <s v="WCI26E000301"/>
    <n v="470"/>
    <d v="2025-12-27T00:00:00"/>
    <n v="4956"/>
    <x v="0"/>
    <s v="Accepted"/>
    <n v="4956"/>
    <n v="0"/>
    <s v="31-01-2026"/>
    <m/>
    <x v="9"/>
    <x v="0"/>
  </r>
  <r>
    <s v="WCI26E000302"/>
    <n v="471"/>
    <d v="2025-12-30T00:00:00"/>
    <n v="2678"/>
    <x v="0"/>
    <s v="Partial/Rejected"/>
    <n v="0"/>
    <n v="2677.94"/>
    <s v="31-01-2026"/>
    <m/>
    <x v="9"/>
    <x v="0"/>
  </r>
  <r>
    <s v="WCI26E000303"/>
    <n v="472"/>
    <d v="2025-12-30T00:00:00"/>
    <n v="496"/>
    <x v="0"/>
    <s v="Accepted"/>
    <n v="495.6"/>
    <n v="0"/>
    <s v="31-01-2026"/>
    <m/>
    <x v="9"/>
    <x v="0"/>
  </r>
  <r>
    <s v="WCI26E000304"/>
    <n v="473"/>
    <d v="2025-12-30T00:00:00"/>
    <n v="22192"/>
    <x v="0"/>
    <s v="Accepted"/>
    <n v="22191.559999999998"/>
    <n v="0"/>
    <s v="31-01-2026"/>
    <m/>
    <x v="9"/>
    <x v="0"/>
  </r>
  <r>
    <s v="WCI26E000305"/>
    <n v="474"/>
    <d v="2025-12-30T00:00:00"/>
    <n v="22192"/>
    <x v="0"/>
    <s v="Accepted"/>
    <n v="22191.559999999998"/>
    <n v="0"/>
    <s v="31-01-2026"/>
    <m/>
    <x v="9"/>
    <x v="0"/>
  </r>
  <r>
    <m/>
    <n v="475"/>
    <m/>
    <m/>
    <x v="5"/>
    <e v="#VALUE!"/>
    <s v="NOT FOUND"/>
    <s v="NOT FOUND"/>
    <s v="NOT FOUND"/>
    <s v="HOLD DUE TO PCR"/>
    <x v="4"/>
    <x v="1"/>
  </r>
  <r>
    <m/>
    <n v="476"/>
    <m/>
    <m/>
    <x v="5"/>
    <e v="#VALUE!"/>
    <s v="NOT FOUND"/>
    <s v="NOT FOUND"/>
    <s v="NOT FOUND"/>
    <s v="HOLD FOR APPROVAL"/>
    <x v="4"/>
    <x v="1"/>
  </r>
  <r>
    <s v="WCI26E000306"/>
    <n v="477"/>
    <d v="2025-12-30T00:00:00"/>
    <n v="22192"/>
    <x v="0"/>
    <s v="Accepted"/>
    <n v="22191.559999999998"/>
    <n v="0"/>
    <s v="31-01-2026"/>
    <m/>
    <x v="9"/>
    <x v="0"/>
  </r>
  <r>
    <s v="WCI26E000307"/>
    <n v="478"/>
    <d v="2025-12-30T00:00:00"/>
    <n v="4956"/>
    <x v="0"/>
    <s v="Accepted"/>
    <n v="4956"/>
    <n v="0"/>
    <s v="31-01-2026"/>
    <m/>
    <x v="9"/>
    <x v="0"/>
  </r>
  <r>
    <s v="WCI26E000308"/>
    <n v="479"/>
    <d v="2025-12-30T00:00:00"/>
    <n v="4956"/>
    <x v="0"/>
    <s v="Accepted"/>
    <n v="4956"/>
    <n v="0"/>
    <s v="31-01-2026"/>
    <m/>
    <x v="9"/>
    <x v="0"/>
  </r>
  <r>
    <s v="WCI26E000309"/>
    <n v="480"/>
    <d v="2025-12-30T00:00:00"/>
    <n v="4956"/>
    <x v="0"/>
    <s v="Accepted"/>
    <n v="4956"/>
    <n v="0"/>
    <s v="31-01-2026"/>
    <m/>
    <x v="9"/>
    <x v="0"/>
  </r>
  <r>
    <s v="SCI26E000023"/>
    <m/>
    <d v="2025-12-31T00:00:00"/>
    <n v="4071"/>
    <x v="4"/>
    <s v="Accepted"/>
    <n v="4071"/>
    <n v="0"/>
    <s v="13-Feb-26"/>
    <m/>
    <x v="9"/>
    <x v="0"/>
  </r>
  <r>
    <s v="SCI26E000024"/>
    <m/>
    <d v="2025-12-31T00:00:00"/>
    <n v="4071"/>
    <x v="4"/>
    <s v="Accepted"/>
    <n v="4071"/>
    <n v="0"/>
    <s v="13-Feb-26"/>
    <m/>
    <x v="9"/>
    <x v="0"/>
  </r>
  <r>
    <s v="SCI26E000025"/>
    <m/>
    <d v="2025-12-31T00:00:00"/>
    <n v="20532"/>
    <x v="4"/>
    <s v="Accepted"/>
    <n v="20532"/>
    <n v="0"/>
    <s v="13-Feb-26"/>
    <m/>
    <x v="9"/>
    <x v="0"/>
  </r>
  <r>
    <s v="SCI26E000026"/>
    <m/>
    <d v="2025-12-31T00:00:00"/>
    <n v="186794"/>
    <x v="3"/>
    <s v="Accepted"/>
    <n v="186794"/>
    <n v="9390"/>
    <s v="12-Feb-26"/>
    <m/>
    <x v="9"/>
    <x v="0"/>
  </r>
  <r>
    <s v="SCI26D000003"/>
    <m/>
    <d v="2025-12-31T00:00:00"/>
    <n v="1475"/>
    <x v="3"/>
    <s v="Accepted"/>
    <n v="1475"/>
    <n v="1250"/>
    <s v="12-Feb-26"/>
    <m/>
    <x v="9"/>
    <x v="0"/>
  </r>
  <r>
    <s v="SCI26D000004"/>
    <m/>
    <d v="2025-12-31T00:00:00"/>
    <n v="1475"/>
    <x v="3"/>
    <s v="Accepted"/>
    <n v="1475"/>
    <n v="0"/>
    <s v="12-Feb-26"/>
    <m/>
    <x v="9"/>
    <x v="0"/>
  </r>
  <r>
    <s v="WCI26E000310"/>
    <m/>
    <d v="2026-01-29T00:00:00"/>
    <n v="103"/>
    <x v="0"/>
    <s v="Accepted"/>
    <n v="103.25"/>
    <n v="0"/>
    <s v="27-02-2026"/>
    <m/>
    <x v="4"/>
    <x v="2"/>
  </r>
  <r>
    <s v="WCI26E000311"/>
    <m/>
    <d v="2026-01-29T00:00:00"/>
    <n v="103"/>
    <x v="0"/>
    <s v="Accepted"/>
    <n v="103.25"/>
    <n v="0"/>
    <s v="27-02-2026"/>
    <m/>
    <x v="4"/>
    <x v="2"/>
  </r>
  <r>
    <s v="WCI26E000312"/>
    <m/>
    <d v="2026-01-29T00:00:00"/>
    <n v="103"/>
    <x v="0"/>
    <s v="Accepted"/>
    <n v="103.25"/>
    <n v="0"/>
    <s v="27-02-2026"/>
    <m/>
    <x v="4"/>
    <x v="2"/>
  </r>
  <r>
    <s v="WCI26E000313"/>
    <m/>
    <d v="2026-01-29T00:00:00"/>
    <n v="103"/>
    <x v="0"/>
    <s v="Accepted"/>
    <n v="103.25"/>
    <n v="0"/>
    <s v="27-02-2026"/>
    <m/>
    <x v="4"/>
    <x v="2"/>
  </r>
  <r>
    <s v="WCI26E000314"/>
    <m/>
    <d v="2026-01-29T00:00:00"/>
    <n v="103"/>
    <x v="0"/>
    <s v="Accepted"/>
    <n v="103.25"/>
    <n v="0"/>
    <s v="27-02-2026"/>
    <m/>
    <x v="4"/>
    <x v="2"/>
  </r>
  <r>
    <s v="WCI26E000315"/>
    <m/>
    <d v="2026-01-29T00:00:00"/>
    <n v="103"/>
    <x v="0"/>
    <s v="Accepted"/>
    <n v="103.25"/>
    <n v="0"/>
    <s v="27-02-2026"/>
    <m/>
    <x v="4"/>
    <x v="2"/>
  </r>
  <r>
    <s v="WCI26E000316"/>
    <m/>
    <d v="2026-01-29T00:00:00"/>
    <n v="103"/>
    <x v="0"/>
    <s v="Accepted"/>
    <n v="103.25"/>
    <n v="0"/>
    <s v="27-02-2026"/>
    <m/>
    <x v="4"/>
    <x v="2"/>
  </r>
  <r>
    <s v="WCI26E000317"/>
    <m/>
    <d v="2026-01-29T00:00:00"/>
    <n v="103"/>
    <x v="0"/>
    <s v="Accepted"/>
    <n v="103.25"/>
    <n v="0"/>
    <s v="27-02-2026"/>
    <m/>
    <x v="4"/>
    <x v="2"/>
  </r>
  <r>
    <s v="WCI26E000318"/>
    <m/>
    <d v="2026-01-29T00:00:00"/>
    <n v="103"/>
    <x v="0"/>
    <e v="#VALUE!"/>
    <s v="NOT FOUND"/>
    <s v="NOT FOUND"/>
    <s v="NOT FOUND"/>
    <m/>
    <x v="4"/>
    <x v="2"/>
  </r>
  <r>
    <s v="WCI26E000319"/>
    <m/>
    <d v="2026-01-29T00:00:00"/>
    <n v="103"/>
    <x v="0"/>
    <e v="#VALUE!"/>
    <s v="NOT FOUND"/>
    <s v="NOT FOUND"/>
    <s v="NOT FOUND"/>
    <m/>
    <x v="4"/>
    <x v="2"/>
  </r>
  <r>
    <s v="WCI26E000320"/>
    <m/>
    <d v="2026-01-29T00:00:00"/>
    <n v="103"/>
    <x v="0"/>
    <e v="#VALUE!"/>
    <s v="NOT FOUND"/>
    <s v="NOT FOUND"/>
    <s v="NOT FOUND"/>
    <m/>
    <x v="4"/>
    <x v="2"/>
  </r>
  <r>
    <s v="WCI26E000321"/>
    <m/>
    <d v="2026-01-29T00:00:00"/>
    <n v="103"/>
    <x v="0"/>
    <e v="#VALUE!"/>
    <s v="NOT FOUND"/>
    <s v="NOT FOUND"/>
    <s v="NOT FOUND"/>
    <m/>
    <x v="4"/>
    <x v="2"/>
  </r>
  <r>
    <s v="WCI26E000322"/>
    <m/>
    <d v="2026-01-29T00:00:00"/>
    <n v="103"/>
    <x v="0"/>
    <s v="Accepted"/>
    <n v="103.25"/>
    <n v="0"/>
    <s v="27-02-2026"/>
    <m/>
    <x v="4"/>
    <x v="2"/>
  </r>
  <r>
    <s v="WCI26E000323"/>
    <m/>
    <d v="2026-01-29T00:00:00"/>
    <n v="103"/>
    <x v="0"/>
    <s v="Accepted"/>
    <n v="103.25"/>
    <n v="0"/>
    <s v="27-02-2026"/>
    <m/>
    <x v="4"/>
    <x v="2"/>
  </r>
  <r>
    <s v="WCI26E000324"/>
    <m/>
    <d v="2026-01-29T00:00:00"/>
    <n v="103"/>
    <x v="0"/>
    <s v="Accepted"/>
    <n v="103.25"/>
    <n v="0"/>
    <s v="27-02-2026"/>
    <m/>
    <x v="4"/>
    <x v="2"/>
  </r>
  <r>
    <s v="WCI26E000325"/>
    <m/>
    <d v="2026-01-29T00:00:00"/>
    <n v="103"/>
    <x v="0"/>
    <e v="#VALUE!"/>
    <s v="NOT FOUND"/>
    <s v="NOT FOUND"/>
    <s v="NOT FOUND"/>
    <m/>
    <x v="4"/>
    <x v="2"/>
  </r>
  <r>
    <s v="WCI26E000326"/>
    <m/>
    <d v="2026-01-29T00:00:00"/>
    <n v="103"/>
    <x v="0"/>
    <s v="Accepted"/>
    <n v="103.25"/>
    <n v="0"/>
    <s v="27-02-2026"/>
    <m/>
    <x v="4"/>
    <x v="2"/>
  </r>
  <r>
    <s v="WCI26E000327"/>
    <m/>
    <d v="2026-01-29T00:00:00"/>
    <n v="103"/>
    <x v="0"/>
    <s v="Accepted"/>
    <n v="103.25"/>
    <n v="0"/>
    <s v="27-02-2026"/>
    <m/>
    <x v="4"/>
    <x v="2"/>
  </r>
  <r>
    <s v="WCI26E000328"/>
    <m/>
    <d v="2026-01-29T00:00:00"/>
    <n v="103"/>
    <x v="0"/>
    <s v="Accepted"/>
    <n v="103.25"/>
    <n v="0"/>
    <s v="27-02-2026"/>
    <m/>
    <x v="4"/>
    <x v="2"/>
  </r>
  <r>
    <s v="WCI26E000329"/>
    <m/>
    <d v="2026-01-29T00:00:00"/>
    <n v="103"/>
    <x v="0"/>
    <s v="Accepted"/>
    <n v="103.25"/>
    <n v="0"/>
    <s v="27-02-2026"/>
    <m/>
    <x v="4"/>
    <x v="2"/>
  </r>
  <r>
    <s v="WCI26E000330"/>
    <m/>
    <d v="2026-01-29T00:00:00"/>
    <n v="103"/>
    <x v="0"/>
    <s v="Accepted"/>
    <n v="103.25"/>
    <n v="0"/>
    <s v="27-02-2026"/>
    <m/>
    <x v="4"/>
    <x v="2"/>
  </r>
  <r>
    <s v="WCI26E000331"/>
    <m/>
    <d v="2026-01-29T00:00:00"/>
    <n v="103"/>
    <x v="0"/>
    <s v="Accepted"/>
    <n v="103.25"/>
    <n v="0"/>
    <s v="27-02-2026"/>
    <m/>
    <x v="4"/>
    <x v="2"/>
  </r>
  <r>
    <s v="WCI26E000332"/>
    <m/>
    <d v="2026-01-29T00:00:00"/>
    <n v="103"/>
    <x v="0"/>
    <s v="Accepted"/>
    <n v="103.25"/>
    <n v="0"/>
    <s v="27-02-2026"/>
    <m/>
    <x v="4"/>
    <x v="2"/>
  </r>
  <r>
    <s v="WCI26E000333"/>
    <m/>
    <d v="2026-01-29T00:00:00"/>
    <n v="103"/>
    <x v="0"/>
    <s v="Accepted"/>
    <n v="103.25"/>
    <n v="0"/>
    <s v="27-02-2026"/>
    <m/>
    <x v="4"/>
    <x v="2"/>
  </r>
  <r>
    <s v="WCI26E000334"/>
    <m/>
    <d v="2026-01-29T00:00:00"/>
    <n v="103"/>
    <x v="0"/>
    <s v="Accepted"/>
    <n v="103.25"/>
    <n v="0"/>
    <s v="27-02-2026"/>
    <m/>
    <x v="4"/>
    <x v="2"/>
  </r>
  <r>
    <s v="WCI26E000335"/>
    <m/>
    <d v="2026-01-29T00:00:00"/>
    <n v="103"/>
    <x v="0"/>
    <s v="Accepted"/>
    <n v="103.25"/>
    <n v="0"/>
    <s v="27-02-2026"/>
    <m/>
    <x v="4"/>
    <x v="2"/>
  </r>
  <r>
    <s v="WCI26E000336"/>
    <m/>
    <d v="2026-01-29T00:00:00"/>
    <n v="103"/>
    <x v="0"/>
    <s v="Accepted"/>
    <n v="103.25"/>
    <n v="0"/>
    <s v="27-02-2026"/>
    <m/>
    <x v="4"/>
    <x v="2"/>
  </r>
  <r>
    <s v="WCI26E000337"/>
    <m/>
    <d v="2026-01-29T00:00:00"/>
    <n v="103"/>
    <x v="0"/>
    <s v="Accepted"/>
    <n v="103.25"/>
    <n v="0"/>
    <s v="27-02-2026"/>
    <m/>
    <x v="4"/>
    <x v="2"/>
  </r>
  <r>
    <s v="WCI26E000338"/>
    <m/>
    <d v="2026-01-29T00:00:00"/>
    <n v="103"/>
    <x v="0"/>
    <s v="Accepted"/>
    <n v="103.25"/>
    <n v="0"/>
    <s v="27-02-2026"/>
    <m/>
    <x v="4"/>
    <x v="2"/>
  </r>
  <r>
    <s v="WCI26E000339"/>
    <m/>
    <d v="2026-01-29T00:00:00"/>
    <n v="103"/>
    <x v="0"/>
    <s v="Accepted"/>
    <n v="103.25"/>
    <n v="0"/>
    <s v="27-02-2026"/>
    <m/>
    <x v="4"/>
    <x v="2"/>
  </r>
  <r>
    <s v="WCI26E000340"/>
    <m/>
    <d v="2026-01-29T00:00:00"/>
    <n v="103"/>
    <x v="0"/>
    <s v="Accepted"/>
    <n v="103.25"/>
    <n v="0"/>
    <s v="27-02-2026"/>
    <m/>
    <x v="4"/>
    <x v="2"/>
  </r>
  <r>
    <s v="WCI26E000341"/>
    <m/>
    <d v="2026-01-29T00:00:00"/>
    <n v="103"/>
    <x v="0"/>
    <e v="#VALUE!"/>
    <s v="NOT FOUND"/>
    <s v="NOT FOUND"/>
    <s v="NOT FOUND"/>
    <m/>
    <x v="4"/>
    <x v="2"/>
  </r>
  <r>
    <s v="WCI26E000342"/>
    <m/>
    <d v="2026-01-29T00:00:00"/>
    <n v="103"/>
    <x v="0"/>
    <e v="#VALUE!"/>
    <s v="NOT FOUND"/>
    <s v="NOT FOUND"/>
    <s v="NOT FOUND"/>
    <m/>
    <x v="4"/>
    <x v="2"/>
  </r>
  <r>
    <s v="WCI26E000343"/>
    <m/>
    <d v="2026-01-29T00:00:00"/>
    <n v="103"/>
    <x v="0"/>
    <s v="Accepted"/>
    <n v="103.25"/>
    <n v="0"/>
    <s v="27-02-2026"/>
    <m/>
    <x v="4"/>
    <x v="2"/>
  </r>
  <r>
    <s v="WCI26E000344"/>
    <m/>
    <d v="2026-01-29T00:00:00"/>
    <n v="103"/>
    <x v="0"/>
    <s v="Accepted"/>
    <n v="103.25"/>
    <n v="0"/>
    <s v="27-02-2026"/>
    <m/>
    <x v="4"/>
    <x v="2"/>
  </r>
  <r>
    <s v="WCI26E000345"/>
    <m/>
    <d v="2026-01-29T00:00:00"/>
    <n v="103"/>
    <x v="0"/>
    <s v="Accepted"/>
    <n v="103.25"/>
    <n v="0"/>
    <s v="27-02-2026"/>
    <m/>
    <x v="4"/>
    <x v="2"/>
  </r>
  <r>
    <s v="WCI26E000346"/>
    <m/>
    <d v="2026-01-29T00:00:00"/>
    <n v="103"/>
    <x v="0"/>
    <s v="Accepted"/>
    <n v="103.25"/>
    <n v="0"/>
    <s v="27-02-2026"/>
    <m/>
    <x v="4"/>
    <x v="2"/>
  </r>
  <r>
    <s v="WCI26E000347"/>
    <m/>
    <d v="2026-01-29T00:00:00"/>
    <n v="103"/>
    <x v="0"/>
    <s v="Accepted"/>
    <n v="103.25"/>
    <n v="0"/>
    <s v="27-02-2026"/>
    <m/>
    <x v="4"/>
    <x v="2"/>
  </r>
  <r>
    <s v="WCI26E000348"/>
    <m/>
    <d v="2026-01-29T00:00:00"/>
    <n v="103"/>
    <x v="0"/>
    <s v="Accepted"/>
    <n v="103.25"/>
    <n v="0"/>
    <s v="27-02-2026"/>
    <m/>
    <x v="4"/>
    <x v="2"/>
  </r>
  <r>
    <s v="WCI26E000349"/>
    <m/>
    <d v="2026-01-29T00:00:00"/>
    <n v="103"/>
    <x v="0"/>
    <s v="Accepted"/>
    <n v="103.25"/>
    <n v="0"/>
    <s v="27-02-2026"/>
    <m/>
    <x v="4"/>
    <x v="2"/>
  </r>
  <r>
    <s v="WCI26E000350"/>
    <m/>
    <d v="2026-01-29T00:00:00"/>
    <n v="103"/>
    <x v="0"/>
    <s v="Accepted"/>
    <n v="103.25"/>
    <n v="0"/>
    <s v="27-02-2026"/>
    <m/>
    <x v="4"/>
    <x v="2"/>
  </r>
  <r>
    <s v="WCI26E000351"/>
    <m/>
    <d v="2026-01-29T00:00:00"/>
    <n v="103"/>
    <x v="0"/>
    <s v="Accepted"/>
    <n v="103.25"/>
    <n v="0"/>
    <s v="27-02-2026"/>
    <m/>
    <x v="4"/>
    <x v="2"/>
  </r>
  <r>
    <s v="WCI26E000352"/>
    <m/>
    <d v="2026-01-29T00:00:00"/>
    <n v="103"/>
    <x v="0"/>
    <e v="#VALUE!"/>
    <s v="NOT FOUND"/>
    <s v="NOT FOUND"/>
    <s v="NOT FOUND"/>
    <m/>
    <x v="4"/>
    <x v="2"/>
  </r>
  <r>
    <s v="WCI26E000353"/>
    <m/>
    <d v="2026-01-29T00:00:00"/>
    <n v="103"/>
    <x v="0"/>
    <e v="#VALUE!"/>
    <s v="NOT FOUND"/>
    <s v="NOT FOUND"/>
    <s v="NOT FOUND"/>
    <m/>
    <x v="4"/>
    <x v="2"/>
  </r>
  <r>
    <s v="WCI26E000354"/>
    <m/>
    <d v="2026-01-29T00:00:00"/>
    <n v="103"/>
    <x v="0"/>
    <e v="#VALUE!"/>
    <s v="NOT FOUND"/>
    <s v="NOT FOUND"/>
    <s v="NOT FOUND"/>
    <m/>
    <x v="4"/>
    <x v="2"/>
  </r>
  <r>
    <s v="WCI26E000355"/>
    <m/>
    <d v="2026-01-29T00:00:00"/>
    <n v="103"/>
    <x v="0"/>
    <e v="#VALUE!"/>
    <s v="NOT FOUND"/>
    <s v="NOT FOUND"/>
    <s v="NOT FOUND"/>
    <m/>
    <x v="4"/>
    <x v="2"/>
  </r>
  <r>
    <s v="WCI26E000356"/>
    <m/>
    <d v="2026-01-29T00:00:00"/>
    <n v="103"/>
    <x v="0"/>
    <e v="#VALUE!"/>
    <s v="NOT FOUND"/>
    <s v="NOT FOUND"/>
    <s v="NOT FOUND"/>
    <m/>
    <x v="4"/>
    <x v="2"/>
  </r>
  <r>
    <s v="WCI26E000357"/>
    <m/>
    <d v="2026-01-29T00:00:00"/>
    <n v="103"/>
    <x v="0"/>
    <e v="#VALUE!"/>
    <s v="NOT FOUND"/>
    <s v="NOT FOUND"/>
    <s v="NOT FOUND"/>
    <m/>
    <x v="4"/>
    <x v="2"/>
  </r>
  <r>
    <s v="WCI26E000358"/>
    <m/>
    <d v="2026-01-29T00:00:00"/>
    <n v="103"/>
    <x v="0"/>
    <e v="#VALUE!"/>
    <s v="NOT FOUND"/>
    <s v="NOT FOUND"/>
    <s v="NOT FOUND"/>
    <m/>
    <x v="4"/>
    <x v="2"/>
  </r>
  <r>
    <s v="WCI26E000359"/>
    <m/>
    <d v="2026-01-29T00:00:00"/>
    <n v="103"/>
    <x v="0"/>
    <e v="#VALUE!"/>
    <s v="NOT FOUND"/>
    <s v="NOT FOUND"/>
    <s v="NOT FOUND"/>
    <m/>
    <x v="4"/>
    <x v="2"/>
  </r>
  <r>
    <s v="WCI26E000360"/>
    <m/>
    <d v="2026-01-29T00:00:00"/>
    <n v="103"/>
    <x v="0"/>
    <e v="#VALUE!"/>
    <s v="NOT FOUND"/>
    <s v="NOT FOUND"/>
    <s v="NOT FOUND"/>
    <m/>
    <x v="4"/>
    <x v="2"/>
  </r>
  <r>
    <s v="WCI26E000361"/>
    <m/>
    <d v="2026-01-29T00:00:00"/>
    <n v="103"/>
    <x v="0"/>
    <s v="Accepted"/>
    <n v="103.25"/>
    <n v="0"/>
    <s v="27-02-2026"/>
    <m/>
    <x v="4"/>
    <x v="2"/>
  </r>
  <r>
    <s v="WCI26E000362"/>
    <m/>
    <d v="2026-01-29T00:00:00"/>
    <n v="103"/>
    <x v="0"/>
    <s v="Accepted"/>
    <n v="103.25"/>
    <n v="0"/>
    <s v="27-02-2026"/>
    <m/>
    <x v="4"/>
    <x v="2"/>
  </r>
  <r>
    <s v="WCI26E000363"/>
    <m/>
    <d v="2026-01-29T00:00:00"/>
    <n v="103"/>
    <x v="0"/>
    <s v="Accepted"/>
    <n v="103.25"/>
    <n v="0"/>
    <s v="27-02-2026"/>
    <m/>
    <x v="4"/>
    <x v="2"/>
  </r>
  <r>
    <s v="WCI26E000364"/>
    <m/>
    <d v="2026-01-29T00:00:00"/>
    <n v="103"/>
    <x v="0"/>
    <s v="Accepted"/>
    <n v="103.25"/>
    <n v="0"/>
    <s v="27-02-2026"/>
    <m/>
    <x v="4"/>
    <x v="2"/>
  </r>
  <r>
    <s v="WCI26E000365"/>
    <m/>
    <d v="2026-01-29T00:00:00"/>
    <n v="103"/>
    <x v="0"/>
    <s v="Accepted"/>
    <n v="103.25"/>
    <n v="0"/>
    <s v="27-02-2026"/>
    <m/>
    <x v="4"/>
    <x v="2"/>
  </r>
  <r>
    <s v="WCI26E000366"/>
    <m/>
    <d v="2026-01-29T00:00:00"/>
    <n v="103"/>
    <x v="0"/>
    <s v="Accepted"/>
    <n v="103.25"/>
    <n v="0"/>
    <s v="27-02-2026"/>
    <m/>
    <x v="4"/>
    <x v="2"/>
  </r>
  <r>
    <s v="WCI26E000367"/>
    <m/>
    <d v="2026-01-29T00:00:00"/>
    <n v="103"/>
    <x v="0"/>
    <s v="Accepted"/>
    <n v="103.25"/>
    <n v="0"/>
    <s v="27-02-2026"/>
    <m/>
    <x v="4"/>
    <x v="2"/>
  </r>
  <r>
    <s v="WCI26E000368"/>
    <m/>
    <d v="2026-01-29T00:00:00"/>
    <n v="103"/>
    <x v="0"/>
    <e v="#VALUE!"/>
    <s v="NOT FOUND"/>
    <s v="NOT FOUND"/>
    <s v="NOT FOUND"/>
    <m/>
    <x v="4"/>
    <x v="2"/>
  </r>
  <r>
    <s v="WCI26E000369"/>
    <m/>
    <d v="2026-01-29T00:00:00"/>
    <n v="103"/>
    <x v="0"/>
    <s v="Accepted"/>
    <n v="103.25"/>
    <n v="0"/>
    <s v="27-02-2026"/>
    <m/>
    <x v="4"/>
    <x v="2"/>
  </r>
  <r>
    <s v="WCI26E000370"/>
    <m/>
    <d v="2026-01-29T00:00:00"/>
    <n v="103"/>
    <x v="0"/>
    <s v="Accepted"/>
    <n v="103.25"/>
    <n v="0"/>
    <s v="27-02-2026"/>
    <m/>
    <x v="4"/>
    <x v="2"/>
  </r>
  <r>
    <s v="WCI26E000371"/>
    <m/>
    <d v="2026-01-29T00:00:00"/>
    <n v="103"/>
    <x v="0"/>
    <s v="Accepted"/>
    <n v="103.25"/>
    <n v="0"/>
    <s v="27-02-2026"/>
    <m/>
    <x v="4"/>
    <x v="2"/>
  </r>
  <r>
    <s v="WCI26E000372"/>
    <m/>
    <d v="2026-01-29T00:00:00"/>
    <n v="103"/>
    <x v="0"/>
    <s v="Accepted"/>
    <n v="103.25"/>
    <n v="0"/>
    <s v="27-02-2026"/>
    <m/>
    <x v="4"/>
    <x v="2"/>
  </r>
  <r>
    <s v="WCI26E000373"/>
    <m/>
    <d v="2026-01-29T00:00:00"/>
    <n v="103"/>
    <x v="0"/>
    <s v="Accepted"/>
    <n v="103.25"/>
    <n v="0"/>
    <s v="27-02-2026"/>
    <m/>
    <x v="4"/>
    <x v="2"/>
  </r>
  <r>
    <s v="WCI26E000374"/>
    <m/>
    <d v="2026-01-29T00:00:00"/>
    <n v="103"/>
    <x v="0"/>
    <s v="Accepted"/>
    <n v="103.25"/>
    <n v="0"/>
    <s v="27-02-2026"/>
    <m/>
    <x v="4"/>
    <x v="2"/>
  </r>
  <r>
    <s v="WCI26E000375"/>
    <m/>
    <d v="2026-01-29T00:00:00"/>
    <n v="103"/>
    <x v="0"/>
    <s v="Accepted"/>
    <n v="103.25"/>
    <n v="0"/>
    <s v="27-02-2026"/>
    <m/>
    <x v="4"/>
    <x v="2"/>
  </r>
  <r>
    <s v="WCI26E000376"/>
    <m/>
    <d v="2026-01-29T00:00:00"/>
    <n v="103"/>
    <x v="0"/>
    <s v="Accepted"/>
    <n v="103.25"/>
    <n v="0"/>
    <s v="27-02-2026"/>
    <m/>
    <x v="4"/>
    <x v="2"/>
  </r>
  <r>
    <s v="WCI26E000377"/>
    <m/>
    <d v="2026-01-29T00:00:00"/>
    <n v="103"/>
    <x v="0"/>
    <s v="Accepted"/>
    <n v="103.25"/>
    <n v="0"/>
    <s v="27-02-2026"/>
    <m/>
    <x v="4"/>
    <x v="2"/>
  </r>
  <r>
    <s v="WCI26E000378"/>
    <m/>
    <d v="2026-01-29T00:00:00"/>
    <n v="103"/>
    <x v="0"/>
    <s v="Accepted"/>
    <n v="103.25"/>
    <n v="0"/>
    <s v="27-02-2026"/>
    <m/>
    <x v="4"/>
    <x v="2"/>
  </r>
  <r>
    <s v="WCI26E000379"/>
    <m/>
    <d v="2026-01-29T00:00:00"/>
    <n v="103"/>
    <x v="0"/>
    <s v="Accepted"/>
    <n v="103.25"/>
    <n v="0"/>
    <s v="27-02-2026"/>
    <m/>
    <x v="4"/>
    <x v="2"/>
  </r>
  <r>
    <s v="WCI26E000380"/>
    <m/>
    <d v="2026-01-29T00:00:00"/>
    <n v="103"/>
    <x v="0"/>
    <s v="Accepted"/>
    <n v="103.25"/>
    <n v="0"/>
    <s v="27-02-2026"/>
    <m/>
    <x v="4"/>
    <x v="2"/>
  </r>
  <r>
    <s v="WCI26E000381"/>
    <m/>
    <d v="2026-01-29T00:00:00"/>
    <n v="103"/>
    <x v="0"/>
    <s v="Accepted"/>
    <n v="103.25"/>
    <n v="0"/>
    <s v="27-02-2026"/>
    <m/>
    <x v="4"/>
    <x v="2"/>
  </r>
  <r>
    <s v="WCI26E000382"/>
    <m/>
    <d v="2026-01-29T00:00:00"/>
    <n v="103"/>
    <x v="0"/>
    <s v="Accepted"/>
    <n v="103.25"/>
    <n v="0"/>
    <s v="27-02-2026"/>
    <m/>
    <x v="4"/>
    <x v="2"/>
  </r>
  <r>
    <s v="WCI26E000383"/>
    <m/>
    <d v="2026-01-29T00:00:00"/>
    <n v="103"/>
    <x v="0"/>
    <s v="Accepted"/>
    <n v="103.25"/>
    <n v="0"/>
    <s v="27-02-2026"/>
    <m/>
    <x v="4"/>
    <x v="2"/>
  </r>
  <r>
    <s v="WCI26E000384"/>
    <m/>
    <d v="2026-01-29T00:00:00"/>
    <n v="103"/>
    <x v="0"/>
    <s v="Accepted"/>
    <n v="103.25"/>
    <n v="0"/>
    <s v="27-02-2026"/>
    <m/>
    <x v="4"/>
    <x v="2"/>
  </r>
  <r>
    <s v="WCI26E000385"/>
    <m/>
    <d v="2026-01-29T00:00:00"/>
    <n v="103"/>
    <x v="0"/>
    <s v="Accepted"/>
    <n v="103.25"/>
    <n v="0"/>
    <s v="27-02-2026"/>
    <m/>
    <x v="4"/>
    <x v="2"/>
  </r>
  <r>
    <s v="WCI26E000386"/>
    <m/>
    <d v="2026-01-29T00:00:00"/>
    <n v="103"/>
    <x v="0"/>
    <s v="Accepted"/>
    <n v="103.25"/>
    <n v="0"/>
    <s v="27-02-2026"/>
    <m/>
    <x v="4"/>
    <x v="2"/>
  </r>
  <r>
    <s v="WCI26E000387"/>
    <m/>
    <d v="2026-01-29T00:00:00"/>
    <n v="103"/>
    <x v="0"/>
    <s v="Accepted"/>
    <n v="103.25"/>
    <n v="0"/>
    <s v="27-02-2026"/>
    <m/>
    <x v="4"/>
    <x v="2"/>
  </r>
  <r>
    <m/>
    <n v="481"/>
    <m/>
    <m/>
    <x v="5"/>
    <s v="Accepted"/>
    <m/>
    <m/>
    <m/>
    <s v="HOLD FOR APPROVAL"/>
    <x v="4"/>
    <x v="1"/>
  </r>
  <r>
    <m/>
    <n v="482"/>
    <m/>
    <m/>
    <x v="5"/>
    <s v="Accepted"/>
    <m/>
    <m/>
    <m/>
    <s v="HOLD FOR APPROVAL"/>
    <x v="4"/>
    <x v="1"/>
  </r>
  <r>
    <m/>
    <n v="483"/>
    <m/>
    <m/>
    <x v="5"/>
    <s v="Accepted"/>
    <m/>
    <m/>
    <m/>
    <s v="HOLD FOR APPROVAL"/>
    <x v="4"/>
    <x v="1"/>
  </r>
  <r>
    <s v="WCI26E000388"/>
    <n v="484"/>
    <d v="2026-01-29T00:00:00"/>
    <n v="4956"/>
    <x v="0"/>
    <s v="Accepted"/>
    <n v="4956"/>
    <n v="0"/>
    <s v="27-02-2026"/>
    <m/>
    <x v="4"/>
    <x v="2"/>
  </r>
  <r>
    <m/>
    <n v="485"/>
    <m/>
    <m/>
    <x v="5"/>
    <s v="Accepted"/>
    <m/>
    <m/>
    <m/>
    <s v="HOLD FOR APPROVAL"/>
    <x v="4"/>
    <x v="1"/>
  </r>
  <r>
    <m/>
    <n v="486"/>
    <m/>
    <m/>
    <x v="5"/>
    <s v="Accepted"/>
    <m/>
    <m/>
    <m/>
    <s v="HOLD FOR APPROVAL"/>
    <x v="4"/>
    <x v="1"/>
  </r>
  <r>
    <s v="CANCELL"/>
    <n v="487"/>
    <m/>
    <m/>
    <x v="7"/>
    <s v="Accepted"/>
    <m/>
    <m/>
    <m/>
    <m/>
    <x v="4"/>
    <x v="1"/>
  </r>
  <r>
    <m/>
    <n v="488"/>
    <m/>
    <m/>
    <x v="5"/>
    <s v="Accepted"/>
    <m/>
    <m/>
    <m/>
    <s v="HOLD FOR APPROVAL"/>
    <x v="4"/>
    <x v="1"/>
  </r>
  <r>
    <m/>
    <n v="489"/>
    <m/>
    <m/>
    <x v="5"/>
    <s v="Accepted"/>
    <m/>
    <m/>
    <m/>
    <s v="HOLD FOR APPROVAL"/>
    <x v="4"/>
    <x v="1"/>
  </r>
  <r>
    <s v="WCI26E000383"/>
    <m/>
    <d v="2026-01-29T00:00:00"/>
    <n v="103"/>
    <x v="0"/>
    <s v="Accepted"/>
    <n v="103.25"/>
    <n v="0"/>
    <s v="27-02-2026"/>
    <m/>
    <x v="4"/>
    <x v="2"/>
  </r>
  <r>
    <s v="WCI26E000384"/>
    <m/>
    <d v="2026-01-29T00:00:00"/>
    <n v="103"/>
    <x v="0"/>
    <s v="Accepted"/>
    <n v="103.25"/>
    <n v="0"/>
    <s v="27-02-2026"/>
    <m/>
    <x v="4"/>
    <x v="2"/>
  </r>
  <r>
    <s v="WCI26E000385"/>
    <m/>
    <d v="2026-01-29T00:00:00"/>
    <n v="103"/>
    <x v="0"/>
    <s v="Accepted"/>
    <n v="103.25"/>
    <n v="0"/>
    <s v="27-02-2026"/>
    <m/>
    <x v="4"/>
    <x v="2"/>
  </r>
  <r>
    <s v="WCI26E000389"/>
    <n v="490"/>
    <d v="2026-01-29T00:00:00"/>
    <n v="22192"/>
    <x v="0"/>
    <s v="Accepted"/>
    <n v="22191.559999999998"/>
    <n v="0"/>
    <s v="(blank)"/>
    <m/>
    <x v="4"/>
    <x v="2"/>
  </r>
  <r>
    <s v="WCI26E000390"/>
    <n v="491"/>
    <d v="2026-01-29T00:00:00"/>
    <n v="4956"/>
    <x v="0"/>
    <s v="Accepted"/>
    <n v="4956"/>
    <n v="0"/>
    <s v="27-02-2026"/>
    <m/>
    <x v="4"/>
    <x v="2"/>
  </r>
  <r>
    <s v="WCI26E000391"/>
    <n v="492"/>
    <d v="2026-01-29T00:00:00"/>
    <n v="4956"/>
    <x v="0"/>
    <s v="Accepted"/>
    <n v="4956"/>
    <n v="0"/>
    <s v="27-02-2026"/>
    <m/>
    <x v="4"/>
    <x v="2"/>
  </r>
  <r>
    <s v="MWCI26E00005"/>
    <n v="493"/>
    <d v="2026-01-22T00:00:00"/>
    <n v="3500"/>
    <x v="6"/>
    <e v="#VALUE!"/>
    <s v="NOT FOUND"/>
    <s v="NOT FOUND"/>
    <s v="NOT FOUND"/>
    <m/>
    <x v="4"/>
    <x v="2"/>
  </r>
  <r>
    <m/>
    <n v="494"/>
    <m/>
    <m/>
    <x v="5"/>
    <s v="Accepted"/>
    <m/>
    <m/>
    <m/>
    <s v="HOLD FOR APPROVAL"/>
    <x v="4"/>
    <x v="1"/>
  </r>
  <r>
    <m/>
    <n v="495"/>
    <m/>
    <m/>
    <x v="5"/>
    <s v="Accepted"/>
    <m/>
    <m/>
    <m/>
    <s v="HOLD FOR APPROVAL"/>
    <x v="4"/>
    <x v="1"/>
  </r>
  <r>
    <m/>
    <n v="496"/>
    <m/>
    <m/>
    <x v="5"/>
    <s v="Accepted"/>
    <m/>
    <m/>
    <m/>
    <s v="HOLD FOR APPROVAL"/>
    <x v="4"/>
    <x v="1"/>
  </r>
  <r>
    <s v="MWCI26E00008"/>
    <n v="497"/>
    <d v="2026-01-31T00:00:00"/>
    <n v="5000"/>
    <x v="6"/>
    <e v="#VALUE!"/>
    <s v="NOT FOUND"/>
    <s v="NOT FOUND"/>
    <s v="NOT FOUND"/>
    <m/>
    <x v="4"/>
    <x v="2"/>
  </r>
  <r>
    <m/>
    <n v="498"/>
    <m/>
    <m/>
    <x v="5"/>
    <s v="Accepted"/>
    <m/>
    <m/>
    <m/>
    <s v="HOLD FOR APPROVAL"/>
    <x v="4"/>
    <x v="1"/>
  </r>
  <r>
    <s v="MWCI26E00009"/>
    <n v="499"/>
    <d v="2026-01-31T00:00:00"/>
    <n v="32429"/>
    <x v="6"/>
    <e v="#VALUE!"/>
    <s v="NOT FOUND"/>
    <s v="NOT FOUND"/>
    <s v="NOT FOUND"/>
    <m/>
    <x v="4"/>
    <x v="2"/>
  </r>
  <r>
    <m/>
    <n v="500"/>
    <m/>
    <m/>
    <x v="5"/>
    <s v="Accepted"/>
    <m/>
    <m/>
    <m/>
    <s v="HOLD FOR APPROVAL"/>
    <x v="4"/>
    <x v="1"/>
  </r>
  <r>
    <s v="WCI26E000392"/>
    <m/>
    <d v="2026-01-29T00:00:00"/>
    <n v="103"/>
    <x v="0"/>
    <s v="Accepted"/>
    <n v="103.25"/>
    <n v="0"/>
    <s v="27-02-2026"/>
    <m/>
    <x v="4"/>
    <x v="2"/>
  </r>
  <r>
    <s v="WCI26E000393"/>
    <m/>
    <d v="2026-01-29T00:00:00"/>
    <n v="103"/>
    <x v="0"/>
    <s v="Accepted"/>
    <n v="103.25"/>
    <n v="0"/>
    <s v="27-02-2026"/>
    <m/>
    <x v="4"/>
    <x v="2"/>
  </r>
  <r>
    <s v="WCI26E000394"/>
    <m/>
    <d v="2026-01-29T00:00:00"/>
    <n v="103"/>
    <x v="0"/>
    <s v="Accepted"/>
    <n v="103.25"/>
    <n v="0"/>
    <s v="27-02-2026"/>
    <m/>
    <x v="4"/>
    <x v="2"/>
  </r>
  <r>
    <s v="WCI26E000395"/>
    <m/>
    <d v="2026-01-29T00:00:00"/>
    <n v="103"/>
    <x v="0"/>
    <s v="Accepted"/>
    <n v="103.25"/>
    <n v="0"/>
    <s v="27-02-2026"/>
    <m/>
    <x v="4"/>
    <x v="2"/>
  </r>
  <r>
    <s v="WCI26E000396"/>
    <m/>
    <d v="2026-01-29T00:00:00"/>
    <n v="103"/>
    <x v="0"/>
    <s v="Accepted"/>
    <n v="103.25"/>
    <n v="0"/>
    <s v="27-02-2026"/>
    <m/>
    <x v="4"/>
    <x v="2"/>
  </r>
  <r>
    <s v="WCI26E000397"/>
    <m/>
    <d v="2026-01-29T00:00:00"/>
    <n v="103"/>
    <x v="0"/>
    <s v="Accepted"/>
    <n v="103.25"/>
    <n v="0"/>
    <s v="27-02-2026"/>
    <m/>
    <x v="4"/>
    <x v="2"/>
  </r>
  <r>
    <s v="WCI26E000398"/>
    <m/>
    <d v="2026-01-29T00:00:00"/>
    <n v="103"/>
    <x v="0"/>
    <s v="Accepted"/>
    <n v="103.25"/>
    <n v="0"/>
    <s v="27-02-2026"/>
    <m/>
    <x v="4"/>
    <x v="2"/>
  </r>
  <r>
    <s v="WCI26E000399"/>
    <m/>
    <d v="2026-01-29T00:00:00"/>
    <n v="103"/>
    <x v="0"/>
    <s v="Accepted"/>
    <n v="103.25"/>
    <n v="0"/>
    <s v="27-02-2026"/>
    <m/>
    <x v="4"/>
    <x v="2"/>
  </r>
  <r>
    <s v="WCI26E000400"/>
    <m/>
    <d v="2026-01-29T00:00:00"/>
    <n v="103"/>
    <x v="0"/>
    <s v="Accepted"/>
    <n v="103.25"/>
    <n v="0"/>
    <s v="27-02-2026"/>
    <m/>
    <x v="4"/>
    <x v="2"/>
  </r>
  <r>
    <s v="WCI26E000401"/>
    <m/>
    <d v="2026-01-29T00:00:00"/>
    <n v="103"/>
    <x v="0"/>
    <s v="Accepted"/>
    <n v="103.25"/>
    <n v="0"/>
    <s v="27-02-2026"/>
    <m/>
    <x v="4"/>
    <x v="2"/>
  </r>
  <r>
    <s v="WCI26E000402"/>
    <m/>
    <d v="2026-01-29T00:00:00"/>
    <n v="103"/>
    <x v="0"/>
    <s v="Accepted"/>
    <n v="103.25"/>
    <n v="0"/>
    <s v="27-02-2026"/>
    <m/>
    <x v="4"/>
    <x v="2"/>
  </r>
  <r>
    <s v="WCI26E000403"/>
    <m/>
    <d v="2026-01-29T00:00:00"/>
    <n v="103"/>
    <x v="0"/>
    <s v="Accepted"/>
    <n v="103.25"/>
    <n v="0"/>
    <s v="27-02-2026"/>
    <m/>
    <x v="4"/>
    <x v="2"/>
  </r>
  <r>
    <s v="WCI26E000404"/>
    <m/>
    <d v="2026-01-29T00:00:00"/>
    <n v="103"/>
    <x v="0"/>
    <s v="Accepted"/>
    <n v="103.25"/>
    <n v="0"/>
    <s v="27-02-2026"/>
    <m/>
    <x v="4"/>
    <x v="2"/>
  </r>
  <r>
    <s v="WCI26E000405"/>
    <m/>
    <d v="2026-01-29T00:00:00"/>
    <n v="103"/>
    <x v="0"/>
    <s v="Accepted"/>
    <n v="103.25"/>
    <n v="0"/>
    <s v="27-02-2026"/>
    <m/>
    <x v="4"/>
    <x v="2"/>
  </r>
  <r>
    <s v="WCI26D000003"/>
    <m/>
    <d v="2026-01-29T00:00:00"/>
    <n v="2838"/>
    <x v="0"/>
    <s v="Accepted"/>
    <n v="2837.9"/>
    <n v="0"/>
    <s v="27-02-2026"/>
    <m/>
    <x v="4"/>
    <x v="2"/>
  </r>
  <r>
    <s v="WCI26D000004"/>
    <m/>
    <d v="2026-01-29T00:00:00"/>
    <n v="2070"/>
    <x v="0"/>
    <s v="Accepted"/>
    <n v="2070.4899999999998"/>
    <n v="0"/>
    <s v="27-02-2026"/>
    <m/>
    <x v="4"/>
    <x v="2"/>
  </r>
  <r>
    <s v="SCI26E000027"/>
    <m/>
    <d v="2026-01-31T00:00:00"/>
    <n v="1357"/>
    <x v="4"/>
    <e v="#VALUE!"/>
    <s v="NOT FOUND"/>
    <s v="NOT FOUND"/>
    <s v="NOT FOUND"/>
    <m/>
    <x v="4"/>
    <x v="2"/>
  </r>
  <r>
    <s v="SCI26E000028"/>
    <m/>
    <d v="2026-01-31T00:00:00"/>
    <n v="5428"/>
    <x v="4"/>
    <e v="#VALUE!"/>
    <s v="NOT FOUND"/>
    <s v="NOT FOUND"/>
    <s v="NOT FOUND"/>
    <m/>
    <x v="4"/>
    <x v="2"/>
  </r>
  <r>
    <s v="SCI26E000029"/>
    <m/>
    <d v="2026-01-31T00:00:00"/>
    <n v="22420"/>
    <x v="4"/>
    <e v="#VALUE!"/>
    <s v="NOT FOUND"/>
    <s v="NOT FOUND"/>
    <s v="NOT FOUND"/>
    <m/>
    <x v="4"/>
    <x v="2"/>
  </r>
  <r>
    <s v="SCI26E000030"/>
    <m/>
    <d v="2026-01-31T00:00:00"/>
    <n v="131924"/>
    <x v="3"/>
    <s v="Accepted"/>
    <n v="131924"/>
    <n v="16860"/>
    <s v="27-Feb-26"/>
    <m/>
    <x v="4"/>
    <x v="2"/>
  </r>
  <r>
    <s v="SCI26D000005"/>
    <m/>
    <d v="2026-01-31T00:00:00"/>
    <n v="1239"/>
    <x v="3"/>
    <e v="#VALUE!"/>
    <s v="NOT FOUND"/>
    <s v="NOT FOUND"/>
    <s v="NOT FOUND"/>
    <m/>
    <x v="4"/>
    <x v="2"/>
  </r>
  <r>
    <s v="SCI26D000006"/>
    <m/>
    <d v="2026-01-31T00:00:00"/>
    <n v="1239"/>
    <x v="3"/>
    <e v="#VALUE!"/>
    <s v="NOT FOUND"/>
    <s v="NOT FOUND"/>
    <s v="NOT FOUND"/>
    <m/>
    <x v="4"/>
    <x v="2"/>
  </r>
  <r>
    <s v="SCI26D000007"/>
    <m/>
    <d v="2026-01-31T00:00:00"/>
    <n v="1475"/>
    <x v="3"/>
    <e v="#VALUE!"/>
    <s v="NOT FOUND"/>
    <s v="NOT FOUND"/>
    <s v="NOT FOUND"/>
    <m/>
    <x v="4"/>
    <x v="2"/>
  </r>
  <r>
    <s v="MWCI26E00006"/>
    <s v="EXTRAA CLAIM"/>
    <d v="2026-01-22T00:00:00"/>
    <n v="26997.31"/>
    <x v="6"/>
    <e v="#VALUE!"/>
    <s v="NOT FOUND"/>
    <s v="NOT FOUND"/>
    <s v="NOT FOUND"/>
    <m/>
    <x v="4"/>
    <x v="2"/>
  </r>
  <r>
    <s v="MWCI26E00007"/>
    <s v="EXTRAA CLAIM"/>
    <d v="2026-01-22T00:00:00"/>
    <n v="13444"/>
    <x v="6"/>
    <e v="#VALUE!"/>
    <s v="NOT FOUND"/>
    <s v="NOT FOUND"/>
    <s v="NOT FOUND"/>
    <m/>
    <x v="4"/>
    <x v="2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s v="Accepted"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4"/>
    <x v="1"/>
  </r>
  <r>
    <m/>
    <m/>
    <m/>
    <m/>
    <x v="5"/>
    <m/>
    <m/>
    <m/>
    <m/>
    <m/>
    <x v="11"/>
    <x v="3"/>
  </r>
  <r>
    <m/>
    <m/>
    <m/>
    <m/>
    <x v="5"/>
    <m/>
    <m/>
    <m/>
    <m/>
    <m/>
    <x v="11"/>
    <x v="3"/>
  </r>
  <r>
    <m/>
    <m/>
    <m/>
    <m/>
    <x v="5"/>
    <m/>
    <m/>
    <m/>
    <m/>
    <m/>
    <x v="11"/>
    <x v="3"/>
  </r>
  <r>
    <m/>
    <m/>
    <m/>
    <m/>
    <x v="5"/>
    <m/>
    <m/>
    <m/>
    <m/>
    <m/>
    <x v="11"/>
    <x v="3"/>
  </r>
  <r>
    <m/>
    <m/>
    <m/>
    <m/>
    <x v="5"/>
    <m/>
    <m/>
    <m/>
    <m/>
    <m/>
    <x v="11"/>
    <x v="3"/>
  </r>
  <r>
    <m/>
    <m/>
    <m/>
    <m/>
    <x v="5"/>
    <m/>
    <m/>
    <m/>
    <m/>
    <m/>
    <x v="11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4">
  <r>
    <n v="1007718"/>
    <x v="0"/>
    <s v="27-03-2025"/>
    <n v="7134260110957"/>
    <s v="W25C00007502"/>
    <s v="WAR25C000105"/>
    <s v="01-04-2025"/>
    <x v="0"/>
    <s v="MC1D4DFA0RP104744"/>
    <s v="D72015770"/>
    <s v="TRAX"/>
    <s v="03-07-2024"/>
    <n v="1165"/>
    <s v="04-03-2025"/>
    <n v="58623"/>
    <m/>
    <m/>
    <n v="1"/>
    <s v="B008545002003"/>
    <s v="RADIATOR ASSLY(RFR B"/>
    <n v="1"/>
    <n v="5322.44"/>
    <s v="Accepted"/>
    <m/>
    <s v="-"/>
    <n v="1749467"/>
    <s v="05-06-2025"/>
    <n v="6812.72"/>
    <n v="0"/>
    <m/>
    <m/>
    <n v="6812.72"/>
    <m/>
    <m/>
    <m/>
  </r>
  <r>
    <n v="1007718"/>
    <x v="0"/>
    <s v="27-03-2025"/>
    <n v="7134260110957"/>
    <s v="W25C00007502"/>
    <s v="WAR25C000105"/>
    <s v="01-04-2025"/>
    <x v="0"/>
    <s v="MC1D4DFA0RP104744"/>
    <s v="D72015770"/>
    <s v="TRAX"/>
    <s v="03-07-2024"/>
    <n v="1165"/>
    <s v="04-03-2025"/>
    <n v="58623"/>
    <m/>
    <m/>
    <n v="2"/>
    <s v="ENCOL-6"/>
    <s v="Labour Charges"/>
    <n v="1"/>
    <n v="247.5"/>
    <s v="Accepted"/>
    <m/>
    <s v="-"/>
    <n v="1749467"/>
    <s v="05-06-2025"/>
    <n v="292.05"/>
    <n v="0"/>
    <m/>
    <m/>
    <n v="292.05"/>
    <m/>
    <m/>
    <m/>
  </r>
  <r>
    <n v="1007734"/>
    <x v="1"/>
    <s v="27-03-2025"/>
    <n v="7134260110956"/>
    <s v="W25C00007501"/>
    <s v="WAR25C000104"/>
    <s v="01-04-2025"/>
    <x v="0"/>
    <s v="MC1D4DHA2SP105199"/>
    <s v="D72016528"/>
    <s v="TRAX"/>
    <s v="24-08-2024"/>
    <n v="1165"/>
    <s v="04-03-2025"/>
    <n v="42369"/>
    <m/>
    <m/>
    <n v="1"/>
    <s v="B008545002003"/>
    <s v="RADIATOR ASSLY(RFR B"/>
    <n v="1"/>
    <n v="5322.44"/>
    <s v="Accepted"/>
    <m/>
    <s v="-"/>
    <n v="1749466"/>
    <s v="05-06-2025"/>
    <n v="6812.72"/>
    <n v="0"/>
    <m/>
    <m/>
    <n v="6812.72"/>
    <m/>
    <m/>
    <m/>
  </r>
  <r>
    <n v="1007734"/>
    <x v="1"/>
    <s v="27-03-2025"/>
    <n v="7134260110956"/>
    <s v="W25C00007501"/>
    <s v="WAR25C000104"/>
    <s v="01-04-2025"/>
    <x v="0"/>
    <s v="MC1D4DHA2SP105199"/>
    <s v="D72016528"/>
    <s v="TRAX"/>
    <s v="24-08-2024"/>
    <n v="1165"/>
    <s v="04-03-2025"/>
    <n v="42369"/>
    <m/>
    <m/>
    <n v="2"/>
    <s v="ENCOL-6"/>
    <s v="Labour Charges"/>
    <n v="1"/>
    <n v="247.5"/>
    <s v="Accepted"/>
    <m/>
    <s v="-"/>
    <n v="1749466"/>
    <s v="05-06-2025"/>
    <n v="292.05"/>
    <n v="0"/>
    <m/>
    <m/>
    <n v="292.05"/>
    <m/>
    <m/>
    <m/>
  </r>
  <r>
    <n v="1008722"/>
    <x v="2"/>
    <s v="30-04-2025"/>
    <n v="7134260112212"/>
    <s v="W26C00000808"/>
    <s v="WAR26C000008"/>
    <s v="08-05-2025"/>
    <x v="1"/>
    <s v="MC1E4EHA1SP013740"/>
    <s v="D71060115"/>
    <s v="T-1"/>
    <s v="21-09-2024"/>
    <n v="1165"/>
    <s v="04-03-2025"/>
    <n v="32256"/>
    <m/>
    <m/>
    <n v="1"/>
    <s v="B008624200017"/>
    <s v="PARKING BRAKE ASSY."/>
    <n v="1"/>
    <n v="1436.28"/>
    <s v="Accepted"/>
    <m/>
    <s v="-"/>
    <n v="1750232"/>
    <s v="10-07-2025"/>
    <n v="1838.44"/>
    <n v="0"/>
    <m/>
    <m/>
    <n v="1838.44"/>
    <m/>
    <m/>
    <m/>
  </r>
  <r>
    <n v="1008722"/>
    <x v="2"/>
    <s v="30-04-2025"/>
    <n v="7134260112212"/>
    <s v="W26C00000808"/>
    <s v="WAR26C000008"/>
    <s v="08-05-2025"/>
    <x v="1"/>
    <s v="MC1E4EHA1SP013740"/>
    <s v="D71060115"/>
    <s v="T-1"/>
    <s v="21-09-2024"/>
    <n v="1165"/>
    <s v="04-03-2025"/>
    <n v="32256"/>
    <m/>
    <m/>
    <n v="2"/>
    <s v="BR1201"/>
    <s v="Labour Charges"/>
    <n v="1"/>
    <n v="75"/>
    <s v="Accepted"/>
    <m/>
    <s v="-"/>
    <n v="1750232"/>
    <s v="10-07-2025"/>
    <n v="88.5"/>
    <n v="0"/>
    <m/>
    <m/>
    <n v="88.5"/>
    <m/>
    <m/>
    <m/>
  </r>
  <r>
    <n v="1008965"/>
    <x v="3"/>
    <s v="30-04-2025"/>
    <n v="7134260112223"/>
    <s v="W26C00000816"/>
    <s v="WAR26C000010"/>
    <s v="13-05-2025"/>
    <x v="1"/>
    <s v="MC1E4DBA3RP050768"/>
    <s v="D71047053"/>
    <s v="T-1"/>
    <s v="29-03-2024"/>
    <n v="1165"/>
    <s v="04-03-2025"/>
    <n v="18290"/>
    <m/>
    <m/>
    <n v="1"/>
    <s v="T006865420618"/>
    <s v="TEMPERATURE SENSOR(E"/>
    <n v="1"/>
    <n v="9241.26"/>
    <s v="Accepted"/>
    <m/>
    <s v="-"/>
    <n v="1750233"/>
    <s v="10-07-2025"/>
    <n v="11828.81"/>
    <n v="0"/>
    <m/>
    <m/>
    <n v="11828.81"/>
    <m/>
    <m/>
    <s v="Adblue light on error code P242A-13,P2BA8-00"/>
  </r>
  <r>
    <n v="1008965"/>
    <x v="3"/>
    <s v="30-04-2025"/>
    <n v="7134260112223"/>
    <s v="W26C00000816"/>
    <s v="WAR26C000010"/>
    <s v="13-05-2025"/>
    <x v="1"/>
    <s v="MC1E4DBA3RP050768"/>
    <s v="D71047053"/>
    <s v="T-1"/>
    <s v="29-03-2024"/>
    <n v="1165"/>
    <s v="04-03-2025"/>
    <n v="18290"/>
    <m/>
    <m/>
    <n v="2"/>
    <s v="EX-4"/>
    <s v="Labour Charges"/>
    <n v="1"/>
    <n v="105"/>
    <s v="Accepted"/>
    <m/>
    <s v="-"/>
    <n v="1750233"/>
    <s v="10-07-2025"/>
    <n v="123.9"/>
    <n v="0"/>
    <m/>
    <m/>
    <n v="123.9"/>
    <m/>
    <m/>
    <s v="Adblue light on error code P242A-13,P2BA8-00"/>
  </r>
  <r>
    <n v="1009012"/>
    <x v="4"/>
    <s v="30-04-2025"/>
    <n v="7134260112186"/>
    <s v="W26C00000782"/>
    <s v="WAR26C000001"/>
    <s v="13-05-2025"/>
    <x v="1"/>
    <s v="MC1E4FHA8SP021288"/>
    <s v="D71060855"/>
    <s v="T26"/>
    <s v="10-09-2024"/>
    <n v="1165"/>
    <s v="12-04-2025"/>
    <n v="31578"/>
    <m/>
    <m/>
    <n v="1"/>
    <s v="T006868200542"/>
    <s v="WIPER MOTOR ASSY - R"/>
    <n v="1"/>
    <n v="1098.95"/>
    <s v="Rejected"/>
    <s v="04"/>
    <s v="VEHICLE OUT OF WARRANTY KILOMETER WISE / TIME WISE"/>
    <n v="1750225"/>
    <s v="10-07-2025"/>
    <n v="1296.76"/>
    <n v="1296.76"/>
    <n v="1517573"/>
    <s v="10-07-2025"/>
    <n v="0"/>
    <m/>
    <m/>
    <m/>
  </r>
  <r>
    <n v="1009012"/>
    <x v="4"/>
    <s v="30-04-2025"/>
    <n v="7134260112186"/>
    <s v="W26C00000782"/>
    <s v="WAR26C000001"/>
    <s v="13-05-2025"/>
    <x v="1"/>
    <s v="MC1E4FHA8SP021288"/>
    <s v="D71060855"/>
    <s v="T26"/>
    <s v="10-09-2024"/>
    <n v="1165"/>
    <s v="12-04-2025"/>
    <n v="31578"/>
    <m/>
    <m/>
    <n v="2"/>
    <s v="BD0801"/>
    <s v="Labour Charges"/>
    <n v="1"/>
    <n v="142.5"/>
    <s v="Rejected"/>
    <s v="04"/>
    <s v="VEHICLE OUT OF WARRANTY KILOMETER WISE / TIME WISE"/>
    <n v="1750225"/>
    <s v="10-07-2025"/>
    <n v="168.15"/>
    <n v="168.15"/>
    <n v="1517573"/>
    <s v="10-07-2025"/>
    <n v="0"/>
    <m/>
    <m/>
    <m/>
  </r>
  <r>
    <n v="1009618"/>
    <x v="5"/>
    <s v="31-05-2025"/>
    <n v="7134260112969"/>
    <s v="W26C00001505"/>
    <s v="WAR26C000014"/>
    <s v="04-06-2025"/>
    <x v="2"/>
    <s v="MC1E4EEA5RP013061"/>
    <s v="D71055469"/>
    <s v="T-1"/>
    <s v="13-07-2024"/>
    <n v="1160"/>
    <s v="22-04-2025"/>
    <n v="81254"/>
    <m/>
    <m/>
    <n v="1"/>
    <s v="B008092000001"/>
    <s v="WATER PUMP ASSY (TD"/>
    <n v="1"/>
    <n v="2541.6"/>
    <s v="Accepted"/>
    <m/>
    <s v="-"/>
    <n v="1752230"/>
    <s v="25-09-2025"/>
    <n v="3091.9"/>
    <n v="0"/>
    <m/>
    <m/>
    <n v="3091.9"/>
    <m/>
    <m/>
    <m/>
  </r>
  <r>
    <n v="1009618"/>
    <x v="5"/>
    <s v="31-05-2025"/>
    <n v="7134260112969"/>
    <s v="W26C00001505"/>
    <s v="WAR26C000014"/>
    <s v="04-06-2025"/>
    <x v="2"/>
    <s v="MC1E4EEA5RP013061"/>
    <s v="D71055469"/>
    <s v="T-1"/>
    <s v="13-07-2024"/>
    <n v="1160"/>
    <s v="22-04-2025"/>
    <n v="81254"/>
    <m/>
    <m/>
    <n v="2"/>
    <s v="ENCOL-10"/>
    <s v="Labour Charges"/>
    <n v="1"/>
    <n v="277.5"/>
    <s v="Accepted"/>
    <m/>
    <s v="-"/>
    <n v="1752230"/>
    <s v="25-09-2025"/>
    <n v="327.45"/>
    <n v="0"/>
    <m/>
    <m/>
    <n v="327.45"/>
    <m/>
    <m/>
    <m/>
  </r>
  <r>
    <n v="1009935"/>
    <x v="6"/>
    <s v="31-05-2025"/>
    <n v="7134260112974"/>
    <s v="W26C00001509"/>
    <s v="WAR26C000015"/>
    <s v="11-06-2025"/>
    <x v="2"/>
    <s v="MC1E4FLA6SP021782"/>
    <s v="D71065402"/>
    <s v="T26"/>
    <s v="19-12-2024"/>
    <n v="1165"/>
    <s v="04-05-2025"/>
    <n v="13579"/>
    <m/>
    <m/>
    <n v="1"/>
    <s v="T006865425918"/>
    <s v="REVERSE &amp; NEUTRAL GE"/>
    <n v="1"/>
    <n v="1691.51"/>
    <s v="Accepted"/>
    <m/>
    <s v="-"/>
    <n v="1752231"/>
    <s v="25-09-2025"/>
    <n v="1995.98"/>
    <n v="0"/>
    <m/>
    <m/>
    <n v="1995.98"/>
    <m/>
    <m/>
    <m/>
  </r>
  <r>
    <n v="1009935"/>
    <x v="6"/>
    <s v="31-05-2025"/>
    <n v="7134260112974"/>
    <s v="W26C00001509"/>
    <s v="WAR26C000015"/>
    <s v="11-06-2025"/>
    <x v="2"/>
    <s v="MC1E4FLA6SP021782"/>
    <s v="D71065402"/>
    <s v="T26"/>
    <s v="19-12-2024"/>
    <n v="1165"/>
    <s v="04-05-2025"/>
    <n v="13579"/>
    <m/>
    <m/>
    <n v="2"/>
    <s v="GB-25"/>
    <s v="Labour Charges"/>
    <n v="1"/>
    <n v="45"/>
    <s v="Accepted"/>
    <m/>
    <s v="-"/>
    <n v="1752231"/>
    <s v="25-09-2025"/>
    <n v="53.1"/>
    <n v="0"/>
    <m/>
    <m/>
    <n v="53.1"/>
    <m/>
    <m/>
    <m/>
  </r>
  <r>
    <n v="1009977"/>
    <x v="7"/>
    <s v="31-05-2025"/>
    <n v="7134260112944"/>
    <s v="W26C00001482"/>
    <s v="WAR26C000012"/>
    <s v="11-06-2025"/>
    <x v="2"/>
    <s v="MC1D4DJA7SP105502"/>
    <s v="D72016937"/>
    <s v="TRAX"/>
    <s v="21-10-2024"/>
    <n v="1165"/>
    <s v="12-04-2025"/>
    <n v="31259"/>
    <m/>
    <m/>
    <n v="1"/>
    <s v="B008080500511"/>
    <s v="CHAIN TENSIONER ASSE"/>
    <n v="1"/>
    <n v="448.68"/>
    <s v="Accepted"/>
    <m/>
    <s v="-"/>
    <n v="1752228"/>
    <s v="25-09-2025"/>
    <n v="574.30999999999995"/>
    <n v="0"/>
    <m/>
    <m/>
    <n v="574.30999999999995"/>
    <m/>
    <m/>
    <m/>
  </r>
  <r>
    <n v="1009977"/>
    <x v="7"/>
    <s v="31-05-2025"/>
    <n v="7134260112944"/>
    <s v="W26C00001482"/>
    <s v="WAR26C000012"/>
    <s v="11-06-2025"/>
    <x v="2"/>
    <s v="MC1D4DJA7SP105502"/>
    <s v="D72016937"/>
    <s v="TRAX"/>
    <s v="21-10-2024"/>
    <n v="1165"/>
    <s v="12-04-2025"/>
    <n v="31259"/>
    <m/>
    <m/>
    <n v="2"/>
    <s v="ENHead-5"/>
    <s v="Labour Charges"/>
    <n v="1"/>
    <n v="97.5"/>
    <s v="Accepted"/>
    <m/>
    <s v="-"/>
    <n v="1752228"/>
    <s v="25-09-2025"/>
    <n v="115.05"/>
    <n v="0"/>
    <m/>
    <m/>
    <n v="115.05"/>
    <m/>
    <m/>
    <m/>
  </r>
  <r>
    <n v="1009997"/>
    <x v="8"/>
    <s v="31-05-2025"/>
    <n v="7134260112968"/>
    <s v="W26C00001504"/>
    <s v="WAR26C000013"/>
    <s v="11-06-2025"/>
    <x v="2"/>
    <s v="MC1D4DEA2RP104584"/>
    <s v="D72015514"/>
    <s v="TRAX"/>
    <s v="26-06-2024"/>
    <n v="1165"/>
    <s v="12-04-2025"/>
    <n v="60215"/>
    <m/>
    <m/>
    <n v="1"/>
    <s v="B008082002215"/>
    <s v="THERMOSTAT  VALVE AS"/>
    <n v="1"/>
    <n v="318.69"/>
    <s v="Accepted"/>
    <m/>
    <s v="-"/>
    <n v="1752229"/>
    <s v="25-09-2025"/>
    <n v="406.91"/>
    <n v="0"/>
    <m/>
    <m/>
    <n v="406.91"/>
    <m/>
    <m/>
    <m/>
  </r>
  <r>
    <n v="1009997"/>
    <x v="8"/>
    <s v="31-05-2025"/>
    <n v="7134260112968"/>
    <s v="W26C00001504"/>
    <s v="WAR26C000013"/>
    <s v="11-06-2025"/>
    <x v="2"/>
    <s v="MC1D4DEA2RP104584"/>
    <s v="D72015514"/>
    <s v="TRAX"/>
    <s v="26-06-2024"/>
    <n v="1165"/>
    <s v="12-04-2025"/>
    <n v="60215"/>
    <m/>
    <m/>
    <n v="2"/>
    <s v="B008545002003"/>
    <s v="RADIATOR ASSLY(RFR B"/>
    <n v="1"/>
    <n v="5322.44"/>
    <s v="Accepted"/>
    <m/>
    <s v="-"/>
    <n v="1752229"/>
    <s v="25-09-2025"/>
    <n v="6812.72"/>
    <n v="0"/>
    <m/>
    <m/>
    <n v="6812.72"/>
    <m/>
    <m/>
    <m/>
  </r>
  <r>
    <n v="1009997"/>
    <x v="8"/>
    <s v="31-05-2025"/>
    <n v="7134260112968"/>
    <s v="W26C00001504"/>
    <s v="WAR26C000013"/>
    <s v="11-06-2025"/>
    <x v="2"/>
    <s v="MC1D4DEA2RP104584"/>
    <s v="D72015514"/>
    <s v="TRAX"/>
    <s v="26-06-2024"/>
    <n v="1165"/>
    <s v="12-04-2025"/>
    <n v="60215"/>
    <m/>
    <m/>
    <n v="3"/>
    <s v="ENCOL-6"/>
    <s v="Labour Charges"/>
    <n v="1"/>
    <n v="247.5"/>
    <s v="Accepted"/>
    <m/>
    <s v="-"/>
    <n v="1752229"/>
    <s v="25-09-2025"/>
    <n v="292.05"/>
    <n v="0"/>
    <m/>
    <m/>
    <n v="292.05"/>
    <m/>
    <m/>
    <m/>
  </r>
  <r>
    <n v="1009997"/>
    <x v="8"/>
    <s v="31-05-2025"/>
    <n v="7134260112968"/>
    <s v="W26C00001504"/>
    <s v="WAR26C000013"/>
    <s v="11-06-2025"/>
    <x v="2"/>
    <s v="MC1D4DEA2RP104584"/>
    <s v="D72015514"/>
    <s v="TRAX"/>
    <s v="26-06-2024"/>
    <n v="1165"/>
    <s v="12-04-2025"/>
    <n v="60215"/>
    <m/>
    <m/>
    <n v="4"/>
    <s v="ENCOL-8"/>
    <s v="Labour Charges"/>
    <n v="1"/>
    <n v="105"/>
    <s v="Accepted"/>
    <m/>
    <s v="-"/>
    <n v="1752229"/>
    <s v="25-09-2025"/>
    <n v="123.9"/>
    <n v="0"/>
    <m/>
    <m/>
    <n v="123.9"/>
    <m/>
    <m/>
    <m/>
  </r>
  <r>
    <n v="1010394"/>
    <x v="9"/>
    <s v="28-06-2025"/>
    <n v="7134260114336"/>
    <s v="W26C00002632"/>
    <s v="WAR26E000003"/>
    <s v="01-07-2025"/>
    <x v="2"/>
    <s v="MC1D4DBA9RP103565"/>
    <s v="D72014281"/>
    <s v="TRAX"/>
    <s v="30-05-2024"/>
    <n v="1165"/>
    <s v="04-05-2025"/>
    <n v="87103"/>
    <m/>
    <m/>
    <n v="1"/>
    <s v="B008545002003"/>
    <s v="RADIATOR ASSLY(RFR B"/>
    <n v="1"/>
    <n v="5322.44"/>
    <s v="Accepted"/>
    <m/>
    <s v="-"/>
    <n v="1752234"/>
    <s v="25-09-2025"/>
    <n v="6812.72"/>
    <n v="0"/>
    <m/>
    <m/>
    <n v="6812.72"/>
    <m/>
    <m/>
    <m/>
  </r>
  <r>
    <n v="1010394"/>
    <x v="9"/>
    <s v="28-06-2025"/>
    <n v="7134260114336"/>
    <s v="W26C00002632"/>
    <s v="WAR26E000003"/>
    <s v="01-07-2025"/>
    <x v="2"/>
    <s v="MC1D4DBA9RP103565"/>
    <s v="D72014281"/>
    <s v="TRAX"/>
    <s v="30-05-2024"/>
    <n v="1165"/>
    <s v="04-05-2025"/>
    <n v="87103"/>
    <m/>
    <m/>
    <n v="2"/>
    <s v="ENCOL-6"/>
    <s v="Labour Charges"/>
    <n v="1"/>
    <n v="247.5"/>
    <s v="Accepted"/>
    <m/>
    <s v="-"/>
    <n v="1752234"/>
    <s v="25-09-2025"/>
    <n v="292.05"/>
    <n v="0"/>
    <m/>
    <m/>
    <n v="292.05"/>
    <m/>
    <m/>
    <m/>
  </r>
  <r>
    <n v="1010396"/>
    <x v="10"/>
    <s v="28-06-2025"/>
    <n v="7134260114956"/>
    <s v="W26C00003115"/>
    <s v="WAR26E000059"/>
    <s v="01-07-2025"/>
    <x v="3"/>
    <s v="MC1E4FMA2RP018726"/>
    <s v="D71043458"/>
    <s v="T26"/>
    <s v="09-01-2024"/>
    <n v="1165"/>
    <s v="20-06-2025"/>
    <n v="32523"/>
    <m/>
    <m/>
    <n v="1"/>
    <s v="EL2026"/>
    <s v="Labour Charges"/>
    <n v="1"/>
    <n v="52.5"/>
    <s v="Accepted"/>
    <m/>
    <s v="-"/>
    <n v="1752290"/>
    <s v="25-09-2025"/>
    <n v="61.95"/>
    <n v="0"/>
    <m/>
    <m/>
    <n v="61.95"/>
    <m/>
    <m/>
    <m/>
  </r>
  <r>
    <n v="1010398"/>
    <x v="11"/>
    <s v="28-06-2025"/>
    <n v="7134260114984"/>
    <s v="W26C00003143"/>
    <s v="WAR26E000082"/>
    <s v="01-07-2025"/>
    <x v="3"/>
    <s v="MC1E4FAA0RP019118"/>
    <s v="D71045606"/>
    <s v="T26"/>
    <s v="16-02-2024"/>
    <n v="1165"/>
    <s v="24-06-2025"/>
    <n v="83120"/>
    <m/>
    <m/>
    <n v="1"/>
    <s v="EL2026"/>
    <s v="Labour Charges"/>
    <n v="1"/>
    <n v="52.5"/>
    <s v="Accepted"/>
    <m/>
    <s v="-"/>
    <n v="1752313"/>
    <s v="25-09-2025"/>
    <n v="61.95"/>
    <n v="0"/>
    <m/>
    <m/>
    <n v="61.95"/>
    <m/>
    <m/>
    <m/>
  </r>
  <r>
    <n v="1010400"/>
    <x v="12"/>
    <s v="28-06-2025"/>
    <n v="7134260114575"/>
    <s v="W26C00002810"/>
    <s v="WAR26E000014"/>
    <s v="01-07-2025"/>
    <x v="2"/>
    <s v="MC1E4FGA5RP017484"/>
    <s v="D71035405"/>
    <s v="T26"/>
    <s v="23-10-2023"/>
    <n v="1165"/>
    <s v="03-06-2025"/>
    <n v="15310"/>
    <m/>
    <m/>
    <n v="1"/>
    <s v="EL2026"/>
    <s v="Labour Charges"/>
    <n v="1"/>
    <n v="45"/>
    <s v="Accepted"/>
    <m/>
    <s v="-"/>
    <n v="1752245"/>
    <s v="25-09-2025"/>
    <n v="53.1"/>
    <n v="0"/>
    <m/>
    <m/>
    <n v="53.1"/>
    <m/>
    <m/>
    <m/>
  </r>
  <r>
    <n v="1010402"/>
    <x v="13"/>
    <s v="28-06-2025"/>
    <n v="7134260114949"/>
    <s v="W26C00003108"/>
    <s v="WAR26E000052"/>
    <s v="01-07-2025"/>
    <x v="3"/>
    <s v="MC1E4FFAXPP017219"/>
    <s v="D71033981"/>
    <s v="T26"/>
    <s v="25-11-2023"/>
    <n v="1165"/>
    <s v="20-06-2025"/>
    <n v="13520"/>
    <m/>
    <m/>
    <n v="1"/>
    <s v="EL2026"/>
    <s v="Labour Charges"/>
    <n v="1"/>
    <n v="52.5"/>
    <s v="Accepted"/>
    <m/>
    <s v="-"/>
    <n v="1752283"/>
    <s v="25-09-2025"/>
    <n v="61.95"/>
    <n v="0"/>
    <m/>
    <m/>
    <n v="61.95"/>
    <m/>
    <m/>
    <m/>
  </r>
  <r>
    <n v="1010403"/>
    <x v="14"/>
    <s v="28-06-2025"/>
    <n v="7134260114913"/>
    <s v="W26C00003072"/>
    <s v="WAR26E000030"/>
    <s v="01-07-2025"/>
    <x v="3"/>
    <s v="MC1E4FCA7PP016632"/>
    <s v="D71028758"/>
    <s v="T26"/>
    <s v="08-05-2023"/>
    <n v="1165"/>
    <s v="12-06-2025"/>
    <n v="228588"/>
    <m/>
    <m/>
    <n v="1"/>
    <s v="EL2026"/>
    <s v="Labour Charges"/>
    <n v="1"/>
    <n v="52.5"/>
    <s v="Accepted"/>
    <m/>
    <s v="-"/>
    <n v="1752261"/>
    <s v="25-09-2025"/>
    <n v="61.95"/>
    <n v="0"/>
    <m/>
    <m/>
    <n v="61.95"/>
    <m/>
    <m/>
    <m/>
  </r>
  <r>
    <n v="1010404"/>
    <x v="15"/>
    <s v="28-06-2025"/>
    <n v="7134260114953"/>
    <s v="W26C00003112"/>
    <s v="WAR26E000056"/>
    <s v="01-07-2025"/>
    <x v="3"/>
    <s v="MC1E4FFA2PP017232"/>
    <s v="D71034038"/>
    <s v="T26"/>
    <s v="11-12-2023"/>
    <n v="1165"/>
    <s v="20-06-2025"/>
    <n v="1230"/>
    <m/>
    <m/>
    <n v="1"/>
    <s v="EL2026"/>
    <s v="Labour Charges"/>
    <n v="1"/>
    <n v="52.5"/>
    <s v="Accepted"/>
    <m/>
    <s v="-"/>
    <n v="1752287"/>
    <s v="25-09-2025"/>
    <n v="61.95"/>
    <n v="0"/>
    <m/>
    <m/>
    <n v="61.95"/>
    <m/>
    <m/>
    <m/>
  </r>
  <r>
    <n v="1010405"/>
    <x v="16"/>
    <s v="28-06-2025"/>
    <n v="7134260114823"/>
    <s v="W26C00003001"/>
    <s v="WAR26E000028"/>
    <s v="01-07-2025"/>
    <x v="3"/>
    <s v="MC1E4FCA5PP016631"/>
    <s v="D71028757"/>
    <s v="T26"/>
    <s v="02-05-2023"/>
    <n v="1165"/>
    <s v="06-06-2025"/>
    <n v="65100"/>
    <m/>
    <m/>
    <n v="1"/>
    <s v="EL2026"/>
    <s v="Labour Charges"/>
    <n v="1"/>
    <n v="52.5"/>
    <s v="Accepted"/>
    <m/>
    <s v="-"/>
    <n v="1752259"/>
    <s v="25-09-2025"/>
    <n v="61.95"/>
    <n v="0"/>
    <m/>
    <m/>
    <n v="61.95"/>
    <m/>
    <m/>
    <m/>
  </r>
  <r>
    <n v="1010407"/>
    <x v="17"/>
    <s v="28-06-2025"/>
    <n v="7134260114572"/>
    <s v="W26C00002807"/>
    <s v="WAR26E000011"/>
    <s v="01-07-2025"/>
    <x v="2"/>
    <s v="MC1E4FJA1RP018320"/>
    <s v="D71040192"/>
    <s v="T26"/>
    <s v="19-10-2023"/>
    <n v="1165"/>
    <s v="03-06-2025"/>
    <n v="71098"/>
    <m/>
    <m/>
    <n v="1"/>
    <s v="EL2026"/>
    <s v="Labour Charges"/>
    <n v="1"/>
    <n v="45"/>
    <s v="Accepted"/>
    <m/>
    <s v="-"/>
    <n v="1752242"/>
    <s v="25-09-2025"/>
    <n v="53.1"/>
    <n v="0"/>
    <m/>
    <m/>
    <n v="53.1"/>
    <m/>
    <m/>
    <m/>
  </r>
  <r>
    <n v="1010408"/>
    <x v="18"/>
    <s v="28-06-2025"/>
    <n v="7134260114966"/>
    <s v="W26C00003125"/>
    <s v="WAR26E000064"/>
    <s v="01-07-2025"/>
    <x v="3"/>
    <s v="MC1E4FJA7SP021633"/>
    <s v="D71063051"/>
    <s v="T26"/>
    <s v="15-11-2024"/>
    <n v="1165"/>
    <s v="23-06-2025"/>
    <n v="41200"/>
    <m/>
    <m/>
    <n v="1"/>
    <s v="EL2026"/>
    <s v="Labour Charges"/>
    <n v="1"/>
    <n v="52.5"/>
    <s v="Accepted"/>
    <m/>
    <s v="-"/>
    <n v="1752295"/>
    <s v="25-09-2025"/>
    <n v="61.95"/>
    <n v="0"/>
    <m/>
    <m/>
    <n v="61.95"/>
    <m/>
    <m/>
    <m/>
  </r>
  <r>
    <n v="1010410"/>
    <x v="19"/>
    <s v="28-06-2025"/>
    <n v="7134260114920"/>
    <s v="W26C00003079"/>
    <s v="WAR26E000034"/>
    <s v="01-07-2025"/>
    <x v="3"/>
    <s v="MC1E4FCA3PP016630"/>
    <s v="D71028756"/>
    <s v="T26"/>
    <s v="25-05-2023"/>
    <n v="1165"/>
    <s v="12-06-2025"/>
    <n v="153192"/>
    <m/>
    <m/>
    <n v="1"/>
    <s v="EL2026"/>
    <s v="Labour Charges"/>
    <n v="1"/>
    <n v="52.5"/>
    <s v="Accepted"/>
    <m/>
    <s v="-"/>
    <n v="1752265"/>
    <s v="25-09-2025"/>
    <n v="61.95"/>
    <n v="0"/>
    <m/>
    <m/>
    <n v="61.95"/>
    <m/>
    <m/>
    <m/>
  </r>
  <r>
    <n v="1010411"/>
    <x v="20"/>
    <s v="28-06-2025"/>
    <n v="7134260114922"/>
    <s v="W26C00003081"/>
    <s v="WAR26E000035"/>
    <s v="01-07-2025"/>
    <x v="3"/>
    <s v="MC1E4FEA1PP016851"/>
    <s v="D71031035"/>
    <s v="T26"/>
    <s v="26-05-2023"/>
    <n v="1165"/>
    <s v="12-06-2025"/>
    <n v="131610"/>
    <m/>
    <m/>
    <n v="1"/>
    <s v="EL2026"/>
    <s v="Labour Charges"/>
    <n v="1"/>
    <n v="52.5"/>
    <s v="Accepted"/>
    <m/>
    <s v="-"/>
    <n v="1752266"/>
    <s v="25-09-2025"/>
    <n v="61.95"/>
    <n v="0"/>
    <m/>
    <m/>
    <n v="61.95"/>
    <m/>
    <m/>
    <m/>
  </r>
  <r>
    <n v="1010413"/>
    <x v="21"/>
    <s v="28-06-2025"/>
    <n v="7134260114934"/>
    <s v="W26C00003093"/>
    <s v="WAR26E000041"/>
    <s v="01-07-2025"/>
    <x v="3"/>
    <s v="MC1E4FEA5PP016884"/>
    <s v="D71031443"/>
    <s v="T26"/>
    <s v="17-06-2023"/>
    <n v="1165"/>
    <s v="12-06-2025"/>
    <n v="101815"/>
    <m/>
    <m/>
    <n v="1"/>
    <s v="EL2026"/>
    <s v="Labour Charges"/>
    <n v="1"/>
    <n v="52.5"/>
    <s v="Accepted"/>
    <m/>
    <s v="-"/>
    <n v="1752272"/>
    <s v="25-09-2025"/>
    <n v="61.95"/>
    <n v="0"/>
    <m/>
    <m/>
    <n v="61.95"/>
    <m/>
    <m/>
    <m/>
  </r>
  <r>
    <n v="1010414"/>
    <x v="22"/>
    <s v="28-06-2025"/>
    <n v="7134260114573"/>
    <s v="W26C00002808"/>
    <s v="WAR26E000012"/>
    <s v="01-07-2025"/>
    <x v="2"/>
    <s v="MC1E4FEA4PP016911"/>
    <s v="D71034316"/>
    <s v="T26"/>
    <s v="20-10-2023"/>
    <n v="1165"/>
    <s v="03-06-2025"/>
    <n v="22750"/>
    <m/>
    <m/>
    <n v="1"/>
    <s v="EL2026"/>
    <s v="Labour Charges"/>
    <n v="1"/>
    <n v="45"/>
    <s v="Accepted"/>
    <m/>
    <s v="-"/>
    <n v="1752243"/>
    <s v="25-09-2025"/>
    <n v="53.1"/>
    <n v="0"/>
    <m/>
    <m/>
    <n v="53.1"/>
    <m/>
    <m/>
    <m/>
  </r>
  <r>
    <n v="1010415"/>
    <x v="23"/>
    <s v="28-06-2025"/>
    <n v="7134260114967"/>
    <s v="W26C00003126"/>
    <s v="WAR26E000065"/>
    <s v="01-07-2025"/>
    <x v="3"/>
    <s v="MC1E4FJA2SP021586"/>
    <s v="D71062197"/>
    <s v="T26"/>
    <s v="18-11-2024"/>
    <n v="1165"/>
    <s v="23-06-2025"/>
    <n v="31200"/>
    <m/>
    <m/>
    <n v="1"/>
    <s v="EL2026"/>
    <s v="Labour Charges"/>
    <n v="1"/>
    <n v="52.5"/>
    <s v="Accepted"/>
    <m/>
    <s v="-"/>
    <n v="1752296"/>
    <s v="25-09-2025"/>
    <n v="61.95"/>
    <n v="0"/>
    <m/>
    <m/>
    <n v="61.95"/>
    <m/>
    <m/>
    <m/>
  </r>
  <r>
    <n v="1010417"/>
    <x v="24"/>
    <s v="28-06-2025"/>
    <n v="7134260114986"/>
    <s v="W26C00003145"/>
    <s v="WAR26E000084"/>
    <s v="01-07-2025"/>
    <x v="3"/>
    <s v="MC1E4FBA4RP019332"/>
    <s v="D71047197"/>
    <s v="T26"/>
    <s v="21-02-2024"/>
    <n v="1165"/>
    <s v="24-06-2025"/>
    <n v="155089"/>
    <m/>
    <m/>
    <n v="1"/>
    <s v="EL2026"/>
    <s v="Labour Charges"/>
    <n v="1"/>
    <n v="52.5"/>
    <s v="Accepted"/>
    <m/>
    <s v="-"/>
    <n v="1752315"/>
    <s v="25-09-2025"/>
    <n v="61.95"/>
    <n v="0"/>
    <m/>
    <m/>
    <n v="61.95"/>
    <m/>
    <m/>
    <m/>
  </r>
  <r>
    <n v="1010418"/>
    <x v="25"/>
    <s v="28-06-2025"/>
    <n v="7134260114944"/>
    <s v="W26C00003103"/>
    <s v="WAR26E000047"/>
    <s v="01-07-2025"/>
    <x v="3"/>
    <s v="MC1E4FJA5RP018370"/>
    <s v="D71040372"/>
    <s v="T26"/>
    <s v="31-10-2023"/>
    <n v="1165"/>
    <s v="20-06-2025"/>
    <n v="105589"/>
    <m/>
    <m/>
    <n v="1"/>
    <s v="EL2026"/>
    <s v="Labour Charges"/>
    <n v="1"/>
    <n v="52.5"/>
    <s v="Accepted"/>
    <m/>
    <s v="-"/>
    <n v="1752278"/>
    <s v="25-09-2025"/>
    <n v="61.95"/>
    <n v="0"/>
    <m/>
    <m/>
    <n v="61.95"/>
    <m/>
    <m/>
    <m/>
  </r>
  <r>
    <n v="1010419"/>
    <x v="26"/>
    <s v="30-06-2025"/>
    <n v="7134260115228"/>
    <s v="W26C00003368"/>
    <s v="WAR26E000090"/>
    <s v="01-07-2025"/>
    <x v="3"/>
    <s v="MC1E4FAA2RP019136"/>
    <s v="D71046280"/>
    <s v="T26"/>
    <s v="19-03-2024"/>
    <n v="1165"/>
    <s v="26-06-2025"/>
    <n v="109523"/>
    <m/>
    <m/>
    <n v="1"/>
    <s v="EL2026"/>
    <s v="Labour Charges"/>
    <n v="1"/>
    <n v="52.5"/>
    <s v="Accepted"/>
    <m/>
    <s v="-"/>
    <n v="1752321"/>
    <s v="25-09-2025"/>
    <n v="61.95"/>
    <n v="0"/>
    <m/>
    <m/>
    <n v="61.95"/>
    <m/>
    <m/>
    <m/>
  </r>
  <r>
    <n v="1010420"/>
    <x v="27"/>
    <s v="28-06-2025"/>
    <n v="7134260114982"/>
    <s v="W26C00003141"/>
    <s v="WAR26E000080"/>
    <s v="01-07-2025"/>
    <x v="3"/>
    <s v="MC1E4FAA2RP019007"/>
    <s v="D71045082"/>
    <s v="T26"/>
    <s v="12-02-2024"/>
    <n v="1165"/>
    <s v="24-06-2025"/>
    <n v="70120"/>
    <m/>
    <m/>
    <n v="1"/>
    <s v="EL2026"/>
    <s v="Labour Charges"/>
    <n v="1"/>
    <n v="52.5"/>
    <s v="Accepted"/>
    <m/>
    <s v="-"/>
    <n v="1752311"/>
    <s v="25-09-2025"/>
    <n v="61.95"/>
    <n v="0"/>
    <m/>
    <m/>
    <n v="61.95"/>
    <m/>
    <m/>
    <m/>
  </r>
  <r>
    <n v="1010421"/>
    <x v="28"/>
    <s v="28-06-2025"/>
    <n v="7134260114822"/>
    <s v="W26C00003000"/>
    <s v="WAR26E000027"/>
    <s v="01-07-2025"/>
    <x v="3"/>
    <s v="MC1E4FCA2PP016652"/>
    <s v="D71028778"/>
    <s v="T26"/>
    <s v="29-04-2023"/>
    <n v="1165"/>
    <s v="06-06-2025"/>
    <n v="9600"/>
    <m/>
    <m/>
    <n v="1"/>
    <s v="EL2026"/>
    <s v="Labour Charges"/>
    <n v="1"/>
    <n v="52.5"/>
    <s v="Accepted"/>
    <m/>
    <s v="-"/>
    <n v="1752258"/>
    <s v="25-09-2025"/>
    <n v="61.95"/>
    <n v="0"/>
    <m/>
    <m/>
    <n v="61.95"/>
    <m/>
    <m/>
    <m/>
  </r>
  <r>
    <n v="1010422"/>
    <x v="29"/>
    <s v="28-06-2025"/>
    <n v="7134260114570"/>
    <s v="W26C00002805"/>
    <s v="WAR26E000009"/>
    <s v="01-07-2025"/>
    <x v="2"/>
    <s v="MC1E4FJA5RP018224"/>
    <s v="D71039485"/>
    <s v="T26"/>
    <s v="18-10-2023"/>
    <n v="1165"/>
    <s v="03-06-2025"/>
    <n v="117010"/>
    <m/>
    <m/>
    <n v="1"/>
    <s v="EL2026"/>
    <s v="Labour Charges"/>
    <n v="1"/>
    <n v="45"/>
    <s v="Accepted"/>
    <m/>
    <s v="-"/>
    <n v="1752240"/>
    <s v="25-09-2025"/>
    <n v="53.1"/>
    <n v="0"/>
    <m/>
    <m/>
    <n v="53.1"/>
    <m/>
    <m/>
    <m/>
  </r>
  <r>
    <n v="1010424"/>
    <x v="30"/>
    <s v="30-06-2025"/>
    <n v="7134260115230"/>
    <s v="W26C00003370"/>
    <s v="WAR26E000092"/>
    <s v="01-07-2025"/>
    <x v="3"/>
    <s v="MC1E4DBAXRP050766"/>
    <s v="D71046963"/>
    <s v="T-1"/>
    <s v="20-03-2024"/>
    <n v="1165"/>
    <s v="26-06-2025"/>
    <n v="224562"/>
    <m/>
    <m/>
    <n v="1"/>
    <s v="EL2026"/>
    <s v="Labour Charges"/>
    <n v="1"/>
    <n v="52.5"/>
    <s v="Accepted"/>
    <m/>
    <s v="-"/>
    <n v="1752323"/>
    <s v="25-09-2025"/>
    <n v="61.95"/>
    <n v="0"/>
    <m/>
    <m/>
    <n v="61.95"/>
    <m/>
    <m/>
    <m/>
  </r>
  <r>
    <n v="1010425"/>
    <x v="31"/>
    <s v="30-06-2025"/>
    <n v="7134260115231"/>
    <s v="W26C00003371"/>
    <s v="WAR26E000093"/>
    <s v="01-07-2025"/>
    <x v="3"/>
    <s v="MC1E4ECA5RP012138"/>
    <s v="D71050140"/>
    <s v="T-1"/>
    <s v="21-03-2024"/>
    <n v="1165"/>
    <s v="26-06-2025"/>
    <n v="89120"/>
    <m/>
    <m/>
    <n v="1"/>
    <s v="EL2026"/>
    <s v="Labour Charges"/>
    <n v="1"/>
    <n v="52.5"/>
    <s v="Accepted"/>
    <m/>
    <s v="-"/>
    <n v="1752324"/>
    <s v="25-09-2025"/>
    <n v="61.95"/>
    <n v="0"/>
    <m/>
    <m/>
    <n v="61.95"/>
    <m/>
    <m/>
    <m/>
  </r>
  <r>
    <n v="1010432"/>
    <x v="32"/>
    <s v="28-06-2025"/>
    <n v="7134260114577"/>
    <s v="W26C00002812"/>
    <s v="WAR26E000016"/>
    <s v="01-07-2025"/>
    <x v="3"/>
    <s v="MC1E4DHA5RP047796"/>
    <s v="D71037923"/>
    <s v="T-1"/>
    <s v="25-10-2023"/>
    <n v="1165"/>
    <s v="03-06-2025"/>
    <n v="91112"/>
    <m/>
    <m/>
    <n v="1"/>
    <s v="EL2026"/>
    <s v="Labour Charges"/>
    <n v="1"/>
    <n v="45"/>
    <s v="Accepted"/>
    <m/>
    <s v="-"/>
    <n v="1752247"/>
    <s v="25-09-2025"/>
    <n v="53.1"/>
    <n v="0"/>
    <m/>
    <m/>
    <n v="53.1"/>
    <m/>
    <m/>
    <m/>
  </r>
  <r>
    <n v="1010433"/>
    <x v="33"/>
    <s v="28-06-2025"/>
    <n v="7134260114978"/>
    <s v="W26C00003137"/>
    <s v="WAR26E000076"/>
    <s v="01-07-2025"/>
    <x v="3"/>
    <s v="MC1E4EAA2RP011497"/>
    <s v="D71045143"/>
    <s v="T-1"/>
    <s v="25-01-2024"/>
    <n v="1165"/>
    <s v="24-06-2025"/>
    <n v="91200"/>
    <m/>
    <m/>
    <n v="1"/>
    <s v="EL2026"/>
    <s v="Labour Charges"/>
    <n v="1"/>
    <n v="52.5"/>
    <s v="Accepted"/>
    <m/>
    <s v="-"/>
    <n v="1752307"/>
    <s v="25-09-2025"/>
    <n v="61.95"/>
    <n v="0"/>
    <m/>
    <m/>
    <n v="61.95"/>
    <m/>
    <m/>
    <m/>
  </r>
  <r>
    <n v="1010434"/>
    <x v="34"/>
    <s v="28-06-2025"/>
    <n v="7134260114925"/>
    <s v="W26C00003084"/>
    <s v="WAR26E000036"/>
    <s v="01-07-2025"/>
    <x v="3"/>
    <s v="MC1E4DEA3PP045921"/>
    <s v="D71031778"/>
    <s v="T-1"/>
    <s v="30-05-2023"/>
    <n v="1165"/>
    <s v="12-06-2025"/>
    <n v="124050"/>
    <m/>
    <m/>
    <n v="1"/>
    <s v="EL2026"/>
    <s v="Labour Charges"/>
    <n v="1"/>
    <n v="52.5"/>
    <s v="Accepted"/>
    <m/>
    <s v="-"/>
    <n v="1752267"/>
    <s v="25-09-2025"/>
    <n v="61.95"/>
    <n v="0"/>
    <m/>
    <m/>
    <n v="61.95"/>
    <m/>
    <m/>
    <m/>
  </r>
  <r>
    <n v="1010437"/>
    <x v="35"/>
    <s v="28-06-2025"/>
    <n v="7134260114580"/>
    <s v="W26C00002815"/>
    <s v="WAR26E000019"/>
    <s v="01-07-2025"/>
    <x v="3"/>
    <s v="MC1E4DJA6RP048367"/>
    <s v="D71040080"/>
    <s v="T-1"/>
    <s v="28-10-2023"/>
    <n v="1165"/>
    <s v="03-06-2025"/>
    <n v="26010"/>
    <m/>
    <m/>
    <n v="1"/>
    <s v="EL2026"/>
    <s v="Labour Charges"/>
    <n v="1"/>
    <n v="45"/>
    <s v="Accepted"/>
    <m/>
    <s v="-"/>
    <n v="1752250"/>
    <s v="25-09-2025"/>
    <n v="53.1"/>
    <n v="0"/>
    <m/>
    <m/>
    <n v="53.1"/>
    <m/>
    <m/>
    <m/>
  </r>
  <r>
    <n v="1010439"/>
    <x v="36"/>
    <s v="30-06-2025"/>
    <n v="7134260115226"/>
    <s v="W26C00003366"/>
    <s v="WAR26E000088"/>
    <s v="01-07-2025"/>
    <x v="3"/>
    <s v="MC1E4EMA8RP011306"/>
    <s v="D71043916"/>
    <s v="T-1"/>
    <s v="13-03-2024"/>
    <n v="1165"/>
    <s v="26-06-2025"/>
    <n v="89120"/>
    <m/>
    <m/>
    <n v="1"/>
    <s v="EL2026"/>
    <s v="Labour Charges"/>
    <n v="1"/>
    <n v="52.5"/>
    <s v="Accepted"/>
    <m/>
    <s v="-"/>
    <n v="1752319"/>
    <s v="25-09-2025"/>
    <n v="61.95"/>
    <n v="0"/>
    <m/>
    <m/>
    <n v="61.95"/>
    <m/>
    <m/>
    <m/>
  </r>
  <r>
    <n v="1010441"/>
    <x v="37"/>
    <s v="28-06-2025"/>
    <n v="7134260114932"/>
    <s v="W26C00003091"/>
    <s v="WAR26E000040"/>
    <s v="01-07-2025"/>
    <x v="3"/>
    <s v="MC1E4EEAXPP009746"/>
    <s v="D71032469"/>
    <s v="T-1"/>
    <s v="10-06-2023"/>
    <n v="1165"/>
    <s v="12-06-2025"/>
    <n v="92610"/>
    <m/>
    <m/>
    <n v="1"/>
    <s v="EL2026"/>
    <s v="Labour Charges"/>
    <n v="1"/>
    <n v="52.5"/>
    <s v="Accepted"/>
    <m/>
    <s v="-"/>
    <n v="1752271"/>
    <s v="25-09-2025"/>
    <n v="61.95"/>
    <n v="0"/>
    <m/>
    <m/>
    <n v="61.95"/>
    <m/>
    <m/>
    <m/>
  </r>
  <r>
    <n v="1010444"/>
    <x v="38"/>
    <s v="28-06-2025"/>
    <n v="7134260114817"/>
    <s v="W26C00002996"/>
    <s v="WAR26E000023"/>
    <s v="01-07-2025"/>
    <x v="3"/>
    <s v="MC1E4DCA3PP044951"/>
    <s v="D71028245"/>
    <s v="T-1"/>
    <s v="18-04-2023"/>
    <n v="1165"/>
    <s v="06-06-2025"/>
    <n v="33800"/>
    <m/>
    <m/>
    <n v="1"/>
    <s v="EL2026"/>
    <s v="Labour Charges"/>
    <n v="1"/>
    <n v="52.5"/>
    <s v="Accepted"/>
    <m/>
    <s v="-"/>
    <n v="1752254"/>
    <s v="25-09-2025"/>
    <n v="61.95"/>
    <n v="0"/>
    <m/>
    <m/>
    <n v="61.95"/>
    <m/>
    <m/>
    <m/>
  </r>
  <r>
    <n v="1010445"/>
    <x v="39"/>
    <s v="28-06-2025"/>
    <n v="7134260114937"/>
    <s v="W26C00003096"/>
    <s v="WAR26E000043"/>
    <s v="01-07-2025"/>
    <x v="3"/>
    <s v="MC1E4DFA3PP046534"/>
    <s v="D71033624"/>
    <s v="T-1"/>
    <s v="24-06-2023"/>
    <n v="1165"/>
    <s v="12-06-2025"/>
    <n v="95850"/>
    <m/>
    <m/>
    <n v="1"/>
    <s v="EL2026"/>
    <s v="Labour Charges"/>
    <n v="1"/>
    <n v="52.5"/>
    <s v="Accepted"/>
    <m/>
    <s v="-"/>
    <n v="1752274"/>
    <s v="25-09-2025"/>
    <n v="61.95"/>
    <n v="0"/>
    <m/>
    <m/>
    <n v="61.95"/>
    <m/>
    <m/>
    <m/>
  </r>
  <r>
    <n v="1010447"/>
    <x v="40"/>
    <s v="28-06-2025"/>
    <n v="7134260114955"/>
    <s v="W26C00003114"/>
    <s v="WAR26E000058"/>
    <s v="01-07-2025"/>
    <x v="3"/>
    <s v="MC1E4DMA7RP049748"/>
    <s v="D71043571"/>
    <s v="T-1"/>
    <s v="30-12-2023"/>
    <n v="1165"/>
    <s v="20-06-2025"/>
    <n v="70120"/>
    <m/>
    <m/>
    <n v="1"/>
    <s v="EL2026"/>
    <s v="Labour Charges"/>
    <n v="1"/>
    <n v="52.5"/>
    <s v="Accepted"/>
    <m/>
    <s v="-"/>
    <n v="1752289"/>
    <s v="25-09-2025"/>
    <n v="61.95"/>
    <n v="0"/>
    <m/>
    <m/>
    <n v="61.95"/>
    <m/>
    <m/>
    <m/>
  </r>
  <r>
    <n v="1010448"/>
    <x v="41"/>
    <s v="28-06-2025"/>
    <n v="7134260114918"/>
    <s v="W26C00003077"/>
    <s v="WAR26E000033"/>
    <s v="01-07-2025"/>
    <x v="3"/>
    <s v="MC1E4ECA3PP009414"/>
    <s v="D71028636"/>
    <s v="T-1"/>
    <s v="13-05-2023"/>
    <n v="1165"/>
    <s v="12-06-2025"/>
    <n v="159800"/>
    <m/>
    <m/>
    <n v="1"/>
    <s v="EL2026"/>
    <s v="Labour Charges"/>
    <n v="1"/>
    <n v="52.5"/>
    <s v="Accepted"/>
    <m/>
    <s v="-"/>
    <n v="1752264"/>
    <s v="25-09-2025"/>
    <n v="61.95"/>
    <n v="0"/>
    <m/>
    <m/>
    <n v="61.95"/>
    <m/>
    <m/>
    <m/>
  </r>
  <r>
    <n v="1010449"/>
    <x v="42"/>
    <s v="28-06-2025"/>
    <n v="7134260114976"/>
    <s v="W26C00003135"/>
    <s v="WAR26E000074"/>
    <s v="01-07-2025"/>
    <x v="3"/>
    <s v="MC1E4DAA5RP050188"/>
    <s v="D71045042"/>
    <s v="T-1"/>
    <s v="24-01-2024"/>
    <n v="1165"/>
    <s v="24-06-2025"/>
    <n v="48200"/>
    <m/>
    <m/>
    <n v="1"/>
    <s v="EL2026"/>
    <s v="Labour Charges"/>
    <n v="1"/>
    <n v="52.5"/>
    <s v="Accepted"/>
    <m/>
    <s v="-"/>
    <n v="1752305"/>
    <s v="25-09-2025"/>
    <n v="61.95"/>
    <n v="0"/>
    <m/>
    <m/>
    <n v="61.95"/>
    <m/>
    <m/>
    <m/>
  </r>
  <r>
    <n v="1010454"/>
    <x v="43"/>
    <s v="30-06-2025"/>
    <n v="7134260115225"/>
    <s v="W26C00003365"/>
    <s v="WAR26E000087"/>
    <s v="02-07-2025"/>
    <x v="3"/>
    <s v="MC1E4EAA6RP011650"/>
    <s v="D71045830"/>
    <s v="T-1"/>
    <s v="11-03-2024"/>
    <n v="1165"/>
    <s v="26-06-2025"/>
    <n v="36120"/>
    <m/>
    <m/>
    <n v="1"/>
    <s v="EL2026"/>
    <s v="Labour Charges"/>
    <n v="1"/>
    <n v="52.5"/>
    <s v="Accepted"/>
    <m/>
    <s v="-"/>
    <n v="1752318"/>
    <s v="25-09-2025"/>
    <n v="61.95"/>
    <n v="0"/>
    <m/>
    <m/>
    <n v="61.95"/>
    <m/>
    <m/>
    <m/>
  </r>
  <r>
    <n v="1010455"/>
    <x v="44"/>
    <s v="28-06-2025"/>
    <n v="7134260114927"/>
    <s v="W26C00003086"/>
    <s v="WAR26E000037"/>
    <s v="02-07-2025"/>
    <x v="3"/>
    <s v="MC1E4DDA4PP045265"/>
    <s v="D71029344"/>
    <s v="T-1"/>
    <s v="29-05-2023"/>
    <n v="1165"/>
    <s v="12-06-2025"/>
    <n v="86310"/>
    <m/>
    <m/>
    <n v="1"/>
    <s v="EL2026"/>
    <s v="Labour Charges"/>
    <n v="1"/>
    <n v="52.5"/>
    <s v="Accepted"/>
    <m/>
    <s v="-"/>
    <n v="1752268"/>
    <s v="25-09-2025"/>
    <n v="61.95"/>
    <n v="0"/>
    <m/>
    <m/>
    <n v="61.95"/>
    <m/>
    <m/>
    <m/>
  </r>
  <r>
    <n v="1010457"/>
    <x v="45"/>
    <s v="28-06-2025"/>
    <n v="7134260114568"/>
    <s v="W26C00002803"/>
    <s v="WAR26E000007"/>
    <s v="02-07-2025"/>
    <x v="2"/>
    <s v="MC1E4EJA0RP010574"/>
    <s v="D71039432"/>
    <s v="T-1"/>
    <s v="14-10-2023"/>
    <n v="1165"/>
    <s v="03-06-2025"/>
    <n v="52090"/>
    <m/>
    <m/>
    <n v="1"/>
    <s v="EL2026"/>
    <s v="Labour Charges"/>
    <n v="1"/>
    <n v="45"/>
    <s v="Accepted"/>
    <m/>
    <s v="-"/>
    <n v="1752238"/>
    <s v="25-09-2025"/>
    <n v="53.1"/>
    <n v="0"/>
    <m/>
    <m/>
    <n v="53.1"/>
    <m/>
    <m/>
    <m/>
  </r>
  <r>
    <n v="1010458"/>
    <x v="46"/>
    <s v="28-06-2025"/>
    <n v="7134260114930"/>
    <s v="W26C00003089"/>
    <s v="WAR26E000039"/>
    <s v="02-07-2025"/>
    <x v="3"/>
    <s v="MC1E4EDAXPP009523"/>
    <s v="D71030235"/>
    <s v="T-1"/>
    <s v="30-05-2023"/>
    <n v="1165"/>
    <s v="12-06-2025"/>
    <n v="55210"/>
    <m/>
    <m/>
    <n v="1"/>
    <s v="EL2026"/>
    <s v="Labour Charges"/>
    <n v="1"/>
    <n v="52.5"/>
    <s v="Accepted"/>
    <m/>
    <s v="-"/>
    <n v="1752270"/>
    <s v="25-09-2025"/>
    <n v="61.95"/>
    <n v="0"/>
    <m/>
    <m/>
    <n v="61.95"/>
    <m/>
    <m/>
    <m/>
  </r>
  <r>
    <n v="1010459"/>
    <x v="47"/>
    <s v="28-06-2025"/>
    <n v="7134260114946"/>
    <s v="W26C00003105"/>
    <s v="WAR26E000049"/>
    <s v="02-07-2025"/>
    <x v="3"/>
    <s v="MC1E4DJA2RP048396"/>
    <s v="D71040109"/>
    <s v="T-1"/>
    <s v="11-11-2023"/>
    <n v="1165"/>
    <s v="20-06-2025"/>
    <n v="5512"/>
    <m/>
    <m/>
    <n v="1"/>
    <s v="EL2026"/>
    <s v="Labour Charges"/>
    <n v="1"/>
    <n v="52.5"/>
    <s v="Accepted"/>
    <m/>
    <s v="-"/>
    <n v="1752280"/>
    <s v="25-09-2025"/>
    <n v="61.95"/>
    <n v="0"/>
    <m/>
    <m/>
    <n v="61.95"/>
    <m/>
    <m/>
    <m/>
  </r>
  <r>
    <n v="1010461"/>
    <x v="48"/>
    <s v="28-06-2025"/>
    <n v="7134260114939"/>
    <s v="W26C00003098"/>
    <s v="WAR26E000045"/>
    <s v="02-07-2025"/>
    <x v="3"/>
    <s v="MC1E4DGAXRP046838"/>
    <s v="D71034752"/>
    <s v="T-1"/>
    <s v="31-07-2023"/>
    <n v="1165"/>
    <s v="20-06-2025"/>
    <n v="11620"/>
    <m/>
    <m/>
    <n v="1"/>
    <s v="EL2026"/>
    <s v="Labour Charges"/>
    <n v="1"/>
    <n v="52.5"/>
    <s v="Accepted"/>
    <m/>
    <s v="-"/>
    <n v="1752275"/>
    <s v="25-09-2025"/>
    <n v="61.95"/>
    <n v="0"/>
    <m/>
    <m/>
    <n v="61.95"/>
    <m/>
    <m/>
    <m/>
  </r>
  <r>
    <n v="1010463"/>
    <x v="49"/>
    <s v="28-06-2025"/>
    <n v="7134260114929"/>
    <s v="W26C00003088"/>
    <s v="WAR26E000038"/>
    <s v="02-07-2025"/>
    <x v="3"/>
    <s v="MC1E4DDA6PP045445"/>
    <s v="D71030127"/>
    <s v="T-1"/>
    <s v="29-05-2023"/>
    <n v="1165"/>
    <s v="12-06-2025"/>
    <n v="70525"/>
    <m/>
    <m/>
    <n v="1"/>
    <s v="EL2026"/>
    <s v="Labour Charges"/>
    <n v="1"/>
    <n v="52.5"/>
    <s v="Accepted"/>
    <m/>
    <s v="-"/>
    <n v="1752269"/>
    <s v="25-09-2025"/>
    <n v="61.95"/>
    <n v="0"/>
    <m/>
    <m/>
    <n v="61.95"/>
    <m/>
    <m/>
    <m/>
  </r>
  <r>
    <n v="1010464"/>
    <x v="50"/>
    <s v="28-06-2025"/>
    <n v="7134260114962"/>
    <s v="W26C00003121"/>
    <s v="WAR26E000060"/>
    <s v="02-07-2025"/>
    <x v="3"/>
    <s v="MC1E4EKA5SP014270"/>
    <s v="D71063329"/>
    <s v="T-1"/>
    <s v="30-10-2024"/>
    <n v="1165"/>
    <s v="23-06-2025"/>
    <n v="41200"/>
    <m/>
    <m/>
    <n v="1"/>
    <s v="EL2026"/>
    <s v="Labour Charges"/>
    <n v="1"/>
    <n v="52.5"/>
    <s v="Accepted"/>
    <m/>
    <s v="-"/>
    <n v="1752291"/>
    <s v="25-09-2025"/>
    <n v="61.95"/>
    <n v="0"/>
    <m/>
    <m/>
    <n v="61.95"/>
    <m/>
    <m/>
    <m/>
  </r>
  <r>
    <n v="1010465"/>
    <x v="51"/>
    <s v="28-06-2025"/>
    <n v="7134260114979"/>
    <s v="W26C00003138"/>
    <s v="WAR26E000077"/>
    <s v="02-07-2025"/>
    <x v="3"/>
    <s v="MC1E4EAA7RP011477"/>
    <s v="D71044954"/>
    <s v="T-1"/>
    <s v="31-01-2024"/>
    <n v="1165"/>
    <s v="24-06-2025"/>
    <n v="106589"/>
    <m/>
    <m/>
    <n v="1"/>
    <s v="EL2026"/>
    <s v="Labour Charges"/>
    <n v="1"/>
    <n v="52.5"/>
    <s v="Accepted"/>
    <m/>
    <s v="-"/>
    <n v="1752308"/>
    <s v="25-09-2025"/>
    <n v="61.95"/>
    <n v="0"/>
    <m/>
    <m/>
    <n v="61.95"/>
    <m/>
    <m/>
    <m/>
  </r>
  <r>
    <n v="1010468"/>
    <x v="52"/>
    <s v="28-06-2025"/>
    <n v="7134260114936"/>
    <s v="W26C00003095"/>
    <s v="WAR26E000042"/>
    <s v="02-07-2025"/>
    <x v="3"/>
    <s v="MC1E4EFAXPP009874"/>
    <s v="D71033244"/>
    <s v="T-1"/>
    <s v="24-06-2023"/>
    <n v="1165"/>
    <s v="12-06-2025"/>
    <n v="128210"/>
    <m/>
    <m/>
    <n v="1"/>
    <s v="EL2026"/>
    <s v="Labour Charges"/>
    <n v="1"/>
    <n v="52.5"/>
    <s v="Accepted"/>
    <m/>
    <s v="-"/>
    <n v="1752273"/>
    <s v="25-09-2025"/>
    <n v="61.95"/>
    <n v="0"/>
    <m/>
    <m/>
    <n v="61.95"/>
    <m/>
    <m/>
    <m/>
  </r>
  <r>
    <n v="1010469"/>
    <x v="53"/>
    <s v="28-06-2025"/>
    <n v="7134260114948"/>
    <s v="W26C00003107"/>
    <s v="WAR26E000051"/>
    <s v="02-07-2025"/>
    <x v="3"/>
    <s v="MC1E4BJAXRP009043"/>
    <s v="D71038556"/>
    <s v="T-1"/>
    <s v="18-11-2023"/>
    <n v="1165"/>
    <s v="20-06-2025"/>
    <n v="16830"/>
    <m/>
    <m/>
    <n v="1"/>
    <s v="EL2026"/>
    <s v="Labour Charges"/>
    <n v="1"/>
    <n v="52.5"/>
    <s v="Accepted"/>
    <m/>
    <s v="-"/>
    <n v="1752282"/>
    <s v="25-09-2025"/>
    <n v="61.95"/>
    <n v="0"/>
    <m/>
    <m/>
    <n v="61.95"/>
    <m/>
    <m/>
    <m/>
  </r>
  <r>
    <n v="1010470"/>
    <x v="54"/>
    <s v="28-06-2025"/>
    <n v="7134260114578"/>
    <s v="W26C00002813"/>
    <s v="WAR26E000017"/>
    <s v="02-07-2025"/>
    <x v="3"/>
    <s v="MC1E4CJA7RP075927"/>
    <s v="D71039481"/>
    <s v="T-1"/>
    <s v="26-10-2023"/>
    <n v="1165"/>
    <s v="03-06-2025"/>
    <n v="3310"/>
    <m/>
    <m/>
    <n v="1"/>
    <s v="EL2026"/>
    <s v="Labour Charges"/>
    <n v="1"/>
    <n v="45"/>
    <s v="Accepted"/>
    <m/>
    <s v="-"/>
    <n v="1752248"/>
    <s v="25-09-2025"/>
    <n v="53.1"/>
    <n v="0"/>
    <m/>
    <m/>
    <n v="53.1"/>
    <m/>
    <m/>
    <m/>
  </r>
  <r>
    <n v="1010472"/>
    <x v="55"/>
    <s v="28-06-2025"/>
    <n v="7134260114969"/>
    <s v="W26C00003128"/>
    <s v="WAR26E000067"/>
    <s v="02-07-2025"/>
    <x v="3"/>
    <s v="MC1E4EKA1SP014315"/>
    <s v="D71063632"/>
    <s v="T-1"/>
    <s v="20-11-2024"/>
    <n v="1165"/>
    <s v="23-06-2025"/>
    <n v="31200"/>
    <m/>
    <m/>
    <n v="1"/>
    <s v="EL2026"/>
    <s v="Labour Charges"/>
    <n v="1"/>
    <n v="52.5"/>
    <s v="Accepted"/>
    <m/>
    <s v="-"/>
    <n v="1752298"/>
    <s v="25-09-2025"/>
    <n v="61.95"/>
    <n v="0"/>
    <m/>
    <m/>
    <n v="61.95"/>
    <m/>
    <m/>
    <m/>
  </r>
  <r>
    <n v="1010477"/>
    <x v="56"/>
    <s v="28-06-2025"/>
    <n v="7134260114977"/>
    <s v="W26C00003136"/>
    <s v="WAR26E000075"/>
    <s v="02-07-2025"/>
    <x v="3"/>
    <s v="MC1E4EAA5RP011526"/>
    <s v="D71045349"/>
    <s v="T-1"/>
    <s v="24-01-2024"/>
    <n v="1165"/>
    <s v="24-06-2025"/>
    <n v="71200"/>
    <m/>
    <m/>
    <n v="1"/>
    <s v="EL2026"/>
    <s v="Labour Charges"/>
    <n v="1"/>
    <n v="52.5"/>
    <s v="Accepted"/>
    <m/>
    <s v="-"/>
    <n v="1752306"/>
    <s v="25-09-2025"/>
    <n v="61.95"/>
    <n v="0"/>
    <m/>
    <m/>
    <n v="61.95"/>
    <m/>
    <m/>
    <m/>
  </r>
  <r>
    <n v="1010478"/>
    <x v="57"/>
    <s v="28-06-2025"/>
    <n v="7134260114968"/>
    <s v="W26C00003127"/>
    <s v="WAR26E000066"/>
    <s v="02-07-2025"/>
    <x v="3"/>
    <s v="MC1E4DKA3SP054910"/>
    <s v="D71063808"/>
    <s v="T-1"/>
    <s v="19-11-2024"/>
    <n v="1165"/>
    <s v="23-06-2025"/>
    <n v="2856"/>
    <m/>
    <m/>
    <n v="1"/>
    <s v="EL2026"/>
    <s v="Labour Charges"/>
    <n v="1"/>
    <n v="52.5"/>
    <s v="Accepted"/>
    <m/>
    <s v="-"/>
    <n v="1752297"/>
    <s v="25-09-2025"/>
    <n v="61.95"/>
    <n v="0"/>
    <m/>
    <m/>
    <n v="61.95"/>
    <m/>
    <m/>
    <m/>
  </r>
  <r>
    <n v="1010481"/>
    <x v="58"/>
    <s v="28-06-2025"/>
    <n v="7134260114981"/>
    <s v="W26C00003140"/>
    <s v="WAR26E000079"/>
    <s v="02-07-2025"/>
    <x v="3"/>
    <s v="MC1E4EAA4RP011520"/>
    <s v="D71045359"/>
    <s v="T-1"/>
    <s v="10-02-2024"/>
    <n v="1165"/>
    <s v="24-06-2025"/>
    <n v="67120"/>
    <m/>
    <m/>
    <n v="1"/>
    <s v="EL2026"/>
    <s v="Labour Charges"/>
    <n v="1"/>
    <n v="52.5"/>
    <s v="Accepted"/>
    <m/>
    <s v="-"/>
    <n v="1752310"/>
    <s v="25-09-2025"/>
    <n v="61.95"/>
    <n v="0"/>
    <m/>
    <m/>
    <n v="61.95"/>
    <m/>
    <m/>
    <m/>
  </r>
  <r>
    <n v="1010482"/>
    <x v="59"/>
    <s v="28-06-2025"/>
    <n v="7134260114571"/>
    <s v="W26C00002806"/>
    <s v="WAR26E000010"/>
    <s v="02-07-2025"/>
    <x v="2"/>
    <s v="MC1E4BJA8RP009039"/>
    <s v="D71038558"/>
    <s v="T-1"/>
    <s v="19-10-2023"/>
    <n v="1165"/>
    <s v="03-06-2025"/>
    <n v="9310"/>
    <m/>
    <m/>
    <n v="1"/>
    <s v="EL2026"/>
    <s v="Labour Charges"/>
    <n v="1"/>
    <n v="45"/>
    <s v="Accepted"/>
    <m/>
    <s v="-"/>
    <n v="1752241"/>
    <s v="25-09-2025"/>
    <n v="53.1"/>
    <n v="0"/>
    <m/>
    <m/>
    <n v="53.1"/>
    <m/>
    <m/>
    <m/>
  </r>
  <r>
    <n v="1010483"/>
    <x v="60"/>
    <s v="28-06-2025"/>
    <n v="7134260114914"/>
    <s v="W26C00003073"/>
    <s v="WAR26E000031"/>
    <s v="02-07-2025"/>
    <x v="3"/>
    <s v="MC1E4EDA8PP009522"/>
    <s v="D71030124"/>
    <s v="T-1"/>
    <s v="09-05-2023"/>
    <n v="1165"/>
    <s v="12-06-2025"/>
    <n v="80600"/>
    <m/>
    <m/>
    <n v="1"/>
    <s v="EL2026"/>
    <s v="Labour Charges"/>
    <n v="1"/>
    <n v="52.5"/>
    <s v="Accepted"/>
    <m/>
    <s v="-"/>
    <n v="1752262"/>
    <s v="25-09-2025"/>
    <n v="61.95"/>
    <n v="0"/>
    <m/>
    <m/>
    <n v="61.95"/>
    <m/>
    <m/>
    <m/>
  </r>
  <r>
    <n v="1010485"/>
    <x v="61"/>
    <s v="28-06-2025"/>
    <n v="7134260114371"/>
    <s v="W26C00002666"/>
    <s v="WAR26E000004"/>
    <s v="02-07-2025"/>
    <x v="4"/>
    <s v="MC1E4CAA9SP083498"/>
    <s v="D71069177"/>
    <s v="T-1"/>
    <s v="20-02-2025"/>
    <m/>
    <s v="04-05-2025"/>
    <n v="1788"/>
    <m/>
    <m/>
    <n v="1"/>
    <s v="VT8"/>
    <s v="Labour Charges"/>
    <n v="1"/>
    <n v="1200"/>
    <s v="Accepted"/>
    <m/>
    <s v="-"/>
    <n v="1752235"/>
    <s v="25-09-2025"/>
    <n v="1416"/>
    <n v="0"/>
    <m/>
    <m/>
    <n v="1416"/>
    <m/>
    <m/>
    <s v="127 km x 2 = 254 kms x 10rs = 2540"/>
  </r>
  <r>
    <n v="1010485"/>
    <x v="61"/>
    <s v="28-06-2025"/>
    <n v="7134260114371"/>
    <s v="W26C00002666"/>
    <s v="WAR26E000004"/>
    <s v="02-07-2025"/>
    <x v="4"/>
    <s v="MC1E4CAA9SP083498"/>
    <s v="D71069177"/>
    <s v="T-1"/>
    <s v="20-02-2025"/>
    <m/>
    <s v="04-05-2025"/>
    <n v="1788"/>
    <m/>
    <m/>
    <n v="2"/>
    <s v="VT9-175 KM"/>
    <s v="Labour Charges"/>
    <n v="1"/>
    <n v="1312.5"/>
    <s v="Accepted"/>
    <m/>
    <s v="-"/>
    <n v="1752235"/>
    <s v="25-09-2025"/>
    <n v="1548.75"/>
    <n v="0"/>
    <m/>
    <m/>
    <n v="1548.75"/>
    <m/>
    <m/>
    <s v="127 km x 2 = 254 kms x 10rs = 2540"/>
  </r>
  <r>
    <n v="1010487"/>
    <x v="62"/>
    <s v="28-06-2025"/>
    <n v="7134260114824"/>
    <s v="W26C00003002"/>
    <s v="WAR26E000029"/>
    <s v="02-07-2025"/>
    <x v="3"/>
    <s v="MC1E4DCA5PP045003"/>
    <s v="D71028083"/>
    <s v="T-1"/>
    <s v="03-05-2023"/>
    <n v="1165"/>
    <s v="06-06-2025"/>
    <n v="18800"/>
    <m/>
    <m/>
    <n v="1"/>
    <s v="EL2026"/>
    <s v="Labour Charges"/>
    <n v="1"/>
    <n v="52.5"/>
    <s v="Accepted"/>
    <m/>
    <s v="-"/>
    <n v="1752260"/>
    <s v="25-09-2025"/>
    <n v="61.95"/>
    <n v="0"/>
    <m/>
    <m/>
    <n v="61.95"/>
    <m/>
    <m/>
    <m/>
  </r>
  <r>
    <n v="1010488"/>
    <x v="63"/>
    <s v="28-06-2025"/>
    <n v="7134260114963"/>
    <s v="W26C00003122"/>
    <s v="WAR26E000061"/>
    <s v="02-07-2025"/>
    <x v="3"/>
    <s v="MC1E4EKA2SP014274"/>
    <s v="D71063383"/>
    <s v="T-1"/>
    <s v="30-10-2024"/>
    <n v="1165"/>
    <s v="23-06-2025"/>
    <n v="20200"/>
    <m/>
    <m/>
    <n v="1"/>
    <s v="EL2026"/>
    <s v="Labour Charges"/>
    <n v="1"/>
    <n v="52.5"/>
    <s v="Accepted"/>
    <m/>
    <s v="-"/>
    <n v="1752292"/>
    <s v="25-09-2025"/>
    <n v="61.95"/>
    <n v="0"/>
    <m/>
    <m/>
    <n v="61.95"/>
    <m/>
    <m/>
    <m/>
  </r>
  <r>
    <n v="1010490"/>
    <x v="64"/>
    <s v="30-06-2025"/>
    <n v="7134260115223"/>
    <s v="W26C00003363"/>
    <s v="WAR26E000085"/>
    <s v="02-07-2025"/>
    <x v="3"/>
    <s v="MC1E4EAA5RP011669"/>
    <s v="D71046362"/>
    <s v="T-1"/>
    <s v="09-03-2024"/>
    <n v="1165"/>
    <s v="26-06-2025"/>
    <n v="56200"/>
    <m/>
    <m/>
    <n v="1"/>
    <s v="EL2026"/>
    <s v="Labour Charges"/>
    <n v="1"/>
    <n v="52.5"/>
    <s v="Accepted"/>
    <m/>
    <s v="-"/>
    <n v="1752317"/>
    <s v="25-09-2025"/>
    <n v="61.95"/>
    <n v="0"/>
    <m/>
    <m/>
    <n v="61.95"/>
    <m/>
    <m/>
    <m/>
  </r>
  <r>
    <n v="1010492"/>
    <x v="65"/>
    <s v="28-06-2025"/>
    <n v="7134260114952"/>
    <s v="W26C00003111"/>
    <s v="WAR26E000055"/>
    <s v="02-07-2025"/>
    <x v="3"/>
    <s v="MC1E4DJA3RP048424"/>
    <s v="D71040137"/>
    <s v="T-1"/>
    <s v="28-11-2023"/>
    <n v="1165"/>
    <s v="20-06-2025"/>
    <n v="35960"/>
    <m/>
    <m/>
    <n v="1"/>
    <s v="EL2026"/>
    <s v="Labour Charges"/>
    <n v="1"/>
    <n v="52.5"/>
    <s v="Accepted"/>
    <m/>
    <s v="-"/>
    <n v="1752286"/>
    <s v="25-09-2025"/>
    <n v="61.95"/>
    <n v="0"/>
    <m/>
    <m/>
    <n v="61.95"/>
    <m/>
    <m/>
    <m/>
  </r>
  <r>
    <n v="1010493"/>
    <x v="66"/>
    <s v="28-06-2025"/>
    <n v="7134260114574"/>
    <s v="W26C00002809"/>
    <s v="WAR26E000013"/>
    <s v="02-07-2025"/>
    <x v="2"/>
    <s v="MC1E4EKAXRP010712"/>
    <s v="D71040328"/>
    <s v="T-1"/>
    <s v="21-10-2023"/>
    <n v="1165"/>
    <s v="03-06-2025"/>
    <n v="124610"/>
    <m/>
    <m/>
    <n v="1"/>
    <s v="EL2026"/>
    <s v="Labour Charges"/>
    <n v="1"/>
    <n v="45"/>
    <s v="Accepted"/>
    <m/>
    <s v="-"/>
    <n v="1752244"/>
    <s v="25-09-2025"/>
    <n v="53.1"/>
    <n v="0"/>
    <m/>
    <m/>
    <n v="53.1"/>
    <m/>
    <m/>
    <m/>
  </r>
  <r>
    <n v="1010494"/>
    <x v="67"/>
    <s v="28-06-2025"/>
    <n v="7134260114334"/>
    <s v="W26C00002630"/>
    <s v="WAR26E000002"/>
    <s v="02-07-2025"/>
    <x v="2"/>
    <s v="MC1E4ECA1SP015608"/>
    <s v="D71075838"/>
    <s v="T-1"/>
    <s v="10-04-2025"/>
    <m/>
    <s v="04-05-2025"/>
    <n v="1845"/>
    <m/>
    <m/>
    <n v="1"/>
    <s v="T006865423817"/>
    <s v="VEHICLE SPEED SENSOR"/>
    <n v="1"/>
    <n v="290.99"/>
    <s v="Accepted"/>
    <m/>
    <s v="-"/>
    <n v="1752233"/>
    <s v="25-09-2025"/>
    <n v="343.37"/>
    <n v="0"/>
    <m/>
    <m/>
    <n v="343.37"/>
    <m/>
    <m/>
    <m/>
  </r>
  <r>
    <n v="1010494"/>
    <x v="67"/>
    <s v="28-06-2025"/>
    <n v="7134260114334"/>
    <s v="W26C00002630"/>
    <s v="WAR26E000002"/>
    <s v="02-07-2025"/>
    <x v="2"/>
    <s v="MC1E4ECA1SP015608"/>
    <s v="D71075838"/>
    <s v="T-1"/>
    <s v="10-04-2025"/>
    <m/>
    <s v="04-05-2025"/>
    <n v="1845"/>
    <m/>
    <m/>
    <n v="2"/>
    <s v="ELCO2"/>
    <s v="Labour Charges"/>
    <n v="1"/>
    <n v="45"/>
    <s v="Accepted"/>
    <m/>
    <s v="-"/>
    <n v="1752233"/>
    <s v="25-09-2025"/>
    <n v="53.1"/>
    <n v="0"/>
    <m/>
    <m/>
    <n v="53.1"/>
    <m/>
    <m/>
    <m/>
  </r>
  <r>
    <n v="1010495"/>
    <x v="68"/>
    <s v="28-06-2025"/>
    <n v="7134260114821"/>
    <s v="W26C00002999"/>
    <s v="WAR26E000026"/>
    <s v="02-07-2025"/>
    <x v="3"/>
    <s v="MC1E4ECA4PP009311"/>
    <s v="D71027353"/>
    <s v="T-1"/>
    <s v="28-04-2023"/>
    <n v="1165"/>
    <s v="06-06-2025"/>
    <n v="140700"/>
    <m/>
    <m/>
    <n v="1"/>
    <s v="EL2026"/>
    <s v="Labour Charges"/>
    <n v="1"/>
    <n v="52.5"/>
    <s v="Accepted"/>
    <m/>
    <s v="-"/>
    <n v="1752257"/>
    <s v="25-09-2025"/>
    <n v="61.95"/>
    <n v="0"/>
    <m/>
    <m/>
    <n v="61.95"/>
    <m/>
    <m/>
    <m/>
  </r>
  <r>
    <n v="1010496"/>
    <x v="69"/>
    <s v="28-06-2025"/>
    <n v="7134260114938"/>
    <s v="W26C00003097"/>
    <s v="WAR26E000044"/>
    <s v="02-07-2025"/>
    <x v="3"/>
    <s v="MC1E4EFA5PP009796"/>
    <s v="D71032748"/>
    <s v="T-1"/>
    <s v="27-06-2023"/>
    <n v="1160"/>
    <s v="12-06-2025"/>
    <n v="81100"/>
    <m/>
    <m/>
    <n v="1"/>
    <s v="EL2026"/>
    <s v="Labour Charges"/>
    <n v="1"/>
    <n v="52.5"/>
    <s v="Accepted"/>
    <m/>
    <s v="-"/>
    <n v="1752276"/>
    <s v="25-09-2025"/>
    <n v="61.95"/>
    <n v="0"/>
    <m/>
    <m/>
    <n v="61.95"/>
    <m/>
    <m/>
    <m/>
  </r>
  <r>
    <n v="1010497"/>
    <x v="70"/>
    <s v="30-06-2025"/>
    <n v="7134260115224"/>
    <s v="W26C00003364"/>
    <s v="WAR26E000086"/>
    <s v="02-07-2025"/>
    <x v="3"/>
    <s v="MC1E4EAA5RP011672"/>
    <s v="D71046345"/>
    <s v="T-1"/>
    <s v="09-03-2024"/>
    <n v="1165"/>
    <s v="26-06-2025"/>
    <n v="53120"/>
    <m/>
    <m/>
    <n v="1"/>
    <s v="EL2026"/>
    <s v="Labour Charges"/>
    <n v="1"/>
    <n v="52.5"/>
    <s v="Accepted"/>
    <m/>
    <s v="-"/>
    <n v="1752316"/>
    <s v="25-09-2025"/>
    <n v="61.95"/>
    <n v="0"/>
    <m/>
    <m/>
    <n v="61.95"/>
    <m/>
    <m/>
    <m/>
  </r>
  <r>
    <n v="1010498"/>
    <x v="71"/>
    <s v="30-06-2025"/>
    <n v="7134260115232"/>
    <s v="W26C00003372"/>
    <s v="WAR26E000094"/>
    <s v="02-07-2025"/>
    <x v="3"/>
    <s v="MC1E4BJA6RP009072"/>
    <s v="D71039961"/>
    <s v="T-1"/>
    <s v="23-03-2024"/>
    <n v="1165"/>
    <s v="26-06-2025"/>
    <n v="29920"/>
    <m/>
    <m/>
    <n v="1"/>
    <s v="EL2026"/>
    <s v="Labour Charges"/>
    <n v="1"/>
    <n v="52.5"/>
    <s v="Accepted"/>
    <m/>
    <s v="-"/>
    <n v="1752325"/>
    <s v="25-09-2025"/>
    <n v="61.95"/>
    <n v="0"/>
    <m/>
    <m/>
    <n v="61.95"/>
    <m/>
    <m/>
    <m/>
  </r>
  <r>
    <n v="1010499"/>
    <x v="72"/>
    <s v="28-06-2025"/>
    <n v="7134260114569"/>
    <s v="W26C00002804"/>
    <s v="WAR26E000008"/>
    <s v="02-07-2025"/>
    <x v="2"/>
    <s v="MC1E4EJA6RP010627"/>
    <s v="D71039725"/>
    <s v="T-1"/>
    <s v="17-10-2023"/>
    <n v="1165"/>
    <s v="03-06-2025"/>
    <n v="43710"/>
    <m/>
    <m/>
    <n v="1"/>
    <s v="EL2026"/>
    <s v="Labour Charges"/>
    <n v="1"/>
    <n v="45"/>
    <s v="Accepted"/>
    <m/>
    <s v="-"/>
    <n v="1752239"/>
    <s v="25-09-2025"/>
    <n v="53.1"/>
    <n v="0"/>
    <m/>
    <m/>
    <n v="53.1"/>
    <m/>
    <m/>
    <m/>
  </r>
  <r>
    <n v="1010501"/>
    <x v="73"/>
    <s v="28-06-2025"/>
    <n v="7134260114950"/>
    <s v="W26C00003109"/>
    <s v="WAR26E000053"/>
    <s v="02-07-2025"/>
    <x v="3"/>
    <s v="MC1E4BHA0RP009011"/>
    <s v="D71038967"/>
    <s v="T-1"/>
    <s v="27-11-2023"/>
    <n v="1165"/>
    <s v="20-06-2025"/>
    <n v="29920"/>
    <m/>
    <m/>
    <n v="1"/>
    <s v="EL2026"/>
    <s v="Labour Charges"/>
    <n v="1"/>
    <n v="52.5"/>
    <s v="Accepted"/>
    <m/>
    <s v="-"/>
    <n v="1752284"/>
    <s v="25-09-2025"/>
    <n v="61.95"/>
    <n v="0"/>
    <m/>
    <m/>
    <n v="61.95"/>
    <m/>
    <m/>
    <m/>
  </r>
  <r>
    <n v="1010504"/>
    <x v="74"/>
    <s v="28-06-2025"/>
    <n v="7134260114372"/>
    <s v="W26C00002667"/>
    <s v="WAR26E000005"/>
    <s v="02-07-2025"/>
    <x v="4"/>
    <s v="MC1E4CAA9SP083694"/>
    <s v="D71069528"/>
    <s v="T-1"/>
    <s v="23-03-2025"/>
    <m/>
    <s v="04-05-2025"/>
    <n v="1779"/>
    <m/>
    <m/>
    <n v="1"/>
    <s v="VT8"/>
    <s v="Labour Charges"/>
    <n v="1"/>
    <n v="1200"/>
    <s v="Accepted"/>
    <m/>
    <s v="-"/>
    <n v="1752236"/>
    <s v="25-09-2025"/>
    <n v="1416"/>
    <n v="0"/>
    <m/>
    <m/>
    <n v="1416"/>
    <m/>
    <m/>
    <s v="394 kms x 10rs = 3940 rs"/>
  </r>
  <r>
    <n v="1010504"/>
    <x v="74"/>
    <s v="28-06-2025"/>
    <n v="7134260114372"/>
    <s v="W26C00002667"/>
    <s v="WAR26E000005"/>
    <s v="02-07-2025"/>
    <x v="4"/>
    <s v="MC1E4CAA9SP083694"/>
    <s v="D71069528"/>
    <s v="T-1"/>
    <s v="23-03-2025"/>
    <m/>
    <s v="04-05-2025"/>
    <n v="1779"/>
    <m/>
    <m/>
    <n v="2"/>
    <s v="VT9-200 KM"/>
    <s v="Labour Charges"/>
    <n v="1"/>
    <n v="1500"/>
    <s v="Accepted"/>
    <m/>
    <s v="-"/>
    <n v="1752236"/>
    <s v="25-09-2025"/>
    <n v="1770"/>
    <n v="0"/>
    <m/>
    <m/>
    <n v="1770"/>
    <m/>
    <m/>
    <s v="394 kms x 10rs = 3940 rs"/>
  </r>
  <r>
    <n v="1010506"/>
    <x v="75"/>
    <s v="30-06-2025"/>
    <n v="7134260115233"/>
    <s v="W26C00003373"/>
    <s v="WAR26E000095"/>
    <s v="02-07-2025"/>
    <x v="3"/>
    <s v="MC1E4EBA7RP011896"/>
    <s v="D71048169"/>
    <s v="T-1"/>
    <s v="28-03-2024"/>
    <n v="1165"/>
    <s v="26-06-2025"/>
    <n v="17120"/>
    <m/>
    <m/>
    <n v="1"/>
    <s v="EL2026"/>
    <s v="Labour Charges"/>
    <n v="1"/>
    <n v="52.5"/>
    <s v="Accepted"/>
    <m/>
    <s v="-"/>
    <n v="1752326"/>
    <s v="25-09-2025"/>
    <n v="61.95"/>
    <n v="0"/>
    <m/>
    <m/>
    <n v="61.95"/>
    <m/>
    <m/>
    <m/>
  </r>
  <r>
    <n v="1010508"/>
    <x v="76"/>
    <s v="28-06-2025"/>
    <n v="7134260114816"/>
    <s v="W26C00002995"/>
    <s v="WAR26E000022"/>
    <s v="02-07-2025"/>
    <x v="3"/>
    <s v="MC1E4DCA3PP044948"/>
    <s v="D71028191"/>
    <s v="T-1"/>
    <s v="15-04-2023"/>
    <n v="1165"/>
    <s v="06-06-2025"/>
    <n v="16600"/>
    <m/>
    <m/>
    <n v="1"/>
    <s v="EL2026"/>
    <s v="Labour Charges"/>
    <n v="1"/>
    <n v="52.5"/>
    <s v="Accepted"/>
    <m/>
    <s v="-"/>
    <n v="1752253"/>
    <s v="25-09-2025"/>
    <n v="61.95"/>
    <n v="0"/>
    <m/>
    <m/>
    <n v="61.95"/>
    <m/>
    <m/>
    <m/>
  </r>
  <r>
    <n v="1010512"/>
    <x v="77"/>
    <s v="28-06-2025"/>
    <n v="7134260114818"/>
    <s v="W26C00002997"/>
    <s v="WAR26E000024"/>
    <s v="02-07-2025"/>
    <x v="3"/>
    <s v="MC1E4DCA1PP045015"/>
    <s v="D71028058"/>
    <s v="T-1"/>
    <s v="19-04-2023"/>
    <n v="1165"/>
    <s v="06-06-2025"/>
    <n v="10500"/>
    <m/>
    <m/>
    <n v="1"/>
    <s v="EL2026"/>
    <s v="Labour Charges"/>
    <n v="1"/>
    <n v="52.5"/>
    <s v="Accepted"/>
    <m/>
    <s v="-"/>
    <n v="1752255"/>
    <s v="25-09-2025"/>
    <n v="61.95"/>
    <n v="0"/>
    <m/>
    <m/>
    <n v="61.95"/>
    <m/>
    <m/>
    <m/>
  </r>
  <r>
    <n v="1010514"/>
    <x v="78"/>
    <s v="28-06-2025"/>
    <n v="7134260114954"/>
    <s v="W26C00003113"/>
    <s v="WAR26E000057"/>
    <s v="02-07-2025"/>
    <x v="3"/>
    <s v="MC1E4EKA0RP010752"/>
    <s v="D71040644"/>
    <s v="T-1"/>
    <s v="15-12-2023"/>
    <n v="1165"/>
    <s v="20-06-2025"/>
    <n v="137020"/>
    <m/>
    <m/>
    <n v="1"/>
    <s v="EL2026"/>
    <s v="Labour Charges"/>
    <n v="1"/>
    <n v="52.5"/>
    <s v="Accepted"/>
    <m/>
    <s v="-"/>
    <n v="1752288"/>
    <s v="25-09-2025"/>
    <n v="61.95"/>
    <n v="0"/>
    <m/>
    <m/>
    <n v="61.95"/>
    <m/>
    <m/>
    <m/>
  </r>
  <r>
    <n v="1010515"/>
    <x v="79"/>
    <s v="28-06-2025"/>
    <n v="7134260114819"/>
    <s v="W26C00002998"/>
    <s v="WAR26E000025"/>
    <s v="02-07-2025"/>
    <x v="3"/>
    <s v="MC1E4ECA8PP009392"/>
    <s v="D71028489"/>
    <s v="T-1"/>
    <s v="28-04-2023"/>
    <n v="1165"/>
    <s v="06-06-2025"/>
    <n v="90800"/>
    <m/>
    <m/>
    <n v="1"/>
    <s v="EL2026"/>
    <s v="Labour Charges"/>
    <n v="1"/>
    <n v="52.5"/>
    <s v="Accepted"/>
    <m/>
    <s v="-"/>
    <n v="1752256"/>
    <s v="25-09-2025"/>
    <n v="61.95"/>
    <n v="0"/>
    <m/>
    <m/>
    <n v="61.95"/>
    <m/>
    <m/>
    <m/>
  </r>
  <r>
    <n v="1010518"/>
    <x v="80"/>
    <s v="28-06-2025"/>
    <n v="7134260114576"/>
    <s v="W26C00002811"/>
    <s v="WAR26E000015"/>
    <s v="02-07-2025"/>
    <x v="2"/>
    <s v="MC1E4DJA0RP048431"/>
    <s v="D71039918"/>
    <s v="T-1"/>
    <s v="24-10-2023"/>
    <n v="1165"/>
    <s v="03-06-2025"/>
    <n v="84111"/>
    <m/>
    <m/>
    <n v="1"/>
    <s v="EL2026"/>
    <s v="Labour Charges"/>
    <n v="1"/>
    <n v="45"/>
    <s v="Accepted"/>
    <m/>
    <s v="-"/>
    <n v="1752246"/>
    <s v="25-09-2025"/>
    <n v="53.1"/>
    <n v="0"/>
    <m/>
    <m/>
    <n v="53.1"/>
    <m/>
    <m/>
    <m/>
  </r>
  <r>
    <n v="1010521"/>
    <x v="81"/>
    <s v="28-06-2025"/>
    <n v="7134260114815"/>
    <s v="W26C00002994"/>
    <s v="WAR26E000021"/>
    <s v="02-07-2025"/>
    <x v="3"/>
    <s v="MC1E4DCA4PP044814"/>
    <s v="D71027315"/>
    <s v="T-1"/>
    <s v="31-03-2023"/>
    <n v="1165"/>
    <s v="06-06-2025"/>
    <n v="161110"/>
    <m/>
    <m/>
    <n v="1"/>
    <s v="EL2026"/>
    <s v="Labour Charges"/>
    <n v="1"/>
    <n v="52.5"/>
    <s v="Accepted"/>
    <m/>
    <s v="-"/>
    <n v="1752252"/>
    <s v="25-09-2025"/>
    <n v="61.95"/>
    <n v="0"/>
    <m/>
    <m/>
    <n v="61.95"/>
    <m/>
    <m/>
    <m/>
  </r>
  <r>
    <n v="1010522"/>
    <x v="82"/>
    <s v="28-06-2025"/>
    <n v="7134260114916"/>
    <s v="W26C00003075"/>
    <s v="WAR26E000032"/>
    <s v="02-07-2025"/>
    <x v="3"/>
    <s v="MC1E4DCAXPP045000"/>
    <s v="D71028118"/>
    <s v="T-1"/>
    <s v="10-05-2023"/>
    <n v="1165"/>
    <s v="12-06-2025"/>
    <n v="27300"/>
    <m/>
    <m/>
    <n v="1"/>
    <s v="EL2026"/>
    <s v="Labour Charges"/>
    <n v="1"/>
    <n v="52.5"/>
    <s v="Accepted"/>
    <m/>
    <s v="-"/>
    <n v="1752263"/>
    <s v="25-09-2025"/>
    <n v="61.95"/>
    <n v="0"/>
    <m/>
    <m/>
    <n v="61.95"/>
    <m/>
    <m/>
    <m/>
  </r>
  <r>
    <n v="1010523"/>
    <x v="83"/>
    <s v="28-06-2025"/>
    <n v="7134260114579"/>
    <s v="W26C00002814"/>
    <s v="WAR26E000018"/>
    <s v="02-07-2025"/>
    <x v="3"/>
    <s v="MC1E4CJA9RP075928"/>
    <s v="D71039590"/>
    <s v="T-1"/>
    <s v="27-10-2023"/>
    <n v="1165"/>
    <s v="03-06-2025"/>
    <n v="3114"/>
    <m/>
    <m/>
    <n v="1"/>
    <s v="EL2026"/>
    <s v="Labour Charges"/>
    <n v="1"/>
    <n v="45"/>
    <s v="Accepted"/>
    <m/>
    <s v="-"/>
    <n v="1752249"/>
    <s v="25-09-2025"/>
    <n v="53.1"/>
    <n v="0"/>
    <m/>
    <m/>
    <n v="53.1"/>
    <m/>
    <m/>
    <m/>
  </r>
  <r>
    <n v="1010525"/>
    <x v="84"/>
    <s v="28-06-2025"/>
    <n v="7134260114951"/>
    <s v="W26C00003110"/>
    <s v="WAR26E000054"/>
    <s v="02-07-2025"/>
    <x v="3"/>
    <s v="MC1E4DJAXRP048338"/>
    <s v="D71040051"/>
    <s v="T-1"/>
    <s v="28-11-2023"/>
    <n v="1165"/>
    <s v="20-06-2025"/>
    <n v="11102"/>
    <m/>
    <m/>
    <n v="1"/>
    <s v="EL2026"/>
    <s v="Labour Charges"/>
    <n v="1"/>
    <n v="52.5"/>
    <s v="Accepted"/>
    <m/>
    <s v="-"/>
    <n v="1752285"/>
    <s v="25-09-2025"/>
    <n v="61.95"/>
    <n v="0"/>
    <m/>
    <m/>
    <n v="61.95"/>
    <m/>
    <m/>
    <m/>
  </r>
  <r>
    <n v="1010526"/>
    <x v="85"/>
    <s v="30-06-2025"/>
    <n v="7134260115227"/>
    <s v="W26C00003367"/>
    <s v="WAR26E000089"/>
    <s v="02-07-2025"/>
    <x v="3"/>
    <s v="MC1E4DAA9RP050419"/>
    <s v="D71045974"/>
    <s v="T-1"/>
    <s v="15-03-2024"/>
    <n v="1165"/>
    <s v="26-06-2025"/>
    <n v="13200"/>
    <m/>
    <m/>
    <n v="1"/>
    <s v="EL2026"/>
    <s v="Labour Charges"/>
    <n v="1"/>
    <n v="52.5"/>
    <s v="Accepted"/>
    <m/>
    <s v="-"/>
    <n v="1752320"/>
    <s v="25-09-2025"/>
    <n v="61.95"/>
    <n v="0"/>
    <m/>
    <m/>
    <n v="61.95"/>
    <m/>
    <m/>
    <m/>
  </r>
  <r>
    <n v="1010527"/>
    <x v="86"/>
    <s v="28-06-2025"/>
    <n v="7134260114567"/>
    <s v="W26C00002802"/>
    <s v="WAR26E000006"/>
    <s v="02-07-2025"/>
    <x v="2"/>
    <s v="MC1E4EJA1RP010602"/>
    <s v="D71039527"/>
    <s v="T-1"/>
    <s v="12-10-2023"/>
    <n v="1165"/>
    <s v="03-06-2025"/>
    <n v="70100"/>
    <m/>
    <m/>
    <n v="1"/>
    <s v="EL2026"/>
    <s v="Labour Charges"/>
    <n v="1"/>
    <n v="45"/>
    <s v="Accepted"/>
    <m/>
    <s v="-"/>
    <n v="1752237"/>
    <s v="25-09-2025"/>
    <n v="53.1"/>
    <n v="0"/>
    <m/>
    <m/>
    <n v="53.1"/>
    <m/>
    <m/>
    <m/>
  </r>
  <r>
    <n v="1010528"/>
    <x v="87"/>
    <s v="28-06-2025"/>
    <n v="7134260114974"/>
    <s v="W26C00003133"/>
    <s v="WAR26E000072"/>
    <s v="02-07-2025"/>
    <x v="3"/>
    <s v="MC1E4EKA4SP014275"/>
    <s v="D71063275"/>
    <s v="T-1"/>
    <s v="29-10-2024"/>
    <n v="1165"/>
    <s v="23-06-2025"/>
    <n v="41200"/>
    <m/>
    <m/>
    <n v="1"/>
    <s v="EL2026"/>
    <s v="Labour Charges"/>
    <n v="1"/>
    <n v="52.5"/>
    <s v="Accepted"/>
    <m/>
    <s v="-"/>
    <n v="1752303"/>
    <s v="25-09-2025"/>
    <n v="61.95"/>
    <n v="0"/>
    <m/>
    <m/>
    <n v="61.95"/>
    <m/>
    <m/>
    <m/>
  </r>
  <r>
    <n v="1010532"/>
    <x v="88"/>
    <s v="28-06-2025"/>
    <n v="7134260114975"/>
    <s v="W26C00003134"/>
    <s v="WAR26E000073"/>
    <s v="02-07-2025"/>
    <x v="3"/>
    <s v="MC1E4EEAXPP009682"/>
    <s v="D71031955"/>
    <s v="T-1"/>
    <s v="31-05-2023"/>
    <n v="1165"/>
    <s v="23-06-2025"/>
    <n v="198523"/>
    <m/>
    <m/>
    <n v="1"/>
    <s v="EL2026"/>
    <s v="Labour Charges"/>
    <n v="1"/>
    <n v="52.5"/>
    <s v="Accepted"/>
    <m/>
    <s v="-"/>
    <n v="1752304"/>
    <s v="25-09-2025"/>
    <n v="61.95"/>
    <n v="0"/>
    <m/>
    <m/>
    <n v="61.95"/>
    <m/>
    <m/>
    <m/>
  </r>
  <r>
    <n v="1011281"/>
    <x v="89"/>
    <s v="31-07-2025"/>
    <n v="7134260116171"/>
    <s v="W26C00004156"/>
    <s v="WAR26E000099"/>
    <s v="04-08-2025"/>
    <x v="5"/>
    <s v="MC1E4CAAXSP083574"/>
    <s v="D71069315"/>
    <s v="T-1"/>
    <s v="23-03-2025"/>
    <m/>
    <s v="22-07-2025"/>
    <n v="31101"/>
    <m/>
    <m/>
    <n v="1"/>
    <s v="XFOIL00016"/>
    <s v="COOLANT BS6"/>
    <n v="8"/>
    <n v="3216"/>
    <s v="Rejected"/>
    <n v="29"/>
    <s v="THIS PART IS NOT COVERED UNDER WARRANTY."/>
    <n v="1754009"/>
    <s v="03-12-2025"/>
    <n v="3794.88"/>
    <n v="3794.88"/>
    <n v="1517834"/>
    <s v="03-12-2025"/>
    <n v="0"/>
    <m/>
    <m/>
    <m/>
  </r>
  <r>
    <n v="1011281"/>
    <x v="89"/>
    <s v="31-07-2025"/>
    <n v="7134260116171"/>
    <s v="W26C00004156"/>
    <s v="WAR26E000099"/>
    <s v="04-08-2025"/>
    <x v="5"/>
    <s v="MC1E4CAAXSP083574"/>
    <s v="D71069315"/>
    <s v="T-1"/>
    <s v="23-03-2025"/>
    <m/>
    <s v="22-07-2025"/>
    <n v="31101"/>
    <m/>
    <m/>
    <n v="2"/>
    <s v="T006865007003"/>
    <s v="RADIATOR ASLY"/>
    <n v="1"/>
    <n v="8496.56"/>
    <s v="Accepted"/>
    <m/>
    <s v="-"/>
    <n v="1754009"/>
    <s v="03-12-2025"/>
    <n v="10875.6"/>
    <n v="0"/>
    <m/>
    <m/>
    <n v="10875.6"/>
    <m/>
    <m/>
    <m/>
  </r>
  <r>
    <n v="1011281"/>
    <x v="89"/>
    <s v="31-07-2025"/>
    <n v="7134260116171"/>
    <s v="W26C00004156"/>
    <s v="WAR26E000099"/>
    <s v="04-08-2025"/>
    <x v="5"/>
    <s v="MC1E4CAAXSP083574"/>
    <s v="D71069315"/>
    <s v="T-1"/>
    <s v="23-03-2025"/>
    <m/>
    <s v="22-07-2025"/>
    <n v="31101"/>
    <m/>
    <m/>
    <n v="3"/>
    <s v="ENCOL-6"/>
    <s v="Labour Charges"/>
    <n v="1"/>
    <n v="245"/>
    <s v="Accepted"/>
    <m/>
    <s v="-"/>
    <n v="1754009"/>
    <s v="03-12-2025"/>
    <n v="289.10000000000002"/>
    <n v="0"/>
    <m/>
    <m/>
    <n v="289.10000000000002"/>
    <m/>
    <m/>
    <m/>
  </r>
  <r>
    <n v="1011359"/>
    <x v="90"/>
    <s v="31-07-2025"/>
    <n v="7134260116203"/>
    <s v="W26C00004188"/>
    <s v="WAR26E000101"/>
    <s v="06-08-2025"/>
    <x v="5"/>
    <s v="MC1D4DJA7SP105502"/>
    <s v="D72016937"/>
    <s v="TRAX"/>
    <s v="21-10-2024"/>
    <n v="1165"/>
    <s v="22-07-2025"/>
    <n v="49246"/>
    <m/>
    <m/>
    <n v="1"/>
    <s v="B008544900021"/>
    <s v="DOSING MODULE (WATER"/>
    <n v="1"/>
    <n v="6622.76"/>
    <s v="Accepted"/>
    <m/>
    <s v="-"/>
    <n v="1754011"/>
    <s v="03-12-2025"/>
    <n v="8477.1299999999992"/>
    <n v="0"/>
    <m/>
    <m/>
    <n v="8477.1299999999992"/>
    <m/>
    <m/>
    <m/>
  </r>
  <r>
    <n v="1011359"/>
    <x v="90"/>
    <s v="31-07-2025"/>
    <n v="7134260116203"/>
    <s v="W26C00004188"/>
    <s v="WAR26E000101"/>
    <s v="06-08-2025"/>
    <x v="5"/>
    <s v="MC1D4DJA7SP105502"/>
    <s v="D72016937"/>
    <s v="TRAX"/>
    <s v="21-10-2024"/>
    <n v="1165"/>
    <s v="22-07-2025"/>
    <n v="49246"/>
    <m/>
    <m/>
    <n v="2"/>
    <s v="EXH-13"/>
    <s v="Labour Charges"/>
    <n v="1"/>
    <n v="52.5"/>
    <s v="Accepted"/>
    <m/>
    <s v="-"/>
    <n v="1754011"/>
    <s v="03-12-2025"/>
    <n v="61.95"/>
    <n v="0"/>
    <m/>
    <m/>
    <n v="61.95"/>
    <m/>
    <m/>
    <m/>
  </r>
  <r>
    <n v="1011754"/>
    <x v="91"/>
    <s v="31-08-2025"/>
    <n v="7134260117124"/>
    <s v="W26C00004952"/>
    <s v="WAR26E000110"/>
    <s v="03-09-2025"/>
    <x v="6"/>
    <s v="MC1E4DAA2RP050262"/>
    <s v="D71045470"/>
    <s v="T-1"/>
    <s v="31-03-2024"/>
    <n v="1165"/>
    <s v="02-07-2025"/>
    <n v="14520"/>
    <m/>
    <m/>
    <n v="1"/>
    <s v="EL2026"/>
    <s v="Labour Charges"/>
    <n v="1"/>
    <n v="52.5"/>
    <s v="Accepted"/>
    <m/>
    <s v="-"/>
    <n v="1754015"/>
    <s v="03-12-2025"/>
    <n v="61.95"/>
    <n v="0"/>
    <m/>
    <m/>
    <n v="61.95"/>
    <m/>
    <m/>
    <m/>
  </r>
  <r>
    <n v="1011757"/>
    <x v="92"/>
    <s v="31-08-2025"/>
    <n v="7134260117128"/>
    <s v="W26C00004956"/>
    <s v="WAR26E000114"/>
    <s v="03-09-2025"/>
    <x v="6"/>
    <s v="MC1E4DMA4RP049769"/>
    <s v="D71043633"/>
    <s v="T-1"/>
    <s v="31-03-2024"/>
    <n v="1165"/>
    <s v="02-07-2025"/>
    <n v="49920"/>
    <m/>
    <m/>
    <n v="1"/>
    <s v="EL2026"/>
    <s v="Labour Charges"/>
    <n v="1"/>
    <n v="52.5"/>
    <s v="Accepted"/>
    <m/>
    <s v="-"/>
    <n v="1754019"/>
    <s v="03-12-2025"/>
    <n v="61.95"/>
    <n v="0"/>
    <m/>
    <m/>
    <n v="61.95"/>
    <m/>
    <m/>
    <m/>
  </r>
  <r>
    <n v="1011758"/>
    <x v="93"/>
    <s v="31-08-2025"/>
    <n v="7134260117155"/>
    <s v="W26C00004981"/>
    <s v="WAR26E000135"/>
    <s v="03-09-2025"/>
    <x v="6"/>
    <s v="MC1E4EKA4SP014275"/>
    <s v="D71063275"/>
    <s v="T-1"/>
    <s v="29-10-2024"/>
    <n v="1165"/>
    <s v="16-07-2025"/>
    <n v="41920"/>
    <m/>
    <m/>
    <n v="1"/>
    <s v="EL2026"/>
    <s v="Labour Charges"/>
    <n v="1"/>
    <n v="52.5"/>
    <s v="Accepted"/>
    <m/>
    <s v="-"/>
    <n v="1754040"/>
    <s v="03-12-2025"/>
    <n v="61.95"/>
    <n v="0"/>
    <m/>
    <m/>
    <n v="61.95"/>
    <m/>
    <m/>
    <m/>
  </r>
  <r>
    <n v="1011770"/>
    <x v="94"/>
    <s v="31-08-2025"/>
    <n v="7134260117133"/>
    <s v="W26C00004961"/>
    <s v="WAR26E000119"/>
    <s v="08-09-2025"/>
    <x v="6"/>
    <s v="MC1E4DAA0RP050289"/>
    <s v="D71045580"/>
    <s v="T-1"/>
    <s v="20-04-2024"/>
    <n v="1165"/>
    <s v="03-07-2025"/>
    <n v="6200"/>
    <m/>
    <m/>
    <n v="1"/>
    <s v="EL2026"/>
    <s v="Labour Charges"/>
    <n v="1"/>
    <n v="52.5"/>
    <s v="Accepted"/>
    <m/>
    <s v="-"/>
    <n v="1754024"/>
    <s v="03-12-2025"/>
    <n v="61.95"/>
    <n v="0"/>
    <m/>
    <m/>
    <n v="61.95"/>
    <m/>
    <m/>
    <m/>
  </r>
  <r>
    <n v="1011776"/>
    <x v="95"/>
    <s v="31-08-2025"/>
    <n v="7134260117125"/>
    <s v="W26C00004953"/>
    <s v="WAR26E000111"/>
    <s v="08-09-2025"/>
    <x v="6"/>
    <s v="MC1E4DBA4RP051007"/>
    <s v="D71047578"/>
    <s v="T-1"/>
    <s v="18-04-2024"/>
    <n v="1165"/>
    <s v="02-07-2025"/>
    <n v="7120"/>
    <m/>
    <m/>
    <n v="1"/>
    <s v="EL2026"/>
    <s v="Labour Charges"/>
    <n v="1"/>
    <n v="52.5"/>
    <s v="Accepted"/>
    <m/>
    <s v="-"/>
    <n v="1754016"/>
    <s v="03-12-2025"/>
    <n v="61.95"/>
    <n v="0"/>
    <m/>
    <m/>
    <n v="61.95"/>
    <m/>
    <m/>
    <m/>
  </r>
  <r>
    <n v="1011779"/>
    <x v="96"/>
    <s v="31-08-2025"/>
    <n v="7134260117180"/>
    <s v="W26C00005006"/>
    <s v="WAR26E000158"/>
    <s v="08-09-2025"/>
    <x v="6"/>
    <s v="MC1E4EHAXRP010300"/>
    <s v="D71037063"/>
    <s v="T-1"/>
    <s v="19-08-2023"/>
    <n v="1160"/>
    <s v="31-07-2025"/>
    <n v="72100"/>
    <m/>
    <m/>
    <n v="1"/>
    <s v="EL2026"/>
    <s v="Labour Charges"/>
    <n v="1"/>
    <n v="52.5"/>
    <s v="Accepted"/>
    <m/>
    <s v="-"/>
    <n v="1754063"/>
    <s v="03-12-2025"/>
    <n v="61.95"/>
    <n v="0"/>
    <m/>
    <m/>
    <n v="61.95"/>
    <m/>
    <m/>
    <m/>
  </r>
  <r>
    <n v="1011781"/>
    <x v="97"/>
    <s v="31-08-2025"/>
    <n v="7134260117134"/>
    <s v="W26C00004962"/>
    <s v="WAR26E000120"/>
    <s v="03-09-2025"/>
    <x v="6"/>
    <s v="MC1E4DBA7RP051373"/>
    <s v="D71048762"/>
    <s v="T-1"/>
    <s v="25-04-2024"/>
    <n v="1165"/>
    <s v="03-07-2025"/>
    <n v="13200"/>
    <m/>
    <m/>
    <n v="1"/>
    <s v="EL2026"/>
    <s v="Labour Charges"/>
    <n v="1"/>
    <n v="52.5"/>
    <s v="Accepted"/>
    <m/>
    <s v="-"/>
    <n v="1754025"/>
    <s v="03-12-2025"/>
    <n v="61.95"/>
    <n v="0"/>
    <m/>
    <m/>
    <n v="61.95"/>
    <m/>
    <m/>
    <m/>
  </r>
  <r>
    <n v="1011786"/>
    <x v="98"/>
    <s v="31-08-2025"/>
    <n v="7134260117147"/>
    <s v="W26C00004973"/>
    <s v="WAR26E000127"/>
    <s v="03-09-2025"/>
    <x v="6"/>
    <s v="MC1E4EEAXPP009682"/>
    <s v="D71031955"/>
    <s v="T-1"/>
    <s v="31-05-2023"/>
    <n v="1165"/>
    <s v="03-07-2025"/>
    <n v="199645"/>
    <m/>
    <m/>
    <n v="1"/>
    <s v="EL2026"/>
    <s v="Labour Charges"/>
    <n v="1"/>
    <n v="52.5"/>
    <s v="Accepted"/>
    <m/>
    <s v="-"/>
    <n v="1754032"/>
    <s v="03-12-2025"/>
    <n v="61.95"/>
    <n v="0"/>
    <m/>
    <m/>
    <n v="61.95"/>
    <m/>
    <m/>
    <m/>
  </r>
  <r>
    <n v="1011790"/>
    <x v="99"/>
    <s v="31-08-2025"/>
    <n v="7134260117153"/>
    <s v="W26C00004979"/>
    <s v="WAR26E000133"/>
    <s v="03-09-2025"/>
    <x v="6"/>
    <s v="MC1E4DJA2SP054625"/>
    <s v="D71062702"/>
    <s v="T-1"/>
    <s v="28-10-2024"/>
    <n v="1160"/>
    <s v="16-07-2025"/>
    <n v="27230"/>
    <m/>
    <m/>
    <n v="1"/>
    <s v="EL2026"/>
    <s v="Labour Charges"/>
    <n v="1"/>
    <n v="52.5"/>
    <s v="Accepted"/>
    <m/>
    <s v="-"/>
    <n v="1754038"/>
    <s v="03-12-2025"/>
    <n v="61.95"/>
    <n v="0"/>
    <m/>
    <m/>
    <n v="61.95"/>
    <m/>
    <m/>
    <m/>
  </r>
  <r>
    <n v="1011791"/>
    <x v="100"/>
    <s v="31-08-2025"/>
    <n v="7134260117165"/>
    <s v="W26C00004991"/>
    <s v="WAR26E000143"/>
    <s v="03-09-2025"/>
    <x v="6"/>
    <s v="MC1E4EFA5RP013219"/>
    <s v="D71056637"/>
    <s v="T-1"/>
    <s v="12-07-2024"/>
    <n v="1165"/>
    <s v="24-07-2025"/>
    <n v="64520"/>
    <m/>
    <m/>
    <n v="1"/>
    <s v="EL2026"/>
    <s v="Labour Charges"/>
    <n v="1"/>
    <n v="52.5"/>
    <s v="Accepted"/>
    <m/>
    <s v="-"/>
    <n v="1754048"/>
    <s v="03-12-2025"/>
    <n v="61.95"/>
    <n v="0"/>
    <m/>
    <m/>
    <n v="61.95"/>
    <m/>
    <m/>
    <m/>
  </r>
  <r>
    <n v="1011794"/>
    <x v="101"/>
    <s v="31-08-2025"/>
    <n v="7134260117146"/>
    <s v="W26C00004972"/>
    <s v="WAR26E000126"/>
    <s v="03-09-2025"/>
    <x v="6"/>
    <s v="MC1E4EDA5RP012526"/>
    <s v="D71051928"/>
    <s v="T-1"/>
    <s v="29-04-2024"/>
    <n v="1165"/>
    <s v="03-07-2025"/>
    <n v="100020"/>
    <m/>
    <m/>
    <n v="1"/>
    <s v="EL2026"/>
    <s v="Labour Charges"/>
    <n v="1"/>
    <n v="52.5"/>
    <s v="Accepted"/>
    <m/>
    <s v="-"/>
    <n v="1754031"/>
    <s v="03-12-2025"/>
    <n v="61.95"/>
    <n v="0"/>
    <m/>
    <m/>
    <n v="61.95"/>
    <m/>
    <m/>
    <m/>
  </r>
  <r>
    <n v="1011796"/>
    <x v="102"/>
    <s v="31-08-2025"/>
    <n v="7134260117169"/>
    <s v="W26C00004995"/>
    <s v="WAR26E000147"/>
    <s v="03-09-2025"/>
    <x v="6"/>
    <s v="MC1E4DGA0SP053576"/>
    <s v="D71058041"/>
    <s v="T-1"/>
    <s v="08-08-2024"/>
    <n v="1165"/>
    <s v="28-07-2025"/>
    <n v="11100"/>
    <m/>
    <m/>
    <n v="1"/>
    <s v="EL2026"/>
    <s v="Labour Charges"/>
    <n v="1"/>
    <n v="52.5"/>
    <s v="Accepted"/>
    <m/>
    <s v="-"/>
    <n v="1754052"/>
    <s v="03-12-2025"/>
    <n v="61.95"/>
    <n v="0"/>
    <m/>
    <m/>
    <n v="61.95"/>
    <m/>
    <m/>
    <m/>
  </r>
  <r>
    <n v="1011797"/>
    <x v="103"/>
    <s v="31-08-2025"/>
    <n v="7134260117138"/>
    <s v="W26C00004966"/>
    <s v="WAR26E000124"/>
    <s v="03-09-2025"/>
    <x v="6"/>
    <s v="MC1E4DCA7RP051596"/>
    <s v="D71049069"/>
    <s v="T-1"/>
    <s v="26-04-2024"/>
    <n v="1165"/>
    <s v="03-07-2025"/>
    <n v="9200"/>
    <m/>
    <m/>
    <n v="1"/>
    <s v="EL2026"/>
    <s v="Labour Charges"/>
    <n v="1"/>
    <n v="52.5"/>
    <s v="Accepted"/>
    <m/>
    <s v="-"/>
    <n v="1754029"/>
    <s v="03-12-2025"/>
    <n v="61.95"/>
    <n v="0"/>
    <m/>
    <m/>
    <n v="61.95"/>
    <m/>
    <m/>
    <m/>
  </r>
  <r>
    <n v="1011800"/>
    <x v="104"/>
    <s v="31-08-2025"/>
    <n v="7134260117172"/>
    <s v="W26C00004998"/>
    <s v="WAR26E000150"/>
    <s v="03-09-2025"/>
    <x v="6"/>
    <s v="MC1E4EFA8RP013148"/>
    <s v="D71056274"/>
    <s v="T-1"/>
    <s v="09-08-2024"/>
    <n v="1165"/>
    <s v="28-07-2025"/>
    <n v="70100"/>
    <m/>
    <m/>
    <n v="1"/>
    <s v="EL2026"/>
    <s v="Labour Charges"/>
    <n v="1"/>
    <n v="52.5"/>
    <s v="Accepted"/>
    <m/>
    <s v="-"/>
    <n v="1754055"/>
    <s v="03-12-2025"/>
    <n v="61.95"/>
    <n v="0"/>
    <m/>
    <m/>
    <n v="61.95"/>
    <m/>
    <m/>
    <m/>
  </r>
  <r>
    <n v="1011813"/>
    <x v="105"/>
    <s v="31-08-2025"/>
    <n v="7134260117135"/>
    <s v="W26C00004963"/>
    <s v="WAR26E000121"/>
    <s v="03-09-2025"/>
    <x v="6"/>
    <s v="MC1E4DBA8RP050751"/>
    <s v="D71046972"/>
    <s v="T-1"/>
    <s v="26-04-2024"/>
    <n v="1165"/>
    <s v="03-07-2025"/>
    <n v="13200"/>
    <m/>
    <m/>
    <n v="1"/>
    <s v="EL2026"/>
    <s v="Labour Charges"/>
    <n v="1"/>
    <n v="52.5"/>
    <s v="Accepted"/>
    <m/>
    <s v="-"/>
    <n v="1754026"/>
    <s v="03-12-2025"/>
    <n v="61.95"/>
    <n v="0"/>
    <m/>
    <m/>
    <n v="61.95"/>
    <m/>
    <m/>
    <m/>
  </r>
  <r>
    <n v="1011822"/>
    <x v="106"/>
    <s v="31-08-2025"/>
    <n v="7134260117126"/>
    <s v="W26C00004954"/>
    <s v="WAR26E000112"/>
    <s v="08-09-2025"/>
    <x v="6"/>
    <s v="MC1E4DBA6RP050909"/>
    <s v="D71047353"/>
    <s v="T-1"/>
    <s v="19-04-2024"/>
    <n v="1165"/>
    <s v="02-07-2025"/>
    <n v="2510"/>
    <m/>
    <m/>
    <n v="1"/>
    <s v="EL2026"/>
    <s v="Labour Charges"/>
    <n v="1"/>
    <n v="52.5"/>
    <s v="Accepted"/>
    <m/>
    <s v="-"/>
    <n v="1754017"/>
    <s v="03-12-2025"/>
    <n v="61.95"/>
    <n v="0"/>
    <m/>
    <m/>
    <n v="61.95"/>
    <m/>
    <m/>
    <m/>
  </r>
  <r>
    <n v="1011831"/>
    <x v="107"/>
    <s v="31-08-2025"/>
    <n v="7134260117140"/>
    <s v="W26C00004968"/>
    <s v="WAR26E000125"/>
    <s v="08-09-2025"/>
    <x v="6"/>
    <s v="MC1E4DCAXRP051527"/>
    <s v="D71049384"/>
    <s v="T-1"/>
    <s v="23-04-2024"/>
    <n v="1165"/>
    <s v="03-07-2025"/>
    <n v="2650"/>
    <m/>
    <m/>
    <n v="1"/>
    <s v="EL2026"/>
    <s v="Labour Charges"/>
    <n v="1"/>
    <n v="52.5"/>
    <s v="Accepted"/>
    <m/>
    <s v="-"/>
    <n v="1754030"/>
    <s v="03-12-2025"/>
    <n v="61.95"/>
    <n v="0"/>
    <m/>
    <m/>
    <n v="61.95"/>
    <m/>
    <m/>
    <m/>
  </r>
  <r>
    <n v="1011847"/>
    <x v="108"/>
    <s v="31-08-2025"/>
    <n v="7134260117163"/>
    <s v="W26C00004989"/>
    <s v="WAR26E000141"/>
    <s v="08-09-2025"/>
    <x v="6"/>
    <s v="MC1E4DGA9SP053625"/>
    <s v="D71058142"/>
    <s v="T-1"/>
    <s v="05-08-2024"/>
    <n v="1165"/>
    <s v="24-07-2025"/>
    <n v="8520"/>
    <m/>
    <m/>
    <n v="1"/>
    <s v="EL2026"/>
    <s v="Labour Charges"/>
    <n v="1"/>
    <n v="52.5"/>
    <s v="Accepted"/>
    <m/>
    <s v="-"/>
    <n v="1754046"/>
    <s v="03-12-2025"/>
    <n v="61.95"/>
    <n v="0"/>
    <m/>
    <m/>
    <n v="61.95"/>
    <m/>
    <m/>
    <m/>
  </r>
  <r>
    <n v="1011859"/>
    <x v="109"/>
    <s v="31-08-2025"/>
    <n v="7134260117157"/>
    <s v="W26C00004983"/>
    <s v="WAR26E000137"/>
    <s v="08-09-2025"/>
    <x v="6"/>
    <s v="MC1E4DFA7RP053277"/>
    <s v="D71056758"/>
    <s v="T-1"/>
    <s v="30-07-2024"/>
    <n v="1165"/>
    <s v="22-07-2025"/>
    <n v="36850"/>
    <m/>
    <m/>
    <n v="1"/>
    <s v="EL2026"/>
    <s v="Labour Charges"/>
    <n v="1"/>
    <n v="52.5"/>
    <s v="Accepted"/>
    <m/>
    <s v="-"/>
    <n v="1754042"/>
    <s v="03-12-2025"/>
    <n v="61.95"/>
    <n v="0"/>
    <m/>
    <m/>
    <n v="61.95"/>
    <m/>
    <m/>
    <m/>
  </r>
  <r>
    <n v="1011862"/>
    <x v="110"/>
    <s v="31-08-2025"/>
    <n v="7134260117176"/>
    <s v="W26C00005002"/>
    <s v="WAR26E000154"/>
    <s v="08-09-2025"/>
    <x v="6"/>
    <s v="MC1E4DGA8RP047079"/>
    <s v="D71035723"/>
    <s v="T-1"/>
    <s v="31-07-2023"/>
    <n v="1165"/>
    <s v="31-07-2025"/>
    <n v="43200"/>
    <m/>
    <m/>
    <n v="1"/>
    <s v="EL2026"/>
    <s v="Labour Charges"/>
    <n v="1"/>
    <n v="52.5"/>
    <s v="Accepted"/>
    <m/>
    <s v="-"/>
    <n v="1754059"/>
    <s v="03-12-2025"/>
    <n v="61.95"/>
    <n v="0"/>
    <m/>
    <m/>
    <n v="61.95"/>
    <m/>
    <m/>
    <m/>
  </r>
  <r>
    <n v="1011864"/>
    <x v="111"/>
    <s v="31-08-2025"/>
    <n v="7134260117173"/>
    <s v="W26C00004999"/>
    <s v="WAR26E000151"/>
    <s v="08-09-2025"/>
    <x v="6"/>
    <s v="MC1E4EFA8RP013151"/>
    <s v="D71056021"/>
    <s v="T-1"/>
    <s v="12-08-2024"/>
    <n v="1165"/>
    <s v="28-07-2025"/>
    <n v="78520"/>
    <m/>
    <m/>
    <n v="1"/>
    <s v="EL2026"/>
    <s v="Labour Charges"/>
    <n v="1"/>
    <n v="52.5"/>
    <s v="Accepted"/>
    <m/>
    <s v="-"/>
    <n v="1754056"/>
    <s v="03-12-2025"/>
    <n v="61.95"/>
    <n v="0"/>
    <m/>
    <m/>
    <n v="61.95"/>
    <m/>
    <m/>
    <m/>
  </r>
  <r>
    <n v="1011872"/>
    <x v="112"/>
    <s v="31-08-2025"/>
    <n v="7134260117164"/>
    <s v="W26C00004990"/>
    <s v="WAR26E000142"/>
    <s v="08-09-2025"/>
    <x v="6"/>
    <s v="MC1E4EFA0RP013158"/>
    <s v="D71056321"/>
    <s v="T-1"/>
    <s v="08-07-2024"/>
    <n v="1165"/>
    <s v="24-07-2025"/>
    <n v="70120"/>
    <m/>
    <m/>
    <n v="1"/>
    <s v="EL2026"/>
    <s v="Labour Charges"/>
    <n v="1"/>
    <n v="52.5"/>
    <s v="Accepted"/>
    <m/>
    <s v="-"/>
    <n v="1754047"/>
    <s v="03-12-2025"/>
    <n v="61.95"/>
    <n v="0"/>
    <m/>
    <m/>
    <n v="61.95"/>
    <m/>
    <m/>
    <m/>
  </r>
  <r>
    <n v="1011874"/>
    <x v="113"/>
    <s v="31-08-2025"/>
    <n v="7134260117158"/>
    <s v="W26C00004984"/>
    <s v="WAR26E000138"/>
    <s v="08-09-2025"/>
    <x v="6"/>
    <s v="MC1E4DGA6SP053629"/>
    <s v="D71058038"/>
    <s v="T-1"/>
    <s v="30-07-2024"/>
    <n v="1165"/>
    <s v="22-07-2025"/>
    <n v="49200"/>
    <m/>
    <m/>
    <n v="1"/>
    <s v="EL2026"/>
    <s v="Labour Charges"/>
    <n v="1"/>
    <n v="52.5"/>
    <s v="Accepted"/>
    <m/>
    <s v="-"/>
    <n v="1754043"/>
    <s v="03-12-2025"/>
    <n v="61.95"/>
    <n v="0"/>
    <m/>
    <m/>
    <n v="61.95"/>
    <m/>
    <m/>
    <m/>
  </r>
  <r>
    <n v="1011875"/>
    <x v="114"/>
    <s v="31-08-2025"/>
    <n v="7134260117156"/>
    <s v="W26C00004982"/>
    <s v="WAR26E000136"/>
    <s v="08-09-2025"/>
    <x v="6"/>
    <s v="MC1E4EKA6SP014276"/>
    <s v="D71063328"/>
    <s v="T-1"/>
    <s v="29-10-2024"/>
    <n v="1165"/>
    <s v="16-07-2025"/>
    <n v="21200"/>
    <m/>
    <m/>
    <n v="1"/>
    <s v="EL2026"/>
    <s v="Labour Charges"/>
    <n v="1"/>
    <n v="52.5"/>
    <s v="Accepted"/>
    <m/>
    <s v="-"/>
    <n v="1754041"/>
    <s v="03-12-2025"/>
    <n v="61.95"/>
    <n v="0"/>
    <m/>
    <m/>
    <n v="61.95"/>
    <m/>
    <m/>
    <m/>
  </r>
  <r>
    <n v="1011876"/>
    <x v="115"/>
    <s v="31-08-2025"/>
    <n v="7134260117154"/>
    <s v="W26C00004980"/>
    <s v="WAR26E000134"/>
    <s v="08-09-2025"/>
    <x v="6"/>
    <s v="MC1E4EJA9SP014242"/>
    <s v="D71063229"/>
    <s v="T-1"/>
    <s v="26-10-2024"/>
    <n v="1165"/>
    <s v="16-07-2025"/>
    <n v="30500"/>
    <m/>
    <m/>
    <n v="1"/>
    <s v="EL2026"/>
    <s v="Labour Charges"/>
    <n v="1"/>
    <n v="52.5"/>
    <s v="Accepted"/>
    <m/>
    <s v="-"/>
    <n v="1754039"/>
    <s v="03-12-2025"/>
    <n v="61.95"/>
    <n v="0"/>
    <m/>
    <m/>
    <n v="61.95"/>
    <m/>
    <m/>
    <m/>
  </r>
  <r>
    <n v="1011882"/>
    <x v="116"/>
    <s v="31-08-2025"/>
    <n v="7134260117162"/>
    <s v="W26C00004988"/>
    <s v="WAR26E000140"/>
    <s v="08-09-2025"/>
    <x v="6"/>
    <s v="MC1E4DGA1SP053621"/>
    <s v="D71058053"/>
    <s v="T-1"/>
    <s v="06-08-2024"/>
    <n v="1165"/>
    <s v="24-07-2025"/>
    <n v="16420"/>
    <m/>
    <m/>
    <n v="1"/>
    <s v="EL2026"/>
    <s v="Labour Charges"/>
    <n v="1"/>
    <n v="52.5"/>
    <s v="Accepted"/>
    <m/>
    <s v="-"/>
    <n v="1754045"/>
    <s v="03-12-2025"/>
    <n v="61.95"/>
    <n v="0"/>
    <m/>
    <m/>
    <n v="61.95"/>
    <m/>
    <m/>
    <m/>
  </r>
  <r>
    <n v="1011893"/>
    <x v="117"/>
    <s v="31-08-2025"/>
    <n v="7134260116234"/>
    <s v="W26C00004214"/>
    <s v="WAR26E000102"/>
    <s v="08-09-2025"/>
    <x v="5"/>
    <s v="MC1E4DFA7RP053277"/>
    <s v="D71056758"/>
    <s v="T-1"/>
    <s v="30-07-2024"/>
    <n v="1165"/>
    <s v="22-07-2025"/>
    <n v="36589"/>
    <m/>
    <m/>
    <n v="1"/>
    <s v="T006862622937"/>
    <s v="SYNCHRO RING 3RD,4TH"/>
    <n v="1"/>
    <n v="1081.8800000000001"/>
    <s v="Accepted"/>
    <m/>
    <s v="-"/>
    <n v="1754012"/>
    <s v="03-12-2025"/>
    <n v="1384.81"/>
    <n v="0"/>
    <m/>
    <m/>
    <n v="1384.81"/>
    <m/>
    <m/>
    <m/>
  </r>
  <r>
    <n v="1011893"/>
    <x v="117"/>
    <s v="31-08-2025"/>
    <n v="7134260116234"/>
    <s v="W26C00004214"/>
    <s v="WAR26E000102"/>
    <s v="08-09-2025"/>
    <x v="5"/>
    <s v="MC1E4DFA7RP053277"/>
    <s v="D71056758"/>
    <s v="T-1"/>
    <s v="30-07-2024"/>
    <n v="1165"/>
    <s v="22-07-2025"/>
    <n v="36589"/>
    <m/>
    <m/>
    <n v="2"/>
    <s v="GB-19"/>
    <s v="Labour Charges"/>
    <n v="1"/>
    <n v="1268.75"/>
    <s v="Accepted"/>
    <m/>
    <s v="-"/>
    <n v="1754012"/>
    <s v="03-12-2025"/>
    <n v="1497.13"/>
    <n v="0"/>
    <m/>
    <m/>
    <n v="1497.13"/>
    <m/>
    <m/>
    <m/>
  </r>
  <r>
    <n v="1011899"/>
    <x v="118"/>
    <s v="31-08-2025"/>
    <n v="7134260116983"/>
    <s v="W26C00004827"/>
    <s v="WAR26E000108"/>
    <s v="08-09-2025"/>
    <x v="5"/>
    <s v="MC1E4EEA0SP016293"/>
    <s v="D71080819"/>
    <s v="T-1"/>
    <s v="05-06-2025"/>
    <n v="1165"/>
    <s v="24-07-2025"/>
    <n v="4174"/>
    <m/>
    <m/>
    <n v="1"/>
    <s v="T006869971684"/>
    <s v="OIL PRESSURE HOSE(PU"/>
    <n v="1"/>
    <n v="952.9"/>
    <s v="Accepted"/>
    <m/>
    <s v="-"/>
    <n v="1754014"/>
    <s v="03-12-2025"/>
    <n v="1219.71"/>
    <n v="0"/>
    <m/>
    <m/>
    <n v="1219.71"/>
    <m/>
    <m/>
    <m/>
  </r>
  <r>
    <n v="1011899"/>
    <x v="118"/>
    <s v="31-08-2025"/>
    <n v="7134260116983"/>
    <s v="W26C00004827"/>
    <s v="WAR26E000108"/>
    <s v="08-09-2025"/>
    <x v="5"/>
    <s v="MC1E4EEA0SP016293"/>
    <s v="D71080819"/>
    <s v="T-1"/>
    <s v="05-06-2025"/>
    <n v="1165"/>
    <s v="24-07-2025"/>
    <n v="4174"/>
    <m/>
    <m/>
    <n v="2"/>
    <s v="ST1206"/>
    <s v="Labour Charges"/>
    <n v="1"/>
    <n v="192.5"/>
    <s v="Accepted"/>
    <m/>
    <s v="-"/>
    <n v="1754014"/>
    <s v="03-12-2025"/>
    <n v="227.15"/>
    <n v="0"/>
    <m/>
    <m/>
    <n v="227.15"/>
    <m/>
    <m/>
    <m/>
  </r>
  <r>
    <n v="1011902"/>
    <x v="119"/>
    <s v="31-08-2025"/>
    <n v="7134260117136"/>
    <s v="W26C00004964"/>
    <s v="WAR26E000122"/>
    <s v="08-09-2025"/>
    <x v="6"/>
    <s v="MC1E4DBA9RP050998"/>
    <s v="D71047630"/>
    <s v="T-1"/>
    <s v="22-04-2024"/>
    <n v="1165"/>
    <s v="03-07-2025"/>
    <n v="5720"/>
    <m/>
    <m/>
    <n v="1"/>
    <s v="EL2026"/>
    <s v="Labour Charges"/>
    <n v="1"/>
    <n v="52.5"/>
    <s v="Accepted"/>
    <m/>
    <s v="-"/>
    <n v="1754027"/>
    <s v="03-12-2025"/>
    <n v="61.95"/>
    <n v="0"/>
    <m/>
    <m/>
    <n v="61.95"/>
    <m/>
    <m/>
    <m/>
  </r>
  <r>
    <n v="1011917"/>
    <x v="120"/>
    <s v="31-08-2025"/>
    <n v="7134260117178"/>
    <s v="W26C00005004"/>
    <s v="WAR26E000156"/>
    <s v="08-09-2025"/>
    <x v="6"/>
    <s v="MC1E4DHA6RP047385"/>
    <s v="D71036429"/>
    <s v="T-1"/>
    <s v="12-08-2023"/>
    <n v="1165"/>
    <s v="31-07-2025"/>
    <n v="31920"/>
    <m/>
    <m/>
    <n v="1"/>
    <s v="EL2026"/>
    <s v="Labour Charges"/>
    <n v="1"/>
    <n v="52.5"/>
    <s v="Accepted"/>
    <m/>
    <s v="-"/>
    <n v="1754061"/>
    <s v="03-12-2025"/>
    <n v="61.95"/>
    <n v="0"/>
    <m/>
    <m/>
    <n v="61.95"/>
    <m/>
    <m/>
    <m/>
  </r>
  <r>
    <n v="1011927"/>
    <x v="121"/>
    <s v="31-08-2025"/>
    <n v="7134260117127"/>
    <s v="W26C00004955"/>
    <s v="WAR26E000113"/>
    <s v="08-09-2025"/>
    <x v="6"/>
    <s v="MC1E4DBA7RP051048"/>
    <s v="D71047394"/>
    <s v="T-1"/>
    <s v="16-04-2024"/>
    <n v="1165"/>
    <s v="02-07-2025"/>
    <n v="11200"/>
    <m/>
    <m/>
    <n v="1"/>
    <s v="EL2026"/>
    <s v="Labour Charges"/>
    <n v="1"/>
    <n v="52.5"/>
    <s v="Accepted"/>
    <m/>
    <s v="-"/>
    <n v="1754018"/>
    <s v="03-12-2025"/>
    <n v="61.95"/>
    <n v="0"/>
    <m/>
    <m/>
    <n v="61.95"/>
    <m/>
    <m/>
    <m/>
  </r>
  <r>
    <n v="1011932"/>
    <x v="122"/>
    <s v="31-08-2025"/>
    <n v="7134260117129"/>
    <s v="W26C00004957"/>
    <s v="WAR26E000115"/>
    <s v="08-09-2025"/>
    <x v="6"/>
    <s v="MC1E4EBA8RP011938"/>
    <s v="D71048617"/>
    <s v="T-1"/>
    <s v="10-04-2024"/>
    <n v="1165"/>
    <s v="02-07-2025"/>
    <n v="2620"/>
    <m/>
    <m/>
    <n v="1"/>
    <s v="EL2026"/>
    <s v="Labour Charges"/>
    <n v="1"/>
    <n v="52.5"/>
    <s v="Accepted"/>
    <m/>
    <s v="-"/>
    <n v="1754020"/>
    <s v="03-12-2025"/>
    <n v="61.95"/>
    <n v="0"/>
    <m/>
    <m/>
    <n v="61.95"/>
    <m/>
    <m/>
    <m/>
  </r>
  <r>
    <n v="1011935"/>
    <x v="123"/>
    <s v="31-08-2025"/>
    <n v="7134260117137"/>
    <s v="W26C00004965"/>
    <s v="WAR26E000123"/>
    <s v="08-09-2025"/>
    <x v="6"/>
    <s v="MC1E4DBA9RP051004"/>
    <s v="D71047641"/>
    <s v="T-1"/>
    <s v="19-04-2024"/>
    <n v="1165"/>
    <s v="03-07-2025"/>
    <n v="15200"/>
    <m/>
    <m/>
    <n v="1"/>
    <s v="EL2026"/>
    <s v="Labour Charges"/>
    <n v="1"/>
    <n v="52.5"/>
    <s v="Accepted"/>
    <m/>
    <s v="-"/>
    <n v="1754028"/>
    <s v="03-12-2025"/>
    <n v="61.95"/>
    <n v="0"/>
    <m/>
    <m/>
    <n v="61.95"/>
    <m/>
    <m/>
    <m/>
  </r>
  <r>
    <n v="1011936"/>
    <x v="124"/>
    <s v="31-08-2025"/>
    <n v="7134260117161"/>
    <s v="W26C00004987"/>
    <s v="WAR26E000139"/>
    <s v="08-09-2025"/>
    <x v="6"/>
    <s v="MC1E4DGA8SP053518"/>
    <s v="D71057753"/>
    <s v="T-1"/>
    <s v="27-07-2024"/>
    <n v="1165"/>
    <s v="22-07-2025"/>
    <n v="51200"/>
    <m/>
    <m/>
    <n v="1"/>
    <s v="EL2026"/>
    <s v="Labour Charges"/>
    <n v="1"/>
    <n v="52.5"/>
    <s v="Accepted"/>
    <m/>
    <s v="-"/>
    <n v="1754044"/>
    <s v="03-12-2025"/>
    <n v="61.95"/>
    <n v="0"/>
    <m/>
    <m/>
    <n v="61.95"/>
    <m/>
    <m/>
    <m/>
  </r>
  <r>
    <n v="1011938"/>
    <x v="125"/>
    <s v="31-08-2025"/>
    <n v="7134260117175"/>
    <s v="W26C00005001"/>
    <s v="WAR26E000153"/>
    <s v="08-09-2025"/>
    <x v="6"/>
    <s v="MC1E4BGA8RP008870"/>
    <s v="D71035121"/>
    <s v="T-1"/>
    <s v="31-07-2023"/>
    <n v="1165"/>
    <s v="31-07-2025"/>
    <n v="33520"/>
    <m/>
    <m/>
    <n v="1"/>
    <s v="EL2026"/>
    <s v="Labour Charges"/>
    <n v="1"/>
    <n v="52.5"/>
    <s v="Accepted"/>
    <m/>
    <s v="-"/>
    <n v="1754058"/>
    <s v="03-12-2025"/>
    <n v="61.95"/>
    <n v="0"/>
    <m/>
    <m/>
    <n v="61.95"/>
    <m/>
    <m/>
    <m/>
  </r>
  <r>
    <n v="1011943"/>
    <x v="126"/>
    <s v="31-08-2025"/>
    <n v="7134260117177"/>
    <s v="W26C00005003"/>
    <s v="WAR26E000155"/>
    <s v="08-09-2025"/>
    <x v="6"/>
    <s v="MC1E4DHA0RP047429"/>
    <s v="D71036561"/>
    <s v="T-1"/>
    <s v="18-08-2023"/>
    <n v="1165"/>
    <s v="31-07-2025"/>
    <n v="97952"/>
    <m/>
    <m/>
    <n v="1"/>
    <s v="EL2026"/>
    <s v="Labour Charges"/>
    <n v="1"/>
    <n v="52.5"/>
    <s v="Accepted"/>
    <m/>
    <s v="-"/>
    <n v="1754060"/>
    <s v="03-12-2025"/>
    <n v="61.95"/>
    <n v="0"/>
    <m/>
    <m/>
    <n v="61.95"/>
    <m/>
    <m/>
    <m/>
  </r>
  <r>
    <n v="1011955"/>
    <x v="127"/>
    <s v="31-08-2025"/>
    <n v="7134260117130"/>
    <s v="W26C00004958"/>
    <s v="WAR26E000116"/>
    <s v="09-09-2025"/>
    <x v="6"/>
    <s v="MC1E4ECA7RP012304"/>
    <s v="D71050911"/>
    <s v="T-1"/>
    <s v="31-03-2024"/>
    <n v="1165"/>
    <s v="02-07-2025"/>
    <n v="76850"/>
    <m/>
    <m/>
    <n v="1"/>
    <s v="EL2026"/>
    <s v="Labour Charges"/>
    <n v="1"/>
    <n v="52.5"/>
    <s v="Accepted"/>
    <m/>
    <s v="-"/>
    <n v="1754021"/>
    <s v="03-12-2025"/>
    <n v="61.95"/>
    <n v="0"/>
    <m/>
    <m/>
    <n v="61.95"/>
    <m/>
    <m/>
    <m/>
  </r>
  <r>
    <n v="1011964"/>
    <x v="128"/>
    <s v="31-08-2025"/>
    <n v="7134260117171"/>
    <s v="W26C00004997"/>
    <s v="WAR26E000149"/>
    <s v="09-09-2025"/>
    <x v="6"/>
    <s v="MC1E4EFA1RP013377"/>
    <s v="D71057656"/>
    <s v="T-1"/>
    <s v="08-08-2024"/>
    <n v="1165"/>
    <s v="28-07-2025"/>
    <n v="34120"/>
    <m/>
    <m/>
    <n v="1"/>
    <s v="EL2026"/>
    <s v="Labour Charges"/>
    <n v="1"/>
    <n v="52.5"/>
    <s v="Accepted"/>
    <m/>
    <s v="-"/>
    <n v="1754054"/>
    <s v="03-12-2025"/>
    <n v="61.95"/>
    <n v="0"/>
    <m/>
    <m/>
    <n v="61.95"/>
    <m/>
    <m/>
    <m/>
  </r>
  <r>
    <n v="1011974"/>
    <x v="129"/>
    <s v="31-08-2025"/>
    <n v="7134260117152"/>
    <s v="W26C00004978"/>
    <s v="WAR26E000132"/>
    <s v="09-09-2025"/>
    <x v="6"/>
    <s v="MC1E4DHA0SP054273"/>
    <s v="D71060917"/>
    <s v="T-1"/>
    <s v="26-10-2024"/>
    <n v="1165"/>
    <s v="16-07-2025"/>
    <n v="11200"/>
    <m/>
    <m/>
    <n v="1"/>
    <s v="EL2026"/>
    <s v="Labour Charges"/>
    <n v="1"/>
    <n v="52.5"/>
    <s v="Accepted"/>
    <m/>
    <s v="-"/>
    <n v="1754037"/>
    <s v="03-12-2025"/>
    <n v="61.95"/>
    <n v="0"/>
    <m/>
    <m/>
    <n v="61.95"/>
    <m/>
    <m/>
    <m/>
  </r>
  <r>
    <n v="1011979"/>
    <x v="130"/>
    <s v="31-08-2025"/>
    <n v="7134260117170"/>
    <s v="W26C00004996"/>
    <s v="WAR26E000148"/>
    <s v="09-09-2025"/>
    <x v="6"/>
    <s v="MC1E4DGA8SP053678"/>
    <s v="D71058371"/>
    <s v="T-1"/>
    <s v="12-08-2024"/>
    <n v="1165"/>
    <s v="28-07-2025"/>
    <n v="15420"/>
    <m/>
    <m/>
    <n v="1"/>
    <s v="EL2026"/>
    <s v="Labour Charges"/>
    <n v="1"/>
    <n v="52.5"/>
    <s v="Accepted"/>
    <m/>
    <s v="-"/>
    <n v="1754053"/>
    <s v="03-12-2025"/>
    <n v="61.95"/>
    <n v="0"/>
    <m/>
    <m/>
    <n v="61.95"/>
    <m/>
    <m/>
    <m/>
  </r>
  <r>
    <n v="1011981"/>
    <x v="131"/>
    <s v="31-08-2025"/>
    <n v="7134260117179"/>
    <s v="W26C00005005"/>
    <s v="WAR26E000157"/>
    <s v="09-09-2025"/>
    <x v="6"/>
    <s v="MC1E4EGA9RP010192"/>
    <s v="D71036287"/>
    <s v="T-1"/>
    <s v="14-08-2023"/>
    <n v="1165"/>
    <s v="31-07-2025"/>
    <n v="179520"/>
    <m/>
    <m/>
    <n v="1"/>
    <s v="EL2026"/>
    <s v="Labour Charges"/>
    <n v="1"/>
    <n v="52.5"/>
    <s v="Accepted"/>
    <m/>
    <s v="-"/>
    <n v="1754062"/>
    <s v="03-12-2025"/>
    <n v="61.95"/>
    <n v="0"/>
    <m/>
    <m/>
    <n v="61.95"/>
    <m/>
    <m/>
    <m/>
  </r>
  <r>
    <n v="1011992"/>
    <x v="132"/>
    <s v="31-08-2025"/>
    <n v="7134260117148"/>
    <s v="W26C00004974"/>
    <s v="WAR26E000128"/>
    <s v="09-09-2025"/>
    <x v="6"/>
    <s v="MC1E4FBAXRP019416"/>
    <s v="D71047729"/>
    <s v="T26"/>
    <s v="27-04-2024"/>
    <n v="1165"/>
    <s v="03-07-2025"/>
    <n v="13560"/>
    <m/>
    <m/>
    <n v="1"/>
    <s v="EL2026"/>
    <s v="Labour Charges"/>
    <n v="1"/>
    <n v="52.5"/>
    <s v="Accepted"/>
    <m/>
    <s v="-"/>
    <n v="1754033"/>
    <s v="03-12-2025"/>
    <n v="61.95"/>
    <n v="0"/>
    <m/>
    <m/>
    <n v="61.95"/>
    <m/>
    <m/>
    <m/>
  </r>
  <r>
    <n v="1011997"/>
    <x v="133"/>
    <s v="31-08-2025"/>
    <n v="7134260117174"/>
    <s v="W26C00005000"/>
    <s v="WAR26E000152"/>
    <s v="09-09-2025"/>
    <x v="6"/>
    <s v="MC1E4FEA5RP020498"/>
    <s v="D71055405"/>
    <s v="T26"/>
    <s v="07-08-2024"/>
    <n v="1165"/>
    <s v="28-07-2025"/>
    <n v="11200"/>
    <m/>
    <m/>
    <n v="1"/>
    <s v="EL2026"/>
    <s v="Labour Charges"/>
    <n v="1"/>
    <n v="52.5"/>
    <s v="Accepted"/>
    <m/>
    <s v="-"/>
    <n v="1754057"/>
    <s v="03-12-2025"/>
    <n v="61.95"/>
    <n v="0"/>
    <m/>
    <m/>
    <n v="61.95"/>
    <m/>
    <m/>
    <m/>
  </r>
  <r>
    <n v="1012004"/>
    <x v="134"/>
    <s v="31-08-2025"/>
    <n v="7134260117149"/>
    <s v="W26C00004975"/>
    <s v="WAR26E000129"/>
    <s v="10-09-2025"/>
    <x v="6"/>
    <s v="MC1E4FDA3RP020047"/>
    <s v="D71052347"/>
    <s v="T26"/>
    <s v="29-04-2024"/>
    <n v="1165"/>
    <s v="03-07-2025"/>
    <n v="71200"/>
    <m/>
    <m/>
    <n v="1"/>
    <s v="EL2026"/>
    <s v="Labour Charges"/>
    <n v="1"/>
    <n v="52.5"/>
    <s v="Accepted"/>
    <m/>
    <s v="-"/>
    <n v="1754034"/>
    <s v="03-12-2025"/>
    <n v="61.95"/>
    <n v="0"/>
    <m/>
    <m/>
    <n v="61.95"/>
    <m/>
    <m/>
    <m/>
  </r>
  <r>
    <n v="1012017"/>
    <x v="135"/>
    <s v="31-08-2025"/>
    <n v="7134260117150"/>
    <s v="W26C00004976"/>
    <s v="WAR26E000130"/>
    <s v="10-09-2025"/>
    <x v="6"/>
    <s v="MC1E4FDAXRP020093"/>
    <s v="D71052513"/>
    <s v="T26"/>
    <s v="27-04-2024"/>
    <n v="1165"/>
    <s v="03-07-2025"/>
    <n v="83500"/>
    <m/>
    <m/>
    <n v="1"/>
    <s v="EL2026"/>
    <s v="Labour Charges"/>
    <n v="1"/>
    <n v="52.5"/>
    <s v="Accepted"/>
    <m/>
    <s v="-"/>
    <n v="1754035"/>
    <s v="03-12-2025"/>
    <n v="61.95"/>
    <n v="0"/>
    <m/>
    <m/>
    <n v="61.95"/>
    <m/>
    <m/>
    <m/>
  </r>
  <r>
    <n v="1012019"/>
    <x v="136"/>
    <s v="31-08-2025"/>
    <n v="7134260117181"/>
    <s v="W26C00005007"/>
    <s v="WAR26E000159"/>
    <s v="10-09-2025"/>
    <x v="6"/>
    <s v="MC1E4FGA4RP017556"/>
    <s v="D71035872"/>
    <s v="T26"/>
    <s v="10-08-2023"/>
    <n v="1165"/>
    <s v="31-07-2025"/>
    <n v="56920"/>
    <m/>
    <m/>
    <n v="1"/>
    <s v="EL2026"/>
    <s v="Labour Charges"/>
    <n v="1"/>
    <n v="52.5"/>
    <s v="Accepted"/>
    <m/>
    <s v="-"/>
    <n v="1754064"/>
    <s v="03-12-2025"/>
    <n v="61.95"/>
    <n v="0"/>
    <m/>
    <m/>
    <n v="61.95"/>
    <m/>
    <m/>
    <m/>
  </r>
  <r>
    <n v="1012025"/>
    <x v="137"/>
    <s v="31-08-2025"/>
    <n v="7134260117131"/>
    <s v="W26C00004959"/>
    <s v="WAR26E000117"/>
    <s v="10-09-2025"/>
    <x v="6"/>
    <s v="MC1E4FCA1RP019724"/>
    <s v="D71049999"/>
    <s v="T26"/>
    <s v="12-04-2024"/>
    <n v="1165"/>
    <s v="02-07-2025"/>
    <n v="12320"/>
    <m/>
    <m/>
    <n v="1"/>
    <s v="EL2026"/>
    <s v="Labour Charges"/>
    <n v="1"/>
    <n v="52.5"/>
    <s v="Accepted"/>
    <m/>
    <s v="-"/>
    <n v="1754022"/>
    <s v="03-12-2025"/>
    <n v="61.95"/>
    <n v="0"/>
    <m/>
    <m/>
    <n v="61.95"/>
    <m/>
    <m/>
    <m/>
  </r>
  <r>
    <n v="1012507"/>
    <x v="138"/>
    <s v="30-09-2025"/>
    <n v="7134260116984"/>
    <s v="W26C00004828"/>
    <s v="WAR26E000109"/>
    <s v="07-10-2025"/>
    <x v="7"/>
    <s v="MC1E4ECA7SP015645"/>
    <s v="D71075726"/>
    <s v="T-1"/>
    <s v="22-03-2025"/>
    <n v="1165"/>
    <s v="29-07-2025"/>
    <n v="20325"/>
    <m/>
    <m/>
    <n v="1"/>
    <s v="B001245400244"/>
    <s v="LEVEL SENSOR"/>
    <n v="1"/>
    <n v="1686.21"/>
    <s v="Accepted"/>
    <m/>
    <s v="-"/>
    <n v="1755734"/>
    <s v="23-01-2026"/>
    <n v="1989.73"/>
    <n v="0"/>
    <m/>
    <m/>
    <n v="1989.73"/>
    <m/>
    <m/>
    <m/>
  </r>
  <r>
    <n v="1012512"/>
    <x v="139"/>
    <s v="30-09-2025"/>
    <n v="7134260117754"/>
    <s v="W26C00005476"/>
    <s v="WAR26E000166"/>
    <s v="07-10-2025"/>
    <x v="7"/>
    <s v="MC1E4CBAXSP085081"/>
    <s v="D71071633"/>
    <s v="T-1"/>
    <s v="24-03-2025"/>
    <m/>
    <s v="10-08-2025"/>
    <n v="30400"/>
    <m/>
    <m/>
    <n v="1"/>
    <s v="B008082001123"/>
    <s v="VISCOUS FAN ASLY DIA"/>
    <n v="1"/>
    <n v="2709.18"/>
    <s v="Accepted"/>
    <m/>
    <s v="-"/>
    <n v="1755738"/>
    <s v="23-01-2026"/>
    <n v="3196.83"/>
    <n v="0"/>
    <m/>
    <m/>
    <n v="3196.83"/>
    <m/>
    <m/>
    <m/>
  </r>
  <r>
    <n v="1012512"/>
    <x v="139"/>
    <s v="30-09-2025"/>
    <n v="7134260117754"/>
    <s v="W26C00005476"/>
    <s v="WAR26E000166"/>
    <s v="07-10-2025"/>
    <x v="7"/>
    <s v="MC1E4CBAXSP085081"/>
    <s v="D71071633"/>
    <s v="T-1"/>
    <s v="24-03-2025"/>
    <m/>
    <s v="10-08-2025"/>
    <n v="30400"/>
    <m/>
    <m/>
    <n v="2"/>
    <s v="T006865007003"/>
    <s v="RADIATOR ASLY"/>
    <n v="1"/>
    <n v="8496.56"/>
    <s v="Accepted"/>
    <m/>
    <s v="-"/>
    <n v="1755738"/>
    <s v="23-01-2026"/>
    <n v="10025.94"/>
    <n v="0"/>
    <m/>
    <m/>
    <n v="10025.94"/>
    <m/>
    <m/>
    <m/>
  </r>
  <r>
    <n v="1012512"/>
    <x v="139"/>
    <s v="30-09-2025"/>
    <n v="7134260117754"/>
    <s v="W26C00005476"/>
    <s v="WAR26E000166"/>
    <s v="07-10-2025"/>
    <x v="7"/>
    <s v="MC1E4CBAXSP085081"/>
    <s v="D71071633"/>
    <s v="T-1"/>
    <s v="24-03-2025"/>
    <m/>
    <s v="10-08-2025"/>
    <n v="30400"/>
    <m/>
    <m/>
    <n v="3"/>
    <s v="ENCOL-6"/>
    <s v="Labour Charges"/>
    <n v="1"/>
    <n v="245"/>
    <s v="Accepted"/>
    <m/>
    <s v="-"/>
    <n v="1755738"/>
    <s v="23-01-2026"/>
    <n v="289.10000000000002"/>
    <n v="0"/>
    <m/>
    <m/>
    <n v="289.10000000000002"/>
    <m/>
    <m/>
    <m/>
  </r>
  <r>
    <n v="1012512"/>
    <x v="139"/>
    <s v="30-09-2025"/>
    <n v="7134260117754"/>
    <s v="W26C00005476"/>
    <s v="WAR26E000166"/>
    <s v="07-10-2025"/>
    <x v="7"/>
    <s v="MC1E4CBAXSP085081"/>
    <s v="D71071633"/>
    <s v="T-1"/>
    <s v="24-03-2025"/>
    <m/>
    <s v="10-08-2025"/>
    <n v="30400"/>
    <m/>
    <m/>
    <n v="4"/>
    <s v="ENCOL-11"/>
    <s v="Labour Charges"/>
    <n v="1"/>
    <n v="131.25"/>
    <s v="Accepted"/>
    <m/>
    <s v="-"/>
    <n v="1755738"/>
    <s v="23-01-2026"/>
    <n v="154.88"/>
    <n v="0"/>
    <m/>
    <m/>
    <n v="154.88"/>
    <m/>
    <m/>
    <m/>
  </r>
  <r>
    <n v="1012532"/>
    <x v="140"/>
    <s v="30-09-2025"/>
    <n v="7134260116770"/>
    <s v="W26C00004645"/>
    <s v="WAR26E000105"/>
    <s v="07-10-2025"/>
    <x v="7"/>
    <s v="MC1E4CAA4SP084672"/>
    <s v="D71069503"/>
    <s v="T-1"/>
    <s v="25-03-2025"/>
    <m/>
    <s v="01-07-2025"/>
    <n v="18842"/>
    <m/>
    <m/>
    <n v="1"/>
    <s v="T006868200541"/>
    <s v="WIPER LINKAGE"/>
    <n v="1"/>
    <n v="400.73"/>
    <s v="Accepted"/>
    <m/>
    <s v="-"/>
    <n v="1755732"/>
    <s v="23-01-2026"/>
    <n v="472.86"/>
    <n v="0"/>
    <m/>
    <m/>
    <n v="472.86"/>
    <m/>
    <m/>
    <m/>
  </r>
  <r>
    <n v="1012532"/>
    <x v="140"/>
    <s v="30-09-2025"/>
    <n v="7134260116770"/>
    <s v="W26C00004645"/>
    <s v="WAR26E000105"/>
    <s v="07-10-2025"/>
    <x v="7"/>
    <s v="MC1E4CAA4SP084672"/>
    <s v="D71069503"/>
    <s v="T-1"/>
    <s v="25-03-2025"/>
    <m/>
    <s v="01-07-2025"/>
    <n v="18842"/>
    <m/>
    <m/>
    <n v="2"/>
    <s v="BD0801"/>
    <s v="Labour Charges"/>
    <n v="1"/>
    <n v="166.25"/>
    <s v="Accepted"/>
    <m/>
    <s v="-"/>
    <n v="1755732"/>
    <s v="23-01-2026"/>
    <n v="196.18"/>
    <n v="0"/>
    <m/>
    <m/>
    <n v="196.18"/>
    <m/>
    <m/>
    <m/>
  </r>
  <r>
    <n v="1012537"/>
    <x v="141"/>
    <s v="30-09-2025"/>
    <n v="7134260116767"/>
    <s v="W26C00004642"/>
    <s v="WAR26E000104"/>
    <s v="07-10-2025"/>
    <x v="7"/>
    <s v="MC1E4CBA9SP086044"/>
    <s v="D71073592"/>
    <s v="T-1"/>
    <s v="26-03-2025"/>
    <m/>
    <s v="01-07-2025"/>
    <n v="11200"/>
    <m/>
    <m/>
    <n v="1"/>
    <s v="T006863200989"/>
    <s v="ANTI ROLL BAR LINK A"/>
    <n v="1"/>
    <n v="254.06"/>
    <s v="Accepted"/>
    <m/>
    <s v="-"/>
    <n v="1755731"/>
    <s v="23-01-2026"/>
    <n v="299.79000000000002"/>
    <n v="0"/>
    <m/>
    <m/>
    <n v="299.79000000000002"/>
    <m/>
    <m/>
    <m/>
  </r>
  <r>
    <n v="1012597"/>
    <x v="142"/>
    <s v="30-09-2025"/>
    <n v="7134260116981"/>
    <s v="W26C00004825"/>
    <s v="WAR26E000106"/>
    <s v="08-10-2025"/>
    <x v="7"/>
    <s v="MC1D4DEA3SP109136"/>
    <s v="D72020881"/>
    <s v="TRAX"/>
    <s v="20-09-2025"/>
    <m/>
    <s v="10-08-2025"/>
    <n v="1160"/>
    <m/>
    <m/>
    <n v="1"/>
    <s v="B008544920680"/>
    <s v="GASKET V-CLAMP DIA.6"/>
    <n v="1"/>
    <n v="73.97"/>
    <s v="Accepted"/>
    <m/>
    <s v="-"/>
    <n v="1755733"/>
    <s v="23-01-2026"/>
    <n v="87.28"/>
    <n v="0"/>
    <m/>
    <m/>
    <n v="87.28"/>
    <m/>
    <m/>
    <m/>
  </r>
  <r>
    <n v="1012597"/>
    <x v="142"/>
    <s v="30-09-2025"/>
    <n v="7134260116981"/>
    <s v="W26C00004825"/>
    <s v="WAR26E000106"/>
    <s v="08-10-2025"/>
    <x v="7"/>
    <s v="MC1D4DEA3SP109136"/>
    <s v="D72020881"/>
    <s v="TRAX"/>
    <s v="20-09-2025"/>
    <m/>
    <s v="10-08-2025"/>
    <n v="1160"/>
    <m/>
    <m/>
    <n v="2"/>
    <s v="B008544920780"/>
    <s v="GASKET V-CLAMP DIA.1"/>
    <n v="2"/>
    <n v="682.78"/>
    <s v="Accepted"/>
    <m/>
    <s v="-"/>
    <n v="1755733"/>
    <s v="23-01-2026"/>
    <n v="805.68"/>
    <n v="0"/>
    <m/>
    <m/>
    <n v="805.68"/>
    <m/>
    <m/>
    <m/>
  </r>
  <r>
    <n v="1012597"/>
    <x v="142"/>
    <s v="30-09-2025"/>
    <n v="7134260116981"/>
    <s v="W26C00004825"/>
    <s v="WAR26E000106"/>
    <s v="08-10-2025"/>
    <x v="7"/>
    <s v="MC1D4DEA3SP109136"/>
    <s v="D72020881"/>
    <s v="TRAX"/>
    <s v="20-09-2025"/>
    <m/>
    <s v="10-08-2025"/>
    <n v="1160"/>
    <m/>
    <m/>
    <n v="3"/>
    <s v="EXH-5"/>
    <s v="Labour Charges"/>
    <n v="1"/>
    <n v="192.5"/>
    <s v="Accepted"/>
    <m/>
    <s v="-"/>
    <n v="1755733"/>
    <s v="23-01-2026"/>
    <n v="227.15"/>
    <n v="0"/>
    <m/>
    <m/>
    <n v="227.15"/>
    <m/>
    <m/>
    <m/>
  </r>
  <r>
    <n v="1012618"/>
    <x v="143"/>
    <s v="30-09-2025"/>
    <n v="7134260117557"/>
    <s v="W26C00005314"/>
    <s v="WAR26E000161"/>
    <s v="08-10-2025"/>
    <x v="7"/>
    <s v="MC1D4DHA2SP105462"/>
    <s v="D72016887"/>
    <s v="TRAX"/>
    <s v="16-10-2024"/>
    <n v="1165"/>
    <s v="02-08-2025"/>
    <n v="62998"/>
    <m/>
    <m/>
    <n v="1"/>
    <s v="B00808200000101"/>
    <s v="WATER PUMP ASSLY WIT"/>
    <n v="1"/>
    <n v="3236.86"/>
    <s v="Accepted"/>
    <m/>
    <s v="-"/>
    <n v="1755735"/>
    <s v="23-01-2026"/>
    <n v="3819.49"/>
    <n v="0"/>
    <m/>
    <m/>
    <n v="3819.49"/>
    <m/>
    <m/>
    <m/>
  </r>
  <r>
    <n v="1012618"/>
    <x v="143"/>
    <s v="30-09-2025"/>
    <n v="7134260117557"/>
    <s v="W26C00005314"/>
    <s v="WAR26E000161"/>
    <s v="08-10-2025"/>
    <x v="7"/>
    <s v="MC1D4DHA2SP105462"/>
    <s v="D72016887"/>
    <s v="TRAX"/>
    <s v="16-10-2024"/>
    <n v="1165"/>
    <s v="02-08-2025"/>
    <n v="62998"/>
    <m/>
    <m/>
    <n v="2"/>
    <s v="ENCOL-10"/>
    <s v="Labour Charges"/>
    <n v="1"/>
    <n v="306.25"/>
    <s v="Accepted"/>
    <m/>
    <s v="-"/>
    <n v="1755735"/>
    <s v="23-01-2026"/>
    <n v="361.38"/>
    <n v="0"/>
    <m/>
    <m/>
    <n v="361.38"/>
    <m/>
    <m/>
    <m/>
  </r>
  <r>
    <n v="1013104"/>
    <x v="144"/>
    <s v="03-11-2025"/>
    <n v="7134260119214"/>
    <s v="W26C00006722"/>
    <s v="WAR26E000177"/>
    <s v="03-11-2025"/>
    <x v="8"/>
    <s v="MC1E4CAA4SP083554"/>
    <s v="D71069609"/>
    <s v="T-1"/>
    <s v="23-03-2025"/>
    <m/>
    <s v="23-10-2025"/>
    <n v="49936"/>
    <m/>
    <m/>
    <n v="1"/>
    <s v="AC0113"/>
    <s v="Labour Charges"/>
    <n v="1"/>
    <n v="1400"/>
    <s v="Accepted"/>
    <m/>
    <s v="-"/>
    <s v="Cr note under process"/>
    <m/>
    <n v="1652"/>
    <n v="0"/>
    <m/>
    <m/>
    <n v="1652"/>
    <m/>
    <m/>
    <m/>
  </r>
  <r>
    <n v="1013104"/>
    <x v="144"/>
    <s v="03-11-2025"/>
    <n v="7134260119214"/>
    <s v="W26C00006722"/>
    <s v="WAR26E000177"/>
    <s v="03-11-2025"/>
    <x v="8"/>
    <s v="MC1E4CAA4SP083554"/>
    <s v="D71069609"/>
    <s v="T-1"/>
    <s v="23-03-2025"/>
    <m/>
    <s v="23-10-2025"/>
    <n v="49936"/>
    <m/>
    <m/>
    <n v="2"/>
    <s v="AC0114"/>
    <s v="Labour Charges"/>
    <n v="1"/>
    <n v="2800"/>
    <s v="Accepted"/>
    <m/>
    <s v="-"/>
    <s v="Cr note under process"/>
    <m/>
    <n v="3304"/>
    <n v="0"/>
    <m/>
    <m/>
    <n v="3304"/>
    <m/>
    <m/>
    <m/>
  </r>
  <r>
    <n v="1013129"/>
    <x v="145"/>
    <s v="03-11-2025"/>
    <n v="7134260119224"/>
    <s v="W26C00006731"/>
    <s v="WAR26E000182"/>
    <s v="06-11-2025"/>
    <x v="8"/>
    <s v="MC1E4CAAXSP084658"/>
    <s v="D71070288"/>
    <s v="T-1"/>
    <s v="23-03-2025"/>
    <m/>
    <s v="29-10-2025"/>
    <n v="47749"/>
    <m/>
    <m/>
    <n v="1"/>
    <s v="AC0113"/>
    <s v="Labour Charges"/>
    <n v="1"/>
    <n v="1400"/>
    <s v="Accepted"/>
    <m/>
    <s v="-"/>
    <s v="Cr note under process"/>
    <m/>
    <n v="1652"/>
    <n v="0"/>
    <m/>
    <m/>
    <n v="1652"/>
    <m/>
    <m/>
    <m/>
  </r>
  <r>
    <n v="1013129"/>
    <x v="145"/>
    <s v="03-11-2025"/>
    <n v="7134260119224"/>
    <s v="W26C00006731"/>
    <s v="WAR26E000182"/>
    <s v="06-11-2025"/>
    <x v="8"/>
    <s v="MC1E4CAAXSP084658"/>
    <s v="D71070288"/>
    <s v="T-1"/>
    <s v="23-03-2025"/>
    <m/>
    <s v="29-10-2025"/>
    <n v="47749"/>
    <m/>
    <m/>
    <n v="2"/>
    <s v="AC0114"/>
    <s v="Labour Charges"/>
    <n v="1"/>
    <n v="2800"/>
    <s v="Accepted"/>
    <m/>
    <s v="-"/>
    <s v="Cr note under process"/>
    <m/>
    <n v="3304"/>
    <n v="0"/>
    <m/>
    <m/>
    <n v="3304"/>
    <m/>
    <m/>
    <m/>
  </r>
  <r>
    <n v="1013130"/>
    <x v="146"/>
    <s v="03-11-2025"/>
    <n v="7134260119205"/>
    <s v="W26C00006714"/>
    <s v="WAR26E000176"/>
    <s v="06-11-2025"/>
    <x v="9"/>
    <s v="MC1E4EKA0SP014533"/>
    <s v="D71064560"/>
    <s v="T-1"/>
    <s v="28-12-2024"/>
    <m/>
    <s v="26-10-2025"/>
    <n v="43000"/>
    <m/>
    <m/>
    <n v="1"/>
    <s v="T006865425418"/>
    <s v="NOX SENSOR DOWN STRE"/>
    <n v="1"/>
    <n v="12374.27"/>
    <s v="Accepted"/>
    <m/>
    <s v="-"/>
    <s v="Cr note under process"/>
    <m/>
    <n v="14601.64"/>
    <n v="0"/>
    <m/>
    <m/>
    <n v="14601.64"/>
    <m/>
    <m/>
    <s v="P229E-08, P229E-91, P229E-85 &amp; P2BAE-09"/>
  </r>
  <r>
    <n v="1013130"/>
    <x v="146"/>
    <s v="03-11-2025"/>
    <n v="7134260119205"/>
    <s v="W26C00006714"/>
    <s v="WAR26E000176"/>
    <s v="06-11-2025"/>
    <x v="9"/>
    <s v="MC1E4EKA0SP014533"/>
    <s v="D71064560"/>
    <s v="T-1"/>
    <s v="28-12-2024"/>
    <m/>
    <s v="26-10-2025"/>
    <n v="43000"/>
    <m/>
    <m/>
    <n v="2"/>
    <s v="EX-3"/>
    <s v="Labour Charges"/>
    <n v="1"/>
    <n v="61.25"/>
    <s v="Accepted"/>
    <m/>
    <s v="-"/>
    <s v="Cr note under process"/>
    <m/>
    <n v="72.28"/>
    <n v="0"/>
    <m/>
    <m/>
    <n v="72.28"/>
    <m/>
    <m/>
    <s v="P229E-08, P229E-91, P229E-85 &amp; P2BAE-09"/>
  </r>
  <r>
    <n v="1013138"/>
    <x v="147"/>
    <s v="03-11-2025"/>
    <n v="7134260119223"/>
    <s v="W26C00006730"/>
    <s v="WAR26E000181"/>
    <s v="06-11-2025"/>
    <x v="8"/>
    <s v="MC1E4CBA6SP086065"/>
    <s v="D71073626"/>
    <s v="T-1"/>
    <s v="25-03-2025"/>
    <m/>
    <s v="23-10-2025"/>
    <n v="42610"/>
    <m/>
    <m/>
    <n v="1"/>
    <s v="AC0113"/>
    <s v="Labour Charges"/>
    <n v="1"/>
    <n v="1400"/>
    <s v="Accepted"/>
    <m/>
    <s v="-"/>
    <s v="Cr note under process"/>
    <m/>
    <n v="1652"/>
    <n v="0"/>
    <m/>
    <m/>
    <n v="1652"/>
    <m/>
    <m/>
    <m/>
  </r>
  <r>
    <n v="1013138"/>
    <x v="147"/>
    <s v="03-11-2025"/>
    <n v="7134260119223"/>
    <s v="W26C00006730"/>
    <s v="WAR26E000181"/>
    <s v="06-11-2025"/>
    <x v="8"/>
    <s v="MC1E4CBA6SP086065"/>
    <s v="D71073626"/>
    <s v="T-1"/>
    <s v="25-03-2025"/>
    <m/>
    <s v="23-10-2025"/>
    <n v="42610"/>
    <m/>
    <m/>
    <n v="2"/>
    <s v="AC0114"/>
    <s v="Labour Charges"/>
    <n v="1"/>
    <n v="2800"/>
    <s v="Accepted"/>
    <m/>
    <s v="-"/>
    <s v="Cr note under process"/>
    <m/>
    <n v="3304"/>
    <n v="0"/>
    <m/>
    <m/>
    <n v="3304"/>
    <m/>
    <m/>
    <m/>
  </r>
  <r>
    <n v="1013139"/>
    <x v="148"/>
    <s v="03-11-2025"/>
    <n v="7134260119196"/>
    <s v="W26C00006706"/>
    <s v="WAR26E000175"/>
    <s v="06-11-2025"/>
    <x v="9"/>
    <s v="MC1E4CAA0SP084197"/>
    <s v="D71070488"/>
    <s v="T-1"/>
    <s v="24-03-2025"/>
    <m/>
    <s v="24-10-2025"/>
    <n v="52283"/>
    <m/>
    <m/>
    <n v="1"/>
    <s v="B008082001123"/>
    <s v="VISCOUS FAN ASLY DIA"/>
    <n v="1"/>
    <n v="2709.18"/>
    <s v="Accepted"/>
    <m/>
    <s v="-"/>
    <s v="Cr note under process"/>
    <m/>
    <n v="3196.83"/>
    <n v="0"/>
    <m/>
    <m/>
    <n v="3196.83"/>
    <m/>
    <m/>
    <m/>
  </r>
  <r>
    <n v="1013139"/>
    <x v="148"/>
    <s v="03-11-2025"/>
    <n v="7134260119196"/>
    <s v="W26C00006706"/>
    <s v="WAR26E000175"/>
    <s v="06-11-2025"/>
    <x v="9"/>
    <s v="MC1E4CAA0SP084197"/>
    <s v="D71070488"/>
    <s v="T-1"/>
    <s v="24-03-2025"/>
    <m/>
    <s v="24-10-2025"/>
    <n v="52283"/>
    <m/>
    <m/>
    <n v="2"/>
    <s v="T006865860030"/>
    <s v="RADIATOR PART KIT -"/>
    <n v="1"/>
    <n v="9477.66"/>
    <s v="Rejected"/>
    <n v="47"/>
    <s v="WRONG PART RECEIVED / CLAIMED"/>
    <s v="N/A"/>
    <m/>
    <n v="11183.64"/>
    <n v="11183.64"/>
    <m/>
    <m/>
    <n v="0"/>
    <m/>
    <m/>
    <m/>
  </r>
  <r>
    <n v="1013139"/>
    <x v="148"/>
    <s v="03-11-2025"/>
    <n v="7134260119196"/>
    <s v="W26C00006706"/>
    <s v="WAR26E000175"/>
    <s v="06-11-2025"/>
    <x v="9"/>
    <s v="MC1E4CAA0SP084197"/>
    <s v="D71070488"/>
    <s v="T-1"/>
    <s v="24-03-2025"/>
    <m/>
    <s v="24-10-2025"/>
    <n v="52283"/>
    <m/>
    <m/>
    <n v="3"/>
    <s v="ENCOL-6"/>
    <s v="Labour Charges"/>
    <n v="1"/>
    <n v="245"/>
    <s v="Accepted"/>
    <m/>
    <s v="-"/>
    <s v="Cr note under process"/>
    <m/>
    <n v="289.10000000000002"/>
    <n v="0"/>
    <m/>
    <m/>
    <n v="289.10000000000002"/>
    <m/>
    <m/>
    <m/>
  </r>
  <r>
    <n v="1013144"/>
    <x v="149"/>
    <s v="03-11-2025"/>
    <n v="7134260119216"/>
    <s v="W26C00006724"/>
    <s v="WAR26E000178"/>
    <s v="06-11-2025"/>
    <x v="8"/>
    <s v="MC1E4CAA5SP084244"/>
    <s v="D71069525"/>
    <s v="T-1"/>
    <s v="25-03-2025"/>
    <m/>
    <s v="23-10-2025"/>
    <n v="49750"/>
    <m/>
    <m/>
    <n v="1"/>
    <s v="AC0113"/>
    <s v="Labour Charges"/>
    <n v="1"/>
    <n v="1400"/>
    <s v="Accepted"/>
    <m/>
    <s v="-"/>
    <s v="Cr note under process"/>
    <m/>
    <n v="1652"/>
    <n v="0"/>
    <m/>
    <m/>
    <n v="1652"/>
    <m/>
    <m/>
    <m/>
  </r>
  <r>
    <n v="1013144"/>
    <x v="149"/>
    <s v="03-11-2025"/>
    <n v="7134260119216"/>
    <s v="W26C00006724"/>
    <s v="WAR26E000178"/>
    <s v="06-11-2025"/>
    <x v="8"/>
    <s v="MC1E4CAA5SP084244"/>
    <s v="D71069525"/>
    <s v="T-1"/>
    <s v="25-03-2025"/>
    <m/>
    <s v="23-10-2025"/>
    <n v="49750"/>
    <m/>
    <m/>
    <n v="2"/>
    <s v="AC0114"/>
    <s v="Labour Charges"/>
    <n v="1"/>
    <n v="2800"/>
    <s v="Accepted"/>
    <m/>
    <s v="-"/>
    <s v="Cr note under process"/>
    <m/>
    <n v="3304"/>
    <n v="0"/>
    <m/>
    <m/>
    <n v="3304"/>
    <m/>
    <m/>
    <m/>
  </r>
  <r>
    <n v="1013145"/>
    <x v="150"/>
    <s v="03-11-2025"/>
    <n v="7134260119227"/>
    <s v="W26C00006734"/>
    <s v="WAR26E000185"/>
    <s v="06-11-2025"/>
    <x v="8"/>
    <s v="MC1E4CAA4SP084087"/>
    <s v="D71070298"/>
    <s v="T-1"/>
    <s v="23-03-2025"/>
    <m/>
    <s v="31-10-2025"/>
    <n v="46929"/>
    <m/>
    <m/>
    <n v="1"/>
    <s v="AC0113"/>
    <s v="Labour Charges"/>
    <n v="1"/>
    <n v="1400"/>
    <s v="Accepted"/>
    <m/>
    <s v="-"/>
    <s v="Cr note under process"/>
    <m/>
    <n v="1652"/>
    <n v="0"/>
    <m/>
    <m/>
    <n v="1652"/>
    <m/>
    <m/>
    <m/>
  </r>
  <r>
    <n v="1013145"/>
    <x v="150"/>
    <s v="03-11-2025"/>
    <n v="7134260119227"/>
    <s v="W26C00006734"/>
    <s v="WAR26E000185"/>
    <s v="06-11-2025"/>
    <x v="8"/>
    <s v="MC1E4CAA4SP084087"/>
    <s v="D71070298"/>
    <s v="T-1"/>
    <s v="23-03-2025"/>
    <m/>
    <s v="31-10-2025"/>
    <n v="46929"/>
    <m/>
    <m/>
    <n v="2"/>
    <s v="AC0114"/>
    <s v="Labour Charges"/>
    <n v="1"/>
    <n v="2800"/>
    <s v="Accepted"/>
    <m/>
    <s v="-"/>
    <s v="Cr note under process"/>
    <m/>
    <n v="3304"/>
    <n v="0"/>
    <m/>
    <m/>
    <n v="3304"/>
    <m/>
    <m/>
    <m/>
  </r>
  <r>
    <n v="1013146"/>
    <x v="151"/>
    <s v="03-11-2025"/>
    <n v="7134260118320"/>
    <s v="W26C00005928"/>
    <s v="WAR26E000168"/>
    <s v="06-11-2025"/>
    <x v="9"/>
    <s v="MC1E4CAA0SP084412"/>
    <s v="D71069289"/>
    <s v="T-1"/>
    <s v="24-03-2025"/>
    <m/>
    <s v="26-08-2025"/>
    <n v="38413"/>
    <m/>
    <m/>
    <n v="1"/>
    <s v="T006864300201"/>
    <s v="TANDEM MASTER CYL. A"/>
    <n v="1"/>
    <n v="3088.77"/>
    <s v="Accepted"/>
    <m/>
    <s v="-"/>
    <s v="Cr note under process"/>
    <m/>
    <n v="3644.75"/>
    <n v="0"/>
    <m/>
    <m/>
    <n v="3644.75"/>
    <m/>
    <m/>
    <m/>
  </r>
  <r>
    <n v="1013146"/>
    <x v="151"/>
    <s v="03-11-2025"/>
    <n v="7134260118320"/>
    <s v="W26C00005928"/>
    <s v="WAR26E000168"/>
    <s v="06-11-2025"/>
    <x v="9"/>
    <s v="MC1E4CAA0SP084412"/>
    <s v="D71069289"/>
    <s v="T-1"/>
    <s v="24-03-2025"/>
    <m/>
    <s v="26-08-2025"/>
    <n v="38413"/>
    <m/>
    <m/>
    <n v="2"/>
    <s v="ABS-10"/>
    <s v="Labour Charges"/>
    <n v="1"/>
    <n v="288.75"/>
    <s v="Accepted"/>
    <m/>
    <s v="-"/>
    <s v="Cr note under process"/>
    <m/>
    <n v="340.73"/>
    <n v="0"/>
    <m/>
    <m/>
    <n v="340.73"/>
    <m/>
    <m/>
    <m/>
  </r>
  <r>
    <n v="1013150"/>
    <x v="152"/>
    <s v="03-11-2025"/>
    <n v="7134260119225"/>
    <s v="W26C00006732"/>
    <s v="WAR26E000183"/>
    <s v="06-11-2025"/>
    <x v="8"/>
    <s v="MC1E4CAA1SP084676"/>
    <s v="D71069730"/>
    <s v="T-1"/>
    <s v="25-03-2025"/>
    <m/>
    <s v="29-10-2025"/>
    <n v="45551"/>
    <m/>
    <m/>
    <n v="1"/>
    <s v="AC0113"/>
    <s v="Labour Charges"/>
    <n v="1"/>
    <n v="1400"/>
    <s v="Accepted"/>
    <m/>
    <s v="-"/>
    <s v="Cr note under process"/>
    <m/>
    <n v="1652"/>
    <n v="0"/>
    <m/>
    <m/>
    <n v="1652"/>
    <m/>
    <m/>
    <m/>
  </r>
  <r>
    <n v="1013150"/>
    <x v="152"/>
    <s v="03-11-2025"/>
    <n v="7134260119225"/>
    <s v="W26C00006732"/>
    <s v="WAR26E000183"/>
    <s v="06-11-2025"/>
    <x v="8"/>
    <s v="MC1E4CAA1SP084676"/>
    <s v="D71069730"/>
    <s v="T-1"/>
    <s v="25-03-2025"/>
    <m/>
    <s v="29-10-2025"/>
    <n v="45551"/>
    <m/>
    <m/>
    <n v="2"/>
    <s v="AC0114"/>
    <s v="Labour Charges"/>
    <n v="1"/>
    <n v="2800"/>
    <s v="Accepted"/>
    <m/>
    <s v="-"/>
    <s v="Cr note under process"/>
    <m/>
    <n v="3304"/>
    <n v="0"/>
    <m/>
    <m/>
    <n v="3304"/>
    <m/>
    <m/>
    <m/>
  </r>
  <r>
    <n v="1013152"/>
    <x v="153"/>
    <s v="03-11-2025"/>
    <n v="7134260119219"/>
    <s v="W26C00006727"/>
    <s v="WAR26E000179"/>
    <s v="06-11-2025"/>
    <x v="8"/>
    <s v="MC1E4CAA8SP083640"/>
    <s v="D71069409"/>
    <s v="T-1"/>
    <s v="23-03-2025"/>
    <m/>
    <s v="23-10-2025"/>
    <n v="42577"/>
    <m/>
    <m/>
    <n v="1"/>
    <s v="AC0113"/>
    <s v="Labour Charges"/>
    <n v="1"/>
    <n v="1400"/>
    <s v="Accepted"/>
    <m/>
    <s v="-"/>
    <s v="Cr note under process"/>
    <m/>
    <n v="1652"/>
    <n v="0"/>
    <m/>
    <m/>
    <n v="1652"/>
    <m/>
    <m/>
    <m/>
  </r>
  <r>
    <n v="1013152"/>
    <x v="153"/>
    <s v="03-11-2025"/>
    <n v="7134260119219"/>
    <s v="W26C00006727"/>
    <s v="WAR26E000179"/>
    <s v="06-11-2025"/>
    <x v="8"/>
    <s v="MC1E4CAA8SP083640"/>
    <s v="D71069409"/>
    <s v="T-1"/>
    <s v="23-03-2025"/>
    <m/>
    <s v="23-10-2025"/>
    <n v="42577"/>
    <m/>
    <m/>
    <n v="2"/>
    <s v="AC0114"/>
    <s v="Labour Charges"/>
    <n v="1"/>
    <n v="2800"/>
    <s v="Accepted"/>
    <m/>
    <s v="-"/>
    <s v="Cr note under process"/>
    <m/>
    <n v="3304"/>
    <n v="0"/>
    <m/>
    <m/>
    <n v="3304"/>
    <m/>
    <m/>
    <m/>
  </r>
  <r>
    <n v="1013153"/>
    <x v="154"/>
    <s v="03-11-2025"/>
    <n v="7134260118316"/>
    <s v="W26C00005924"/>
    <s v="WAR26E000167"/>
    <s v="06-11-2025"/>
    <x v="9"/>
    <s v="MC1E4EJA6SP014182"/>
    <s v="D71062929"/>
    <s v="T-1"/>
    <s v="27-02-2025"/>
    <m/>
    <s v="17-08-2025"/>
    <n v="32006"/>
    <m/>
    <m/>
    <n v="1"/>
    <s v="T006869813905"/>
    <s v="TAPER ROLLER BEARING"/>
    <n v="1"/>
    <n v="303.63"/>
    <s v="Accepted"/>
    <m/>
    <s v="-"/>
    <s v="Cr note under process"/>
    <m/>
    <n v="358.28"/>
    <n v="0"/>
    <m/>
    <m/>
    <n v="358.28"/>
    <m/>
    <m/>
    <m/>
  </r>
  <r>
    <n v="1013153"/>
    <x v="154"/>
    <s v="03-11-2025"/>
    <n v="7134260118316"/>
    <s v="W26C00005924"/>
    <s v="WAR26E000167"/>
    <s v="06-11-2025"/>
    <x v="9"/>
    <s v="MC1E4EJA6SP014182"/>
    <s v="D71062929"/>
    <s v="T-1"/>
    <s v="27-02-2025"/>
    <m/>
    <s v="17-08-2025"/>
    <n v="32006"/>
    <m/>
    <m/>
    <n v="2"/>
    <s v="RA0301"/>
    <s v="Labour Charges"/>
    <n v="1"/>
    <n v="1137.5"/>
    <s v="Accepted"/>
    <m/>
    <s v="-"/>
    <s v="Cr note under process"/>
    <m/>
    <n v="1342.25"/>
    <n v="0"/>
    <m/>
    <m/>
    <n v="1342.25"/>
    <m/>
    <m/>
    <m/>
  </r>
  <r>
    <n v="1013162"/>
    <x v="155"/>
    <s v="03-11-2025"/>
    <n v="7134260119221"/>
    <s v="W26C00006729"/>
    <s v="WAR26E000180"/>
    <s v="06-11-2025"/>
    <x v="8"/>
    <s v="MC1E4CBA2SP086015"/>
    <s v="D71073516"/>
    <s v="T-1"/>
    <s v="25-03-2025"/>
    <m/>
    <s v="23-10-2025"/>
    <n v="33640"/>
    <m/>
    <m/>
    <n v="1"/>
    <s v="AC0113"/>
    <s v="Labour Charges"/>
    <n v="1"/>
    <n v="1400"/>
    <s v="Accepted"/>
    <m/>
    <s v="-"/>
    <s v="Cr note under process"/>
    <m/>
    <n v="1652"/>
    <n v="0"/>
    <m/>
    <m/>
    <n v="1652"/>
    <m/>
    <m/>
    <m/>
  </r>
  <r>
    <n v="1013162"/>
    <x v="155"/>
    <s v="03-11-2025"/>
    <n v="7134260119221"/>
    <s v="W26C00006729"/>
    <s v="WAR26E000180"/>
    <s v="06-11-2025"/>
    <x v="8"/>
    <s v="MC1E4CBA2SP086015"/>
    <s v="D71073516"/>
    <s v="T-1"/>
    <s v="25-03-2025"/>
    <m/>
    <s v="23-10-2025"/>
    <n v="33640"/>
    <m/>
    <m/>
    <n v="2"/>
    <s v="AC0114"/>
    <s v="Labour Charges"/>
    <n v="1"/>
    <n v="2800"/>
    <s v="Accepted"/>
    <m/>
    <s v="-"/>
    <s v="Cr note under process"/>
    <m/>
    <n v="3304"/>
    <n v="0"/>
    <m/>
    <m/>
    <n v="3304"/>
    <m/>
    <m/>
    <m/>
  </r>
  <r>
    <n v="1013178"/>
    <x v="156"/>
    <s v="03-11-2025"/>
    <n v="7134260119093"/>
    <s v="W26C00006613"/>
    <s v="WAR26E000172"/>
    <s v="06-11-2025"/>
    <x v="9"/>
    <s v="MC1E4CBA4SP085335"/>
    <s v="D71072191"/>
    <s v="T-1"/>
    <s v="27-03-2025"/>
    <m/>
    <s v="24-09-2025"/>
    <n v="43470"/>
    <m/>
    <m/>
    <n v="1"/>
    <s v="T006865420618"/>
    <s v="TEMPERATURE SENSOR(E"/>
    <n v="1"/>
    <n v="9241.26"/>
    <s v="Accepted"/>
    <m/>
    <s v="-"/>
    <s v="Cr note under process"/>
    <m/>
    <n v="10904.69"/>
    <n v="0"/>
    <m/>
    <m/>
    <n v="10904.69"/>
    <m/>
    <m/>
    <s v="trouble code are P2BA8-00 P242C-11 P2463-85 P24A-00."/>
  </r>
  <r>
    <n v="1013178"/>
    <x v="156"/>
    <s v="03-11-2025"/>
    <n v="7134260119093"/>
    <s v="W26C00006613"/>
    <s v="WAR26E000172"/>
    <s v="06-11-2025"/>
    <x v="9"/>
    <s v="MC1E4CBA4SP085335"/>
    <s v="D71072191"/>
    <s v="T-1"/>
    <s v="27-03-2025"/>
    <m/>
    <s v="24-09-2025"/>
    <n v="43470"/>
    <m/>
    <m/>
    <n v="2"/>
    <s v="EL2014"/>
    <s v="Labour Charges"/>
    <n v="1"/>
    <n v="43.75"/>
    <s v="Accepted"/>
    <m/>
    <s v="-"/>
    <s v="Cr note under process"/>
    <m/>
    <n v="51.63"/>
    <n v="0"/>
    <m/>
    <m/>
    <n v="51.63"/>
    <m/>
    <m/>
    <s v="trouble code are P2BA8-00 P242C-11 P2463-85 P24A-00."/>
  </r>
  <r>
    <n v="1013184"/>
    <x v="157"/>
    <s v="03-11-2025"/>
    <n v="7134260119089"/>
    <s v="W26C00006609"/>
    <s v="WAR26E000171"/>
    <s v="06-11-2025"/>
    <x v="9"/>
    <s v="MC1E4DAA1SP055832"/>
    <s v="D71068928"/>
    <s v="T-1"/>
    <s v="05-03-2025"/>
    <n v="1165"/>
    <s v="16-09-2025"/>
    <n v="15843"/>
    <m/>
    <m/>
    <n v="1"/>
    <s v="T006864900021"/>
    <s v="DOSING MODULE 3.6 (A"/>
    <n v="1"/>
    <n v="2884.75"/>
    <s v="Rejected"/>
    <n v="10"/>
    <s v="VERY POOR FREE SERVICE RECORD."/>
    <s v="N/A"/>
    <m/>
    <n v="3404.01"/>
    <n v="3404.01"/>
    <m/>
    <m/>
    <n v="0"/>
    <m/>
    <m/>
    <s v=". Error codes found: P106000, P204713, P2BA800 , Adblue Purchase histo"/>
  </r>
  <r>
    <n v="1013187"/>
    <x v="158"/>
    <s v="03-11-2025"/>
    <n v="7134260119226"/>
    <s v="W26C00006733"/>
    <s v="WAR26E000184"/>
    <s v="06-11-2025"/>
    <x v="8"/>
    <s v="MC1E4CAA7SP084505"/>
    <s v="D71070522"/>
    <s v="T-1"/>
    <s v="25-03-2025"/>
    <m/>
    <s v="31-10-2025"/>
    <n v="43666"/>
    <m/>
    <m/>
    <n v="1"/>
    <s v="AC0113"/>
    <s v="Labour Charges"/>
    <n v="1"/>
    <n v="1400"/>
    <s v="Accepted"/>
    <m/>
    <s v="-"/>
    <s v="Cr note under process"/>
    <m/>
    <n v="1652"/>
    <n v="0"/>
    <m/>
    <m/>
    <n v="1652"/>
    <m/>
    <m/>
    <m/>
  </r>
  <r>
    <n v="1013187"/>
    <x v="158"/>
    <s v="03-11-2025"/>
    <n v="7134260119226"/>
    <s v="W26C00006733"/>
    <s v="WAR26E000184"/>
    <s v="06-11-2025"/>
    <x v="8"/>
    <s v="MC1E4CAA7SP084505"/>
    <s v="D71070522"/>
    <s v="T-1"/>
    <s v="25-03-2025"/>
    <m/>
    <s v="31-10-2025"/>
    <n v="43666"/>
    <m/>
    <m/>
    <n v="2"/>
    <s v="AC0114"/>
    <s v="Labour Charges"/>
    <n v="1"/>
    <n v="2800"/>
    <s v="Accepted"/>
    <m/>
    <s v="-"/>
    <s v="Cr note under process"/>
    <m/>
    <n v="3304"/>
    <n v="0"/>
    <m/>
    <m/>
    <n v="3304"/>
    <m/>
    <m/>
    <m/>
  </r>
  <r>
    <n v="1013768"/>
    <x v="159"/>
    <s v="03-11-2025"/>
    <n v="7134260119018"/>
    <s v="G26C00000099"/>
    <s v="GDW26E000002"/>
    <s v="25-11-2025"/>
    <x v="10"/>
    <s v="MC1D4DBA4RP103635"/>
    <s v="D72014410"/>
    <s v="TRAX"/>
    <s v="22-03-2024"/>
    <n v="1165"/>
    <s v="30-10-2025"/>
    <n v="92549"/>
    <m/>
    <m/>
    <n v="1"/>
    <s v="B008544903906"/>
    <s v="DPF ASSLY SPARE (TFR"/>
    <n v="1"/>
    <n v="25475.87"/>
    <s v="Accepted"/>
    <m/>
    <s v="-"/>
    <s v="Cr note under process"/>
    <m/>
    <n v="30061.53"/>
    <n v="0"/>
    <m/>
    <m/>
    <n v="30061.53"/>
    <m/>
    <m/>
    <s v="Goodwill Approval recd from SER HO"/>
  </r>
  <r>
    <n v="1013768"/>
    <x v="159"/>
    <s v="03-11-2025"/>
    <n v="7134260119018"/>
    <s v="G26C00000099"/>
    <s v="GDW26E000002"/>
    <s v="25-11-2025"/>
    <x v="10"/>
    <s v="MC1D4DBA4RP103635"/>
    <s v="D72014410"/>
    <s v="TRAX"/>
    <s v="22-03-2024"/>
    <n v="1165"/>
    <s v="30-10-2025"/>
    <n v="92549"/>
    <m/>
    <m/>
    <n v="2"/>
    <s v="EXH-2"/>
    <s v="Labour Charges"/>
    <n v="1"/>
    <n v="920"/>
    <s v="Accepted"/>
    <m/>
    <s v="-"/>
    <s v="Cr note under process"/>
    <m/>
    <n v="1085.5999999999999"/>
    <n v="0"/>
    <m/>
    <m/>
    <n v="1085.5999999999999"/>
    <m/>
    <m/>
    <s v="Goodwill Approval recd from SER HO"/>
  </r>
  <r>
    <n v="1013829"/>
    <x v="160"/>
    <s v="31-10-2025"/>
    <n v="7134260117569"/>
    <s v="W26C00005325"/>
    <s v="WAR26E000164"/>
    <s v="25-11-2025"/>
    <x v="9"/>
    <s v="MC1D4DLA6SP106329"/>
    <s v="D72017803"/>
    <s v="TRAX"/>
    <s v="13-05-2025"/>
    <n v="1165"/>
    <s v="30-07-2025"/>
    <n v="14186"/>
    <m/>
    <m/>
    <n v="1"/>
    <s v="B008545420117"/>
    <s v="VEHICLE SPEED SENSOR"/>
    <n v="1"/>
    <n v="1124.96"/>
    <s v="Rejected"/>
    <n v="73"/>
    <s v="Error Code Not Submitted By Dealer"/>
    <s v="N/A"/>
    <m/>
    <n v="1327.45"/>
    <n v="1327.45"/>
    <m/>
    <m/>
    <n v="0"/>
    <m/>
    <m/>
    <m/>
  </r>
  <r>
    <n v="1013875"/>
    <x v="161"/>
    <s v="03-11-2025"/>
    <n v="7134260119001"/>
    <s v="W26C00006527"/>
    <s v="WAR26E000170"/>
    <s v="25-11-2025"/>
    <x v="9"/>
    <s v="MC1E4FHA8SP021288"/>
    <s v="D71060855"/>
    <s v="T26"/>
    <s v="10-09-2024"/>
    <n v="1165"/>
    <s v="05-09-2025"/>
    <n v="49997"/>
    <m/>
    <m/>
    <n v="1"/>
    <s v="T006865862431"/>
    <s v="SHIFTING DOME KIT"/>
    <n v="1"/>
    <n v="6169.81"/>
    <s v="Rejected"/>
    <n v="47"/>
    <s v="WRONG PART RECEIVED / CLAIMED"/>
    <s v="N/A"/>
    <m/>
    <n v="21005.64"/>
    <n v="21005.64"/>
    <m/>
    <m/>
    <n v="0"/>
    <m/>
    <m/>
    <s v="Request all dealers to use correct Shifting Dome  Assly part code as T"/>
  </r>
  <r>
    <n v="1013875"/>
    <x v="161"/>
    <s v="03-11-2025"/>
    <n v="7134260119001"/>
    <s v="W26C00006527"/>
    <s v="WAR26E000170"/>
    <s v="25-11-2025"/>
    <x v="9"/>
    <s v="MC1E4FHA8SP021288"/>
    <s v="D71060855"/>
    <s v="T26"/>
    <s v="10-09-2024"/>
    <n v="1165"/>
    <s v="05-09-2025"/>
    <n v="49997"/>
    <m/>
    <m/>
    <n v="2"/>
    <s v="GB-11"/>
    <s v="Labour Charges"/>
    <n v="1"/>
    <n v="560"/>
    <s v="Rejected"/>
    <n v="47"/>
    <s v="WRONG PART RECEIVED / CLAIMED"/>
    <s v="N/A"/>
    <m/>
    <n v="660.8"/>
    <n v="660.8"/>
    <m/>
    <m/>
    <n v="0"/>
    <m/>
    <m/>
    <s v="Request all dealers to use correct Shifting Dome  Assly part code as T"/>
  </r>
  <r>
    <n v="1014055"/>
    <x v="162"/>
    <s v="30-09-2025"/>
    <n v="7134260116982"/>
    <s v="W26C00004826"/>
    <s v="WAR26E000107"/>
    <s v="26-11-2025"/>
    <x v="11"/>
    <s v="MC1D1DDA1SP001625"/>
    <s v="D72020101"/>
    <s v="TRAX"/>
    <s v="21-04-2025"/>
    <n v="1165"/>
    <s v="18-07-2025"/>
    <n v="3212"/>
    <m/>
    <m/>
    <n v="1"/>
    <s v="B008544920680"/>
    <s v="GASKET V-CLAMP DIA.6"/>
    <n v="1"/>
    <n v="73.97"/>
    <s v="Accepted"/>
    <m/>
    <s v="-"/>
    <s v="Cr note under process"/>
    <m/>
    <n v="87.28"/>
    <n v="0"/>
    <m/>
    <m/>
    <n v="87.28"/>
    <m/>
    <m/>
    <m/>
  </r>
  <r>
    <n v="1014055"/>
    <x v="162"/>
    <s v="30-09-2025"/>
    <n v="7134260116982"/>
    <s v="W26C00004826"/>
    <s v="WAR26E000107"/>
    <s v="26-11-2025"/>
    <x v="11"/>
    <s v="MC1D1DDA1SP001625"/>
    <s v="D72020101"/>
    <s v="TRAX"/>
    <s v="21-04-2025"/>
    <n v="1165"/>
    <s v="18-07-2025"/>
    <n v="3212"/>
    <m/>
    <m/>
    <n v="2"/>
    <s v="B008544920780"/>
    <s v="GASKET V-CLAMP DIA.1"/>
    <n v="1"/>
    <n v="341.39"/>
    <s v="Accepted"/>
    <m/>
    <s v="-"/>
    <s v="Cr note under process"/>
    <m/>
    <n v="402.84"/>
    <n v="0"/>
    <m/>
    <m/>
    <n v="402.84"/>
    <m/>
    <m/>
    <m/>
  </r>
  <r>
    <n v="1014055"/>
    <x v="162"/>
    <s v="30-09-2025"/>
    <n v="7134260116982"/>
    <s v="W26C00004826"/>
    <s v="WAR26E000107"/>
    <s v="26-11-2025"/>
    <x v="11"/>
    <s v="MC1D1DDA1SP001625"/>
    <s v="D72020101"/>
    <s v="TRAX"/>
    <s v="21-04-2025"/>
    <n v="1165"/>
    <s v="18-07-2025"/>
    <n v="3212"/>
    <m/>
    <m/>
    <n v="3"/>
    <s v="EXH-5"/>
    <s v="Labour Charges"/>
    <n v="1"/>
    <n v="192.5"/>
    <s v="Accepted"/>
    <m/>
    <s v="-"/>
    <s v="Cr note under process"/>
    <m/>
    <n v="227.15"/>
    <n v="0"/>
    <m/>
    <m/>
    <n v="227.15"/>
    <m/>
    <m/>
    <m/>
  </r>
  <r>
    <n v="1014136"/>
    <x v="163"/>
    <s v="30-11-2025"/>
    <n v="7134260119784"/>
    <s v="W26C00007181"/>
    <s v="WAR26E000190"/>
    <s v="01-12-2025"/>
    <x v="12"/>
    <s v="MC1D4DHA3SP105471"/>
    <s v="D72016897"/>
    <s v="TRAX"/>
    <s v="14-10-2024"/>
    <n v="1165"/>
    <s v="29-09-2025"/>
    <n v="14120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4213"/>
    <x v="164"/>
    <s v="30-11-2025"/>
    <n v="7134260119780"/>
    <s v="W26C00007177"/>
    <s v="WAR26E000186"/>
    <s v="01-12-2025"/>
    <x v="12"/>
    <s v="MC1D4DHAXSP105337"/>
    <s v="D72016757"/>
    <s v="TRAX"/>
    <s v="09-10-2024"/>
    <n v="1165"/>
    <s v="29-09-2025"/>
    <n v="15720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4214"/>
    <x v="165"/>
    <s v="30-11-2025"/>
    <n v="7134260119795"/>
    <s v="W26C00007192"/>
    <s v="WAR26E000199"/>
    <s v="01-12-2025"/>
    <x v="12"/>
    <s v="MC1D4DFA4SP109550"/>
    <s v="D72021317"/>
    <s v="TRAX"/>
    <s v="20-09-2025"/>
    <n v="1165"/>
    <s v="29-09-2025"/>
    <n v="1520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4217"/>
    <x v="166"/>
    <s v="30-11-2025"/>
    <n v="7134260120313"/>
    <s v="W26C00007612"/>
    <s v="WAR26E000244"/>
    <s v="01-12-2025"/>
    <x v="8"/>
    <s v="MC1D4DBA5SP107330"/>
    <s v="D72018945"/>
    <s v="TRAX"/>
    <s v="08-03-2025"/>
    <n v="1160"/>
    <s v="17-11-2025"/>
    <n v="2560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4221"/>
    <x v="167"/>
    <s v="30-11-2025"/>
    <n v="7134260119797"/>
    <s v="W26C00007194"/>
    <s v="WAR26E000200"/>
    <s v="01-12-2025"/>
    <x v="12"/>
    <s v="MC1D4DJA6SP105829"/>
    <s v="D72017292"/>
    <s v="TRAX"/>
    <s v="07-11-2024"/>
    <n v="1165"/>
    <s v="29-09-2025"/>
    <n v="10200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4227"/>
    <x v="168"/>
    <s v="30-11-2025"/>
    <n v="7134260120452"/>
    <s v="W26C00007712"/>
    <s v="WAR26E000260"/>
    <s v="01-12-2025"/>
    <x v="13"/>
    <s v="MC1D4DGA8TP109874"/>
    <s v="D72021754"/>
    <s v="TRAX"/>
    <s v="24-10-2025"/>
    <n v="1165"/>
    <s v="29-11-2025"/>
    <n v="1659"/>
    <m/>
    <m/>
    <n v="1"/>
    <s v="B008544920680"/>
    <s v="GASKET V-CLAMP DIA.6"/>
    <n v="1"/>
    <n v="73.97"/>
    <s v="Accepted"/>
    <m/>
    <s v="-"/>
    <s v="Cr note under process"/>
    <m/>
    <n v="87.28"/>
    <n v="0"/>
    <m/>
    <m/>
    <n v="87.28"/>
    <m/>
    <m/>
    <m/>
  </r>
  <r>
    <n v="1014227"/>
    <x v="168"/>
    <s v="30-11-2025"/>
    <n v="7134260120452"/>
    <s v="W26C00007712"/>
    <s v="WAR26E000260"/>
    <s v="01-12-2025"/>
    <x v="13"/>
    <s v="MC1D4DGA8TP109874"/>
    <s v="D72021754"/>
    <s v="TRAX"/>
    <s v="24-10-2025"/>
    <n v="1165"/>
    <s v="29-11-2025"/>
    <n v="1659"/>
    <m/>
    <m/>
    <n v="2"/>
    <s v="B008544920780"/>
    <s v="GASKET V-CLAMP DIA.1"/>
    <n v="1"/>
    <n v="341.39"/>
    <s v="Accepted"/>
    <m/>
    <s v="-"/>
    <s v="Cr note under process"/>
    <m/>
    <n v="402.84"/>
    <n v="0"/>
    <m/>
    <m/>
    <n v="402.84"/>
    <m/>
    <m/>
    <m/>
  </r>
  <r>
    <n v="1014227"/>
    <x v="168"/>
    <s v="30-11-2025"/>
    <n v="7134260120452"/>
    <s v="W26C00007712"/>
    <s v="WAR26E000260"/>
    <s v="01-12-2025"/>
    <x v="13"/>
    <s v="MC1D4DGA8TP109874"/>
    <s v="D72021754"/>
    <s v="TRAX"/>
    <s v="24-10-2025"/>
    <n v="1165"/>
    <s v="29-11-2025"/>
    <n v="1659"/>
    <m/>
    <m/>
    <n v="3"/>
    <s v="EXH-5"/>
    <s v="Labour Charges"/>
    <n v="1"/>
    <n v="192.5"/>
    <s v="Accepted"/>
    <m/>
    <s v="-"/>
    <s v="Cr note under process"/>
    <m/>
    <n v="227.15"/>
    <n v="0"/>
    <m/>
    <m/>
    <n v="227.15"/>
    <m/>
    <m/>
    <m/>
  </r>
  <r>
    <n v="1014229"/>
    <x v="169"/>
    <s v="30-11-2025"/>
    <n v="7134260119789"/>
    <s v="W26C00007186"/>
    <s v="WAR26E000194"/>
    <s v="01-12-2025"/>
    <x v="12"/>
    <s v="MC1D4DAA4SP107109"/>
    <s v="D72018744"/>
    <s v="TRAX"/>
    <s v="25-03-2025"/>
    <n v="1165"/>
    <s v="29-09-2025"/>
    <n v="4203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4231"/>
    <x v="170"/>
    <s v="30-11-2025"/>
    <n v="7134260120315"/>
    <s v="W26C00007614"/>
    <s v="WAR26E000246"/>
    <s v="01-12-2025"/>
    <x v="8"/>
    <s v="MC1D4DEA0SP109143"/>
    <s v="D72020882"/>
    <s v="TRAX"/>
    <s v="20-09-2025"/>
    <n v="1165"/>
    <s v="17-11-2025"/>
    <n v="9978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4236"/>
    <x v="171"/>
    <s v="30-11-2025"/>
    <n v="7134260119800"/>
    <s v="W26C00007197"/>
    <s v="WAR26E000203"/>
    <s v="01-12-2025"/>
    <x v="12"/>
    <s v="MC1D4DDA6SP108709"/>
    <s v="D72020395"/>
    <s v="TRAX"/>
    <s v="07-08-2025"/>
    <n v="1165"/>
    <s v="29-09-2025"/>
    <n v="3940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4237"/>
    <x v="172"/>
    <s v="30-11-2025"/>
    <n v="7134260119781"/>
    <s v="W26C00007178"/>
    <s v="WAR26E000187"/>
    <s v="01-12-2025"/>
    <x v="12"/>
    <s v="MC1D4DBA4RP103635"/>
    <s v="D72014410"/>
    <s v="TRAX"/>
    <s v="22-03-2024"/>
    <n v="1165"/>
    <s v="29-09-2025"/>
    <n v="90710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4239"/>
    <x v="173"/>
    <s v="30-11-2025"/>
    <n v="7134260120326"/>
    <s v="W26C00007625"/>
    <s v="WAR26E000257"/>
    <s v="01-12-2025"/>
    <x v="8"/>
    <s v="MC1D4DJA8RP101565"/>
    <s v="D72012161"/>
    <s v="TRAX"/>
    <s v="22-02-2024"/>
    <n v="1165"/>
    <s v="26-11-2025"/>
    <n v="72561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4243"/>
    <x v="174"/>
    <s v="30-11-2025"/>
    <n v="7134260120325"/>
    <s v="W26C00007624"/>
    <s v="WAR26E000256"/>
    <s v="01-12-2025"/>
    <x v="8"/>
    <s v="MC1D4DGA8RP100617"/>
    <s v="D72011234"/>
    <s v="TRAX"/>
    <s v="24-11-2023"/>
    <n v="1165"/>
    <s v="26-11-2025"/>
    <n v="119290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4251"/>
    <x v="175"/>
    <s v="30-11-2025"/>
    <n v="7134260119810"/>
    <s v="W26C00007207"/>
    <s v="WAR26E000211"/>
    <s v="01-12-2025"/>
    <x v="12"/>
    <s v="MC1D4DDA6SP108712"/>
    <s v="D72020414"/>
    <s v="TRAX"/>
    <s v="28-08-2025"/>
    <n v="1165"/>
    <s v="29-09-2025"/>
    <n v="1520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4255"/>
    <x v="176"/>
    <s v="30-11-2025"/>
    <n v="7134260119786"/>
    <s v="W26C00007183"/>
    <s v="WAR26E000191"/>
    <s v="01-12-2025"/>
    <x v="12"/>
    <s v="MC1D4DJA1SP105494"/>
    <s v="D72016942"/>
    <s v="TRAX"/>
    <s v="15-10-2024"/>
    <n v="1165"/>
    <s v="29-09-2025"/>
    <n v="24530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4260"/>
    <x v="177"/>
    <s v="30-11-2025"/>
    <n v="7134260119804"/>
    <s v="W26C00007201"/>
    <s v="WAR26E000206"/>
    <s v="01-12-2025"/>
    <x v="12"/>
    <s v="MC1D4DBA9SP107444"/>
    <s v="D72019051"/>
    <s v="TRAX"/>
    <s v="14-04-2025"/>
    <n v="1165"/>
    <s v="29-09-2025"/>
    <n v="4420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4264"/>
    <x v="178"/>
    <s v="30-11-2025"/>
    <n v="7134260119798"/>
    <s v="W26C00007195"/>
    <s v="WAR26E000201"/>
    <s v="01-12-2025"/>
    <x v="12"/>
    <s v="MC1D4DBA9RP103565"/>
    <s v="D72014281"/>
    <s v="TRAX"/>
    <s v="30-05-2024"/>
    <n v="1165"/>
    <s v="29-09-2025"/>
    <n v="115510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4266"/>
    <x v="179"/>
    <s v="30-11-2025"/>
    <n v="7134260119794"/>
    <s v="W26C00007191"/>
    <s v="WAR26E000198"/>
    <s v="01-12-2025"/>
    <x v="12"/>
    <s v="MC1D4DDA5SP108491"/>
    <s v="D72020135"/>
    <s v="TRAX"/>
    <s v="29-04-2025"/>
    <n v="1165"/>
    <s v="29-09-2025"/>
    <n v="1562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4268"/>
    <x v="180"/>
    <s v="30-11-2025"/>
    <n v="7134260119782"/>
    <s v="W26C00007179"/>
    <s v="WAR26E000188"/>
    <s v="01-12-2025"/>
    <x v="12"/>
    <s v="MC1D4DJAXSP105865"/>
    <s v="D72017337"/>
    <s v="TRAX"/>
    <s v="08-02-2025"/>
    <n v="1160"/>
    <s v="29-09-2025"/>
    <n v="8120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4269"/>
    <x v="181"/>
    <s v="30-11-2025"/>
    <n v="7134260119793"/>
    <s v="W26C00007190"/>
    <s v="WAR26E000197"/>
    <s v="01-12-2025"/>
    <x v="12"/>
    <s v="MC1D4DGA1RP100698"/>
    <s v="D72011293"/>
    <s v="TRAX"/>
    <s v="02-08-2023"/>
    <n v="1165"/>
    <s v="29-09-2025"/>
    <n v="57840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4271"/>
    <x v="182"/>
    <s v="30-11-2025"/>
    <n v="7134260120327"/>
    <s v="W26C00007626"/>
    <s v="WAR26E000258"/>
    <s v="01-12-2025"/>
    <x v="8"/>
    <s v="MC1D4DHA2SP105462"/>
    <s v="D72016887"/>
    <s v="TRAX"/>
    <s v="16-10-2024"/>
    <n v="1165"/>
    <s v="26-11-2025"/>
    <n v="96918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4274"/>
    <x v="183"/>
    <s v="30-11-2025"/>
    <n v="7134260120322"/>
    <s v="W26C00007621"/>
    <s v="WAR26E000253"/>
    <s v="01-12-2025"/>
    <x v="8"/>
    <s v="MC1D4DJA4SP105571"/>
    <s v="D72016966"/>
    <s v="TRAX"/>
    <s v="15-10-2024"/>
    <n v="1165"/>
    <s v="17-11-2025"/>
    <n v="17668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4276"/>
    <x v="184"/>
    <s v="30-11-2025"/>
    <n v="7134260120324"/>
    <s v="W26C00007623"/>
    <s v="WAR26E000255"/>
    <s v="01-12-2025"/>
    <x v="8"/>
    <s v="MC1D4DFA6SP109257"/>
    <s v="D72020977"/>
    <s v="TRAX"/>
    <s v="27-08-2025"/>
    <n v="1165"/>
    <s v="17-11-2025"/>
    <n v="3879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4279"/>
    <x v="185"/>
    <s v="30-11-2025"/>
    <n v="7134260120321"/>
    <s v="W26C00007620"/>
    <s v="WAR26E000252"/>
    <s v="01-12-2025"/>
    <x v="8"/>
    <s v="MC1D4DFA3SP109541"/>
    <s v="D72021333"/>
    <s v="TRAX"/>
    <s v="30-09-2025"/>
    <n v="1165"/>
    <s v="17-11-2025"/>
    <n v="1435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4282"/>
    <x v="186"/>
    <s v="30-11-2025"/>
    <n v="7134260120323"/>
    <s v="W26C00007622"/>
    <s v="WAR26E000254"/>
    <s v="01-12-2025"/>
    <x v="8"/>
    <s v="MC1D4DDA0SP108494"/>
    <s v="D72020146"/>
    <s v="TRAX"/>
    <s v="13-06-2025"/>
    <n v="1165"/>
    <s v="17-11-2025"/>
    <n v="1345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4286"/>
    <x v="187"/>
    <s v="30-11-2025"/>
    <n v="7134260119787"/>
    <s v="W26C00007184"/>
    <s v="WAR26E000192"/>
    <s v="01-12-2025"/>
    <x v="12"/>
    <s v="MC1D4DAA0SP107009"/>
    <s v="D72018644"/>
    <s v="TRAX"/>
    <s v="28-02-2025"/>
    <n v="1165"/>
    <s v="29-09-2025"/>
    <n v="9123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4288"/>
    <x v="188"/>
    <s v="30-11-2025"/>
    <n v="7134260120320"/>
    <s v="W26C00007619"/>
    <s v="WAR26E000251"/>
    <s v="01-12-2025"/>
    <x v="8"/>
    <s v="MC1D4DDA6SP108404"/>
    <s v="D72020089"/>
    <s v="TRAX"/>
    <s v="07-06-2025"/>
    <n v="1165"/>
    <s v="17-11-2025"/>
    <n v="31234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4294"/>
    <x v="189"/>
    <s v="30-11-2025"/>
    <n v="7134260119791"/>
    <s v="W26C00007188"/>
    <s v="WAR26E000196"/>
    <s v="01-12-2025"/>
    <x v="12"/>
    <s v="MC1D4DFA3RP104799"/>
    <s v="D72015923"/>
    <s v="TRAX"/>
    <s v="20-08-2024"/>
    <n v="1165"/>
    <s v="29-09-2025"/>
    <n v="100940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4297"/>
    <x v="190"/>
    <s v="30-11-2025"/>
    <n v="7134260119799"/>
    <s v="W26C00007196"/>
    <s v="WAR26E000202"/>
    <s v="01-12-2025"/>
    <x v="12"/>
    <s v="MC1D4DEAXPP100103"/>
    <s v="D72010666"/>
    <s v="TRAX"/>
    <s v="13-06-2023"/>
    <n v="1165"/>
    <s v="29-09-2025"/>
    <n v="209420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4299"/>
    <x v="191"/>
    <s v="30-11-2025"/>
    <n v="7134260120317"/>
    <s v="W26C00007616"/>
    <s v="WAR26E000248"/>
    <s v="01-12-2025"/>
    <x v="8"/>
    <s v="MC1D4DHA1RP100960"/>
    <s v="D72011582"/>
    <s v="TRAX"/>
    <s v="24-08-2023"/>
    <n v="1165"/>
    <s v="17-11-2025"/>
    <n v="121808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4300"/>
    <x v="192"/>
    <s v="30-11-2025"/>
    <n v="7134260119783"/>
    <s v="W26C00007180"/>
    <s v="WAR26E000189"/>
    <s v="01-12-2025"/>
    <x v="12"/>
    <s v="MC1D4DAA3SP106971"/>
    <s v="D72018621"/>
    <s v="TRAX"/>
    <s v="11-02-2025"/>
    <n v="1165"/>
    <s v="29-09-2025"/>
    <n v="1520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4301"/>
    <x v="193"/>
    <s v="30-11-2025"/>
    <n v="7134260120316"/>
    <s v="W26C00007615"/>
    <s v="WAR26E000247"/>
    <s v="01-12-2025"/>
    <x v="8"/>
    <s v="MC1D4DFAXPP100326"/>
    <s v="D72010898"/>
    <s v="TRAX"/>
    <s v="30-06-2023"/>
    <n v="1165"/>
    <s v="17-11-2025"/>
    <n v="128978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4303"/>
    <x v="194"/>
    <s v="30-11-2025"/>
    <n v="7134260120328"/>
    <s v="W26C00007627"/>
    <s v="WAR26E000259"/>
    <s v="01-12-2025"/>
    <x v="8"/>
    <s v="MC1D4DJA5SP105675"/>
    <s v="D72017155"/>
    <s v="TRAX"/>
    <s v="13-12-2024"/>
    <n v="1165"/>
    <s v="26-11-2025"/>
    <n v="39821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4308"/>
    <x v="195"/>
    <s v="30-11-2025"/>
    <n v="7134260119809"/>
    <s v="W26C00007206"/>
    <s v="WAR26E000210"/>
    <s v="01-12-2025"/>
    <x v="12"/>
    <s v="MC1D4DLA6SP106539"/>
    <s v="D72018061"/>
    <s v="TRAX"/>
    <s v="11-02-2025"/>
    <n v="1165"/>
    <s v="29-09-2025"/>
    <n v="4820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4310"/>
    <x v="196"/>
    <s v="30-11-2025"/>
    <n v="7134260120314"/>
    <s v="W26C00007613"/>
    <s v="WAR26E000245"/>
    <s v="01-12-2025"/>
    <x v="8"/>
    <s v="MC1D4DCA3SP107776"/>
    <s v="D72019387"/>
    <s v="TRAX"/>
    <s v="29-03-2025"/>
    <n v="1165"/>
    <s v="17-11-2025"/>
    <n v="34560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4312"/>
    <x v="197"/>
    <s v="30-11-2025"/>
    <n v="7134260119790"/>
    <s v="W26C00007187"/>
    <s v="WAR26E000195"/>
    <s v="02-12-2025"/>
    <x v="12"/>
    <s v="MC1D4DBA4SP107268"/>
    <s v="D72018873"/>
    <s v="TRAX"/>
    <s v="26-03-2025"/>
    <n v="1165"/>
    <s v="29-09-2025"/>
    <n v="6420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4316"/>
    <x v="198"/>
    <s v="30-11-2025"/>
    <n v="7134260119788"/>
    <s v="W26C00007185"/>
    <s v="WAR26E000193"/>
    <s v="02-12-2025"/>
    <x v="12"/>
    <s v="MC1D4DAAXSP107003"/>
    <s v="D72018646"/>
    <s v="TRAX"/>
    <s v="07-03-2025"/>
    <n v="1165"/>
    <s v="29-09-2025"/>
    <n v="69710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4317"/>
    <x v="199"/>
    <s v="30-11-2025"/>
    <n v="7134260119808"/>
    <s v="W26C00007205"/>
    <s v="WAR26E000209"/>
    <s v="02-12-2025"/>
    <x v="12"/>
    <s v="MC1D4DHA4SP105477"/>
    <s v="D72016904"/>
    <s v="TRAX"/>
    <s v="26-12-2024"/>
    <n v="1165"/>
    <s v="29-09-2025"/>
    <n v="16520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4325"/>
    <x v="200"/>
    <s v="30-11-2025"/>
    <n v="7134260119840"/>
    <s v="W26C00007237"/>
    <s v="WAR26E000238"/>
    <s v="02-12-2025"/>
    <x v="12"/>
    <s v="MC1E4FHA8SP021288"/>
    <s v="D71060855"/>
    <s v="T26"/>
    <s v="10-09-2024"/>
    <n v="1165"/>
    <s v="29-09-2025"/>
    <n v="49998"/>
    <m/>
    <m/>
    <n v="1"/>
    <s v="EL2026"/>
    <s v="Labour Charges"/>
    <n v="1"/>
    <n v="52.5"/>
    <s v="Accepted"/>
    <m/>
    <s v="-"/>
    <s v="Cr note under process"/>
    <m/>
    <n v="61.95"/>
    <n v="0"/>
    <m/>
    <m/>
    <n v="61.95"/>
    <m/>
    <m/>
    <m/>
  </r>
  <r>
    <n v="1014326"/>
    <x v="201"/>
    <s v="30-11-2025"/>
    <n v="7134260119823"/>
    <s v="W26C00007220"/>
    <s v="WAR26E000223"/>
    <s v="02-12-2025"/>
    <x v="12"/>
    <s v="MC1E4FFA0RP020858"/>
    <s v="D71057668"/>
    <s v="T26"/>
    <s v="23-08-2024"/>
    <n v="1165"/>
    <s v="29-09-2025"/>
    <n v="60000"/>
    <m/>
    <m/>
    <n v="1"/>
    <s v="EL2026"/>
    <s v="Labour Charges"/>
    <n v="1"/>
    <n v="52.5"/>
    <s v="Accepted"/>
    <m/>
    <s v="-"/>
    <s v="Cr note under process"/>
    <m/>
    <n v="61.95"/>
    <n v="0"/>
    <m/>
    <m/>
    <n v="61.95"/>
    <m/>
    <m/>
    <m/>
  </r>
  <r>
    <n v="1014327"/>
    <x v="202"/>
    <s v="30-11-2025"/>
    <n v="7134260119822"/>
    <s v="W26C00007219"/>
    <s v="WAR26E000222"/>
    <s v="02-12-2025"/>
    <x v="12"/>
    <s v="MC1E4FGA7SP020988"/>
    <s v="D71058698"/>
    <s v="T26"/>
    <s v="22-08-2024"/>
    <n v="1165"/>
    <s v="29-09-2025"/>
    <n v="35276"/>
    <m/>
    <m/>
    <n v="1"/>
    <s v="EL2026"/>
    <s v="Labour Charges"/>
    <n v="1"/>
    <n v="52.5"/>
    <s v="Accepted"/>
    <m/>
    <s v="-"/>
    <s v="Cr note under process"/>
    <m/>
    <n v="61.95"/>
    <n v="0"/>
    <m/>
    <m/>
    <n v="61.95"/>
    <m/>
    <m/>
    <m/>
  </r>
  <r>
    <n v="1014328"/>
    <x v="203"/>
    <s v="30-11-2025"/>
    <n v="7134260119839"/>
    <s v="W26C00007236"/>
    <s v="WAR26E000237"/>
    <s v="02-12-2025"/>
    <x v="12"/>
    <s v="MC1E4FGA0SP021030"/>
    <s v="D71059001"/>
    <s v="T26"/>
    <s v="09-09-2024"/>
    <n v="1165"/>
    <s v="29-09-2025"/>
    <n v="34748"/>
    <m/>
    <m/>
    <n v="1"/>
    <s v="EL2026"/>
    <s v="Labour Charges"/>
    <n v="1"/>
    <n v="52.5"/>
    <s v="Accepted"/>
    <m/>
    <s v="-"/>
    <s v="Cr note under process"/>
    <m/>
    <n v="61.95"/>
    <n v="0"/>
    <m/>
    <m/>
    <n v="61.95"/>
    <m/>
    <m/>
    <m/>
  </r>
  <r>
    <n v="1014338"/>
    <x v="204"/>
    <s v="30-11-2025"/>
    <n v="7134260119801"/>
    <s v="W26C00007198"/>
    <s v="WAR26E000204"/>
    <s v="02-12-2025"/>
    <x v="12"/>
    <s v="MC1D1DJA8SP001576"/>
    <s v="D72017128"/>
    <s v="TRAX"/>
    <s v="30-10-2024"/>
    <n v="1165"/>
    <s v="29-09-2025"/>
    <n v="4210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4339"/>
    <x v="205"/>
    <s v="30-11-2025"/>
    <n v="7134260119802"/>
    <s v="W26C00007199"/>
    <s v="WAR26E000205"/>
    <s v="02-12-2025"/>
    <x v="12"/>
    <s v="MC1D1DEA4RP001546"/>
    <s v="D72015420"/>
    <s v="TRAX"/>
    <s v="19-07-2024"/>
    <n v="1165"/>
    <s v="29-09-2025"/>
    <n v="31520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4340"/>
    <x v="206"/>
    <s v="30-11-2025"/>
    <n v="7134260119805"/>
    <s v="W26C00007202"/>
    <s v="WAR26E000207"/>
    <s v="02-12-2025"/>
    <x v="12"/>
    <s v="MC1D1DCA2SP001618"/>
    <s v="D72019587"/>
    <s v="TRAX"/>
    <s v="22-03-2025"/>
    <n v="1160"/>
    <s v="29-09-2025"/>
    <n v="6812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4341"/>
    <x v="207"/>
    <s v="30-11-2025"/>
    <n v="7134260120319"/>
    <s v="W26C00007618"/>
    <s v="WAR26E000250"/>
    <s v="02-12-2025"/>
    <x v="8"/>
    <s v="MC1D1DFA8SP001649"/>
    <s v="D72021156"/>
    <s v="TRAX"/>
    <s v="19-09-2025"/>
    <n v="1165"/>
    <s v="17-11-2025"/>
    <n v="1897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4342"/>
    <x v="208"/>
    <s v="30-11-2025"/>
    <n v="7134260119806"/>
    <s v="W26C00007203"/>
    <s v="WAR26E000208"/>
    <s v="02-12-2025"/>
    <x v="12"/>
    <s v="MC1D1DBA7SP001616"/>
    <s v="D72018969"/>
    <s v="TRAX"/>
    <s v="22-03-2025"/>
    <n v="1165"/>
    <s v="29-09-2025"/>
    <n v="8420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4343"/>
    <x v="209"/>
    <s v="30-11-2025"/>
    <n v="7134260120318"/>
    <s v="W26C00007617"/>
    <s v="WAR26E000249"/>
    <s v="02-12-2025"/>
    <x v="8"/>
    <s v="MC1D1DEA5RP001541"/>
    <s v="D72015320"/>
    <s v="TRAX"/>
    <s v="10-08-2024"/>
    <n v="1165"/>
    <s v="17-11-2025"/>
    <n v="34500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4344"/>
    <x v="210"/>
    <s v="30-11-2025"/>
    <n v="7134260119836"/>
    <s v="W26C00007233"/>
    <s v="WAR26E000234"/>
    <s v="02-12-2025"/>
    <x v="12"/>
    <s v="MC1M4AHA6SP002138"/>
    <s v="D71060021"/>
    <s v="T1N"/>
    <s v="31-08-2024"/>
    <n v="1165"/>
    <s v="29-09-2025"/>
    <n v="39510"/>
    <m/>
    <m/>
    <n v="1"/>
    <s v="EL2026"/>
    <s v="Labour Charges"/>
    <n v="1"/>
    <n v="52.5"/>
    <s v="Accepted"/>
    <m/>
    <s v="-"/>
    <s v="Cr note under process"/>
    <m/>
    <n v="61.95"/>
    <n v="0"/>
    <m/>
    <m/>
    <n v="61.95"/>
    <m/>
    <m/>
    <m/>
  </r>
  <r>
    <n v="1014347"/>
    <x v="211"/>
    <s v="30-11-2025"/>
    <n v="7134260119845"/>
    <s v="W26C00007242"/>
    <s v="WAR26E000243"/>
    <s v="02-12-2025"/>
    <x v="8"/>
    <s v="MC1M4AHA3SP002243"/>
    <s v="D71060936"/>
    <s v="T1N"/>
    <s v="17-09-2024"/>
    <n v="1165"/>
    <s v="29-09-2025"/>
    <n v="30256"/>
    <m/>
    <m/>
    <n v="1"/>
    <s v="EL2026"/>
    <s v="Labour Charges"/>
    <n v="1"/>
    <n v="52.5"/>
    <s v="Accepted"/>
    <m/>
    <s v="-"/>
    <s v="Cr note under process"/>
    <m/>
    <n v="61.95"/>
    <n v="0"/>
    <m/>
    <m/>
    <n v="61.95"/>
    <m/>
    <m/>
    <m/>
  </r>
  <r>
    <n v="1014348"/>
    <x v="212"/>
    <s v="30-11-2025"/>
    <n v="7134260119832"/>
    <s v="W26C00007229"/>
    <s v="WAR26E000232"/>
    <s v="02-12-2025"/>
    <x v="12"/>
    <s v="MC1M4AGA2SP002056"/>
    <s v="D71058792"/>
    <s v="T1N"/>
    <s v="31-08-2024"/>
    <n v="1165"/>
    <s v="29-09-2025"/>
    <n v="40120"/>
    <m/>
    <m/>
    <n v="1"/>
    <s v="EL2026"/>
    <s v="Labour Charges"/>
    <n v="1"/>
    <n v="52.5"/>
    <s v="Accepted"/>
    <m/>
    <s v="-"/>
    <s v="Cr note under process"/>
    <m/>
    <n v="61.95"/>
    <n v="0"/>
    <m/>
    <m/>
    <n v="61.95"/>
    <m/>
    <m/>
    <m/>
  </r>
  <r>
    <n v="1014365"/>
    <x v="213"/>
    <s v="30-11-2025"/>
    <n v="7134260120472"/>
    <s v="W26C00007726"/>
    <s v="WAR26E000263"/>
    <s v="02-12-2025"/>
    <x v="13"/>
    <s v="MC1M4AMA9SP003001"/>
    <s v="D71066870"/>
    <s v="T1N"/>
    <s v="31-12-2024"/>
    <n v="1165"/>
    <s v="03-11-2025"/>
    <n v="35752"/>
    <m/>
    <m/>
    <n v="1"/>
    <s v="T006864900021"/>
    <s v="DOSING MODULE 3.6 (A"/>
    <n v="1"/>
    <n v="2884.75"/>
    <s v="Accepted"/>
    <m/>
    <s v="-"/>
    <s v="Cr note under process"/>
    <m/>
    <n v="3404.01"/>
    <n v="0"/>
    <m/>
    <m/>
    <n v="3404.01"/>
    <m/>
    <m/>
    <s v="ERROR CODE P2BA8-00."/>
  </r>
  <r>
    <n v="1014365"/>
    <x v="213"/>
    <s v="30-11-2025"/>
    <n v="7134260120472"/>
    <s v="W26C00007726"/>
    <s v="WAR26E000263"/>
    <s v="02-12-2025"/>
    <x v="13"/>
    <s v="MC1M4AMA9SP003001"/>
    <s v="D71066870"/>
    <s v="T1N"/>
    <s v="31-12-2024"/>
    <n v="1165"/>
    <s v="03-11-2025"/>
    <n v="35752"/>
    <m/>
    <m/>
    <n v="2"/>
    <s v="EX-16"/>
    <s v="Labour Charges"/>
    <n v="1"/>
    <n v="52.5"/>
    <s v="Accepted"/>
    <m/>
    <s v="-"/>
    <s v="Cr note under process"/>
    <m/>
    <n v="61.95"/>
    <n v="0"/>
    <m/>
    <m/>
    <n v="61.95"/>
    <m/>
    <m/>
    <s v="ERROR CODE P2BA8-00."/>
  </r>
  <r>
    <n v="1014367"/>
    <x v="214"/>
    <s v="30-11-2025"/>
    <n v="7134260119815"/>
    <s v="W26C00007212"/>
    <s v="WAR26E000215"/>
    <s v="02-12-2025"/>
    <x v="12"/>
    <s v="MC1M4AFA7RP001836"/>
    <s v="D71056939"/>
    <s v="T1N"/>
    <s v="31-07-2024"/>
    <n v="1165"/>
    <s v="29-09-2025"/>
    <n v="17820"/>
    <m/>
    <m/>
    <n v="1"/>
    <s v="EL2026"/>
    <s v="Labour Charges"/>
    <n v="1"/>
    <n v="52.5"/>
    <s v="Accepted"/>
    <m/>
    <s v="-"/>
    <s v="Cr note under process"/>
    <m/>
    <n v="61.95"/>
    <n v="0"/>
    <m/>
    <m/>
    <n v="61.95"/>
    <m/>
    <m/>
    <m/>
  </r>
  <r>
    <n v="1014368"/>
    <x v="215"/>
    <s v="30-11-2025"/>
    <n v="7134260119831"/>
    <s v="W26C00007228"/>
    <s v="WAR26E000231"/>
    <s v="02-12-2025"/>
    <x v="12"/>
    <s v="MC1M4AFA8RP001909"/>
    <s v="D71057506"/>
    <s v="T1N"/>
    <s v="31-08-2024"/>
    <n v="1165"/>
    <s v="29-09-2025"/>
    <n v="9898"/>
    <m/>
    <m/>
    <n v="1"/>
    <s v="EL2026"/>
    <s v="Labour Charges"/>
    <n v="1"/>
    <n v="52.5"/>
    <s v="Accepted"/>
    <m/>
    <s v="-"/>
    <s v="Cr note under process"/>
    <m/>
    <n v="61.95"/>
    <n v="0"/>
    <m/>
    <m/>
    <n v="61.95"/>
    <m/>
    <m/>
    <m/>
  </r>
  <r>
    <n v="1014369"/>
    <x v="216"/>
    <s v="30-11-2025"/>
    <n v="7134260119834"/>
    <s v="W26C00007231"/>
    <s v="WAR26E000233"/>
    <s v="02-12-2025"/>
    <x v="12"/>
    <s v="MC1M4AGA4SP002057"/>
    <s v="D71058793"/>
    <s v="T1N"/>
    <s v="31-08-2024"/>
    <n v="1165"/>
    <s v="29-09-2025"/>
    <n v="45930"/>
    <m/>
    <m/>
    <n v="1"/>
    <s v="EL2026"/>
    <s v="Labour Charges"/>
    <n v="1"/>
    <n v="52.5"/>
    <s v="Accepted"/>
    <m/>
    <s v="-"/>
    <s v="Cr note under process"/>
    <m/>
    <n v="61.95"/>
    <n v="0"/>
    <m/>
    <m/>
    <n v="61.95"/>
    <m/>
    <m/>
    <m/>
  </r>
  <r>
    <n v="1014382"/>
    <x v="217"/>
    <s v="30-11-2025"/>
    <n v="7134260119816"/>
    <s v="W26C00007213"/>
    <s v="WAR26E000216"/>
    <s v="04-12-2025"/>
    <x v="12"/>
    <s v="MC1E4BGA0SP009615"/>
    <s v="D71059434"/>
    <s v="T-1"/>
    <s v="13-08-2024"/>
    <n v="1165"/>
    <s v="29-09-2025"/>
    <n v="8997"/>
    <m/>
    <m/>
    <n v="1"/>
    <s v="EL2026"/>
    <s v="Labour Charges"/>
    <n v="1"/>
    <n v="52.5"/>
    <s v="Accepted"/>
    <m/>
    <s v="-"/>
    <s v="Cr note under process"/>
    <m/>
    <n v="61.95"/>
    <n v="0"/>
    <m/>
    <m/>
    <n v="61.95"/>
    <m/>
    <m/>
    <m/>
  </r>
  <r>
    <n v="1014383"/>
    <x v="218"/>
    <s v="30-11-2025"/>
    <n v="7134260120481"/>
    <s v="W26C00007735"/>
    <s v="WAR26E000271"/>
    <s v="04-12-2025"/>
    <x v="8"/>
    <s v="MC1E4CAA4SP084509"/>
    <s v="D71071059"/>
    <s v="T-1"/>
    <s v="25-03-2025"/>
    <m/>
    <s v="24-11-2025"/>
    <n v="57436"/>
    <m/>
    <m/>
    <n v="1"/>
    <s v="AC0113"/>
    <s v="Labour Charges"/>
    <n v="1"/>
    <n v="1400"/>
    <s v="Accepted"/>
    <m/>
    <s v="-"/>
    <s v="Cr note under process"/>
    <m/>
    <n v="1652"/>
    <n v="0"/>
    <m/>
    <m/>
    <n v="1652"/>
    <m/>
    <m/>
    <m/>
  </r>
  <r>
    <n v="1014383"/>
    <x v="218"/>
    <s v="30-11-2025"/>
    <n v="7134260120481"/>
    <s v="W26C00007735"/>
    <s v="WAR26E000271"/>
    <s v="04-12-2025"/>
    <x v="8"/>
    <s v="MC1E4CAA4SP084509"/>
    <s v="D71071059"/>
    <s v="T-1"/>
    <s v="25-03-2025"/>
    <m/>
    <s v="24-11-2025"/>
    <n v="57436"/>
    <m/>
    <m/>
    <n v="2"/>
    <s v="AC0114"/>
    <s v="Labour Charges"/>
    <n v="1"/>
    <n v="2800"/>
    <s v="Accepted"/>
    <m/>
    <s v="-"/>
    <s v="Cr note under process"/>
    <m/>
    <n v="3304"/>
    <n v="0"/>
    <m/>
    <m/>
    <n v="3304"/>
    <m/>
    <m/>
    <m/>
  </r>
  <r>
    <n v="1014388"/>
    <x v="219"/>
    <s v="30-11-2025"/>
    <n v="7134260119820"/>
    <s v="W26C00007217"/>
    <s v="WAR26E000220"/>
    <s v="04-12-2025"/>
    <x v="12"/>
    <s v="MC1E4DGA9SP053995"/>
    <s v="D71059499"/>
    <s v="T-1"/>
    <s v="21-08-2024"/>
    <n v="1165"/>
    <s v="29-09-2025"/>
    <n v="29800"/>
    <m/>
    <m/>
    <n v="1"/>
    <s v="EL2026"/>
    <s v="Labour Charges"/>
    <n v="1"/>
    <n v="52.5"/>
    <s v="Accepted"/>
    <m/>
    <s v="-"/>
    <s v="Cr note under process"/>
    <m/>
    <n v="61.95"/>
    <n v="0"/>
    <m/>
    <m/>
    <n v="61.95"/>
    <m/>
    <m/>
    <m/>
  </r>
  <r>
    <n v="1014389"/>
    <x v="220"/>
    <s v="30-11-2025"/>
    <n v="7134260120486"/>
    <s v="W26C00007740"/>
    <s v="WAR26E000275"/>
    <s v="04-12-2025"/>
    <x v="8"/>
    <s v="MC1E4CAA8SP083461"/>
    <s v="D71069266"/>
    <s v="T-1"/>
    <s v="23-03-2025"/>
    <m/>
    <s v="04-11-2025"/>
    <n v="45298"/>
    <m/>
    <m/>
    <n v="1"/>
    <s v="AC0113"/>
    <s v="Labour Charges"/>
    <n v="1"/>
    <n v="1400"/>
    <s v="Accepted"/>
    <m/>
    <s v="-"/>
    <s v="Cr note under process"/>
    <m/>
    <n v="1652"/>
    <n v="0"/>
    <m/>
    <m/>
    <n v="1652"/>
    <m/>
    <m/>
    <m/>
  </r>
  <r>
    <n v="1014389"/>
    <x v="220"/>
    <s v="30-11-2025"/>
    <n v="7134260120486"/>
    <s v="W26C00007740"/>
    <s v="WAR26E000275"/>
    <s v="04-12-2025"/>
    <x v="8"/>
    <s v="MC1E4CAA8SP083461"/>
    <s v="D71069266"/>
    <s v="T-1"/>
    <s v="23-03-2025"/>
    <m/>
    <s v="04-11-2025"/>
    <n v="45298"/>
    <m/>
    <m/>
    <n v="2"/>
    <s v="AC0114"/>
    <s v="Labour Charges"/>
    <n v="1"/>
    <n v="2800"/>
    <s v="Accepted"/>
    <m/>
    <s v="-"/>
    <s v="Cr note under process"/>
    <m/>
    <n v="3304"/>
    <n v="0"/>
    <m/>
    <m/>
    <n v="3304"/>
    <m/>
    <m/>
    <m/>
  </r>
  <r>
    <n v="1014392"/>
    <x v="221"/>
    <s v="30-11-2025"/>
    <n v="7134260119813"/>
    <s v="W26C00007210"/>
    <s v="WAR26E000213"/>
    <s v="04-12-2025"/>
    <x v="12"/>
    <s v="MC1E4EFA1RP013184"/>
    <s v="D71056676"/>
    <s v="T-1"/>
    <s v="26-07-2024"/>
    <n v="1165"/>
    <s v="29-09-2025"/>
    <n v="41200"/>
    <m/>
    <m/>
    <n v="1"/>
    <s v="EL2026"/>
    <s v="Labour Charges"/>
    <n v="1"/>
    <n v="52.5"/>
    <s v="Accepted"/>
    <m/>
    <s v="-"/>
    <s v="Cr note under process"/>
    <m/>
    <n v="61.95"/>
    <n v="0"/>
    <m/>
    <m/>
    <n v="61.95"/>
    <m/>
    <m/>
    <m/>
  </r>
  <r>
    <n v="1014393"/>
    <x v="222"/>
    <s v="30-11-2025"/>
    <n v="7134260120484"/>
    <s v="W26C00007738"/>
    <s v="WAR26E000274"/>
    <s v="04-12-2025"/>
    <x v="8"/>
    <s v="MC1E4CAA0SP083650"/>
    <s v="D71069701"/>
    <s v="T-1"/>
    <s v="23-03-2025"/>
    <m/>
    <s v="04-11-2025"/>
    <n v="59637"/>
    <m/>
    <m/>
    <n v="1"/>
    <s v="AC0113"/>
    <s v="Labour Charges"/>
    <n v="1"/>
    <n v="1400"/>
    <s v="Accepted"/>
    <m/>
    <s v="-"/>
    <s v="Cr note under process"/>
    <m/>
    <n v="1652"/>
    <n v="0"/>
    <m/>
    <m/>
    <n v="1652"/>
    <m/>
    <m/>
    <m/>
  </r>
  <r>
    <n v="1014393"/>
    <x v="222"/>
    <s v="30-11-2025"/>
    <n v="7134260120484"/>
    <s v="W26C00007738"/>
    <s v="WAR26E000274"/>
    <s v="04-12-2025"/>
    <x v="8"/>
    <s v="MC1E4CAA0SP083650"/>
    <s v="D71069701"/>
    <s v="T-1"/>
    <s v="23-03-2025"/>
    <m/>
    <s v="04-11-2025"/>
    <n v="59637"/>
    <m/>
    <m/>
    <n v="2"/>
    <s v="AC0114"/>
    <s v="Labour Charges"/>
    <n v="1"/>
    <n v="2800"/>
    <s v="Accepted"/>
    <m/>
    <s v="-"/>
    <s v="Cr note under process"/>
    <m/>
    <n v="3304"/>
    <n v="0"/>
    <m/>
    <m/>
    <n v="3304"/>
    <m/>
    <m/>
    <m/>
  </r>
  <r>
    <n v="1014397"/>
    <x v="223"/>
    <s v="30-11-2025"/>
    <n v="7134260119821"/>
    <s v="W26C00007218"/>
    <s v="WAR26E000221"/>
    <s v="04-12-2025"/>
    <x v="12"/>
    <s v="MC1E4DFA6RP053254"/>
    <s v="D71056489"/>
    <s v="T-1"/>
    <s v="22-08-2024"/>
    <n v="1165"/>
    <s v="29-09-2025"/>
    <n v="6420"/>
    <m/>
    <m/>
    <n v="1"/>
    <s v="EL2026"/>
    <s v="Labour Charges"/>
    <n v="1"/>
    <n v="52.5"/>
    <s v="Accepted"/>
    <m/>
    <s v="-"/>
    <s v="Cr note under process"/>
    <m/>
    <n v="61.95"/>
    <n v="0"/>
    <m/>
    <m/>
    <n v="61.95"/>
    <m/>
    <m/>
    <m/>
  </r>
  <r>
    <n v="1014398"/>
    <x v="224"/>
    <s v="30-11-2025"/>
    <n v="7134260120473"/>
    <s v="W26C00007727"/>
    <s v="WAR26E000264"/>
    <s v="04-12-2025"/>
    <x v="8"/>
    <s v="MC1E4CBA2SP086158"/>
    <s v="D71073777"/>
    <s v="T-1"/>
    <s v="25-03-2025"/>
    <m/>
    <s v="15-11-2025"/>
    <n v="51994"/>
    <m/>
    <m/>
    <n v="1"/>
    <s v="AC0113"/>
    <s v="Labour Charges"/>
    <n v="1"/>
    <n v="1400"/>
    <s v="Accepted"/>
    <m/>
    <s v="-"/>
    <s v="Cr note under process"/>
    <m/>
    <n v="1652"/>
    <n v="0"/>
    <m/>
    <m/>
    <n v="1652"/>
    <m/>
    <m/>
    <m/>
  </r>
  <r>
    <n v="1014398"/>
    <x v="224"/>
    <s v="30-11-2025"/>
    <n v="7134260120473"/>
    <s v="W26C00007727"/>
    <s v="WAR26E000264"/>
    <s v="04-12-2025"/>
    <x v="8"/>
    <s v="MC1E4CBA2SP086158"/>
    <s v="D71073777"/>
    <s v="T-1"/>
    <s v="25-03-2025"/>
    <m/>
    <s v="15-11-2025"/>
    <n v="51994"/>
    <m/>
    <m/>
    <n v="2"/>
    <s v="AC0114"/>
    <s v="Labour Charges"/>
    <n v="1"/>
    <n v="2800"/>
    <s v="Accepted"/>
    <m/>
    <s v="-"/>
    <s v="Cr note under process"/>
    <m/>
    <n v="3304"/>
    <n v="0"/>
    <m/>
    <m/>
    <n v="3304"/>
    <m/>
    <m/>
    <m/>
  </r>
  <r>
    <n v="1014399"/>
    <x v="225"/>
    <s v="30-11-2025"/>
    <n v="7134260119819"/>
    <s v="W26C00007216"/>
    <s v="WAR26E000219"/>
    <s v="04-12-2025"/>
    <x v="12"/>
    <s v="MC1E4EGAXSP013446"/>
    <s v="D71058090"/>
    <s v="T-1"/>
    <s v="17-08-2024"/>
    <n v="1165"/>
    <s v="29-09-2025"/>
    <n v="39999"/>
    <m/>
    <m/>
    <n v="1"/>
    <s v="EL2026"/>
    <s v="Labour Charges"/>
    <n v="1"/>
    <n v="52.5"/>
    <s v="Accepted"/>
    <m/>
    <s v="-"/>
    <s v="Cr note under process"/>
    <m/>
    <n v="61.95"/>
    <n v="0"/>
    <m/>
    <m/>
    <n v="61.95"/>
    <m/>
    <m/>
    <m/>
  </r>
  <r>
    <n v="1014404"/>
    <x v="226"/>
    <s v="30-11-2025"/>
    <n v="7134260119830"/>
    <s v="W26C00007227"/>
    <s v="WAR26E000230"/>
    <s v="04-12-2025"/>
    <x v="12"/>
    <s v="MC1E4EGA0SP013472"/>
    <s v="D71058264"/>
    <s v="T-1"/>
    <s v="31-08-2024"/>
    <n v="1165"/>
    <s v="29-09-2025"/>
    <n v="33220"/>
    <m/>
    <m/>
    <n v="1"/>
    <s v="EL2026"/>
    <s v="Labour Charges"/>
    <n v="1"/>
    <n v="52.5"/>
    <s v="Accepted"/>
    <m/>
    <s v="-"/>
    <s v="Cr note under process"/>
    <m/>
    <n v="61.95"/>
    <n v="0"/>
    <m/>
    <m/>
    <n v="61.95"/>
    <m/>
    <m/>
    <m/>
  </r>
  <r>
    <n v="1014411"/>
    <x v="227"/>
    <s v="30-11-2025"/>
    <n v="7134260119812"/>
    <s v="W26C00007209"/>
    <s v="WAR26E000212"/>
    <s v="04-12-2025"/>
    <x v="12"/>
    <s v="MC1E4EFA1RP013380"/>
    <s v="D71057493"/>
    <s v="T-1"/>
    <s v="25-07-2024"/>
    <n v="1165"/>
    <s v="29-09-2025"/>
    <n v="56130"/>
    <m/>
    <m/>
    <n v="1"/>
    <s v="EL2026"/>
    <s v="Labour Charges"/>
    <n v="1"/>
    <n v="52.5"/>
    <s v="Accepted"/>
    <m/>
    <s v="-"/>
    <s v="Cr note under process"/>
    <m/>
    <n v="61.95"/>
    <n v="0"/>
    <m/>
    <m/>
    <n v="61.95"/>
    <m/>
    <m/>
    <m/>
  </r>
  <r>
    <n v="1014412"/>
    <x v="228"/>
    <s v="30-11-2025"/>
    <n v="7134260119828"/>
    <s v="W26C00007225"/>
    <s v="WAR26E000228"/>
    <s v="05-12-2025"/>
    <x v="12"/>
    <s v="MC1E4DGA5SP053699"/>
    <s v="D71058470"/>
    <s v="T-1"/>
    <s v="30-08-2024"/>
    <n v="1165"/>
    <s v="29-09-2025"/>
    <n v="12990"/>
    <m/>
    <m/>
    <n v="1"/>
    <s v="EL2026"/>
    <s v="Labour Charges"/>
    <n v="1"/>
    <n v="52.5"/>
    <s v="Accepted"/>
    <m/>
    <s v="-"/>
    <s v="Cr note under process"/>
    <m/>
    <n v="61.95"/>
    <n v="0"/>
    <m/>
    <m/>
    <n v="61.95"/>
    <m/>
    <m/>
    <m/>
  </r>
  <r>
    <n v="1014416"/>
    <x v="229"/>
    <s v="30-11-2025"/>
    <n v="7134260120462"/>
    <s v="W26C00007717"/>
    <s v="WAR26E000262"/>
    <s v="05-12-2025"/>
    <x v="13"/>
    <s v="MC1E5EHA5TP003503"/>
    <s v="D73002245"/>
    <s v="T-1"/>
    <s v="31-10-2025"/>
    <n v="1165"/>
    <s v="28-11-2025"/>
    <n v="1166"/>
    <m/>
    <m/>
    <n v="1"/>
    <s v="T006865427120"/>
    <s v="HORN WITH CAPACITOR"/>
    <n v="1"/>
    <n v="172.03"/>
    <s v="Accepted"/>
    <m/>
    <s v="-"/>
    <s v="Cr note under process"/>
    <m/>
    <n v="203"/>
    <n v="0"/>
    <m/>
    <m/>
    <n v="203"/>
    <m/>
    <m/>
    <m/>
  </r>
  <r>
    <n v="1014417"/>
    <x v="230"/>
    <s v="30-11-2025"/>
    <n v="7134260120480"/>
    <s v="W26C00007734"/>
    <s v="WAR26E000270"/>
    <s v="05-12-2025"/>
    <x v="8"/>
    <s v="MC1E4CAA3SP083786"/>
    <s v="D71069895"/>
    <s v="T-1"/>
    <s v="23-03-2025"/>
    <m/>
    <s v="18-11-2025"/>
    <n v="72219"/>
    <m/>
    <m/>
    <n v="1"/>
    <s v="AC0106"/>
    <s v="Labour Charges"/>
    <n v="1"/>
    <n v="420"/>
    <s v="Accepted"/>
    <m/>
    <s v="-"/>
    <s v="Cr note under process"/>
    <m/>
    <n v="495.6"/>
    <n v="0"/>
    <m/>
    <m/>
    <n v="495.6"/>
    <m/>
    <m/>
    <m/>
  </r>
  <r>
    <n v="1014417"/>
    <x v="230"/>
    <s v="30-11-2025"/>
    <n v="7134260120480"/>
    <s v="W26C00007734"/>
    <s v="WAR26E000270"/>
    <s v="05-12-2025"/>
    <x v="8"/>
    <s v="MC1E4CAA3SP083786"/>
    <s v="D71069895"/>
    <s v="T-1"/>
    <s v="23-03-2025"/>
    <m/>
    <s v="18-11-2025"/>
    <n v="72219"/>
    <m/>
    <m/>
    <n v="2"/>
    <s v="AC0113"/>
    <s v="Labour Charges"/>
    <n v="1"/>
    <n v="1400"/>
    <s v="Accepted"/>
    <m/>
    <s v="-"/>
    <s v="Cr note under process"/>
    <m/>
    <n v="1652"/>
    <n v="0"/>
    <m/>
    <m/>
    <n v="1652"/>
    <m/>
    <m/>
    <m/>
  </r>
  <r>
    <n v="1014417"/>
    <x v="230"/>
    <s v="30-11-2025"/>
    <n v="7134260120480"/>
    <s v="W26C00007734"/>
    <s v="WAR26E000270"/>
    <s v="05-12-2025"/>
    <x v="8"/>
    <s v="MC1E4CAA3SP083786"/>
    <s v="D71069895"/>
    <s v="T-1"/>
    <s v="23-03-2025"/>
    <m/>
    <s v="18-11-2025"/>
    <n v="72219"/>
    <m/>
    <m/>
    <n v="3"/>
    <s v="AC0114"/>
    <s v="Labour Charges"/>
    <n v="1"/>
    <n v="2800"/>
    <s v="Accepted"/>
    <m/>
    <s v="-"/>
    <s v="Cr note under process"/>
    <m/>
    <n v="3304"/>
    <n v="0"/>
    <m/>
    <m/>
    <n v="3304"/>
    <m/>
    <m/>
    <m/>
  </r>
  <r>
    <n v="1014419"/>
    <x v="231"/>
    <s v="30-11-2025"/>
    <n v="7134260119814"/>
    <s v="W26C00007211"/>
    <s v="WAR26E000214"/>
    <s v="05-12-2025"/>
    <x v="12"/>
    <s v="MC1E4DGA2SP053627"/>
    <s v="D71058150"/>
    <s v="T-1"/>
    <s v="26-07-2024"/>
    <n v="1165"/>
    <s v="29-09-2025"/>
    <n v="17995"/>
    <m/>
    <m/>
    <n v="1"/>
    <s v="EL2026"/>
    <s v="Labour Charges"/>
    <n v="1"/>
    <n v="52.5"/>
    <s v="Accepted"/>
    <m/>
    <s v="-"/>
    <s v="Cr note under process"/>
    <m/>
    <n v="61.95"/>
    <n v="0"/>
    <m/>
    <m/>
    <n v="61.95"/>
    <m/>
    <m/>
    <m/>
  </r>
  <r>
    <n v="1014422"/>
    <x v="232"/>
    <s v="30-11-2025"/>
    <n v="7134260119841"/>
    <s v="W26C00007238"/>
    <s v="WAR26E000239"/>
    <s v="05-12-2025"/>
    <x v="12"/>
    <s v="MC1E4EGA4SP013474"/>
    <s v="D71058225"/>
    <s v="T-1"/>
    <s v="11-09-2024"/>
    <n v="1165"/>
    <s v="29-09-2025"/>
    <n v="81594"/>
    <m/>
    <m/>
    <n v="1"/>
    <s v="EL2026"/>
    <s v="Labour Charges"/>
    <n v="1"/>
    <n v="52.5"/>
    <s v="Accepted"/>
    <m/>
    <s v="-"/>
    <s v="Cr note under process"/>
    <m/>
    <n v="61.95"/>
    <n v="0"/>
    <m/>
    <m/>
    <n v="61.95"/>
    <m/>
    <m/>
    <m/>
  </r>
  <r>
    <n v="1014424"/>
    <x v="233"/>
    <s v="30-11-2025"/>
    <n v="7134260120474"/>
    <s v="W26C00007728"/>
    <s v="WAR26E000265"/>
    <s v="05-12-2025"/>
    <x v="8"/>
    <s v="MC1E4CAA1SP083558"/>
    <s v="D71069586"/>
    <s v="T-1"/>
    <s v="20-02-2025"/>
    <m/>
    <s v="15-11-2025"/>
    <n v="46713"/>
    <m/>
    <m/>
    <n v="1"/>
    <s v="AC0113"/>
    <s v="Labour Charges"/>
    <n v="1"/>
    <n v="1400"/>
    <s v="Accepted"/>
    <m/>
    <s v="-"/>
    <s v="Cr note under process"/>
    <m/>
    <n v="1652"/>
    <n v="0"/>
    <m/>
    <m/>
    <n v="1652"/>
    <m/>
    <m/>
    <m/>
  </r>
  <r>
    <n v="1014424"/>
    <x v="233"/>
    <s v="30-11-2025"/>
    <n v="7134260120474"/>
    <s v="W26C00007728"/>
    <s v="WAR26E000265"/>
    <s v="05-12-2025"/>
    <x v="8"/>
    <s v="MC1E4CAA1SP083558"/>
    <s v="D71069586"/>
    <s v="T-1"/>
    <s v="20-02-2025"/>
    <m/>
    <s v="15-11-2025"/>
    <n v="46713"/>
    <m/>
    <m/>
    <n v="2"/>
    <s v="AC0114"/>
    <s v="Labour Charges"/>
    <n v="1"/>
    <n v="2800"/>
    <s v="Accepted"/>
    <m/>
    <s v="-"/>
    <s v="Cr note under process"/>
    <m/>
    <n v="3304"/>
    <n v="0"/>
    <m/>
    <m/>
    <n v="3304"/>
    <m/>
    <m/>
    <m/>
  </r>
  <r>
    <n v="1014426"/>
    <x v="234"/>
    <s v="30-11-2025"/>
    <n v="7134260120482"/>
    <s v="W26C00007736"/>
    <s v="WAR26E000272"/>
    <s v="05-12-2025"/>
    <x v="8"/>
    <s v="MC1E4CBA4SP086078"/>
    <s v="D71073649"/>
    <s v="T-1"/>
    <s v="26-03-2025"/>
    <m/>
    <s v="24-11-2025"/>
    <n v="58018"/>
    <m/>
    <m/>
    <n v="1"/>
    <s v="AC0113"/>
    <s v="Labour Charges"/>
    <n v="1"/>
    <n v="1400"/>
    <s v="Accepted"/>
    <m/>
    <s v="-"/>
    <s v="Cr note under process"/>
    <m/>
    <n v="1652"/>
    <n v="0"/>
    <m/>
    <m/>
    <n v="1652"/>
    <m/>
    <m/>
    <m/>
  </r>
  <r>
    <n v="1014426"/>
    <x v="234"/>
    <s v="30-11-2025"/>
    <n v="7134260120482"/>
    <s v="W26C00007736"/>
    <s v="WAR26E000272"/>
    <s v="05-12-2025"/>
    <x v="8"/>
    <s v="MC1E4CBA4SP086078"/>
    <s v="D71073649"/>
    <s v="T-1"/>
    <s v="26-03-2025"/>
    <m/>
    <s v="24-11-2025"/>
    <n v="58018"/>
    <m/>
    <m/>
    <n v="2"/>
    <s v="AC0114"/>
    <s v="Labour Charges"/>
    <n v="1"/>
    <n v="2800"/>
    <s v="Accepted"/>
    <m/>
    <s v="-"/>
    <s v="Cr note under process"/>
    <m/>
    <n v="3304"/>
    <n v="0"/>
    <m/>
    <m/>
    <n v="3304"/>
    <m/>
    <m/>
    <m/>
  </r>
  <r>
    <n v="1014432"/>
    <x v="235"/>
    <s v="30-11-2025"/>
    <n v="7134260120477"/>
    <s v="W26C00007731"/>
    <s v="WAR26E000268"/>
    <s v="05-12-2025"/>
    <x v="8"/>
    <s v="MC1E4CAA0SP084197"/>
    <s v="D71070488"/>
    <s v="T-1"/>
    <s v="24-03-2025"/>
    <m/>
    <s v="13-11-2025"/>
    <n v="58104"/>
    <m/>
    <m/>
    <n v="1"/>
    <s v="AC0106"/>
    <s v="Labour Charges"/>
    <n v="1"/>
    <n v="420"/>
    <s v="Accepted"/>
    <m/>
    <s v="-"/>
    <s v="Cr note under process"/>
    <m/>
    <n v="495.6"/>
    <n v="0"/>
    <m/>
    <m/>
    <n v="495.6"/>
    <m/>
    <m/>
    <m/>
  </r>
  <r>
    <n v="1014432"/>
    <x v="235"/>
    <s v="30-11-2025"/>
    <n v="7134260120477"/>
    <s v="W26C00007731"/>
    <s v="WAR26E000268"/>
    <s v="05-12-2025"/>
    <x v="8"/>
    <s v="MC1E4CAA0SP084197"/>
    <s v="D71070488"/>
    <s v="T-1"/>
    <s v="24-03-2025"/>
    <m/>
    <s v="13-11-2025"/>
    <n v="58104"/>
    <m/>
    <m/>
    <n v="2"/>
    <s v="AC0113"/>
    <s v="Labour Charges"/>
    <n v="1"/>
    <n v="1400"/>
    <s v="Accepted"/>
    <m/>
    <s v="-"/>
    <s v="Cr note under process"/>
    <m/>
    <n v="1652"/>
    <n v="0"/>
    <m/>
    <m/>
    <n v="1652"/>
    <m/>
    <m/>
    <m/>
  </r>
  <r>
    <n v="1014432"/>
    <x v="235"/>
    <s v="30-11-2025"/>
    <n v="7134260120477"/>
    <s v="W26C00007731"/>
    <s v="WAR26E000268"/>
    <s v="05-12-2025"/>
    <x v="8"/>
    <s v="MC1E4CAA0SP084197"/>
    <s v="D71070488"/>
    <s v="T-1"/>
    <s v="24-03-2025"/>
    <m/>
    <s v="13-11-2025"/>
    <n v="58104"/>
    <m/>
    <m/>
    <n v="3"/>
    <s v="AC0114"/>
    <s v="Labour Charges"/>
    <n v="1"/>
    <n v="2800"/>
    <s v="Accepted"/>
    <m/>
    <s v="-"/>
    <s v="Cr note under process"/>
    <m/>
    <n v="3304"/>
    <n v="0"/>
    <m/>
    <m/>
    <n v="3304"/>
    <m/>
    <m/>
    <m/>
  </r>
  <r>
    <n v="1014434"/>
    <x v="236"/>
    <s v="30-11-2025"/>
    <n v="7134260120475"/>
    <s v="W26C00007729"/>
    <s v="WAR26E000266"/>
    <s v="05-12-2025"/>
    <x v="8"/>
    <s v="MC1E4CAA2SP083648"/>
    <s v="D71069647"/>
    <s v="T-1"/>
    <s v="23-03-2025"/>
    <m/>
    <s v="18-11-2025"/>
    <n v="56073"/>
    <m/>
    <m/>
    <n v="1"/>
    <s v="AC0113"/>
    <s v="Labour Charges"/>
    <n v="1"/>
    <n v="1400"/>
    <s v="Accepted"/>
    <m/>
    <s v="-"/>
    <s v="Cr note under process"/>
    <m/>
    <n v="1652"/>
    <n v="0"/>
    <m/>
    <m/>
    <n v="1652"/>
    <m/>
    <m/>
    <m/>
  </r>
  <r>
    <n v="1014434"/>
    <x v="236"/>
    <s v="30-11-2025"/>
    <n v="7134260120475"/>
    <s v="W26C00007729"/>
    <s v="WAR26E000266"/>
    <s v="05-12-2025"/>
    <x v="8"/>
    <s v="MC1E4CAA2SP083648"/>
    <s v="D71069647"/>
    <s v="T-1"/>
    <s v="23-03-2025"/>
    <m/>
    <s v="18-11-2025"/>
    <n v="56073"/>
    <m/>
    <m/>
    <n v="2"/>
    <s v="AC0114"/>
    <s v="Labour Charges"/>
    <n v="1"/>
    <n v="2800"/>
    <s v="Accepted"/>
    <m/>
    <s v="-"/>
    <s v="Cr note under process"/>
    <m/>
    <n v="3304"/>
    <n v="0"/>
    <m/>
    <m/>
    <n v="3304"/>
    <m/>
    <m/>
    <m/>
  </r>
  <r>
    <n v="1014435"/>
    <x v="237"/>
    <s v="30-11-2025"/>
    <n v="7134260120487"/>
    <s v="W26C00007741"/>
    <s v="WAR26E000276"/>
    <s v="05-12-2025"/>
    <x v="8"/>
    <s v="MC1E4CAA8SP084478"/>
    <s v="D71071008"/>
    <s v="T-1"/>
    <s v="25-03-2025"/>
    <m/>
    <s v="26-11-2025"/>
    <n v="46473"/>
    <m/>
    <m/>
    <n v="1"/>
    <s v="AC0113"/>
    <s v="Labour Charges"/>
    <n v="1"/>
    <n v="1400"/>
    <s v="Accepted"/>
    <m/>
    <s v="-"/>
    <s v="Cr note under process"/>
    <m/>
    <n v="1652"/>
    <n v="0"/>
    <m/>
    <m/>
    <n v="1652"/>
    <m/>
    <m/>
    <m/>
  </r>
  <r>
    <n v="1014435"/>
    <x v="237"/>
    <s v="30-11-2025"/>
    <n v="7134260120487"/>
    <s v="W26C00007741"/>
    <s v="WAR26E000276"/>
    <s v="05-12-2025"/>
    <x v="8"/>
    <s v="MC1E4CAA8SP084478"/>
    <s v="D71071008"/>
    <s v="T-1"/>
    <s v="25-03-2025"/>
    <m/>
    <s v="26-11-2025"/>
    <n v="46473"/>
    <m/>
    <m/>
    <n v="2"/>
    <s v="AC0114"/>
    <s v="Labour Charges"/>
    <n v="1"/>
    <n v="2800"/>
    <s v="Accepted"/>
    <m/>
    <s v="-"/>
    <s v="Cr note under process"/>
    <m/>
    <n v="3304"/>
    <n v="0"/>
    <m/>
    <m/>
    <n v="3304"/>
    <m/>
    <m/>
    <m/>
  </r>
  <r>
    <n v="1014439"/>
    <x v="238"/>
    <s v="30-11-2025"/>
    <n v="7134260119826"/>
    <s v="W26C00007223"/>
    <s v="WAR26E000226"/>
    <s v="05-12-2025"/>
    <x v="12"/>
    <s v="MC1E4DGA7SP053641"/>
    <s v="D71058370"/>
    <s v="T-1"/>
    <s v="29-08-2024"/>
    <n v="1165"/>
    <s v="29-09-2025"/>
    <n v="15415"/>
    <m/>
    <m/>
    <n v="1"/>
    <s v="EL2026"/>
    <s v="Labour Charges"/>
    <n v="1"/>
    <n v="52.5"/>
    <s v="Accepted"/>
    <m/>
    <s v="-"/>
    <s v="Cr note under process"/>
    <m/>
    <n v="61.95"/>
    <n v="0"/>
    <m/>
    <m/>
    <n v="61.95"/>
    <m/>
    <m/>
    <m/>
  </r>
  <r>
    <n v="1014449"/>
    <x v="239"/>
    <s v="30-11-2025"/>
    <n v="7134260119827"/>
    <s v="W26C00007224"/>
    <s v="WAR26E000227"/>
    <s v="05-12-2025"/>
    <x v="12"/>
    <s v="MC1E4EGA5SP013614"/>
    <s v="D71059197"/>
    <s v="T-1"/>
    <s v="30-08-2024"/>
    <n v="1165"/>
    <s v="29-09-2025"/>
    <n v="51268"/>
    <m/>
    <m/>
    <n v="1"/>
    <s v="EL2026"/>
    <s v="Labour Charges"/>
    <n v="1"/>
    <n v="52.5"/>
    <s v="Accepted"/>
    <m/>
    <s v="-"/>
    <s v="Cr note under process"/>
    <m/>
    <n v="61.95"/>
    <n v="0"/>
    <m/>
    <m/>
    <n v="61.95"/>
    <m/>
    <m/>
    <m/>
  </r>
  <r>
    <n v="1014452"/>
    <x v="240"/>
    <s v="30-11-2025"/>
    <n v="7134260120479"/>
    <s v="W26C00007733"/>
    <s v="WAR26E000269"/>
    <s v="05-12-2025"/>
    <x v="8"/>
    <s v="MC1E4CAA3SP083545"/>
    <s v="D71069443"/>
    <s v="T-1"/>
    <s v="23-03-2025"/>
    <m/>
    <s v="18-11-2025"/>
    <n v="56492"/>
    <m/>
    <m/>
    <n v="1"/>
    <s v="AC0106"/>
    <s v="Labour Charges"/>
    <n v="1"/>
    <n v="420"/>
    <s v="Accepted"/>
    <m/>
    <s v="-"/>
    <s v="Cr note under process"/>
    <m/>
    <n v="495.6"/>
    <n v="0"/>
    <m/>
    <m/>
    <n v="495.6"/>
    <m/>
    <m/>
    <m/>
  </r>
  <r>
    <n v="1014452"/>
    <x v="240"/>
    <s v="30-11-2025"/>
    <n v="7134260120479"/>
    <s v="W26C00007733"/>
    <s v="WAR26E000269"/>
    <s v="05-12-2025"/>
    <x v="8"/>
    <s v="MC1E4CAA3SP083545"/>
    <s v="D71069443"/>
    <s v="T-1"/>
    <s v="23-03-2025"/>
    <m/>
    <s v="18-11-2025"/>
    <n v="56492"/>
    <m/>
    <m/>
    <n v="2"/>
    <s v="AC0113"/>
    <s v="Labour Charges"/>
    <n v="1"/>
    <n v="1400"/>
    <s v="Accepted"/>
    <m/>
    <s v="-"/>
    <s v="Cr note under process"/>
    <m/>
    <n v="1652"/>
    <n v="0"/>
    <m/>
    <m/>
    <n v="1652"/>
    <m/>
    <m/>
    <m/>
  </r>
  <r>
    <n v="1014452"/>
    <x v="240"/>
    <s v="30-11-2025"/>
    <n v="7134260120479"/>
    <s v="W26C00007733"/>
    <s v="WAR26E000269"/>
    <s v="05-12-2025"/>
    <x v="8"/>
    <s v="MC1E4CAA3SP083545"/>
    <s v="D71069443"/>
    <s v="T-1"/>
    <s v="23-03-2025"/>
    <m/>
    <s v="18-11-2025"/>
    <n v="56492"/>
    <m/>
    <m/>
    <n v="3"/>
    <s v="AC0114"/>
    <s v="Labour Charges"/>
    <n v="1"/>
    <n v="2800"/>
    <s v="Accepted"/>
    <m/>
    <s v="-"/>
    <s v="Cr note under process"/>
    <m/>
    <n v="3304"/>
    <n v="0"/>
    <m/>
    <m/>
    <n v="3304"/>
    <m/>
    <m/>
    <m/>
  </r>
  <r>
    <n v="1014457"/>
    <x v="241"/>
    <s v="30-11-2025"/>
    <n v="7134260120488"/>
    <s v="W26C00007742"/>
    <s v="WAR26E000277"/>
    <s v="05-12-2025"/>
    <x v="8"/>
    <s v="MC1E4CBA3SP085259"/>
    <s v="D71072102"/>
    <s v="T-1"/>
    <s v="23-03-2025"/>
    <m/>
    <s v="26-11-2025"/>
    <n v="48323"/>
    <m/>
    <m/>
    <n v="1"/>
    <s v="AC0113"/>
    <s v="Labour Charges"/>
    <n v="1"/>
    <n v="1400"/>
    <s v="Accepted"/>
    <m/>
    <s v="-"/>
    <s v="Cr note under process"/>
    <m/>
    <n v="1652"/>
    <n v="0"/>
    <m/>
    <m/>
    <n v="1652"/>
    <m/>
    <m/>
    <m/>
  </r>
  <r>
    <n v="1014457"/>
    <x v="241"/>
    <s v="30-11-2025"/>
    <n v="7134260120488"/>
    <s v="W26C00007742"/>
    <s v="WAR26E000277"/>
    <s v="05-12-2025"/>
    <x v="8"/>
    <s v="MC1E4CBA3SP085259"/>
    <s v="D71072102"/>
    <s v="T-1"/>
    <s v="23-03-2025"/>
    <m/>
    <s v="26-11-2025"/>
    <n v="48323"/>
    <m/>
    <m/>
    <n v="2"/>
    <s v="AC0114"/>
    <s v="Labour Charges"/>
    <n v="1"/>
    <n v="2800"/>
    <s v="Accepted"/>
    <m/>
    <s v="-"/>
    <s v="Cr note under process"/>
    <m/>
    <n v="3304"/>
    <n v="0"/>
    <m/>
    <m/>
    <n v="3304"/>
    <m/>
    <m/>
    <m/>
  </r>
  <r>
    <n v="1014462"/>
    <x v="242"/>
    <s v="30-11-2025"/>
    <n v="7134260119838"/>
    <s v="W26C00007235"/>
    <s v="WAR26E000236"/>
    <s v="05-12-2025"/>
    <x v="12"/>
    <s v="MC1E4EFA3RP013378"/>
    <s v="D71057643"/>
    <s v="T-1"/>
    <s v="09-09-2024"/>
    <n v="1165"/>
    <s v="29-09-2025"/>
    <n v="106578"/>
    <m/>
    <m/>
    <n v="1"/>
    <s v="EL2026"/>
    <s v="Labour Charges"/>
    <n v="1"/>
    <n v="52.5"/>
    <s v="Accepted"/>
    <m/>
    <s v="-"/>
    <s v="Cr note under process"/>
    <m/>
    <n v="61.95"/>
    <n v="0"/>
    <m/>
    <m/>
    <n v="61.95"/>
    <m/>
    <m/>
    <m/>
  </r>
  <r>
    <n v="1014466"/>
    <x v="243"/>
    <s v="30-11-2025"/>
    <n v="7134260119825"/>
    <s v="W26C00007222"/>
    <s v="WAR26E000225"/>
    <s v="05-12-2025"/>
    <x v="12"/>
    <s v="MC1E4EHA3SP013657"/>
    <s v="D71059698"/>
    <s v="T-1"/>
    <s v="26-08-2024"/>
    <n v="1165"/>
    <s v="29-09-2025"/>
    <n v="45518"/>
    <m/>
    <m/>
    <n v="1"/>
    <s v="EL2026"/>
    <s v="Labour Charges"/>
    <n v="1"/>
    <n v="52.5"/>
    <s v="Accepted"/>
    <m/>
    <s v="-"/>
    <s v="Cr note under process"/>
    <m/>
    <n v="61.95"/>
    <n v="0"/>
    <m/>
    <m/>
    <n v="61.95"/>
    <m/>
    <m/>
    <m/>
  </r>
  <r>
    <n v="1014470"/>
    <x v="244"/>
    <s v="30-11-2025"/>
    <n v="7134260119844"/>
    <s v="W26C00007241"/>
    <s v="WAR26E000242"/>
    <s v="05-12-2025"/>
    <x v="8"/>
    <s v="MC1E4DGA0SP053691"/>
    <s v="D71058472"/>
    <s v="T-1"/>
    <s v="16-09-2024"/>
    <n v="1165"/>
    <s v="29-09-2025"/>
    <n v="7430"/>
    <m/>
    <m/>
    <n v="1"/>
    <s v="EL2026"/>
    <s v="Labour Charges"/>
    <n v="1"/>
    <n v="52.5"/>
    <s v="Accepted"/>
    <m/>
    <s v="-"/>
    <s v="Cr note under process"/>
    <m/>
    <n v="61.95"/>
    <n v="0"/>
    <m/>
    <m/>
    <n v="61.95"/>
    <m/>
    <m/>
    <m/>
  </r>
  <r>
    <n v="1014472"/>
    <x v="245"/>
    <s v="30-11-2025"/>
    <n v="7134260119824"/>
    <s v="W26C00007221"/>
    <s v="WAR26E000224"/>
    <s v="05-12-2025"/>
    <x v="12"/>
    <s v="MC1E4DGA8SP053650"/>
    <s v="D71058152"/>
    <s v="T-1"/>
    <s v="24-08-2024"/>
    <n v="1165"/>
    <s v="29-09-2025"/>
    <n v="10978"/>
    <m/>
    <m/>
    <n v="1"/>
    <s v="EL2026"/>
    <s v="Labour Charges"/>
    <n v="1"/>
    <n v="52.5"/>
    <s v="Accepted"/>
    <m/>
    <s v="-"/>
    <s v="Cr note under process"/>
    <m/>
    <n v="61.95"/>
    <n v="0"/>
    <m/>
    <m/>
    <n v="61.95"/>
    <m/>
    <m/>
    <m/>
  </r>
  <r>
    <n v="1014473"/>
    <x v="246"/>
    <s v="30-11-2025"/>
    <n v="7134260119843"/>
    <s v="W26C00007240"/>
    <s v="WAR26E000241"/>
    <s v="05-12-2025"/>
    <x v="8"/>
    <s v="MC1E4EHA0SP013776"/>
    <s v="D71060563"/>
    <s v="T-1"/>
    <s v="13-09-2024"/>
    <n v="1165"/>
    <s v="29-09-2025"/>
    <n v="39991"/>
    <m/>
    <m/>
    <n v="1"/>
    <s v="EL2026"/>
    <s v="Labour Charges"/>
    <n v="1"/>
    <n v="52.5"/>
    <s v="Accepted"/>
    <m/>
    <s v="-"/>
    <s v="Cr note under process"/>
    <m/>
    <n v="61.95"/>
    <n v="0"/>
    <m/>
    <m/>
    <n v="61.95"/>
    <m/>
    <m/>
    <m/>
  </r>
  <r>
    <n v="1014474"/>
    <x v="247"/>
    <s v="30-11-2025"/>
    <n v="7134260120476"/>
    <s v="W26C00007730"/>
    <s v="WAR26E000267"/>
    <s v="05-12-2025"/>
    <x v="14"/>
    <s v="MC1E4CAA2SP083732"/>
    <s v="D71069293"/>
    <s v="T-1"/>
    <s v="23-03-2025"/>
    <m/>
    <s v="18-11-2025"/>
    <n v="50272"/>
    <m/>
    <m/>
    <n v="1"/>
    <s v="AC0113"/>
    <s v="Labour Charges"/>
    <n v="1"/>
    <n v="1400"/>
    <s v="Accepted"/>
    <m/>
    <s v="-"/>
    <s v="Cr note under process"/>
    <m/>
    <n v="1652"/>
    <n v="0"/>
    <m/>
    <m/>
    <n v="1652"/>
    <m/>
    <m/>
    <m/>
  </r>
  <r>
    <n v="1014474"/>
    <x v="247"/>
    <s v="30-11-2025"/>
    <n v="7134260120476"/>
    <s v="W26C00007730"/>
    <s v="WAR26E000267"/>
    <s v="05-12-2025"/>
    <x v="14"/>
    <s v="MC1E4CAA2SP083732"/>
    <s v="D71069293"/>
    <s v="T-1"/>
    <s v="23-03-2025"/>
    <m/>
    <s v="18-11-2025"/>
    <n v="50272"/>
    <m/>
    <m/>
    <n v="2"/>
    <s v="AC0114"/>
    <s v="Labour Charges"/>
    <n v="1"/>
    <n v="2800"/>
    <s v="Accepted"/>
    <m/>
    <s v="-"/>
    <s v="Cr note under process"/>
    <m/>
    <n v="3304"/>
    <n v="0"/>
    <m/>
    <m/>
    <n v="3304"/>
    <m/>
    <m/>
    <m/>
  </r>
  <r>
    <n v="1014476"/>
    <x v="248"/>
    <s v="30-11-2025"/>
    <n v="7134260120483"/>
    <s v="W26C00007737"/>
    <s v="WAR26E000273"/>
    <s v="05-12-2025"/>
    <x v="8"/>
    <s v="MC1E4CAA1SP084712"/>
    <s v="D71069517"/>
    <s v="T-1"/>
    <s v="26-03-2025"/>
    <m/>
    <s v="04-11-2025"/>
    <n v="42994"/>
    <m/>
    <m/>
    <n v="1"/>
    <s v="AC0113"/>
    <s v="Labour Charges"/>
    <n v="1"/>
    <n v="1400"/>
    <s v="Accepted"/>
    <m/>
    <s v="-"/>
    <s v="Cr note under process"/>
    <m/>
    <n v="1652"/>
    <n v="0"/>
    <m/>
    <m/>
    <n v="1652"/>
    <m/>
    <m/>
    <m/>
  </r>
  <r>
    <n v="1014476"/>
    <x v="248"/>
    <s v="30-11-2025"/>
    <n v="7134260120483"/>
    <s v="W26C00007737"/>
    <s v="WAR26E000273"/>
    <s v="05-12-2025"/>
    <x v="8"/>
    <s v="MC1E4CAA1SP084712"/>
    <s v="D71069517"/>
    <s v="T-1"/>
    <s v="26-03-2025"/>
    <m/>
    <s v="04-11-2025"/>
    <n v="42994"/>
    <m/>
    <m/>
    <n v="2"/>
    <s v="AC0114"/>
    <s v="Labour Charges"/>
    <n v="1"/>
    <n v="2800"/>
    <s v="Accepted"/>
    <m/>
    <s v="-"/>
    <s v="Cr note under process"/>
    <m/>
    <n v="3304"/>
    <n v="0"/>
    <m/>
    <m/>
    <n v="3304"/>
    <m/>
    <m/>
    <m/>
  </r>
  <r>
    <n v="1014477"/>
    <x v="249"/>
    <s v="30-11-2025"/>
    <n v="7134260119817"/>
    <s v="W26C00007214"/>
    <s v="WAR26E000217"/>
    <s v="05-12-2025"/>
    <x v="12"/>
    <s v="MC1E4DFA5RP053259"/>
    <s v="D71056905"/>
    <s v="T-1"/>
    <s v="16-08-2024"/>
    <n v="1165"/>
    <s v="29-09-2025"/>
    <n v="39887"/>
    <m/>
    <m/>
    <n v="1"/>
    <s v="EL2026"/>
    <s v="Labour Charges"/>
    <n v="1"/>
    <n v="52.5"/>
    <s v="Accepted"/>
    <m/>
    <s v="-"/>
    <s v="Cr note under process"/>
    <m/>
    <n v="61.95"/>
    <n v="0"/>
    <m/>
    <m/>
    <n v="61.95"/>
    <m/>
    <m/>
    <m/>
  </r>
  <r>
    <n v="1014479"/>
    <x v="250"/>
    <s v="30-11-2025"/>
    <n v="7134260119818"/>
    <s v="W26C00007215"/>
    <s v="WAR26E000218"/>
    <s v="05-12-2025"/>
    <x v="12"/>
    <s v="MC1E4EFA5RP013365"/>
    <s v="D71057523"/>
    <s v="T-1"/>
    <s v="16-08-2024"/>
    <n v="1165"/>
    <s v="29-09-2025"/>
    <n v="26903"/>
    <m/>
    <m/>
    <n v="1"/>
    <s v="EL2026"/>
    <s v="Labour Charges"/>
    <n v="1"/>
    <n v="52.5"/>
    <s v="Accepted"/>
    <m/>
    <s v="-"/>
    <s v="Cr note under process"/>
    <m/>
    <n v="61.95"/>
    <n v="0"/>
    <m/>
    <m/>
    <n v="61.95"/>
    <m/>
    <m/>
    <m/>
  </r>
  <r>
    <n v="1014483"/>
    <x v="251"/>
    <s v="30-11-2025"/>
    <n v="7134260119842"/>
    <s v="W26C00007239"/>
    <s v="WAR26E000240"/>
    <s v="05-12-2025"/>
    <x v="12"/>
    <s v="MC1E4EHA9SP013713"/>
    <s v="D71060226"/>
    <s v="T-1"/>
    <s v="11-09-2024"/>
    <n v="1165"/>
    <s v="29-09-2025"/>
    <n v="46960"/>
    <m/>
    <m/>
    <n v="1"/>
    <s v="EL2026"/>
    <s v="Labour Charges"/>
    <n v="1"/>
    <n v="52.5"/>
    <s v="Accepted"/>
    <m/>
    <s v="-"/>
    <s v="Cr note under process"/>
    <m/>
    <n v="61.95"/>
    <n v="0"/>
    <m/>
    <m/>
    <n v="61.95"/>
    <m/>
    <m/>
    <m/>
  </r>
  <r>
    <n v="1015185"/>
    <x v="252"/>
    <s v="27-12-2025"/>
    <n v="7134260121018"/>
    <s v="W26C00008204"/>
    <s v="WAR26E000278"/>
    <s v="29-12-2025"/>
    <x v="13"/>
    <s v="MC1E4CAA3SP083786"/>
    <s v="D71069895"/>
    <s v="T-1"/>
    <s v="23-03-2025"/>
    <m/>
    <s v="13-12-2025"/>
    <n v="72219"/>
    <m/>
    <m/>
    <n v="1"/>
    <s v="T006865425418"/>
    <s v="NOX SENSOR DOWN STRE"/>
    <n v="1"/>
    <n v="12374.27"/>
    <s v="Accepted"/>
    <m/>
    <s v="-"/>
    <s v="Cr note under process"/>
    <m/>
    <n v="14601.64"/>
    <n v="0"/>
    <m/>
    <m/>
    <n v="14601.64"/>
    <m/>
    <m/>
    <s v="P229E-08, P229E-91, P229E-85 &amp; P2BAE-09"/>
  </r>
  <r>
    <n v="1015185"/>
    <x v="252"/>
    <s v="27-12-2025"/>
    <n v="7134260121018"/>
    <s v="W26C00008204"/>
    <s v="WAR26E000278"/>
    <s v="29-12-2025"/>
    <x v="13"/>
    <s v="MC1E4CAA3SP083786"/>
    <s v="D71069895"/>
    <s v="T-1"/>
    <s v="23-03-2025"/>
    <m/>
    <s v="13-12-2025"/>
    <n v="72219"/>
    <m/>
    <m/>
    <n v="2"/>
    <s v="EX-3"/>
    <s v="Labour Charges"/>
    <n v="1"/>
    <n v="61.25"/>
    <s v="Accepted"/>
    <m/>
    <s v="-"/>
    <s v="Cr note under process"/>
    <m/>
    <n v="72.28"/>
    <n v="0"/>
    <m/>
    <m/>
    <n v="72.28"/>
    <m/>
    <m/>
    <s v="P229E-08, P229E-91, P229E-85 &amp; P2BAE-09"/>
  </r>
  <r>
    <n v="1015190"/>
    <x v="253"/>
    <s v="27-12-2025"/>
    <n v="7134260121394"/>
    <s v="W26C00008498"/>
    <s v="WAR26E000293"/>
    <s v="29-12-2025"/>
    <x v="13"/>
    <s v="MC1E4CAA7SP083659"/>
    <s v="D71069664"/>
    <s v="T-1"/>
    <s v="07-03-2025"/>
    <m/>
    <s v="21-12-2025"/>
    <n v="51295"/>
    <m/>
    <m/>
    <n v="1"/>
    <s v="AC0113"/>
    <s v="Labour Charges"/>
    <n v="1"/>
    <n v="1400"/>
    <s v="Accepted"/>
    <m/>
    <s v="-"/>
    <s v="Cr note under process"/>
    <m/>
    <n v="1652"/>
    <n v="0"/>
    <m/>
    <m/>
    <n v="1652"/>
    <m/>
    <m/>
    <m/>
  </r>
  <r>
    <n v="1015190"/>
    <x v="253"/>
    <s v="27-12-2025"/>
    <n v="7134260121394"/>
    <s v="W26C00008498"/>
    <s v="WAR26E000293"/>
    <s v="29-12-2025"/>
    <x v="13"/>
    <s v="MC1E4CAA7SP083659"/>
    <s v="D71069664"/>
    <s v="T-1"/>
    <s v="07-03-2025"/>
    <m/>
    <s v="21-12-2025"/>
    <n v="51295"/>
    <m/>
    <m/>
    <n v="2"/>
    <s v="AC0114"/>
    <s v="Labour Charges"/>
    <n v="1"/>
    <n v="2800"/>
    <s v="Accepted"/>
    <m/>
    <s v="-"/>
    <s v="Cr note under process"/>
    <m/>
    <n v="3304"/>
    <n v="0"/>
    <m/>
    <m/>
    <n v="3304"/>
    <m/>
    <m/>
    <m/>
  </r>
  <r>
    <n v="1015191"/>
    <x v="254"/>
    <s v="27-12-2025"/>
    <n v="7134260121043"/>
    <s v="W26C00008228"/>
    <s v="WAR26E000286"/>
    <s v="29-12-2025"/>
    <x v="13"/>
    <s v="MC1E4CAA8SP083444"/>
    <s v="D71069262"/>
    <s v="T-1"/>
    <s v="20-02-2025"/>
    <m/>
    <s v="27-11-2025"/>
    <n v="46485"/>
    <m/>
    <m/>
    <n v="1"/>
    <s v="T006865425418"/>
    <s v="NOX SENSOR DOWN STRE"/>
    <n v="1"/>
    <n v="12374.27"/>
    <s v="Accepted"/>
    <m/>
    <s v="-"/>
    <s v="Cr note under process"/>
    <m/>
    <n v="14601.64"/>
    <n v="0"/>
    <m/>
    <m/>
    <n v="14601.64"/>
    <m/>
    <m/>
    <s v="AdBlue light glowing on dashboard and vehicle pick-up reduced.P2BAE-09"/>
  </r>
  <r>
    <n v="1015195"/>
    <x v="255"/>
    <s v="27-12-2025"/>
    <n v="7134260121032"/>
    <s v="W26C00008217"/>
    <s v="WAR26E000283"/>
    <s v="29-12-2025"/>
    <x v="13"/>
    <s v="MC1E4CAA1SP084273"/>
    <s v="D71070598"/>
    <s v="T-1"/>
    <s v="24-03-2025"/>
    <m/>
    <s v="29-11-2025"/>
    <n v="43847"/>
    <m/>
    <m/>
    <n v="1"/>
    <s v="B008558302465"/>
    <s v="COMPRESSOR ASSLY(647"/>
    <n v="1"/>
    <n v="14186.41"/>
    <s v="Accepted"/>
    <m/>
    <s v="-"/>
    <s v="Cr note under process"/>
    <m/>
    <n v="16739.96"/>
    <n v="0"/>
    <m/>
    <m/>
    <n v="16739.96"/>
    <m/>
    <m/>
    <m/>
  </r>
  <r>
    <n v="1015195"/>
    <x v="255"/>
    <s v="27-12-2025"/>
    <n v="7134260121032"/>
    <s v="W26C00008217"/>
    <s v="WAR26E000283"/>
    <s v="29-12-2025"/>
    <x v="13"/>
    <s v="MC1E4CAA1SP084273"/>
    <s v="D71070598"/>
    <s v="T-1"/>
    <s v="24-03-2025"/>
    <m/>
    <s v="29-11-2025"/>
    <n v="43847"/>
    <m/>
    <m/>
    <n v="2"/>
    <s v="AC0106"/>
    <s v="Labour Charges"/>
    <n v="1"/>
    <n v="420"/>
    <s v="Accepted"/>
    <m/>
    <s v="-"/>
    <s v="Cr note under process"/>
    <m/>
    <n v="495.6"/>
    <n v="0"/>
    <m/>
    <m/>
    <n v="495.6"/>
    <m/>
    <m/>
    <m/>
  </r>
  <r>
    <n v="1015195"/>
    <x v="255"/>
    <s v="27-12-2025"/>
    <n v="7134260121032"/>
    <s v="W26C00008217"/>
    <s v="WAR26E000283"/>
    <s v="29-12-2025"/>
    <x v="13"/>
    <s v="MC1E4CAA1SP084273"/>
    <s v="D71070598"/>
    <s v="T-1"/>
    <s v="24-03-2025"/>
    <m/>
    <s v="29-11-2025"/>
    <n v="43847"/>
    <m/>
    <m/>
    <n v="3"/>
    <s v="AC0113"/>
    <s v="Labour Charges"/>
    <n v="1"/>
    <n v="1400"/>
    <s v="Accepted"/>
    <m/>
    <s v="-"/>
    <s v="Cr note under process"/>
    <m/>
    <n v="1652"/>
    <n v="0"/>
    <m/>
    <m/>
    <n v="1652"/>
    <m/>
    <m/>
    <m/>
  </r>
  <r>
    <n v="1015195"/>
    <x v="255"/>
    <s v="27-12-2025"/>
    <n v="7134260121032"/>
    <s v="W26C00008217"/>
    <s v="WAR26E000283"/>
    <s v="29-12-2025"/>
    <x v="13"/>
    <s v="MC1E4CAA1SP084273"/>
    <s v="D71070598"/>
    <s v="T-1"/>
    <s v="24-03-2025"/>
    <m/>
    <s v="29-11-2025"/>
    <n v="43847"/>
    <m/>
    <m/>
    <n v="4"/>
    <s v="AC0114"/>
    <s v="Labour Charges"/>
    <n v="1"/>
    <n v="2800"/>
    <s v="Accepted"/>
    <m/>
    <s v="-"/>
    <s v="Cr note under process"/>
    <m/>
    <n v="3304"/>
    <n v="0"/>
    <m/>
    <m/>
    <n v="3304"/>
    <m/>
    <m/>
    <m/>
  </r>
  <r>
    <n v="1015198"/>
    <x v="256"/>
    <s v="27-12-2025"/>
    <n v="7134260121340"/>
    <s v="W26C00008466"/>
    <s v="WAR26E000291"/>
    <s v="29-12-2025"/>
    <x v="13"/>
    <s v="MC1E4CBA5SP086204"/>
    <s v="D71073761"/>
    <s v="T-1"/>
    <s v="25-03-2025"/>
    <m/>
    <s v="08-12-2025"/>
    <n v="52135"/>
    <m/>
    <m/>
    <n v="1"/>
    <s v="AC0113"/>
    <s v="Labour Charges"/>
    <n v="1"/>
    <n v="1400"/>
    <s v="Accepted"/>
    <m/>
    <s v="-"/>
    <s v="Cr note under process"/>
    <m/>
    <n v="1652"/>
    <n v="0"/>
    <m/>
    <m/>
    <n v="1652"/>
    <m/>
    <m/>
    <m/>
  </r>
  <r>
    <n v="1015198"/>
    <x v="256"/>
    <s v="27-12-2025"/>
    <n v="7134260121340"/>
    <s v="W26C00008466"/>
    <s v="WAR26E000291"/>
    <s v="29-12-2025"/>
    <x v="13"/>
    <s v="MC1E4CBA5SP086204"/>
    <s v="D71073761"/>
    <s v="T-1"/>
    <s v="25-03-2025"/>
    <m/>
    <s v="08-12-2025"/>
    <n v="52135"/>
    <m/>
    <m/>
    <n v="2"/>
    <s v="AC0114"/>
    <s v="Labour Charges"/>
    <n v="1"/>
    <n v="2800"/>
    <s v="Accepted"/>
    <m/>
    <s v="-"/>
    <s v="Cr note under process"/>
    <m/>
    <n v="3304"/>
    <n v="0"/>
    <m/>
    <m/>
    <n v="3304"/>
    <m/>
    <m/>
    <m/>
  </r>
  <r>
    <n v="1015200"/>
    <x v="257"/>
    <s v="27-12-2025"/>
    <n v="7134260121040"/>
    <s v="W26C00008225"/>
    <s v="WAR26E000285"/>
    <s v="29-12-2025"/>
    <x v="13"/>
    <s v="MC1E4CAA3SP083545"/>
    <s v="D71069443"/>
    <s v="T-1"/>
    <s v="23-03-2025"/>
    <m/>
    <s v="26-11-2025"/>
    <n v="56552"/>
    <m/>
    <m/>
    <n v="1"/>
    <s v="B008558302465"/>
    <s v="COMPRESSOR ASSLY(647"/>
    <n v="1"/>
    <n v="14186.41"/>
    <s v="Accepted"/>
    <m/>
    <s v="-"/>
    <s v="Cr note under process"/>
    <m/>
    <n v="16739.96"/>
    <n v="0"/>
    <m/>
    <m/>
    <n v="16739.96"/>
    <m/>
    <m/>
    <m/>
  </r>
  <r>
    <n v="1015200"/>
    <x v="257"/>
    <s v="27-12-2025"/>
    <n v="7134260121040"/>
    <s v="W26C00008225"/>
    <s v="WAR26E000285"/>
    <s v="29-12-2025"/>
    <x v="13"/>
    <s v="MC1E4CAA3SP083545"/>
    <s v="D71069443"/>
    <s v="T-1"/>
    <s v="23-03-2025"/>
    <m/>
    <s v="26-11-2025"/>
    <n v="56552"/>
    <m/>
    <m/>
    <n v="2"/>
    <s v="AC0106"/>
    <s v="Labour Charges"/>
    <n v="1"/>
    <n v="420"/>
    <s v="Accepted"/>
    <m/>
    <s v="-"/>
    <s v="Cr note under process"/>
    <m/>
    <n v="495.6"/>
    <n v="0"/>
    <m/>
    <m/>
    <n v="495.6"/>
    <m/>
    <m/>
    <m/>
  </r>
  <r>
    <n v="1015205"/>
    <x v="258"/>
    <s v="27-12-2025"/>
    <n v="7134260121396"/>
    <s v="W26C00008500"/>
    <s v="WAR26E000295"/>
    <s v="29-12-2025"/>
    <x v="13"/>
    <s v="MC1E4CBA1SP085373"/>
    <s v="D71072195"/>
    <s v="T-1"/>
    <s v="27-03-2025"/>
    <m/>
    <s v="21-12-2025"/>
    <n v="59337"/>
    <m/>
    <m/>
    <n v="1"/>
    <s v="AC0113"/>
    <s v="Labour Charges"/>
    <n v="1"/>
    <n v="1400"/>
    <s v="Accepted"/>
    <m/>
    <s v="-"/>
    <s v="Cr note under process"/>
    <m/>
    <n v="1652"/>
    <n v="0"/>
    <m/>
    <m/>
    <n v="1652"/>
    <m/>
    <m/>
    <m/>
  </r>
  <r>
    <n v="1015205"/>
    <x v="258"/>
    <s v="27-12-2025"/>
    <n v="7134260121396"/>
    <s v="W26C00008500"/>
    <s v="WAR26E000295"/>
    <s v="29-12-2025"/>
    <x v="13"/>
    <s v="MC1E4CBA1SP085373"/>
    <s v="D71072195"/>
    <s v="T-1"/>
    <s v="27-03-2025"/>
    <m/>
    <s v="21-12-2025"/>
    <n v="59337"/>
    <m/>
    <m/>
    <n v="2"/>
    <s v="AC0114"/>
    <s v="Labour Charges"/>
    <n v="1"/>
    <n v="2800"/>
    <s v="Accepted"/>
    <m/>
    <s v="-"/>
    <s v="Cr note under process"/>
    <m/>
    <n v="3304"/>
    <n v="0"/>
    <m/>
    <m/>
    <n v="3304"/>
    <m/>
    <m/>
    <m/>
  </r>
  <r>
    <n v="1015207"/>
    <x v="259"/>
    <s v="27-12-2025"/>
    <n v="7134260121339"/>
    <s v="W26C00008465"/>
    <s v="WAR26E000290"/>
    <s v="29-12-2025"/>
    <x v="13"/>
    <s v="MC1E4CAA0SP084474"/>
    <s v="D71070995"/>
    <s v="T-1"/>
    <s v="25-03-2025"/>
    <m/>
    <s v="08-12-2025"/>
    <n v="50271"/>
    <m/>
    <m/>
    <n v="1"/>
    <s v="AC0113"/>
    <s v="Labour Charges"/>
    <n v="1"/>
    <n v="1400"/>
    <s v="Accepted"/>
    <m/>
    <s v="-"/>
    <s v="Cr note under process"/>
    <m/>
    <n v="1652"/>
    <n v="0"/>
    <m/>
    <m/>
    <n v="1652"/>
    <m/>
    <m/>
    <m/>
  </r>
  <r>
    <n v="1015207"/>
    <x v="259"/>
    <s v="27-12-2025"/>
    <n v="7134260121339"/>
    <s v="W26C00008465"/>
    <s v="WAR26E000290"/>
    <s v="29-12-2025"/>
    <x v="13"/>
    <s v="MC1E4CAA0SP084474"/>
    <s v="D71070995"/>
    <s v="T-1"/>
    <s v="25-03-2025"/>
    <m/>
    <s v="08-12-2025"/>
    <n v="50271"/>
    <m/>
    <m/>
    <n v="2"/>
    <s v="AC0114"/>
    <s v="Labour Charges"/>
    <n v="1"/>
    <n v="2800"/>
    <s v="Accepted"/>
    <m/>
    <s v="-"/>
    <s v="Cr note under process"/>
    <m/>
    <n v="3304"/>
    <n v="0"/>
    <m/>
    <m/>
    <n v="3304"/>
    <m/>
    <m/>
    <m/>
  </r>
  <r>
    <n v="1015208"/>
    <x v="260"/>
    <s v="27-12-2025"/>
    <n v="7134260121023"/>
    <s v="W26C00008209"/>
    <s v="WAR26E000282"/>
    <s v="29-12-2025"/>
    <x v="13"/>
    <s v="MC1E4EHA7TP017423"/>
    <s v="D71089516"/>
    <s v="T-1"/>
    <s v="23-10-2025"/>
    <n v="1165"/>
    <s v="20-11-2025"/>
    <n v="3396"/>
    <m/>
    <m/>
    <n v="1"/>
    <s v="B008085420717"/>
    <s v="OIL PRESSURE SWITCH"/>
    <n v="1"/>
    <n v="75.59"/>
    <s v="Accepted"/>
    <m/>
    <s v="-"/>
    <s v="Cr note under process"/>
    <m/>
    <n v="89.2"/>
    <n v="0"/>
    <m/>
    <m/>
    <n v="89.2"/>
    <m/>
    <m/>
    <m/>
  </r>
  <r>
    <n v="1015209"/>
    <x v="261"/>
    <s v="27-12-2025"/>
    <n v="7134260121022"/>
    <s v="W26C00008208"/>
    <s v="WAR26E000281"/>
    <s v="29-12-2025"/>
    <x v="13"/>
    <s v="MC1E4ECA1SP015608"/>
    <s v="D71075838"/>
    <s v="T-1"/>
    <s v="10-04-2025"/>
    <m/>
    <s v="18-11-2025"/>
    <n v="25865"/>
    <m/>
    <m/>
    <n v="1"/>
    <s v="B00808200000101"/>
    <s v="WATER PUMP ASSLY WIT"/>
    <n v="1"/>
    <n v="3236.86"/>
    <s v="Accepted"/>
    <m/>
    <s v="-"/>
    <s v="Cr note under process"/>
    <m/>
    <n v="3819.49"/>
    <n v="0"/>
    <m/>
    <m/>
    <n v="3819.49"/>
    <m/>
    <m/>
    <m/>
  </r>
  <r>
    <n v="1015210"/>
    <x v="262"/>
    <s v="27-12-2025"/>
    <n v="7134260121393"/>
    <s v="W26C00008497"/>
    <s v="WAR26E000292"/>
    <s v="29-12-2025"/>
    <x v="13"/>
    <s v="MC1E4CAA5SP084244"/>
    <s v="D71069525"/>
    <s v="T-1"/>
    <s v="25-03-2025"/>
    <m/>
    <s v="21-12-2025"/>
    <n v="60164"/>
    <m/>
    <m/>
    <n v="1"/>
    <s v="A000042030080"/>
    <s v="GASKET"/>
    <n v="1"/>
    <n v="3.25"/>
    <s v="Accepted"/>
    <m/>
    <s v="-"/>
    <s v="Cr note under process"/>
    <m/>
    <n v="3.84"/>
    <n v="0"/>
    <m/>
    <m/>
    <n v="3.84"/>
    <m/>
    <m/>
    <s v="Half Engine accepted after discussion /confirmation from Service HO"/>
  </r>
  <r>
    <n v="1015210"/>
    <x v="262"/>
    <s v="27-12-2025"/>
    <n v="7134260121393"/>
    <s v="W26C00008497"/>
    <s v="WAR26E000292"/>
    <s v="29-12-2025"/>
    <x v="13"/>
    <s v="MC1E4CAA5SP084244"/>
    <s v="D71069525"/>
    <s v="T-1"/>
    <s v="25-03-2025"/>
    <m/>
    <s v="21-12-2025"/>
    <n v="60164"/>
    <m/>
    <m/>
    <n v="2"/>
    <s v="A000042030980"/>
    <s v="GASKET FOR WATERPUMP"/>
    <n v="1"/>
    <n v="4.88"/>
    <s v="Accepted"/>
    <m/>
    <s v="-"/>
    <s v="Cr note under process"/>
    <m/>
    <n v="5.76"/>
    <n v="0"/>
    <m/>
    <m/>
    <n v="5.76"/>
    <m/>
    <m/>
    <s v="Half Engine accepted after discussion /confirmation from Service HO"/>
  </r>
  <r>
    <n v="1015210"/>
    <x v="262"/>
    <s v="27-12-2025"/>
    <n v="7134260121393"/>
    <s v="W26C00008497"/>
    <s v="WAR26E000292"/>
    <s v="29-12-2025"/>
    <x v="13"/>
    <s v="MC1E4CAA5SP084244"/>
    <s v="D71069525"/>
    <s v="T-1"/>
    <s v="25-03-2025"/>
    <m/>
    <s v="21-12-2025"/>
    <n v="60164"/>
    <m/>
    <m/>
    <n v="3"/>
    <s v="B008080500511"/>
    <s v="CHAIN TENSIONER ASSE"/>
    <n v="1"/>
    <n v="448.68"/>
    <s v="Accepted"/>
    <m/>
    <s v="-"/>
    <s v="Cr note under process"/>
    <m/>
    <n v="529.44000000000005"/>
    <n v="0"/>
    <m/>
    <m/>
    <n v="529.44000000000005"/>
    <m/>
    <m/>
    <s v="Half Engine accepted after discussion /confirmation from Service HO"/>
  </r>
  <r>
    <n v="1015210"/>
    <x v="262"/>
    <s v="27-12-2025"/>
    <n v="7134260121393"/>
    <s v="W26C00008497"/>
    <s v="WAR26E000292"/>
    <s v="29-12-2025"/>
    <x v="13"/>
    <s v="MC1E4CAA5SP084244"/>
    <s v="D71069525"/>
    <s v="T-1"/>
    <s v="25-03-2025"/>
    <m/>
    <s v="21-12-2025"/>
    <n v="60164"/>
    <m/>
    <m/>
    <n v="4"/>
    <s v="B008080520180"/>
    <s v="GASKET- CHAIN TENSIO"/>
    <n v="1"/>
    <n v="4.0599999999999996"/>
    <s v="Accepted"/>
    <m/>
    <s v="-"/>
    <s v="Cr note under process"/>
    <m/>
    <n v="4.79"/>
    <n v="0"/>
    <m/>
    <m/>
    <n v="4.79"/>
    <m/>
    <m/>
    <s v="Half Engine accepted after discussion /confirmation from Service HO"/>
  </r>
  <r>
    <n v="1015210"/>
    <x v="262"/>
    <s v="27-12-2025"/>
    <n v="7134260121393"/>
    <s v="W26C00008497"/>
    <s v="WAR26E000292"/>
    <s v="29-12-2025"/>
    <x v="13"/>
    <s v="MC1E4CAA5SP084244"/>
    <s v="D71069525"/>
    <s v="T-1"/>
    <s v="25-03-2025"/>
    <m/>
    <s v="21-12-2025"/>
    <n v="60164"/>
    <m/>
    <m/>
    <n v="5"/>
    <s v="B008081420180"/>
    <s v="GASKET INTAKE FRONT"/>
    <n v="1"/>
    <n v="30.89"/>
    <s v="Accepted"/>
    <m/>
    <s v="-"/>
    <s v="Cr note under process"/>
    <m/>
    <n v="36.450000000000003"/>
    <n v="0"/>
    <m/>
    <m/>
    <n v="36.450000000000003"/>
    <m/>
    <m/>
    <s v="Half Engine accepted after discussion /confirmation from Service HO"/>
  </r>
  <r>
    <n v="1015210"/>
    <x v="262"/>
    <s v="27-12-2025"/>
    <n v="7134260121393"/>
    <s v="W26C00008497"/>
    <s v="WAR26E000292"/>
    <s v="29-12-2025"/>
    <x v="13"/>
    <s v="MC1E4CAA5SP084244"/>
    <s v="D71069525"/>
    <s v="T-1"/>
    <s v="25-03-2025"/>
    <m/>
    <s v="21-12-2025"/>
    <n v="60164"/>
    <m/>
    <m/>
    <n v="6"/>
    <s v="B008081420380"/>
    <s v="GASKET INTAKE REAR"/>
    <n v="1"/>
    <n v="35.76"/>
    <s v="Accepted"/>
    <m/>
    <s v="-"/>
    <s v="Cr note under process"/>
    <m/>
    <n v="42.2"/>
    <n v="0"/>
    <m/>
    <m/>
    <n v="42.2"/>
    <m/>
    <m/>
    <s v="Half Engine accepted after discussion /confirmation from Service HO"/>
  </r>
  <r>
    <n v="1015210"/>
    <x v="262"/>
    <s v="27-12-2025"/>
    <n v="7134260121393"/>
    <s v="W26C00008497"/>
    <s v="WAR26E000292"/>
    <s v="29-12-2025"/>
    <x v="13"/>
    <s v="MC1E4CAA5SP084244"/>
    <s v="D71069525"/>
    <s v="T-1"/>
    <s v="25-03-2025"/>
    <m/>
    <s v="21-12-2025"/>
    <n v="60164"/>
    <m/>
    <m/>
    <n v="7"/>
    <s v="B008081800443"/>
    <s v="PISTON COOLING NOZZL"/>
    <n v="1"/>
    <n v="179.16"/>
    <s v="Accepted"/>
    <m/>
    <s v="-"/>
    <s v="Cr note under process"/>
    <m/>
    <n v="211.41"/>
    <n v="0"/>
    <m/>
    <m/>
    <n v="211.41"/>
    <m/>
    <m/>
    <s v="Half Engine accepted after discussion /confirmation from Service HO"/>
  </r>
  <r>
    <n v="1015210"/>
    <x v="262"/>
    <s v="27-12-2025"/>
    <n v="7134260121393"/>
    <s v="W26C00008497"/>
    <s v="WAR26E000292"/>
    <s v="29-12-2025"/>
    <x v="13"/>
    <s v="MC1E4CAA5SP084244"/>
    <s v="D71069525"/>
    <s v="T-1"/>
    <s v="25-03-2025"/>
    <m/>
    <s v="21-12-2025"/>
    <n v="60164"/>
    <m/>
    <m/>
    <n v="8"/>
    <s v="B008089801805"/>
    <s v="DEEP GROOVE BALL BRG"/>
    <n v="1"/>
    <n v="118.12"/>
    <s v="Accepted"/>
    <m/>
    <s v="-"/>
    <s v="Cr note under process"/>
    <m/>
    <n v="139.38"/>
    <n v="0"/>
    <m/>
    <m/>
    <n v="139.38"/>
    <m/>
    <m/>
    <s v="Half Engine accepted after discussion /confirmation from Service HO"/>
  </r>
  <r>
    <n v="1015210"/>
    <x v="262"/>
    <s v="27-12-2025"/>
    <n v="7134260121393"/>
    <s v="W26C00008497"/>
    <s v="WAR26E000292"/>
    <s v="29-12-2025"/>
    <x v="13"/>
    <s v="MC1E4CAA5SP084244"/>
    <s v="D71069525"/>
    <s v="T-1"/>
    <s v="25-03-2025"/>
    <m/>
    <s v="21-12-2025"/>
    <n v="60164"/>
    <m/>
    <m/>
    <n v="9"/>
    <s v="B008080161420"/>
    <s v="CYLINDER HEAD GASKET"/>
    <n v="1"/>
    <n v="1074.57"/>
    <s v="Accepted"/>
    <m/>
    <s v="-"/>
    <s v="Cr note under process"/>
    <m/>
    <n v="1267.99"/>
    <n v="0"/>
    <m/>
    <m/>
    <n v="1267.99"/>
    <m/>
    <m/>
    <s v="Half Engine accepted after discussion /confirmation from Service HO"/>
  </r>
  <r>
    <n v="1015210"/>
    <x v="262"/>
    <s v="27-12-2025"/>
    <n v="7134260121393"/>
    <s v="W26C00008497"/>
    <s v="WAR26E000292"/>
    <s v="29-12-2025"/>
    <x v="13"/>
    <s v="MC1E4CAA5SP084244"/>
    <s v="D71069525"/>
    <s v="T-1"/>
    <s v="25-03-2025"/>
    <m/>
    <s v="21-12-2025"/>
    <n v="60164"/>
    <m/>
    <m/>
    <n v="10"/>
    <s v="B008081424380"/>
    <s v="GASKET (INTAKE MANIF"/>
    <n v="1"/>
    <n v="39.020000000000003"/>
    <s v="Accepted"/>
    <m/>
    <s v="-"/>
    <s v="Cr note under process"/>
    <m/>
    <n v="46.04"/>
    <n v="0"/>
    <m/>
    <m/>
    <n v="46.04"/>
    <m/>
    <m/>
    <s v="Half Engine accepted after discussion /confirmation from Service HO"/>
  </r>
  <r>
    <n v="1015210"/>
    <x v="262"/>
    <s v="27-12-2025"/>
    <n v="7134260121393"/>
    <s v="W26C00008497"/>
    <s v="WAR26E000292"/>
    <s v="29-12-2025"/>
    <x v="13"/>
    <s v="MC1E4CAA5SP084244"/>
    <s v="D71069525"/>
    <s v="T-1"/>
    <s v="25-03-2025"/>
    <m/>
    <s v="21-12-2025"/>
    <n v="60164"/>
    <m/>
    <m/>
    <n v="11"/>
    <s v="B008080161021"/>
    <s v="GASKET (CYLINDER HEA"/>
    <n v="1"/>
    <n v="246.29"/>
    <s v="Accepted"/>
    <m/>
    <s v="-"/>
    <s v="Cr note under process"/>
    <m/>
    <n v="290.62"/>
    <n v="0"/>
    <m/>
    <m/>
    <n v="290.62"/>
    <m/>
    <m/>
    <s v="Half Engine accepted after discussion /confirmation from Service HO"/>
  </r>
  <r>
    <n v="1015210"/>
    <x v="262"/>
    <s v="27-12-2025"/>
    <n v="7134260121393"/>
    <s v="W26C00008497"/>
    <s v="WAR26E000292"/>
    <s v="29-12-2025"/>
    <x v="13"/>
    <s v="MC1E4CAA5SP084244"/>
    <s v="D71069525"/>
    <s v="T-1"/>
    <s v="25-03-2025"/>
    <m/>
    <s v="21-12-2025"/>
    <n v="60164"/>
    <m/>
    <m/>
    <n v="12"/>
    <s v="XFOIL00014"/>
    <s v="ENGINE OIL CK4 10W30"/>
    <n v="7"/>
    <n v="2080"/>
    <s v="Accepted"/>
    <m/>
    <s v="-"/>
    <s v="Cr note under process"/>
    <m/>
    <n v="2454.4"/>
    <n v="0"/>
    <m/>
    <m/>
    <n v="2454.4"/>
    <m/>
    <m/>
    <s v="Half Engine accepted after discussion /confirmation from Service HO"/>
  </r>
  <r>
    <n v="1015210"/>
    <x v="262"/>
    <s v="27-12-2025"/>
    <n v="7134260121393"/>
    <s v="W26C00008497"/>
    <s v="WAR26E000292"/>
    <s v="29-12-2025"/>
    <x v="13"/>
    <s v="MC1E4CAA5SP084244"/>
    <s v="D71069525"/>
    <s v="T-1"/>
    <s v="25-03-2025"/>
    <m/>
    <s v="21-12-2025"/>
    <n v="60164"/>
    <m/>
    <m/>
    <n v="13"/>
    <s v="B008081595401"/>
    <s v="GLOW PLUG  BS VI  FM"/>
    <n v="1"/>
    <n v="276.36"/>
    <s v="Accepted"/>
    <m/>
    <s v="-"/>
    <s v="Cr note under process"/>
    <m/>
    <n v="326.10000000000002"/>
    <n v="0"/>
    <m/>
    <m/>
    <n v="326.10000000000002"/>
    <m/>
    <m/>
    <s v="Half Engine accepted after discussion /confirmation from Service HO"/>
  </r>
  <r>
    <n v="1015210"/>
    <x v="262"/>
    <s v="27-12-2025"/>
    <n v="7134260121393"/>
    <s v="W26C00008497"/>
    <s v="WAR26E000292"/>
    <s v="29-12-2025"/>
    <x v="13"/>
    <s v="MC1E4CAA5SP084244"/>
    <s v="D71069525"/>
    <s v="T-1"/>
    <s v="25-03-2025"/>
    <m/>
    <s v="21-12-2025"/>
    <n v="60164"/>
    <m/>
    <m/>
    <n v="14"/>
    <s v="B008085868529"/>
    <s v="HALF ENGINE ASSLY FM"/>
    <n v="1"/>
    <n v="99964.53"/>
    <s v="Accepted"/>
    <m/>
    <s v="-"/>
    <s v="Cr note under process"/>
    <m/>
    <n v="117958.15"/>
    <n v="0"/>
    <m/>
    <m/>
    <n v="117958.15"/>
    <m/>
    <m/>
    <s v="Half Engine accepted after discussion /confirmation from Service HO"/>
  </r>
  <r>
    <n v="1015210"/>
    <x v="262"/>
    <s v="27-12-2025"/>
    <n v="7134260121393"/>
    <s v="W26C00008497"/>
    <s v="WAR26E000292"/>
    <s v="29-12-2025"/>
    <x v="13"/>
    <s v="MC1E4CAA5SP084244"/>
    <s v="D71069525"/>
    <s v="T-1"/>
    <s v="25-03-2025"/>
    <m/>
    <s v="21-12-2025"/>
    <n v="60164"/>
    <m/>
    <m/>
    <n v="15"/>
    <s v="EN0104"/>
    <s v="Labour Charges"/>
    <n v="1"/>
    <n v="4550"/>
    <s v="Accepted"/>
    <m/>
    <s v="-"/>
    <s v="Cr note under process"/>
    <m/>
    <n v="5369"/>
    <n v="0"/>
    <m/>
    <m/>
    <n v="5369"/>
    <m/>
    <m/>
    <s v="Half Engine accepted after discussion /confirmation from Service HO"/>
  </r>
  <r>
    <n v="1015211"/>
    <x v="263"/>
    <s v="27-12-2025"/>
    <n v="7134260121395"/>
    <s v="W26C00008499"/>
    <s v="WAR26E000294"/>
    <s v="29-12-2025"/>
    <x v="13"/>
    <s v="MC1E4CBA1SP084935"/>
    <s v="D71071483"/>
    <s v="T-1"/>
    <s v="26-03-2025"/>
    <m/>
    <s v="21-12-2025"/>
    <n v="57014"/>
    <m/>
    <m/>
    <n v="1"/>
    <s v="AC0113"/>
    <s v="Labour Charges"/>
    <n v="1"/>
    <n v="1400"/>
    <s v="Accepted"/>
    <m/>
    <s v="-"/>
    <s v="Cr note under process"/>
    <m/>
    <n v="1652"/>
    <n v="0"/>
    <m/>
    <m/>
    <n v="1652"/>
    <m/>
    <m/>
    <m/>
  </r>
  <r>
    <n v="1015211"/>
    <x v="263"/>
    <s v="27-12-2025"/>
    <n v="7134260121395"/>
    <s v="W26C00008499"/>
    <s v="WAR26E000294"/>
    <s v="29-12-2025"/>
    <x v="13"/>
    <s v="MC1E4CBA1SP084935"/>
    <s v="D71071483"/>
    <s v="T-1"/>
    <s v="26-03-2025"/>
    <m/>
    <s v="21-12-2025"/>
    <n v="57014"/>
    <m/>
    <m/>
    <n v="2"/>
    <s v="AC0114"/>
    <s v="Labour Charges"/>
    <n v="1"/>
    <n v="2800"/>
    <s v="Accepted"/>
    <m/>
    <s v="-"/>
    <s v="Cr note under process"/>
    <m/>
    <n v="3304"/>
    <n v="0"/>
    <m/>
    <m/>
    <n v="3304"/>
    <m/>
    <m/>
    <m/>
  </r>
  <r>
    <n v="1015217"/>
    <x v="264"/>
    <s v="27-12-2025"/>
    <n v="7134260121021"/>
    <s v="W26C00008207"/>
    <s v="WAR26E000280"/>
    <s v="31-12-2025"/>
    <x v="13"/>
    <s v="MC1M4AGA9TP005375"/>
    <s v="D71086045"/>
    <s v="T1N"/>
    <s v="18-08-2025"/>
    <n v="1165"/>
    <s v="10-11-2025"/>
    <n v="11507"/>
    <m/>
    <m/>
    <n v="1"/>
    <s v="B908687300495"/>
    <s v="ASSLY INNER HANDLE S"/>
    <n v="1"/>
    <n v="427.55"/>
    <s v="Accepted"/>
    <m/>
    <s v="-"/>
    <s v="Cr note under process"/>
    <m/>
    <n v="504.51"/>
    <n v="0"/>
    <m/>
    <m/>
    <n v="504.51"/>
    <m/>
    <m/>
    <m/>
  </r>
  <r>
    <n v="1015217"/>
    <x v="264"/>
    <s v="27-12-2025"/>
    <n v="7134260121021"/>
    <s v="W26C00008207"/>
    <s v="WAR26E000280"/>
    <s v="31-12-2025"/>
    <x v="13"/>
    <s v="MC1M4AGA9TP005375"/>
    <s v="D71086045"/>
    <s v="T1N"/>
    <s v="18-08-2025"/>
    <n v="1165"/>
    <s v="10-11-2025"/>
    <n v="11507"/>
    <m/>
    <m/>
    <n v="2"/>
    <s v="BD0433"/>
    <s v="Labour Charges"/>
    <n v="1"/>
    <n v="875"/>
    <s v="Accepted"/>
    <m/>
    <s v="-"/>
    <s v="Cr note under process"/>
    <m/>
    <n v="1032.5"/>
    <n v="0"/>
    <m/>
    <m/>
    <n v="1032.5"/>
    <m/>
    <m/>
    <m/>
  </r>
  <r>
    <n v="1015238"/>
    <x v="265"/>
    <s v="30-12-2025"/>
    <n v="7134260121684"/>
    <s v="W26C00008702"/>
    <s v="WAR26E000296"/>
    <s v="31-12-2025"/>
    <x v="13"/>
    <s v="MC1E4EEA4SP016247"/>
    <s v="D71080336"/>
    <s v="T-1"/>
    <s v="07-06-2025"/>
    <n v="1165"/>
    <s v="21-12-2025"/>
    <n v="12659"/>
    <m/>
    <m/>
    <n v="1"/>
    <s v="B008684010001"/>
    <s v="WHEEL RIM (6.5J R16)"/>
    <n v="1"/>
    <n v="2269.44"/>
    <s v="Rejected"/>
    <s v="04"/>
    <s v="VEHICLE OUT OF WARRANTY KILOMETER WISE / TIME WISE"/>
    <s v="N/A"/>
    <m/>
    <n v="2677.94"/>
    <n v="2677.94"/>
    <m/>
    <m/>
    <n v="0"/>
    <m/>
    <m/>
    <s v="6 months/50k kms whichever occurs earlier"/>
  </r>
  <r>
    <n v="1015246"/>
    <x v="266"/>
    <s v="30-12-2025"/>
    <n v="7134260121688"/>
    <s v="W26C00008706"/>
    <s v="WAR26E000299"/>
    <s v="31-12-2025"/>
    <x v="13"/>
    <s v="MC1E4CBA7SP086043"/>
    <s v="D71073314"/>
    <s v="T-1"/>
    <s v="25-03-2025"/>
    <m/>
    <s v="24-12-2025"/>
    <n v="51200"/>
    <m/>
    <m/>
    <n v="1"/>
    <s v="B008558302465"/>
    <s v="COMPRESSOR ASSLY(647"/>
    <n v="1"/>
    <n v="14186.41"/>
    <s v="Accepted"/>
    <m/>
    <s v="-"/>
    <s v="Cr note under process"/>
    <m/>
    <n v="16739.96"/>
    <n v="0"/>
    <m/>
    <m/>
    <n v="16739.96"/>
    <m/>
    <m/>
    <m/>
  </r>
  <r>
    <n v="1015246"/>
    <x v="266"/>
    <s v="30-12-2025"/>
    <n v="7134260121688"/>
    <s v="W26C00008706"/>
    <s v="WAR26E000299"/>
    <s v="31-12-2025"/>
    <x v="13"/>
    <s v="MC1E4CBA7SP086043"/>
    <s v="D71073314"/>
    <s v="T-1"/>
    <s v="25-03-2025"/>
    <m/>
    <s v="24-12-2025"/>
    <n v="51200"/>
    <m/>
    <m/>
    <n v="2"/>
    <s v="AC0106"/>
    <s v="Labour Charges"/>
    <n v="1"/>
    <n v="420"/>
    <s v="Accepted"/>
    <m/>
    <s v="-"/>
    <s v="Cr note under process"/>
    <m/>
    <n v="495.6"/>
    <n v="0"/>
    <m/>
    <m/>
    <n v="495.6"/>
    <m/>
    <m/>
    <m/>
  </r>
  <r>
    <n v="1015246"/>
    <x v="266"/>
    <s v="30-12-2025"/>
    <n v="7134260121688"/>
    <s v="W26C00008706"/>
    <s v="WAR26E000299"/>
    <s v="31-12-2025"/>
    <x v="13"/>
    <s v="MC1E4CBA7SP086043"/>
    <s v="D71073314"/>
    <s v="T-1"/>
    <s v="25-03-2025"/>
    <m/>
    <s v="24-12-2025"/>
    <n v="51200"/>
    <m/>
    <m/>
    <n v="3"/>
    <s v="AC0113"/>
    <s v="Labour Charges"/>
    <n v="1"/>
    <n v="1400"/>
    <s v="Accepted"/>
    <m/>
    <s v="-"/>
    <s v="Cr note under process"/>
    <m/>
    <n v="1652"/>
    <n v="0"/>
    <m/>
    <m/>
    <n v="1652"/>
    <m/>
    <m/>
    <m/>
  </r>
  <r>
    <n v="1015246"/>
    <x v="266"/>
    <s v="30-12-2025"/>
    <n v="7134260121688"/>
    <s v="W26C00008706"/>
    <s v="WAR26E000299"/>
    <s v="31-12-2025"/>
    <x v="13"/>
    <s v="MC1E4CBA7SP086043"/>
    <s v="D71073314"/>
    <s v="T-1"/>
    <s v="25-03-2025"/>
    <m/>
    <s v="24-12-2025"/>
    <n v="51200"/>
    <m/>
    <m/>
    <n v="4"/>
    <s v="AC0114"/>
    <s v="Labour Charges"/>
    <n v="1"/>
    <n v="2800"/>
    <s v="Accepted"/>
    <m/>
    <s v="-"/>
    <s v="Cr note under process"/>
    <m/>
    <n v="3304"/>
    <n v="0"/>
    <m/>
    <m/>
    <n v="3304"/>
    <m/>
    <m/>
    <m/>
  </r>
  <r>
    <n v="1015247"/>
    <x v="267"/>
    <s v="30-12-2025"/>
    <n v="7134260121693"/>
    <s v="W26C00008711"/>
    <s v="WAR26E000303"/>
    <s v="31-12-2025"/>
    <x v="13"/>
    <s v="MC1E4CAA0SP083857"/>
    <s v="D71069982"/>
    <s v="T-1"/>
    <s v="24-03-2025"/>
    <m/>
    <s v="28-12-2025"/>
    <n v="60430"/>
    <m/>
    <m/>
    <n v="1"/>
    <s v="AC0113"/>
    <s v="Labour Charges"/>
    <n v="1"/>
    <n v="1400"/>
    <s v="Accepted"/>
    <m/>
    <s v="-"/>
    <s v="Cr note under process"/>
    <m/>
    <n v="1652"/>
    <n v="0"/>
    <m/>
    <m/>
    <n v="1652"/>
    <m/>
    <m/>
    <m/>
  </r>
  <r>
    <n v="1015247"/>
    <x v="267"/>
    <s v="30-12-2025"/>
    <n v="7134260121693"/>
    <s v="W26C00008711"/>
    <s v="WAR26E000303"/>
    <s v="31-12-2025"/>
    <x v="13"/>
    <s v="MC1E4CAA0SP083857"/>
    <s v="D71069982"/>
    <s v="T-1"/>
    <s v="24-03-2025"/>
    <m/>
    <s v="28-12-2025"/>
    <n v="60430"/>
    <m/>
    <m/>
    <n v="2"/>
    <s v="AC0114"/>
    <s v="Labour Charges"/>
    <n v="1"/>
    <n v="2800"/>
    <s v="Accepted"/>
    <m/>
    <s v="-"/>
    <s v="Cr note under process"/>
    <m/>
    <n v="3304"/>
    <n v="0"/>
    <m/>
    <m/>
    <n v="3304"/>
    <m/>
    <m/>
    <m/>
  </r>
  <r>
    <n v="1015252"/>
    <x v="268"/>
    <s v="30-12-2025"/>
    <n v="7134260121692"/>
    <s v="W26C00008710"/>
    <s v="WAR26E000302"/>
    <s v="31-12-2025"/>
    <x v="13"/>
    <s v="MC1E4CAA1SP084628"/>
    <s v="D71070998"/>
    <s v="T-1"/>
    <s v="26-03-2025"/>
    <m/>
    <s v="28-12-2025"/>
    <n v="50399"/>
    <m/>
    <m/>
    <n v="1"/>
    <s v="AC0113"/>
    <s v="Labour Charges"/>
    <n v="1"/>
    <n v="1400"/>
    <s v="Accepted"/>
    <m/>
    <s v="-"/>
    <s v="Cr note under process"/>
    <m/>
    <n v="1652"/>
    <n v="0"/>
    <m/>
    <m/>
    <n v="1652"/>
    <m/>
    <m/>
    <m/>
  </r>
  <r>
    <n v="1015252"/>
    <x v="268"/>
    <s v="30-12-2025"/>
    <n v="7134260121692"/>
    <s v="W26C00008710"/>
    <s v="WAR26E000302"/>
    <s v="31-12-2025"/>
    <x v="13"/>
    <s v="MC1E4CAA1SP084628"/>
    <s v="D71070998"/>
    <s v="T-1"/>
    <s v="26-03-2025"/>
    <m/>
    <s v="28-12-2025"/>
    <n v="50399"/>
    <m/>
    <m/>
    <n v="2"/>
    <s v="AC0114"/>
    <s v="Labour Charges"/>
    <n v="1"/>
    <n v="2800"/>
    <s v="Accepted"/>
    <m/>
    <s v="-"/>
    <s v="Cr note under process"/>
    <m/>
    <n v="3304"/>
    <n v="0"/>
    <m/>
    <m/>
    <n v="3304"/>
    <m/>
    <m/>
    <m/>
  </r>
  <r>
    <n v="1015259"/>
    <x v="269"/>
    <s v="30-12-2025"/>
    <n v="7134260121691"/>
    <s v="W26C00008709"/>
    <s v="WAR26E000301"/>
    <s v="31-12-2025"/>
    <x v="13"/>
    <s v="MC1E4CAA3SP083884"/>
    <s v="D71069691"/>
    <s v="T-1"/>
    <s v="08-03-2025"/>
    <m/>
    <s v="28-12-2025"/>
    <n v="56397"/>
    <m/>
    <m/>
    <n v="1"/>
    <s v="AC0113"/>
    <s v="Labour Charges"/>
    <n v="1"/>
    <n v="1400"/>
    <s v="Accepted"/>
    <m/>
    <s v="-"/>
    <s v="Cr note under process"/>
    <m/>
    <n v="1652"/>
    <n v="0"/>
    <m/>
    <m/>
    <n v="1652"/>
    <m/>
    <m/>
    <m/>
  </r>
  <r>
    <n v="1015259"/>
    <x v="269"/>
    <s v="30-12-2025"/>
    <n v="7134260121691"/>
    <s v="W26C00008709"/>
    <s v="WAR26E000301"/>
    <s v="31-12-2025"/>
    <x v="13"/>
    <s v="MC1E4CAA3SP083884"/>
    <s v="D71069691"/>
    <s v="T-1"/>
    <s v="08-03-2025"/>
    <m/>
    <s v="28-12-2025"/>
    <n v="56397"/>
    <m/>
    <m/>
    <n v="2"/>
    <s v="AC0114"/>
    <s v="Labour Charges"/>
    <n v="1"/>
    <n v="2800"/>
    <s v="Accepted"/>
    <m/>
    <s v="-"/>
    <s v="Cr note under process"/>
    <m/>
    <n v="3304"/>
    <n v="0"/>
    <m/>
    <m/>
    <n v="3304"/>
    <m/>
    <m/>
    <m/>
  </r>
  <r>
    <n v="1015265"/>
    <x v="270"/>
    <s v="30-12-2025"/>
    <n v="7134260121685"/>
    <s v="W26C00008703"/>
    <s v="WAR26E000297"/>
    <s v="31-12-2025"/>
    <x v="13"/>
    <s v="MC1E4CBA1SP085373"/>
    <s v="D71072195"/>
    <s v="T-1"/>
    <s v="27-03-2025"/>
    <m/>
    <s v="24-12-2025"/>
    <n v="59338"/>
    <m/>
    <m/>
    <n v="1"/>
    <s v="AC0106"/>
    <s v="Labour Charges"/>
    <n v="1"/>
    <n v="420"/>
    <s v="Accepted"/>
    <m/>
    <s v="-"/>
    <s v="Cr note under process"/>
    <m/>
    <n v="495.6"/>
    <n v="0"/>
    <m/>
    <m/>
    <n v="495.6"/>
    <m/>
    <m/>
    <m/>
  </r>
  <r>
    <n v="1015266"/>
    <x v="271"/>
    <s v="30-12-2025"/>
    <n v="7134260121689"/>
    <s v="W26C00008707"/>
    <s v="WAR26E000300"/>
    <s v="31-12-2025"/>
    <x v="13"/>
    <s v="MC1E4CAA9SP084182"/>
    <s v="D71070493"/>
    <s v="T-1"/>
    <s v="24-03-2025"/>
    <m/>
    <s v="28-12-2025"/>
    <n v="42195"/>
    <m/>
    <m/>
    <n v="1"/>
    <s v="B008558302465"/>
    <s v="COMPRESSOR ASSLY(647"/>
    <n v="1"/>
    <n v="14186.41"/>
    <s v="Accepted"/>
    <m/>
    <s v="-"/>
    <s v="Cr note under process"/>
    <m/>
    <n v="16739.96"/>
    <n v="0"/>
    <m/>
    <m/>
    <n v="16739.96"/>
    <m/>
    <m/>
    <s v="CONSEQUENTIAL TO AC DISCHARG PIPE DAMAGED"/>
  </r>
  <r>
    <n v="1015266"/>
    <x v="271"/>
    <s v="30-12-2025"/>
    <n v="7134260121689"/>
    <s v="W26C00008707"/>
    <s v="WAR26E000300"/>
    <s v="31-12-2025"/>
    <x v="13"/>
    <s v="MC1E4CAA9SP084182"/>
    <s v="D71070493"/>
    <s v="T-1"/>
    <s v="24-03-2025"/>
    <m/>
    <s v="28-12-2025"/>
    <n v="42195"/>
    <m/>
    <m/>
    <n v="2"/>
    <s v="AC0106"/>
    <s v="Labour Charges"/>
    <n v="1"/>
    <n v="420"/>
    <s v="Accepted"/>
    <m/>
    <s v="-"/>
    <s v="Cr note under process"/>
    <m/>
    <n v="495.6"/>
    <n v="0"/>
    <m/>
    <m/>
    <n v="495.6"/>
    <m/>
    <m/>
    <s v="CONSEQUENTIAL TO AC DISCHARG PIPE DAMAGED"/>
  </r>
  <r>
    <n v="1015266"/>
    <x v="271"/>
    <s v="30-12-2025"/>
    <n v="7134260121689"/>
    <s v="W26C00008707"/>
    <s v="WAR26E000300"/>
    <s v="31-12-2025"/>
    <x v="13"/>
    <s v="MC1E4CAA9SP084182"/>
    <s v="D71070493"/>
    <s v="T-1"/>
    <s v="24-03-2025"/>
    <m/>
    <s v="28-12-2025"/>
    <n v="42195"/>
    <m/>
    <m/>
    <n v="3"/>
    <s v="AC0113"/>
    <s v="Labour Charges"/>
    <n v="1"/>
    <n v="1400"/>
    <s v="Accepted"/>
    <m/>
    <s v="-"/>
    <s v="Cr note under process"/>
    <m/>
    <n v="1652"/>
    <n v="0"/>
    <m/>
    <m/>
    <n v="1652"/>
    <m/>
    <m/>
    <s v="CONSEQUENTIAL TO AC DISCHARG PIPE DAMAGED"/>
  </r>
  <r>
    <n v="1015266"/>
    <x v="271"/>
    <s v="30-12-2025"/>
    <n v="7134260121689"/>
    <s v="W26C00008707"/>
    <s v="WAR26E000300"/>
    <s v="31-12-2025"/>
    <x v="13"/>
    <s v="MC1E4CAA9SP084182"/>
    <s v="D71070493"/>
    <s v="T-1"/>
    <s v="24-03-2025"/>
    <m/>
    <s v="28-12-2025"/>
    <n v="42195"/>
    <m/>
    <m/>
    <n v="4"/>
    <s v="AC0114"/>
    <s v="Labour Charges"/>
    <n v="1"/>
    <n v="2800"/>
    <s v="Accepted"/>
    <m/>
    <s v="-"/>
    <s v="Cr note under process"/>
    <m/>
    <n v="3304"/>
    <n v="0"/>
    <m/>
    <m/>
    <n v="3304"/>
    <m/>
    <m/>
    <s v="CONSEQUENTIAL TO AC DISCHARG PIPE DAMAGED"/>
  </r>
  <r>
    <n v="1015272"/>
    <x v="272"/>
    <s v="30-12-2025"/>
    <n v="7134260121686"/>
    <s v="W26C00008704"/>
    <s v="WAR26E000298"/>
    <s v="31-12-2025"/>
    <x v="13"/>
    <s v="MC1E4CBAXSP085811"/>
    <s v="D71073110"/>
    <s v="T-1"/>
    <s v="27-03-2025"/>
    <m/>
    <s v="24-12-2025"/>
    <n v="52104"/>
    <m/>
    <m/>
    <n v="1"/>
    <s v="B008558302465"/>
    <s v="COMPRESSOR ASSLY(647"/>
    <n v="1"/>
    <n v="14186.41"/>
    <s v="Accepted"/>
    <m/>
    <s v="-"/>
    <s v="Cr note under process"/>
    <m/>
    <n v="16739.96"/>
    <n v="0"/>
    <m/>
    <m/>
    <n v="16739.96"/>
    <m/>
    <m/>
    <m/>
  </r>
  <r>
    <n v="1015272"/>
    <x v="272"/>
    <s v="30-12-2025"/>
    <n v="7134260121686"/>
    <s v="W26C00008704"/>
    <s v="WAR26E000298"/>
    <s v="31-12-2025"/>
    <x v="13"/>
    <s v="MC1E4CBAXSP085811"/>
    <s v="D71073110"/>
    <s v="T-1"/>
    <s v="27-03-2025"/>
    <m/>
    <s v="24-12-2025"/>
    <n v="52104"/>
    <m/>
    <m/>
    <n v="2"/>
    <s v="AC0106"/>
    <s v="Labour Charges"/>
    <n v="1"/>
    <n v="420"/>
    <s v="Accepted"/>
    <m/>
    <s v="-"/>
    <s v="Cr note under process"/>
    <m/>
    <n v="495.6"/>
    <n v="0"/>
    <m/>
    <m/>
    <n v="495.6"/>
    <m/>
    <m/>
    <m/>
  </r>
  <r>
    <n v="1015272"/>
    <x v="272"/>
    <s v="30-12-2025"/>
    <n v="7134260121686"/>
    <s v="W26C00008704"/>
    <s v="WAR26E000298"/>
    <s v="31-12-2025"/>
    <x v="13"/>
    <s v="MC1E4CBAXSP085811"/>
    <s v="D71073110"/>
    <s v="T-1"/>
    <s v="27-03-2025"/>
    <m/>
    <s v="24-12-2025"/>
    <n v="52104"/>
    <m/>
    <m/>
    <n v="3"/>
    <s v="AC0113"/>
    <s v="Labour Charges"/>
    <n v="1"/>
    <n v="1400"/>
    <s v="Accepted"/>
    <m/>
    <s v="-"/>
    <s v="Cr note under process"/>
    <m/>
    <n v="1652"/>
    <n v="0"/>
    <m/>
    <m/>
    <n v="1652"/>
    <m/>
    <m/>
    <m/>
  </r>
  <r>
    <n v="1015272"/>
    <x v="272"/>
    <s v="30-12-2025"/>
    <n v="7134260121686"/>
    <s v="W26C00008704"/>
    <s v="WAR26E000298"/>
    <s v="31-12-2025"/>
    <x v="13"/>
    <s v="MC1E4CBAXSP085811"/>
    <s v="D71073110"/>
    <s v="T-1"/>
    <s v="27-03-2025"/>
    <m/>
    <s v="24-12-2025"/>
    <n v="52104"/>
    <m/>
    <m/>
    <n v="4"/>
    <s v="AC0114"/>
    <s v="Labour Charges"/>
    <n v="1"/>
    <n v="2800"/>
    <s v="Accepted"/>
    <m/>
    <s v="-"/>
    <s v="Cr note under process"/>
    <m/>
    <n v="3304"/>
    <n v="0"/>
    <m/>
    <m/>
    <n v="3304"/>
    <m/>
    <m/>
    <m/>
  </r>
  <r>
    <n v="1015290"/>
    <x v="273"/>
    <s v="27-12-2025"/>
    <n v="7134260121036"/>
    <s v="W26C00008221"/>
    <s v="WAR26E000284"/>
    <s v="31-12-2025"/>
    <x v="13"/>
    <s v="MC1D4DHAXSP105337"/>
    <s v="D72016757"/>
    <s v="TRAX"/>
    <s v="09-10-2024"/>
    <n v="1165"/>
    <s v="14-11-2025"/>
    <n v="17338"/>
    <m/>
    <m/>
    <n v="1"/>
    <s v="B008081502502"/>
    <s v="ALTERNATOR 12 V 110"/>
    <n v="1"/>
    <n v="8064.14"/>
    <s v="Accepted"/>
    <m/>
    <s v="-"/>
    <s v="Cr note under process"/>
    <m/>
    <n v="9515.69"/>
    <n v="0"/>
    <m/>
    <m/>
    <n v="9515.69"/>
    <m/>
    <m/>
    <s v="DEBITED TO BOSCH AS PER M/S BOSCH MAIL DT 19.11.25 CC TO MR. N.  RAUT"/>
  </r>
  <r>
    <n v="1015290"/>
    <x v="273"/>
    <s v="27-12-2025"/>
    <n v="7134260121036"/>
    <s v="W26C00008221"/>
    <s v="WAR26E000284"/>
    <s v="31-12-2025"/>
    <x v="13"/>
    <s v="MC1D4DHAXSP105337"/>
    <s v="D72016757"/>
    <s v="TRAX"/>
    <s v="09-10-2024"/>
    <n v="1165"/>
    <s v="14-11-2025"/>
    <n v="17338"/>
    <m/>
    <m/>
    <n v="2"/>
    <s v="ENALT-3"/>
    <s v="Labour Charges"/>
    <n v="1"/>
    <n v="148.75"/>
    <s v="Accepted"/>
    <m/>
    <s v="-"/>
    <s v="Cr note under process"/>
    <m/>
    <n v="175.53"/>
    <n v="0"/>
    <m/>
    <m/>
    <n v="175.53"/>
    <m/>
    <m/>
    <s v="DEBITED TO BOSCH AS PER M/S BOSCH MAIL DT 19.11.25 CC TO MR. N.  RAUT"/>
  </r>
  <r>
    <n v="1015308"/>
    <x v="274"/>
    <s v="27-12-2025"/>
    <n v="7134260121332"/>
    <s v="W26C00008458"/>
    <s v="WAR26E000288"/>
    <s v="31-12-2025"/>
    <x v="13"/>
    <s v="MC1L4AGA0TP002988"/>
    <s v="D71085640"/>
    <s v="T3"/>
    <s v="30-10-2025"/>
    <n v="1165"/>
    <s v="20-12-2025"/>
    <n v="2279"/>
    <m/>
    <m/>
    <n v="1"/>
    <s v="B008614700108"/>
    <s v="FLOAT UNIT ASSEMBLY"/>
    <n v="1"/>
    <n v="298.31"/>
    <s v="Accepted"/>
    <m/>
    <s v="-"/>
    <s v="Cr note under process"/>
    <m/>
    <n v="352.01"/>
    <n v="0"/>
    <m/>
    <m/>
    <n v="352.01"/>
    <m/>
    <m/>
    <m/>
  </r>
  <r>
    <n v="1015308"/>
    <x v="274"/>
    <s v="27-12-2025"/>
    <n v="7134260121332"/>
    <s v="W26C00008458"/>
    <s v="WAR26E000288"/>
    <s v="31-12-2025"/>
    <x v="13"/>
    <s v="MC1L4AGA0TP002988"/>
    <s v="D71085640"/>
    <s v="T3"/>
    <s v="30-10-2025"/>
    <n v="1165"/>
    <s v="20-12-2025"/>
    <n v="2279"/>
    <m/>
    <m/>
    <n v="2"/>
    <s v="EL-32"/>
    <s v="Labour Charges"/>
    <n v="1"/>
    <n v="70"/>
    <s v="Accepted"/>
    <m/>
    <s v="-"/>
    <s v="Cr note under process"/>
    <m/>
    <n v="82.6"/>
    <n v="0"/>
    <m/>
    <m/>
    <n v="82.6"/>
    <m/>
    <m/>
    <m/>
  </r>
  <r>
    <n v="1015310"/>
    <x v="275"/>
    <s v="27-12-2025"/>
    <n v="7134260121330"/>
    <s v="W26C00008456"/>
    <s v="WAR26E000287"/>
    <s v="31-12-2025"/>
    <x v="13"/>
    <s v="MC1L4AGA6TP003000"/>
    <s v="D71085641"/>
    <s v="T3"/>
    <s v="29-09-2025"/>
    <n v="1165"/>
    <s v="20-12-2025"/>
    <n v="2459"/>
    <m/>
    <m/>
    <n v="1"/>
    <s v="B008614700108"/>
    <s v="FLOAT UNIT ASSEMBLY"/>
    <n v="1"/>
    <n v="298.31"/>
    <s v="Accepted"/>
    <m/>
    <s v="-"/>
    <s v="Cr note under process"/>
    <m/>
    <n v="352.01"/>
    <n v="0"/>
    <m/>
    <m/>
    <n v="352.01"/>
    <m/>
    <m/>
    <m/>
  </r>
  <r>
    <n v="1015310"/>
    <x v="275"/>
    <s v="27-12-2025"/>
    <n v="7134260121330"/>
    <s v="W26C00008456"/>
    <s v="WAR26E000287"/>
    <s v="31-12-2025"/>
    <x v="13"/>
    <s v="MC1L4AGA6TP003000"/>
    <s v="D71085641"/>
    <s v="T3"/>
    <s v="29-09-2025"/>
    <n v="1165"/>
    <s v="20-12-2025"/>
    <n v="2459"/>
    <m/>
    <m/>
    <n v="2"/>
    <s v="EL-32"/>
    <s v="Labour Charges"/>
    <n v="1"/>
    <n v="70"/>
    <s v="Accepted"/>
    <m/>
    <s v="-"/>
    <s v="Cr note under process"/>
    <m/>
    <n v="82.6"/>
    <n v="0"/>
    <m/>
    <m/>
    <n v="82.6"/>
    <m/>
    <m/>
    <m/>
  </r>
  <r>
    <n v="1015315"/>
    <x v="276"/>
    <s v="27-12-2025"/>
    <n v="7134260121020"/>
    <s v="W26C00008206"/>
    <s v="WAR26E000279"/>
    <s v="31-12-2025"/>
    <x v="13"/>
    <s v="MC1L4AGA7TP002972"/>
    <s v="D71085539"/>
    <s v="T3"/>
    <s v="27-09-2025"/>
    <m/>
    <s v="07-11-2025"/>
    <n v="3455"/>
    <m/>
    <m/>
    <n v="1"/>
    <s v="B008614700108"/>
    <s v="FLOAT UNIT ASSEMBLY"/>
    <n v="1"/>
    <n v="298.31"/>
    <s v="Accepted"/>
    <m/>
    <s v="-"/>
    <s v="Cr note under process"/>
    <m/>
    <n v="352.01"/>
    <n v="0"/>
    <m/>
    <m/>
    <n v="352.01"/>
    <m/>
    <m/>
    <m/>
  </r>
  <r>
    <n v="1015315"/>
    <x v="276"/>
    <s v="27-12-2025"/>
    <n v="7134260121020"/>
    <s v="W26C00008206"/>
    <s v="WAR26E000279"/>
    <s v="31-12-2025"/>
    <x v="13"/>
    <s v="MC1L4AGA7TP002972"/>
    <s v="D71085539"/>
    <s v="T3"/>
    <s v="27-09-2025"/>
    <m/>
    <s v="07-11-2025"/>
    <n v="3455"/>
    <m/>
    <m/>
    <n v="2"/>
    <s v="EL-32"/>
    <s v="Labour Charges"/>
    <n v="1"/>
    <n v="70"/>
    <s v="Accepted"/>
    <m/>
    <s v="-"/>
    <s v="Cr note under process"/>
    <m/>
    <n v="82.6"/>
    <n v="0"/>
    <m/>
    <m/>
    <n v="82.6"/>
    <m/>
    <m/>
    <m/>
  </r>
  <r>
    <n v="1015316"/>
    <x v="277"/>
    <s v="27-12-2025"/>
    <n v="7134260121334"/>
    <s v="W26C00008460"/>
    <s v="WAR26E000289"/>
    <s v="31-12-2025"/>
    <x v="13"/>
    <s v="MC1L4AGA9TP003024"/>
    <s v="D71086843"/>
    <s v="T3"/>
    <s v="29-09-2025"/>
    <n v="1165"/>
    <s v="20-12-2025"/>
    <n v="3265"/>
    <m/>
    <m/>
    <n v="1"/>
    <s v="B008614300208"/>
    <s v="UNIBOOSTER ASSLY (BR"/>
    <n v="1"/>
    <n v="25444.99"/>
    <s v="Accepted"/>
    <m/>
    <s v="-"/>
    <s v="Cr note under process"/>
    <m/>
    <n v="30025.09"/>
    <n v="0"/>
    <m/>
    <m/>
    <n v="30025.09"/>
    <m/>
    <m/>
    <m/>
  </r>
  <r>
    <n v="1015316"/>
    <x v="277"/>
    <s v="27-12-2025"/>
    <n v="7134260121334"/>
    <s v="W26C00008460"/>
    <s v="WAR26E000289"/>
    <s v="31-12-2025"/>
    <x v="13"/>
    <s v="MC1L4AGA9TP003024"/>
    <s v="D71086843"/>
    <s v="T3"/>
    <s v="29-09-2025"/>
    <n v="1165"/>
    <s v="20-12-2025"/>
    <n v="3265"/>
    <m/>
    <m/>
    <n v="2"/>
    <s v="BR-10"/>
    <s v="Labour Charges"/>
    <n v="1"/>
    <n v="262.5"/>
    <s v="Accepted"/>
    <m/>
    <s v="-"/>
    <s v="Cr note under process"/>
    <m/>
    <n v="309.75"/>
    <n v="0"/>
    <m/>
    <m/>
    <n v="309.75"/>
    <m/>
    <m/>
    <m/>
  </r>
  <r>
    <n v="1015870"/>
    <x v="278"/>
    <s v="28-01-2026"/>
    <n v="7134260122482"/>
    <s v="W26C00009281"/>
    <s v="WAR26E000343"/>
    <s v="28-01-2026"/>
    <x v="15"/>
    <s v="MC1D4DAA9SP106862"/>
    <s v="D72018463"/>
    <s v="TRAX"/>
    <s v="20-03-2025"/>
    <n v="1165"/>
    <s v="05-01-2026"/>
    <n v="22566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871"/>
    <x v="279"/>
    <s v="28-01-2026"/>
    <n v="7134260122455"/>
    <s v="W26C00009255"/>
    <s v="WAR26E000318"/>
    <s v="28-01-2026"/>
    <x v="15"/>
    <s v="MC1D4DEAXSP108968"/>
    <s v="D72020656"/>
    <s v="TRAX"/>
    <s v="17-06-2025"/>
    <n v="1075"/>
    <s v="30-12-2025"/>
    <n v="22456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872"/>
    <x v="280"/>
    <s v="28-01-2026"/>
    <n v="7134260122477"/>
    <s v="W26C00009276"/>
    <s v="WAR26E000338"/>
    <s v="28-01-2026"/>
    <x v="15"/>
    <s v="MC1D4DJA6SP105491"/>
    <s v="D72016912"/>
    <s v="TRAX"/>
    <s v="16-10-2024"/>
    <n v="1165"/>
    <s v="05-01-2026"/>
    <n v="14987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873"/>
    <x v="281"/>
    <s v="28-01-2026"/>
    <n v="7134260122467"/>
    <s v="W26C00009267"/>
    <s v="WAR26E000330"/>
    <s v="29-01-2026"/>
    <x v="15"/>
    <s v="MC1D4DHA4SP105477"/>
    <s v="D72016904"/>
    <s v="TRAX"/>
    <s v="26-12-2024"/>
    <n v="1165"/>
    <s v="30-12-2025"/>
    <n v="18978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874"/>
    <x v="282"/>
    <s v="28-01-2026"/>
    <n v="7134260122446"/>
    <s v="W26C00009246"/>
    <s v="WAR26E000310"/>
    <s v="29-01-2026"/>
    <x v="15"/>
    <s v="MC1D4DJA5RP101362"/>
    <s v="D72011982"/>
    <s v="TRAX"/>
    <s v="22-09-2023"/>
    <n v="1165"/>
    <s v="09-12-2025"/>
    <n v="89678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875"/>
    <x v="283"/>
    <s v="28-01-2026"/>
    <n v="7134260122444"/>
    <s v="W26C00009244"/>
    <s v="WAR26E000308"/>
    <s v="29-01-2026"/>
    <x v="15"/>
    <s v="MC1D4DJA2RP101366"/>
    <s v="D72011985"/>
    <s v="TRAX"/>
    <s v="20-09-2023"/>
    <n v="1165"/>
    <s v="09-12-2025"/>
    <n v="93234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876"/>
    <x v="284"/>
    <s v="28-01-2026"/>
    <n v="7134260122462"/>
    <s v="W26C00009262"/>
    <s v="WAR26E000325"/>
    <s v="29-01-2026"/>
    <x v="15"/>
    <s v="MC1D4DMAXRP102440"/>
    <s v="D72013157"/>
    <s v="TRAX"/>
    <s v="17-02-2024"/>
    <n v="1165"/>
    <s v="30-12-2025"/>
    <n v="56455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877"/>
    <x v="285"/>
    <s v="28-01-2026"/>
    <n v="7134260122445"/>
    <s v="W26C00009245"/>
    <s v="WAR26E000309"/>
    <s v="29-01-2026"/>
    <x v="15"/>
    <s v="MC1D4DJA3RP101358"/>
    <s v="D72011950"/>
    <s v="TRAX"/>
    <s v="29-11-2023"/>
    <n v="1165"/>
    <s v="09-12-2025"/>
    <n v="56456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878"/>
    <x v="286"/>
    <s v="28-01-2026"/>
    <n v="7134260122465"/>
    <s v="W26C00009265"/>
    <s v="WAR26E000328"/>
    <s v="29-01-2026"/>
    <x v="15"/>
    <s v="MC1D4DEA8PP100150"/>
    <s v="D72010717"/>
    <s v="TRAX"/>
    <s v="14-06-2023"/>
    <n v="1165"/>
    <s v="30-12-2025"/>
    <n v="93677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879"/>
    <x v="287"/>
    <s v="28-01-2026"/>
    <n v="7134260122480"/>
    <s v="W26C00009279"/>
    <s v="WAR26E000341"/>
    <s v="29-01-2026"/>
    <x v="15"/>
    <s v="MC1D4DBAXSP107453"/>
    <s v="D72019077"/>
    <s v="TRAX"/>
    <s v="28-05-2025"/>
    <n v="1165"/>
    <s v="05-01-2026"/>
    <n v="9978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880"/>
    <x v="288"/>
    <s v="28-01-2026"/>
    <n v="7134260122453"/>
    <s v="W26C00009253"/>
    <s v="WAR26E000316"/>
    <s v="29-01-2026"/>
    <x v="15"/>
    <s v="MC1D4DCA2SP107980"/>
    <s v="D72019619"/>
    <s v="TRAX"/>
    <s v="13-06-2025"/>
    <n v="1165"/>
    <s v="21-12-2025"/>
    <n v="1450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881"/>
    <x v="289"/>
    <s v="28-01-2026"/>
    <n v="7134260122464"/>
    <s v="W26C00009264"/>
    <s v="WAR26E000327"/>
    <s v="29-01-2026"/>
    <x v="15"/>
    <s v="MC1D4DCA4RP103830"/>
    <s v="D72014569"/>
    <s v="TRAX"/>
    <s v="28-03-2024"/>
    <n v="1165"/>
    <s v="30-12-2025"/>
    <n v="47677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882"/>
    <x v="290"/>
    <s v="28-01-2026"/>
    <n v="7134260122459"/>
    <s v="W26C00009259"/>
    <s v="WAR26E000322"/>
    <s v="29-01-2026"/>
    <x v="15"/>
    <s v="MC1D4DJA7SP105824"/>
    <s v="D72017294"/>
    <s v="TRAX"/>
    <s v="06-11-2024"/>
    <n v="1165"/>
    <s v="30-12-2025"/>
    <n v="9789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883"/>
    <x v="291"/>
    <s v="28-01-2026"/>
    <n v="7134260122441"/>
    <s v="W26C00009241"/>
    <s v="WAR26E000305"/>
    <s v="29-01-2026"/>
    <x v="15"/>
    <s v="MC1D4DEA3SP109136"/>
    <s v="D72020881"/>
    <s v="TRAX"/>
    <s v="20-09-2025"/>
    <m/>
    <s v="09-12-2025"/>
    <n v="1234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884"/>
    <x v="292"/>
    <s v="28-01-2026"/>
    <n v="7134260122457"/>
    <s v="W26C00009257"/>
    <s v="WAR26E000320"/>
    <s v="29-01-2026"/>
    <x v="15"/>
    <s v="MC1D4DHA8SP105336"/>
    <s v="D72016762"/>
    <s v="TRAX"/>
    <s v="04-09-2024"/>
    <n v="1165"/>
    <s v="30-12-2025"/>
    <n v="20455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885"/>
    <x v="293"/>
    <s v="28-01-2026"/>
    <n v="7134260122440"/>
    <s v="W26C00009240"/>
    <s v="WAR26E000304"/>
    <s v="29-01-2026"/>
    <x v="15"/>
    <s v="MC1D4DHA0RP101176"/>
    <s v="D72011794"/>
    <s v="TRAX"/>
    <s v="02-09-2023"/>
    <n v="1165"/>
    <s v="09-12-2025"/>
    <n v="118827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886"/>
    <x v="294"/>
    <s v="28-01-2026"/>
    <n v="7134260122481"/>
    <s v="W26C00009280"/>
    <s v="WAR26E000342"/>
    <s v="29-01-2026"/>
    <x v="15"/>
    <s v="MC1D4DAA3SP107117"/>
    <s v="D72018790"/>
    <s v="TRAX"/>
    <s v="21-03-2025"/>
    <n v="1165"/>
    <s v="05-01-2026"/>
    <n v="9987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887"/>
    <x v="295"/>
    <s v="28-01-2026"/>
    <n v="7134260122476"/>
    <s v="W26C00009275"/>
    <s v="WAR26E000337"/>
    <s v="29-01-2026"/>
    <x v="15"/>
    <s v="MC1D4DHA8SP105305"/>
    <s v="D72016452"/>
    <s v="TRAX"/>
    <s v="05-09-2024"/>
    <n v="1165"/>
    <s v="05-01-2026"/>
    <n v="154567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888"/>
    <x v="296"/>
    <s v="28-01-2026"/>
    <n v="7134260122466"/>
    <s v="W26C00009266"/>
    <s v="WAR26E000329"/>
    <s v="29-01-2026"/>
    <x v="15"/>
    <s v="MC1D4DAA9SP107140"/>
    <s v="D72018775"/>
    <s v="TRAX"/>
    <s v="06-03-2025"/>
    <n v="1165"/>
    <s v="30-12-2025"/>
    <n v="40123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889"/>
    <x v="297"/>
    <s v="28-01-2026"/>
    <n v="7134260122472"/>
    <s v="W26C00009271"/>
    <s v="WAR26E000333"/>
    <s v="29-01-2026"/>
    <x v="15"/>
    <s v="MC1D4DLA6SP106329"/>
    <s v="D72017803"/>
    <s v="TRAX"/>
    <s v="13-05-2025"/>
    <n v="1165"/>
    <s v="05-01-2026"/>
    <n v="32122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890"/>
    <x v="298"/>
    <s v="28-01-2026"/>
    <n v="7134260122478"/>
    <s v="W26C00009277"/>
    <s v="WAR26E000339"/>
    <s v="29-01-2026"/>
    <x v="15"/>
    <s v="MC1D4DKA3SP106175"/>
    <s v="D72017652"/>
    <s v="TRAX"/>
    <s v="18-12-2024"/>
    <n v="1165"/>
    <s v="05-01-2026"/>
    <n v="16899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891"/>
    <x v="299"/>
    <s v="28-01-2026"/>
    <n v="7134260122469"/>
    <s v="W26C00009268"/>
    <s v="WAR26E000331"/>
    <s v="29-01-2026"/>
    <x v="15"/>
    <s v="MC1D4DLA6SP106413"/>
    <s v="D72017951"/>
    <s v="TRAX"/>
    <s v="30-01-2025"/>
    <n v="1165"/>
    <s v="05-01-2026"/>
    <n v="6788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892"/>
    <x v="300"/>
    <s v="28-01-2026"/>
    <n v="7134260122461"/>
    <s v="W26C00009261"/>
    <s v="WAR26E000324"/>
    <s v="29-01-2026"/>
    <x v="15"/>
    <s v="MC1D4DCAXSP108052"/>
    <s v="D72019707"/>
    <s v="TRAX"/>
    <s v="15-04-2025"/>
    <n v="1165"/>
    <s v="30-12-2025"/>
    <n v="35455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894"/>
    <x v="301"/>
    <s v="28-01-2026"/>
    <n v="7134260122463"/>
    <s v="W26C00009263"/>
    <s v="WAR26E000326"/>
    <s v="29-01-2026"/>
    <x v="15"/>
    <s v="MC1D4DJA7SP105502"/>
    <s v="D72016937"/>
    <s v="TRAX"/>
    <s v="21-10-2024"/>
    <n v="1165"/>
    <s v="30-12-2025"/>
    <n v="49646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895"/>
    <x v="302"/>
    <s v="28-01-2026"/>
    <n v="7134260122491"/>
    <s v="W26C00009290"/>
    <s v="WAR26E000344"/>
    <s v="29-01-2026"/>
    <x v="15"/>
    <s v="MC1D4DCA7SP108073"/>
    <s v="D72019720"/>
    <s v="TRAX"/>
    <s v="19-06-2025"/>
    <n v="1075"/>
    <s v="06-01-2026"/>
    <n v="24788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896"/>
    <x v="303"/>
    <s v="29-01-2026"/>
    <n v="7134260122513"/>
    <s v="W26C00009310"/>
    <s v="WAR26E000361"/>
    <s v="29-01-2026"/>
    <x v="15"/>
    <s v="MC1D4DLAXRP102214"/>
    <s v="D72012859"/>
    <s v="TRAX"/>
    <s v="08-12-2023"/>
    <n v="1165"/>
    <s v="08-01-2026"/>
    <n v="20100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897"/>
    <x v="304"/>
    <s v="29-01-2026"/>
    <n v="7134260122518"/>
    <s v="W26C00009315"/>
    <s v="WAR26E000365"/>
    <s v="29-01-2026"/>
    <x v="15"/>
    <s v="MC1D4DHA1RP100960"/>
    <s v="D72011582"/>
    <s v="TRAX"/>
    <s v="24-08-2023"/>
    <n v="1165"/>
    <s v="08-01-2026"/>
    <n v="135946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898"/>
    <x v="305"/>
    <s v="29-01-2026"/>
    <n v="7134260122512"/>
    <s v="W26C00009309"/>
    <s v="WAR26E000360"/>
    <s v="29-01-2026"/>
    <x v="15"/>
    <s v="MC1D4DFA2PP100417"/>
    <s v="D72010990"/>
    <s v="TRAX"/>
    <s v="07-07-2023"/>
    <n v="1165"/>
    <s v="08-01-2026"/>
    <n v="79877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899"/>
    <x v="306"/>
    <s v="29-01-2026"/>
    <n v="7134260122515"/>
    <s v="W26C00009312"/>
    <s v="WAR26E000363"/>
    <s v="29-01-2026"/>
    <x v="15"/>
    <s v="MC1D4DEA6PP100213"/>
    <s v="D72010792"/>
    <s v="TRAX"/>
    <s v="14-06-2023"/>
    <n v="1165"/>
    <s v="08-01-2026"/>
    <n v="198939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900"/>
    <x v="307"/>
    <s v="29-01-2026"/>
    <n v="7134260122548"/>
    <s v="W26C00009345"/>
    <s v="WAR26E000392"/>
    <s v="29-01-2026"/>
    <x v="15"/>
    <s v="MC1D4DHAXSP105385"/>
    <s v="D72016803"/>
    <s v="TRAX"/>
    <s v="30-10-2024"/>
    <n v="1165"/>
    <s v="18-01-2026"/>
    <n v="19345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901"/>
    <x v="308"/>
    <s v="29-01-2026"/>
    <n v="7134260122550"/>
    <s v="W26C00009346"/>
    <s v="WAR26E000393"/>
    <s v="29-01-2026"/>
    <x v="15"/>
    <s v="MC1D4DHA3RP100863"/>
    <s v="D72011483"/>
    <s v="TRAX"/>
    <s v="17-08-2023"/>
    <n v="1165"/>
    <s v="18-01-2026"/>
    <n v="3878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902"/>
    <x v="309"/>
    <s v="29-01-2026"/>
    <n v="7134260122510"/>
    <s v="W26C00009307"/>
    <s v="WAR26E000358"/>
    <s v="29-01-2026"/>
    <x v="15"/>
    <s v="MC1D4DGA8RP100617"/>
    <s v="D72011234"/>
    <s v="TRAX"/>
    <s v="24-11-2023"/>
    <n v="1165"/>
    <s v="08-01-2026"/>
    <n v="126801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903"/>
    <x v="310"/>
    <s v="29-01-2026"/>
    <n v="7134260122542"/>
    <s v="W26C00009339"/>
    <s v="WAR26E000386"/>
    <s v="29-01-2026"/>
    <x v="15"/>
    <s v="MC1D4DLA1RP102182"/>
    <s v="D72012825"/>
    <s v="TRAX"/>
    <s v="03-02-2024"/>
    <n v="1165"/>
    <s v="18-01-2026"/>
    <n v="173200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904"/>
    <x v="311"/>
    <s v="29-01-2026"/>
    <n v="7134260122536"/>
    <s v="W26C00009333"/>
    <s v="WAR26E000381"/>
    <s v="29-01-2026"/>
    <x v="15"/>
    <s v="MC1D4DMAXRP102762"/>
    <s v="D72013178"/>
    <s v="TRAX"/>
    <s v="25-01-2024"/>
    <n v="1165"/>
    <s v="10-01-2026"/>
    <n v="154230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905"/>
    <x v="312"/>
    <s v="29-01-2026"/>
    <n v="7134260122543"/>
    <s v="W26C00009340"/>
    <s v="WAR26E000387"/>
    <s v="29-01-2026"/>
    <x v="15"/>
    <s v="MC1D4DKAXRP101937"/>
    <s v="D72012567"/>
    <s v="TRAX"/>
    <s v="06-12-2023"/>
    <n v="1165"/>
    <s v="18-01-2026"/>
    <n v="31510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906"/>
    <x v="313"/>
    <s v="29-01-2026"/>
    <n v="7134260122535"/>
    <s v="W26C00009332"/>
    <s v="WAR26E000380"/>
    <s v="29-01-2026"/>
    <x v="15"/>
    <s v="MC1D4DJA4RP101370"/>
    <s v="D72011995"/>
    <s v="TRAX"/>
    <s v="25-09-2023"/>
    <n v="1165"/>
    <s v="10-01-2026"/>
    <n v="86230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907"/>
    <x v="314"/>
    <s v="29-01-2026"/>
    <n v="7134260122517"/>
    <s v="W26C00009314"/>
    <s v="WAR26E000364"/>
    <s v="29-01-2026"/>
    <x v="15"/>
    <s v="MC1D4DHA6RP100971"/>
    <s v="D72011571"/>
    <s v="TRAX"/>
    <s v="22-08-2023"/>
    <n v="1165"/>
    <s v="08-01-2026"/>
    <n v="75898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908"/>
    <x v="315"/>
    <s v="29-01-2026"/>
    <n v="7134260122511"/>
    <s v="W26C00009308"/>
    <s v="WAR26E000359"/>
    <s v="29-01-2026"/>
    <x v="15"/>
    <s v="MC1D4DBA6RP103555"/>
    <s v="D72014275"/>
    <s v="TRAX"/>
    <s v="24-04-2024"/>
    <n v="1165"/>
    <s v="08-01-2026"/>
    <n v="127867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909"/>
    <x v="316"/>
    <s v="29-01-2026"/>
    <n v="7134260122545"/>
    <s v="W26C00009342"/>
    <s v="WAR26E000389"/>
    <s v="29-01-2026"/>
    <x v="15"/>
    <s v="MC1D4DKA1RP102023"/>
    <s v="D72012642"/>
    <s v="TRAX"/>
    <s v="29-11-2023"/>
    <n v="1165"/>
    <s v="18-01-2026"/>
    <n v="41200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910"/>
    <x v="317"/>
    <s v="29-01-2026"/>
    <n v="7134260122546"/>
    <s v="W26C00009343"/>
    <s v="WAR26E000390"/>
    <s v="29-01-2026"/>
    <x v="15"/>
    <s v="MC1D4DJA6SP105555"/>
    <s v="D72016971"/>
    <s v="TRAX"/>
    <s v="18-10-2024"/>
    <n v="1165"/>
    <s v="18-01-2026"/>
    <n v="10810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911"/>
    <x v="318"/>
    <s v="29-01-2026"/>
    <n v="7134260122524"/>
    <s v="W26C00009321"/>
    <s v="WAR26E000370"/>
    <s v="29-01-2026"/>
    <x v="15"/>
    <s v="MC1D4DEA2RP104584"/>
    <s v="D72015514"/>
    <s v="TRAX"/>
    <s v="26-06-2024"/>
    <n v="1165"/>
    <s v="10-01-2026"/>
    <n v="70456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912"/>
    <x v="319"/>
    <s v="29-01-2026"/>
    <n v="7134260122527"/>
    <s v="W26C00009324"/>
    <s v="WAR26E000373"/>
    <s v="29-01-2026"/>
    <x v="15"/>
    <s v="MC1D4DCA0SP107864"/>
    <s v="D72019478"/>
    <s v="TRAX"/>
    <s v="31-03-2025"/>
    <n v="1165"/>
    <s v="10-01-2026"/>
    <n v="40566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913"/>
    <x v="320"/>
    <s v="29-01-2026"/>
    <n v="7134260122529"/>
    <s v="W26C00009326"/>
    <s v="WAR26E000374"/>
    <s v="29-01-2026"/>
    <x v="15"/>
    <s v="MC1D4DCA2SP107879"/>
    <s v="D72019510"/>
    <s v="TRAX"/>
    <s v="14-05-2025"/>
    <n v="1165"/>
    <s v="10-01-2026"/>
    <n v="31233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916"/>
    <x v="321"/>
    <s v="29-01-2026"/>
    <n v="7134260122523"/>
    <s v="W26C00009320"/>
    <s v="WAR26E000369"/>
    <s v="29-01-2026"/>
    <x v="15"/>
    <s v="MC1D4DEA2RP104598"/>
    <s v="D72015580"/>
    <s v="TRAX"/>
    <s v="20-06-2024"/>
    <n v="1165"/>
    <s v="10-01-2026"/>
    <n v="50078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917"/>
    <x v="322"/>
    <s v="29-01-2026"/>
    <n v="7134260122520"/>
    <s v="W26C00009317"/>
    <s v="WAR26E000367"/>
    <s v="29-01-2026"/>
    <x v="15"/>
    <s v="MC1D4DKA2SP105924"/>
    <s v="D72017397"/>
    <s v="TRAX"/>
    <s v="13-02-2025"/>
    <n v="1165"/>
    <s v="10-01-2026"/>
    <n v="37310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920"/>
    <x v="323"/>
    <s v="29-01-2026"/>
    <n v="7134260122525"/>
    <s v="W26C00009322"/>
    <s v="WAR26E000371"/>
    <s v="29-01-2026"/>
    <x v="15"/>
    <s v="MC1D4DEA0RP104597"/>
    <s v="D72015517"/>
    <s v="TRAX"/>
    <s v="11-06-2024"/>
    <n v="1165"/>
    <s v="10-01-2026"/>
    <n v="72560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921"/>
    <x v="324"/>
    <s v="29-01-2026"/>
    <n v="7134260122521"/>
    <s v="W26C00009318"/>
    <s v="WAR26E000368"/>
    <s v="29-01-2026"/>
    <x v="15"/>
    <s v="MC1D4DKA9SP106021"/>
    <s v="D72017466"/>
    <s v="TRAX"/>
    <s v="14-02-2025"/>
    <n v="1165"/>
    <s v="10-01-2026"/>
    <n v="17400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924"/>
    <x v="325"/>
    <s v="29-01-2026"/>
    <n v="7134260122519"/>
    <s v="W26C00009316"/>
    <s v="WAR26E000366"/>
    <s v="29-01-2026"/>
    <x v="15"/>
    <s v="MC1D4DFA0RP104744"/>
    <s v="D72015770"/>
    <s v="TRAX"/>
    <s v="03-07-2024"/>
    <n v="1165"/>
    <s v="10-01-2026"/>
    <n v="102333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927"/>
    <x v="326"/>
    <s v="29-01-2026"/>
    <n v="7134260122544"/>
    <s v="W26C00009341"/>
    <s v="WAR26E000388"/>
    <s v="29-01-2026"/>
    <x v="15"/>
    <s v="MC1D4DKA6RP101787"/>
    <s v="D72012455"/>
    <s v="TRAX"/>
    <s v="15-11-2023"/>
    <n v="1165"/>
    <s v="18-01-2026"/>
    <n v="84230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928"/>
    <x v="327"/>
    <s v="29-01-2026"/>
    <n v="7134260122547"/>
    <s v="W26C00009344"/>
    <s v="WAR26E000391"/>
    <s v="29-01-2026"/>
    <x v="15"/>
    <s v="MC1D4DJA1SP105558"/>
    <s v="D72016968"/>
    <s v="TRAX"/>
    <s v="18-10-2024"/>
    <n v="1165"/>
    <s v="18-01-2026"/>
    <n v="11234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929"/>
    <x v="328"/>
    <s v="29-01-2026"/>
    <n v="7134260122531"/>
    <s v="W26C00009328"/>
    <s v="WAR26E000376"/>
    <s v="29-01-2026"/>
    <x v="15"/>
    <s v="MC1D4DEA3SP109136"/>
    <s v="D72020881"/>
    <s v="TRAX"/>
    <s v="20-09-2025"/>
    <m/>
    <s v="10-01-2026"/>
    <n v="3423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930"/>
    <x v="329"/>
    <s v="28-01-2026"/>
    <n v="7134260122443"/>
    <s v="W26C00009243"/>
    <s v="WAR26E000307"/>
    <s v="29-01-2026"/>
    <x v="15"/>
    <s v="MC1D4DFA7SP109381"/>
    <s v="D72021106"/>
    <s v="TRAX"/>
    <s v="17-07-2025"/>
    <n v="1165"/>
    <s v="09-12-2025"/>
    <n v="7651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931"/>
    <x v="330"/>
    <s v="29-01-2026"/>
    <n v="7134260122507"/>
    <s v="W26C00009304"/>
    <s v="WAR26E000356"/>
    <s v="29-01-2026"/>
    <x v="15"/>
    <s v="MC1D4DBA8SP107483"/>
    <s v="D72019091"/>
    <s v="TRAX"/>
    <s v="30-03-2025"/>
    <n v="1165"/>
    <s v="08-01-2026"/>
    <n v="15666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932"/>
    <x v="331"/>
    <s v="29-01-2026"/>
    <n v="7134260122530"/>
    <s v="W26C00009327"/>
    <s v="WAR26E000375"/>
    <s v="29-01-2026"/>
    <x v="15"/>
    <s v="MC1D4DBA5SP107330"/>
    <s v="D72018945"/>
    <s v="TRAX"/>
    <s v="08-03-2025"/>
    <n v="1160"/>
    <s v="10-01-2026"/>
    <n v="2650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933"/>
    <x v="332"/>
    <s v="28-01-2026"/>
    <n v="7134260122473"/>
    <s v="W26C00009272"/>
    <s v="WAR26E000334"/>
    <s v="29-01-2026"/>
    <x v="15"/>
    <s v="MC1D4DLA4SP106328"/>
    <s v="D72017786"/>
    <s v="TRAX"/>
    <s v="07-06-2025"/>
    <n v="1165"/>
    <s v="05-01-2026"/>
    <n v="31222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934"/>
    <x v="333"/>
    <s v="28-01-2026"/>
    <n v="7134260122458"/>
    <s v="W26C00009258"/>
    <s v="WAR26E000321"/>
    <s v="29-01-2026"/>
    <x v="15"/>
    <s v="MC1D4DKA6SP106154"/>
    <s v="D72017629"/>
    <s v="TRAX"/>
    <s v="08-02-2025"/>
    <n v="1060"/>
    <s v="30-12-2025"/>
    <n v="5567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935"/>
    <x v="334"/>
    <s v="28-01-2026"/>
    <n v="7134260122492"/>
    <s v="W26C00009291"/>
    <s v="WAR26E000345"/>
    <s v="29-01-2026"/>
    <x v="15"/>
    <s v="MC1D4DBA9SP107279"/>
    <s v="D72018872"/>
    <s v="TRAX"/>
    <s v="20-02-2025"/>
    <n v="1165"/>
    <s v="06-01-2026"/>
    <n v="33998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937"/>
    <x v="335"/>
    <s v="28-01-2026"/>
    <n v="7134260122470"/>
    <s v="W26C00009269"/>
    <s v="WAR26E000332"/>
    <s v="29-01-2026"/>
    <x v="15"/>
    <s v="MC1D4DKA2RP102029"/>
    <s v="D72012709"/>
    <s v="TRAX"/>
    <s v="25-06-2024"/>
    <n v="1165"/>
    <s v="05-01-2026"/>
    <n v="95444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938"/>
    <x v="336"/>
    <s v="29-01-2026"/>
    <n v="7134260122526"/>
    <s v="W26C00009323"/>
    <s v="WAR26E000372"/>
    <s v="29-01-2026"/>
    <x v="15"/>
    <s v="MC1D4DJA8SP105766"/>
    <s v="D72017241"/>
    <s v="TRAX"/>
    <s v="10-02-2025"/>
    <n v="1165"/>
    <s v="10-01-2026"/>
    <n v="36455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940"/>
    <x v="337"/>
    <s v="28-01-2026"/>
    <n v="7134260122460"/>
    <s v="W26C00009260"/>
    <s v="WAR26E000323"/>
    <s v="29-01-2026"/>
    <x v="15"/>
    <s v="MC1D4DMA2RP102738"/>
    <s v="D72013165"/>
    <s v="TRAX"/>
    <s v="13-03-2024"/>
    <n v="1165"/>
    <s v="30-12-2025"/>
    <n v="17899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941"/>
    <x v="338"/>
    <s v="29-01-2026"/>
    <n v="7134260122532"/>
    <s v="W26C00009329"/>
    <s v="WAR26E000377"/>
    <s v="29-01-2026"/>
    <x v="15"/>
    <s v="MC1D4DEA6SP109048"/>
    <s v="D72020746"/>
    <s v="TRAX"/>
    <s v="20-09-2025"/>
    <n v="1160"/>
    <s v="10-01-2026"/>
    <n v="1435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943"/>
    <x v="339"/>
    <s v="29-01-2026"/>
    <n v="7134260122534"/>
    <s v="W26C00009331"/>
    <s v="WAR26E000379"/>
    <s v="29-01-2026"/>
    <x v="15"/>
    <s v="MC1D4DJA2RP101366"/>
    <s v="D72011985"/>
    <s v="TRAX"/>
    <s v="20-09-2023"/>
    <n v="1165"/>
    <s v="10-01-2026"/>
    <n v="93520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944"/>
    <x v="340"/>
    <s v="28-01-2026"/>
    <n v="7134260122479"/>
    <s v="W26C00009278"/>
    <s v="WAR26E000340"/>
    <s v="29-01-2026"/>
    <x v="15"/>
    <s v="MC1D4DDA5SP108619"/>
    <s v="D72020308"/>
    <s v="TRAX"/>
    <s v="10-06-2025"/>
    <n v="1165"/>
    <s v="05-01-2026"/>
    <n v="9878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945"/>
    <x v="341"/>
    <s v="28-01-2026"/>
    <n v="7134260122454"/>
    <s v="W26C00009254"/>
    <s v="WAR26E000317"/>
    <s v="29-01-2026"/>
    <x v="15"/>
    <s v="MC1D4DKA3SP106032"/>
    <s v="D72017498"/>
    <s v="TRAX"/>
    <s v="29-10-2024"/>
    <n v="1165"/>
    <s v="30-12-2025"/>
    <n v="33985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946"/>
    <x v="342"/>
    <s v="29-01-2026"/>
    <n v="7134260122505"/>
    <s v="W26C00009303"/>
    <s v="WAR26E000355"/>
    <s v="29-01-2026"/>
    <x v="15"/>
    <s v="MC1D4DJA4SP105571"/>
    <s v="D72016966"/>
    <s v="TRAX"/>
    <s v="15-10-2024"/>
    <n v="1165"/>
    <s v="08-01-2026"/>
    <n v="17766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947"/>
    <x v="343"/>
    <s v="29-01-2026"/>
    <n v="7134260122533"/>
    <s v="W26C00009330"/>
    <s v="WAR26E000378"/>
    <s v="29-01-2026"/>
    <x v="15"/>
    <s v="MC1D4DFA7SP109381"/>
    <s v="D72021106"/>
    <s v="TRAX"/>
    <s v="17-07-2025"/>
    <n v="1165"/>
    <s v="10-01-2026"/>
    <n v="7867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951"/>
    <x v="344"/>
    <s v="28-01-2026"/>
    <n v="7134260122448"/>
    <s v="W26C00009248"/>
    <s v="WAR26E000311"/>
    <s v="29-01-2026"/>
    <x v="15"/>
    <s v="MC1D4DLA6SP106329"/>
    <s v="D72017803"/>
    <s v="TRAX"/>
    <s v="13-05-2025"/>
    <n v="1165"/>
    <s v="09-12-2025"/>
    <n v="31223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952"/>
    <x v="345"/>
    <s v="28-01-2026"/>
    <n v="7134260122442"/>
    <s v="W26C00009242"/>
    <s v="WAR26E000306"/>
    <s v="29-01-2026"/>
    <x v="15"/>
    <s v="MC1D4DEA6SP109048"/>
    <s v="D72020746"/>
    <s v="TRAX"/>
    <s v="20-09-2025"/>
    <n v="1160"/>
    <s v="09-12-2025"/>
    <n v="1354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955"/>
    <x v="346"/>
    <s v="29-01-2026"/>
    <n v="7134260122508"/>
    <s v="W26C00009305"/>
    <s v="WAR26E000357"/>
    <s v="29-01-2026"/>
    <x v="15"/>
    <s v="MC1D4DBA4SP107271"/>
    <s v="D72018874"/>
    <s v="TRAX"/>
    <s v="18-03-2025"/>
    <n v="1165"/>
    <s v="08-01-2026"/>
    <n v="11233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5979"/>
    <x v="347"/>
    <s v="29-01-2026"/>
    <n v="7134260122539"/>
    <s v="W26C00009336"/>
    <s v="WAR26E000383"/>
    <s v="30-01-2026"/>
    <x v="16"/>
    <s v="MC1E4CAA7SP083709"/>
    <s v="D71069256"/>
    <s v="T-1"/>
    <s v="23-03-2025"/>
    <m/>
    <s v="17-01-2026"/>
    <n v="72249"/>
    <m/>
    <m/>
    <n v="1"/>
    <s v="B008558302465"/>
    <s v="COMPRESSOR ASSLY(647"/>
    <n v="1"/>
    <n v="14186.41"/>
    <s v="Accepted"/>
    <m/>
    <s v="-"/>
    <s v="Cr note under process"/>
    <m/>
    <n v="16739.96"/>
    <n v="0"/>
    <m/>
    <m/>
    <n v="16739.96"/>
    <m/>
    <m/>
    <m/>
  </r>
  <r>
    <n v="1015979"/>
    <x v="347"/>
    <s v="29-01-2026"/>
    <n v="7134260122539"/>
    <s v="W26C00009336"/>
    <s v="WAR26E000383"/>
    <s v="30-01-2026"/>
    <x v="16"/>
    <s v="MC1E4CAA7SP083709"/>
    <s v="D71069256"/>
    <s v="T-1"/>
    <s v="23-03-2025"/>
    <m/>
    <s v="17-01-2026"/>
    <n v="72249"/>
    <m/>
    <m/>
    <n v="2"/>
    <s v="AC0106"/>
    <s v="Labour Charges"/>
    <n v="1"/>
    <n v="420"/>
    <s v="Accepted"/>
    <m/>
    <s v="-"/>
    <s v="Cr note under process"/>
    <m/>
    <n v="495.6"/>
    <n v="0"/>
    <m/>
    <m/>
    <n v="495.6"/>
    <m/>
    <m/>
    <m/>
  </r>
  <r>
    <n v="1015979"/>
    <x v="347"/>
    <s v="29-01-2026"/>
    <n v="7134260122539"/>
    <s v="W26C00009336"/>
    <s v="WAR26E000383"/>
    <s v="30-01-2026"/>
    <x v="16"/>
    <s v="MC1E4CAA7SP083709"/>
    <s v="D71069256"/>
    <s v="T-1"/>
    <s v="23-03-2025"/>
    <m/>
    <s v="17-01-2026"/>
    <n v="72249"/>
    <m/>
    <m/>
    <n v="3"/>
    <s v="AC0113"/>
    <s v="Labour Charges"/>
    <n v="1"/>
    <n v="1400"/>
    <s v="Accepted"/>
    <m/>
    <s v="-"/>
    <s v="Cr note under process"/>
    <m/>
    <n v="1652"/>
    <n v="0"/>
    <m/>
    <m/>
    <n v="1652"/>
    <m/>
    <m/>
    <m/>
  </r>
  <r>
    <n v="1015979"/>
    <x v="347"/>
    <s v="29-01-2026"/>
    <n v="7134260122539"/>
    <s v="W26C00009336"/>
    <s v="WAR26E000383"/>
    <s v="30-01-2026"/>
    <x v="16"/>
    <s v="MC1E4CAA7SP083709"/>
    <s v="D71069256"/>
    <s v="T-1"/>
    <s v="23-03-2025"/>
    <m/>
    <s v="17-01-2026"/>
    <n v="72249"/>
    <m/>
    <m/>
    <n v="4"/>
    <s v="AC0114"/>
    <s v="Labour Charges"/>
    <n v="1"/>
    <n v="2800"/>
    <s v="Accepted"/>
    <m/>
    <s v="-"/>
    <s v="Cr note under process"/>
    <m/>
    <n v="3304"/>
    <n v="0"/>
    <m/>
    <m/>
    <n v="3304"/>
    <m/>
    <m/>
    <m/>
  </r>
  <r>
    <n v="1015985"/>
    <x v="348"/>
    <s v="29-01-2026"/>
    <n v="7134260122541"/>
    <s v="W26C00009338"/>
    <s v="WAR26E000385"/>
    <s v="30-01-2026"/>
    <x v="15"/>
    <s v="MC1E4CBA4SP085433"/>
    <s v="D71072431"/>
    <s v="T-1"/>
    <s v="25-03-2025"/>
    <m/>
    <s v="17-01-2026"/>
    <n v="54206"/>
    <m/>
    <m/>
    <n v="1"/>
    <s v="AC0113"/>
    <s v="Labour Charges"/>
    <n v="1"/>
    <n v="1400"/>
    <s v="Accepted"/>
    <m/>
    <s v="-"/>
    <s v="Cr note under process"/>
    <m/>
    <n v="1652"/>
    <n v="0"/>
    <m/>
    <m/>
    <n v="1652"/>
    <m/>
    <m/>
    <m/>
  </r>
  <r>
    <n v="1015985"/>
    <x v="348"/>
    <s v="29-01-2026"/>
    <n v="7134260122541"/>
    <s v="W26C00009338"/>
    <s v="WAR26E000385"/>
    <s v="30-01-2026"/>
    <x v="15"/>
    <s v="MC1E4CBA4SP085433"/>
    <s v="D71072431"/>
    <s v="T-1"/>
    <s v="25-03-2025"/>
    <m/>
    <s v="17-01-2026"/>
    <n v="54206"/>
    <m/>
    <m/>
    <n v="2"/>
    <s v="AC0114"/>
    <s v="Labour Charges"/>
    <n v="1"/>
    <n v="2800"/>
    <s v="Accepted"/>
    <m/>
    <s v="-"/>
    <s v="Cr note under process"/>
    <m/>
    <n v="3304"/>
    <n v="0"/>
    <m/>
    <m/>
    <n v="3304"/>
    <m/>
    <m/>
    <m/>
  </r>
  <r>
    <n v="1015996"/>
    <x v="349"/>
    <s v="29-01-2026"/>
    <n v="7134260122537"/>
    <s v="W26C00009334"/>
    <s v="WAR26E000382"/>
    <s v="30-01-2026"/>
    <x v="15"/>
    <s v="MC1E4CAAXSP083574"/>
    <s v="D71069315"/>
    <s v="T-1"/>
    <s v="23-03-2025"/>
    <m/>
    <s v="17-01-2026"/>
    <n v="87425"/>
    <m/>
    <m/>
    <n v="1"/>
    <s v="AC0113"/>
    <s v="Labour Charges"/>
    <n v="1"/>
    <n v="1400"/>
    <s v="Accepted"/>
    <m/>
    <s v="-"/>
    <s v="Cr note under process"/>
    <m/>
    <n v="1652"/>
    <n v="0"/>
    <m/>
    <m/>
    <n v="1652"/>
    <m/>
    <m/>
    <m/>
  </r>
  <r>
    <n v="1015996"/>
    <x v="349"/>
    <s v="29-01-2026"/>
    <n v="7134260122537"/>
    <s v="W26C00009334"/>
    <s v="WAR26E000382"/>
    <s v="30-01-2026"/>
    <x v="15"/>
    <s v="MC1E4CAAXSP083574"/>
    <s v="D71069315"/>
    <s v="T-1"/>
    <s v="23-03-2025"/>
    <m/>
    <s v="17-01-2026"/>
    <n v="87425"/>
    <m/>
    <m/>
    <n v="2"/>
    <s v="AC0114"/>
    <s v="Labour Charges"/>
    <n v="1"/>
    <n v="2800"/>
    <s v="Accepted"/>
    <m/>
    <s v="-"/>
    <s v="Cr note under process"/>
    <m/>
    <n v="3304"/>
    <n v="0"/>
    <m/>
    <m/>
    <n v="3304"/>
    <m/>
    <m/>
    <m/>
  </r>
  <r>
    <n v="1015997"/>
    <x v="350"/>
    <s v="29-01-2026"/>
    <n v="7134260122540"/>
    <s v="W26C00009337"/>
    <s v="WAR26E000384"/>
    <s v="30-01-2026"/>
    <x v="15"/>
    <s v="MC1E4CAA2SP084041"/>
    <s v="D71070195"/>
    <s v="T-1"/>
    <s v="08-03-2025"/>
    <m/>
    <s v="17-01-2026"/>
    <n v="54203"/>
    <m/>
    <m/>
    <n v="1"/>
    <s v="AC0113"/>
    <s v="Labour Charges"/>
    <n v="1"/>
    <n v="1400"/>
    <s v="Accepted"/>
    <m/>
    <s v="-"/>
    <s v="Cr note under process"/>
    <m/>
    <n v="1652"/>
    <n v="0"/>
    <m/>
    <m/>
    <n v="1652"/>
    <m/>
    <m/>
    <m/>
  </r>
  <r>
    <n v="1015997"/>
    <x v="350"/>
    <s v="29-01-2026"/>
    <n v="7134260122540"/>
    <s v="W26C00009337"/>
    <s v="WAR26E000384"/>
    <s v="30-01-2026"/>
    <x v="15"/>
    <s v="MC1E4CAA2SP084041"/>
    <s v="D71070195"/>
    <s v="T-1"/>
    <s v="08-03-2025"/>
    <m/>
    <s v="17-01-2026"/>
    <n v="54203"/>
    <m/>
    <m/>
    <n v="2"/>
    <s v="AC0114"/>
    <s v="Labour Charges"/>
    <n v="1"/>
    <n v="2800"/>
    <s v="Accepted"/>
    <m/>
    <s v="-"/>
    <s v="Cr note under process"/>
    <m/>
    <n v="3304"/>
    <n v="0"/>
    <m/>
    <m/>
    <n v="3304"/>
    <m/>
    <m/>
    <m/>
  </r>
  <r>
    <n v="1016167"/>
    <x v="351"/>
    <s v="31-01-2026"/>
    <n v="7134260122717"/>
    <s v="W26C00009469"/>
    <s v="WAR26E000396"/>
    <s v="05-02-2026"/>
    <x v="15"/>
    <s v="MC1D4DFA2RP104728"/>
    <s v="D72015787"/>
    <s v="TRAX"/>
    <s v="09-07-2024"/>
    <n v="1165"/>
    <s v="18-01-2026"/>
    <n v="59120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6178"/>
    <x v="352"/>
    <s v="31-01-2026"/>
    <n v="7134260122714"/>
    <s v="W26C00009467"/>
    <s v="WAR26E000395"/>
    <s v="05-02-2026"/>
    <x v="15"/>
    <s v="MC1D4DFA8SP109597"/>
    <s v="D72021364"/>
    <s v="TRAX"/>
    <s v="30-09-2025"/>
    <n v="1165"/>
    <s v="18-01-2026"/>
    <n v="2345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6192"/>
    <x v="353"/>
    <s v="31-01-2026"/>
    <n v="7134260122718"/>
    <s v="W26C00009470"/>
    <s v="WAR26E000397"/>
    <s v="05-02-2026"/>
    <x v="15"/>
    <s v="MC1D4DEA3SP108987"/>
    <s v="D72020755"/>
    <s v="TRAX"/>
    <s v="15-07-2025"/>
    <n v="1165"/>
    <s v="18-01-2026"/>
    <n v="40120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6204"/>
    <x v="354"/>
    <s v="31-01-2026"/>
    <n v="7134260122721"/>
    <s v="W26C00009473"/>
    <s v="WAR26E000399"/>
    <s v="05-02-2026"/>
    <x v="15"/>
    <s v="MC1D4DBA3SP107505"/>
    <s v="D72019127"/>
    <s v="TRAX"/>
    <s v="30-03-2025"/>
    <n v="1165"/>
    <s v="18-01-2026"/>
    <n v="12130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6206"/>
    <x v="355"/>
    <s v="31-01-2026"/>
    <n v="7134260122720"/>
    <s v="W26C00009472"/>
    <s v="WAR26E000398"/>
    <s v="05-02-2026"/>
    <x v="15"/>
    <s v="MC1D4DDA0SP108642"/>
    <s v="D72020323"/>
    <s v="TRAX"/>
    <s v="29-07-2025"/>
    <n v="1165"/>
    <s v="18-01-2026"/>
    <n v="4120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6471"/>
    <x v="356"/>
    <s v="31-01-2026"/>
    <n v="7134260122713"/>
    <s v="W26C00009466"/>
    <s v="WAR26E000394"/>
    <s v="16-02-2026"/>
    <x v="15"/>
    <s v="MC1D4DFAXRP104783"/>
    <s v="D72015804"/>
    <s v="TRAX"/>
    <s v="20-08-2024"/>
    <n v="1165"/>
    <s v="18-01-2026"/>
    <n v="77420"/>
    <m/>
    <m/>
    <n v="1"/>
    <s v="EL2017"/>
    <s v="Labour Charges"/>
    <n v="1"/>
    <n v="87.5"/>
    <s v="Accepted"/>
    <m/>
    <s v="-"/>
    <s v="Cr note under process"/>
    <m/>
    <n v="103.25"/>
    <n v="0"/>
    <m/>
    <m/>
    <n v="103.25"/>
    <m/>
    <m/>
    <m/>
  </r>
  <r>
    <n v="1016849"/>
    <x v="357"/>
    <s v="11-02-2026"/>
    <n v="7134260121009"/>
    <s v="G26C00000120"/>
    <s v="GDW26E000003"/>
    <s v="23-02-2026"/>
    <x v="16"/>
    <s v="MC1E4CAA3SP083786"/>
    <s v="D71069895"/>
    <s v="T-1"/>
    <s v="23-03-2025"/>
    <m/>
    <s v="30-10-2025"/>
    <n v="65736"/>
    <m/>
    <m/>
    <n v="1"/>
    <s v="A000040110080"/>
    <s v="GASKET VACUUM PUMP C"/>
    <n v="1"/>
    <n v="45.52"/>
    <s v="Accepted"/>
    <m/>
    <s v="-"/>
    <s v="Cr note under process"/>
    <m/>
    <n v="53.71"/>
    <n v="0"/>
    <m/>
    <m/>
    <n v="53.71"/>
    <m/>
    <m/>
    <m/>
  </r>
  <r>
    <n v="1016849"/>
    <x v="357"/>
    <s v="11-02-2026"/>
    <n v="7134260121009"/>
    <s v="G26C00000120"/>
    <s v="GDW26E000003"/>
    <s v="23-02-2026"/>
    <x v="16"/>
    <s v="MC1E4CAA3SP083786"/>
    <s v="D71069895"/>
    <s v="T-1"/>
    <s v="23-03-2025"/>
    <m/>
    <s v="30-10-2025"/>
    <n v="65736"/>
    <m/>
    <m/>
    <n v="2"/>
    <s v="A000040130002"/>
    <s v="OIL SEAL FOR VALVE S"/>
    <n v="8"/>
    <n v="448.72"/>
    <s v="Accepted"/>
    <m/>
    <s v="-"/>
    <s v="Cr note under process"/>
    <m/>
    <n v="529.49"/>
    <n v="0"/>
    <m/>
    <m/>
    <n v="529.49"/>
    <m/>
    <m/>
    <m/>
  </r>
  <r>
    <n v="1016849"/>
    <x v="357"/>
    <s v="11-02-2026"/>
    <n v="7134260121009"/>
    <s v="G26C00000120"/>
    <s v="GDW26E000003"/>
    <s v="23-02-2026"/>
    <x v="16"/>
    <s v="MC1E4CAA3SP083786"/>
    <s v="D71069895"/>
    <s v="T-1"/>
    <s v="23-03-2025"/>
    <m/>
    <s v="30-10-2025"/>
    <n v="65736"/>
    <m/>
    <m/>
    <n v="3"/>
    <s v="A000040330862"/>
    <s v="TH WASHER UPPER"/>
    <n v="2"/>
    <n v="69.900000000000006"/>
    <s v="Accepted"/>
    <m/>
    <s v="-"/>
    <s v="Cr note under process"/>
    <m/>
    <n v="82.48"/>
    <n v="0"/>
    <m/>
    <m/>
    <n v="82.48"/>
    <m/>
    <m/>
    <m/>
  </r>
  <r>
    <n v="1016849"/>
    <x v="357"/>
    <s v="11-02-2026"/>
    <n v="7134260121009"/>
    <s v="G26C00000120"/>
    <s v="GDW26E000003"/>
    <s v="23-02-2026"/>
    <x v="16"/>
    <s v="MC1E4CAA3SP083786"/>
    <s v="D71069895"/>
    <s v="T-1"/>
    <s v="23-03-2025"/>
    <m/>
    <s v="30-10-2025"/>
    <n v="65736"/>
    <m/>
    <m/>
    <n v="4"/>
    <s v="A000040331262"/>
    <s v="THRUST WASHER LOWER"/>
    <n v="2"/>
    <n v="82.9"/>
    <s v="Accepted"/>
    <m/>
    <s v="-"/>
    <s v="Cr note under process"/>
    <m/>
    <n v="97.82"/>
    <n v="0"/>
    <m/>
    <m/>
    <n v="97.82"/>
    <m/>
    <m/>
    <m/>
  </r>
  <r>
    <n v="1016849"/>
    <x v="357"/>
    <s v="11-02-2026"/>
    <n v="7134260121009"/>
    <s v="G26C00000120"/>
    <s v="GDW26E000003"/>
    <s v="23-02-2026"/>
    <x v="16"/>
    <s v="MC1E4CAA3SP083786"/>
    <s v="D71069895"/>
    <s v="T-1"/>
    <s v="23-03-2025"/>
    <m/>
    <s v="30-10-2025"/>
    <n v="65736"/>
    <m/>
    <m/>
    <n v="5"/>
    <s v="A000042030080"/>
    <s v="GASKET"/>
    <n v="1"/>
    <n v="3.25"/>
    <s v="Accepted"/>
    <m/>
    <s v="-"/>
    <s v="Cr note under process"/>
    <m/>
    <n v="3.84"/>
    <n v="0"/>
    <m/>
    <m/>
    <n v="3.84"/>
    <m/>
    <m/>
    <m/>
  </r>
  <r>
    <n v="1016849"/>
    <x v="357"/>
    <s v="11-02-2026"/>
    <n v="7134260121009"/>
    <s v="G26C00000120"/>
    <s v="GDW26E000003"/>
    <s v="23-02-2026"/>
    <x v="16"/>
    <s v="MC1E4CAA3SP083786"/>
    <s v="D71069895"/>
    <s v="T-1"/>
    <s v="23-03-2025"/>
    <m/>
    <s v="30-10-2025"/>
    <n v="65736"/>
    <m/>
    <m/>
    <n v="6"/>
    <s v="A000042030980"/>
    <s v="GASKET FOR WATERPUMP"/>
    <n v="1"/>
    <n v="4.88"/>
    <s v="Accepted"/>
    <m/>
    <s v="-"/>
    <s v="Cr note under process"/>
    <m/>
    <n v="5.76"/>
    <n v="0"/>
    <m/>
    <m/>
    <n v="5.76"/>
    <m/>
    <m/>
    <m/>
  </r>
  <r>
    <n v="1016849"/>
    <x v="357"/>
    <s v="11-02-2026"/>
    <n v="7134260121009"/>
    <s v="G26C00000120"/>
    <s v="GDW26E000003"/>
    <s v="23-02-2026"/>
    <x v="16"/>
    <s v="MC1E4CAA3SP083786"/>
    <s v="D71069895"/>
    <s v="T-1"/>
    <s v="23-03-2025"/>
    <m/>
    <s v="30-10-2025"/>
    <n v="65736"/>
    <m/>
    <m/>
    <n v="7"/>
    <s v="A000049979047"/>
    <s v="CRANKSHAFT OIL SEAL"/>
    <n v="1"/>
    <n v="445.53"/>
    <s v="Accepted"/>
    <m/>
    <s v="-"/>
    <s v="Cr note under process"/>
    <m/>
    <n v="525.73"/>
    <n v="0"/>
    <m/>
    <m/>
    <n v="525.73"/>
    <m/>
    <m/>
    <m/>
  </r>
  <r>
    <n v="1016849"/>
    <x v="357"/>
    <s v="11-02-2026"/>
    <n v="7134260121009"/>
    <s v="G26C00000120"/>
    <s v="GDW26E000003"/>
    <s v="23-02-2026"/>
    <x v="16"/>
    <s v="MC1E4CAA3SP083786"/>
    <s v="D71069895"/>
    <s v="T-1"/>
    <s v="23-03-2025"/>
    <m/>
    <s v="30-10-2025"/>
    <n v="65736"/>
    <m/>
    <m/>
    <n v="8"/>
    <s v="B008080372619"/>
    <s v="PISTON TOP RING"/>
    <n v="4"/>
    <n v="1102.2"/>
    <s v="Accepted"/>
    <m/>
    <s v="-"/>
    <s v="Cr note under process"/>
    <m/>
    <n v="1300.5999999999999"/>
    <n v="0"/>
    <m/>
    <m/>
    <n v="1300.5999999999999"/>
    <m/>
    <m/>
    <m/>
  </r>
  <r>
    <n v="1016849"/>
    <x v="357"/>
    <s v="11-02-2026"/>
    <n v="7134260121009"/>
    <s v="G26C00000120"/>
    <s v="GDW26E000003"/>
    <s v="23-02-2026"/>
    <x v="16"/>
    <s v="MC1E4CAA3SP083786"/>
    <s v="D71069895"/>
    <s v="T-1"/>
    <s v="23-03-2025"/>
    <m/>
    <s v="30-10-2025"/>
    <n v="65736"/>
    <m/>
    <m/>
    <n v="9"/>
    <s v="B008080372719"/>
    <s v="PISTION 2ND RING"/>
    <n v="4"/>
    <n v="604.76"/>
    <s v="Accepted"/>
    <m/>
    <s v="-"/>
    <s v="Cr note under process"/>
    <m/>
    <n v="713.62"/>
    <n v="0"/>
    <m/>
    <m/>
    <n v="713.62"/>
    <m/>
    <m/>
    <m/>
  </r>
  <r>
    <n v="1016849"/>
    <x v="357"/>
    <s v="11-02-2026"/>
    <n v="7134260121009"/>
    <s v="G26C00000120"/>
    <s v="GDW26E000003"/>
    <s v="23-02-2026"/>
    <x v="16"/>
    <s v="MC1E4CAA3SP083786"/>
    <s v="D71069895"/>
    <s v="T-1"/>
    <s v="23-03-2025"/>
    <m/>
    <s v="30-10-2025"/>
    <n v="65736"/>
    <m/>
    <m/>
    <n v="10"/>
    <s v="B008080372819"/>
    <s v="PISTION OIL RING"/>
    <n v="4"/>
    <n v="780.32"/>
    <s v="Accepted"/>
    <m/>
    <s v="-"/>
    <s v="Cr note under process"/>
    <m/>
    <n v="920.78"/>
    <n v="0"/>
    <m/>
    <m/>
    <n v="920.78"/>
    <m/>
    <m/>
    <m/>
  </r>
  <r>
    <n v="1016849"/>
    <x v="357"/>
    <s v="11-02-2026"/>
    <n v="7134260121009"/>
    <s v="G26C00000120"/>
    <s v="GDW26E000003"/>
    <s v="23-02-2026"/>
    <x v="16"/>
    <s v="MC1E4CAA3SP083786"/>
    <s v="D71069895"/>
    <s v="T-1"/>
    <s v="23-03-2025"/>
    <m/>
    <s v="30-10-2025"/>
    <n v="65736"/>
    <m/>
    <m/>
    <n v="11"/>
    <s v="B008080520180"/>
    <s v="GASKET- CHAIN TENSIO"/>
    <n v="5"/>
    <n v="20.3"/>
    <s v="Accepted"/>
    <m/>
    <s v="-"/>
    <s v="Cr note under process"/>
    <m/>
    <n v="23.95"/>
    <n v="0"/>
    <m/>
    <m/>
    <n v="23.95"/>
    <m/>
    <m/>
    <m/>
  </r>
  <r>
    <n v="1016849"/>
    <x v="357"/>
    <s v="11-02-2026"/>
    <n v="7134260121009"/>
    <s v="G26C00000120"/>
    <s v="GDW26E000003"/>
    <s v="23-02-2026"/>
    <x v="16"/>
    <s v="MC1E4CAA3SP083786"/>
    <s v="D71069895"/>
    <s v="T-1"/>
    <s v="23-03-2025"/>
    <m/>
    <s v="30-10-2025"/>
    <n v="65736"/>
    <m/>
    <m/>
    <n v="12"/>
    <s v="B008081420180"/>
    <s v="GASKET INTAKE FRONT"/>
    <n v="1"/>
    <n v="30.89"/>
    <s v="Accepted"/>
    <m/>
    <s v="-"/>
    <s v="Cr note under process"/>
    <m/>
    <n v="36.450000000000003"/>
    <n v="0"/>
    <m/>
    <m/>
    <n v="36.450000000000003"/>
    <m/>
    <m/>
    <m/>
  </r>
  <r>
    <n v="1016849"/>
    <x v="357"/>
    <s v="11-02-2026"/>
    <n v="7134260121009"/>
    <s v="G26C00000120"/>
    <s v="GDW26E000003"/>
    <s v="23-02-2026"/>
    <x v="16"/>
    <s v="MC1E4CAA3SP083786"/>
    <s v="D71069895"/>
    <s v="T-1"/>
    <s v="23-03-2025"/>
    <m/>
    <s v="30-10-2025"/>
    <n v="65736"/>
    <m/>
    <m/>
    <n v="13"/>
    <s v="B008081420380"/>
    <s v="GASKET INTAKE REAR"/>
    <n v="1"/>
    <n v="35.76"/>
    <s v="Accepted"/>
    <m/>
    <s v="-"/>
    <s v="Cr note under process"/>
    <m/>
    <n v="42.2"/>
    <n v="0"/>
    <m/>
    <m/>
    <n v="42.2"/>
    <m/>
    <m/>
    <m/>
  </r>
  <r>
    <n v="1016849"/>
    <x v="357"/>
    <s v="11-02-2026"/>
    <n v="7134260121009"/>
    <s v="G26C00000120"/>
    <s v="GDW26E000003"/>
    <s v="23-02-2026"/>
    <x v="16"/>
    <s v="MC1E4CAA3SP083786"/>
    <s v="D71069895"/>
    <s v="T-1"/>
    <s v="23-03-2025"/>
    <m/>
    <s v="30-10-2025"/>
    <n v="65736"/>
    <m/>
    <m/>
    <n v="14"/>
    <s v="B008081802310"/>
    <s v="ASSY SPIN ON FILTER"/>
    <n v="1"/>
    <n v="2248.3000000000002"/>
    <s v="Accepted"/>
    <m/>
    <s v="-"/>
    <s v="Cr note under process"/>
    <m/>
    <n v="2652.99"/>
    <n v="0"/>
    <m/>
    <m/>
    <n v="2652.99"/>
    <m/>
    <m/>
    <m/>
  </r>
  <r>
    <n v="1016849"/>
    <x v="357"/>
    <s v="11-02-2026"/>
    <n v="7134260121009"/>
    <s v="G26C00000120"/>
    <s v="GDW26E000003"/>
    <s v="23-02-2026"/>
    <x v="16"/>
    <s v="MC1E4CAA3SP083786"/>
    <s v="D71069895"/>
    <s v="T-1"/>
    <s v="23-03-2025"/>
    <m/>
    <s v="30-10-2025"/>
    <n v="65736"/>
    <m/>
    <m/>
    <n v="15"/>
    <s v="B008085420717"/>
    <s v="OIL PRESSURE SWITCH"/>
    <n v="1"/>
    <n v="75.59"/>
    <s v="Accepted"/>
    <m/>
    <s v="-"/>
    <s v="Cr note under process"/>
    <m/>
    <n v="89.2"/>
    <n v="0"/>
    <m/>
    <m/>
    <n v="89.2"/>
    <m/>
    <m/>
    <m/>
  </r>
  <r>
    <n v="1016849"/>
    <x v="357"/>
    <s v="11-02-2026"/>
    <n v="7134260121009"/>
    <s v="G26C00000120"/>
    <s v="GDW26E000003"/>
    <s v="23-02-2026"/>
    <x v="16"/>
    <s v="MC1E4CAA3SP083786"/>
    <s v="D71069895"/>
    <s v="T-1"/>
    <s v="23-03-2025"/>
    <m/>
    <s v="30-10-2025"/>
    <n v="65736"/>
    <m/>
    <m/>
    <n v="16"/>
    <s v="B008089940735"/>
    <s v="CIRCLIP"/>
    <n v="8"/>
    <n v="45.52"/>
    <s v="Accepted"/>
    <m/>
    <s v="-"/>
    <s v="Cr note under process"/>
    <m/>
    <n v="53.71"/>
    <n v="0"/>
    <m/>
    <m/>
    <n v="53.71"/>
    <m/>
    <m/>
    <m/>
  </r>
  <r>
    <n v="1016849"/>
    <x v="357"/>
    <s v="11-02-2026"/>
    <n v="7134260121009"/>
    <s v="G26C00000120"/>
    <s v="GDW26E000003"/>
    <s v="23-02-2026"/>
    <x v="16"/>
    <s v="MC1E4CAA3SP083786"/>
    <s v="D71069895"/>
    <s v="T-1"/>
    <s v="23-03-2025"/>
    <m/>
    <s v="30-10-2025"/>
    <n v="65736"/>
    <m/>
    <m/>
    <n v="17"/>
    <s v="B008090520016"/>
    <s v="SLIDE RAIL TD3250 FT"/>
    <n v="1"/>
    <n v="110.55"/>
    <s v="Accepted"/>
    <m/>
    <s v="-"/>
    <s v="Cr note under process"/>
    <m/>
    <n v="130.44999999999999"/>
    <n v="0"/>
    <m/>
    <m/>
    <n v="130.44999999999999"/>
    <m/>
    <m/>
    <m/>
  </r>
  <r>
    <n v="1016849"/>
    <x v="357"/>
    <s v="11-02-2026"/>
    <n v="7134260121009"/>
    <s v="G26C00000120"/>
    <s v="GDW26E000003"/>
    <s v="23-02-2026"/>
    <x v="16"/>
    <s v="MC1E4CAA3SP083786"/>
    <s v="D71069895"/>
    <s v="T-1"/>
    <s v="23-03-2025"/>
    <m/>
    <s v="30-10-2025"/>
    <n v="65736"/>
    <m/>
    <m/>
    <n v="18"/>
    <s v="T006860940280"/>
    <s v="AIR FILTER ELEMENT-F"/>
    <n v="1"/>
    <n v="955.89"/>
    <s v="Accepted"/>
    <m/>
    <s v="-"/>
    <s v="Cr note under process"/>
    <m/>
    <n v="1127.95"/>
    <n v="0"/>
    <m/>
    <m/>
    <n v="1127.95"/>
    <m/>
    <m/>
    <m/>
  </r>
  <r>
    <n v="1016849"/>
    <x v="357"/>
    <s v="11-02-2026"/>
    <n v="7134260121009"/>
    <s v="G26C00000120"/>
    <s v="GDW26E000003"/>
    <s v="23-02-2026"/>
    <x v="16"/>
    <s v="MC1E4CAA3SP083786"/>
    <s v="D71069895"/>
    <s v="T-1"/>
    <s v="23-03-2025"/>
    <m/>
    <s v="30-10-2025"/>
    <n v="65736"/>
    <m/>
    <m/>
    <n v="19"/>
    <s v="T006862500215"/>
    <s v="CLUTCH RELEASE BEARI"/>
    <n v="1"/>
    <n v="929.07"/>
    <s v="Accepted"/>
    <m/>
    <s v="-"/>
    <s v="Cr note under process"/>
    <m/>
    <n v="1096.3"/>
    <n v="0"/>
    <m/>
    <m/>
    <n v="1096.3"/>
    <m/>
    <m/>
    <m/>
  </r>
  <r>
    <n v="1016849"/>
    <x v="357"/>
    <s v="11-02-2026"/>
    <n v="7134260121009"/>
    <s v="G26C00000120"/>
    <s v="GDW26E000003"/>
    <s v="23-02-2026"/>
    <x v="16"/>
    <s v="MC1E4CAA3SP083786"/>
    <s v="D71069895"/>
    <s v="T-1"/>
    <s v="23-03-2025"/>
    <m/>
    <s v="30-10-2025"/>
    <n v="65736"/>
    <m/>
    <m/>
    <n v="20"/>
    <s v="B008080382210"/>
    <s v="CONN ROD  BRG UPPER"/>
    <n v="8"/>
    <n v="416.16"/>
    <s v="Accepted"/>
    <m/>
    <s v="-"/>
    <s v="Cr note under process"/>
    <m/>
    <n v="491.07"/>
    <n v="0"/>
    <m/>
    <m/>
    <n v="491.07"/>
    <m/>
    <m/>
    <m/>
  </r>
  <r>
    <n v="1016849"/>
    <x v="357"/>
    <s v="11-02-2026"/>
    <n v="7134260121009"/>
    <s v="G26C00000120"/>
    <s v="GDW26E000003"/>
    <s v="23-02-2026"/>
    <x v="16"/>
    <s v="MC1E4CAA3SP083786"/>
    <s v="D71069895"/>
    <s v="T-1"/>
    <s v="23-03-2025"/>
    <m/>
    <s v="30-10-2025"/>
    <n v="65736"/>
    <m/>
    <m/>
    <n v="21"/>
    <s v="C000933008030"/>
    <s v="HHS M8 X 30 DIN 933"/>
    <n v="1"/>
    <n v="4.0599999999999996"/>
    <s v="Accepted"/>
    <m/>
    <s v="-"/>
    <s v="Cr note under process"/>
    <m/>
    <n v="4.79"/>
    <n v="0"/>
    <m/>
    <m/>
    <n v="4.79"/>
    <m/>
    <m/>
    <m/>
  </r>
  <r>
    <n v="1016849"/>
    <x v="357"/>
    <s v="11-02-2026"/>
    <n v="7134260121009"/>
    <s v="G26C00000120"/>
    <s v="GDW26E000003"/>
    <s v="23-02-2026"/>
    <x v="16"/>
    <s v="MC1E4CAA3SP083786"/>
    <s v="D71069895"/>
    <s v="T-1"/>
    <s v="23-03-2025"/>
    <m/>
    <s v="30-10-2025"/>
    <n v="65736"/>
    <m/>
    <m/>
    <n v="22"/>
    <s v="B008080161420"/>
    <s v="CYLINDER HEAD GASKET"/>
    <n v="1"/>
    <n v="1074.57"/>
    <s v="Accepted"/>
    <m/>
    <s v="-"/>
    <s v="Cr note under process"/>
    <m/>
    <n v="1267.99"/>
    <n v="0"/>
    <m/>
    <m/>
    <n v="1267.99"/>
    <m/>
    <m/>
    <m/>
  </r>
  <r>
    <n v="1016849"/>
    <x v="357"/>
    <s v="11-02-2026"/>
    <n v="7134260121009"/>
    <s v="G26C00000120"/>
    <s v="GDW26E000003"/>
    <s v="23-02-2026"/>
    <x v="16"/>
    <s v="MC1E4CAA3SP083786"/>
    <s v="D71069895"/>
    <s v="T-1"/>
    <s v="23-03-2025"/>
    <m/>
    <s v="30-10-2025"/>
    <n v="65736"/>
    <m/>
    <m/>
    <n v="23"/>
    <s v="B008080370620"/>
    <s v="PISTON PIN"/>
    <n v="4"/>
    <n v="416.16"/>
    <s v="Accepted"/>
    <m/>
    <s v="-"/>
    <s v="Cr note under process"/>
    <m/>
    <n v="491.07"/>
    <n v="0"/>
    <m/>
    <m/>
    <n v="491.07"/>
    <m/>
    <m/>
    <m/>
  </r>
  <r>
    <n v="1016849"/>
    <x v="357"/>
    <s v="11-02-2026"/>
    <n v="7134260121009"/>
    <s v="G26C00000120"/>
    <s v="GDW26E000003"/>
    <s v="23-02-2026"/>
    <x v="16"/>
    <s v="MC1E4CAA3SP083786"/>
    <s v="D71069895"/>
    <s v="T-1"/>
    <s v="23-03-2025"/>
    <m/>
    <s v="30-10-2025"/>
    <n v="65736"/>
    <m/>
    <m/>
    <n v="24"/>
    <s v="B008081424380"/>
    <s v="GASKET (INTAKE MANIF"/>
    <n v="1"/>
    <n v="39.020000000000003"/>
    <s v="Accepted"/>
    <m/>
    <s v="-"/>
    <s v="Cr note under process"/>
    <m/>
    <n v="46.04"/>
    <n v="0"/>
    <m/>
    <m/>
    <n v="46.04"/>
    <m/>
    <m/>
    <m/>
  </r>
  <r>
    <n v="1016849"/>
    <x v="357"/>
    <s v="11-02-2026"/>
    <n v="7134260121009"/>
    <s v="G26C00000120"/>
    <s v="GDW26E000003"/>
    <s v="23-02-2026"/>
    <x v="16"/>
    <s v="MC1E4CAA3SP083786"/>
    <s v="D71069895"/>
    <s v="T-1"/>
    <s v="23-03-2025"/>
    <m/>
    <s v="30-10-2025"/>
    <n v="65736"/>
    <m/>
    <m/>
    <n v="25"/>
    <s v="B008089972147"/>
    <s v="REAR OIL SEAL (SKF)"/>
    <n v="1"/>
    <n v="286.12"/>
    <s v="Accepted"/>
    <m/>
    <s v="-"/>
    <s v="Cr note under process"/>
    <m/>
    <n v="337.62"/>
    <n v="0"/>
    <m/>
    <m/>
    <n v="337.62"/>
    <m/>
    <m/>
    <m/>
  </r>
  <r>
    <n v="1016849"/>
    <x v="357"/>
    <s v="11-02-2026"/>
    <n v="7134260121009"/>
    <s v="G26C00000120"/>
    <s v="GDW26E000003"/>
    <s v="23-02-2026"/>
    <x v="16"/>
    <s v="MC1E4CAA3SP083786"/>
    <s v="D71069895"/>
    <s v="T-1"/>
    <s v="23-03-2025"/>
    <m/>
    <s v="30-10-2025"/>
    <n v="65736"/>
    <m/>
    <m/>
    <n v="26"/>
    <s v="B008040330001"/>
    <s v="MAIN BEARING UPPER"/>
    <n v="5"/>
    <n v="337.35"/>
    <s v="Accepted"/>
    <m/>
    <s v="-"/>
    <s v="Cr note under process"/>
    <m/>
    <n v="398.07"/>
    <n v="0"/>
    <m/>
    <m/>
    <n v="398.07"/>
    <m/>
    <m/>
    <m/>
  </r>
  <r>
    <n v="1016849"/>
    <x v="357"/>
    <s v="11-02-2026"/>
    <n v="7134260121009"/>
    <s v="G26C00000120"/>
    <s v="GDW26E000003"/>
    <s v="23-02-2026"/>
    <x v="16"/>
    <s v="MC1E4CAA3SP083786"/>
    <s v="D71069895"/>
    <s v="T-1"/>
    <s v="23-03-2025"/>
    <m/>
    <s v="30-10-2025"/>
    <n v="65736"/>
    <m/>
    <m/>
    <n v="27"/>
    <s v="B008040330002"/>
    <s v="MAIN BEARING LOWER"/>
    <n v="5"/>
    <n v="345.45"/>
    <s v="Accepted"/>
    <m/>
    <s v="-"/>
    <s v="Cr note under process"/>
    <m/>
    <n v="407.63"/>
    <n v="0"/>
    <m/>
    <m/>
    <n v="407.63"/>
    <m/>
    <m/>
    <m/>
  </r>
  <r>
    <n v="1016849"/>
    <x v="357"/>
    <s v="11-02-2026"/>
    <n v="7134260121009"/>
    <s v="G26C00000120"/>
    <s v="GDW26E000003"/>
    <s v="23-02-2026"/>
    <x v="16"/>
    <s v="MC1E4CAA3SP083786"/>
    <s v="D71069895"/>
    <s v="T-1"/>
    <s v="23-03-2025"/>
    <m/>
    <s v="30-10-2025"/>
    <n v="65736"/>
    <m/>
    <m/>
    <n v="28"/>
    <s v="B008080161021"/>
    <s v="GASKET (CYLINDER HEA"/>
    <n v="1"/>
    <n v="246.29"/>
    <s v="Accepted"/>
    <m/>
    <s v="-"/>
    <s v="Cr note under process"/>
    <m/>
    <n v="290.62"/>
    <n v="0"/>
    <m/>
    <m/>
    <n v="290.62"/>
    <m/>
    <m/>
    <m/>
  </r>
  <r>
    <n v="1016849"/>
    <x v="357"/>
    <s v="11-02-2026"/>
    <n v="7134260121009"/>
    <s v="G26C00000120"/>
    <s v="GDW26E000003"/>
    <s v="23-02-2026"/>
    <x v="16"/>
    <s v="MC1E4CAA3SP083786"/>
    <s v="D71069895"/>
    <s v="T-1"/>
    <s v="23-03-2025"/>
    <m/>
    <s v="30-10-2025"/>
    <n v="65736"/>
    <m/>
    <m/>
    <n v="29"/>
    <s v="XFOIL00014"/>
    <s v="ENGINE OIL CK4 10W30"/>
    <n v="7"/>
    <n v="2080"/>
    <s v="Accepted"/>
    <m/>
    <s v="-"/>
    <s v="Cr note under process"/>
    <m/>
    <n v="2454.4"/>
    <n v="0"/>
    <m/>
    <m/>
    <n v="2454.4"/>
    <m/>
    <m/>
    <m/>
  </r>
  <r>
    <n v="1016849"/>
    <x v="357"/>
    <s v="11-02-2026"/>
    <n v="7134260121009"/>
    <s v="G26C00000120"/>
    <s v="GDW26E000003"/>
    <s v="23-02-2026"/>
    <x v="16"/>
    <s v="MC1E4CAA3SP083786"/>
    <s v="D71069895"/>
    <s v="T-1"/>
    <s v="23-03-2025"/>
    <m/>
    <s v="30-10-2025"/>
    <n v="65736"/>
    <m/>
    <m/>
    <n v="30"/>
    <s v="B008080302620"/>
    <s v="CONN ROD ASSY SET FO"/>
    <n v="1"/>
    <n v="4138.2299999999996"/>
    <s v="Accepted"/>
    <m/>
    <s v="-"/>
    <s v="Cr note under process"/>
    <m/>
    <n v="4883.1099999999997"/>
    <n v="0"/>
    <m/>
    <m/>
    <n v="4883.1099999999997"/>
    <m/>
    <m/>
    <m/>
  </r>
  <r>
    <n v="1016849"/>
    <x v="357"/>
    <s v="11-02-2026"/>
    <n v="7134260121009"/>
    <s v="G26C00000120"/>
    <s v="GDW26E000003"/>
    <s v="23-02-2026"/>
    <x v="16"/>
    <s v="MC1E4CAA3SP083786"/>
    <s v="D71069895"/>
    <s v="T-1"/>
    <s v="23-03-2025"/>
    <m/>
    <s v="30-10-2025"/>
    <n v="65736"/>
    <m/>
    <m/>
    <n v="31"/>
    <s v="B008081872580"/>
    <s v="GASKET (FOR SPINON F"/>
    <n v="1"/>
    <n v="23.57"/>
    <s v="Accepted"/>
    <m/>
    <s v="-"/>
    <s v="Cr note under process"/>
    <m/>
    <n v="27.81"/>
    <n v="0"/>
    <m/>
    <m/>
    <n v="27.81"/>
    <m/>
    <m/>
    <m/>
  </r>
  <r>
    <n v="1016849"/>
    <x v="357"/>
    <s v="11-02-2026"/>
    <n v="7134260121009"/>
    <s v="G26C00000120"/>
    <s v="GDW26E000003"/>
    <s v="23-02-2026"/>
    <x v="16"/>
    <s v="MC1E4CAA3SP083786"/>
    <s v="D71069895"/>
    <s v="T-1"/>
    <s v="23-03-2025"/>
    <m/>
    <s v="30-10-2025"/>
    <n v="65736"/>
    <m/>
    <m/>
    <n v="32"/>
    <s v="B008081595401"/>
    <s v="GLOW PLUG  BS VI  FM"/>
    <n v="2"/>
    <n v="552.72"/>
    <s v="Accepted"/>
    <m/>
    <s v="-"/>
    <s v="Cr note under process"/>
    <m/>
    <n v="652.21"/>
    <n v="0"/>
    <m/>
    <m/>
    <n v="652.21"/>
    <m/>
    <m/>
    <m/>
  </r>
  <r>
    <n v="1016849"/>
    <x v="357"/>
    <s v="11-02-2026"/>
    <n v="7134260121009"/>
    <s v="G26C00000120"/>
    <s v="GDW26E000003"/>
    <s v="23-02-2026"/>
    <x v="16"/>
    <s v="MC1E4CAA3SP083786"/>
    <s v="D71069895"/>
    <s v="T-1"/>
    <s v="23-03-2025"/>
    <m/>
    <s v="30-10-2025"/>
    <n v="65736"/>
    <m/>
    <m/>
    <n v="33"/>
    <s v="B008081802727"/>
    <s v="LUB OIL PIPE ASSY (F"/>
    <n v="1"/>
    <n v="160.13999999999999"/>
    <s v="Accepted"/>
    <m/>
    <s v="-"/>
    <s v="Cr note under process"/>
    <m/>
    <n v="188.97"/>
    <n v="0"/>
    <m/>
    <m/>
    <n v="188.97"/>
    <m/>
    <m/>
    <m/>
  </r>
  <r>
    <n v="1016849"/>
    <x v="357"/>
    <s v="11-02-2026"/>
    <n v="7134260121009"/>
    <s v="G26C00000120"/>
    <s v="GDW26E000003"/>
    <s v="23-02-2026"/>
    <x v="16"/>
    <s v="MC1E4CAA3SP083786"/>
    <s v="D71069895"/>
    <s v="T-1"/>
    <s v="23-03-2025"/>
    <m/>
    <s v="30-10-2025"/>
    <n v="65736"/>
    <m/>
    <m/>
    <n v="34"/>
    <s v="XFOIL00016"/>
    <s v="COOLANT BS6"/>
    <n v="13"/>
    <n v="5226"/>
    <s v="Accepted"/>
    <m/>
    <s v="-"/>
    <s v="Cr note under process"/>
    <m/>
    <n v="6166.68"/>
    <n v="0"/>
    <m/>
    <m/>
    <n v="6166.68"/>
    <m/>
    <m/>
    <m/>
  </r>
  <r>
    <n v="1016849"/>
    <x v="357"/>
    <s v="11-02-2026"/>
    <n v="7134260121009"/>
    <s v="G26C00000120"/>
    <s v="GDW26E000003"/>
    <s v="23-02-2026"/>
    <x v="16"/>
    <s v="MC1E4CAA3SP083786"/>
    <s v="D71069895"/>
    <s v="T-1"/>
    <s v="23-03-2025"/>
    <m/>
    <s v="30-10-2025"/>
    <n v="65736"/>
    <m/>
    <m/>
    <n v="35"/>
    <s v="B00868470000210"/>
    <s v="SPIN-ON FILTER"/>
    <n v="1"/>
    <n v="451.12"/>
    <s v="Accepted"/>
    <m/>
    <s v="-"/>
    <s v="Cr note under process"/>
    <m/>
    <n v="532.32000000000005"/>
    <n v="0"/>
    <m/>
    <m/>
    <n v="532.32000000000005"/>
    <m/>
    <m/>
    <m/>
  </r>
  <r>
    <n v="1016849"/>
    <x v="357"/>
    <s v="11-02-2026"/>
    <n v="7134260121009"/>
    <s v="G26C00000120"/>
    <s v="GDW26E000003"/>
    <s v="23-02-2026"/>
    <x v="16"/>
    <s v="MC1E4CAA3SP083786"/>
    <s v="D71069895"/>
    <s v="T-1"/>
    <s v="23-03-2025"/>
    <m/>
    <s v="30-10-2025"/>
    <n v="65736"/>
    <m/>
    <m/>
    <n v="36"/>
    <s v="EN0104"/>
    <s v="Labour Charges"/>
    <n v="1"/>
    <n v="10400"/>
    <s v="Accepted"/>
    <m/>
    <s v="-"/>
    <s v="Cr note under process"/>
    <m/>
    <n v="12272"/>
    <n v="0"/>
    <m/>
    <m/>
    <n v="12272"/>
    <m/>
    <m/>
    <m/>
  </r>
  <r>
    <n v="1016849"/>
    <x v="357"/>
    <s v="11-02-2026"/>
    <n v="7134260121009"/>
    <s v="G26C00000120"/>
    <s v="GDW26E000003"/>
    <s v="23-02-2026"/>
    <x v="16"/>
    <s v="MC1E4CAA3SP083786"/>
    <s v="D71069895"/>
    <s v="T-1"/>
    <s v="23-03-2025"/>
    <m/>
    <s v="30-10-2025"/>
    <n v="65736"/>
    <m/>
    <m/>
    <n v="37"/>
    <s v="EH-3A"/>
    <s v="Labour Charges"/>
    <n v="1"/>
    <n v="2240"/>
    <s v="Accepted"/>
    <m/>
    <s v="-"/>
    <s v="Cr note under process"/>
    <m/>
    <n v="2643.2"/>
    <n v="0"/>
    <m/>
    <m/>
    <n v="2643.2"/>
    <m/>
    <m/>
    <m/>
  </r>
  <r>
    <n v="1016849"/>
    <x v="357"/>
    <s v="11-02-2026"/>
    <n v="7134260121009"/>
    <s v="G26C00000120"/>
    <s v="GDW26E000003"/>
    <s v="23-02-2026"/>
    <x v="16"/>
    <s v="MC1E4CAA3SP083786"/>
    <s v="D71069895"/>
    <s v="T-1"/>
    <s v="23-03-2025"/>
    <m/>
    <s v="30-10-2025"/>
    <n v="65736"/>
    <m/>
    <m/>
    <n v="38"/>
    <s v="EH-5A"/>
    <s v="Labour Charges"/>
    <n v="1"/>
    <n v="1464"/>
    <s v="Accepted"/>
    <m/>
    <s v="-"/>
    <s v="Cr note under process"/>
    <m/>
    <n v="1727.52"/>
    <n v="0"/>
    <m/>
    <m/>
    <n v="1727.52"/>
    <m/>
    <m/>
    <m/>
  </r>
  <r>
    <n v="1016849"/>
    <x v="357"/>
    <s v="11-02-2026"/>
    <n v="7134260121009"/>
    <s v="G26C00000120"/>
    <s v="GDW26E000003"/>
    <s v="23-02-2026"/>
    <x v="16"/>
    <s v="MC1E4CAA3SP083786"/>
    <s v="D71069895"/>
    <s v="T-1"/>
    <s v="23-03-2025"/>
    <m/>
    <s v="30-10-2025"/>
    <n v="65736"/>
    <m/>
    <m/>
    <n v="39"/>
    <s v="EN8057"/>
    <s v="Labour Charges"/>
    <n v="1"/>
    <n v="8000"/>
    <s v="Accepted"/>
    <m/>
    <s v="-"/>
    <s v="Cr note under process"/>
    <m/>
    <n v="9440"/>
    <n v="0"/>
    <m/>
    <m/>
    <n v="9440"/>
    <m/>
    <m/>
    <m/>
  </r>
  <r>
    <n v="2002256"/>
    <x v="358"/>
    <s v="30-04-2025"/>
    <n v="7134260112199"/>
    <s v="W26C00000795"/>
    <s v="WAR26C000006"/>
    <s v="12-05-2025"/>
    <x v="1"/>
    <s v="MC1M4AAAXSP003240"/>
    <s v="D71069281"/>
    <s v="T1N"/>
    <s v="29-01-2025"/>
    <n v="1165"/>
    <s v="23-04-2025"/>
    <n v="10710"/>
    <m/>
    <m/>
    <n v="1"/>
    <s v="B008688300140"/>
    <s v="BLOWER MOTOR HOLDER"/>
    <n v="1"/>
    <n v="2140.19"/>
    <s v="Accepted"/>
    <m/>
    <s v="-"/>
    <n v="1750230"/>
    <s v="10-07-2025"/>
    <n v="2739.44"/>
    <n v="0"/>
    <m/>
    <m/>
    <n v="2739.44"/>
    <m/>
    <m/>
    <m/>
  </r>
  <r>
    <n v="2002256"/>
    <x v="358"/>
    <s v="30-04-2025"/>
    <n v="7134260112199"/>
    <s v="W26C00000795"/>
    <s v="WAR26C000006"/>
    <s v="12-05-2025"/>
    <x v="1"/>
    <s v="MC1M4AAAXSP003240"/>
    <s v="D71069281"/>
    <s v="T1N"/>
    <s v="29-01-2025"/>
    <n v="1165"/>
    <s v="23-04-2025"/>
    <n v="10710"/>
    <m/>
    <m/>
    <n v="2"/>
    <s v="EL0207"/>
    <s v="Labour Charges"/>
    <n v="1"/>
    <n v="150"/>
    <s v="Accepted"/>
    <m/>
    <s v="-"/>
    <n v="1750230"/>
    <s v="10-07-2025"/>
    <n v="177"/>
    <n v="0"/>
    <m/>
    <m/>
    <n v="177"/>
    <m/>
    <m/>
    <m/>
  </r>
  <r>
    <n v="2002261"/>
    <x v="359"/>
    <s v="30-04-2025"/>
    <n v="7134260112191"/>
    <s v="W26C00000787"/>
    <s v="WAR26C000003"/>
    <s v="14-05-2025"/>
    <x v="1"/>
    <s v="MC1M4AJA9SP002404"/>
    <s v="D71062633"/>
    <s v="T1N"/>
    <s v="09-10-2024"/>
    <m/>
    <s v="29-03-2025"/>
    <n v="11124"/>
    <m/>
    <m/>
    <n v="1"/>
    <s v="B00808200000101"/>
    <s v="WATER PUMP ASSLY WIT"/>
    <n v="1"/>
    <n v="3236.86"/>
    <s v="Accepted"/>
    <m/>
    <s v="-"/>
    <n v="1750227"/>
    <s v="10-07-2025"/>
    <n v="4143.18"/>
    <n v="0"/>
    <m/>
    <m/>
    <n v="4143.18"/>
    <m/>
    <m/>
    <m/>
  </r>
  <r>
    <n v="2002261"/>
    <x v="359"/>
    <s v="30-04-2025"/>
    <n v="7134260112191"/>
    <s v="W26C00000787"/>
    <s v="WAR26C000003"/>
    <s v="14-05-2025"/>
    <x v="1"/>
    <s v="MC1M4AJA9SP002404"/>
    <s v="D71062633"/>
    <s v="T1N"/>
    <s v="09-10-2024"/>
    <m/>
    <s v="29-03-2025"/>
    <n v="11124"/>
    <m/>
    <m/>
    <n v="2"/>
    <s v="ENCOL-10"/>
    <s v="Labour Charges"/>
    <n v="1"/>
    <n v="277.5"/>
    <s v="Accepted"/>
    <m/>
    <s v="-"/>
    <n v="1750227"/>
    <s v="10-07-2025"/>
    <n v="327.45"/>
    <n v="0"/>
    <m/>
    <m/>
    <n v="327.45"/>
    <m/>
    <m/>
    <m/>
  </r>
  <r>
    <n v="2002283"/>
    <x v="360"/>
    <s v="30-04-2025"/>
    <n v="7134260112192"/>
    <s v="W26C00000788"/>
    <s v="WAR26C000004"/>
    <s v="15-05-2025"/>
    <x v="1"/>
    <s v="MC1M4AJA0SP002436"/>
    <s v="D71062823"/>
    <s v="T1N"/>
    <s v="18-10-2024"/>
    <n v="1165"/>
    <s v="29-03-2025"/>
    <n v="31245"/>
    <m/>
    <m/>
    <n v="1"/>
    <s v="B008685421317"/>
    <s v="COOLANT LEVEL SENSOR"/>
    <n v="1"/>
    <n v="2193.58"/>
    <s v="Accepted"/>
    <m/>
    <s v="-"/>
    <n v="1750228"/>
    <s v="10-07-2025"/>
    <n v="2588.42"/>
    <n v="0"/>
    <m/>
    <m/>
    <n v="2588.42"/>
    <m/>
    <m/>
    <m/>
  </r>
  <r>
    <n v="2002283"/>
    <x v="360"/>
    <s v="30-04-2025"/>
    <n v="7134260112192"/>
    <s v="W26C00000788"/>
    <s v="WAR26C000004"/>
    <s v="15-05-2025"/>
    <x v="1"/>
    <s v="MC1M4AJA0SP002436"/>
    <s v="D71062823"/>
    <s v="T1N"/>
    <s v="18-10-2024"/>
    <n v="1165"/>
    <s v="29-03-2025"/>
    <n v="31245"/>
    <m/>
    <m/>
    <n v="2"/>
    <s v="EL0207"/>
    <s v="Labour Charges"/>
    <n v="1"/>
    <n v="150"/>
    <s v="Accepted"/>
    <m/>
    <s v="-"/>
    <n v="1750228"/>
    <s v="10-07-2025"/>
    <n v="177"/>
    <n v="0"/>
    <m/>
    <m/>
    <n v="177"/>
    <m/>
    <m/>
    <m/>
  </r>
  <r>
    <n v="2002285"/>
    <x v="361"/>
    <s v="30-04-2025"/>
    <n v="7134260112205"/>
    <s v="W26C00000801"/>
    <s v="WAR26C000007"/>
    <s v="15-05-2025"/>
    <x v="1"/>
    <s v="MC1M4AEA7RP001515"/>
    <s v="D71054485"/>
    <s v="T1N"/>
    <s v="28-05-2024"/>
    <m/>
    <s v="12-04-2025"/>
    <n v="38621"/>
    <m/>
    <m/>
    <n v="1"/>
    <s v="B008685010003"/>
    <s v="RADIATOR"/>
    <n v="1"/>
    <n v="6314.1"/>
    <s v="Accepted"/>
    <m/>
    <s v="-"/>
    <n v="1750231"/>
    <s v="10-07-2025"/>
    <n v="8082.05"/>
    <n v="0"/>
    <m/>
    <m/>
    <n v="8082.05"/>
    <m/>
    <m/>
    <m/>
  </r>
  <r>
    <n v="2002285"/>
    <x v="361"/>
    <s v="30-04-2025"/>
    <n v="7134260112205"/>
    <s v="W26C00000801"/>
    <s v="WAR26C000007"/>
    <s v="15-05-2025"/>
    <x v="1"/>
    <s v="MC1M4AEA7RP001515"/>
    <s v="D71054485"/>
    <s v="T1N"/>
    <s v="28-05-2024"/>
    <m/>
    <s v="12-04-2025"/>
    <n v="38621"/>
    <m/>
    <m/>
    <n v="2"/>
    <s v="ENCOL-6"/>
    <s v="Labour Charges"/>
    <n v="1"/>
    <n v="285"/>
    <s v="Accepted"/>
    <m/>
    <s v="-"/>
    <n v="1750231"/>
    <s v="10-07-2025"/>
    <n v="336.3"/>
    <n v="0"/>
    <m/>
    <m/>
    <n v="336.3"/>
    <m/>
    <m/>
    <m/>
  </r>
  <r>
    <n v="2002320"/>
    <x v="362"/>
    <s v="30-04-2025"/>
    <n v="7134260112193"/>
    <s v="W26C00000789"/>
    <s v="WAR26C000005"/>
    <s v="16-05-2025"/>
    <x v="1"/>
    <s v="MC1M4AFAXRP001720"/>
    <s v="D71055788"/>
    <s v="T1N"/>
    <s v="30-06-2024"/>
    <n v="1160"/>
    <s v="29-03-2025"/>
    <n v="42259"/>
    <m/>
    <m/>
    <n v="1"/>
    <s v="B008092000001"/>
    <s v="WATER PUMP ASSY (TD"/>
    <n v="1"/>
    <n v="2541.6"/>
    <s v="Accepted"/>
    <m/>
    <s v="-"/>
    <n v="1750229"/>
    <s v="10-07-2025"/>
    <n v="3091.9"/>
    <n v="0"/>
    <m/>
    <m/>
    <n v="3091.9"/>
    <m/>
    <m/>
    <m/>
  </r>
  <r>
    <n v="2002320"/>
    <x v="362"/>
    <s v="30-04-2025"/>
    <n v="7134260112193"/>
    <s v="W26C00000789"/>
    <s v="WAR26C000005"/>
    <s v="16-05-2025"/>
    <x v="1"/>
    <s v="MC1M4AFAXRP001720"/>
    <s v="D71055788"/>
    <s v="T1N"/>
    <s v="30-06-2024"/>
    <n v="1160"/>
    <s v="29-03-2025"/>
    <n v="42259"/>
    <m/>
    <m/>
    <n v="2"/>
    <s v="ENCOL-10"/>
    <s v="Labour Charges"/>
    <n v="1"/>
    <n v="277.5"/>
    <s v="Accepted"/>
    <m/>
    <s v="-"/>
    <n v="1750229"/>
    <s v="10-07-2025"/>
    <n v="327.45"/>
    <n v="0"/>
    <m/>
    <m/>
    <n v="327.45"/>
    <m/>
    <m/>
    <m/>
  </r>
  <r>
    <n v="2002334"/>
    <x v="363"/>
    <s v="30-04-2025"/>
    <n v="7134260112190"/>
    <s v="W26C00000786"/>
    <s v="WAR26C000002"/>
    <s v="16-05-2025"/>
    <x v="1"/>
    <s v="MC1M4ALA7SP002799"/>
    <s v="D71065600"/>
    <s v="T1N"/>
    <s v="31-12-2024"/>
    <n v="1165"/>
    <s v="29-03-2025"/>
    <n v="12133"/>
    <m/>
    <m/>
    <n v="1"/>
    <s v="B00868470000110"/>
    <s v="FUEL FILTER ASSLY (S"/>
    <n v="1"/>
    <n v="2107.6799999999998"/>
    <s v="Accepted"/>
    <m/>
    <s v="-"/>
    <n v="1750226"/>
    <s v="10-07-2025"/>
    <n v="2186.85"/>
    <n v="0"/>
    <m/>
    <m/>
    <n v="2186.85"/>
    <m/>
    <m/>
    <m/>
  </r>
  <r>
    <n v="2002458"/>
    <x v="364"/>
    <s v="31-05-2025"/>
    <n v="7134260112942"/>
    <s v="W26C00001480"/>
    <s v="WAR26C000011"/>
    <s v="02-06-2025"/>
    <x v="2"/>
    <s v="MC1M4AFA5RP001723"/>
    <s v="D71056049"/>
    <s v="T1N"/>
    <s v="20-07-2024"/>
    <n v="1165"/>
    <s v="12-04-2025"/>
    <n v="42246"/>
    <m/>
    <m/>
    <n v="1"/>
    <s v="B008685010003"/>
    <s v="RADIATOR"/>
    <n v="1"/>
    <n v="6314.1"/>
    <s v="Accepted"/>
    <m/>
    <s v="-"/>
    <n v="1752227"/>
    <s v="25-09-2025"/>
    <n v="8082.05"/>
    <n v="0"/>
    <m/>
    <m/>
    <n v="8082.05"/>
    <m/>
    <m/>
    <m/>
  </r>
  <r>
    <n v="2002458"/>
    <x v="364"/>
    <s v="31-05-2025"/>
    <n v="7134260112942"/>
    <s v="W26C00001480"/>
    <s v="WAR26C000011"/>
    <s v="02-06-2025"/>
    <x v="2"/>
    <s v="MC1M4AFA5RP001723"/>
    <s v="D71056049"/>
    <s v="T1N"/>
    <s v="20-07-2024"/>
    <n v="1165"/>
    <s v="12-04-2025"/>
    <n v="42246"/>
    <m/>
    <m/>
    <n v="2"/>
    <s v="ENCOL-6"/>
    <s v="Labour Charges"/>
    <n v="1"/>
    <n v="285"/>
    <s v="Accepted"/>
    <m/>
    <s v="-"/>
    <n v="1752227"/>
    <s v="25-09-2025"/>
    <n v="336.3"/>
    <n v="0"/>
    <m/>
    <m/>
    <n v="336.3"/>
    <m/>
    <m/>
    <m/>
  </r>
  <r>
    <n v="2002581"/>
    <x v="365"/>
    <s v="28-06-2025"/>
    <n v="7134260114332"/>
    <s v="W26C00002629"/>
    <s v="WAR26E000001"/>
    <s v="30-06-2025"/>
    <x v="2"/>
    <s v="MC1M4AKA7SP002562"/>
    <s v="D71063886"/>
    <s v="T1N"/>
    <s v="28-10-2024"/>
    <n v="1165"/>
    <s v="24-04-2025"/>
    <n v="29689"/>
    <m/>
    <m/>
    <n v="1"/>
    <s v="B008682500004"/>
    <s v="CLUTCH COVER ASSLY ("/>
    <n v="1"/>
    <n v="2805.91"/>
    <s v="Accepted"/>
    <m/>
    <s v="-"/>
    <n v="1752232"/>
    <s v="25-09-2025"/>
    <n v="3591.56"/>
    <n v="0"/>
    <m/>
    <m/>
    <n v="3591.56"/>
    <m/>
    <m/>
    <m/>
  </r>
  <r>
    <n v="2002581"/>
    <x v="365"/>
    <s v="28-06-2025"/>
    <n v="7134260114332"/>
    <s v="W26C00002629"/>
    <s v="WAR26E000001"/>
    <s v="30-06-2025"/>
    <x v="2"/>
    <s v="MC1M4AKA7SP002562"/>
    <s v="D71063886"/>
    <s v="T1N"/>
    <s v="28-10-2024"/>
    <n v="1165"/>
    <s v="24-04-2025"/>
    <n v="29689"/>
    <m/>
    <m/>
    <n v="2"/>
    <s v="B008682500103"/>
    <s v="CLUTCH PLATE ASSLY ("/>
    <n v="1"/>
    <n v="2940.02"/>
    <s v="Accepted"/>
    <m/>
    <s v="-"/>
    <n v="1752232"/>
    <s v="25-09-2025"/>
    <n v="3763.23"/>
    <n v="0"/>
    <m/>
    <m/>
    <n v="3763.23"/>
    <m/>
    <m/>
    <m/>
  </r>
  <r>
    <n v="2002581"/>
    <x v="365"/>
    <s v="28-06-2025"/>
    <n v="7134260114332"/>
    <s v="W26C00002629"/>
    <s v="WAR26E000001"/>
    <s v="30-06-2025"/>
    <x v="2"/>
    <s v="MC1M4AKA7SP002562"/>
    <s v="D71063886"/>
    <s v="T1N"/>
    <s v="28-10-2024"/>
    <n v="1165"/>
    <s v="24-04-2025"/>
    <n v="29689"/>
    <m/>
    <m/>
    <n v="3"/>
    <s v="CL-3"/>
    <s v="Labour Charges"/>
    <n v="1"/>
    <n v="585"/>
    <s v="Accepted"/>
    <m/>
    <s v="-"/>
    <n v="1752232"/>
    <s v="25-09-2025"/>
    <n v="690.3"/>
    <n v="0"/>
    <m/>
    <m/>
    <n v="690.3"/>
    <m/>
    <m/>
    <m/>
  </r>
  <r>
    <n v="2002583"/>
    <x v="366"/>
    <s v="28-06-2025"/>
    <n v="7134260114983"/>
    <s v="W26C00003142"/>
    <s v="WAR26E000081"/>
    <s v="30-06-2025"/>
    <x v="3"/>
    <s v="MC1M4ABA3RP000978"/>
    <s v="D71046706"/>
    <s v="T1N"/>
    <s v="15-02-2024"/>
    <n v="1165"/>
    <s v="24-06-2025"/>
    <n v="50120"/>
    <m/>
    <m/>
    <n v="1"/>
    <s v="EL2026"/>
    <s v="Labour Charges"/>
    <n v="1"/>
    <n v="52.5"/>
    <s v="Accepted"/>
    <m/>
    <s v="-"/>
    <n v="1752312"/>
    <s v="25-09-2025"/>
    <n v="61.95"/>
    <n v="0"/>
    <m/>
    <m/>
    <n v="61.95"/>
    <m/>
    <m/>
    <m/>
  </r>
  <r>
    <n v="2002585"/>
    <x v="367"/>
    <s v="28-06-2025"/>
    <n v="7134260114973"/>
    <s v="W26C00003132"/>
    <s v="WAR26E000071"/>
    <s v="30-06-2025"/>
    <x v="3"/>
    <s v="MC1M4AKA9SP002577"/>
    <s v="D71064017"/>
    <s v="T1N"/>
    <s v="30-10-2024"/>
    <n v="1165"/>
    <s v="23-06-2025"/>
    <n v="19200"/>
    <m/>
    <m/>
    <n v="1"/>
    <s v="EL2026"/>
    <s v="Labour Charges"/>
    <n v="1"/>
    <n v="52.5"/>
    <s v="Accepted"/>
    <m/>
    <s v="-"/>
    <n v="1752302"/>
    <s v="25-09-2025"/>
    <n v="61.95"/>
    <n v="0"/>
    <m/>
    <m/>
    <n v="61.95"/>
    <m/>
    <m/>
    <m/>
  </r>
  <r>
    <n v="2002589"/>
    <x v="368"/>
    <s v="28-06-2025"/>
    <n v="7134260114945"/>
    <s v="W26C00003104"/>
    <s v="WAR26E000048"/>
    <s v="30-06-2025"/>
    <x v="3"/>
    <s v="MC1M4AKAXRP000671"/>
    <s v="D71041770"/>
    <s v="T1N"/>
    <s v="06-11-2023"/>
    <n v="1165"/>
    <s v="20-06-2025"/>
    <n v="67520"/>
    <m/>
    <m/>
    <n v="1"/>
    <s v="EL2026"/>
    <s v="Labour Charges"/>
    <n v="1"/>
    <n v="52.5"/>
    <s v="Accepted"/>
    <m/>
    <s v="-"/>
    <n v="1752279"/>
    <s v="25-09-2025"/>
    <n v="61.95"/>
    <n v="0"/>
    <m/>
    <m/>
    <n v="61.95"/>
    <m/>
    <m/>
    <m/>
  </r>
  <r>
    <n v="2002592"/>
    <x v="369"/>
    <s v="28-06-2025"/>
    <n v="7134260114980"/>
    <s v="W26C00003139"/>
    <s v="WAR26E000078"/>
    <s v="30-06-2025"/>
    <x v="3"/>
    <s v="MC1M4AAA5RP000921"/>
    <s v="D71044541"/>
    <s v="T1N"/>
    <s v="31-01-2024"/>
    <n v="1165"/>
    <s v="24-06-2025"/>
    <n v="60120"/>
    <m/>
    <m/>
    <n v="1"/>
    <s v="EL2026"/>
    <s v="Labour Charges"/>
    <n v="1"/>
    <n v="52.5"/>
    <s v="Accepted"/>
    <m/>
    <s v="-"/>
    <n v="1752309"/>
    <s v="25-09-2025"/>
    <n v="61.95"/>
    <n v="0"/>
    <m/>
    <m/>
    <n v="61.95"/>
    <m/>
    <m/>
    <m/>
  </r>
  <r>
    <n v="2002595"/>
    <x v="370"/>
    <s v="28-06-2025"/>
    <n v="7134260114581"/>
    <s v="W26C00002816"/>
    <s v="WAR26E000020"/>
    <s v="30-06-2025"/>
    <x v="3"/>
    <s v="MC1M4AKAXRP000654"/>
    <s v="D71041031"/>
    <s v="T1N"/>
    <s v="30-10-2023"/>
    <n v="1165"/>
    <s v="03-06-2025"/>
    <n v="35200"/>
    <m/>
    <m/>
    <n v="1"/>
    <s v="EL2026"/>
    <s v="Labour Charges"/>
    <n v="1"/>
    <n v="45"/>
    <s v="Accepted"/>
    <m/>
    <s v="-"/>
    <n v="1752251"/>
    <s v="25-09-2025"/>
    <n v="53.1"/>
    <n v="0"/>
    <m/>
    <m/>
    <n v="53.1"/>
    <m/>
    <m/>
    <m/>
  </r>
  <r>
    <n v="2002597"/>
    <x v="371"/>
    <s v="28-06-2025"/>
    <n v="7134260114941"/>
    <s v="W26C00003100"/>
    <s v="WAR26E000046"/>
    <s v="30-06-2025"/>
    <x v="3"/>
    <s v="MC1M4AKAXRP000654"/>
    <s v="D71041031"/>
    <s v="T1N"/>
    <s v="30-10-2023"/>
    <n v="1165"/>
    <s v="20-06-2025"/>
    <n v="35820"/>
    <m/>
    <m/>
    <n v="1"/>
    <s v="EL2026"/>
    <s v="Labour Charges"/>
    <n v="1"/>
    <n v="52.5"/>
    <s v="Accepted"/>
    <m/>
    <s v="-"/>
    <n v="1752277"/>
    <s v="25-09-2025"/>
    <n v="61.95"/>
    <n v="0"/>
    <m/>
    <m/>
    <n v="61.95"/>
    <m/>
    <m/>
    <m/>
  </r>
  <r>
    <n v="2002598"/>
    <x v="372"/>
    <s v="28-06-2025"/>
    <n v="7134260114970"/>
    <s v="W26C00003129"/>
    <s v="WAR26E000068"/>
    <s v="30-06-2025"/>
    <x v="3"/>
    <s v="MC1M4AKAXSP002572"/>
    <s v="D71063955"/>
    <s v="T1N"/>
    <s v="25-11-2024"/>
    <n v="1165"/>
    <s v="23-06-2025"/>
    <n v="21110"/>
    <m/>
    <m/>
    <n v="1"/>
    <s v="EL2026"/>
    <s v="Labour Charges"/>
    <n v="1"/>
    <n v="52.5"/>
    <s v="Accepted"/>
    <m/>
    <s v="-"/>
    <n v="1752299"/>
    <s v="25-09-2025"/>
    <n v="61.95"/>
    <n v="0"/>
    <m/>
    <m/>
    <n v="61.95"/>
    <m/>
    <m/>
    <m/>
  </r>
  <r>
    <n v="2002599"/>
    <x v="373"/>
    <s v="28-06-2025"/>
    <n v="7134260114964"/>
    <s v="W26C00003123"/>
    <s v="WAR26E000062"/>
    <s v="30-06-2025"/>
    <x v="3"/>
    <s v="MC1M4AKA8SP002635"/>
    <s v="D71064370"/>
    <s v="T1N"/>
    <s v="30-10-2024"/>
    <n v="1165"/>
    <s v="23-06-2025"/>
    <n v="23520"/>
    <m/>
    <m/>
    <n v="1"/>
    <s v="EL2026"/>
    <s v="Labour Charges"/>
    <n v="1"/>
    <n v="52.5"/>
    <s v="Accepted"/>
    <m/>
    <s v="-"/>
    <n v="1752293"/>
    <s v="25-09-2025"/>
    <n v="61.95"/>
    <n v="0"/>
    <m/>
    <m/>
    <n v="61.95"/>
    <m/>
    <m/>
    <m/>
  </r>
  <r>
    <n v="2002602"/>
    <x v="374"/>
    <s v="28-06-2025"/>
    <n v="7134260114972"/>
    <s v="W26C00003131"/>
    <s v="WAR26E000070"/>
    <s v="30-06-2025"/>
    <x v="3"/>
    <s v="MC1M4AKA2SP002632"/>
    <s v="D71064354"/>
    <s v="T1N"/>
    <s v="30-10-2024"/>
    <n v="1165"/>
    <s v="23-06-2025"/>
    <n v="21200"/>
    <m/>
    <m/>
    <n v="1"/>
    <s v="EL2026"/>
    <s v="Labour Charges"/>
    <n v="1"/>
    <n v="52.5"/>
    <s v="Accepted"/>
    <m/>
    <s v="-"/>
    <n v="1752301"/>
    <s v="25-09-2025"/>
    <n v="61.95"/>
    <n v="0"/>
    <m/>
    <m/>
    <n v="61.95"/>
    <m/>
    <m/>
    <m/>
  </r>
  <r>
    <n v="2002603"/>
    <x v="375"/>
    <s v="28-06-2025"/>
    <n v="7134260114947"/>
    <s v="W26C00003106"/>
    <s v="WAR26E000050"/>
    <s v="30-06-2025"/>
    <x v="3"/>
    <s v="MC1M4ALA5RP000706"/>
    <s v="D71042291"/>
    <s v="T1N"/>
    <s v="16-11-2023"/>
    <n v="1165"/>
    <s v="20-06-2025"/>
    <n v="94960"/>
    <m/>
    <m/>
    <n v="1"/>
    <s v="EL2026"/>
    <s v="Labour Charges"/>
    <n v="1"/>
    <n v="52.5"/>
    <s v="Accepted"/>
    <m/>
    <s v="-"/>
    <n v="1752281"/>
    <s v="25-09-2025"/>
    <n v="61.95"/>
    <n v="0"/>
    <m/>
    <m/>
    <n v="61.95"/>
    <m/>
    <m/>
    <m/>
  </r>
  <r>
    <n v="2002605"/>
    <x v="376"/>
    <s v="28-06-2025"/>
    <n v="7134260114965"/>
    <s v="W26C00003124"/>
    <s v="WAR26E000063"/>
    <s v="30-06-2025"/>
    <x v="3"/>
    <s v="MC1M4AKAXSP002670"/>
    <s v="D71064697"/>
    <s v="T1N"/>
    <s v="31-10-2024"/>
    <n v="1165"/>
    <s v="23-06-2025"/>
    <n v="41200"/>
    <m/>
    <m/>
    <n v="1"/>
    <s v="EL2026"/>
    <s v="Labour Charges"/>
    <n v="1"/>
    <n v="52.5"/>
    <s v="Accepted"/>
    <m/>
    <s v="-"/>
    <n v="1752294"/>
    <s v="25-09-2025"/>
    <n v="61.95"/>
    <n v="0"/>
    <m/>
    <m/>
    <n v="61.95"/>
    <m/>
    <m/>
    <m/>
  </r>
  <r>
    <n v="2002608"/>
    <x v="377"/>
    <s v="28-06-2025"/>
    <n v="7134260114985"/>
    <s v="W26C00003144"/>
    <s v="WAR26E000083"/>
    <s v="30-06-2025"/>
    <x v="3"/>
    <s v="MC1M4ABA1RP000994"/>
    <s v="D71047182"/>
    <s v="T1N"/>
    <s v="19-02-2024"/>
    <n v="1165"/>
    <s v="24-06-2025"/>
    <n v="79120"/>
    <m/>
    <m/>
    <n v="1"/>
    <s v="EL2026"/>
    <s v="Labour Charges"/>
    <n v="1"/>
    <n v="52.5"/>
    <s v="Accepted"/>
    <m/>
    <s v="-"/>
    <n v="1752314"/>
    <s v="25-09-2025"/>
    <n v="61.95"/>
    <n v="0"/>
    <m/>
    <m/>
    <n v="61.95"/>
    <m/>
    <m/>
    <m/>
  </r>
  <r>
    <n v="2002609"/>
    <x v="378"/>
    <s v="28-06-2025"/>
    <n v="7134260114971"/>
    <s v="W26C00003130"/>
    <s v="WAR26E000069"/>
    <s v="30-06-2025"/>
    <x v="3"/>
    <s v="MC1M4AKA5SP002673"/>
    <s v="D71064545"/>
    <s v="T1N"/>
    <s v="28-11-2024"/>
    <n v="1165"/>
    <s v="23-06-2025"/>
    <n v="21000"/>
    <m/>
    <m/>
    <n v="1"/>
    <s v="EL2026"/>
    <s v="Labour Charges"/>
    <n v="1"/>
    <n v="52.5"/>
    <s v="Accepted"/>
    <m/>
    <s v="-"/>
    <n v="1752300"/>
    <s v="25-09-2025"/>
    <n v="61.95"/>
    <n v="0"/>
    <m/>
    <m/>
    <n v="61.95"/>
    <m/>
    <m/>
    <m/>
  </r>
  <r>
    <n v="2002612"/>
    <x v="379"/>
    <s v="30-06-2025"/>
    <n v="7134260115234"/>
    <s v="W26C00003374"/>
    <s v="WAR26E000096"/>
    <s v="01-07-2025"/>
    <x v="3"/>
    <s v="MC1M4ACA6RP001203"/>
    <s v="D71050375"/>
    <s v="T1N"/>
    <s v="28-03-2024"/>
    <n v="1165"/>
    <s v="26-06-2025"/>
    <n v="65920"/>
    <m/>
    <m/>
    <n v="1"/>
    <s v="EL2026"/>
    <s v="Labour Charges"/>
    <n v="1"/>
    <n v="52.5"/>
    <s v="Accepted"/>
    <m/>
    <s v="-"/>
    <n v="1752327"/>
    <s v="25-09-2025"/>
    <n v="61.95"/>
    <n v="0"/>
    <m/>
    <m/>
    <n v="61.95"/>
    <m/>
    <m/>
    <m/>
  </r>
  <r>
    <n v="2002615"/>
    <x v="380"/>
    <s v="30-06-2025"/>
    <n v="7134260115229"/>
    <s v="W26C00003369"/>
    <s v="WAR26E000091"/>
    <s v="01-07-2025"/>
    <x v="3"/>
    <s v="MC1M4BBA2RP000489"/>
    <s v="D71049526"/>
    <s v="T1N"/>
    <s v="19-03-2024"/>
    <n v="1165"/>
    <s v="26-06-2025"/>
    <n v="4520"/>
    <m/>
    <m/>
    <n v="1"/>
    <s v="EL2026"/>
    <s v="Labour Charges"/>
    <n v="1"/>
    <n v="52.5"/>
    <s v="Accepted"/>
    <m/>
    <s v="-"/>
    <n v="1752322"/>
    <s v="25-09-2025"/>
    <n v="61.95"/>
    <n v="0"/>
    <m/>
    <m/>
    <n v="61.95"/>
    <m/>
    <m/>
    <m/>
  </r>
  <r>
    <n v="2002793"/>
    <x v="381"/>
    <s v="31-07-2025"/>
    <n v="7134260116180"/>
    <s v="W26C00004165"/>
    <s v="WAR26E000100"/>
    <s v="01-08-2025"/>
    <x v="5"/>
    <s v="MC1M4ALA7SP002799"/>
    <s v="D71065600"/>
    <s v="T1N"/>
    <s v="31-12-2024"/>
    <n v="1165"/>
    <s v="22-07-2025"/>
    <n v="30519"/>
    <m/>
    <m/>
    <n v="1"/>
    <s v="XFOIL00016"/>
    <s v="COOLANT BS6"/>
    <n v="7"/>
    <n v="2814"/>
    <s v="Accepted"/>
    <m/>
    <s v="-"/>
    <n v="1754010"/>
    <s v="03-12-2025"/>
    <n v="3320.52"/>
    <n v="0"/>
    <m/>
    <m/>
    <n v="3320.52"/>
    <m/>
    <m/>
    <m/>
  </r>
  <r>
    <n v="2002793"/>
    <x v="381"/>
    <s v="31-07-2025"/>
    <n v="7134260116180"/>
    <s v="W26C00004165"/>
    <s v="WAR26E000100"/>
    <s v="01-08-2025"/>
    <x v="5"/>
    <s v="MC1M4ALA7SP002799"/>
    <s v="D71065600"/>
    <s v="T1N"/>
    <s v="31-12-2024"/>
    <n v="1165"/>
    <s v="22-07-2025"/>
    <n v="30519"/>
    <m/>
    <m/>
    <n v="2"/>
    <s v="B00868500000103"/>
    <s v="RADIATOR ASSY"/>
    <n v="1"/>
    <n v="6314.1"/>
    <s v="Accepted"/>
    <m/>
    <s v="-"/>
    <n v="1754010"/>
    <s v="03-12-2025"/>
    <n v="8082.05"/>
    <n v="0"/>
    <m/>
    <m/>
    <n v="8082.05"/>
    <m/>
    <m/>
    <m/>
  </r>
  <r>
    <n v="2002793"/>
    <x v="381"/>
    <s v="31-07-2025"/>
    <n v="7134260116180"/>
    <s v="W26C00004165"/>
    <s v="WAR26E000100"/>
    <s v="01-08-2025"/>
    <x v="5"/>
    <s v="MC1M4ALA7SP002799"/>
    <s v="D71065600"/>
    <s v="T1N"/>
    <s v="31-12-2024"/>
    <n v="1165"/>
    <s v="22-07-2025"/>
    <n v="30519"/>
    <m/>
    <m/>
    <n v="3"/>
    <s v="ENCOL-6"/>
    <s v="Labour Charges"/>
    <n v="1"/>
    <n v="332.5"/>
    <s v="Accepted"/>
    <m/>
    <s v="-"/>
    <n v="1754010"/>
    <s v="03-12-2025"/>
    <n v="392.35"/>
    <n v="0"/>
    <m/>
    <m/>
    <n v="392.35"/>
    <m/>
    <m/>
    <m/>
  </r>
  <r>
    <n v="2002794"/>
    <x v="382"/>
    <s v="31-07-2025"/>
    <n v="7134260115852"/>
    <s v="W26C00003850"/>
    <s v="WAR26E000097"/>
    <s v="01-08-2025"/>
    <x v="5"/>
    <s v="MC1M4AKA9SP002546"/>
    <s v="D71063692"/>
    <s v="T1N"/>
    <s v="18-10-2024"/>
    <m/>
    <s v="12-06-2025"/>
    <n v="21564"/>
    <m/>
    <m/>
    <n v="1"/>
    <s v="B00868470000110"/>
    <s v="FUEL FILTER ASSLY (S"/>
    <n v="1"/>
    <n v="2107.6799999999998"/>
    <s v="Accepted"/>
    <m/>
    <s v="-"/>
    <n v="1754007"/>
    <s v="03-12-2025"/>
    <n v="2487.06"/>
    <n v="0"/>
    <m/>
    <m/>
    <n v="2487.06"/>
    <m/>
    <m/>
    <m/>
  </r>
  <r>
    <n v="2002794"/>
    <x v="382"/>
    <s v="31-07-2025"/>
    <n v="7134260115852"/>
    <s v="W26C00003850"/>
    <s v="WAR26E000097"/>
    <s v="01-08-2025"/>
    <x v="5"/>
    <s v="MC1M4AKA9SP002546"/>
    <s v="D71063692"/>
    <s v="T1N"/>
    <s v="18-10-2024"/>
    <m/>
    <s v="12-06-2025"/>
    <n v="21564"/>
    <m/>
    <m/>
    <n v="2"/>
    <s v="ENCON2"/>
    <s v="Labour Charges"/>
    <n v="1"/>
    <n v="43.75"/>
    <s v="Accepted"/>
    <m/>
    <s v="-"/>
    <n v="1754007"/>
    <s v="03-12-2025"/>
    <n v="51.63"/>
    <n v="0"/>
    <m/>
    <m/>
    <n v="51.63"/>
    <m/>
    <m/>
    <m/>
  </r>
  <r>
    <n v="2002797"/>
    <x v="383"/>
    <s v="31-07-2025"/>
    <n v="7134260115947"/>
    <s v="W26C00003937"/>
    <s v="WAR26E000098"/>
    <s v="01-08-2025"/>
    <x v="5"/>
    <s v="MC1M4ACA1RP001285"/>
    <s v="D71051505"/>
    <s v="T1N"/>
    <s v="20-04-2024"/>
    <n v="1165"/>
    <s v="20-07-2025"/>
    <n v="51002"/>
    <m/>
    <m/>
    <n v="1"/>
    <s v="B008080941148"/>
    <s v="HFM SENSOR(BOSCH)"/>
    <n v="1"/>
    <n v="3144.86"/>
    <s v="Accepted"/>
    <m/>
    <s v="-"/>
    <n v="1754008"/>
    <s v="03-12-2025"/>
    <n v="3710.93"/>
    <n v="0"/>
    <m/>
    <m/>
    <n v="3710.93"/>
    <m/>
    <m/>
    <m/>
  </r>
  <r>
    <n v="2002797"/>
    <x v="383"/>
    <s v="31-07-2025"/>
    <n v="7134260115947"/>
    <s v="W26C00003937"/>
    <s v="WAR26E000098"/>
    <s v="01-08-2025"/>
    <x v="5"/>
    <s v="MC1M4ACA1RP001285"/>
    <s v="D71051505"/>
    <s v="T1N"/>
    <s v="20-04-2024"/>
    <n v="1165"/>
    <s v="20-07-2025"/>
    <n v="51002"/>
    <m/>
    <m/>
    <n v="2"/>
    <s v="T006865425418"/>
    <s v="NOX SENSOR DOWN STRE"/>
    <n v="1"/>
    <n v="12374.27"/>
    <s v="Accepted"/>
    <m/>
    <s v="-"/>
    <n v="1754008"/>
    <s v="03-12-2025"/>
    <n v="15839.07"/>
    <n v="0"/>
    <m/>
    <m/>
    <n v="15839.07"/>
    <m/>
    <m/>
    <m/>
  </r>
  <r>
    <n v="2002797"/>
    <x v="383"/>
    <s v="31-07-2025"/>
    <n v="7134260115947"/>
    <s v="W26C00003937"/>
    <s v="WAR26E000098"/>
    <s v="01-08-2025"/>
    <x v="5"/>
    <s v="MC1M4ACA1RP001285"/>
    <s v="D71051505"/>
    <s v="T1N"/>
    <s v="20-04-2024"/>
    <n v="1165"/>
    <s v="20-07-2025"/>
    <n v="51002"/>
    <m/>
    <m/>
    <n v="3"/>
    <s v="T006864900021"/>
    <s v="DOSING MODULE 3.6 (A"/>
    <n v="1"/>
    <n v="2884.75"/>
    <s v="Accepted"/>
    <m/>
    <s v="-"/>
    <n v="1754008"/>
    <s v="03-12-2025"/>
    <n v="3692.48"/>
    <n v="0"/>
    <m/>
    <m/>
    <n v="3692.48"/>
    <m/>
    <m/>
    <m/>
  </r>
  <r>
    <n v="2002797"/>
    <x v="383"/>
    <s v="31-07-2025"/>
    <n v="7134260115947"/>
    <s v="W26C00003937"/>
    <s v="WAR26E000098"/>
    <s v="01-08-2025"/>
    <x v="5"/>
    <s v="MC1M4ACA1RP001285"/>
    <s v="D71051505"/>
    <s v="T1N"/>
    <s v="20-04-2024"/>
    <n v="1165"/>
    <s v="20-07-2025"/>
    <n v="51002"/>
    <m/>
    <m/>
    <n v="4"/>
    <s v="B008080173521"/>
    <s v="INJECTOR  ASSLY FM 2"/>
    <n v="4"/>
    <n v="27086.92"/>
    <s v="Accepted"/>
    <m/>
    <s v="-"/>
    <n v="1754008"/>
    <s v="03-12-2025"/>
    <n v="34671.26"/>
    <n v="0"/>
    <m/>
    <m/>
    <n v="34671.26"/>
    <m/>
    <m/>
    <m/>
  </r>
  <r>
    <n v="2002797"/>
    <x v="383"/>
    <s v="31-07-2025"/>
    <n v="7134260115947"/>
    <s v="W26C00003937"/>
    <s v="WAR26E000098"/>
    <s v="01-08-2025"/>
    <x v="5"/>
    <s v="MC1M4ACA1RP001285"/>
    <s v="D71051505"/>
    <s v="T1N"/>
    <s v="20-04-2024"/>
    <n v="1165"/>
    <s v="20-07-2025"/>
    <n v="51002"/>
    <m/>
    <m/>
    <n v="5"/>
    <s v="T006865421218"/>
    <s v="DIFF PRESSURE SENSOR"/>
    <n v="1"/>
    <n v="1103.02"/>
    <s v="Accepted"/>
    <m/>
    <s v="-"/>
    <n v="1754008"/>
    <s v="03-12-2025"/>
    <n v="1411.87"/>
    <n v="0"/>
    <m/>
    <m/>
    <n v="1411.87"/>
    <m/>
    <m/>
    <m/>
  </r>
  <r>
    <n v="2002797"/>
    <x v="383"/>
    <s v="31-07-2025"/>
    <n v="7134260115947"/>
    <s v="W26C00003937"/>
    <s v="WAR26E000098"/>
    <s v="01-08-2025"/>
    <x v="5"/>
    <s v="MC1M4ACA1RP001285"/>
    <s v="D71051505"/>
    <s v="T1N"/>
    <s v="20-04-2024"/>
    <n v="1165"/>
    <s v="20-07-2025"/>
    <n v="51002"/>
    <m/>
    <m/>
    <n v="6"/>
    <s v="T006864904206"/>
    <s v="DPF ASLY T1 BSVI (M/"/>
    <n v="1"/>
    <n v="20889.86"/>
    <s v="Accepted"/>
    <m/>
    <s v="-"/>
    <n v="1754008"/>
    <s v="03-12-2025"/>
    <n v="26739.02"/>
    <n v="0"/>
    <m/>
    <m/>
    <n v="26739.02"/>
    <m/>
    <m/>
    <m/>
  </r>
  <r>
    <n v="2002797"/>
    <x v="383"/>
    <s v="31-07-2025"/>
    <n v="7134260115947"/>
    <s v="W26C00003937"/>
    <s v="WAR26E000098"/>
    <s v="01-08-2025"/>
    <x v="5"/>
    <s v="MC1M4ACA1RP001285"/>
    <s v="D71051505"/>
    <s v="T1N"/>
    <s v="20-04-2024"/>
    <n v="1165"/>
    <s v="20-07-2025"/>
    <n v="51002"/>
    <m/>
    <m/>
    <n v="7"/>
    <s v="EL0207"/>
    <s v="Labour Charges"/>
    <n v="1"/>
    <n v="175"/>
    <s v="Accepted"/>
    <m/>
    <s v="-"/>
    <n v="1754008"/>
    <s v="03-12-2025"/>
    <n v="206.5"/>
    <n v="0"/>
    <m/>
    <m/>
    <n v="206.5"/>
    <m/>
    <m/>
    <m/>
  </r>
  <r>
    <n v="2002797"/>
    <x v="383"/>
    <s v="31-07-2025"/>
    <n v="7134260115947"/>
    <s v="W26C00003937"/>
    <s v="WAR26E000098"/>
    <s v="01-08-2025"/>
    <x v="5"/>
    <s v="MC1M4ACA1RP001285"/>
    <s v="D71051505"/>
    <s v="T1N"/>
    <s v="20-04-2024"/>
    <n v="1165"/>
    <s v="20-07-2025"/>
    <n v="51002"/>
    <m/>
    <m/>
    <n v="8"/>
    <s v="EX-16"/>
    <s v="Labour Charges"/>
    <n v="1"/>
    <n v="52.5"/>
    <s v="Accepted"/>
    <m/>
    <s v="-"/>
    <n v="1754008"/>
    <s v="03-12-2025"/>
    <n v="61.95"/>
    <n v="0"/>
    <m/>
    <m/>
    <n v="61.95"/>
    <m/>
    <m/>
    <m/>
  </r>
  <r>
    <n v="2002797"/>
    <x v="383"/>
    <s v="31-07-2025"/>
    <n v="7134260115947"/>
    <s v="W26C00003937"/>
    <s v="WAR26E000098"/>
    <s v="01-08-2025"/>
    <x v="5"/>
    <s v="MC1M4ACA1RP001285"/>
    <s v="D71051505"/>
    <s v="T1N"/>
    <s v="20-04-2024"/>
    <n v="1165"/>
    <s v="20-07-2025"/>
    <n v="51002"/>
    <m/>
    <m/>
    <n v="9"/>
    <s v="EX-7"/>
    <s v="Labour Charges"/>
    <n v="1"/>
    <n v="52.5"/>
    <s v="Accepted"/>
    <m/>
    <s v="-"/>
    <n v="1754008"/>
    <s v="03-12-2025"/>
    <n v="61.95"/>
    <n v="0"/>
    <m/>
    <m/>
    <n v="61.95"/>
    <m/>
    <m/>
    <m/>
  </r>
  <r>
    <n v="2002797"/>
    <x v="383"/>
    <s v="31-07-2025"/>
    <n v="7134260115947"/>
    <s v="W26C00003937"/>
    <s v="WAR26E000098"/>
    <s v="01-08-2025"/>
    <x v="5"/>
    <s v="MC1M4ACA1RP001285"/>
    <s v="D71051505"/>
    <s v="T1N"/>
    <s v="20-04-2024"/>
    <n v="1165"/>
    <s v="20-07-2025"/>
    <n v="51002"/>
    <m/>
    <m/>
    <n v="10"/>
    <s v="EX-3"/>
    <s v="Labour Charges"/>
    <n v="1"/>
    <n v="61.25"/>
    <s v="Accepted"/>
    <m/>
    <s v="-"/>
    <n v="1754008"/>
    <s v="03-12-2025"/>
    <n v="72.28"/>
    <n v="0"/>
    <m/>
    <m/>
    <n v="72.28"/>
    <m/>
    <m/>
    <m/>
  </r>
  <r>
    <n v="2002797"/>
    <x v="383"/>
    <s v="31-07-2025"/>
    <n v="7134260115947"/>
    <s v="W26C00003937"/>
    <s v="WAR26E000098"/>
    <s v="01-08-2025"/>
    <x v="5"/>
    <s v="MC1M4ACA1RP001285"/>
    <s v="D71051505"/>
    <s v="T1N"/>
    <s v="20-04-2024"/>
    <n v="1165"/>
    <s v="20-07-2025"/>
    <n v="51002"/>
    <m/>
    <m/>
    <n v="11"/>
    <s v="ENFS-6"/>
    <s v="Labour Charges"/>
    <n v="1"/>
    <n v="323.75"/>
    <s v="Accepted"/>
    <m/>
    <s v="-"/>
    <n v="1754008"/>
    <s v="03-12-2025"/>
    <n v="382.03"/>
    <n v="0"/>
    <m/>
    <m/>
    <n v="382.03"/>
    <m/>
    <m/>
    <m/>
  </r>
  <r>
    <n v="2002797"/>
    <x v="383"/>
    <s v="31-07-2025"/>
    <n v="7134260115947"/>
    <s v="W26C00003937"/>
    <s v="WAR26E000098"/>
    <s v="01-08-2025"/>
    <x v="5"/>
    <s v="MC1M4ACA1RP001285"/>
    <s v="D71051505"/>
    <s v="T1N"/>
    <s v="20-04-2024"/>
    <n v="1165"/>
    <s v="20-07-2025"/>
    <n v="51002"/>
    <m/>
    <m/>
    <n v="12"/>
    <s v="EX-9"/>
    <s v="Labour Charges"/>
    <n v="1"/>
    <n v="507.5"/>
    <s v="Accepted"/>
    <m/>
    <s v="-"/>
    <n v="1754008"/>
    <s v="03-12-2025"/>
    <n v="598.85"/>
    <n v="0"/>
    <m/>
    <m/>
    <n v="598.85"/>
    <m/>
    <m/>
    <m/>
  </r>
  <r>
    <n v="2002797"/>
    <x v="383"/>
    <s v="31-07-2025"/>
    <n v="7134260115947"/>
    <s v="W26C00003937"/>
    <s v="WAR26E000098"/>
    <s v="01-08-2025"/>
    <x v="5"/>
    <s v="MC1M4ACA1RP001285"/>
    <s v="D71051505"/>
    <s v="T1N"/>
    <s v="20-04-2024"/>
    <n v="1165"/>
    <s v="20-07-2025"/>
    <n v="51002"/>
    <m/>
    <m/>
    <n v="13"/>
    <s v="EL0504"/>
    <s v="Labour Charges"/>
    <n v="1"/>
    <n v="700"/>
    <s v="Accepted"/>
    <m/>
    <s v="-"/>
    <n v="1754008"/>
    <s v="03-12-2025"/>
    <n v="826"/>
    <n v="0"/>
    <m/>
    <m/>
    <n v="826"/>
    <m/>
    <m/>
    <m/>
  </r>
  <r>
    <n v="2002851"/>
    <x v="384"/>
    <s v="31-08-2025"/>
    <n v="7134260117166"/>
    <s v="W26C00004992"/>
    <s v="WAR26E000144"/>
    <s v="08-09-2025"/>
    <x v="6"/>
    <s v="MC1M4AFA1RP001833"/>
    <s v="D71056914"/>
    <s v="T1N"/>
    <s v="31-07-2024"/>
    <n v="1165"/>
    <s v="24-07-2025"/>
    <n v="29230"/>
    <m/>
    <m/>
    <n v="1"/>
    <s v="EL2026"/>
    <s v="Labour Charges"/>
    <n v="1"/>
    <n v="52.5"/>
    <s v="Accepted"/>
    <m/>
    <s v="-"/>
    <n v="1754049"/>
    <s v="03-12-2025"/>
    <n v="61.95"/>
    <n v="0"/>
    <m/>
    <m/>
    <n v="61.95"/>
    <m/>
    <m/>
    <m/>
  </r>
  <r>
    <n v="2002866"/>
    <x v="385"/>
    <s v="31-08-2025"/>
    <n v="7134260117168"/>
    <s v="W26C00004994"/>
    <s v="WAR26E000146"/>
    <s v="08-09-2025"/>
    <x v="6"/>
    <s v="MC1M4AGA7SP002019"/>
    <s v="D71058503"/>
    <s v="T1N"/>
    <s v="31-07-2024"/>
    <n v="1165"/>
    <s v="24-07-2025"/>
    <n v="46200"/>
    <m/>
    <m/>
    <n v="1"/>
    <s v="EL2026"/>
    <s v="Labour Charges"/>
    <n v="1"/>
    <n v="52.5"/>
    <s v="Accepted"/>
    <m/>
    <s v="-"/>
    <n v="1754051"/>
    <s v="03-12-2025"/>
    <n v="61.95"/>
    <n v="0"/>
    <m/>
    <m/>
    <n v="61.95"/>
    <m/>
    <m/>
    <m/>
  </r>
  <r>
    <n v="2002889"/>
    <x v="386"/>
    <s v="31-08-2025"/>
    <n v="7134260117151"/>
    <s v="W26C00004977"/>
    <s v="WAR26E000131"/>
    <s v="08-09-2025"/>
    <x v="6"/>
    <s v="MC1M4ADA5RP001370"/>
    <s v="D71052482"/>
    <s v="T1N"/>
    <s v="23-04-2024"/>
    <n v="1165"/>
    <s v="03-07-2025"/>
    <n v="89230"/>
    <m/>
    <m/>
    <n v="1"/>
    <s v="EL2026"/>
    <s v="Labour Charges"/>
    <n v="1"/>
    <n v="52.5"/>
    <s v="Accepted"/>
    <m/>
    <s v="-"/>
    <n v="1754036"/>
    <s v="03-12-2025"/>
    <n v="61.95"/>
    <n v="0"/>
    <m/>
    <m/>
    <n v="61.95"/>
    <m/>
    <m/>
    <m/>
  </r>
  <r>
    <n v="2002891"/>
    <x v="387"/>
    <s v="31-08-2025"/>
    <n v="7134260117132"/>
    <s v="W26C00004960"/>
    <s v="WAR26E000118"/>
    <s v="08-09-2025"/>
    <x v="6"/>
    <s v="MC1M4ACA8RP001252"/>
    <s v="D71050836"/>
    <s v="T1N"/>
    <s v="31-03-2024"/>
    <n v="1160"/>
    <s v="02-07-2025"/>
    <n v="89230"/>
    <m/>
    <m/>
    <n v="1"/>
    <s v="EL2026"/>
    <s v="Labour Charges"/>
    <n v="1"/>
    <n v="52.5"/>
    <s v="Accepted"/>
    <m/>
    <s v="-"/>
    <n v="1754023"/>
    <s v="03-12-2025"/>
    <n v="61.95"/>
    <n v="0"/>
    <m/>
    <m/>
    <n v="61.95"/>
    <m/>
    <m/>
    <m/>
  </r>
  <r>
    <n v="2002911"/>
    <x v="388"/>
    <s v="31-08-2025"/>
    <n v="7134260117182"/>
    <s v="W26C00005008"/>
    <s v="WAR26E000160"/>
    <s v="09-09-2025"/>
    <x v="6"/>
    <s v="MC1M4AGAXRP000405"/>
    <s v="D71033054"/>
    <s v="T1N"/>
    <s v="04-08-2023"/>
    <n v="1165"/>
    <s v="31-07-2025"/>
    <n v="93650"/>
    <m/>
    <m/>
    <n v="1"/>
    <s v="EL2026"/>
    <s v="Labour Charges"/>
    <n v="1"/>
    <n v="52.5"/>
    <s v="Accepted"/>
    <m/>
    <s v="-"/>
    <n v="1754065"/>
    <s v="03-12-2025"/>
    <n v="61.95"/>
    <n v="0"/>
    <m/>
    <m/>
    <n v="61.95"/>
    <m/>
    <m/>
    <m/>
  </r>
  <r>
    <n v="2002937"/>
    <x v="389"/>
    <s v="31-08-2025"/>
    <n v="7134260116367"/>
    <s v="W26C00004313"/>
    <s v="WAR26E000103"/>
    <s v="09-09-2025"/>
    <x v="5"/>
    <s v="MC1M4ALA7SP002785"/>
    <s v="D71064906"/>
    <s v="T1N"/>
    <s v="11-12-2024"/>
    <n v="1165"/>
    <s v="26-06-2025"/>
    <n v="31020"/>
    <m/>
    <m/>
    <n v="1"/>
    <s v="B008685010203"/>
    <s v="CONDENSOR"/>
    <n v="1"/>
    <n v="3895.92"/>
    <s v="Accepted"/>
    <m/>
    <s v="-"/>
    <n v="1754013"/>
    <s v="03-12-2025"/>
    <n v="4986.78"/>
    <n v="0"/>
    <m/>
    <m/>
    <n v="4986.78"/>
    <m/>
    <m/>
    <m/>
  </r>
  <r>
    <n v="2002937"/>
    <x v="389"/>
    <s v="31-08-2025"/>
    <n v="7134260116367"/>
    <s v="W26C00004313"/>
    <s v="WAR26E000103"/>
    <s v="09-09-2025"/>
    <x v="5"/>
    <s v="MC1M4ALA7SP002785"/>
    <s v="D71064906"/>
    <s v="T1N"/>
    <s v="11-12-2024"/>
    <n v="1165"/>
    <s v="26-06-2025"/>
    <n v="31020"/>
    <m/>
    <m/>
    <n v="2"/>
    <s v="AC0101"/>
    <s v="Labour Charges"/>
    <n v="1"/>
    <n v="306.25"/>
    <s v="Accepted"/>
    <m/>
    <s v="-"/>
    <n v="1754013"/>
    <s v="03-12-2025"/>
    <n v="361.38"/>
    <n v="0"/>
    <m/>
    <m/>
    <n v="361.38"/>
    <m/>
    <m/>
    <m/>
  </r>
  <r>
    <n v="2002937"/>
    <x v="389"/>
    <s v="31-08-2025"/>
    <n v="7134260116367"/>
    <s v="W26C00004313"/>
    <s v="WAR26E000103"/>
    <s v="09-09-2025"/>
    <x v="5"/>
    <s v="MC1M4ALA7SP002785"/>
    <s v="D71064906"/>
    <s v="T1N"/>
    <s v="11-12-2024"/>
    <n v="1165"/>
    <s v="26-06-2025"/>
    <n v="31020"/>
    <m/>
    <m/>
    <n v="3"/>
    <s v="AC0103"/>
    <s v="Labour Charges"/>
    <n v="1"/>
    <n v="52.5"/>
    <s v="Accepted"/>
    <m/>
    <s v="-"/>
    <n v="1754013"/>
    <s v="03-12-2025"/>
    <n v="61.95"/>
    <n v="0"/>
    <m/>
    <m/>
    <n v="61.95"/>
    <m/>
    <m/>
    <m/>
  </r>
  <r>
    <n v="2002937"/>
    <x v="389"/>
    <s v="31-08-2025"/>
    <n v="7134260116367"/>
    <s v="W26C00004313"/>
    <s v="WAR26E000103"/>
    <s v="09-09-2025"/>
    <x v="5"/>
    <s v="MC1M4ALA7SP002785"/>
    <s v="D71064906"/>
    <s v="T1N"/>
    <s v="11-12-2024"/>
    <n v="1165"/>
    <s v="26-06-2025"/>
    <n v="31020"/>
    <m/>
    <m/>
    <n v="4"/>
    <s v="AC0104"/>
    <s v="Labour Charges"/>
    <n v="1"/>
    <n v="262.5"/>
    <s v="Accepted"/>
    <m/>
    <s v="-"/>
    <n v="1754013"/>
    <s v="03-12-2025"/>
    <n v="309.75"/>
    <n v="0"/>
    <m/>
    <m/>
    <n v="309.75"/>
    <m/>
    <m/>
    <m/>
  </r>
  <r>
    <n v="2002948"/>
    <x v="390"/>
    <s v="31-08-2025"/>
    <n v="7134260117167"/>
    <s v="W26C00004993"/>
    <s v="WAR26E000145"/>
    <s v="09-09-2025"/>
    <x v="6"/>
    <s v="MC1M4AFA5RP001723"/>
    <s v="D71056049"/>
    <s v="T1N"/>
    <s v="20-07-2024"/>
    <n v="1165"/>
    <s v="24-07-2025"/>
    <n v="55230"/>
    <m/>
    <m/>
    <n v="1"/>
    <s v="EL2026"/>
    <s v="Labour Charges"/>
    <n v="1"/>
    <n v="52.5"/>
    <s v="Accepted"/>
    <m/>
    <s v="-"/>
    <n v="1754050"/>
    <s v="03-12-2025"/>
    <n v="61.95"/>
    <n v="0"/>
    <m/>
    <m/>
    <n v="61.95"/>
    <m/>
    <m/>
    <m/>
  </r>
  <r>
    <n v="2003067"/>
    <x v="391"/>
    <s v="30-09-2025"/>
    <n v="7134260117564"/>
    <s v="W26C00005320"/>
    <s v="WAR26E000163"/>
    <s v="03-10-2025"/>
    <x v="7"/>
    <s v="MC1M4BDA7RP000596"/>
    <s v="D71052415"/>
    <s v="T1N"/>
    <s v="22-10-2024"/>
    <m/>
    <s v="13-09-2025"/>
    <n v="26584"/>
    <m/>
    <m/>
    <n v="1"/>
    <s v="T006862602037"/>
    <s v="ASSLY DUAL CONE 3RD/"/>
    <n v="1"/>
    <n v="1220.8800000000001"/>
    <s v="Accepted"/>
    <m/>
    <s v="-"/>
    <n v="1755736"/>
    <s v="23-01-2026"/>
    <n v="1440.64"/>
    <n v="0"/>
    <m/>
    <m/>
    <n v="1440.64"/>
    <m/>
    <m/>
    <m/>
  </r>
  <r>
    <n v="2003067"/>
    <x v="391"/>
    <s v="30-09-2025"/>
    <n v="7134260117564"/>
    <s v="W26C00005320"/>
    <s v="WAR26E000163"/>
    <s v="03-10-2025"/>
    <x v="7"/>
    <s v="MC1M4BDA7RP000596"/>
    <s v="D71052415"/>
    <s v="T1N"/>
    <s v="22-10-2024"/>
    <m/>
    <s v="13-09-2025"/>
    <n v="26584"/>
    <m/>
    <m/>
    <n v="2"/>
    <s v="GB-19"/>
    <s v="Labour Charges"/>
    <n v="1"/>
    <n v="1268.75"/>
    <s v="Accepted"/>
    <m/>
    <s v="-"/>
    <n v="1755736"/>
    <s v="23-01-2026"/>
    <n v="1497.13"/>
    <n v="0"/>
    <m/>
    <m/>
    <n v="1497.13"/>
    <m/>
    <m/>
    <m/>
  </r>
  <r>
    <n v="2003079"/>
    <x v="392"/>
    <s v="30-09-2025"/>
    <n v="7134260117751"/>
    <s v="W26C00005473"/>
    <s v="WAR26E000165"/>
    <s v="04-10-2025"/>
    <x v="7"/>
    <s v="MC1M4AGA4SP002057"/>
    <s v="D71058793"/>
    <s v="T1N"/>
    <s v="31-08-2024"/>
    <n v="1165"/>
    <s v="31-07-2025"/>
    <n v="38607"/>
    <m/>
    <m/>
    <n v="1"/>
    <s v="T006862601082"/>
    <s v="SHIFTING DOME ASSLY"/>
    <n v="1"/>
    <n v="9190.5400000000009"/>
    <s v="Accepted"/>
    <m/>
    <s v="-"/>
    <n v="1755737"/>
    <s v="23-01-2026"/>
    <n v="10844.84"/>
    <n v="0"/>
    <m/>
    <m/>
    <n v="10844.84"/>
    <m/>
    <m/>
    <m/>
  </r>
  <r>
    <n v="2003079"/>
    <x v="392"/>
    <s v="30-09-2025"/>
    <n v="7134260117751"/>
    <s v="W26C00005473"/>
    <s v="WAR26E000165"/>
    <s v="04-10-2025"/>
    <x v="7"/>
    <s v="MC1M4AGA4SP002057"/>
    <s v="D71058793"/>
    <s v="T1N"/>
    <s v="31-08-2024"/>
    <n v="1165"/>
    <s v="31-07-2025"/>
    <n v="38607"/>
    <m/>
    <m/>
    <n v="2"/>
    <s v="GB-11"/>
    <s v="Labour Charges"/>
    <n v="1"/>
    <n v="560"/>
    <s v="Accepted"/>
    <m/>
    <s v="-"/>
    <n v="1755737"/>
    <s v="23-01-2026"/>
    <n v="660.8"/>
    <n v="0"/>
    <m/>
    <m/>
    <n v="660.8"/>
    <m/>
    <m/>
    <m/>
  </r>
  <r>
    <n v="2003169"/>
    <x v="393"/>
    <s v="31-10-2025"/>
    <n v="7134260117560"/>
    <s v="W26C00005317"/>
    <s v="WAR26E000162"/>
    <s v="03-11-2025"/>
    <x v="9"/>
    <s v="MC1M4AAA0SP003358"/>
    <s v="D71057957"/>
    <s v="T1N"/>
    <s v="11-02-2025"/>
    <n v="1165"/>
    <s v="13-09-2025"/>
    <n v="30001"/>
    <m/>
    <m/>
    <n v="1"/>
    <s v="B008685421317"/>
    <s v="COOLANT LEVEL SENSOR"/>
    <n v="1"/>
    <n v="2193.58"/>
    <s v="Accepted"/>
    <m/>
    <s v="-"/>
    <s v="Cr note under process"/>
    <m/>
    <n v="2588.42"/>
    <n v="0"/>
    <m/>
    <m/>
    <n v="2588.42"/>
    <m/>
    <m/>
    <m/>
  </r>
  <r>
    <n v="2003180"/>
    <x v="394"/>
    <s v="03-11-2025"/>
    <n v="7134260119131"/>
    <s v="W26C00006646"/>
    <s v="WAR26E000174"/>
    <s v="05-11-2025"/>
    <x v="9"/>
    <s v="MC1M4AFA4SP005137"/>
    <s v="D71084206"/>
    <s v="T1N"/>
    <s v="24-07-2025"/>
    <n v="1165"/>
    <s v="08-10-2025"/>
    <n v="5910"/>
    <m/>
    <m/>
    <n v="1"/>
    <s v="T006864001117"/>
    <s v="SPARE WHEEL MTG. UNI"/>
    <n v="1"/>
    <n v="1334.68"/>
    <s v="Accepted"/>
    <m/>
    <s v="-"/>
    <s v="Cr note under process"/>
    <m/>
    <n v="1574.92"/>
    <n v="0"/>
    <m/>
    <m/>
    <n v="1574.92"/>
    <m/>
    <m/>
    <m/>
  </r>
  <r>
    <n v="2003181"/>
    <x v="395"/>
    <s v="03-11-2025"/>
    <n v="7134260118321"/>
    <s v="W26C00005929"/>
    <s v="WAR26E000169"/>
    <s v="05-11-2025"/>
    <x v="9"/>
    <s v="MC1M4AKA7SP002562"/>
    <s v="D71063886"/>
    <s v="T1N"/>
    <s v="28-10-2024"/>
    <n v="1165"/>
    <s v="10-10-2025"/>
    <n v="42020"/>
    <m/>
    <m/>
    <n v="1"/>
    <s v="B008688300003"/>
    <s v="EVAPORATOR ASSY COMP"/>
    <n v="1"/>
    <n v="3071.7"/>
    <s v="Accepted"/>
    <m/>
    <s v="-"/>
    <s v="Cr note under process"/>
    <m/>
    <n v="3624.61"/>
    <n v="0"/>
    <m/>
    <m/>
    <n v="3624.61"/>
    <m/>
    <m/>
    <m/>
  </r>
  <r>
    <n v="2003181"/>
    <x v="395"/>
    <s v="03-11-2025"/>
    <n v="7134260118321"/>
    <s v="W26C00005929"/>
    <s v="WAR26E000169"/>
    <s v="05-11-2025"/>
    <x v="9"/>
    <s v="MC1M4AKA7SP002562"/>
    <s v="D71063886"/>
    <s v="T1N"/>
    <s v="28-10-2024"/>
    <n v="1165"/>
    <s v="10-10-2025"/>
    <n v="42020"/>
    <m/>
    <m/>
    <n v="2"/>
    <s v="AC0101"/>
    <s v="Labour Charges"/>
    <n v="1"/>
    <n v="306.25"/>
    <s v="Accepted"/>
    <m/>
    <s v="-"/>
    <s v="Cr note under process"/>
    <m/>
    <n v="361.38"/>
    <n v="0"/>
    <m/>
    <m/>
    <n v="361.38"/>
    <m/>
    <m/>
    <m/>
  </r>
  <r>
    <n v="2003181"/>
    <x v="395"/>
    <s v="03-11-2025"/>
    <n v="7134260118321"/>
    <s v="W26C00005929"/>
    <s v="WAR26E000169"/>
    <s v="05-11-2025"/>
    <x v="9"/>
    <s v="MC1M4AKA7SP002562"/>
    <s v="D71063886"/>
    <s v="T1N"/>
    <s v="28-10-2024"/>
    <n v="1165"/>
    <s v="10-10-2025"/>
    <n v="42020"/>
    <m/>
    <m/>
    <n v="3"/>
    <s v="AC0103"/>
    <s v="Labour Charges"/>
    <n v="1"/>
    <n v="52.5"/>
    <s v="Accepted"/>
    <m/>
    <s v="-"/>
    <s v="Cr note under process"/>
    <m/>
    <n v="61.95"/>
    <n v="0"/>
    <m/>
    <m/>
    <n v="61.95"/>
    <m/>
    <m/>
    <m/>
  </r>
  <r>
    <n v="2003185"/>
    <x v="396"/>
    <s v="03-11-2025"/>
    <n v="7134260119128"/>
    <s v="W26C00006643"/>
    <s v="WAR26E000173"/>
    <s v="05-11-2025"/>
    <x v="9"/>
    <s v="MC1M4AHA3TP005810"/>
    <s v="D71088618"/>
    <s v="T1N"/>
    <s v="24-09-2025"/>
    <n v="1138"/>
    <s v="05-10-2025"/>
    <n v="4049"/>
    <m/>
    <m/>
    <n v="1"/>
    <s v="B008080941148"/>
    <s v="HFM SENSOR(BOSCH)"/>
    <n v="1"/>
    <n v="3144.86"/>
    <s v="Accepted"/>
    <m/>
    <s v="-"/>
    <s v="Cr note under process"/>
    <m/>
    <n v="3710.93"/>
    <n v="0"/>
    <m/>
    <m/>
    <n v="3710.93"/>
    <m/>
    <m/>
    <m/>
  </r>
  <r>
    <n v="2003185"/>
    <x v="396"/>
    <s v="03-11-2025"/>
    <n v="7134260119128"/>
    <s v="W26C00006643"/>
    <s v="WAR26E000173"/>
    <s v="05-11-2025"/>
    <x v="9"/>
    <s v="MC1M4AHA3TP005810"/>
    <s v="D71088618"/>
    <s v="T1N"/>
    <s v="24-09-2025"/>
    <n v="1138"/>
    <s v="05-10-2025"/>
    <n v="4049"/>
    <m/>
    <m/>
    <n v="2"/>
    <s v="EL2076"/>
    <s v="Labour Charges"/>
    <n v="1"/>
    <n v="175"/>
    <s v="Accepted"/>
    <m/>
    <s v="-"/>
    <s v="Cr note under process"/>
    <m/>
    <n v="206.5"/>
    <n v="0"/>
    <m/>
    <m/>
    <n v="206.5"/>
    <m/>
    <m/>
    <m/>
  </r>
  <r>
    <n v="3000374"/>
    <x v="397"/>
    <s v="31-03-2025"/>
    <n v="713425042"/>
    <m/>
    <m/>
    <s v="11-04-2025"/>
    <x v="17"/>
    <s v="MC1D4DMAXRP102762"/>
    <s v="D72013178"/>
    <s v="TRAX"/>
    <s v="09-01-2024"/>
    <m/>
    <s v="25-08-2024"/>
    <n v="55314"/>
    <m/>
    <m/>
    <n v="1"/>
    <s v="B008544920680"/>
    <s v="GASKET V-CLAMP DIA.6"/>
    <n v="1"/>
    <n v="73.97"/>
    <s v="Accepted"/>
    <m/>
    <s v="-"/>
    <n v="1749457"/>
    <s v="05-06-2025"/>
    <n v="94.68"/>
    <n v="0"/>
    <m/>
    <m/>
    <n v="94.68"/>
    <m/>
    <m/>
    <s v="APPROVED BY SER HO HEAD DPF CHOCKED"/>
  </r>
  <r>
    <n v="3000374"/>
    <x v="397"/>
    <s v="31-03-2025"/>
    <n v="713425042"/>
    <m/>
    <m/>
    <s v="11-04-2025"/>
    <x v="17"/>
    <s v="MC1D4DMAXRP102762"/>
    <s v="D72013178"/>
    <s v="TRAX"/>
    <s v="09-01-2024"/>
    <m/>
    <s v="25-08-2024"/>
    <n v="55314"/>
    <m/>
    <m/>
    <n v="2"/>
    <s v="B008544920780"/>
    <s v="GASKET V-CLAMP DIA.1"/>
    <n v="1"/>
    <n v="341.39"/>
    <s v="Accepted"/>
    <m/>
    <s v="-"/>
    <n v="1749457"/>
    <s v="05-06-2025"/>
    <n v="436.98"/>
    <n v="0"/>
    <m/>
    <m/>
    <n v="436.98"/>
    <m/>
    <m/>
    <s v="APPROVED BY SER HO HEAD DPF CHOCKED"/>
  </r>
  <r>
    <n v="3000374"/>
    <x v="397"/>
    <s v="31-03-2025"/>
    <n v="713425042"/>
    <m/>
    <m/>
    <s v="11-04-2025"/>
    <x v="17"/>
    <s v="MC1D4DMAXRP102762"/>
    <s v="D72013178"/>
    <s v="TRAX"/>
    <s v="09-01-2024"/>
    <m/>
    <s v="25-08-2024"/>
    <n v="55314"/>
    <m/>
    <m/>
    <n v="3"/>
    <s v="B008544903906"/>
    <s v="DPF ASSLY SPARE (TFR"/>
    <n v="1"/>
    <n v="25475.87"/>
    <s v="Accepted"/>
    <m/>
    <s v="-"/>
    <n v="1749457"/>
    <s v="05-06-2025"/>
    <n v="32609.11"/>
    <n v="0"/>
    <m/>
    <m/>
    <n v="32609.11"/>
    <m/>
    <m/>
    <s v="APPROVED BY SER HO HEAD DPF CHOCKED"/>
  </r>
  <r>
    <n v="3000374"/>
    <x v="397"/>
    <s v="31-03-2025"/>
    <n v="713425042"/>
    <m/>
    <m/>
    <s v="11-04-2025"/>
    <x v="17"/>
    <s v="MC1D4DMAXRP102762"/>
    <s v="D72013178"/>
    <s v="TRAX"/>
    <s v="09-01-2024"/>
    <m/>
    <s v="25-08-2024"/>
    <n v="55314"/>
    <m/>
    <m/>
    <n v="4"/>
    <s v="L"/>
    <s v="Labour Charges"/>
    <n v="1"/>
    <n v="345"/>
    <s v="Accepted"/>
    <m/>
    <s v="-"/>
    <n v="1749457"/>
    <s v="05-06-2025"/>
    <n v="407.1"/>
    <n v="0"/>
    <m/>
    <m/>
    <n v="407.1"/>
    <m/>
    <m/>
    <s v="APPROVED BY SER HO HEAD DPF CHOCKED"/>
  </r>
  <r>
    <n v="10143237"/>
    <x v="398"/>
    <s v="30-11-2025"/>
    <n v="7134260119829"/>
    <s v="W26C00007226"/>
    <s v="WAR26E000229"/>
    <s v="02-12-2025"/>
    <x v="12"/>
    <s v="MC1E4FGA6SP020920"/>
    <s v="D71058109"/>
    <s v="T26"/>
    <s v="30-08-2024"/>
    <n v="1165"/>
    <s v="29-09-2025"/>
    <n v="13687"/>
    <m/>
    <m/>
    <n v="1"/>
    <s v="EL2026"/>
    <s v="Labour Charges"/>
    <n v="1"/>
    <n v="52.5"/>
    <s v="Accepted"/>
    <m/>
    <s v="-"/>
    <s v="Cr note under process"/>
    <m/>
    <n v="61.95"/>
    <n v="0"/>
    <m/>
    <m/>
    <n v="61.95"/>
    <m/>
    <m/>
    <m/>
  </r>
  <r>
    <n v="10143238"/>
    <x v="399"/>
    <s v="30-11-2025"/>
    <n v="7134260119837"/>
    <s v="W26C00007234"/>
    <s v="WAR26E000235"/>
    <s v="02-12-2025"/>
    <x v="12"/>
    <s v="MC1E4FHA7SP021377"/>
    <s v="D71060883"/>
    <s v="T26"/>
    <s v="05-09-2024"/>
    <n v="1165"/>
    <s v="29-09-2025"/>
    <n v="85506"/>
    <m/>
    <m/>
    <n v="1"/>
    <s v="EL2026"/>
    <s v="Labour Charges"/>
    <n v="1"/>
    <n v="52.5"/>
    <s v="Accepted"/>
    <m/>
    <s v="-"/>
    <s v="Cr note under process"/>
    <m/>
    <n v="61.95"/>
    <n v="0"/>
    <m/>
    <m/>
    <n v="61.95"/>
    <m/>
    <m/>
    <m/>
  </r>
  <r>
    <n v="1007683"/>
    <x v="400"/>
    <s v="27-03-2025"/>
    <n v="7160260110951"/>
    <s v="W25P00000544"/>
    <s v="WAR25D000009"/>
    <s v="01-04-2025"/>
    <x v="18"/>
    <s v="MC1D4GFA5RP000137"/>
    <s v="D72015603"/>
    <s v="GURKHA"/>
    <s v="25-06-2024"/>
    <m/>
    <s v="04-03-2025"/>
    <n v="9318"/>
    <m/>
    <m/>
    <n v="1"/>
    <s v="B008555404762"/>
    <s v="INSTRUMENT CLUSTER A"/>
    <n v="1"/>
    <n v="12064.1"/>
    <s v="Accepted"/>
    <m/>
    <s v="-"/>
    <n v="1750063"/>
    <s v="05-06-2025"/>
    <n v="15442.05"/>
    <n v="0"/>
    <m/>
    <m/>
    <n v="15442.05"/>
    <m/>
    <m/>
    <m/>
  </r>
  <r>
    <n v="1007683"/>
    <x v="400"/>
    <s v="27-03-2025"/>
    <n v="7160260110951"/>
    <s v="W25P00000544"/>
    <s v="WAR25D000009"/>
    <s v="01-04-2025"/>
    <x v="18"/>
    <s v="MC1D4GFA5RP000137"/>
    <s v="D72015603"/>
    <s v="GURKHA"/>
    <s v="25-06-2024"/>
    <m/>
    <s v="04-03-2025"/>
    <n v="9318"/>
    <m/>
    <m/>
    <n v="2"/>
    <s v="ELCO2"/>
    <s v="Labour Charges"/>
    <n v="1"/>
    <n v="75"/>
    <s v="Accepted"/>
    <m/>
    <s v="-"/>
    <n v="1750063"/>
    <s v="05-06-2025"/>
    <n v="88.5"/>
    <n v="0"/>
    <m/>
    <m/>
    <n v="88.5"/>
    <m/>
    <m/>
    <m/>
  </r>
  <r>
    <n v="1007691"/>
    <x v="401"/>
    <s v="27-03-2025"/>
    <n v="7160260110945"/>
    <s v="W25P00000542"/>
    <s v="WAR25D000008"/>
    <s v="01-04-2025"/>
    <x v="18"/>
    <s v="MC1D4GFA5RP000137"/>
    <s v="D72015603"/>
    <s v="GURKHA"/>
    <s v="25-06-2024"/>
    <m/>
    <s v="26-03-2025"/>
    <n v="10015"/>
    <m/>
    <m/>
    <n v="1"/>
    <s v="B008682600045"/>
    <s v="ASSLY TRIPLE CONE SY"/>
    <n v="1"/>
    <n v="5704.48"/>
    <s v="Accepted"/>
    <m/>
    <s v="-"/>
    <n v="1750062"/>
    <s v="05-06-2025"/>
    <n v="7301.73"/>
    <n v="0"/>
    <m/>
    <m/>
    <n v="7301.73"/>
    <m/>
    <m/>
    <m/>
  </r>
  <r>
    <n v="1007691"/>
    <x v="401"/>
    <s v="27-03-2025"/>
    <n v="7160260110945"/>
    <s v="W25P00000542"/>
    <s v="WAR25D000008"/>
    <s v="01-04-2025"/>
    <x v="18"/>
    <s v="MC1D4GFA5RP000137"/>
    <s v="D72015603"/>
    <s v="GURKHA"/>
    <s v="25-06-2024"/>
    <m/>
    <s v="26-03-2025"/>
    <n v="10015"/>
    <m/>
    <m/>
    <n v="2"/>
    <s v="G28-33"/>
    <s v="Labour Charges"/>
    <n v="1"/>
    <n v="2250"/>
    <s v="Accepted"/>
    <m/>
    <s v="-"/>
    <n v="1750062"/>
    <s v="05-06-2025"/>
    <n v="2655"/>
    <n v="0"/>
    <m/>
    <m/>
    <n v="2655"/>
    <m/>
    <m/>
    <m/>
  </r>
  <r>
    <n v="1007693"/>
    <x v="402"/>
    <s v="27-03-2025"/>
    <n v="7160260110936"/>
    <s v="W25P00000540"/>
    <s v="WAR25D000007"/>
    <s v="01-04-2025"/>
    <x v="18"/>
    <s v="MC1D4GGAXSP000249"/>
    <s v="D72015970"/>
    <s v="GURKHA"/>
    <s v="09-12-2024"/>
    <m/>
    <s v="16-02-2025"/>
    <n v="17539"/>
    <m/>
    <m/>
    <n v="1"/>
    <s v="B008685450211"/>
    <s v="NEUTRAL SWITCH (T1N)"/>
    <n v="1"/>
    <n v="364.15"/>
    <s v="Accepted"/>
    <m/>
    <s v="-"/>
    <n v="1750061"/>
    <s v="05-06-2025"/>
    <n v="429.7"/>
    <n v="0"/>
    <m/>
    <m/>
    <n v="429.7"/>
    <m/>
    <m/>
    <m/>
  </r>
  <r>
    <n v="1007693"/>
    <x v="402"/>
    <s v="27-03-2025"/>
    <n v="7160260110936"/>
    <s v="W25P00000540"/>
    <s v="WAR25D000007"/>
    <s v="01-04-2025"/>
    <x v="18"/>
    <s v="MC1D4GGAXSP000249"/>
    <s v="D72015970"/>
    <s v="GURKHA"/>
    <s v="09-12-2024"/>
    <m/>
    <s v="16-02-2025"/>
    <n v="17539"/>
    <m/>
    <m/>
    <n v="2"/>
    <s v="G28-16"/>
    <s v="Labour Charges"/>
    <n v="1"/>
    <n v="75"/>
    <s v="Accepted"/>
    <m/>
    <s v="-"/>
    <n v="1750061"/>
    <s v="05-06-2025"/>
    <n v="88.5"/>
    <n v="0"/>
    <m/>
    <m/>
    <n v="88.5"/>
    <m/>
    <m/>
    <m/>
  </r>
  <r>
    <n v="1012066"/>
    <x v="403"/>
    <s v="31-08-2025"/>
    <n v="7160260116364"/>
    <s v="W26P00000132"/>
    <s v="WAR26D000001"/>
    <s v="15-09-2025"/>
    <x v="5"/>
    <s v="MC1D4GGAXSP000249"/>
    <s v="D72015970"/>
    <s v="GURKHA"/>
    <s v="09-12-2024"/>
    <m/>
    <s v="25-07-2025"/>
    <n v="24906"/>
    <m/>
    <m/>
    <n v="1"/>
    <s v="B008553300802"/>
    <s v="DRIVE SHAFT ASLY COM"/>
    <n v="1"/>
    <n v="22404.080000000002"/>
    <s v="Rejected"/>
    <s v="04"/>
    <s v="VEHICLE OUT OF WARRANTY KILOMETER WISE / TIME WISE"/>
    <n v="1755237"/>
    <s v="03-12-2025"/>
    <n v="28677.22"/>
    <n v="28677.22"/>
    <n v="1517885"/>
    <s v="03-12-2025"/>
    <n v="0"/>
    <m/>
    <m/>
    <s v="6 months/50k kms, whichever occurs earlier"/>
  </r>
  <r>
    <n v="1012066"/>
    <x v="403"/>
    <s v="31-08-2025"/>
    <n v="7160260116364"/>
    <s v="W26P00000132"/>
    <s v="WAR26D000001"/>
    <s v="15-09-2025"/>
    <x v="5"/>
    <s v="MC1D4GGAXSP000249"/>
    <s v="D72015970"/>
    <s v="GURKHA"/>
    <s v="09-12-2024"/>
    <m/>
    <s v="25-07-2025"/>
    <n v="24906"/>
    <m/>
    <m/>
    <n v="2"/>
    <s v="FA-1"/>
    <s v="Labour Charges"/>
    <n v="1"/>
    <n v="475"/>
    <s v="Rejected"/>
    <s v="04"/>
    <s v="VEHICLE OUT OF WARRANTY KILOMETER WISE / TIME WISE"/>
    <n v="1755237"/>
    <s v="03-12-2025"/>
    <n v="560.5"/>
    <n v="560.5"/>
    <n v="1517885"/>
    <s v="03-12-2025"/>
    <n v="0"/>
    <m/>
    <m/>
    <s v="6 months/50k kms, whichever occurs earlier"/>
  </r>
  <r>
    <n v="1013993"/>
    <x v="404"/>
    <s v="31-10-2025"/>
    <n v="7160260118712"/>
    <s v="G26P00000056"/>
    <s v="GDW26D000001"/>
    <s v="26-11-2025"/>
    <x v="16"/>
    <s v="MC1D4GFA5RP000218"/>
    <s v="D72015987"/>
    <s v="GURKHA"/>
    <s v="31-07-2024"/>
    <m/>
    <s v="18-07-2025"/>
    <n v="34409"/>
    <m/>
    <m/>
    <n v="1"/>
    <s v="A000049979047"/>
    <s v="CRANKSHAFT OIL SEAL"/>
    <n v="1"/>
    <n v="445.53"/>
    <s v="Accepted"/>
    <m/>
    <s v="-"/>
    <s v="Cr note under process"/>
    <m/>
    <n v="262.87"/>
    <n v="0"/>
    <m/>
    <m/>
    <n v="262.87"/>
    <m/>
    <m/>
    <m/>
  </r>
  <r>
    <n v="1013993"/>
    <x v="404"/>
    <s v="31-10-2025"/>
    <n v="7160260118712"/>
    <s v="G26P00000056"/>
    <s v="GDW26D000001"/>
    <s v="26-11-2025"/>
    <x v="16"/>
    <s v="MC1D4GFA5RP000218"/>
    <s v="D72015987"/>
    <s v="GURKHA"/>
    <s v="31-07-2024"/>
    <m/>
    <s v="18-07-2025"/>
    <n v="34409"/>
    <m/>
    <m/>
    <n v="2"/>
    <s v="B008080110010"/>
    <s v="CYLINDER LINER (TD26"/>
    <n v="4"/>
    <n v="1997.76"/>
    <s v="Accepted"/>
    <m/>
    <s v="-"/>
    <s v="Cr note under process"/>
    <m/>
    <n v="1178.68"/>
    <n v="0"/>
    <m/>
    <m/>
    <n v="1178.68"/>
    <m/>
    <m/>
    <m/>
  </r>
  <r>
    <n v="1013993"/>
    <x v="404"/>
    <s v="31-10-2025"/>
    <n v="7160260118712"/>
    <s v="G26P00000056"/>
    <s v="GDW26D000001"/>
    <s v="26-11-2025"/>
    <x v="16"/>
    <s v="MC1D4GFA5RP000218"/>
    <s v="D72015987"/>
    <s v="GURKHA"/>
    <s v="31-07-2024"/>
    <m/>
    <s v="18-07-2025"/>
    <n v="34409"/>
    <m/>
    <m/>
    <n v="3"/>
    <s v="B008080161420"/>
    <s v="CYLINDER HEAD GASKET"/>
    <n v="1"/>
    <n v="1074.57"/>
    <s v="Accepted"/>
    <m/>
    <s v="-"/>
    <s v="Cr note under process"/>
    <m/>
    <n v="634"/>
    <n v="0"/>
    <m/>
    <m/>
    <n v="634"/>
    <m/>
    <m/>
    <m/>
  </r>
  <r>
    <n v="1013993"/>
    <x v="404"/>
    <s v="31-10-2025"/>
    <n v="7160260118712"/>
    <s v="G26P00000056"/>
    <s v="GDW26D000001"/>
    <s v="26-11-2025"/>
    <x v="16"/>
    <s v="MC1D4GFA5RP000218"/>
    <s v="D72015987"/>
    <s v="GURKHA"/>
    <s v="31-07-2024"/>
    <m/>
    <s v="18-07-2025"/>
    <n v="34409"/>
    <m/>
    <m/>
    <n v="4"/>
    <s v="B008080302620"/>
    <s v="CONN ROD ASSY SET FO"/>
    <n v="1"/>
    <n v="4138.2299999999996"/>
    <s v="Accepted"/>
    <m/>
    <s v="-"/>
    <s v="Cr note under process"/>
    <m/>
    <n v="2441.56"/>
    <n v="0"/>
    <m/>
    <m/>
    <n v="2441.56"/>
    <m/>
    <m/>
    <m/>
  </r>
  <r>
    <n v="1013993"/>
    <x v="404"/>
    <s v="31-10-2025"/>
    <n v="7160260118712"/>
    <s v="G26P00000056"/>
    <s v="GDW26D000001"/>
    <s v="26-11-2025"/>
    <x v="16"/>
    <s v="MC1D4GFA5RP000218"/>
    <s v="D72015987"/>
    <s v="GURKHA"/>
    <s v="31-07-2024"/>
    <m/>
    <s v="18-07-2025"/>
    <n v="34409"/>
    <m/>
    <m/>
    <n v="5"/>
    <s v="B008080307901"/>
    <s v="CRANK SHAFT ASSLY (C"/>
    <n v="1"/>
    <n v="22015.58"/>
    <s v="Accepted"/>
    <m/>
    <s v="-"/>
    <s v="Cr note under process"/>
    <m/>
    <n v="12989.19"/>
    <n v="0"/>
    <m/>
    <m/>
    <n v="12989.19"/>
    <m/>
    <m/>
    <m/>
  </r>
  <r>
    <n v="1013993"/>
    <x v="404"/>
    <s v="31-10-2025"/>
    <n v="7160260118712"/>
    <s v="G26P00000056"/>
    <s v="GDW26D000001"/>
    <s v="26-11-2025"/>
    <x v="16"/>
    <s v="MC1D4GFA5RP000218"/>
    <s v="D72015987"/>
    <s v="GURKHA"/>
    <s v="31-07-2024"/>
    <m/>
    <s v="18-07-2025"/>
    <n v="34409"/>
    <m/>
    <m/>
    <n v="6"/>
    <s v="B008080500511"/>
    <s v="CHAIN TENSIONER ASSE"/>
    <n v="1"/>
    <n v="448.68"/>
    <s v="Accepted"/>
    <m/>
    <s v="-"/>
    <s v="Cr note under process"/>
    <m/>
    <n v="264.72000000000003"/>
    <n v="0"/>
    <m/>
    <m/>
    <n v="264.72000000000003"/>
    <m/>
    <m/>
    <m/>
  </r>
  <r>
    <n v="1013993"/>
    <x v="404"/>
    <s v="31-10-2025"/>
    <n v="7160260118712"/>
    <s v="G26P00000056"/>
    <s v="GDW26D000001"/>
    <s v="26-11-2025"/>
    <x v="16"/>
    <s v="MC1D4GFA5RP000218"/>
    <s v="D72015987"/>
    <s v="GURKHA"/>
    <s v="31-07-2024"/>
    <m/>
    <s v="18-07-2025"/>
    <n v="34409"/>
    <m/>
    <m/>
    <n v="7"/>
    <s v="B008080705201"/>
    <s v="FIP DUP1.18 WITH CAM"/>
    <n v="1"/>
    <n v="14726.94"/>
    <s v="Accepted"/>
    <m/>
    <s v="-"/>
    <s v="Cr note under process"/>
    <m/>
    <n v="8688.89"/>
    <n v="0"/>
    <m/>
    <m/>
    <n v="8688.89"/>
    <m/>
    <m/>
    <m/>
  </r>
  <r>
    <n v="1013993"/>
    <x v="404"/>
    <s v="31-10-2025"/>
    <n v="7160260118712"/>
    <s v="G26P00000056"/>
    <s v="GDW26D000001"/>
    <s v="26-11-2025"/>
    <x v="16"/>
    <s v="MC1D4GFA5RP000218"/>
    <s v="D72015987"/>
    <s v="GURKHA"/>
    <s v="31-07-2024"/>
    <m/>
    <s v="18-07-2025"/>
    <n v="34409"/>
    <m/>
    <m/>
    <n v="8"/>
    <s v="EN0104"/>
    <s v="Labour Charges"/>
    <n v="1"/>
    <n v="7700"/>
    <s v="Accepted"/>
    <m/>
    <s v="-"/>
    <s v="Cr note under process"/>
    <m/>
    <n v="9086"/>
    <n v="0"/>
    <m/>
    <m/>
    <n v="9086"/>
    <m/>
    <m/>
    <m/>
  </r>
  <r>
    <n v="1016067"/>
    <x v="405"/>
    <s v="29-01-2026"/>
    <n v="7160260122028"/>
    <s v="W26P00000432"/>
    <s v="WAR26D000003"/>
    <s v="03-02-2026"/>
    <x v="15"/>
    <s v="MC1D4GJAXTP000746"/>
    <s v="D72022400"/>
    <s v="GURKHA"/>
    <s v="29-10-2025"/>
    <n v="1165"/>
    <s v="11-01-2026"/>
    <n v="6215"/>
    <m/>
    <m/>
    <n v="1"/>
    <s v="B008085420617"/>
    <s v="WATER TEMP SENSOR (V"/>
    <n v="1"/>
    <n v="493.39"/>
    <s v="Accepted"/>
    <m/>
    <s v="-"/>
    <s v="Cr note under process"/>
    <m/>
    <n v="582.20000000000005"/>
    <n v="0"/>
    <m/>
    <m/>
    <n v="582.20000000000005"/>
    <m/>
    <m/>
    <m/>
  </r>
  <r>
    <n v="1016067"/>
    <x v="405"/>
    <s v="29-01-2026"/>
    <n v="7160260122028"/>
    <s v="W26P00000432"/>
    <s v="WAR26D000003"/>
    <s v="03-02-2026"/>
    <x v="15"/>
    <s v="MC1D4GJAXTP000746"/>
    <s v="D72022400"/>
    <s v="GURKHA"/>
    <s v="29-10-2025"/>
    <n v="1165"/>
    <s v="11-01-2026"/>
    <n v="6215"/>
    <m/>
    <m/>
    <n v="2"/>
    <s v="B008557301835"/>
    <s v="SIDE DOOR LATCH ASSL"/>
    <n v="1"/>
    <n v="1073.76"/>
    <s v="Accepted"/>
    <m/>
    <s v="-"/>
    <s v="Cr note under process"/>
    <m/>
    <n v="1267.04"/>
    <n v="0"/>
    <m/>
    <m/>
    <n v="1267.04"/>
    <m/>
    <m/>
    <m/>
  </r>
  <r>
    <n v="1016067"/>
    <x v="405"/>
    <s v="29-01-2026"/>
    <n v="7160260122028"/>
    <s v="W26P00000432"/>
    <s v="WAR26D000003"/>
    <s v="03-02-2026"/>
    <x v="15"/>
    <s v="MC1D4GJAXTP000746"/>
    <s v="D72022400"/>
    <s v="GURKHA"/>
    <s v="29-10-2025"/>
    <n v="1165"/>
    <s v="11-01-2026"/>
    <n v="6215"/>
    <m/>
    <m/>
    <n v="3"/>
    <s v="BDR090"/>
    <s v="Labour Charges"/>
    <n v="1"/>
    <n v="125"/>
    <s v="Accepted"/>
    <m/>
    <s v="-"/>
    <s v="Cr note under process"/>
    <m/>
    <n v="147.5"/>
    <n v="0"/>
    <m/>
    <m/>
    <n v="147.5"/>
    <m/>
    <m/>
    <m/>
  </r>
  <r>
    <n v="1016067"/>
    <x v="405"/>
    <s v="29-01-2026"/>
    <n v="7160260122028"/>
    <s v="W26P00000432"/>
    <s v="WAR26D000003"/>
    <s v="03-02-2026"/>
    <x v="15"/>
    <s v="MC1D4GJAXTP000746"/>
    <s v="D72022400"/>
    <s v="GURKHA"/>
    <s v="29-10-2025"/>
    <n v="1165"/>
    <s v="11-01-2026"/>
    <n v="6215"/>
    <m/>
    <m/>
    <n v="4"/>
    <s v="ENEL-6"/>
    <s v="Labour Charges"/>
    <n v="1"/>
    <n v="62.5"/>
    <s v="Accepted"/>
    <m/>
    <s v="-"/>
    <s v="Cr note under process"/>
    <m/>
    <n v="73.75"/>
    <n v="0"/>
    <m/>
    <m/>
    <n v="73.75"/>
    <m/>
    <m/>
    <m/>
  </r>
  <r>
    <n v="1016069"/>
    <x v="406"/>
    <s v="29-01-2026"/>
    <n v="7160260122027"/>
    <s v="W26P00000431"/>
    <s v="WAR26D000002"/>
    <s v="03-02-2026"/>
    <x v="15"/>
    <s v="MC1D4GGAXSP000249"/>
    <s v="D72015970"/>
    <s v="GURKHA"/>
    <s v="09-12-2024"/>
    <m/>
    <s v="13-11-2025"/>
    <n v="27273"/>
    <m/>
    <m/>
    <n v="1"/>
    <s v="B008545002103"/>
    <s v="DOSER COOLANT PUMP(M"/>
    <n v="1"/>
    <n v="1829.69"/>
    <s v="Accepted"/>
    <m/>
    <s v="-"/>
    <s v="Cr note under process"/>
    <m/>
    <n v="2159.0300000000002"/>
    <n v="0"/>
    <m/>
    <m/>
    <n v="2159.0300000000002"/>
    <m/>
    <m/>
    <m/>
  </r>
  <r>
    <n v="1016069"/>
    <x v="406"/>
    <s v="29-01-2026"/>
    <n v="7160260122027"/>
    <s v="W26P00000431"/>
    <s v="WAR26D000002"/>
    <s v="03-02-2026"/>
    <x v="15"/>
    <s v="MC1D4GGAXSP000249"/>
    <s v="D72015970"/>
    <s v="GURKHA"/>
    <s v="09-12-2024"/>
    <m/>
    <s v="13-11-2025"/>
    <n v="27273"/>
    <m/>
    <m/>
    <n v="2"/>
    <s v="B008555420717"/>
    <s v="WHEEL SPEED SENSOR F"/>
    <n v="1"/>
    <n v="450.31"/>
    <s v="Accepted"/>
    <m/>
    <s v="-"/>
    <s v="Cr note under process"/>
    <m/>
    <n v="531.37"/>
    <n v="0"/>
    <m/>
    <m/>
    <n v="531.37"/>
    <m/>
    <m/>
    <m/>
  </r>
  <r>
    <n v="1016069"/>
    <x v="406"/>
    <s v="29-01-2026"/>
    <n v="7160260122027"/>
    <s v="W26P00000431"/>
    <s v="WAR26D000002"/>
    <s v="03-02-2026"/>
    <x v="15"/>
    <s v="MC1D4GGAXSP000249"/>
    <s v="D72015970"/>
    <s v="GURKHA"/>
    <s v="09-12-2024"/>
    <m/>
    <s v="13-11-2025"/>
    <n v="27273"/>
    <m/>
    <m/>
    <n v="3"/>
    <s v="ABS-7"/>
    <s v="Labour Charges"/>
    <n v="1"/>
    <n v="125"/>
    <s v="Accepted"/>
    <m/>
    <s v="-"/>
    <s v="Cr note under process"/>
    <m/>
    <n v="147.5"/>
    <n v="0"/>
    <m/>
    <m/>
    <n v="147.5"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  <r>
    <m/>
    <x v="407"/>
    <m/>
    <m/>
    <m/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4">
  <r>
    <n v="1"/>
    <s v="NORTH"/>
    <s v="UTTAR PRADESH"/>
    <n v="7134"/>
    <s v="M/S GOENKA AUTO PRIVATE LIMITED."/>
    <s v="VARANASI"/>
    <s v="S"/>
    <s v="30-Mar-25"/>
    <n v="1165"/>
    <s v="00327606"/>
    <s v="MC1D4DBA3SP107505"/>
    <s v="D72019127"/>
    <s v="TRAX"/>
    <x v="0"/>
    <s v="19-Mar-2025"/>
    <x v="0"/>
    <n v="1150"/>
    <n v="1150"/>
    <n v="207"/>
    <n v="1357"/>
    <n v="620984"/>
    <s v="03-Jun-25"/>
    <n v="0"/>
    <n v="32237"/>
    <s v="03-Jun-25"/>
    <m/>
    <m/>
    <m/>
    <m/>
    <m/>
  </r>
  <r>
    <n v="2"/>
    <s v="NORTH"/>
    <s v="UTTAR PRADESH"/>
    <n v="7134"/>
    <s v="M/S GOENKA AUTO PRIVATE LIMITED."/>
    <s v="VARANASI"/>
    <s v="S"/>
    <s v="29-Mar-25"/>
    <n v="1165"/>
    <s v="00781693"/>
    <s v="MC1E4EFA1RP013332"/>
    <s v="D71057281"/>
    <s v="T-1"/>
    <x v="0"/>
    <s v="18-Jul-2024"/>
    <x v="0"/>
    <n v="1150"/>
    <n v="1150"/>
    <n v="207"/>
    <n v="1357"/>
    <n v="620984"/>
    <s v="03-Jun-25"/>
    <n v="0"/>
    <n v="32237"/>
    <s v="03-Jun-25"/>
    <m/>
    <m/>
    <m/>
    <m/>
    <m/>
  </r>
  <r>
    <n v="3"/>
    <s v="NORTH"/>
    <s v="UTTAR PRADESH"/>
    <n v="7134"/>
    <s v="M/S GOENKA AUTO PRIVATE LIMITED."/>
    <s v="VARANASI"/>
    <s v="S"/>
    <s v="30-Mar-25"/>
    <n v="1165"/>
    <s v="00327605"/>
    <s v="MC1D4DBA2SP107513"/>
    <s v="D72019118"/>
    <s v="TRAX"/>
    <x v="0"/>
    <s v="19-Mar-2025"/>
    <x v="0"/>
    <n v="1150"/>
    <n v="1150"/>
    <n v="207"/>
    <n v="1357"/>
    <n v="620984"/>
    <s v="03-Jun-25"/>
    <n v="0"/>
    <n v="32237"/>
    <s v="03-Jun-25"/>
    <m/>
    <m/>
    <m/>
    <m/>
    <m/>
  </r>
  <r>
    <n v="4"/>
    <s v="NORTH"/>
    <s v="UTTAR PRADESH"/>
    <n v="7134"/>
    <s v="M/S GOENKA AUTO PRIVATE LIMITED."/>
    <s v="VARANASI"/>
    <s v="S"/>
    <s v="13-Mar-25"/>
    <n v="1165"/>
    <s v="00797216"/>
    <s v="MC1E4DAA1SP055796"/>
    <s v="D71068659"/>
    <s v="T-1"/>
    <x v="0"/>
    <s v="31-Jan-2025"/>
    <x v="0"/>
    <n v="1150"/>
    <n v="1150"/>
    <n v="207"/>
    <n v="1357"/>
    <n v="620984"/>
    <s v="03-Jun-25"/>
    <n v="0"/>
    <n v="32237"/>
    <s v="03-Jun-25"/>
    <m/>
    <m/>
    <m/>
    <m/>
    <m/>
  </r>
  <r>
    <n v="5"/>
    <s v="NORTH"/>
    <s v="UTTAR PRADESH"/>
    <n v="7134"/>
    <s v="M/S GOENKA AUTO PRIVATE LIMITED."/>
    <s v="VARANASI"/>
    <s v="S"/>
    <s v="30-Mar-25"/>
    <n v="1165"/>
    <s v="00327607"/>
    <s v="MC1D4DBA8SP107483"/>
    <s v="D72019091"/>
    <s v="TRAX"/>
    <x v="0"/>
    <s v="19-Mar-2025"/>
    <x v="0"/>
    <n v="1150"/>
    <n v="1150"/>
    <n v="207"/>
    <n v="1357"/>
    <n v="620984"/>
    <s v="03-Jun-25"/>
    <n v="0"/>
    <n v="32237"/>
    <s v="03-Jun-25"/>
    <m/>
    <m/>
    <m/>
    <m/>
    <m/>
  </r>
  <r>
    <n v="6"/>
    <s v="NORTH"/>
    <s v="UTTAR PRADESH"/>
    <n v="7134"/>
    <s v="M/S GOENKA AUTO PRIVATE LIMITED."/>
    <s v="VARANASI"/>
    <s v="S"/>
    <s v="29-Mar-25"/>
    <n v="1165"/>
    <s v="00006960"/>
    <s v="MC1M4ACA2SP003858"/>
    <s v="D71076103"/>
    <s v="T1N"/>
    <x v="0"/>
    <s v="25-Mar-2025"/>
    <x v="0"/>
    <n v="1500"/>
    <n v="1500"/>
    <n v="270"/>
    <n v="1770"/>
    <n v="620984"/>
    <s v="03-Jun-25"/>
    <n v="0"/>
    <n v="32237"/>
    <s v="03-Jun-25"/>
    <m/>
    <m/>
    <m/>
    <m/>
    <m/>
  </r>
  <r>
    <n v="7"/>
    <s v="NORTH"/>
    <s v="UTTAR PRADESH"/>
    <n v="7134"/>
    <s v="M/S GOENKA AUTO PRIVATE LIMITED."/>
    <s v="VARANASI"/>
    <s v="S"/>
    <s v="06-Mar-25"/>
    <n v="1165"/>
    <s v="00327885"/>
    <s v="MC1D4DAA9SP107140"/>
    <s v="D72018775"/>
    <s v="TRAX"/>
    <x v="0"/>
    <s v="15-Feb-2025"/>
    <x v="0"/>
    <n v="1150"/>
    <n v="1150"/>
    <n v="207"/>
    <n v="1357"/>
    <n v="620984"/>
    <s v="03-Jun-25"/>
    <n v="0"/>
    <n v="32237"/>
    <s v="03-Jun-25"/>
    <m/>
    <m/>
    <m/>
    <m/>
    <m/>
  </r>
  <r>
    <n v="8"/>
    <s v="NORTH"/>
    <s v="UTTAR PRADESH"/>
    <n v="7134"/>
    <s v="M/S GOENKA AUTO PRIVATE LIMITED."/>
    <s v="VARANASI"/>
    <s v="S"/>
    <s v="17-Mar-25"/>
    <n v="1165"/>
    <s v="00784362"/>
    <s v="MC1E4FAA3SP022049"/>
    <s v="D71067216"/>
    <s v="T26"/>
    <x v="0"/>
    <s v="16-Jan-2025"/>
    <x v="0"/>
    <n v="1150"/>
    <n v="1150"/>
    <n v="207"/>
    <n v="1357"/>
    <n v="620984"/>
    <s v="03-Jun-25"/>
    <n v="0"/>
    <n v="32237"/>
    <s v="03-Jun-25"/>
    <m/>
    <m/>
    <m/>
    <m/>
    <m/>
  </r>
  <r>
    <n v="9"/>
    <s v="NORTH"/>
    <s v="UTTAR PRADESH"/>
    <n v="7134"/>
    <s v="M/S GOENKA AUTO PRIVATE LIMITED."/>
    <s v="VARANASI"/>
    <s v="S"/>
    <s v="29-Mar-25"/>
    <n v="1160"/>
    <s v="00784698"/>
    <s v="MC1E4FBA0SP022668"/>
    <s v="D71071710"/>
    <s v="T26"/>
    <x v="0"/>
    <s v="12-Mar-2025"/>
    <x v="0"/>
    <n v="1150"/>
    <n v="1150"/>
    <n v="207"/>
    <n v="1357"/>
    <n v="620984"/>
    <s v="03-Jun-25"/>
    <n v="0"/>
    <n v="32237"/>
    <s v="03-Jun-25"/>
    <m/>
    <m/>
    <m/>
    <m/>
    <m/>
  </r>
  <r>
    <n v="10"/>
    <s v="NORTH"/>
    <s v="UTTAR PRADESH"/>
    <n v="7134"/>
    <s v="M/S GOENKA AUTO PRIVATE LIMITED."/>
    <s v="VARANASI"/>
    <s v="S"/>
    <s v="21-Mar-25"/>
    <n v="1165"/>
    <s v="00784731"/>
    <s v="MC1E4FAA2SP022334"/>
    <s v="D71069755"/>
    <s v="T26"/>
    <x v="0"/>
    <s v="27-Feb-2025"/>
    <x v="0"/>
    <n v="1150"/>
    <n v="1150"/>
    <n v="207"/>
    <n v="1357"/>
    <n v="620984"/>
    <s v="03-Jun-25"/>
    <n v="0"/>
    <n v="32237"/>
    <s v="03-Jun-25"/>
    <m/>
    <m/>
    <m/>
    <m/>
    <m/>
  </r>
  <r>
    <n v="11"/>
    <s v="NORTH"/>
    <s v="UTTAR PRADESH"/>
    <n v="7134"/>
    <s v="M/S GOENKA AUTO PRIVATE LIMITED."/>
    <s v="VARANASI"/>
    <s v="S"/>
    <s v="24-Mar-25"/>
    <n v="1165"/>
    <s v="00797196"/>
    <s v="MC1E4DBA0SP055996"/>
    <s v="D71071829"/>
    <s v="T-1"/>
    <x v="0"/>
    <s v="05-Mar-2025"/>
    <x v="0"/>
    <n v="1150"/>
    <n v="1150"/>
    <n v="207"/>
    <n v="1357"/>
    <n v="620984"/>
    <s v="03-Jun-25"/>
    <n v="0"/>
    <n v="32237"/>
    <s v="03-Jun-25"/>
    <m/>
    <m/>
    <m/>
    <m/>
    <m/>
  </r>
  <r>
    <n v="12"/>
    <s v="NORTH"/>
    <s v="UTTAR PRADESH"/>
    <n v="7134"/>
    <s v="M/S GOENKA AUTO PRIVATE LIMITED."/>
    <s v="VARANASI"/>
    <s v="S"/>
    <s v="18-Mar-25"/>
    <n v="1165"/>
    <s v="00327338"/>
    <s v="MC1D4DBA4SP107271"/>
    <s v="D72018874"/>
    <s v="TRAX"/>
    <x v="0"/>
    <s v="26-Feb-2025"/>
    <x v="0"/>
    <n v="1150"/>
    <n v="1150"/>
    <n v="207"/>
    <n v="1357"/>
    <n v="620984"/>
    <s v="03-Jun-25"/>
    <n v="0"/>
    <n v="32237"/>
    <s v="03-Jun-25"/>
    <m/>
    <m/>
    <m/>
    <m/>
    <m/>
  </r>
  <r>
    <n v="13"/>
    <s v="NORTH"/>
    <s v="UTTAR PRADESH"/>
    <n v="7134"/>
    <s v="M/S GOENKA AUTO PRIVATE LIMITED."/>
    <s v="VARANASI"/>
    <s v="S"/>
    <s v="08-Mar-25"/>
    <n v="1165"/>
    <s v="00327811"/>
    <s v="MC1D4DBA5SP107330"/>
    <s v="D72018945"/>
    <s v="TRAX"/>
    <x v="0"/>
    <s v="18-Feb-2025"/>
    <x v="0"/>
    <n v="1150"/>
    <n v="1150"/>
    <n v="207"/>
    <n v="1357"/>
    <n v="620984"/>
    <s v="03-Jun-25"/>
    <n v="0"/>
    <n v="32237"/>
    <s v="03-Jun-25"/>
    <m/>
    <m/>
    <m/>
    <m/>
    <m/>
  </r>
  <r>
    <n v="14"/>
    <s v="NORTH"/>
    <s v="UTTAR PRADESH"/>
    <n v="7134"/>
    <s v="M/S GOENKA AUTO PRIVATE LIMITED."/>
    <s v="VARANASI"/>
    <s v="S"/>
    <s v="06-Mar-25"/>
    <n v="1165"/>
    <s v="00792931"/>
    <s v="MC1E4EBA7SP015193"/>
    <s v="D71071490"/>
    <s v="T-1"/>
    <x v="0"/>
    <s v="13-Feb-2025"/>
    <x v="0"/>
    <n v="1150"/>
    <n v="1150"/>
    <n v="207"/>
    <n v="1357"/>
    <n v="620984"/>
    <s v="03-Jun-25"/>
    <n v="0"/>
    <n v="32237"/>
    <s v="03-Jun-25"/>
    <m/>
    <m/>
    <m/>
    <m/>
    <m/>
  </r>
  <r>
    <n v="15"/>
    <s v="NORTH"/>
    <s v="UTTAR PRADESH"/>
    <n v="7134"/>
    <s v="M/S GOENKA AUTO PRIVATE LIMITED."/>
    <s v="VARANASI"/>
    <s v="S"/>
    <s v="13-Mar-25"/>
    <n v="1165"/>
    <s v="00785189"/>
    <s v="MC1E4EBA7SP015422"/>
    <s v="D71073642"/>
    <s v="T-1"/>
    <x v="0"/>
    <s v="28-Feb-2025"/>
    <x v="0"/>
    <n v="1150"/>
    <n v="1150"/>
    <n v="207"/>
    <n v="1357"/>
    <n v="620984"/>
    <s v="03-Jun-25"/>
    <n v="0"/>
    <n v="32237"/>
    <s v="03-Jun-25"/>
    <m/>
    <m/>
    <m/>
    <m/>
    <m/>
  </r>
  <r>
    <n v="16"/>
    <s v="NORTH"/>
    <s v="UTTAR PRADESH"/>
    <n v="7134"/>
    <s v="M/S GOENKA AUTO PRIVATE LIMITED."/>
    <s v="VARANASI"/>
    <s v="S"/>
    <s v="29-Mar-25"/>
    <n v="1165"/>
    <s v="00327379"/>
    <s v="MC1D4DBAXSP107470"/>
    <s v="D72019078"/>
    <s v="TRAX"/>
    <x v="0"/>
    <s v="19-Mar-2025"/>
    <x v="0"/>
    <n v="1150"/>
    <n v="1150"/>
    <n v="207"/>
    <n v="1357"/>
    <n v="620984"/>
    <s v="03-Jun-25"/>
    <n v="0"/>
    <n v="32237"/>
    <s v="03-Jun-25"/>
    <m/>
    <m/>
    <m/>
    <m/>
    <m/>
  </r>
  <r>
    <n v="17"/>
    <s v="NORTH"/>
    <s v="UTTAR PRADESH"/>
    <n v="7134"/>
    <s v="M/S GOENKA AUTO PRIVATE LIMITED."/>
    <s v="VARANASI"/>
    <s v="S"/>
    <s v="31-Mar-25"/>
    <n v="1165"/>
    <s v="00796638"/>
    <s v="MC1E4DCA6SP056245"/>
    <s v="D71074689"/>
    <s v="T-1"/>
    <x v="0"/>
    <s v="19-Mar-2025"/>
    <x v="0"/>
    <n v="1150"/>
    <n v="1150"/>
    <n v="207"/>
    <n v="1357"/>
    <n v="620984"/>
    <s v="03-Jun-25"/>
    <n v="0"/>
    <n v="32237"/>
    <s v="03-Jun-25"/>
    <m/>
    <m/>
    <m/>
    <m/>
    <m/>
  </r>
  <r>
    <n v="18"/>
    <s v="NORTH"/>
    <s v="UTTAR PRADESH"/>
    <n v="7134"/>
    <s v="M/S GOENKA AUTO PRIVATE LIMITED."/>
    <s v="VARANASI"/>
    <s v="S"/>
    <s v="29-Mar-25"/>
    <n v="1165"/>
    <s v="00788228"/>
    <s v="MC1L4BGA5SP000738"/>
    <s v="D71058742"/>
    <s v="T3"/>
    <x v="0"/>
    <s v="04-Oct-2024"/>
    <x v="0"/>
    <n v="1150"/>
    <n v="1150"/>
    <n v="207"/>
    <n v="1357"/>
    <n v="620984"/>
    <s v="03-Jun-25"/>
    <n v="0"/>
    <n v="32237"/>
    <s v="03-Jun-25"/>
    <m/>
    <m/>
    <m/>
    <m/>
    <m/>
  </r>
  <r>
    <n v="19"/>
    <s v="NORTH"/>
    <s v="UTTAR PRADESH"/>
    <n v="7134"/>
    <s v="M/S GOENKA AUTO PRIVATE LIMITED."/>
    <s v="VARANASI"/>
    <s v="S"/>
    <s v="31-Mar-25"/>
    <n v="1165"/>
    <s v="00789040"/>
    <s v="MC1E4FCA2SP023142"/>
    <s v="D71076641"/>
    <s v="T26"/>
    <x v="0"/>
    <s v="29-Mar-2025"/>
    <x v="0"/>
    <n v="1150"/>
    <n v="0"/>
    <n v="207"/>
    <n v="1357"/>
    <n v="620984"/>
    <s v="03-Jun-25"/>
    <n v="1150"/>
    <n v="32237"/>
    <s v="03-Jun-25"/>
    <m/>
    <m/>
    <s v="022"/>
    <s v="PDI COUPON HARD COPY NOT RECEIVED"/>
    <n v="100"/>
  </r>
  <r>
    <n v="20"/>
    <s v="NORTH"/>
    <s v="UTTAR PRADESH"/>
    <n v="7134"/>
    <s v="M/S GOENKA AUTO PRIVATE LIMITED."/>
    <s v="VARANASI"/>
    <s v="S"/>
    <s v="31-Mar-25"/>
    <n v="1165"/>
    <s v="00796243"/>
    <s v="MC1E5DAA6SP000614"/>
    <s v="D73001641"/>
    <s v="T-1"/>
    <x v="0"/>
    <s v="24-Jan-2025"/>
    <x v="0"/>
    <n v="1150"/>
    <n v="0"/>
    <n v="207"/>
    <n v="1357"/>
    <n v="620984"/>
    <s v="03-Jun-25"/>
    <n v="1150"/>
    <n v="32237"/>
    <s v="03-Jun-25"/>
    <m/>
    <m/>
    <s v="022"/>
    <s v="PDI COUPON HARD COPY NOT RECEIVED"/>
    <n v="100"/>
  </r>
  <r>
    <n v="21"/>
    <s v="NORTH"/>
    <s v="UTTAR PRADESH"/>
    <n v="7134"/>
    <s v="M/S GOENKA AUTO PRIVATE LIMITED."/>
    <s v="VARANASI"/>
    <s v="S"/>
    <s v="29-Mar-25"/>
    <n v="1165"/>
    <s v="00327424"/>
    <s v="MC1D4DCA3SP107776"/>
    <s v="D72019387"/>
    <s v="TRAX"/>
    <x v="0"/>
    <s v="07-Mar-2025"/>
    <x v="0"/>
    <n v="1150"/>
    <n v="1150"/>
    <n v="207"/>
    <n v="1357"/>
    <n v="620984"/>
    <s v="03-Jun-25"/>
    <n v="0"/>
    <n v="32237"/>
    <s v="03-Jun-25"/>
    <m/>
    <m/>
    <m/>
    <m/>
    <m/>
  </r>
  <r>
    <n v="22"/>
    <s v="NORTH"/>
    <s v="UTTAR PRADESH"/>
    <n v="7134"/>
    <s v="M/S GOENKA AUTO PRIVATE LIMITED."/>
    <s v="VARANASI"/>
    <s v="S"/>
    <s v="21-Mar-25"/>
    <n v="1165"/>
    <s v="00327821"/>
    <s v="MC1D4DAA3SP107117"/>
    <s v="D72018790"/>
    <s v="TRAX"/>
    <x v="0"/>
    <s v="19-Feb-2025"/>
    <x v="0"/>
    <n v="1150"/>
    <n v="1150"/>
    <n v="207"/>
    <n v="1357"/>
    <n v="620984"/>
    <s v="03-Jun-25"/>
    <n v="0"/>
    <n v="32237"/>
    <s v="03-Jun-25"/>
    <m/>
    <m/>
    <m/>
    <m/>
    <m/>
  </r>
  <r>
    <n v="23"/>
    <s v="NORTH"/>
    <s v="UTTAR PRADESH"/>
    <n v="7134"/>
    <s v="M/S GOENKA AUTO PRIVATE LIMITED."/>
    <s v="VARANASI"/>
    <s v="S"/>
    <s v="25-Mar-25"/>
    <n v="1165"/>
    <s v="00327825"/>
    <s v="MC1D4DAA4SP107109"/>
    <s v="D72018744"/>
    <s v="TRAX"/>
    <x v="0"/>
    <s v="19-Feb-2025"/>
    <x v="0"/>
    <n v="1150"/>
    <n v="1150"/>
    <n v="207"/>
    <n v="1357"/>
    <n v="620984"/>
    <s v="03-Jun-25"/>
    <n v="0"/>
    <n v="32237"/>
    <s v="03-Jun-25"/>
    <m/>
    <m/>
    <m/>
    <m/>
    <m/>
  </r>
  <r>
    <n v="24"/>
    <s v="NORTH"/>
    <s v="UTTAR PRADESH"/>
    <n v="7134"/>
    <s v="M/S GOENKA AUTO PRIVATE LIMITED."/>
    <s v="VARANASI"/>
    <s v="S"/>
    <s v="22-Mar-25"/>
    <n v="1165"/>
    <s v="00328028"/>
    <s v="MC1D1DBA7SP001616"/>
    <s v="D72018969"/>
    <s v="TRAX"/>
    <x v="0"/>
    <s v="11-Mar-2025"/>
    <x v="0"/>
    <n v="1150"/>
    <n v="1150"/>
    <n v="207"/>
    <n v="1357"/>
    <n v="620984"/>
    <s v="03-Jun-25"/>
    <n v="0"/>
    <n v="32237"/>
    <s v="03-Jun-25"/>
    <m/>
    <m/>
    <m/>
    <m/>
    <m/>
  </r>
  <r>
    <n v="25"/>
    <s v="NORTH"/>
    <s v="UTTAR PRADESH"/>
    <n v="7134"/>
    <s v="M/S GOENKA AUTO PRIVATE LIMITED."/>
    <s v="VARANASI"/>
    <s v="S"/>
    <s v="21-Mar-25"/>
    <n v="1165"/>
    <s v="00795278"/>
    <s v="MC1E4DBA8SP056040"/>
    <s v="D71072655"/>
    <s v="T-1"/>
    <x v="0"/>
    <s v="07-Mar-2025"/>
    <x v="0"/>
    <n v="1150"/>
    <n v="1150"/>
    <n v="207"/>
    <n v="1357"/>
    <n v="620984"/>
    <s v="03-Jun-25"/>
    <n v="0"/>
    <n v="32237"/>
    <s v="03-Jun-25"/>
    <m/>
    <m/>
    <m/>
    <m/>
    <m/>
  </r>
  <r>
    <n v="26"/>
    <s v="NORTH"/>
    <s v="UTTAR PRADESH"/>
    <n v="7134"/>
    <s v="M/S GOENKA AUTO PRIVATE LIMITED."/>
    <s v="VARANASI"/>
    <s v="S"/>
    <s v="25-Mar-25"/>
    <n v="1165"/>
    <s v="00785188"/>
    <s v="MC1E4EBA7SP015419"/>
    <s v="D71073629"/>
    <s v="T-1"/>
    <x v="0"/>
    <s v="28-Feb-2025"/>
    <x v="0"/>
    <n v="1150"/>
    <n v="1150"/>
    <n v="207"/>
    <n v="1357"/>
    <n v="620984"/>
    <s v="03-Jun-25"/>
    <n v="0"/>
    <n v="32237"/>
    <s v="03-Jun-25"/>
    <m/>
    <m/>
    <m/>
    <m/>
    <m/>
  </r>
  <r>
    <n v="27"/>
    <s v="NORTH"/>
    <s v="UTTAR PRADESH"/>
    <n v="7134"/>
    <s v="M/S GOENKA AUTO PRIVATE LIMITED."/>
    <s v="VARANASI"/>
    <s v="S"/>
    <s v="30-Mar-25"/>
    <n v="1165"/>
    <s v="00796641"/>
    <s v="MC1E4DCA0SP056225"/>
    <s v="D71074854"/>
    <s v="T-1"/>
    <x v="0"/>
    <s v="19-Mar-2025"/>
    <x v="0"/>
    <n v="1150"/>
    <n v="1150"/>
    <n v="207"/>
    <n v="1357"/>
    <n v="620984"/>
    <s v="03-Jun-25"/>
    <n v="0"/>
    <n v="32237"/>
    <s v="03-Jun-25"/>
    <m/>
    <m/>
    <m/>
    <m/>
    <m/>
  </r>
  <r>
    <n v="28"/>
    <s v="NORTH"/>
    <s v="UTTAR PRADESH"/>
    <n v="7134"/>
    <s v="M/S GOENKA AUTO PRIVATE LIMITED."/>
    <s v="VARANASI"/>
    <s v="S"/>
    <s v="31-Mar-25"/>
    <n v="1165"/>
    <s v="00327370"/>
    <s v="MC1D4DCA0SP107864"/>
    <s v="D72019478"/>
    <s v="TRAX"/>
    <x v="0"/>
    <s v="19-Mar-2025"/>
    <x v="0"/>
    <n v="1150"/>
    <n v="1150"/>
    <n v="207"/>
    <n v="1357"/>
    <n v="620984"/>
    <s v="03-Jun-25"/>
    <n v="0"/>
    <n v="32237"/>
    <s v="03-Jun-25"/>
    <m/>
    <m/>
    <m/>
    <m/>
    <m/>
  </r>
  <r>
    <n v="29"/>
    <s v="NORTH"/>
    <s v="UTTAR PRADESH"/>
    <n v="7134"/>
    <s v="M/S GOENKA AUTO PRIVATE LIMITED."/>
    <s v="VARANASI"/>
    <s v="S"/>
    <s v="08-Mar-25"/>
    <n v="1165"/>
    <s v="00327879"/>
    <s v="MC1D4DAA2SP107111"/>
    <s v="D72018740"/>
    <s v="TRAX"/>
    <x v="0"/>
    <s v="15-Feb-2025"/>
    <x v="0"/>
    <n v="1150"/>
    <n v="1150"/>
    <n v="207"/>
    <n v="1357"/>
    <n v="620984"/>
    <s v="03-Jun-25"/>
    <n v="0"/>
    <n v="32237"/>
    <s v="03-Jun-25"/>
    <m/>
    <m/>
    <m/>
    <m/>
    <m/>
  </r>
  <r>
    <n v="30"/>
    <s v="NORTH"/>
    <s v="UTTAR PRADESH"/>
    <n v="7134"/>
    <s v="M/S GOENKA AUTO PRIVATE LIMITED."/>
    <s v="VARANASI"/>
    <s v="S"/>
    <s v="30-Mar-25"/>
    <n v="1165"/>
    <s v="00796637"/>
    <s v="MC1E4DCA4SP056163"/>
    <s v="D71074480"/>
    <s v="T-1"/>
    <x v="0"/>
    <s v="19-Mar-2025"/>
    <x v="0"/>
    <n v="1150"/>
    <n v="1150"/>
    <n v="207"/>
    <n v="1357"/>
    <n v="620984"/>
    <s v="03-Jun-25"/>
    <n v="0"/>
    <n v="32237"/>
    <s v="03-Jun-25"/>
    <m/>
    <m/>
    <m/>
    <m/>
    <m/>
  </r>
  <r>
    <n v="31"/>
    <s v="NORTH"/>
    <s v="UTTAR PRADESH"/>
    <n v="7134"/>
    <s v="M/S GOENKA AUTO PRIVATE LIMITED."/>
    <s v="VARANASI"/>
    <s v="S"/>
    <s v="26-Mar-25"/>
    <n v="1165"/>
    <s v="00801400"/>
    <s v="MC1E4DCA0SP056435"/>
    <s v="D71075442"/>
    <s v="T-1"/>
    <x v="0"/>
    <s v="17-Mar-2025"/>
    <x v="0"/>
    <n v="1150"/>
    <n v="1150"/>
    <n v="207"/>
    <n v="1357"/>
    <n v="620984"/>
    <s v="03-Jun-25"/>
    <n v="0"/>
    <n v="32237"/>
    <s v="03-Jun-25"/>
    <m/>
    <m/>
    <m/>
    <m/>
    <m/>
  </r>
  <r>
    <n v="32"/>
    <s v="NORTH"/>
    <s v="UTTAR PRADESH"/>
    <n v="7134"/>
    <s v="M/S GOENKA AUTO PRIVATE LIMITED."/>
    <s v="VARANASI"/>
    <s v="S"/>
    <s v="11-Mar-25"/>
    <n v="1165"/>
    <s v="00797921"/>
    <s v="MC1E4DAA2SP055855"/>
    <s v="D71070759"/>
    <s v="T-1"/>
    <x v="0"/>
    <s v="19-Feb-2025"/>
    <x v="0"/>
    <n v="1150"/>
    <n v="1150"/>
    <n v="207"/>
    <n v="1357"/>
    <n v="620984"/>
    <s v="03-Jun-25"/>
    <n v="0"/>
    <n v="32237"/>
    <s v="03-Jun-25"/>
    <m/>
    <m/>
    <m/>
    <m/>
    <m/>
  </r>
  <r>
    <n v="33"/>
    <s v="NORTH"/>
    <s v="UTTAR PRADESH"/>
    <n v="7134"/>
    <s v="M/S GOENKA AUTO PRIVATE LIMITED."/>
    <s v="VARANASI"/>
    <s v="S"/>
    <s v="29-Mar-25"/>
    <n v="1165"/>
    <s v="00784996"/>
    <s v="MC1E4FCA8SP022965"/>
    <s v="D71074950"/>
    <s v="T26"/>
    <x v="0"/>
    <s v="20-Mar-2025"/>
    <x v="0"/>
    <n v="1150"/>
    <n v="1150"/>
    <n v="207"/>
    <n v="1357"/>
    <n v="620984"/>
    <s v="03-Jun-25"/>
    <n v="0"/>
    <n v="32237"/>
    <s v="03-Jun-25"/>
    <m/>
    <m/>
    <m/>
    <m/>
    <m/>
  </r>
  <r>
    <n v="34"/>
    <s v="NORTH"/>
    <s v="UTTAR PRADESH"/>
    <n v="7134"/>
    <s v="M/S GOENKA AUTO PRIVATE LIMITED."/>
    <s v="VARANASI"/>
    <s v="S"/>
    <s v="26-Mar-25"/>
    <n v="1165"/>
    <s v="00327337"/>
    <s v="MC1D4DBA4SP107268"/>
    <s v="D72018873"/>
    <s v="TRAX"/>
    <x v="0"/>
    <s v="26-Feb-2025"/>
    <x v="0"/>
    <n v="1150"/>
    <n v="1150"/>
    <n v="207"/>
    <n v="1357"/>
    <n v="620984"/>
    <s v="03-Jun-25"/>
    <n v="0"/>
    <n v="32237"/>
    <s v="03-Jun-25"/>
    <m/>
    <m/>
    <m/>
    <m/>
    <m/>
  </r>
  <r>
    <n v="35"/>
    <s v="NORTH"/>
    <s v="UTTAR PRADESH"/>
    <n v="7134"/>
    <s v="M/S GOENKA AUTO PRIVATE LIMITED."/>
    <s v="VARANASI"/>
    <s v="S"/>
    <s v="07-Mar-25"/>
    <n v="1165"/>
    <s v="00327227"/>
    <s v="MC1D4DAAXSP107003"/>
    <s v="D72018646"/>
    <s v="TRAX"/>
    <x v="0"/>
    <s v="31-Jan-2025"/>
    <x v="0"/>
    <n v="1150"/>
    <n v="1150"/>
    <n v="207"/>
    <n v="1357"/>
    <n v="620984"/>
    <s v="03-Jun-25"/>
    <n v="0"/>
    <n v="32237"/>
    <s v="03-Jun-25"/>
    <m/>
    <m/>
    <m/>
    <m/>
    <m/>
  </r>
  <r>
    <n v="36"/>
    <s v="NORTH"/>
    <s v="UTTAR PRADESH"/>
    <n v="7134"/>
    <s v="M/S GOENKA AUTO PRIVATE LIMITED."/>
    <s v="VARANASI"/>
    <s v="S"/>
    <s v="24-Mar-25"/>
    <n v="1165"/>
    <s v="00784699"/>
    <s v="MC1E4FBA8SP022644"/>
    <s v="D71071824"/>
    <s v="T26"/>
    <x v="0"/>
    <s v="12-Mar-2025"/>
    <x v="0"/>
    <n v="1150"/>
    <n v="1150"/>
    <n v="207"/>
    <n v="1357"/>
    <n v="620984"/>
    <s v="03-Jun-25"/>
    <n v="0"/>
    <n v="32237"/>
    <s v="03-Jun-25"/>
    <m/>
    <m/>
    <m/>
    <m/>
    <m/>
  </r>
  <r>
    <n v="37"/>
    <s v="NORTH"/>
    <s v="UTTAR PRADESH"/>
    <n v="7134"/>
    <s v="M/S GOENKA AUTO PRIVATE LIMITED."/>
    <s v="VARANASI"/>
    <s v="S"/>
    <s v="31-Mar-25"/>
    <n v="1165"/>
    <s v="00795898"/>
    <s v="MC1E4BCA4SP009848"/>
    <s v="D71075406"/>
    <s v="T-1"/>
    <x v="0"/>
    <s v="26-Mar-2025"/>
    <x v="0"/>
    <n v="1150"/>
    <n v="1150"/>
    <n v="207"/>
    <n v="1357"/>
    <n v="620984"/>
    <s v="03-Jun-25"/>
    <n v="0"/>
    <n v="32237"/>
    <s v="03-Jun-25"/>
    <m/>
    <m/>
    <m/>
    <m/>
    <m/>
  </r>
  <r>
    <n v="38"/>
    <s v="NORTH"/>
    <s v="UTTAR PRADESH"/>
    <n v="7134"/>
    <s v="M/S GOENKA AUTO PRIVATE LIMITED."/>
    <s v="VARANASI"/>
    <s v="S"/>
    <s v="22-Mar-25"/>
    <n v="1165"/>
    <s v="00328462"/>
    <s v="MC1D1DCA2SP001618"/>
    <s v="D72019587"/>
    <s v="TRAX"/>
    <x v="0"/>
    <s v="21-Mar-2025"/>
    <x v="0"/>
    <n v="1150"/>
    <n v="1150"/>
    <n v="207"/>
    <n v="1357"/>
    <n v="620984"/>
    <s v="03-Jun-25"/>
    <n v="0"/>
    <n v="32237"/>
    <s v="03-Jun-25"/>
    <m/>
    <m/>
    <m/>
    <m/>
    <m/>
  </r>
  <r>
    <n v="39"/>
    <s v="NORTH"/>
    <s v="UTTAR PRADESH"/>
    <n v="7134"/>
    <s v="M/S GOENKA AUTO PRIVATE LIMITED."/>
    <s v="VARANASI"/>
    <s v="S"/>
    <s v="21-Mar-25"/>
    <n v="1165"/>
    <s v="00798847"/>
    <s v="MC1E4DAA5SP055932"/>
    <s v="D71069296"/>
    <s v="T-1"/>
    <x v="0"/>
    <s v="26-Feb-2025"/>
    <x v="0"/>
    <n v="1150"/>
    <n v="1150"/>
    <n v="207"/>
    <n v="1357"/>
    <n v="620984"/>
    <s v="03-Jun-25"/>
    <n v="0"/>
    <n v="32237"/>
    <s v="03-Jun-25"/>
    <m/>
    <m/>
    <m/>
    <m/>
    <m/>
  </r>
  <r>
    <n v="40"/>
    <s v="NORTH"/>
    <s v="UTTAR PRADESH"/>
    <n v="7134"/>
    <s v="M/S GOENKA AUTO PRIVATE LIMITED."/>
    <s v="VARANASI"/>
    <s v="S"/>
    <s v="05-Mar-25"/>
    <n v="1165"/>
    <s v="00795726"/>
    <s v="MC1E4DAA9SP055836"/>
    <s v="D71069019"/>
    <s v="T-1"/>
    <x v="1"/>
    <s v="13-Feb-2025"/>
    <x v="1"/>
    <n v="1150"/>
    <n v="0"/>
    <n v="207"/>
    <n v="1357"/>
    <n v="621504"/>
    <s v="19-Aug-25"/>
    <n v="1150"/>
    <n v="32757"/>
    <s v="19-Aug-25"/>
    <m/>
    <m/>
    <s v="010"/>
    <s v="LATE SUBMISSION"/>
    <n v="100"/>
  </r>
  <r>
    <n v="41"/>
    <s v="NORTH"/>
    <s v="UTTAR PRADESH"/>
    <n v="7134"/>
    <s v="M/S GOENKA AUTO PRIVATE LIMITED."/>
    <s v="VARANASI"/>
    <s v="S"/>
    <s v="27-Feb-25"/>
    <n v="1165"/>
    <s v="00785025"/>
    <s v="MC1E4EBA2SP015313"/>
    <s v="D71072545"/>
    <s v="T-1"/>
    <x v="1"/>
    <s v="25-Feb-2025"/>
    <x v="1"/>
    <n v="1150"/>
    <n v="0"/>
    <n v="207"/>
    <n v="1357"/>
    <n v="621504"/>
    <s v="19-Aug-25"/>
    <n v="1150"/>
    <n v="32757"/>
    <s v="19-Aug-25"/>
    <m/>
    <m/>
    <s v="010"/>
    <s v="LATE SUBMISSION"/>
    <n v="100"/>
  </r>
  <r>
    <n v="42"/>
    <s v="NORTH"/>
    <s v="UTTAR PRADESH"/>
    <n v="7134"/>
    <s v="M/S GOENKA AUTO PRIVATE LIMITED."/>
    <s v="VARANASI"/>
    <s v="S"/>
    <s v="07-Mar-25"/>
    <n v="1165"/>
    <s v="00789309"/>
    <s v="MC1E4FLA7SP021807"/>
    <s v="D71066302"/>
    <s v="T26"/>
    <x v="1"/>
    <s v="25-Dec-2024"/>
    <x v="1"/>
    <n v="1150"/>
    <n v="0"/>
    <n v="207"/>
    <n v="1357"/>
    <n v="621504"/>
    <s v="19-Aug-25"/>
    <n v="1150"/>
    <n v="32757"/>
    <s v="19-Aug-25"/>
    <m/>
    <m/>
    <s v="010"/>
    <s v="LATE SUBMISSION"/>
    <n v="100"/>
  </r>
  <r>
    <n v="43"/>
    <s v="NORTH"/>
    <s v="UTTAR PRADESH"/>
    <n v="7134"/>
    <s v="M/S GOENKA AUTO PRIVATE LIMITED."/>
    <s v="VARANASI"/>
    <s v="S"/>
    <s v="13-Mar-25"/>
    <n v="1165"/>
    <s v="00006118"/>
    <s v="MC1M4ALA8SP002956"/>
    <s v="D71066667"/>
    <s v="T1N"/>
    <x v="1"/>
    <s v="31-Dec-2024"/>
    <x v="1"/>
    <n v="1500"/>
    <n v="0"/>
    <n v="270"/>
    <n v="1770"/>
    <n v="621504"/>
    <s v="19-Aug-25"/>
    <n v="1500"/>
    <n v="32757"/>
    <s v="19-Aug-25"/>
    <m/>
    <m/>
    <s v="010"/>
    <s v="LATE SUBMISSION"/>
    <n v="100"/>
  </r>
  <r>
    <n v="44"/>
    <s v="NORTH"/>
    <s v="UTTAR PRADESH"/>
    <n v="7134"/>
    <s v="M/S GOENKA AUTO PRIVATE LIMITED."/>
    <s v="VARANASI"/>
    <s v="S"/>
    <s v="05-Mar-25"/>
    <n v="1165"/>
    <s v="00795725"/>
    <s v="MC1E4DAA1SP055832"/>
    <s v="D71068928"/>
    <s v="T-1"/>
    <x v="1"/>
    <s v="13-Feb-2025"/>
    <x v="1"/>
    <n v="1150"/>
    <n v="0"/>
    <n v="207"/>
    <n v="1357"/>
    <n v="621504"/>
    <s v="19-Aug-25"/>
    <n v="1150"/>
    <n v="32757"/>
    <s v="19-Aug-25"/>
    <m/>
    <m/>
    <s v="010"/>
    <s v="LATE SUBMISSION"/>
    <n v="100"/>
  </r>
  <r>
    <n v="45"/>
    <s v="NORTH"/>
    <s v="UTTAR PRADESH"/>
    <n v="7134"/>
    <s v="M/S GOENKA AUTO PRIVATE LIMITED."/>
    <s v="VARANASI"/>
    <s v="S"/>
    <s v="13-Feb-25"/>
    <n v="1165"/>
    <s v="00326051"/>
    <s v="MC1D4DKA2SP105924"/>
    <s v="D72017397"/>
    <s v="TRAX"/>
    <x v="1"/>
    <s v="30-Nov-2024"/>
    <x v="1"/>
    <n v="1150"/>
    <n v="0"/>
    <n v="207"/>
    <n v="1357"/>
    <n v="621504"/>
    <s v="19-Aug-25"/>
    <n v="1150"/>
    <n v="32757"/>
    <s v="19-Aug-25"/>
    <m/>
    <m/>
    <s v="010"/>
    <s v="LATE SUBMISSION"/>
    <n v="100"/>
  </r>
  <r>
    <n v="46"/>
    <s v="NORTH"/>
    <s v="UTTAR PRADESH"/>
    <n v="7134"/>
    <s v="M/S GOENKA AUTO PRIVATE LIMITED."/>
    <s v="VARANASI"/>
    <s v="S"/>
    <s v="30-Mar-25"/>
    <n v="1165"/>
    <s v="00789038"/>
    <s v="MC1E4FCAXSP023177"/>
    <s v="D71076546"/>
    <s v="T26"/>
    <x v="2"/>
    <s v="28-Mar-2025"/>
    <x v="1"/>
    <n v="1150"/>
    <n v="1150"/>
    <n v="207"/>
    <n v="1357"/>
    <n v="621505"/>
    <s v="19-Aug-25"/>
    <n v="0"/>
    <n v="32758"/>
    <s v="19-Aug-25"/>
    <m/>
    <m/>
    <m/>
    <m/>
    <m/>
  </r>
  <r>
    <n v="47"/>
    <s v="NORTH"/>
    <s v="UTTAR PRADESH"/>
    <n v="7134"/>
    <s v="M/S GOENKA AUTO PRIVATE LIMITED."/>
    <s v="VARANASI"/>
    <s v="S"/>
    <s v="22-Mar-25"/>
    <n v="1160"/>
    <s v="00801727"/>
    <s v="MC1E4DCA7SP056335"/>
    <s v="D71075083"/>
    <s v="T-1"/>
    <x v="2"/>
    <s v="19-Mar-2025"/>
    <x v="1"/>
    <n v="1150"/>
    <n v="1150"/>
    <n v="207"/>
    <n v="1357"/>
    <n v="621505"/>
    <s v="19-Aug-25"/>
    <n v="0"/>
    <n v="32758"/>
    <s v="19-Aug-25"/>
    <m/>
    <m/>
    <m/>
    <m/>
    <m/>
  </r>
  <r>
    <n v="48"/>
    <s v="NORTH"/>
    <s v="UTTAR PRADESH"/>
    <n v="7134"/>
    <s v="M/S GOENKA AUTO PRIVATE LIMITED."/>
    <s v="VARANASI"/>
    <s v="S"/>
    <s v="18-Mar-25"/>
    <n v="1165"/>
    <s v="00789530"/>
    <s v="MC1E4FBA3SP022860"/>
    <s v="D71074009"/>
    <s v="T26"/>
    <x v="2"/>
    <s v="12-Mar-2025"/>
    <x v="1"/>
    <n v="1150"/>
    <n v="1150"/>
    <n v="207"/>
    <n v="1357"/>
    <n v="621505"/>
    <s v="19-Aug-25"/>
    <n v="0"/>
    <n v="32758"/>
    <s v="19-Aug-25"/>
    <m/>
    <m/>
    <m/>
    <m/>
    <m/>
  </r>
  <r>
    <n v="49"/>
    <s v="NORTH"/>
    <s v="UTTAR PRADESH"/>
    <n v="7134"/>
    <s v="M/S GOENKA AUTO PRIVATE LIMITED."/>
    <s v="VARANASI"/>
    <s v="S"/>
    <s v="30-Mar-25"/>
    <n v="1165"/>
    <s v="00789023"/>
    <s v="MC1E4FCA2SP023089"/>
    <s v="D71076495"/>
    <s v="T26"/>
    <x v="2"/>
    <s v="28-Mar-2025"/>
    <x v="1"/>
    <n v="1150"/>
    <n v="1150"/>
    <n v="207"/>
    <n v="1357"/>
    <n v="621505"/>
    <s v="19-Aug-25"/>
    <n v="0"/>
    <n v="32758"/>
    <s v="19-Aug-25"/>
    <m/>
    <m/>
    <m/>
    <m/>
    <m/>
  </r>
  <r>
    <n v="50"/>
    <s v="NORTH"/>
    <s v="UTTAR PRADESH"/>
    <n v="7134"/>
    <s v="M/S GOENKA AUTO PRIVATE LIMITED."/>
    <s v="VARANASI"/>
    <s v="S"/>
    <s v="30-Mar-25"/>
    <n v="1165"/>
    <s v="00798838"/>
    <s v="MC1E4DAA5SP055929"/>
    <s v="D71070921"/>
    <s v="T-1"/>
    <x v="2"/>
    <s v="26-Feb-2025"/>
    <x v="1"/>
    <n v="1150"/>
    <n v="1150"/>
    <n v="207"/>
    <n v="1357"/>
    <n v="621505"/>
    <s v="19-Aug-25"/>
    <n v="0"/>
    <n v="32758"/>
    <s v="19-Aug-25"/>
    <m/>
    <m/>
    <m/>
    <m/>
    <m/>
  </r>
  <r>
    <n v="51"/>
    <s v="NORTH"/>
    <s v="UTTAR PRADESH"/>
    <n v="7134"/>
    <s v="M/S GOENKA AUTO PRIVATE LIMITED."/>
    <s v="VARANASI"/>
    <s v="S"/>
    <s v="29-Mar-25"/>
    <n v="1165"/>
    <s v="00789022"/>
    <s v="MC1E4FCA1SP023116"/>
    <s v="D71076361"/>
    <s v="T26"/>
    <x v="2"/>
    <s v="28-Mar-2025"/>
    <x v="1"/>
    <n v="1150"/>
    <n v="1150"/>
    <n v="207"/>
    <n v="1357"/>
    <n v="621505"/>
    <s v="19-Aug-25"/>
    <n v="0"/>
    <n v="32758"/>
    <s v="19-Aug-25"/>
    <m/>
    <m/>
    <m/>
    <m/>
    <m/>
  </r>
  <r>
    <n v="52"/>
    <s v="NORTH"/>
    <s v="UTTAR PRADESH"/>
    <n v="7134"/>
    <s v="M/S GOENKA AUTO PRIVATE LIMITED."/>
    <s v="VARANASI"/>
    <s v="S"/>
    <s v="29-Mar-25"/>
    <n v="1165"/>
    <s v="00789021"/>
    <s v="MC1E4FCA0SP023088"/>
    <s v="D71076373"/>
    <s v="T26"/>
    <x v="2"/>
    <s v="28-Mar-2025"/>
    <x v="1"/>
    <n v="1150"/>
    <n v="1150"/>
    <n v="207"/>
    <n v="1357"/>
    <n v="621505"/>
    <s v="19-Aug-25"/>
    <n v="0"/>
    <n v="32758"/>
    <s v="19-Aug-25"/>
    <m/>
    <m/>
    <m/>
    <m/>
    <m/>
  </r>
  <r>
    <n v="53"/>
    <s v="NORTH"/>
    <s v="UTTAR PRADESH"/>
    <n v="7134"/>
    <s v="M/S GOENKA AUTO PRIVATE LIMITED."/>
    <s v="VARANASI"/>
    <s v="S"/>
    <s v="31-Mar-25"/>
    <n v="1165"/>
    <s v="00793736"/>
    <s v="MC1E4FCA8SP022920"/>
    <s v="D71074369"/>
    <s v="T26"/>
    <x v="2"/>
    <s v="29-Mar-2025"/>
    <x v="1"/>
    <n v="1150"/>
    <n v="1150"/>
    <n v="207"/>
    <n v="1357"/>
    <n v="621505"/>
    <s v="19-Aug-25"/>
    <n v="0"/>
    <n v="32758"/>
    <s v="19-Aug-25"/>
    <m/>
    <m/>
    <m/>
    <m/>
    <m/>
  </r>
  <r>
    <n v="54"/>
    <s v="NORTH"/>
    <s v="UTTAR PRADESH"/>
    <n v="7134"/>
    <s v="M/S GOENKA AUTO PRIVATE LIMITED."/>
    <s v="VARANASI"/>
    <s v="S"/>
    <s v="29-Mar-25"/>
    <n v="1165"/>
    <s v="00789025"/>
    <s v="MC1E4FCA8SP023176"/>
    <s v="D71076538"/>
    <s v="T26"/>
    <x v="2"/>
    <s v="28-Mar-2025"/>
    <x v="1"/>
    <n v="1150"/>
    <n v="1150"/>
    <n v="207"/>
    <n v="1357"/>
    <n v="621505"/>
    <s v="19-Aug-25"/>
    <n v="0"/>
    <n v="32758"/>
    <s v="19-Aug-25"/>
    <m/>
    <m/>
    <m/>
    <m/>
    <m/>
  </r>
  <r>
    <n v="55"/>
    <s v="NORTH"/>
    <s v="UTTAR PRADESH"/>
    <n v="7134"/>
    <s v="M/S GOENKA AUTO PRIVATE LIMITED."/>
    <s v="VARANASI"/>
    <s v="S"/>
    <s v="22-Mar-25"/>
    <n v="1165"/>
    <s v="00789361"/>
    <s v="MC1E4FCA3SP023022"/>
    <s v="D71075605"/>
    <s v="T26"/>
    <x v="2"/>
    <s v="21-Mar-2025"/>
    <x v="1"/>
    <n v="1150"/>
    <n v="1150"/>
    <n v="207"/>
    <n v="1357"/>
    <n v="621505"/>
    <s v="19-Aug-25"/>
    <n v="0"/>
    <n v="32758"/>
    <s v="19-Aug-25"/>
    <m/>
    <m/>
    <m/>
    <m/>
    <m/>
  </r>
  <r>
    <n v="56"/>
    <s v="NORTH"/>
    <s v="UTTAR PRADESH"/>
    <n v="7134"/>
    <s v="M/S GOENKA AUTO PRIVATE LIMITED."/>
    <s v="VARANASI"/>
    <s v="S"/>
    <s v="26-Mar-25"/>
    <n v="1165"/>
    <s v="00796920"/>
    <s v="MC1E4DAA2SP055953"/>
    <s v="D71072071"/>
    <s v="T-1"/>
    <x v="2"/>
    <s v="06-Mar-2025"/>
    <x v="1"/>
    <n v="1150"/>
    <n v="1150"/>
    <n v="207"/>
    <n v="1357"/>
    <n v="621505"/>
    <s v="19-Aug-25"/>
    <n v="0"/>
    <n v="32758"/>
    <s v="19-Aug-25"/>
    <m/>
    <m/>
    <m/>
    <m/>
    <m/>
  </r>
  <r>
    <n v="57"/>
    <s v="NORTH"/>
    <s v="UTTAR PRADESH"/>
    <n v="7134"/>
    <s v="M/S GOENKA AUTO PRIVATE LIMITED."/>
    <s v="VARANASI"/>
    <s v="S"/>
    <s v="26-Mar-25"/>
    <n v="1165"/>
    <n v="91005790"/>
    <s v="MC1M4ABA8SP003414"/>
    <s v="D71072338"/>
    <s v="T1N"/>
    <x v="2"/>
    <s v="13-Feb-2025"/>
    <x v="1"/>
    <n v="1500"/>
    <n v="1500"/>
    <n v="270"/>
    <n v="1770"/>
    <n v="621505"/>
    <s v="19-Aug-25"/>
    <n v="0"/>
    <n v="32758"/>
    <s v="19-Aug-25"/>
    <m/>
    <m/>
    <m/>
    <m/>
    <m/>
  </r>
  <r>
    <n v="58"/>
    <s v="NORTH"/>
    <s v="UTTAR PRADESH"/>
    <n v="7134"/>
    <s v="M/S GOENKA AUTO PRIVATE LIMITED."/>
    <s v="VARANASI"/>
    <s v="S"/>
    <s v="24-Mar-25"/>
    <n v="1165"/>
    <s v="00794595"/>
    <s v="MC1E4FCA6SP023063"/>
    <s v="D71075908"/>
    <s v="T26"/>
    <x v="2"/>
    <s v="22-Mar-2025"/>
    <x v="1"/>
    <n v="1150"/>
    <n v="1150"/>
    <n v="207"/>
    <n v="1357"/>
    <n v="621505"/>
    <s v="19-Aug-25"/>
    <n v="0"/>
    <n v="32758"/>
    <s v="19-Aug-25"/>
    <m/>
    <m/>
    <m/>
    <m/>
    <m/>
  </r>
  <r>
    <n v="59"/>
    <s v="NORTH"/>
    <s v="UTTAR PRADESH"/>
    <n v="7134"/>
    <s v="M/S GOENKA AUTO PRIVATE LIMITED."/>
    <s v="VARANASI"/>
    <s v="S"/>
    <s v="29-Mar-25"/>
    <n v="1165"/>
    <s v="00789024"/>
    <s v="MC1E4FCA4SP023093"/>
    <s v="D71076443"/>
    <s v="T26"/>
    <x v="2"/>
    <s v="28-Mar-2025"/>
    <x v="1"/>
    <n v="1150"/>
    <n v="1150"/>
    <n v="207"/>
    <n v="1357"/>
    <n v="621505"/>
    <s v="19-Aug-25"/>
    <n v="0"/>
    <n v="32758"/>
    <s v="19-Aug-25"/>
    <m/>
    <m/>
    <m/>
    <m/>
    <m/>
  </r>
  <r>
    <n v="60"/>
    <s v="NORTH"/>
    <s v="UTTAR PRADESH"/>
    <n v="7134"/>
    <s v="M/S GOENKA AUTO PRIVATE LIMITED."/>
    <s v="VARANASI"/>
    <s v="S"/>
    <s v="22-Mar-25"/>
    <n v="1165"/>
    <s v="00800870"/>
    <s v="MC1E4ECA7SP015645"/>
    <s v="D71075726"/>
    <s v="T-1"/>
    <x v="2"/>
    <s v="20-Mar-2025"/>
    <x v="1"/>
    <n v="1150"/>
    <n v="1150"/>
    <n v="207"/>
    <n v="1357"/>
    <n v="621505"/>
    <s v="19-Aug-25"/>
    <n v="0"/>
    <n v="32758"/>
    <s v="19-Aug-25"/>
    <m/>
    <m/>
    <m/>
    <m/>
    <m/>
  </r>
  <r>
    <n v="61"/>
    <s v="NORTH"/>
    <s v="UTTAR PRADESH"/>
    <n v="7134"/>
    <s v="M/S GOENKA AUTO PRIVATE LIMITED."/>
    <s v="VARANASI"/>
    <s v="S"/>
    <s v="20-Mar-25"/>
    <n v="1165"/>
    <s v="00000001"/>
    <s v="MC1D4DAA9SP106862"/>
    <s v="D72018463"/>
    <s v="TRAX"/>
    <x v="2"/>
    <s v="24-Jan-2025"/>
    <x v="1"/>
    <n v="1150"/>
    <n v="1150"/>
    <n v="207"/>
    <n v="1357"/>
    <n v="621505"/>
    <s v="19-Aug-25"/>
    <n v="0"/>
    <n v="32758"/>
    <s v="19-Aug-25"/>
    <m/>
    <m/>
    <m/>
    <m/>
    <m/>
  </r>
  <r>
    <n v="62"/>
    <s v="NORTH"/>
    <s v="UTTAR PRADESH"/>
    <n v="7134"/>
    <s v="M/S GOENKA AUTO PRIVATE LIMITED."/>
    <s v="VARANASI"/>
    <s v="S"/>
    <s v="31-Mar-25"/>
    <n v="1165"/>
    <s v="00789037"/>
    <s v="MC1E4FCAXSP023146"/>
    <s v="D71076503"/>
    <s v="T26"/>
    <x v="2"/>
    <s v="28-Mar-2025"/>
    <x v="1"/>
    <n v="1150"/>
    <n v="1150"/>
    <n v="207"/>
    <n v="1357"/>
    <n v="621505"/>
    <s v="19-Aug-25"/>
    <n v="0"/>
    <n v="32758"/>
    <s v="19-Aug-25"/>
    <m/>
    <m/>
    <m/>
    <m/>
    <m/>
  </r>
  <r>
    <n v="63"/>
    <s v="NORTH"/>
    <s v="UTTAR PRADESH"/>
    <n v="7134"/>
    <s v="M/S GOENKA AUTO PRIVATE LIMITED."/>
    <s v="VARANASI"/>
    <s v="S"/>
    <s v="29-Mar-25"/>
    <n v="1165"/>
    <s v="00801496"/>
    <s v="MC1E4ECA8SP015718"/>
    <s v="D71076194"/>
    <s v="T-1"/>
    <x v="2"/>
    <s v="25-Mar-2025"/>
    <x v="1"/>
    <n v="1150"/>
    <n v="1150"/>
    <n v="207"/>
    <n v="1357"/>
    <n v="621505"/>
    <s v="19-Aug-25"/>
    <n v="0"/>
    <n v="32758"/>
    <s v="19-Aug-25"/>
    <m/>
    <m/>
    <m/>
    <m/>
    <m/>
  </r>
  <r>
    <n v="64"/>
    <s v="NORTH"/>
    <s v="UTTAR PRADESH"/>
    <n v="7134"/>
    <s v="M/S GOENKA AUTO PRIVATE LIMITED."/>
    <s v="VARANASI"/>
    <s v="S"/>
    <s v="24-Mar-25"/>
    <n v="1165"/>
    <s v="00794594"/>
    <s v="MC1E4FCA4SP023076"/>
    <s v="D71075966"/>
    <s v="T26"/>
    <x v="2"/>
    <s v="22-Mar-2025"/>
    <x v="1"/>
    <n v="1150"/>
    <n v="1150"/>
    <n v="207"/>
    <n v="1357"/>
    <n v="621505"/>
    <s v="19-Aug-25"/>
    <n v="0"/>
    <n v="32758"/>
    <s v="19-Aug-25"/>
    <m/>
    <m/>
    <m/>
    <m/>
    <m/>
  </r>
  <r>
    <n v="65"/>
    <s v="NORTH"/>
    <s v="UTTAR PRADESH"/>
    <n v="7134"/>
    <s v="M/S GOENKA AUTO PRIVATE LIMITED."/>
    <s v="VARANASI"/>
    <s v="S"/>
    <s v="26-Apr-25"/>
    <n v="1165"/>
    <s v="00798248"/>
    <s v="MC1E4DDA5SP056784"/>
    <s v="D71077983"/>
    <s v="T-1"/>
    <x v="3"/>
    <s v="18-Apr-2025"/>
    <x v="1"/>
    <n v="1150"/>
    <n v="1150"/>
    <n v="207"/>
    <n v="1357"/>
    <n v="621506"/>
    <s v="19-Aug-25"/>
    <n v="0"/>
    <n v="32759"/>
    <s v="19-Aug-25"/>
    <m/>
    <m/>
    <m/>
    <m/>
    <m/>
  </r>
  <r>
    <n v="66"/>
    <s v="NORTH"/>
    <s v="UTTAR PRADESH"/>
    <n v="7134"/>
    <s v="M/S GOENKA AUTO PRIVATE LIMITED."/>
    <s v="VARANASI"/>
    <s v="S"/>
    <s v="30-Apr-25"/>
    <n v="1165"/>
    <s v="00798249"/>
    <s v="MC1E4DDA7SP056723"/>
    <s v="D71078029"/>
    <s v="T-1"/>
    <x v="3"/>
    <s v="18-Apr-2025"/>
    <x v="1"/>
    <n v="1150"/>
    <n v="1150"/>
    <n v="207"/>
    <n v="1357"/>
    <n v="621506"/>
    <s v="19-Aug-25"/>
    <n v="0"/>
    <n v="32759"/>
    <s v="19-Aug-25"/>
    <m/>
    <m/>
    <m/>
    <m/>
    <m/>
  </r>
  <r>
    <n v="67"/>
    <s v="NORTH"/>
    <s v="UTTAR PRADESH"/>
    <n v="7134"/>
    <s v="M/S GOENKA AUTO PRIVATE LIMITED."/>
    <s v="VARANASI"/>
    <s v="S"/>
    <s v="28-Apr-25"/>
    <n v="1165"/>
    <s v="00798272"/>
    <s v="MC1E4CCA9SP086446"/>
    <s v="D71074379"/>
    <s v="T-1"/>
    <x v="3"/>
    <s v="15-Apr-2025"/>
    <x v="1"/>
    <n v="1150"/>
    <n v="1150"/>
    <n v="207"/>
    <n v="1357"/>
    <n v="621506"/>
    <s v="19-Aug-25"/>
    <n v="0"/>
    <n v="32759"/>
    <s v="19-Aug-25"/>
    <m/>
    <m/>
    <m/>
    <m/>
    <m/>
  </r>
  <r>
    <n v="68"/>
    <s v="NORTH"/>
    <s v="UTTAR PRADESH"/>
    <n v="7134"/>
    <s v="M/S GOENKA AUTO PRIVATE LIMITED."/>
    <s v="VARANASI"/>
    <s v="S"/>
    <s v="14-Apr-25"/>
    <n v="1165"/>
    <s v="00327377"/>
    <s v="MC1D4DBA9SP107444"/>
    <s v="D72019051"/>
    <s v="TRAX"/>
    <x v="3"/>
    <s v="19-Mar-2025"/>
    <x v="1"/>
    <n v="1150"/>
    <n v="1150"/>
    <n v="207"/>
    <n v="1357"/>
    <n v="621506"/>
    <s v="19-Aug-25"/>
    <n v="0"/>
    <n v="32759"/>
    <s v="19-Aug-25"/>
    <m/>
    <m/>
    <m/>
    <m/>
    <m/>
  </r>
  <r>
    <n v="69"/>
    <s v="NORTH"/>
    <s v="UTTAR PRADESH"/>
    <n v="7134"/>
    <s v="M/S GOENKA AUTO PRIVATE LIMITED."/>
    <s v="VARANASI"/>
    <s v="S"/>
    <s v="18-Apr-25"/>
    <n v="1165"/>
    <s v="00796643"/>
    <s v="MC1E4DCA0SP056340"/>
    <s v="D71075044"/>
    <s v="T-1"/>
    <x v="3"/>
    <s v="19-Mar-2025"/>
    <x v="1"/>
    <n v="1150"/>
    <n v="1150"/>
    <n v="207"/>
    <n v="1357"/>
    <n v="621506"/>
    <s v="19-Aug-25"/>
    <n v="0"/>
    <n v="32759"/>
    <s v="19-Aug-25"/>
    <m/>
    <m/>
    <m/>
    <m/>
    <m/>
  </r>
  <r>
    <n v="70"/>
    <s v="NORTH"/>
    <s v="UTTAR PRADESH"/>
    <n v="7134"/>
    <s v="M/S GOENKA AUTO PRIVATE LIMITED."/>
    <s v="VARANASI"/>
    <s v="S"/>
    <s v="30-Apr-25"/>
    <n v="1165"/>
    <s v="00006730"/>
    <s v="MC1M4ADAXSP004013"/>
    <s v="D71077066"/>
    <s v="T1N"/>
    <x v="3"/>
    <s v="08-Apr-2025"/>
    <x v="1"/>
    <n v="1500"/>
    <n v="1500"/>
    <n v="270"/>
    <n v="1770"/>
    <n v="621506"/>
    <s v="19-Aug-25"/>
    <n v="0"/>
    <n v="32759"/>
    <s v="19-Aug-25"/>
    <m/>
    <m/>
    <m/>
    <m/>
    <m/>
  </r>
  <r>
    <n v="71"/>
    <s v="NORTH"/>
    <s v="UTTAR PRADESH"/>
    <n v="7134"/>
    <s v="M/S GOENKA AUTO PRIVATE LIMITED."/>
    <s v="VARANASI"/>
    <s v="S"/>
    <s v="15-Apr-25"/>
    <n v="1165"/>
    <s v="00327621"/>
    <s v="MC1D4DCAXSP108052"/>
    <s v="D72019707"/>
    <s v="TRAX"/>
    <x v="3"/>
    <s v="27-Mar-2025"/>
    <x v="1"/>
    <n v="1150"/>
    <n v="1150"/>
    <n v="207"/>
    <n v="1357"/>
    <n v="621506"/>
    <s v="19-Aug-25"/>
    <n v="0"/>
    <n v="32759"/>
    <s v="19-Aug-25"/>
    <m/>
    <m/>
    <m/>
    <m/>
    <m/>
  </r>
  <r>
    <n v="72"/>
    <s v="NORTH"/>
    <s v="UTTAR PRADESH"/>
    <n v="7134"/>
    <s v="M/S GOENKA AUTO PRIVATE LIMITED."/>
    <s v="VARANASI"/>
    <s v="S"/>
    <s v="28-Apr-25"/>
    <n v="1165"/>
    <s v="00796647"/>
    <s v="MC1E4CAAXSP083364"/>
    <s v="D71069119"/>
    <s v="T-1"/>
    <x v="3"/>
    <s v="19-Mar-2025"/>
    <x v="1"/>
    <n v="1150"/>
    <n v="1150"/>
    <n v="207"/>
    <n v="1357"/>
    <n v="621506"/>
    <s v="19-Aug-25"/>
    <n v="0"/>
    <n v="32759"/>
    <s v="19-Aug-25"/>
    <m/>
    <m/>
    <m/>
    <m/>
    <m/>
  </r>
  <r>
    <n v="73"/>
    <s v="NORTH"/>
    <s v="UTTAR PRADESH"/>
    <n v="7134"/>
    <s v="M/S GOENKA AUTO PRIVATE LIMITED."/>
    <s v="VARANASI"/>
    <s v="S"/>
    <s v="22-Apr-25"/>
    <n v="1165"/>
    <s v="00007021"/>
    <s v="MC1M4ADA1SP004093"/>
    <s v="D71077575"/>
    <s v="T1N"/>
    <x v="3"/>
    <s v="15-Apr-2025"/>
    <x v="1"/>
    <n v="1500"/>
    <n v="1500"/>
    <n v="270"/>
    <n v="1770"/>
    <n v="621506"/>
    <s v="19-Aug-25"/>
    <n v="0"/>
    <n v="32759"/>
    <s v="19-Aug-25"/>
    <m/>
    <m/>
    <m/>
    <m/>
    <m/>
  </r>
  <r>
    <n v="74"/>
    <s v="NORTH"/>
    <s v="UTTAR PRADESH"/>
    <n v="7134"/>
    <s v="M/S GOENKA AUTO PRIVATE LIMITED."/>
    <s v="VARANASI"/>
    <s v="S"/>
    <s v="29-Apr-25"/>
    <n v="1165"/>
    <s v="00328294"/>
    <s v="MC1D4DDA5SP108491"/>
    <s v="D72020135"/>
    <s v="TRAX"/>
    <x v="3"/>
    <s v="18-Apr-2025"/>
    <x v="1"/>
    <n v="1150"/>
    <n v="1150"/>
    <n v="207"/>
    <n v="1357"/>
    <n v="621506"/>
    <s v="19-Aug-25"/>
    <n v="0"/>
    <n v="32759"/>
    <s v="19-Aug-25"/>
    <m/>
    <m/>
    <m/>
    <m/>
    <m/>
  </r>
  <r>
    <n v="75"/>
    <s v="NORTH"/>
    <s v="UTTAR PRADESH"/>
    <n v="7134"/>
    <s v="M/S GOENKA AUTO PRIVATE LIMITED."/>
    <s v="VARANASI"/>
    <s v="S"/>
    <s v="18-Apr-25"/>
    <n v="1165"/>
    <s v="00796644"/>
    <s v="MC1E4DCA0SP056371"/>
    <s v="D71075297"/>
    <s v="T-1"/>
    <x v="3"/>
    <s v="19-Mar-2025"/>
    <x v="1"/>
    <n v="1150"/>
    <n v="1150"/>
    <n v="207"/>
    <n v="1357"/>
    <n v="621506"/>
    <s v="19-Aug-25"/>
    <n v="0"/>
    <n v="32759"/>
    <s v="19-Aug-25"/>
    <m/>
    <m/>
    <m/>
    <m/>
    <m/>
  </r>
  <r>
    <n v="76"/>
    <s v="NORTH"/>
    <s v="UTTAR PRADESH"/>
    <n v="7134"/>
    <s v="M/S GOENKA AUTO PRIVATE LIMITED."/>
    <s v="VARANASI"/>
    <s v="S"/>
    <s v="26-Apr-25"/>
    <n v="1165"/>
    <s v="00784079"/>
    <s v="MC1E4FCA6SP022978"/>
    <s v="D71075006"/>
    <s v="T26"/>
    <x v="3"/>
    <s v="20-Mar-2025"/>
    <x v="1"/>
    <n v="1150"/>
    <n v="1150"/>
    <n v="207"/>
    <n v="1357"/>
    <n v="621506"/>
    <s v="19-Aug-25"/>
    <n v="0"/>
    <n v="32759"/>
    <s v="19-Aug-25"/>
    <m/>
    <m/>
    <m/>
    <m/>
    <m/>
  </r>
  <r>
    <n v="77"/>
    <s v="NORTH"/>
    <s v="UTTAR PRADESH"/>
    <n v="7134"/>
    <s v="M/S GOENKA AUTO PRIVATE LIMITED."/>
    <s v="VARANASI"/>
    <s v="S"/>
    <s v="09-Apr-25"/>
    <n v="1165"/>
    <s v="00801227"/>
    <s v="MC1E4ECA2SP015763"/>
    <s v="D71076632"/>
    <s v="T-1"/>
    <x v="3"/>
    <s v="04-Apr-2025"/>
    <x v="1"/>
    <n v="1150"/>
    <n v="1150"/>
    <n v="207"/>
    <n v="1357"/>
    <n v="621506"/>
    <s v="19-Aug-25"/>
    <n v="0"/>
    <n v="32759"/>
    <s v="19-Aug-25"/>
    <m/>
    <m/>
    <m/>
    <m/>
    <m/>
  </r>
  <r>
    <n v="78"/>
    <s v="NORTH"/>
    <s v="UTTAR PRADESH"/>
    <n v="7134"/>
    <s v="M/S GOENKA AUTO PRIVATE LIMITED."/>
    <s v="VARANASI"/>
    <s v="S"/>
    <s v="09-Apr-25"/>
    <n v="1165"/>
    <s v="00785190"/>
    <s v="MC1E4EBA8SP015414"/>
    <s v="D71073577"/>
    <s v="T-1"/>
    <x v="3"/>
    <s v="28-Feb-2025"/>
    <x v="1"/>
    <n v="1150"/>
    <n v="1150"/>
    <n v="207"/>
    <n v="1357"/>
    <n v="621506"/>
    <s v="19-Aug-25"/>
    <n v="0"/>
    <n v="32759"/>
    <s v="19-Aug-25"/>
    <m/>
    <m/>
    <m/>
    <m/>
    <m/>
  </r>
  <r>
    <n v="79"/>
    <s v="NORTH"/>
    <s v="UTTAR PRADESH"/>
    <n v="7134"/>
    <s v="M/S GOENKA AUTO PRIVATE LIMITED."/>
    <s v="VARANASI"/>
    <s v="S"/>
    <s v="30-Apr-25"/>
    <n v="1165"/>
    <s v="00784080"/>
    <s v="MC1E4FCA7SP022987"/>
    <s v="D71074891"/>
    <s v="T26"/>
    <x v="3"/>
    <s v="20-Mar-2025"/>
    <x v="1"/>
    <n v="1150"/>
    <n v="1150"/>
    <n v="207"/>
    <n v="1357"/>
    <n v="621506"/>
    <s v="19-Aug-25"/>
    <n v="0"/>
    <n v="32759"/>
    <s v="19-Aug-25"/>
    <m/>
    <m/>
    <m/>
    <m/>
    <m/>
  </r>
  <r>
    <n v="80"/>
    <s v="NORTH"/>
    <s v="UTTAR PRADESH"/>
    <n v="7134"/>
    <s v="M/S GOENKA AUTO PRIVATE LIMITED."/>
    <s v="VARANASI"/>
    <s v="S"/>
    <s v="10-Apr-25"/>
    <n v="1165"/>
    <s v="00801228"/>
    <s v="MC1E4ECA4SP015800"/>
    <s v="D71076699"/>
    <s v="T-1"/>
    <x v="3"/>
    <s v="04-Apr-2025"/>
    <x v="1"/>
    <n v="1150"/>
    <n v="1150"/>
    <n v="207"/>
    <n v="1357"/>
    <n v="621506"/>
    <s v="19-Aug-25"/>
    <n v="0"/>
    <n v="32759"/>
    <s v="19-Aug-25"/>
    <m/>
    <m/>
    <m/>
    <m/>
    <m/>
  </r>
  <r>
    <n v="81"/>
    <s v="NORTH"/>
    <s v="UTTAR PRADESH"/>
    <n v="7134"/>
    <s v="M/S GOENKA AUTO PRIVATE LIMITED."/>
    <s v="VARANASI"/>
    <s v="S"/>
    <s v="29-Apr-25"/>
    <n v="1165"/>
    <s v="00796631"/>
    <s v="MC1E4CAA9SP083369"/>
    <s v="D71069051"/>
    <s v="T-1"/>
    <x v="3"/>
    <s v="19-Mar-2025"/>
    <x v="1"/>
    <n v="1150"/>
    <n v="1150"/>
    <n v="207"/>
    <n v="1357"/>
    <n v="621506"/>
    <s v="19-Aug-25"/>
    <n v="0"/>
    <n v="32759"/>
    <s v="19-Aug-25"/>
    <m/>
    <m/>
    <m/>
    <m/>
    <m/>
  </r>
  <r>
    <n v="82"/>
    <s v="NORTH"/>
    <s v="UTTAR PRADESH"/>
    <n v="7134"/>
    <s v="M/S GOENKA AUTO PRIVATE LIMITED."/>
    <s v="VARANASI"/>
    <s v="S"/>
    <s v="21-Apr-25"/>
    <n v="1165"/>
    <s v="00328807"/>
    <s v="MC1D1DDA1SP001625"/>
    <s v="D72020101"/>
    <s v="TRAX"/>
    <x v="3"/>
    <s v="15-Apr-2025"/>
    <x v="1"/>
    <n v="1150"/>
    <n v="1150"/>
    <n v="207"/>
    <n v="1357"/>
    <n v="621506"/>
    <s v="19-Aug-25"/>
    <n v="0"/>
    <n v="32759"/>
    <s v="19-Aug-25"/>
    <m/>
    <m/>
    <m/>
    <m/>
    <m/>
  </r>
  <r>
    <n v="83"/>
    <s v="NORTH"/>
    <s v="UTTAR PRADESH"/>
    <n v="7134"/>
    <s v="M/S GOENKA AUTO PRIVATE LIMITED."/>
    <s v="VARANASI"/>
    <s v="S"/>
    <s v="23-Apr-25"/>
    <n v="1165"/>
    <s v="00796676"/>
    <s v="MC1E4DCA2SP056341"/>
    <s v="D71075208"/>
    <s v="T-1"/>
    <x v="3"/>
    <s v="20-Mar-2025"/>
    <x v="1"/>
    <n v="1150"/>
    <n v="1150"/>
    <n v="207"/>
    <n v="1357"/>
    <n v="621506"/>
    <s v="19-Aug-25"/>
    <n v="0"/>
    <n v="32759"/>
    <s v="19-Aug-25"/>
    <m/>
    <m/>
    <m/>
    <m/>
    <m/>
  </r>
  <r>
    <n v="84"/>
    <s v="NORTH"/>
    <s v="UTTAR PRADESH"/>
    <n v="7134"/>
    <s v="M/S GOENKA AUTO PRIVATE LIMITED."/>
    <s v="VARANASI"/>
    <s v="S"/>
    <s v="14-Apr-25"/>
    <n v="1165"/>
    <s v="00796642"/>
    <s v="MC1E4DCA1SP056217"/>
    <s v="D71074610"/>
    <s v="T-1"/>
    <x v="3"/>
    <s v="19-Mar-2025"/>
    <x v="1"/>
    <n v="1150"/>
    <n v="1150"/>
    <n v="207"/>
    <n v="1357"/>
    <n v="621506"/>
    <s v="19-Aug-25"/>
    <n v="0"/>
    <n v="32759"/>
    <s v="19-Aug-25"/>
    <m/>
    <m/>
    <m/>
    <m/>
    <m/>
  </r>
  <r>
    <n v="85"/>
    <s v="NORTH"/>
    <s v="UTTAR PRADESH"/>
    <n v="7134"/>
    <s v="M/S GOENKA AUTO PRIVATE LIMITED."/>
    <s v="VARANASI"/>
    <s v="S"/>
    <s v="26-May-25"/>
    <n v="1165"/>
    <s v="00778143"/>
    <s v="MC1E5DDA1SP000662"/>
    <s v="D73001851"/>
    <s v="T-1"/>
    <x v="4"/>
    <s v="14-Apr-2025"/>
    <x v="1"/>
    <n v="1150"/>
    <n v="1150"/>
    <n v="207"/>
    <n v="1357"/>
    <n v="621507"/>
    <s v="19-Aug-25"/>
    <n v="0"/>
    <n v="32760"/>
    <s v="19-Aug-25"/>
    <m/>
    <m/>
    <m/>
    <m/>
    <m/>
  </r>
  <r>
    <n v="86"/>
    <s v="NORTH"/>
    <s v="UTTAR PRADESH"/>
    <n v="7134"/>
    <s v="M/S GOENKA AUTO PRIVATE LIMITED."/>
    <s v="VARANASI"/>
    <s v="S"/>
    <s v="27-May-25"/>
    <n v="1165"/>
    <s v="00768071"/>
    <s v="MC1E4FDA9SP023265"/>
    <s v="D71077328"/>
    <s v="T26"/>
    <x v="4"/>
    <s v="07-Apr-2025"/>
    <x v="1"/>
    <n v="1150"/>
    <n v="1150"/>
    <n v="207"/>
    <n v="1357"/>
    <n v="621507"/>
    <s v="19-Aug-25"/>
    <n v="0"/>
    <n v="32760"/>
    <s v="19-Aug-25"/>
    <m/>
    <m/>
    <m/>
    <m/>
    <m/>
  </r>
  <r>
    <n v="87"/>
    <s v="NORTH"/>
    <s v="UTTAR PRADESH"/>
    <n v="7134"/>
    <s v="M/S GOENKA AUTO PRIVATE LIMITED."/>
    <s v="VARANASI"/>
    <s v="S"/>
    <s v="28-May-25"/>
    <n v="1165"/>
    <s v="00803547"/>
    <s v="MC1E4CDA6SP087245"/>
    <s v="D71077690"/>
    <s v="T-1"/>
    <x v="4"/>
    <s v="06-May-2025"/>
    <x v="1"/>
    <n v="1150"/>
    <n v="1150"/>
    <n v="207"/>
    <n v="1357"/>
    <n v="621507"/>
    <s v="19-Aug-25"/>
    <n v="0"/>
    <n v="32760"/>
    <s v="19-Aug-25"/>
    <m/>
    <m/>
    <m/>
    <m/>
    <m/>
  </r>
  <r>
    <n v="88"/>
    <s v="NORTH"/>
    <s v="UTTAR PRADESH"/>
    <n v="7134"/>
    <s v="M/S GOENKA AUTO PRIVATE LIMITED."/>
    <s v="VARANASI"/>
    <s v="S"/>
    <s v="14-May-25"/>
    <n v="1165"/>
    <s v="00798231"/>
    <s v="MC1E4DDA3SP056718"/>
    <s v="D71077738"/>
    <s v="T-1"/>
    <x v="4"/>
    <s v="17-Apr-2025"/>
    <x v="1"/>
    <n v="1150"/>
    <n v="1150"/>
    <n v="207"/>
    <n v="1357"/>
    <n v="621507"/>
    <s v="19-Aug-25"/>
    <n v="0"/>
    <n v="32760"/>
    <s v="19-Aug-25"/>
    <m/>
    <m/>
    <m/>
    <m/>
    <m/>
  </r>
  <r>
    <n v="89"/>
    <s v="NORTH"/>
    <s v="UTTAR PRADESH"/>
    <n v="7134"/>
    <s v="M/S GOENKA AUTO PRIVATE LIMITED."/>
    <s v="VARANASI"/>
    <s v="S"/>
    <s v="15-May-25"/>
    <n v="1165"/>
    <s v="00802355"/>
    <s v="MC1E4EEA1SP016111"/>
    <s v="D71079576"/>
    <s v="T-1"/>
    <x v="4"/>
    <s v="08-May-2025"/>
    <x v="1"/>
    <n v="1150"/>
    <n v="1150"/>
    <n v="207"/>
    <n v="1357"/>
    <n v="621507"/>
    <s v="19-Aug-25"/>
    <n v="0"/>
    <n v="32760"/>
    <s v="19-Aug-25"/>
    <m/>
    <m/>
    <m/>
    <m/>
    <m/>
  </r>
  <r>
    <n v="90"/>
    <s v="NORTH"/>
    <s v="UTTAR PRADESH"/>
    <n v="7134"/>
    <s v="M/S GOENKA AUTO PRIVATE LIMITED."/>
    <s v="VARANASI"/>
    <s v="S"/>
    <s v="05-Jun-25"/>
    <n v="1165"/>
    <s v="00802873"/>
    <s v="MC1E4EEA6SP016279"/>
    <s v="D71080664"/>
    <s v="T-1"/>
    <x v="4"/>
    <s v="23-May-2025"/>
    <x v="1"/>
    <n v="1150"/>
    <n v="1150"/>
    <n v="207"/>
    <n v="1357"/>
    <n v="621507"/>
    <s v="19-Aug-25"/>
    <n v="0"/>
    <n v="32760"/>
    <s v="19-Aug-25"/>
    <m/>
    <m/>
    <m/>
    <m/>
    <m/>
  </r>
  <r>
    <n v="91"/>
    <s v="NORTH"/>
    <s v="UTTAR PRADESH"/>
    <n v="7134"/>
    <s v="M/S GOENKA AUTO PRIVATE LIMITED."/>
    <s v="VARANASI"/>
    <s v="S"/>
    <s v="14-May-25"/>
    <n v="1165"/>
    <s v="00327617"/>
    <s v="MC1D4DCA2SP107879"/>
    <s v="D72019510"/>
    <s v="TRAX"/>
    <x v="4"/>
    <s v="20-Mar-2025"/>
    <x v="1"/>
    <n v="1150"/>
    <n v="1150"/>
    <n v="207"/>
    <n v="1357"/>
    <n v="621507"/>
    <s v="19-Aug-25"/>
    <n v="0"/>
    <n v="32760"/>
    <s v="19-Aug-25"/>
    <m/>
    <m/>
    <m/>
    <m/>
    <m/>
  </r>
  <r>
    <n v="92"/>
    <s v="NORTH"/>
    <s v="UTTAR PRADESH"/>
    <n v="7134"/>
    <s v="M/S GOENKA AUTO PRIVATE LIMITED."/>
    <s v="VARANASI"/>
    <s v="S"/>
    <s v="27-May-25"/>
    <n v="1165"/>
    <s v="00768236"/>
    <s v="MC1E4FCA4SP022963"/>
    <s v="D71074932"/>
    <s v="T26"/>
    <x v="4"/>
    <s v="20-Mar-2025"/>
    <x v="1"/>
    <n v="1150"/>
    <n v="1150"/>
    <n v="207"/>
    <n v="1357"/>
    <n v="621507"/>
    <s v="19-Aug-25"/>
    <n v="0"/>
    <n v="32760"/>
    <s v="19-Aug-25"/>
    <m/>
    <m/>
    <m/>
    <m/>
    <m/>
  </r>
  <r>
    <n v="93"/>
    <s v="NORTH"/>
    <s v="UTTAR PRADESH"/>
    <n v="7134"/>
    <s v="M/S GOENKA AUTO PRIVATE LIMITED."/>
    <s v="VARANASI"/>
    <s v="S"/>
    <s v="12-May-25"/>
    <n v="1165"/>
    <s v="00328366"/>
    <s v="MC1D1DDA0SP001633"/>
    <s v="D72020239"/>
    <s v="TRAX"/>
    <x v="4"/>
    <s v="24-Apr-2025"/>
    <x v="1"/>
    <n v="1150"/>
    <n v="1150"/>
    <n v="207"/>
    <n v="1357"/>
    <n v="621507"/>
    <s v="19-Aug-25"/>
    <n v="0"/>
    <n v="32760"/>
    <s v="19-Aug-25"/>
    <m/>
    <m/>
    <m/>
    <m/>
    <m/>
  </r>
  <r>
    <n v="94"/>
    <s v="NORTH"/>
    <s v="UTTAR PRADESH"/>
    <n v="7134"/>
    <s v="M/S GOENKA AUTO PRIVATE LIMITED."/>
    <s v="VARANASI"/>
    <s v="S"/>
    <s v="05-Jun-25"/>
    <n v="1165"/>
    <s v="00802127"/>
    <s v="MC1E4EEA0SP016293"/>
    <s v="D71080819"/>
    <s v="T-1"/>
    <x v="4"/>
    <s v="27-May-2025"/>
    <x v="1"/>
    <n v="1150"/>
    <n v="1150"/>
    <n v="207"/>
    <n v="1357"/>
    <n v="621507"/>
    <s v="19-Aug-25"/>
    <n v="0"/>
    <n v="32760"/>
    <s v="19-Aug-25"/>
    <m/>
    <m/>
    <m/>
    <m/>
    <m/>
  </r>
  <r>
    <n v="95"/>
    <s v="NORTH"/>
    <s v="UTTAR PRADESH"/>
    <n v="7134"/>
    <s v="M/S GOENKA AUTO PRIVATE LIMITED."/>
    <s v="VARANASI"/>
    <s v="S"/>
    <s v="31-May-25"/>
    <n v="1165"/>
    <s v="00007590"/>
    <s v="MC1M4AEA6SP004587"/>
    <s v="D71081160"/>
    <s v="T1N"/>
    <x v="4"/>
    <s v="27-May-2025"/>
    <x v="1"/>
    <n v="1500"/>
    <n v="1500"/>
    <n v="270"/>
    <n v="1770"/>
    <n v="621507"/>
    <s v="19-Aug-25"/>
    <n v="0"/>
    <n v="32760"/>
    <s v="19-Aug-25"/>
    <m/>
    <m/>
    <m/>
    <m/>
    <m/>
  </r>
  <r>
    <n v="96"/>
    <s v="NORTH"/>
    <s v="UTTAR PRADESH"/>
    <n v="7134"/>
    <s v="M/S GOENKA AUTO PRIVATE LIMITED."/>
    <s v="VARANASI"/>
    <s v="S"/>
    <s v="15-May-25"/>
    <n v="1165"/>
    <s v="00802597"/>
    <s v="MC1E4EDA9SP016021"/>
    <s v="D71078879"/>
    <s v="T-1"/>
    <x v="4"/>
    <s v="26-Apr-2025"/>
    <x v="1"/>
    <n v="1150"/>
    <n v="1150"/>
    <n v="207"/>
    <n v="1357"/>
    <n v="621507"/>
    <s v="19-Aug-25"/>
    <n v="0"/>
    <n v="32760"/>
    <s v="19-Aug-25"/>
    <m/>
    <m/>
    <m/>
    <m/>
    <m/>
  </r>
  <r>
    <n v="97"/>
    <s v="NORTH"/>
    <s v="UTTAR PRADESH"/>
    <n v="7134"/>
    <s v="M/S GOENKA AUTO PRIVATE LIMITED."/>
    <s v="VARANASI"/>
    <s v="S"/>
    <s v="09-May-25"/>
    <n v="1165"/>
    <s v="00797572"/>
    <s v="MC1E4CCA9SP087029"/>
    <s v="D71076761"/>
    <s v="T-1"/>
    <x v="4"/>
    <s v="07-Apr-2025"/>
    <x v="1"/>
    <n v="1150"/>
    <n v="1150"/>
    <n v="207"/>
    <n v="1357"/>
    <n v="621507"/>
    <s v="19-Aug-25"/>
    <n v="0"/>
    <n v="32760"/>
    <s v="19-Aug-25"/>
    <m/>
    <m/>
    <m/>
    <m/>
    <m/>
  </r>
  <r>
    <n v="98"/>
    <s v="NORTH"/>
    <s v="UTTAR PRADESH"/>
    <n v="7134"/>
    <s v="M/S GOENKA AUTO PRIVATE LIMITED."/>
    <s v="VARANASI"/>
    <s v="S"/>
    <s v="16-May-25"/>
    <n v="1165"/>
    <s v="00803475"/>
    <s v="MC1E5CDAXSP000167"/>
    <s v="D73001901"/>
    <s v="T-1"/>
    <x v="4"/>
    <s v="30-Apr-2025"/>
    <x v="1"/>
    <n v="1150"/>
    <n v="1150"/>
    <n v="207"/>
    <n v="1357"/>
    <n v="621507"/>
    <s v="19-Aug-25"/>
    <n v="0"/>
    <n v="32760"/>
    <s v="19-Aug-25"/>
    <m/>
    <m/>
    <m/>
    <m/>
    <m/>
  </r>
  <r>
    <n v="99"/>
    <s v="NORTH"/>
    <s v="UTTAR PRADESH"/>
    <n v="7134"/>
    <s v="M/S GOENKA AUTO PRIVATE LIMITED."/>
    <s v="VARANASI"/>
    <s v="S"/>
    <s v="06-May-25"/>
    <n v="1165"/>
    <s v="00802530"/>
    <s v="MC1E4EDA5SP016002"/>
    <s v="D71078588"/>
    <s v="T-1"/>
    <x v="4"/>
    <s v="23-Apr-2025"/>
    <x v="1"/>
    <n v="1150"/>
    <n v="1150"/>
    <n v="207"/>
    <n v="1357"/>
    <n v="621507"/>
    <s v="19-Aug-25"/>
    <n v="0"/>
    <n v="32760"/>
    <s v="19-Aug-25"/>
    <m/>
    <m/>
    <m/>
    <m/>
    <m/>
  </r>
  <r>
    <n v="100"/>
    <s v="NORTH"/>
    <s v="UTTAR PRADESH"/>
    <n v="7134"/>
    <s v="M/S GOENKA AUTO PRIVATE LIMITED."/>
    <s v="VARANASI"/>
    <s v="S"/>
    <s v="10-May-25"/>
    <n v="1165"/>
    <s v="00802549"/>
    <s v="MC1E1DDA7SP003402"/>
    <s v="D71079127"/>
    <s v="T-1"/>
    <x v="4"/>
    <s v="30-Apr-2025"/>
    <x v="1"/>
    <n v="1150"/>
    <n v="1150"/>
    <n v="207"/>
    <n v="1357"/>
    <n v="621507"/>
    <s v="19-Aug-25"/>
    <n v="0"/>
    <n v="32760"/>
    <s v="19-Aug-25"/>
    <m/>
    <m/>
    <m/>
    <m/>
    <m/>
  </r>
  <r>
    <n v="101"/>
    <s v="NORTH"/>
    <s v="UTTAR PRADESH"/>
    <n v="7134"/>
    <s v="M/S GOENKA AUTO PRIVATE LIMITED."/>
    <s v="VARANASI"/>
    <s v="S"/>
    <s v="19-May-25"/>
    <n v="1165"/>
    <s v="00803474"/>
    <s v="MC1E5CDA8SP000166"/>
    <s v="D73001881"/>
    <s v="T-1"/>
    <x v="4"/>
    <s v="30-Apr-2025"/>
    <x v="1"/>
    <n v="1150"/>
    <n v="1150"/>
    <n v="207"/>
    <n v="1357"/>
    <n v="621507"/>
    <s v="19-Aug-25"/>
    <n v="0"/>
    <n v="32760"/>
    <s v="19-Aug-25"/>
    <m/>
    <m/>
    <m/>
    <m/>
    <m/>
  </r>
  <r>
    <n v="102"/>
    <s v="NORTH"/>
    <s v="UTTAR PRADESH"/>
    <n v="7134"/>
    <s v="M/S GOENKA AUTO PRIVATE LIMITED."/>
    <s v="VARANASI"/>
    <s v="S"/>
    <s v="13-May-25"/>
    <n v="1165"/>
    <s v="00326025"/>
    <s v="MC1D4DLA6SP106329"/>
    <s v="D72017803"/>
    <s v="TRAX"/>
    <x v="4"/>
    <s v="30-Nov-2024"/>
    <x v="1"/>
    <n v="1150"/>
    <n v="1150"/>
    <n v="207"/>
    <n v="1357"/>
    <n v="621507"/>
    <s v="19-Aug-25"/>
    <n v="0"/>
    <n v="32760"/>
    <s v="19-Aug-25"/>
    <m/>
    <m/>
    <m/>
    <m/>
    <m/>
  </r>
  <r>
    <n v="103"/>
    <s v="NORTH"/>
    <s v="UTTAR PRADESH"/>
    <n v="7134"/>
    <s v="M/S GOENKA AUTO PRIVATE LIMITED."/>
    <s v="VARANASI"/>
    <s v="S"/>
    <s v="16-May-25"/>
    <n v="1165"/>
    <s v="00803473"/>
    <s v="MC1E5CCA2SP000164"/>
    <s v="D73001880"/>
    <s v="T-1"/>
    <x v="4"/>
    <s v="30-Apr-2025"/>
    <x v="1"/>
    <n v="1150"/>
    <n v="1150"/>
    <n v="207"/>
    <n v="1357"/>
    <n v="621507"/>
    <s v="19-Aug-25"/>
    <n v="0"/>
    <n v="32760"/>
    <s v="19-Aug-25"/>
    <m/>
    <m/>
    <m/>
    <m/>
    <m/>
  </r>
  <r>
    <n v="104"/>
    <s v="NORTH"/>
    <s v="UTTAR PRADESH"/>
    <n v="7134"/>
    <s v="M/S GOENKA AUTO PRIVATE LIMITED."/>
    <s v="VARANASI"/>
    <s v="S"/>
    <s v="28-May-25"/>
    <n v="1165"/>
    <s v="00327378"/>
    <s v="MC1D4DBAXSP107453"/>
    <s v="D72019077"/>
    <s v="TRAX"/>
    <x v="4"/>
    <s v="19-Mar-2025"/>
    <x v="1"/>
    <n v="1150"/>
    <n v="1150"/>
    <n v="207"/>
    <n v="1357"/>
    <n v="621507"/>
    <s v="19-Aug-25"/>
    <n v="0"/>
    <n v="32760"/>
    <s v="19-Aug-25"/>
    <m/>
    <m/>
    <m/>
    <m/>
    <m/>
  </r>
  <r>
    <n v="105"/>
    <s v="NORTH"/>
    <s v="UTTAR PRADESH"/>
    <n v="7134"/>
    <s v="M/S GOENKA AUTO PRIVATE LIMITED."/>
    <s v="VARANASI"/>
    <s v="S"/>
    <s v="09-May-25"/>
    <n v="1165"/>
    <s v="00796763"/>
    <s v="MC1E4DDA9SP056836"/>
    <s v="D71078564"/>
    <s v="T-1"/>
    <x v="4"/>
    <s v="24-Apr-2025"/>
    <x v="1"/>
    <n v="1150"/>
    <n v="1150"/>
    <n v="207"/>
    <n v="1357"/>
    <n v="621507"/>
    <s v="19-Aug-25"/>
    <n v="0"/>
    <n v="32760"/>
    <s v="19-Aug-25"/>
    <m/>
    <m/>
    <m/>
    <m/>
    <m/>
  </r>
  <r>
    <n v="106"/>
    <s v="NORTH"/>
    <s v="UTTAR PRADESH"/>
    <n v="7134"/>
    <s v="M/S GOENKA AUTO PRIVATE LIMITED."/>
    <s v="VARANASI"/>
    <s v="S"/>
    <s v="08-May-25"/>
    <n v="1165"/>
    <s v="00798262"/>
    <s v="MC1E4DDA3SP056797"/>
    <s v="D71077924"/>
    <s v="T-1"/>
    <x v="4"/>
    <s v="16-Apr-2025"/>
    <x v="1"/>
    <n v="1150"/>
    <n v="1150"/>
    <n v="207"/>
    <n v="1357"/>
    <n v="621507"/>
    <s v="19-Aug-25"/>
    <n v="0"/>
    <n v="32760"/>
    <s v="19-Aug-25"/>
    <m/>
    <m/>
    <m/>
    <m/>
    <m/>
  </r>
  <r>
    <n v="107"/>
    <s v="NORTH"/>
    <s v="UTTAR PRADESH"/>
    <n v="7134"/>
    <s v="M/S GOENKA AUTO PRIVATE LIMITED."/>
    <s v="VARANASI"/>
    <s v="S"/>
    <s v="13-May-25"/>
    <n v="1165"/>
    <s v="00007532"/>
    <s v="MC1M4ADA0SP004277"/>
    <s v="D71079105"/>
    <s v="T1N"/>
    <x v="4"/>
    <s v="29-Apr-2025"/>
    <x v="1"/>
    <n v="1500"/>
    <n v="1500"/>
    <n v="270"/>
    <n v="1770"/>
    <n v="621507"/>
    <s v="19-Aug-25"/>
    <n v="0"/>
    <n v="32760"/>
    <s v="19-Aug-25"/>
    <m/>
    <m/>
    <m/>
    <m/>
    <m/>
  </r>
  <r>
    <n v="108"/>
    <s v="NORTH"/>
    <s v="UTTAR PRADESH"/>
    <n v="7134"/>
    <s v="M/S GOENKA AUTO PRIVATE LIMITED."/>
    <s v="VARANASI"/>
    <s v="S"/>
    <s v="19-May-25"/>
    <n v="1165"/>
    <s v="00795534"/>
    <s v="MC1E5CBA3SP000160"/>
    <s v="D73001680"/>
    <s v="T-1"/>
    <x v="4"/>
    <s v="24-Feb-2025"/>
    <x v="1"/>
    <n v="1150"/>
    <n v="1150"/>
    <n v="207"/>
    <n v="1357"/>
    <n v="621507"/>
    <s v="19-Aug-25"/>
    <n v="0"/>
    <n v="32760"/>
    <s v="19-Aug-25"/>
    <m/>
    <m/>
    <m/>
    <m/>
    <m/>
  </r>
  <r>
    <n v="109"/>
    <s v="NORTH"/>
    <s v="UTTAR PRADESH"/>
    <n v="7134"/>
    <s v="M/S GOENKA AUTO PRIVATE LIMITED."/>
    <s v="VARANASI"/>
    <s v="S"/>
    <s v="26-May-25"/>
    <n v="1165"/>
    <s v="00778995"/>
    <s v="MC1E5DDA1SP000645"/>
    <s v="D73001860"/>
    <s v="T-1"/>
    <x v="4"/>
    <s v="17-Apr-2025"/>
    <x v="1"/>
    <n v="1150"/>
    <n v="1150"/>
    <n v="207"/>
    <n v="1357"/>
    <n v="621507"/>
    <s v="19-Aug-25"/>
    <n v="0"/>
    <n v="32760"/>
    <s v="19-Aug-25"/>
    <m/>
    <m/>
    <m/>
    <m/>
    <m/>
  </r>
  <r>
    <n v="110"/>
    <s v="NORTH"/>
    <s v="UTTAR PRADESH"/>
    <n v="7134"/>
    <s v="M/S GOENKA AUTO PRIVATE LIMITED."/>
    <s v="VARANASI"/>
    <s v="S"/>
    <s v="10-Jun-25"/>
    <n v="1165"/>
    <s v="00328518"/>
    <s v="MC1D4DDA5SP108619"/>
    <s v="D72020308"/>
    <s v="TRAX"/>
    <x v="5"/>
    <s v="28-Apr-2025"/>
    <x v="2"/>
    <n v="1150"/>
    <n v="1150"/>
    <n v="207"/>
    <n v="1357"/>
    <n v="621735"/>
    <s v="16-Sep-25"/>
    <n v="0"/>
    <n v="32988"/>
    <s v="16-Sep-25"/>
    <m/>
    <m/>
    <m/>
    <m/>
    <m/>
  </r>
  <r>
    <n v="111"/>
    <s v="NORTH"/>
    <s v="UTTAR PRADESH"/>
    <n v="7134"/>
    <s v="M/S GOENKA AUTO PRIVATE LIMITED."/>
    <s v="VARANASI"/>
    <s v="S"/>
    <s v="07-Jun-25"/>
    <n v="1165"/>
    <s v="00328672"/>
    <s v="MC1D4DDA6SP108404"/>
    <s v="D72020089"/>
    <s v="TRAX"/>
    <x v="5"/>
    <s v="31-May-2025"/>
    <x v="2"/>
    <n v="1150"/>
    <n v="1150"/>
    <n v="207"/>
    <n v="1357"/>
    <n v="621735"/>
    <s v="16-Sep-25"/>
    <n v="0"/>
    <n v="32988"/>
    <s v="16-Sep-25"/>
    <m/>
    <m/>
    <m/>
    <m/>
    <m/>
  </r>
  <r>
    <n v="112"/>
    <s v="NORTH"/>
    <s v="UTTAR PRADESH"/>
    <n v="7134"/>
    <s v="M/S GOENKA AUTO PRIVATE LIMITED."/>
    <s v="VARANASI"/>
    <s v="S"/>
    <s v="24-Jun-25"/>
    <n v="1165"/>
    <s v="00788114"/>
    <s v="MC1L4AFA0RP001821"/>
    <s v="D71057673"/>
    <s v="T3"/>
    <x v="5"/>
    <s v="31-Aug-2024"/>
    <x v="2"/>
    <n v="1150"/>
    <n v="1150"/>
    <n v="207"/>
    <n v="1357"/>
    <n v="621735"/>
    <s v="16-Sep-25"/>
    <n v="0"/>
    <n v="32988"/>
    <s v="16-Sep-25"/>
    <m/>
    <m/>
    <m/>
    <m/>
    <m/>
  </r>
  <r>
    <n v="113"/>
    <s v="NORTH"/>
    <s v="UTTAR PRADESH"/>
    <n v="7134"/>
    <s v="M/S GOENKA AUTO PRIVATE LIMITED."/>
    <s v="VARANASI"/>
    <s v="S"/>
    <s v="17-Jun-25"/>
    <n v="1165"/>
    <s v="00328673"/>
    <s v="MC1D4DEAXSP108968"/>
    <s v="D72020656"/>
    <s v="TRAX"/>
    <x v="5"/>
    <s v="31-May-2025"/>
    <x v="2"/>
    <n v="1150"/>
    <n v="1150"/>
    <n v="207"/>
    <n v="1357"/>
    <n v="621735"/>
    <s v="16-Sep-25"/>
    <n v="0"/>
    <n v="32988"/>
    <s v="16-Sep-25"/>
    <m/>
    <m/>
    <m/>
    <m/>
    <m/>
  </r>
  <r>
    <n v="114"/>
    <s v="NORTH"/>
    <s v="UTTAR PRADESH"/>
    <n v="7134"/>
    <s v="M/S GOENKA AUTO PRIVATE LIMITED."/>
    <s v="VARANASI"/>
    <s v="S"/>
    <s v="23-Jun-25"/>
    <n v="1165"/>
    <s v="00796788"/>
    <s v="MC1E4DDA6SP056891"/>
    <s v="D71078680"/>
    <s v="T-1"/>
    <x v="5"/>
    <s v="24-Apr-2025"/>
    <x v="2"/>
    <n v="1150"/>
    <n v="1150"/>
    <n v="207"/>
    <n v="1357"/>
    <n v="621735"/>
    <s v="16-Sep-25"/>
    <n v="0"/>
    <n v="32988"/>
    <s v="16-Sep-25"/>
    <m/>
    <m/>
    <m/>
    <m/>
    <m/>
  </r>
  <r>
    <n v="115"/>
    <s v="NORTH"/>
    <s v="UTTAR PRADESH"/>
    <n v="7134"/>
    <s v="M/S GOENKA AUTO PRIVATE LIMITED."/>
    <s v="VARANASI"/>
    <s v="S"/>
    <s v="25-Jun-25"/>
    <n v="1165"/>
    <s v="00805146"/>
    <s v="MC1E4CEA2SP087838"/>
    <s v="D71080518"/>
    <s v="T-1"/>
    <x v="5"/>
    <s v="13-Jun-2025"/>
    <x v="2"/>
    <n v="1150"/>
    <n v="1150"/>
    <n v="207"/>
    <n v="1357"/>
    <n v="621735"/>
    <s v="16-Sep-25"/>
    <n v="0"/>
    <n v="32988"/>
    <s v="16-Sep-25"/>
    <m/>
    <m/>
    <m/>
    <m/>
    <m/>
  </r>
  <r>
    <n v="116"/>
    <s v="NORTH"/>
    <s v="UTTAR PRADESH"/>
    <n v="7134"/>
    <s v="M/S GOENKA AUTO PRIVATE LIMITED."/>
    <s v="VARANASI"/>
    <s v="S"/>
    <s v="19-Jun-25"/>
    <n v="1165"/>
    <s v="00328365"/>
    <s v="MC1D1DDA2SP001634"/>
    <s v="D72020229"/>
    <s v="TRAX"/>
    <x v="5"/>
    <s v="24-Apr-2025"/>
    <x v="2"/>
    <n v="1150"/>
    <n v="1150"/>
    <n v="207"/>
    <n v="1357"/>
    <n v="621735"/>
    <s v="16-Sep-25"/>
    <n v="0"/>
    <n v="32988"/>
    <s v="16-Sep-25"/>
    <m/>
    <m/>
    <m/>
    <m/>
    <m/>
  </r>
  <r>
    <n v="117"/>
    <s v="NORTH"/>
    <s v="UTTAR PRADESH"/>
    <n v="7134"/>
    <s v="M/S GOENKA AUTO PRIVATE LIMITED."/>
    <s v="VARANASI"/>
    <s v="S"/>
    <s v="30-Jun-25"/>
    <n v="1165"/>
    <s v="00778953"/>
    <s v="MC1E5CEA8SP000179"/>
    <s v="D73002061"/>
    <s v="T-1"/>
    <x v="5"/>
    <s v="11-Jun-2025"/>
    <x v="2"/>
    <n v="1150"/>
    <n v="1150"/>
    <n v="207"/>
    <n v="1357"/>
    <n v="621735"/>
    <s v="16-Sep-25"/>
    <n v="0"/>
    <n v="32988"/>
    <s v="16-Sep-25"/>
    <m/>
    <m/>
    <m/>
    <m/>
    <m/>
  </r>
  <r>
    <n v="118"/>
    <s v="NORTH"/>
    <s v="UTTAR PRADESH"/>
    <n v="7134"/>
    <s v="M/S GOENKA AUTO PRIVATE LIMITED."/>
    <s v="VARANASI"/>
    <s v="S"/>
    <s v="07-Jun-25"/>
    <n v="1165"/>
    <s v="00326024"/>
    <s v="MC1D4DLA4SP106328"/>
    <s v="D72017786"/>
    <s v="TRAX"/>
    <x v="5"/>
    <s v="30-Nov-2024"/>
    <x v="2"/>
    <n v="1150"/>
    <n v="1150"/>
    <n v="207"/>
    <n v="1357"/>
    <n v="621735"/>
    <s v="16-Sep-25"/>
    <n v="0"/>
    <n v="32988"/>
    <s v="16-Sep-25"/>
    <m/>
    <m/>
    <m/>
    <m/>
    <m/>
  </r>
  <r>
    <n v="119"/>
    <s v="NORTH"/>
    <s v="UTTAR PRADESH"/>
    <n v="7134"/>
    <s v="M/S GOENKA AUTO PRIVATE LIMITED."/>
    <s v="VARANASI"/>
    <s v="S"/>
    <s v="19-Jun-25"/>
    <n v="1165"/>
    <s v="00327640"/>
    <s v="MC1D4DCA7SP108073"/>
    <s v="D72019720"/>
    <s v="TRAX"/>
    <x v="5"/>
    <s v="27-Mar-2025"/>
    <x v="2"/>
    <n v="1150"/>
    <n v="1150"/>
    <n v="207"/>
    <n v="1357"/>
    <n v="621735"/>
    <s v="16-Sep-25"/>
    <n v="0"/>
    <n v="32988"/>
    <s v="16-Sep-25"/>
    <m/>
    <m/>
    <m/>
    <m/>
    <m/>
  </r>
  <r>
    <n v="120"/>
    <s v="NORTH"/>
    <s v="UTTAR PRADESH"/>
    <n v="7134"/>
    <s v="M/S GOENKA AUTO PRIVATE LIMITED."/>
    <s v="VARANASI"/>
    <s v="S"/>
    <s v="28-Jun-25"/>
    <n v="1165"/>
    <s v="00807227"/>
    <s v="MC1E4DEA9SP057564"/>
    <s v="D71081401"/>
    <s v="T-1"/>
    <x v="5"/>
    <s v="21-Jun-2025"/>
    <x v="2"/>
    <n v="1150"/>
    <n v="1150"/>
    <n v="207"/>
    <n v="1357"/>
    <n v="621735"/>
    <s v="16-Sep-25"/>
    <n v="0"/>
    <n v="32988"/>
    <s v="16-Sep-25"/>
    <m/>
    <m/>
    <m/>
    <m/>
    <m/>
  </r>
  <r>
    <n v="121"/>
    <s v="NORTH"/>
    <s v="UTTAR PRADESH"/>
    <n v="7134"/>
    <s v="M/S GOENKA AUTO PRIVATE LIMITED."/>
    <s v="VARANASI"/>
    <s v="S"/>
    <s v="17-Jun-25"/>
    <n v="1175"/>
    <s v="00802984"/>
    <s v="MC1E4EEA1SP016349"/>
    <s v="D71081124"/>
    <s v="T-1"/>
    <x v="5"/>
    <s v="31-May-2025"/>
    <x v="2"/>
    <n v="1150"/>
    <n v="1150"/>
    <n v="207"/>
    <n v="1357"/>
    <n v="621735"/>
    <s v="16-Sep-25"/>
    <n v="0"/>
    <n v="32988"/>
    <s v="16-Sep-25"/>
    <m/>
    <m/>
    <m/>
    <m/>
    <m/>
  </r>
  <r>
    <n v="122"/>
    <s v="NORTH"/>
    <s v="UTTAR PRADESH"/>
    <n v="7134"/>
    <s v="M/S GOENKA AUTO PRIVATE LIMITED."/>
    <s v="VARANASI"/>
    <s v="S"/>
    <s v="13-Jun-25"/>
    <n v="1165"/>
    <s v="00328250"/>
    <s v="MC1D4DDA0SP108494"/>
    <s v="D72020146"/>
    <s v="TRAX"/>
    <x v="5"/>
    <s v="19-Apr-2025"/>
    <x v="2"/>
    <n v="1150"/>
    <n v="1150"/>
    <n v="207"/>
    <n v="1357"/>
    <n v="621735"/>
    <s v="16-Sep-25"/>
    <n v="0"/>
    <n v="32988"/>
    <s v="16-Sep-25"/>
    <m/>
    <m/>
    <m/>
    <m/>
    <m/>
  </r>
  <r>
    <n v="123"/>
    <s v="NORTH"/>
    <s v="UTTAR PRADESH"/>
    <n v="7134"/>
    <s v="M/S GOENKA AUTO PRIVATE LIMITED."/>
    <s v="VARANASI"/>
    <s v="S"/>
    <s v="24-Jun-25"/>
    <n v="1165"/>
    <s v="00767562"/>
    <s v="MC1L4AEA3RP001636"/>
    <s v="D71055291"/>
    <s v="T3"/>
    <x v="5"/>
    <s v="28-Jun-2024"/>
    <x v="2"/>
    <n v="1150"/>
    <n v="1150"/>
    <n v="207"/>
    <n v="1357"/>
    <n v="621735"/>
    <s v="16-Sep-25"/>
    <n v="0"/>
    <n v="32988"/>
    <s v="16-Sep-25"/>
    <m/>
    <m/>
    <m/>
    <m/>
    <m/>
  </r>
  <r>
    <n v="124"/>
    <s v="NORTH"/>
    <s v="UTTAR PRADESH"/>
    <n v="7134"/>
    <s v="M/S GOENKA AUTO PRIVATE LIMITED."/>
    <s v="VARANASI"/>
    <s v="S"/>
    <s v="06-Jun-25"/>
    <n v="1165"/>
    <s v="00802196"/>
    <s v="MC1E4EEA4SP016247"/>
    <s v="D71080336"/>
    <s v="T-1"/>
    <x v="5"/>
    <s v="28-May-2025"/>
    <x v="2"/>
    <n v="1150"/>
    <n v="1150"/>
    <n v="207"/>
    <n v="1357"/>
    <n v="621735"/>
    <s v="16-Sep-25"/>
    <n v="0"/>
    <n v="32988"/>
    <s v="16-Sep-25"/>
    <m/>
    <m/>
    <m/>
    <m/>
    <m/>
  </r>
  <r>
    <n v="125"/>
    <s v="NORTH"/>
    <s v="UTTAR PRADESH"/>
    <n v="7134"/>
    <s v="M/S GOENKA AUTO PRIVATE LIMITED."/>
    <s v="VARANASI"/>
    <s v="S"/>
    <s v="09-Jun-25"/>
    <n v="1165"/>
    <s v="00802650"/>
    <s v="MC1E4EEA3SP016174"/>
    <s v="D71079998"/>
    <s v="T-1"/>
    <x v="5"/>
    <s v="10-May-2025"/>
    <x v="2"/>
    <n v="1150"/>
    <n v="1150"/>
    <n v="207"/>
    <n v="1357"/>
    <n v="621735"/>
    <s v="16-Sep-25"/>
    <n v="0"/>
    <n v="32988"/>
    <s v="16-Sep-25"/>
    <m/>
    <m/>
    <m/>
    <m/>
    <m/>
  </r>
  <r>
    <n v="126"/>
    <s v="NORTH"/>
    <s v="UTTAR PRADESH"/>
    <n v="7134"/>
    <s v="M/S GOENKA AUTO PRIVATE LIMITED."/>
    <s v="VARANASI"/>
    <s v="S"/>
    <s v="30-Jun-25"/>
    <n v="1165"/>
    <s v="00778993"/>
    <s v="MC1E5DDA2SP000654"/>
    <s v="D73001869"/>
    <s v="T-1"/>
    <x v="5"/>
    <s v="17-Apr-2025"/>
    <x v="2"/>
    <n v="1150"/>
    <n v="1150"/>
    <n v="207"/>
    <n v="1357"/>
    <n v="621735"/>
    <s v="16-Sep-25"/>
    <n v="0"/>
    <n v="32988"/>
    <s v="16-Sep-25"/>
    <m/>
    <m/>
    <m/>
    <m/>
    <m/>
  </r>
  <r>
    <n v="127"/>
    <s v="NORTH"/>
    <s v="UTTAR PRADESH"/>
    <n v="7134"/>
    <s v="M/S GOENKA AUTO PRIVATE LIMITED."/>
    <s v="VARANASI"/>
    <s v="S"/>
    <s v="30-Jun-25"/>
    <n v="1165"/>
    <s v="00778956"/>
    <s v="MC1E5CEA6SP000178"/>
    <s v="D73002059"/>
    <s v="T-1"/>
    <x v="5"/>
    <s v="12-Jun-2025"/>
    <x v="2"/>
    <n v="1150"/>
    <n v="1150"/>
    <n v="207"/>
    <n v="1357"/>
    <n v="621735"/>
    <s v="16-Sep-25"/>
    <n v="0"/>
    <n v="32988"/>
    <s v="16-Sep-25"/>
    <m/>
    <m/>
    <m/>
    <m/>
    <m/>
  </r>
  <r>
    <n v="128"/>
    <s v="NORTH"/>
    <s v="UTTAR PRADESH"/>
    <n v="7134"/>
    <s v="M/S GOENKA AUTO PRIVATE LIMITED."/>
    <s v="VARANASI"/>
    <s v="S"/>
    <s v="30-Jun-25"/>
    <n v="1165"/>
    <s v="00778198"/>
    <s v="MC1E5DDA7SP000651"/>
    <s v="D73001872"/>
    <s v="T-1"/>
    <x v="5"/>
    <s v="17-Apr-2025"/>
    <x v="2"/>
    <n v="1150"/>
    <n v="1150"/>
    <n v="207"/>
    <n v="1357"/>
    <n v="621735"/>
    <s v="16-Sep-25"/>
    <n v="0"/>
    <n v="32988"/>
    <s v="16-Sep-25"/>
    <m/>
    <m/>
    <m/>
    <m/>
    <m/>
  </r>
  <r>
    <n v="129"/>
    <s v="NORTH"/>
    <s v="UTTAR PRADESH"/>
    <n v="7134"/>
    <s v="M/S GOENKA AUTO PRIVATE LIMITED."/>
    <s v="VARANASI"/>
    <s v="S"/>
    <s v="30-Jun-25"/>
    <n v="1165"/>
    <s v="00806131"/>
    <s v="MC1E4FEA8SP023787"/>
    <s v="D71081852"/>
    <s v="T26"/>
    <x v="5"/>
    <s v="24-Jun-2025"/>
    <x v="2"/>
    <n v="1150"/>
    <n v="1150"/>
    <n v="207"/>
    <n v="1357"/>
    <n v="621735"/>
    <s v="16-Sep-25"/>
    <n v="0"/>
    <n v="32988"/>
    <s v="16-Sep-25"/>
    <m/>
    <m/>
    <m/>
    <m/>
    <m/>
  </r>
  <r>
    <n v="130"/>
    <s v="NORTH"/>
    <s v="UTTAR PRADESH"/>
    <n v="7134"/>
    <s v="M/S GOENKA AUTO PRIVATE LIMITED."/>
    <s v="VARANASI"/>
    <s v="S"/>
    <s v="09-Jun-25"/>
    <n v="1165"/>
    <s v="00802872"/>
    <s v="MC1E4EEA7SP016226"/>
    <s v="D71080252"/>
    <s v="T-1"/>
    <x v="5"/>
    <s v="23-May-2025"/>
    <x v="2"/>
    <n v="1150"/>
    <n v="1150"/>
    <n v="207"/>
    <n v="1357"/>
    <n v="621735"/>
    <s v="16-Sep-25"/>
    <n v="0"/>
    <n v="32988"/>
    <s v="16-Sep-25"/>
    <m/>
    <m/>
    <m/>
    <m/>
    <m/>
  </r>
  <r>
    <n v="131"/>
    <s v="NORTH"/>
    <s v="UTTAR PRADESH"/>
    <n v="7134"/>
    <s v="M/S GOENKA AUTO PRIVATE LIMITED."/>
    <s v="VARANASI"/>
    <s v="S"/>
    <s v="13-Jun-25"/>
    <n v="221001"/>
    <s v="00327542"/>
    <s v="MC1D4DCA2SP107980"/>
    <s v="D72019619"/>
    <s v="TRAX"/>
    <x v="5"/>
    <s v="29-Mar-2025"/>
    <x v="2"/>
    <n v="1150"/>
    <n v="1150"/>
    <n v="207"/>
    <n v="1357"/>
    <n v="621735"/>
    <s v="16-Sep-25"/>
    <n v="0"/>
    <n v="32988"/>
    <s v="16-Sep-25"/>
    <m/>
    <m/>
    <m/>
    <m/>
    <m/>
  </r>
  <r>
    <n v="132"/>
    <s v="NORTH"/>
    <s v="UTTAR PRADESH"/>
    <n v="7134"/>
    <s v="M/S GOENKA AUTO PRIVATE LIMITED."/>
    <s v="VARANASI"/>
    <s v="S"/>
    <s v="30-Jun-25"/>
    <n v="1165"/>
    <s v="00008144"/>
    <s v="MC1M4AFAXSP004865"/>
    <s v="D71082718"/>
    <s v="T1N"/>
    <x v="5"/>
    <s v="25-Jun-2025"/>
    <x v="2"/>
    <n v="1500"/>
    <n v="1500"/>
    <n v="270"/>
    <n v="1770"/>
    <n v="621735"/>
    <s v="16-Sep-25"/>
    <n v="0"/>
    <n v="32988"/>
    <s v="16-Sep-25"/>
    <m/>
    <m/>
    <m/>
    <m/>
    <m/>
  </r>
  <r>
    <n v="133"/>
    <s v="NORTH"/>
    <s v="UTTAR PRADESH"/>
    <n v="7134"/>
    <s v="M/S GOENKA AUTO PRIVATE LIMITED."/>
    <s v="VARANASI"/>
    <s v="S"/>
    <s v="19-Jun-25"/>
    <n v="1165"/>
    <s v="00008108"/>
    <s v="MC1M4AFA0SP004812"/>
    <s v="D71082360"/>
    <s v="T1N"/>
    <x v="5"/>
    <s v="07-Jun-2025"/>
    <x v="2"/>
    <n v="1500"/>
    <n v="1500"/>
    <n v="270"/>
    <n v="1770"/>
    <n v="621735"/>
    <s v="16-Sep-25"/>
    <n v="0"/>
    <n v="32988"/>
    <s v="16-Sep-25"/>
    <m/>
    <m/>
    <m/>
    <m/>
    <m/>
  </r>
  <r>
    <n v="134"/>
    <s v="NORTH"/>
    <s v="UTTAR PRADESH"/>
    <n v="7134"/>
    <s v="M/S GOENKA AUTO PRIVATE LIMITED."/>
    <s v="VARANASI"/>
    <s v="S"/>
    <s v="11-Jun-25"/>
    <n v="1165"/>
    <s v="00796765"/>
    <s v="MC1E4DDA4SP056873"/>
    <s v="D71078602"/>
    <s v="T-1"/>
    <x v="5"/>
    <s v="24-Apr-2025"/>
    <x v="2"/>
    <n v="1150"/>
    <n v="1150"/>
    <n v="207"/>
    <n v="1357"/>
    <n v="621735"/>
    <s v="16-Sep-25"/>
    <n v="0"/>
    <n v="32988"/>
    <s v="16-Sep-25"/>
    <m/>
    <m/>
    <m/>
    <m/>
    <m/>
  </r>
  <r>
    <n v="135"/>
    <s v="NORTH"/>
    <s v="UTTAR PRADESH"/>
    <n v="7134"/>
    <s v="M/S GOENKA AUTO PRIVATE LIMITED."/>
    <s v="VARANASI"/>
    <s v="S"/>
    <s v="29-Jul-25"/>
    <n v="1165"/>
    <s v="00328308"/>
    <s v="MC1D4DDA0SP108642"/>
    <s v="D72020323"/>
    <s v="TRAX"/>
    <x v="6"/>
    <s v="29-Apr-2025"/>
    <x v="3"/>
    <n v="1150"/>
    <n v="1150"/>
    <n v="207"/>
    <n v="1357"/>
    <n v="621961"/>
    <s v="28-Oct-25"/>
    <n v="0"/>
    <n v="33214"/>
    <s v="28-Oct-25"/>
    <m/>
    <m/>
    <m/>
    <m/>
    <m/>
  </r>
  <r>
    <n v="136"/>
    <s v="NORTH"/>
    <s v="UTTAR PRADESH"/>
    <n v="7134"/>
    <s v="M/S GOENKA AUTO PRIVATE LIMITED."/>
    <s v="VARANASI"/>
    <s v="S"/>
    <s v="19-Jul-25"/>
    <n v="1165"/>
    <s v="00806496"/>
    <s v="MC1E4FEA1SP023730"/>
    <s v="D71080907"/>
    <s v="T26"/>
    <x v="6"/>
    <s v="08-Jul-2025"/>
    <x v="3"/>
    <n v="1150"/>
    <n v="1150"/>
    <n v="207"/>
    <n v="1357"/>
    <n v="621961"/>
    <s v="28-Oct-25"/>
    <n v="0"/>
    <n v="33214"/>
    <s v="28-Oct-25"/>
    <m/>
    <m/>
    <m/>
    <m/>
    <m/>
  </r>
  <r>
    <n v="137"/>
    <s v="NORTH"/>
    <s v="UTTAR PRADESH"/>
    <n v="7134"/>
    <s v="M/S GOENKA AUTO PRIVATE LIMITED."/>
    <s v="VARANASI"/>
    <s v="S"/>
    <s v="21-Jul-25"/>
    <n v="1165"/>
    <s v="00803688"/>
    <s v="MC1E4DEA2SP057468"/>
    <s v="D71081081"/>
    <s v="T-1"/>
    <x v="6"/>
    <s v="31-May-2025"/>
    <x v="3"/>
    <n v="1150"/>
    <n v="1150"/>
    <n v="207"/>
    <n v="1357"/>
    <n v="621961"/>
    <s v="28-Oct-25"/>
    <n v="0"/>
    <n v="33214"/>
    <s v="28-Oct-25"/>
    <m/>
    <m/>
    <m/>
    <m/>
    <m/>
  </r>
  <r>
    <n v="138"/>
    <s v="NORTH"/>
    <s v="UTTAR PRADESH"/>
    <n v="7134"/>
    <s v="M/S GOENKA AUTO PRIVATE LIMITED."/>
    <s v="VARANASI"/>
    <s v="S"/>
    <s v="14-Jul-25"/>
    <n v="1165"/>
    <s v="00778938"/>
    <s v="MC1E5CFA3SP000184"/>
    <s v="D73002103"/>
    <s v="T-1"/>
    <x v="6"/>
    <s v="30-Jun-2025"/>
    <x v="3"/>
    <n v="1150"/>
    <n v="1150"/>
    <n v="207"/>
    <n v="1357"/>
    <n v="621961"/>
    <s v="28-Oct-25"/>
    <n v="0"/>
    <n v="33214"/>
    <s v="28-Oct-25"/>
    <m/>
    <m/>
    <m/>
    <m/>
    <m/>
  </r>
  <r>
    <n v="139"/>
    <s v="NORTH"/>
    <s v="UTTAR PRADESH"/>
    <n v="7134"/>
    <s v="M/S GOENKA AUTO PRIVATE LIMITED."/>
    <s v="VARANASI"/>
    <s v="S"/>
    <s v="16-Jul-25"/>
    <n v="1165"/>
    <s v="00806451"/>
    <s v="MC1E4FEAXSP023855"/>
    <s v="D71081991"/>
    <s v="T26"/>
    <x v="6"/>
    <s v="10-Jul-2025"/>
    <x v="3"/>
    <n v="1150"/>
    <n v="1150"/>
    <n v="207"/>
    <n v="1357"/>
    <n v="621961"/>
    <s v="28-Oct-25"/>
    <n v="0"/>
    <n v="33214"/>
    <s v="28-Oct-25"/>
    <m/>
    <m/>
    <m/>
    <m/>
    <m/>
  </r>
  <r>
    <n v="140"/>
    <s v="NORTH"/>
    <s v="UTTAR PRADESH"/>
    <n v="7134"/>
    <s v="M/S GOENKA AUTO PRIVATE LIMITED."/>
    <s v="VARANASI"/>
    <s v="S"/>
    <s v="17-Jul-25"/>
    <n v="1165"/>
    <s v="00000001"/>
    <s v="MC1D4DFA7SP109381"/>
    <s v="D72021106"/>
    <s v="TRAX"/>
    <x v="6"/>
    <s v="30-Jun-2025"/>
    <x v="3"/>
    <n v="1150"/>
    <n v="1150"/>
    <n v="207"/>
    <n v="1357"/>
    <n v="621961"/>
    <s v="28-Oct-25"/>
    <n v="0"/>
    <n v="33214"/>
    <s v="28-Oct-25"/>
    <m/>
    <m/>
    <m/>
    <m/>
    <m/>
  </r>
  <r>
    <n v="141"/>
    <s v="NORTH"/>
    <s v="UTTAR PRADESH"/>
    <n v="7134"/>
    <s v="M/S GOENKA AUTO PRIVATE LIMITED."/>
    <s v="VARANASI"/>
    <s v="S"/>
    <s v="15-Jul-25"/>
    <n v="1165"/>
    <s v="00784965"/>
    <s v="MC1E4FDA3SP023293"/>
    <s v="D71077455"/>
    <s v="T-1"/>
    <x v="6"/>
    <s v="09-Apr-2025"/>
    <x v="3"/>
    <n v="1150"/>
    <n v="1150"/>
    <n v="207"/>
    <n v="1357"/>
    <n v="621961"/>
    <s v="28-Oct-25"/>
    <n v="0"/>
    <n v="33214"/>
    <s v="28-Oct-25"/>
    <m/>
    <m/>
    <m/>
    <m/>
    <m/>
  </r>
  <r>
    <n v="142"/>
    <s v="NORTH"/>
    <s v="UTTAR PRADESH"/>
    <n v="7134"/>
    <s v="M/S GOENKA AUTO PRIVATE LIMITED."/>
    <s v="VARANASI"/>
    <s v="S"/>
    <s v="11-Jul-25"/>
    <n v="1165"/>
    <s v="00805199"/>
    <s v="MC1E4DEA1SP057512"/>
    <s v="D71081186"/>
    <s v="T-1"/>
    <x v="6"/>
    <s v="07-Jun-2025"/>
    <x v="3"/>
    <n v="1150"/>
    <n v="1150"/>
    <n v="207"/>
    <n v="1357"/>
    <n v="621961"/>
    <s v="28-Oct-25"/>
    <n v="0"/>
    <n v="33214"/>
    <s v="28-Oct-25"/>
    <m/>
    <m/>
    <m/>
    <m/>
    <m/>
  </r>
  <r>
    <n v="143"/>
    <s v="NORTH"/>
    <s v="UTTAR PRADESH"/>
    <n v="7134"/>
    <s v="M/S GOENKA AUTO PRIVATE LIMITED."/>
    <s v="VARANASI"/>
    <s v="S"/>
    <s v="26-Jul-25"/>
    <n v="1165"/>
    <s v="00803683"/>
    <s v="MC1E4DEA4SP057388"/>
    <s v="D71080878"/>
    <s v="T-1"/>
    <x v="6"/>
    <s v="31-May-2025"/>
    <x v="3"/>
    <n v="1150"/>
    <n v="1150"/>
    <n v="207"/>
    <n v="1357"/>
    <n v="621961"/>
    <s v="28-Oct-25"/>
    <n v="0"/>
    <n v="33214"/>
    <s v="28-Oct-25"/>
    <m/>
    <m/>
    <m/>
    <m/>
    <m/>
  </r>
  <r>
    <n v="144"/>
    <s v="NORTH"/>
    <s v="UTTAR PRADESH"/>
    <n v="7134"/>
    <s v="M/S GOENKA AUTO PRIVATE LIMITED."/>
    <s v="VARANASI"/>
    <s v="S"/>
    <s v="09-Jul-25"/>
    <n v="1165"/>
    <s v="00806310"/>
    <s v="MC1E4FFA1SP023967"/>
    <s v="D71082863"/>
    <s v="T26"/>
    <x v="6"/>
    <s v="13-Jun-2025"/>
    <x v="3"/>
    <n v="1150"/>
    <n v="1150"/>
    <n v="207"/>
    <n v="1357"/>
    <n v="621961"/>
    <s v="28-Oct-25"/>
    <n v="0"/>
    <n v="33214"/>
    <s v="28-Oct-25"/>
    <m/>
    <m/>
    <m/>
    <m/>
    <m/>
  </r>
  <r>
    <n v="145"/>
    <s v="NORTH"/>
    <s v="UTTAR PRADESH"/>
    <n v="7134"/>
    <s v="M/S GOENKA AUTO PRIVATE LIMITED."/>
    <s v="VARANASI"/>
    <s v="S"/>
    <s v="11-Jul-25"/>
    <n v="1165"/>
    <s v="00805160"/>
    <s v="MC1E4DFA4SP057857"/>
    <s v="D71082665"/>
    <s v="T-1"/>
    <x v="6"/>
    <s v="10-Jun-2025"/>
    <x v="3"/>
    <n v="1150"/>
    <n v="1150"/>
    <n v="207"/>
    <n v="1357"/>
    <n v="621961"/>
    <s v="28-Oct-25"/>
    <n v="0"/>
    <n v="33214"/>
    <s v="28-Oct-25"/>
    <m/>
    <m/>
    <m/>
    <m/>
    <m/>
  </r>
  <r>
    <n v="146"/>
    <s v="NORTH"/>
    <s v="UTTAR PRADESH"/>
    <n v="7134"/>
    <s v="M/S GOENKA AUTO PRIVATE LIMITED."/>
    <s v="VARANASI"/>
    <s v="S"/>
    <s v="10-Jul-25"/>
    <n v="1165"/>
    <s v="00007892"/>
    <s v="MC1M4AFA7SP005116"/>
    <s v="D71084105"/>
    <s v="T1N"/>
    <x v="6"/>
    <s v="30-Jun-2025"/>
    <x v="3"/>
    <n v="1500"/>
    <n v="1500"/>
    <n v="270"/>
    <n v="1770"/>
    <n v="621961"/>
    <s v="28-Oct-25"/>
    <n v="0"/>
    <n v="33214"/>
    <s v="28-Oct-25"/>
    <m/>
    <m/>
    <m/>
    <m/>
    <m/>
  </r>
  <r>
    <n v="147"/>
    <s v="NORTH"/>
    <s v="UTTAR PRADESH"/>
    <n v="7134"/>
    <s v="M/S GOENKA AUTO PRIVATE LIMITED."/>
    <s v="VARANASI"/>
    <s v="S"/>
    <s v="30-Jul-25"/>
    <n v="1165"/>
    <s v="00804423"/>
    <s v="MC1E4DFA0SP057967"/>
    <s v="D71083598"/>
    <s v="T-1"/>
    <x v="6"/>
    <s v="24-Jun-2025"/>
    <x v="3"/>
    <n v="1150"/>
    <n v="1150"/>
    <n v="207"/>
    <n v="1357"/>
    <n v="621961"/>
    <s v="28-Oct-25"/>
    <n v="0"/>
    <n v="33214"/>
    <s v="28-Oct-25"/>
    <m/>
    <m/>
    <m/>
    <m/>
    <m/>
  </r>
  <r>
    <n v="148"/>
    <s v="NORTH"/>
    <s v="UTTAR PRADESH"/>
    <n v="7134"/>
    <s v="M/S GOENKA AUTO PRIVATE LIMITED."/>
    <s v="VARANASI"/>
    <s v="S"/>
    <s v="16-Jul-25"/>
    <n v="1165"/>
    <s v="00805943"/>
    <s v="MC1E4FEA4SP023849"/>
    <s v="D71082108"/>
    <s v="T26"/>
    <x v="6"/>
    <s v="30-Jun-2025"/>
    <x v="3"/>
    <n v="1150"/>
    <n v="1150"/>
    <n v="207"/>
    <n v="1357"/>
    <n v="621961"/>
    <s v="28-Oct-25"/>
    <n v="0"/>
    <n v="33214"/>
    <s v="28-Oct-25"/>
    <m/>
    <m/>
    <m/>
    <m/>
    <m/>
  </r>
  <r>
    <n v="149"/>
    <s v="NORTH"/>
    <s v="UTTAR PRADESH"/>
    <n v="7134"/>
    <s v="M/S GOENKA AUTO PRIVATE LIMITED."/>
    <s v="VARANASI"/>
    <s v="S"/>
    <s v="29-Jul-25"/>
    <n v="1165"/>
    <s v="00803682"/>
    <s v="MC1E4DEA3SP057379"/>
    <s v="D71080953"/>
    <s v="T-1"/>
    <x v="6"/>
    <s v="31-May-2025"/>
    <x v="3"/>
    <n v="1150"/>
    <n v="1150"/>
    <n v="207"/>
    <n v="1357"/>
    <n v="621961"/>
    <s v="28-Oct-25"/>
    <n v="0"/>
    <n v="33214"/>
    <s v="28-Oct-25"/>
    <m/>
    <m/>
    <m/>
    <m/>
    <m/>
  </r>
  <r>
    <n v="150"/>
    <s v="NORTH"/>
    <s v="UTTAR PRADESH"/>
    <n v="7134"/>
    <s v="M/S GOENKA AUTO PRIVATE LIMITED."/>
    <s v="VARANASI"/>
    <s v="S"/>
    <s v="08-Jul-25"/>
    <n v="1165"/>
    <s v="00795498"/>
    <s v="MC1E4BAA2SP009754"/>
    <s v="D71067568"/>
    <s v="T-1"/>
    <x v="6"/>
    <s v="27-Feb-2025"/>
    <x v="3"/>
    <n v="1150"/>
    <n v="1150"/>
    <n v="207"/>
    <n v="1357"/>
    <n v="621961"/>
    <s v="28-Oct-25"/>
    <n v="0"/>
    <n v="33214"/>
    <s v="28-Oct-25"/>
    <m/>
    <m/>
    <m/>
    <m/>
    <m/>
  </r>
  <r>
    <n v="151"/>
    <s v="NORTH"/>
    <s v="UTTAR PRADESH"/>
    <n v="7134"/>
    <s v="M/S GOENKA AUTO PRIVATE LIMITED."/>
    <s v="VARANASI"/>
    <s v="S"/>
    <s v="22-Jul-25"/>
    <n v="1165"/>
    <s v="00809973"/>
    <s v="MC1E4DGA6TP058136"/>
    <s v="D71085713"/>
    <s v="T-1"/>
    <x v="6"/>
    <s v="14-Jul-2025"/>
    <x v="3"/>
    <n v="1150"/>
    <n v="1150"/>
    <n v="207"/>
    <n v="1357"/>
    <n v="621961"/>
    <s v="28-Oct-25"/>
    <n v="0"/>
    <n v="33214"/>
    <s v="28-Oct-25"/>
    <m/>
    <m/>
    <m/>
    <m/>
    <m/>
  </r>
  <r>
    <n v="152"/>
    <s v="NORTH"/>
    <s v="UTTAR PRADESH"/>
    <n v="7134"/>
    <s v="M/S GOENKA AUTO PRIVATE LIMITED."/>
    <s v="VARANASI"/>
    <s v="S"/>
    <s v="31-Jul-25"/>
    <n v="1165"/>
    <s v="00008052"/>
    <s v="MC1M4AFA9SP005151"/>
    <s v="D71084126"/>
    <s v="T1N"/>
    <x v="6"/>
    <s v="23-Jul-2025"/>
    <x v="3"/>
    <n v="1500"/>
    <n v="1500"/>
    <n v="270"/>
    <n v="1770"/>
    <n v="621961"/>
    <s v="28-Oct-25"/>
    <n v="0"/>
    <n v="33214"/>
    <s v="28-Oct-25"/>
    <m/>
    <m/>
    <m/>
    <m/>
    <m/>
  </r>
  <r>
    <n v="153"/>
    <s v="NORTH"/>
    <s v="UTTAR PRADESH"/>
    <n v="7134"/>
    <s v="M/S GOENKA AUTO PRIVATE LIMITED."/>
    <s v="VARANASI"/>
    <s v="S"/>
    <s v="23-Jul-25"/>
    <n v="1165"/>
    <s v="00802983"/>
    <s v="MC1E4EEA7SP016310"/>
    <s v="D71080968"/>
    <s v="T-1"/>
    <x v="6"/>
    <s v="31-May-2025"/>
    <x v="3"/>
    <n v="1150"/>
    <n v="1150"/>
    <n v="207"/>
    <n v="1357"/>
    <n v="621961"/>
    <s v="28-Oct-25"/>
    <n v="0"/>
    <n v="33214"/>
    <s v="28-Oct-25"/>
    <m/>
    <m/>
    <m/>
    <m/>
    <m/>
  </r>
  <r>
    <n v="154"/>
    <s v="NORTH"/>
    <s v="UTTAR PRADESH"/>
    <n v="7134"/>
    <s v="M/S GOENKA AUTO PRIVATE LIMITED."/>
    <s v="VARANASI"/>
    <s v="S"/>
    <s v="30-Jul-25"/>
    <n v="1165"/>
    <s v="00805055"/>
    <s v="MC1E4DFA9SP057966"/>
    <s v="D71083562"/>
    <s v="T-1"/>
    <x v="6"/>
    <s v="25-Jun-2025"/>
    <x v="3"/>
    <n v="1150"/>
    <n v="1150"/>
    <n v="207"/>
    <n v="1357"/>
    <n v="621961"/>
    <s v="28-Oct-25"/>
    <n v="0"/>
    <n v="33214"/>
    <s v="28-Oct-25"/>
    <m/>
    <m/>
    <m/>
    <m/>
    <m/>
  </r>
  <r>
    <n v="155"/>
    <s v="NORTH"/>
    <s v="UTTAR PRADESH"/>
    <n v="7134"/>
    <s v="M/S GOENKA AUTO PRIVATE LIMITED."/>
    <s v="VARANASI"/>
    <s v="S"/>
    <s v="07-Jul-25"/>
    <n v="1165"/>
    <s v="00008044"/>
    <s v="MC1M4AFA2SP005086"/>
    <s v="D71083980"/>
    <s v="T1N"/>
    <x v="6"/>
    <s v="30-Jun-2025"/>
    <x v="3"/>
    <n v="1500"/>
    <n v="1500"/>
    <n v="270"/>
    <n v="1770"/>
    <n v="621961"/>
    <s v="28-Oct-25"/>
    <n v="0"/>
    <n v="33214"/>
    <s v="28-Oct-25"/>
    <m/>
    <m/>
    <m/>
    <m/>
    <m/>
  </r>
  <r>
    <n v="156"/>
    <s v="NORTH"/>
    <s v="UTTAR PRADESH"/>
    <n v="7134"/>
    <s v="M/S GOENKA AUTO PRIVATE LIMITED."/>
    <s v="VARANASI"/>
    <s v="S"/>
    <s v="07-Jul-25"/>
    <n v="1092"/>
    <s v="00803684"/>
    <s v="MC1E4DEA4SP057472"/>
    <s v="D71080952"/>
    <s v="T-1"/>
    <x v="6"/>
    <s v="31-May-2025"/>
    <x v="3"/>
    <n v="1150"/>
    <n v="1150"/>
    <n v="207"/>
    <n v="1357"/>
    <n v="621961"/>
    <s v="28-Oct-25"/>
    <n v="0"/>
    <n v="33214"/>
    <s v="28-Oct-25"/>
    <m/>
    <m/>
    <m/>
    <m/>
    <m/>
  </r>
  <r>
    <n v="157"/>
    <s v="NORTH"/>
    <s v="UTTAR PRADESH"/>
    <n v="7134"/>
    <s v="M/S GOENKA AUTO PRIVATE LIMITED."/>
    <s v="VARANASI"/>
    <s v="S"/>
    <s v="31-Jul-25"/>
    <n v="1165"/>
    <s v="00804071"/>
    <s v="MC1E4BFA3SP010064"/>
    <s v="D71083747"/>
    <s v="T-1"/>
    <x v="6"/>
    <s v="07-Jul-2025"/>
    <x v="3"/>
    <n v="1150"/>
    <n v="1150"/>
    <n v="207"/>
    <n v="1357"/>
    <n v="621961"/>
    <s v="28-Oct-25"/>
    <n v="0"/>
    <n v="33214"/>
    <s v="28-Oct-25"/>
    <m/>
    <m/>
    <m/>
    <m/>
    <m/>
  </r>
  <r>
    <n v="158"/>
    <s v="NORTH"/>
    <s v="UTTAR PRADESH"/>
    <n v="7134"/>
    <s v="M/S GOENKA AUTO PRIVATE LIMITED."/>
    <s v="VARANASI"/>
    <s v="S"/>
    <s v="22-Jul-25"/>
    <n v="1165"/>
    <s v="00778771"/>
    <s v="MC1E5DFA6SP000699"/>
    <s v="D73002071"/>
    <s v="T-1"/>
    <x v="6"/>
    <s v="16-Jul-2025"/>
    <x v="3"/>
    <n v="1150"/>
    <n v="1150"/>
    <n v="207"/>
    <n v="1357"/>
    <n v="621961"/>
    <s v="28-Oct-25"/>
    <n v="0"/>
    <n v="33214"/>
    <s v="28-Oct-25"/>
    <m/>
    <m/>
    <m/>
    <m/>
    <m/>
  </r>
  <r>
    <n v="159"/>
    <s v="NORTH"/>
    <s v="UTTAR PRADESH"/>
    <n v="7134"/>
    <s v="M/S GOENKA AUTO PRIVATE LIMITED."/>
    <s v="VARANASI"/>
    <s v="S"/>
    <s v="29-Jul-25"/>
    <n v="1165"/>
    <s v="00803991"/>
    <s v="MC1E4DGAXTP058141"/>
    <s v="D71085683"/>
    <s v="T-1"/>
    <x v="6"/>
    <s v="15-Jul-2025"/>
    <x v="3"/>
    <n v="1150"/>
    <n v="1150"/>
    <n v="207"/>
    <n v="1357"/>
    <n v="621961"/>
    <s v="28-Oct-25"/>
    <n v="0"/>
    <n v="33214"/>
    <s v="28-Oct-25"/>
    <m/>
    <m/>
    <m/>
    <m/>
    <m/>
  </r>
  <r>
    <n v="160"/>
    <s v="NORTH"/>
    <s v="UTTAR PRADESH"/>
    <n v="7134"/>
    <s v="M/S GOENKA AUTO PRIVATE LIMITED."/>
    <s v="VARANASI"/>
    <s v="S"/>
    <s v="08-Jul-25"/>
    <n v="1165"/>
    <s v="00778945"/>
    <s v="MC1E5CFA5SP000185"/>
    <s v="D73002102"/>
    <s v="T-1"/>
    <x v="6"/>
    <s v="23-Jun-2025"/>
    <x v="3"/>
    <n v="1150"/>
    <n v="1150"/>
    <n v="207"/>
    <n v="1357"/>
    <n v="621961"/>
    <s v="28-Oct-25"/>
    <n v="0"/>
    <n v="33214"/>
    <s v="28-Oct-25"/>
    <m/>
    <m/>
    <m/>
    <m/>
    <m/>
  </r>
  <r>
    <n v="161"/>
    <s v="NORTH"/>
    <s v="UTTAR PRADESH"/>
    <n v="7134"/>
    <s v="M/S GOENKA AUTO PRIVATE LIMITED."/>
    <s v="VARANASI"/>
    <s v="S"/>
    <s v="18-Jul-25"/>
    <n v="1165"/>
    <s v="00778992"/>
    <s v="MC1E5DDA0SP000653"/>
    <s v="D73001870"/>
    <s v="T-1"/>
    <x v="6"/>
    <s v="17-Apr-2025"/>
    <x v="3"/>
    <n v="1150"/>
    <n v="1150"/>
    <n v="207"/>
    <n v="1357"/>
    <n v="621961"/>
    <s v="28-Oct-25"/>
    <n v="0"/>
    <n v="33214"/>
    <s v="28-Oct-25"/>
    <m/>
    <m/>
    <m/>
    <m/>
    <m/>
  </r>
  <r>
    <n v="162"/>
    <s v="NORTH"/>
    <s v="UTTAR PRADESH"/>
    <n v="7134"/>
    <s v="M/S GOENKA AUTO PRIVATE LIMITED."/>
    <s v="VARANASI"/>
    <s v="S"/>
    <s v="14-Jul-25"/>
    <n v="1165"/>
    <s v="00778917"/>
    <s v="MC1E5CFA1SP000183"/>
    <s v="D73002101"/>
    <s v="T-1"/>
    <x v="6"/>
    <s v="28-Jun-2025"/>
    <x v="3"/>
    <n v="1150"/>
    <n v="1150"/>
    <n v="207"/>
    <n v="1357"/>
    <n v="621961"/>
    <s v="28-Oct-25"/>
    <n v="0"/>
    <n v="33214"/>
    <s v="28-Oct-25"/>
    <m/>
    <m/>
    <m/>
    <m/>
    <m/>
  </r>
  <r>
    <n v="163"/>
    <s v="NORTH"/>
    <s v="UTTAR PRADESH"/>
    <n v="7134"/>
    <s v="M/S GOENKA AUTO PRIVATE LIMITED."/>
    <s v="VARANASI"/>
    <s v="S"/>
    <s v="11-Jul-25"/>
    <n v="1165"/>
    <s v="00805200"/>
    <s v="MC1E4DEA5SP057514"/>
    <s v="D71081183"/>
    <s v="T-1"/>
    <x v="6"/>
    <s v="07-Jun-2025"/>
    <x v="3"/>
    <n v="1150"/>
    <n v="1150"/>
    <n v="207"/>
    <n v="1357"/>
    <n v="621961"/>
    <s v="28-Oct-25"/>
    <n v="0"/>
    <n v="33214"/>
    <s v="28-Oct-25"/>
    <m/>
    <m/>
    <m/>
    <m/>
    <m/>
  </r>
  <r>
    <n v="164"/>
    <s v="NORTH"/>
    <s v="UTTAR PRADESH"/>
    <n v="7134"/>
    <s v="M/S GOENKA AUTO PRIVATE LIMITED."/>
    <s v="VARANASI"/>
    <s v="S"/>
    <s v="24-Jul-25"/>
    <n v="1165"/>
    <s v="00008573"/>
    <s v="MC1M4AFA4SP005137"/>
    <s v="D71084206"/>
    <s v="T1N"/>
    <x v="6"/>
    <s v="12-Jul-2025"/>
    <x v="3"/>
    <n v="1500"/>
    <n v="1500"/>
    <n v="270"/>
    <n v="1770"/>
    <n v="621961"/>
    <s v="28-Oct-25"/>
    <n v="0"/>
    <n v="33214"/>
    <s v="28-Oct-25"/>
    <m/>
    <m/>
    <m/>
    <m/>
    <m/>
  </r>
  <r>
    <n v="165"/>
    <s v="NORTH"/>
    <s v="UTTAR PRADESH"/>
    <n v="7134"/>
    <s v="M/S GOENKA AUTO PRIVATE LIMITED."/>
    <s v="VARANASI"/>
    <s v="S"/>
    <s v="07-Jul-25"/>
    <n v="1165"/>
    <s v="00008123"/>
    <s v="MC1M4AFA5SP004885"/>
    <s v="D71082692"/>
    <s v="T1N"/>
    <x v="6"/>
    <s v="11-Jun-2025"/>
    <x v="3"/>
    <n v="1500"/>
    <n v="1500"/>
    <n v="270"/>
    <n v="1770"/>
    <n v="621961"/>
    <s v="28-Oct-25"/>
    <n v="0"/>
    <n v="33214"/>
    <s v="28-Oct-25"/>
    <m/>
    <m/>
    <m/>
    <m/>
    <m/>
  </r>
  <r>
    <n v="166"/>
    <s v="NORTH"/>
    <s v="UTTAR PRADESH"/>
    <n v="7134"/>
    <s v="M/S GOENKA AUTO PRIVATE LIMITED."/>
    <s v="VARANASI"/>
    <s v="S"/>
    <s v="31-Jul-25"/>
    <n v="1165"/>
    <s v="00804641"/>
    <s v="MC1E4DGAXTP058107"/>
    <s v="D71085381"/>
    <s v="T-1"/>
    <x v="6"/>
    <s v="14-Jul-2025"/>
    <x v="3"/>
    <n v="1150"/>
    <n v="1150"/>
    <n v="207"/>
    <n v="1357"/>
    <n v="621961"/>
    <s v="28-Oct-25"/>
    <n v="0"/>
    <n v="33214"/>
    <s v="28-Oct-25"/>
    <m/>
    <m/>
    <m/>
    <m/>
    <m/>
  </r>
  <r>
    <n v="167"/>
    <s v="NORTH"/>
    <s v="UTTAR PRADESH"/>
    <n v="7134"/>
    <s v="M/S GOENKA AUTO PRIVATE LIMITED."/>
    <s v="VARANASI"/>
    <s v="S"/>
    <s v="31-Jul-25"/>
    <n v="1165"/>
    <s v="00803177"/>
    <s v="MC1L4ACA1SP002504"/>
    <s v="D71076207"/>
    <s v="T3"/>
    <x v="7"/>
    <s v="19-Jun-2025"/>
    <x v="4"/>
    <n v="1150"/>
    <n v="1150"/>
    <n v="207"/>
    <n v="1357"/>
    <n v="622281"/>
    <s v="13-Nov-25"/>
    <n v="0"/>
    <n v="33534"/>
    <s v="13-Nov-25"/>
    <m/>
    <m/>
    <m/>
    <m/>
    <m/>
  </r>
  <r>
    <n v="168"/>
    <s v="NORTH"/>
    <s v="UTTAR PRADESH"/>
    <n v="7134"/>
    <s v="M/S GOENKA AUTO PRIVATE LIMITED."/>
    <s v="VARANASI"/>
    <s v="S"/>
    <s v="10-Jul-25"/>
    <n v="1165"/>
    <s v="00008133"/>
    <s v="MC1M4AFAXSP004879"/>
    <s v="D71082671"/>
    <s v="T1N"/>
    <x v="7"/>
    <s v="12-Jun-2025"/>
    <x v="4"/>
    <n v="1500"/>
    <n v="1500"/>
    <n v="270"/>
    <n v="1770"/>
    <n v="622281"/>
    <s v="13-Nov-25"/>
    <n v="0"/>
    <n v="33534"/>
    <s v="13-Nov-25"/>
    <m/>
    <m/>
    <m/>
    <m/>
    <m/>
  </r>
  <r>
    <n v="169"/>
    <s v="NORTH"/>
    <s v="UTTAR PRADESH"/>
    <n v="7134"/>
    <s v="M/S GOENKA AUTO PRIVATE LIMITED."/>
    <s v="VARANASI"/>
    <s v="S"/>
    <s v="31-Jul-25"/>
    <n v="1165"/>
    <s v="00807201"/>
    <s v="MC1E4EEA9SP016518"/>
    <s v="D71081968"/>
    <s v="T-1"/>
    <x v="7"/>
    <s v="27-Jun-2025"/>
    <x v="4"/>
    <n v="1150"/>
    <n v="1150"/>
    <n v="207"/>
    <n v="1357"/>
    <n v="622281"/>
    <s v="13-Nov-25"/>
    <n v="0"/>
    <n v="33534"/>
    <s v="13-Nov-25"/>
    <m/>
    <m/>
    <m/>
    <m/>
    <m/>
  </r>
  <r>
    <n v="170"/>
    <s v="NORTH"/>
    <s v="UTTAR PRADESH"/>
    <n v="7134"/>
    <s v="M/S GOENKA AUTO PRIVATE LIMITED."/>
    <s v="VARANASI"/>
    <s v="S"/>
    <s v="31-Jul-25"/>
    <n v="1165"/>
    <s v="00807509"/>
    <s v="MC1L4BEA6SP001013"/>
    <s v="D71080841"/>
    <s v="SHKT400"/>
    <x v="7"/>
    <s v="23-Jul-2025"/>
    <x v="4"/>
    <n v="1150"/>
    <n v="1150"/>
    <n v="207"/>
    <n v="1357"/>
    <n v="622281"/>
    <s v="13-Nov-25"/>
    <n v="0"/>
    <n v="33534"/>
    <s v="13-Nov-25"/>
    <m/>
    <m/>
    <m/>
    <m/>
    <m/>
  </r>
  <r>
    <n v="171"/>
    <s v="NORTH"/>
    <s v="UTTAR PRADESH"/>
    <n v="7134"/>
    <s v="M/S GOENKA AUTO PRIVATE LIMITED."/>
    <s v="VARANASI"/>
    <s v="S"/>
    <s v="15-Jul-25"/>
    <n v="1165"/>
    <s v="00000001"/>
    <s v="MC1D4DEA3SP108987"/>
    <s v="D72020755"/>
    <s v="TRAX"/>
    <x v="7"/>
    <s v="27-Jun-2025"/>
    <x v="4"/>
    <n v="1150"/>
    <n v="1150"/>
    <n v="207"/>
    <n v="1357"/>
    <n v="622281"/>
    <s v="13-Nov-25"/>
    <n v="0"/>
    <n v="33534"/>
    <s v="13-Nov-25"/>
    <m/>
    <m/>
    <m/>
    <m/>
    <m/>
  </r>
  <r>
    <n v="172"/>
    <s v="NORTH"/>
    <s v="UTTAR PRADESH"/>
    <n v="7134"/>
    <s v="M/S GOENKA AUTO PRIVATE LIMITED."/>
    <s v="VARANASI"/>
    <s v="S"/>
    <s v="31-Jul-25"/>
    <n v="1165"/>
    <s v="00807123"/>
    <s v="MC1E4EFA1SP016625"/>
    <s v="D71082796"/>
    <s v="T-1"/>
    <x v="7"/>
    <s v="30-Jun-2025"/>
    <x v="4"/>
    <n v="1150"/>
    <n v="1150"/>
    <n v="207"/>
    <n v="1357"/>
    <n v="622281"/>
    <s v="13-Nov-25"/>
    <n v="0"/>
    <n v="33534"/>
    <s v="13-Nov-25"/>
    <m/>
    <m/>
    <m/>
    <m/>
    <m/>
  </r>
  <r>
    <n v="173"/>
    <s v="NORTH"/>
    <s v="UTTAR PRADESH"/>
    <n v="7134"/>
    <s v="M/S GOENKA AUTO PRIVATE LIMITED."/>
    <s v="VARANASI"/>
    <s v="S"/>
    <s v="31-Jul-25"/>
    <n v="1165"/>
    <s v="00809278"/>
    <s v="MC1E4DGA0TP058262"/>
    <s v="D71086623"/>
    <s v="T-1"/>
    <x v="7"/>
    <s v="23-Jul-2025"/>
    <x v="4"/>
    <n v="1150"/>
    <n v="1150"/>
    <n v="207"/>
    <n v="1357"/>
    <n v="622281"/>
    <s v="13-Nov-25"/>
    <n v="0"/>
    <n v="33534"/>
    <s v="13-Nov-25"/>
    <m/>
    <m/>
    <m/>
    <m/>
    <m/>
  </r>
  <r>
    <n v="174"/>
    <s v="NORTH"/>
    <s v="UTTAR PRADESH"/>
    <n v="7134"/>
    <s v="M/S GOENKA AUTO PRIVATE LIMITED."/>
    <s v="VARANASI"/>
    <s v="S"/>
    <s v="12-Aug-25"/>
    <n v="1165"/>
    <s v="00809428"/>
    <s v="MC1E4EFA6SP016846"/>
    <s v="D71084407"/>
    <s v="T-1"/>
    <x v="8"/>
    <s v="26-Jul-2025"/>
    <x v="4"/>
    <n v="1150"/>
    <n v="1150"/>
    <n v="207"/>
    <n v="1357"/>
    <n v="622282"/>
    <s v="13-Nov-25"/>
    <n v="0"/>
    <n v="33535"/>
    <s v="13-Nov-25"/>
    <m/>
    <m/>
    <m/>
    <m/>
    <m/>
  </r>
  <r>
    <n v="175"/>
    <s v="NORTH"/>
    <s v="UTTAR PRADESH"/>
    <n v="7134"/>
    <s v="M/S GOENKA AUTO PRIVATE LIMITED."/>
    <s v="VARANASI"/>
    <s v="S"/>
    <s v="26-Aug-25"/>
    <n v="1165"/>
    <s v="00805626"/>
    <s v="MC1E4FHA6TP024451"/>
    <s v="D71084603"/>
    <s v="T26"/>
    <x v="8"/>
    <s v="20-Aug-2025"/>
    <x v="4"/>
    <n v="1150"/>
    <n v="1150"/>
    <n v="207"/>
    <n v="1357"/>
    <n v="622282"/>
    <s v="13-Nov-25"/>
    <n v="0"/>
    <n v="33535"/>
    <s v="13-Nov-25"/>
    <m/>
    <m/>
    <m/>
    <m/>
    <m/>
  </r>
  <r>
    <n v="176"/>
    <s v="NORTH"/>
    <s v="UTTAR PRADESH"/>
    <n v="7134"/>
    <s v="M/S GOENKA AUTO PRIVATE LIMITED."/>
    <s v="VARANASI"/>
    <s v="S"/>
    <s v="26-Aug-25"/>
    <n v="1165"/>
    <s v="00807004"/>
    <s v="MC1E4EGAXTP017062"/>
    <s v="D71086073"/>
    <s v="T-1"/>
    <x v="8"/>
    <s v="13-Aug-2025"/>
    <x v="4"/>
    <n v="1150"/>
    <n v="1150"/>
    <n v="207"/>
    <n v="1357"/>
    <n v="622282"/>
    <s v="13-Nov-25"/>
    <n v="0"/>
    <n v="33535"/>
    <s v="13-Nov-25"/>
    <m/>
    <m/>
    <m/>
    <m/>
    <m/>
  </r>
  <r>
    <n v="177"/>
    <s v="NORTH"/>
    <s v="UTTAR PRADESH"/>
    <n v="7134"/>
    <s v="M/S GOENKA AUTO PRIVATE LIMITED."/>
    <s v="VARANASI"/>
    <s v="S"/>
    <s v="26-Aug-25"/>
    <n v="1165"/>
    <s v="00804649"/>
    <s v="MC1E4EGA2TP016942"/>
    <s v="D71085151"/>
    <s v="T-1"/>
    <x v="8"/>
    <s v="16-Jul-2025"/>
    <x v="4"/>
    <n v="1150"/>
    <n v="1150"/>
    <n v="207"/>
    <n v="1357"/>
    <n v="622282"/>
    <s v="13-Nov-25"/>
    <n v="0"/>
    <n v="33535"/>
    <s v="13-Nov-25"/>
    <m/>
    <m/>
    <m/>
    <m/>
    <m/>
  </r>
  <r>
    <n v="178"/>
    <s v="NORTH"/>
    <s v="UTTAR PRADESH"/>
    <n v="7134"/>
    <s v="M/S GOENKA AUTO PRIVATE LIMITED."/>
    <s v="VARANASI"/>
    <s v="S"/>
    <s v="19-Aug-25"/>
    <n v="1165"/>
    <s v="00803716"/>
    <s v="MC1E4BGA2TP010119"/>
    <s v="D71084805"/>
    <s v="T-1"/>
    <x v="8"/>
    <s v="05-Aug-2025"/>
    <x v="4"/>
    <n v="1150"/>
    <n v="1150"/>
    <n v="207"/>
    <n v="1357"/>
    <n v="622282"/>
    <s v="13-Nov-25"/>
    <n v="0"/>
    <n v="33535"/>
    <s v="13-Nov-25"/>
    <m/>
    <m/>
    <m/>
    <m/>
    <m/>
  </r>
  <r>
    <n v="179"/>
    <s v="NORTH"/>
    <s v="UTTAR PRADESH"/>
    <n v="7134"/>
    <s v="M/S GOENKA AUTO PRIVATE LIMITED."/>
    <s v="VARANASI"/>
    <s v="S"/>
    <s v="27-Aug-25"/>
    <n v="1165"/>
    <s v="00803751"/>
    <s v="MC1E4DGA7TP058193"/>
    <s v="D71086063"/>
    <s v="T-1"/>
    <x v="8"/>
    <s v="31-Jul-2025"/>
    <x v="4"/>
    <n v="1150"/>
    <n v="1150"/>
    <n v="207"/>
    <n v="1357"/>
    <n v="622282"/>
    <s v="13-Nov-25"/>
    <n v="0"/>
    <n v="33535"/>
    <s v="13-Nov-25"/>
    <m/>
    <m/>
    <m/>
    <m/>
    <m/>
  </r>
  <r>
    <n v="180"/>
    <s v="NORTH"/>
    <s v="UTTAR PRADESH"/>
    <n v="7134"/>
    <s v="M/S GOENKA AUTO PRIVATE LIMITED."/>
    <s v="VARANASI"/>
    <s v="S"/>
    <s v="13-Aug-25"/>
    <n v="1165"/>
    <s v="00803976"/>
    <s v="MC1E4DGA0TP058150"/>
    <s v="D71085798"/>
    <s v="T-1"/>
    <x v="8"/>
    <s v="16-Jul-2025"/>
    <x v="4"/>
    <n v="1150"/>
    <n v="1150"/>
    <n v="207"/>
    <n v="1357"/>
    <n v="622282"/>
    <s v="13-Nov-25"/>
    <n v="0"/>
    <n v="33535"/>
    <s v="13-Nov-25"/>
    <m/>
    <m/>
    <m/>
    <m/>
    <m/>
  </r>
  <r>
    <n v="181"/>
    <s v="NORTH"/>
    <s v="UTTAR PRADESH"/>
    <n v="7134"/>
    <s v="M/S GOENKA AUTO PRIVATE LIMITED."/>
    <s v="VARANASI"/>
    <s v="S"/>
    <s v="07-Aug-25"/>
    <n v="1165"/>
    <s v="00328556"/>
    <s v="MC1D4DDA6SP108709"/>
    <s v="D72020395"/>
    <s v="TRAX"/>
    <x v="8"/>
    <s v="07-May-2025"/>
    <x v="4"/>
    <n v="1150"/>
    <n v="1150"/>
    <n v="207"/>
    <n v="1357"/>
    <n v="622282"/>
    <s v="13-Nov-25"/>
    <n v="0"/>
    <n v="33535"/>
    <s v="13-Nov-25"/>
    <m/>
    <m/>
    <m/>
    <m/>
    <m/>
  </r>
  <r>
    <n v="182"/>
    <s v="NORTH"/>
    <s v="UTTAR PRADESH"/>
    <n v="7134"/>
    <s v="M/S GOENKA AUTO PRIVATE LIMITED."/>
    <s v="VARANASI"/>
    <s v="S"/>
    <s v="18-Aug-25"/>
    <n v="1165"/>
    <s v="00008254"/>
    <s v="MC1M4AGA9TP005375"/>
    <s v="D71086045"/>
    <s v="T1N"/>
    <x v="8"/>
    <s v="29-Jul-2025"/>
    <x v="4"/>
    <n v="1500"/>
    <n v="1500"/>
    <n v="270"/>
    <n v="1770"/>
    <n v="622282"/>
    <s v="13-Nov-25"/>
    <n v="0"/>
    <n v="33535"/>
    <s v="13-Nov-25"/>
    <m/>
    <m/>
    <m/>
    <m/>
    <m/>
  </r>
  <r>
    <n v="183"/>
    <s v="NORTH"/>
    <s v="UTTAR PRADESH"/>
    <n v="7134"/>
    <s v="M/S GOENKA AUTO PRIVATE LIMITED."/>
    <s v="VARANASI"/>
    <s v="S"/>
    <s v="13-Aug-25"/>
    <n v="1165"/>
    <s v="00807558"/>
    <s v="MC1L4AGA5TP002940"/>
    <s v="D71084943"/>
    <s v="T3"/>
    <x v="8"/>
    <s v="18-Jul-2025"/>
    <x v="4"/>
    <n v="1150"/>
    <n v="1150"/>
    <n v="207"/>
    <n v="1357"/>
    <n v="622282"/>
    <s v="13-Nov-25"/>
    <n v="0"/>
    <n v="33535"/>
    <s v="13-Nov-25"/>
    <m/>
    <m/>
    <m/>
    <m/>
    <m/>
  </r>
  <r>
    <n v="184"/>
    <s v="NORTH"/>
    <s v="UTTAR PRADESH"/>
    <n v="7134"/>
    <s v="M/S GOENKA AUTO PRIVATE LIMITED."/>
    <s v="VARANASI"/>
    <s v="S"/>
    <s v="09-Aug-25"/>
    <n v="1165"/>
    <s v="00803681"/>
    <s v="MC1E4DEA1SP057462"/>
    <s v="D71081127"/>
    <s v="T-1"/>
    <x v="8"/>
    <s v="31-May-2025"/>
    <x v="4"/>
    <n v="1150"/>
    <n v="1150"/>
    <n v="207"/>
    <n v="1357"/>
    <n v="622282"/>
    <s v="13-Nov-25"/>
    <n v="0"/>
    <n v="33535"/>
    <s v="13-Nov-25"/>
    <m/>
    <m/>
    <m/>
    <m/>
    <m/>
  </r>
  <r>
    <n v="185"/>
    <s v="NORTH"/>
    <s v="UTTAR PRADESH"/>
    <n v="7134"/>
    <s v="M/S GOENKA AUTO PRIVATE LIMITED."/>
    <s v="VARANASI"/>
    <s v="S"/>
    <s v="28-Aug-25"/>
    <n v="1165"/>
    <s v="00328544"/>
    <s v="MC1D4DDA6SP108712"/>
    <s v="D72020414"/>
    <s v="TRAX"/>
    <x v="8"/>
    <s v="07-May-2025"/>
    <x v="4"/>
    <n v="1150"/>
    <n v="1150"/>
    <n v="207"/>
    <n v="1357"/>
    <n v="622282"/>
    <s v="13-Nov-25"/>
    <n v="0"/>
    <n v="33535"/>
    <s v="13-Nov-25"/>
    <m/>
    <m/>
    <m/>
    <m/>
    <m/>
  </r>
  <r>
    <n v="186"/>
    <s v="NORTH"/>
    <s v="UTTAR PRADESH"/>
    <n v="7134"/>
    <s v="M/S GOENKA AUTO PRIVATE LIMITED."/>
    <s v="VARANASI"/>
    <s v="S"/>
    <s v="18-Aug-25"/>
    <n v="1165"/>
    <s v="00803927"/>
    <s v="MC1E4DGA5TP058208"/>
    <s v="D71086083"/>
    <s v="T-1"/>
    <x v="8"/>
    <s v="19-Jul-2025"/>
    <x v="4"/>
    <n v="1150"/>
    <n v="1150"/>
    <n v="207"/>
    <n v="1357"/>
    <n v="622282"/>
    <s v="13-Nov-25"/>
    <n v="0"/>
    <n v="33535"/>
    <s v="13-Nov-25"/>
    <m/>
    <m/>
    <m/>
    <m/>
    <m/>
  </r>
  <r>
    <n v="187"/>
    <s v="NORTH"/>
    <s v="UTTAR PRADESH"/>
    <n v="7134"/>
    <s v="M/S GOENKA AUTO PRIVATE LIMITED."/>
    <s v="VARANASI"/>
    <s v="S"/>
    <s v="14-Aug-25"/>
    <n v="1165"/>
    <s v="00784170"/>
    <s v="MC1E4FEAXSP023810"/>
    <s v="D71081785"/>
    <s v="T-1"/>
    <x v="8"/>
    <s v="27-Jun-2025"/>
    <x v="4"/>
    <n v="1150"/>
    <n v="1150"/>
    <n v="207"/>
    <n v="1357"/>
    <n v="622282"/>
    <s v="13-Nov-25"/>
    <n v="0"/>
    <n v="33535"/>
    <s v="13-Nov-25"/>
    <m/>
    <m/>
    <m/>
    <m/>
    <m/>
  </r>
  <r>
    <n v="188"/>
    <s v="NORTH"/>
    <s v="UTTAR PRADESH"/>
    <n v="7134"/>
    <s v="M/S GOENKA AUTO PRIVATE LIMITED."/>
    <s v="VARANASI"/>
    <s v="S"/>
    <s v="28-Aug-25"/>
    <n v="1165"/>
    <s v="00007823"/>
    <s v="MC1M4AFAXSP005174"/>
    <s v="D71084195"/>
    <s v="T1N"/>
    <x v="8"/>
    <s v="25-Jul-2025"/>
    <x v="4"/>
    <n v="1500"/>
    <n v="1500"/>
    <n v="270"/>
    <n v="1770"/>
    <n v="622282"/>
    <s v="13-Nov-25"/>
    <n v="0"/>
    <n v="33535"/>
    <s v="13-Nov-25"/>
    <m/>
    <m/>
    <m/>
    <m/>
    <m/>
  </r>
  <r>
    <n v="189"/>
    <s v="NORTH"/>
    <s v="UTTAR PRADESH"/>
    <n v="7134"/>
    <s v="M/S GOENKA AUTO PRIVATE LIMITED."/>
    <s v="VARANASI"/>
    <s v="S"/>
    <s v="12-Aug-25"/>
    <n v="1165"/>
    <s v="00811130"/>
    <s v="MC1E4DGA1TP058268"/>
    <s v="D71086726"/>
    <s v="T-1"/>
    <x v="8"/>
    <s v="31-Jul-2025"/>
    <x v="4"/>
    <n v="1150"/>
    <n v="1150"/>
    <n v="207"/>
    <n v="1357"/>
    <n v="622282"/>
    <s v="13-Nov-25"/>
    <n v="0"/>
    <n v="33535"/>
    <s v="13-Nov-25"/>
    <m/>
    <m/>
    <m/>
    <m/>
    <m/>
  </r>
  <r>
    <n v="190"/>
    <s v="NORTH"/>
    <s v="UTTAR PRADESH"/>
    <n v="7134"/>
    <s v="M/S GOENKA AUTO PRIVATE LIMITED."/>
    <s v="VARANASI"/>
    <s v="S"/>
    <s v="14-Aug-25"/>
    <n v="1165"/>
    <s v="00803925"/>
    <s v="MC1E4DGA0TP058214"/>
    <s v="D71086208"/>
    <s v="T-1"/>
    <x v="8"/>
    <s v="19-Jul-2025"/>
    <x v="4"/>
    <n v="1150"/>
    <n v="1150"/>
    <n v="207"/>
    <n v="1357"/>
    <n v="622282"/>
    <s v="13-Nov-25"/>
    <n v="0"/>
    <n v="33535"/>
    <s v="13-Nov-25"/>
    <m/>
    <m/>
    <m/>
    <m/>
    <m/>
  </r>
  <r>
    <n v="191"/>
    <s v="NORTH"/>
    <s v="UTTAR PRADESH"/>
    <n v="7134"/>
    <s v="M/S GOENKA AUTO PRIVATE LIMITED."/>
    <s v="VARANASI"/>
    <s v="S"/>
    <s v="21-Aug-25"/>
    <n v="1165"/>
    <s v="00789501"/>
    <s v="MC1E4FMA7SP021952"/>
    <s v="D71067134"/>
    <s v="T26"/>
    <x v="8"/>
    <s v="28-Dec-2024"/>
    <x v="4"/>
    <n v="1150"/>
    <n v="1150"/>
    <n v="207"/>
    <n v="1357"/>
    <n v="622282"/>
    <s v="13-Nov-25"/>
    <n v="0"/>
    <n v="33535"/>
    <s v="13-Nov-25"/>
    <m/>
    <m/>
    <m/>
    <m/>
    <m/>
  </r>
  <r>
    <n v="192"/>
    <s v="NORTH"/>
    <s v="UTTAR PRADESH"/>
    <n v="7134"/>
    <s v="M/S GOENKA AUTO PRIVATE LIMITED."/>
    <s v="VARANASI"/>
    <s v="S"/>
    <s v="14-Aug-25"/>
    <n v="1165"/>
    <s v="00803982"/>
    <s v="MC1E4DGA4TP058152"/>
    <s v="D71084760"/>
    <s v="T-1"/>
    <x v="8"/>
    <s v="17-Jul-2025"/>
    <x v="4"/>
    <n v="1150"/>
    <n v="1150"/>
    <n v="207"/>
    <n v="1357"/>
    <n v="622282"/>
    <s v="13-Nov-25"/>
    <n v="0"/>
    <n v="33535"/>
    <s v="13-Nov-25"/>
    <m/>
    <m/>
    <m/>
    <m/>
    <m/>
  </r>
  <r>
    <n v="193"/>
    <s v="NORTH"/>
    <s v="UTTAR PRADESH"/>
    <n v="7134"/>
    <s v="M/S GOENKA AUTO PRIVATE LIMITED."/>
    <s v="VARANASI"/>
    <s v="S"/>
    <s v="27-Aug-25"/>
    <n v="1165"/>
    <s v="00000001"/>
    <s v="MC1D4DFA6SP109257"/>
    <s v="D72020977"/>
    <s v="TRAX"/>
    <x v="8"/>
    <s v="30-Jun-2025"/>
    <x v="4"/>
    <n v="1150"/>
    <n v="1150"/>
    <n v="207"/>
    <n v="1357"/>
    <n v="622282"/>
    <s v="13-Nov-25"/>
    <n v="0"/>
    <n v="33535"/>
    <s v="13-Nov-25"/>
    <m/>
    <m/>
    <m/>
    <m/>
    <m/>
  </r>
  <r>
    <n v="194"/>
    <s v="NORTH"/>
    <s v="UTTAR PRADESH"/>
    <n v="7134"/>
    <s v="M/S GOENKA AUTO PRIVATE LIMITED."/>
    <s v="VARANASI"/>
    <s v="S"/>
    <s v="09-Aug-25"/>
    <n v="1165"/>
    <s v="00804424"/>
    <s v="MC1E4DFA5SP057964"/>
    <s v="D71083483"/>
    <s v="T-1"/>
    <x v="8"/>
    <s v="24-Jun-2025"/>
    <x v="4"/>
    <n v="1150"/>
    <n v="1150"/>
    <n v="207"/>
    <n v="1357"/>
    <n v="622282"/>
    <s v="13-Nov-25"/>
    <n v="0"/>
    <n v="33535"/>
    <s v="13-Nov-25"/>
    <m/>
    <m/>
    <m/>
    <m/>
    <m/>
  </r>
  <r>
    <n v="195"/>
    <s v="NORTH"/>
    <s v="UTTAR PRADESH"/>
    <n v="7134"/>
    <s v="M/S GOENKA AUTO PRIVATE LIMITED."/>
    <s v="VARANASI"/>
    <s v="S"/>
    <s v="18-Aug-25"/>
    <n v="1165"/>
    <s v="00803739"/>
    <s v="MC1E4DGA6TP058427"/>
    <s v="D71086483"/>
    <s v="T-1"/>
    <x v="8"/>
    <s v="31-Jul-2025"/>
    <x v="4"/>
    <n v="1150"/>
    <n v="1150"/>
    <n v="207"/>
    <n v="1357"/>
    <n v="622282"/>
    <s v="13-Nov-25"/>
    <n v="0"/>
    <n v="33535"/>
    <s v="13-Nov-25"/>
    <m/>
    <m/>
    <m/>
    <m/>
    <m/>
  </r>
  <r>
    <n v="196"/>
    <s v="NORTH"/>
    <s v="UTTAR PRADESH"/>
    <n v="7134"/>
    <s v="M/S GOENKA AUTO PRIVATE LIMITED."/>
    <s v="VARANASI"/>
    <s v="S"/>
    <s v="09-Aug-25"/>
    <n v="1165"/>
    <s v="00805597"/>
    <s v="MC1E4FGA6TP024192"/>
    <s v="D71084960"/>
    <s v="T26"/>
    <x v="8"/>
    <s v="30-Jul-2025"/>
    <x v="4"/>
    <n v="1150"/>
    <n v="1150"/>
    <n v="207"/>
    <n v="1357"/>
    <n v="622282"/>
    <s v="13-Nov-25"/>
    <n v="0"/>
    <n v="33535"/>
    <s v="13-Nov-25"/>
    <m/>
    <m/>
    <m/>
    <m/>
    <m/>
  </r>
  <r>
    <n v="197"/>
    <s v="NORTH"/>
    <s v="UTTAR PRADESH"/>
    <n v="7134"/>
    <s v="M/S GOENKA AUTO PRIVATE LIMITED."/>
    <s v="VARANASI"/>
    <s v="S"/>
    <s v="12-Aug-25"/>
    <n v="1165"/>
    <s v="00803995"/>
    <s v="MC1E4DGA9TP058146"/>
    <s v="D71085879"/>
    <s v="T-1"/>
    <x v="8"/>
    <s v="15-Jul-2025"/>
    <x v="4"/>
    <n v="1150"/>
    <n v="1150"/>
    <n v="207"/>
    <n v="1357"/>
    <n v="622282"/>
    <s v="13-Nov-25"/>
    <n v="0"/>
    <n v="33535"/>
    <s v="13-Nov-25"/>
    <m/>
    <m/>
    <m/>
    <m/>
    <m/>
  </r>
  <r>
    <n v="198"/>
    <s v="NORTH"/>
    <s v="UTTAR PRADESH"/>
    <n v="7134"/>
    <s v="M/S GOENKA AUTO PRIVATE LIMITED."/>
    <s v="VARANASI"/>
    <s v="S"/>
    <s v="09-Aug-25"/>
    <n v="1165"/>
    <s v="00804752"/>
    <s v="MC1E4DFA6SP058024"/>
    <s v="D71084329"/>
    <s v="T-1"/>
    <x v="8"/>
    <s v="22-Jul-2025"/>
    <x v="4"/>
    <n v="1150"/>
    <n v="1150"/>
    <n v="207"/>
    <n v="1357"/>
    <n v="622282"/>
    <s v="13-Nov-25"/>
    <n v="0"/>
    <n v="33535"/>
    <s v="13-Nov-25"/>
    <m/>
    <m/>
    <m/>
    <m/>
    <m/>
  </r>
  <r>
    <n v="199"/>
    <s v="NORTH"/>
    <s v="UTTAR PRADESH"/>
    <n v="7134"/>
    <s v="M/S GOENKA AUTO PRIVATE LIMITED."/>
    <s v="VARANASI"/>
    <s v="S"/>
    <s v="26-Aug-25"/>
    <n v="1165"/>
    <s v="00803926"/>
    <s v="MC1E4DGA4TP058183"/>
    <s v="D71085684"/>
    <s v="T-1"/>
    <x v="8"/>
    <s v="19-Jul-2025"/>
    <x v="4"/>
    <n v="1150"/>
    <n v="1150"/>
    <n v="207"/>
    <n v="1357"/>
    <n v="622282"/>
    <s v="13-Nov-25"/>
    <n v="0"/>
    <n v="33535"/>
    <s v="13-Nov-25"/>
    <m/>
    <m/>
    <m/>
    <m/>
    <m/>
  </r>
  <r>
    <n v="200"/>
    <s v="NORTH"/>
    <s v="UTTAR PRADESH"/>
    <n v="7134"/>
    <s v="M/S GOENKA AUTO PRIVATE LIMITED."/>
    <s v="VARANASI"/>
    <s v="S"/>
    <s v="29-Aug-25"/>
    <n v="1165"/>
    <s v="00784274"/>
    <s v="MC1E4FGA7TP024279"/>
    <s v="D71086413"/>
    <s v="T-1"/>
    <x v="9"/>
    <s v="21-Jul-2025"/>
    <x v="4"/>
    <n v="1150"/>
    <n v="1150"/>
    <n v="207"/>
    <n v="1357"/>
    <n v="622283"/>
    <s v="13-Nov-25"/>
    <n v="0"/>
    <n v="33536"/>
    <s v="13-Nov-25"/>
    <m/>
    <m/>
    <m/>
    <m/>
    <m/>
  </r>
  <r>
    <n v="201"/>
    <s v="NORTH"/>
    <s v="UTTAR PRADESH"/>
    <n v="7134"/>
    <s v="M/S GOENKA AUTO PRIVATE LIMITED."/>
    <s v="VARANASI"/>
    <s v="S"/>
    <s v="29-Aug-25"/>
    <n v="1165"/>
    <s v="00008040"/>
    <s v="MC1M4AGA6TP005589"/>
    <s v="D71087408"/>
    <s v="T1N"/>
    <x v="9"/>
    <s v="05-Aug-2025"/>
    <x v="4"/>
    <n v="1500"/>
    <n v="1500"/>
    <n v="270"/>
    <n v="1770"/>
    <n v="622283"/>
    <s v="13-Nov-25"/>
    <n v="0"/>
    <n v="33536"/>
    <s v="13-Nov-25"/>
    <m/>
    <m/>
    <m/>
    <m/>
    <m/>
  </r>
  <r>
    <n v="202"/>
    <s v="NORTH"/>
    <s v="UTTAR PRADESH"/>
    <n v="7134"/>
    <s v="M/S GOENKA AUTO PRIVATE LIMITED."/>
    <s v="VARANASI"/>
    <s v="S"/>
    <s v="29-Aug-25"/>
    <n v="1165"/>
    <s v="00784273"/>
    <s v="MC1E4FGA3TP024277"/>
    <s v="D71086390"/>
    <s v="T-1"/>
    <x v="9"/>
    <s v="21-Jul-2025"/>
    <x v="4"/>
    <n v="1150"/>
    <n v="1150"/>
    <n v="207"/>
    <n v="1357"/>
    <n v="622283"/>
    <s v="13-Nov-25"/>
    <n v="0"/>
    <n v="33536"/>
    <s v="13-Nov-25"/>
    <m/>
    <m/>
    <m/>
    <m/>
    <m/>
  </r>
  <r>
    <n v="203"/>
    <s v="NORTH"/>
    <s v="UTTAR PRADESH"/>
    <n v="7134"/>
    <s v="M/S GOENKA AUTO PRIVATE LIMITED."/>
    <s v="VARANASI"/>
    <s v="S"/>
    <s v="30-Aug-25"/>
    <n v="1165"/>
    <s v="00809348"/>
    <s v="MC1E4EFA7SP016841"/>
    <s v="D71084344"/>
    <s v="T-1"/>
    <x v="10"/>
    <s v="28-Jul-2025"/>
    <x v="5"/>
    <n v="1150"/>
    <n v="1150"/>
    <n v="207"/>
    <n v="1357"/>
    <n v="622719"/>
    <s v="14-Jan-26"/>
    <n v="0"/>
    <n v="33972"/>
    <s v="14-Jan-26"/>
    <m/>
    <m/>
    <m/>
    <m/>
    <m/>
  </r>
  <r>
    <n v="204"/>
    <s v="NORTH"/>
    <s v="UTTAR PRADESH"/>
    <n v="7134"/>
    <s v="M/S GOENKA AUTO PRIVATE LIMITED."/>
    <s v="VARANASI"/>
    <s v="S"/>
    <s v="24-Sep-25"/>
    <n v="1165"/>
    <s v="00009009"/>
    <s v="MC1M4AHA5TP005808"/>
    <s v="D71088617"/>
    <s v="T1N"/>
    <x v="11"/>
    <s v="30-Aug-2025"/>
    <x v="5"/>
    <n v="1500"/>
    <n v="1500"/>
    <n v="270"/>
    <n v="1770"/>
    <n v="622720"/>
    <s v="14-Jan-26"/>
    <n v="0"/>
    <n v="33973"/>
    <s v="14-Jan-26"/>
    <m/>
    <m/>
    <m/>
    <m/>
    <m/>
  </r>
  <r>
    <n v="205"/>
    <s v="NORTH"/>
    <s v="UTTAR PRADESH"/>
    <n v="7134"/>
    <s v="M/S GOENKA AUTO PRIVATE LIMITED."/>
    <s v="VARANASI"/>
    <s v="S"/>
    <s v="30-Sep-25"/>
    <n v="1165"/>
    <s v="00811129"/>
    <s v="MC1E4DGA1TP058352"/>
    <s v="D71086950"/>
    <s v="T-1"/>
    <x v="11"/>
    <s v="31-Jul-2025"/>
    <x v="5"/>
    <n v="1150"/>
    <n v="1150"/>
    <n v="207"/>
    <n v="1357"/>
    <n v="622720"/>
    <s v="14-Jan-26"/>
    <n v="0"/>
    <n v="33973"/>
    <s v="14-Jan-26"/>
    <m/>
    <m/>
    <m/>
    <m/>
    <m/>
  </r>
  <r>
    <n v="206"/>
    <s v="NORTH"/>
    <s v="UTTAR PRADESH"/>
    <n v="7134"/>
    <s v="M/S GOENKA AUTO PRIVATE LIMITED."/>
    <s v="VARANASI"/>
    <s v="S"/>
    <s v="30-Sep-25"/>
    <n v="1165"/>
    <s v="00812646"/>
    <s v="MC1E4EHA2TP017409"/>
    <s v="D71089032"/>
    <s v="T-1"/>
    <x v="11"/>
    <s v="26-Sep-2025"/>
    <x v="5"/>
    <n v="1150"/>
    <n v="1150"/>
    <n v="207"/>
    <n v="1357"/>
    <n v="622720"/>
    <s v="14-Jan-26"/>
    <n v="0"/>
    <n v="33973"/>
    <s v="14-Jan-26"/>
    <m/>
    <m/>
    <m/>
    <m/>
    <m/>
  </r>
  <r>
    <n v="207"/>
    <s v="NORTH"/>
    <s v="UTTAR PRADESH"/>
    <n v="7134"/>
    <s v="M/S GOENKA AUTO PRIVATE LIMITED."/>
    <s v="VARANASI"/>
    <s v="S"/>
    <s v="29-Sep-25"/>
    <n v="1165"/>
    <s v="00009769"/>
    <s v="MC1M4AJA3TP006062"/>
    <s v="D71089963"/>
    <s v="T1N"/>
    <x v="11"/>
    <s v="22-Sep-2025"/>
    <x v="5"/>
    <n v="1500"/>
    <n v="1500"/>
    <n v="270"/>
    <n v="1770"/>
    <n v="622720"/>
    <s v="14-Jan-26"/>
    <n v="0"/>
    <n v="33973"/>
    <s v="14-Jan-26"/>
    <m/>
    <m/>
    <m/>
    <m/>
    <m/>
  </r>
  <r>
    <n v="208"/>
    <s v="NORTH"/>
    <s v="UTTAR PRADESH"/>
    <n v="7134"/>
    <s v="M/S GOENKA AUTO PRIVATE LIMITED."/>
    <s v="VARANASI"/>
    <s v="S"/>
    <s v="25-Sep-25"/>
    <n v="1165"/>
    <s v="00803737"/>
    <s v="MC1E4DGA2TP058456"/>
    <s v="D71087194"/>
    <s v="T-1"/>
    <x v="11"/>
    <s v="31-Jul-2025"/>
    <x v="5"/>
    <n v="1150"/>
    <n v="1150"/>
    <n v="207"/>
    <n v="1357"/>
    <n v="622720"/>
    <s v="14-Jan-26"/>
    <n v="0"/>
    <n v="33973"/>
    <s v="14-Jan-26"/>
    <m/>
    <m/>
    <m/>
    <m/>
    <m/>
  </r>
  <r>
    <n v="209"/>
    <s v="NORTH"/>
    <s v="UTTAR PRADESH"/>
    <n v="7134"/>
    <s v="M/S GOENKA AUTO PRIVATE LIMITED."/>
    <s v="VARANASI"/>
    <s v="S"/>
    <s v="29-Sep-25"/>
    <n v="1165"/>
    <s v="00813415"/>
    <s v="MC1E4EHA7TP017406"/>
    <s v="D71089324"/>
    <s v="T-1"/>
    <x v="11"/>
    <s v="27-Sep-2025"/>
    <x v="5"/>
    <n v="1150"/>
    <n v="1150"/>
    <n v="207"/>
    <n v="1357"/>
    <n v="622720"/>
    <s v="14-Jan-26"/>
    <n v="0"/>
    <n v="33973"/>
    <s v="14-Jan-26"/>
    <m/>
    <m/>
    <m/>
    <m/>
    <m/>
  </r>
  <r>
    <n v="210"/>
    <s v="NORTH"/>
    <s v="UTTAR PRADESH"/>
    <n v="7134"/>
    <s v="M/S GOENKA AUTO PRIVATE LIMITED."/>
    <s v="VARANASI"/>
    <s v="S"/>
    <s v="26-Sep-25"/>
    <n v="1165"/>
    <s v="00807030"/>
    <s v="MC1E4BGA0TP010121"/>
    <s v="D71085880"/>
    <s v="T-1"/>
    <x v="11"/>
    <s v="21-Aug-2025"/>
    <x v="5"/>
    <n v="1150"/>
    <n v="1150"/>
    <n v="207"/>
    <n v="1357"/>
    <n v="622720"/>
    <s v="14-Jan-26"/>
    <n v="0"/>
    <n v="33973"/>
    <s v="14-Jan-26"/>
    <m/>
    <m/>
    <m/>
    <m/>
    <m/>
  </r>
  <r>
    <n v="211"/>
    <s v="NORTH"/>
    <s v="UTTAR PRADESH"/>
    <n v="7134"/>
    <s v="M/S GOENKA AUTO PRIVATE LIMITED."/>
    <s v="VARANASI"/>
    <s v="S"/>
    <s v="27-Sep-25"/>
    <n v="1165"/>
    <s v="00812740"/>
    <s v="MC1E4EHAXTP017223"/>
    <s v="D71087675"/>
    <s v="T-1"/>
    <x v="11"/>
    <s v="31-Aug-2025"/>
    <x v="5"/>
    <n v="1150"/>
    <n v="1150"/>
    <n v="207"/>
    <n v="1357"/>
    <n v="622720"/>
    <s v="14-Jan-26"/>
    <n v="0"/>
    <n v="33973"/>
    <s v="14-Jan-26"/>
    <m/>
    <m/>
    <m/>
    <m/>
    <m/>
  </r>
  <r>
    <n v="212"/>
    <s v="NORTH"/>
    <s v="UTTAR PRADESH"/>
    <n v="7134"/>
    <s v="M/S GOENKA AUTO PRIVATE LIMITED."/>
    <s v="VARANASI"/>
    <s v="S"/>
    <s v="29-Sep-25"/>
    <n v="1165"/>
    <s v="00807899"/>
    <s v="MC1L4AGA7TP003023"/>
    <s v="D71086825"/>
    <s v="T3"/>
    <x v="11"/>
    <s v="25-Sep-2025"/>
    <x v="5"/>
    <n v="1150"/>
    <n v="1150"/>
    <n v="207"/>
    <n v="1357"/>
    <n v="622720"/>
    <s v="14-Jan-26"/>
    <n v="0"/>
    <n v="33973"/>
    <s v="14-Jan-26"/>
    <m/>
    <m/>
    <m/>
    <m/>
    <m/>
  </r>
  <r>
    <n v="213"/>
    <s v="NORTH"/>
    <s v="UTTAR PRADESH"/>
    <n v="7134"/>
    <s v="M/S GOENKA AUTO PRIVATE LIMITED."/>
    <s v="VARANASI"/>
    <s v="S"/>
    <s v="30-Sep-25"/>
    <n v="1165"/>
    <s v="00812654"/>
    <s v="MC1E4EHA3TP017418"/>
    <s v="D71084598"/>
    <s v="T-1"/>
    <x v="11"/>
    <s v="29-Sep-2025"/>
    <x v="5"/>
    <n v="1150"/>
    <n v="1150"/>
    <n v="207"/>
    <n v="1357"/>
    <n v="622720"/>
    <s v="14-Jan-26"/>
    <n v="0"/>
    <n v="33973"/>
    <s v="14-Jan-26"/>
    <m/>
    <m/>
    <m/>
    <m/>
    <m/>
  </r>
  <r>
    <n v="214"/>
    <s v="NORTH"/>
    <s v="UTTAR PRADESH"/>
    <n v="7134"/>
    <s v="M/S GOENKA AUTO PRIVATE LIMITED."/>
    <s v="VARANASI"/>
    <s v="S"/>
    <s v="29-Sep-25"/>
    <n v="1165"/>
    <s v="00009836"/>
    <s v="MC1M4AHA6TP005896"/>
    <s v="D71088837"/>
    <s v="T1N"/>
    <x v="11"/>
    <s v="22-Sep-2025"/>
    <x v="5"/>
    <n v="1500"/>
    <n v="1500"/>
    <n v="270"/>
    <n v="1770"/>
    <n v="622720"/>
    <s v="14-Jan-26"/>
    <n v="0"/>
    <n v="33973"/>
    <s v="14-Jan-26"/>
    <m/>
    <m/>
    <m/>
    <m/>
    <m/>
  </r>
  <r>
    <n v="215"/>
    <s v="NORTH"/>
    <s v="UTTAR PRADESH"/>
    <n v="7134"/>
    <s v="M/S GOENKA AUTO PRIVATE LIMITED."/>
    <s v="VARANASI"/>
    <s v="S"/>
    <s v="30-Sep-25"/>
    <n v="1165"/>
    <s v="00330206"/>
    <s v="MC1D4DFA3SP109541"/>
    <s v="D72021333"/>
    <s v="TRAX"/>
    <x v="11"/>
    <s v="26-Jul-2025"/>
    <x v="5"/>
    <n v="1150"/>
    <n v="1150"/>
    <n v="207"/>
    <n v="1357"/>
    <n v="622720"/>
    <s v="14-Jan-26"/>
    <n v="0"/>
    <n v="33973"/>
    <s v="14-Jan-26"/>
    <m/>
    <m/>
    <m/>
    <m/>
    <m/>
  </r>
  <r>
    <n v="216"/>
    <s v="NORTH"/>
    <s v="UTTAR PRADESH"/>
    <n v="7134"/>
    <s v="M/S GOENKA AUTO PRIVATE LIMITED."/>
    <s v="VARANASI"/>
    <s v="S"/>
    <s v="19-Sep-25"/>
    <n v="1165"/>
    <s v="00331230"/>
    <s v="MC1D1DFA8SP001649"/>
    <s v="D72021156"/>
    <s v="TRAX"/>
    <x v="11"/>
    <s v="31-Jul-2025"/>
    <x v="5"/>
    <n v="1150"/>
    <n v="1150"/>
    <n v="207"/>
    <n v="1357"/>
    <n v="622720"/>
    <s v="14-Jan-26"/>
    <n v="0"/>
    <n v="33973"/>
    <s v="14-Jan-26"/>
    <m/>
    <m/>
    <m/>
    <m/>
    <m/>
  </r>
  <r>
    <n v="217"/>
    <s v="NORTH"/>
    <s v="UTTAR PRADESH"/>
    <n v="7134"/>
    <s v="M/S GOENKA AUTO PRIVATE LIMITED."/>
    <s v="VARANASI"/>
    <s v="S"/>
    <s v="29-Sep-25"/>
    <n v="1165"/>
    <s v="00807898"/>
    <s v="MC1L4AGA6TP003000"/>
    <s v="D71085641"/>
    <s v="T3"/>
    <x v="11"/>
    <s v="25-Sep-2025"/>
    <x v="5"/>
    <n v="1150"/>
    <n v="1150"/>
    <n v="207"/>
    <n v="1357"/>
    <n v="622720"/>
    <s v="14-Jan-26"/>
    <n v="0"/>
    <n v="33973"/>
    <s v="14-Jan-26"/>
    <m/>
    <m/>
    <m/>
    <m/>
    <m/>
  </r>
  <r>
    <n v="218"/>
    <s v="NORTH"/>
    <s v="UTTAR PRADESH"/>
    <n v="7134"/>
    <s v="M/S GOENKA AUTO PRIVATE LIMITED."/>
    <s v="VARANASI"/>
    <s v="S"/>
    <s v="30-Sep-25"/>
    <n v="1165"/>
    <s v="00810977"/>
    <s v="MC1E4FFA7SP023956"/>
    <s v="D71083068"/>
    <s v="T26"/>
    <x v="11"/>
    <s v="30-Sep-2025"/>
    <x v="5"/>
    <n v="1150"/>
    <n v="1150"/>
    <n v="207"/>
    <n v="1357"/>
    <n v="622720"/>
    <s v="14-Jan-26"/>
    <n v="0"/>
    <n v="33973"/>
    <s v="14-Jan-26"/>
    <m/>
    <m/>
    <m/>
    <m/>
    <m/>
  </r>
  <r>
    <n v="219"/>
    <s v="NORTH"/>
    <s v="UTTAR PRADESH"/>
    <n v="7134"/>
    <s v="M/S GOENKA AUTO PRIVATE LIMITED."/>
    <s v="VARANASI"/>
    <s v="S"/>
    <s v="29-Sep-25"/>
    <n v="1165"/>
    <s v="00010846"/>
    <s v="MC1M4AJA5TP006077"/>
    <s v="D71089905"/>
    <s v="T1N"/>
    <x v="11"/>
    <s v="22-Sep-2025"/>
    <x v="5"/>
    <n v="1500"/>
    <n v="1500"/>
    <n v="270"/>
    <n v="1770"/>
    <n v="622720"/>
    <s v="14-Jan-26"/>
    <n v="0"/>
    <n v="33973"/>
    <s v="14-Jan-26"/>
    <m/>
    <m/>
    <m/>
    <m/>
    <m/>
  </r>
  <r>
    <n v="220"/>
    <s v="NORTH"/>
    <s v="UTTAR PRADESH"/>
    <n v="7134"/>
    <s v="M/S GOENKA AUTO PRIVATE LIMITED."/>
    <s v="VARANASI"/>
    <s v="S"/>
    <s v="27-Sep-25"/>
    <n v="1165"/>
    <s v="00812507"/>
    <s v="MC1E4EHA1TP017336"/>
    <s v="D71088319"/>
    <s v="T-1"/>
    <x v="11"/>
    <s v="23-Sep-2025"/>
    <x v="5"/>
    <n v="1150"/>
    <n v="1150"/>
    <n v="207"/>
    <n v="1357"/>
    <n v="622720"/>
    <s v="14-Jan-26"/>
    <n v="0"/>
    <n v="33973"/>
    <s v="14-Jan-26"/>
    <m/>
    <m/>
    <m/>
    <m/>
    <m/>
  </r>
  <r>
    <n v="221"/>
    <s v="NORTH"/>
    <s v="UTTAR PRADESH"/>
    <n v="7134"/>
    <s v="M/S GOENKA AUTO PRIVATE LIMITED."/>
    <s v="VARANASI"/>
    <s v="S"/>
    <s v="27-Sep-25"/>
    <n v="1165"/>
    <s v="00808516"/>
    <s v="MC1E4DHA9TP058548"/>
    <s v="D71087190"/>
    <s v="T-1"/>
    <x v="11"/>
    <s v="31-Aug-2025"/>
    <x v="5"/>
    <n v="1150"/>
    <n v="1150"/>
    <n v="207"/>
    <n v="1357"/>
    <n v="622720"/>
    <s v="14-Jan-26"/>
    <n v="0"/>
    <n v="33973"/>
    <s v="14-Jan-26"/>
    <m/>
    <m/>
    <m/>
    <m/>
    <m/>
  </r>
  <r>
    <n v="222"/>
    <s v="NORTH"/>
    <s v="UTTAR PRADESH"/>
    <n v="7134"/>
    <s v="M/S GOENKA AUTO PRIVATE LIMITED."/>
    <s v="VARANASI"/>
    <s v="S"/>
    <s v="27-Sep-25"/>
    <n v="1165"/>
    <s v="00803740"/>
    <s v="MC1E4DGA7TP058422"/>
    <s v="D71086391"/>
    <s v="T-1"/>
    <x v="11"/>
    <s v="31-Jul-2025"/>
    <x v="5"/>
    <n v="1150"/>
    <n v="1150"/>
    <n v="207"/>
    <n v="1357"/>
    <n v="622720"/>
    <s v="14-Jan-26"/>
    <n v="0"/>
    <n v="33973"/>
    <s v="14-Jan-26"/>
    <m/>
    <m/>
    <m/>
    <m/>
    <m/>
  </r>
  <r>
    <n v="223"/>
    <s v="NORTH"/>
    <s v="UTTAR PRADESH"/>
    <n v="7134"/>
    <s v="M/S GOENKA AUTO PRIVATE LIMITED."/>
    <s v="VARANASI"/>
    <s v="S"/>
    <s v="27-Sep-25"/>
    <n v="1165"/>
    <s v="00809347"/>
    <s v="MC1E4EFA9SP016825"/>
    <s v="D71084322"/>
    <s v="T-1"/>
    <x v="11"/>
    <s v="28-Jul-2025"/>
    <x v="5"/>
    <n v="1150"/>
    <n v="1150"/>
    <n v="207"/>
    <n v="1357"/>
    <n v="622720"/>
    <s v="14-Jan-26"/>
    <n v="0"/>
    <n v="33973"/>
    <s v="14-Jan-26"/>
    <m/>
    <m/>
    <m/>
    <m/>
    <m/>
  </r>
  <r>
    <n v="224"/>
    <s v="NORTH"/>
    <s v="UTTAR PRADESH"/>
    <n v="7134"/>
    <s v="M/S GOENKA AUTO PRIVATE LIMITED."/>
    <s v="VARANASI"/>
    <s v="S"/>
    <s v="29-Sep-25"/>
    <n v="1165"/>
    <s v="00807900"/>
    <s v="MC1L4AGA9TP003024"/>
    <s v="D71086843"/>
    <s v="T3"/>
    <x v="11"/>
    <s v="25-Sep-2025"/>
    <x v="5"/>
    <n v="1150"/>
    <n v="1150"/>
    <n v="207"/>
    <n v="1357"/>
    <n v="622720"/>
    <s v="14-Jan-26"/>
    <n v="0"/>
    <n v="33973"/>
    <s v="14-Jan-26"/>
    <m/>
    <m/>
    <m/>
    <m/>
    <m/>
  </r>
  <r>
    <n v="225"/>
    <s v="NORTH"/>
    <s v="UTTAR PRADESH"/>
    <n v="7134"/>
    <s v="M/S GOENKA AUTO PRIVATE LIMITED."/>
    <s v="VARANASI"/>
    <s v="S"/>
    <s v="27-Sep-25"/>
    <n v="1165"/>
    <s v="00809345"/>
    <s v="MC1E4EFA9SP016839"/>
    <s v="D71084370"/>
    <s v="T-1"/>
    <x v="11"/>
    <s v="28-Jul-2025"/>
    <x v="5"/>
    <n v="1150"/>
    <n v="1150"/>
    <n v="207"/>
    <n v="1357"/>
    <n v="622720"/>
    <s v="14-Jan-26"/>
    <n v="0"/>
    <n v="33973"/>
    <s v="14-Jan-26"/>
    <m/>
    <m/>
    <m/>
    <m/>
    <m/>
  </r>
  <r>
    <n v="226"/>
    <s v="NORTH"/>
    <s v="UTTAR PRADESH"/>
    <n v="7134"/>
    <s v="M/S GOENKA AUTO PRIVATE LIMITED."/>
    <s v="VARANASI"/>
    <s v="S"/>
    <s v="24-Sep-25"/>
    <n v="1165"/>
    <s v="00009007"/>
    <s v="MC1M4AHA3TP005810"/>
    <s v="D71088618"/>
    <s v="T1N"/>
    <x v="11"/>
    <s v="30-Aug-2025"/>
    <x v="5"/>
    <n v="1500"/>
    <n v="1500"/>
    <n v="270"/>
    <n v="1770"/>
    <n v="622720"/>
    <s v="14-Jan-26"/>
    <n v="0"/>
    <n v="33973"/>
    <s v="14-Jan-26"/>
    <m/>
    <m/>
    <m/>
    <m/>
    <m/>
  </r>
  <r>
    <n v="227"/>
    <s v="NORTH"/>
    <s v="UTTAR PRADESH"/>
    <n v="7134"/>
    <s v="M/S GOENKA AUTO PRIVATE LIMITED."/>
    <s v="VARANASI"/>
    <s v="S"/>
    <s v="30-Sep-25"/>
    <n v="1165"/>
    <s v="00010848"/>
    <s v="MC1M4AHA1TP005787"/>
    <s v="D71088204"/>
    <s v="T1N"/>
    <x v="11"/>
    <s v="22-Sep-2025"/>
    <x v="5"/>
    <n v="1500"/>
    <n v="1500"/>
    <n v="270"/>
    <n v="1770"/>
    <n v="622720"/>
    <s v="14-Jan-26"/>
    <n v="0"/>
    <n v="33973"/>
    <s v="14-Jan-26"/>
    <m/>
    <m/>
    <m/>
    <m/>
    <m/>
  </r>
  <r>
    <n v="228"/>
    <s v="NORTH"/>
    <s v="UTTAR PRADESH"/>
    <n v="7134"/>
    <s v="M/S GOENKA AUTO PRIVATE LIMITED."/>
    <s v="VARANASI"/>
    <s v="S"/>
    <s v="30-Sep-25"/>
    <n v="1165"/>
    <s v="00804311"/>
    <s v="MC1E4CGA7TP088661"/>
    <s v="D71085433"/>
    <s v="T-1"/>
    <x v="11"/>
    <s v="29-Jul-2025"/>
    <x v="5"/>
    <n v="1150"/>
    <n v="1150"/>
    <n v="207"/>
    <n v="1357"/>
    <n v="622720"/>
    <s v="14-Jan-26"/>
    <n v="0"/>
    <n v="33973"/>
    <s v="14-Jan-26"/>
    <m/>
    <m/>
    <m/>
    <m/>
    <m/>
  </r>
  <r>
    <n v="229"/>
    <s v="NORTH"/>
    <s v="UTTAR PRADESH"/>
    <n v="7134"/>
    <s v="M/S GOENKA AUTO PRIVATE LIMITED."/>
    <s v="VARANASI"/>
    <s v="S"/>
    <s v="29-Sep-25"/>
    <n v="1165"/>
    <s v="00803738"/>
    <s v="MC1E4DGA4TP058426"/>
    <s v="D71086884"/>
    <s v="T-1"/>
    <x v="11"/>
    <s v="31-Jul-2025"/>
    <x v="5"/>
    <n v="1150"/>
    <n v="1150"/>
    <n v="207"/>
    <n v="1357"/>
    <n v="622720"/>
    <s v="14-Jan-26"/>
    <n v="0"/>
    <n v="33973"/>
    <s v="14-Jan-26"/>
    <m/>
    <m/>
    <m/>
    <m/>
    <m/>
  </r>
  <r>
    <n v="230"/>
    <s v="NORTH"/>
    <s v="UTTAR PRADESH"/>
    <n v="7134"/>
    <s v="M/S GOENKA AUTO PRIVATE LIMITED."/>
    <s v="VARANASI"/>
    <s v="S"/>
    <s v="29-Sep-25"/>
    <n v="1165"/>
    <s v="00000001"/>
    <s v="MC1E4DGA9TP058454"/>
    <s v="D71087328"/>
    <s v="T-1"/>
    <x v="11"/>
    <s v="11-Aug-2025"/>
    <x v="5"/>
    <n v="1150"/>
    <n v="1150"/>
    <n v="207"/>
    <n v="1357"/>
    <n v="622720"/>
    <s v="14-Jan-26"/>
    <n v="0"/>
    <n v="33973"/>
    <s v="14-Jan-26"/>
    <m/>
    <m/>
    <m/>
    <m/>
    <m/>
  </r>
  <r>
    <n v="231"/>
    <s v="NORTH"/>
    <s v="UTTAR PRADESH"/>
    <n v="7134"/>
    <s v="M/S GOENKA AUTO PRIVATE LIMITED."/>
    <s v="VARANASI"/>
    <s v="S"/>
    <s v="25-Sep-25"/>
    <n v="1165"/>
    <s v="00804200"/>
    <s v="MC1E4CEAXSP087859"/>
    <s v="D71080519"/>
    <s v="T-1"/>
    <x v="11"/>
    <s v="17-Jun-2025"/>
    <x v="5"/>
    <n v="1150"/>
    <n v="1150"/>
    <n v="207"/>
    <n v="1357"/>
    <n v="622720"/>
    <s v="14-Jan-26"/>
    <n v="0"/>
    <n v="33973"/>
    <s v="14-Jan-26"/>
    <m/>
    <m/>
    <m/>
    <m/>
    <m/>
  </r>
  <r>
    <n v="232"/>
    <s v="NORTH"/>
    <s v="UTTAR PRADESH"/>
    <n v="7134"/>
    <s v="M/S GOENKA AUTO PRIVATE LIMITED."/>
    <s v="VARANASI"/>
    <s v="S"/>
    <s v="20-Sep-25"/>
    <n v="1165"/>
    <s v="00328660"/>
    <s v="MC1D4DEA0SP109143"/>
    <s v="D72020882"/>
    <s v="TRAX"/>
    <x v="11"/>
    <s v="31-May-2025"/>
    <x v="5"/>
    <n v="1150"/>
    <n v="1150"/>
    <n v="207"/>
    <n v="1357"/>
    <n v="622720"/>
    <s v="14-Jan-26"/>
    <n v="0"/>
    <n v="33973"/>
    <s v="14-Jan-26"/>
    <m/>
    <m/>
    <m/>
    <m/>
    <m/>
  </r>
  <r>
    <n v="233"/>
    <s v="NORTH"/>
    <s v="UTTAR PRADESH"/>
    <n v="7134"/>
    <s v="M/S GOENKA AUTO PRIVATE LIMITED."/>
    <s v="VARANASI"/>
    <s v="S"/>
    <s v="30-Sep-25"/>
    <n v="1165"/>
    <s v="00009322"/>
    <s v="MC1M4AHAXTP005898"/>
    <s v="D71088606"/>
    <s v="T1N"/>
    <x v="11"/>
    <s v="22-Sep-2025"/>
    <x v="5"/>
    <n v="1500"/>
    <n v="1500"/>
    <n v="270"/>
    <n v="1770"/>
    <n v="622720"/>
    <s v="14-Jan-26"/>
    <n v="0"/>
    <n v="33973"/>
    <s v="14-Jan-26"/>
    <m/>
    <m/>
    <m/>
    <m/>
    <m/>
  </r>
  <r>
    <n v="234"/>
    <s v="NORTH"/>
    <s v="UTTAR PRADESH"/>
    <n v="7134"/>
    <s v="M/S GOENKA AUTO PRIVATE LIMITED."/>
    <s v="VARANASI"/>
    <s v="S"/>
    <s v="29-Sep-25"/>
    <n v="1165"/>
    <s v="00008001"/>
    <s v="MC1M4AGA7TP005598"/>
    <s v="D71086772"/>
    <s v="T1N"/>
    <x v="11"/>
    <s v="05-Aug-2025"/>
    <x v="5"/>
    <n v="1500"/>
    <n v="1500"/>
    <n v="270"/>
    <n v="1770"/>
    <n v="622720"/>
    <s v="14-Jan-26"/>
    <n v="0"/>
    <n v="33973"/>
    <s v="14-Jan-26"/>
    <m/>
    <m/>
    <m/>
    <m/>
    <m/>
  </r>
  <r>
    <n v="235"/>
    <s v="NORTH"/>
    <s v="UTTAR PRADESH"/>
    <n v="7134"/>
    <s v="M/S GOENKA AUTO PRIVATE LIMITED."/>
    <s v="VARANASI"/>
    <s v="S"/>
    <s v="09-Oct-25"/>
    <n v="1165"/>
    <s v="00784252"/>
    <s v="MC1E4FGAXTP024275"/>
    <s v="D71086469"/>
    <s v="T26"/>
    <x v="12"/>
    <s v="22-Jul-2025"/>
    <x v="6"/>
    <n v="1150"/>
    <n v="1150"/>
    <n v="207"/>
    <n v="1357"/>
    <n v="622940"/>
    <s v="16-Feb-26"/>
    <n v="0"/>
    <n v="34193"/>
    <s v="16-Feb-26"/>
    <m/>
    <m/>
    <m/>
    <m/>
    <m/>
  </r>
  <r>
    <n v="236"/>
    <s v="NORTH"/>
    <s v="UTTAR PRADESH"/>
    <n v="7134"/>
    <s v="M/S GOENKA AUTO PRIVATE LIMITED."/>
    <s v="VARANASI"/>
    <s v="S"/>
    <s v="30-Oct-25"/>
    <n v="1165"/>
    <s v="00009489"/>
    <s v="MC1M4AJA2TP006442"/>
    <s v="D71091691"/>
    <s v="T1N"/>
    <x v="12"/>
    <s v="13-Oct-2025"/>
    <x v="6"/>
    <n v="1500"/>
    <n v="1500"/>
    <n v="270"/>
    <n v="1770"/>
    <n v="622940"/>
    <s v="16-Feb-26"/>
    <n v="0"/>
    <n v="34193"/>
    <s v="16-Feb-26"/>
    <m/>
    <m/>
    <m/>
    <m/>
    <m/>
  </r>
  <r>
    <n v="237"/>
    <s v="NORTH"/>
    <s v="UTTAR PRADESH"/>
    <n v="7134"/>
    <s v="M/S GOENKA AUTO PRIVATE LIMITED."/>
    <s v="VARANASI"/>
    <s v="S"/>
    <s v="29-Oct-25"/>
    <n v="1165"/>
    <s v="00331892"/>
    <s v="MC1D4DGA8TP109874"/>
    <s v="D72021754"/>
    <s v="TRAX"/>
    <x v="12"/>
    <s v="29-Sep-2025"/>
    <x v="6"/>
    <n v="1150"/>
    <n v="1150"/>
    <n v="207"/>
    <n v="1357"/>
    <n v="622940"/>
    <s v="16-Feb-26"/>
    <n v="0"/>
    <n v="34193"/>
    <s v="16-Feb-26"/>
    <m/>
    <m/>
    <m/>
    <m/>
    <m/>
  </r>
  <r>
    <n v="238"/>
    <s v="NORTH"/>
    <s v="UTTAR PRADESH"/>
    <n v="7134"/>
    <s v="M/S GOENKA AUTO PRIVATE LIMITED."/>
    <s v="VARANASI"/>
    <s v="S"/>
    <s v="31-Oct-25"/>
    <n v="1165"/>
    <s v="00806700"/>
    <s v="MC1E5EHA5TP003503"/>
    <s v="D73002245"/>
    <s v="T-1"/>
    <x v="12"/>
    <s v="27-Oct-2025"/>
    <x v="6"/>
    <n v="1150"/>
    <n v="1150"/>
    <n v="207"/>
    <n v="1357"/>
    <n v="622940"/>
    <s v="16-Feb-26"/>
    <n v="0"/>
    <n v="34193"/>
    <s v="16-Feb-26"/>
    <m/>
    <m/>
    <m/>
    <m/>
    <m/>
  </r>
  <r>
    <n v="239"/>
    <s v="NORTH"/>
    <s v="UTTAR PRADESH"/>
    <n v="7134"/>
    <s v="M/S GOENKA AUTO PRIVATE LIMITED."/>
    <s v="VARANASI"/>
    <s v="S"/>
    <s v="17-Oct-25"/>
    <n v="1165"/>
    <s v="00812404"/>
    <s v="MC1E4EHA8TP017480"/>
    <s v="D71089682"/>
    <s v="T-1"/>
    <x v="12"/>
    <s v="30-Sep-2025"/>
    <x v="6"/>
    <n v="1150"/>
    <n v="1150"/>
    <n v="207"/>
    <n v="1357"/>
    <n v="622940"/>
    <s v="16-Feb-26"/>
    <n v="0"/>
    <n v="34193"/>
    <s v="16-Feb-26"/>
    <m/>
    <m/>
    <m/>
    <m/>
    <m/>
  </r>
  <r>
    <n v="240"/>
    <s v="NORTH"/>
    <s v="UTTAR PRADESH"/>
    <n v="7134"/>
    <s v="M/S GOENKA AUTO PRIVATE LIMITED."/>
    <s v="VARANASI"/>
    <s v="S"/>
    <s v="31-Oct-25"/>
    <n v="1165"/>
    <s v="00331201"/>
    <s v="MC1D1DGAXTP001653"/>
    <s v="D72021576"/>
    <s v="TRAX"/>
    <x v="12"/>
    <s v="05-Aug-2025"/>
    <x v="6"/>
    <n v="1150"/>
    <n v="1150"/>
    <n v="207"/>
    <n v="1357"/>
    <n v="622940"/>
    <s v="16-Feb-26"/>
    <n v="0"/>
    <n v="34193"/>
    <s v="16-Feb-26"/>
    <m/>
    <m/>
    <m/>
    <m/>
    <m/>
  </r>
  <r>
    <n v="241"/>
    <s v="NORTH"/>
    <s v="UTTAR PRADESH"/>
    <n v="7134"/>
    <s v="M/S GOENKA AUTO PRIVATE LIMITED."/>
    <s v="VARANASI"/>
    <s v="S"/>
    <s v="30-Oct-25"/>
    <n v="1165"/>
    <s v="00810919"/>
    <s v="MC1E4EJA1TP017721"/>
    <s v="D71091123"/>
    <s v="T-1"/>
    <x v="12"/>
    <s v="29-Oct-2025"/>
    <x v="6"/>
    <n v="1150"/>
    <n v="1150"/>
    <n v="207"/>
    <n v="1357"/>
    <n v="622940"/>
    <s v="16-Feb-26"/>
    <n v="0"/>
    <n v="34193"/>
    <s v="16-Feb-26"/>
    <m/>
    <m/>
    <m/>
    <m/>
    <m/>
  </r>
  <r>
    <n v="242"/>
    <s v="NORTH"/>
    <s v="UTTAR PRADESH"/>
    <n v="7134"/>
    <s v="M/S GOENKA AUTO PRIVATE LIMITED."/>
    <s v="VARANASI"/>
    <s v="S"/>
    <s v="31-Oct-25"/>
    <n v="1165"/>
    <s v="00807856"/>
    <s v="MC1L4AGA7TP002986"/>
    <s v="D71085629"/>
    <s v="T3"/>
    <x v="12"/>
    <s v="09-Oct-2025"/>
    <x v="6"/>
    <n v="1150"/>
    <n v="1150"/>
    <n v="207"/>
    <n v="1357"/>
    <n v="622940"/>
    <s v="16-Feb-26"/>
    <n v="0"/>
    <n v="34193"/>
    <s v="16-Feb-26"/>
    <m/>
    <m/>
    <m/>
    <m/>
    <m/>
  </r>
  <r>
    <n v="243"/>
    <s v="NORTH"/>
    <s v="UTTAR PRADESH"/>
    <n v="7134"/>
    <s v="M/S GOENKA AUTO PRIVATE LIMITED."/>
    <s v="VARANASI"/>
    <s v="S"/>
    <s v="23-Oct-25"/>
    <n v="1165"/>
    <s v="00330596"/>
    <s v="MC1D4DJA4TP110383"/>
    <s v="D72022331"/>
    <s v="TRAX"/>
    <x v="12"/>
    <s v="11-Oct-2025"/>
    <x v="6"/>
    <n v="1150"/>
    <n v="1150"/>
    <n v="207"/>
    <n v="1357"/>
    <n v="622940"/>
    <s v="16-Feb-26"/>
    <n v="0"/>
    <n v="34193"/>
    <s v="16-Feb-26"/>
    <m/>
    <m/>
    <m/>
    <m/>
    <m/>
  </r>
  <r>
    <n v="244"/>
    <s v="NORTH"/>
    <s v="UTTAR PRADESH"/>
    <n v="7134"/>
    <s v="M/S GOENKA AUTO PRIVATE LIMITED."/>
    <s v="VARANASI"/>
    <s v="S"/>
    <s v="29-Oct-25"/>
    <n v="1165"/>
    <s v="00000001"/>
    <s v="MC1D4DJAXTP110615"/>
    <s v="D72022682"/>
    <s v="TRAX"/>
    <x v="12"/>
    <s v="17-Oct-2025"/>
    <x v="6"/>
    <n v="1150"/>
    <n v="1150"/>
    <n v="207"/>
    <n v="1357"/>
    <n v="622940"/>
    <s v="16-Feb-26"/>
    <n v="0"/>
    <n v="34193"/>
    <s v="16-Feb-26"/>
    <m/>
    <m/>
    <m/>
    <m/>
    <m/>
  </r>
  <r>
    <n v="245"/>
    <s v="NORTH"/>
    <s v="UTTAR PRADESH"/>
    <n v="7134"/>
    <s v="M/S GOENKA AUTO PRIVATE LIMITED."/>
    <s v="VARANASI"/>
    <s v="S"/>
    <s v="30-Oct-25"/>
    <n v="1165"/>
    <s v="00807855"/>
    <s v="MC1L4AGA0TP002988"/>
    <s v="D71085640"/>
    <s v="T3"/>
    <x v="12"/>
    <s v="09-Oct-2025"/>
    <x v="6"/>
    <n v="1150"/>
    <n v="1150"/>
    <n v="207"/>
    <n v="1357"/>
    <n v="622940"/>
    <s v="16-Feb-26"/>
    <n v="0"/>
    <n v="34193"/>
    <s v="16-Feb-26"/>
    <m/>
    <m/>
    <m/>
    <m/>
    <m/>
  </r>
  <r>
    <n v="246"/>
    <s v="NORTH"/>
    <s v="UTTAR PRADESH"/>
    <n v="7134"/>
    <s v="M/S GOENKA AUTO PRIVATE LIMITED."/>
    <s v="VARANASI"/>
    <s v="S"/>
    <s v="23-Oct-25"/>
    <n v="1165"/>
    <s v="00807860"/>
    <s v="MC1L4AGA9TP002990"/>
    <s v="D71086143"/>
    <s v="T3"/>
    <x v="12"/>
    <s v="14-Oct-2025"/>
    <x v="6"/>
    <n v="1150"/>
    <n v="1150"/>
    <n v="207"/>
    <n v="1357"/>
    <n v="622940"/>
    <s v="16-Feb-26"/>
    <n v="0"/>
    <n v="34193"/>
    <s v="16-Feb-26"/>
    <m/>
    <m/>
    <m/>
    <m/>
    <m/>
  </r>
  <r>
    <n v="247"/>
    <s v="NORTH"/>
    <s v="UTTAR PRADESH"/>
    <n v="7134"/>
    <s v="M/S GOENKA AUTO PRIVATE LIMITED."/>
    <s v="VARANASI"/>
    <s v="S"/>
    <s v="30-Oct-25"/>
    <n v="1165"/>
    <s v="00331537"/>
    <s v="MC1D4DJA2TP110608"/>
    <s v="D72022563"/>
    <s v="TRAX"/>
    <x v="12"/>
    <s v="30-Sep-2025"/>
    <x v="6"/>
    <n v="1150"/>
    <n v="1150"/>
    <n v="207"/>
    <n v="1357"/>
    <n v="622940"/>
    <s v="16-Feb-26"/>
    <n v="0"/>
    <n v="34193"/>
    <s v="16-Feb-26"/>
    <m/>
    <m/>
    <m/>
    <m/>
    <m/>
  </r>
  <r>
    <n v="248"/>
    <s v="NORTH"/>
    <s v="UTTAR PRADESH"/>
    <n v="7134"/>
    <s v="M/S GOENKA AUTO PRIVATE LIMITED."/>
    <s v="VARANASI"/>
    <s v="S"/>
    <s v="23-Oct-25"/>
    <n v="1165"/>
    <s v="00009768"/>
    <s v="MC1M4AJA1TP006139"/>
    <s v="D71089949"/>
    <s v="T1N"/>
    <x v="12"/>
    <s v="22-Sep-2025"/>
    <x v="6"/>
    <n v="1500"/>
    <n v="1500"/>
    <n v="270"/>
    <n v="1770"/>
    <n v="622940"/>
    <s v="16-Feb-26"/>
    <n v="0"/>
    <n v="34193"/>
    <s v="16-Feb-26"/>
    <m/>
    <m/>
    <m/>
    <m/>
    <m/>
  </r>
  <r>
    <n v="249"/>
    <s v="NORTH"/>
    <s v="UTTAR PRADESH"/>
    <n v="7134"/>
    <s v="M/S GOENKA AUTO PRIVATE LIMITED."/>
    <s v="VARANASI"/>
    <s v="S"/>
    <s v="23-Oct-25"/>
    <n v="1165"/>
    <s v="00812162"/>
    <s v="MC1E4EHA7TP017423"/>
    <s v="D71089516"/>
    <s v="T-1"/>
    <x v="12"/>
    <s v="30-Sep-2025"/>
    <x v="6"/>
    <n v="1150"/>
    <n v="1150"/>
    <n v="207"/>
    <n v="1357"/>
    <n v="622940"/>
    <s v="16-Feb-26"/>
    <n v="0"/>
    <n v="34193"/>
    <s v="16-Feb-26"/>
    <m/>
    <m/>
    <m/>
    <m/>
    <m/>
  </r>
  <r>
    <n v="250"/>
    <s v="NORTH"/>
    <s v="UTTAR PRADESH"/>
    <n v="7134"/>
    <s v="M/S GOENKA AUTO PRIVATE LIMITED."/>
    <s v="VARANASI"/>
    <s v="S"/>
    <s v="31-Oct-25"/>
    <n v="1165"/>
    <s v="00011404"/>
    <s v="MC1M4AKA7TP006614"/>
    <s v="D71091854"/>
    <s v="T1N"/>
    <x v="12"/>
    <s v="19-Oct-2025"/>
    <x v="6"/>
    <n v="1500"/>
    <n v="1500"/>
    <n v="270"/>
    <n v="1770"/>
    <n v="622940"/>
    <s v="16-Feb-26"/>
    <n v="0"/>
    <n v="34193"/>
    <s v="16-Feb-26"/>
    <m/>
    <m/>
    <m/>
    <m/>
    <m/>
  </r>
  <r>
    <n v="251"/>
    <s v="NORTH"/>
    <s v="UTTAR PRADESH"/>
    <n v="7134"/>
    <s v="M/S GOENKA AUTO PRIVATE LIMITED."/>
    <s v="VARANASI"/>
    <s v="S"/>
    <s v="24-Oct-25"/>
    <n v="1165"/>
    <s v="00010163"/>
    <s v="MC1M4AJA0TP006438"/>
    <s v="D71091730"/>
    <s v="T1N"/>
    <x v="12"/>
    <s v="07-Oct-2025"/>
    <x v="6"/>
    <n v="1500"/>
    <n v="1500"/>
    <n v="270"/>
    <n v="1770"/>
    <n v="622940"/>
    <s v="16-Feb-26"/>
    <n v="0"/>
    <n v="34193"/>
    <s v="16-Feb-26"/>
    <m/>
    <m/>
    <m/>
    <m/>
    <m/>
  </r>
  <r>
    <n v="252"/>
    <s v="NORTH"/>
    <s v="UTTAR PRADESH"/>
    <n v="7134"/>
    <s v="M/S GOENKA AUTO PRIVATE LIMITED."/>
    <s v="VARANASI"/>
    <s v="S"/>
    <s v="29-Oct-25"/>
    <n v="1165"/>
    <s v="00808119"/>
    <s v="MC1E4DHA3TP058559"/>
    <s v="D71087640"/>
    <s v="T-1"/>
    <x v="12"/>
    <s v="23-Sep-2025"/>
    <x v="6"/>
    <n v="1150"/>
    <n v="1150"/>
    <n v="207"/>
    <n v="1357"/>
    <n v="622940"/>
    <s v="16-Feb-26"/>
    <n v="0"/>
    <n v="34193"/>
    <s v="16-Feb-26"/>
    <m/>
    <m/>
    <m/>
    <m/>
    <m/>
  </r>
  <r>
    <n v="253"/>
    <s v="NORTH"/>
    <s v="UTTAR PRADESH"/>
    <n v="7134"/>
    <s v="M/S GOENKA AUTO PRIVATE LIMITED."/>
    <s v="VARANASI"/>
    <s v="S"/>
    <s v="17-Oct-25"/>
    <n v="1165"/>
    <s v="00010198"/>
    <s v="MC1M4AJA6TP006363"/>
    <s v="D71091373"/>
    <s v="T1N"/>
    <x v="12"/>
    <s v="06-Oct-2025"/>
    <x v="6"/>
    <n v="1500"/>
    <n v="1500"/>
    <n v="270"/>
    <n v="1770"/>
    <n v="622940"/>
    <s v="16-Feb-26"/>
    <n v="0"/>
    <n v="34193"/>
    <s v="16-Feb-26"/>
    <m/>
    <m/>
    <m/>
    <m/>
    <m/>
  </r>
  <r>
    <n v="254"/>
    <s v="NORTH"/>
    <s v="UTTAR PRADESH"/>
    <n v="7134"/>
    <s v="M/S GOENKA AUTO PRIVATE LIMITED."/>
    <s v="VARANASI"/>
    <s v="S"/>
    <s v="31-Oct-25"/>
    <n v="1165"/>
    <s v="00807522"/>
    <s v="MC1E4DHAXTP058607"/>
    <s v="D71086795"/>
    <s v="T-1"/>
    <x v="12"/>
    <s v="17-Oct-2025"/>
    <x v="6"/>
    <n v="1150"/>
    <n v="1150"/>
    <n v="207"/>
    <n v="1357"/>
    <n v="622940"/>
    <s v="16-Feb-26"/>
    <n v="0"/>
    <n v="34193"/>
    <s v="16-Feb-26"/>
    <m/>
    <m/>
    <m/>
    <m/>
    <m/>
  </r>
  <r>
    <n v="255"/>
    <s v="NORTH"/>
    <s v="UTTAR PRADESH"/>
    <n v="7134"/>
    <s v="M/S GOENKA AUTO PRIVATE LIMITED."/>
    <s v="VARANASI"/>
    <s v="S"/>
    <s v="22-Nov-25"/>
    <n v="1165"/>
    <s v="00813232"/>
    <s v="MC1E4EKA4TP017906"/>
    <s v="D71092248"/>
    <s v="T-1"/>
    <x v="13"/>
    <s v="18-Nov-2025"/>
    <x v="6"/>
    <n v="1150"/>
    <n v="1150"/>
    <n v="207"/>
    <n v="1357"/>
    <n v="622941"/>
    <s v="16-Feb-26"/>
    <n v="0"/>
    <n v="34194"/>
    <s v="16-Feb-26"/>
    <m/>
    <m/>
    <m/>
    <m/>
    <m/>
  </r>
  <r>
    <n v="256"/>
    <s v="NORTH"/>
    <s v="UTTAR PRADESH"/>
    <n v="7134"/>
    <s v="M/S GOENKA AUTO PRIVATE LIMITED."/>
    <s v="VARANASI"/>
    <s v="S"/>
    <s v="20-Nov-25"/>
    <n v="1165"/>
    <s v="00807121"/>
    <s v="MC1E4DHA3TP058707"/>
    <s v="D71088733"/>
    <s v="T-1"/>
    <x v="13"/>
    <s v="31-Oct-2025"/>
    <x v="6"/>
    <n v="1150"/>
    <n v="1150"/>
    <n v="207"/>
    <n v="1357"/>
    <n v="622941"/>
    <s v="16-Feb-26"/>
    <n v="0"/>
    <n v="34194"/>
    <s v="16-Feb-26"/>
    <m/>
    <m/>
    <m/>
    <m/>
    <m/>
  </r>
  <r>
    <n v="257"/>
    <s v="NORTH"/>
    <s v="UTTAR PRADESH"/>
    <n v="7134"/>
    <s v="M/S GOENKA AUTO PRIVATE LIMITED."/>
    <s v="VARANASI"/>
    <s v="S"/>
    <s v="29-Nov-25"/>
    <n v="1165"/>
    <s v="00333672"/>
    <s v="MC1D4DJA6TP110725"/>
    <s v="D72022832"/>
    <s v="TRAX"/>
    <x v="13"/>
    <s v="19-Oct-2025"/>
    <x v="6"/>
    <n v="1150"/>
    <n v="1150"/>
    <n v="207"/>
    <n v="1357"/>
    <n v="622941"/>
    <s v="16-Feb-26"/>
    <n v="0"/>
    <n v="34194"/>
    <s v="16-Feb-26"/>
    <m/>
    <m/>
    <m/>
    <m/>
    <m/>
  </r>
  <r>
    <n v="258"/>
    <s v="NORTH"/>
    <s v="UTTAR PRADESH"/>
    <n v="7134"/>
    <s v="M/S GOENKA AUTO PRIVATE LIMITED."/>
    <s v="VARANASI"/>
    <s v="S"/>
    <s v="26-Nov-25"/>
    <n v="1165"/>
    <s v="00009706"/>
    <s v="MC1M4ALA2TP007152"/>
    <s v="D71094109"/>
    <s v="T1N"/>
    <x v="13"/>
    <s v="13-Nov-2025"/>
    <x v="6"/>
    <n v="1500"/>
    <n v="1500"/>
    <n v="270"/>
    <n v="1770"/>
    <n v="622941"/>
    <s v="16-Feb-26"/>
    <n v="0"/>
    <n v="34194"/>
    <s v="16-Feb-26"/>
    <m/>
    <m/>
    <m/>
    <m/>
    <m/>
  </r>
  <r>
    <n v="259"/>
    <s v="NORTH"/>
    <s v="UTTAR PRADESH"/>
    <n v="7134"/>
    <s v="M/S GOENKA AUTO PRIVATE LIMITED."/>
    <s v="VARANASI"/>
    <s v="S"/>
    <s v="19-Nov-25"/>
    <n v="1165"/>
    <s v="00010666"/>
    <s v="MC1M4AJA7TP006050"/>
    <s v="D71089907"/>
    <s v="T1N"/>
    <x v="13"/>
    <s v="30-Oct-2025"/>
    <x v="6"/>
    <n v="1500"/>
    <n v="1500"/>
    <n v="270"/>
    <n v="1770"/>
    <n v="622941"/>
    <s v="16-Feb-26"/>
    <n v="0"/>
    <n v="34194"/>
    <s v="16-Feb-26"/>
    <m/>
    <m/>
    <m/>
    <m/>
    <m/>
  </r>
  <r>
    <n v="260"/>
    <s v="NORTH"/>
    <s v="UTTAR PRADESH"/>
    <n v="7134"/>
    <s v="M/S GOENKA AUTO PRIVATE LIMITED."/>
    <s v="VARANASI"/>
    <s v="S"/>
    <s v="14-Nov-25"/>
    <n v="1165"/>
    <s v="00011425"/>
    <s v="MC1M4AJA8TP006042"/>
    <s v="D71089909"/>
    <s v="T1N"/>
    <x v="13"/>
    <s v="29-Oct-2025"/>
    <x v="6"/>
    <n v="1500"/>
    <n v="1500"/>
    <n v="270"/>
    <n v="1770"/>
    <n v="622941"/>
    <s v="16-Feb-26"/>
    <n v="0"/>
    <n v="34194"/>
    <s v="16-Feb-26"/>
    <m/>
    <m/>
    <m/>
    <m/>
    <m/>
  </r>
  <r>
    <n v="261"/>
    <s v="NORTH"/>
    <s v="UTTAR PRADESH"/>
    <n v="7134"/>
    <s v="M/S GOENKA AUTO PRIVATE LIMITED."/>
    <s v="VARANASI"/>
    <s v="S"/>
    <s v="22-Nov-25"/>
    <n v="1165"/>
    <s v="00009957"/>
    <s v="MC1M4ALA2TP007202"/>
    <s v="D71094077"/>
    <s v="T1N"/>
    <x v="13"/>
    <s v="17-Nov-2025"/>
    <x v="6"/>
    <n v="1500"/>
    <n v="1500"/>
    <n v="270"/>
    <n v="1770"/>
    <n v="622941"/>
    <s v="16-Feb-26"/>
    <n v="0"/>
    <n v="34194"/>
    <s v="16-Feb-26"/>
    <m/>
    <m/>
    <m/>
    <m/>
    <m/>
  </r>
  <r>
    <n v="262"/>
    <s v="NORTH"/>
    <s v="UTTAR PRADESH"/>
    <n v="7134"/>
    <s v="M/S GOENKA AUTO PRIVATE LIMITED."/>
    <s v="VARANASI"/>
    <s v="S"/>
    <s v="29-Nov-25"/>
    <n v="1165"/>
    <s v="00000001"/>
    <s v="MC1D4DJA4TP110724"/>
    <s v="D72022655"/>
    <s v="TRAX"/>
    <x v="14"/>
    <s v="17-Oct-2025"/>
    <x v="7"/>
    <n v="1150"/>
    <n v="1150"/>
    <n v="207"/>
    <n v="1357"/>
    <n v="0"/>
    <m/>
    <n v="0"/>
    <n v="0"/>
    <m/>
    <m/>
    <m/>
    <m/>
    <m/>
    <m/>
  </r>
  <r>
    <n v="263"/>
    <s v="NORTH"/>
    <s v="UTTAR PRADESH"/>
    <n v="7134"/>
    <s v="M/S GOENKA AUTO PRIVATE LIMITED."/>
    <s v="VARANASI"/>
    <s v="S"/>
    <s v="27-Nov-25"/>
    <n v="1165"/>
    <s v="00803730"/>
    <s v="MC1E4DGA9TP058194"/>
    <s v="D71086056"/>
    <s v="T-1"/>
    <x v="14"/>
    <s v="31-Jul-2025"/>
    <x v="7"/>
    <n v="1150"/>
    <n v="1150"/>
    <n v="207"/>
    <n v="1357"/>
    <n v="0"/>
    <m/>
    <n v="0"/>
    <n v="0"/>
    <m/>
    <m/>
    <m/>
    <m/>
    <m/>
    <m/>
  </r>
  <r>
    <n v="264"/>
    <s v="NORTH"/>
    <s v="UTTAR PRADESH"/>
    <n v="7134"/>
    <s v="M/S GOENKA AUTO PRIVATE LIMITED."/>
    <s v="VARANASI"/>
    <s v="S"/>
    <s v="31-Oct-25"/>
    <n v="1165"/>
    <s v="00809682"/>
    <s v="MC1E4EJA3TP017798"/>
    <s v="D71091613"/>
    <s v="T-1"/>
    <x v="14"/>
    <s v="30-Oct-2025"/>
    <x v="7"/>
    <n v="1150"/>
    <n v="1150"/>
    <n v="207"/>
    <n v="1357"/>
    <n v="0"/>
    <m/>
    <n v="0"/>
    <n v="0"/>
    <m/>
    <m/>
    <m/>
    <m/>
    <m/>
    <m/>
  </r>
  <r>
    <n v="265"/>
    <s v="NORTH"/>
    <s v="UTTAR PRADESH"/>
    <n v="7134"/>
    <s v="M/S GOENKA AUTO PRIVATE LIMITED."/>
    <s v="VARANASI"/>
    <s v="S"/>
    <s v="28-Oct-25"/>
    <n v="1165"/>
    <s v="00333667"/>
    <s v="MC1D4DKA5TP110875"/>
    <s v="D72022685"/>
    <s v="TRAX"/>
    <x v="15"/>
    <s v="19-Oct-2025"/>
    <x v="7"/>
    <n v="1150"/>
    <n v="1150"/>
    <n v="207"/>
    <n v="1357"/>
    <n v="0"/>
    <m/>
    <n v="0"/>
    <n v="0"/>
    <m/>
    <m/>
    <m/>
    <m/>
    <m/>
    <m/>
  </r>
  <r>
    <n v="266"/>
    <s v="NORTH"/>
    <s v="UTTAR PRADESH"/>
    <n v="7134"/>
    <s v="M/S GOENKA AUTO PRIVATE LIMITED."/>
    <s v="VARANASI"/>
    <s v="S"/>
    <s v="26-Dec-25"/>
    <n v="1165"/>
    <s v="00784221"/>
    <s v="MC1E4FFA4SP024112"/>
    <s v="D71084175"/>
    <s v="T26"/>
    <x v="15"/>
    <s v="30-Jun-2025"/>
    <x v="7"/>
    <n v="1150"/>
    <n v="1150"/>
    <n v="207"/>
    <n v="1357"/>
    <n v="0"/>
    <m/>
    <n v="0"/>
    <n v="0"/>
    <m/>
    <m/>
    <m/>
    <m/>
    <m/>
    <m/>
  </r>
  <r>
    <n v="267"/>
    <s v="NORTH"/>
    <s v="UTTAR PRADESH"/>
    <n v="7134"/>
    <s v="M/S GOENKA AUTO PRIVATE LIMITED."/>
    <s v="VARANASI"/>
    <s v="S"/>
    <s v="17-Nov-25"/>
    <n v="1165"/>
    <s v="00810392"/>
    <s v="MC1E4EKA6TP017874"/>
    <s v="D71091802"/>
    <s v="T-1"/>
    <x v="15"/>
    <s v="12-Nov-2025"/>
    <x v="7"/>
    <n v="1150"/>
    <n v="1150"/>
    <n v="207"/>
    <n v="1357"/>
    <n v="0"/>
    <m/>
    <n v="0"/>
    <n v="0"/>
    <m/>
    <m/>
    <m/>
    <m/>
    <m/>
    <m/>
  </r>
  <r>
    <n v="268"/>
    <s v="NORTH"/>
    <s v="UTTAR PRADESH"/>
    <n v="7134"/>
    <s v="M/S GOENKA AUTO PRIVATE LIMITED."/>
    <s v="VARANASI"/>
    <s v="S"/>
    <s v="31-Dec-25"/>
    <n v="1165"/>
    <s v="00011018"/>
    <s v="MC1M4ALA8TP007351"/>
    <s v="D71094809"/>
    <s v="T1N"/>
    <x v="16"/>
    <s v="17-Dec-2025"/>
    <x v="7"/>
    <n v="1500"/>
    <n v="1500"/>
    <n v="270"/>
    <n v="1770"/>
    <n v="0"/>
    <m/>
    <n v="0"/>
    <n v="0"/>
    <m/>
    <m/>
    <m/>
    <m/>
    <m/>
    <m/>
  </r>
  <r>
    <n v="269"/>
    <s v="NORTH"/>
    <s v="UTTAR PRADESH"/>
    <n v="7134"/>
    <s v="M/S GOENKA AUTO PRIVATE LIMITED."/>
    <s v="VARANASI"/>
    <s v="S"/>
    <s v="17-Dec-25"/>
    <n v="1165"/>
    <s v="00807595"/>
    <s v="MC1E4DHA0TP058566"/>
    <s v="D71087921"/>
    <s v="T-1"/>
    <x v="16"/>
    <s v="24-Nov-2025"/>
    <x v="7"/>
    <n v="1150"/>
    <n v="1150"/>
    <n v="207"/>
    <n v="1357"/>
    <n v="0"/>
    <m/>
    <n v="0"/>
    <n v="0"/>
    <m/>
    <m/>
    <m/>
    <m/>
    <m/>
    <m/>
  </r>
  <r>
    <n v="270"/>
    <s v="NORTH"/>
    <s v="UTTAR PRADESH"/>
    <n v="7134"/>
    <s v="M/S GOENKA AUTO PRIVATE LIMITED."/>
    <s v="VARANASI"/>
    <s v="S"/>
    <s v="23-Dec-25"/>
    <n v="1165"/>
    <s v="00807803"/>
    <s v="MC1L4ALA9TP003210"/>
    <s v="D71094471"/>
    <s v="T3"/>
    <x v="16"/>
    <s v="30-Nov-2025"/>
    <x v="7"/>
    <n v="1150"/>
    <n v="1150"/>
    <n v="207"/>
    <n v="1357"/>
    <n v="0"/>
    <m/>
    <n v="0"/>
    <n v="0"/>
    <m/>
    <m/>
    <m/>
    <m/>
    <m/>
    <m/>
  </r>
  <r>
    <n v="271"/>
    <s v="NORTH"/>
    <s v="UTTAR PRADESH"/>
    <n v="7134"/>
    <s v="M/S GOENKA AUTO PRIVATE LIMITED."/>
    <s v="VARANASI"/>
    <s v="S"/>
    <s v="17-Dec-25"/>
    <n v="1165"/>
    <s v="00810865"/>
    <s v="MC1E4ELA5TP018027"/>
    <s v="D71093717"/>
    <s v="T-1"/>
    <x v="16"/>
    <s v="30-Nov-2025"/>
    <x v="7"/>
    <n v="1150"/>
    <n v="1150"/>
    <n v="207"/>
    <n v="1357"/>
    <n v="0"/>
    <m/>
    <n v="0"/>
    <n v="0"/>
    <m/>
    <m/>
    <m/>
    <m/>
    <m/>
    <m/>
  </r>
  <r>
    <n v="272"/>
    <s v="NORTH"/>
    <s v="UTTAR PRADESH"/>
    <n v="7134"/>
    <s v="M/S GOENKA AUTO PRIVATE LIMITED."/>
    <s v="VARANASI"/>
    <s v="S"/>
    <s v="31-Dec-25"/>
    <n v="1165"/>
    <s v="00809314"/>
    <s v="MC1E4FGA5TP024300"/>
    <s v="D71086135"/>
    <s v="T26"/>
    <x v="16"/>
    <s v="19-Dec-2025"/>
    <x v="7"/>
    <n v="1150"/>
    <n v="1150"/>
    <n v="207"/>
    <n v="1357"/>
    <n v="0"/>
    <m/>
    <n v="0"/>
    <n v="0"/>
    <m/>
    <m/>
    <m/>
    <m/>
    <m/>
    <m/>
  </r>
  <r>
    <n v="273"/>
    <s v="NORTH"/>
    <s v="UTTAR PRADESH"/>
    <n v="7134"/>
    <s v="M/S GOENKA AUTO PRIVATE LIMITED."/>
    <s v="VARANASI"/>
    <s v="S"/>
    <s v="17-Dec-25"/>
    <n v="1165"/>
    <s v="00813844"/>
    <s v="MC1E4EKA9TP017982"/>
    <s v="D71091386"/>
    <s v="T-1"/>
    <x v="16"/>
    <s v="29-Nov-2025"/>
    <x v="7"/>
    <n v="1150"/>
    <n v="1150"/>
    <n v="207"/>
    <n v="1357"/>
    <n v="0"/>
    <m/>
    <n v="0"/>
    <n v="0"/>
    <m/>
    <m/>
    <m/>
    <m/>
    <m/>
    <m/>
  </r>
  <r>
    <n v="274"/>
    <s v="NORTH"/>
    <s v="UTTAR PRADESH"/>
    <n v="7134"/>
    <s v="M/S GOENKA AUTO PRIVATE LIMITED."/>
    <s v="VARANASI"/>
    <s v="S"/>
    <s v="05-Dec-25"/>
    <n v="1165"/>
    <s v="00010277"/>
    <s v="MC1M4ALA9TP007147"/>
    <s v="D71094113"/>
    <s v="T1N"/>
    <x v="16"/>
    <s v="24-Nov-2025"/>
    <x v="7"/>
    <n v="1500"/>
    <n v="1500"/>
    <n v="270"/>
    <n v="1770"/>
    <n v="0"/>
    <m/>
    <n v="0"/>
    <n v="0"/>
    <m/>
    <m/>
    <m/>
    <m/>
    <m/>
    <m/>
  </r>
  <r>
    <n v="275"/>
    <s v="NORTH"/>
    <s v="UTTAR PRADESH"/>
    <n v="7134"/>
    <s v="M/S GOENKA AUTO PRIVATE LIMITED."/>
    <s v="VARANASI"/>
    <s v="S"/>
    <s v="18-Nov-25"/>
    <n v="1165"/>
    <s v="00332653"/>
    <s v="MC1D4DKA5TP111041"/>
    <s v="D72022585"/>
    <s v="TRAX"/>
    <x v="16"/>
    <s v="06-Nov-2025"/>
    <x v="7"/>
    <n v="1150"/>
    <n v="1150"/>
    <n v="207"/>
    <n v="1357"/>
    <n v="0"/>
    <m/>
    <n v="0"/>
    <n v="0"/>
    <m/>
    <m/>
    <m/>
    <m/>
    <m/>
    <m/>
  </r>
  <r>
    <n v="276"/>
    <s v="NORTH"/>
    <s v="UTTAR PRADESH"/>
    <n v="7134"/>
    <s v="M/S GOENKA AUTO PRIVATE LIMITED."/>
    <s v="VARANASI"/>
    <s v="S"/>
    <s v="13-Dec-25"/>
    <n v="1165"/>
    <s v="00009576"/>
    <s v="MC1M4AJA2TP006215"/>
    <s v="D71089912"/>
    <s v="T1N"/>
    <x v="16"/>
    <s v="29-Nov-2025"/>
    <x v="7"/>
    <n v="1500"/>
    <n v="1500"/>
    <n v="270"/>
    <n v="1770"/>
    <n v="0"/>
    <m/>
    <n v="0"/>
    <n v="0"/>
    <m/>
    <m/>
    <m/>
    <m/>
    <m/>
    <m/>
  </r>
  <r>
    <n v="277"/>
    <s v="NORTH"/>
    <s v="UTTAR PRADESH"/>
    <n v="7134"/>
    <s v="M/S GOENKA AUTO PRIVATE LIMITED."/>
    <s v="VARANASI"/>
    <s v="S"/>
    <s v="29-Nov-25"/>
    <n v="1165"/>
    <s v="00009952"/>
    <s v="MC1M4ALA4TP007153"/>
    <s v="D71093888"/>
    <s v="T1N"/>
    <x v="16"/>
    <s v="17-Nov-2025"/>
    <x v="7"/>
    <n v="1500"/>
    <n v="1500"/>
    <n v="270"/>
    <n v="1770"/>
    <n v="0"/>
    <m/>
    <n v="0"/>
    <n v="0"/>
    <m/>
    <m/>
    <m/>
    <m/>
    <m/>
    <m/>
  </r>
  <r>
    <n v="278"/>
    <s v="NORTH"/>
    <s v="UTTAR PRADESH"/>
    <n v="7134"/>
    <s v="M/S GOENKA AUTO PRIVATE LIMITED."/>
    <s v="VARANASI"/>
    <s v="S"/>
    <s v="31-Dec-25"/>
    <n v="1165"/>
    <s v="00010447"/>
    <s v="MC1M4ALA4TP007394"/>
    <s v="D71094937"/>
    <s v="T1N"/>
    <x v="16"/>
    <s v="20-Dec-2025"/>
    <x v="7"/>
    <n v="1500"/>
    <n v="1500"/>
    <n v="270"/>
    <n v="1770"/>
    <n v="0"/>
    <m/>
    <n v="0"/>
    <n v="0"/>
    <m/>
    <m/>
    <m/>
    <m/>
    <m/>
    <m/>
  </r>
  <r>
    <n v="279"/>
    <s v="NORTH"/>
    <s v="UTTAR PRADESH"/>
    <n v="7134"/>
    <s v="M/S GOENKA AUTO PRIVATE LIMITED."/>
    <s v="VARANASI"/>
    <s v="S"/>
    <s v="17-Dec-25"/>
    <n v="1165"/>
    <s v="00011288"/>
    <s v="MC1M4ALA6TP007218"/>
    <s v="D71094021"/>
    <s v="T1N"/>
    <x v="16"/>
    <s v="21-Nov-2025"/>
    <x v="7"/>
    <n v="1500"/>
    <n v="1500"/>
    <n v="270"/>
    <n v="1770"/>
    <n v="0"/>
    <m/>
    <n v="0"/>
    <n v="0"/>
    <m/>
    <m/>
    <m/>
    <m/>
    <m/>
    <m/>
  </r>
  <r>
    <n v="280"/>
    <s v="NORTH"/>
    <s v="UTTAR PRADESH"/>
    <n v="7134"/>
    <s v="M/S GOENKA AUTO PRIVATE LIMITED."/>
    <s v="VARANASI"/>
    <s v="S"/>
    <s v="31-Dec-25"/>
    <n v="1165"/>
    <s v="00011767"/>
    <s v="MC1M4ALA5TP007260"/>
    <s v="D71094481"/>
    <s v="T1N"/>
    <x v="16"/>
    <s v="10-Dec-2025"/>
    <x v="7"/>
    <n v="1500"/>
    <n v="1500"/>
    <n v="270"/>
    <n v="1770"/>
    <n v="0"/>
    <m/>
    <n v="0"/>
    <n v="0"/>
    <m/>
    <m/>
    <m/>
    <m/>
    <m/>
    <m/>
  </r>
  <r>
    <n v="281"/>
    <s v="NORTH"/>
    <s v="UTTAR PRADESH"/>
    <n v="7160"/>
    <s v="M/S GOENKA AUTO PVT LTD"/>
    <s v="VARANASI"/>
    <s v="S"/>
    <s v="30-Jun-25"/>
    <n v="1165"/>
    <s v="00107479"/>
    <s v="MC1D4GHA8SP000314"/>
    <s v="D72016659"/>
    <s v="GURKHA"/>
    <x v="17"/>
    <s v="19-Nov-2024"/>
    <x v="8"/>
    <n v="1050"/>
    <n v="1050"/>
    <n v="189"/>
    <n v="1239"/>
    <n v="621885"/>
    <s v="16-Sep-25"/>
    <n v="0"/>
    <n v="33138"/>
    <s v="16-Sep-25"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  <r>
    <m/>
    <m/>
    <m/>
    <m/>
    <m/>
    <m/>
    <m/>
    <m/>
    <m/>
    <m/>
    <m/>
    <m/>
    <m/>
    <x v="18"/>
    <m/>
    <x v="9"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71">
  <r>
    <n v="1"/>
    <s v="NORTH"/>
    <s v="UTTAR PRADESH"/>
    <n v="7134"/>
    <s v="M/S GOENKA AUTO PRIVATE LIMITED."/>
    <s v="VARANASI"/>
    <s v="24-Jul-24"/>
    <s v="14-Jul-25"/>
    <n v="1165"/>
    <n v="41684"/>
    <n v="6"/>
    <s v="S"/>
    <s v="T-1"/>
    <n v="70774079"/>
    <s v="MC1E4DFA8RP053465"/>
    <s v="D71057531"/>
    <m/>
    <m/>
    <x v="0"/>
    <s v="23-Sep-25"/>
    <x v="0"/>
    <n v="0"/>
    <n v="0"/>
    <m/>
    <n v="0"/>
    <n v="0"/>
    <n v="0"/>
    <n v="0"/>
    <m/>
    <n v="0"/>
    <m/>
    <m/>
    <s v="T1BS6"/>
    <s v="CVD"/>
    <s v="P"/>
  </r>
  <r>
    <n v="2"/>
    <s v="NORTH"/>
    <s v="UTTAR PRADESH"/>
    <n v="7134"/>
    <s v="M/S GOENKA AUTO PRIVATE LIMITED."/>
    <s v="VARANASI"/>
    <s v="25-Jan-24"/>
    <s v="04-Feb-25"/>
    <n v="1165"/>
    <n v="68850"/>
    <n v="7"/>
    <s v="S"/>
    <s v="T-1"/>
    <n v="761864"/>
    <s v="MC1E4EAA2RP011497"/>
    <s v="D71045143"/>
    <m/>
    <m/>
    <x v="1"/>
    <s v="28-Feb-25"/>
    <x v="1"/>
    <n v="0"/>
    <n v="587586"/>
    <s v="03-Jun-25"/>
    <n v="0"/>
    <n v="0"/>
    <n v="0"/>
    <n v="111053"/>
    <s v="03-Jun-25"/>
    <n v="0"/>
    <m/>
    <m/>
    <s v="T1BS6"/>
    <s v="CVD"/>
    <s v="P"/>
  </r>
  <r>
    <n v="3"/>
    <s v="NORTH"/>
    <s v="UTTAR PRADESH"/>
    <n v="7134"/>
    <s v="M/S GOENKA AUTO PRIVATE LIMITED."/>
    <s v="VARANASI"/>
    <s v="30-Oct-24"/>
    <s v="28-Feb-25"/>
    <n v="983"/>
    <n v="8340"/>
    <n v="2"/>
    <s v="S"/>
    <s v="T26"/>
    <n v="789173"/>
    <s v="MC1E4FHA0SP021351"/>
    <s v="D71060818"/>
    <m/>
    <m/>
    <x v="1"/>
    <s v="28-Feb-25"/>
    <x v="1"/>
    <n v="0"/>
    <n v="587586"/>
    <s v="03-Jun-25"/>
    <n v="0"/>
    <n v="0"/>
    <n v="0"/>
    <n v="111053"/>
    <s v="03-Jun-25"/>
    <n v="0"/>
    <m/>
    <m/>
    <s v="T26BS6"/>
    <s v="CVD"/>
    <s v="P"/>
  </r>
  <r>
    <n v="4"/>
    <s v="NORTH"/>
    <s v="UTTAR PRADESH"/>
    <n v="7134"/>
    <s v="M/S GOENKA AUTO PRIVATE LIMITED."/>
    <s v="VARANASI"/>
    <s v="26-Dec-24"/>
    <s v="25-Feb-25"/>
    <n v="1165"/>
    <n v="4500"/>
    <n v="1"/>
    <s v="S"/>
    <s v="TRAX"/>
    <n v="324735"/>
    <s v="MC1D4DHA4SP105477"/>
    <s v="D72016904"/>
    <m/>
    <m/>
    <x v="1"/>
    <s v="28-Feb-25"/>
    <x v="1"/>
    <n v="1250"/>
    <n v="587586"/>
    <s v="03-Jun-25"/>
    <n v="1250"/>
    <n v="1475"/>
    <n v="225"/>
    <n v="111053"/>
    <s v="03-Jun-25"/>
    <n v="0"/>
    <m/>
    <m/>
    <s v="TRXBS6"/>
    <s v="CVD"/>
    <s v="F"/>
  </r>
  <r>
    <n v="5"/>
    <s v="NORTH"/>
    <s v="UTTAR PRADESH"/>
    <n v="7134"/>
    <s v="M/S GOENKA AUTO PRIVATE LIMITED."/>
    <s v="VARANASI"/>
    <s v="30-Jun-23"/>
    <s v="02-Feb-25"/>
    <n v="1165"/>
    <n v="97230"/>
    <n v="10"/>
    <s v="S"/>
    <s v="TRAX"/>
    <n v="317176"/>
    <s v="MC1D4DFAXPP100326"/>
    <s v="D72010898"/>
    <m/>
    <m/>
    <x v="1"/>
    <s v="28-Feb-25"/>
    <x v="1"/>
    <n v="0"/>
    <n v="587586"/>
    <s v="03-Jun-25"/>
    <n v="0"/>
    <n v="0"/>
    <n v="0"/>
    <n v="111053"/>
    <s v="03-Jun-25"/>
    <n v="0"/>
    <m/>
    <m/>
    <s v="TRXBS6"/>
    <s v="CVD"/>
    <s v="P"/>
  </r>
  <r>
    <n v="6"/>
    <s v="NORTH"/>
    <s v="UTTAR PRADESH"/>
    <n v="7134"/>
    <s v="M/S GOENKA AUTO PRIVATE LIMITED."/>
    <s v="VARANASI"/>
    <s v="19-Aug-23"/>
    <s v="27-Feb-25"/>
    <n v="1160"/>
    <n v="71600"/>
    <n v="9"/>
    <s v="S"/>
    <s v="T-1"/>
    <n v="750964"/>
    <s v="MC1E4EHAXRP010300"/>
    <s v="D71037063"/>
    <m/>
    <m/>
    <x v="1"/>
    <s v="28-Feb-25"/>
    <x v="1"/>
    <n v="0"/>
    <n v="587586"/>
    <s v="03-Jun-25"/>
    <n v="0"/>
    <n v="0"/>
    <n v="0"/>
    <n v="111053"/>
    <s v="03-Jun-25"/>
    <n v="0"/>
    <m/>
    <m/>
    <s v="T1BS6"/>
    <s v="CVD"/>
    <s v="P"/>
  </r>
  <r>
    <n v="7"/>
    <s v="NORTH"/>
    <s v="UTTAR PRADESH"/>
    <n v="7134"/>
    <s v="M/S GOENKA AUTO PRIVATE LIMITED."/>
    <s v="VARANASI"/>
    <s v="20-Feb-24"/>
    <s v="21-Feb-25"/>
    <n v="1165"/>
    <n v="60000"/>
    <n v="6"/>
    <s v="S"/>
    <s v="T26"/>
    <n v="766692"/>
    <s v="MC1E4FAA9RP019134"/>
    <s v="D71046150"/>
    <m/>
    <m/>
    <x v="1"/>
    <s v="28-Feb-25"/>
    <x v="1"/>
    <n v="0"/>
    <n v="587586"/>
    <s v="03-Jun-25"/>
    <n v="0"/>
    <n v="0"/>
    <n v="0"/>
    <n v="111053"/>
    <s v="03-Jun-25"/>
    <n v="0"/>
    <m/>
    <m/>
    <s v="T26BS6"/>
    <s v="CVD"/>
    <s v="P"/>
  </r>
  <r>
    <n v="8"/>
    <s v="NORTH"/>
    <s v="UTTAR PRADESH"/>
    <n v="7134"/>
    <s v="M/S GOENKA AUTO PRIVATE LIMITED."/>
    <s v="VARANASI"/>
    <s v="31-Mar-23"/>
    <s v="05-Feb-25"/>
    <n v="1168"/>
    <n v="28628"/>
    <n v="12"/>
    <s v="S"/>
    <s v="T-1"/>
    <n v="744913"/>
    <s v="MC1E4DCA3PP044965"/>
    <s v="D71028276"/>
    <m/>
    <m/>
    <x v="1"/>
    <s v="28-Feb-25"/>
    <x v="1"/>
    <n v="0"/>
    <n v="587586"/>
    <s v="03-Jun-25"/>
    <n v="0"/>
    <n v="0"/>
    <n v="0"/>
    <n v="111053"/>
    <s v="03-Jun-25"/>
    <n v="0"/>
    <m/>
    <m/>
    <s v="T1BS6"/>
    <s v="CVD"/>
    <s v="P"/>
  </r>
  <r>
    <n v="9"/>
    <s v="NORTH"/>
    <s v="UTTAR PRADESH"/>
    <n v="7134"/>
    <s v="M/S GOENKA AUTO PRIVATE LIMITED."/>
    <s v="VARANASI"/>
    <s v="23-Aug-24"/>
    <s v="17-Feb-25"/>
    <n v="1165"/>
    <n v="30000"/>
    <n v="3"/>
    <s v="S"/>
    <s v="T26"/>
    <n v="776633"/>
    <s v="MC1E4FFA0RP020858"/>
    <s v="D71057668"/>
    <m/>
    <m/>
    <x v="1"/>
    <s v="28-Feb-25"/>
    <x v="1"/>
    <n v="1250"/>
    <n v="587586"/>
    <s v="03-Jun-25"/>
    <n v="1250"/>
    <n v="1475"/>
    <n v="225"/>
    <n v="111053"/>
    <s v="03-Jun-25"/>
    <n v="0"/>
    <m/>
    <m/>
    <s v="T26BS6"/>
    <s v="CVD"/>
    <s v="F"/>
  </r>
  <r>
    <n v="10"/>
    <s v="NORTH"/>
    <s v="UTTAR PRADESH"/>
    <n v="7134"/>
    <s v="M/S GOENKA AUTO PRIVATE LIMITED."/>
    <s v="VARANASI"/>
    <s v="30-Nov-24"/>
    <s v="28-Feb-25"/>
    <n v="1123"/>
    <n v="9353"/>
    <n v="1"/>
    <s v="S"/>
    <s v="T-1"/>
    <n v="785680"/>
    <s v="MC1E4EJA0SP014176"/>
    <s v="D71062910"/>
    <s v="002"/>
    <s v="SERV DATE EXCEEDS"/>
    <x v="1"/>
    <s v="28-Feb-25"/>
    <x v="1"/>
    <n v="1250"/>
    <n v="587586"/>
    <s v="03-Jun-25"/>
    <n v="1000"/>
    <n v="1475"/>
    <n v="225"/>
    <n v="111053"/>
    <s v="03-Jun-25"/>
    <n v="250"/>
    <m/>
    <m/>
    <s v="T1BS6"/>
    <s v="CVD"/>
    <s v="F"/>
  </r>
  <r>
    <n v="11"/>
    <s v="NORTH"/>
    <s v="UTTAR PRADESH"/>
    <n v="7134"/>
    <s v="M/S GOENKA AUTO PRIVATE LIMITED."/>
    <s v="VARANASI"/>
    <s v="14-Oct-24"/>
    <s v="04-Feb-25"/>
    <n v="1165"/>
    <n v="20000"/>
    <n v="2"/>
    <s v="S"/>
    <s v="T1N"/>
    <n v="5472"/>
    <s v="MC1M4AKA7SP002481"/>
    <s v="D71063459"/>
    <m/>
    <m/>
    <x v="1"/>
    <s v="28-Feb-25"/>
    <x v="1"/>
    <n v="0"/>
    <n v="587586"/>
    <s v="03-Jun-25"/>
    <n v="0"/>
    <n v="0"/>
    <n v="0"/>
    <n v="111053"/>
    <s v="03-Jun-25"/>
    <n v="0"/>
    <m/>
    <m/>
    <s v="URBN"/>
    <s v="CVD"/>
    <s v="P"/>
  </r>
  <r>
    <n v="12"/>
    <s v="NORTH"/>
    <s v="UTTAR PRADESH"/>
    <n v="7134"/>
    <s v="M/S GOENKA AUTO PRIVATE LIMITED."/>
    <s v="VARANASI"/>
    <s v="29-Apr-24"/>
    <s v="17-Feb-25"/>
    <n v="1165"/>
    <n v="68440"/>
    <n v="7"/>
    <s v="S"/>
    <s v="T-1"/>
    <n v="773372"/>
    <s v="MC1E4EDA5RP012526"/>
    <s v="D71051928"/>
    <m/>
    <m/>
    <x v="1"/>
    <s v="28-Feb-25"/>
    <x v="1"/>
    <n v="0"/>
    <n v="587586"/>
    <s v="03-Jun-25"/>
    <n v="0"/>
    <n v="0"/>
    <n v="0"/>
    <n v="111053"/>
    <s v="03-Jun-25"/>
    <n v="0"/>
    <m/>
    <m/>
    <s v="T1BS6"/>
    <s v="CVD"/>
    <s v="P"/>
  </r>
  <r>
    <n v="13"/>
    <s v="NORTH"/>
    <s v="UTTAR PRADESH"/>
    <n v="7134"/>
    <s v="M/S GOENKA AUTO PRIVATE LIMITED."/>
    <s v="VARANASI"/>
    <s v="23-Jan-24"/>
    <s v="03-Feb-25"/>
    <n v="1165"/>
    <n v="70000"/>
    <n v="7"/>
    <s v="S"/>
    <s v="T1N"/>
    <n v="2040"/>
    <s v="MC1M4AAA2RP000892"/>
    <s v="D71044975"/>
    <m/>
    <m/>
    <x v="1"/>
    <s v="28-Feb-25"/>
    <x v="1"/>
    <n v="1650"/>
    <n v="587586"/>
    <s v="03-Jun-25"/>
    <n v="1650"/>
    <n v="1947"/>
    <n v="297"/>
    <n v="111053"/>
    <s v="03-Jun-25"/>
    <n v="0"/>
    <m/>
    <m/>
    <s v="URBN"/>
    <s v="CVD"/>
    <s v="F"/>
  </r>
  <r>
    <n v="14"/>
    <s v="NORTH"/>
    <s v="UTTAR PRADESH"/>
    <n v="7134"/>
    <s v="M/S GOENKA AUTO PRIVATE LIMITED."/>
    <s v="VARANASI"/>
    <s v="30-Sep-23"/>
    <s v="02-Feb-25"/>
    <n v="986"/>
    <n v="101700"/>
    <n v="10"/>
    <s v="S"/>
    <s v="T-1"/>
    <n v="752939"/>
    <s v="MC1E4DJA5RP048036"/>
    <s v="D71038347"/>
    <s v="001"/>
    <s v="SERV KMS  / HRS EXCEEDS"/>
    <x v="1"/>
    <s v="28-Feb-25"/>
    <x v="1"/>
    <n v="0"/>
    <n v="587586"/>
    <s v="03-Jun-25"/>
    <n v="0"/>
    <n v="0"/>
    <n v="0"/>
    <n v="111053"/>
    <s v="03-Jun-25"/>
    <n v="0"/>
    <m/>
    <m/>
    <s v="T1BS6"/>
    <s v="CVD"/>
    <s v="P"/>
  </r>
  <r>
    <n v="15"/>
    <s v="NORTH"/>
    <s v="UTTAR PRADESH"/>
    <n v="7134"/>
    <s v="M/S GOENKA AUTO PRIVATE LIMITED."/>
    <s v="VARANASI"/>
    <s v="21-Oct-24"/>
    <s v="11-Feb-25"/>
    <n v="1165"/>
    <n v="19726"/>
    <n v="2"/>
    <s v="S"/>
    <s v="T-1"/>
    <n v="787041"/>
    <s v="MC1E4EHA9SP013856"/>
    <s v="D71061114"/>
    <m/>
    <m/>
    <x v="1"/>
    <s v="28-Feb-25"/>
    <x v="1"/>
    <n v="0"/>
    <n v="587586"/>
    <s v="03-Jun-25"/>
    <n v="0"/>
    <n v="0"/>
    <n v="0"/>
    <n v="111053"/>
    <s v="03-Jun-25"/>
    <n v="0"/>
    <m/>
    <m/>
    <s v="T1BS6"/>
    <s v="CVD"/>
    <s v="P"/>
  </r>
  <r>
    <n v="16"/>
    <s v="NORTH"/>
    <s v="UTTAR PRADESH"/>
    <n v="7134"/>
    <s v="M/S GOENKA AUTO PRIVATE LIMITED."/>
    <s v="VARANASI"/>
    <s v="27-Jun-23"/>
    <s v="28-Feb-25"/>
    <n v="1165"/>
    <n v="81000"/>
    <n v="10"/>
    <s v="S"/>
    <s v="T-1"/>
    <n v="751781"/>
    <s v="MC1E4EFA5PP009796"/>
    <s v="D71032748"/>
    <m/>
    <m/>
    <x v="1"/>
    <s v="28-Feb-25"/>
    <x v="1"/>
    <n v="0"/>
    <n v="587586"/>
    <s v="03-Jun-25"/>
    <n v="0"/>
    <n v="0"/>
    <n v="0"/>
    <n v="111053"/>
    <s v="03-Jun-25"/>
    <n v="0"/>
    <m/>
    <m/>
    <s v="T1BS6"/>
    <s v="CVD"/>
    <s v="P"/>
  </r>
  <r>
    <n v="17"/>
    <s v="NORTH"/>
    <s v="UTTAR PRADESH"/>
    <n v="7134"/>
    <s v="M/S GOENKA AUTO PRIVATE LIMITED."/>
    <s v="VARANASI"/>
    <s v="31-Jul-23"/>
    <s v="02-Feb-25"/>
    <n v="1165"/>
    <n v="53700"/>
    <n v="10"/>
    <s v="S"/>
    <s v="T-1"/>
    <n v="751190"/>
    <s v="MC1E4DGA2RP046977"/>
    <s v="D71033670"/>
    <m/>
    <m/>
    <x v="1"/>
    <s v="28-Feb-25"/>
    <x v="1"/>
    <n v="0"/>
    <n v="587586"/>
    <s v="03-Jun-25"/>
    <n v="0"/>
    <n v="0"/>
    <n v="0"/>
    <n v="111053"/>
    <s v="03-Jun-25"/>
    <n v="0"/>
    <m/>
    <m/>
    <s v="T1BS6"/>
    <s v="CVD"/>
    <s v="P"/>
  </r>
  <r>
    <n v="18"/>
    <s v="NORTH"/>
    <s v="UTTAR PRADESH"/>
    <n v="7134"/>
    <s v="M/S GOENKA AUTO PRIVATE LIMITED."/>
    <s v="VARANASI"/>
    <s v="14-Jan-25"/>
    <s v="26-Feb-25"/>
    <n v="1165"/>
    <n v="9540"/>
    <n v="1"/>
    <s v="S"/>
    <s v="T-1"/>
    <n v="792074"/>
    <s v="MC1E4ELA2SP014645"/>
    <s v="D71065178"/>
    <m/>
    <m/>
    <x v="1"/>
    <s v="28-Feb-25"/>
    <x v="1"/>
    <n v="1250"/>
    <n v="587586"/>
    <s v="03-Jun-25"/>
    <n v="1250"/>
    <n v="1475"/>
    <n v="225"/>
    <n v="111053"/>
    <s v="03-Jun-25"/>
    <n v="0"/>
    <m/>
    <m/>
    <s v="T1BS6"/>
    <s v="CVD"/>
    <s v="F"/>
  </r>
  <r>
    <n v="19"/>
    <s v="NORTH"/>
    <s v="UTTAR PRADESH"/>
    <n v="7134"/>
    <s v="M/S GOENKA AUTO PRIVATE LIMITED."/>
    <s v="VARANASI"/>
    <s v="30-Sep-24"/>
    <s v="13-Feb-25"/>
    <n v="1165"/>
    <n v="7840"/>
    <n v="1"/>
    <s v="S"/>
    <s v="T-1"/>
    <n v="782166"/>
    <s v="MC1E4DGA9SP053950"/>
    <s v="D71059289"/>
    <m/>
    <m/>
    <x v="1"/>
    <s v="28-Feb-25"/>
    <x v="1"/>
    <n v="1250"/>
    <n v="587586"/>
    <s v="03-Jun-25"/>
    <n v="1250"/>
    <n v="1475"/>
    <n v="225"/>
    <n v="111053"/>
    <s v="03-Jun-25"/>
    <n v="0"/>
    <m/>
    <m/>
    <s v="T1BS6N"/>
    <s v="CVD"/>
    <s v="F"/>
  </r>
  <r>
    <n v="20"/>
    <s v="NORTH"/>
    <s v="UTTAR PRADESH"/>
    <n v="7134"/>
    <s v="M/S GOENKA AUTO PRIVATE LIMITED."/>
    <s v="VARANASI"/>
    <s v="18-Jan-25"/>
    <s v="12-Feb-25"/>
    <n v="1165"/>
    <n v="9678"/>
    <n v="1"/>
    <s v="S"/>
    <s v="T-1"/>
    <n v="790037"/>
    <s v="MC1E4EKA7SP014402"/>
    <s v="D71064055"/>
    <m/>
    <m/>
    <x v="1"/>
    <s v="28-Feb-25"/>
    <x v="1"/>
    <n v="1250"/>
    <n v="587586"/>
    <s v="03-Jun-25"/>
    <n v="1250"/>
    <n v="1475"/>
    <n v="225"/>
    <n v="111053"/>
    <s v="03-Jun-25"/>
    <n v="0"/>
    <m/>
    <m/>
    <s v="T1BS6"/>
    <s v="CVD"/>
    <s v="F"/>
  </r>
  <r>
    <n v="21"/>
    <s v="NORTH"/>
    <s v="UTTAR PRADESH"/>
    <n v="7134"/>
    <s v="M/S GOENKA AUTO PRIVATE LIMITED."/>
    <s v="VARANASI"/>
    <s v="13-Jul-24"/>
    <s v="27-Feb-25"/>
    <n v="1165"/>
    <n v="60000"/>
    <n v="6"/>
    <s v="S"/>
    <s v="T-1"/>
    <n v="775456"/>
    <s v="MC1E4EEA5RP013061"/>
    <s v="D71055469"/>
    <m/>
    <m/>
    <x v="1"/>
    <s v="28-Feb-25"/>
    <x v="1"/>
    <n v="0"/>
    <n v="587586"/>
    <s v="03-Jun-25"/>
    <n v="0"/>
    <n v="0"/>
    <n v="0"/>
    <n v="111053"/>
    <s v="03-Jun-25"/>
    <n v="0"/>
    <m/>
    <m/>
    <s v="T1BS6"/>
    <s v="CVD"/>
    <s v="P"/>
  </r>
  <r>
    <n v="22"/>
    <s v="NORTH"/>
    <s v="UTTAR PRADESH"/>
    <n v="7134"/>
    <s v="M/S GOENKA AUTO PRIVATE LIMITED."/>
    <s v="VARANASI"/>
    <s v="23-Feb-23"/>
    <s v="18-Feb-25"/>
    <n v="1165"/>
    <n v="132403"/>
    <n v="14"/>
    <s v="S"/>
    <s v="T1N"/>
    <n v="1189"/>
    <s v="MC1M4ABAXPP000151"/>
    <s v="D71026417"/>
    <m/>
    <m/>
    <x v="1"/>
    <s v="28-Feb-25"/>
    <x v="1"/>
    <n v="0"/>
    <n v="587586"/>
    <s v="03-Jun-25"/>
    <n v="0"/>
    <n v="0"/>
    <n v="0"/>
    <n v="111053"/>
    <s v="03-Jun-25"/>
    <n v="0"/>
    <m/>
    <m/>
    <s v="URBN"/>
    <s v="CVD"/>
    <s v="P"/>
  </r>
  <r>
    <n v="23"/>
    <s v="NORTH"/>
    <s v="UTTAR PRADESH"/>
    <n v="7134"/>
    <s v="M/S GOENKA AUTO PRIVATE LIMITED."/>
    <s v="VARANASI"/>
    <s v="22-Mar-23"/>
    <s v="25-Feb-25"/>
    <n v="1165"/>
    <n v="74200"/>
    <n v="12"/>
    <s v="S"/>
    <s v="T-1"/>
    <n v="743522"/>
    <s v="MC1E4EBA3PP009155"/>
    <s v="D71026032"/>
    <m/>
    <m/>
    <x v="1"/>
    <s v="28-Feb-25"/>
    <x v="1"/>
    <n v="0"/>
    <n v="587586"/>
    <s v="03-Jun-25"/>
    <n v="0"/>
    <n v="0"/>
    <n v="0"/>
    <n v="111053"/>
    <s v="03-Jun-25"/>
    <n v="0"/>
    <m/>
    <m/>
    <s v="T1BS6"/>
    <s v="CVD"/>
    <s v="P"/>
  </r>
  <r>
    <n v="24"/>
    <s v="NORTH"/>
    <s v="UTTAR PRADESH"/>
    <n v="7134"/>
    <s v="M/S GOENKA AUTO PRIVATE LIMITED."/>
    <s v="VARANASI"/>
    <s v="28-Dec-24"/>
    <s v="11-Feb-25"/>
    <n v="1108"/>
    <n v="10000"/>
    <n v="1"/>
    <s v="S"/>
    <s v="T1N"/>
    <n v="5897"/>
    <s v="MC1M4ALA7SP002849"/>
    <s v="D71066165"/>
    <m/>
    <m/>
    <x v="1"/>
    <s v="28-Feb-25"/>
    <x v="1"/>
    <n v="1650"/>
    <n v="587586"/>
    <s v="03-Jun-25"/>
    <n v="1650"/>
    <n v="1947"/>
    <n v="297"/>
    <n v="111053"/>
    <s v="03-Jun-25"/>
    <n v="0"/>
    <m/>
    <m/>
    <s v="URBN"/>
    <s v="CVD"/>
    <s v="F"/>
  </r>
  <r>
    <n v="25"/>
    <s v="NORTH"/>
    <s v="UTTAR PRADESH"/>
    <n v="7134"/>
    <s v="M/S GOENKA AUTO PRIVATE LIMITED."/>
    <s v="VARANASI"/>
    <s v="09-Aug-24"/>
    <s v="10-Feb-25"/>
    <n v="1165"/>
    <n v="39210"/>
    <n v="4"/>
    <s v="S"/>
    <s v="T-1"/>
    <n v="774600"/>
    <s v="MC1E4EFA8RP013148"/>
    <s v="D71056274"/>
    <m/>
    <m/>
    <x v="1"/>
    <s v="28-Feb-25"/>
    <x v="1"/>
    <n v="0"/>
    <n v="587586"/>
    <s v="03-Jun-25"/>
    <n v="0"/>
    <n v="0"/>
    <n v="0"/>
    <n v="111053"/>
    <s v="03-Jun-25"/>
    <n v="0"/>
    <m/>
    <m/>
    <s v="T1BS6"/>
    <s v="CVD"/>
    <s v="P"/>
  </r>
  <r>
    <n v="26"/>
    <s v="NORTH"/>
    <s v="UTTAR PRADESH"/>
    <n v="7134"/>
    <s v="M/S GOENKA AUTO PRIVATE LIMITED."/>
    <s v="VARANASI"/>
    <s v="28-Mar-24"/>
    <s v="24-Feb-25"/>
    <n v="1165"/>
    <n v="49910"/>
    <n v="5"/>
    <s v="S"/>
    <s v="T1N"/>
    <n v="3405"/>
    <s v="MC1M4ACA6RP001203"/>
    <s v="D71050375"/>
    <m/>
    <m/>
    <x v="1"/>
    <s v="28-Feb-25"/>
    <x v="1"/>
    <n v="1650"/>
    <n v="587586"/>
    <s v="03-Jun-25"/>
    <n v="1650"/>
    <n v="1947"/>
    <n v="297"/>
    <n v="111053"/>
    <s v="03-Jun-25"/>
    <n v="0"/>
    <m/>
    <m/>
    <s v="URBN"/>
    <s v="CVD"/>
    <s v="F"/>
  </r>
  <r>
    <n v="27"/>
    <s v="NORTH"/>
    <s v="UTTAR PRADESH"/>
    <n v="7134"/>
    <s v="M/S GOENKA AUTO PRIVATE LIMITED."/>
    <s v="VARANASI"/>
    <s v="09-Mar-24"/>
    <s v="07-Feb-25"/>
    <n v="1165"/>
    <n v="50000"/>
    <n v="5"/>
    <s v="S"/>
    <s v="T1N"/>
    <n v="3152"/>
    <s v="MC1M4ABA5RP001114"/>
    <s v="D71048194"/>
    <m/>
    <m/>
    <x v="1"/>
    <s v="28-Feb-25"/>
    <x v="1"/>
    <n v="1650"/>
    <n v="587586"/>
    <s v="03-Jun-25"/>
    <n v="1650"/>
    <n v="1947"/>
    <n v="297"/>
    <n v="111053"/>
    <s v="03-Jun-25"/>
    <n v="0"/>
    <m/>
    <m/>
    <s v="URBN"/>
    <s v="CVD"/>
    <s v="F"/>
  </r>
  <r>
    <n v="28"/>
    <s v="NORTH"/>
    <s v="UTTAR PRADESH"/>
    <n v="7134"/>
    <s v="M/S GOENKA AUTO PRIVATE LIMITED."/>
    <s v="VARANASI"/>
    <s v="30-Oct-24"/>
    <s v="03-Feb-25"/>
    <n v="1165"/>
    <n v="10000"/>
    <n v="1"/>
    <s v="S"/>
    <s v="T-1"/>
    <n v="790580"/>
    <s v="MC1E4EKA2SP014274"/>
    <s v="D71063383"/>
    <s v="002"/>
    <s v="SERV DATE EXCEEDS"/>
    <x v="1"/>
    <s v="28-Feb-25"/>
    <x v="1"/>
    <n v="1250"/>
    <n v="587586"/>
    <s v="03-Jun-25"/>
    <n v="1000"/>
    <n v="1475"/>
    <n v="225"/>
    <n v="111053"/>
    <s v="03-Jun-25"/>
    <n v="250"/>
    <m/>
    <m/>
    <s v="T1BS6"/>
    <s v="CVD"/>
    <s v="F"/>
  </r>
  <r>
    <n v="29"/>
    <s v="NORTH"/>
    <s v="UTTAR PRADESH"/>
    <n v="7134"/>
    <s v="M/S GOENKA AUTO PRIVATE LIMITED."/>
    <s v="VARANASI"/>
    <s v="30-Oct-24"/>
    <s v="24-Feb-25"/>
    <n v="1165"/>
    <n v="19200"/>
    <n v="2"/>
    <s v="S"/>
    <s v="TRAX"/>
    <n v="324816"/>
    <s v="MC1D4DHAXSP105385"/>
    <s v="D72016803"/>
    <m/>
    <m/>
    <x v="1"/>
    <s v="28-Feb-25"/>
    <x v="1"/>
    <n v="0"/>
    <n v="587586"/>
    <s v="03-Jun-25"/>
    <n v="0"/>
    <n v="0"/>
    <n v="0"/>
    <n v="111053"/>
    <s v="03-Jun-25"/>
    <n v="0"/>
    <m/>
    <m/>
    <s v="TRXBS6"/>
    <s v="CVD"/>
    <s v="P"/>
  </r>
  <r>
    <n v="30"/>
    <s v="NORTH"/>
    <s v="UTTAR PRADESH"/>
    <n v="7134"/>
    <s v="M/S GOENKA AUTO PRIVATE LIMITED."/>
    <s v="VARANASI"/>
    <s v="11-Sep-24"/>
    <s v="25-Feb-25"/>
    <n v="1165"/>
    <n v="13000"/>
    <n v="3"/>
    <s v="S"/>
    <s v="T-1"/>
    <n v="786359"/>
    <s v="MC1E4EHA9SP013713"/>
    <s v="D71060226"/>
    <m/>
    <m/>
    <x v="1"/>
    <s v="28-Feb-25"/>
    <x v="1"/>
    <n v="1250"/>
    <n v="587586"/>
    <s v="03-Jun-25"/>
    <n v="1250"/>
    <n v="1475"/>
    <n v="225"/>
    <n v="111053"/>
    <s v="03-Jun-25"/>
    <n v="0"/>
    <m/>
    <m/>
    <s v="T1BS6"/>
    <s v="CVD"/>
    <s v="F"/>
  </r>
  <r>
    <n v="31"/>
    <s v="NORTH"/>
    <s v="UTTAR PRADESH"/>
    <n v="7134"/>
    <s v="M/S GOENKA AUTO PRIVATE LIMITED."/>
    <s v="VARANASI"/>
    <s v="29-Jun-24"/>
    <s v="25-Feb-25"/>
    <n v="1165"/>
    <n v="50000"/>
    <n v="5"/>
    <s v="S"/>
    <s v="T-1"/>
    <n v="775226"/>
    <s v="MC1E4EFA5RP013091"/>
    <s v="D71055952"/>
    <m/>
    <m/>
    <x v="1"/>
    <s v="28-Feb-25"/>
    <x v="1"/>
    <n v="1250"/>
    <n v="587586"/>
    <s v="03-Jun-25"/>
    <n v="1250"/>
    <n v="1475"/>
    <n v="225"/>
    <n v="111053"/>
    <s v="03-Jun-25"/>
    <n v="0"/>
    <m/>
    <m/>
    <s v="T1BS6"/>
    <s v="CVD"/>
    <s v="F"/>
  </r>
  <r>
    <n v="32"/>
    <s v="NORTH"/>
    <s v="UTTAR PRADESH"/>
    <n v="7134"/>
    <s v="M/S GOENKA AUTO PRIVATE LIMITED."/>
    <s v="VARANASI"/>
    <s v="28-May-24"/>
    <s v="07-Feb-25"/>
    <n v="1165"/>
    <n v="50000"/>
    <n v="5"/>
    <s v="S"/>
    <s v="T26"/>
    <n v="776290"/>
    <s v="MC1E4FEA9RP020391"/>
    <s v="D71054667"/>
    <m/>
    <m/>
    <x v="1"/>
    <s v="28-Feb-25"/>
    <x v="1"/>
    <n v="1250"/>
    <n v="587586"/>
    <s v="03-Jun-25"/>
    <n v="1250"/>
    <n v="1475"/>
    <n v="225"/>
    <n v="111053"/>
    <s v="03-Jun-25"/>
    <n v="0"/>
    <m/>
    <m/>
    <s v="T26BS6"/>
    <s v="CVD"/>
    <s v="F"/>
  </r>
  <r>
    <n v="33"/>
    <s v="NORTH"/>
    <s v="UTTAR PRADESH"/>
    <n v="7134"/>
    <s v="M/S GOENKA AUTO PRIVATE LIMITED."/>
    <s v="VARANASI"/>
    <s v="27-Jan-23"/>
    <s v="04-Feb-25"/>
    <n v="1165"/>
    <n v="43446"/>
    <n v="12"/>
    <s v="S"/>
    <s v="T-1"/>
    <n v="739521"/>
    <s v="MC1E4DMA6PP043808"/>
    <s v="D71023849"/>
    <m/>
    <m/>
    <x v="1"/>
    <s v="28-Feb-25"/>
    <x v="1"/>
    <n v="0"/>
    <n v="587586"/>
    <s v="03-Jun-25"/>
    <n v="0"/>
    <n v="0"/>
    <n v="0"/>
    <n v="111053"/>
    <s v="03-Jun-25"/>
    <n v="0"/>
    <m/>
    <m/>
    <s v="T1BS6"/>
    <s v="CVD"/>
    <s v="P"/>
  </r>
  <r>
    <n v="34"/>
    <s v="NORTH"/>
    <s v="UTTAR PRADESH"/>
    <n v="7134"/>
    <s v="M/S GOENKA AUTO PRIVATE LIMITED."/>
    <s v="VARANASI"/>
    <s v="18-Jun-24"/>
    <s v="28-Feb-25"/>
    <n v="1165"/>
    <n v="40000"/>
    <n v="4"/>
    <s v="S"/>
    <s v="T26"/>
    <n v="776484"/>
    <s v="MC1E4FDA3RP020209"/>
    <s v="D71053461"/>
    <m/>
    <m/>
    <x v="1"/>
    <s v="28-Feb-25"/>
    <x v="1"/>
    <n v="0"/>
    <n v="587586"/>
    <s v="03-Jun-25"/>
    <n v="0"/>
    <n v="0"/>
    <n v="0"/>
    <n v="111053"/>
    <s v="03-Jun-25"/>
    <n v="0"/>
    <m/>
    <m/>
    <s v="T26BS6"/>
    <s v="CVD"/>
    <s v="P"/>
  </r>
  <r>
    <n v="35"/>
    <s v="NORTH"/>
    <s v="UTTAR PRADESH"/>
    <n v="7134"/>
    <s v="M/S GOENKA AUTO PRIVATE LIMITED."/>
    <s v="VARANASI"/>
    <s v="09-Mar-24"/>
    <s v="25-Feb-25"/>
    <n v="1165"/>
    <n v="35149"/>
    <n v="6"/>
    <s v="S"/>
    <s v="T-1"/>
    <n v="764716"/>
    <s v="MC1E4EAA5RP011669"/>
    <s v="D71046362"/>
    <m/>
    <m/>
    <x v="1"/>
    <s v="28-Feb-25"/>
    <x v="1"/>
    <n v="0"/>
    <n v="587586"/>
    <s v="03-Jun-25"/>
    <n v="0"/>
    <n v="0"/>
    <n v="0"/>
    <n v="111053"/>
    <s v="03-Jun-25"/>
    <n v="0"/>
    <m/>
    <m/>
    <s v="T1BS6"/>
    <s v="CVD"/>
    <s v="P"/>
  </r>
  <r>
    <n v="36"/>
    <s v="NORTH"/>
    <s v="UTTAR PRADESH"/>
    <n v="7134"/>
    <s v="M/S GOENKA AUTO PRIVATE LIMITED."/>
    <s v="VARANASI"/>
    <s v="31-Dec-24"/>
    <s v="26-Feb-25"/>
    <n v="1165"/>
    <n v="10000"/>
    <n v="1"/>
    <s v="S"/>
    <s v="T1N"/>
    <n v="6182"/>
    <s v="MC1M4AMA9SP003001"/>
    <s v="D71066870"/>
    <m/>
    <m/>
    <x v="1"/>
    <s v="28-Feb-25"/>
    <x v="1"/>
    <n v="1650"/>
    <n v="587586"/>
    <s v="03-Jun-25"/>
    <n v="1650"/>
    <n v="1947"/>
    <n v="297"/>
    <n v="111053"/>
    <s v="03-Jun-25"/>
    <n v="0"/>
    <m/>
    <m/>
    <s v="URBN"/>
    <s v="CVD"/>
    <s v="F"/>
  </r>
  <r>
    <n v="37"/>
    <s v="NORTH"/>
    <s v="UTTAR PRADESH"/>
    <n v="7134"/>
    <s v="M/S GOENKA AUTO PRIVATE LIMITED."/>
    <s v="VARANASI"/>
    <s v="20-Aug-24"/>
    <s v="12-Feb-25"/>
    <n v="1165"/>
    <n v="37919"/>
    <n v="4"/>
    <s v="S"/>
    <s v="TRAX"/>
    <n v="323055"/>
    <s v="MC1D4DFAXRP104783"/>
    <s v="D72015804"/>
    <m/>
    <m/>
    <x v="1"/>
    <s v="28-Feb-25"/>
    <x v="1"/>
    <n v="0"/>
    <n v="587586"/>
    <s v="03-Jun-25"/>
    <n v="0"/>
    <n v="0"/>
    <n v="0"/>
    <n v="111053"/>
    <s v="03-Jun-25"/>
    <n v="0"/>
    <m/>
    <m/>
    <s v="TRXBS6"/>
    <s v="CVD"/>
    <s v="P"/>
  </r>
  <r>
    <n v="38"/>
    <s v="NORTH"/>
    <s v="UTTAR PRADESH"/>
    <n v="7134"/>
    <s v="M/S GOENKA AUTO PRIVATE LIMITED."/>
    <s v="VARANASI"/>
    <s v="31-Oct-24"/>
    <s v="02-Feb-25"/>
    <n v="936"/>
    <n v="29900"/>
    <n v="2"/>
    <s v="S"/>
    <s v="T-1"/>
    <n v="782758"/>
    <s v="MC1E4CKA4SP081267"/>
    <s v="D71063533"/>
    <m/>
    <m/>
    <x v="1"/>
    <s v="28-Feb-25"/>
    <x v="1"/>
    <n v="1250"/>
    <n v="587586"/>
    <s v="03-Jun-25"/>
    <n v="1250"/>
    <n v="1475"/>
    <n v="225"/>
    <n v="111053"/>
    <s v="03-Jun-25"/>
    <n v="0"/>
    <m/>
    <m/>
    <s v="T1BS6"/>
    <s v="CVD"/>
    <s v="F"/>
  </r>
  <r>
    <n v="39"/>
    <s v="NORTH"/>
    <s v="UTTAR PRADESH"/>
    <n v="7134"/>
    <s v="M/S GOENKA AUTO PRIVATE LIMITED."/>
    <s v="VARANASI"/>
    <s v="26-Sep-23"/>
    <s v="26-Feb-25"/>
    <n v="1165"/>
    <n v="63374"/>
    <n v="9"/>
    <s v="S"/>
    <s v="T-1"/>
    <n v="753565"/>
    <s v="MC1E4EJA6RP010529"/>
    <s v="D71039065"/>
    <m/>
    <m/>
    <x v="1"/>
    <s v="28-Feb-25"/>
    <x v="1"/>
    <n v="0"/>
    <n v="587586"/>
    <s v="03-Jun-25"/>
    <n v="0"/>
    <n v="0"/>
    <n v="0"/>
    <n v="111053"/>
    <s v="03-Jun-25"/>
    <n v="0"/>
    <m/>
    <m/>
    <s v="T1BS6"/>
    <s v="CVD"/>
    <s v="P"/>
  </r>
  <r>
    <n v="40"/>
    <s v="NORTH"/>
    <s v="UTTAR PRADESH"/>
    <n v="7134"/>
    <s v="M/S GOENKA AUTO PRIVATE LIMITED."/>
    <s v="VARANASI"/>
    <s v="28-Dec-24"/>
    <s v="03-Feb-25"/>
    <n v="1165"/>
    <n v="8063"/>
    <n v="1"/>
    <s v="S"/>
    <s v="T26"/>
    <n v="789109"/>
    <s v="MC1E4FLA6SP021779"/>
    <s v="D71065359"/>
    <m/>
    <m/>
    <x v="1"/>
    <s v="28-Feb-25"/>
    <x v="1"/>
    <n v="1250"/>
    <n v="587586"/>
    <s v="03-Jun-25"/>
    <n v="1250"/>
    <n v="1475"/>
    <n v="225"/>
    <n v="111053"/>
    <s v="03-Jun-25"/>
    <n v="0"/>
    <m/>
    <m/>
    <s v="T26BS6"/>
    <s v="CVD"/>
    <s v="F"/>
  </r>
  <r>
    <n v="41"/>
    <s v="NORTH"/>
    <s v="UTTAR PRADESH"/>
    <n v="7134"/>
    <s v="M/S GOENKA AUTO PRIVATE LIMITED."/>
    <s v="VARANASI"/>
    <s v="29-Oct-24"/>
    <s v="26-Feb-25"/>
    <n v="1165"/>
    <n v="11643"/>
    <n v="2"/>
    <s v="S"/>
    <s v="T-1"/>
    <n v="790577"/>
    <s v="MC1E4EKA6SP014276"/>
    <s v="D71063328"/>
    <m/>
    <m/>
    <x v="1"/>
    <s v="28-Feb-25"/>
    <x v="1"/>
    <n v="0"/>
    <n v="587586"/>
    <s v="03-Jun-25"/>
    <n v="0"/>
    <n v="0"/>
    <n v="0"/>
    <n v="111053"/>
    <s v="03-Jun-25"/>
    <n v="0"/>
    <m/>
    <m/>
    <s v="T1BS6"/>
    <s v="CVD"/>
    <s v="P"/>
  </r>
  <r>
    <n v="42"/>
    <s v="NORTH"/>
    <s v="UTTAR PRADESH"/>
    <n v="7134"/>
    <s v="M/S GOENKA AUTO PRIVATE LIMITED."/>
    <s v="VARANASI"/>
    <s v="29-Oct-24"/>
    <s v="05-Feb-25"/>
    <n v="1165"/>
    <n v="10000"/>
    <n v="2"/>
    <s v="S"/>
    <s v="T-1"/>
    <n v="790578"/>
    <s v="MC1E4EKA4SP014275"/>
    <s v="D71063275"/>
    <m/>
    <m/>
    <x v="1"/>
    <s v="28-Feb-25"/>
    <x v="1"/>
    <n v="0"/>
    <n v="587586"/>
    <s v="03-Jun-25"/>
    <n v="0"/>
    <n v="0"/>
    <n v="0"/>
    <n v="111053"/>
    <s v="03-Jun-25"/>
    <n v="0"/>
    <m/>
    <m/>
    <s v="T1BS6"/>
    <s v="CVD"/>
    <s v="P"/>
  </r>
  <r>
    <n v="43"/>
    <s v="NORTH"/>
    <s v="UTTAR PRADESH"/>
    <n v="7134"/>
    <s v="M/S GOENKA AUTO PRIVATE LIMITED."/>
    <s v="VARANASI"/>
    <s v="17-Feb-23"/>
    <s v="16-Feb-25"/>
    <n v="1165"/>
    <n v="114805"/>
    <n v="12"/>
    <s v="S"/>
    <s v="TRAX"/>
    <n v="316627"/>
    <s v="MC1D4DAA1PP099672"/>
    <s v="D72010154"/>
    <m/>
    <m/>
    <x v="1"/>
    <s v="28-Feb-25"/>
    <x v="1"/>
    <n v="0"/>
    <n v="587586"/>
    <s v="03-Jun-25"/>
    <n v="0"/>
    <n v="0"/>
    <n v="0"/>
    <n v="111053"/>
    <s v="03-Jun-25"/>
    <n v="0"/>
    <m/>
    <m/>
    <s v="TRXBS6"/>
    <s v="CVD"/>
    <s v="P"/>
  </r>
  <r>
    <n v="44"/>
    <s v="NORTH"/>
    <s v="UTTAR PRADESH"/>
    <n v="7134"/>
    <s v="M/S GOENKA AUTO PRIVATE LIMITED."/>
    <s v="VARANASI"/>
    <s v="30-Aug-24"/>
    <s v="18-Feb-25"/>
    <n v="1165"/>
    <n v="20700"/>
    <n v="3"/>
    <s v="S"/>
    <s v="T-1"/>
    <n v="786160"/>
    <s v="MC1E4EGA5SP013614"/>
    <s v="D71059197"/>
    <m/>
    <m/>
    <x v="1"/>
    <s v="28-Feb-25"/>
    <x v="1"/>
    <n v="1250"/>
    <n v="587586"/>
    <s v="03-Jun-25"/>
    <n v="1250"/>
    <n v="1475"/>
    <n v="225"/>
    <n v="111053"/>
    <s v="03-Jun-25"/>
    <n v="0"/>
    <m/>
    <m/>
    <s v="T1BS6"/>
    <s v="CVD"/>
    <s v="F"/>
  </r>
  <r>
    <n v="45"/>
    <s v="NORTH"/>
    <s v="UTTAR PRADESH"/>
    <n v="7134"/>
    <s v="M/S GOENKA AUTO PRIVATE LIMITED."/>
    <s v="VARANASI"/>
    <s v="07-Dec-24"/>
    <s v="11-Feb-25"/>
    <n v="1165"/>
    <n v="6120"/>
    <n v="1"/>
    <s v="S"/>
    <s v="T-1"/>
    <n v="790691"/>
    <s v="MC1E4EKA1SP014296"/>
    <s v="D71062279"/>
    <m/>
    <m/>
    <x v="1"/>
    <s v="28-Feb-25"/>
    <x v="1"/>
    <n v="1250"/>
    <n v="587586"/>
    <s v="03-Jun-25"/>
    <n v="1250"/>
    <n v="1475"/>
    <n v="225"/>
    <n v="111053"/>
    <s v="03-Jun-25"/>
    <n v="0"/>
    <m/>
    <m/>
    <s v="T1BS6"/>
    <s v="CVD"/>
    <s v="F"/>
  </r>
  <r>
    <n v="46"/>
    <s v="NORTH"/>
    <s v="UTTAR PRADESH"/>
    <n v="7134"/>
    <s v="M/S GOENKA AUTO PRIVATE LIMITED."/>
    <s v="VARANASI"/>
    <s v="23-Sep-23"/>
    <s v="16-Feb-25"/>
    <n v="1165"/>
    <n v="64900"/>
    <n v="9"/>
    <s v="S"/>
    <s v="T-1"/>
    <n v="753201"/>
    <s v="MC1E4DHA8RP047825"/>
    <s v="D71037972"/>
    <m/>
    <m/>
    <x v="1"/>
    <s v="28-Feb-25"/>
    <x v="1"/>
    <n v="0"/>
    <n v="587586"/>
    <s v="03-Jun-25"/>
    <n v="0"/>
    <n v="0"/>
    <n v="0"/>
    <n v="111053"/>
    <s v="03-Jun-25"/>
    <n v="0"/>
    <m/>
    <m/>
    <s v="T1BS6"/>
    <s v="CVD"/>
    <s v="P"/>
  </r>
  <r>
    <n v="47"/>
    <s v="NORTH"/>
    <s v="UTTAR PRADESH"/>
    <n v="7134"/>
    <s v="M/S GOENKA AUTO PRIVATE LIMITED."/>
    <s v="VARANASI"/>
    <s v="07-Jul-23"/>
    <s v="25-Feb-25"/>
    <n v="1165"/>
    <n v="49069"/>
    <n v="10"/>
    <s v="S"/>
    <s v="TRAX"/>
    <n v="317296"/>
    <s v="MC1D4DFA2PP100417"/>
    <s v="D72010990"/>
    <m/>
    <m/>
    <x v="1"/>
    <s v="28-Feb-25"/>
    <x v="1"/>
    <n v="0"/>
    <n v="587586"/>
    <s v="03-Jun-25"/>
    <n v="0"/>
    <n v="0"/>
    <n v="0"/>
    <n v="111053"/>
    <s v="03-Jun-25"/>
    <n v="0"/>
    <m/>
    <m/>
    <s v="TRXBS6"/>
    <s v="CVD"/>
    <s v="P"/>
  </r>
  <r>
    <n v="48"/>
    <s v="NORTH"/>
    <s v="UTTAR PRADESH"/>
    <n v="7134"/>
    <s v="M/S GOENKA AUTO PRIVATE LIMITED."/>
    <s v="VARANASI"/>
    <s v="29-Feb-24"/>
    <s v="26-Feb-25"/>
    <n v="1165"/>
    <n v="52524"/>
    <n v="5"/>
    <s v="S"/>
    <s v="T1N"/>
    <n v="3261"/>
    <s v="MC1M4ABA8RP001057"/>
    <s v="D71048003"/>
    <s v="001"/>
    <s v="SERV KMS  / HRS EXCEEDS"/>
    <x v="1"/>
    <s v="28-Feb-25"/>
    <x v="1"/>
    <n v="1650"/>
    <n v="587586"/>
    <s v="03-Jun-25"/>
    <n v="1320"/>
    <n v="1947"/>
    <n v="297"/>
    <n v="111053"/>
    <s v="03-Jun-25"/>
    <n v="330"/>
    <m/>
    <m/>
    <s v="URBN"/>
    <s v="CVD"/>
    <s v="F"/>
  </r>
  <r>
    <n v="49"/>
    <s v="NORTH"/>
    <s v="UTTAR PRADESH"/>
    <n v="7134"/>
    <s v="M/S GOENKA AUTO PRIVATE LIMITED."/>
    <s v="VARANASI"/>
    <s v="19-Jul-24"/>
    <s v="06-Feb-25"/>
    <n v="1165"/>
    <n v="18378"/>
    <n v="3"/>
    <s v="S"/>
    <s v="TRAX"/>
    <n v="322598"/>
    <s v="MC1D1DEA4RP001546"/>
    <s v="D72015420"/>
    <s v="002"/>
    <s v="SERV DATE EXCEEDS"/>
    <x v="1"/>
    <s v="28-Feb-25"/>
    <x v="1"/>
    <n v="1250"/>
    <n v="587586"/>
    <s v="03-Jun-25"/>
    <n v="1000"/>
    <n v="1475"/>
    <n v="225"/>
    <n v="111053"/>
    <s v="03-Jun-25"/>
    <n v="250"/>
    <m/>
    <m/>
    <s v="TRXBS6"/>
    <s v="CVD"/>
    <s v="F"/>
  </r>
  <r>
    <n v="50"/>
    <s v="NORTH"/>
    <s v="UTTAR PRADESH"/>
    <n v="7134"/>
    <s v="M/S GOENKA AUTO PRIVATE LIMITED."/>
    <s v="VARANASI"/>
    <s v="30-Oct-24"/>
    <s v="06-Feb-25"/>
    <n v="1165"/>
    <n v="10000"/>
    <n v="1"/>
    <s v="S"/>
    <s v="T-1"/>
    <n v="790571"/>
    <s v="MC1E4EKA5SP014270"/>
    <s v="D71063329"/>
    <s v="002"/>
    <s v="SERV DATE EXCEEDS"/>
    <x v="1"/>
    <s v="28-Feb-25"/>
    <x v="1"/>
    <n v="1250"/>
    <n v="587586"/>
    <s v="03-Jun-25"/>
    <n v="1000"/>
    <n v="1475"/>
    <n v="225"/>
    <n v="111053"/>
    <s v="03-Jun-25"/>
    <n v="250"/>
    <m/>
    <m/>
    <s v="T1BS6"/>
    <s v="CVD"/>
    <s v="F"/>
  </r>
  <r>
    <n v="51"/>
    <s v="NORTH"/>
    <s v="UTTAR PRADESH"/>
    <n v="7134"/>
    <s v="M/S GOENKA AUTO PRIVATE LIMITED."/>
    <s v="VARANASI"/>
    <s v="28-Jun-24"/>
    <s v="11-Feb-25"/>
    <n v="1165"/>
    <n v="39573"/>
    <n v="4"/>
    <s v="S"/>
    <s v="T-1"/>
    <n v="775504"/>
    <s v="MC1E4EEA7RP012994"/>
    <s v="D71054867"/>
    <m/>
    <m/>
    <x v="1"/>
    <s v="28-Feb-25"/>
    <x v="1"/>
    <n v="0"/>
    <n v="587586"/>
    <s v="03-Jun-25"/>
    <n v="0"/>
    <n v="0"/>
    <n v="0"/>
    <n v="111053"/>
    <s v="03-Jun-25"/>
    <n v="0"/>
    <m/>
    <m/>
    <s v="T1BS6"/>
    <s v="CVD"/>
    <s v="P"/>
  </r>
  <r>
    <n v="52"/>
    <s v="NORTH"/>
    <s v="UTTAR PRADESH"/>
    <n v="7134"/>
    <s v="M/S GOENKA AUTO PRIVATE LIMITED."/>
    <s v="VARANASI"/>
    <s v="08-Oct-24"/>
    <s v="04-Feb-25"/>
    <n v="890"/>
    <n v="14560"/>
    <n v="2"/>
    <s v="S"/>
    <s v="T26"/>
    <n v="789142"/>
    <s v="MC1E4FJA4SP021525"/>
    <s v="D71061849"/>
    <m/>
    <m/>
    <x v="1"/>
    <s v="28-Feb-25"/>
    <x v="1"/>
    <n v="0"/>
    <n v="587586"/>
    <s v="03-Jun-25"/>
    <n v="0"/>
    <n v="0"/>
    <n v="0"/>
    <n v="111053"/>
    <s v="03-Jun-25"/>
    <n v="0"/>
    <m/>
    <m/>
    <s v="T26BS6"/>
    <s v="CVD"/>
    <s v="P"/>
  </r>
  <r>
    <n v="53"/>
    <s v="NORTH"/>
    <s v="UTTAR PRADESH"/>
    <n v="7134"/>
    <s v="M/S GOENKA AUTO PRIVATE LIMITED."/>
    <s v="VARANASI"/>
    <s v="09-Dec-24"/>
    <s v="19-Feb-25"/>
    <n v="1165"/>
    <n v="3296"/>
    <n v="1"/>
    <s v="S"/>
    <s v="T-1"/>
    <n v="781175"/>
    <s v="MC1E5DGA3SP000559"/>
    <s v="D73001405"/>
    <m/>
    <m/>
    <x v="1"/>
    <s v="28-Feb-25"/>
    <x v="1"/>
    <n v="1250"/>
    <n v="587586"/>
    <s v="03-Jun-25"/>
    <n v="1250"/>
    <n v="1475"/>
    <n v="225"/>
    <n v="111053"/>
    <s v="03-Jun-25"/>
    <n v="0"/>
    <m/>
    <m/>
    <s v="T1CNGL"/>
    <s v="CVD"/>
    <s v="F"/>
  </r>
  <r>
    <n v="54"/>
    <s v="NORTH"/>
    <s v="UTTAR PRADESH"/>
    <n v="7134"/>
    <s v="M/S GOENKA AUTO PRIVATE LIMITED."/>
    <s v="VARANASI"/>
    <s v="31-Aug-23"/>
    <s v="07-Feb-25"/>
    <n v="1165"/>
    <n v="110000"/>
    <n v="11"/>
    <s v="S"/>
    <s v="T26"/>
    <n v="756550"/>
    <s v="MC1E4FHA2RP017831"/>
    <s v="D71037510"/>
    <m/>
    <m/>
    <x v="1"/>
    <s v="28-Feb-25"/>
    <x v="1"/>
    <n v="1250"/>
    <n v="587586"/>
    <s v="03-Jun-25"/>
    <n v="1250"/>
    <n v="1475"/>
    <n v="225"/>
    <n v="111053"/>
    <s v="03-Jun-25"/>
    <n v="0"/>
    <m/>
    <m/>
    <s v="T26BS6"/>
    <s v="CVD"/>
    <s v="F"/>
  </r>
  <r>
    <n v="55"/>
    <s v="NORTH"/>
    <s v="UTTAR PRADESH"/>
    <n v="7134"/>
    <s v="M/S GOENKA AUTO PRIVATE LIMITED."/>
    <s v="VARANASI"/>
    <s v="22-May-24"/>
    <s v="07-Feb-25"/>
    <n v="990"/>
    <n v="10400"/>
    <n v="4"/>
    <s v="S"/>
    <s v="T-1"/>
    <n v="775773"/>
    <s v="MC1E1CEA7RP007811"/>
    <s v="D71054290"/>
    <s v="002"/>
    <s v="SERV DATE EXCEEDS"/>
    <x v="1"/>
    <s v="28-Feb-25"/>
    <x v="1"/>
    <n v="0"/>
    <n v="587586"/>
    <s v="03-Jun-25"/>
    <n v="0"/>
    <n v="0"/>
    <n v="0"/>
    <n v="111053"/>
    <s v="03-Jun-25"/>
    <n v="0"/>
    <m/>
    <m/>
    <s v="T1BS6"/>
    <s v="CVD"/>
    <s v="P"/>
  </r>
  <r>
    <n v="56"/>
    <s v="NORTH"/>
    <s v="UTTAR PRADESH"/>
    <n v="7134"/>
    <s v="M/S GOENKA AUTO PRIVATE LIMITED."/>
    <s v="VARANASI"/>
    <s v="26-Sep-23"/>
    <s v="24-Feb-25"/>
    <n v="1165"/>
    <n v="71552"/>
    <n v="9"/>
    <s v="S"/>
    <s v="T-1"/>
    <n v="754077"/>
    <s v="MC1E4DJA3RP048116"/>
    <s v="D71039101"/>
    <m/>
    <m/>
    <x v="1"/>
    <s v="28-Feb-25"/>
    <x v="1"/>
    <n v="0"/>
    <n v="587586"/>
    <s v="03-Jun-25"/>
    <n v="0"/>
    <n v="0"/>
    <n v="0"/>
    <n v="111053"/>
    <s v="03-Jun-25"/>
    <n v="0"/>
    <m/>
    <m/>
    <s v="T1BS6"/>
    <s v="CVD"/>
    <s v="P"/>
  </r>
  <r>
    <n v="57"/>
    <s v="NORTH"/>
    <s v="UTTAR PRADESH"/>
    <n v="7134"/>
    <s v="M/S GOENKA AUTO PRIVATE LIMITED."/>
    <s v="VARANASI"/>
    <s v="14-Oct-24"/>
    <s v="02-Feb-25"/>
    <n v="1165"/>
    <n v="20000"/>
    <n v="2"/>
    <s v="S"/>
    <s v="T-1"/>
    <n v="787043"/>
    <s v="MC1E4EHA8SP013850"/>
    <s v="D71061089"/>
    <m/>
    <m/>
    <x v="1"/>
    <s v="28-Feb-25"/>
    <x v="1"/>
    <n v="0"/>
    <n v="587586"/>
    <s v="03-Jun-25"/>
    <n v="0"/>
    <n v="0"/>
    <n v="0"/>
    <n v="111053"/>
    <s v="03-Jun-25"/>
    <n v="0"/>
    <m/>
    <m/>
    <s v="T1BS6"/>
    <s v="CVD"/>
    <s v="P"/>
  </r>
  <r>
    <n v="58"/>
    <s v="NORTH"/>
    <s v="UTTAR PRADESH"/>
    <n v="7134"/>
    <s v="M/S GOENKA AUTO PRIVATE LIMITED."/>
    <s v="VARANASI"/>
    <s v="14-Oct-24"/>
    <s v="16-Feb-25"/>
    <n v="1165"/>
    <n v="5210"/>
    <n v="1"/>
    <s v="S"/>
    <s v="T-1"/>
    <n v="782170"/>
    <s v="MC1E4DHA2SP054033"/>
    <s v="D71059735"/>
    <m/>
    <m/>
    <x v="1"/>
    <s v="28-Feb-25"/>
    <x v="1"/>
    <n v="1250"/>
    <n v="587586"/>
    <s v="03-Jun-25"/>
    <n v="1250"/>
    <n v="1475"/>
    <n v="225"/>
    <n v="111053"/>
    <s v="03-Jun-25"/>
    <n v="0"/>
    <m/>
    <m/>
    <s v="T1BS6N"/>
    <s v="CVD"/>
    <s v="F"/>
  </r>
  <r>
    <n v="59"/>
    <s v="NORTH"/>
    <s v="UTTAR PRADESH"/>
    <n v="7134"/>
    <s v="M/S GOENKA AUTO PRIVATE LIMITED."/>
    <s v="VARANASI"/>
    <s v="28-Jul-23"/>
    <s v="26-Feb-25"/>
    <n v="420"/>
    <n v="92265"/>
    <n v="10"/>
    <s v="S"/>
    <s v="TRAX"/>
    <n v="317249"/>
    <s v="MC1D4DGA3RP100492"/>
    <s v="D72011096"/>
    <m/>
    <m/>
    <x v="1"/>
    <s v="28-Feb-25"/>
    <x v="1"/>
    <n v="0"/>
    <n v="587586"/>
    <s v="03-Jun-25"/>
    <n v="0"/>
    <n v="0"/>
    <n v="0"/>
    <n v="111053"/>
    <s v="03-Jun-25"/>
    <n v="0"/>
    <m/>
    <m/>
    <s v="TRXBS6"/>
    <s v="CVD"/>
    <s v="P"/>
  </r>
  <r>
    <n v="60"/>
    <s v="NORTH"/>
    <s v="UTTAR PRADESH"/>
    <n v="7134"/>
    <s v="M/S GOENKA AUTO PRIVATE LIMITED."/>
    <s v="VARANASI"/>
    <s v="06-Jan-25"/>
    <s v="24-Feb-25"/>
    <n v="1165"/>
    <n v="10000"/>
    <n v="1"/>
    <s v="S"/>
    <s v="T-1"/>
    <n v="792098"/>
    <s v="MC1E4ELA3SP014637"/>
    <s v="D71065348"/>
    <m/>
    <m/>
    <x v="1"/>
    <s v="28-Feb-25"/>
    <x v="1"/>
    <n v="1250"/>
    <n v="587586"/>
    <s v="03-Jun-25"/>
    <n v="1250"/>
    <n v="1475"/>
    <n v="225"/>
    <n v="111053"/>
    <s v="03-Jun-25"/>
    <n v="0"/>
    <m/>
    <m/>
    <s v="T1BS6"/>
    <s v="CVD"/>
    <s v="F"/>
  </r>
  <r>
    <n v="61"/>
    <s v="NORTH"/>
    <s v="UTTAR PRADESH"/>
    <n v="7134"/>
    <s v="M/S GOENKA AUTO PRIVATE LIMITED."/>
    <s v="VARANASI"/>
    <s v="22-Feb-23"/>
    <s v="18-Feb-25"/>
    <n v="1165"/>
    <n v="75476"/>
    <n v="9"/>
    <s v="S"/>
    <s v="T1N"/>
    <n v="1107"/>
    <s v="MC1M4ABA8PP000150"/>
    <s v="D71026419"/>
    <m/>
    <m/>
    <x v="1"/>
    <s v="28-Feb-25"/>
    <x v="1"/>
    <n v="0"/>
    <n v="587586"/>
    <s v="03-Jun-25"/>
    <n v="0"/>
    <n v="0"/>
    <n v="0"/>
    <n v="111053"/>
    <s v="03-Jun-25"/>
    <n v="0"/>
    <m/>
    <m/>
    <s v="URBN"/>
    <s v="CVD"/>
    <s v="P"/>
  </r>
  <r>
    <n v="62"/>
    <s v="NORTH"/>
    <s v="UTTAR PRADESH"/>
    <n v="7134"/>
    <s v="M/S GOENKA AUTO PRIVATE LIMITED."/>
    <s v="VARANASI"/>
    <s v="20-Nov-24"/>
    <s v="02-Feb-25"/>
    <n v="1165"/>
    <n v="9900"/>
    <n v="1"/>
    <s v="S"/>
    <s v="T-1"/>
    <n v="790690"/>
    <s v="MC1E4EKA1SP014315"/>
    <s v="D71063632"/>
    <m/>
    <m/>
    <x v="1"/>
    <s v="28-Feb-25"/>
    <x v="1"/>
    <n v="1250"/>
    <n v="587586"/>
    <s v="03-Jun-25"/>
    <n v="1250"/>
    <n v="1475"/>
    <n v="225"/>
    <n v="111053"/>
    <s v="03-Jun-25"/>
    <n v="0"/>
    <m/>
    <m/>
    <s v="T1BS6"/>
    <s v="CVD"/>
    <s v="F"/>
  </r>
  <r>
    <n v="63"/>
    <s v="NORTH"/>
    <s v="UTTAR PRADESH"/>
    <n v="7134"/>
    <s v="M/S GOENKA AUTO PRIVATE LIMITED."/>
    <s v="VARANASI"/>
    <s v="10-Feb-24"/>
    <s v="28-Feb-25"/>
    <n v="1165"/>
    <n v="66731"/>
    <n v="7"/>
    <s v="S"/>
    <s v="T-1"/>
    <n v="761375"/>
    <s v="MC1E4EAA4RP011520"/>
    <s v="D71045359"/>
    <m/>
    <m/>
    <x v="1"/>
    <s v="28-Feb-25"/>
    <x v="1"/>
    <n v="0"/>
    <n v="587586"/>
    <s v="03-Jun-25"/>
    <n v="0"/>
    <n v="0"/>
    <n v="0"/>
    <n v="111053"/>
    <s v="03-Jun-25"/>
    <n v="0"/>
    <m/>
    <m/>
    <s v="T1BS6"/>
    <s v="CVD"/>
    <s v="P"/>
  </r>
  <r>
    <n v="64"/>
    <s v="NORTH"/>
    <s v="UTTAR PRADESH"/>
    <n v="7134"/>
    <s v="M/S GOENKA AUTO PRIVATE LIMITED."/>
    <s v="VARANASI"/>
    <s v="20-Aug-24"/>
    <s v="11-Feb-25"/>
    <n v="968"/>
    <n v="29230"/>
    <n v="3"/>
    <s v="S"/>
    <s v="T-1"/>
    <n v="775157"/>
    <s v="MC1E4DDA5RP052440"/>
    <s v="D71053480"/>
    <m/>
    <m/>
    <x v="1"/>
    <s v="28-Feb-25"/>
    <x v="1"/>
    <n v="1250"/>
    <n v="587586"/>
    <s v="03-Jun-25"/>
    <n v="1250"/>
    <n v="1475"/>
    <n v="225"/>
    <n v="111053"/>
    <s v="03-Jun-25"/>
    <n v="0"/>
    <m/>
    <m/>
    <s v="T1BS6"/>
    <s v="CVD"/>
    <s v="F"/>
  </r>
  <r>
    <n v="65"/>
    <s v="NORTH"/>
    <s v="UTTAR PRADESH"/>
    <n v="7134"/>
    <s v="M/S GOENKA AUTO PRIVATE LIMITED."/>
    <s v="VARANASI"/>
    <s v="17-Sep-24"/>
    <s v="13-Feb-25"/>
    <n v="1165"/>
    <n v="17580"/>
    <n v="2"/>
    <s v="S"/>
    <s v="T1N"/>
    <n v="5097"/>
    <s v="MC1M4AHAXSP002238"/>
    <s v="D71060908"/>
    <m/>
    <m/>
    <x v="1"/>
    <s v="28-Feb-25"/>
    <x v="1"/>
    <n v="0"/>
    <n v="587586"/>
    <s v="03-Jun-25"/>
    <n v="0"/>
    <n v="0"/>
    <n v="0"/>
    <n v="111053"/>
    <s v="03-Jun-25"/>
    <n v="0"/>
    <m/>
    <m/>
    <s v="URBN"/>
    <s v="CVD"/>
    <s v="P"/>
  </r>
  <r>
    <n v="66"/>
    <s v="NORTH"/>
    <s v="UTTAR PRADESH"/>
    <n v="7134"/>
    <s v="M/S GOENKA AUTO PRIVATE LIMITED."/>
    <s v="VARANASI"/>
    <s v="24-Jan-24"/>
    <s v="04-Feb-25"/>
    <n v="1165"/>
    <n v="60000"/>
    <n v="6"/>
    <s v="S"/>
    <s v="T-1"/>
    <n v="761341"/>
    <s v="MC1E4EAA5RP011526"/>
    <s v="D71045349"/>
    <m/>
    <m/>
    <x v="1"/>
    <s v="28-Feb-25"/>
    <x v="1"/>
    <n v="0"/>
    <n v="587586"/>
    <s v="03-Jun-25"/>
    <n v="0"/>
    <n v="0"/>
    <n v="0"/>
    <n v="111053"/>
    <s v="03-Jun-25"/>
    <n v="0"/>
    <m/>
    <m/>
    <s v="T1BS6"/>
    <s v="CVD"/>
    <s v="P"/>
  </r>
  <r>
    <n v="67"/>
    <s v="NORTH"/>
    <s v="UTTAR PRADESH"/>
    <n v="7134"/>
    <s v="M/S GOENKA AUTO PRIVATE LIMITED."/>
    <s v="VARANASI"/>
    <s v="13-May-24"/>
    <s v="03-Feb-25"/>
    <n v="1165"/>
    <n v="79383"/>
    <n v="8"/>
    <s v="S"/>
    <s v="T-1"/>
    <n v="764113"/>
    <s v="MC1E4ECAXRP012359"/>
    <s v="D71051066"/>
    <m/>
    <m/>
    <x v="1"/>
    <s v="28-Feb-25"/>
    <x v="1"/>
    <n v="1250"/>
    <n v="587586"/>
    <s v="03-Jun-25"/>
    <n v="1250"/>
    <n v="1475"/>
    <n v="225"/>
    <n v="111053"/>
    <s v="03-Jun-25"/>
    <n v="0"/>
    <m/>
    <m/>
    <s v="T1BS6"/>
    <s v="CVD"/>
    <s v="F"/>
  </r>
  <r>
    <n v="68"/>
    <s v="NORTH"/>
    <s v="UTTAR PRADESH"/>
    <n v="7134"/>
    <s v="M/S GOENKA AUTO PRIVATE LIMITED."/>
    <s v="VARANASI"/>
    <s v="25-Jun-24"/>
    <s v="20-Feb-25"/>
    <n v="1165"/>
    <n v="50000"/>
    <n v="5"/>
    <s v="S"/>
    <s v="T-1"/>
    <n v="775229"/>
    <s v="MC1E4EFA2RP013095"/>
    <s v="D71055313"/>
    <m/>
    <m/>
    <x v="1"/>
    <s v="28-Feb-25"/>
    <x v="1"/>
    <n v="1250"/>
    <n v="587586"/>
    <s v="03-Jun-25"/>
    <n v="1250"/>
    <n v="1475"/>
    <n v="225"/>
    <n v="111053"/>
    <s v="03-Jun-25"/>
    <n v="0"/>
    <m/>
    <m/>
    <s v="T1BS6"/>
    <s v="CVD"/>
    <s v="F"/>
  </r>
  <r>
    <n v="69"/>
    <s v="NORTH"/>
    <s v="UTTAR PRADESH"/>
    <n v="7134"/>
    <s v="M/S GOENKA AUTO PRIVATE LIMITED."/>
    <s v="VARANASI"/>
    <s v="31-Dec-24"/>
    <s v="24-Feb-25"/>
    <n v="1165"/>
    <n v="10000"/>
    <n v="1"/>
    <s v="S"/>
    <s v="T1N"/>
    <n v="6191"/>
    <s v="MC1M4ALA9SP002903"/>
    <s v="D71066450"/>
    <m/>
    <m/>
    <x v="1"/>
    <s v="28-Feb-25"/>
    <x v="1"/>
    <n v="1650"/>
    <n v="587586"/>
    <s v="03-Jun-25"/>
    <n v="1650"/>
    <n v="1947"/>
    <n v="297"/>
    <n v="111053"/>
    <s v="03-Jun-25"/>
    <n v="0"/>
    <m/>
    <m/>
    <s v="URBN"/>
    <s v="CVD"/>
    <s v="F"/>
  </r>
  <r>
    <n v="70"/>
    <s v="NORTH"/>
    <s v="UTTAR PRADESH"/>
    <n v="7134"/>
    <s v="M/S GOENKA AUTO PRIVATE LIMITED."/>
    <s v="VARANASI"/>
    <s v="27-Feb-23"/>
    <s v="14-Feb-25"/>
    <n v="1165"/>
    <n v="46618"/>
    <n v="12"/>
    <s v="S"/>
    <s v="T-1"/>
    <n v="726182"/>
    <s v="MC1E5CDA9NP000083"/>
    <s v="D73000092"/>
    <m/>
    <m/>
    <x v="1"/>
    <s v="28-Feb-25"/>
    <x v="1"/>
    <n v="0"/>
    <n v="587586"/>
    <s v="03-Jun-25"/>
    <n v="0"/>
    <n v="0"/>
    <n v="0"/>
    <n v="111053"/>
    <s v="03-Jun-25"/>
    <n v="0"/>
    <m/>
    <m/>
    <s v="T1CNGL"/>
    <s v="CVD"/>
    <s v="P"/>
  </r>
  <r>
    <n v="71"/>
    <s v="NORTH"/>
    <s v="UTTAR PRADESH"/>
    <n v="7134"/>
    <s v="M/S GOENKA AUTO PRIVATE LIMITED."/>
    <s v="VARANASI"/>
    <s v="25-Oct-24"/>
    <s v="25-Feb-25"/>
    <n v="1165"/>
    <n v="20000"/>
    <n v="2"/>
    <s v="S"/>
    <s v="T-1"/>
    <n v="787434"/>
    <s v="MC1E4EHA4SP013800"/>
    <s v="D71060490"/>
    <m/>
    <m/>
    <x v="1"/>
    <s v="28-Feb-25"/>
    <x v="1"/>
    <n v="0"/>
    <n v="587586"/>
    <s v="03-Jun-25"/>
    <n v="0"/>
    <n v="0"/>
    <n v="0"/>
    <n v="111053"/>
    <s v="03-Jun-25"/>
    <n v="0"/>
    <m/>
    <m/>
    <s v="T1BS6"/>
    <s v="CVD"/>
    <s v="P"/>
  </r>
  <r>
    <n v="72"/>
    <s v="NORTH"/>
    <s v="UTTAR PRADESH"/>
    <n v="7134"/>
    <s v="M/S GOENKA AUTO PRIVATE LIMITED."/>
    <s v="VARANASI"/>
    <s v="30-Sep-24"/>
    <s v="13-Feb-25"/>
    <n v="1165"/>
    <n v="6650"/>
    <n v="1"/>
    <s v="S"/>
    <s v="T-1"/>
    <n v="780785"/>
    <s v="MC1E4DFA3RP053275"/>
    <s v="D71056778"/>
    <m/>
    <m/>
    <x v="1"/>
    <s v="28-Feb-25"/>
    <x v="1"/>
    <n v="1250"/>
    <n v="587586"/>
    <s v="03-Jun-25"/>
    <n v="1250"/>
    <n v="1475"/>
    <n v="225"/>
    <n v="111053"/>
    <s v="03-Jun-25"/>
    <n v="0"/>
    <m/>
    <m/>
    <s v="T1BS6N"/>
    <s v="CVD"/>
    <s v="F"/>
  </r>
  <r>
    <n v="73"/>
    <s v="NORTH"/>
    <s v="UTTAR PRADESH"/>
    <n v="7134"/>
    <s v="M/S GOENKA AUTO PRIVATE LIMITED."/>
    <s v="VARANASI"/>
    <s v="23-Oct-24"/>
    <s v="14-Feb-25"/>
    <n v="1165"/>
    <n v="19820"/>
    <n v="2"/>
    <s v="S"/>
    <s v="T-1"/>
    <n v="786108"/>
    <s v="MC1E4EJA5SP014061"/>
    <s v="D71062337"/>
    <m/>
    <m/>
    <x v="1"/>
    <s v="28-Feb-25"/>
    <x v="1"/>
    <n v="0"/>
    <n v="587586"/>
    <s v="03-Jun-25"/>
    <n v="0"/>
    <n v="0"/>
    <n v="0"/>
    <n v="111053"/>
    <s v="03-Jun-25"/>
    <n v="0"/>
    <m/>
    <m/>
    <s v="T1BS6"/>
    <s v="CVD"/>
    <s v="P"/>
  </r>
  <r>
    <n v="74"/>
    <s v="NORTH"/>
    <s v="UTTAR PRADESH"/>
    <n v="7134"/>
    <s v="M/S GOENKA AUTO PRIVATE LIMITED."/>
    <s v="VARANASI"/>
    <s v="23-Aug-24"/>
    <s v="28-Feb-25"/>
    <n v="965"/>
    <n v="29930"/>
    <n v="3"/>
    <s v="S"/>
    <s v="T1N"/>
    <n v="4608"/>
    <s v="MC1M4AGA0SP001973"/>
    <s v="D71058189"/>
    <m/>
    <m/>
    <x v="1"/>
    <s v="28-Feb-25"/>
    <x v="1"/>
    <n v="1650"/>
    <n v="587586"/>
    <s v="03-Jun-25"/>
    <n v="1650"/>
    <n v="1947"/>
    <n v="297"/>
    <n v="111053"/>
    <s v="03-Jun-25"/>
    <n v="0"/>
    <m/>
    <m/>
    <s v="URBN"/>
    <s v="CVD"/>
    <s v="F"/>
  </r>
  <r>
    <n v="75"/>
    <s v="NORTH"/>
    <s v="UTTAR PRADESH"/>
    <n v="7134"/>
    <s v="M/S GOENKA AUTO PRIVATE LIMITED."/>
    <s v="VARANASI"/>
    <s v="31-Jul-23"/>
    <s v="25-Feb-25"/>
    <n v="998"/>
    <n v="107410"/>
    <n v="10"/>
    <s v="S"/>
    <s v="T-1"/>
    <n v="750061"/>
    <s v="MC1E4EFA9PP009977"/>
    <s v="D71034030"/>
    <s v="001"/>
    <s v="SERV KMS  / HRS EXCEEDS"/>
    <x v="1"/>
    <s v="28-Feb-25"/>
    <x v="1"/>
    <n v="0"/>
    <n v="587586"/>
    <s v="03-Jun-25"/>
    <n v="0"/>
    <n v="0"/>
    <n v="0"/>
    <n v="111053"/>
    <s v="03-Jun-25"/>
    <n v="0"/>
    <m/>
    <m/>
    <s v="T1BS6"/>
    <s v="CVD"/>
    <s v="P"/>
  </r>
  <r>
    <n v="76"/>
    <s v="NORTH"/>
    <s v="UTTAR PRADESH"/>
    <n v="7134"/>
    <s v="M/S GOENKA AUTO PRIVATE LIMITED."/>
    <s v="VARANASI"/>
    <s v="20-Oct-23"/>
    <s v="06-Feb-25"/>
    <n v="1165"/>
    <n v="110989"/>
    <n v="11"/>
    <s v="S"/>
    <s v="T-1"/>
    <n v="755374"/>
    <s v="MC1E4EKAXRP010712"/>
    <s v="D71040328"/>
    <m/>
    <m/>
    <x v="1"/>
    <s v="28-Feb-25"/>
    <x v="1"/>
    <n v="1250"/>
    <n v="587586"/>
    <s v="03-Jun-25"/>
    <n v="1250"/>
    <n v="1475"/>
    <n v="225"/>
    <n v="111053"/>
    <s v="03-Jun-25"/>
    <n v="0"/>
    <m/>
    <m/>
    <s v="T1BS6"/>
    <s v="CVD"/>
    <s v="F"/>
  </r>
  <r>
    <n v="77"/>
    <s v="NORTH"/>
    <s v="UTTAR PRADESH"/>
    <n v="7134"/>
    <s v="M/S GOENKA AUTO PRIVATE LIMITED."/>
    <s v="VARANASI"/>
    <s v="22-Nov-23"/>
    <s v="21-Feb-25"/>
    <n v="1165"/>
    <n v="89770"/>
    <n v="9"/>
    <s v="S"/>
    <s v="TRAX"/>
    <n v="317851"/>
    <s v="MC1D4DGA8RP100617"/>
    <s v="D72011234"/>
    <m/>
    <m/>
    <x v="1"/>
    <s v="28-Feb-25"/>
    <x v="1"/>
    <n v="0"/>
    <n v="587586"/>
    <s v="03-Jun-25"/>
    <n v="0"/>
    <n v="0"/>
    <n v="0"/>
    <n v="111053"/>
    <s v="03-Jun-25"/>
    <n v="0"/>
    <m/>
    <m/>
    <s v="TRXBS6"/>
    <s v="CVD"/>
    <s v="P"/>
  </r>
  <r>
    <n v="78"/>
    <s v="NORTH"/>
    <s v="UTTAR PRADESH"/>
    <n v="7134"/>
    <s v="M/S GOENKA AUTO PRIVATE LIMITED."/>
    <s v="VARANASI"/>
    <s v="20-Aug-24"/>
    <s v="18-Feb-25"/>
    <n v="970"/>
    <n v="29950"/>
    <n v="3"/>
    <s v="S"/>
    <s v="T1N"/>
    <n v="4625"/>
    <s v="MC1M4AGA3SP001949"/>
    <s v="D71058108"/>
    <m/>
    <m/>
    <x v="1"/>
    <s v="28-Feb-25"/>
    <x v="1"/>
    <n v="1650"/>
    <n v="587586"/>
    <s v="03-Jun-25"/>
    <n v="1650"/>
    <n v="1947"/>
    <n v="297"/>
    <n v="111053"/>
    <s v="03-Jun-25"/>
    <n v="0"/>
    <m/>
    <m/>
    <s v="URBN"/>
    <s v="CVD"/>
    <s v="F"/>
  </r>
  <r>
    <n v="79"/>
    <s v="NORTH"/>
    <s v="UTTAR PRADESH"/>
    <n v="7134"/>
    <s v="M/S GOENKA AUTO PRIVATE LIMITED."/>
    <s v="VARANASI"/>
    <s v="13-Dec-24"/>
    <s v="02-Feb-25"/>
    <n v="1165"/>
    <n v="8870"/>
    <n v="1"/>
    <s v="S"/>
    <s v="TRAX"/>
    <n v="326093"/>
    <s v="MC1D4DJA5SP105675"/>
    <s v="D72017155"/>
    <m/>
    <m/>
    <x v="1"/>
    <s v="28-Feb-25"/>
    <x v="1"/>
    <n v="1250"/>
    <n v="587586"/>
    <s v="03-Jun-25"/>
    <n v="1250"/>
    <n v="1475"/>
    <n v="225"/>
    <n v="111053"/>
    <s v="03-Jun-25"/>
    <n v="0"/>
    <m/>
    <m/>
    <s v="TRXBS6"/>
    <s v="CVD"/>
    <s v="F"/>
  </r>
  <r>
    <n v="80"/>
    <s v="NORTH"/>
    <s v="UTTAR PRADESH"/>
    <n v="7134"/>
    <s v="M/S GOENKA AUTO PRIVATE LIMITED."/>
    <s v="VARANASI"/>
    <s v="30-Jun-24"/>
    <s v="06-Feb-25"/>
    <n v="1165"/>
    <n v="29200"/>
    <n v="3"/>
    <s v="S"/>
    <s v="T1N"/>
    <n v="3559"/>
    <s v="MC1M4AFAXRP001720"/>
    <s v="D71055788"/>
    <m/>
    <m/>
    <x v="1"/>
    <s v="28-Feb-25"/>
    <x v="1"/>
    <n v="1650"/>
    <n v="587586"/>
    <s v="03-Jun-25"/>
    <n v="1650"/>
    <n v="1947"/>
    <n v="297"/>
    <n v="111053"/>
    <s v="03-Jun-25"/>
    <n v="0"/>
    <m/>
    <m/>
    <s v="URBN"/>
    <s v="CVD"/>
    <s v="F"/>
  </r>
  <r>
    <n v="81"/>
    <s v="NORTH"/>
    <s v="UTTAR PRADESH"/>
    <n v="7134"/>
    <s v="M/S GOENKA AUTO PRIVATE LIMITED."/>
    <s v="VARANASI"/>
    <s v="23-Sep-23"/>
    <s v="17-Feb-25"/>
    <n v="1165"/>
    <n v="70000"/>
    <n v="7"/>
    <s v="S"/>
    <s v="T-1"/>
    <n v="753171"/>
    <s v="MC1E4EJA5RP010487"/>
    <s v="D71038820"/>
    <s v="002"/>
    <s v="SERV DATE EXCEEDS"/>
    <x v="1"/>
    <s v="28-Feb-25"/>
    <x v="1"/>
    <n v="0"/>
    <n v="587586"/>
    <s v="03-Jun-25"/>
    <n v="0"/>
    <n v="0"/>
    <n v="0"/>
    <n v="111053"/>
    <s v="03-Jun-25"/>
    <n v="0"/>
    <m/>
    <m/>
    <s v="T1BS6"/>
    <s v="CVD"/>
    <s v="P"/>
  </r>
  <r>
    <n v="82"/>
    <s v="NORTH"/>
    <s v="UTTAR PRADESH"/>
    <n v="7134"/>
    <s v="M/S GOENKA AUTO PRIVATE LIMITED."/>
    <s v="VARANASI"/>
    <s v="22-Mar-24"/>
    <s v="03-Feb-25"/>
    <n v="1165"/>
    <n v="68937"/>
    <n v="7"/>
    <s v="S"/>
    <s v="TRAX"/>
    <n v="321778"/>
    <s v="MC1D4DBA4RP103635"/>
    <s v="D72014410"/>
    <m/>
    <m/>
    <x v="1"/>
    <s v="28-Feb-25"/>
    <x v="1"/>
    <n v="0"/>
    <n v="587586"/>
    <s v="03-Jun-25"/>
    <n v="0"/>
    <n v="0"/>
    <n v="0"/>
    <n v="111053"/>
    <s v="03-Jun-25"/>
    <n v="0"/>
    <m/>
    <m/>
    <s v="TRXBS6"/>
    <s v="CVD"/>
    <s v="P"/>
  </r>
  <r>
    <n v="83"/>
    <s v="NORTH"/>
    <s v="UTTAR PRADESH"/>
    <n v="7134"/>
    <s v="M/S GOENKA AUTO PRIVATE LIMITED."/>
    <s v="VARANASI"/>
    <s v="20-Jan-25"/>
    <s v="28-Feb-25"/>
    <n v="1165"/>
    <n v="9496"/>
    <n v="1"/>
    <s v="S"/>
    <s v="T1N"/>
    <n v="6475"/>
    <s v="MC1M4AAA6SP003235"/>
    <s v="D71069285"/>
    <m/>
    <m/>
    <x v="1"/>
    <s v="28-Feb-25"/>
    <x v="1"/>
    <n v="1650"/>
    <n v="587586"/>
    <s v="03-Jun-25"/>
    <n v="1650"/>
    <n v="1947"/>
    <n v="297"/>
    <n v="111053"/>
    <s v="03-Jun-25"/>
    <n v="0"/>
    <m/>
    <m/>
    <s v="URBN"/>
    <s v="CVD"/>
    <s v="F"/>
  </r>
  <r>
    <n v="84"/>
    <s v="NORTH"/>
    <s v="UTTAR PRADESH"/>
    <n v="7134"/>
    <s v="M/S GOENKA AUTO PRIVATE LIMITED."/>
    <s v="VARANASI"/>
    <s v="22-Jun-24"/>
    <s v="16-Feb-25"/>
    <n v="1165"/>
    <n v="49822"/>
    <n v="5"/>
    <s v="S"/>
    <s v="T-1"/>
    <n v="775938"/>
    <s v="MC1E4EDA0RP012854"/>
    <s v="D71053907"/>
    <m/>
    <m/>
    <x v="1"/>
    <s v="28-Feb-25"/>
    <x v="1"/>
    <n v="1250"/>
    <n v="587586"/>
    <s v="03-Jun-25"/>
    <n v="1250"/>
    <n v="1475"/>
    <n v="225"/>
    <n v="111053"/>
    <s v="03-Jun-25"/>
    <n v="0"/>
    <m/>
    <m/>
    <s v="T1BS6"/>
    <s v="CVD"/>
    <s v="F"/>
  </r>
  <r>
    <n v="85"/>
    <s v="NORTH"/>
    <s v="UTTAR PRADESH"/>
    <n v="7134"/>
    <s v="M/S GOENKA AUTO PRIVATE LIMITED."/>
    <s v="VARANASI"/>
    <s v="28-Mar-23"/>
    <s v="16-Feb-25"/>
    <n v="1165"/>
    <n v="23211"/>
    <n v="12"/>
    <s v="S"/>
    <s v="T-1"/>
    <n v="744171"/>
    <s v="MC1E4DAA5PP044162"/>
    <s v="D71024466"/>
    <m/>
    <m/>
    <x v="1"/>
    <s v="28-Feb-25"/>
    <x v="1"/>
    <n v="0"/>
    <n v="587586"/>
    <s v="03-Jun-25"/>
    <n v="0"/>
    <n v="0"/>
    <n v="0"/>
    <n v="111053"/>
    <s v="03-Jun-25"/>
    <n v="0"/>
    <m/>
    <m/>
    <s v="T1BS6"/>
    <s v="CVD"/>
    <s v="P"/>
  </r>
  <r>
    <n v="86"/>
    <s v="NORTH"/>
    <s v="UTTAR PRADESH"/>
    <n v="7134"/>
    <s v="M/S GOENKA AUTO PRIVATE LIMITED."/>
    <s v="VARANASI"/>
    <s v="30-Sep-23"/>
    <s v="06-Feb-25"/>
    <n v="1165"/>
    <n v="29835"/>
    <n v="9"/>
    <s v="S"/>
    <s v="T26"/>
    <n v="758028"/>
    <s v="MC1E4FJA3RP018139"/>
    <s v="D71039030"/>
    <m/>
    <m/>
    <x v="1"/>
    <s v="28-Feb-25"/>
    <x v="1"/>
    <n v="0"/>
    <n v="587586"/>
    <s v="03-Jun-25"/>
    <n v="0"/>
    <n v="0"/>
    <n v="0"/>
    <n v="111053"/>
    <s v="03-Jun-25"/>
    <n v="0"/>
    <m/>
    <m/>
    <s v="T26BS6"/>
    <s v="CVD"/>
    <s v="P"/>
  </r>
  <r>
    <n v="87"/>
    <s v="NORTH"/>
    <s v="UTTAR PRADESH"/>
    <n v="7134"/>
    <s v="M/S GOENKA AUTO PRIVATE LIMITED."/>
    <s v="VARANASI"/>
    <s v="15-Feb-24"/>
    <s v="05-Feb-25"/>
    <n v="1165"/>
    <n v="40000"/>
    <n v="4"/>
    <s v="S"/>
    <s v="T1N"/>
    <n v="3267"/>
    <s v="MC1M4ABA3RP000978"/>
    <s v="D71046706"/>
    <m/>
    <m/>
    <x v="1"/>
    <s v="28-Feb-25"/>
    <x v="1"/>
    <n v="0"/>
    <n v="587586"/>
    <s v="03-Jun-25"/>
    <n v="0"/>
    <n v="0"/>
    <n v="0"/>
    <n v="111053"/>
    <s v="03-Jun-25"/>
    <n v="0"/>
    <m/>
    <m/>
    <s v="URBN"/>
    <s v="CVD"/>
    <s v="P"/>
  </r>
  <r>
    <n v="88"/>
    <s v="NORTH"/>
    <s v="UTTAR PRADESH"/>
    <n v="7134"/>
    <s v="M/S GOENKA AUTO PRIVATE LIMITED."/>
    <s v="VARANASI"/>
    <s v="29-Oct-24"/>
    <s v="26-Feb-25"/>
    <n v="1165"/>
    <n v="10000"/>
    <n v="1"/>
    <s v="S"/>
    <s v="T-1"/>
    <n v="790753"/>
    <s v="MC1E4DKA8SP054739"/>
    <s v="D71063348"/>
    <s v="002"/>
    <s v="SERV DATE EXCEEDS"/>
    <x v="1"/>
    <s v="28-Feb-25"/>
    <x v="1"/>
    <n v="1250"/>
    <n v="587586"/>
    <s v="03-Jun-25"/>
    <n v="1000"/>
    <n v="1475"/>
    <n v="225"/>
    <n v="111053"/>
    <s v="03-Jun-25"/>
    <n v="250"/>
    <m/>
    <m/>
    <s v="T1BS6"/>
    <s v="CVD"/>
    <s v="F"/>
  </r>
  <r>
    <n v="89"/>
    <s v="NORTH"/>
    <s v="UTTAR PRADESH"/>
    <n v="7134"/>
    <s v="M/S GOENKA AUTO PRIVATE LIMITED."/>
    <s v="VARANASI"/>
    <s v="30-Oct-24"/>
    <s v="10-Feb-25"/>
    <n v="1165"/>
    <n v="10000"/>
    <n v="1"/>
    <s v="S"/>
    <s v="T1N"/>
    <n v="4895"/>
    <s v="MC1M4AKA8SP002635"/>
    <s v="D71064370"/>
    <s v="002"/>
    <s v="SERV DATE EXCEEDS"/>
    <x v="1"/>
    <s v="28-Feb-25"/>
    <x v="1"/>
    <n v="1650"/>
    <n v="587586"/>
    <s v="03-Jun-25"/>
    <n v="1320"/>
    <n v="1947"/>
    <n v="297"/>
    <n v="111053"/>
    <s v="03-Jun-25"/>
    <n v="330"/>
    <m/>
    <m/>
    <s v="URBN"/>
    <s v="CVD"/>
    <s v="F"/>
  </r>
  <r>
    <n v="90"/>
    <s v="NORTH"/>
    <s v="UTTAR PRADESH"/>
    <n v="7134"/>
    <s v="M/S GOENKA AUTO PRIVATE LIMITED."/>
    <s v="VARANASI"/>
    <s v="10-Jul-24"/>
    <s v="11-Feb-25"/>
    <n v="1165"/>
    <n v="39027"/>
    <n v="4"/>
    <s v="S"/>
    <s v="T-1"/>
    <n v="774685"/>
    <s v="MC1E4EFA6RP013360"/>
    <s v="D71057471"/>
    <m/>
    <m/>
    <x v="1"/>
    <s v="28-Feb-25"/>
    <x v="1"/>
    <n v="0"/>
    <n v="587586"/>
    <s v="03-Jun-25"/>
    <n v="0"/>
    <n v="0"/>
    <n v="0"/>
    <n v="111053"/>
    <s v="03-Jun-25"/>
    <n v="0"/>
    <m/>
    <m/>
    <s v="T1BS6"/>
    <s v="CVD"/>
    <s v="P"/>
  </r>
  <r>
    <n v="91"/>
    <s v="NORTH"/>
    <s v="UTTAR PRADESH"/>
    <n v="7134"/>
    <s v="M/S GOENKA AUTO PRIVATE LIMITED."/>
    <s v="VARANASI"/>
    <s v="15-Nov-24"/>
    <s v="02-Feb-25"/>
    <n v="1165"/>
    <n v="19416"/>
    <n v="2"/>
    <s v="S"/>
    <s v="T26"/>
    <n v="789860"/>
    <s v="MC1E4FJA7SP021633"/>
    <s v="D71063051"/>
    <m/>
    <m/>
    <x v="1"/>
    <s v="28-Feb-25"/>
    <x v="1"/>
    <n v="0"/>
    <n v="587586"/>
    <s v="03-Jun-25"/>
    <n v="0"/>
    <n v="0"/>
    <n v="0"/>
    <n v="111053"/>
    <s v="03-Jun-25"/>
    <n v="0"/>
    <m/>
    <m/>
    <s v="T26BS6"/>
    <s v="CVD"/>
    <s v="P"/>
  </r>
  <r>
    <n v="92"/>
    <s v="NORTH"/>
    <s v="UTTAR PRADESH"/>
    <n v="7134"/>
    <s v="M/S GOENKA AUTO PRIVATE LIMITED."/>
    <s v="VARANASI"/>
    <s v="29-Jan-24"/>
    <s v="03-Feb-25"/>
    <n v="1180"/>
    <n v="10176"/>
    <n v="6"/>
    <s v="S"/>
    <s v="T-1"/>
    <n v="762849"/>
    <s v="MC1E1CAA2RP007611"/>
    <s v="D71045174"/>
    <m/>
    <m/>
    <x v="1"/>
    <s v="28-Feb-25"/>
    <x v="1"/>
    <n v="0"/>
    <n v="587586"/>
    <s v="03-Jun-25"/>
    <n v="0"/>
    <n v="0"/>
    <n v="0"/>
    <n v="111053"/>
    <s v="03-Jun-25"/>
    <n v="0"/>
    <m/>
    <m/>
    <s v="T1BS6"/>
    <s v="CVD"/>
    <s v="P"/>
  </r>
  <r>
    <n v="93"/>
    <s v="NORTH"/>
    <s v="UTTAR PRADESH"/>
    <n v="7134"/>
    <s v="M/S GOENKA AUTO PRIVATE LIMITED."/>
    <s v="VARANASI"/>
    <s v="30-Sep-24"/>
    <s v="25-Feb-25"/>
    <n v="1165"/>
    <n v="19331"/>
    <n v="2"/>
    <s v="S"/>
    <s v="T1N"/>
    <n v="5319"/>
    <s v="MC1M4AJA6SP002358"/>
    <s v="D71062135"/>
    <m/>
    <m/>
    <x v="1"/>
    <s v="28-Feb-25"/>
    <x v="1"/>
    <n v="0"/>
    <n v="587586"/>
    <s v="03-Jun-25"/>
    <n v="0"/>
    <n v="0"/>
    <n v="0"/>
    <n v="111053"/>
    <s v="03-Jun-25"/>
    <n v="0"/>
    <m/>
    <m/>
    <s v="URBN"/>
    <s v="CVD"/>
    <s v="P"/>
  </r>
  <r>
    <n v="94"/>
    <s v="NORTH"/>
    <s v="UTTAR PRADESH"/>
    <n v="7134"/>
    <s v="M/S GOENKA AUTO PRIVATE LIMITED."/>
    <s v="VARANASI"/>
    <s v="09-Oct-24"/>
    <s v="09-Feb-25"/>
    <n v="1165"/>
    <n v="7456"/>
    <n v="2"/>
    <s v="S"/>
    <s v="TRAX"/>
    <n v="324907"/>
    <s v="MC1D4DHAXSP105337"/>
    <s v="D72016757"/>
    <m/>
    <m/>
    <x v="1"/>
    <s v="28-Feb-25"/>
    <x v="1"/>
    <n v="0"/>
    <n v="587586"/>
    <s v="03-Jun-25"/>
    <n v="0"/>
    <n v="0"/>
    <n v="0"/>
    <n v="111053"/>
    <s v="03-Jun-25"/>
    <n v="0"/>
    <m/>
    <m/>
    <s v="TRXBS6"/>
    <s v="CVD"/>
    <s v="P"/>
  </r>
  <r>
    <n v="95"/>
    <s v="NORTH"/>
    <s v="UTTAR PRADESH"/>
    <n v="7134"/>
    <s v="M/S GOENKA AUTO PRIVATE LIMITED."/>
    <s v="VARANASI"/>
    <s v="19-Dec-24"/>
    <s v="21-Feb-25"/>
    <n v="1165"/>
    <n v="9500"/>
    <n v="1"/>
    <s v="S"/>
    <s v="T26"/>
    <n v="789111"/>
    <s v="MC1E4FLA6SP021782"/>
    <s v="D71065402"/>
    <m/>
    <m/>
    <x v="1"/>
    <s v="28-Feb-25"/>
    <x v="1"/>
    <n v="1250"/>
    <n v="587586"/>
    <s v="03-Jun-25"/>
    <n v="1250"/>
    <n v="1475"/>
    <n v="225"/>
    <n v="111053"/>
    <s v="03-Jun-25"/>
    <n v="0"/>
    <m/>
    <m/>
    <s v="T26BS6"/>
    <s v="CVD"/>
    <s v="F"/>
  </r>
  <r>
    <n v="96"/>
    <s v="NORTH"/>
    <s v="UTTAR PRADESH"/>
    <n v="7134"/>
    <s v="M/S GOENKA AUTO PRIVATE LIMITED."/>
    <s v="VARANASI"/>
    <s v="15-Oct-24"/>
    <s v="05-Feb-25"/>
    <n v="1165"/>
    <n v="10000"/>
    <n v="1"/>
    <s v="S"/>
    <s v="T1N"/>
    <n v="5320"/>
    <s v="MC1M4AJA3SP002284"/>
    <s v="D71061468"/>
    <s v="002"/>
    <s v="SERV DATE EXCEEDS"/>
    <x v="1"/>
    <s v="28-Feb-25"/>
    <x v="1"/>
    <n v="1650"/>
    <n v="587586"/>
    <s v="03-Jun-25"/>
    <n v="1320"/>
    <n v="1947"/>
    <n v="297"/>
    <n v="111053"/>
    <s v="03-Jun-25"/>
    <n v="330"/>
    <m/>
    <m/>
    <s v="URBN"/>
    <s v="CVD"/>
    <s v="F"/>
  </r>
  <r>
    <n v="97"/>
    <s v="NORTH"/>
    <s v="UTTAR PRADESH"/>
    <n v="7134"/>
    <s v="M/S GOENKA AUTO PRIVATE LIMITED."/>
    <s v="VARANASI"/>
    <s v="18-Sep-24"/>
    <s v="27-Feb-25"/>
    <n v="1165"/>
    <n v="21204"/>
    <n v="2"/>
    <s v="S"/>
    <s v="T1N"/>
    <n v="5132"/>
    <s v="MC1M4AJA3SP002320"/>
    <s v="D71061676"/>
    <s v="001"/>
    <s v="SERV KMS  / HRS EXCEEDS"/>
    <x v="1"/>
    <s v="28-Feb-25"/>
    <x v="1"/>
    <n v="0"/>
    <n v="587586"/>
    <s v="03-Jun-25"/>
    <n v="0"/>
    <n v="0"/>
    <n v="0"/>
    <n v="111053"/>
    <s v="03-Jun-25"/>
    <n v="0"/>
    <m/>
    <m/>
    <s v="URBN"/>
    <s v="CVD"/>
    <s v="P"/>
  </r>
  <r>
    <n v="98"/>
    <s v="NORTH"/>
    <s v="UTTAR PRADESH"/>
    <n v="7134"/>
    <s v="M/S GOENKA AUTO PRIVATE LIMITED."/>
    <s v="VARANASI"/>
    <s v="19-Feb-24"/>
    <s v="12-Feb-25"/>
    <n v="1165"/>
    <n v="60000"/>
    <n v="6"/>
    <s v="S"/>
    <s v="T1N"/>
    <n v="3268"/>
    <s v="MC1M4ABA1RP000994"/>
    <s v="D71047182"/>
    <m/>
    <m/>
    <x v="1"/>
    <s v="28-Feb-25"/>
    <x v="1"/>
    <n v="0"/>
    <n v="587586"/>
    <s v="03-Jun-25"/>
    <n v="0"/>
    <n v="0"/>
    <n v="0"/>
    <n v="111053"/>
    <s v="03-Jun-25"/>
    <n v="0"/>
    <m/>
    <m/>
    <s v="URBN"/>
    <s v="CVD"/>
    <s v="P"/>
  </r>
  <r>
    <n v="99"/>
    <s v="NORTH"/>
    <s v="UTTAR PRADESH"/>
    <n v="7134"/>
    <s v="M/S GOENKA AUTO PRIVATE LIMITED."/>
    <s v="VARANASI"/>
    <s v="15-Jul-24"/>
    <s v="21-Feb-25"/>
    <n v="1165"/>
    <n v="30807"/>
    <n v="4"/>
    <s v="S"/>
    <s v="T-1"/>
    <n v="774646"/>
    <s v="MC1E4EFA8RP013229"/>
    <s v="D71056708"/>
    <m/>
    <m/>
    <x v="1"/>
    <s v="28-Feb-25"/>
    <x v="1"/>
    <n v="0"/>
    <n v="587586"/>
    <s v="03-Jun-25"/>
    <n v="0"/>
    <n v="0"/>
    <n v="0"/>
    <n v="111053"/>
    <s v="03-Jun-25"/>
    <n v="0"/>
    <m/>
    <m/>
    <s v="T1BS6"/>
    <s v="CVD"/>
    <s v="P"/>
  </r>
  <r>
    <n v="100"/>
    <s v="NORTH"/>
    <s v="UTTAR PRADESH"/>
    <n v="7134"/>
    <s v="M/S GOENKA AUTO PRIVATE LIMITED."/>
    <s v="VARANASI"/>
    <s v="31-Dec-24"/>
    <s v="04-Feb-25"/>
    <n v="1150"/>
    <n v="9920"/>
    <n v="1"/>
    <s v="S"/>
    <s v="T1N"/>
    <n v="5709"/>
    <s v="MC1M4ALA5SP002834"/>
    <s v="D71066059"/>
    <m/>
    <m/>
    <x v="1"/>
    <s v="28-Feb-25"/>
    <x v="1"/>
    <n v="1650"/>
    <n v="587586"/>
    <s v="03-Jun-25"/>
    <n v="1650"/>
    <n v="1947"/>
    <n v="297"/>
    <n v="111053"/>
    <s v="03-Jun-25"/>
    <n v="0"/>
    <m/>
    <m/>
    <s v="URBN"/>
    <s v="CVD"/>
    <s v="F"/>
  </r>
  <r>
    <n v="101"/>
    <s v="NORTH"/>
    <s v="UTTAR PRADESH"/>
    <n v="7134"/>
    <s v="M/S GOENKA AUTO PRIVATE LIMITED."/>
    <s v="VARANASI"/>
    <s v="20-Jul-24"/>
    <s v="17-Feb-25"/>
    <n v="1165"/>
    <n v="38333"/>
    <n v="4"/>
    <s v="S"/>
    <s v="T1N"/>
    <n v="3564"/>
    <s v="MC1M4AFA5RP001723"/>
    <s v="D71056049"/>
    <m/>
    <m/>
    <x v="1"/>
    <s v="28-Feb-25"/>
    <x v="1"/>
    <n v="0"/>
    <n v="587586"/>
    <s v="03-Jun-25"/>
    <n v="0"/>
    <n v="0"/>
    <n v="0"/>
    <n v="111053"/>
    <s v="03-Jun-25"/>
    <n v="0"/>
    <m/>
    <m/>
    <s v="URBN"/>
    <s v="CVD"/>
    <s v="P"/>
  </r>
  <r>
    <n v="102"/>
    <s v="NORTH"/>
    <s v="UTTAR PRADESH"/>
    <n v="7134"/>
    <s v="M/S GOENKA AUTO PRIVATE LIMITED."/>
    <s v="VARANASI"/>
    <s v="30-May-24"/>
    <s v="10-Feb-25"/>
    <n v="1165"/>
    <n v="67124"/>
    <n v="7"/>
    <s v="S"/>
    <s v="TRAX"/>
    <n v="321779"/>
    <s v="MC1D4DBA9RP103565"/>
    <s v="D72014281"/>
    <m/>
    <m/>
    <x v="1"/>
    <s v="28-Feb-25"/>
    <x v="1"/>
    <n v="0"/>
    <n v="587586"/>
    <s v="03-Jun-25"/>
    <n v="0"/>
    <n v="0"/>
    <n v="0"/>
    <n v="111053"/>
    <s v="03-Jun-25"/>
    <n v="0"/>
    <m/>
    <m/>
    <s v="TRXBS6"/>
    <s v="CVD"/>
    <s v="P"/>
  </r>
  <r>
    <n v="103"/>
    <s v="NORTH"/>
    <s v="UTTAR PRADESH"/>
    <n v="7134"/>
    <s v="M/S GOENKA AUTO PRIVATE LIMITED."/>
    <s v="VARANASI"/>
    <s v="29-Jun-24"/>
    <s v="28-Feb-25"/>
    <n v="1165"/>
    <n v="50000"/>
    <n v="5"/>
    <s v="S"/>
    <s v="T-1"/>
    <n v="775224"/>
    <s v="MC1E4EFA7RP013089"/>
    <s v="D71055925"/>
    <m/>
    <m/>
    <x v="1"/>
    <s v="28-Feb-25"/>
    <x v="1"/>
    <n v="1250"/>
    <n v="587586"/>
    <s v="03-Jun-25"/>
    <n v="1250"/>
    <n v="1475"/>
    <n v="225"/>
    <n v="111053"/>
    <s v="03-Jun-25"/>
    <n v="0"/>
    <m/>
    <m/>
    <s v="T1BS6"/>
    <s v="CVD"/>
    <s v="F"/>
  </r>
  <r>
    <n v="104"/>
    <s v="NORTH"/>
    <s v="UTTAR PRADESH"/>
    <n v="7134"/>
    <s v="M/S GOENKA AUTO PRIVATE LIMITED."/>
    <s v="VARANASI"/>
    <s v="25-Apr-24"/>
    <s v="25-Feb-25"/>
    <n v="1165"/>
    <n v="60000"/>
    <n v="6"/>
    <s v="S"/>
    <s v="T1N"/>
    <n v="3488"/>
    <s v="MC1M4ADA9RP001369"/>
    <s v="D71052448"/>
    <m/>
    <m/>
    <x v="1"/>
    <s v="28-Feb-25"/>
    <x v="1"/>
    <n v="0"/>
    <n v="587586"/>
    <s v="03-Jun-25"/>
    <n v="0"/>
    <n v="0"/>
    <n v="0"/>
    <n v="111053"/>
    <s v="03-Jun-25"/>
    <n v="0"/>
    <m/>
    <m/>
    <s v="URBN"/>
    <s v="CVD"/>
    <s v="P"/>
  </r>
  <r>
    <n v="105"/>
    <s v="NORTH"/>
    <s v="UTTAR PRADESH"/>
    <n v="7134"/>
    <s v="M/S GOENKA AUTO PRIVATE LIMITED."/>
    <s v="VARANASI"/>
    <s v="15-Feb-23"/>
    <s v="02-Feb-25"/>
    <n v="1168"/>
    <n v="33121"/>
    <n v="12"/>
    <s v="S"/>
    <s v="T26"/>
    <n v="741382"/>
    <s v="MC1E4FAA6PP016186"/>
    <s v="D71025294"/>
    <m/>
    <m/>
    <x v="1"/>
    <s v="28-Feb-25"/>
    <x v="1"/>
    <n v="0"/>
    <n v="587586"/>
    <s v="03-Jun-25"/>
    <n v="0"/>
    <n v="0"/>
    <n v="0"/>
    <n v="111053"/>
    <s v="03-Jun-25"/>
    <n v="0"/>
    <m/>
    <m/>
    <s v="T26BS6"/>
    <s v="CVD"/>
    <s v="P"/>
  </r>
  <r>
    <n v="106"/>
    <s v="NORTH"/>
    <s v="UTTAR PRADESH"/>
    <n v="7134"/>
    <s v="M/S GOENKA AUTO PRIVATE LIMITED."/>
    <s v="VARANASI"/>
    <s v="03-May-24"/>
    <s v="05-Feb-25"/>
    <n v="1165"/>
    <n v="19735"/>
    <n v="2"/>
    <s v="S"/>
    <s v="T26"/>
    <n v="768518"/>
    <s v="MC1E4FCA1RP019657"/>
    <s v="D71049595"/>
    <m/>
    <m/>
    <x v="1"/>
    <s v="28-Feb-25"/>
    <x v="1"/>
    <n v="1250"/>
    <n v="587586"/>
    <s v="03-Jun-25"/>
    <n v="1250"/>
    <n v="1475"/>
    <n v="225"/>
    <n v="111053"/>
    <s v="03-Jun-25"/>
    <n v="0"/>
    <m/>
    <m/>
    <s v="T26BS6N"/>
    <s v="CVD"/>
    <s v="F"/>
  </r>
  <r>
    <n v="107"/>
    <s v="NORTH"/>
    <s v="UTTAR PRADESH"/>
    <n v="7134"/>
    <s v="M/S GOENKA AUTO PRIVATE LIMITED."/>
    <s v="VARANASI"/>
    <s v="05-Jul-24"/>
    <s v="11-Feb-25"/>
    <n v="1168"/>
    <n v="50000"/>
    <n v="5"/>
    <s v="S"/>
    <s v="T26"/>
    <n v="1"/>
    <s v="MC1E4FEA6RP020333"/>
    <s v="D71054105"/>
    <m/>
    <m/>
    <x v="1"/>
    <s v="28-Feb-25"/>
    <x v="1"/>
    <n v="1250"/>
    <n v="587586"/>
    <s v="03-Jun-25"/>
    <n v="1250"/>
    <n v="1475"/>
    <n v="225"/>
    <n v="111053"/>
    <s v="03-Jun-25"/>
    <n v="0"/>
    <m/>
    <m/>
    <s v="T26BS6"/>
    <s v="CVD"/>
    <s v="F"/>
  </r>
  <r>
    <n v="108"/>
    <s v="NORTH"/>
    <s v="UTTAR PRADESH"/>
    <n v="7134"/>
    <s v="M/S GOENKA AUTO PRIVATE LIMITED."/>
    <s v="VARANASI"/>
    <s v="21-Sep-24"/>
    <s v="13-Feb-25"/>
    <n v="1165"/>
    <n v="30000"/>
    <n v="3"/>
    <s v="S"/>
    <s v="T-1"/>
    <n v="786320"/>
    <s v="MC1E4EHA1SP013740"/>
    <s v="D71060115"/>
    <m/>
    <m/>
    <x v="1"/>
    <s v="28-Feb-25"/>
    <x v="1"/>
    <n v="1250"/>
    <n v="587586"/>
    <s v="03-Jun-25"/>
    <n v="1250"/>
    <n v="1475"/>
    <n v="225"/>
    <n v="111053"/>
    <s v="03-Jun-25"/>
    <n v="0"/>
    <m/>
    <m/>
    <s v="T1BS6"/>
    <s v="CVD"/>
    <s v="F"/>
  </r>
  <r>
    <n v="109"/>
    <s v="NORTH"/>
    <s v="UTTAR PRADESH"/>
    <n v="7134"/>
    <s v="M/S GOENKA AUTO PRIVATE LIMITED."/>
    <s v="VARANASI"/>
    <s v="18-Aug-23"/>
    <s v="05-Feb-25"/>
    <n v="1165"/>
    <n v="76000"/>
    <n v="9"/>
    <s v="S"/>
    <s v="T-1"/>
    <n v="752799"/>
    <s v="MC1E4DHA0RP047429"/>
    <s v="D71036561"/>
    <m/>
    <m/>
    <x v="1"/>
    <s v="28-Feb-25"/>
    <x v="1"/>
    <n v="0"/>
    <n v="587586"/>
    <s v="03-Jun-25"/>
    <n v="0"/>
    <n v="0"/>
    <n v="0"/>
    <n v="111053"/>
    <s v="03-Jun-25"/>
    <n v="0"/>
    <m/>
    <m/>
    <s v="T1BS6"/>
    <s v="CVD"/>
    <s v="P"/>
  </r>
  <r>
    <n v="110"/>
    <s v="NORTH"/>
    <s v="UTTAR PRADESH"/>
    <n v="7134"/>
    <s v="M/S GOENKA AUTO PRIVATE LIMITED."/>
    <s v="VARANASI"/>
    <s v="30-Jul-24"/>
    <s v="09-Feb-25"/>
    <n v="1165"/>
    <n v="28000"/>
    <n v="2"/>
    <s v="S"/>
    <s v="T-1"/>
    <n v="781804"/>
    <s v="MC1E4DGA6SP053629"/>
    <s v="D71058038"/>
    <m/>
    <m/>
    <x v="1"/>
    <s v="28-Feb-25"/>
    <x v="1"/>
    <n v="1250"/>
    <n v="587586"/>
    <s v="03-Jun-25"/>
    <n v="1250"/>
    <n v="1475"/>
    <n v="225"/>
    <n v="111053"/>
    <s v="03-Jun-25"/>
    <n v="0"/>
    <m/>
    <m/>
    <s v="T1BS6N"/>
    <s v="CVD"/>
    <s v="F"/>
  </r>
  <r>
    <n v="111"/>
    <s v="NORTH"/>
    <s v="UTTAR PRADESH"/>
    <n v="7134"/>
    <s v="M/S GOENKA AUTO PRIVATE LIMITED."/>
    <s v="VARANASI"/>
    <s v="13-Jun-24"/>
    <s v="27-Feb-25"/>
    <n v="910"/>
    <n v="30700"/>
    <n v="5"/>
    <s v="S"/>
    <s v="T-1"/>
    <n v="775649"/>
    <s v="MC1E4EEA0RP013016"/>
    <s v="D71055025"/>
    <m/>
    <m/>
    <x v="1"/>
    <s v="28-Feb-25"/>
    <x v="1"/>
    <n v="1250"/>
    <n v="587586"/>
    <s v="03-Jun-25"/>
    <n v="1250"/>
    <n v="1475"/>
    <n v="225"/>
    <n v="111053"/>
    <s v="03-Jun-25"/>
    <n v="0"/>
    <m/>
    <m/>
    <s v="T1BS6"/>
    <s v="CVD"/>
    <s v="F"/>
  </r>
  <r>
    <n v="112"/>
    <s v="NORTH"/>
    <s v="UTTAR PRADESH"/>
    <n v="7134"/>
    <s v="M/S GOENKA AUTO PRIVATE LIMITED."/>
    <s v="VARANASI"/>
    <s v="17-Aug-24"/>
    <s v="14-Feb-25"/>
    <n v="1165"/>
    <n v="23805"/>
    <n v="3"/>
    <s v="S"/>
    <s v="T-1"/>
    <n v="785110"/>
    <s v="MC1E4EGAXSP013446"/>
    <s v="D71058090"/>
    <m/>
    <m/>
    <x v="1"/>
    <s v="28-Feb-25"/>
    <x v="1"/>
    <n v="1250"/>
    <n v="587586"/>
    <s v="03-Jun-25"/>
    <n v="1250"/>
    <n v="1475"/>
    <n v="225"/>
    <n v="111053"/>
    <s v="03-Jun-25"/>
    <n v="0"/>
    <m/>
    <m/>
    <s v="T1BS6"/>
    <s v="CVD"/>
    <s v="F"/>
  </r>
  <r>
    <n v="113"/>
    <s v="NORTH"/>
    <s v="UTTAR PRADESH"/>
    <n v="7134"/>
    <s v="M/S GOENKA AUTO PRIVATE LIMITED."/>
    <s v="VARANASI"/>
    <s v="30-Apr-24"/>
    <s v="16-Feb-25"/>
    <n v="1165"/>
    <n v="40000"/>
    <n v="4"/>
    <s v="S"/>
    <s v="T1N"/>
    <n v="3248"/>
    <s v="MC1M4ADA3RP001383"/>
    <s v="D71052257"/>
    <m/>
    <m/>
    <x v="1"/>
    <s v="28-Feb-25"/>
    <x v="1"/>
    <n v="0"/>
    <n v="587586"/>
    <s v="03-Jun-25"/>
    <n v="0"/>
    <n v="0"/>
    <n v="0"/>
    <n v="111053"/>
    <s v="03-Jun-25"/>
    <n v="0"/>
    <m/>
    <m/>
    <s v="URBN"/>
    <s v="CVD"/>
    <s v="P"/>
  </r>
  <r>
    <n v="114"/>
    <s v="NORTH"/>
    <s v="UTTAR PRADESH"/>
    <n v="7134"/>
    <s v="M/S GOENKA AUTO PRIVATE LIMITED."/>
    <s v="VARANASI"/>
    <s v="18-Nov-24"/>
    <s v="06-Feb-25"/>
    <n v="1165"/>
    <n v="9846"/>
    <n v="1"/>
    <s v="S"/>
    <s v="T26"/>
    <n v="789619"/>
    <s v="MC1E4FJA2SP021586"/>
    <s v="D71062197"/>
    <s v="002"/>
    <s v="SERV DATE EXCEEDS"/>
    <x v="1"/>
    <s v="28-Feb-25"/>
    <x v="1"/>
    <n v="1250"/>
    <n v="587586"/>
    <s v="03-Jun-25"/>
    <n v="1000"/>
    <n v="1475"/>
    <n v="225"/>
    <n v="111053"/>
    <s v="03-Jun-25"/>
    <n v="250"/>
    <m/>
    <m/>
    <s v="T26BS6"/>
    <s v="CVD"/>
    <s v="F"/>
  </r>
  <r>
    <n v="115"/>
    <s v="NORTH"/>
    <s v="UTTAR PRADESH"/>
    <n v="7134"/>
    <s v="M/S GOENKA AUTO PRIVATE LIMITED."/>
    <s v="VARANASI"/>
    <s v="28-Sep-24"/>
    <s v="28-Feb-25"/>
    <n v="1165"/>
    <n v="29410"/>
    <n v="3"/>
    <s v="S"/>
    <s v="T-1"/>
    <n v="787042"/>
    <s v="MC1E4EHA9SP013842"/>
    <s v="D71060493"/>
    <m/>
    <m/>
    <x v="1"/>
    <s v="28-Feb-25"/>
    <x v="1"/>
    <n v="1250"/>
    <n v="587586"/>
    <s v="03-Jun-25"/>
    <n v="1250"/>
    <n v="1475"/>
    <n v="225"/>
    <n v="111053"/>
    <s v="03-Jun-25"/>
    <n v="0"/>
    <m/>
    <m/>
    <s v="T1BS6"/>
    <s v="CVD"/>
    <s v="F"/>
  </r>
  <r>
    <n v="116"/>
    <s v="NORTH"/>
    <s v="UTTAR PRADESH"/>
    <n v="7134"/>
    <s v="M/S GOENKA AUTO PRIVATE LIMITED."/>
    <s v="VARANASI"/>
    <s v="12-Feb-24"/>
    <s v="12-Feb-25"/>
    <n v="1165"/>
    <n v="60000"/>
    <n v="6"/>
    <s v="S"/>
    <s v="T26"/>
    <n v="767302"/>
    <s v="MC1E4FAA2RP019007"/>
    <s v="D71045082"/>
    <m/>
    <m/>
    <x v="1"/>
    <s v="28-Feb-25"/>
    <x v="1"/>
    <n v="0"/>
    <n v="587586"/>
    <s v="03-Jun-25"/>
    <n v="0"/>
    <n v="0"/>
    <n v="0"/>
    <n v="111053"/>
    <s v="03-Jun-25"/>
    <n v="0"/>
    <m/>
    <m/>
    <s v="T26BS6"/>
    <s v="CVD"/>
    <s v="P"/>
  </r>
  <r>
    <n v="117"/>
    <s v="NORTH"/>
    <s v="UTTAR PRADESH"/>
    <n v="7134"/>
    <s v="M/S GOENKA AUTO PRIVATE LIMITED."/>
    <s v="VARANASI"/>
    <s v="31-Dec-23"/>
    <s v="20-Feb-25"/>
    <n v="1165"/>
    <n v="46270"/>
    <n v="5"/>
    <s v="S"/>
    <s v="T1N"/>
    <n v="1810"/>
    <s v="MC1M4AHA1RP000534"/>
    <s v="D71037781"/>
    <m/>
    <m/>
    <x v="1"/>
    <s v="28-Feb-25"/>
    <x v="1"/>
    <n v="1650"/>
    <n v="587586"/>
    <s v="03-Jun-25"/>
    <n v="1650"/>
    <n v="1947"/>
    <n v="297"/>
    <n v="111053"/>
    <s v="03-Jun-25"/>
    <n v="0"/>
    <m/>
    <m/>
    <s v="URBN"/>
    <s v="CVD"/>
    <s v="F"/>
  </r>
  <r>
    <n v="118"/>
    <s v="NORTH"/>
    <s v="UTTAR PRADESH"/>
    <n v="7134"/>
    <s v="M/S GOENKA AUTO PRIVATE LIMITED."/>
    <s v="VARANASI"/>
    <s v="16-Nov-23"/>
    <s v="04-Feb-25"/>
    <n v="1165"/>
    <n v="70000"/>
    <n v="7"/>
    <s v="S"/>
    <s v="T1N"/>
    <n v="2135"/>
    <s v="MC1M4ALA5RP000706"/>
    <s v="D71042291"/>
    <m/>
    <m/>
    <x v="1"/>
    <s v="28-Feb-25"/>
    <x v="1"/>
    <n v="1650"/>
    <n v="587586"/>
    <s v="03-Jun-25"/>
    <n v="1650"/>
    <n v="1947"/>
    <n v="297"/>
    <n v="111053"/>
    <s v="03-Jun-25"/>
    <n v="0"/>
    <m/>
    <m/>
    <s v="URBN"/>
    <s v="CVD"/>
    <s v="F"/>
  </r>
  <r>
    <n v="119"/>
    <s v="NORTH"/>
    <s v="UTTAR PRADESH"/>
    <n v="7134"/>
    <s v="M/S GOENKA AUTO PRIVATE LIMITED."/>
    <s v="VARANASI"/>
    <s v="09-Oct-24"/>
    <s v="25-Feb-25"/>
    <n v="1165"/>
    <n v="29240"/>
    <n v="3"/>
    <s v="S"/>
    <s v="T1N"/>
    <n v="5342"/>
    <s v="MC1M4AJA2SP002387"/>
    <s v="D71062463"/>
    <m/>
    <m/>
    <x v="1"/>
    <s v="28-Feb-25"/>
    <x v="1"/>
    <n v="1650"/>
    <n v="587586"/>
    <s v="03-Jun-25"/>
    <n v="1650"/>
    <n v="1947"/>
    <n v="297"/>
    <n v="111053"/>
    <s v="03-Jun-25"/>
    <n v="0"/>
    <m/>
    <m/>
    <s v="URBN"/>
    <s v="CVD"/>
    <s v="F"/>
  </r>
  <r>
    <n v="120"/>
    <s v="NORTH"/>
    <s v="UTTAR PRADESH"/>
    <n v="7134"/>
    <s v="M/S GOENKA AUTO PRIVATE LIMITED."/>
    <s v="VARANASI"/>
    <s v="10-Jul-24"/>
    <s v="10-Feb-25"/>
    <n v="1165"/>
    <n v="50000"/>
    <n v="5"/>
    <s v="S"/>
    <s v="T-1"/>
    <n v="775225"/>
    <s v="MC1E4EFA6RP013102"/>
    <s v="D71055772"/>
    <m/>
    <m/>
    <x v="1"/>
    <s v="28-Feb-25"/>
    <x v="1"/>
    <n v="1250"/>
    <n v="587586"/>
    <s v="03-Jun-25"/>
    <n v="1250"/>
    <n v="1475"/>
    <n v="225"/>
    <n v="111053"/>
    <s v="03-Jun-25"/>
    <n v="0"/>
    <m/>
    <m/>
    <s v="T1BS6"/>
    <s v="CVD"/>
    <s v="F"/>
  </r>
  <r>
    <n v="121"/>
    <s v="NORTH"/>
    <s v="UTTAR PRADESH"/>
    <n v="7134"/>
    <s v="M/S GOENKA AUTO PRIVATE LIMITED."/>
    <s v="VARANASI"/>
    <s v="15-Oct-24"/>
    <s v="02-Feb-25"/>
    <n v="1165"/>
    <n v="19900"/>
    <n v="2"/>
    <s v="S"/>
    <s v="T1N"/>
    <n v="5355"/>
    <s v="MC1M4AJA8SP002393"/>
    <s v="D71062471"/>
    <m/>
    <m/>
    <x v="1"/>
    <s v="28-Feb-25"/>
    <x v="1"/>
    <n v="0"/>
    <n v="587586"/>
    <s v="03-Jun-25"/>
    <n v="0"/>
    <n v="0"/>
    <n v="0"/>
    <n v="111053"/>
    <s v="03-Jun-25"/>
    <n v="0"/>
    <m/>
    <m/>
    <s v="URBN"/>
    <s v="CVD"/>
    <s v="P"/>
  </r>
  <r>
    <n v="122"/>
    <s v="NORTH"/>
    <s v="UTTAR PRADESH"/>
    <n v="7134"/>
    <s v="M/S GOENKA AUTO PRIVATE LIMITED."/>
    <s v="VARANASI"/>
    <s v="20-Aug-24"/>
    <s v="28-Feb-25"/>
    <n v="1165"/>
    <n v="50000"/>
    <n v="5"/>
    <s v="S"/>
    <s v="TRAX"/>
    <n v="323056"/>
    <s v="MC1D4DFA3RP104799"/>
    <s v="D72015923"/>
    <m/>
    <m/>
    <x v="1"/>
    <s v="28-Feb-25"/>
    <x v="1"/>
    <n v="1250"/>
    <n v="587586"/>
    <s v="03-Jun-25"/>
    <n v="1250"/>
    <n v="1475"/>
    <n v="225"/>
    <n v="111053"/>
    <s v="03-Jun-25"/>
    <n v="0"/>
    <m/>
    <m/>
    <s v="TRXBS6"/>
    <s v="CVD"/>
    <s v="F"/>
  </r>
  <r>
    <n v="123"/>
    <s v="NORTH"/>
    <s v="UTTAR PRADESH"/>
    <n v="7134"/>
    <s v="M/S GOENKA AUTO PRIVATE LIMITED."/>
    <s v="VARANASI"/>
    <s v="12-Jul-24"/>
    <s v="27-Feb-25"/>
    <n v="1165"/>
    <n v="40000"/>
    <n v="4"/>
    <s v="S"/>
    <s v="T-1"/>
    <n v="774647"/>
    <s v="MC1E4EFA5RP013219"/>
    <s v="D71056637"/>
    <m/>
    <m/>
    <x v="1"/>
    <s v="28-Feb-25"/>
    <x v="1"/>
    <n v="0"/>
    <n v="587586"/>
    <s v="03-Jun-25"/>
    <n v="0"/>
    <n v="0"/>
    <n v="0"/>
    <n v="111053"/>
    <s v="03-Jun-25"/>
    <n v="0"/>
    <m/>
    <m/>
    <s v="T1BS6"/>
    <s v="CVD"/>
    <s v="P"/>
  </r>
  <r>
    <n v="124"/>
    <s v="NORTH"/>
    <s v="UTTAR PRADESH"/>
    <n v="7134"/>
    <s v="M/S GOENKA AUTO PRIVATE LIMITED."/>
    <s v="VARANASI"/>
    <s v="17-Nov-23"/>
    <s v="05-Feb-25"/>
    <n v="1165"/>
    <n v="98804"/>
    <n v="10"/>
    <s v="S"/>
    <s v="T26"/>
    <n v="758119"/>
    <s v="MC1E4FJA5RP018224"/>
    <s v="D71039485"/>
    <m/>
    <m/>
    <x v="1"/>
    <s v="28-Feb-25"/>
    <x v="1"/>
    <n v="0"/>
    <n v="587586"/>
    <s v="03-Jun-25"/>
    <n v="0"/>
    <n v="0"/>
    <n v="0"/>
    <n v="111053"/>
    <s v="03-Jun-25"/>
    <n v="0"/>
    <m/>
    <m/>
    <s v="T26BS6"/>
    <s v="CVD"/>
    <s v="P"/>
  </r>
  <r>
    <n v="125"/>
    <s v="NORTH"/>
    <s v="UTTAR PRADESH"/>
    <n v="7134"/>
    <s v="M/S GOENKA AUTO PRIVATE LIMITED."/>
    <s v="VARANASI"/>
    <s v="16-Mar-23"/>
    <s v="10-Feb-25"/>
    <n v="1165"/>
    <n v="99185"/>
    <n v="12"/>
    <s v="S"/>
    <s v="T-1"/>
    <n v="737766"/>
    <s v="MC1E4EMA8PP008922"/>
    <s v="D71024006"/>
    <m/>
    <m/>
    <x v="1"/>
    <s v="28-Feb-25"/>
    <x v="1"/>
    <n v="0"/>
    <n v="587586"/>
    <s v="03-Jun-25"/>
    <n v="0"/>
    <n v="0"/>
    <n v="0"/>
    <n v="111053"/>
    <s v="03-Jun-25"/>
    <n v="0"/>
    <m/>
    <m/>
    <s v="T1BS6"/>
    <s v="CVD"/>
    <s v="P"/>
  </r>
  <r>
    <n v="126"/>
    <s v="NORTH"/>
    <s v="UTTAR PRADESH"/>
    <n v="7134"/>
    <s v="M/S GOENKA AUTO PRIVATE LIMITED."/>
    <s v="VARANASI"/>
    <s v="25-Nov-24"/>
    <s v="13-Feb-25"/>
    <n v="1165"/>
    <n v="10000"/>
    <n v="1"/>
    <s v="S"/>
    <s v="T1N"/>
    <n v="4899"/>
    <s v="MC1M4AKAXSP002572"/>
    <s v="D71063955"/>
    <s v="022"/>
    <s v="SERVICE COUPON HARD COPY NOT RECEIVED"/>
    <x v="1"/>
    <s v="28-Feb-25"/>
    <x v="1"/>
    <n v="1650"/>
    <n v="587586"/>
    <s v="03-Jun-25"/>
    <n v="0"/>
    <n v="1947"/>
    <n v="297"/>
    <n v="111053"/>
    <s v="03-Jun-25"/>
    <n v="1650"/>
    <m/>
    <m/>
    <s v="URBN"/>
    <s v="CVD"/>
    <s v="F"/>
  </r>
  <r>
    <n v="127"/>
    <s v="NORTH"/>
    <s v="UTTAR PRADESH"/>
    <n v="7134"/>
    <s v="M/S GOENKA AUTO PRIVATE LIMITED."/>
    <s v="VARANASI"/>
    <s v="08-Jul-24"/>
    <s v="04-Feb-25"/>
    <n v="1165"/>
    <n v="39920"/>
    <n v="4"/>
    <s v="S"/>
    <s v="T-1"/>
    <n v="773703"/>
    <s v="MC1E4EFA0RP013158"/>
    <s v="D71056321"/>
    <m/>
    <m/>
    <x v="1"/>
    <s v="28-Feb-25"/>
    <x v="1"/>
    <n v="0"/>
    <n v="587586"/>
    <s v="03-Jun-25"/>
    <n v="0"/>
    <n v="0"/>
    <n v="0"/>
    <n v="111053"/>
    <s v="03-Jun-25"/>
    <n v="0"/>
    <m/>
    <m/>
    <s v="T1BS6"/>
    <s v="CVD"/>
    <s v="P"/>
  </r>
  <r>
    <n v="128"/>
    <s v="NORTH"/>
    <s v="UTTAR PRADESH"/>
    <n v="7134"/>
    <s v="M/S GOENKA AUTO PRIVATE LIMITED."/>
    <s v="VARANASI"/>
    <s v="09-Mar-24"/>
    <s v="02-Feb-25"/>
    <n v="1165"/>
    <n v="33483"/>
    <n v="6"/>
    <s v="S"/>
    <s v="T-1"/>
    <n v="764717"/>
    <s v="MC1E4EAA5RP011672"/>
    <s v="D71046345"/>
    <m/>
    <m/>
    <x v="1"/>
    <s v="28-Feb-25"/>
    <x v="1"/>
    <n v="0"/>
    <n v="587586"/>
    <s v="03-Jun-25"/>
    <n v="0"/>
    <n v="0"/>
    <n v="0"/>
    <n v="111053"/>
    <s v="03-Jun-25"/>
    <n v="0"/>
    <m/>
    <m/>
    <s v="T1BS6"/>
    <s v="CVD"/>
    <s v="P"/>
  </r>
  <r>
    <n v="129"/>
    <s v="NORTH"/>
    <s v="UTTAR PRADESH"/>
    <n v="7134"/>
    <s v="M/S GOENKA AUTO PRIVATE LIMITED."/>
    <s v="VARANASI"/>
    <s v="27-Jun-24"/>
    <s v="21-Feb-25"/>
    <n v="1165"/>
    <n v="31618"/>
    <n v="4"/>
    <s v="S"/>
    <s v="T-1"/>
    <n v="775501"/>
    <s v="MC1E4DEA9RP052746"/>
    <s v="D71054585"/>
    <m/>
    <m/>
    <x v="1"/>
    <s v="28-Feb-25"/>
    <x v="1"/>
    <n v="0"/>
    <n v="587586"/>
    <s v="03-Jun-25"/>
    <n v="0"/>
    <n v="0"/>
    <n v="0"/>
    <n v="111053"/>
    <s v="03-Jun-25"/>
    <n v="0"/>
    <m/>
    <m/>
    <s v="T1BS6"/>
    <s v="CVD"/>
    <s v="P"/>
  </r>
  <r>
    <n v="130"/>
    <s v="NORTH"/>
    <s v="UTTAR PRADESH"/>
    <n v="7134"/>
    <s v="M/S GOENKA AUTO PRIVATE LIMITED."/>
    <s v="VARANASI"/>
    <s v="24-Jul-24"/>
    <s v="28-Feb-25"/>
    <n v="1165"/>
    <n v="40000"/>
    <n v="4"/>
    <s v="S"/>
    <s v="T-1"/>
    <n v="773865"/>
    <s v="MC1E4EFA5RP013351"/>
    <s v="D71057450"/>
    <m/>
    <m/>
    <x v="1"/>
    <s v="28-Feb-25"/>
    <x v="1"/>
    <n v="0"/>
    <n v="587586"/>
    <s v="03-Jun-25"/>
    <n v="0"/>
    <n v="0"/>
    <n v="0"/>
    <n v="111053"/>
    <s v="03-Jun-25"/>
    <n v="0"/>
    <m/>
    <m/>
    <s v="T1BS6"/>
    <s v="CVD"/>
    <s v="P"/>
  </r>
  <r>
    <n v="131"/>
    <s v="NORTH"/>
    <s v="UTTAR PRADESH"/>
    <n v="7134"/>
    <s v="M/S GOENKA AUTO PRIVATE LIMITED."/>
    <s v="VARANASI"/>
    <s v="26-Jun-24"/>
    <s v="24-Feb-25"/>
    <n v="1165"/>
    <n v="50000"/>
    <n v="5"/>
    <s v="S"/>
    <s v="TRAX"/>
    <n v="323146"/>
    <s v="MC1D4DEA2RP104584"/>
    <s v="D72015514"/>
    <m/>
    <m/>
    <x v="1"/>
    <s v="28-Feb-25"/>
    <x v="1"/>
    <n v="1250"/>
    <n v="587586"/>
    <s v="03-Jun-25"/>
    <n v="1250"/>
    <n v="1475"/>
    <n v="225"/>
    <n v="111053"/>
    <s v="03-Jun-25"/>
    <n v="0"/>
    <m/>
    <m/>
    <s v="TRXBS6"/>
    <s v="CVD"/>
    <s v="F"/>
  </r>
  <r>
    <n v="132"/>
    <s v="NORTH"/>
    <s v="UTTAR PRADESH"/>
    <n v="7134"/>
    <s v="M/S GOENKA AUTO PRIVATE LIMITED."/>
    <s v="VARANASI"/>
    <s v="02-Jul-24"/>
    <s v="06-Feb-25"/>
    <n v="1165"/>
    <n v="39980"/>
    <n v="4"/>
    <s v="S"/>
    <s v="T-1"/>
    <n v="775223"/>
    <s v="MC1E4EFA7RP013092"/>
    <s v="D71055951"/>
    <m/>
    <m/>
    <x v="1"/>
    <s v="28-Feb-25"/>
    <x v="1"/>
    <n v="0"/>
    <n v="587586"/>
    <s v="03-Jun-25"/>
    <n v="0"/>
    <n v="0"/>
    <n v="0"/>
    <n v="111053"/>
    <s v="03-Jun-25"/>
    <n v="0"/>
    <m/>
    <m/>
    <s v="T1BS6"/>
    <s v="CVD"/>
    <s v="P"/>
  </r>
  <r>
    <n v="133"/>
    <s v="NORTH"/>
    <s v="UTTAR PRADESH"/>
    <n v="7134"/>
    <s v="M/S GOENKA AUTO PRIVATE LIMITED."/>
    <s v="VARANASI"/>
    <s v="08-Aug-24"/>
    <s v="09-Feb-25"/>
    <n v="1165"/>
    <n v="8594"/>
    <n v="2"/>
    <s v="S"/>
    <s v="T-1"/>
    <n v="781809"/>
    <s v="MC1E4DGA0SP053576"/>
    <s v="D71058041"/>
    <m/>
    <m/>
    <x v="1"/>
    <s v="28-Feb-25"/>
    <x v="1"/>
    <n v="1250"/>
    <n v="587586"/>
    <s v="03-Jun-25"/>
    <n v="1250"/>
    <n v="1475"/>
    <n v="225"/>
    <n v="111053"/>
    <s v="03-Jun-25"/>
    <n v="0"/>
    <m/>
    <m/>
    <s v="T1BS6N"/>
    <s v="CVD"/>
    <s v="F"/>
  </r>
  <r>
    <n v="134"/>
    <s v="NORTH"/>
    <s v="UTTAR PRADESH"/>
    <n v="7134"/>
    <s v="M/S GOENKA AUTO PRIVATE LIMITED."/>
    <s v="VARANASI"/>
    <s v="21-Oct-24"/>
    <s v="10-Feb-25"/>
    <n v="1165"/>
    <n v="20000"/>
    <n v="2"/>
    <s v="S"/>
    <s v="TRAX"/>
    <n v="324355"/>
    <s v="MC1D4DJA7SP105502"/>
    <s v="D72016937"/>
    <m/>
    <m/>
    <x v="1"/>
    <s v="28-Feb-25"/>
    <x v="1"/>
    <n v="0"/>
    <n v="587586"/>
    <s v="03-Jun-25"/>
    <n v="0"/>
    <n v="0"/>
    <n v="0"/>
    <n v="111053"/>
    <s v="03-Jun-25"/>
    <n v="0"/>
    <m/>
    <m/>
    <s v="TRXBS6"/>
    <s v="CVD"/>
    <s v="P"/>
  </r>
  <r>
    <n v="135"/>
    <s v="NORTH"/>
    <s v="UTTAR PRADESH"/>
    <n v="7134"/>
    <s v="M/S GOENKA AUTO PRIVATE LIMITED."/>
    <s v="VARANASI"/>
    <s v="24-Aug-24"/>
    <s v="10-Feb-25"/>
    <n v="1165"/>
    <n v="40000"/>
    <n v="4"/>
    <s v="S"/>
    <s v="TRAX"/>
    <n v="322564"/>
    <s v="MC1D4DHA2SP105199"/>
    <s v="D72016528"/>
    <m/>
    <m/>
    <x v="1"/>
    <s v="28-Feb-25"/>
    <x v="1"/>
    <n v="0"/>
    <n v="587586"/>
    <s v="03-Jun-25"/>
    <n v="0"/>
    <n v="0"/>
    <n v="0"/>
    <n v="111053"/>
    <s v="03-Jun-25"/>
    <n v="0"/>
    <m/>
    <m/>
    <s v="TRXBS6"/>
    <s v="CVD"/>
    <s v="P"/>
  </r>
  <r>
    <n v="136"/>
    <s v="NORTH"/>
    <s v="UTTAR PRADESH"/>
    <n v="7134"/>
    <s v="M/S GOENKA AUTO PRIVATE LIMITED."/>
    <s v="VARANASI"/>
    <s v="27-Jul-24"/>
    <s v="24-Feb-25"/>
    <n v="1165"/>
    <n v="30000"/>
    <n v="3"/>
    <s v="S"/>
    <s v="T-1"/>
    <n v="774650"/>
    <s v="MC1E4EFA2RP013193"/>
    <s v="D71056618"/>
    <s v="002"/>
    <s v="SERV DATE EXCEEDS"/>
    <x v="1"/>
    <s v="28-Feb-25"/>
    <x v="1"/>
    <n v="1250"/>
    <n v="587586"/>
    <s v="03-Jun-25"/>
    <n v="1000"/>
    <n v="1475"/>
    <n v="225"/>
    <n v="111053"/>
    <s v="03-Jun-25"/>
    <n v="250"/>
    <m/>
    <m/>
    <s v="T1BS6"/>
    <s v="CVD"/>
    <s v="F"/>
  </r>
  <r>
    <n v="137"/>
    <s v="NORTH"/>
    <s v="UTTAR PRADESH"/>
    <n v="7134"/>
    <s v="M/S GOENKA AUTO PRIVATE LIMITED."/>
    <s v="VARANASI"/>
    <s v="22-Aug-23"/>
    <s v="27-Feb-25"/>
    <n v="1165"/>
    <n v="34500"/>
    <n v="9"/>
    <s v="S"/>
    <s v="T26"/>
    <n v="756684"/>
    <s v="MC1E4FHA3RP017756"/>
    <s v="D71036723"/>
    <m/>
    <m/>
    <x v="1"/>
    <s v="28-Feb-25"/>
    <x v="1"/>
    <n v="0"/>
    <n v="587586"/>
    <s v="03-Jun-25"/>
    <n v="0"/>
    <n v="0"/>
    <n v="0"/>
    <n v="111053"/>
    <s v="03-Jun-25"/>
    <n v="0"/>
    <m/>
    <m/>
    <s v="T26BS6"/>
    <s v="CVD"/>
    <s v="P"/>
  </r>
  <r>
    <n v="138"/>
    <s v="NORTH"/>
    <s v="UTTAR PRADESH"/>
    <n v="7134"/>
    <s v="M/S GOENKA AUTO PRIVATE LIMITED."/>
    <s v="VARANASI"/>
    <s v="25-Jan-24"/>
    <s v="02-Feb-25"/>
    <n v="1165"/>
    <n v="99755"/>
    <n v="10"/>
    <s v="S"/>
    <s v="TRAX"/>
    <n v="320346"/>
    <s v="MC1D4DMAXRP102762"/>
    <s v="D72013178"/>
    <m/>
    <m/>
    <x v="1"/>
    <s v="28-Feb-25"/>
    <x v="1"/>
    <n v="0"/>
    <n v="587586"/>
    <s v="03-Jun-25"/>
    <n v="0"/>
    <n v="0"/>
    <n v="0"/>
    <n v="111053"/>
    <s v="03-Jun-25"/>
    <n v="0"/>
    <m/>
    <m/>
    <s v="TRXBS6"/>
    <s v="CVD"/>
    <s v="P"/>
  </r>
  <r>
    <n v="139"/>
    <s v="NORTH"/>
    <s v="UTTAR PRADESH"/>
    <n v="7134"/>
    <s v="M/S GOENKA AUTO PRIVATE LIMITED."/>
    <s v="VARANASI"/>
    <s v="16-Oct-24"/>
    <s v="14-Feb-25"/>
    <n v="1165"/>
    <n v="30000"/>
    <n v="3"/>
    <s v="S"/>
    <s v="TRAX"/>
    <n v="324809"/>
    <s v="MC1D4DHA2SP105462"/>
    <s v="D72016887"/>
    <m/>
    <m/>
    <x v="1"/>
    <s v="28-Feb-25"/>
    <x v="1"/>
    <n v="1250"/>
    <n v="587586"/>
    <s v="03-Jun-25"/>
    <n v="1250"/>
    <n v="1475"/>
    <n v="225"/>
    <n v="111053"/>
    <s v="03-Jun-25"/>
    <n v="0"/>
    <m/>
    <m/>
    <s v="TRXBS6"/>
    <s v="CVD"/>
    <s v="F"/>
  </r>
  <r>
    <n v="140"/>
    <s v="NORTH"/>
    <s v="UTTAR PRADESH"/>
    <n v="7134"/>
    <s v="M/S GOENKA AUTO PRIVATE LIMITED."/>
    <s v="VARANASI"/>
    <s v="31-Aug-24"/>
    <s v="16-Feb-25"/>
    <n v="1165"/>
    <n v="17000"/>
    <n v="3"/>
    <s v="S"/>
    <s v="T-1"/>
    <n v="785728"/>
    <s v="MC1E4EGA0SP013472"/>
    <s v="D71058264"/>
    <m/>
    <m/>
    <x v="1"/>
    <s v="28-Feb-25"/>
    <x v="1"/>
    <n v="1250"/>
    <n v="587586"/>
    <s v="03-Jun-25"/>
    <n v="1250"/>
    <n v="1475"/>
    <n v="225"/>
    <n v="111053"/>
    <s v="03-Jun-25"/>
    <n v="0"/>
    <m/>
    <m/>
    <s v="T1BS6"/>
    <s v="CVD"/>
    <s v="F"/>
  </r>
  <r>
    <n v="141"/>
    <s v="NORTH"/>
    <s v="UTTAR PRADESH"/>
    <n v="7134"/>
    <s v="M/S GOENKA AUTO PRIVATE LIMITED."/>
    <s v="VARANASI"/>
    <s v="02-May-24"/>
    <s v="10-Feb-25"/>
    <n v="1165"/>
    <n v="9611"/>
    <n v="5"/>
    <s v="S"/>
    <s v="TRAX"/>
    <n v="322616"/>
    <s v="MC1D1DDA0RP001528"/>
    <s v="D72015068"/>
    <m/>
    <m/>
    <x v="1"/>
    <s v="28-Feb-25"/>
    <x v="1"/>
    <n v="1250"/>
    <n v="587586"/>
    <s v="03-Jun-25"/>
    <n v="1250"/>
    <n v="1475"/>
    <n v="225"/>
    <n v="111053"/>
    <s v="03-Jun-25"/>
    <n v="0"/>
    <m/>
    <m/>
    <s v="TRXBS6"/>
    <s v="CVD"/>
    <s v="F"/>
  </r>
  <r>
    <n v="142"/>
    <s v="NORTH"/>
    <s v="UTTAR PRADESH"/>
    <n v="7134"/>
    <s v="M/S GOENKA AUTO PRIVATE LIMITED."/>
    <s v="VARANASI"/>
    <s v="24-Apr-24"/>
    <s v="23-Mar-25"/>
    <n v="1165"/>
    <n v="70000"/>
    <n v="7"/>
    <s v="S"/>
    <s v="TRAX"/>
    <n v="322476"/>
    <s v="MC1D4DBA6RP103555"/>
    <s v="D72014275"/>
    <m/>
    <m/>
    <x v="2"/>
    <s v="31-Mar-25"/>
    <x v="2"/>
    <n v="0"/>
    <n v="587839"/>
    <s v="11-Jun-25"/>
    <n v="0"/>
    <n v="0"/>
    <n v="0"/>
    <n v="111306"/>
    <s v="11-Jun-25"/>
    <n v="0"/>
    <m/>
    <m/>
    <s v="TRXBS6"/>
    <s v="CVD"/>
    <s v="P"/>
  </r>
  <r>
    <n v="143"/>
    <s v="NORTH"/>
    <s v="UTTAR PRADESH"/>
    <n v="7134"/>
    <s v="M/S GOENKA AUTO PRIVATE LIMITED."/>
    <s v="VARANASI"/>
    <s v="18-Nov-24"/>
    <s v="24-Mar-25"/>
    <n v="1165"/>
    <n v="19770"/>
    <n v="2"/>
    <s v="S"/>
    <s v="T26"/>
    <n v="789619"/>
    <s v="MC1E4FJA2SP021586"/>
    <s v="D71062197"/>
    <m/>
    <m/>
    <x v="2"/>
    <s v="31-Mar-25"/>
    <x v="2"/>
    <n v="0"/>
    <n v="587839"/>
    <s v="11-Jun-25"/>
    <n v="0"/>
    <n v="0"/>
    <n v="0"/>
    <n v="111306"/>
    <s v="11-Jun-25"/>
    <n v="0"/>
    <m/>
    <m/>
    <s v="T26BS6"/>
    <s v="CVD"/>
    <s v="P"/>
  </r>
  <r>
    <n v="144"/>
    <s v="NORTH"/>
    <s v="UTTAR PRADESH"/>
    <n v="7134"/>
    <s v="M/S GOENKA AUTO PRIVATE LIMITED."/>
    <s v="VARANASI"/>
    <s v="21-Aug-24"/>
    <s v="09-Mar-25"/>
    <n v="1165"/>
    <n v="49920"/>
    <n v="5"/>
    <s v="S"/>
    <s v="T-1"/>
    <n v="785726"/>
    <s v="MC1E4EGA5SP013466"/>
    <s v="D71058218"/>
    <m/>
    <m/>
    <x v="2"/>
    <s v="31-Mar-25"/>
    <x v="2"/>
    <n v="1250"/>
    <n v="587839"/>
    <s v="11-Jun-25"/>
    <n v="1250"/>
    <n v="1475"/>
    <n v="225"/>
    <n v="111306"/>
    <s v="11-Jun-25"/>
    <n v="0"/>
    <m/>
    <m/>
    <s v="T1BS6"/>
    <s v="CVD"/>
    <s v="F"/>
  </r>
  <r>
    <n v="145"/>
    <s v="NORTH"/>
    <s v="UTTAR PRADESH"/>
    <n v="7134"/>
    <s v="M/S GOENKA AUTO PRIVATE LIMITED."/>
    <s v="VARANASI"/>
    <s v="16-Oct-24"/>
    <s v="10-Mar-25"/>
    <n v="767"/>
    <n v="9992"/>
    <n v="2"/>
    <s v="S"/>
    <s v="T-1"/>
    <n v="778003"/>
    <s v="MC1E5CDA2RP000139"/>
    <s v="D73001099"/>
    <s v="002"/>
    <s v="SERV DATE EXCEEDS"/>
    <x v="2"/>
    <s v="31-Mar-25"/>
    <x v="2"/>
    <n v="0"/>
    <n v="587839"/>
    <s v="11-Jun-25"/>
    <n v="0"/>
    <n v="0"/>
    <n v="0"/>
    <n v="111306"/>
    <s v="11-Jun-25"/>
    <n v="0"/>
    <m/>
    <m/>
    <s v="T1CNGL"/>
    <s v="CVD"/>
    <s v="P"/>
  </r>
  <r>
    <n v="146"/>
    <s v="NORTH"/>
    <s v="UTTAR PRADESH"/>
    <n v="7134"/>
    <s v="M/S GOENKA AUTO PRIVATE LIMITED."/>
    <s v="VARANASI"/>
    <s v="21-Mar-24"/>
    <s v="10-Mar-25"/>
    <n v="1165"/>
    <n v="88985"/>
    <n v="9"/>
    <s v="S"/>
    <s v="T-1"/>
    <n v="765716"/>
    <s v="MC1E4ECA5RP012138"/>
    <s v="D71050140"/>
    <m/>
    <m/>
    <x v="2"/>
    <s v="31-Mar-25"/>
    <x v="2"/>
    <n v="0"/>
    <n v="587839"/>
    <s v="11-Jun-25"/>
    <n v="0"/>
    <n v="0"/>
    <n v="0"/>
    <n v="111306"/>
    <s v="11-Jun-25"/>
    <n v="0"/>
    <m/>
    <m/>
    <s v="T1BS6"/>
    <s v="CVD"/>
    <s v="P"/>
  </r>
  <r>
    <n v="147"/>
    <s v="NORTH"/>
    <s v="UTTAR PRADESH"/>
    <n v="7134"/>
    <s v="M/S GOENKA AUTO PRIVATE LIMITED."/>
    <s v="VARANASI"/>
    <s v="08-Aug-24"/>
    <s v="06-Mar-25"/>
    <n v="1165"/>
    <n v="20104"/>
    <n v="4"/>
    <s v="S"/>
    <s v="T-1"/>
    <n v="785384"/>
    <s v="MC1E4EFA1RP013377"/>
    <s v="D71057656"/>
    <m/>
    <m/>
    <x v="2"/>
    <s v="31-Mar-25"/>
    <x v="2"/>
    <n v="0"/>
    <n v="587839"/>
    <s v="11-Jun-25"/>
    <n v="0"/>
    <n v="0"/>
    <n v="0"/>
    <n v="111306"/>
    <s v="11-Jun-25"/>
    <n v="0"/>
    <m/>
    <m/>
    <s v="T1BS6"/>
    <s v="CVD"/>
    <s v="P"/>
  </r>
  <r>
    <n v="148"/>
    <s v="NORTH"/>
    <s v="UTTAR PRADESH"/>
    <n v="7134"/>
    <s v="M/S GOENKA AUTO PRIVATE LIMITED."/>
    <s v="VARANASI"/>
    <s v="24-Jun-23"/>
    <s v="27-Mar-25"/>
    <n v="1165"/>
    <n v="95750"/>
    <n v="10"/>
    <s v="S"/>
    <s v="T-1"/>
    <n v="751799"/>
    <s v="MC1E4DFA3PP046534"/>
    <s v="D71033624"/>
    <s v="002"/>
    <s v="SERV DATE EXCEEDS"/>
    <x v="2"/>
    <s v="31-Mar-25"/>
    <x v="2"/>
    <n v="0"/>
    <n v="587839"/>
    <s v="11-Jun-25"/>
    <n v="0"/>
    <n v="0"/>
    <n v="0"/>
    <n v="111306"/>
    <s v="11-Jun-25"/>
    <n v="0"/>
    <m/>
    <m/>
    <s v="T1BS6"/>
    <s v="CVD"/>
    <s v="P"/>
  </r>
  <r>
    <n v="149"/>
    <s v="NORTH"/>
    <s v="UTTAR PRADESH"/>
    <n v="7134"/>
    <s v="M/S GOENKA AUTO PRIVATE LIMITED."/>
    <s v="VARANASI"/>
    <s v="23-Feb-24"/>
    <s v="19-Mar-25"/>
    <n v="936"/>
    <n v="6576"/>
    <n v="7"/>
    <s v="S"/>
    <s v="T-1"/>
    <n v="757012"/>
    <s v="MC1E5CHA6RP000137"/>
    <s v="D73000599"/>
    <m/>
    <m/>
    <x v="2"/>
    <s v="31-Mar-25"/>
    <x v="2"/>
    <n v="0"/>
    <n v="587839"/>
    <s v="11-Jun-25"/>
    <n v="0"/>
    <n v="0"/>
    <n v="0"/>
    <n v="111306"/>
    <s v="11-Jun-25"/>
    <n v="0"/>
    <m/>
    <m/>
    <s v="T1CNGL"/>
    <s v="CVD"/>
    <s v="P"/>
  </r>
  <r>
    <n v="150"/>
    <s v="NORTH"/>
    <s v="UTTAR PRADESH"/>
    <n v="7134"/>
    <s v="M/S GOENKA AUTO PRIVATE LIMITED."/>
    <s v="VARANASI"/>
    <s v="21-Sep-24"/>
    <s v="17-Mar-25"/>
    <n v="1165"/>
    <n v="40250"/>
    <n v="4"/>
    <s v="S"/>
    <s v="T-1"/>
    <n v="786320"/>
    <s v="MC1E4EHA1SP013740"/>
    <s v="D71060115"/>
    <m/>
    <m/>
    <x v="2"/>
    <s v="31-Mar-25"/>
    <x v="2"/>
    <n v="0"/>
    <n v="587839"/>
    <s v="11-Jun-25"/>
    <n v="0"/>
    <n v="0"/>
    <n v="0"/>
    <n v="111306"/>
    <s v="11-Jun-25"/>
    <n v="0"/>
    <m/>
    <m/>
    <s v="T1BS6"/>
    <s v="CVD"/>
    <s v="P"/>
  </r>
  <r>
    <n v="151"/>
    <s v="NORTH"/>
    <s v="UTTAR PRADESH"/>
    <n v="7134"/>
    <s v="M/S GOENKA AUTO PRIVATE LIMITED."/>
    <s v="VARANASI"/>
    <s v="05-Jul-24"/>
    <s v="30-Mar-25"/>
    <n v="1165"/>
    <n v="67000"/>
    <n v="7"/>
    <s v="S"/>
    <s v="T26"/>
    <n v="1"/>
    <s v="MC1E4FEA6RP020333"/>
    <s v="D71054105"/>
    <m/>
    <m/>
    <x v="2"/>
    <s v="31-Mar-25"/>
    <x v="2"/>
    <n v="0"/>
    <n v="587839"/>
    <s v="11-Jun-25"/>
    <n v="0"/>
    <n v="0"/>
    <n v="0"/>
    <n v="111306"/>
    <s v="11-Jun-25"/>
    <n v="0"/>
    <m/>
    <m/>
    <s v="T26BS6"/>
    <s v="CVD"/>
    <s v="P"/>
  </r>
  <r>
    <n v="152"/>
    <s v="NORTH"/>
    <s v="UTTAR PRADESH"/>
    <n v="7134"/>
    <s v="M/S GOENKA AUTO PRIVATE LIMITED."/>
    <s v="VARANASI"/>
    <s v="27-Apr-24"/>
    <s v="25-Mar-25"/>
    <n v="1165"/>
    <n v="70000"/>
    <n v="7"/>
    <s v="S"/>
    <s v="T26"/>
    <n v="776377"/>
    <s v="MC1E4FDAXRP020093"/>
    <s v="D71052513"/>
    <m/>
    <m/>
    <x v="2"/>
    <s v="31-Mar-25"/>
    <x v="2"/>
    <n v="0"/>
    <n v="587839"/>
    <s v="11-Jun-25"/>
    <n v="0"/>
    <n v="0"/>
    <n v="0"/>
    <n v="111306"/>
    <s v="11-Jun-25"/>
    <n v="0"/>
    <m/>
    <m/>
    <s v="T26BS6"/>
    <s v="CVD"/>
    <s v="P"/>
  </r>
  <r>
    <n v="153"/>
    <s v="NORTH"/>
    <s v="UTTAR PRADESH"/>
    <n v="7134"/>
    <s v="M/S GOENKA AUTO PRIVATE LIMITED."/>
    <s v="VARANASI"/>
    <s v="26-Jul-24"/>
    <s v="11-Mar-25"/>
    <n v="1165"/>
    <n v="30000"/>
    <n v="4"/>
    <s v="S"/>
    <s v="T-1"/>
    <n v="774651"/>
    <s v="MC1E4EFA1RP013184"/>
    <s v="D71056676"/>
    <m/>
    <m/>
    <x v="2"/>
    <s v="31-Mar-25"/>
    <x v="2"/>
    <n v="0"/>
    <n v="587839"/>
    <s v="11-Jun-25"/>
    <n v="0"/>
    <n v="0"/>
    <n v="0"/>
    <n v="111306"/>
    <s v="11-Jun-25"/>
    <n v="0"/>
    <m/>
    <m/>
    <s v="T1BS6"/>
    <s v="CVD"/>
    <s v="P"/>
  </r>
  <r>
    <n v="154"/>
    <s v="NORTH"/>
    <s v="UTTAR PRADESH"/>
    <n v="7134"/>
    <s v="M/S GOENKA AUTO PRIVATE LIMITED."/>
    <s v="VARANASI"/>
    <s v="03-Feb-24"/>
    <s v="30-Mar-25"/>
    <n v="1165"/>
    <n v="130000"/>
    <n v="12"/>
    <s v="S"/>
    <s v="TRAX"/>
    <n v="319846"/>
    <s v="MC1D4DLA1RP102182"/>
    <s v="D72012825"/>
    <s v="001"/>
    <s v="SERV KMS  / HRS EXCEEDS"/>
    <x v="2"/>
    <s v="31-Mar-25"/>
    <x v="2"/>
    <n v="0"/>
    <n v="587839"/>
    <s v="11-Jun-25"/>
    <n v="0"/>
    <n v="0"/>
    <n v="0"/>
    <n v="111306"/>
    <s v="11-Jun-25"/>
    <n v="0"/>
    <m/>
    <m/>
    <s v="TRXBS6"/>
    <s v="CVD"/>
    <s v="P"/>
  </r>
  <r>
    <n v="155"/>
    <s v="NORTH"/>
    <s v="UTTAR PRADESH"/>
    <n v="7134"/>
    <s v="M/S GOENKA AUTO PRIVATE LIMITED."/>
    <s v="VARANASI"/>
    <s v="03-Apr-23"/>
    <s v="27-Jan-25"/>
    <n v="987"/>
    <n v="139500"/>
    <n v="14"/>
    <s v="S"/>
    <s v="T-1"/>
    <n v="744751"/>
    <s v="MC1E4EBA0PP009257"/>
    <s v="D71026894"/>
    <m/>
    <m/>
    <x v="2"/>
    <s v="31-Mar-25"/>
    <x v="2"/>
    <n v="1250"/>
    <n v="587839"/>
    <s v="11-Jun-25"/>
    <n v="1250"/>
    <n v="1475"/>
    <n v="225"/>
    <n v="111306"/>
    <s v="11-Jun-25"/>
    <n v="0"/>
    <m/>
    <m/>
    <s v="T1BS6"/>
    <s v="CVD"/>
    <s v="F"/>
  </r>
  <r>
    <n v="156"/>
    <s v="NORTH"/>
    <s v="UTTAR PRADESH"/>
    <n v="7134"/>
    <s v="M/S GOENKA AUTO PRIVATE LIMITED."/>
    <s v="VARANASI"/>
    <s v="30-Sep-24"/>
    <s v="24-Mar-25"/>
    <n v="1165"/>
    <n v="29815"/>
    <n v="3"/>
    <s v="S"/>
    <s v="T1N"/>
    <n v="5318"/>
    <s v="MC1M4AJA0SP002369"/>
    <s v="D71062324"/>
    <m/>
    <m/>
    <x v="2"/>
    <s v="31-Mar-25"/>
    <x v="2"/>
    <n v="1650"/>
    <n v="587839"/>
    <s v="11-Jun-25"/>
    <n v="1650"/>
    <n v="1947"/>
    <n v="297"/>
    <n v="111306"/>
    <s v="11-Jun-25"/>
    <n v="0"/>
    <m/>
    <m/>
    <s v="URBN"/>
    <s v="CVD"/>
    <s v="F"/>
  </r>
  <r>
    <n v="157"/>
    <s v="NORTH"/>
    <s v="UTTAR PRADESH"/>
    <n v="7134"/>
    <s v="M/S GOENKA AUTO PRIVATE LIMITED."/>
    <s v="VARANASI"/>
    <s v="17-Jan-25"/>
    <s v="30-Mar-25"/>
    <n v="1165"/>
    <n v="9405"/>
    <n v="1"/>
    <s v="S"/>
    <s v="T26"/>
    <n v="789053"/>
    <s v="MC1E4FAAXSP022095"/>
    <s v="D71067661"/>
    <m/>
    <m/>
    <x v="2"/>
    <s v="31-Mar-25"/>
    <x v="2"/>
    <n v="1250"/>
    <n v="587839"/>
    <s v="11-Jun-25"/>
    <n v="1250"/>
    <n v="1475"/>
    <n v="225"/>
    <n v="111306"/>
    <s v="11-Jun-25"/>
    <n v="0"/>
    <m/>
    <m/>
    <s v="T26BS6"/>
    <s v="CVD"/>
    <s v="F"/>
  </r>
  <r>
    <n v="158"/>
    <s v="NORTH"/>
    <s v="UTTAR PRADESH"/>
    <n v="7134"/>
    <s v="M/S GOENKA AUTO PRIVATE LIMITED."/>
    <s v="VARANASI"/>
    <s v="23-Jan-25"/>
    <s v="25-Mar-25"/>
    <n v="1165"/>
    <n v="7832"/>
    <n v="1"/>
    <s v="S"/>
    <s v="T26"/>
    <n v="789007"/>
    <s v="MC1E4FAA3SP022178"/>
    <s v="D71068604"/>
    <m/>
    <m/>
    <x v="2"/>
    <s v="31-Mar-25"/>
    <x v="2"/>
    <n v="1250"/>
    <n v="587839"/>
    <s v="11-Jun-25"/>
    <n v="1250"/>
    <n v="1475"/>
    <n v="225"/>
    <n v="111306"/>
    <s v="11-Jun-25"/>
    <n v="0"/>
    <m/>
    <m/>
    <s v="T26BS6"/>
    <s v="CVD"/>
    <s v="F"/>
  </r>
  <r>
    <n v="159"/>
    <s v="NORTH"/>
    <s v="UTTAR PRADESH"/>
    <n v="7134"/>
    <s v="M/S GOENKA AUTO PRIVATE LIMITED."/>
    <s v="VARANASI"/>
    <s v="31-Dec-24"/>
    <s v="10-Mar-25"/>
    <n v="1165"/>
    <n v="15200"/>
    <n v="2"/>
    <s v="S"/>
    <s v="T1N"/>
    <n v="5651"/>
    <s v="MC1M4ALA6SP002809"/>
    <s v="D71065837"/>
    <m/>
    <m/>
    <x v="2"/>
    <s v="31-Mar-25"/>
    <x v="2"/>
    <n v="0"/>
    <n v="587839"/>
    <s v="11-Jun-25"/>
    <n v="0"/>
    <n v="0"/>
    <n v="0"/>
    <n v="111306"/>
    <s v="11-Jun-25"/>
    <n v="0"/>
    <m/>
    <m/>
    <s v="URBN"/>
    <s v="CVD"/>
    <s v="P"/>
  </r>
  <r>
    <n v="160"/>
    <s v="NORTH"/>
    <s v="UTTAR PRADESH"/>
    <n v="7134"/>
    <s v="M/S GOENKA AUTO PRIVATE LIMITED."/>
    <s v="VARANASI"/>
    <s v="29-Jun-24"/>
    <s v="30-Mar-25"/>
    <n v="1165"/>
    <n v="65415"/>
    <n v="7"/>
    <s v="S"/>
    <s v="T-1"/>
    <n v="775224"/>
    <s v="MC1E4EFA7RP013089"/>
    <s v="D71055925"/>
    <m/>
    <m/>
    <x v="2"/>
    <s v="31-Mar-25"/>
    <x v="2"/>
    <n v="0"/>
    <n v="587839"/>
    <s v="11-Jun-25"/>
    <n v="0"/>
    <n v="0"/>
    <n v="0"/>
    <n v="111306"/>
    <s v="11-Jun-25"/>
    <n v="0"/>
    <m/>
    <m/>
    <s v="T1BS6"/>
    <s v="CVD"/>
    <s v="P"/>
  </r>
  <r>
    <n v="161"/>
    <s v="NORTH"/>
    <s v="UTTAR PRADESH"/>
    <n v="7134"/>
    <s v="M/S GOENKA AUTO PRIVATE LIMITED."/>
    <s v="VARANASI"/>
    <s v="20-Jun-24"/>
    <s v="12-Mar-25"/>
    <n v="1165"/>
    <n v="30405"/>
    <n v="5"/>
    <s v="S"/>
    <s v="TRAX"/>
    <n v="323147"/>
    <s v="MC1D4DEA2RP104598"/>
    <s v="D72015580"/>
    <m/>
    <m/>
    <x v="2"/>
    <s v="31-Mar-25"/>
    <x v="2"/>
    <n v="1250"/>
    <n v="587839"/>
    <s v="11-Jun-25"/>
    <n v="1250"/>
    <n v="1475"/>
    <n v="225"/>
    <n v="111306"/>
    <s v="11-Jun-25"/>
    <n v="0"/>
    <m/>
    <m/>
    <s v="TRXBS6"/>
    <s v="CVD"/>
    <s v="F"/>
  </r>
  <r>
    <n v="162"/>
    <s v="NORTH"/>
    <s v="UTTAR PRADESH"/>
    <n v="7134"/>
    <s v="M/S GOENKA AUTO PRIVATE LIMITED."/>
    <s v="VARANASI"/>
    <s v="30-May-24"/>
    <s v="27-Mar-25"/>
    <n v="1165"/>
    <n v="78462"/>
    <n v="8"/>
    <s v="S"/>
    <s v="TRAX"/>
    <n v="321779"/>
    <s v="MC1D4DBA9RP103565"/>
    <s v="D72014281"/>
    <m/>
    <m/>
    <x v="2"/>
    <s v="31-Mar-25"/>
    <x v="2"/>
    <n v="1250"/>
    <n v="587839"/>
    <s v="11-Jun-25"/>
    <n v="1250"/>
    <n v="1475"/>
    <n v="225"/>
    <n v="111306"/>
    <s v="11-Jun-25"/>
    <n v="0"/>
    <m/>
    <m/>
    <s v="TRXBS6"/>
    <s v="CVD"/>
    <s v="F"/>
  </r>
  <r>
    <n v="163"/>
    <s v="NORTH"/>
    <s v="UTTAR PRADESH"/>
    <n v="7134"/>
    <s v="M/S GOENKA AUTO PRIVATE LIMITED."/>
    <s v="VARANASI"/>
    <s v="07-Oct-24"/>
    <s v="19-Mar-25"/>
    <n v="1145"/>
    <n v="29788"/>
    <n v="3"/>
    <s v="S"/>
    <s v="T26"/>
    <n v="789198"/>
    <s v="MC1E4FJA5SP021596"/>
    <s v="D71062879"/>
    <m/>
    <m/>
    <x v="2"/>
    <s v="31-Mar-25"/>
    <x v="2"/>
    <n v="1250"/>
    <n v="587839"/>
    <s v="11-Jun-25"/>
    <n v="1250"/>
    <n v="1475"/>
    <n v="225"/>
    <n v="111306"/>
    <s v="11-Jun-25"/>
    <n v="0"/>
    <m/>
    <m/>
    <s v="T26BS6"/>
    <s v="CVD"/>
    <s v="F"/>
  </r>
  <r>
    <n v="164"/>
    <s v="NORTH"/>
    <s v="UTTAR PRADESH"/>
    <n v="7134"/>
    <s v="M/S GOENKA AUTO PRIVATE LIMITED."/>
    <s v="VARANASI"/>
    <s v="07-Mar-25"/>
    <s v="30-Mar-25"/>
    <n v="1165"/>
    <n v="1820"/>
    <n v="1"/>
    <s v="S"/>
    <s v="T26"/>
    <n v="789309"/>
    <s v="MC1E4FLA7SP021807"/>
    <s v="D71066302"/>
    <m/>
    <m/>
    <x v="2"/>
    <s v="31-Mar-25"/>
    <x v="2"/>
    <n v="1250"/>
    <n v="587839"/>
    <s v="11-Jun-25"/>
    <n v="1250"/>
    <n v="1475"/>
    <n v="225"/>
    <n v="111306"/>
    <s v="11-Jun-25"/>
    <n v="0"/>
    <m/>
    <m/>
    <s v="T26BS6"/>
    <s v="CVD"/>
    <s v="F"/>
  </r>
  <r>
    <n v="165"/>
    <s v="NORTH"/>
    <s v="UTTAR PRADESH"/>
    <n v="7134"/>
    <s v="M/S GOENKA AUTO PRIVATE LIMITED."/>
    <s v="VARANASI"/>
    <s v="16-May-23"/>
    <s v="23-Jan-25"/>
    <n v="1165"/>
    <n v="42140"/>
    <n v="10"/>
    <s v="S"/>
    <s v="T-1"/>
    <n v="744000"/>
    <s v="MC1E4DCA3PP044996"/>
    <s v="D71028164"/>
    <m/>
    <m/>
    <x v="2"/>
    <s v="31-Mar-25"/>
    <x v="2"/>
    <n v="0"/>
    <n v="587839"/>
    <s v="11-Jun-25"/>
    <n v="0"/>
    <n v="0"/>
    <n v="0"/>
    <n v="111306"/>
    <s v="11-Jun-25"/>
    <n v="0"/>
    <m/>
    <m/>
    <s v="T1BS6"/>
    <s v="CVD"/>
    <s v="P"/>
  </r>
  <r>
    <n v="166"/>
    <s v="NORTH"/>
    <s v="UTTAR PRADESH"/>
    <n v="7134"/>
    <s v="M/S GOENKA AUTO PRIVATE LIMITED."/>
    <s v="VARANASI"/>
    <s v="25-Oct-24"/>
    <s v="05-Mar-25"/>
    <n v="1165"/>
    <n v="20000"/>
    <n v="2"/>
    <s v="S"/>
    <s v="T-1"/>
    <n v="785383"/>
    <s v="MC1E4EFA0RP013385"/>
    <s v="D71057618"/>
    <m/>
    <m/>
    <x v="2"/>
    <s v="31-Mar-25"/>
    <x v="2"/>
    <n v="0"/>
    <n v="587839"/>
    <s v="11-Jun-25"/>
    <n v="0"/>
    <n v="0"/>
    <n v="0"/>
    <n v="111306"/>
    <s v="11-Jun-25"/>
    <n v="0"/>
    <m/>
    <m/>
    <s v="T1BS6"/>
    <s v="CVD"/>
    <s v="P"/>
  </r>
  <r>
    <n v="167"/>
    <s v="NORTH"/>
    <s v="UTTAR PRADESH"/>
    <n v="7134"/>
    <s v="M/S GOENKA AUTO PRIVATE LIMITED."/>
    <s v="VARANASI"/>
    <s v="19-Feb-24"/>
    <s v="17-Mar-25"/>
    <n v="1165"/>
    <n v="69097"/>
    <n v="7"/>
    <s v="S"/>
    <s v="T1N"/>
    <n v="3268"/>
    <s v="MC1M4ABA1RP000994"/>
    <s v="D71047182"/>
    <m/>
    <m/>
    <x v="2"/>
    <s v="31-Mar-25"/>
    <x v="2"/>
    <n v="1650"/>
    <n v="587839"/>
    <s v="11-Jun-25"/>
    <n v="1650"/>
    <n v="1947"/>
    <n v="297"/>
    <n v="111306"/>
    <s v="11-Jun-25"/>
    <n v="0"/>
    <m/>
    <m/>
    <s v="URBN"/>
    <s v="CVD"/>
    <s v="F"/>
  </r>
  <r>
    <n v="168"/>
    <s v="NORTH"/>
    <s v="UTTAR PRADESH"/>
    <n v="7134"/>
    <s v="M/S GOENKA AUTO PRIVATE LIMITED."/>
    <s v="VARANASI"/>
    <s v="27-Feb-24"/>
    <s v="30-Mar-25"/>
    <n v="1165"/>
    <n v="60000"/>
    <n v="6"/>
    <s v="S"/>
    <s v="T1N"/>
    <n v="3046"/>
    <s v="MC1M4ABA6RP001056"/>
    <s v="D71048004"/>
    <m/>
    <m/>
    <x v="2"/>
    <s v="31-Mar-25"/>
    <x v="2"/>
    <n v="0"/>
    <n v="587839"/>
    <s v="11-Jun-25"/>
    <n v="0"/>
    <n v="0"/>
    <n v="0"/>
    <n v="111306"/>
    <s v="11-Jun-25"/>
    <n v="0"/>
    <m/>
    <m/>
    <s v="URBN"/>
    <s v="CVD"/>
    <s v="P"/>
  </r>
  <r>
    <n v="169"/>
    <s v="NORTH"/>
    <s v="UTTAR PRADESH"/>
    <n v="7134"/>
    <s v="M/S GOENKA AUTO PRIVATE LIMITED."/>
    <s v="VARANASI"/>
    <s v="28-Nov-24"/>
    <s v="30-Mar-25"/>
    <n v="1165"/>
    <n v="20000"/>
    <n v="2"/>
    <s v="S"/>
    <s v="T1N"/>
    <n v="5577"/>
    <s v="MC1M4AKA5SP002673"/>
    <s v="D71064545"/>
    <s v="022"/>
    <s v="SERVICE COUPON HARD COPY NOT RECEIVED"/>
    <x v="2"/>
    <s v="31-Mar-25"/>
    <x v="2"/>
    <n v="0"/>
    <n v="587839"/>
    <s v="11-Jun-25"/>
    <n v="0"/>
    <n v="0"/>
    <n v="0"/>
    <n v="111306"/>
    <s v="11-Jun-25"/>
    <n v="0"/>
    <m/>
    <m/>
    <s v="URBN"/>
    <s v="CVD"/>
    <s v="P"/>
  </r>
  <r>
    <n v="170"/>
    <s v="NORTH"/>
    <s v="UTTAR PRADESH"/>
    <n v="7134"/>
    <s v="M/S GOENKA AUTO PRIVATE LIMITED."/>
    <s v="VARANASI"/>
    <s v="28-Nov-24"/>
    <s v="28-Jan-25"/>
    <n v="1165"/>
    <n v="9920"/>
    <n v="1"/>
    <s v="S"/>
    <s v="T1N"/>
    <n v="5577"/>
    <s v="MC1M4AKA5SP002673"/>
    <s v="D71064545"/>
    <m/>
    <m/>
    <x v="2"/>
    <s v="31-Mar-25"/>
    <x v="2"/>
    <n v="1650"/>
    <n v="587839"/>
    <s v="11-Jun-25"/>
    <n v="1650"/>
    <n v="1947"/>
    <n v="297"/>
    <n v="111306"/>
    <s v="11-Jun-25"/>
    <n v="0"/>
    <m/>
    <m/>
    <s v="URBN"/>
    <s v="CVD"/>
    <s v="F"/>
  </r>
  <r>
    <n v="171"/>
    <s v="NORTH"/>
    <s v="UTTAR PRADESH"/>
    <n v="7134"/>
    <s v="M/S GOENKA AUTO PRIVATE LIMITED."/>
    <s v="VARANASI"/>
    <s v="30-Sep-24"/>
    <s v="07-Mar-25"/>
    <n v="1165"/>
    <n v="9680"/>
    <n v="1"/>
    <s v="S"/>
    <s v="T-1"/>
    <n v="782169"/>
    <s v="MC1E4DHA9SP054031"/>
    <s v="D71059709"/>
    <s v="002"/>
    <s v="SERV DATE EXCEEDS"/>
    <x v="2"/>
    <s v="31-Mar-25"/>
    <x v="2"/>
    <n v="1250"/>
    <n v="587839"/>
    <s v="11-Jun-25"/>
    <n v="1000"/>
    <n v="1475"/>
    <n v="225"/>
    <n v="111306"/>
    <s v="11-Jun-25"/>
    <n v="250"/>
    <m/>
    <m/>
    <s v="T1BS6N"/>
    <s v="CVD"/>
    <s v="F"/>
  </r>
  <r>
    <n v="172"/>
    <s v="NORTH"/>
    <s v="UTTAR PRADESH"/>
    <n v="7134"/>
    <s v="M/S GOENKA AUTO PRIVATE LIMITED."/>
    <s v="VARANASI"/>
    <s v="15-Nov-24"/>
    <s v="27-Mar-25"/>
    <n v="1165"/>
    <n v="30000"/>
    <n v="3"/>
    <s v="S"/>
    <s v="T26"/>
    <n v="789860"/>
    <s v="MC1E4FJA7SP021633"/>
    <s v="D71063051"/>
    <m/>
    <m/>
    <x v="2"/>
    <s v="31-Mar-25"/>
    <x v="2"/>
    <n v="1250"/>
    <n v="587839"/>
    <s v="11-Jun-25"/>
    <n v="1250"/>
    <n v="1475"/>
    <n v="225"/>
    <n v="111306"/>
    <s v="11-Jun-25"/>
    <n v="0"/>
    <m/>
    <m/>
    <s v="T26BS6"/>
    <s v="CVD"/>
    <s v="F"/>
  </r>
  <r>
    <n v="173"/>
    <s v="NORTH"/>
    <s v="UTTAR PRADESH"/>
    <n v="7134"/>
    <s v="M/S GOENKA AUTO PRIVATE LIMITED."/>
    <s v="VARANASI"/>
    <s v="10-Jul-24"/>
    <s v="30-Mar-25"/>
    <n v="1165"/>
    <n v="49607"/>
    <n v="5"/>
    <s v="S"/>
    <s v="T-1"/>
    <n v="774685"/>
    <s v="MC1E4EFA6RP013360"/>
    <s v="D71057471"/>
    <m/>
    <m/>
    <x v="2"/>
    <s v="31-Mar-25"/>
    <x v="2"/>
    <n v="1250"/>
    <n v="587839"/>
    <s v="11-Jun-25"/>
    <n v="1250"/>
    <n v="1475"/>
    <n v="225"/>
    <n v="111306"/>
    <s v="11-Jun-25"/>
    <n v="0"/>
    <m/>
    <m/>
    <s v="T1BS6"/>
    <s v="CVD"/>
    <s v="F"/>
  </r>
  <r>
    <n v="174"/>
    <s v="NORTH"/>
    <s v="UTTAR PRADESH"/>
    <n v="7134"/>
    <s v="M/S GOENKA AUTO PRIVATE LIMITED."/>
    <s v="VARANASI"/>
    <s v="22-Feb-23"/>
    <s v="09-Mar-25"/>
    <n v="1165"/>
    <n v="89742"/>
    <n v="13"/>
    <s v="S"/>
    <s v="T-1"/>
    <n v="739042"/>
    <s v="MC1E4EAA5PP009109"/>
    <s v="D71025589"/>
    <m/>
    <m/>
    <x v="2"/>
    <s v="31-Mar-25"/>
    <x v="2"/>
    <n v="0"/>
    <n v="587839"/>
    <s v="11-Jun-25"/>
    <n v="0"/>
    <n v="0"/>
    <n v="0"/>
    <n v="111306"/>
    <s v="11-Jun-25"/>
    <n v="0"/>
    <m/>
    <m/>
    <s v="T1BS6"/>
    <s v="CVD"/>
    <s v="P"/>
  </r>
  <r>
    <n v="175"/>
    <s v="NORTH"/>
    <s v="UTTAR PRADESH"/>
    <n v="7134"/>
    <s v="M/S GOENKA AUTO PRIVATE LIMITED."/>
    <s v="VARANASI"/>
    <s v="22-Mar-23"/>
    <s v="02-Mar-25"/>
    <n v="982"/>
    <n v="87525"/>
    <n v="12"/>
    <s v="S"/>
    <s v="TRAX"/>
    <n v="313644"/>
    <s v="MC1D4DKA5PP098913"/>
    <s v="D72008986"/>
    <m/>
    <m/>
    <x v="2"/>
    <s v="31-Mar-25"/>
    <x v="2"/>
    <n v="0"/>
    <n v="587839"/>
    <s v="11-Jun-25"/>
    <n v="0"/>
    <n v="0"/>
    <n v="0"/>
    <n v="111306"/>
    <s v="11-Jun-25"/>
    <n v="0"/>
    <m/>
    <m/>
    <s v="TRXBS6"/>
    <s v="CVD"/>
    <s v="P"/>
  </r>
  <r>
    <n v="176"/>
    <s v="NORTH"/>
    <s v="UTTAR PRADESH"/>
    <n v="7134"/>
    <s v="M/S GOENKA AUTO PRIVATE LIMITED."/>
    <s v="VARANASI"/>
    <s v="05-Jul-24"/>
    <s v="17-Mar-25"/>
    <n v="1165"/>
    <n v="40000"/>
    <n v="4"/>
    <s v="S"/>
    <s v="T-1"/>
    <n v="774598"/>
    <s v="MC1E4DFA9RP053121"/>
    <s v="D71056204"/>
    <m/>
    <m/>
    <x v="2"/>
    <s v="31-Mar-25"/>
    <x v="2"/>
    <n v="0"/>
    <n v="587839"/>
    <s v="11-Jun-25"/>
    <n v="0"/>
    <n v="0"/>
    <n v="0"/>
    <n v="111306"/>
    <s v="11-Jun-25"/>
    <n v="0"/>
    <m/>
    <m/>
    <s v="T1BS6"/>
    <s v="CVD"/>
    <s v="P"/>
  </r>
  <r>
    <n v="177"/>
    <s v="NORTH"/>
    <s v="UTTAR PRADESH"/>
    <n v="7134"/>
    <s v="M/S GOENKA AUTO PRIVATE LIMITED."/>
    <s v="VARANASI"/>
    <s v="30-Sep-24"/>
    <s v="07-Mar-25"/>
    <n v="1165"/>
    <n v="6761"/>
    <n v="1"/>
    <s v="S"/>
    <s v="T-1"/>
    <n v="782167"/>
    <s v="MC1E4DHA3SP054042"/>
    <s v="D71059618"/>
    <s v="002"/>
    <s v="SERV DATE EXCEEDS"/>
    <x v="2"/>
    <s v="31-Mar-25"/>
    <x v="2"/>
    <n v="1250"/>
    <n v="587839"/>
    <s v="11-Jun-25"/>
    <n v="1000"/>
    <n v="1475"/>
    <n v="225"/>
    <n v="111306"/>
    <s v="11-Jun-25"/>
    <n v="250"/>
    <m/>
    <m/>
    <s v="T1BS6N"/>
    <s v="CVD"/>
    <s v="F"/>
  </r>
  <r>
    <n v="178"/>
    <s v="NORTH"/>
    <s v="UTTAR PRADESH"/>
    <n v="7134"/>
    <s v="M/S GOENKA AUTO PRIVATE LIMITED."/>
    <s v="VARANASI"/>
    <s v="30-Oct-24"/>
    <s v="02-Mar-25"/>
    <n v="1165"/>
    <n v="19500"/>
    <n v="2"/>
    <s v="S"/>
    <s v="T1N"/>
    <n v="4895"/>
    <s v="MC1M4AKA8SP002635"/>
    <s v="D71064370"/>
    <m/>
    <m/>
    <x v="2"/>
    <s v="31-Mar-25"/>
    <x v="2"/>
    <n v="0"/>
    <n v="587839"/>
    <s v="11-Jun-25"/>
    <n v="0"/>
    <n v="0"/>
    <n v="0"/>
    <n v="111306"/>
    <s v="11-Jun-25"/>
    <n v="0"/>
    <m/>
    <m/>
    <s v="URBN"/>
    <s v="CVD"/>
    <s v="P"/>
  </r>
  <r>
    <n v="179"/>
    <s v="NORTH"/>
    <s v="UTTAR PRADESH"/>
    <n v="7134"/>
    <s v="M/S GOENKA AUTO PRIVATE LIMITED."/>
    <s v="VARANASI"/>
    <s v="24-Feb-24"/>
    <s v="17-Mar-25"/>
    <n v="1165"/>
    <n v="70000"/>
    <n v="7"/>
    <s v="S"/>
    <s v="T1N"/>
    <n v="3269"/>
    <s v="MC1M4ABA2RP001023"/>
    <s v="D71047495"/>
    <m/>
    <m/>
    <x v="2"/>
    <s v="31-Mar-25"/>
    <x v="2"/>
    <n v="1650"/>
    <n v="587839"/>
    <s v="11-Jun-25"/>
    <n v="1650"/>
    <n v="1947"/>
    <n v="297"/>
    <n v="111306"/>
    <s v="11-Jun-25"/>
    <n v="0"/>
    <m/>
    <m/>
    <s v="URBN"/>
    <s v="CVD"/>
    <s v="F"/>
  </r>
  <r>
    <n v="180"/>
    <s v="NORTH"/>
    <s v="UTTAR PRADESH"/>
    <n v="7134"/>
    <s v="M/S GOENKA AUTO PRIVATE LIMITED."/>
    <s v="VARANASI"/>
    <s v="29-Oct-24"/>
    <s v="04-Mar-25"/>
    <n v="1165"/>
    <n v="17200"/>
    <n v="2"/>
    <s v="S"/>
    <s v="T-1"/>
    <n v="790753"/>
    <s v="MC1E4DKA8SP054739"/>
    <s v="D71063348"/>
    <m/>
    <m/>
    <x v="2"/>
    <s v="31-Mar-25"/>
    <x v="2"/>
    <n v="0"/>
    <n v="587839"/>
    <s v="11-Jun-25"/>
    <n v="0"/>
    <n v="0"/>
    <n v="0"/>
    <n v="111306"/>
    <s v="11-Jun-25"/>
    <n v="0"/>
    <m/>
    <m/>
    <s v="T1BS6"/>
    <s v="CVD"/>
    <s v="P"/>
  </r>
  <r>
    <n v="181"/>
    <s v="NORTH"/>
    <s v="UTTAR PRADESH"/>
    <n v="7134"/>
    <s v="M/S GOENKA AUTO PRIVATE LIMITED."/>
    <s v="VARANASI"/>
    <s v="28-Oct-23"/>
    <s v="31-Mar-25"/>
    <n v="1165"/>
    <n v="25593"/>
    <n v="9"/>
    <s v="S"/>
    <s v="T-1"/>
    <n v="755926"/>
    <s v="MC1E4DJA6RP048367"/>
    <s v="D71040080"/>
    <m/>
    <m/>
    <x v="2"/>
    <s v="31-Mar-25"/>
    <x v="2"/>
    <n v="0"/>
    <n v="587839"/>
    <s v="11-Jun-25"/>
    <n v="0"/>
    <n v="0"/>
    <n v="0"/>
    <n v="111306"/>
    <s v="11-Jun-25"/>
    <n v="0"/>
    <m/>
    <m/>
    <s v="T1BS6"/>
    <s v="CVD"/>
    <s v="P"/>
  </r>
  <r>
    <n v="182"/>
    <s v="NORTH"/>
    <s v="UTTAR PRADESH"/>
    <n v="7134"/>
    <s v="M/S GOENKA AUTO PRIVATE LIMITED."/>
    <s v="VARANASI"/>
    <s v="11-Sep-24"/>
    <s v="03-Mar-25"/>
    <n v="1165"/>
    <n v="40000"/>
    <n v="4"/>
    <s v="S"/>
    <s v="T-1"/>
    <n v="785727"/>
    <s v="MC1E4EGA4SP013474"/>
    <s v="D71058225"/>
    <m/>
    <m/>
    <x v="2"/>
    <s v="31-Mar-25"/>
    <x v="2"/>
    <n v="0"/>
    <n v="587839"/>
    <s v="11-Jun-25"/>
    <n v="0"/>
    <n v="0"/>
    <n v="0"/>
    <n v="111306"/>
    <s v="11-Jun-25"/>
    <n v="0"/>
    <m/>
    <m/>
    <s v="T1BS6"/>
    <s v="CVD"/>
    <s v="P"/>
  </r>
  <r>
    <n v="183"/>
    <s v="NORTH"/>
    <s v="UTTAR PRADESH"/>
    <n v="7134"/>
    <s v="M/S GOENKA AUTO PRIVATE LIMITED."/>
    <s v="VARANASI"/>
    <s v="30-Jun-24"/>
    <s v="12-Mar-25"/>
    <n v="1165"/>
    <n v="23903"/>
    <n v="3"/>
    <s v="S"/>
    <s v="T1N"/>
    <n v="3911"/>
    <s v="MC1M4AEA4RP001648"/>
    <s v="D71055397"/>
    <m/>
    <m/>
    <x v="2"/>
    <s v="31-Mar-25"/>
    <x v="2"/>
    <n v="1650"/>
    <n v="587839"/>
    <s v="11-Jun-25"/>
    <n v="1650"/>
    <n v="1947"/>
    <n v="297"/>
    <n v="111306"/>
    <s v="11-Jun-25"/>
    <n v="0"/>
    <m/>
    <m/>
    <s v="URBN"/>
    <s v="CVD"/>
    <s v="F"/>
  </r>
  <r>
    <n v="184"/>
    <s v="NORTH"/>
    <s v="UTTAR PRADESH"/>
    <n v="7134"/>
    <s v="M/S GOENKA AUTO PRIVATE LIMITED."/>
    <s v="VARANASI"/>
    <s v="10-May-23"/>
    <s v="19-Mar-25"/>
    <n v="1165"/>
    <n v="120000"/>
    <n v="12"/>
    <s v="S"/>
    <s v="T-1"/>
    <n v="746572"/>
    <s v="MC1E4EDA1PP009510"/>
    <s v="D71030097"/>
    <m/>
    <m/>
    <x v="2"/>
    <s v="31-Mar-25"/>
    <x v="2"/>
    <n v="0"/>
    <n v="587839"/>
    <s v="11-Jun-25"/>
    <n v="0"/>
    <n v="0"/>
    <n v="0"/>
    <n v="111306"/>
    <s v="11-Jun-25"/>
    <n v="0"/>
    <m/>
    <m/>
    <s v="T1BS6"/>
    <s v="CVD"/>
    <s v="P"/>
  </r>
  <r>
    <n v="185"/>
    <s v="NORTH"/>
    <s v="UTTAR PRADESH"/>
    <n v="7134"/>
    <s v="M/S GOENKA AUTO PRIVATE LIMITED."/>
    <s v="VARANASI"/>
    <s v="20-Sep-23"/>
    <s v="10-Mar-25"/>
    <n v="1165"/>
    <n v="71388"/>
    <n v="9"/>
    <s v="S"/>
    <s v="TRAX"/>
    <n v="319115"/>
    <s v="MC1D4DJA2RP101366"/>
    <s v="D72011985"/>
    <m/>
    <m/>
    <x v="2"/>
    <s v="31-Mar-25"/>
    <x v="2"/>
    <n v="0"/>
    <n v="587839"/>
    <s v="11-Jun-25"/>
    <n v="0"/>
    <n v="0"/>
    <n v="0"/>
    <n v="111306"/>
    <s v="11-Jun-25"/>
    <n v="0"/>
    <m/>
    <m/>
    <s v="TRXBS6"/>
    <s v="CVD"/>
    <s v="P"/>
  </r>
  <r>
    <n v="186"/>
    <s v="NORTH"/>
    <s v="UTTAR PRADESH"/>
    <n v="7134"/>
    <s v="M/S GOENKA AUTO PRIVATE LIMITED."/>
    <s v="VARANASI"/>
    <s v="11-Jul-24"/>
    <s v="02-Mar-25"/>
    <n v="1165"/>
    <n v="40000"/>
    <n v="4"/>
    <s v="S"/>
    <s v="T-1"/>
    <n v="775228"/>
    <s v="MC1E4EFA3RP013090"/>
    <s v="D71055784"/>
    <m/>
    <m/>
    <x v="2"/>
    <s v="31-Mar-25"/>
    <x v="2"/>
    <n v="0"/>
    <n v="587839"/>
    <s v="11-Jun-25"/>
    <n v="0"/>
    <n v="0"/>
    <n v="0"/>
    <n v="111306"/>
    <s v="11-Jun-25"/>
    <n v="0"/>
    <m/>
    <m/>
    <s v="T1BS6"/>
    <s v="CVD"/>
    <s v="P"/>
  </r>
  <r>
    <n v="187"/>
    <s v="NORTH"/>
    <s v="UTTAR PRADESH"/>
    <n v="7134"/>
    <s v="M/S GOENKA AUTO PRIVATE LIMITED."/>
    <s v="VARANASI"/>
    <s v="11-Jul-24"/>
    <s v="30-Mar-25"/>
    <n v="1165"/>
    <n v="50000"/>
    <n v="5"/>
    <s v="S"/>
    <s v="T-1"/>
    <n v="775228"/>
    <s v="MC1E4EFA3RP013090"/>
    <s v="D71055784"/>
    <m/>
    <m/>
    <x v="2"/>
    <s v="31-Mar-25"/>
    <x v="2"/>
    <n v="1250"/>
    <n v="587839"/>
    <s v="11-Jun-25"/>
    <n v="1250"/>
    <n v="1475"/>
    <n v="225"/>
    <n v="111306"/>
    <s v="11-Jun-25"/>
    <n v="0"/>
    <m/>
    <m/>
    <s v="T1BS6"/>
    <s v="CVD"/>
    <s v="F"/>
  </r>
  <r>
    <n v="188"/>
    <s v="NORTH"/>
    <s v="UTTAR PRADESH"/>
    <n v="7134"/>
    <s v="M/S GOENKA AUTO PRIVATE LIMITED."/>
    <s v="VARANASI"/>
    <s v="02-Sep-23"/>
    <s v="05-Mar-25"/>
    <n v="1165"/>
    <n v="88172"/>
    <n v="9"/>
    <s v="S"/>
    <s v="TRAX"/>
    <n v="317507"/>
    <s v="MC1D4DHA0RP101176"/>
    <s v="D72011794"/>
    <m/>
    <m/>
    <x v="2"/>
    <s v="31-Mar-25"/>
    <x v="2"/>
    <n v="0"/>
    <n v="587839"/>
    <s v="11-Jun-25"/>
    <n v="0"/>
    <n v="0"/>
    <n v="0"/>
    <n v="111306"/>
    <s v="11-Jun-25"/>
    <n v="0"/>
    <m/>
    <m/>
    <s v="TRXBS6"/>
    <s v="CVD"/>
    <s v="P"/>
  </r>
  <r>
    <n v="189"/>
    <s v="NORTH"/>
    <s v="UTTAR PRADESH"/>
    <n v="7134"/>
    <s v="M/S GOENKA AUTO PRIVATE LIMITED."/>
    <s v="VARANASI"/>
    <s v="29-May-23"/>
    <s v="04-Mar-25"/>
    <n v="1165"/>
    <n v="86230"/>
    <n v="11"/>
    <s v="S"/>
    <s v="T-1"/>
    <n v="746997"/>
    <s v="MC1E4DDA4PP045265"/>
    <s v="D71029344"/>
    <m/>
    <m/>
    <x v="2"/>
    <s v="31-Mar-25"/>
    <x v="2"/>
    <n v="1250"/>
    <n v="587839"/>
    <s v="11-Jun-25"/>
    <n v="1250"/>
    <n v="1475"/>
    <n v="225"/>
    <n v="111306"/>
    <s v="11-Jun-25"/>
    <n v="0"/>
    <m/>
    <m/>
    <s v="T1BS6"/>
    <s v="CVD"/>
    <s v="F"/>
  </r>
  <r>
    <n v="190"/>
    <s v="NORTH"/>
    <s v="UTTAR PRADESH"/>
    <n v="7134"/>
    <s v="M/S GOENKA AUTO PRIVATE LIMITED."/>
    <s v="VARANASI"/>
    <s v="29-May-23"/>
    <s v="24-Feb-25"/>
    <n v="1165"/>
    <n v="81500"/>
    <n v="10"/>
    <s v="S"/>
    <s v="T-1"/>
    <n v="746997"/>
    <s v="MC1E4DDA4PP045265"/>
    <s v="D71029344"/>
    <s v="002"/>
    <s v="SERV DATE EXCEEDS"/>
    <x v="2"/>
    <s v="31-Mar-25"/>
    <x v="2"/>
    <n v="0"/>
    <n v="587839"/>
    <s v="11-Jun-25"/>
    <n v="0"/>
    <n v="0"/>
    <n v="0"/>
    <n v="111306"/>
    <s v="11-Jun-25"/>
    <n v="0"/>
    <m/>
    <m/>
    <s v="T1BS6"/>
    <s v="CVD"/>
    <s v="P"/>
  </r>
  <r>
    <n v="191"/>
    <s v="NORTH"/>
    <s v="UTTAR PRADESH"/>
    <n v="7134"/>
    <s v="M/S GOENKA AUTO PRIVATE LIMITED."/>
    <s v="VARANASI"/>
    <s v="24-Jul-24"/>
    <s v="27-Mar-25"/>
    <n v="1165"/>
    <n v="6230"/>
    <n v="2"/>
    <s v="S"/>
    <s v="T-1"/>
    <n v="781826"/>
    <s v="MC1E5DEA1RP000492"/>
    <s v="D73001153"/>
    <s v="002"/>
    <s v="SERV DATE EXCEEDS"/>
    <x v="2"/>
    <s v="31-Mar-25"/>
    <x v="2"/>
    <n v="0"/>
    <n v="587839"/>
    <s v="11-Jun-25"/>
    <n v="0"/>
    <n v="0"/>
    <n v="0"/>
    <n v="111306"/>
    <s v="11-Jun-25"/>
    <n v="0"/>
    <m/>
    <m/>
    <s v="T1CNGL"/>
    <s v="CVD"/>
    <s v="P"/>
  </r>
  <r>
    <n v="192"/>
    <s v="NORTH"/>
    <s v="UTTAR PRADESH"/>
    <n v="7134"/>
    <s v="M/S GOENKA AUTO PRIVATE LIMITED."/>
    <s v="VARANASI"/>
    <s v="03-Jul-24"/>
    <s v="27-Mar-25"/>
    <n v="1165"/>
    <n v="40000"/>
    <n v="4"/>
    <s v="S"/>
    <s v="T-1"/>
    <n v="775222"/>
    <s v="MC1E4EFA9RP013093"/>
    <s v="D71055949"/>
    <s v="002"/>
    <s v="SERV DATE EXCEEDS"/>
    <x v="2"/>
    <s v="31-Mar-25"/>
    <x v="2"/>
    <n v="0"/>
    <n v="587839"/>
    <s v="11-Jun-25"/>
    <n v="0"/>
    <n v="0"/>
    <n v="0"/>
    <n v="111306"/>
    <s v="11-Jun-25"/>
    <n v="0"/>
    <m/>
    <m/>
    <s v="T1BS6"/>
    <s v="CVD"/>
    <s v="P"/>
  </r>
  <r>
    <n v="193"/>
    <s v="NORTH"/>
    <s v="UTTAR PRADESH"/>
    <n v="7134"/>
    <s v="M/S GOENKA AUTO PRIVATE LIMITED."/>
    <s v="VARANASI"/>
    <s v="25-Oct-24"/>
    <s v="06-Mar-25"/>
    <n v="1165"/>
    <n v="17580"/>
    <n v="2"/>
    <s v="S"/>
    <s v="T-1"/>
    <n v="786107"/>
    <s v="MC1E4EJA7SP014014"/>
    <s v="D71062081"/>
    <m/>
    <m/>
    <x v="2"/>
    <s v="31-Mar-25"/>
    <x v="2"/>
    <n v="0"/>
    <n v="587839"/>
    <s v="11-Jun-25"/>
    <n v="0"/>
    <n v="0"/>
    <n v="0"/>
    <n v="111306"/>
    <s v="11-Jun-25"/>
    <n v="0"/>
    <m/>
    <m/>
    <s v="T1BS6"/>
    <s v="CVD"/>
    <s v="P"/>
  </r>
  <r>
    <n v="194"/>
    <s v="NORTH"/>
    <s v="UTTAR PRADESH"/>
    <n v="7134"/>
    <s v="M/S GOENKA AUTO PRIVATE LIMITED."/>
    <s v="VARANASI"/>
    <s v="26-Oct-24"/>
    <s v="16-Mar-25"/>
    <n v="1165"/>
    <n v="20000"/>
    <n v="2"/>
    <s v="S"/>
    <s v="T-1"/>
    <n v="790286"/>
    <s v="MC1E4EJA9SP014242"/>
    <s v="D71063229"/>
    <s v="002"/>
    <s v="SERV DATE EXCEEDS"/>
    <x v="2"/>
    <s v="31-Mar-25"/>
    <x v="2"/>
    <n v="0"/>
    <n v="587839"/>
    <s v="11-Jun-25"/>
    <n v="0"/>
    <n v="0"/>
    <n v="0"/>
    <n v="111306"/>
    <s v="11-Jun-25"/>
    <n v="0"/>
    <m/>
    <m/>
    <s v="T1BS6"/>
    <s v="CVD"/>
    <s v="P"/>
  </r>
  <r>
    <n v="195"/>
    <s v="NORTH"/>
    <s v="UTTAR PRADESH"/>
    <n v="7134"/>
    <s v="M/S GOENKA AUTO PRIVATE LIMITED."/>
    <s v="VARANASI"/>
    <s v="30-Jun-24"/>
    <s v="26-Mar-25"/>
    <n v="1165"/>
    <n v="40000"/>
    <n v="4"/>
    <s v="S"/>
    <s v="T1N"/>
    <n v="3559"/>
    <s v="MC1M4AFAXRP001720"/>
    <s v="D71055788"/>
    <m/>
    <m/>
    <x v="2"/>
    <s v="31-Mar-25"/>
    <x v="2"/>
    <n v="0"/>
    <n v="587839"/>
    <s v="11-Jun-25"/>
    <n v="0"/>
    <n v="0"/>
    <n v="0"/>
    <n v="111306"/>
    <s v="11-Jun-25"/>
    <n v="0"/>
    <m/>
    <m/>
    <s v="URBN"/>
    <s v="CVD"/>
    <s v="P"/>
  </r>
  <r>
    <n v="196"/>
    <s v="NORTH"/>
    <s v="UTTAR PRADESH"/>
    <n v="7134"/>
    <s v="M/S GOENKA AUTO PRIVATE LIMITED."/>
    <s v="VARANASI"/>
    <s v="11-Jan-25"/>
    <s v="05-Mar-25"/>
    <n v="1165"/>
    <n v="9406"/>
    <n v="1"/>
    <s v="S"/>
    <s v="T-1"/>
    <n v="792067"/>
    <s v="MC1E4EKA8SP014618"/>
    <s v="D71065160"/>
    <m/>
    <m/>
    <x v="2"/>
    <s v="31-Mar-25"/>
    <x v="2"/>
    <n v="1250"/>
    <n v="587839"/>
    <s v="11-Jun-25"/>
    <n v="1250"/>
    <n v="1475"/>
    <n v="225"/>
    <n v="111306"/>
    <s v="11-Jun-25"/>
    <n v="0"/>
    <m/>
    <m/>
    <s v="T1BS6"/>
    <s v="CVD"/>
    <s v="F"/>
  </r>
  <r>
    <n v="197"/>
    <s v="NORTH"/>
    <s v="UTTAR PRADESH"/>
    <n v="7134"/>
    <s v="M/S GOENKA AUTO PRIVATE LIMITED."/>
    <s v="VARANASI"/>
    <s v="20-Aug-24"/>
    <s v="30-Mar-25"/>
    <n v="970"/>
    <n v="40000"/>
    <n v="4"/>
    <s v="S"/>
    <s v="T1N"/>
    <n v="4625"/>
    <s v="MC1M4AGA3SP001949"/>
    <s v="D71058108"/>
    <m/>
    <m/>
    <x v="2"/>
    <s v="31-Mar-25"/>
    <x v="2"/>
    <n v="0"/>
    <n v="587839"/>
    <s v="11-Jun-25"/>
    <n v="0"/>
    <n v="0"/>
    <n v="0"/>
    <n v="111306"/>
    <s v="11-Jun-25"/>
    <n v="0"/>
    <m/>
    <m/>
    <s v="URBN"/>
    <s v="CVD"/>
    <s v="P"/>
  </r>
  <r>
    <n v="198"/>
    <s v="NORTH"/>
    <s v="UTTAR PRADESH"/>
    <n v="7134"/>
    <s v="M/S GOENKA AUTO PRIVATE LIMITED."/>
    <s v="VARANASI"/>
    <s v="11-Dec-24"/>
    <s v="25-Mar-25"/>
    <n v="1165"/>
    <n v="20000"/>
    <n v="2"/>
    <s v="S"/>
    <s v="T1N"/>
    <n v="5539"/>
    <s v="MC1M4ALA7SP002785"/>
    <s v="D71064906"/>
    <m/>
    <m/>
    <x v="2"/>
    <s v="31-Mar-25"/>
    <x v="2"/>
    <n v="0"/>
    <n v="587839"/>
    <s v="11-Jun-25"/>
    <n v="0"/>
    <n v="0"/>
    <n v="0"/>
    <n v="111306"/>
    <s v="11-Jun-25"/>
    <n v="0"/>
    <m/>
    <m/>
    <s v="URBN"/>
    <s v="CVD"/>
    <s v="P"/>
  </r>
  <r>
    <n v="199"/>
    <s v="NORTH"/>
    <s v="UTTAR PRADESH"/>
    <n v="7134"/>
    <s v="M/S GOENKA AUTO PRIVATE LIMITED."/>
    <s v="VARANASI"/>
    <s v="05-Sep-23"/>
    <s v="27-Mar-25"/>
    <n v="1165"/>
    <n v="69045"/>
    <n v="10"/>
    <s v="S"/>
    <s v="T-1"/>
    <n v="753138"/>
    <s v="MC1E4EHA0RP010404"/>
    <s v="D71038033"/>
    <m/>
    <m/>
    <x v="2"/>
    <s v="31-Mar-25"/>
    <x v="2"/>
    <n v="0"/>
    <n v="587839"/>
    <s v="11-Jun-25"/>
    <n v="0"/>
    <n v="0"/>
    <n v="0"/>
    <n v="111306"/>
    <s v="11-Jun-25"/>
    <n v="0"/>
    <m/>
    <m/>
    <s v="T1BS6"/>
    <s v="CVD"/>
    <s v="P"/>
  </r>
  <r>
    <n v="200"/>
    <s v="NORTH"/>
    <s v="UTTAR PRADESH"/>
    <n v="7134"/>
    <s v="M/S GOENKA AUTO PRIVATE LIMITED."/>
    <s v="VARANASI"/>
    <s v="27-Feb-25"/>
    <s v="01-Mar-25"/>
    <n v="1165"/>
    <n v="9500"/>
    <n v="1"/>
    <s v="S"/>
    <s v="T-1"/>
    <n v="785976"/>
    <s v="MC1E4EJA6SP014182"/>
    <s v="D71062929"/>
    <m/>
    <m/>
    <x v="2"/>
    <s v="31-Mar-25"/>
    <x v="2"/>
    <n v="1250"/>
    <n v="587839"/>
    <s v="11-Jun-25"/>
    <n v="1250"/>
    <n v="1475"/>
    <n v="225"/>
    <n v="111306"/>
    <s v="11-Jun-25"/>
    <n v="0"/>
    <m/>
    <m/>
    <s v="T1BS6"/>
    <s v="CVD"/>
    <s v="F"/>
  </r>
  <r>
    <n v="201"/>
    <s v="NORTH"/>
    <s v="UTTAR PRADESH"/>
    <n v="7134"/>
    <s v="M/S GOENKA AUTO PRIVATE LIMITED."/>
    <s v="VARANASI"/>
    <s v="10-Sep-24"/>
    <s v="04-Mar-25"/>
    <n v="1165"/>
    <n v="30000"/>
    <n v="3"/>
    <s v="S"/>
    <s v="T26"/>
    <n v="776534"/>
    <s v="MC1E4FHA8SP021288"/>
    <s v="D71060855"/>
    <m/>
    <m/>
    <x v="2"/>
    <s v="31-Mar-25"/>
    <x v="2"/>
    <n v="1250"/>
    <n v="587839"/>
    <s v="11-Jun-25"/>
    <n v="1250"/>
    <n v="1475"/>
    <n v="225"/>
    <n v="111306"/>
    <s v="11-Jun-25"/>
    <n v="0"/>
    <m/>
    <m/>
    <s v="T26BS6"/>
    <s v="CVD"/>
    <s v="F"/>
  </r>
  <r>
    <n v="202"/>
    <s v="NORTH"/>
    <s v="UTTAR PRADESH"/>
    <n v="7134"/>
    <s v="M/S GOENKA AUTO PRIVATE LIMITED."/>
    <s v="VARANASI"/>
    <s v="19-Jul-24"/>
    <s v="27-Mar-25"/>
    <n v="1165"/>
    <n v="25123"/>
    <n v="4"/>
    <s v="S"/>
    <s v="T-1"/>
    <n v="7085388"/>
    <s v="MC1E4DGA7SP053543"/>
    <s v="D71057790"/>
    <m/>
    <m/>
    <x v="2"/>
    <s v="31-Mar-25"/>
    <x v="2"/>
    <n v="0"/>
    <n v="587839"/>
    <s v="11-Jun-25"/>
    <n v="0"/>
    <n v="0"/>
    <n v="0"/>
    <n v="111306"/>
    <s v="11-Jun-25"/>
    <n v="0"/>
    <m/>
    <m/>
    <s v="T1BS6"/>
    <s v="CVD"/>
    <s v="P"/>
  </r>
  <r>
    <n v="203"/>
    <s v="NORTH"/>
    <s v="UTTAR PRADESH"/>
    <n v="7134"/>
    <s v="M/S GOENKA AUTO PRIVATE LIMITED."/>
    <s v="VARANASI"/>
    <s v="31-Mar-24"/>
    <s v="25-Mar-25"/>
    <n v="1165"/>
    <n v="60000"/>
    <n v="6"/>
    <s v="S"/>
    <s v="T1N"/>
    <n v="3187"/>
    <s v="MC1M4ACA8RP001252"/>
    <s v="D71050836"/>
    <m/>
    <m/>
    <x v="2"/>
    <s v="31-Mar-25"/>
    <x v="2"/>
    <n v="0"/>
    <n v="587839"/>
    <s v="11-Jun-25"/>
    <n v="0"/>
    <n v="0"/>
    <n v="0"/>
    <n v="111306"/>
    <s v="11-Jun-25"/>
    <n v="0"/>
    <m/>
    <m/>
    <s v="URBN"/>
    <s v="CVD"/>
    <s v="P"/>
  </r>
  <r>
    <n v="204"/>
    <s v="NORTH"/>
    <s v="UTTAR PRADESH"/>
    <n v="7134"/>
    <s v="M/S GOENKA AUTO PRIVATE LIMITED."/>
    <s v="VARANASI"/>
    <s v="17-Feb-25"/>
    <s v="16-Mar-25"/>
    <n v="779"/>
    <n v="10000"/>
    <n v="1"/>
    <s v="S"/>
    <s v="T-1"/>
    <n v="780479"/>
    <s v="MC1E4CMA3SP082679"/>
    <s v="D71068123"/>
    <m/>
    <m/>
    <x v="2"/>
    <s v="31-Mar-25"/>
    <x v="2"/>
    <n v="1250"/>
    <n v="587839"/>
    <s v="11-Jun-25"/>
    <n v="1250"/>
    <n v="1475"/>
    <n v="225"/>
    <n v="111306"/>
    <s v="11-Jun-25"/>
    <n v="0"/>
    <m/>
    <m/>
    <s v="T1BS6"/>
    <s v="CVD"/>
    <s v="F"/>
  </r>
  <r>
    <n v="205"/>
    <s v="NORTH"/>
    <s v="UTTAR PRADESH"/>
    <n v="7134"/>
    <s v="M/S GOENKA AUTO PRIVATE LIMITED."/>
    <s v="VARANASI"/>
    <s v="25-Jun-24"/>
    <s v="04-Mar-25"/>
    <n v="1165"/>
    <n v="69500"/>
    <n v="6"/>
    <s v="S"/>
    <s v="T-1"/>
    <n v="775229"/>
    <s v="MC1E4EFA2RP013095"/>
    <s v="D71055313"/>
    <s v="001"/>
    <s v="SERV KMS  / HRS EXCEEDS"/>
    <x v="2"/>
    <s v="31-Mar-25"/>
    <x v="2"/>
    <n v="0"/>
    <n v="587839"/>
    <s v="11-Jun-25"/>
    <n v="0"/>
    <n v="0"/>
    <n v="0"/>
    <n v="111306"/>
    <s v="11-Jun-25"/>
    <n v="0"/>
    <m/>
    <m/>
    <s v="T1BS6"/>
    <s v="CVD"/>
    <s v="P"/>
  </r>
  <r>
    <n v="206"/>
    <s v="NORTH"/>
    <s v="UTTAR PRADESH"/>
    <n v="7134"/>
    <s v="M/S GOENKA AUTO PRIVATE LIMITED."/>
    <s v="VARANASI"/>
    <s v="29-Oct-24"/>
    <s v="11-Mar-25"/>
    <n v="1150"/>
    <n v="9551"/>
    <n v="2"/>
    <s v="S"/>
    <s v="T-1"/>
    <n v="781928"/>
    <s v="MC1E4CKA9SP081412"/>
    <s v="D71063849"/>
    <m/>
    <m/>
    <x v="2"/>
    <s v="31-Mar-25"/>
    <x v="2"/>
    <n v="1250"/>
    <n v="587839"/>
    <s v="11-Jun-25"/>
    <n v="1250"/>
    <n v="1475"/>
    <n v="225"/>
    <n v="111306"/>
    <s v="11-Jun-25"/>
    <n v="0"/>
    <m/>
    <m/>
    <s v="T1BS6"/>
    <s v="CVD"/>
    <s v="F"/>
  </r>
  <r>
    <n v="207"/>
    <s v="NORTH"/>
    <s v="UTTAR PRADESH"/>
    <n v="7134"/>
    <s v="M/S GOENKA AUTO PRIVATE LIMITED."/>
    <s v="VARANASI"/>
    <s v="13-May-24"/>
    <s v="20-Mar-25"/>
    <n v="1165"/>
    <n v="90000"/>
    <n v="9"/>
    <s v="S"/>
    <s v="T-1"/>
    <n v="764113"/>
    <s v="MC1E4ECAXRP012359"/>
    <s v="D71051066"/>
    <m/>
    <m/>
    <x v="2"/>
    <s v="31-Mar-25"/>
    <x v="2"/>
    <n v="0"/>
    <n v="587839"/>
    <s v="11-Jun-25"/>
    <n v="0"/>
    <n v="0"/>
    <n v="0"/>
    <n v="111306"/>
    <s v="11-Jun-25"/>
    <n v="0"/>
    <m/>
    <m/>
    <s v="T1BS6"/>
    <s v="CVD"/>
    <s v="P"/>
  </r>
  <r>
    <n v="208"/>
    <s v="NORTH"/>
    <s v="UTTAR PRADESH"/>
    <n v="7134"/>
    <s v="M/S GOENKA AUTO PRIVATE LIMITED."/>
    <s v="VARANASI"/>
    <s v="24-Jan-24"/>
    <s v="25-Mar-25"/>
    <n v="1165"/>
    <n v="70000"/>
    <n v="7"/>
    <s v="S"/>
    <s v="T-1"/>
    <n v="761341"/>
    <s v="MC1E4EAA5RP011526"/>
    <s v="D71045349"/>
    <m/>
    <m/>
    <x v="2"/>
    <s v="31-Mar-25"/>
    <x v="2"/>
    <n v="0"/>
    <n v="587839"/>
    <s v="11-Jun-25"/>
    <n v="0"/>
    <n v="0"/>
    <n v="0"/>
    <n v="111306"/>
    <s v="11-Jun-25"/>
    <n v="0"/>
    <m/>
    <m/>
    <s v="T1BS6"/>
    <s v="CVD"/>
    <s v="P"/>
  </r>
  <r>
    <n v="209"/>
    <s v="NORTH"/>
    <s v="UTTAR PRADESH"/>
    <n v="7134"/>
    <s v="M/S GOENKA AUTO PRIVATE LIMITED."/>
    <s v="VARANASI"/>
    <s v="18-Dec-24"/>
    <s v="09-Mar-25"/>
    <n v="1165"/>
    <n v="5457"/>
    <n v="1"/>
    <s v="S"/>
    <s v="TRAX"/>
    <n v="326648"/>
    <s v="MC1D4DKA3SP106175"/>
    <s v="D72017652"/>
    <s v="002"/>
    <s v="SERV DATE EXCEEDS"/>
    <x v="2"/>
    <s v="31-Mar-25"/>
    <x v="2"/>
    <n v="1250"/>
    <n v="587839"/>
    <s v="11-Jun-25"/>
    <n v="1000"/>
    <n v="1475"/>
    <n v="225"/>
    <n v="111306"/>
    <s v="11-Jun-25"/>
    <n v="250"/>
    <m/>
    <m/>
    <s v="TRXBS6"/>
    <s v="CVD"/>
    <s v="F"/>
  </r>
  <r>
    <n v="210"/>
    <s v="NORTH"/>
    <s v="UTTAR PRADESH"/>
    <n v="7134"/>
    <s v="M/S GOENKA AUTO PRIVATE LIMITED."/>
    <s v="VARANASI"/>
    <s v="30-Jul-24"/>
    <s v="31-Mar-25"/>
    <n v="1165"/>
    <n v="8156"/>
    <n v="2"/>
    <s v="S"/>
    <s v="T-1"/>
    <n v="780782"/>
    <s v="MC1E4DFA7RP053277"/>
    <s v="D71056758"/>
    <m/>
    <m/>
    <x v="2"/>
    <s v="31-Mar-25"/>
    <x v="2"/>
    <n v="1250"/>
    <n v="587839"/>
    <s v="11-Jun-25"/>
    <n v="1250"/>
    <n v="1475"/>
    <n v="225"/>
    <n v="111306"/>
    <s v="11-Jun-25"/>
    <n v="0"/>
    <m/>
    <m/>
    <s v="T1BS6N"/>
    <s v="CVD"/>
    <s v="F"/>
  </r>
  <r>
    <n v="211"/>
    <s v="NORTH"/>
    <s v="UTTAR PRADESH"/>
    <n v="7134"/>
    <s v="M/S GOENKA AUTO PRIVATE LIMITED."/>
    <s v="VARANASI"/>
    <s v="10-Feb-25"/>
    <s v="24-Mar-25"/>
    <n v="1165"/>
    <n v="10000"/>
    <n v="1"/>
    <s v="S"/>
    <s v="T1N"/>
    <n v="6199"/>
    <s v="MC1M4ALA7SP002883"/>
    <s v="D71066311"/>
    <m/>
    <m/>
    <x v="2"/>
    <s v="31-Mar-25"/>
    <x v="2"/>
    <n v="1650"/>
    <n v="587839"/>
    <s v="11-Jun-25"/>
    <n v="1650"/>
    <n v="1947"/>
    <n v="297"/>
    <n v="111306"/>
    <s v="11-Jun-25"/>
    <n v="0"/>
    <m/>
    <m/>
    <s v="URBN"/>
    <s v="CVD"/>
    <s v="F"/>
  </r>
  <r>
    <n v="212"/>
    <s v="NORTH"/>
    <s v="UTTAR PRADESH"/>
    <n v="7134"/>
    <s v="M/S GOENKA AUTO PRIVATE LIMITED."/>
    <s v="VARANASI"/>
    <s v="26-Aug-24"/>
    <s v="12-Mar-25"/>
    <n v="1150"/>
    <n v="14937"/>
    <n v="4"/>
    <s v="S"/>
    <s v="T26"/>
    <n v="777300"/>
    <s v="MC1E4FGA7SP020943"/>
    <s v="D71058284"/>
    <m/>
    <m/>
    <x v="2"/>
    <s v="31-Mar-25"/>
    <x v="2"/>
    <n v="0"/>
    <n v="587839"/>
    <s v="11-Jun-25"/>
    <n v="0"/>
    <n v="0"/>
    <n v="0"/>
    <n v="111306"/>
    <s v="11-Jun-25"/>
    <n v="0"/>
    <m/>
    <m/>
    <s v="T26BS6"/>
    <s v="CVD"/>
    <s v="P"/>
  </r>
  <r>
    <n v="213"/>
    <s v="NORTH"/>
    <s v="UTTAR PRADESH"/>
    <n v="7134"/>
    <s v="M/S GOENKA AUTO PRIVATE LIMITED."/>
    <s v="VARANASI"/>
    <s v="08-Jul-23"/>
    <s v="07-Mar-25"/>
    <n v="1165"/>
    <n v="40494"/>
    <n v="10"/>
    <s v="S"/>
    <s v="T-1"/>
    <n v="743974"/>
    <s v="MC1E4DCA0PP045006"/>
    <s v="D71028390"/>
    <m/>
    <m/>
    <x v="2"/>
    <s v="31-Mar-25"/>
    <x v="2"/>
    <n v="0"/>
    <n v="587839"/>
    <s v="11-Jun-25"/>
    <n v="0"/>
    <n v="0"/>
    <n v="0"/>
    <n v="111306"/>
    <s v="11-Jun-25"/>
    <n v="0"/>
    <m/>
    <m/>
    <s v="T1BS6"/>
    <s v="CVD"/>
    <s v="P"/>
  </r>
  <r>
    <n v="214"/>
    <s v="NORTH"/>
    <s v="UTTAR PRADESH"/>
    <n v="7134"/>
    <s v="M/S GOENKA AUTO PRIVATE LIMITED."/>
    <s v="VARANASI"/>
    <s v="11-Dec-24"/>
    <s v="04-Mar-25"/>
    <n v="1674"/>
    <n v="10000"/>
    <n v="1"/>
    <s v="S"/>
    <s v="T26"/>
    <n v="776920"/>
    <s v="MC1E4FGA5SP020990"/>
    <s v="D71058768"/>
    <s v="002"/>
    <s v="SERV DATE EXCEEDS"/>
    <x v="2"/>
    <s v="31-Mar-25"/>
    <x v="2"/>
    <n v="1250"/>
    <n v="587839"/>
    <s v="11-Jun-25"/>
    <n v="1000"/>
    <n v="1475"/>
    <n v="225"/>
    <n v="111306"/>
    <s v="11-Jun-25"/>
    <n v="250"/>
    <m/>
    <m/>
    <s v="T26BS6"/>
    <s v="CVD"/>
    <s v="F"/>
  </r>
  <r>
    <n v="215"/>
    <s v="NORTH"/>
    <s v="UTTAR PRADESH"/>
    <n v="7134"/>
    <s v="M/S GOENKA AUTO PRIVATE LIMITED."/>
    <s v="VARANASI"/>
    <s v="20-Nov-24"/>
    <s v="23-Mar-25"/>
    <n v="1165"/>
    <n v="20000"/>
    <n v="2"/>
    <s v="S"/>
    <s v="T-1"/>
    <n v="790690"/>
    <s v="MC1E4EKA1SP014315"/>
    <s v="D71063632"/>
    <m/>
    <m/>
    <x v="2"/>
    <s v="31-Mar-25"/>
    <x v="2"/>
    <n v="0"/>
    <n v="587839"/>
    <s v="11-Jun-25"/>
    <n v="0"/>
    <n v="0"/>
    <n v="0"/>
    <n v="111306"/>
    <s v="11-Jun-25"/>
    <n v="0"/>
    <m/>
    <m/>
    <s v="T1BS6"/>
    <s v="CVD"/>
    <s v="P"/>
  </r>
  <r>
    <n v="216"/>
    <s v="NORTH"/>
    <s v="UTTAR PRADESH"/>
    <n v="7134"/>
    <s v="M/S GOENKA AUTO PRIVATE LIMITED."/>
    <s v="VARANASI"/>
    <s v="24-Mar-23"/>
    <s v="21-Mar-25"/>
    <n v="1165"/>
    <n v="84557"/>
    <n v="12"/>
    <s v="S"/>
    <s v="T-1"/>
    <n v="744799"/>
    <s v="MC1E4ECA9PP009305"/>
    <s v="D71027313"/>
    <m/>
    <m/>
    <x v="2"/>
    <s v="31-Mar-25"/>
    <x v="2"/>
    <n v="0"/>
    <n v="587839"/>
    <s v="11-Jun-25"/>
    <n v="0"/>
    <n v="0"/>
    <n v="0"/>
    <n v="111306"/>
    <s v="11-Jun-25"/>
    <n v="0"/>
    <m/>
    <m/>
    <s v="T1BS6"/>
    <s v="CVD"/>
    <s v="P"/>
  </r>
  <r>
    <n v="217"/>
    <s v="NORTH"/>
    <s v="UTTAR PRADESH"/>
    <n v="7134"/>
    <s v="M/S GOENKA AUTO PRIVATE LIMITED."/>
    <s v="VARANASI"/>
    <s v="14-Oct-24"/>
    <s v="27-Mar-25"/>
    <n v="1165"/>
    <n v="30000"/>
    <n v="3"/>
    <s v="S"/>
    <s v="T-1"/>
    <n v="787043"/>
    <s v="MC1E4EHA8SP013850"/>
    <s v="D71061089"/>
    <m/>
    <m/>
    <x v="2"/>
    <s v="31-Mar-25"/>
    <x v="2"/>
    <n v="1250"/>
    <n v="587839"/>
    <s v="11-Jun-25"/>
    <n v="1250"/>
    <n v="1475"/>
    <n v="225"/>
    <n v="111306"/>
    <s v="11-Jun-25"/>
    <n v="0"/>
    <m/>
    <m/>
    <s v="T1BS6"/>
    <s v="CVD"/>
    <s v="F"/>
  </r>
  <r>
    <n v="218"/>
    <s v="NORTH"/>
    <s v="UTTAR PRADESH"/>
    <n v="7134"/>
    <s v="M/S GOENKA AUTO PRIVATE LIMITED."/>
    <s v="VARANASI"/>
    <s v="29-Oct-24"/>
    <s v="05-Mar-25"/>
    <n v="1165"/>
    <n v="20000"/>
    <n v="2"/>
    <s v="S"/>
    <s v="TRAX"/>
    <n v="325407"/>
    <s v="MC1D4DKA3SP106032"/>
    <s v="D72017498"/>
    <m/>
    <m/>
    <x v="2"/>
    <s v="31-Mar-25"/>
    <x v="2"/>
    <n v="0"/>
    <n v="587839"/>
    <s v="11-Jun-25"/>
    <n v="0"/>
    <n v="0"/>
    <n v="0"/>
    <n v="111306"/>
    <s v="11-Jun-25"/>
    <n v="0"/>
    <m/>
    <m/>
    <s v="TRXBS6"/>
    <s v="CVD"/>
    <s v="P"/>
  </r>
  <r>
    <n v="219"/>
    <s v="NORTH"/>
    <s v="UTTAR PRADESH"/>
    <n v="7134"/>
    <s v="M/S GOENKA AUTO PRIVATE LIMITED."/>
    <s v="VARANASI"/>
    <s v="31-Aug-23"/>
    <s v="18-Mar-25"/>
    <n v="1165"/>
    <n v="122180"/>
    <n v="12"/>
    <s v="S"/>
    <s v="T26"/>
    <n v="756550"/>
    <s v="MC1E4FHA2RP017831"/>
    <s v="D71037510"/>
    <s v="001"/>
    <s v="SERV KMS  / HRS EXCEEDS"/>
    <x v="2"/>
    <s v="31-Mar-25"/>
    <x v="2"/>
    <n v="0"/>
    <n v="587839"/>
    <s v="11-Jun-25"/>
    <n v="0"/>
    <n v="0"/>
    <n v="0"/>
    <n v="111306"/>
    <s v="11-Jun-25"/>
    <n v="0"/>
    <m/>
    <m/>
    <s v="T26BS6"/>
    <s v="CVD"/>
    <s v="P"/>
  </r>
  <r>
    <n v="220"/>
    <s v="NORTH"/>
    <s v="UTTAR PRADESH"/>
    <n v="7134"/>
    <s v="M/S GOENKA AUTO PRIVATE LIMITED."/>
    <s v="VARANASI"/>
    <s v="04-Jan-23"/>
    <s v="31-Mar-25"/>
    <n v="1165"/>
    <n v="39110"/>
    <n v="14"/>
    <s v="S"/>
    <s v="T-1"/>
    <n v="722717"/>
    <s v="MC1E4BHA7PP008029"/>
    <s v="D72008131"/>
    <m/>
    <m/>
    <x v="2"/>
    <s v="31-Mar-25"/>
    <x v="2"/>
    <n v="1250"/>
    <n v="587839"/>
    <s v="11-Jun-25"/>
    <n v="1250"/>
    <n v="1475"/>
    <n v="225"/>
    <n v="111306"/>
    <s v="11-Jun-25"/>
    <n v="0"/>
    <m/>
    <m/>
    <s v="T1CD"/>
    <s v="CVD"/>
    <s v="F"/>
  </r>
  <r>
    <n v="221"/>
    <s v="NORTH"/>
    <s v="UTTAR PRADESH"/>
    <n v="7134"/>
    <s v="M/S GOENKA AUTO PRIVATE LIMITED."/>
    <s v="VARANASI"/>
    <s v="28-Jun-24"/>
    <s v="26-Mar-25"/>
    <n v="1165"/>
    <n v="50000"/>
    <n v="5"/>
    <s v="S"/>
    <s v="T-1"/>
    <n v="775504"/>
    <s v="MC1E4EEA7RP012994"/>
    <s v="D71054867"/>
    <m/>
    <m/>
    <x v="2"/>
    <s v="31-Mar-25"/>
    <x v="2"/>
    <n v="1250"/>
    <n v="587839"/>
    <s v="11-Jun-25"/>
    <n v="1250"/>
    <n v="1475"/>
    <n v="225"/>
    <n v="111306"/>
    <s v="11-Jun-25"/>
    <n v="0"/>
    <m/>
    <m/>
    <s v="T1BS6"/>
    <s v="CVD"/>
    <s v="F"/>
  </r>
  <r>
    <n v="222"/>
    <s v="NORTH"/>
    <s v="UTTAR PRADESH"/>
    <n v="7134"/>
    <s v="M/S GOENKA AUTO PRIVATE LIMITED."/>
    <s v="VARANASI"/>
    <s v="30-Oct-24"/>
    <s v="25-Mar-25"/>
    <n v="1165"/>
    <n v="20000"/>
    <n v="2"/>
    <s v="S"/>
    <s v="T-1"/>
    <n v="790571"/>
    <s v="MC1E4EKA5SP014270"/>
    <s v="D71063329"/>
    <s v="002"/>
    <s v="SERV DATE EXCEEDS"/>
    <x v="2"/>
    <s v="31-Mar-25"/>
    <x v="2"/>
    <n v="0"/>
    <n v="587839"/>
    <s v="11-Jun-25"/>
    <n v="0"/>
    <n v="0"/>
    <n v="0"/>
    <n v="111306"/>
    <s v="11-Jun-25"/>
    <n v="0"/>
    <m/>
    <m/>
    <s v="T1BS6"/>
    <s v="CVD"/>
    <s v="P"/>
  </r>
  <r>
    <n v="223"/>
    <s v="NORTH"/>
    <s v="UTTAR PRADESH"/>
    <n v="7134"/>
    <s v="M/S GOENKA AUTO PRIVATE LIMITED."/>
    <s v="VARANASI"/>
    <s v="15-Sep-23"/>
    <s v="21-Mar-25"/>
    <n v="1165"/>
    <n v="61204"/>
    <n v="9"/>
    <s v="S"/>
    <s v="T-1"/>
    <n v="752459"/>
    <s v="MC1E4EJA3RP010441"/>
    <s v="D71038477"/>
    <m/>
    <m/>
    <x v="2"/>
    <s v="31-Mar-25"/>
    <x v="2"/>
    <n v="0"/>
    <n v="587839"/>
    <s v="11-Jun-25"/>
    <n v="0"/>
    <n v="0"/>
    <n v="0"/>
    <n v="111306"/>
    <s v="11-Jun-25"/>
    <n v="0"/>
    <m/>
    <m/>
    <s v="T1BS6"/>
    <s v="CVD"/>
    <s v="P"/>
  </r>
  <r>
    <n v="224"/>
    <s v="NORTH"/>
    <s v="UTTAR PRADESH"/>
    <n v="7134"/>
    <s v="M/S GOENKA AUTO PRIVATE LIMITED."/>
    <s v="VARANASI"/>
    <s v="24-Jan-25"/>
    <s v="19-Mar-25"/>
    <n v="1165"/>
    <n v="10000"/>
    <n v="1"/>
    <s v="S"/>
    <s v="T1N"/>
    <n v="6480"/>
    <s v="MC1M4AAA3SP003242"/>
    <s v="D71069327"/>
    <m/>
    <m/>
    <x v="2"/>
    <s v="31-Mar-25"/>
    <x v="2"/>
    <n v="1650"/>
    <n v="587839"/>
    <s v="11-Jun-25"/>
    <n v="1650"/>
    <n v="1947"/>
    <n v="297"/>
    <n v="111306"/>
    <s v="11-Jun-25"/>
    <n v="0"/>
    <m/>
    <m/>
    <s v="URBN"/>
    <s v="CVD"/>
    <s v="F"/>
  </r>
  <r>
    <n v="225"/>
    <s v="NORTH"/>
    <s v="UTTAR PRADESH"/>
    <n v="7134"/>
    <s v="M/S GOENKA AUTO PRIVATE LIMITED."/>
    <s v="VARANASI"/>
    <s v="10-Jul-24"/>
    <s v="16-Mar-25"/>
    <n v="1165"/>
    <n v="50000"/>
    <n v="5"/>
    <s v="S"/>
    <s v="T-1"/>
    <n v="774648"/>
    <s v="MC1E4EFA3RP013218"/>
    <s v="D71056616"/>
    <m/>
    <m/>
    <x v="2"/>
    <s v="31-Mar-25"/>
    <x v="2"/>
    <n v="1250"/>
    <n v="587839"/>
    <s v="11-Jun-25"/>
    <n v="1250"/>
    <n v="1475"/>
    <n v="225"/>
    <n v="111306"/>
    <s v="11-Jun-25"/>
    <n v="0"/>
    <m/>
    <m/>
    <s v="T1BS6"/>
    <s v="CVD"/>
    <s v="F"/>
  </r>
  <r>
    <n v="226"/>
    <s v="NORTH"/>
    <s v="UTTAR PRADESH"/>
    <n v="7134"/>
    <s v="M/S GOENKA AUTO PRIVATE LIMITED."/>
    <s v="VARANASI"/>
    <s v="13-Mar-24"/>
    <s v="16-Mar-25"/>
    <n v="687"/>
    <n v="35309"/>
    <n v="4"/>
    <s v="S"/>
    <s v="T1N"/>
    <n v="3137"/>
    <s v="MC1M4ACA2RP001151"/>
    <s v="D71048960"/>
    <s v="002"/>
    <s v="SERV DATE EXCEEDS"/>
    <x v="2"/>
    <s v="31-Mar-25"/>
    <x v="2"/>
    <n v="0"/>
    <n v="587839"/>
    <s v="11-Jun-25"/>
    <n v="0"/>
    <n v="0"/>
    <n v="0"/>
    <n v="111306"/>
    <s v="11-Jun-25"/>
    <n v="0"/>
    <m/>
    <m/>
    <s v="URBN"/>
    <s v="CVD"/>
    <s v="P"/>
  </r>
  <r>
    <n v="227"/>
    <s v="NORTH"/>
    <s v="UTTAR PRADESH"/>
    <n v="7134"/>
    <s v="M/S GOENKA AUTO PRIVATE LIMITED."/>
    <s v="VARANASI"/>
    <s v="31-Jul-23"/>
    <s v="05-Mar-25"/>
    <n v="1165"/>
    <n v="16894"/>
    <n v="10"/>
    <s v="S"/>
    <s v="T-1"/>
    <n v="733387"/>
    <s v="MC1E5CGA0RP000135"/>
    <s v="D73000533"/>
    <m/>
    <m/>
    <x v="2"/>
    <s v="31-Mar-25"/>
    <x v="2"/>
    <n v="0"/>
    <n v="587839"/>
    <s v="11-Jun-25"/>
    <n v="0"/>
    <n v="0"/>
    <n v="0"/>
    <n v="111306"/>
    <s v="11-Jun-25"/>
    <n v="0"/>
    <m/>
    <m/>
    <s v="T1CNGL"/>
    <s v="CVD"/>
    <s v="P"/>
  </r>
  <r>
    <n v="228"/>
    <s v="NORTH"/>
    <s v="UTTAR PRADESH"/>
    <n v="7134"/>
    <s v="M/S GOENKA AUTO PRIVATE LIMITED."/>
    <s v="VARANASI"/>
    <s v="27-May-24"/>
    <s v="09-Mar-25"/>
    <n v="1165"/>
    <n v="17300"/>
    <n v="2"/>
    <s v="S"/>
    <s v="T-1"/>
    <n v="771435"/>
    <s v="MC1E4EBA6RP011971"/>
    <s v="D71048731"/>
    <m/>
    <m/>
    <x v="2"/>
    <s v="31-Mar-25"/>
    <x v="2"/>
    <n v="1250"/>
    <n v="587839"/>
    <s v="11-Jun-25"/>
    <n v="1250"/>
    <n v="1475"/>
    <n v="225"/>
    <n v="111306"/>
    <s v="11-Jun-25"/>
    <n v="0"/>
    <m/>
    <m/>
    <s v="T1BS6N"/>
    <s v="CVD"/>
    <s v="F"/>
  </r>
  <r>
    <n v="229"/>
    <s v="NORTH"/>
    <s v="UTTAR PRADESH"/>
    <n v="7134"/>
    <s v="M/S GOENKA AUTO PRIVATE LIMITED."/>
    <s v="VARANASI"/>
    <s v="30-Sep-24"/>
    <s v="07-Mar-25"/>
    <n v="1165"/>
    <n v="7524"/>
    <n v="1"/>
    <s v="S"/>
    <s v="T-1"/>
    <n v="782168"/>
    <s v="MC1E4DHA7SP054030"/>
    <s v="D71059706"/>
    <s v="002"/>
    <s v="SERV DATE EXCEEDS"/>
    <x v="2"/>
    <s v="31-Mar-25"/>
    <x v="2"/>
    <n v="1250"/>
    <n v="587839"/>
    <s v="11-Jun-25"/>
    <n v="1000"/>
    <n v="1475"/>
    <n v="225"/>
    <n v="111306"/>
    <s v="11-Jun-25"/>
    <n v="250"/>
    <m/>
    <m/>
    <s v="T1BS6N"/>
    <s v="CVD"/>
    <s v="F"/>
  </r>
  <r>
    <n v="230"/>
    <s v="NORTH"/>
    <s v="UTTAR PRADESH"/>
    <n v="7134"/>
    <s v="M/S GOENKA AUTO PRIVATE LIMITED."/>
    <s v="VARANASI"/>
    <s v="18-Oct-23"/>
    <s v="23-Mar-25"/>
    <n v="890"/>
    <n v="90000"/>
    <n v="9"/>
    <s v="S"/>
    <s v="T26"/>
    <n v="758254"/>
    <s v="MC1E4FJA4RP018196"/>
    <s v="D71039396"/>
    <m/>
    <m/>
    <x v="2"/>
    <s v="31-Mar-25"/>
    <x v="2"/>
    <n v="0"/>
    <n v="587839"/>
    <s v="11-Jun-25"/>
    <n v="0"/>
    <n v="0"/>
    <n v="0"/>
    <n v="111306"/>
    <s v="11-Jun-25"/>
    <n v="0"/>
    <m/>
    <m/>
    <s v="T26BS6"/>
    <s v="CVD"/>
    <s v="P"/>
  </r>
  <r>
    <n v="231"/>
    <s v="NORTH"/>
    <s v="UTTAR PRADESH"/>
    <n v="7134"/>
    <s v="M/S GOENKA AUTO PRIVATE LIMITED."/>
    <s v="VARANASI"/>
    <s v="30-Sep-23"/>
    <s v="24-Mar-25"/>
    <n v="1165"/>
    <n v="54126"/>
    <n v="9"/>
    <s v="S"/>
    <s v="TRAX"/>
    <n v="573195831"/>
    <s v="MC1D1DJA5RP001495"/>
    <s v="D72012052"/>
    <m/>
    <m/>
    <x v="2"/>
    <s v="31-Mar-25"/>
    <x v="2"/>
    <n v="0"/>
    <n v="587839"/>
    <s v="11-Jun-25"/>
    <n v="0"/>
    <n v="0"/>
    <n v="0"/>
    <n v="111306"/>
    <s v="11-Jun-25"/>
    <n v="0"/>
    <m/>
    <m/>
    <s v="TRXBS6"/>
    <s v="CVD"/>
    <s v="P"/>
  </r>
  <r>
    <n v="232"/>
    <s v="NORTH"/>
    <s v="UTTAR PRADESH"/>
    <n v="7134"/>
    <s v="M/S GOENKA AUTO PRIVATE LIMITED."/>
    <s v="VARANASI"/>
    <s v="08-Oct-24"/>
    <s v="17-Mar-25"/>
    <n v="1165"/>
    <n v="15554"/>
    <n v="2"/>
    <s v="S"/>
    <s v="T1N"/>
    <n v="5365"/>
    <s v="MC1M4AJA1SP002395"/>
    <s v="D71062536"/>
    <m/>
    <m/>
    <x v="2"/>
    <s v="31-Mar-25"/>
    <x v="2"/>
    <n v="0"/>
    <n v="587839"/>
    <s v="11-Jun-25"/>
    <n v="0"/>
    <n v="0"/>
    <n v="0"/>
    <n v="111306"/>
    <s v="11-Jun-25"/>
    <n v="0"/>
    <m/>
    <m/>
    <s v="URBN"/>
    <s v="CVD"/>
    <s v="P"/>
  </r>
  <r>
    <n v="233"/>
    <s v="NORTH"/>
    <s v="UTTAR PRADESH"/>
    <n v="7134"/>
    <s v="M/S GOENKA AUTO PRIVATE LIMITED."/>
    <s v="VARANASI"/>
    <s v="20-Dec-23"/>
    <s v="02-Mar-25"/>
    <n v="961"/>
    <n v="32674"/>
    <n v="7"/>
    <s v="S"/>
    <s v="T-1"/>
    <n v="760924"/>
    <s v="MC1E4DLA0RP049236"/>
    <s v="D71042572"/>
    <m/>
    <m/>
    <x v="2"/>
    <s v="31-Mar-25"/>
    <x v="2"/>
    <n v="0"/>
    <n v="587839"/>
    <s v="11-Jun-25"/>
    <n v="0"/>
    <n v="0"/>
    <n v="0"/>
    <n v="111306"/>
    <s v="11-Jun-25"/>
    <n v="0"/>
    <m/>
    <m/>
    <s v="T1BS6"/>
    <s v="CVD"/>
    <s v="P"/>
  </r>
  <r>
    <n v="234"/>
    <s v="NORTH"/>
    <s v="UTTAR PRADESH"/>
    <n v="7134"/>
    <s v="M/S GOENKA AUTO PRIVATE LIMITED."/>
    <s v="VARANASI"/>
    <s v="25-Apr-24"/>
    <s v="31-Mar-25"/>
    <n v="1165"/>
    <n v="15560"/>
    <n v="3"/>
    <s v="S"/>
    <s v="T3"/>
    <n v="757822"/>
    <s v="MC1L4ACAXRP001359"/>
    <s v="D71049945"/>
    <s v="002"/>
    <s v="SERV DATE EXCEEDS"/>
    <x v="2"/>
    <s v="31-Mar-25"/>
    <x v="2"/>
    <n v="1250"/>
    <n v="587839"/>
    <s v="11-Jun-25"/>
    <n v="1000"/>
    <n v="1475"/>
    <n v="225"/>
    <n v="111306"/>
    <s v="11-Jun-25"/>
    <n v="250"/>
    <m/>
    <m/>
    <s v="T3MONBS6"/>
    <s v="CVD"/>
    <s v="F"/>
  </r>
  <r>
    <n v="235"/>
    <s v="NORTH"/>
    <s v="UTTAR PRADESH"/>
    <n v="7134"/>
    <s v="M/S GOENKA AUTO PRIVATE LIMITED."/>
    <s v="VARANASI"/>
    <s v="12-Oct-23"/>
    <s v="02-Mar-25"/>
    <n v="1165"/>
    <n v="50290"/>
    <n v="9"/>
    <s v="S"/>
    <s v="T-1"/>
    <n v="754002"/>
    <s v="MC1E4EJA0RP010574"/>
    <s v="D71039432"/>
    <m/>
    <m/>
    <x v="2"/>
    <s v="31-Mar-25"/>
    <x v="2"/>
    <n v="0"/>
    <n v="587839"/>
    <s v="11-Jun-25"/>
    <n v="0"/>
    <n v="0"/>
    <n v="0"/>
    <n v="111306"/>
    <s v="11-Jun-25"/>
    <n v="0"/>
    <m/>
    <m/>
    <s v="T1BS6"/>
    <s v="CVD"/>
    <s v="P"/>
  </r>
  <r>
    <n v="236"/>
    <s v="NORTH"/>
    <s v="UTTAR PRADESH"/>
    <n v="7134"/>
    <s v="M/S GOENKA AUTO PRIVATE LIMITED."/>
    <s v="VARANASI"/>
    <s v="18-Jun-24"/>
    <s v="23-Mar-25"/>
    <n v="1165"/>
    <n v="45726"/>
    <n v="5"/>
    <s v="S"/>
    <s v="T26"/>
    <n v="776484"/>
    <s v="MC1E4FDA3RP020209"/>
    <s v="D71053461"/>
    <m/>
    <m/>
    <x v="2"/>
    <s v="31-Mar-25"/>
    <x v="2"/>
    <n v="1250"/>
    <n v="587839"/>
    <s v="11-Jun-25"/>
    <n v="1250"/>
    <n v="1475"/>
    <n v="225"/>
    <n v="111306"/>
    <s v="11-Jun-25"/>
    <n v="0"/>
    <m/>
    <m/>
    <s v="T26BS6"/>
    <s v="CVD"/>
    <s v="F"/>
  </r>
  <r>
    <n v="237"/>
    <s v="NORTH"/>
    <s v="UTTAR PRADESH"/>
    <n v="7134"/>
    <s v="M/S GOENKA AUTO PRIVATE LIMITED."/>
    <s v="VARANASI"/>
    <s v="31-Aug-24"/>
    <s v="30-Mar-25"/>
    <n v="1165"/>
    <n v="24991"/>
    <n v="3"/>
    <s v="S"/>
    <s v="T1N"/>
    <n v="4929"/>
    <s v="MC1M4AGA2SP002056"/>
    <s v="D71058792"/>
    <m/>
    <m/>
    <x v="2"/>
    <s v="31-Mar-25"/>
    <x v="2"/>
    <n v="1650"/>
    <n v="587839"/>
    <s v="11-Jun-25"/>
    <n v="1650"/>
    <n v="1947"/>
    <n v="297"/>
    <n v="111306"/>
    <s v="11-Jun-25"/>
    <n v="0"/>
    <m/>
    <m/>
    <s v="URBN"/>
    <s v="CVD"/>
    <s v="F"/>
  </r>
  <r>
    <n v="238"/>
    <s v="NORTH"/>
    <s v="UTTAR PRADESH"/>
    <n v="7134"/>
    <s v="M/S GOENKA AUTO PRIVATE LIMITED."/>
    <s v="VARANASI"/>
    <s v="21-Aug-23"/>
    <s v="01-Mar-25"/>
    <n v="1165"/>
    <n v="21839"/>
    <n v="9"/>
    <s v="S"/>
    <s v="T-1"/>
    <n v="753617"/>
    <s v="MC1E4DHA3RP047392"/>
    <s v="D71036487"/>
    <m/>
    <m/>
    <x v="2"/>
    <s v="31-Mar-25"/>
    <x v="2"/>
    <n v="0"/>
    <n v="587839"/>
    <s v="11-Jun-25"/>
    <n v="0"/>
    <n v="0"/>
    <n v="0"/>
    <n v="111306"/>
    <s v="11-Jun-25"/>
    <n v="0"/>
    <m/>
    <m/>
    <s v="T1BS6"/>
    <s v="CVD"/>
    <s v="P"/>
  </r>
  <r>
    <n v="239"/>
    <s v="NORTH"/>
    <s v="UTTAR PRADESH"/>
    <n v="7134"/>
    <s v="M/S GOENKA AUTO PRIVATE LIMITED."/>
    <s v="VARANASI"/>
    <s v="31-Jan-24"/>
    <s v="04-Mar-25"/>
    <n v="1165"/>
    <n v="49757"/>
    <n v="5"/>
    <s v="S"/>
    <s v="T1N"/>
    <n v="2073"/>
    <s v="MC1M4AAA5RP000921"/>
    <s v="D71044541"/>
    <m/>
    <m/>
    <x v="2"/>
    <s v="31-Mar-25"/>
    <x v="2"/>
    <n v="1650"/>
    <n v="587839"/>
    <s v="11-Jun-25"/>
    <n v="1650"/>
    <n v="1947"/>
    <n v="297"/>
    <n v="111306"/>
    <s v="11-Jun-25"/>
    <n v="0"/>
    <m/>
    <m/>
    <s v="URBN"/>
    <s v="CVD"/>
    <s v="F"/>
  </r>
  <r>
    <n v="240"/>
    <s v="NORTH"/>
    <s v="UTTAR PRADESH"/>
    <n v="7134"/>
    <s v="M/S GOENKA AUTO PRIVATE LIMITED."/>
    <s v="VARANASI"/>
    <s v="19-Nov-24"/>
    <s v="03-Mar-25"/>
    <n v="1050"/>
    <n v="20000"/>
    <n v="2"/>
    <s v="S"/>
    <s v="T26"/>
    <n v="789982"/>
    <s v="MC1E4FHA0SP021429"/>
    <s v="D71061119"/>
    <m/>
    <m/>
    <x v="2"/>
    <s v="31-Mar-25"/>
    <x v="2"/>
    <n v="0"/>
    <n v="587839"/>
    <s v="11-Jun-25"/>
    <n v="0"/>
    <n v="0"/>
    <n v="0"/>
    <n v="111306"/>
    <s v="11-Jun-25"/>
    <n v="0"/>
    <m/>
    <m/>
    <s v="T26BS6"/>
    <s v="CVD"/>
    <s v="P"/>
  </r>
  <r>
    <n v="241"/>
    <s v="NORTH"/>
    <s v="UTTAR PRADESH"/>
    <n v="7134"/>
    <s v="M/S GOENKA AUTO PRIVATE LIMITED."/>
    <s v="VARANASI"/>
    <s v="28-May-24"/>
    <s v="30-Mar-25"/>
    <n v="1165"/>
    <n v="59920"/>
    <n v="6"/>
    <s v="S"/>
    <s v="T26"/>
    <n v="776290"/>
    <s v="MC1E4FEA9RP020391"/>
    <s v="D71054667"/>
    <m/>
    <m/>
    <x v="2"/>
    <s v="31-Mar-25"/>
    <x v="2"/>
    <n v="0"/>
    <n v="587839"/>
    <s v="11-Jun-25"/>
    <n v="0"/>
    <n v="0"/>
    <n v="0"/>
    <n v="111306"/>
    <s v="11-Jun-25"/>
    <n v="0"/>
    <m/>
    <m/>
    <s v="T26BS6"/>
    <s v="CVD"/>
    <s v="P"/>
  </r>
  <r>
    <n v="242"/>
    <s v="NORTH"/>
    <s v="UTTAR PRADESH"/>
    <n v="7134"/>
    <s v="M/S GOENKA AUTO PRIVATE LIMITED."/>
    <s v="VARANASI"/>
    <s v="30-Oct-24"/>
    <s v="09-Mar-25"/>
    <n v="1165"/>
    <n v="15045"/>
    <n v="2"/>
    <s v="S"/>
    <s v="T1N"/>
    <n v="4898"/>
    <s v="MC1M4AKA9SP002577"/>
    <s v="D71064017"/>
    <m/>
    <m/>
    <x v="2"/>
    <s v="31-Mar-25"/>
    <x v="2"/>
    <n v="0"/>
    <n v="587839"/>
    <s v="11-Jun-25"/>
    <n v="0"/>
    <n v="0"/>
    <n v="0"/>
    <n v="111306"/>
    <s v="11-Jun-25"/>
    <n v="0"/>
    <m/>
    <m/>
    <s v="URBN"/>
    <s v="CVD"/>
    <s v="P"/>
  </r>
  <r>
    <n v="243"/>
    <s v="NORTH"/>
    <s v="UTTAR PRADESH"/>
    <n v="7134"/>
    <s v="M/S GOENKA AUTO PRIVATE LIMITED."/>
    <s v="VARANASI"/>
    <s v="18-Oct-24"/>
    <s v="24-Mar-25"/>
    <n v="1165"/>
    <n v="29388"/>
    <n v="3"/>
    <s v="S"/>
    <s v="T1N"/>
    <n v="5392"/>
    <s v="MC1M4AJA0SP002436"/>
    <s v="D71062823"/>
    <m/>
    <m/>
    <x v="2"/>
    <s v="31-Mar-25"/>
    <x v="2"/>
    <n v="1650"/>
    <n v="587839"/>
    <s v="11-Jun-25"/>
    <n v="1650"/>
    <n v="1947"/>
    <n v="297"/>
    <n v="111306"/>
    <s v="11-Jun-25"/>
    <n v="0"/>
    <m/>
    <m/>
    <s v="URBN"/>
    <s v="CVD"/>
    <s v="F"/>
  </r>
  <r>
    <n v="244"/>
    <s v="NORTH"/>
    <s v="UTTAR PRADESH"/>
    <n v="7134"/>
    <s v="M/S GOENKA AUTO PRIVATE LIMITED."/>
    <s v="VARANASI"/>
    <s v="30-Oct-24"/>
    <s v="30-Mar-25"/>
    <n v="1165"/>
    <n v="19200"/>
    <n v="2"/>
    <s v="S"/>
    <s v="T-1"/>
    <n v="790580"/>
    <s v="MC1E4EKA2SP014274"/>
    <s v="D71063383"/>
    <s v="002"/>
    <s v="SERV DATE EXCEEDS"/>
    <x v="2"/>
    <s v="31-Mar-25"/>
    <x v="2"/>
    <n v="0"/>
    <n v="587839"/>
    <s v="11-Jun-25"/>
    <n v="0"/>
    <n v="0"/>
    <n v="0"/>
    <n v="111306"/>
    <s v="11-Jun-25"/>
    <n v="0"/>
    <m/>
    <m/>
    <s v="T1BS6"/>
    <s v="CVD"/>
    <s v="P"/>
  </r>
  <r>
    <n v="245"/>
    <s v="NORTH"/>
    <s v="UTTAR PRADESH"/>
    <n v="7134"/>
    <s v="M/S GOENKA AUTO PRIVATE LIMITED."/>
    <s v="VARANASI"/>
    <s v="09-Mar-24"/>
    <s v="25-Mar-25"/>
    <n v="1165"/>
    <n v="60000"/>
    <n v="6"/>
    <s v="S"/>
    <s v="T1N"/>
    <n v="3152"/>
    <s v="MC1M4ABA5RP001114"/>
    <s v="D71048194"/>
    <m/>
    <m/>
    <x v="2"/>
    <s v="31-Mar-25"/>
    <x v="2"/>
    <n v="0"/>
    <n v="587839"/>
    <s v="11-Jun-25"/>
    <n v="0"/>
    <n v="0"/>
    <n v="0"/>
    <n v="111306"/>
    <s v="11-Jun-25"/>
    <n v="0"/>
    <m/>
    <m/>
    <s v="URBN"/>
    <s v="CVD"/>
    <s v="P"/>
  </r>
  <r>
    <n v="246"/>
    <s v="NORTH"/>
    <s v="UTTAR PRADESH"/>
    <n v="7134"/>
    <s v="M/S GOENKA AUTO PRIVATE LIMITED."/>
    <s v="VARANASI"/>
    <s v="23-Apr-24"/>
    <s v="17-Mar-25"/>
    <n v="1165"/>
    <n v="70000"/>
    <n v="7"/>
    <s v="S"/>
    <s v="T1N"/>
    <n v="3489"/>
    <s v="MC1M4ADA5RP001370"/>
    <s v="D71052482"/>
    <m/>
    <m/>
    <x v="2"/>
    <s v="31-Mar-25"/>
    <x v="2"/>
    <n v="1650"/>
    <n v="587839"/>
    <s v="11-Jun-25"/>
    <n v="1650"/>
    <n v="1947"/>
    <n v="297"/>
    <n v="111306"/>
    <s v="11-Jun-25"/>
    <n v="0"/>
    <m/>
    <m/>
    <s v="URBN"/>
    <s v="CVD"/>
    <s v="F"/>
  </r>
  <r>
    <n v="247"/>
    <s v="NORTH"/>
    <s v="UTTAR PRADESH"/>
    <n v="7134"/>
    <s v="M/S GOENKA AUTO PRIVATE LIMITED."/>
    <s v="VARANASI"/>
    <s v="06-Nov-24"/>
    <s v="10-Mar-25"/>
    <n v="1165"/>
    <n v="7520"/>
    <n v="2"/>
    <s v="S"/>
    <s v="TRAX"/>
    <n v="322814"/>
    <s v="MC1D4DJA7SP105824"/>
    <s v="D72017294"/>
    <m/>
    <m/>
    <x v="2"/>
    <s v="31-Mar-25"/>
    <x v="2"/>
    <n v="0"/>
    <n v="587839"/>
    <s v="11-Jun-25"/>
    <n v="0"/>
    <n v="0"/>
    <n v="0"/>
    <n v="111306"/>
    <s v="11-Jun-25"/>
    <n v="0"/>
    <m/>
    <m/>
    <s v="TRXBS6"/>
    <s v="CVD"/>
    <s v="P"/>
  </r>
  <r>
    <n v="248"/>
    <s v="NORTH"/>
    <s v="UTTAR PRADESH"/>
    <n v="7134"/>
    <s v="M/S GOENKA AUTO PRIVATE LIMITED."/>
    <s v="VARANASI"/>
    <s v="09-Aug-24"/>
    <s v="25-Mar-25"/>
    <n v="1165"/>
    <n v="50000"/>
    <n v="5"/>
    <s v="S"/>
    <s v="T-1"/>
    <n v="774600"/>
    <s v="MC1E4EFA8RP013148"/>
    <s v="D71056274"/>
    <m/>
    <m/>
    <x v="2"/>
    <s v="31-Mar-25"/>
    <x v="2"/>
    <n v="1250"/>
    <n v="587839"/>
    <s v="11-Jun-25"/>
    <n v="1250"/>
    <n v="1475"/>
    <n v="225"/>
    <n v="111306"/>
    <s v="11-Jun-25"/>
    <n v="0"/>
    <m/>
    <m/>
    <s v="T1BS6"/>
    <s v="CVD"/>
    <s v="F"/>
  </r>
  <r>
    <n v="249"/>
    <s v="NORTH"/>
    <s v="UTTAR PRADESH"/>
    <n v="7134"/>
    <s v="M/S GOENKA AUTO PRIVATE LIMITED."/>
    <s v="VARANASI"/>
    <s v="20-Jun-24"/>
    <s v="03-Mar-25"/>
    <n v="1160"/>
    <n v="30737"/>
    <n v="4"/>
    <s v="S"/>
    <s v="T-1"/>
    <n v="775577"/>
    <s v="MC1E4EDA2RP012872"/>
    <s v="D71053886"/>
    <m/>
    <m/>
    <x v="2"/>
    <s v="31-Mar-25"/>
    <x v="2"/>
    <n v="0"/>
    <n v="587839"/>
    <s v="11-Jun-25"/>
    <n v="0"/>
    <n v="0"/>
    <n v="0"/>
    <n v="111306"/>
    <s v="11-Jun-25"/>
    <n v="0"/>
    <m/>
    <m/>
    <s v="T1BS6"/>
    <s v="CVD"/>
    <s v="P"/>
  </r>
  <r>
    <n v="250"/>
    <s v="NORTH"/>
    <s v="UTTAR PRADESH"/>
    <n v="7134"/>
    <s v="M/S GOENKA AUTO PRIVATE LIMITED."/>
    <s v="VARANASI"/>
    <s v="05-Feb-23"/>
    <s v="26-Mar-25"/>
    <n v="890"/>
    <n v="109099"/>
    <n v="13"/>
    <s v="S"/>
    <s v="T-1"/>
    <n v="739935"/>
    <s v="MC1E4EAA2PP009049"/>
    <s v="D71025100"/>
    <m/>
    <m/>
    <x v="2"/>
    <s v="31-Mar-25"/>
    <x v="2"/>
    <n v="0"/>
    <n v="587839"/>
    <s v="11-Jun-25"/>
    <n v="0"/>
    <n v="0"/>
    <n v="0"/>
    <n v="111306"/>
    <s v="11-Jun-25"/>
    <n v="0"/>
    <m/>
    <m/>
    <s v="T1BS6"/>
    <s v="CVD"/>
    <s v="P"/>
  </r>
  <r>
    <n v="251"/>
    <s v="NORTH"/>
    <s v="UTTAR PRADESH"/>
    <n v="7134"/>
    <s v="M/S GOENKA AUTO PRIVATE LIMITED."/>
    <s v="VARANASI"/>
    <s v="27-Jan-25"/>
    <s v="10-Mar-25"/>
    <n v="2500"/>
    <n v="10000"/>
    <n v="1"/>
    <s v="S"/>
    <s v="T-1"/>
    <n v="792320"/>
    <s v="MC1E4EKA6SP014620"/>
    <s v="D71065098"/>
    <m/>
    <m/>
    <x v="2"/>
    <s v="31-Mar-25"/>
    <x v="2"/>
    <n v="1250"/>
    <n v="587839"/>
    <s v="11-Jun-25"/>
    <n v="1250"/>
    <n v="1475"/>
    <n v="225"/>
    <n v="111306"/>
    <s v="11-Jun-25"/>
    <n v="0"/>
    <m/>
    <m/>
    <s v="T1BS6"/>
    <s v="CVD"/>
    <s v="F"/>
  </r>
  <r>
    <n v="252"/>
    <s v="NORTH"/>
    <s v="UTTAR PRADESH"/>
    <n v="7134"/>
    <s v="M/S GOENKA AUTO PRIVATE LIMITED."/>
    <s v="VARANASI"/>
    <s v="13-Jul-24"/>
    <s v="21-Mar-25"/>
    <n v="1165"/>
    <n v="70000"/>
    <n v="7"/>
    <s v="S"/>
    <s v="T-1"/>
    <n v="775456"/>
    <s v="MC1E4EEA5RP013061"/>
    <s v="D71055469"/>
    <m/>
    <m/>
    <x v="2"/>
    <s v="31-Mar-25"/>
    <x v="2"/>
    <n v="0"/>
    <n v="587839"/>
    <s v="11-Jun-25"/>
    <n v="0"/>
    <n v="0"/>
    <n v="0"/>
    <n v="111306"/>
    <s v="11-Jun-25"/>
    <n v="0"/>
    <m/>
    <m/>
    <s v="T1BS6"/>
    <s v="CVD"/>
    <s v="P"/>
  </r>
  <r>
    <n v="253"/>
    <s v="NORTH"/>
    <s v="UTTAR PRADESH"/>
    <n v="7134"/>
    <s v="M/S GOENKA AUTO PRIVATE LIMITED."/>
    <s v="VARANASI"/>
    <s v="18-Feb-25"/>
    <s v="03-Mar-25"/>
    <n v="1165"/>
    <n v="4500"/>
    <n v="1"/>
    <s v="S"/>
    <s v="T-1"/>
    <n v="781380"/>
    <s v="MC1E5DGA5SP000563"/>
    <s v="D73001407"/>
    <m/>
    <m/>
    <x v="2"/>
    <s v="31-Mar-25"/>
    <x v="2"/>
    <n v="1250"/>
    <n v="587839"/>
    <s v="11-Jun-25"/>
    <n v="1250"/>
    <n v="1475"/>
    <n v="225"/>
    <n v="111306"/>
    <s v="11-Jun-25"/>
    <n v="0"/>
    <m/>
    <m/>
    <s v="T1CNGL"/>
    <s v="CVD"/>
    <s v="F"/>
  </r>
  <r>
    <n v="254"/>
    <s v="NORTH"/>
    <s v="UTTAR PRADESH"/>
    <n v="7134"/>
    <s v="M/S GOENKA AUTO PRIVATE LIMITED."/>
    <s v="VARANASI"/>
    <s v="20-Jan-25"/>
    <s v="25-Mar-25"/>
    <n v="1165"/>
    <n v="8850"/>
    <n v="1"/>
    <s v="S"/>
    <s v="T26"/>
    <n v="789052"/>
    <s v="MC1E4FAAXSP022100"/>
    <s v="D71067934"/>
    <m/>
    <m/>
    <x v="2"/>
    <s v="31-Mar-25"/>
    <x v="2"/>
    <n v="1250"/>
    <n v="587839"/>
    <s v="11-Jun-25"/>
    <n v="1250"/>
    <n v="1475"/>
    <n v="225"/>
    <n v="111306"/>
    <s v="11-Jun-25"/>
    <n v="0"/>
    <m/>
    <m/>
    <s v="T26BS6"/>
    <s v="CVD"/>
    <s v="F"/>
  </r>
  <r>
    <n v="255"/>
    <s v="NORTH"/>
    <s v="UTTAR PRADESH"/>
    <n v="7134"/>
    <s v="M/S GOENKA AUTO PRIVATE LIMITED."/>
    <s v="VARANASI"/>
    <s v="28-Jan-25"/>
    <s v="09-Mar-25"/>
    <n v="1165"/>
    <n v="8000"/>
    <n v="1"/>
    <s v="S"/>
    <s v="T-1"/>
    <n v="792099"/>
    <s v="MC1E4ELA2SP014662"/>
    <s v="D71065325"/>
    <m/>
    <m/>
    <x v="2"/>
    <s v="31-Mar-25"/>
    <x v="2"/>
    <n v="1250"/>
    <n v="587839"/>
    <s v="11-Jun-25"/>
    <n v="1250"/>
    <n v="1475"/>
    <n v="225"/>
    <n v="111306"/>
    <s v="11-Jun-25"/>
    <n v="0"/>
    <m/>
    <m/>
    <s v="T1BS6"/>
    <s v="CVD"/>
    <s v="F"/>
  </r>
  <r>
    <n v="256"/>
    <s v="NORTH"/>
    <s v="UTTAR PRADESH"/>
    <n v="7134"/>
    <s v="M/S GOENKA AUTO PRIVATE LIMITED."/>
    <s v="VARANASI"/>
    <s v="28-Oct-24"/>
    <s v="02-Mar-25"/>
    <n v="1165"/>
    <n v="19399"/>
    <n v="2"/>
    <s v="S"/>
    <s v="T1N"/>
    <n v="4952"/>
    <s v="MC1M4AKA7SP002562"/>
    <s v="D71063886"/>
    <m/>
    <m/>
    <x v="2"/>
    <s v="31-Mar-25"/>
    <x v="2"/>
    <n v="0"/>
    <n v="587839"/>
    <s v="11-Jun-25"/>
    <n v="0"/>
    <n v="0"/>
    <n v="0"/>
    <n v="111306"/>
    <s v="11-Jun-25"/>
    <n v="0"/>
    <m/>
    <m/>
    <s v="URBN"/>
    <s v="CVD"/>
    <s v="P"/>
  </r>
  <r>
    <n v="257"/>
    <s v="NORTH"/>
    <s v="UTTAR PRADESH"/>
    <n v="7134"/>
    <s v="M/S GOENKA AUTO PRIVATE LIMITED."/>
    <s v="VARANASI"/>
    <s v="24-Jul-24"/>
    <s v="07-Mar-25"/>
    <n v="1165"/>
    <n v="10000"/>
    <n v="1"/>
    <s v="S"/>
    <s v="T-1"/>
    <n v="780783"/>
    <s v="MC1E4DFA5RP053276"/>
    <s v="D71056809"/>
    <s v="002"/>
    <s v="SERV DATE EXCEEDS"/>
    <x v="2"/>
    <s v="31-Mar-25"/>
    <x v="2"/>
    <n v="1250"/>
    <n v="587839"/>
    <s v="11-Jun-25"/>
    <n v="1000"/>
    <n v="1475"/>
    <n v="225"/>
    <n v="111306"/>
    <s v="11-Jun-25"/>
    <n v="250"/>
    <m/>
    <m/>
    <s v="T1BS6N"/>
    <s v="CVD"/>
    <s v="F"/>
  </r>
  <r>
    <n v="258"/>
    <s v="NORTH"/>
    <s v="UTTAR PRADESH"/>
    <n v="7134"/>
    <s v="M/S GOENKA AUTO PRIVATE LIMITED."/>
    <s v="VARANASI"/>
    <s v="12-Jan-24"/>
    <s v="16-Mar-25"/>
    <n v="1165"/>
    <n v="23652"/>
    <n v="7"/>
    <s v="S"/>
    <s v="T26"/>
    <n v="758558"/>
    <s v="MC1E4FJA5RP018336"/>
    <s v="D71040157"/>
    <m/>
    <m/>
    <x v="2"/>
    <s v="31-Mar-25"/>
    <x v="2"/>
    <n v="0"/>
    <n v="587839"/>
    <s v="11-Jun-25"/>
    <n v="0"/>
    <n v="0"/>
    <n v="0"/>
    <n v="111306"/>
    <s v="11-Jun-25"/>
    <n v="0"/>
    <m/>
    <m/>
    <s v="T26BS6"/>
    <s v="CVD"/>
    <s v="P"/>
  </r>
  <r>
    <n v="259"/>
    <s v="NORTH"/>
    <s v="UTTAR PRADESH"/>
    <n v="7134"/>
    <s v="M/S GOENKA AUTO PRIVATE LIMITED."/>
    <s v="VARANASI"/>
    <s v="31-Jan-24"/>
    <s v="12-Mar-25"/>
    <n v="978"/>
    <n v="109996"/>
    <n v="11"/>
    <s v="S"/>
    <s v="T-1"/>
    <n v="764553"/>
    <s v="MC1E4EAA2RP011600"/>
    <s v="D71045926"/>
    <m/>
    <m/>
    <x v="2"/>
    <s v="31-Mar-25"/>
    <x v="2"/>
    <n v="1250"/>
    <n v="587839"/>
    <s v="11-Jun-25"/>
    <n v="1250"/>
    <n v="1475"/>
    <n v="225"/>
    <n v="111306"/>
    <s v="11-Jun-25"/>
    <n v="0"/>
    <m/>
    <m/>
    <s v="T1BS6"/>
    <s v="CVD"/>
    <s v="F"/>
  </r>
  <r>
    <n v="260"/>
    <s v="NORTH"/>
    <s v="UTTAR PRADESH"/>
    <n v="7134"/>
    <s v="M/S GOENKA AUTO PRIVATE LIMITED."/>
    <s v="VARANASI"/>
    <s v="16-Oct-24"/>
    <s v="10-Mar-25"/>
    <n v="1165"/>
    <n v="5423"/>
    <n v="3"/>
    <s v="S"/>
    <s v="TRAX"/>
    <n v="324754"/>
    <s v="MC1D4DJA6SP105491"/>
    <s v="D72016912"/>
    <m/>
    <m/>
    <x v="2"/>
    <s v="31-Mar-25"/>
    <x v="2"/>
    <n v="1250"/>
    <n v="587839"/>
    <s v="11-Jun-25"/>
    <n v="1250"/>
    <n v="1475"/>
    <n v="225"/>
    <n v="111306"/>
    <s v="11-Jun-25"/>
    <n v="0"/>
    <m/>
    <m/>
    <s v="TRXBS6"/>
    <s v="CVD"/>
    <s v="F"/>
  </r>
  <r>
    <n v="261"/>
    <s v="NORTH"/>
    <s v="UTTAR PRADESH"/>
    <n v="7134"/>
    <s v="M/S GOENKA AUTO PRIVATE LIMITED."/>
    <s v="VARANASI"/>
    <s v="30-Nov-24"/>
    <s v="20-Mar-25"/>
    <n v="1165"/>
    <n v="20000"/>
    <n v="2"/>
    <s v="S"/>
    <s v="T1N"/>
    <n v="5597"/>
    <s v="MC1M4AKAXSP002667"/>
    <s v="D71064615"/>
    <m/>
    <m/>
    <x v="2"/>
    <s v="31-Mar-25"/>
    <x v="2"/>
    <n v="0"/>
    <n v="587839"/>
    <s v="11-Jun-25"/>
    <n v="0"/>
    <n v="0"/>
    <n v="0"/>
    <n v="111306"/>
    <s v="11-Jun-25"/>
    <n v="0"/>
    <m/>
    <m/>
    <s v="URBN"/>
    <s v="CVD"/>
    <s v="P"/>
  </r>
  <r>
    <n v="262"/>
    <s v="NORTH"/>
    <s v="UTTAR PRADESH"/>
    <n v="7134"/>
    <s v="M/S GOENKA AUTO PRIVATE LIMITED."/>
    <s v="VARANASI"/>
    <s v="07-Jul-24"/>
    <s v="30-Mar-25"/>
    <n v="1165"/>
    <n v="60000"/>
    <n v="6"/>
    <s v="S"/>
    <s v="T-1"/>
    <n v="773702"/>
    <s v="MC1E4EFA4RP013146"/>
    <s v="D71056292"/>
    <m/>
    <m/>
    <x v="2"/>
    <s v="31-Mar-25"/>
    <x v="2"/>
    <n v="0"/>
    <n v="587839"/>
    <s v="11-Jun-25"/>
    <n v="0"/>
    <n v="0"/>
    <n v="0"/>
    <n v="111306"/>
    <s v="11-Jun-25"/>
    <n v="0"/>
    <m/>
    <m/>
    <s v="T1BS6"/>
    <s v="CVD"/>
    <s v="P"/>
  </r>
  <r>
    <n v="263"/>
    <s v="NORTH"/>
    <s v="UTTAR PRADESH"/>
    <n v="7134"/>
    <s v="M/S GOENKA AUTO PRIVATE LIMITED."/>
    <s v="VARANASI"/>
    <s v="29-Apr-24"/>
    <s v="27-Mar-25"/>
    <n v="1165"/>
    <n v="60000"/>
    <n v="6"/>
    <s v="S"/>
    <s v="T26"/>
    <n v="776069"/>
    <s v="MC1E4FDA3RP020047"/>
    <s v="D71052347"/>
    <m/>
    <m/>
    <x v="2"/>
    <s v="31-Mar-25"/>
    <x v="2"/>
    <n v="0"/>
    <n v="587839"/>
    <s v="11-Jun-25"/>
    <n v="0"/>
    <n v="0"/>
    <n v="0"/>
    <n v="111306"/>
    <s v="11-Jun-25"/>
    <n v="0"/>
    <m/>
    <m/>
    <s v="T26BS6"/>
    <s v="CVD"/>
    <s v="P"/>
  </r>
  <r>
    <n v="264"/>
    <s v="NORTH"/>
    <s v="UTTAR PRADESH"/>
    <n v="7134"/>
    <s v="M/S GOENKA AUTO PRIVATE LIMITED."/>
    <s v="VARANASI"/>
    <s v="14-Oct-24"/>
    <s v="25-Mar-25"/>
    <n v="1165"/>
    <n v="9912"/>
    <n v="3"/>
    <s v="S"/>
    <s v="TRAX"/>
    <n v="324803"/>
    <s v="MC1D4DHA3SP105471"/>
    <s v="D72016897"/>
    <m/>
    <m/>
    <x v="2"/>
    <s v="31-Mar-25"/>
    <x v="2"/>
    <n v="1250"/>
    <n v="587839"/>
    <s v="11-Jun-25"/>
    <n v="1250"/>
    <n v="1475"/>
    <n v="225"/>
    <n v="111306"/>
    <s v="11-Jun-25"/>
    <n v="0"/>
    <m/>
    <m/>
    <s v="TRXBS6"/>
    <s v="CVD"/>
    <s v="F"/>
  </r>
  <r>
    <n v="265"/>
    <s v="NORTH"/>
    <s v="UTTAR PRADESH"/>
    <n v="7134"/>
    <s v="M/S GOENKA AUTO PRIVATE LIMITED."/>
    <s v="VARANASI"/>
    <s v="03-Jul-24"/>
    <s v="10-Mar-25"/>
    <n v="1165"/>
    <n v="60000"/>
    <n v="6"/>
    <s v="S"/>
    <s v="TRAX"/>
    <n v="323096"/>
    <s v="MC1D4DFA0RP104744"/>
    <s v="D72015770"/>
    <m/>
    <m/>
    <x v="2"/>
    <s v="31-Mar-25"/>
    <x v="2"/>
    <n v="0"/>
    <n v="587839"/>
    <s v="11-Jun-25"/>
    <n v="0"/>
    <n v="0"/>
    <n v="0"/>
    <n v="111306"/>
    <s v="11-Jun-25"/>
    <n v="0"/>
    <m/>
    <m/>
    <s v="TRXBS6"/>
    <s v="CVD"/>
    <s v="P"/>
  </r>
  <r>
    <n v="266"/>
    <s v="NORTH"/>
    <s v="UTTAR PRADESH"/>
    <n v="7134"/>
    <s v="M/S GOENKA AUTO PRIVATE LIMITED."/>
    <s v="VARANASI"/>
    <s v="21-Oct-24"/>
    <s v="17-Mar-25"/>
    <n v="1165"/>
    <n v="25192"/>
    <n v="3"/>
    <s v="S"/>
    <s v="T-1"/>
    <n v="787041"/>
    <s v="MC1E4EHA9SP013856"/>
    <s v="D71061114"/>
    <m/>
    <m/>
    <x v="2"/>
    <s v="31-Mar-25"/>
    <x v="2"/>
    <n v="1250"/>
    <n v="587839"/>
    <s v="11-Jun-25"/>
    <n v="1250"/>
    <n v="1475"/>
    <n v="225"/>
    <n v="111306"/>
    <s v="11-Jun-25"/>
    <n v="0"/>
    <m/>
    <m/>
    <s v="T1BS6"/>
    <s v="CVD"/>
    <s v="F"/>
  </r>
  <r>
    <n v="267"/>
    <s v="NORTH"/>
    <s v="UTTAR PRADESH"/>
    <n v="7134"/>
    <s v="M/S GOENKA AUTO PRIVATE LIMITED."/>
    <s v="VARANASI"/>
    <s v="31-Jul-24"/>
    <s v="02-Mar-25"/>
    <n v="1165"/>
    <n v="30000"/>
    <n v="3"/>
    <s v="S"/>
    <s v="T1N"/>
    <n v="5240"/>
    <s v="MC1M4AGA7SP002019"/>
    <s v="D71058503"/>
    <m/>
    <m/>
    <x v="2"/>
    <s v="31-Mar-25"/>
    <x v="2"/>
    <n v="1650"/>
    <n v="587839"/>
    <s v="11-Jun-25"/>
    <n v="1650"/>
    <n v="1947"/>
    <n v="297"/>
    <n v="111306"/>
    <s v="11-Jun-25"/>
    <n v="0"/>
    <m/>
    <m/>
    <s v="URBN"/>
    <s v="CVD"/>
    <s v="F"/>
  </r>
  <r>
    <n v="268"/>
    <s v="NORTH"/>
    <s v="UTTAR PRADESH"/>
    <n v="7134"/>
    <s v="M/S GOENKA AUTO PRIVATE LIMITED."/>
    <s v="VARANASI"/>
    <s v="20-Aug-24"/>
    <s v="17-Mar-25"/>
    <n v="951"/>
    <n v="30000"/>
    <n v="3"/>
    <s v="S"/>
    <s v="T1N"/>
    <n v="4698"/>
    <s v="MC1M4AFA4RP001924"/>
    <s v="D71057611"/>
    <m/>
    <m/>
    <x v="2"/>
    <s v="31-Mar-25"/>
    <x v="2"/>
    <n v="1650"/>
    <n v="587839"/>
    <s v="11-Jun-25"/>
    <n v="1650"/>
    <n v="1947"/>
    <n v="297"/>
    <n v="111306"/>
    <s v="11-Jun-25"/>
    <n v="0"/>
    <m/>
    <m/>
    <s v="URBN"/>
    <s v="CVD"/>
    <s v="F"/>
  </r>
  <r>
    <n v="269"/>
    <s v="NORTH"/>
    <s v="UTTAR PRADESH"/>
    <n v="7134"/>
    <s v="M/S GOENKA AUTO PRIVATE LIMITED."/>
    <s v="VARANASI"/>
    <s v="31-May-24"/>
    <s v="07-Mar-25"/>
    <n v="1165"/>
    <n v="16122"/>
    <n v="2"/>
    <s v="S"/>
    <s v="T-1"/>
    <n v="770346"/>
    <s v="MC1E4EBA6RP011940"/>
    <s v="D71048561"/>
    <m/>
    <m/>
    <x v="2"/>
    <s v="31-Mar-25"/>
    <x v="2"/>
    <n v="1250"/>
    <n v="587839"/>
    <s v="11-Jun-25"/>
    <n v="1250"/>
    <n v="1475"/>
    <n v="225"/>
    <n v="111306"/>
    <s v="11-Jun-25"/>
    <n v="0"/>
    <m/>
    <m/>
    <s v="T1BS6N"/>
    <s v="CVD"/>
    <s v="F"/>
  </r>
  <r>
    <n v="270"/>
    <s v="NORTH"/>
    <s v="UTTAR PRADESH"/>
    <n v="7134"/>
    <s v="M/S GOENKA AUTO PRIVATE LIMITED."/>
    <s v="VARANASI"/>
    <s v="20-Jun-24"/>
    <s v="23-Mar-25"/>
    <n v="1165"/>
    <n v="33033"/>
    <n v="4"/>
    <s v="S"/>
    <s v="T-1"/>
    <n v="775459"/>
    <s v="MC1E4DEA3RP052936"/>
    <s v="D71055439"/>
    <s v="002"/>
    <s v="SERV DATE EXCEEDS"/>
    <x v="2"/>
    <s v="31-Mar-25"/>
    <x v="2"/>
    <n v="0"/>
    <n v="587839"/>
    <s v="11-Jun-25"/>
    <n v="0"/>
    <n v="0"/>
    <n v="0"/>
    <n v="111306"/>
    <s v="11-Jun-25"/>
    <n v="0"/>
    <m/>
    <m/>
    <s v="T1BS6"/>
    <s v="CVD"/>
    <s v="P"/>
  </r>
  <r>
    <n v="271"/>
    <s v="NORTH"/>
    <s v="UTTAR PRADESH"/>
    <n v="7134"/>
    <s v="M/S GOENKA AUTO PRIVATE LIMITED."/>
    <s v="VARANASI"/>
    <s v="09-Sep-24"/>
    <s v="05-Mar-25"/>
    <n v="1165"/>
    <n v="40000"/>
    <n v="4"/>
    <s v="S"/>
    <s v="T-1"/>
    <n v="785386"/>
    <s v="MC1E4EFA3RP013378"/>
    <s v="D71057643"/>
    <m/>
    <m/>
    <x v="2"/>
    <s v="31-Mar-25"/>
    <x v="2"/>
    <n v="0"/>
    <n v="587839"/>
    <s v="11-Jun-25"/>
    <n v="0"/>
    <n v="0"/>
    <n v="0"/>
    <n v="111306"/>
    <s v="11-Jun-25"/>
    <n v="0"/>
    <m/>
    <m/>
    <s v="T1BS6"/>
    <s v="CVD"/>
    <s v="P"/>
  </r>
  <r>
    <n v="272"/>
    <s v="NORTH"/>
    <s v="UTTAR PRADESH"/>
    <n v="7134"/>
    <s v="M/S GOENKA AUTO PRIVATE LIMITED."/>
    <s v="VARANASI"/>
    <s v="28-Sep-24"/>
    <s v="19-Mar-25"/>
    <n v="1165"/>
    <n v="27000"/>
    <n v="3"/>
    <s v="S"/>
    <s v="T26"/>
    <n v="789775"/>
    <s v="MC1E4FHA2SP021349"/>
    <s v="D71060882"/>
    <m/>
    <m/>
    <x v="2"/>
    <s v="31-Mar-25"/>
    <x v="2"/>
    <n v="1250"/>
    <n v="587839"/>
    <s v="11-Jun-25"/>
    <n v="1250"/>
    <n v="1475"/>
    <n v="225"/>
    <n v="111306"/>
    <s v="11-Jun-25"/>
    <n v="0"/>
    <m/>
    <m/>
    <s v="T26BS6"/>
    <s v="CVD"/>
    <s v="F"/>
  </r>
  <r>
    <n v="273"/>
    <s v="NORTH"/>
    <s v="UTTAR PRADESH"/>
    <n v="7134"/>
    <s v="M/S GOENKA AUTO PRIVATE LIMITED."/>
    <s v="VARANASI"/>
    <s v="29-Apr-24"/>
    <s v="25-Mar-25"/>
    <n v="1165"/>
    <n v="79329"/>
    <n v="8"/>
    <s v="S"/>
    <s v="T-1"/>
    <n v="773372"/>
    <s v="MC1E4EDA5RP012526"/>
    <s v="D71051928"/>
    <m/>
    <m/>
    <x v="2"/>
    <s v="31-Mar-25"/>
    <x v="2"/>
    <n v="1250"/>
    <n v="587839"/>
    <s v="11-Jun-25"/>
    <n v="1250"/>
    <n v="1475"/>
    <n v="225"/>
    <n v="111306"/>
    <s v="11-Jun-25"/>
    <n v="0"/>
    <m/>
    <m/>
    <s v="T1BS6"/>
    <s v="CVD"/>
    <s v="F"/>
  </r>
  <r>
    <n v="274"/>
    <s v="NORTH"/>
    <s v="UTTAR PRADESH"/>
    <n v="7134"/>
    <s v="M/S GOENKA AUTO PRIVATE LIMITED."/>
    <s v="VARANASI"/>
    <s v="30-Sep-24"/>
    <s v="07-Mar-25"/>
    <n v="1165"/>
    <n v="7200"/>
    <n v="1"/>
    <s v="S"/>
    <s v="T-1"/>
    <n v="780026"/>
    <s v="MC1E4DHA5SP054043"/>
    <s v="D71059617"/>
    <s v="002"/>
    <s v="SERV DATE EXCEEDS"/>
    <x v="2"/>
    <s v="31-Mar-25"/>
    <x v="2"/>
    <n v="1250"/>
    <n v="587839"/>
    <s v="11-Jun-25"/>
    <n v="1000"/>
    <n v="1475"/>
    <n v="225"/>
    <n v="111306"/>
    <s v="11-Jun-25"/>
    <n v="250"/>
    <m/>
    <m/>
    <s v="T1BS6N"/>
    <s v="CVD"/>
    <s v="F"/>
  </r>
  <r>
    <n v="275"/>
    <s v="NORTH"/>
    <s v="UTTAR PRADESH"/>
    <n v="7134"/>
    <s v="M/S GOENKA AUTO PRIVATE LIMITED."/>
    <s v="VARANASI"/>
    <s v="31-Jan-25"/>
    <s v="25-Mar-25"/>
    <n v="1165"/>
    <n v="8485"/>
    <n v="1"/>
    <s v="S"/>
    <s v="T1N"/>
    <n v="5926"/>
    <s v="MC1M4AAA2SP003295"/>
    <s v="D71070121"/>
    <m/>
    <m/>
    <x v="2"/>
    <s v="31-Mar-25"/>
    <x v="2"/>
    <n v="1650"/>
    <n v="587839"/>
    <s v="11-Jun-25"/>
    <n v="1650"/>
    <n v="1947"/>
    <n v="297"/>
    <n v="111306"/>
    <s v="11-Jun-25"/>
    <n v="0"/>
    <m/>
    <m/>
    <s v="URBN"/>
    <s v="CVD"/>
    <s v="F"/>
  </r>
  <r>
    <n v="276"/>
    <s v="NORTH"/>
    <s v="UTTAR PRADESH"/>
    <n v="7134"/>
    <s v="M/S GOENKA AUTO PRIVATE LIMITED."/>
    <s v="VARANASI"/>
    <s v="14-Oct-24"/>
    <s v="27-Mar-25"/>
    <n v="1165"/>
    <n v="30000"/>
    <n v="3"/>
    <s v="S"/>
    <s v="T1N"/>
    <n v="5472"/>
    <s v="MC1M4AKA7SP002481"/>
    <s v="D71063459"/>
    <m/>
    <m/>
    <x v="2"/>
    <s v="31-Mar-25"/>
    <x v="2"/>
    <n v="1650"/>
    <n v="587839"/>
    <s v="11-Jun-25"/>
    <n v="1650"/>
    <n v="1947"/>
    <n v="297"/>
    <n v="111306"/>
    <s v="11-Jun-25"/>
    <n v="0"/>
    <m/>
    <m/>
    <s v="URBN"/>
    <s v="CVD"/>
    <s v="F"/>
  </r>
  <r>
    <n v="277"/>
    <s v="NORTH"/>
    <s v="UTTAR PRADESH"/>
    <n v="7134"/>
    <s v="M/S GOENKA AUTO PRIVATE LIMITED."/>
    <s v="VARANASI"/>
    <s v="15-Nov-23"/>
    <s v="30-Mar-25"/>
    <n v="1165"/>
    <n v="65037"/>
    <n v="9"/>
    <s v="S"/>
    <s v="TRAX"/>
    <n v="319649"/>
    <s v="MC1D4DKA6RP101787"/>
    <s v="D72012455"/>
    <m/>
    <m/>
    <x v="2"/>
    <s v="31-Mar-25"/>
    <x v="2"/>
    <n v="0"/>
    <n v="587839"/>
    <s v="11-Jun-25"/>
    <n v="0"/>
    <n v="0"/>
    <n v="0"/>
    <n v="111306"/>
    <s v="11-Jun-25"/>
    <n v="0"/>
    <m/>
    <m/>
    <s v="TRXBS6"/>
    <s v="CVD"/>
    <s v="P"/>
  </r>
  <r>
    <n v="278"/>
    <s v="NORTH"/>
    <s v="UTTAR PRADESH"/>
    <n v="7134"/>
    <s v="M/S GOENKA AUTO PRIVATE LIMITED."/>
    <s v="VARANASI"/>
    <s v="10-Feb-25"/>
    <s v="11-Mar-25"/>
    <n v="1165"/>
    <n v="10000"/>
    <n v="1"/>
    <s v="S"/>
    <s v="TRAX"/>
    <n v="326143"/>
    <s v="MC1D4DJA8SP105766"/>
    <s v="D72017241"/>
    <m/>
    <m/>
    <x v="2"/>
    <s v="31-Mar-25"/>
    <x v="2"/>
    <n v="1250"/>
    <n v="587839"/>
    <s v="11-Jun-25"/>
    <n v="1250"/>
    <n v="1475"/>
    <n v="225"/>
    <n v="111306"/>
    <s v="11-Jun-25"/>
    <n v="0"/>
    <m/>
    <m/>
    <s v="TRXBS6"/>
    <s v="CVD"/>
    <s v="F"/>
  </r>
  <r>
    <n v="279"/>
    <s v="NORTH"/>
    <s v="UTTAR PRADESH"/>
    <n v="7134"/>
    <s v="M/S GOENKA AUTO PRIVATE LIMITED."/>
    <s v="VARANASI"/>
    <s v="22-Jun-24"/>
    <s v="02-Mar-25"/>
    <n v="1165"/>
    <n v="48750"/>
    <n v="5"/>
    <s v="S"/>
    <s v="T-1"/>
    <n v="774638"/>
    <s v="MC1E4EDA9RP012805"/>
    <s v="D71053488"/>
    <m/>
    <m/>
    <x v="2"/>
    <s v="31-Mar-25"/>
    <x v="2"/>
    <n v="1250"/>
    <n v="587839"/>
    <s v="11-Jun-25"/>
    <n v="1250"/>
    <n v="1475"/>
    <n v="225"/>
    <n v="111306"/>
    <s v="11-Jun-25"/>
    <n v="0"/>
    <m/>
    <m/>
    <s v="T1BS6"/>
    <s v="CVD"/>
    <s v="F"/>
  </r>
  <r>
    <n v="280"/>
    <s v="NORTH"/>
    <s v="UTTAR PRADESH"/>
    <n v="7134"/>
    <s v="M/S GOENKA AUTO PRIVATE LIMITED."/>
    <s v="VARANASI"/>
    <s v="24-Jul-24"/>
    <s v="21-Mar-25"/>
    <n v="1165"/>
    <n v="32500"/>
    <n v="4"/>
    <s v="S"/>
    <s v="T-1"/>
    <n v="774079"/>
    <s v="MC1E4DFA8RP053465"/>
    <s v="D71057531"/>
    <m/>
    <m/>
    <x v="2"/>
    <s v="31-Mar-25"/>
    <x v="2"/>
    <n v="0"/>
    <n v="587839"/>
    <s v="11-Jun-25"/>
    <n v="0"/>
    <n v="0"/>
    <n v="0"/>
    <n v="111306"/>
    <s v="11-Jun-25"/>
    <n v="0"/>
    <m/>
    <m/>
    <s v="T1BS6"/>
    <s v="CVD"/>
    <s v="P"/>
  </r>
  <r>
    <n v="281"/>
    <s v="NORTH"/>
    <s v="UTTAR PRADESH"/>
    <n v="7134"/>
    <s v="M/S GOENKA AUTO PRIVATE LIMITED."/>
    <s v="VARANASI"/>
    <s v="18-Jan-24"/>
    <s v="18-Mar-25"/>
    <n v="1165"/>
    <n v="13310"/>
    <n v="7"/>
    <s v="S"/>
    <s v="T-1"/>
    <n v="762289"/>
    <s v="MC1E4DJAXRP048419"/>
    <s v="D71040132"/>
    <m/>
    <m/>
    <x v="2"/>
    <s v="31-Mar-25"/>
    <x v="2"/>
    <n v="0"/>
    <n v="587839"/>
    <s v="11-Jun-25"/>
    <n v="0"/>
    <n v="0"/>
    <n v="0"/>
    <n v="111306"/>
    <s v="11-Jun-25"/>
    <n v="0"/>
    <m/>
    <m/>
    <s v="T1BS6"/>
    <s v="CVD"/>
    <s v="P"/>
  </r>
  <r>
    <n v="282"/>
    <s v="NORTH"/>
    <s v="UTTAR PRADESH"/>
    <n v="7134"/>
    <s v="M/S GOENKA AUTO PRIVATE LIMITED."/>
    <s v="VARANASI"/>
    <s v="28-Sep-24"/>
    <s v="16-Mar-25"/>
    <n v="1165"/>
    <n v="29840"/>
    <n v="3"/>
    <s v="S"/>
    <s v="T1N"/>
    <n v="5065"/>
    <s v="MC1M4AHA7SP002245"/>
    <s v="D71061030"/>
    <m/>
    <m/>
    <x v="2"/>
    <s v="31-Mar-25"/>
    <x v="2"/>
    <n v="1650"/>
    <n v="587839"/>
    <s v="11-Jun-25"/>
    <n v="1650"/>
    <n v="1947"/>
    <n v="297"/>
    <n v="111306"/>
    <s v="11-Jun-25"/>
    <n v="0"/>
    <m/>
    <m/>
    <s v="URBN"/>
    <s v="CVD"/>
    <s v="F"/>
  </r>
  <r>
    <n v="283"/>
    <s v="NORTH"/>
    <s v="UTTAR PRADESH"/>
    <n v="7134"/>
    <s v="M/S GOENKA AUTO PRIVATE LIMITED."/>
    <s v="VARANASI"/>
    <s v="29-Jun-23"/>
    <s v="06-Mar-25"/>
    <n v="1165"/>
    <n v="139576"/>
    <n v="14"/>
    <s v="S"/>
    <s v="T-1"/>
    <n v="7500851"/>
    <s v="MC1E4DFA2PP046590"/>
    <s v="D71033796"/>
    <m/>
    <m/>
    <x v="2"/>
    <s v="31-Mar-25"/>
    <x v="2"/>
    <n v="1250"/>
    <n v="587839"/>
    <s v="11-Jun-25"/>
    <n v="1250"/>
    <n v="1475"/>
    <n v="225"/>
    <n v="111306"/>
    <s v="11-Jun-25"/>
    <n v="0"/>
    <m/>
    <m/>
    <s v="T1BS6"/>
    <s v="CVD"/>
    <s v="F"/>
  </r>
  <r>
    <n v="284"/>
    <s v="NORTH"/>
    <s v="UTTAR PRADESH"/>
    <n v="7134"/>
    <s v="M/S GOENKA AUTO PRIVATE LIMITED."/>
    <s v="VARANASI"/>
    <s v="29-Oct-24"/>
    <s v="27-Mar-25"/>
    <n v="1150"/>
    <n v="30000"/>
    <n v="3"/>
    <s v="S"/>
    <s v="T1N"/>
    <n v="4891"/>
    <s v="MC1M4AKA8SP002571"/>
    <s v="D71063952"/>
    <m/>
    <m/>
    <x v="2"/>
    <s v="31-Mar-25"/>
    <x v="2"/>
    <n v="1650"/>
    <n v="587839"/>
    <s v="11-Jun-25"/>
    <n v="1650"/>
    <n v="1947"/>
    <n v="297"/>
    <n v="111306"/>
    <s v="11-Jun-25"/>
    <n v="0"/>
    <m/>
    <m/>
    <s v="URBN"/>
    <s v="CVD"/>
    <s v="F"/>
  </r>
  <r>
    <n v="285"/>
    <s v="NORTH"/>
    <s v="UTTAR PRADESH"/>
    <n v="7134"/>
    <s v="M/S GOENKA AUTO PRIVATE LIMITED."/>
    <s v="VARANASI"/>
    <s v="19-Mar-24"/>
    <s v="19-Mar-25"/>
    <n v="1165"/>
    <n v="3300"/>
    <n v="4"/>
    <s v="S"/>
    <s v="T1N"/>
    <n v="3148"/>
    <s v="MC1M4BBA2RP000489"/>
    <s v="D71049526"/>
    <s v="002"/>
    <s v="SERV DATE EXCEEDS"/>
    <x v="2"/>
    <s v="31-Mar-25"/>
    <x v="2"/>
    <n v="0"/>
    <n v="587839"/>
    <s v="11-Jun-25"/>
    <n v="0"/>
    <n v="0"/>
    <n v="0"/>
    <n v="111306"/>
    <s v="11-Jun-25"/>
    <n v="0"/>
    <m/>
    <m/>
    <s v="URBN"/>
    <s v="CVD"/>
    <s v="P"/>
  </r>
  <r>
    <n v="286"/>
    <s v="NORTH"/>
    <s v="UTTAR PRADESH"/>
    <n v="7134"/>
    <s v="M/S GOENKA AUTO PRIVATE LIMITED."/>
    <s v="VARANASI"/>
    <s v="16-Apr-24"/>
    <s v="20-Mar-25"/>
    <n v="1165"/>
    <n v="70000"/>
    <n v="7"/>
    <s v="S"/>
    <s v="T-1"/>
    <n v="773203"/>
    <s v="MC1E4EDAXRP012537"/>
    <s v="D71052049"/>
    <m/>
    <m/>
    <x v="2"/>
    <s v="31-Mar-25"/>
    <x v="2"/>
    <n v="0"/>
    <n v="587839"/>
    <s v="11-Jun-25"/>
    <n v="0"/>
    <n v="0"/>
    <n v="0"/>
    <n v="111306"/>
    <s v="11-Jun-25"/>
    <n v="0"/>
    <m/>
    <m/>
    <s v="T1BS6"/>
    <s v="CVD"/>
    <s v="P"/>
  </r>
  <r>
    <n v="287"/>
    <s v="NORTH"/>
    <s v="UTTAR PRADESH"/>
    <n v="7134"/>
    <s v="M/S GOENKA AUTO PRIVATE LIMITED."/>
    <s v="VARANASI"/>
    <s v="09-Jul-24"/>
    <s v="02-Mar-25"/>
    <n v="1165"/>
    <n v="39200"/>
    <n v="4"/>
    <s v="S"/>
    <s v="TRAX"/>
    <n v="322213"/>
    <s v="MC1D4DFA2RP104728"/>
    <s v="D72015787"/>
    <m/>
    <m/>
    <x v="2"/>
    <s v="31-Mar-25"/>
    <x v="2"/>
    <n v="0"/>
    <n v="587839"/>
    <s v="11-Jun-25"/>
    <n v="0"/>
    <n v="0"/>
    <n v="0"/>
    <n v="111306"/>
    <s v="11-Jun-25"/>
    <n v="0"/>
    <m/>
    <m/>
    <s v="TRXBS6"/>
    <s v="CVD"/>
    <s v="P"/>
  </r>
  <r>
    <n v="288"/>
    <s v="NORTH"/>
    <s v="UTTAR PRADESH"/>
    <n v="7134"/>
    <s v="M/S GOENKA AUTO PRIVATE LIMITED."/>
    <s v="VARANASI"/>
    <s v="02-Mar-23"/>
    <s v="06-Mar-25"/>
    <n v="1165"/>
    <n v="89727"/>
    <n v="12"/>
    <s v="S"/>
    <s v="T-1"/>
    <n v="739574"/>
    <s v="MC1E4EMAXPP008906"/>
    <s v="D71024090"/>
    <m/>
    <m/>
    <x v="2"/>
    <s v="31-Mar-25"/>
    <x v="2"/>
    <n v="0"/>
    <n v="587839"/>
    <s v="11-Jun-25"/>
    <n v="0"/>
    <n v="0"/>
    <n v="0"/>
    <n v="111306"/>
    <s v="11-Jun-25"/>
    <n v="0"/>
    <m/>
    <m/>
    <s v="T1BS6"/>
    <s v="CVD"/>
    <s v="P"/>
  </r>
  <r>
    <n v="289"/>
    <s v="NORTH"/>
    <s v="UTTAR PRADESH"/>
    <n v="7134"/>
    <s v="M/S GOENKA AUTO PRIVATE LIMITED."/>
    <s v="VARANASI"/>
    <s v="02-Aug-24"/>
    <s v="10-Mar-25"/>
    <n v="890"/>
    <n v="29888"/>
    <n v="4"/>
    <s v="S"/>
    <s v="T-1"/>
    <n v="775800"/>
    <s v="MC1E4EDA9RP012853"/>
    <s v="D71053859"/>
    <m/>
    <m/>
    <x v="2"/>
    <s v="31-Mar-25"/>
    <x v="2"/>
    <n v="0"/>
    <n v="587839"/>
    <s v="11-Jun-25"/>
    <n v="0"/>
    <n v="0"/>
    <n v="0"/>
    <n v="111306"/>
    <s v="11-Jun-25"/>
    <n v="0"/>
    <m/>
    <m/>
    <s v="T1BS6"/>
    <s v="CVD"/>
    <s v="P"/>
  </r>
  <r>
    <n v="290"/>
    <s v="NORTH"/>
    <s v="UTTAR PRADESH"/>
    <n v="7134"/>
    <s v="M/S GOENKA AUTO PRIVATE LIMITED."/>
    <s v="VARANASI"/>
    <s v="25-Sep-23"/>
    <s v="09-Mar-25"/>
    <n v="1165"/>
    <n v="28778"/>
    <n v="9"/>
    <s v="S"/>
    <s v="T-1"/>
    <n v="753160"/>
    <s v="MC1E4DHA5RP047801"/>
    <s v="D71037750"/>
    <m/>
    <m/>
    <x v="2"/>
    <s v="31-Mar-25"/>
    <x v="2"/>
    <n v="0"/>
    <n v="587839"/>
    <s v="11-Jun-25"/>
    <n v="0"/>
    <n v="0"/>
    <n v="0"/>
    <n v="111306"/>
    <s v="11-Jun-25"/>
    <n v="0"/>
    <m/>
    <m/>
    <s v="T1BS6"/>
    <s v="CVD"/>
    <s v="P"/>
  </r>
  <r>
    <n v="291"/>
    <s v="NORTH"/>
    <s v="UTTAR PRADESH"/>
    <n v="7134"/>
    <s v="M/S GOENKA AUTO PRIVATE LIMITED."/>
    <s v="VARANASI"/>
    <s v="14-Jan-25"/>
    <s v="18-Mar-25"/>
    <n v="1165"/>
    <n v="10000"/>
    <n v="1"/>
    <s v="S"/>
    <s v="T1N"/>
    <n v="6183"/>
    <s v="MC1M4AMA1SP003008"/>
    <s v="D71066986"/>
    <s v="022"/>
    <s v="SERVICE COUPON HARD COPY NOT RECEIVED"/>
    <x v="2"/>
    <s v="31-Mar-25"/>
    <x v="2"/>
    <n v="1650"/>
    <n v="587839"/>
    <s v="11-Jun-25"/>
    <n v="0"/>
    <n v="1947"/>
    <n v="297"/>
    <n v="111306"/>
    <s v="11-Jun-25"/>
    <n v="1650"/>
    <m/>
    <m/>
    <s v="URBN"/>
    <s v="CVD"/>
    <s v="F"/>
  </r>
  <r>
    <n v="292"/>
    <s v="NORTH"/>
    <s v="UTTAR PRADESH"/>
    <n v="7134"/>
    <s v="M/S GOENKA AUTO PRIVATE LIMITED."/>
    <s v="VARANASI"/>
    <s v="26-Aug-24"/>
    <s v="06-Mar-25"/>
    <n v="1165"/>
    <n v="27357"/>
    <n v="3"/>
    <s v="S"/>
    <s v="T-1"/>
    <n v="786068"/>
    <s v="MC1E4EHA3SP013657"/>
    <s v="D71059698"/>
    <m/>
    <m/>
    <x v="2"/>
    <s v="31-Mar-25"/>
    <x v="2"/>
    <n v="1250"/>
    <n v="587839"/>
    <s v="11-Jun-25"/>
    <n v="1250"/>
    <n v="1475"/>
    <n v="225"/>
    <n v="111306"/>
    <s v="11-Jun-25"/>
    <n v="0"/>
    <m/>
    <m/>
    <s v="T1BS6"/>
    <s v="CVD"/>
    <s v="F"/>
  </r>
  <r>
    <n v="293"/>
    <s v="NORTH"/>
    <s v="UTTAR PRADESH"/>
    <n v="7134"/>
    <s v="M/S GOENKA AUTO PRIVATE LIMITED."/>
    <s v="VARANASI"/>
    <s v="28-Feb-24"/>
    <s v="11-Mar-25"/>
    <n v="1165"/>
    <n v="79001"/>
    <n v="8"/>
    <s v="S"/>
    <s v="T26"/>
    <n v="767284"/>
    <s v="MC1E4FAA5RP019177"/>
    <s v="D71046539"/>
    <m/>
    <m/>
    <x v="2"/>
    <s v="31-Mar-25"/>
    <x v="2"/>
    <n v="1250"/>
    <n v="587839"/>
    <s v="11-Jun-25"/>
    <n v="1250"/>
    <n v="1475"/>
    <n v="225"/>
    <n v="111306"/>
    <s v="11-Jun-25"/>
    <n v="0"/>
    <m/>
    <m/>
    <s v="T26BS6"/>
    <s v="CVD"/>
    <s v="F"/>
  </r>
  <r>
    <n v="294"/>
    <s v="NORTH"/>
    <s v="UTTAR PRADESH"/>
    <n v="7134"/>
    <s v="M/S GOENKA AUTO PRIVATE LIMITED."/>
    <s v="VARANASI"/>
    <s v="21-Oct-24"/>
    <s v="18-Feb-25"/>
    <n v="1165"/>
    <n v="10028"/>
    <n v="2"/>
    <s v="S"/>
    <s v="T1N"/>
    <n v="5352"/>
    <s v="MC1M4AJA4SP002407"/>
    <s v="D71062651"/>
    <m/>
    <m/>
    <x v="2"/>
    <s v="31-Mar-25"/>
    <x v="2"/>
    <n v="0"/>
    <n v="587839"/>
    <s v="11-Jun-25"/>
    <n v="0"/>
    <n v="0"/>
    <n v="0"/>
    <n v="111306"/>
    <s v="11-Jun-25"/>
    <n v="0"/>
    <m/>
    <m/>
    <s v="URBN"/>
    <s v="CVD"/>
    <s v="P"/>
  </r>
  <r>
    <n v="295"/>
    <s v="NORTH"/>
    <s v="UTTAR PRADESH"/>
    <n v="7134"/>
    <s v="M/S GOENKA AUTO PRIVATE LIMITED."/>
    <s v="VARANASI"/>
    <s v="17-Apr-23"/>
    <s v="10-Mar-25"/>
    <n v="920"/>
    <n v="72921"/>
    <n v="9"/>
    <s v="S"/>
    <s v="T1N"/>
    <n v="1344"/>
    <s v="MC1M4ACA2PP000188"/>
    <s v="D71027122"/>
    <m/>
    <m/>
    <x v="2"/>
    <s v="31-Mar-25"/>
    <x v="2"/>
    <n v="0"/>
    <n v="587839"/>
    <s v="11-Jun-25"/>
    <n v="0"/>
    <n v="0"/>
    <n v="0"/>
    <n v="111306"/>
    <s v="11-Jun-25"/>
    <n v="0"/>
    <m/>
    <m/>
    <s v="URBN"/>
    <s v="CVD"/>
    <s v="P"/>
  </r>
  <r>
    <n v="296"/>
    <s v="NORTH"/>
    <s v="UTTAR PRADESH"/>
    <n v="7134"/>
    <s v="M/S GOENKA AUTO PRIVATE LIMITED."/>
    <s v="VARANASI"/>
    <s v="09-Sep-24"/>
    <s v="05-Mar-25"/>
    <n v="1165"/>
    <n v="22073"/>
    <n v="3"/>
    <s v="S"/>
    <s v="T26"/>
    <n v="776764"/>
    <s v="MC1E4FGA0SP021030"/>
    <s v="D71059001"/>
    <m/>
    <m/>
    <x v="2"/>
    <s v="31-Mar-25"/>
    <x v="2"/>
    <n v="1250"/>
    <n v="587839"/>
    <s v="11-Jun-25"/>
    <n v="1250"/>
    <n v="1475"/>
    <n v="225"/>
    <n v="111306"/>
    <s v="11-Jun-25"/>
    <n v="0"/>
    <m/>
    <m/>
    <s v="T26BS6"/>
    <s v="CVD"/>
    <s v="F"/>
  </r>
  <r>
    <n v="297"/>
    <s v="NORTH"/>
    <s v="UTTAR PRADESH"/>
    <n v="7134"/>
    <s v="M/S GOENKA AUTO PRIVATE LIMITED."/>
    <s v="VARANASI"/>
    <s v="08-Jul-24"/>
    <s v="04-Mar-25"/>
    <n v="1165"/>
    <n v="50000"/>
    <n v="5"/>
    <s v="S"/>
    <s v="T-1"/>
    <n v="773703"/>
    <s v="MC1E4EFA0RP013158"/>
    <s v="D71056321"/>
    <m/>
    <m/>
    <x v="2"/>
    <s v="31-Mar-25"/>
    <x v="2"/>
    <n v="1250"/>
    <n v="587839"/>
    <s v="11-Jun-25"/>
    <n v="1250"/>
    <n v="1475"/>
    <n v="225"/>
    <n v="111306"/>
    <s v="11-Jun-25"/>
    <n v="0"/>
    <m/>
    <m/>
    <s v="T1BS6"/>
    <s v="CVD"/>
    <s v="F"/>
  </r>
  <r>
    <n v="298"/>
    <s v="NORTH"/>
    <s v="UTTAR PRADESH"/>
    <n v="7134"/>
    <s v="M/S GOENKA AUTO PRIVATE LIMITED."/>
    <s v="VARANASI"/>
    <s v="31-Mar-24"/>
    <s v="30-Mar-25"/>
    <n v="1165"/>
    <n v="14372"/>
    <n v="3"/>
    <s v="S"/>
    <s v="T-1"/>
    <n v="1"/>
    <s v="MC1E4DAA2RP050262"/>
    <s v="D71045470"/>
    <m/>
    <m/>
    <x v="2"/>
    <s v="31-Mar-25"/>
    <x v="2"/>
    <n v="1250"/>
    <n v="587839"/>
    <s v="11-Jun-25"/>
    <n v="1250"/>
    <n v="1475"/>
    <n v="225"/>
    <n v="111306"/>
    <s v="11-Jun-25"/>
    <n v="0"/>
    <m/>
    <m/>
    <s v="T1BS6N"/>
    <s v="CVD"/>
    <s v="F"/>
  </r>
  <r>
    <n v="299"/>
    <s v="NORTH"/>
    <s v="UTTAR PRADESH"/>
    <n v="7134"/>
    <s v="M/S GOENKA AUTO PRIVATE LIMITED."/>
    <s v="VARANASI"/>
    <s v="15-Jun-24"/>
    <s v="16-Mar-25"/>
    <n v="965"/>
    <n v="30713"/>
    <n v="5"/>
    <s v="S"/>
    <s v="T-1"/>
    <n v="775258"/>
    <s v="MC1E4DEA8RP052866"/>
    <s v="D71055403"/>
    <m/>
    <m/>
    <x v="2"/>
    <s v="31-Mar-25"/>
    <x v="2"/>
    <n v="1250"/>
    <n v="587839"/>
    <s v="11-Jun-25"/>
    <n v="1250"/>
    <n v="1475"/>
    <n v="225"/>
    <n v="111306"/>
    <s v="11-Jun-25"/>
    <n v="0"/>
    <m/>
    <m/>
    <s v="T1BS6"/>
    <s v="CVD"/>
    <s v="F"/>
  </r>
  <r>
    <n v="300"/>
    <s v="NORTH"/>
    <s v="UTTAR PRADESH"/>
    <n v="7134"/>
    <s v="M/S GOENKA AUTO PRIVATE LIMITED."/>
    <s v="VARANASI"/>
    <s v="10-May-23"/>
    <s v="30-Mar-25"/>
    <n v="1165"/>
    <n v="26300"/>
    <n v="12"/>
    <s v="S"/>
    <s v="T-1"/>
    <n v="739327"/>
    <s v="MC1E4DAA4PP044055"/>
    <s v="D71025091"/>
    <m/>
    <m/>
    <x v="2"/>
    <s v="31-Mar-25"/>
    <x v="2"/>
    <n v="0"/>
    <n v="587839"/>
    <s v="11-Jun-25"/>
    <n v="0"/>
    <n v="0"/>
    <n v="0"/>
    <n v="111306"/>
    <s v="11-Jun-25"/>
    <n v="0"/>
    <m/>
    <m/>
    <s v="T1BS6"/>
    <s v="CVD"/>
    <s v="P"/>
  </r>
  <r>
    <n v="301"/>
    <s v="NORTH"/>
    <s v="UTTAR PRADESH"/>
    <n v="7134"/>
    <s v="M/S GOENKA AUTO PRIVATE LIMITED."/>
    <s v="VARANASI"/>
    <s v="31-Mar-24"/>
    <s v="11-Mar-25"/>
    <n v="1165"/>
    <n v="14655"/>
    <n v="2"/>
    <s v="S"/>
    <s v="T26"/>
    <n v="768950"/>
    <s v="MC1E4FBA3RP019533"/>
    <s v="D71049075"/>
    <s v="002"/>
    <s v="SERV DATE EXCEEDS"/>
    <x v="2"/>
    <s v="31-Mar-25"/>
    <x v="2"/>
    <n v="1250"/>
    <n v="587839"/>
    <s v="11-Jun-25"/>
    <n v="1000"/>
    <n v="1475"/>
    <n v="225"/>
    <n v="111306"/>
    <s v="11-Jun-25"/>
    <n v="250"/>
    <m/>
    <m/>
    <s v="T26BS6N"/>
    <s v="CVD"/>
    <s v="F"/>
  </r>
  <r>
    <n v="302"/>
    <s v="NORTH"/>
    <s v="UTTAR PRADESH"/>
    <n v="7134"/>
    <s v="M/S GOENKA AUTO PRIVATE LIMITED."/>
    <s v="VARANASI"/>
    <s v="07-Sep-23"/>
    <s v="05-Mar-25"/>
    <n v="1165"/>
    <n v="11961"/>
    <n v="9"/>
    <s v="S"/>
    <s v="T-1"/>
    <n v="733384"/>
    <s v="MC1E5DGA2RP000384"/>
    <s v="D73000503"/>
    <m/>
    <m/>
    <x v="2"/>
    <s v="31-Mar-25"/>
    <x v="2"/>
    <n v="0"/>
    <n v="587839"/>
    <s v="11-Jun-25"/>
    <n v="0"/>
    <n v="0"/>
    <n v="0"/>
    <n v="111306"/>
    <s v="11-Jun-25"/>
    <n v="0"/>
    <m/>
    <m/>
    <s v="T1CNGL"/>
    <s v="CVD"/>
    <s v="P"/>
  </r>
  <r>
    <n v="303"/>
    <s v="NORTH"/>
    <s v="UTTAR PRADESH"/>
    <n v="7134"/>
    <s v="M/S GOENKA AUTO PRIVATE LIMITED."/>
    <s v="VARANASI"/>
    <s v="15-Oct-24"/>
    <s v="25-Mar-25"/>
    <n v="1165"/>
    <n v="30000"/>
    <n v="3"/>
    <s v="S"/>
    <s v="T1N"/>
    <n v="5355"/>
    <s v="MC1M4AJA8SP002393"/>
    <s v="D71062471"/>
    <m/>
    <m/>
    <x v="2"/>
    <s v="31-Mar-25"/>
    <x v="2"/>
    <n v="1650"/>
    <n v="587839"/>
    <s v="11-Jun-25"/>
    <n v="1650"/>
    <n v="1947"/>
    <n v="297"/>
    <n v="111306"/>
    <s v="11-Jun-25"/>
    <n v="0"/>
    <m/>
    <m/>
    <s v="URBN"/>
    <s v="CVD"/>
    <s v="F"/>
  </r>
  <r>
    <n v="304"/>
    <s v="NORTH"/>
    <s v="UTTAR PRADESH"/>
    <n v="7134"/>
    <s v="M/S GOENKA AUTO PRIVATE LIMITED."/>
    <s v="VARANASI"/>
    <s v="13-Mar-24"/>
    <s v="24-Mar-25"/>
    <n v="1165"/>
    <n v="60000"/>
    <n v="6"/>
    <s v="S"/>
    <s v="T-1"/>
    <n v="763919"/>
    <s v="MC1E4EMA8RP011306"/>
    <s v="D71043916"/>
    <m/>
    <m/>
    <x v="2"/>
    <s v="31-Mar-25"/>
    <x v="2"/>
    <n v="0"/>
    <n v="587839"/>
    <s v="11-Jun-25"/>
    <n v="0"/>
    <n v="0"/>
    <n v="0"/>
    <n v="111306"/>
    <s v="11-Jun-25"/>
    <n v="0"/>
    <m/>
    <m/>
    <s v="T1BS6"/>
    <s v="CVD"/>
    <s v="P"/>
  </r>
  <r>
    <n v="305"/>
    <s v="NORTH"/>
    <s v="UTTAR PRADESH"/>
    <n v="7134"/>
    <s v="M/S GOENKA AUTO PRIVATE LIMITED."/>
    <s v="VARANASI"/>
    <s v="20-Mar-24"/>
    <s v="07-Mar-25"/>
    <n v="1165"/>
    <n v="22216"/>
    <n v="2"/>
    <s v="S"/>
    <s v="T-1"/>
    <n v="770480"/>
    <s v="MC1E4DBAXRP050766"/>
    <s v="D71046963"/>
    <s v="002"/>
    <s v="SERV DATE EXCEEDS"/>
    <x v="2"/>
    <s v="31-Mar-25"/>
    <x v="2"/>
    <n v="1250"/>
    <n v="587839"/>
    <s v="11-Jun-25"/>
    <n v="1000"/>
    <n v="1475"/>
    <n v="225"/>
    <n v="111306"/>
    <s v="11-Jun-25"/>
    <n v="250"/>
    <m/>
    <m/>
    <s v="T1BS6N"/>
    <s v="CVD"/>
    <s v="F"/>
  </r>
  <r>
    <n v="306"/>
    <s v="NORTH"/>
    <s v="UTTAR PRADESH"/>
    <n v="7134"/>
    <s v="M/S GOENKA AUTO PRIVATE LIMITED."/>
    <s v="VARANASI"/>
    <s v="16-Nov-23"/>
    <s v="17-Mar-25"/>
    <n v="1165"/>
    <n v="80000"/>
    <n v="8"/>
    <s v="S"/>
    <s v="T1N"/>
    <n v="2135"/>
    <s v="MC1M4ALA5RP000706"/>
    <s v="D71042291"/>
    <m/>
    <m/>
    <x v="2"/>
    <s v="31-Mar-25"/>
    <x v="2"/>
    <n v="0"/>
    <n v="587839"/>
    <s v="11-Jun-25"/>
    <n v="0"/>
    <n v="0"/>
    <n v="0"/>
    <n v="111306"/>
    <s v="11-Jun-25"/>
    <n v="0"/>
    <m/>
    <m/>
    <s v="URBN"/>
    <s v="CVD"/>
    <s v="P"/>
  </r>
  <r>
    <n v="307"/>
    <s v="NORTH"/>
    <s v="UTTAR PRADESH"/>
    <n v="7134"/>
    <s v="M/S GOENKA AUTO PRIVATE LIMITED."/>
    <s v="VARANASI"/>
    <s v="23-Dec-24"/>
    <s v="12-Mar-25"/>
    <n v="1165"/>
    <n v="10000"/>
    <n v="1"/>
    <s v="S"/>
    <s v="T26"/>
    <n v="789589"/>
    <s v="MC1E4FKA5SP021760"/>
    <s v="D71065153"/>
    <s v="002"/>
    <s v="SERV DATE EXCEEDS"/>
    <x v="2"/>
    <s v="31-Mar-25"/>
    <x v="2"/>
    <n v="1250"/>
    <n v="587839"/>
    <s v="11-Jun-25"/>
    <n v="1000"/>
    <n v="1475"/>
    <n v="225"/>
    <n v="111306"/>
    <s v="11-Jun-25"/>
    <n v="250"/>
    <m/>
    <m/>
    <s v="T26BS6"/>
    <s v="CVD"/>
    <s v="F"/>
  </r>
  <r>
    <n v="308"/>
    <s v="NORTH"/>
    <s v="UTTAR PRADESH"/>
    <n v="7134"/>
    <s v="M/S GOENKA AUTO PRIVATE LIMITED."/>
    <s v="VARANASI"/>
    <s v="06-Aug-24"/>
    <s v="02-Mar-25"/>
    <n v="1165"/>
    <n v="15174"/>
    <n v="2"/>
    <s v="S"/>
    <s v="T-1"/>
    <n v="781813"/>
    <s v="MC1E4DGA1SP053621"/>
    <s v="D71058053"/>
    <m/>
    <m/>
    <x v="2"/>
    <s v="31-Mar-25"/>
    <x v="2"/>
    <n v="1250"/>
    <n v="587839"/>
    <s v="11-Jun-25"/>
    <n v="1250"/>
    <n v="1475"/>
    <n v="225"/>
    <n v="111306"/>
    <s v="11-Jun-25"/>
    <n v="0"/>
    <m/>
    <m/>
    <s v="T1BS6N"/>
    <s v="CVD"/>
    <s v="F"/>
  </r>
  <r>
    <n v="309"/>
    <s v="NORTH"/>
    <s v="UTTAR PRADESH"/>
    <n v="7134"/>
    <s v="M/S GOENKA AUTO PRIVATE LIMITED."/>
    <s v="VARANASI"/>
    <s v="16-Sep-24"/>
    <s v="31-Mar-25"/>
    <n v="1165"/>
    <n v="6160"/>
    <n v="2"/>
    <s v="S"/>
    <s v="T3"/>
    <n v="788121"/>
    <s v="MC1L4BFA5RP000685"/>
    <s v="D71056081"/>
    <s v="022"/>
    <s v="SERVICE COUPON HARD COPY NOT RECEIVED"/>
    <x v="2"/>
    <s v="31-Mar-25"/>
    <x v="2"/>
    <n v="0"/>
    <n v="587839"/>
    <s v="11-Jun-25"/>
    <n v="0"/>
    <n v="0"/>
    <n v="0"/>
    <n v="111306"/>
    <s v="11-Jun-25"/>
    <n v="0"/>
    <m/>
    <m/>
    <s v="T3MONBS6"/>
    <s v="CVD"/>
    <s v="P"/>
  </r>
  <r>
    <n v="310"/>
    <s v="NORTH"/>
    <s v="UTTAR PRADESH"/>
    <n v="7134"/>
    <s v="M/S GOENKA AUTO PRIVATE LIMITED."/>
    <s v="VARANASI"/>
    <s v="31-Dec-24"/>
    <s v="11-Mar-25"/>
    <n v="1165"/>
    <n v="10000"/>
    <n v="1"/>
    <s v="S"/>
    <s v="T1N"/>
    <n v="5607"/>
    <s v="MC1M4ALA7SP002799"/>
    <s v="D71065600"/>
    <m/>
    <m/>
    <x v="2"/>
    <s v="31-Mar-25"/>
    <x v="2"/>
    <n v="1650"/>
    <n v="587839"/>
    <s v="11-Jun-25"/>
    <n v="1650"/>
    <n v="1947"/>
    <n v="297"/>
    <n v="111306"/>
    <s v="11-Jun-25"/>
    <n v="0"/>
    <m/>
    <m/>
    <s v="URBN"/>
    <s v="CVD"/>
    <s v="F"/>
  </r>
  <r>
    <n v="311"/>
    <s v="NORTH"/>
    <s v="UTTAR PRADESH"/>
    <n v="7134"/>
    <s v="M/S GOENKA AUTO PRIVATE LIMITED."/>
    <s v="VARANASI"/>
    <s v="09-Jan-24"/>
    <s v="09-Mar-25"/>
    <n v="1165"/>
    <n v="75320"/>
    <n v="7"/>
    <s v="S"/>
    <s v="T26"/>
    <n v="766569"/>
    <s v="MC1E4FMA9RP018724"/>
    <s v="D71043407"/>
    <s v="001"/>
    <s v="SERV KMS  / HRS EXCEEDS"/>
    <x v="2"/>
    <s v="31-Mar-25"/>
    <x v="2"/>
    <n v="0"/>
    <n v="587839"/>
    <s v="11-Jun-25"/>
    <n v="0"/>
    <n v="0"/>
    <n v="0"/>
    <n v="111306"/>
    <s v="11-Jun-25"/>
    <n v="0"/>
    <m/>
    <m/>
    <s v="T26BS6"/>
    <s v="CVD"/>
    <s v="P"/>
  </r>
  <r>
    <n v="312"/>
    <s v="NORTH"/>
    <s v="UTTAR PRADESH"/>
    <n v="7134"/>
    <s v="M/S GOENKA AUTO PRIVATE LIMITED."/>
    <s v="VARANASI"/>
    <s v="04-Sep-24"/>
    <s v="10-Mar-25"/>
    <n v="1165"/>
    <n v="12500"/>
    <n v="2"/>
    <s v="S"/>
    <s v="TRAX"/>
    <n v="324906"/>
    <s v="MC1D4DHA8SP105336"/>
    <s v="D72016762"/>
    <s v="002"/>
    <s v="SERV DATE EXCEEDS"/>
    <x v="2"/>
    <s v="31-Mar-25"/>
    <x v="2"/>
    <n v="0"/>
    <n v="587839"/>
    <s v="11-Jun-25"/>
    <n v="0"/>
    <n v="0"/>
    <n v="0"/>
    <n v="111306"/>
    <s v="11-Jun-25"/>
    <n v="0"/>
    <m/>
    <m/>
    <s v="TRXBS6"/>
    <s v="CVD"/>
    <s v="P"/>
  </r>
  <r>
    <n v="313"/>
    <s v="NORTH"/>
    <s v="UTTAR PRADESH"/>
    <n v="7134"/>
    <s v="M/S GOENKA AUTO PRIVATE LIMITED."/>
    <s v="VARANASI"/>
    <s v="12-Feb-24"/>
    <s v="30-Mar-25"/>
    <n v="1165"/>
    <n v="69706"/>
    <n v="7"/>
    <s v="S"/>
    <s v="T26"/>
    <n v="767302"/>
    <s v="MC1E4FAA2RP019007"/>
    <s v="D71045082"/>
    <m/>
    <m/>
    <x v="2"/>
    <s v="31-Mar-25"/>
    <x v="2"/>
    <n v="0"/>
    <n v="587839"/>
    <s v="11-Jun-25"/>
    <n v="0"/>
    <n v="0"/>
    <n v="0"/>
    <n v="111306"/>
    <s v="11-Jun-25"/>
    <n v="0"/>
    <m/>
    <m/>
    <s v="T26BS6"/>
    <s v="CVD"/>
    <s v="P"/>
  </r>
  <r>
    <n v="314"/>
    <s v="NORTH"/>
    <s v="UTTAR PRADESH"/>
    <n v="7134"/>
    <s v="M/S GOENKA AUTO PRIVATE LIMITED."/>
    <s v="VARANASI"/>
    <s v="24-Oct-24"/>
    <s v="16-Feb-25"/>
    <n v="1152"/>
    <n v="10597"/>
    <n v="2"/>
    <s v="S"/>
    <s v="T-1"/>
    <n v="787971"/>
    <s v="MC1E1CHA1SP007904"/>
    <s v="D71060547"/>
    <m/>
    <m/>
    <x v="2"/>
    <s v="31-Mar-25"/>
    <x v="2"/>
    <n v="0"/>
    <n v="587839"/>
    <s v="11-Jun-25"/>
    <n v="0"/>
    <n v="0"/>
    <n v="0"/>
    <n v="111306"/>
    <s v="11-Jun-25"/>
    <n v="0"/>
    <m/>
    <m/>
    <s v="T1BS6"/>
    <s v="CVD"/>
    <s v="P"/>
  </r>
  <r>
    <n v="315"/>
    <s v="NORTH"/>
    <s v="UTTAR PRADESH"/>
    <n v="7134"/>
    <s v="M/S GOENKA AUTO PRIVATE LIMITED."/>
    <s v="VARANASI"/>
    <s v="26-Apr-24"/>
    <s v="11-Mar-25"/>
    <n v="1165"/>
    <n v="12204"/>
    <n v="2"/>
    <s v="S"/>
    <s v="T-1"/>
    <n v="770327"/>
    <s v="MC1E4DBA8RP050751"/>
    <s v="D71046972"/>
    <m/>
    <m/>
    <x v="2"/>
    <s v="31-Mar-25"/>
    <x v="2"/>
    <n v="1250"/>
    <n v="587839"/>
    <s v="11-Jun-25"/>
    <n v="1250"/>
    <n v="1475"/>
    <n v="225"/>
    <n v="111306"/>
    <s v="11-Jun-25"/>
    <n v="0"/>
    <m/>
    <m/>
    <s v="T1BS6N"/>
    <s v="CVD"/>
    <s v="F"/>
  </r>
  <r>
    <n v="316"/>
    <s v="NORTH"/>
    <s v="UTTAR PRADESH"/>
    <n v="7134"/>
    <s v="M/S GOENKA AUTO PRIVATE LIMITED."/>
    <s v="VARANASI"/>
    <s v="16-Dec-24"/>
    <s v="04-Mar-25"/>
    <n v="800"/>
    <n v="10232"/>
    <n v="2"/>
    <s v="S"/>
    <s v="T-1"/>
    <n v="785764"/>
    <s v="MC1E4EJA6SP014151"/>
    <s v="D71062726"/>
    <m/>
    <m/>
    <x v="2"/>
    <s v="31-Mar-25"/>
    <x v="2"/>
    <n v="0"/>
    <n v="587839"/>
    <s v="11-Jun-25"/>
    <n v="0"/>
    <n v="0"/>
    <n v="0"/>
    <n v="111306"/>
    <s v="11-Jun-25"/>
    <n v="0"/>
    <m/>
    <m/>
    <s v="T1BS6"/>
    <s v="CVD"/>
    <s v="P"/>
  </r>
  <r>
    <n v="317"/>
    <s v="NORTH"/>
    <s v="UTTAR PRADESH"/>
    <n v="7134"/>
    <s v="M/S GOENKA AUTO PRIVATE LIMITED."/>
    <s v="VARANASI"/>
    <s v="07-Jan-25"/>
    <s v="04-Mar-25"/>
    <n v="1165"/>
    <n v="9700"/>
    <n v="1"/>
    <s v="S"/>
    <s v="T-1"/>
    <n v="792777"/>
    <s v="MC1E4DKA3SP054924"/>
    <s v="D71064189"/>
    <m/>
    <m/>
    <x v="2"/>
    <s v="31-Mar-25"/>
    <x v="2"/>
    <n v="1250"/>
    <n v="587839"/>
    <s v="11-Jun-25"/>
    <n v="1250"/>
    <n v="1475"/>
    <n v="225"/>
    <n v="111306"/>
    <s v="11-Jun-25"/>
    <n v="0"/>
    <m/>
    <m/>
    <s v="T1BS6"/>
    <s v="CVD"/>
    <s v="F"/>
  </r>
  <r>
    <n v="318"/>
    <s v="NORTH"/>
    <s v="UTTAR PRADESH"/>
    <n v="7134"/>
    <s v="M/S GOENKA AUTO PRIVATE LIMITED."/>
    <s v="VARANASI"/>
    <s v="25-Jan-24"/>
    <s v="02-Apr-25"/>
    <n v="1165"/>
    <n v="80000"/>
    <n v="8"/>
    <s v="S"/>
    <s v="T-1"/>
    <n v="761864"/>
    <s v="MC1E4EAA2RP011497"/>
    <s v="D71045143"/>
    <m/>
    <m/>
    <x v="3"/>
    <s v="08-Jun-25"/>
    <x v="3"/>
    <n v="1250"/>
    <n v="588346"/>
    <s v="19-Aug-25"/>
    <n v="1250"/>
    <n v="1475"/>
    <n v="225"/>
    <n v="111813"/>
    <s v="19-Aug-25"/>
    <n v="0"/>
    <m/>
    <m/>
    <s v="T1BS6"/>
    <s v="CVD"/>
    <s v="F"/>
  </r>
  <r>
    <n v="319"/>
    <s v="NORTH"/>
    <s v="UTTAR PRADESH"/>
    <n v="7134"/>
    <s v="M/S GOENKA AUTO PRIVATE LIMITED."/>
    <s v="VARANASI"/>
    <s v="23-Aug-24"/>
    <s v="02-Apr-25"/>
    <n v="1165"/>
    <n v="40000"/>
    <n v="4"/>
    <s v="S"/>
    <s v="T26"/>
    <n v="776633"/>
    <s v="MC1E4FFA0RP020858"/>
    <s v="D71057668"/>
    <m/>
    <m/>
    <x v="3"/>
    <s v="08-Jun-25"/>
    <x v="3"/>
    <n v="0"/>
    <n v="588346"/>
    <s v="19-Aug-25"/>
    <n v="0"/>
    <n v="0"/>
    <n v="0"/>
    <n v="111813"/>
    <s v="19-Aug-25"/>
    <n v="0"/>
    <m/>
    <m/>
    <s v="T26BS6"/>
    <s v="CVD"/>
    <s v="P"/>
  </r>
  <r>
    <n v="320"/>
    <s v="NORTH"/>
    <s v="UTTAR PRADESH"/>
    <n v="7134"/>
    <s v="M/S GOENKA AUTO PRIVATE LIMITED."/>
    <s v="VARANASI"/>
    <s v="26-Dec-23"/>
    <s v="20-Apr-25"/>
    <n v="951"/>
    <n v="100000"/>
    <n v="10"/>
    <s v="S"/>
    <s v="T-1"/>
    <n v="761716"/>
    <s v="MC1E4EMA6RP011224"/>
    <s v="D71043573"/>
    <m/>
    <m/>
    <x v="3"/>
    <s v="08-Jun-25"/>
    <x v="3"/>
    <n v="0"/>
    <n v="588346"/>
    <s v="19-Aug-25"/>
    <n v="0"/>
    <n v="0"/>
    <n v="0"/>
    <n v="111813"/>
    <s v="19-Aug-25"/>
    <n v="0"/>
    <m/>
    <m/>
    <s v="T1BS6"/>
    <s v="CVD"/>
    <s v="P"/>
  </r>
  <r>
    <n v="321"/>
    <s v="NORTH"/>
    <s v="UTTAR PRADESH"/>
    <n v="7134"/>
    <s v="M/S GOENKA AUTO PRIVATE LIMITED."/>
    <s v="VARANASI"/>
    <s v="06-Feb-25"/>
    <s v="10-Apr-25"/>
    <n v="1165"/>
    <n v="5800"/>
    <n v="1"/>
    <s v="S"/>
    <s v="T26"/>
    <n v="793458"/>
    <s v="MC1E4FAA0SP022574"/>
    <s v="D71071184"/>
    <m/>
    <m/>
    <x v="3"/>
    <s v="08-Jun-25"/>
    <x v="3"/>
    <n v="1250"/>
    <n v="588346"/>
    <s v="19-Aug-25"/>
    <n v="1250"/>
    <n v="1475"/>
    <n v="225"/>
    <n v="111813"/>
    <s v="19-Aug-25"/>
    <n v="0"/>
    <m/>
    <m/>
    <s v="T26BS6"/>
    <s v="CVD"/>
    <s v="F"/>
  </r>
  <r>
    <n v="322"/>
    <s v="NORTH"/>
    <s v="UTTAR PRADESH"/>
    <n v="7134"/>
    <s v="M/S GOENKA AUTO PRIVATE LIMITED."/>
    <s v="VARANASI"/>
    <s v="07-Mar-25"/>
    <s v="18-Apr-25"/>
    <n v="1165"/>
    <n v="3719"/>
    <n v="1"/>
    <s v="S"/>
    <s v="TRAX"/>
    <n v="327227"/>
    <s v="MC1D4DAAXSP107003"/>
    <s v="D72018646"/>
    <m/>
    <m/>
    <x v="3"/>
    <s v="08-Jun-25"/>
    <x v="3"/>
    <n v="1250"/>
    <n v="588346"/>
    <s v="19-Aug-25"/>
    <n v="1250"/>
    <n v="1475"/>
    <n v="225"/>
    <n v="111813"/>
    <s v="19-Aug-25"/>
    <n v="0"/>
    <m/>
    <m/>
    <s v="TRXBS6"/>
    <s v="CVD"/>
    <s v="F"/>
  </r>
  <r>
    <n v="323"/>
    <s v="NORTH"/>
    <s v="UTTAR PRADESH"/>
    <n v="7134"/>
    <s v="M/S GOENKA AUTO PRIVATE LIMITED."/>
    <s v="VARANASI"/>
    <s v="23-Jan-24"/>
    <s v="21-Apr-25"/>
    <n v="1165"/>
    <n v="79950"/>
    <n v="8"/>
    <s v="S"/>
    <s v="T1N"/>
    <n v="2040"/>
    <s v="MC1M4AAA2RP000892"/>
    <s v="D71044975"/>
    <m/>
    <m/>
    <x v="3"/>
    <s v="08-Jun-25"/>
    <x v="3"/>
    <n v="0"/>
    <n v="588346"/>
    <s v="19-Aug-25"/>
    <n v="0"/>
    <n v="0"/>
    <n v="0"/>
    <n v="111813"/>
    <s v="19-Aug-25"/>
    <n v="0"/>
    <m/>
    <m/>
    <s v="URBN"/>
    <s v="CVD"/>
    <s v="P"/>
  </r>
  <r>
    <n v="324"/>
    <s v="NORTH"/>
    <s v="UTTAR PRADESH"/>
    <n v="7134"/>
    <s v="M/S GOENKA AUTO PRIVATE LIMITED."/>
    <s v="VARANASI"/>
    <s v="28-Feb-23"/>
    <s v="23-Jan-25"/>
    <n v="1165"/>
    <n v="33750"/>
    <n v="12"/>
    <s v="S"/>
    <s v="T-1"/>
    <n v="744587"/>
    <s v="MC1E4DAA3PP044046"/>
    <s v="D71024776"/>
    <s v="010, 022"/>
    <s v="LATE SUBMISSION, SERVICE COUPON HARD COPY NOT RECEIVED"/>
    <x v="3"/>
    <s v="08-Jun-25"/>
    <x v="3"/>
    <n v="0"/>
    <n v="588346"/>
    <s v="19-Aug-25"/>
    <n v="0"/>
    <n v="0"/>
    <n v="0"/>
    <n v="111813"/>
    <s v="19-Aug-25"/>
    <n v="0"/>
    <m/>
    <m/>
    <s v="T1BS6"/>
    <s v="CVD"/>
    <s v="P"/>
  </r>
  <r>
    <n v="325"/>
    <s v="NORTH"/>
    <s v="UTTAR PRADESH"/>
    <n v="7134"/>
    <s v="M/S GOENKA AUTO PRIVATE LIMITED."/>
    <s v="VARANASI"/>
    <s v="30-Dec-23"/>
    <s v="24-Apr-25"/>
    <n v="1165"/>
    <n v="69907"/>
    <n v="7"/>
    <s v="S"/>
    <s v="T-1"/>
    <n v="762667"/>
    <s v="MC1E4DMA7RP049748"/>
    <s v="D71043571"/>
    <s v="002"/>
    <s v="SERV DATE EXCEEDS"/>
    <x v="3"/>
    <s v="08-Jun-25"/>
    <x v="3"/>
    <n v="0"/>
    <n v="588346"/>
    <s v="19-Aug-25"/>
    <n v="0"/>
    <n v="0"/>
    <n v="0"/>
    <n v="111813"/>
    <s v="19-Aug-25"/>
    <n v="0"/>
    <m/>
    <m/>
    <s v="T1BS6"/>
    <s v="CVD"/>
    <s v="P"/>
  </r>
  <r>
    <n v="326"/>
    <s v="NORTH"/>
    <s v="UTTAR PRADESH"/>
    <n v="7134"/>
    <s v="M/S GOENKA AUTO PRIVATE LIMITED."/>
    <s v="VARANASI"/>
    <s v="28-Sep-24"/>
    <s v="07-Apr-25"/>
    <n v="1165"/>
    <n v="7920"/>
    <n v="2"/>
    <s v="S"/>
    <s v="T-1"/>
    <n v="780142"/>
    <s v="MC1E4DGA1SP053702"/>
    <s v="D71058492"/>
    <m/>
    <m/>
    <x v="3"/>
    <s v="08-Jun-25"/>
    <x v="3"/>
    <n v="1250"/>
    <n v="588346"/>
    <s v="19-Aug-25"/>
    <n v="1250"/>
    <n v="1475"/>
    <n v="225"/>
    <n v="111813"/>
    <s v="19-Aug-25"/>
    <n v="0"/>
    <m/>
    <m/>
    <s v="T1BS6N"/>
    <s v="CVD"/>
    <s v="F"/>
  </r>
  <r>
    <n v="327"/>
    <s v="NORTH"/>
    <s v="UTTAR PRADESH"/>
    <n v="7134"/>
    <s v="M/S GOENKA AUTO PRIVATE LIMITED."/>
    <s v="VARANASI"/>
    <s v="28-Mar-24"/>
    <s v="04-Apr-25"/>
    <n v="1165"/>
    <n v="71010"/>
    <n v="7"/>
    <s v="S"/>
    <s v="T26"/>
    <n v="766936"/>
    <s v="MC1E4FCA7RP019775"/>
    <s v="D71050753"/>
    <m/>
    <m/>
    <x v="3"/>
    <s v="08-Jun-25"/>
    <x v="3"/>
    <n v="0"/>
    <n v="588346"/>
    <s v="19-Aug-25"/>
    <n v="0"/>
    <n v="0"/>
    <n v="0"/>
    <n v="111813"/>
    <s v="19-Aug-25"/>
    <n v="0"/>
    <m/>
    <m/>
    <s v="T26BS6"/>
    <s v="CVD"/>
    <s v="P"/>
  </r>
  <r>
    <n v="328"/>
    <s v="NORTH"/>
    <s v="UTTAR PRADESH"/>
    <n v="7134"/>
    <s v="M/S GOENKA AUTO PRIVATE LIMITED."/>
    <s v="VARANASI"/>
    <s v="28-Oct-24"/>
    <s v="22-Apr-25"/>
    <n v="1165"/>
    <n v="29507"/>
    <n v="3"/>
    <s v="S"/>
    <s v="T1N"/>
    <n v="4952"/>
    <s v="MC1M4AKA7SP002562"/>
    <s v="D71063886"/>
    <m/>
    <m/>
    <x v="3"/>
    <s v="08-Jun-25"/>
    <x v="3"/>
    <n v="1650"/>
    <n v="588346"/>
    <s v="19-Aug-25"/>
    <n v="1650"/>
    <n v="1947"/>
    <n v="297"/>
    <n v="111813"/>
    <s v="19-Aug-25"/>
    <n v="0"/>
    <m/>
    <m/>
    <s v="URBN"/>
    <s v="CVD"/>
    <s v="F"/>
  </r>
  <r>
    <n v="329"/>
    <s v="NORTH"/>
    <s v="UTTAR PRADESH"/>
    <n v="7134"/>
    <s v="M/S GOENKA AUTO PRIVATE LIMITED."/>
    <s v="VARANASI"/>
    <s v="18-Feb-25"/>
    <s v="10-Apr-25"/>
    <n v="1165"/>
    <n v="9930"/>
    <n v="1"/>
    <s v="S"/>
    <s v="T1N"/>
    <n v="6346"/>
    <s v="MC1M4AAA7SP003356"/>
    <s v="D71071189"/>
    <m/>
    <m/>
    <x v="3"/>
    <s v="08-Jun-25"/>
    <x v="3"/>
    <n v="1650"/>
    <n v="588346"/>
    <s v="19-Aug-25"/>
    <n v="1650"/>
    <n v="1947"/>
    <n v="297"/>
    <n v="111813"/>
    <s v="19-Aug-25"/>
    <n v="0"/>
    <m/>
    <m/>
    <s v="URBN"/>
    <s v="CVD"/>
    <s v="F"/>
  </r>
  <r>
    <n v="330"/>
    <s v="NORTH"/>
    <s v="UTTAR PRADESH"/>
    <n v="7134"/>
    <s v="M/S GOENKA AUTO PRIVATE LIMITED."/>
    <s v="VARANASI"/>
    <s v="25-Sep-23"/>
    <s v="27-Apr-25"/>
    <n v="1165"/>
    <n v="103845"/>
    <n v="10"/>
    <s v="S"/>
    <s v="T-1"/>
    <n v="753574"/>
    <s v="MC1E4DJA1RP048101"/>
    <s v="D71039051"/>
    <s v="001"/>
    <s v="SERV KMS  / HRS EXCEEDS"/>
    <x v="3"/>
    <s v="08-Jun-25"/>
    <x v="3"/>
    <n v="0"/>
    <n v="588346"/>
    <s v="19-Aug-25"/>
    <n v="0"/>
    <n v="0"/>
    <n v="0"/>
    <n v="111813"/>
    <s v="19-Aug-25"/>
    <n v="0"/>
    <m/>
    <m/>
    <s v="T1BS6"/>
    <s v="CVD"/>
    <s v="P"/>
  </r>
  <r>
    <n v="331"/>
    <s v="NORTH"/>
    <s v="UTTAR PRADESH"/>
    <n v="7134"/>
    <s v="M/S GOENKA AUTO PRIVATE LIMITED."/>
    <s v="VARANASI"/>
    <s v="13-Jul-24"/>
    <s v="27-Apr-25"/>
    <n v="1165"/>
    <n v="82254"/>
    <n v="8"/>
    <s v="S"/>
    <s v="T-1"/>
    <n v="775456"/>
    <s v="MC1E4EEA5RP013061"/>
    <s v="D71055469"/>
    <s v="001"/>
    <s v="SERV KMS  / HRS EXCEEDS"/>
    <x v="3"/>
    <s v="08-Jun-25"/>
    <x v="3"/>
    <n v="1250"/>
    <n v="588346"/>
    <s v="19-Aug-25"/>
    <n v="1000"/>
    <n v="1475"/>
    <n v="225"/>
    <n v="111813"/>
    <s v="19-Aug-25"/>
    <n v="250"/>
    <m/>
    <m/>
    <s v="T1BS6"/>
    <s v="CVD"/>
    <s v="F"/>
  </r>
  <r>
    <n v="332"/>
    <s v="NORTH"/>
    <s v="UTTAR PRADESH"/>
    <n v="7134"/>
    <s v="M/S GOENKA AUTO PRIVATE LIMITED."/>
    <s v="VARANASI"/>
    <s v="27-Jan-25"/>
    <s v="27-Apr-25"/>
    <n v="2500"/>
    <n v="18099"/>
    <n v="2"/>
    <s v="S"/>
    <s v="T-1"/>
    <n v="792320"/>
    <s v="MC1E4EKA6SP014620"/>
    <s v="D71065098"/>
    <m/>
    <m/>
    <x v="3"/>
    <s v="08-Jun-25"/>
    <x v="3"/>
    <n v="0"/>
    <n v="588346"/>
    <s v="19-Aug-25"/>
    <n v="0"/>
    <n v="0"/>
    <n v="0"/>
    <n v="111813"/>
    <s v="19-Aug-25"/>
    <n v="0"/>
    <m/>
    <m/>
    <s v="T1BS6"/>
    <s v="CVD"/>
    <s v="P"/>
  </r>
  <r>
    <n v="333"/>
    <s v="NORTH"/>
    <s v="UTTAR PRADESH"/>
    <n v="7134"/>
    <s v="M/S GOENKA AUTO PRIVATE LIMITED."/>
    <s v="VARANASI"/>
    <s v="06-Jul-24"/>
    <s v="18-Apr-25"/>
    <n v="1165"/>
    <n v="49200"/>
    <n v="5"/>
    <s v="S"/>
    <s v="T26"/>
    <n v="777193"/>
    <s v="MC1E4FFA8RP020641"/>
    <s v="D71056088"/>
    <m/>
    <m/>
    <x v="3"/>
    <s v="08-Jun-25"/>
    <x v="3"/>
    <n v="1250"/>
    <n v="588346"/>
    <s v="19-Aug-25"/>
    <n v="1250"/>
    <n v="1475"/>
    <n v="225"/>
    <n v="111813"/>
    <s v="19-Aug-25"/>
    <n v="0"/>
    <m/>
    <m/>
    <s v="T26BS6"/>
    <s v="CVD"/>
    <s v="F"/>
  </r>
  <r>
    <n v="334"/>
    <s v="NORTH"/>
    <s v="UTTAR PRADESH"/>
    <n v="7134"/>
    <s v="M/S GOENKA AUTO PRIVATE LIMITED."/>
    <s v="VARANASI"/>
    <s v="28-Jul-21"/>
    <s v="06-Apr-25"/>
    <n v="756"/>
    <n v="16885"/>
    <n v="4"/>
    <s v="S"/>
    <s v="T26"/>
    <n v="703314"/>
    <s v="MC1E4GFA4MP000787"/>
    <s v="D71007813"/>
    <s v="002"/>
    <s v="SERV DATE EXCEEDS"/>
    <x v="3"/>
    <s v="08-Jun-25"/>
    <x v="3"/>
    <n v="0"/>
    <n v="588346"/>
    <s v="19-Aug-25"/>
    <n v="0"/>
    <n v="0"/>
    <n v="0"/>
    <n v="111813"/>
    <s v="19-Aug-25"/>
    <n v="0"/>
    <m/>
    <m/>
    <s v="T26BS6"/>
    <s v="CVD"/>
    <s v="P"/>
  </r>
  <r>
    <n v="335"/>
    <s v="NORTH"/>
    <s v="UTTAR PRADESH"/>
    <n v="7134"/>
    <s v="M/S GOENKA AUTO PRIVATE LIMITED."/>
    <s v="VARANASI"/>
    <s v="26-Apr-24"/>
    <s v="14-Apr-25"/>
    <n v="1165"/>
    <n v="21311"/>
    <n v="2"/>
    <s v="S"/>
    <s v="T-1"/>
    <n v="1"/>
    <s v="MC1E4BBA6RP009314"/>
    <s v="D71048939"/>
    <s v="002"/>
    <s v="SERV DATE EXCEEDS"/>
    <x v="3"/>
    <s v="08-Jun-25"/>
    <x v="3"/>
    <n v="1250"/>
    <n v="588346"/>
    <s v="19-Aug-25"/>
    <n v="1000"/>
    <n v="1475"/>
    <n v="225"/>
    <n v="111813"/>
    <s v="19-Aug-25"/>
    <n v="250"/>
    <m/>
    <m/>
    <s v="T1BS6N"/>
    <s v="CVD"/>
    <s v="F"/>
  </r>
  <r>
    <n v="336"/>
    <s v="NORTH"/>
    <s v="UTTAR PRADESH"/>
    <n v="7134"/>
    <s v="M/S GOENKA AUTO PRIVATE LIMITED."/>
    <s v="VARANASI"/>
    <s v="27-Feb-25"/>
    <s v="10-Apr-25"/>
    <n v="1165"/>
    <n v="9120"/>
    <n v="1"/>
    <s v="S"/>
    <s v="T1N"/>
    <n v="6367"/>
    <s v="MC1M4ABA8SP003400"/>
    <s v="D71072085"/>
    <m/>
    <m/>
    <x v="3"/>
    <s v="08-Jun-25"/>
    <x v="3"/>
    <n v="1650"/>
    <n v="588346"/>
    <s v="19-Aug-25"/>
    <n v="1650"/>
    <n v="1947"/>
    <n v="297"/>
    <n v="111813"/>
    <s v="19-Aug-25"/>
    <n v="0"/>
    <m/>
    <m/>
    <s v="URBN"/>
    <s v="CVD"/>
    <s v="F"/>
  </r>
  <r>
    <n v="337"/>
    <s v="NORTH"/>
    <s v="UTTAR PRADESH"/>
    <n v="7134"/>
    <s v="M/S GOENKA AUTO PRIVATE LIMITED."/>
    <s v="VARANASI"/>
    <s v="21-Aug-24"/>
    <s v="14-Apr-25"/>
    <n v="1165"/>
    <n v="29700"/>
    <n v="4"/>
    <s v="S"/>
    <s v="T-1"/>
    <n v="786905"/>
    <s v="MC1E4DGA9SP053995"/>
    <s v="D71059499"/>
    <m/>
    <m/>
    <x v="3"/>
    <s v="08-Jun-25"/>
    <x v="3"/>
    <n v="0"/>
    <n v="588346"/>
    <s v="19-Aug-25"/>
    <n v="0"/>
    <n v="0"/>
    <n v="0"/>
    <n v="111813"/>
    <s v="19-Aug-25"/>
    <n v="0"/>
    <m/>
    <m/>
    <s v="T1BS6"/>
    <s v="CVD"/>
    <s v="P"/>
  </r>
  <r>
    <n v="338"/>
    <s v="NORTH"/>
    <s v="UTTAR PRADESH"/>
    <n v="7134"/>
    <s v="M/S GOENKA AUTO PRIVATE LIMITED."/>
    <s v="VARANASI"/>
    <s v="20-Aug-24"/>
    <s v="29-Apr-25"/>
    <n v="1165"/>
    <n v="50000"/>
    <n v="5"/>
    <s v="S"/>
    <s v="TRAX"/>
    <n v="323055"/>
    <s v="MC1D4DFAXRP104783"/>
    <s v="D72015804"/>
    <m/>
    <m/>
    <x v="3"/>
    <s v="08-Jun-25"/>
    <x v="3"/>
    <n v="1250"/>
    <n v="588346"/>
    <s v="19-Aug-25"/>
    <n v="1250"/>
    <n v="1475"/>
    <n v="225"/>
    <n v="111813"/>
    <s v="19-Aug-25"/>
    <n v="0"/>
    <m/>
    <m/>
    <s v="TRXBS6"/>
    <s v="CVD"/>
    <s v="F"/>
  </r>
  <r>
    <n v="339"/>
    <s v="NORTH"/>
    <s v="UTTAR PRADESH"/>
    <n v="7134"/>
    <s v="M/S GOENKA AUTO PRIVATE LIMITED."/>
    <s v="VARANASI"/>
    <s v="26-May-23"/>
    <s v="18-Apr-25"/>
    <n v="1165"/>
    <n v="105585"/>
    <n v="11"/>
    <s v="S"/>
    <s v="T-1"/>
    <n v="748131"/>
    <s v="MC1E4DEAXPP045611"/>
    <s v="D71030639"/>
    <s v="002"/>
    <s v="SERV DATE EXCEEDS"/>
    <x v="3"/>
    <s v="08-Jun-25"/>
    <x v="3"/>
    <n v="1250"/>
    <n v="588346"/>
    <s v="19-Aug-25"/>
    <n v="1000"/>
    <n v="1475"/>
    <n v="225"/>
    <n v="111813"/>
    <s v="19-Aug-25"/>
    <n v="250"/>
    <m/>
    <m/>
    <s v="T1BS6"/>
    <s v="CVD"/>
    <s v="F"/>
  </r>
  <r>
    <n v="340"/>
    <s v="NORTH"/>
    <s v="UTTAR PRADESH"/>
    <n v="7134"/>
    <s v="M/S GOENKA AUTO PRIVATE LIMITED."/>
    <s v="VARANASI"/>
    <s v="31-Dec-24"/>
    <s v="22-Apr-25"/>
    <n v="1165"/>
    <n v="19920"/>
    <n v="2"/>
    <s v="S"/>
    <s v="T1N"/>
    <n v="6182"/>
    <s v="MC1M4AMA9SP003001"/>
    <s v="D71066870"/>
    <m/>
    <m/>
    <x v="3"/>
    <s v="08-Jun-25"/>
    <x v="3"/>
    <n v="0"/>
    <n v="588346"/>
    <s v="19-Aug-25"/>
    <n v="0"/>
    <n v="0"/>
    <n v="0"/>
    <n v="111813"/>
    <s v="19-Aug-25"/>
    <n v="0"/>
    <m/>
    <m/>
    <s v="URBN"/>
    <s v="CVD"/>
    <s v="P"/>
  </r>
  <r>
    <n v="341"/>
    <s v="NORTH"/>
    <s v="UTTAR PRADESH"/>
    <n v="7134"/>
    <s v="M/S GOENKA AUTO PRIVATE LIMITED."/>
    <s v="VARANASI"/>
    <s v="19-Jul-24"/>
    <s v="27-Apr-25"/>
    <n v="1165"/>
    <n v="21200"/>
    <n v="5"/>
    <s v="S"/>
    <s v="TRAX"/>
    <n v="322625"/>
    <s v="MC1D1DEA3RP001537"/>
    <s v="D72015316"/>
    <m/>
    <m/>
    <x v="3"/>
    <s v="08-Jun-25"/>
    <x v="3"/>
    <n v="1250"/>
    <n v="588346"/>
    <s v="19-Aug-25"/>
    <n v="1250"/>
    <n v="1475"/>
    <n v="225"/>
    <n v="111813"/>
    <s v="19-Aug-25"/>
    <n v="0"/>
    <m/>
    <m/>
    <s v="TRXBS6"/>
    <s v="CVD"/>
    <s v="F"/>
  </r>
  <r>
    <n v="342"/>
    <s v="NORTH"/>
    <s v="UTTAR PRADESH"/>
    <n v="7134"/>
    <s v="M/S GOENKA AUTO PRIVATE LIMITED."/>
    <s v="VARANASI"/>
    <s v="28-Dec-24"/>
    <s v="11-Apr-25"/>
    <n v="1165"/>
    <n v="19503"/>
    <n v="2"/>
    <s v="S"/>
    <s v="T26"/>
    <n v="789109"/>
    <s v="MC1E4FLA6SP021779"/>
    <s v="D71065359"/>
    <m/>
    <m/>
    <x v="3"/>
    <s v="08-Jun-25"/>
    <x v="3"/>
    <n v="0"/>
    <n v="588346"/>
    <s v="19-Aug-25"/>
    <n v="0"/>
    <n v="0"/>
    <n v="0"/>
    <n v="111813"/>
    <s v="19-Aug-25"/>
    <n v="0"/>
    <m/>
    <m/>
    <s v="T26BS6"/>
    <s v="CVD"/>
    <s v="P"/>
  </r>
  <r>
    <n v="343"/>
    <s v="NORTH"/>
    <s v="UTTAR PRADESH"/>
    <n v="7134"/>
    <s v="M/S GOENKA AUTO PRIVATE LIMITED."/>
    <s v="VARANASI"/>
    <s v="18-Jan-25"/>
    <s v="11-Apr-25"/>
    <n v="1165"/>
    <n v="8900"/>
    <n v="1"/>
    <s v="S"/>
    <s v="T26"/>
    <n v="789051"/>
    <s v="MC1E4FAA1SP022101"/>
    <s v="D71067536"/>
    <s v="002"/>
    <s v="SERV DATE EXCEEDS"/>
    <x v="3"/>
    <s v="08-Jun-25"/>
    <x v="3"/>
    <n v="1250"/>
    <n v="588346"/>
    <s v="19-Aug-25"/>
    <n v="1000"/>
    <n v="1475"/>
    <n v="225"/>
    <n v="111813"/>
    <s v="19-Aug-25"/>
    <n v="250"/>
    <m/>
    <m/>
    <s v="T26BS6"/>
    <s v="CVD"/>
    <s v="F"/>
  </r>
  <r>
    <n v="344"/>
    <s v="NORTH"/>
    <s v="UTTAR PRADESH"/>
    <n v="7134"/>
    <s v="M/S GOENKA AUTO PRIVATE LIMITED."/>
    <s v="VARANASI"/>
    <s v="29-Oct-24"/>
    <s v="11-Apr-25"/>
    <n v="1165"/>
    <n v="20110"/>
    <n v="3"/>
    <s v="S"/>
    <s v="T-1"/>
    <n v="790577"/>
    <s v="MC1E4EKA6SP014276"/>
    <s v="D71063328"/>
    <m/>
    <m/>
    <x v="3"/>
    <s v="08-Jun-25"/>
    <x v="3"/>
    <n v="1250"/>
    <n v="588346"/>
    <s v="19-Aug-25"/>
    <n v="1250"/>
    <n v="1475"/>
    <n v="225"/>
    <n v="111813"/>
    <s v="19-Aug-25"/>
    <n v="0"/>
    <m/>
    <m/>
    <s v="T1BS6"/>
    <s v="CVD"/>
    <s v="F"/>
  </r>
  <r>
    <n v="345"/>
    <s v="NORTH"/>
    <s v="UTTAR PRADESH"/>
    <n v="7134"/>
    <s v="M/S GOENKA AUTO PRIVATE LIMITED."/>
    <s v="VARANASI"/>
    <s v="10-Jul-24"/>
    <s v="27-Apr-25"/>
    <n v="1165"/>
    <n v="60000"/>
    <n v="6"/>
    <s v="S"/>
    <s v="T-1"/>
    <n v="774648"/>
    <s v="MC1E4EFA3RP013218"/>
    <s v="D71056616"/>
    <m/>
    <m/>
    <x v="3"/>
    <s v="08-Jun-25"/>
    <x v="3"/>
    <n v="0"/>
    <n v="588346"/>
    <s v="19-Aug-25"/>
    <n v="0"/>
    <n v="0"/>
    <n v="0"/>
    <n v="111813"/>
    <s v="19-Aug-25"/>
    <n v="0"/>
    <m/>
    <m/>
    <s v="T1BS6"/>
    <s v="CVD"/>
    <s v="P"/>
  </r>
  <r>
    <n v="346"/>
    <s v="NORTH"/>
    <s v="UTTAR PRADESH"/>
    <n v="7134"/>
    <s v="M/S GOENKA AUTO PRIVATE LIMITED."/>
    <s v="VARANASI"/>
    <s v="17-Feb-24"/>
    <s v="02-Apr-25"/>
    <n v="1165"/>
    <n v="42317"/>
    <n v="7"/>
    <s v="S"/>
    <s v="TRAX"/>
    <n v="320359"/>
    <s v="MC1D4DMAXRP102440"/>
    <s v="D72013157"/>
    <m/>
    <m/>
    <x v="3"/>
    <s v="08-Jun-25"/>
    <x v="3"/>
    <n v="0"/>
    <n v="588346"/>
    <s v="19-Aug-25"/>
    <n v="0"/>
    <n v="0"/>
    <n v="0"/>
    <n v="111813"/>
    <s v="19-Aug-25"/>
    <n v="0"/>
    <m/>
    <m/>
    <s v="TRXBS6"/>
    <s v="CVD"/>
    <s v="P"/>
  </r>
  <r>
    <n v="347"/>
    <s v="NORTH"/>
    <s v="UTTAR PRADESH"/>
    <n v="7134"/>
    <s v="M/S GOENKA AUTO PRIVATE LIMITED."/>
    <s v="VARANASI"/>
    <s v="18-Jul-24"/>
    <s v="28-Apr-25"/>
    <n v="1165"/>
    <n v="49830"/>
    <n v="5"/>
    <s v="S"/>
    <s v="T26"/>
    <n v="776872"/>
    <s v="MC1E4FEAXRP020528"/>
    <s v="D71055105"/>
    <m/>
    <m/>
    <x v="3"/>
    <s v="08-Jun-25"/>
    <x v="3"/>
    <n v="1250"/>
    <n v="588346"/>
    <s v="19-Aug-25"/>
    <n v="1250"/>
    <n v="1475"/>
    <n v="225"/>
    <n v="111813"/>
    <s v="19-Aug-25"/>
    <n v="0"/>
    <m/>
    <m/>
    <s v="T26BS6"/>
    <s v="CVD"/>
    <s v="F"/>
  </r>
  <r>
    <n v="348"/>
    <s v="NORTH"/>
    <s v="UTTAR PRADESH"/>
    <n v="7134"/>
    <s v="M/S GOENKA AUTO PRIVATE LIMITED."/>
    <s v="VARANASI"/>
    <s v="30-Aug-24"/>
    <s v="03-Apr-25"/>
    <n v="1165"/>
    <n v="28870"/>
    <n v="4"/>
    <s v="S"/>
    <s v="T-1"/>
    <n v="786160"/>
    <s v="MC1E4EGA5SP013614"/>
    <s v="D71059197"/>
    <m/>
    <m/>
    <x v="3"/>
    <s v="08-Jun-25"/>
    <x v="3"/>
    <n v="0"/>
    <n v="588346"/>
    <s v="19-Aug-25"/>
    <n v="0"/>
    <n v="0"/>
    <n v="0"/>
    <n v="111813"/>
    <s v="19-Aug-25"/>
    <n v="0"/>
    <m/>
    <m/>
    <s v="T1BS6"/>
    <s v="CVD"/>
    <s v="P"/>
  </r>
  <r>
    <n v="349"/>
    <s v="NORTH"/>
    <s v="UTTAR PRADESH"/>
    <n v="7134"/>
    <s v="M/S GOENKA AUTO PRIVATE LIMITED."/>
    <s v="VARANASI"/>
    <s v="16-Nov-24"/>
    <s v="23-Apr-25"/>
    <n v="1165"/>
    <n v="20000"/>
    <n v="2"/>
    <s v="S"/>
    <s v="T1N"/>
    <n v="4921"/>
    <s v="MC1M4AKA4SP002552"/>
    <s v="D71063800"/>
    <m/>
    <m/>
    <x v="3"/>
    <s v="08-Jun-25"/>
    <x v="3"/>
    <n v="0"/>
    <n v="588346"/>
    <s v="19-Aug-25"/>
    <n v="0"/>
    <n v="0"/>
    <n v="0"/>
    <n v="111813"/>
    <s v="19-Aug-25"/>
    <n v="0"/>
    <m/>
    <m/>
    <s v="URBN"/>
    <s v="CVD"/>
    <s v="P"/>
  </r>
  <r>
    <n v="350"/>
    <s v="NORTH"/>
    <s v="UTTAR PRADESH"/>
    <n v="7134"/>
    <s v="M/S GOENKA AUTO PRIVATE LIMITED."/>
    <s v="VARANASI"/>
    <s v="07-Feb-25"/>
    <s v="22-Apr-25"/>
    <n v="1463"/>
    <n v="9880"/>
    <n v="1"/>
    <s v="S"/>
    <s v="TRAX"/>
    <n v="327181"/>
    <s v="MC1D4DAA1SP107052"/>
    <s v="D72018569"/>
    <m/>
    <m/>
    <x v="3"/>
    <s v="08-Jun-25"/>
    <x v="3"/>
    <n v="1250"/>
    <n v="588346"/>
    <s v="19-Aug-25"/>
    <n v="1250"/>
    <n v="1475"/>
    <n v="225"/>
    <n v="111813"/>
    <s v="19-Aug-25"/>
    <n v="0"/>
    <m/>
    <m/>
    <s v="TRXBS6"/>
    <s v="CVD"/>
    <s v="F"/>
  </r>
  <r>
    <n v="351"/>
    <s v="NORTH"/>
    <s v="UTTAR PRADESH"/>
    <n v="7134"/>
    <s v="M/S GOENKA AUTO PRIVATE LIMITED."/>
    <s v="VARANASI"/>
    <s v="31-Aug-23"/>
    <s v="22-Apr-25"/>
    <n v="1165"/>
    <n v="130000"/>
    <n v="13"/>
    <s v="S"/>
    <s v="T26"/>
    <n v="756550"/>
    <s v="MC1E4FHA2RP017831"/>
    <s v="D71037510"/>
    <m/>
    <m/>
    <x v="3"/>
    <s v="08-Jun-25"/>
    <x v="3"/>
    <n v="0"/>
    <n v="588346"/>
    <s v="19-Aug-25"/>
    <n v="0"/>
    <n v="0"/>
    <n v="0"/>
    <n v="111813"/>
    <s v="19-Aug-25"/>
    <n v="0"/>
    <m/>
    <m/>
    <s v="T26BS6"/>
    <s v="CVD"/>
    <s v="P"/>
  </r>
  <r>
    <n v="352"/>
    <s v="NORTH"/>
    <s v="UTTAR PRADESH"/>
    <n v="7134"/>
    <s v="M/S GOENKA AUTO PRIVATE LIMITED."/>
    <s v="VARANASI"/>
    <s v="09-Dec-24"/>
    <s v="06-Apr-25"/>
    <n v="1165"/>
    <n v="4816"/>
    <n v="2"/>
    <s v="S"/>
    <s v="T-1"/>
    <n v="781175"/>
    <s v="MC1E5DGA3SP000559"/>
    <s v="D73001405"/>
    <m/>
    <m/>
    <x v="3"/>
    <s v="08-Jun-25"/>
    <x v="3"/>
    <n v="0"/>
    <n v="588346"/>
    <s v="19-Aug-25"/>
    <n v="0"/>
    <n v="0"/>
    <n v="0"/>
    <n v="111813"/>
    <s v="19-Aug-25"/>
    <n v="0"/>
    <m/>
    <m/>
    <s v="T1CNGL"/>
    <s v="CVD"/>
    <s v="P"/>
  </r>
  <r>
    <n v="353"/>
    <s v="NORTH"/>
    <s v="UTTAR PRADESH"/>
    <n v="7134"/>
    <s v="M/S GOENKA AUTO PRIVATE LIMITED."/>
    <s v="VARANASI"/>
    <s v="28-Feb-25"/>
    <s v="18-Apr-25"/>
    <n v="1165"/>
    <n v="6570"/>
    <n v="1"/>
    <s v="S"/>
    <s v="TRAX"/>
    <n v="327226"/>
    <s v="MC1D4DAA0SP107009"/>
    <s v="D72018644"/>
    <m/>
    <m/>
    <x v="3"/>
    <s v="08-Jun-25"/>
    <x v="3"/>
    <n v="1250"/>
    <n v="588346"/>
    <s v="19-Aug-25"/>
    <n v="1250"/>
    <n v="1475"/>
    <n v="225"/>
    <n v="111813"/>
    <s v="19-Aug-25"/>
    <n v="0"/>
    <m/>
    <m/>
    <s v="TRXBS6"/>
    <s v="CVD"/>
    <s v="F"/>
  </r>
  <r>
    <n v="354"/>
    <s v="NORTH"/>
    <s v="UTTAR PRADESH"/>
    <n v="7134"/>
    <s v="M/S GOENKA AUTO PRIVATE LIMITED."/>
    <s v="VARANASI"/>
    <s v="07-Jun-24"/>
    <s v="21-Apr-25"/>
    <n v="1165"/>
    <n v="5000"/>
    <n v="2"/>
    <s v="S"/>
    <s v="T26"/>
    <n v="768162"/>
    <s v="MC1E4FDA5RP019952"/>
    <s v="D71048321"/>
    <m/>
    <m/>
    <x v="3"/>
    <s v="08-Jun-25"/>
    <x v="3"/>
    <n v="1250"/>
    <n v="588346"/>
    <s v="19-Aug-25"/>
    <n v="1250"/>
    <n v="1475"/>
    <n v="225"/>
    <n v="111813"/>
    <s v="19-Aug-25"/>
    <n v="0"/>
    <m/>
    <m/>
    <s v="T26BS6N"/>
    <s v="CVD"/>
    <s v="F"/>
  </r>
  <r>
    <n v="355"/>
    <s v="NORTH"/>
    <s v="UTTAR PRADESH"/>
    <n v="7134"/>
    <s v="M/S GOENKA AUTO PRIVATE LIMITED."/>
    <s v="VARANASI"/>
    <s v="29-Mar-24"/>
    <s v="25-Apr-25"/>
    <n v="1165"/>
    <n v="21000"/>
    <n v="3"/>
    <s v="S"/>
    <s v="T-1"/>
    <n v="770667"/>
    <s v="MC1E4DBA3RP050768"/>
    <s v="D71047053"/>
    <m/>
    <m/>
    <x v="3"/>
    <s v="08-Jun-25"/>
    <x v="3"/>
    <n v="1250"/>
    <n v="588346"/>
    <s v="19-Aug-25"/>
    <n v="1250"/>
    <n v="1475"/>
    <n v="225"/>
    <n v="111813"/>
    <s v="19-Aug-25"/>
    <n v="0"/>
    <m/>
    <m/>
    <s v="T1BS6N"/>
    <s v="CVD"/>
    <s v="F"/>
  </r>
  <r>
    <n v="356"/>
    <s v="NORTH"/>
    <s v="UTTAR PRADESH"/>
    <n v="7134"/>
    <s v="M/S GOENKA AUTO PRIVATE LIMITED."/>
    <s v="VARANASI"/>
    <s v="22-Feb-23"/>
    <s v="21-Apr-25"/>
    <n v="1165"/>
    <n v="82879"/>
    <n v="10"/>
    <s v="S"/>
    <s v="T1N"/>
    <n v="1107"/>
    <s v="MC1M4ABA8PP000150"/>
    <s v="D71026419"/>
    <m/>
    <m/>
    <x v="3"/>
    <s v="08-Jun-25"/>
    <x v="3"/>
    <n v="0"/>
    <n v="588346"/>
    <s v="19-Aug-25"/>
    <n v="0"/>
    <n v="0"/>
    <n v="0"/>
    <n v="111813"/>
    <s v="19-Aug-25"/>
    <n v="0"/>
    <m/>
    <m/>
    <s v="URBN"/>
    <s v="CVD"/>
    <s v="P"/>
  </r>
  <r>
    <n v="357"/>
    <s v="NORTH"/>
    <s v="UTTAR PRADESH"/>
    <n v="7134"/>
    <s v="M/S GOENKA AUTO PRIVATE LIMITED."/>
    <s v="VARANASI"/>
    <s v="08-Jul-23"/>
    <s v="14-Apr-25"/>
    <n v="1165"/>
    <n v="41500"/>
    <n v="11"/>
    <s v="S"/>
    <s v="T-1"/>
    <n v="743974"/>
    <s v="MC1E4DCA0PP045006"/>
    <s v="D71028390"/>
    <m/>
    <m/>
    <x v="3"/>
    <s v="08-Jun-25"/>
    <x v="3"/>
    <n v="1250"/>
    <n v="588346"/>
    <s v="19-Aug-25"/>
    <n v="1250"/>
    <n v="1475"/>
    <n v="225"/>
    <n v="111813"/>
    <s v="19-Aug-25"/>
    <n v="0"/>
    <m/>
    <m/>
    <s v="T1BS6"/>
    <s v="CVD"/>
    <s v="F"/>
  </r>
  <r>
    <n v="358"/>
    <s v="NORTH"/>
    <s v="UTTAR PRADESH"/>
    <n v="7134"/>
    <s v="M/S GOENKA AUTO PRIVATE LIMITED."/>
    <s v="VARANASI"/>
    <s v="10-Feb-25"/>
    <s v="28-Apr-25"/>
    <n v="1165"/>
    <n v="19920"/>
    <n v="2"/>
    <s v="S"/>
    <s v="T1N"/>
    <n v="6199"/>
    <s v="MC1M4ALA7SP002883"/>
    <s v="D71066311"/>
    <m/>
    <m/>
    <x v="3"/>
    <s v="08-Jun-25"/>
    <x v="3"/>
    <n v="0"/>
    <n v="588346"/>
    <s v="19-Aug-25"/>
    <n v="0"/>
    <n v="0"/>
    <n v="0"/>
    <n v="111813"/>
    <s v="19-Aug-25"/>
    <n v="0"/>
    <m/>
    <m/>
    <s v="URBN"/>
    <s v="CVD"/>
    <s v="P"/>
  </r>
  <r>
    <n v="359"/>
    <s v="NORTH"/>
    <s v="UTTAR PRADESH"/>
    <n v="7134"/>
    <s v="M/S GOENKA AUTO PRIVATE LIMITED."/>
    <s v="VARANASI"/>
    <s v="20-Aug-24"/>
    <s v="16-Apr-25"/>
    <n v="968"/>
    <n v="40000"/>
    <n v="4"/>
    <s v="S"/>
    <s v="T-1"/>
    <n v="775157"/>
    <s v="MC1E4DDA5RP052440"/>
    <s v="D71053480"/>
    <m/>
    <m/>
    <x v="3"/>
    <s v="08-Jun-25"/>
    <x v="3"/>
    <n v="0"/>
    <n v="588346"/>
    <s v="19-Aug-25"/>
    <n v="0"/>
    <n v="0"/>
    <n v="0"/>
    <n v="111813"/>
    <s v="19-Aug-25"/>
    <n v="0"/>
    <m/>
    <m/>
    <s v="T1BS6"/>
    <s v="CVD"/>
    <s v="P"/>
  </r>
  <r>
    <n v="360"/>
    <s v="NORTH"/>
    <s v="UTTAR PRADESH"/>
    <n v="7134"/>
    <s v="M/S GOENKA AUTO PRIVATE LIMITED."/>
    <s v="VARANASI"/>
    <s v="17-May-24"/>
    <s v="14-Apr-25"/>
    <n v="1165"/>
    <n v="20754"/>
    <n v="2"/>
    <s v="S"/>
    <s v="T-1"/>
    <n v="770766"/>
    <s v="MC1E4DBA9RP051133"/>
    <s v="D71047944"/>
    <s v="002"/>
    <s v="SERV DATE EXCEEDS"/>
    <x v="3"/>
    <s v="08-Jun-25"/>
    <x v="3"/>
    <n v="1250"/>
    <n v="588346"/>
    <s v="19-Aug-25"/>
    <n v="1000"/>
    <n v="1475"/>
    <n v="225"/>
    <n v="111813"/>
    <s v="19-Aug-25"/>
    <n v="250"/>
    <m/>
    <m/>
    <s v="T1BS6N"/>
    <s v="CVD"/>
    <s v="F"/>
  </r>
  <r>
    <n v="361"/>
    <s v="NORTH"/>
    <s v="UTTAR PRADESH"/>
    <n v="7134"/>
    <s v="M/S GOENKA AUTO PRIVATE LIMITED."/>
    <s v="VARANASI"/>
    <s v="22-Oct-24"/>
    <s v="22-Apr-25"/>
    <n v="1165"/>
    <n v="25200"/>
    <n v="3"/>
    <s v="S"/>
    <s v="T-1"/>
    <n v="785017"/>
    <s v="MC1E1CJA6SP007925"/>
    <s v="D71062105"/>
    <m/>
    <m/>
    <x v="3"/>
    <s v="08-Jun-25"/>
    <x v="3"/>
    <n v="1250"/>
    <n v="588346"/>
    <s v="19-Aug-25"/>
    <n v="1250"/>
    <n v="1475"/>
    <n v="225"/>
    <n v="111813"/>
    <s v="19-Aug-25"/>
    <n v="0"/>
    <m/>
    <m/>
    <s v="T1BS6"/>
    <s v="CVD"/>
    <s v="F"/>
  </r>
  <r>
    <n v="362"/>
    <s v="NORTH"/>
    <s v="UTTAR PRADESH"/>
    <n v="7134"/>
    <s v="M/S GOENKA AUTO PRIVATE LIMITED."/>
    <s v="VARANASI"/>
    <s v="18-Dec-24"/>
    <s v="18-Apr-25"/>
    <n v="1165"/>
    <n v="7839"/>
    <n v="2"/>
    <s v="S"/>
    <s v="TRAX"/>
    <n v="326648"/>
    <s v="MC1D4DKA3SP106175"/>
    <s v="D72017652"/>
    <m/>
    <m/>
    <x v="3"/>
    <s v="08-Jun-25"/>
    <x v="3"/>
    <n v="0"/>
    <n v="588346"/>
    <s v="19-Aug-25"/>
    <n v="0"/>
    <n v="0"/>
    <n v="0"/>
    <n v="111813"/>
    <s v="19-Aug-25"/>
    <n v="0"/>
    <m/>
    <m/>
    <s v="TRXBS6"/>
    <s v="CVD"/>
    <s v="P"/>
  </r>
  <r>
    <n v="363"/>
    <s v="NORTH"/>
    <s v="UTTAR PRADESH"/>
    <n v="7134"/>
    <s v="M/S GOENKA AUTO PRIVATE LIMITED."/>
    <s v="VARANASI"/>
    <s v="16-Sep-23"/>
    <s v="03-Apr-25"/>
    <n v="1165"/>
    <n v="60657"/>
    <n v="9"/>
    <s v="S"/>
    <s v="T-1"/>
    <n v="754751"/>
    <s v="MC1E4EJA4RP010481"/>
    <s v="D71038700"/>
    <s v="002"/>
    <s v="SERV DATE EXCEEDS"/>
    <x v="3"/>
    <s v="08-Jun-25"/>
    <x v="3"/>
    <n v="0"/>
    <n v="588346"/>
    <s v="19-Aug-25"/>
    <n v="0"/>
    <n v="0"/>
    <n v="0"/>
    <n v="111813"/>
    <s v="19-Aug-25"/>
    <n v="0"/>
    <m/>
    <m/>
    <s v="T1BS6"/>
    <s v="CVD"/>
    <s v="P"/>
  </r>
  <r>
    <n v="364"/>
    <s v="NORTH"/>
    <s v="UTTAR PRADESH"/>
    <n v="7134"/>
    <s v="M/S GOENKA AUTO PRIVATE LIMITED."/>
    <s v="VARANASI"/>
    <s v="19-Jul-24"/>
    <s v="06-Apr-25"/>
    <n v="1165"/>
    <n v="9693"/>
    <n v="2"/>
    <s v="S"/>
    <s v="T-1"/>
    <n v="780781"/>
    <s v="MC1E4DFA7RP053280"/>
    <s v="D71056816"/>
    <m/>
    <m/>
    <x v="3"/>
    <s v="08-Jun-25"/>
    <x v="3"/>
    <n v="1250"/>
    <n v="588346"/>
    <s v="19-Aug-25"/>
    <n v="1250"/>
    <n v="1475"/>
    <n v="225"/>
    <n v="111813"/>
    <s v="19-Aug-25"/>
    <n v="0"/>
    <m/>
    <m/>
    <s v="T1BS6N"/>
    <s v="CVD"/>
    <s v="F"/>
  </r>
  <r>
    <n v="365"/>
    <s v="NORTH"/>
    <s v="UTTAR PRADESH"/>
    <n v="7134"/>
    <s v="M/S GOENKA AUTO PRIVATE LIMITED."/>
    <s v="VARANASI"/>
    <s v="10-Sep-24"/>
    <s v="17-Apr-25"/>
    <n v="1165"/>
    <n v="39550"/>
    <n v="4"/>
    <s v="S"/>
    <s v="T26"/>
    <n v="776534"/>
    <s v="MC1E4FHA8SP021288"/>
    <s v="D71060855"/>
    <m/>
    <m/>
    <x v="3"/>
    <s v="08-Jun-25"/>
    <x v="3"/>
    <n v="0"/>
    <n v="588346"/>
    <s v="19-Aug-25"/>
    <n v="0"/>
    <n v="0"/>
    <n v="0"/>
    <n v="111813"/>
    <s v="19-Aug-25"/>
    <n v="0"/>
    <m/>
    <m/>
    <s v="T26BS6"/>
    <s v="CVD"/>
    <s v="P"/>
  </r>
  <r>
    <n v="366"/>
    <s v="NORTH"/>
    <s v="UTTAR PRADESH"/>
    <n v="7134"/>
    <s v="M/S GOENKA AUTO PRIVATE LIMITED."/>
    <s v="VARANASI"/>
    <s v="23-Oct-24"/>
    <s v="22-Apr-25"/>
    <n v="1165"/>
    <n v="29920"/>
    <n v="3"/>
    <s v="S"/>
    <s v="T-1"/>
    <n v="786108"/>
    <s v="MC1E4EJA5SP014061"/>
    <s v="D71062337"/>
    <m/>
    <m/>
    <x v="3"/>
    <s v="08-Jun-25"/>
    <x v="3"/>
    <n v="1250"/>
    <n v="588346"/>
    <s v="19-Aug-25"/>
    <n v="1250"/>
    <n v="1475"/>
    <n v="225"/>
    <n v="111813"/>
    <s v="19-Aug-25"/>
    <n v="0"/>
    <m/>
    <m/>
    <s v="T1BS6"/>
    <s v="CVD"/>
    <s v="F"/>
  </r>
  <r>
    <n v="367"/>
    <s v="NORTH"/>
    <s v="UTTAR PRADESH"/>
    <n v="7134"/>
    <s v="M/S GOENKA AUTO PRIVATE LIMITED."/>
    <s v="VARANASI"/>
    <s v="13-Feb-25"/>
    <s v="02-Apr-25"/>
    <n v="1165"/>
    <n v="10000"/>
    <n v="1"/>
    <s v="S"/>
    <s v="TRAX"/>
    <n v="326051"/>
    <s v="MC1D4DKA2SP105924"/>
    <s v="D72017397"/>
    <m/>
    <m/>
    <x v="3"/>
    <s v="08-Jun-25"/>
    <x v="3"/>
    <n v="1250"/>
    <n v="588346"/>
    <s v="19-Aug-25"/>
    <n v="1250"/>
    <n v="1475"/>
    <n v="225"/>
    <n v="111813"/>
    <s v="19-Aug-25"/>
    <n v="0"/>
    <m/>
    <m/>
    <s v="TRXBS6"/>
    <s v="CVD"/>
    <s v="F"/>
  </r>
  <r>
    <n v="368"/>
    <s v="NORTH"/>
    <s v="UTTAR PRADESH"/>
    <n v="7134"/>
    <s v="M/S GOENKA AUTO PRIVATE LIMITED."/>
    <s v="VARANASI"/>
    <s v="22-Feb-24"/>
    <s v="24-Apr-25"/>
    <n v="1165"/>
    <n v="43071"/>
    <n v="7"/>
    <s v="S"/>
    <s v="TRAX"/>
    <n v="320410"/>
    <s v="MC1D4DJA8RP101565"/>
    <s v="D72012161"/>
    <m/>
    <m/>
    <x v="3"/>
    <s v="08-Jun-25"/>
    <x v="3"/>
    <n v="0"/>
    <n v="588346"/>
    <s v="19-Aug-25"/>
    <n v="0"/>
    <n v="0"/>
    <n v="0"/>
    <n v="111813"/>
    <s v="19-Aug-25"/>
    <n v="0"/>
    <m/>
    <m/>
    <s v="TRXBS6"/>
    <s v="CVD"/>
    <s v="P"/>
  </r>
  <r>
    <n v="369"/>
    <s v="NORTH"/>
    <s v="UTTAR PRADESH"/>
    <n v="7134"/>
    <s v="M/S GOENKA AUTO PRIVATE LIMITED."/>
    <s v="VARANASI"/>
    <s v="23-Aug-24"/>
    <s v="27-Apr-25"/>
    <n v="965"/>
    <n v="40000"/>
    <n v="4"/>
    <s v="S"/>
    <s v="T1N"/>
    <n v="4608"/>
    <s v="MC1M4AGA0SP001973"/>
    <s v="D71058189"/>
    <m/>
    <m/>
    <x v="3"/>
    <s v="08-Jun-25"/>
    <x v="3"/>
    <n v="0"/>
    <n v="588346"/>
    <s v="19-Aug-25"/>
    <n v="0"/>
    <n v="0"/>
    <n v="0"/>
    <n v="111813"/>
    <s v="19-Aug-25"/>
    <n v="0"/>
    <m/>
    <m/>
    <s v="URBN"/>
    <s v="CVD"/>
    <s v="P"/>
  </r>
  <r>
    <n v="370"/>
    <s v="NORTH"/>
    <s v="UTTAR PRADESH"/>
    <n v="7134"/>
    <s v="M/S GOENKA AUTO PRIVATE LIMITED."/>
    <s v="VARANASI"/>
    <s v="27-Feb-25"/>
    <s v="09-Apr-25"/>
    <n v="1165"/>
    <n v="19996"/>
    <n v="2"/>
    <s v="S"/>
    <s v="T-1"/>
    <n v="785976"/>
    <s v="MC1E4EJA6SP014182"/>
    <s v="D71062929"/>
    <m/>
    <m/>
    <x v="3"/>
    <s v="08-Jun-25"/>
    <x v="3"/>
    <n v="0"/>
    <n v="588346"/>
    <s v="19-Aug-25"/>
    <n v="0"/>
    <n v="0"/>
    <n v="0"/>
    <n v="111813"/>
    <s v="19-Aug-25"/>
    <n v="0"/>
    <m/>
    <m/>
    <s v="T1BS6"/>
    <s v="CVD"/>
    <s v="P"/>
  </r>
  <r>
    <n v="371"/>
    <s v="NORTH"/>
    <s v="UTTAR PRADESH"/>
    <n v="7134"/>
    <s v="M/S GOENKA AUTO PRIVATE LIMITED."/>
    <s v="VARANASI"/>
    <s v="22-Nov-23"/>
    <s v="25-Apr-25"/>
    <n v="1165"/>
    <n v="98900"/>
    <n v="10"/>
    <s v="S"/>
    <s v="TRAX"/>
    <n v="317851"/>
    <s v="MC1D4DGA8RP100617"/>
    <s v="D72011234"/>
    <m/>
    <m/>
    <x v="3"/>
    <s v="08-Jun-25"/>
    <x v="3"/>
    <n v="0"/>
    <n v="588346"/>
    <s v="19-Aug-25"/>
    <n v="0"/>
    <n v="0"/>
    <n v="0"/>
    <n v="111813"/>
    <s v="19-Aug-25"/>
    <n v="0"/>
    <m/>
    <m/>
    <s v="TRXBS6"/>
    <s v="CVD"/>
    <s v="P"/>
  </r>
  <r>
    <n v="372"/>
    <s v="NORTH"/>
    <s v="UTTAR PRADESH"/>
    <n v="7134"/>
    <s v="M/S GOENKA AUTO PRIVATE LIMITED."/>
    <s v="VARANASI"/>
    <s v="29-Jan-25"/>
    <s v="21-Apr-25"/>
    <n v="1165"/>
    <n v="10000"/>
    <n v="1"/>
    <s v="S"/>
    <s v="T-1"/>
    <n v="791455"/>
    <s v="MC1E4EMA2SP014787"/>
    <s v="D71067028"/>
    <s v="002"/>
    <s v="SERV DATE EXCEEDS"/>
    <x v="3"/>
    <s v="08-Jun-25"/>
    <x v="3"/>
    <n v="1250"/>
    <n v="588346"/>
    <s v="19-Aug-25"/>
    <n v="1000"/>
    <n v="1475"/>
    <n v="225"/>
    <n v="111813"/>
    <s v="19-Aug-25"/>
    <n v="250"/>
    <m/>
    <m/>
    <s v="T1BS6"/>
    <s v="CVD"/>
    <s v="F"/>
  </r>
  <r>
    <n v="373"/>
    <s v="NORTH"/>
    <s v="UTTAR PRADESH"/>
    <n v="7134"/>
    <s v="M/S GOENKA AUTO PRIVATE LIMITED."/>
    <s v="VARANASI"/>
    <s v="20-Oct-23"/>
    <s v="07-Apr-25"/>
    <n v="1165"/>
    <n v="118000"/>
    <n v="12"/>
    <s v="S"/>
    <s v="T-1"/>
    <n v="755374"/>
    <s v="MC1E4EKAXRP010712"/>
    <s v="D71040328"/>
    <m/>
    <m/>
    <x v="3"/>
    <s v="08-Jun-25"/>
    <x v="3"/>
    <n v="0"/>
    <n v="588346"/>
    <s v="19-Aug-25"/>
    <n v="0"/>
    <n v="0"/>
    <n v="0"/>
    <n v="111813"/>
    <s v="19-Aug-25"/>
    <n v="0"/>
    <m/>
    <m/>
    <s v="T1BS6"/>
    <s v="CVD"/>
    <s v="P"/>
  </r>
  <r>
    <n v="374"/>
    <s v="NORTH"/>
    <s v="UTTAR PRADESH"/>
    <n v="7134"/>
    <s v="M/S GOENKA AUTO PRIVATE LIMITED."/>
    <s v="VARANASI"/>
    <s v="09-Oct-24"/>
    <s v="07-Apr-25"/>
    <n v="1165"/>
    <n v="20000"/>
    <n v="2"/>
    <s v="S"/>
    <s v="T1N"/>
    <n v="5353"/>
    <s v="MC1M4AJA1SP002400"/>
    <s v="D71062532"/>
    <m/>
    <m/>
    <x v="3"/>
    <s v="08-Jun-25"/>
    <x v="3"/>
    <n v="0"/>
    <n v="588346"/>
    <s v="19-Aug-25"/>
    <n v="0"/>
    <n v="0"/>
    <n v="0"/>
    <n v="111813"/>
    <s v="19-Aug-25"/>
    <n v="0"/>
    <m/>
    <m/>
    <s v="URBN"/>
    <s v="CVD"/>
    <s v="P"/>
  </r>
  <r>
    <n v="375"/>
    <s v="NORTH"/>
    <s v="UTTAR PRADESH"/>
    <n v="7134"/>
    <s v="M/S GOENKA AUTO PRIVATE LIMITED."/>
    <s v="VARANASI"/>
    <s v="13-Dec-24"/>
    <s v="07-Apr-25"/>
    <n v="1165"/>
    <n v="27602"/>
    <n v="3"/>
    <s v="S"/>
    <s v="TRAX"/>
    <n v="326093"/>
    <s v="MC1D4DJA5SP105675"/>
    <s v="D72017155"/>
    <m/>
    <m/>
    <x v="3"/>
    <s v="08-Jun-25"/>
    <x v="3"/>
    <n v="1250"/>
    <n v="588346"/>
    <s v="19-Aug-25"/>
    <n v="1250"/>
    <n v="1475"/>
    <n v="225"/>
    <n v="111813"/>
    <s v="19-Aug-25"/>
    <n v="0"/>
    <m/>
    <m/>
    <s v="TRXBS6"/>
    <s v="CVD"/>
    <s v="F"/>
  </r>
  <r>
    <n v="376"/>
    <s v="NORTH"/>
    <s v="UTTAR PRADESH"/>
    <n v="7134"/>
    <s v="M/S GOENKA AUTO PRIVATE LIMITED."/>
    <s v="VARANASI"/>
    <s v="30-Oct-24"/>
    <s v="20-Apr-25"/>
    <n v="1165"/>
    <n v="40000"/>
    <n v="4"/>
    <s v="S"/>
    <s v="T1N"/>
    <n v="5598"/>
    <s v="MC1M4AKAXSP002670"/>
    <s v="D71064697"/>
    <m/>
    <m/>
    <x v="3"/>
    <s v="08-Jun-25"/>
    <x v="3"/>
    <n v="0"/>
    <n v="588346"/>
    <s v="19-Aug-25"/>
    <n v="0"/>
    <n v="0"/>
    <n v="0"/>
    <n v="111813"/>
    <s v="19-Aug-25"/>
    <n v="0"/>
    <m/>
    <m/>
    <s v="URBN"/>
    <s v="CVD"/>
    <s v="P"/>
  </r>
  <r>
    <n v="377"/>
    <s v="NORTH"/>
    <s v="UTTAR PRADESH"/>
    <n v="7134"/>
    <s v="M/S GOENKA AUTO PRIVATE LIMITED."/>
    <s v="VARANASI"/>
    <s v="23-May-24"/>
    <s v="29-Apr-25"/>
    <n v="987"/>
    <n v="50000"/>
    <n v="5"/>
    <s v="S"/>
    <s v="T1N"/>
    <n v="3036"/>
    <s v="MC1M4ADA6RP001460"/>
    <s v="D71053484"/>
    <m/>
    <m/>
    <x v="3"/>
    <s v="08-Jun-25"/>
    <x v="3"/>
    <n v="1650"/>
    <n v="588346"/>
    <s v="19-Aug-25"/>
    <n v="1650"/>
    <n v="1947"/>
    <n v="297"/>
    <n v="111813"/>
    <s v="19-Aug-25"/>
    <n v="0"/>
    <m/>
    <m/>
    <s v="URBN"/>
    <s v="CVD"/>
    <s v="F"/>
  </r>
  <r>
    <n v="378"/>
    <s v="NORTH"/>
    <s v="UTTAR PRADESH"/>
    <n v="7134"/>
    <s v="M/S GOENKA AUTO PRIVATE LIMITED."/>
    <s v="VARANASI"/>
    <s v="03-Jul-24"/>
    <s v="06-Apr-25"/>
    <n v="1165"/>
    <n v="48500"/>
    <n v="5"/>
    <s v="S"/>
    <s v="T-1"/>
    <n v="775222"/>
    <s v="MC1E4EFA9RP013093"/>
    <s v="D71055949"/>
    <m/>
    <m/>
    <x v="3"/>
    <s v="08-Jun-25"/>
    <x v="3"/>
    <n v="1250"/>
    <n v="588346"/>
    <s v="19-Aug-25"/>
    <n v="1250"/>
    <n v="1475"/>
    <n v="225"/>
    <n v="111813"/>
    <s v="19-Aug-25"/>
    <n v="0"/>
    <m/>
    <m/>
    <s v="T1BS6"/>
    <s v="CVD"/>
    <s v="F"/>
  </r>
  <r>
    <n v="379"/>
    <s v="NORTH"/>
    <s v="UTTAR PRADESH"/>
    <n v="7134"/>
    <s v="M/S GOENKA AUTO PRIVATE LIMITED."/>
    <s v="VARANASI"/>
    <s v="11-Feb-25"/>
    <s v="02-Apr-25"/>
    <n v="1165"/>
    <n v="9980"/>
    <n v="1"/>
    <s v="S"/>
    <s v="T1N"/>
    <n v="6349"/>
    <s v="MC1M4AAA0SP003358"/>
    <s v="D71057957"/>
    <m/>
    <m/>
    <x v="3"/>
    <s v="08-Jun-25"/>
    <x v="3"/>
    <n v="1650"/>
    <n v="588346"/>
    <s v="19-Aug-25"/>
    <n v="1650"/>
    <n v="1947"/>
    <n v="297"/>
    <n v="111813"/>
    <s v="19-Aug-25"/>
    <n v="0"/>
    <m/>
    <m/>
    <s v="URBN"/>
    <s v="CVD"/>
    <s v="F"/>
  </r>
  <r>
    <n v="380"/>
    <s v="NORTH"/>
    <s v="UTTAR PRADESH"/>
    <n v="7134"/>
    <s v="M/S GOENKA AUTO PRIVATE LIMITED."/>
    <s v="VARANASI"/>
    <s v="20-Jan-25"/>
    <s v="15-Apr-25"/>
    <n v="1165"/>
    <n v="19900"/>
    <n v="2"/>
    <s v="S"/>
    <s v="T1N"/>
    <n v="6475"/>
    <s v="MC1M4AAA6SP003235"/>
    <s v="D71069285"/>
    <m/>
    <m/>
    <x v="3"/>
    <s v="08-Jun-25"/>
    <x v="3"/>
    <n v="0"/>
    <n v="588346"/>
    <s v="19-Aug-25"/>
    <n v="0"/>
    <n v="0"/>
    <n v="0"/>
    <n v="111813"/>
    <s v="19-Aug-25"/>
    <n v="0"/>
    <m/>
    <m/>
    <s v="URBN"/>
    <s v="CVD"/>
    <s v="P"/>
  </r>
  <r>
    <n v="381"/>
    <s v="NORTH"/>
    <s v="UTTAR PRADESH"/>
    <n v="7134"/>
    <s v="M/S GOENKA AUTO PRIVATE LIMITED."/>
    <s v="VARANASI"/>
    <s v="04-Aug-23"/>
    <s v="06-Apr-25"/>
    <n v="1165"/>
    <n v="80000"/>
    <n v="8"/>
    <s v="S"/>
    <s v="T1N"/>
    <n v="1907"/>
    <s v="MC1M4AGAXRP000405"/>
    <s v="D71033054"/>
    <m/>
    <m/>
    <x v="3"/>
    <s v="08-Jun-25"/>
    <x v="3"/>
    <n v="0"/>
    <n v="588346"/>
    <s v="19-Aug-25"/>
    <n v="0"/>
    <n v="0"/>
    <n v="0"/>
    <n v="111813"/>
    <s v="19-Aug-25"/>
    <n v="0"/>
    <m/>
    <m/>
    <s v="URBN"/>
    <s v="CVD"/>
    <s v="P"/>
  </r>
  <r>
    <n v="382"/>
    <s v="NORTH"/>
    <s v="UTTAR PRADESH"/>
    <n v="7134"/>
    <s v="M/S GOENKA AUTO PRIVATE LIMITED."/>
    <s v="VARANASI"/>
    <s v="24-Oct-24"/>
    <s v="28-Apr-25"/>
    <n v="1165"/>
    <n v="30000"/>
    <n v="3"/>
    <s v="S"/>
    <s v="T26"/>
    <n v="789881"/>
    <s v="MC1E4FJA1SP021496"/>
    <s v="D71061662"/>
    <m/>
    <m/>
    <x v="3"/>
    <s v="08-Jun-25"/>
    <x v="3"/>
    <n v="1250"/>
    <n v="588346"/>
    <s v="19-Aug-25"/>
    <n v="1250"/>
    <n v="1475"/>
    <n v="225"/>
    <n v="111813"/>
    <s v="19-Aug-25"/>
    <n v="0"/>
    <m/>
    <m/>
    <s v="T26BS6"/>
    <s v="CVD"/>
    <s v="F"/>
  </r>
  <r>
    <n v="383"/>
    <s v="NORTH"/>
    <s v="UTTAR PRADESH"/>
    <n v="7134"/>
    <s v="M/S GOENKA AUTO PRIVATE LIMITED."/>
    <s v="VARANASI"/>
    <s v="06-Jul-24"/>
    <s v="01-Apr-25"/>
    <n v="1165"/>
    <n v="30000"/>
    <n v="3"/>
    <s v="S"/>
    <s v="T-1"/>
    <n v="775475"/>
    <s v="MC1E4DEA0RP053042"/>
    <s v="D71055729"/>
    <s v="002"/>
    <s v="SERV DATE EXCEEDS"/>
    <x v="3"/>
    <s v="08-Jun-25"/>
    <x v="3"/>
    <n v="1250"/>
    <n v="588346"/>
    <s v="19-Aug-25"/>
    <n v="1000"/>
    <n v="1475"/>
    <n v="225"/>
    <n v="111813"/>
    <s v="19-Aug-25"/>
    <n v="250"/>
    <m/>
    <m/>
    <s v="T1BS6"/>
    <s v="CVD"/>
    <s v="F"/>
  </r>
  <r>
    <n v="384"/>
    <s v="NORTH"/>
    <s v="UTTAR PRADESH"/>
    <n v="7134"/>
    <s v="M/S GOENKA AUTO PRIVATE LIMITED."/>
    <s v="VARANASI"/>
    <s v="23-Jan-24"/>
    <s v="04-Apr-25"/>
    <n v="1165"/>
    <n v="89200"/>
    <n v="9"/>
    <s v="S"/>
    <s v="T26"/>
    <n v="766599"/>
    <s v="MC1E4FMA5RP018879"/>
    <s v="D71044348"/>
    <m/>
    <m/>
    <x v="3"/>
    <s v="08-Jun-25"/>
    <x v="3"/>
    <n v="0"/>
    <n v="588346"/>
    <s v="19-Aug-25"/>
    <n v="0"/>
    <n v="0"/>
    <n v="0"/>
    <n v="111813"/>
    <s v="19-Aug-25"/>
    <n v="0"/>
    <m/>
    <m/>
    <s v="T26BS6"/>
    <s v="CVD"/>
    <s v="P"/>
  </r>
  <r>
    <n v="385"/>
    <s v="NORTH"/>
    <s v="UTTAR PRADESH"/>
    <n v="7134"/>
    <s v="M/S GOENKA AUTO PRIVATE LIMITED."/>
    <s v="VARANASI"/>
    <s v="10-May-23"/>
    <s v="13-Apr-25"/>
    <n v="1165"/>
    <n v="134920"/>
    <n v="13"/>
    <s v="S"/>
    <s v="T-1"/>
    <n v="746572"/>
    <s v="MC1E4EDA1PP009510"/>
    <s v="D71030097"/>
    <s v="001"/>
    <s v="SERV KMS  / HRS EXCEEDS"/>
    <x v="3"/>
    <s v="08-Jun-25"/>
    <x v="3"/>
    <n v="0"/>
    <n v="588346"/>
    <s v="19-Aug-25"/>
    <n v="0"/>
    <n v="0"/>
    <n v="0"/>
    <n v="111813"/>
    <s v="19-Aug-25"/>
    <n v="0"/>
    <m/>
    <m/>
    <s v="T1BS6"/>
    <s v="CVD"/>
    <s v="P"/>
  </r>
  <r>
    <n v="386"/>
    <s v="NORTH"/>
    <s v="UTTAR PRADESH"/>
    <n v="7134"/>
    <s v="M/S GOENKA AUTO PRIVATE LIMITED."/>
    <s v="VARANASI"/>
    <s v="22-Jun-24"/>
    <s v="07-Apr-25"/>
    <n v="1165"/>
    <n v="59875"/>
    <n v="6"/>
    <s v="S"/>
    <s v="T-1"/>
    <n v="775938"/>
    <s v="MC1E4EDA0RP012854"/>
    <s v="D71053907"/>
    <m/>
    <m/>
    <x v="3"/>
    <s v="08-Jun-25"/>
    <x v="3"/>
    <n v="0"/>
    <n v="588346"/>
    <s v="19-Aug-25"/>
    <n v="0"/>
    <n v="0"/>
    <n v="0"/>
    <n v="111813"/>
    <s v="19-Aug-25"/>
    <n v="0"/>
    <m/>
    <m/>
    <s v="T1BS6"/>
    <s v="CVD"/>
    <s v="P"/>
  </r>
  <r>
    <n v="387"/>
    <s v="NORTH"/>
    <s v="UTTAR PRADESH"/>
    <n v="7134"/>
    <s v="M/S GOENKA AUTO PRIVATE LIMITED."/>
    <s v="VARANASI"/>
    <s v="11-Sep-24"/>
    <s v="08-Apr-25"/>
    <n v="1165"/>
    <n v="50000"/>
    <n v="5"/>
    <s v="S"/>
    <s v="T-1"/>
    <n v="785727"/>
    <s v="MC1E4EGA4SP013474"/>
    <s v="D71058225"/>
    <m/>
    <m/>
    <x v="3"/>
    <s v="08-Jun-25"/>
    <x v="3"/>
    <n v="1250"/>
    <n v="588346"/>
    <s v="19-Aug-25"/>
    <n v="1250"/>
    <n v="1475"/>
    <n v="225"/>
    <n v="111813"/>
    <s v="19-Aug-25"/>
    <n v="0"/>
    <m/>
    <m/>
    <s v="T1BS6"/>
    <s v="CVD"/>
    <s v="F"/>
  </r>
  <r>
    <n v="388"/>
    <s v="NORTH"/>
    <s v="UTTAR PRADESH"/>
    <n v="7134"/>
    <s v="M/S GOENKA AUTO PRIVATE LIMITED."/>
    <s v="VARANASI"/>
    <s v="31-Jul-23"/>
    <s v="10-Apr-25"/>
    <n v="1165"/>
    <n v="33120"/>
    <n v="10"/>
    <s v="S"/>
    <s v="T-1"/>
    <n v="750450"/>
    <s v="MC1E4BGA8RP008870"/>
    <s v="D71035121"/>
    <m/>
    <m/>
    <x v="3"/>
    <s v="08-Jun-25"/>
    <x v="3"/>
    <n v="0"/>
    <n v="588346"/>
    <s v="19-Aug-25"/>
    <n v="0"/>
    <n v="0"/>
    <n v="0"/>
    <n v="111813"/>
    <s v="19-Aug-25"/>
    <n v="0"/>
    <m/>
    <m/>
    <s v="T1BS6"/>
    <s v="CVD"/>
    <s v="P"/>
  </r>
  <r>
    <n v="389"/>
    <s v="NORTH"/>
    <s v="UTTAR PRADESH"/>
    <n v="7134"/>
    <s v="M/S GOENKA AUTO PRIVATE LIMITED."/>
    <s v="VARANASI"/>
    <s v="15-Feb-24"/>
    <s v="07-Apr-25"/>
    <n v="1165"/>
    <n v="49260"/>
    <n v="5"/>
    <s v="S"/>
    <s v="T1N"/>
    <n v="3267"/>
    <s v="MC1M4ABA3RP000978"/>
    <s v="D71046706"/>
    <m/>
    <m/>
    <x v="3"/>
    <s v="08-Jun-25"/>
    <x v="3"/>
    <n v="1650"/>
    <n v="588346"/>
    <s v="19-Aug-25"/>
    <n v="1650"/>
    <n v="1947"/>
    <n v="297"/>
    <n v="111813"/>
    <s v="19-Aug-25"/>
    <n v="0"/>
    <m/>
    <m/>
    <s v="URBN"/>
    <s v="CVD"/>
    <s v="F"/>
  </r>
  <r>
    <n v="390"/>
    <s v="NORTH"/>
    <s v="UTTAR PRADESH"/>
    <n v="7134"/>
    <s v="M/S GOENKA AUTO PRIVATE LIMITED."/>
    <s v="VARANASI"/>
    <s v="10-Feb-25"/>
    <s v="16-Apr-25"/>
    <n v="1165"/>
    <n v="4561"/>
    <n v="1"/>
    <s v="S"/>
    <s v="TRAX"/>
    <n v="1"/>
    <s v="MC1D4DMA2SP106617"/>
    <s v="D72018107"/>
    <m/>
    <m/>
    <x v="3"/>
    <s v="08-Jun-25"/>
    <x v="3"/>
    <n v="1250"/>
    <n v="588346"/>
    <s v="19-Aug-25"/>
    <n v="1250"/>
    <n v="1475"/>
    <n v="225"/>
    <n v="111813"/>
    <s v="19-Aug-25"/>
    <n v="0"/>
    <m/>
    <m/>
    <s v="TRXBS6"/>
    <s v="CVD"/>
    <s v="F"/>
  </r>
  <r>
    <n v="391"/>
    <s v="NORTH"/>
    <s v="UTTAR PRADESH"/>
    <n v="7134"/>
    <s v="M/S GOENKA AUTO PRIVATE LIMITED."/>
    <s v="VARANASI"/>
    <s v="25-Oct-24"/>
    <s v="06-Apr-25"/>
    <n v="1165"/>
    <n v="39185"/>
    <n v="4"/>
    <s v="S"/>
    <s v="T-1"/>
    <n v="790285"/>
    <s v="MC1E4EJAXSP014167"/>
    <s v="D71062561"/>
    <m/>
    <m/>
    <x v="3"/>
    <s v="08-Jun-25"/>
    <x v="3"/>
    <n v="0"/>
    <n v="588346"/>
    <s v="19-Aug-25"/>
    <n v="0"/>
    <n v="0"/>
    <n v="0"/>
    <n v="111813"/>
    <s v="19-Aug-25"/>
    <n v="0"/>
    <m/>
    <m/>
    <s v="T1BS6"/>
    <s v="CVD"/>
    <s v="P"/>
  </r>
  <r>
    <n v="392"/>
    <s v="NORTH"/>
    <s v="UTTAR PRADESH"/>
    <n v="7134"/>
    <s v="M/S GOENKA AUTO PRIVATE LIMITED."/>
    <s v="VARANASI"/>
    <s v="15-Oct-24"/>
    <s v="04-Apr-25"/>
    <n v="1165"/>
    <n v="19813"/>
    <n v="2"/>
    <s v="S"/>
    <s v="T1N"/>
    <n v="5320"/>
    <s v="MC1M4AJA3SP002284"/>
    <s v="D71061468"/>
    <m/>
    <m/>
    <x v="3"/>
    <s v="08-Jun-25"/>
    <x v="3"/>
    <n v="0"/>
    <n v="588346"/>
    <s v="19-Aug-25"/>
    <n v="0"/>
    <n v="0"/>
    <n v="0"/>
    <n v="111813"/>
    <s v="19-Aug-25"/>
    <n v="0"/>
    <m/>
    <m/>
    <s v="URBN"/>
    <s v="CVD"/>
    <s v="P"/>
  </r>
  <r>
    <n v="393"/>
    <s v="NORTH"/>
    <s v="UTTAR PRADESH"/>
    <n v="7134"/>
    <s v="M/S GOENKA AUTO PRIVATE LIMITED."/>
    <s v="VARANASI"/>
    <s v="19-Dec-24"/>
    <s v="18-Apr-25"/>
    <n v="1165"/>
    <n v="12608"/>
    <n v="2"/>
    <s v="S"/>
    <s v="T26"/>
    <n v="789111"/>
    <s v="MC1E4FLA6SP021782"/>
    <s v="D71065402"/>
    <m/>
    <m/>
    <x v="3"/>
    <s v="08-Jun-25"/>
    <x v="3"/>
    <n v="0"/>
    <n v="588346"/>
    <s v="19-Aug-25"/>
    <n v="0"/>
    <n v="0"/>
    <n v="0"/>
    <n v="111813"/>
    <s v="19-Aug-25"/>
    <n v="0"/>
    <m/>
    <m/>
    <s v="T26BS6"/>
    <s v="CVD"/>
    <s v="P"/>
  </r>
  <r>
    <n v="394"/>
    <s v="NORTH"/>
    <s v="UTTAR PRADESH"/>
    <n v="7134"/>
    <s v="M/S GOENKA AUTO PRIVATE LIMITED."/>
    <s v="VARANASI"/>
    <s v="11-Jun-24"/>
    <s v="03-Apr-25"/>
    <n v="890"/>
    <n v="50000"/>
    <n v="5"/>
    <s v="S"/>
    <s v="T-1"/>
    <n v="775977"/>
    <s v="MC1E4EDA7RP012835"/>
    <s v="D71053741"/>
    <m/>
    <m/>
    <x v="3"/>
    <s v="08-Jun-25"/>
    <x v="3"/>
    <n v="1250"/>
    <n v="588346"/>
    <s v="19-Aug-25"/>
    <n v="1250"/>
    <n v="1475"/>
    <n v="225"/>
    <n v="111813"/>
    <s v="19-Aug-25"/>
    <n v="0"/>
    <m/>
    <m/>
    <s v="T1BS6"/>
    <s v="CVD"/>
    <s v="F"/>
  </r>
  <r>
    <n v="395"/>
    <s v="NORTH"/>
    <s v="UTTAR PRADESH"/>
    <n v="7134"/>
    <s v="M/S GOENKA AUTO PRIVATE LIMITED."/>
    <s v="VARANASI"/>
    <s v="31-Dec-24"/>
    <s v="03-Apr-25"/>
    <n v="1150"/>
    <n v="18500"/>
    <n v="2"/>
    <s v="S"/>
    <s v="T1N"/>
    <n v="5709"/>
    <s v="MC1M4ALA5SP002834"/>
    <s v="D71066059"/>
    <m/>
    <m/>
    <x v="3"/>
    <s v="08-Jun-25"/>
    <x v="3"/>
    <n v="0"/>
    <n v="588346"/>
    <s v="19-Aug-25"/>
    <n v="0"/>
    <n v="0"/>
    <n v="0"/>
    <n v="111813"/>
    <s v="19-Aug-25"/>
    <n v="0"/>
    <m/>
    <m/>
    <s v="URBN"/>
    <s v="CVD"/>
    <s v="P"/>
  </r>
  <r>
    <n v="396"/>
    <s v="NORTH"/>
    <s v="UTTAR PRADESH"/>
    <n v="7134"/>
    <s v="M/S GOENKA AUTO PRIVATE LIMITED."/>
    <s v="VARANASI"/>
    <s v="26-May-23"/>
    <s v="03-Apr-25"/>
    <n v="1165"/>
    <n v="131576"/>
    <n v="12"/>
    <s v="S"/>
    <s v="T26"/>
    <n v="749386"/>
    <s v="MC1E4FEA1PP016851"/>
    <s v="D71031035"/>
    <s v="001"/>
    <s v="SERV KMS  / HRS EXCEEDS"/>
    <x v="3"/>
    <s v="08-Jun-25"/>
    <x v="3"/>
    <n v="0"/>
    <n v="588346"/>
    <s v="19-Aug-25"/>
    <n v="0"/>
    <n v="0"/>
    <n v="0"/>
    <n v="111813"/>
    <s v="19-Aug-25"/>
    <n v="0"/>
    <m/>
    <m/>
    <s v="T26BS6"/>
    <s v="CVD"/>
    <s v="P"/>
  </r>
  <r>
    <n v="397"/>
    <s v="NORTH"/>
    <s v="UTTAR PRADESH"/>
    <n v="7134"/>
    <s v="M/S GOENKA AUTO PRIVATE LIMITED."/>
    <s v="VARANASI"/>
    <s v="24-Jul-24"/>
    <s v="07-Apr-25"/>
    <n v="1165"/>
    <n v="12577"/>
    <n v="2"/>
    <s v="S"/>
    <s v="T-1"/>
    <n v="781810"/>
    <s v="MC1E4DGA4SP053628"/>
    <s v="D71058115"/>
    <m/>
    <m/>
    <x v="3"/>
    <s v="08-Jun-25"/>
    <x v="3"/>
    <n v="1250"/>
    <n v="588346"/>
    <s v="19-Aug-25"/>
    <n v="1250"/>
    <n v="1475"/>
    <n v="225"/>
    <n v="111813"/>
    <s v="19-Aug-25"/>
    <n v="0"/>
    <m/>
    <m/>
    <s v="T1BS6N"/>
    <s v="CVD"/>
    <s v="F"/>
  </r>
  <r>
    <n v="398"/>
    <s v="NORTH"/>
    <s v="UTTAR PRADESH"/>
    <n v="7134"/>
    <s v="M/S GOENKA AUTO PRIVATE LIMITED."/>
    <s v="VARANASI"/>
    <s v="15-Oct-24"/>
    <s v="07-Apr-25"/>
    <n v="1165"/>
    <n v="15770"/>
    <n v="2"/>
    <s v="S"/>
    <s v="TRAX"/>
    <n v="324388"/>
    <s v="MC1D4DJA1SP105494"/>
    <s v="D72016942"/>
    <s v="002"/>
    <s v="SERV DATE EXCEEDS"/>
    <x v="3"/>
    <s v="08-Jun-25"/>
    <x v="3"/>
    <n v="0"/>
    <n v="588346"/>
    <s v="19-Aug-25"/>
    <n v="0"/>
    <n v="0"/>
    <n v="0"/>
    <n v="111813"/>
    <s v="19-Aug-25"/>
    <n v="0"/>
    <m/>
    <m/>
    <s v="TRXBS6"/>
    <s v="CVD"/>
    <s v="P"/>
  </r>
  <r>
    <n v="399"/>
    <s v="NORTH"/>
    <s v="UTTAR PRADESH"/>
    <n v="7134"/>
    <s v="M/S GOENKA AUTO PRIVATE LIMITED."/>
    <s v="VARANASI"/>
    <s v="15-Oct-24"/>
    <s v="09-Apr-25"/>
    <n v="1165"/>
    <n v="16110"/>
    <n v="3"/>
    <s v="S"/>
    <s v="TRAX"/>
    <n v="324388"/>
    <s v="MC1D4DJA1SP105494"/>
    <s v="D72016942"/>
    <m/>
    <m/>
    <x v="3"/>
    <s v="08-Jun-25"/>
    <x v="3"/>
    <n v="1250"/>
    <n v="588346"/>
    <s v="19-Aug-25"/>
    <n v="1250"/>
    <n v="1475"/>
    <n v="225"/>
    <n v="111813"/>
    <s v="19-Aug-25"/>
    <n v="0"/>
    <m/>
    <m/>
    <s v="TRXBS6"/>
    <s v="CVD"/>
    <s v="F"/>
  </r>
  <r>
    <n v="400"/>
    <s v="NORTH"/>
    <s v="UTTAR PRADESH"/>
    <n v="7134"/>
    <s v="M/S GOENKA AUTO PRIVATE LIMITED."/>
    <s v="VARANASI"/>
    <s v="25-Apr-24"/>
    <s v="09-Apr-25"/>
    <n v="1165"/>
    <n v="69770"/>
    <n v="7"/>
    <s v="S"/>
    <s v="T1N"/>
    <n v="3488"/>
    <s v="MC1M4ADA9RP001369"/>
    <s v="D71052448"/>
    <m/>
    <m/>
    <x v="3"/>
    <s v="08-Jun-25"/>
    <x v="3"/>
    <n v="1650"/>
    <n v="588346"/>
    <s v="19-Aug-25"/>
    <n v="1650"/>
    <n v="1947"/>
    <n v="297"/>
    <n v="111813"/>
    <s v="19-Aug-25"/>
    <n v="0"/>
    <m/>
    <m/>
    <s v="URBN"/>
    <s v="CVD"/>
    <s v="F"/>
  </r>
  <r>
    <n v="401"/>
    <s v="NORTH"/>
    <s v="UTTAR PRADESH"/>
    <n v="7134"/>
    <s v="M/S GOENKA AUTO PRIVATE LIMITED."/>
    <s v="VARANASI"/>
    <s v="30-Jun-24"/>
    <s v="27-Apr-25"/>
    <n v="1165"/>
    <n v="11566"/>
    <n v="3"/>
    <s v="S"/>
    <s v="T-1"/>
    <n v="771813"/>
    <s v="MC1E4DBA7RP051132"/>
    <s v="D71047994"/>
    <m/>
    <m/>
    <x v="3"/>
    <s v="08-Jun-25"/>
    <x v="3"/>
    <n v="1250"/>
    <n v="588346"/>
    <s v="19-Aug-25"/>
    <n v="1250"/>
    <n v="1475"/>
    <n v="225"/>
    <n v="111813"/>
    <s v="19-Aug-25"/>
    <n v="0"/>
    <m/>
    <m/>
    <s v="T1BS6N"/>
    <s v="CVD"/>
    <s v="F"/>
  </r>
  <r>
    <n v="402"/>
    <s v="NORTH"/>
    <s v="UTTAR PRADESH"/>
    <n v="7134"/>
    <s v="M/S GOENKA AUTO PRIVATE LIMITED."/>
    <s v="VARANASI"/>
    <s v="22-Aug-24"/>
    <s v="28-Apr-25"/>
    <n v="1165"/>
    <n v="28900"/>
    <n v="4"/>
    <s v="S"/>
    <s v="T26"/>
    <n v="776948"/>
    <s v="MC1E4FGA7SP020988"/>
    <s v="D71058698"/>
    <m/>
    <m/>
    <x v="3"/>
    <s v="08-Jun-25"/>
    <x v="3"/>
    <n v="0"/>
    <n v="588346"/>
    <s v="19-Aug-25"/>
    <n v="0"/>
    <n v="0"/>
    <n v="0"/>
    <n v="111813"/>
    <s v="19-Aug-25"/>
    <n v="0"/>
    <m/>
    <m/>
    <s v="T26BS6"/>
    <s v="CVD"/>
    <s v="P"/>
  </r>
  <r>
    <n v="403"/>
    <s v="NORTH"/>
    <s v="UTTAR PRADESH"/>
    <n v="7134"/>
    <s v="M/S GOENKA AUTO PRIVATE LIMITED."/>
    <s v="VARANASI"/>
    <s v="24-Jun-23"/>
    <s v="23-Jan-25"/>
    <n v="1165"/>
    <n v="21000"/>
    <n v="6"/>
    <s v="S"/>
    <s v="T3"/>
    <n v="746091"/>
    <s v="MC1L4ADA9PP000733"/>
    <s v="D71030100"/>
    <s v="010, 022"/>
    <s v="LATE SUBMISSION, SERVICE COUPON HARD COPY NOT RECEIVED"/>
    <x v="3"/>
    <s v="08-Jun-25"/>
    <x v="3"/>
    <n v="0"/>
    <n v="588346"/>
    <s v="19-Aug-25"/>
    <n v="0"/>
    <n v="0"/>
    <n v="0"/>
    <n v="111813"/>
    <s v="19-Aug-25"/>
    <n v="0"/>
    <m/>
    <m/>
    <s v="T3MONBS6"/>
    <s v="CVD"/>
    <s v="P"/>
  </r>
  <r>
    <n v="404"/>
    <s v="NORTH"/>
    <s v="UTTAR PRADESH"/>
    <n v="7134"/>
    <s v="M/S GOENKA AUTO PRIVATE LIMITED."/>
    <s v="VARANASI"/>
    <s v="20-Dec-24"/>
    <s v="06-Apr-25"/>
    <n v="1165"/>
    <n v="11214"/>
    <n v="2"/>
    <s v="S"/>
    <s v="T26"/>
    <n v="789120"/>
    <s v="MC1E4FLA8SP021783"/>
    <s v="D71065448"/>
    <m/>
    <m/>
    <x v="3"/>
    <s v="08-Jun-25"/>
    <x v="3"/>
    <n v="0"/>
    <n v="588346"/>
    <s v="19-Aug-25"/>
    <n v="0"/>
    <n v="0"/>
    <n v="0"/>
    <n v="111813"/>
    <s v="19-Aug-25"/>
    <n v="0"/>
    <m/>
    <m/>
    <s v="T26BS6"/>
    <s v="CVD"/>
    <s v="P"/>
  </r>
  <r>
    <n v="405"/>
    <s v="NORTH"/>
    <s v="UTTAR PRADESH"/>
    <n v="7134"/>
    <s v="M/S GOENKA AUTO PRIVATE LIMITED."/>
    <s v="VARANASI"/>
    <s v="30-Jun-23"/>
    <s v="23-Apr-25"/>
    <n v="784"/>
    <n v="51518"/>
    <n v="12"/>
    <s v="S"/>
    <s v="T26"/>
    <n v="749368"/>
    <s v="MC1E4FFAXPP017169"/>
    <s v="D71033468"/>
    <m/>
    <m/>
    <x v="3"/>
    <s v="08-Jun-25"/>
    <x v="3"/>
    <n v="0"/>
    <n v="588346"/>
    <s v="19-Aug-25"/>
    <n v="0"/>
    <n v="0"/>
    <n v="0"/>
    <n v="111813"/>
    <s v="19-Aug-25"/>
    <n v="0"/>
    <m/>
    <m/>
    <s v="T26BS6"/>
    <s v="CVD"/>
    <s v="P"/>
  </r>
  <r>
    <n v="406"/>
    <s v="NORTH"/>
    <s v="UTTAR PRADESH"/>
    <n v="7134"/>
    <s v="M/S GOENKA AUTO PRIVATE LIMITED."/>
    <s v="VARANASI"/>
    <s v="21-Sep-24"/>
    <s v="21-Apr-25"/>
    <n v="1165"/>
    <n v="50000"/>
    <n v="5"/>
    <s v="S"/>
    <s v="T-1"/>
    <n v="786320"/>
    <s v="MC1E4EHA1SP013740"/>
    <s v="D71060115"/>
    <m/>
    <m/>
    <x v="3"/>
    <s v="08-Jun-25"/>
    <x v="3"/>
    <n v="1250"/>
    <n v="588346"/>
    <s v="19-Aug-25"/>
    <n v="1250"/>
    <n v="1475"/>
    <n v="225"/>
    <n v="111813"/>
    <s v="19-Aug-25"/>
    <n v="0"/>
    <m/>
    <m/>
    <s v="T1BS6"/>
    <s v="CVD"/>
    <s v="F"/>
  </r>
  <r>
    <n v="407"/>
    <s v="NORTH"/>
    <s v="UTTAR PRADESH"/>
    <n v="7134"/>
    <s v="M/S GOENKA AUTO PRIVATE LIMITED."/>
    <s v="VARANASI"/>
    <s v="30-Apr-24"/>
    <s v="10-Apr-25"/>
    <n v="1165"/>
    <n v="49520"/>
    <n v="5"/>
    <s v="S"/>
    <s v="T1N"/>
    <n v="3248"/>
    <s v="MC1M4ADA3RP001383"/>
    <s v="D71052257"/>
    <m/>
    <m/>
    <x v="3"/>
    <s v="08-Jun-25"/>
    <x v="3"/>
    <n v="1650"/>
    <n v="588346"/>
    <s v="19-Aug-25"/>
    <n v="1650"/>
    <n v="1947"/>
    <n v="297"/>
    <n v="111813"/>
    <s v="19-Aug-25"/>
    <n v="0"/>
    <m/>
    <m/>
    <s v="URBN"/>
    <s v="CVD"/>
    <s v="F"/>
  </r>
  <r>
    <n v="408"/>
    <s v="NORTH"/>
    <s v="UTTAR PRADESH"/>
    <n v="7134"/>
    <s v="M/S GOENKA AUTO PRIVATE LIMITED."/>
    <s v="VARANASI"/>
    <s v="13-Jun-24"/>
    <s v="10-Apr-25"/>
    <n v="910"/>
    <n v="37580"/>
    <n v="6"/>
    <s v="S"/>
    <s v="T-1"/>
    <n v="775649"/>
    <s v="MC1E4EEA0RP013016"/>
    <s v="D71055025"/>
    <m/>
    <m/>
    <x v="3"/>
    <s v="08-Jun-25"/>
    <x v="3"/>
    <n v="0"/>
    <n v="588346"/>
    <s v="19-Aug-25"/>
    <n v="0"/>
    <n v="0"/>
    <n v="0"/>
    <n v="111813"/>
    <s v="19-Aug-25"/>
    <n v="0"/>
    <m/>
    <m/>
    <s v="T1BS6"/>
    <s v="CVD"/>
    <s v="P"/>
  </r>
  <r>
    <n v="409"/>
    <s v="NORTH"/>
    <s v="UTTAR PRADESH"/>
    <n v="7134"/>
    <s v="M/S GOENKA AUTO PRIVATE LIMITED."/>
    <s v="VARANASI"/>
    <s v="10-Jan-25"/>
    <s v="24-Apr-25"/>
    <n v="1150"/>
    <n v="11310"/>
    <n v="2"/>
    <s v="S"/>
    <s v="T-1"/>
    <n v="791891"/>
    <s v="MC1E4EKA5SP014589"/>
    <s v="D71064930"/>
    <m/>
    <m/>
    <x v="3"/>
    <s v="08-Jun-25"/>
    <x v="3"/>
    <n v="0"/>
    <n v="588346"/>
    <s v="19-Aug-25"/>
    <n v="0"/>
    <n v="0"/>
    <n v="0"/>
    <n v="111813"/>
    <s v="19-Aug-25"/>
    <n v="0"/>
    <m/>
    <m/>
    <s v="T1BS6"/>
    <s v="CVD"/>
    <s v="P"/>
  </r>
  <r>
    <n v="410"/>
    <s v="NORTH"/>
    <s v="UTTAR PRADESH"/>
    <n v="7134"/>
    <s v="M/S GOENKA AUTO PRIVATE LIMITED."/>
    <s v="VARANASI"/>
    <s v="21-Aug-24"/>
    <s v="22-Apr-25"/>
    <n v="1165"/>
    <n v="60000"/>
    <n v="6"/>
    <s v="S"/>
    <s v="T-1"/>
    <n v="785726"/>
    <s v="MC1E4EGA5SP013466"/>
    <s v="D71058218"/>
    <m/>
    <m/>
    <x v="3"/>
    <s v="08-Jun-25"/>
    <x v="3"/>
    <n v="0"/>
    <n v="588346"/>
    <s v="19-Aug-25"/>
    <n v="0"/>
    <n v="0"/>
    <n v="0"/>
    <n v="111813"/>
    <s v="19-Aug-25"/>
    <n v="0"/>
    <m/>
    <m/>
    <s v="T1BS6"/>
    <s v="CVD"/>
    <s v="P"/>
  </r>
  <r>
    <n v="411"/>
    <s v="NORTH"/>
    <s v="UTTAR PRADESH"/>
    <n v="7134"/>
    <s v="M/S GOENKA AUTO PRIVATE LIMITED."/>
    <s v="VARANASI"/>
    <s v="28-Feb-25"/>
    <s v="18-Apr-25"/>
    <n v="1165"/>
    <n v="4546"/>
    <n v="1"/>
    <s v="S"/>
    <s v="T1N"/>
    <n v="6195"/>
    <s v="MC1M4AKAXSP002586"/>
    <s v="D71064043"/>
    <m/>
    <m/>
    <x v="3"/>
    <s v="08-Jun-25"/>
    <x v="3"/>
    <n v="1650"/>
    <n v="588346"/>
    <s v="19-Aug-25"/>
    <n v="1650"/>
    <n v="1947"/>
    <n v="297"/>
    <n v="111813"/>
    <s v="19-Aug-25"/>
    <n v="0"/>
    <m/>
    <m/>
    <s v="URBN"/>
    <s v="CVD"/>
    <s v="F"/>
  </r>
  <r>
    <n v="412"/>
    <s v="NORTH"/>
    <s v="UTTAR PRADESH"/>
    <n v="7134"/>
    <s v="M/S GOENKA AUTO PRIVATE LIMITED."/>
    <s v="VARANASI"/>
    <s v="28-Sep-24"/>
    <s v="02-Apr-25"/>
    <n v="1165"/>
    <n v="40000"/>
    <n v="4"/>
    <s v="S"/>
    <s v="T-1"/>
    <n v="787042"/>
    <s v="MC1E4EHA9SP013842"/>
    <s v="D71060493"/>
    <m/>
    <m/>
    <x v="3"/>
    <s v="08-Jun-25"/>
    <x v="3"/>
    <n v="0"/>
    <n v="588346"/>
    <s v="19-Aug-25"/>
    <n v="0"/>
    <n v="0"/>
    <n v="0"/>
    <n v="111813"/>
    <s v="19-Aug-25"/>
    <n v="0"/>
    <m/>
    <m/>
    <s v="T1BS6"/>
    <s v="CVD"/>
    <s v="P"/>
  </r>
  <r>
    <n v="413"/>
    <s v="NORTH"/>
    <s v="UTTAR PRADESH"/>
    <n v="7134"/>
    <s v="M/S GOENKA AUTO PRIVATE LIMITED."/>
    <s v="VARANASI"/>
    <s v="19-Sep-23"/>
    <s v="02-Apr-25"/>
    <n v="465"/>
    <n v="67636"/>
    <n v="10"/>
    <s v="S"/>
    <s v="T-1"/>
    <n v="753172"/>
    <s v="MC1E4EJA2RP010494"/>
    <s v="D71038349"/>
    <m/>
    <m/>
    <x v="3"/>
    <s v="08-Jun-25"/>
    <x v="3"/>
    <n v="0"/>
    <n v="588346"/>
    <s v="19-Aug-25"/>
    <n v="0"/>
    <n v="0"/>
    <n v="0"/>
    <n v="111813"/>
    <s v="19-Aug-25"/>
    <n v="0"/>
    <m/>
    <m/>
    <s v="T1BS6"/>
    <s v="CVD"/>
    <s v="P"/>
  </r>
  <r>
    <n v="414"/>
    <s v="NORTH"/>
    <s v="UTTAR PRADESH"/>
    <n v="7134"/>
    <s v="M/S GOENKA AUTO PRIVATE LIMITED."/>
    <s v="VARANASI"/>
    <s v="27-Mar-24"/>
    <s v="25-Apr-25"/>
    <n v="1165"/>
    <n v="29020"/>
    <n v="7"/>
    <s v="S"/>
    <s v="T-1"/>
    <n v="765105"/>
    <s v="MC1E4ECA3RP012316"/>
    <s v="D71050628"/>
    <m/>
    <m/>
    <x v="3"/>
    <s v="08-Jun-25"/>
    <x v="3"/>
    <n v="0"/>
    <n v="588346"/>
    <s v="19-Aug-25"/>
    <n v="0"/>
    <n v="0"/>
    <n v="0"/>
    <n v="111813"/>
    <s v="19-Aug-25"/>
    <n v="0"/>
    <m/>
    <m/>
    <s v="T1BS6"/>
    <s v="CVD"/>
    <s v="P"/>
  </r>
  <r>
    <n v="415"/>
    <s v="NORTH"/>
    <s v="UTTAR PRADESH"/>
    <n v="7134"/>
    <s v="M/S GOENKA AUTO PRIVATE LIMITED."/>
    <s v="VARANASI"/>
    <s v="30-Dec-23"/>
    <s v="02-Apr-25"/>
    <n v="986"/>
    <n v="45000"/>
    <n v="7"/>
    <s v="S"/>
    <s v="T-1"/>
    <n v="762377"/>
    <s v="MC1E4DMA8RP049774"/>
    <s v="D71043394"/>
    <s v="002"/>
    <s v="SERV DATE EXCEEDS"/>
    <x v="3"/>
    <s v="08-Jun-25"/>
    <x v="3"/>
    <n v="0"/>
    <n v="588346"/>
    <s v="19-Aug-25"/>
    <n v="0"/>
    <n v="0"/>
    <n v="0"/>
    <n v="111813"/>
    <s v="19-Aug-25"/>
    <n v="0"/>
    <m/>
    <m/>
    <s v="T1BS6"/>
    <s v="CVD"/>
    <s v="P"/>
  </r>
  <r>
    <n v="416"/>
    <s v="NORTH"/>
    <s v="UTTAR PRADESH"/>
    <n v="7134"/>
    <s v="M/S GOENKA AUTO PRIVATE LIMITED."/>
    <s v="VARANASI"/>
    <s v="05-Aug-24"/>
    <s v="07-Apr-25"/>
    <n v="1165"/>
    <n v="6847"/>
    <n v="2"/>
    <s v="S"/>
    <s v="T-1"/>
    <n v="781802"/>
    <s v="MC1E4DGA9SP053625"/>
    <s v="D71058142"/>
    <m/>
    <m/>
    <x v="3"/>
    <s v="08-Jun-25"/>
    <x v="3"/>
    <n v="1250"/>
    <n v="588346"/>
    <s v="19-Aug-25"/>
    <n v="1250"/>
    <n v="1475"/>
    <n v="225"/>
    <n v="111813"/>
    <s v="19-Aug-25"/>
    <n v="0"/>
    <m/>
    <m/>
    <s v="T1BS6N"/>
    <s v="CVD"/>
    <s v="F"/>
  </r>
  <r>
    <n v="417"/>
    <s v="NORTH"/>
    <s v="UTTAR PRADESH"/>
    <n v="7134"/>
    <s v="M/S GOENKA AUTO PRIVATE LIMITED."/>
    <s v="VARANASI"/>
    <s v="13-Sep-24"/>
    <s v="25-Apr-25"/>
    <n v="1165"/>
    <n v="29846"/>
    <n v="4"/>
    <s v="S"/>
    <s v="T-1"/>
    <n v="787473"/>
    <s v="MC1E4EHA0SP013776"/>
    <s v="D71060563"/>
    <m/>
    <m/>
    <x v="3"/>
    <s v="08-Jun-25"/>
    <x v="3"/>
    <n v="0"/>
    <n v="588346"/>
    <s v="19-Aug-25"/>
    <n v="0"/>
    <n v="0"/>
    <n v="0"/>
    <n v="111813"/>
    <s v="19-Aug-25"/>
    <n v="0"/>
    <m/>
    <m/>
    <s v="T1BS6"/>
    <s v="CVD"/>
    <s v="P"/>
  </r>
  <r>
    <n v="418"/>
    <s v="NORTH"/>
    <s v="UTTAR PRADESH"/>
    <n v="7134"/>
    <s v="M/S GOENKA AUTO PRIVATE LIMITED."/>
    <s v="VARANASI"/>
    <s v="21-Dec-24"/>
    <s v="24-Apr-25"/>
    <n v="876"/>
    <n v="24559"/>
    <n v="3"/>
    <s v="S"/>
    <s v="T-1"/>
    <n v="791850"/>
    <s v="MC1E4DKA5SP054973"/>
    <s v="D71064416"/>
    <m/>
    <m/>
    <x v="3"/>
    <s v="08-Jun-25"/>
    <x v="3"/>
    <n v="1250"/>
    <n v="588346"/>
    <s v="19-Aug-25"/>
    <n v="1250"/>
    <n v="1475"/>
    <n v="225"/>
    <n v="111813"/>
    <s v="19-Aug-25"/>
    <n v="0"/>
    <m/>
    <m/>
    <s v="T1BS6"/>
    <s v="CVD"/>
    <s v="F"/>
  </r>
  <r>
    <n v="419"/>
    <s v="NORTH"/>
    <s v="UTTAR PRADESH"/>
    <n v="7134"/>
    <s v="M/S GOENKA AUTO PRIVATE LIMITED."/>
    <s v="VARANASI"/>
    <s v="17-Feb-25"/>
    <s v="18-Apr-25"/>
    <n v="1165"/>
    <n v="7399"/>
    <n v="1"/>
    <s v="S"/>
    <s v="T26"/>
    <n v="789054"/>
    <s v="MC1E4FAA1SP022096"/>
    <s v="D71067736"/>
    <m/>
    <m/>
    <x v="3"/>
    <s v="08-Jun-25"/>
    <x v="3"/>
    <n v="1250"/>
    <n v="588346"/>
    <s v="19-Aug-25"/>
    <n v="1250"/>
    <n v="1475"/>
    <n v="225"/>
    <n v="111813"/>
    <s v="19-Aug-25"/>
    <n v="0"/>
    <m/>
    <m/>
    <s v="T26BS6"/>
    <s v="CVD"/>
    <s v="F"/>
  </r>
  <r>
    <n v="420"/>
    <s v="NORTH"/>
    <s v="UTTAR PRADESH"/>
    <n v="7134"/>
    <s v="M/S GOENKA AUTO PRIVATE LIMITED."/>
    <s v="VARANASI"/>
    <s v="31-Dec-24"/>
    <s v="23-Apr-25"/>
    <n v="1165"/>
    <n v="19920"/>
    <n v="2"/>
    <s v="S"/>
    <s v="T1N"/>
    <n v="5607"/>
    <s v="MC1M4ALA7SP002799"/>
    <s v="D71065600"/>
    <m/>
    <m/>
    <x v="3"/>
    <s v="08-Jun-25"/>
    <x v="3"/>
    <n v="0"/>
    <n v="588346"/>
    <s v="19-Aug-25"/>
    <n v="0"/>
    <n v="0"/>
    <n v="0"/>
    <n v="111813"/>
    <s v="19-Aug-25"/>
    <n v="0"/>
    <m/>
    <m/>
    <s v="URBN"/>
    <s v="CVD"/>
    <s v="P"/>
  </r>
  <r>
    <n v="421"/>
    <s v="NORTH"/>
    <s v="UTTAR PRADESH"/>
    <n v="7134"/>
    <s v="M/S GOENKA AUTO PRIVATE LIMITED."/>
    <s v="VARANASI"/>
    <s v="22-Mar-25"/>
    <s v="25-Apr-25"/>
    <n v="1165"/>
    <n v="9060"/>
    <n v="1"/>
    <s v="S"/>
    <s v="T26"/>
    <n v="789361"/>
    <s v="MC1E4FCA3SP023022"/>
    <s v="D71075605"/>
    <m/>
    <m/>
    <x v="3"/>
    <s v="08-Jun-25"/>
    <x v="3"/>
    <n v="1250"/>
    <n v="588346"/>
    <s v="19-Aug-25"/>
    <n v="1250"/>
    <n v="1475"/>
    <n v="225"/>
    <n v="111813"/>
    <s v="19-Aug-25"/>
    <n v="0"/>
    <m/>
    <m/>
    <s v="T26BS6"/>
    <s v="CVD"/>
    <s v="F"/>
  </r>
  <r>
    <n v="422"/>
    <s v="NORTH"/>
    <s v="UTTAR PRADESH"/>
    <n v="7134"/>
    <s v="M/S GOENKA AUTO PRIVATE LIMITED."/>
    <s v="VARANASI"/>
    <s v="23-Dec-24"/>
    <s v="02-Apr-25"/>
    <n v="1165"/>
    <n v="20000"/>
    <n v="2"/>
    <s v="S"/>
    <s v="T26"/>
    <n v="789589"/>
    <s v="MC1E4FKA5SP021760"/>
    <s v="D71065153"/>
    <m/>
    <m/>
    <x v="3"/>
    <s v="08-Jun-25"/>
    <x v="3"/>
    <n v="0"/>
    <n v="588346"/>
    <s v="19-Aug-25"/>
    <n v="0"/>
    <n v="0"/>
    <n v="0"/>
    <n v="111813"/>
    <s v="19-Aug-25"/>
    <n v="0"/>
    <m/>
    <m/>
    <s v="T26BS6"/>
    <s v="CVD"/>
    <s v="P"/>
  </r>
  <r>
    <n v="423"/>
    <s v="NORTH"/>
    <s v="UTTAR PRADESH"/>
    <n v="7134"/>
    <s v="M/S GOENKA AUTO PRIVATE LIMITED."/>
    <s v="VARANASI"/>
    <s v="15-Oct-24"/>
    <s v="21-Apr-25"/>
    <n v="1165"/>
    <n v="37668"/>
    <n v="4"/>
    <s v="S"/>
    <s v="T1N"/>
    <n v="5355"/>
    <s v="MC1M4AJA8SP002393"/>
    <s v="D71062471"/>
    <m/>
    <m/>
    <x v="3"/>
    <s v="08-Jun-25"/>
    <x v="3"/>
    <n v="0"/>
    <n v="588346"/>
    <s v="19-Aug-25"/>
    <n v="0"/>
    <n v="0"/>
    <n v="0"/>
    <n v="111813"/>
    <s v="19-Aug-25"/>
    <n v="0"/>
    <m/>
    <m/>
    <s v="URBN"/>
    <s v="CVD"/>
    <s v="P"/>
  </r>
  <r>
    <n v="424"/>
    <s v="NORTH"/>
    <s v="UTTAR PRADESH"/>
    <n v="7134"/>
    <s v="M/S GOENKA AUTO PRIVATE LIMITED."/>
    <s v="VARANASI"/>
    <s v="28-May-24"/>
    <s v="22-Apr-25"/>
    <n v="1165"/>
    <n v="70000"/>
    <n v="7"/>
    <s v="S"/>
    <s v="T26"/>
    <n v="776289"/>
    <s v="MC1E4FEA4RP020394"/>
    <s v="D71054669"/>
    <m/>
    <m/>
    <x v="3"/>
    <s v="08-Jun-25"/>
    <x v="3"/>
    <n v="0"/>
    <n v="588346"/>
    <s v="19-Aug-25"/>
    <n v="0"/>
    <n v="0"/>
    <n v="0"/>
    <n v="111813"/>
    <s v="19-Aug-25"/>
    <n v="0"/>
    <m/>
    <m/>
    <s v="T26BS6"/>
    <s v="CVD"/>
    <s v="P"/>
  </r>
  <r>
    <n v="425"/>
    <s v="NORTH"/>
    <s v="UTTAR PRADESH"/>
    <n v="7134"/>
    <s v="M/S GOENKA AUTO PRIVATE LIMITED."/>
    <s v="VARANASI"/>
    <s v="07-Nov-24"/>
    <s v="10-Apr-25"/>
    <n v="1165"/>
    <n v="6787"/>
    <n v="3"/>
    <s v="S"/>
    <s v="TRAX"/>
    <n v="322813"/>
    <s v="MC1D4DJA6SP105829"/>
    <s v="D72017292"/>
    <m/>
    <m/>
    <x v="3"/>
    <s v="08-Jun-25"/>
    <x v="3"/>
    <n v="1250"/>
    <n v="588346"/>
    <s v="19-Aug-25"/>
    <n v="1250"/>
    <n v="1475"/>
    <n v="225"/>
    <n v="111813"/>
    <s v="19-Aug-25"/>
    <n v="0"/>
    <m/>
    <m/>
    <s v="TRXBS6"/>
    <s v="CVD"/>
    <s v="F"/>
  </r>
  <r>
    <n v="426"/>
    <s v="NORTH"/>
    <s v="UTTAR PRADESH"/>
    <n v="7134"/>
    <s v="M/S GOENKA AUTO PRIVATE LIMITED."/>
    <s v="VARANASI"/>
    <s v="12-Jul-24"/>
    <s v="21-Apr-25"/>
    <n v="1165"/>
    <n v="49923"/>
    <n v="5"/>
    <s v="S"/>
    <s v="T-1"/>
    <n v="774647"/>
    <s v="MC1E4EFA5RP013219"/>
    <s v="D71056637"/>
    <m/>
    <m/>
    <x v="3"/>
    <s v="08-Jun-25"/>
    <x v="3"/>
    <n v="1250"/>
    <n v="588346"/>
    <s v="19-Aug-25"/>
    <n v="1250"/>
    <n v="1475"/>
    <n v="225"/>
    <n v="111813"/>
    <s v="19-Aug-25"/>
    <n v="0"/>
    <m/>
    <m/>
    <s v="T1BS6"/>
    <s v="CVD"/>
    <s v="F"/>
  </r>
  <r>
    <n v="427"/>
    <s v="NORTH"/>
    <s v="UTTAR PRADESH"/>
    <n v="7134"/>
    <s v="M/S GOENKA AUTO PRIVATE LIMITED."/>
    <s v="VARANASI"/>
    <s v="16-Aug-24"/>
    <s v="01-Apr-25"/>
    <n v="1165"/>
    <n v="29696"/>
    <n v="4"/>
    <s v="S"/>
    <s v="T-1"/>
    <n v="774645"/>
    <s v="MC1E4DFA5RP053259"/>
    <s v="D71056905"/>
    <m/>
    <m/>
    <x v="3"/>
    <s v="08-Jun-25"/>
    <x v="3"/>
    <n v="0"/>
    <n v="588346"/>
    <s v="19-Aug-25"/>
    <n v="0"/>
    <n v="0"/>
    <n v="0"/>
    <n v="111813"/>
    <s v="19-Aug-25"/>
    <n v="0"/>
    <m/>
    <m/>
    <s v="T1BS6"/>
    <s v="CVD"/>
    <s v="P"/>
  </r>
  <r>
    <n v="428"/>
    <s v="NORTH"/>
    <s v="UTTAR PRADESH"/>
    <n v="7134"/>
    <s v="M/S GOENKA AUTO PRIVATE LIMITED."/>
    <s v="VARANASI"/>
    <s v="08-Jul-24"/>
    <s v="25-Apr-25"/>
    <n v="1165"/>
    <n v="62029"/>
    <n v="6"/>
    <s v="S"/>
    <s v="T-1"/>
    <n v="773703"/>
    <s v="MC1E4EFA0RP013158"/>
    <s v="D71056321"/>
    <s v="001"/>
    <s v="SERV KMS  / HRS EXCEEDS"/>
    <x v="3"/>
    <s v="08-Jun-25"/>
    <x v="3"/>
    <n v="0"/>
    <n v="588346"/>
    <s v="19-Aug-25"/>
    <n v="0"/>
    <n v="0"/>
    <n v="0"/>
    <n v="111813"/>
    <s v="19-Aug-25"/>
    <n v="0"/>
    <m/>
    <m/>
    <s v="T1BS6"/>
    <s v="CVD"/>
    <s v="P"/>
  </r>
  <r>
    <n v="429"/>
    <s v="NORTH"/>
    <s v="UTTAR PRADESH"/>
    <n v="7134"/>
    <s v="M/S GOENKA AUTO PRIVATE LIMITED."/>
    <s v="VARANASI"/>
    <s v="31-Mar-23"/>
    <s v="18-Apr-25"/>
    <n v="1165"/>
    <n v="107553"/>
    <n v="13"/>
    <s v="S"/>
    <s v="T-1"/>
    <n v="740747"/>
    <s v="MC1E4EAA1PP009091"/>
    <s v="D71025587"/>
    <m/>
    <m/>
    <x v="3"/>
    <s v="08-Jun-25"/>
    <x v="3"/>
    <n v="0"/>
    <n v="588346"/>
    <s v="19-Aug-25"/>
    <n v="0"/>
    <n v="0"/>
    <n v="0"/>
    <n v="111813"/>
    <s v="19-Aug-25"/>
    <n v="0"/>
    <m/>
    <m/>
    <s v="T1BS6"/>
    <s v="CVD"/>
    <s v="P"/>
  </r>
  <r>
    <n v="430"/>
    <s v="NORTH"/>
    <s v="UTTAR PRADESH"/>
    <n v="7134"/>
    <s v="M/S GOENKA AUTO PRIVATE LIMITED."/>
    <s v="VARANASI"/>
    <s v="25-Nov-24"/>
    <s v="03-Apr-25"/>
    <n v="1165"/>
    <n v="19900"/>
    <n v="2"/>
    <s v="S"/>
    <s v="T1N"/>
    <n v="4899"/>
    <s v="MC1M4AKAXSP002572"/>
    <s v="D71063955"/>
    <m/>
    <m/>
    <x v="3"/>
    <s v="08-Jun-25"/>
    <x v="3"/>
    <n v="0"/>
    <n v="588346"/>
    <s v="19-Aug-25"/>
    <n v="0"/>
    <n v="0"/>
    <n v="0"/>
    <n v="111813"/>
    <s v="19-Aug-25"/>
    <n v="0"/>
    <m/>
    <m/>
    <s v="URBN"/>
    <s v="CVD"/>
    <s v="P"/>
  </r>
  <r>
    <n v="431"/>
    <s v="NORTH"/>
    <s v="UTTAR PRADESH"/>
    <n v="7134"/>
    <s v="M/S GOENKA AUTO PRIVATE LIMITED."/>
    <s v="VARANASI"/>
    <s v="21-Oct-24"/>
    <s v="16-Apr-25"/>
    <n v="1165"/>
    <n v="20000"/>
    <n v="3"/>
    <s v="S"/>
    <s v="T1N"/>
    <n v="5352"/>
    <s v="MC1M4AJA4SP002407"/>
    <s v="D71062651"/>
    <m/>
    <m/>
    <x v="3"/>
    <s v="08-Jun-25"/>
    <x v="3"/>
    <n v="1650"/>
    <n v="588346"/>
    <s v="19-Aug-25"/>
    <n v="1650"/>
    <n v="1947"/>
    <n v="297"/>
    <n v="111813"/>
    <s v="19-Aug-25"/>
    <n v="0"/>
    <m/>
    <m/>
    <s v="URBN"/>
    <s v="CVD"/>
    <s v="F"/>
  </r>
  <r>
    <n v="432"/>
    <s v="NORTH"/>
    <s v="UTTAR PRADESH"/>
    <n v="7134"/>
    <s v="M/S GOENKA AUTO PRIVATE LIMITED."/>
    <s v="VARANASI"/>
    <s v="25-Jul-24"/>
    <s v="08-Apr-25"/>
    <n v="1165"/>
    <n v="36781"/>
    <n v="4"/>
    <s v="S"/>
    <s v="T-1"/>
    <n v="785385"/>
    <s v="MC1E4EFA1RP013380"/>
    <s v="D71057493"/>
    <m/>
    <m/>
    <x v="3"/>
    <s v="08-Jun-25"/>
    <x v="3"/>
    <n v="0"/>
    <n v="588346"/>
    <s v="19-Aug-25"/>
    <n v="0"/>
    <n v="0"/>
    <n v="0"/>
    <n v="111813"/>
    <s v="19-Aug-25"/>
    <n v="0"/>
    <m/>
    <m/>
    <s v="T1BS6"/>
    <s v="CVD"/>
    <s v="P"/>
  </r>
  <r>
    <n v="433"/>
    <s v="NORTH"/>
    <s v="UTTAR PRADESH"/>
    <n v="7134"/>
    <s v="M/S GOENKA AUTO PRIVATE LIMITED."/>
    <s v="VARANASI"/>
    <s v="20-Feb-25"/>
    <s v="17-Apr-25"/>
    <n v="1165"/>
    <n v="4854"/>
    <n v="1"/>
    <s v="S"/>
    <s v="T-1"/>
    <n v="790132"/>
    <s v="MC1E4EAA2SP015023"/>
    <s v="D71069123"/>
    <m/>
    <m/>
    <x v="3"/>
    <s v="08-Jun-25"/>
    <x v="3"/>
    <n v="1250"/>
    <n v="588346"/>
    <s v="19-Aug-25"/>
    <n v="1250"/>
    <n v="1475"/>
    <n v="225"/>
    <n v="111813"/>
    <s v="19-Aug-25"/>
    <n v="0"/>
    <m/>
    <m/>
    <s v="T1BS6"/>
    <s v="CVD"/>
    <s v="F"/>
  </r>
  <r>
    <n v="434"/>
    <s v="NORTH"/>
    <s v="UTTAR PRADESH"/>
    <n v="7134"/>
    <s v="M/S GOENKA AUTO PRIVATE LIMITED."/>
    <s v="VARANASI"/>
    <s v="10-Jun-24"/>
    <s v="28-Apr-25"/>
    <n v="1165"/>
    <n v="49135"/>
    <n v="6"/>
    <s v="S"/>
    <s v="T26"/>
    <n v="736051"/>
    <s v="MC1E4FDA9RP020327"/>
    <s v="D71054049"/>
    <m/>
    <m/>
    <x v="3"/>
    <s v="08-Jun-25"/>
    <x v="3"/>
    <n v="0"/>
    <n v="588346"/>
    <s v="19-Aug-25"/>
    <n v="0"/>
    <n v="0"/>
    <n v="0"/>
    <n v="111813"/>
    <s v="19-Aug-25"/>
    <n v="0"/>
    <m/>
    <m/>
    <s v="T26BS6"/>
    <s v="CVD"/>
    <s v="P"/>
  </r>
  <r>
    <n v="435"/>
    <s v="NORTH"/>
    <s v="UTTAR PRADESH"/>
    <n v="7134"/>
    <s v="M/S GOENKA AUTO PRIVATE LIMITED."/>
    <s v="VARANASI"/>
    <s v="24-Jul-23"/>
    <s v="27-Apr-25"/>
    <n v="1165"/>
    <n v="22577"/>
    <n v="10"/>
    <s v="S"/>
    <s v="T-1"/>
    <n v="751020"/>
    <s v="MC1E4DGA0RP046847"/>
    <s v="D71034917"/>
    <s v="002"/>
    <s v="SERV DATE EXCEEDS"/>
    <x v="3"/>
    <s v="08-Jun-25"/>
    <x v="3"/>
    <n v="0"/>
    <n v="588346"/>
    <s v="19-Aug-25"/>
    <n v="0"/>
    <n v="0"/>
    <n v="0"/>
    <n v="111813"/>
    <s v="19-Aug-25"/>
    <n v="0"/>
    <m/>
    <m/>
    <s v="T1BS6"/>
    <s v="CVD"/>
    <s v="P"/>
  </r>
  <r>
    <n v="436"/>
    <s v="NORTH"/>
    <s v="UTTAR PRADESH"/>
    <n v="7134"/>
    <s v="M/S GOENKA AUTO PRIVATE LIMITED."/>
    <s v="VARANASI"/>
    <s v="26-Apr-24"/>
    <s v="14-Apr-25"/>
    <n v="1165"/>
    <n v="19345"/>
    <n v="2"/>
    <s v="S"/>
    <s v="T-1"/>
    <n v="1"/>
    <s v="MC1E4BBA4RP009313"/>
    <s v="D71049051"/>
    <s v="002"/>
    <s v="SERV DATE EXCEEDS"/>
    <x v="3"/>
    <s v="08-Jun-25"/>
    <x v="3"/>
    <n v="1250"/>
    <n v="588346"/>
    <s v="19-Aug-25"/>
    <n v="1000"/>
    <n v="1475"/>
    <n v="225"/>
    <n v="111813"/>
    <s v="19-Aug-25"/>
    <n v="250"/>
    <m/>
    <m/>
    <s v="T1BS6N"/>
    <s v="CVD"/>
    <s v="F"/>
  </r>
  <r>
    <n v="437"/>
    <s v="NORTH"/>
    <s v="UTTAR PRADESH"/>
    <n v="7134"/>
    <s v="M/S GOENKA AUTO PRIVATE LIMITED."/>
    <s v="VARANASI"/>
    <s v="02-Jul-24"/>
    <s v="07-Apr-25"/>
    <n v="1165"/>
    <n v="49800"/>
    <n v="5"/>
    <s v="S"/>
    <s v="T-1"/>
    <n v="775223"/>
    <s v="MC1E4EFA7RP013092"/>
    <s v="D71055951"/>
    <m/>
    <m/>
    <x v="3"/>
    <s v="08-Jun-25"/>
    <x v="3"/>
    <n v="1250"/>
    <n v="588346"/>
    <s v="19-Aug-25"/>
    <n v="1250"/>
    <n v="1475"/>
    <n v="225"/>
    <n v="111813"/>
    <s v="19-Aug-25"/>
    <n v="0"/>
    <m/>
    <m/>
    <s v="T1BS6"/>
    <s v="CVD"/>
    <s v="F"/>
  </r>
  <r>
    <n v="438"/>
    <s v="NORTH"/>
    <s v="UTTAR PRADESH"/>
    <n v="7134"/>
    <s v="M/S GOENKA AUTO PRIVATE LIMITED."/>
    <s v="VARANASI"/>
    <s v="31-Aug-24"/>
    <s v="02-Apr-25"/>
    <n v="1165"/>
    <n v="25537"/>
    <n v="3"/>
    <s v="S"/>
    <s v="T1N"/>
    <n v="4930"/>
    <s v="MC1M4AGA4SP002057"/>
    <s v="D71058793"/>
    <m/>
    <m/>
    <x v="3"/>
    <s v="08-Jun-25"/>
    <x v="3"/>
    <n v="1650"/>
    <n v="588346"/>
    <s v="19-Aug-25"/>
    <n v="1650"/>
    <n v="1947"/>
    <n v="297"/>
    <n v="111813"/>
    <s v="19-Aug-25"/>
    <n v="0"/>
    <m/>
    <m/>
    <s v="URBN"/>
    <s v="CVD"/>
    <s v="F"/>
  </r>
  <r>
    <n v="439"/>
    <s v="NORTH"/>
    <s v="UTTAR PRADESH"/>
    <n v="7134"/>
    <s v="M/S GOENKA AUTO PRIVATE LIMITED."/>
    <s v="VARANASI"/>
    <s v="21-Oct-24"/>
    <s v="01-Apr-25"/>
    <n v="1165"/>
    <n v="30000"/>
    <n v="3"/>
    <s v="S"/>
    <s v="TRAX"/>
    <n v="324355"/>
    <s v="MC1D4DJA7SP105502"/>
    <s v="D72016937"/>
    <m/>
    <m/>
    <x v="3"/>
    <s v="08-Jun-25"/>
    <x v="3"/>
    <n v="1250"/>
    <n v="588346"/>
    <s v="19-Aug-25"/>
    <n v="1250"/>
    <n v="1475"/>
    <n v="225"/>
    <n v="111813"/>
    <s v="19-Aug-25"/>
    <n v="0"/>
    <m/>
    <m/>
    <s v="TRXBS6"/>
    <s v="CVD"/>
    <s v="F"/>
  </r>
  <r>
    <n v="440"/>
    <s v="NORTH"/>
    <s v="UTTAR PRADESH"/>
    <n v="7134"/>
    <s v="M/S GOENKA AUTO PRIVATE LIMITED."/>
    <s v="VARANASI"/>
    <s v="24-Aug-24"/>
    <s v="07-Apr-25"/>
    <n v="1165"/>
    <n v="60000"/>
    <n v="6"/>
    <s v="S"/>
    <s v="TRAX"/>
    <n v="322564"/>
    <s v="MC1D4DHA2SP105199"/>
    <s v="D72016528"/>
    <m/>
    <m/>
    <x v="3"/>
    <s v="08-Jun-25"/>
    <x v="3"/>
    <n v="0"/>
    <n v="588346"/>
    <s v="19-Aug-25"/>
    <n v="0"/>
    <n v="0"/>
    <n v="0"/>
    <n v="111813"/>
    <s v="19-Aug-25"/>
    <n v="0"/>
    <m/>
    <m/>
    <s v="TRXBS6"/>
    <s v="CVD"/>
    <s v="P"/>
  </r>
  <r>
    <n v="441"/>
    <s v="NORTH"/>
    <s v="UTTAR PRADESH"/>
    <n v="7134"/>
    <s v="M/S GOENKA AUTO PRIVATE LIMITED."/>
    <s v="VARANASI"/>
    <s v="07-Aug-24"/>
    <s v="14-Apr-25"/>
    <n v="1165"/>
    <n v="9333"/>
    <n v="2"/>
    <s v="S"/>
    <s v="T26"/>
    <n v="768407"/>
    <s v="MC1E4FEA5RP020498"/>
    <s v="D71055405"/>
    <m/>
    <m/>
    <x v="3"/>
    <s v="08-Jun-25"/>
    <x v="3"/>
    <n v="1250"/>
    <n v="588346"/>
    <s v="19-Aug-25"/>
    <n v="1250"/>
    <n v="1475"/>
    <n v="225"/>
    <n v="111813"/>
    <s v="19-Aug-25"/>
    <n v="0"/>
    <m/>
    <m/>
    <s v="T26BS6N"/>
    <s v="CVD"/>
    <s v="F"/>
  </r>
  <r>
    <n v="442"/>
    <s v="NORTH"/>
    <s v="UTTAR PRADESH"/>
    <n v="7134"/>
    <s v="M/S GOENKA AUTO PRIVATE LIMITED."/>
    <s v="VARANASI"/>
    <s v="27-Jul-24"/>
    <s v="17-Apr-25"/>
    <n v="1165"/>
    <n v="41547"/>
    <n v="4"/>
    <s v="S"/>
    <s v="T-1"/>
    <n v="774650"/>
    <s v="MC1E4EFA2RP013193"/>
    <s v="D71056618"/>
    <s v="002"/>
    <s v="SERV DATE EXCEEDS"/>
    <x v="3"/>
    <s v="08-Jun-25"/>
    <x v="3"/>
    <n v="0"/>
    <n v="588346"/>
    <s v="19-Aug-25"/>
    <n v="0"/>
    <n v="0"/>
    <n v="0"/>
    <n v="111813"/>
    <s v="19-Aug-25"/>
    <n v="0"/>
    <m/>
    <m/>
    <s v="T1BS6"/>
    <s v="CVD"/>
    <s v="P"/>
  </r>
  <r>
    <n v="443"/>
    <s v="NORTH"/>
    <s v="UTTAR PRADESH"/>
    <n v="7134"/>
    <s v="M/S GOENKA AUTO PRIVATE LIMITED."/>
    <s v="VARANASI"/>
    <s v="27-Apr-24"/>
    <s v="13-Apr-25"/>
    <n v="1165"/>
    <n v="13364"/>
    <n v="2"/>
    <s v="S"/>
    <s v="T26"/>
    <n v="768004"/>
    <s v="MC1E4FBAXRP019416"/>
    <s v="D71047729"/>
    <s v="002"/>
    <s v="SERV DATE EXCEEDS"/>
    <x v="3"/>
    <s v="08-Jun-25"/>
    <x v="3"/>
    <n v="1250"/>
    <n v="588346"/>
    <s v="19-Aug-25"/>
    <n v="1000"/>
    <n v="1475"/>
    <n v="225"/>
    <n v="111813"/>
    <s v="19-Aug-25"/>
    <n v="250"/>
    <m/>
    <m/>
    <s v="T26BS6N"/>
    <s v="CVD"/>
    <s v="F"/>
  </r>
  <r>
    <n v="444"/>
    <s v="NORTH"/>
    <s v="UTTAR PRADESH"/>
    <n v="7134"/>
    <s v="M/S GOENKA AUTO PRIVATE LIMITED."/>
    <s v="VARANASI"/>
    <s v="25-Jan-24"/>
    <s v="02-Apr-25"/>
    <n v="1165"/>
    <n v="110000"/>
    <n v="11"/>
    <s v="S"/>
    <s v="TRAX"/>
    <n v="320346"/>
    <s v="MC1D4DMAXRP102762"/>
    <s v="D72013178"/>
    <m/>
    <m/>
    <x v="3"/>
    <s v="08-Jun-25"/>
    <x v="3"/>
    <n v="1250"/>
    <n v="588346"/>
    <s v="19-Aug-25"/>
    <n v="1250"/>
    <n v="1475"/>
    <n v="225"/>
    <n v="111813"/>
    <s v="19-Aug-25"/>
    <n v="0"/>
    <m/>
    <m/>
    <s v="TRXBS6"/>
    <s v="CVD"/>
    <s v="F"/>
  </r>
  <r>
    <n v="445"/>
    <s v="NORTH"/>
    <s v="UTTAR PRADESH"/>
    <n v="7134"/>
    <s v="M/S GOENKA AUTO PRIVATE LIMITED."/>
    <s v="VARANASI"/>
    <s v="29-Nov-23"/>
    <s v="15-Apr-25"/>
    <n v="1165"/>
    <n v="42894"/>
    <n v="9"/>
    <s v="S"/>
    <s v="TRAX"/>
    <n v="319116"/>
    <s v="MC1D4DJA3RP101358"/>
    <s v="D72011950"/>
    <m/>
    <m/>
    <x v="3"/>
    <s v="08-Jun-25"/>
    <x v="3"/>
    <n v="0"/>
    <n v="588346"/>
    <s v="19-Aug-25"/>
    <n v="0"/>
    <n v="0"/>
    <n v="0"/>
    <n v="111813"/>
    <s v="19-Aug-25"/>
    <n v="0"/>
    <m/>
    <m/>
    <s v="TRXBS6"/>
    <s v="CVD"/>
    <s v="P"/>
  </r>
  <r>
    <n v="446"/>
    <s v="NORTH"/>
    <s v="UTTAR PRADESH"/>
    <n v="7134"/>
    <s v="M/S GOENKA AUTO PRIVATE LIMITED."/>
    <s v="VARANASI"/>
    <s v="30-Dec-23"/>
    <s v="06-Apr-25"/>
    <n v="1165"/>
    <n v="50120"/>
    <n v="7"/>
    <s v="S"/>
    <s v="T-1"/>
    <n v="762665"/>
    <s v="MC1E4DMA7RP049698"/>
    <s v="D71043659"/>
    <s v="002"/>
    <s v="SERV DATE EXCEEDS"/>
    <x v="3"/>
    <s v="08-Jun-25"/>
    <x v="3"/>
    <n v="0"/>
    <n v="588346"/>
    <s v="19-Aug-25"/>
    <n v="0"/>
    <n v="0"/>
    <n v="0"/>
    <n v="111813"/>
    <s v="19-Aug-25"/>
    <n v="0"/>
    <m/>
    <m/>
    <s v="T1BS6"/>
    <s v="CVD"/>
    <s v="P"/>
  </r>
  <r>
    <n v="447"/>
    <s v="NORTH"/>
    <s v="UTTAR PRADESH"/>
    <n v="7134"/>
    <s v="M/S GOENKA AUTO PRIVATE LIMITED."/>
    <s v="VARANASI"/>
    <s v="16-Oct-24"/>
    <s v="27-Apr-25"/>
    <n v="1165"/>
    <n v="39900"/>
    <n v="4"/>
    <s v="S"/>
    <s v="TRAX"/>
    <n v="324809"/>
    <s v="MC1D4DHA2SP105462"/>
    <s v="D72016887"/>
    <m/>
    <m/>
    <x v="3"/>
    <s v="08-Jun-25"/>
    <x v="3"/>
    <n v="0"/>
    <n v="588346"/>
    <s v="19-Aug-25"/>
    <n v="0"/>
    <n v="0"/>
    <n v="0"/>
    <n v="111813"/>
    <s v="19-Aug-25"/>
    <n v="0"/>
    <m/>
    <m/>
    <s v="TRXBS6"/>
    <s v="CVD"/>
    <s v="P"/>
  </r>
  <r>
    <n v="448"/>
    <s v="NORTH"/>
    <s v="UTTAR PRADESH"/>
    <n v="7134"/>
    <s v="M/S GOENKA AUTO PRIVATE LIMITED."/>
    <s v="VARANASI"/>
    <s v="18-Dec-23"/>
    <s v="10-Apr-25"/>
    <n v="936"/>
    <n v="98079"/>
    <n v="10"/>
    <s v="S"/>
    <s v="T-1"/>
    <n v="755823"/>
    <s v="MC1E4EKA4RP010852"/>
    <s v="D71041152"/>
    <m/>
    <m/>
    <x v="3"/>
    <s v="08-Jun-25"/>
    <x v="3"/>
    <n v="0"/>
    <n v="588346"/>
    <s v="19-Aug-25"/>
    <n v="0"/>
    <n v="0"/>
    <n v="0"/>
    <n v="111813"/>
    <s v="19-Aug-25"/>
    <n v="0"/>
    <m/>
    <m/>
    <s v="T1BS6"/>
    <s v="CVD"/>
    <s v="P"/>
  </r>
  <r>
    <n v="449"/>
    <s v="NORTH"/>
    <s v="UTTAR PRADESH"/>
    <n v="7134"/>
    <s v="M/S GOENKA AUTO PRIVATE LIMITED."/>
    <s v="VARANASI"/>
    <s v="28-Sep-24"/>
    <s v="22-Apr-25"/>
    <n v="1165"/>
    <n v="38100"/>
    <n v="4"/>
    <s v="S"/>
    <s v="T1N"/>
    <n v="5065"/>
    <s v="MC1M4AHA7SP002245"/>
    <s v="D71061030"/>
    <m/>
    <m/>
    <x v="3"/>
    <s v="08-Jun-25"/>
    <x v="3"/>
    <n v="0"/>
    <n v="588346"/>
    <s v="19-Aug-25"/>
    <n v="0"/>
    <n v="0"/>
    <n v="0"/>
    <n v="111813"/>
    <s v="19-Aug-25"/>
    <n v="0"/>
    <m/>
    <m/>
    <s v="URBN"/>
    <s v="CVD"/>
    <s v="P"/>
  </r>
  <r>
    <n v="450"/>
    <s v="NORTH"/>
    <s v="UTTAR PRADESH"/>
    <n v="7134"/>
    <s v="M/S GOENKA AUTO PRIVATE LIMITED."/>
    <s v="VARANASI"/>
    <s v="28-Sep-24"/>
    <s v="27-May-25"/>
    <n v="1165"/>
    <n v="50000"/>
    <n v="5"/>
    <s v="S"/>
    <s v="T-1"/>
    <n v="787042"/>
    <s v="MC1E4EHA9SP013842"/>
    <s v="D71060493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"/>
    <s v="CVD"/>
    <s v="F"/>
  </r>
  <r>
    <n v="451"/>
    <s v="NORTH"/>
    <s v="UTTAR PRADESH"/>
    <n v="7134"/>
    <s v="M/S GOENKA AUTO PRIVATE LIMITED."/>
    <s v="VARANASI"/>
    <s v="18-Mar-25"/>
    <s v="16-May-25"/>
    <n v="1165"/>
    <n v="5728"/>
    <n v="1"/>
    <s v="S"/>
    <s v="T26"/>
    <n v="789530"/>
    <s v="MC1E4FBA3SP022860"/>
    <s v="D71074009"/>
    <m/>
    <m/>
    <x v="4"/>
    <s v="08-Jun-25"/>
    <x v="4"/>
    <n v="1250"/>
    <n v="588115"/>
    <s v="18-Jul-25"/>
    <n v="1250"/>
    <n v="1475"/>
    <n v="225"/>
    <n v="111582"/>
    <s v="18-Jul-25"/>
    <n v="0"/>
    <m/>
    <m/>
    <s v="T26BS6"/>
    <s v="CVD"/>
    <s v="F"/>
  </r>
  <r>
    <n v="452"/>
    <s v="NORTH"/>
    <s v="UTTAR PRADESH"/>
    <n v="7134"/>
    <s v="M/S GOENKA AUTO PRIVATE LIMITED."/>
    <s v="VARANASI"/>
    <s v="24-Apr-24"/>
    <s v="13-May-25"/>
    <n v="1165"/>
    <n v="79920"/>
    <n v="8"/>
    <s v="S"/>
    <s v="TRAX"/>
    <n v="322476"/>
    <s v="MC1D4DBA6RP103555"/>
    <s v="D72014275"/>
    <m/>
    <m/>
    <x v="4"/>
    <s v="08-Jun-25"/>
    <x v="4"/>
    <n v="1250"/>
    <n v="588115"/>
    <s v="18-Jul-25"/>
    <n v="1250"/>
    <n v="1475"/>
    <n v="225"/>
    <n v="111582"/>
    <s v="18-Jul-25"/>
    <n v="0"/>
    <m/>
    <m/>
    <s v="TRXBS6"/>
    <s v="CVD"/>
    <s v="F"/>
  </r>
  <r>
    <n v="453"/>
    <s v="NORTH"/>
    <s v="UTTAR PRADESH"/>
    <n v="7134"/>
    <s v="M/S GOENKA AUTO PRIVATE LIMITED."/>
    <s v="VARANASI"/>
    <s v="25-Mar-25"/>
    <s v="26-May-25"/>
    <n v="895"/>
    <n v="9527"/>
    <n v="1"/>
    <s v="S"/>
    <s v="T-1"/>
    <n v="795314"/>
    <s v="MC1E4CAA1SP084645"/>
    <s v="D71069511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454"/>
    <s v="NORTH"/>
    <s v="UTTAR PRADESH"/>
    <n v="7134"/>
    <s v="M/S GOENKA AUTO PRIVATE LIMITED."/>
    <s v="VARANASI"/>
    <s v="12-Jul-24"/>
    <s v="15-May-25"/>
    <n v="1165"/>
    <n v="16230"/>
    <n v="1"/>
    <s v="S"/>
    <s v="T-1"/>
    <n v="771290"/>
    <s v="MC1E4EBA9RP011981"/>
    <s v="D71048753"/>
    <s v="001, 022"/>
    <s v="SERV KMS  / HRS EXCEEDS, SERVICE COUPON HARD COPY NOT RECEIVED"/>
    <x v="4"/>
    <s v="08-Jun-25"/>
    <x v="4"/>
    <n v="1250"/>
    <n v="588115"/>
    <s v="18-Jul-25"/>
    <n v="0"/>
    <n v="1475"/>
    <n v="225"/>
    <n v="111582"/>
    <s v="18-Jul-25"/>
    <n v="1250"/>
    <m/>
    <m/>
    <s v="T1BS6N"/>
    <s v="CVD"/>
    <s v="F"/>
  </r>
  <r>
    <n v="455"/>
    <s v="NORTH"/>
    <s v="UTTAR PRADESH"/>
    <n v="7134"/>
    <s v="M/S GOENKA AUTO PRIVATE LIMITED."/>
    <s v="VARANASI"/>
    <s v="16-May-24"/>
    <s v="13-May-25"/>
    <n v="1165"/>
    <n v="29220"/>
    <n v="6"/>
    <s v="S"/>
    <s v="T-1"/>
    <n v="773117"/>
    <s v="MC1E4DDA5RP052082"/>
    <s v="D71052040"/>
    <m/>
    <m/>
    <x v="4"/>
    <s v="08-Jun-25"/>
    <x v="4"/>
    <n v="0"/>
    <n v="588115"/>
    <s v="18-Jul-25"/>
    <n v="0"/>
    <n v="0"/>
    <n v="0"/>
    <n v="111582"/>
    <s v="18-Jul-25"/>
    <n v="0"/>
    <m/>
    <m/>
    <s v="T1BS6"/>
    <s v="CVD"/>
    <s v="P"/>
  </r>
  <r>
    <n v="456"/>
    <s v="NORTH"/>
    <s v="UTTAR PRADESH"/>
    <n v="7134"/>
    <s v="M/S GOENKA AUTO PRIVATE LIMITED."/>
    <s v="VARANASI"/>
    <s v="08-Aug-24"/>
    <s v="11-May-25"/>
    <n v="1165"/>
    <n v="29529"/>
    <n v="5"/>
    <s v="S"/>
    <s v="T-1"/>
    <n v="785384"/>
    <s v="MC1E4EFA1RP013377"/>
    <s v="D71057656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"/>
    <s v="CVD"/>
    <s v="F"/>
  </r>
  <r>
    <n v="457"/>
    <s v="NORTH"/>
    <s v="UTTAR PRADESH"/>
    <n v="7134"/>
    <s v="M/S GOENKA AUTO PRIVATE LIMITED."/>
    <s v="VARANASI"/>
    <s v="08-Mar-25"/>
    <s v="19-May-25"/>
    <n v="874"/>
    <n v="9500"/>
    <n v="1"/>
    <s v="S"/>
    <s v="T-1"/>
    <n v="796009"/>
    <s v="MC1E4CAAXSP083980"/>
    <s v="D71070150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458"/>
    <s v="NORTH"/>
    <s v="UTTAR PRADESH"/>
    <n v="7134"/>
    <s v="M/S GOENKA AUTO PRIVATE LIMITED."/>
    <s v="VARANASI"/>
    <s v="18-Feb-25"/>
    <s v="28-May-25"/>
    <n v="1165"/>
    <n v="18036"/>
    <n v="2"/>
    <s v="S"/>
    <s v="T1N"/>
    <n v="6116"/>
    <s v="MC1M4ALA3SP002959"/>
    <s v="D71066712"/>
    <m/>
    <m/>
    <x v="4"/>
    <s v="08-Jun-25"/>
    <x v="4"/>
    <n v="0"/>
    <n v="588115"/>
    <s v="18-Jul-25"/>
    <n v="0"/>
    <n v="0"/>
    <n v="0"/>
    <n v="111582"/>
    <s v="18-Jul-25"/>
    <n v="0"/>
    <m/>
    <m/>
    <s v="URBN"/>
    <s v="CVD"/>
    <s v="P"/>
  </r>
  <r>
    <n v="459"/>
    <s v="NORTH"/>
    <s v="UTTAR PRADESH"/>
    <n v="7134"/>
    <s v="M/S GOENKA AUTO PRIVATE LIMITED."/>
    <s v="VARANASI"/>
    <s v="26-Mar-25"/>
    <s v="26-May-25"/>
    <n v="894"/>
    <n v="10131"/>
    <n v="1"/>
    <s v="S"/>
    <s v="T-1"/>
    <n v="798675"/>
    <s v="MC1E4CAA8SP083766"/>
    <s v="D71069763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460"/>
    <s v="NORTH"/>
    <s v="UTTAR PRADESH"/>
    <n v="7134"/>
    <s v="M/S GOENKA AUTO PRIVATE LIMITED."/>
    <s v="VARANASI"/>
    <s v="23-Jan-25"/>
    <s v="30-May-25"/>
    <n v="1165"/>
    <n v="16280"/>
    <n v="2"/>
    <s v="S"/>
    <s v="T26"/>
    <n v="789007"/>
    <s v="MC1E4FAA3SP022178"/>
    <s v="D71068604"/>
    <m/>
    <m/>
    <x v="4"/>
    <s v="08-Jun-25"/>
    <x v="4"/>
    <n v="0"/>
    <n v="588115"/>
    <s v="18-Jul-25"/>
    <n v="0"/>
    <n v="0"/>
    <n v="0"/>
    <n v="111582"/>
    <s v="18-Jul-25"/>
    <n v="0"/>
    <m/>
    <m/>
    <s v="T26BS6"/>
    <s v="CVD"/>
    <s v="P"/>
  </r>
  <r>
    <n v="461"/>
    <s v="NORTH"/>
    <s v="UTTAR PRADESH"/>
    <n v="7134"/>
    <s v="M/S GOENKA AUTO PRIVATE LIMITED."/>
    <s v="VARANASI"/>
    <s v="17-Jan-25"/>
    <s v="14-May-25"/>
    <n v="1165"/>
    <n v="17428"/>
    <n v="2"/>
    <s v="S"/>
    <s v="T26"/>
    <n v="789053"/>
    <s v="MC1E4FAAXSP022095"/>
    <s v="D71067661"/>
    <m/>
    <m/>
    <x v="4"/>
    <s v="08-Jun-25"/>
    <x v="4"/>
    <n v="0"/>
    <n v="588115"/>
    <s v="18-Jul-25"/>
    <n v="0"/>
    <n v="0"/>
    <n v="0"/>
    <n v="111582"/>
    <s v="18-Jul-25"/>
    <n v="0"/>
    <m/>
    <m/>
    <s v="T26BS6"/>
    <s v="CVD"/>
    <s v="P"/>
  </r>
  <r>
    <n v="462"/>
    <s v="NORTH"/>
    <s v="UTTAR PRADESH"/>
    <n v="7134"/>
    <s v="M/S GOENKA AUTO PRIVATE LIMITED."/>
    <s v="VARANASI"/>
    <s v="27-Mar-25"/>
    <s v="26-May-25"/>
    <n v="904"/>
    <n v="9245"/>
    <n v="1"/>
    <s v="S"/>
    <s v="T-1"/>
    <n v="795397"/>
    <s v="MC1E4CBA5SP085344"/>
    <s v="D71072197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463"/>
    <s v="NORTH"/>
    <s v="UTTAR PRADESH"/>
    <n v="7134"/>
    <s v="M/S GOENKA AUTO PRIVATE LIMITED."/>
    <s v="VARANASI"/>
    <s v="30-May-24"/>
    <s v="04-May-25"/>
    <n v="1165"/>
    <n v="86801"/>
    <n v="9"/>
    <s v="S"/>
    <s v="TRAX"/>
    <n v="321779"/>
    <s v="MC1D4DBA9RP103565"/>
    <s v="D72014281"/>
    <m/>
    <m/>
    <x v="4"/>
    <s v="08-Jun-25"/>
    <x v="4"/>
    <n v="0"/>
    <n v="588115"/>
    <s v="18-Jul-25"/>
    <n v="0"/>
    <n v="0"/>
    <n v="0"/>
    <n v="111582"/>
    <s v="18-Jul-25"/>
    <n v="0"/>
    <m/>
    <m/>
    <s v="TRXBS6"/>
    <s v="CVD"/>
    <s v="P"/>
  </r>
  <r>
    <n v="464"/>
    <s v="NORTH"/>
    <s v="UTTAR PRADESH"/>
    <n v="7134"/>
    <s v="M/S GOENKA AUTO PRIVATE LIMITED."/>
    <s v="VARANASI"/>
    <s v="29-Jun-24"/>
    <s v="11-May-25"/>
    <n v="1165"/>
    <n v="75840"/>
    <n v="8"/>
    <s v="S"/>
    <s v="T-1"/>
    <n v="775224"/>
    <s v="MC1E4EFA7RP013089"/>
    <s v="D71055925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"/>
    <s v="CVD"/>
    <s v="F"/>
  </r>
  <r>
    <n v="465"/>
    <s v="NORTH"/>
    <s v="UTTAR PRADESH"/>
    <n v="7134"/>
    <s v="M/S GOENKA AUTO PRIVATE LIMITED."/>
    <s v="VARANASI"/>
    <s v="20-Jul-23"/>
    <s v="28-May-25"/>
    <n v="1165"/>
    <n v="26172"/>
    <n v="12"/>
    <s v="S"/>
    <s v="T-1"/>
    <n v="744987"/>
    <s v="MC1E4DCA1PP044964"/>
    <s v="D71028227"/>
    <m/>
    <m/>
    <x v="4"/>
    <s v="08-Jun-25"/>
    <x v="4"/>
    <n v="0"/>
    <n v="588115"/>
    <s v="18-Jul-25"/>
    <n v="0"/>
    <n v="0"/>
    <n v="0"/>
    <n v="111582"/>
    <s v="18-Jul-25"/>
    <n v="0"/>
    <m/>
    <m/>
    <s v="T1BS6"/>
    <s v="CVD"/>
    <s v="P"/>
  </r>
  <r>
    <n v="466"/>
    <s v="NORTH"/>
    <s v="UTTAR PRADESH"/>
    <n v="7134"/>
    <s v="M/S GOENKA AUTO PRIVATE LIMITED."/>
    <s v="VARANASI"/>
    <s v="19-Feb-24"/>
    <s v="25-May-25"/>
    <n v="1165"/>
    <n v="78727"/>
    <n v="8"/>
    <s v="S"/>
    <s v="T1N"/>
    <n v="3268"/>
    <s v="MC1M4ABA1RP000994"/>
    <s v="D71047182"/>
    <m/>
    <m/>
    <x v="4"/>
    <s v="08-Jun-25"/>
    <x v="4"/>
    <n v="0"/>
    <n v="588115"/>
    <s v="18-Jul-25"/>
    <n v="0"/>
    <n v="0"/>
    <n v="0"/>
    <n v="111582"/>
    <s v="18-Jul-25"/>
    <n v="0"/>
    <m/>
    <m/>
    <s v="URBN"/>
    <s v="CVD"/>
    <s v="P"/>
  </r>
  <r>
    <n v="467"/>
    <s v="NORTH"/>
    <s v="UTTAR PRADESH"/>
    <n v="7134"/>
    <s v="M/S GOENKA AUTO PRIVATE LIMITED."/>
    <s v="VARANASI"/>
    <s v="18-Jul-24"/>
    <s v="25-May-25"/>
    <n v="1165"/>
    <n v="19104"/>
    <n v="3"/>
    <s v="S"/>
    <s v="T-1"/>
    <n v="780308"/>
    <s v="MC1E4CFA7RP079789"/>
    <s v="D71056356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468"/>
    <s v="NORTH"/>
    <s v="UTTAR PRADESH"/>
    <n v="7134"/>
    <s v="M/S GOENKA AUTO PRIVATE LIMITED."/>
    <s v="VARANASI"/>
    <s v="24-Mar-25"/>
    <s v="15-May-25"/>
    <n v="856"/>
    <n v="9669"/>
    <n v="1"/>
    <s v="S"/>
    <s v="T-1"/>
    <n v="796597"/>
    <s v="MC1E4CAA0SP084412"/>
    <s v="D71069289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469"/>
    <s v="NORTH"/>
    <s v="UTTAR PRADESH"/>
    <n v="7134"/>
    <s v="M/S GOENKA AUTO PRIVATE LIMITED."/>
    <s v="VARANASI"/>
    <s v="27-Feb-24"/>
    <s v="22-May-25"/>
    <n v="1165"/>
    <n v="70000"/>
    <n v="7"/>
    <s v="S"/>
    <s v="T1N"/>
    <n v="3046"/>
    <s v="MC1M4ABA6RP001056"/>
    <s v="D71048004"/>
    <m/>
    <m/>
    <x v="4"/>
    <s v="08-Jun-25"/>
    <x v="4"/>
    <n v="1650"/>
    <n v="588115"/>
    <s v="18-Jul-25"/>
    <n v="1650"/>
    <n v="1947"/>
    <n v="297"/>
    <n v="111582"/>
    <s v="18-Jul-25"/>
    <n v="0"/>
    <m/>
    <m/>
    <s v="URBN"/>
    <s v="CVD"/>
    <s v="F"/>
  </r>
  <r>
    <n v="470"/>
    <s v="NORTH"/>
    <s v="UTTAR PRADESH"/>
    <n v="7134"/>
    <s v="M/S GOENKA AUTO PRIVATE LIMITED."/>
    <s v="VARANASI"/>
    <s v="23-Mar-25"/>
    <s v="09-May-25"/>
    <n v="881"/>
    <n v="9962"/>
    <n v="1"/>
    <s v="S"/>
    <s v="T-1"/>
    <n v="796039"/>
    <s v="MC1E4CAA2SP083990"/>
    <s v="D71070093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471"/>
    <s v="NORTH"/>
    <s v="UTTAR PRADESH"/>
    <n v="7134"/>
    <s v="M/S GOENKA AUTO PRIVATE LIMITED."/>
    <s v="VARANASI"/>
    <s v="13-Mar-25"/>
    <s v="11-May-25"/>
    <n v="1165"/>
    <n v="3282"/>
    <n v="1"/>
    <s v="S"/>
    <s v="T-1"/>
    <n v="785189"/>
    <s v="MC1E4EBA7SP015422"/>
    <s v="D71073642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"/>
    <s v="CVD"/>
    <s v="F"/>
  </r>
  <r>
    <n v="472"/>
    <s v="NORTH"/>
    <s v="UTTAR PRADESH"/>
    <n v="7134"/>
    <s v="M/S GOENKA AUTO PRIVATE LIMITED."/>
    <s v="VARANASI"/>
    <s v="26-Mar-25"/>
    <s v="16-May-25"/>
    <n v="850"/>
    <n v="10959"/>
    <n v="1"/>
    <s v="S"/>
    <s v="T-1"/>
    <n v="795369"/>
    <s v="MC1E4CBA4SP085254"/>
    <s v="D71072177"/>
    <s v="001"/>
    <s v="SERV KMS  / HRS EXCEEDS"/>
    <x v="4"/>
    <s v="08-Jun-25"/>
    <x v="4"/>
    <n v="1250"/>
    <n v="588115"/>
    <s v="18-Jul-25"/>
    <n v="1000"/>
    <n v="1475"/>
    <n v="225"/>
    <n v="111582"/>
    <s v="18-Jul-25"/>
    <n v="250"/>
    <m/>
    <m/>
    <s v="T1BS6N"/>
    <s v="CVD"/>
    <s v="F"/>
  </r>
  <r>
    <n v="473"/>
    <s v="NORTH"/>
    <s v="UTTAR PRADESH"/>
    <n v="7134"/>
    <s v="M/S GOENKA AUTO PRIVATE LIMITED."/>
    <s v="VARANASI"/>
    <s v="15-Nov-24"/>
    <s v="02-May-25"/>
    <n v="1165"/>
    <n v="40000"/>
    <n v="4"/>
    <s v="S"/>
    <s v="T26"/>
    <n v="789860"/>
    <s v="MC1E4FJA7SP021633"/>
    <s v="D71063051"/>
    <m/>
    <m/>
    <x v="4"/>
    <s v="08-Jun-25"/>
    <x v="4"/>
    <n v="0"/>
    <n v="588115"/>
    <s v="18-Jul-25"/>
    <n v="0"/>
    <n v="0"/>
    <n v="0"/>
    <n v="111582"/>
    <s v="18-Jul-25"/>
    <n v="0"/>
    <m/>
    <m/>
    <s v="T26BS6"/>
    <s v="CVD"/>
    <s v="P"/>
  </r>
  <r>
    <n v="474"/>
    <s v="NORTH"/>
    <s v="UTTAR PRADESH"/>
    <n v="7134"/>
    <s v="M/S GOENKA AUTO PRIVATE LIMITED."/>
    <s v="VARANASI"/>
    <s v="07-Apr-16"/>
    <s v="12-May-25"/>
    <n v="1160"/>
    <n v="99850"/>
    <n v="12"/>
    <s v="S"/>
    <s v="T-1"/>
    <n v="423794"/>
    <s v="MC1E4DBA0GP022777"/>
    <s v="D63026147"/>
    <s v="022"/>
    <s v="SERVICE COUPON HARD COPY NOT RECEIVED"/>
    <x v="4"/>
    <s v="08-Jun-25"/>
    <x v="4"/>
    <n v="1250"/>
    <n v="588115"/>
    <s v="18-Jul-25"/>
    <n v="0"/>
    <n v="1475"/>
    <n v="225"/>
    <n v="111582"/>
    <s v="18-Jul-25"/>
    <n v="1250"/>
    <m/>
    <m/>
    <s v="T-1"/>
    <s v="CVD"/>
    <s v="F"/>
  </r>
  <r>
    <n v="475"/>
    <s v="NORTH"/>
    <s v="UTTAR PRADESH"/>
    <n v="7134"/>
    <s v="M/S GOENKA AUTO PRIVATE LIMITED."/>
    <s v="VARANASI"/>
    <s v="23-Mar-25"/>
    <s v="15-May-25"/>
    <n v="892"/>
    <n v="8226"/>
    <n v="1"/>
    <s v="S"/>
    <s v="T-1"/>
    <n v="796209"/>
    <s v="MC1E4CAA4SP084283"/>
    <s v="D71070751"/>
    <s v="022"/>
    <s v="SERVICE COUPON HARD COPY NOT RECEIVED"/>
    <x v="4"/>
    <s v="08-Jun-25"/>
    <x v="4"/>
    <n v="1250"/>
    <n v="588115"/>
    <s v="18-Jul-25"/>
    <n v="0"/>
    <n v="1475"/>
    <n v="225"/>
    <n v="111582"/>
    <s v="18-Jul-25"/>
    <n v="1250"/>
    <m/>
    <m/>
    <s v="T1BS6N"/>
    <s v="CVD"/>
    <s v="F"/>
  </r>
  <r>
    <n v="476"/>
    <s v="NORTH"/>
    <s v="UTTAR PRADESH"/>
    <n v="7134"/>
    <s v="M/S GOENKA AUTO PRIVATE LIMITED."/>
    <s v="VARANASI"/>
    <s v="24-Feb-24"/>
    <s v="13-May-25"/>
    <n v="1165"/>
    <n v="80000"/>
    <n v="8"/>
    <s v="S"/>
    <s v="T1N"/>
    <n v="3269"/>
    <s v="MC1M4ABA2RP001023"/>
    <s v="D71047495"/>
    <m/>
    <m/>
    <x v="4"/>
    <s v="08-Jun-25"/>
    <x v="4"/>
    <n v="0"/>
    <n v="588115"/>
    <s v="18-Jul-25"/>
    <n v="0"/>
    <n v="0"/>
    <n v="0"/>
    <n v="111582"/>
    <s v="18-Jul-25"/>
    <n v="0"/>
    <m/>
    <m/>
    <s v="URBN"/>
    <s v="CVD"/>
    <s v="P"/>
  </r>
  <r>
    <n v="477"/>
    <s v="NORTH"/>
    <s v="UTTAR PRADESH"/>
    <n v="7134"/>
    <s v="M/S GOENKA AUTO PRIVATE LIMITED."/>
    <s v="VARANASI"/>
    <s v="11-Aug-23"/>
    <s v="25-May-25"/>
    <n v="1165"/>
    <n v="28469"/>
    <n v="11"/>
    <s v="S"/>
    <s v="T-1"/>
    <n v="733389"/>
    <s v="MC1E5DGA4RP000385"/>
    <s v="D73000510"/>
    <m/>
    <m/>
    <x v="4"/>
    <s v="08-Jun-25"/>
    <x v="4"/>
    <n v="1250"/>
    <n v="588115"/>
    <s v="18-Jul-25"/>
    <n v="1250"/>
    <n v="1475"/>
    <n v="225"/>
    <n v="111582"/>
    <s v="18-Jul-25"/>
    <n v="0"/>
    <m/>
    <m/>
    <s v="T1CNGL"/>
    <s v="CVD"/>
    <s v="F"/>
  </r>
  <r>
    <n v="478"/>
    <s v="NORTH"/>
    <s v="UTTAR PRADESH"/>
    <n v="7134"/>
    <s v="M/S GOENKA AUTO PRIVATE LIMITED."/>
    <s v="VARANASI"/>
    <s v="20-Jun-24"/>
    <s v="06-May-25"/>
    <n v="1165"/>
    <n v="50000"/>
    <n v="5"/>
    <s v="S"/>
    <s v="T-1"/>
    <n v="775502"/>
    <s v="MC1E4DEA9RP052715"/>
    <s v="D71054523"/>
    <s v="002"/>
    <s v="SERV DATE EXCEEDS"/>
    <x v="4"/>
    <s v="08-Jun-25"/>
    <x v="4"/>
    <n v="1250"/>
    <n v="588115"/>
    <s v="18-Jul-25"/>
    <n v="1000"/>
    <n v="1475"/>
    <n v="225"/>
    <n v="111582"/>
    <s v="18-Jul-25"/>
    <n v="250"/>
    <m/>
    <m/>
    <s v="T1BS6"/>
    <s v="CVD"/>
    <s v="F"/>
  </r>
  <r>
    <n v="479"/>
    <s v="NORTH"/>
    <s v="UTTAR PRADESH"/>
    <n v="7134"/>
    <s v="M/S GOENKA AUTO PRIVATE LIMITED."/>
    <s v="VARANASI"/>
    <s v="07-Jul-23"/>
    <s v="28-May-25"/>
    <n v="1165"/>
    <n v="34972"/>
    <n v="12"/>
    <s v="S"/>
    <s v="T-1"/>
    <n v="748690"/>
    <s v="MC1E4DFA9PP046568"/>
    <s v="D71033839"/>
    <m/>
    <m/>
    <x v="4"/>
    <s v="08-Jun-25"/>
    <x v="4"/>
    <n v="0"/>
    <n v="588115"/>
    <s v="18-Jul-25"/>
    <n v="0"/>
    <n v="0"/>
    <n v="0"/>
    <n v="111582"/>
    <s v="18-Jul-25"/>
    <n v="0"/>
    <m/>
    <m/>
    <s v="T1BS6"/>
    <s v="CVD"/>
    <s v="P"/>
  </r>
  <r>
    <n v="480"/>
    <s v="NORTH"/>
    <s v="UTTAR PRADESH"/>
    <n v="7134"/>
    <s v="M/S GOENKA AUTO PRIVATE LIMITED."/>
    <s v="VARANASI"/>
    <s v="29-Oct-24"/>
    <s v="13-May-25"/>
    <n v="1165"/>
    <n v="29220"/>
    <n v="3"/>
    <s v="S"/>
    <s v="T-1"/>
    <n v="790753"/>
    <s v="MC1E4DKA8SP054739"/>
    <s v="D71063348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"/>
    <s v="CVD"/>
    <s v="F"/>
  </r>
  <r>
    <n v="481"/>
    <s v="NORTH"/>
    <s v="UTTAR PRADESH"/>
    <n v="7134"/>
    <s v="M/S GOENKA AUTO PRIVATE LIMITED."/>
    <s v="VARANASI"/>
    <s v="24-Mar-25"/>
    <s v="13-May-25"/>
    <n v="852"/>
    <n v="10328"/>
    <n v="1"/>
    <s v="S"/>
    <s v="T-1"/>
    <n v="796224"/>
    <s v="MC1E4CAA6SP084401"/>
    <s v="D71070795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482"/>
    <s v="NORTH"/>
    <s v="UTTAR PRADESH"/>
    <n v="7134"/>
    <s v="M/S GOENKA AUTO PRIVATE LIMITED."/>
    <s v="VARANASI"/>
    <s v="11-Sep-24"/>
    <s v="19-May-25"/>
    <n v="1165"/>
    <n v="59230"/>
    <n v="6"/>
    <s v="S"/>
    <s v="T-1"/>
    <n v="785727"/>
    <s v="MC1E4EGA4SP013474"/>
    <s v="D71058225"/>
    <m/>
    <m/>
    <x v="4"/>
    <s v="08-Jun-25"/>
    <x v="4"/>
    <n v="0"/>
    <n v="588115"/>
    <s v="18-Jul-25"/>
    <n v="0"/>
    <n v="0"/>
    <n v="0"/>
    <n v="111582"/>
    <s v="18-Jul-25"/>
    <n v="0"/>
    <m/>
    <m/>
    <s v="T1BS6"/>
    <s v="CVD"/>
    <s v="P"/>
  </r>
  <r>
    <n v="483"/>
    <s v="NORTH"/>
    <s v="UTTAR PRADESH"/>
    <n v="7134"/>
    <s v="M/S GOENKA AUTO PRIVATE LIMITED."/>
    <s v="VARANASI"/>
    <s v="02-Sep-23"/>
    <s v="22-May-25"/>
    <n v="1165"/>
    <n v="100000"/>
    <n v="10"/>
    <s v="S"/>
    <s v="TRAX"/>
    <n v="317507"/>
    <s v="MC1D4DHA0RP101176"/>
    <s v="D72011794"/>
    <s v="002, 022"/>
    <s v="SERV DATE EXCEEDS, SERVICE COUPON HARD COPY NOT RECEIVED"/>
    <x v="4"/>
    <s v="08-Jun-25"/>
    <x v="4"/>
    <n v="0"/>
    <n v="588115"/>
    <s v="18-Jul-25"/>
    <n v="0"/>
    <n v="0"/>
    <n v="0"/>
    <n v="111582"/>
    <s v="18-Jul-25"/>
    <n v="0"/>
    <m/>
    <m/>
    <s v="TRXBS6"/>
    <s v="CVD"/>
    <s v="P"/>
  </r>
  <r>
    <n v="484"/>
    <s v="NORTH"/>
    <s v="UTTAR PRADESH"/>
    <n v="7134"/>
    <s v="M/S GOENKA AUTO PRIVATE LIMITED."/>
    <s v="VARANASI"/>
    <s v="08-Mar-25"/>
    <s v="08-May-25"/>
    <n v="1165"/>
    <n v="1500"/>
    <n v="1"/>
    <s v="S"/>
    <s v="TRAX"/>
    <n v="327811"/>
    <s v="MC1D4DBA5SP107330"/>
    <s v="D72018945"/>
    <m/>
    <m/>
    <x v="4"/>
    <s v="08-Jun-25"/>
    <x v="4"/>
    <n v="1250"/>
    <n v="588115"/>
    <s v="18-Jul-25"/>
    <n v="1250"/>
    <n v="1475"/>
    <n v="225"/>
    <n v="111582"/>
    <s v="18-Jul-25"/>
    <n v="0"/>
    <m/>
    <m/>
    <s v="TRXBS6"/>
    <s v="CVD"/>
    <s v="F"/>
  </r>
  <r>
    <n v="485"/>
    <s v="NORTH"/>
    <s v="UTTAR PRADESH"/>
    <n v="7134"/>
    <s v="M/S GOENKA AUTO PRIVATE LIMITED."/>
    <s v="VARANASI"/>
    <s v="24-Jul-24"/>
    <s v="20-May-25"/>
    <n v="1165"/>
    <n v="6830"/>
    <n v="5"/>
    <s v="S"/>
    <s v="T-1"/>
    <n v="781826"/>
    <s v="MC1E5DEA1RP000492"/>
    <s v="D73001153"/>
    <m/>
    <m/>
    <x v="4"/>
    <s v="08-Jun-25"/>
    <x v="4"/>
    <n v="1250"/>
    <n v="588115"/>
    <s v="18-Jul-25"/>
    <n v="1250"/>
    <n v="1475"/>
    <n v="225"/>
    <n v="111582"/>
    <s v="18-Jul-25"/>
    <n v="0"/>
    <m/>
    <m/>
    <s v="T1CNGL"/>
    <s v="CVD"/>
    <s v="F"/>
  </r>
  <r>
    <n v="486"/>
    <s v="NORTH"/>
    <s v="UTTAR PRADESH"/>
    <n v="7134"/>
    <s v="M/S GOENKA AUTO PRIVATE LIMITED."/>
    <s v="VARANASI"/>
    <s v="26-Mar-25"/>
    <s v="26-May-25"/>
    <n v="851"/>
    <n v="11000"/>
    <n v="1"/>
    <s v="S"/>
    <s v="T-1"/>
    <n v="798565"/>
    <s v="MC1E4CBA8SP085354"/>
    <s v="D71072199"/>
    <s v="001"/>
    <s v="SERV KMS  / HRS EXCEEDS"/>
    <x v="4"/>
    <s v="08-Jun-25"/>
    <x v="4"/>
    <n v="1250"/>
    <n v="588115"/>
    <s v="18-Jul-25"/>
    <n v="1000"/>
    <n v="1475"/>
    <n v="225"/>
    <n v="111582"/>
    <s v="18-Jul-25"/>
    <n v="250"/>
    <m/>
    <m/>
    <s v="T1BS6N"/>
    <s v="CVD"/>
    <s v="F"/>
  </r>
  <r>
    <n v="487"/>
    <s v="NORTH"/>
    <s v="UTTAR PRADESH"/>
    <n v="7134"/>
    <s v="M/S GOENKA AUTO PRIVATE LIMITED."/>
    <s v="VARANASI"/>
    <s v="03-Jul-24"/>
    <s v="30-May-25"/>
    <n v="1165"/>
    <n v="58080"/>
    <n v="6"/>
    <s v="S"/>
    <s v="T-1"/>
    <n v="775222"/>
    <s v="MC1E4EFA9RP013093"/>
    <s v="D71055949"/>
    <m/>
    <m/>
    <x v="4"/>
    <s v="08-Jun-25"/>
    <x v="4"/>
    <n v="0"/>
    <n v="588115"/>
    <s v="18-Jul-25"/>
    <n v="0"/>
    <n v="0"/>
    <n v="0"/>
    <n v="111582"/>
    <s v="18-Jul-25"/>
    <n v="0"/>
    <m/>
    <m/>
    <s v="T1BS6"/>
    <s v="CVD"/>
    <s v="P"/>
  </r>
  <r>
    <n v="488"/>
    <s v="NORTH"/>
    <s v="UTTAR PRADESH"/>
    <n v="7134"/>
    <s v="M/S GOENKA AUTO PRIVATE LIMITED."/>
    <s v="VARANASI"/>
    <s v="25-Jul-24"/>
    <s v="02-May-25"/>
    <n v="1165"/>
    <n v="49722"/>
    <n v="5"/>
    <s v="S"/>
    <s v="T-1"/>
    <n v="774649"/>
    <s v="MC1E4EFA3RP013185"/>
    <s v="D71056695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"/>
    <s v="CVD"/>
    <s v="F"/>
  </r>
  <r>
    <n v="489"/>
    <s v="NORTH"/>
    <s v="UTTAR PRADESH"/>
    <n v="7134"/>
    <s v="M/S GOENKA AUTO PRIVATE LIMITED."/>
    <s v="VARANASI"/>
    <s v="30-Jun-24"/>
    <s v="13-May-25"/>
    <n v="1165"/>
    <n v="47806"/>
    <n v="5"/>
    <s v="S"/>
    <s v="T1N"/>
    <n v="3559"/>
    <s v="MC1M4AFAXRP001720"/>
    <s v="D71055788"/>
    <m/>
    <m/>
    <x v="4"/>
    <s v="08-Jun-25"/>
    <x v="4"/>
    <n v="1650"/>
    <n v="588115"/>
    <s v="18-Jul-25"/>
    <n v="1650"/>
    <n v="1947"/>
    <n v="297"/>
    <n v="111582"/>
    <s v="18-Jul-25"/>
    <n v="0"/>
    <m/>
    <m/>
    <s v="URBN"/>
    <s v="CVD"/>
    <s v="F"/>
  </r>
  <r>
    <n v="490"/>
    <s v="NORTH"/>
    <s v="UTTAR PRADESH"/>
    <n v="7134"/>
    <s v="M/S GOENKA AUTO PRIVATE LIMITED."/>
    <s v="VARANASI"/>
    <s v="26-Oct-24"/>
    <s v="23-May-25"/>
    <n v="1165"/>
    <n v="30000"/>
    <n v="3"/>
    <s v="S"/>
    <s v="T-1"/>
    <n v="790286"/>
    <s v="MC1E4EJA9SP014242"/>
    <s v="D71063229"/>
    <s v="002"/>
    <s v="SERV DATE EXCEEDS"/>
    <x v="4"/>
    <s v="08-Jun-25"/>
    <x v="4"/>
    <n v="1250"/>
    <n v="588115"/>
    <s v="18-Jul-25"/>
    <n v="1000"/>
    <n v="1475"/>
    <n v="225"/>
    <n v="111582"/>
    <s v="18-Jul-25"/>
    <n v="250"/>
    <m/>
    <m/>
    <s v="T1BS6"/>
    <s v="CVD"/>
    <s v="F"/>
  </r>
  <r>
    <n v="491"/>
    <s v="NORTH"/>
    <s v="UTTAR PRADESH"/>
    <n v="7134"/>
    <s v="M/S GOENKA AUTO PRIVATE LIMITED."/>
    <s v="VARANASI"/>
    <s v="14-Jan-25"/>
    <s v="14-May-25"/>
    <n v="863"/>
    <n v="9967"/>
    <n v="1"/>
    <s v="S"/>
    <s v="T-1"/>
    <n v="796561"/>
    <s v="MC1E4CAA2SP083665"/>
    <s v="D71069644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492"/>
    <s v="NORTH"/>
    <s v="UTTAR PRADESH"/>
    <n v="7134"/>
    <s v="M/S GOENKA AUTO PRIVATE LIMITED."/>
    <s v="VARANASI"/>
    <s v="24-Mar-25"/>
    <s v="19-May-25"/>
    <n v="900"/>
    <n v="9746"/>
    <n v="1"/>
    <s v="S"/>
    <s v="T-1"/>
    <n v="796591"/>
    <s v="MC1E4CAA7SP084407"/>
    <s v="D71069823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493"/>
    <s v="NORTH"/>
    <s v="UTTAR PRADESH"/>
    <n v="7134"/>
    <s v="M/S GOENKA AUTO PRIVATE LIMITED."/>
    <s v="VARANASI"/>
    <s v="20-Feb-25"/>
    <s v="14-May-25"/>
    <n v="872"/>
    <n v="9304"/>
    <n v="1"/>
    <s v="S"/>
    <s v="T-1"/>
    <n v="796374"/>
    <s v="MC1E4CAA8SP083444"/>
    <s v="D71069262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494"/>
    <s v="NORTH"/>
    <s v="UTTAR PRADESH"/>
    <n v="7134"/>
    <s v="M/S GOENKA AUTO PRIVATE LIMITED."/>
    <s v="VARANASI"/>
    <s v="20-Feb-25"/>
    <s v="16-May-25"/>
    <n v="880"/>
    <n v="9844"/>
    <n v="1"/>
    <s v="S"/>
    <s v="T-1"/>
    <n v="796315"/>
    <s v="MC1E4CAA9SP083498"/>
    <s v="D71069177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495"/>
    <s v="NORTH"/>
    <s v="UTTAR PRADESH"/>
    <n v="7134"/>
    <s v="M/S GOENKA AUTO PRIVATE LIMITED."/>
    <s v="VARANASI"/>
    <s v="20-Feb-25"/>
    <s v="09-May-25"/>
    <n v="876"/>
    <n v="8818"/>
    <n v="1"/>
    <s v="S"/>
    <s v="T-1"/>
    <n v="796356"/>
    <s v="MC1E4CAA3SP083612"/>
    <s v="D71069490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496"/>
    <s v="NORTH"/>
    <s v="UTTAR PRADESH"/>
    <n v="7134"/>
    <s v="M/S GOENKA AUTO PRIVATE LIMITED."/>
    <s v="VARANASI"/>
    <s v="26-Mar-25"/>
    <s v="26-May-25"/>
    <n v="871"/>
    <n v="10423"/>
    <n v="1"/>
    <s v="S"/>
    <s v="T-1"/>
    <n v="798842"/>
    <s v="MC1E4CBA9SP086044"/>
    <s v="D71073592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497"/>
    <s v="NORTH"/>
    <s v="UTTAR PRADESH"/>
    <n v="7134"/>
    <s v="M/S GOENKA AUTO PRIVATE LIMITED."/>
    <s v="VARANASI"/>
    <s v="25-Mar-25"/>
    <s v="26-May-25"/>
    <n v="857"/>
    <n v="10040"/>
    <n v="1"/>
    <s v="S"/>
    <s v="T-1"/>
    <n v="797991"/>
    <s v="MC1E4CBA2SP086015"/>
    <s v="D71073516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498"/>
    <s v="NORTH"/>
    <s v="UTTAR PRADESH"/>
    <n v="7134"/>
    <s v="M/S GOENKA AUTO PRIVATE LIMITED."/>
    <s v="VARANASI"/>
    <s v="28-Jun-24"/>
    <s v="25-May-25"/>
    <n v="1165"/>
    <n v="90000"/>
    <n v="7"/>
    <s v="S"/>
    <s v="T-1"/>
    <n v="775227"/>
    <s v="MC1E4EFA4RP013096"/>
    <s v="D71055365"/>
    <s v="001"/>
    <s v="SERV KMS  / HRS EXCEEDS"/>
    <x v="4"/>
    <s v="08-Jun-25"/>
    <x v="4"/>
    <n v="0"/>
    <n v="588115"/>
    <s v="18-Jul-25"/>
    <n v="0"/>
    <n v="0"/>
    <n v="0"/>
    <n v="111582"/>
    <s v="18-Jul-25"/>
    <n v="0"/>
    <m/>
    <m/>
    <s v="T1BS6"/>
    <s v="CVD"/>
    <s v="P"/>
  </r>
  <r>
    <n v="499"/>
    <s v="NORTH"/>
    <s v="UTTAR PRADESH"/>
    <n v="7134"/>
    <s v="M/S GOENKA AUTO PRIVATE LIMITED."/>
    <s v="VARANASI"/>
    <s v="30-Dec-23"/>
    <s v="14-May-25"/>
    <n v="1165"/>
    <n v="14500"/>
    <n v="8"/>
    <s v="S"/>
    <s v="T26"/>
    <n v="758497"/>
    <s v="MC1E4FJA7RP018337"/>
    <s v="D71040158"/>
    <m/>
    <m/>
    <x v="4"/>
    <s v="08-Jun-25"/>
    <x v="4"/>
    <n v="1250"/>
    <n v="588115"/>
    <s v="18-Jul-25"/>
    <n v="1250"/>
    <n v="1475"/>
    <n v="225"/>
    <n v="111582"/>
    <s v="18-Jul-25"/>
    <n v="0"/>
    <m/>
    <m/>
    <s v="T26BS6"/>
    <s v="CVD"/>
    <s v="F"/>
  </r>
  <r>
    <n v="500"/>
    <s v="NORTH"/>
    <s v="UTTAR PRADESH"/>
    <n v="7134"/>
    <s v="M/S GOENKA AUTO PRIVATE LIMITED."/>
    <s v="VARANASI"/>
    <s v="08-Mar-25"/>
    <s v="26-May-25"/>
    <n v="895"/>
    <n v="10219"/>
    <n v="1"/>
    <s v="S"/>
    <s v="T-1"/>
    <n v="796093"/>
    <s v="MC1E4CAAXSP083977"/>
    <s v="D71070100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501"/>
    <s v="NORTH"/>
    <s v="UTTAR PRADESH"/>
    <n v="7134"/>
    <s v="M/S GOENKA AUTO PRIVATE LIMITED."/>
    <s v="VARANASI"/>
    <s v="22-Mar-25"/>
    <s v="13-May-25"/>
    <n v="876"/>
    <n v="10126"/>
    <n v="1"/>
    <s v="S"/>
    <s v="T-1"/>
    <n v="796155"/>
    <s v="MC1E4CAA0SP083454"/>
    <s v="D71069389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502"/>
    <s v="NORTH"/>
    <s v="UTTAR PRADESH"/>
    <n v="7134"/>
    <s v="M/S GOENKA AUTO PRIVATE LIMITED."/>
    <s v="VARANASI"/>
    <s v="19-Jul-24"/>
    <s v="15-May-25"/>
    <n v="1165"/>
    <n v="30000"/>
    <n v="5"/>
    <s v="S"/>
    <s v="T-1"/>
    <n v="7085388"/>
    <s v="MC1E4DGA7SP053543"/>
    <s v="D71057790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"/>
    <s v="CVD"/>
    <s v="F"/>
  </r>
  <r>
    <n v="503"/>
    <s v="NORTH"/>
    <s v="UTTAR PRADESH"/>
    <n v="7134"/>
    <s v="M/S GOENKA AUTO PRIVATE LIMITED."/>
    <s v="VARANASI"/>
    <s v="25-Jun-24"/>
    <s v="30-Apr-25"/>
    <n v="1165"/>
    <n v="71200"/>
    <n v="7"/>
    <s v="S"/>
    <s v="T-1"/>
    <n v="775229"/>
    <s v="MC1E4EFA2RP013095"/>
    <s v="D71055313"/>
    <m/>
    <m/>
    <x v="4"/>
    <s v="08-Jun-25"/>
    <x v="4"/>
    <n v="0"/>
    <n v="588115"/>
    <s v="18-Jul-25"/>
    <n v="0"/>
    <n v="0"/>
    <n v="0"/>
    <n v="111582"/>
    <s v="18-Jul-25"/>
    <n v="0"/>
    <m/>
    <m/>
    <s v="T1BS6"/>
    <s v="CVD"/>
    <s v="P"/>
  </r>
  <r>
    <n v="504"/>
    <s v="NORTH"/>
    <s v="UTTAR PRADESH"/>
    <n v="7134"/>
    <s v="M/S GOENKA AUTO PRIVATE LIMITED."/>
    <s v="VARANASI"/>
    <s v="17-Feb-25"/>
    <s v="22-May-25"/>
    <n v="779"/>
    <n v="30000"/>
    <n v="3"/>
    <s v="S"/>
    <s v="T-1"/>
    <n v="780479"/>
    <s v="MC1E4CMA3SP082679"/>
    <s v="D71068123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"/>
    <s v="CVD"/>
    <s v="F"/>
  </r>
  <r>
    <n v="505"/>
    <s v="NORTH"/>
    <s v="UTTAR PRADESH"/>
    <n v="7134"/>
    <s v="M/S GOENKA AUTO PRIVATE LIMITED."/>
    <s v="VARANASI"/>
    <s v="13-May-24"/>
    <s v="12-May-25"/>
    <n v="1165"/>
    <n v="100000"/>
    <n v="10"/>
    <s v="S"/>
    <s v="T-1"/>
    <n v="764113"/>
    <s v="MC1E4ECAXRP012359"/>
    <s v="D71051066"/>
    <m/>
    <m/>
    <x v="4"/>
    <s v="08-Jun-25"/>
    <x v="4"/>
    <n v="0"/>
    <n v="588115"/>
    <s v="18-Jul-25"/>
    <n v="0"/>
    <n v="0"/>
    <n v="0"/>
    <n v="111582"/>
    <s v="18-Jul-25"/>
    <n v="0"/>
    <m/>
    <m/>
    <s v="T1BS6"/>
    <s v="CVD"/>
    <s v="P"/>
  </r>
  <r>
    <n v="506"/>
    <s v="NORTH"/>
    <s v="UTTAR PRADESH"/>
    <n v="7134"/>
    <s v="M/S GOENKA AUTO PRIVATE LIMITED."/>
    <s v="VARANASI"/>
    <s v="22-Oct-24"/>
    <s v="11-May-25"/>
    <n v="1165"/>
    <n v="27230"/>
    <n v="4"/>
    <s v="S"/>
    <s v="T-1"/>
    <n v="785017"/>
    <s v="MC1E1CJA6SP007925"/>
    <s v="D71062105"/>
    <m/>
    <m/>
    <x v="4"/>
    <s v="08-Jun-25"/>
    <x v="4"/>
    <n v="0"/>
    <n v="588115"/>
    <s v="18-Jul-25"/>
    <n v="0"/>
    <n v="0"/>
    <n v="0"/>
    <n v="111582"/>
    <s v="18-Jul-25"/>
    <n v="0"/>
    <m/>
    <m/>
    <s v="T1BS6"/>
    <s v="CVD"/>
    <s v="P"/>
  </r>
  <r>
    <n v="507"/>
    <s v="NORTH"/>
    <s v="UTTAR PRADESH"/>
    <n v="7134"/>
    <s v="M/S GOENKA AUTO PRIVATE LIMITED."/>
    <s v="VARANASI"/>
    <s v="23-Mar-25"/>
    <s v="09-May-25"/>
    <n v="876"/>
    <n v="9816"/>
    <n v="1"/>
    <s v="S"/>
    <s v="T-1"/>
    <n v="780906"/>
    <s v="MC1E4CAA1SP083639"/>
    <s v="D71069660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508"/>
    <s v="NORTH"/>
    <s v="UTTAR PRADESH"/>
    <n v="7134"/>
    <s v="M/S GOENKA AUTO PRIVATE LIMITED."/>
    <s v="VARANASI"/>
    <s v="07-Mar-25"/>
    <s v="16-May-25"/>
    <n v="826"/>
    <n v="9876"/>
    <n v="1"/>
    <s v="S"/>
    <s v="T-1"/>
    <n v="796523"/>
    <s v="MC1E4CAA7SP083659"/>
    <s v="D71069664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509"/>
    <s v="NORTH"/>
    <s v="UTTAR PRADESH"/>
    <n v="7134"/>
    <s v="M/S GOENKA AUTO PRIVATE LIMITED."/>
    <s v="VARANASI"/>
    <s v="20-Nov-24"/>
    <s v="23-May-25"/>
    <n v="1165"/>
    <n v="29883"/>
    <n v="3"/>
    <s v="S"/>
    <s v="T-1"/>
    <n v="790690"/>
    <s v="MC1E4EKA1SP014315"/>
    <s v="D71063632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"/>
    <s v="CVD"/>
    <s v="F"/>
  </r>
  <r>
    <n v="510"/>
    <s v="NORTH"/>
    <s v="UTTAR PRADESH"/>
    <n v="7134"/>
    <s v="M/S GOENKA AUTO PRIVATE LIMITED."/>
    <s v="VARANASI"/>
    <s v="03-Feb-25"/>
    <s v="05-May-25"/>
    <n v="900"/>
    <n v="12550"/>
    <n v="2"/>
    <s v="S"/>
    <s v="T-1"/>
    <n v="778270"/>
    <s v="MC1E5EKAXSP003214"/>
    <s v="D73001597"/>
    <m/>
    <m/>
    <x v="4"/>
    <s v="08-Jun-25"/>
    <x v="4"/>
    <n v="0"/>
    <n v="588115"/>
    <s v="18-Jul-25"/>
    <n v="0"/>
    <n v="0"/>
    <n v="0"/>
    <n v="111582"/>
    <s v="18-Jul-25"/>
    <n v="0"/>
    <m/>
    <m/>
    <s v="T1CNGL"/>
    <s v="CVD"/>
    <s v="P"/>
  </r>
  <r>
    <n v="511"/>
    <s v="NORTH"/>
    <s v="UTTAR PRADESH"/>
    <n v="7134"/>
    <s v="M/S GOENKA AUTO PRIVATE LIMITED."/>
    <s v="VARANASI"/>
    <s v="24-Mar-23"/>
    <s v="06-May-25"/>
    <n v="1165"/>
    <n v="89768"/>
    <n v="13"/>
    <s v="S"/>
    <s v="T-1"/>
    <n v="744799"/>
    <s v="MC1E4ECA9PP009305"/>
    <s v="D71027313"/>
    <m/>
    <m/>
    <x v="4"/>
    <s v="08-Jun-25"/>
    <x v="4"/>
    <n v="0"/>
    <n v="588115"/>
    <s v="18-Jul-25"/>
    <n v="0"/>
    <n v="0"/>
    <n v="0"/>
    <n v="111582"/>
    <s v="18-Jul-25"/>
    <n v="0"/>
    <m/>
    <m/>
    <s v="T1BS6"/>
    <s v="CVD"/>
    <s v="P"/>
  </r>
  <r>
    <n v="512"/>
    <s v="NORTH"/>
    <s v="UTTAR PRADESH"/>
    <n v="7134"/>
    <s v="M/S GOENKA AUTO PRIVATE LIMITED."/>
    <s v="VARANASI"/>
    <s v="23-Mar-25"/>
    <s v="09-May-25"/>
    <n v="873"/>
    <n v="9596"/>
    <n v="1"/>
    <s v="S"/>
    <s v="T-1"/>
    <n v="796463"/>
    <s v="MC1E4CAA8SP083573"/>
    <s v="D71069529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513"/>
    <s v="NORTH"/>
    <s v="UTTAR PRADESH"/>
    <n v="7134"/>
    <s v="M/S GOENKA AUTO PRIVATE LIMITED."/>
    <s v="VARANASI"/>
    <s v="30-Sep-24"/>
    <s v="29-May-25"/>
    <n v="1165"/>
    <n v="40000"/>
    <n v="4"/>
    <s v="S"/>
    <s v="T1N"/>
    <n v="5321"/>
    <s v="MC1M4AJA3SP002298"/>
    <s v="D71061487"/>
    <m/>
    <m/>
    <x v="4"/>
    <s v="08-Jun-25"/>
    <x v="4"/>
    <n v="0"/>
    <n v="588115"/>
    <s v="18-Jul-25"/>
    <n v="0"/>
    <n v="0"/>
    <n v="0"/>
    <n v="111582"/>
    <s v="18-Jul-25"/>
    <n v="0"/>
    <m/>
    <m/>
    <s v="URBN"/>
    <s v="CVD"/>
    <s v="P"/>
  </r>
  <r>
    <n v="514"/>
    <s v="NORTH"/>
    <s v="UTTAR PRADESH"/>
    <n v="7134"/>
    <s v="M/S GOENKA AUTO PRIVATE LIMITED."/>
    <s v="VARANASI"/>
    <s v="23-Mar-25"/>
    <s v="26-May-25"/>
    <n v="883"/>
    <n v="11354"/>
    <n v="1"/>
    <s v="S"/>
    <s v="T-1"/>
    <n v="797234"/>
    <s v="MC1E4CAA9SP084666"/>
    <s v="D71069810"/>
    <s v="001"/>
    <s v="SERV KMS  / HRS EXCEEDS"/>
    <x v="4"/>
    <s v="08-Jun-25"/>
    <x v="4"/>
    <n v="1250"/>
    <n v="588115"/>
    <s v="18-Jul-25"/>
    <n v="1000"/>
    <n v="1475"/>
    <n v="225"/>
    <n v="111582"/>
    <s v="18-Jul-25"/>
    <n v="250"/>
    <m/>
    <m/>
    <s v="T1BS6N"/>
    <s v="CVD"/>
    <s v="F"/>
  </r>
  <r>
    <n v="515"/>
    <s v="NORTH"/>
    <s v="UTTAR PRADESH"/>
    <n v="7134"/>
    <s v="M/S GOENKA AUTO PRIVATE LIMITED."/>
    <s v="VARANASI"/>
    <s v="31-Mar-23"/>
    <s v="06-May-25"/>
    <n v="1165"/>
    <n v="130782"/>
    <n v="13"/>
    <s v="S"/>
    <s v="T-1"/>
    <n v="743217"/>
    <s v="MC1E4ECA9PP009336"/>
    <s v="D71027559"/>
    <m/>
    <m/>
    <x v="4"/>
    <s v="08-Jun-25"/>
    <x v="4"/>
    <n v="0"/>
    <n v="588115"/>
    <s v="18-Jul-25"/>
    <n v="0"/>
    <n v="0"/>
    <n v="0"/>
    <n v="111582"/>
    <s v="18-Jul-25"/>
    <n v="0"/>
    <m/>
    <m/>
    <s v="T1BS6"/>
    <s v="CVD"/>
    <s v="P"/>
  </r>
  <r>
    <n v="516"/>
    <s v="NORTH"/>
    <s v="UTTAR PRADESH"/>
    <n v="7134"/>
    <s v="M/S GOENKA AUTO PRIVATE LIMITED."/>
    <s v="VARANASI"/>
    <s v="24-Mar-25"/>
    <s v="08-May-25"/>
    <n v="879"/>
    <n v="9672"/>
    <n v="1"/>
    <s v="S"/>
    <s v="T-1"/>
    <n v="796172"/>
    <s v="MC1E4CAA6SP083538"/>
    <s v="D71069179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517"/>
    <s v="NORTH"/>
    <s v="UTTAR PRADESH"/>
    <n v="7134"/>
    <s v="M/S GOENKA AUTO PRIVATE LIMITED."/>
    <s v="VARANASI"/>
    <s v="29-Mar-25"/>
    <s v="20-May-25"/>
    <n v="1165"/>
    <n v="3287"/>
    <n v="1"/>
    <s v="S"/>
    <s v="T26"/>
    <n v="789022"/>
    <s v="MC1E4FCA1SP023116"/>
    <s v="D71076361"/>
    <m/>
    <m/>
    <x v="4"/>
    <s v="08-Jun-25"/>
    <x v="4"/>
    <n v="1250"/>
    <n v="588115"/>
    <s v="18-Jul-25"/>
    <n v="1250"/>
    <n v="1475"/>
    <n v="225"/>
    <n v="111582"/>
    <s v="18-Jul-25"/>
    <n v="0"/>
    <m/>
    <m/>
    <s v="T26BS6"/>
    <s v="CVD"/>
    <s v="F"/>
  </r>
  <r>
    <n v="518"/>
    <s v="NORTH"/>
    <s v="UTTAR PRADESH"/>
    <n v="7134"/>
    <s v="M/S GOENKA AUTO PRIVATE LIMITED."/>
    <s v="VARANASI"/>
    <s v="30-Oct-24"/>
    <s v="21-May-25"/>
    <n v="1165"/>
    <n v="30000"/>
    <n v="3"/>
    <s v="S"/>
    <s v="T-1"/>
    <n v="790571"/>
    <s v="MC1E4EKA5SP014270"/>
    <s v="D71063329"/>
    <s v="002"/>
    <s v="SERV DATE EXCEEDS"/>
    <x v="4"/>
    <s v="08-Jun-25"/>
    <x v="4"/>
    <n v="1250"/>
    <n v="588115"/>
    <s v="18-Jul-25"/>
    <n v="1000"/>
    <n v="1475"/>
    <n v="225"/>
    <n v="111582"/>
    <s v="18-Jul-25"/>
    <n v="250"/>
    <m/>
    <m/>
    <s v="T1BS6"/>
    <s v="CVD"/>
    <s v="F"/>
  </r>
  <r>
    <n v="519"/>
    <s v="NORTH"/>
    <s v="UTTAR PRADESH"/>
    <n v="7134"/>
    <s v="M/S GOENKA AUTO PRIVATE LIMITED."/>
    <s v="VARANASI"/>
    <s v="24-Mar-25"/>
    <s v="19-May-25"/>
    <n v="878"/>
    <n v="9892"/>
    <n v="1"/>
    <s v="S"/>
    <s v="T-1"/>
    <n v="795754"/>
    <s v="MC1E4CBA6SP085434"/>
    <s v="D71072423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520"/>
    <s v="NORTH"/>
    <s v="UTTAR PRADESH"/>
    <n v="7134"/>
    <s v="M/S GOENKA AUTO PRIVATE LIMITED."/>
    <s v="VARANASI"/>
    <s v="25-Mar-25"/>
    <s v="13-May-25"/>
    <n v="908"/>
    <n v="9958"/>
    <n v="1"/>
    <s v="S"/>
    <s v="T-1"/>
    <n v="797307"/>
    <s v="MC1E4CAA0SP084507"/>
    <s v="D71071034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521"/>
    <s v="NORTH"/>
    <s v="UTTAR PRADESH"/>
    <n v="7134"/>
    <s v="M/S GOENKA AUTO PRIVATE LIMITED."/>
    <s v="VARANASI"/>
    <s v="15-Sep-23"/>
    <s v="06-May-25"/>
    <n v="1165"/>
    <n v="65200"/>
    <n v="10"/>
    <s v="S"/>
    <s v="T-1"/>
    <n v="752459"/>
    <s v="MC1E4EJA3RP010441"/>
    <s v="D71038477"/>
    <m/>
    <m/>
    <x v="4"/>
    <s v="08-Jun-25"/>
    <x v="4"/>
    <n v="0"/>
    <n v="588115"/>
    <s v="18-Jul-25"/>
    <n v="0"/>
    <n v="0"/>
    <n v="0"/>
    <n v="111582"/>
    <s v="18-Jul-25"/>
    <n v="0"/>
    <m/>
    <m/>
    <s v="T1BS6"/>
    <s v="CVD"/>
    <s v="P"/>
  </r>
  <r>
    <n v="522"/>
    <s v="NORTH"/>
    <s v="UTTAR PRADESH"/>
    <n v="7134"/>
    <s v="M/S GOENKA AUTO PRIVATE LIMITED."/>
    <s v="VARANASI"/>
    <s v="26-Mar-25"/>
    <s v="21-May-25"/>
    <n v="1165"/>
    <n v="5185"/>
    <n v="1"/>
    <s v="S"/>
    <s v="T-1"/>
    <n v="801400"/>
    <s v="MC1E4DCA0SP056435"/>
    <s v="D71075442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"/>
    <s v="CVD"/>
    <s v="F"/>
  </r>
  <r>
    <n v="523"/>
    <s v="NORTH"/>
    <s v="UTTAR PRADESH"/>
    <n v="7134"/>
    <s v="M/S GOENKA AUTO PRIVATE LIMITED."/>
    <s v="VARANASI"/>
    <s v="03-Mar-25"/>
    <s v="26-May-25"/>
    <n v="857"/>
    <n v="10774"/>
    <n v="1"/>
    <s v="S"/>
    <s v="T-1"/>
    <n v="7079654"/>
    <s v="MC1E4CAA4SP083747"/>
    <s v="D71069845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524"/>
    <s v="NORTH"/>
    <s v="UTTAR PRADESH"/>
    <n v="7134"/>
    <s v="M/S GOENKA AUTO PRIVATE LIMITED."/>
    <s v="VARANASI"/>
    <s v="13-Mar-24"/>
    <s v="12-May-25"/>
    <n v="687"/>
    <n v="41447"/>
    <n v="5"/>
    <s v="S"/>
    <s v="T1N"/>
    <n v="3137"/>
    <s v="MC1M4ACA2RP001151"/>
    <s v="D71048960"/>
    <m/>
    <m/>
    <x v="4"/>
    <s v="08-Jun-25"/>
    <x v="4"/>
    <n v="1650"/>
    <n v="588115"/>
    <s v="18-Jul-25"/>
    <n v="1650"/>
    <n v="1947"/>
    <n v="297"/>
    <n v="111582"/>
    <s v="18-Jul-25"/>
    <n v="0"/>
    <m/>
    <m/>
    <s v="URBN"/>
    <s v="CVD"/>
    <s v="F"/>
  </r>
  <r>
    <n v="525"/>
    <s v="NORTH"/>
    <s v="UTTAR PRADESH"/>
    <n v="7134"/>
    <s v="M/S GOENKA AUTO PRIVATE LIMITED."/>
    <s v="VARANASI"/>
    <s v="11-Apr-25"/>
    <s v="28-May-25"/>
    <n v="799"/>
    <n v="10000"/>
    <n v="1"/>
    <s v="S"/>
    <s v="T-1"/>
    <n v="780478"/>
    <s v="MC1E4CMA6SP082675"/>
    <s v="D71068079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"/>
    <s v="CVD"/>
    <s v="F"/>
  </r>
  <r>
    <n v="526"/>
    <s v="NORTH"/>
    <s v="UTTAR PRADESH"/>
    <n v="7134"/>
    <s v="M/S GOENKA AUTO PRIVATE LIMITED."/>
    <s v="VARANASI"/>
    <s v="21-Sep-24"/>
    <s v="06-May-25"/>
    <n v="1165"/>
    <n v="18528"/>
    <n v="3"/>
    <s v="S"/>
    <s v="T1N"/>
    <n v="5150"/>
    <s v="MC1M4AHA7SP002231"/>
    <s v="D71060846"/>
    <m/>
    <m/>
    <x v="4"/>
    <s v="08-Jun-25"/>
    <x v="4"/>
    <n v="1650"/>
    <n v="588115"/>
    <s v="18-Jul-25"/>
    <n v="1650"/>
    <n v="1947"/>
    <n v="297"/>
    <n v="111582"/>
    <s v="18-Jul-25"/>
    <n v="0"/>
    <m/>
    <m/>
    <s v="URBN"/>
    <s v="CVD"/>
    <s v="F"/>
  </r>
  <r>
    <n v="527"/>
    <s v="NORTH"/>
    <s v="UTTAR PRADESH"/>
    <n v="7134"/>
    <s v="M/S GOENKA AUTO PRIVATE LIMITED."/>
    <s v="VARANASI"/>
    <s v="17-Feb-23"/>
    <s v="16-May-25"/>
    <n v="1165"/>
    <n v="126648"/>
    <n v="13"/>
    <s v="S"/>
    <s v="TRAX"/>
    <n v="316627"/>
    <s v="MC1D4DAA1PP099672"/>
    <s v="D72010154"/>
    <s v="002"/>
    <s v="SERV DATE EXCEEDS"/>
    <x v="4"/>
    <s v="08-Jun-25"/>
    <x v="4"/>
    <n v="0"/>
    <n v="588115"/>
    <s v="18-Jul-25"/>
    <n v="0"/>
    <n v="0"/>
    <n v="0"/>
    <n v="111582"/>
    <s v="18-Jul-25"/>
    <n v="0"/>
    <m/>
    <m/>
    <s v="TRXBS6"/>
    <s v="CVD"/>
    <s v="P"/>
  </r>
  <r>
    <n v="528"/>
    <s v="NORTH"/>
    <s v="UTTAR PRADESH"/>
    <n v="7134"/>
    <s v="M/S GOENKA AUTO PRIVATE LIMITED."/>
    <s v="VARANASI"/>
    <s v="25-Mar-25"/>
    <s v="16-May-25"/>
    <n v="1165"/>
    <n v="9500"/>
    <n v="1"/>
    <s v="S"/>
    <s v="T-1"/>
    <n v="785188"/>
    <s v="MC1E4EBA7SP015419"/>
    <s v="D71073629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"/>
    <s v="CVD"/>
    <s v="F"/>
  </r>
  <r>
    <n v="529"/>
    <s v="NORTH"/>
    <s v="UTTAR PRADESH"/>
    <n v="7134"/>
    <s v="M/S GOENKA AUTO PRIVATE LIMITED."/>
    <s v="VARANASI"/>
    <s v="30-Sep-23"/>
    <s v="26-May-25"/>
    <n v="1165"/>
    <n v="61029"/>
    <n v="10"/>
    <s v="S"/>
    <s v="TRAX"/>
    <n v="573195831"/>
    <s v="MC1D1DJA5RP001495"/>
    <s v="D72012052"/>
    <m/>
    <m/>
    <x v="4"/>
    <s v="08-Jun-25"/>
    <x v="4"/>
    <n v="0"/>
    <n v="588115"/>
    <s v="18-Jul-25"/>
    <n v="0"/>
    <n v="0"/>
    <n v="0"/>
    <n v="111582"/>
    <s v="18-Jul-25"/>
    <n v="0"/>
    <m/>
    <m/>
    <s v="TRXBS6"/>
    <s v="CVD"/>
    <s v="P"/>
  </r>
  <r>
    <n v="530"/>
    <s v="NORTH"/>
    <s v="UTTAR PRADESH"/>
    <n v="7134"/>
    <s v="M/S GOENKA AUTO PRIVATE LIMITED."/>
    <s v="VARANASI"/>
    <s v="23-Mar-25"/>
    <s v="27-May-25"/>
    <n v="863"/>
    <n v="9516"/>
    <n v="1"/>
    <s v="S"/>
    <s v="T-1"/>
    <n v="795333"/>
    <s v="MC1E4CAA2SP084671"/>
    <s v="D71069731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531"/>
    <s v="NORTH"/>
    <s v="UTTAR PRADESH"/>
    <n v="7134"/>
    <s v="M/S GOENKA AUTO PRIVATE LIMITED."/>
    <s v="VARANASI"/>
    <s v="24-Mar-25"/>
    <s v="15-May-25"/>
    <n v="897"/>
    <n v="9704"/>
    <n v="1"/>
    <s v="S"/>
    <s v="T-1"/>
    <n v="796131"/>
    <s v="MC1E4CAA5SP083398"/>
    <s v="D71069236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532"/>
    <s v="NORTH"/>
    <s v="UTTAR PRADESH"/>
    <n v="7134"/>
    <s v="M/S GOENKA AUTO PRIVATE LIMITED."/>
    <s v="VARANASI"/>
    <s v="24-Mar-23"/>
    <s v="08-May-25"/>
    <n v="1165"/>
    <n v="114000"/>
    <n v="13"/>
    <s v="S"/>
    <s v="T-1"/>
    <n v="744800"/>
    <s v="MC1E4ECA0PP009323"/>
    <s v="D71027062"/>
    <m/>
    <m/>
    <x v="4"/>
    <s v="08-Jun-25"/>
    <x v="4"/>
    <n v="0"/>
    <n v="588115"/>
    <s v="18-Jul-25"/>
    <n v="0"/>
    <n v="0"/>
    <n v="0"/>
    <n v="111582"/>
    <s v="18-Jul-25"/>
    <n v="0"/>
    <m/>
    <m/>
    <s v="T1BS6"/>
    <s v="CVD"/>
    <s v="P"/>
  </r>
  <r>
    <n v="533"/>
    <s v="NORTH"/>
    <s v="UTTAR PRADESH"/>
    <n v="7134"/>
    <s v="M/S GOENKA AUTO PRIVATE LIMITED."/>
    <s v="VARANASI"/>
    <s v="26-Sep-23"/>
    <s v="15-May-25"/>
    <n v="1165"/>
    <n v="77805"/>
    <n v="10"/>
    <s v="S"/>
    <s v="T-1"/>
    <n v="753565"/>
    <s v="MC1E4EJA6RP010529"/>
    <s v="D71039065"/>
    <m/>
    <m/>
    <x v="4"/>
    <s v="08-Jun-25"/>
    <x v="4"/>
    <n v="0"/>
    <n v="588115"/>
    <s v="18-Jul-25"/>
    <n v="0"/>
    <n v="0"/>
    <n v="0"/>
    <n v="111582"/>
    <s v="18-Jul-25"/>
    <n v="0"/>
    <m/>
    <m/>
    <s v="T1BS6"/>
    <s v="CVD"/>
    <s v="P"/>
  </r>
  <r>
    <n v="534"/>
    <s v="NORTH"/>
    <s v="UTTAR PRADESH"/>
    <n v="7134"/>
    <s v="M/S GOENKA AUTO PRIVATE LIMITED."/>
    <s v="VARANASI"/>
    <s v="12-Feb-25"/>
    <s v="26-May-25"/>
    <n v="1165"/>
    <n v="10009"/>
    <n v="1"/>
    <s v="S"/>
    <s v="T-1"/>
    <n v="795389"/>
    <s v="MC1E4CBA2SP085270"/>
    <s v="D71072201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535"/>
    <s v="NORTH"/>
    <s v="UTTAR PRADESH"/>
    <n v="7134"/>
    <s v="M/S GOENKA AUTO PRIVATE LIMITED."/>
    <s v="VARANASI"/>
    <s v="13-Jun-23"/>
    <s v="25-May-25"/>
    <n v="1165"/>
    <n v="46605"/>
    <n v="12"/>
    <s v="S"/>
    <s v="T-1"/>
    <n v="733488"/>
    <s v="MC1E5DEA2PP000370"/>
    <s v="D73000441"/>
    <m/>
    <m/>
    <x v="4"/>
    <s v="08-Jun-25"/>
    <x v="4"/>
    <n v="0"/>
    <n v="588115"/>
    <s v="18-Jul-25"/>
    <n v="0"/>
    <n v="0"/>
    <n v="0"/>
    <n v="111582"/>
    <s v="18-Jul-25"/>
    <n v="0"/>
    <m/>
    <m/>
    <s v="T1CNGL"/>
    <s v="CVD"/>
    <s v="P"/>
  </r>
  <r>
    <n v="536"/>
    <s v="NORTH"/>
    <s v="UTTAR PRADESH"/>
    <n v="7134"/>
    <s v="M/S GOENKA AUTO PRIVATE LIMITED."/>
    <s v="VARANASI"/>
    <s v="23-Mar-25"/>
    <s v="11-May-25"/>
    <n v="875"/>
    <n v="10401"/>
    <n v="1"/>
    <s v="S"/>
    <s v="T-1"/>
    <n v="796123"/>
    <s v="MC1E4CAAXSP083574"/>
    <s v="D71069315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537"/>
    <s v="NORTH"/>
    <s v="UTTAR PRADESH"/>
    <n v="7134"/>
    <s v="M/S GOENKA AUTO PRIVATE LIMITED."/>
    <s v="VARANASI"/>
    <s v="31-Mar-25"/>
    <s v="13-May-25"/>
    <n v="829"/>
    <n v="9817"/>
    <n v="1"/>
    <s v="S"/>
    <s v="T-1"/>
    <n v="795183"/>
    <s v="MC1E4CAA9SP083520"/>
    <s v="D71069251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538"/>
    <s v="NORTH"/>
    <s v="UTTAR PRADESH"/>
    <n v="7134"/>
    <s v="M/S GOENKA AUTO PRIVATE LIMITED."/>
    <s v="VARANASI"/>
    <s v="28-Jun-24"/>
    <s v="25-May-25"/>
    <n v="1165"/>
    <n v="19713"/>
    <n v="3"/>
    <s v="S"/>
    <s v="T-1"/>
    <n v="780622"/>
    <s v="MC1E4CEA1RP079644"/>
    <s v="D71054693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539"/>
    <s v="NORTH"/>
    <s v="UTTAR PRADESH"/>
    <n v="7134"/>
    <s v="M/S GOENKA AUTO PRIVATE LIMITED."/>
    <s v="VARANASI"/>
    <s v="26-Mar-25"/>
    <s v="27-May-25"/>
    <n v="893"/>
    <n v="9911"/>
    <n v="1"/>
    <s v="S"/>
    <s v="T-1"/>
    <n v="798600"/>
    <s v="MC1E4CAA5SP084664"/>
    <s v="D71069764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540"/>
    <s v="NORTH"/>
    <s v="UTTAR PRADESH"/>
    <n v="7134"/>
    <s v="M/S GOENKA AUTO PRIVATE LIMITED."/>
    <s v="VARANASI"/>
    <s v="30-Oct-24"/>
    <s v="23-May-25"/>
    <n v="1165"/>
    <n v="10941"/>
    <n v="2"/>
    <s v="S"/>
    <s v="T3"/>
    <n v="757950"/>
    <s v="MC1L4AKA5RP001190"/>
    <s v="D71041494"/>
    <s v="002"/>
    <s v="SERV DATE EXCEEDS"/>
    <x v="4"/>
    <s v="08-Jun-25"/>
    <x v="4"/>
    <n v="0"/>
    <n v="588115"/>
    <s v="18-Jul-25"/>
    <n v="0"/>
    <n v="0"/>
    <n v="0"/>
    <n v="111582"/>
    <s v="18-Jul-25"/>
    <n v="0"/>
    <m/>
    <m/>
    <s v="T3MONBS6"/>
    <s v="CVD"/>
    <s v="P"/>
  </r>
  <r>
    <n v="541"/>
    <s v="NORTH"/>
    <s v="UTTAR PRADESH"/>
    <n v="7134"/>
    <s v="M/S GOENKA AUTO PRIVATE LIMITED."/>
    <s v="VARANASI"/>
    <s v="06-Mar-25"/>
    <s v="04-May-25"/>
    <n v="1165"/>
    <n v="10000"/>
    <n v="1"/>
    <s v="S"/>
    <s v="TRAX"/>
    <n v="327885"/>
    <s v="MC1D4DAA9SP107140"/>
    <s v="D72018775"/>
    <m/>
    <m/>
    <x v="4"/>
    <s v="08-Jun-25"/>
    <x v="4"/>
    <n v="1250"/>
    <n v="588115"/>
    <s v="18-Jul-25"/>
    <n v="1250"/>
    <n v="1475"/>
    <n v="225"/>
    <n v="111582"/>
    <s v="18-Jul-25"/>
    <n v="0"/>
    <m/>
    <m/>
    <s v="TRXBS6"/>
    <s v="CVD"/>
    <s v="F"/>
  </r>
  <r>
    <n v="542"/>
    <s v="NORTH"/>
    <s v="UTTAR PRADESH"/>
    <n v="7134"/>
    <s v="M/S GOENKA AUTO PRIVATE LIMITED."/>
    <s v="VARANASI"/>
    <s v="24-Mar-25"/>
    <s v="13-May-25"/>
    <n v="895"/>
    <n v="10537"/>
    <n v="1"/>
    <s v="S"/>
    <s v="T-1"/>
    <n v="796579"/>
    <s v="MC1E4CAA8SP084268"/>
    <s v="D71070648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543"/>
    <s v="NORTH"/>
    <s v="UTTAR PRADESH"/>
    <n v="7134"/>
    <s v="M/S GOENKA AUTO PRIVATE LIMITED."/>
    <s v="VARANASI"/>
    <s v="28-May-24"/>
    <s v="25-May-25"/>
    <n v="1165"/>
    <n v="70000"/>
    <n v="7"/>
    <s v="S"/>
    <s v="T26"/>
    <n v="776290"/>
    <s v="MC1E4FEA9RP020391"/>
    <s v="D71054667"/>
    <m/>
    <m/>
    <x v="4"/>
    <s v="08-Jun-25"/>
    <x v="4"/>
    <n v="0"/>
    <n v="588115"/>
    <s v="18-Jul-25"/>
    <n v="0"/>
    <n v="0"/>
    <n v="0"/>
    <n v="111582"/>
    <s v="18-Jul-25"/>
    <n v="0"/>
    <m/>
    <m/>
    <s v="T26BS6"/>
    <s v="CVD"/>
    <s v="P"/>
  </r>
  <r>
    <n v="544"/>
    <s v="NORTH"/>
    <s v="UTTAR PRADESH"/>
    <n v="7134"/>
    <s v="M/S GOENKA AUTO PRIVATE LIMITED."/>
    <s v="VARANASI"/>
    <s v="22-Mar-25"/>
    <s v="04-May-25"/>
    <n v="1165"/>
    <n v="3500"/>
    <n v="1"/>
    <s v="S"/>
    <s v="TRAX"/>
    <n v="328462"/>
    <s v="MC1D1DCA2SP001618"/>
    <s v="D72019587"/>
    <m/>
    <m/>
    <x v="4"/>
    <s v="08-Jun-25"/>
    <x v="4"/>
    <n v="1250"/>
    <n v="588115"/>
    <s v="18-Jul-25"/>
    <n v="1250"/>
    <n v="1475"/>
    <n v="225"/>
    <n v="111582"/>
    <s v="18-Jul-25"/>
    <n v="0"/>
    <m/>
    <m/>
    <s v="TRXBS6"/>
    <s v="CVD"/>
    <s v="F"/>
  </r>
  <r>
    <n v="545"/>
    <s v="NORTH"/>
    <s v="UTTAR PRADESH"/>
    <n v="7134"/>
    <s v="M/S GOENKA AUTO PRIVATE LIMITED."/>
    <s v="VARANASI"/>
    <s v="08-Jul-24"/>
    <s v="04-May-25"/>
    <n v="1165"/>
    <n v="70000"/>
    <n v="7"/>
    <s v="S"/>
    <s v="T-1"/>
    <n v="773701"/>
    <s v="MC1E4EFA6RP013147"/>
    <s v="D71056273"/>
    <m/>
    <m/>
    <x v="4"/>
    <s v="08-Jun-25"/>
    <x v="4"/>
    <n v="0"/>
    <n v="588115"/>
    <s v="18-Jul-25"/>
    <n v="0"/>
    <n v="0"/>
    <n v="0"/>
    <n v="111582"/>
    <s v="18-Jul-25"/>
    <n v="0"/>
    <m/>
    <m/>
    <s v="T1BS6"/>
    <s v="CVD"/>
    <s v="P"/>
  </r>
  <r>
    <n v="546"/>
    <s v="NORTH"/>
    <s v="UTTAR PRADESH"/>
    <n v="7134"/>
    <s v="M/S GOENKA AUTO PRIVATE LIMITED."/>
    <s v="VARANASI"/>
    <s v="28-Aug-24"/>
    <s v="04-May-25"/>
    <n v="1165"/>
    <n v="8430"/>
    <n v="4"/>
    <s v="S"/>
    <s v="TRAX"/>
    <n v="324248"/>
    <s v="MC1D1DGA1SP001555"/>
    <s v="D72016189"/>
    <m/>
    <m/>
    <x v="4"/>
    <s v="08-Jun-25"/>
    <x v="4"/>
    <n v="0"/>
    <n v="588115"/>
    <s v="18-Jul-25"/>
    <n v="0"/>
    <n v="0"/>
    <n v="0"/>
    <n v="111582"/>
    <s v="18-Jul-25"/>
    <n v="0"/>
    <m/>
    <m/>
    <s v="TRXBS6"/>
    <s v="CVD"/>
    <s v="P"/>
  </r>
  <r>
    <n v="547"/>
    <s v="NORTH"/>
    <s v="UTTAR PRADESH"/>
    <n v="7134"/>
    <s v="M/S GOENKA AUTO PRIVATE LIMITED."/>
    <s v="VARANASI"/>
    <s v="24-Mar-25"/>
    <s v="08-May-25"/>
    <n v="887"/>
    <n v="9760"/>
    <n v="1"/>
    <s v="S"/>
    <s v="T-1"/>
    <n v="796173"/>
    <s v="MC1E4CAA2SP083844"/>
    <s v="D71069961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548"/>
    <s v="NORTH"/>
    <s v="UTTAR PRADESH"/>
    <n v="7134"/>
    <s v="M/S GOENKA AUTO PRIVATE LIMITED."/>
    <s v="VARANASI"/>
    <s v="08-Feb-25"/>
    <s v="27-May-25"/>
    <n v="1165"/>
    <n v="4208"/>
    <n v="2"/>
    <s v="S"/>
    <s v="TRAX"/>
    <n v="326401"/>
    <s v="MC1D4DJAXSP105865"/>
    <s v="D72017337"/>
    <m/>
    <m/>
    <x v="4"/>
    <s v="08-Jun-25"/>
    <x v="4"/>
    <n v="0"/>
    <n v="588115"/>
    <s v="18-Jul-25"/>
    <n v="0"/>
    <n v="0"/>
    <n v="0"/>
    <n v="111582"/>
    <s v="18-Jul-25"/>
    <n v="0"/>
    <m/>
    <m/>
    <s v="TRXBS6"/>
    <s v="CVD"/>
    <s v="P"/>
  </r>
  <r>
    <n v="549"/>
    <s v="NORTH"/>
    <s v="UTTAR PRADESH"/>
    <n v="7134"/>
    <s v="M/S GOENKA AUTO PRIVATE LIMITED."/>
    <s v="VARANASI"/>
    <s v="22-Mar-25"/>
    <s v="19-May-25"/>
    <n v="876"/>
    <n v="10198"/>
    <n v="1"/>
    <s v="S"/>
    <s v="T-1"/>
    <n v="796542"/>
    <s v="MC1E4CAA6SP083829"/>
    <s v="D71069913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550"/>
    <s v="NORTH"/>
    <s v="UTTAR PRADESH"/>
    <n v="7134"/>
    <s v="M/S GOENKA AUTO PRIVATE LIMITED."/>
    <s v="VARANASI"/>
    <s v="18-Oct-24"/>
    <s v="30-May-25"/>
    <n v="1165"/>
    <n v="40000"/>
    <n v="4"/>
    <s v="S"/>
    <s v="T1N"/>
    <n v="5392"/>
    <s v="MC1M4AJA0SP002436"/>
    <s v="D71062823"/>
    <m/>
    <m/>
    <x v="4"/>
    <s v="08-Jun-25"/>
    <x v="4"/>
    <n v="0"/>
    <n v="588115"/>
    <s v="18-Jul-25"/>
    <n v="0"/>
    <n v="0"/>
    <n v="0"/>
    <n v="111582"/>
    <s v="18-Jul-25"/>
    <n v="0"/>
    <m/>
    <m/>
    <s v="URBN"/>
    <s v="CVD"/>
    <s v="P"/>
  </r>
  <r>
    <n v="551"/>
    <s v="NORTH"/>
    <s v="UTTAR PRADESH"/>
    <n v="7134"/>
    <s v="M/S GOENKA AUTO PRIVATE LIMITED."/>
    <s v="VARANASI"/>
    <s v="31-Mar-25"/>
    <s v="26-May-25"/>
    <n v="842"/>
    <n v="11993"/>
    <n v="1"/>
    <s v="S"/>
    <s v="T-1"/>
    <n v="795055"/>
    <s v="MC1E4CAA8SP084111"/>
    <s v="D71070286"/>
    <s v="001"/>
    <s v="SERV KMS  / HRS EXCEEDS"/>
    <x v="4"/>
    <s v="08-Jun-25"/>
    <x v="4"/>
    <n v="1250"/>
    <n v="588115"/>
    <s v="18-Jul-25"/>
    <n v="1000"/>
    <n v="1475"/>
    <n v="225"/>
    <n v="111582"/>
    <s v="18-Jul-25"/>
    <n v="250"/>
    <m/>
    <m/>
    <s v="T1BS6N"/>
    <s v="CVD"/>
    <s v="F"/>
  </r>
  <r>
    <n v="552"/>
    <s v="NORTH"/>
    <s v="UTTAR PRADESH"/>
    <n v="7134"/>
    <s v="M/S GOENKA AUTO PRIVATE LIMITED."/>
    <s v="VARANASI"/>
    <s v="06-Jul-24"/>
    <s v="11-May-25"/>
    <n v="1165"/>
    <n v="59900"/>
    <n v="6"/>
    <s v="S"/>
    <s v="T26"/>
    <n v="777193"/>
    <s v="MC1E4FFA8RP020641"/>
    <s v="D71056088"/>
    <m/>
    <m/>
    <x v="4"/>
    <s v="08-Jun-25"/>
    <x v="4"/>
    <n v="0"/>
    <n v="588115"/>
    <s v="18-Jul-25"/>
    <n v="0"/>
    <n v="0"/>
    <n v="0"/>
    <n v="111582"/>
    <s v="18-Jul-25"/>
    <n v="0"/>
    <m/>
    <m/>
    <s v="T26BS6"/>
    <s v="CVD"/>
    <s v="P"/>
  </r>
  <r>
    <n v="553"/>
    <s v="NORTH"/>
    <s v="UTTAR PRADESH"/>
    <n v="7134"/>
    <s v="M/S GOENKA AUTO PRIVATE LIMITED."/>
    <s v="VARANASI"/>
    <s v="06-Jul-24"/>
    <s v="21-May-25"/>
    <n v="1165"/>
    <n v="67860"/>
    <n v="7"/>
    <s v="S"/>
    <s v="T26"/>
    <n v="777193"/>
    <s v="MC1E4FFA8RP020641"/>
    <s v="D71056088"/>
    <m/>
    <m/>
    <x v="4"/>
    <s v="08-Jun-25"/>
    <x v="4"/>
    <n v="0"/>
    <n v="588115"/>
    <s v="18-Jul-25"/>
    <n v="0"/>
    <n v="0"/>
    <n v="0"/>
    <n v="111582"/>
    <s v="18-Jul-25"/>
    <n v="0"/>
    <m/>
    <m/>
    <s v="T26BS6"/>
    <s v="CVD"/>
    <s v="P"/>
  </r>
  <r>
    <n v="554"/>
    <s v="NORTH"/>
    <s v="UTTAR PRADESH"/>
    <n v="7134"/>
    <s v="M/S GOENKA AUTO PRIVATE LIMITED."/>
    <s v="VARANASI"/>
    <s v="24-Mar-25"/>
    <s v="09-May-25"/>
    <n v="883"/>
    <n v="9818"/>
    <n v="1"/>
    <s v="S"/>
    <s v="T-1"/>
    <n v="798650"/>
    <s v="MC1E4CAA0SP084197"/>
    <s v="D71070488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555"/>
    <s v="NORTH"/>
    <s v="UTTAR PRADESH"/>
    <n v="7134"/>
    <s v="M/S GOENKA AUTO PRIVATE LIMITED."/>
    <s v="VARANASI"/>
    <s v="23-Apr-24"/>
    <s v="21-May-25"/>
    <n v="1165"/>
    <n v="79587"/>
    <n v="8"/>
    <s v="S"/>
    <s v="T1N"/>
    <n v="3489"/>
    <s v="MC1M4ADA5RP001370"/>
    <s v="D71052482"/>
    <m/>
    <m/>
    <x v="4"/>
    <s v="08-Jun-25"/>
    <x v="4"/>
    <n v="0"/>
    <n v="588115"/>
    <s v="18-Jul-25"/>
    <n v="0"/>
    <n v="0"/>
    <n v="0"/>
    <n v="111582"/>
    <s v="18-Jul-25"/>
    <n v="0"/>
    <m/>
    <m/>
    <s v="URBN"/>
    <s v="CVD"/>
    <s v="P"/>
  </r>
  <r>
    <n v="556"/>
    <s v="NORTH"/>
    <s v="UTTAR PRADESH"/>
    <n v="7134"/>
    <s v="M/S GOENKA AUTO PRIVATE LIMITED."/>
    <s v="VARANASI"/>
    <s v="20-Aug-24"/>
    <s v="29-May-25"/>
    <n v="1165"/>
    <n v="40201"/>
    <n v="6"/>
    <s v="S"/>
    <s v="T-1"/>
    <n v="775577"/>
    <s v="MC1E4EDA2RP012872"/>
    <s v="D71053886"/>
    <m/>
    <m/>
    <x v="4"/>
    <s v="08-Jun-25"/>
    <x v="4"/>
    <n v="0"/>
    <n v="588115"/>
    <s v="18-Jul-25"/>
    <n v="0"/>
    <n v="0"/>
    <n v="0"/>
    <n v="111582"/>
    <s v="18-Jul-25"/>
    <n v="0"/>
    <m/>
    <m/>
    <s v="T1BS6"/>
    <s v="CVD"/>
    <s v="P"/>
  </r>
  <r>
    <n v="557"/>
    <s v="NORTH"/>
    <s v="UTTAR PRADESH"/>
    <n v="7134"/>
    <s v="M/S GOENKA AUTO PRIVATE LIMITED."/>
    <s v="VARANASI"/>
    <s v="22-Mar-25"/>
    <s v="28-May-25"/>
    <n v="1165"/>
    <n v="10000"/>
    <n v="1"/>
    <s v="S"/>
    <s v="T-1"/>
    <n v="800870"/>
    <s v="MC1E4ECA7SP015645"/>
    <s v="D71075726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"/>
    <s v="CVD"/>
    <s v="F"/>
  </r>
  <r>
    <n v="558"/>
    <s v="NORTH"/>
    <s v="UTTAR PRADESH"/>
    <n v="7134"/>
    <s v="M/S GOENKA AUTO PRIVATE LIMITED."/>
    <s v="VARANASI"/>
    <s v="09-Aug-24"/>
    <s v="30-May-25"/>
    <n v="1165"/>
    <n v="60000"/>
    <n v="6"/>
    <s v="S"/>
    <s v="T-1"/>
    <n v="774600"/>
    <s v="MC1E4EFA8RP013148"/>
    <s v="D71056274"/>
    <m/>
    <m/>
    <x v="4"/>
    <s v="08-Jun-25"/>
    <x v="4"/>
    <n v="0"/>
    <n v="588115"/>
    <s v="18-Jul-25"/>
    <n v="0"/>
    <n v="0"/>
    <n v="0"/>
    <n v="111582"/>
    <s v="18-Jul-25"/>
    <n v="0"/>
    <m/>
    <m/>
    <s v="T1BS6"/>
    <s v="CVD"/>
    <s v="P"/>
  </r>
  <r>
    <n v="559"/>
    <s v="NORTH"/>
    <s v="UTTAR PRADESH"/>
    <n v="7134"/>
    <s v="M/S GOENKA AUTO PRIVATE LIMITED."/>
    <s v="VARANASI"/>
    <s v="16-Jul-24"/>
    <s v="21-May-25"/>
    <n v="1165"/>
    <n v="24500"/>
    <n v="2"/>
    <s v="S"/>
    <s v="T-1"/>
    <n v="780786"/>
    <s v="MC1E4DFAXRP053256"/>
    <s v="D71056704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560"/>
    <s v="NORTH"/>
    <s v="UTTAR PRADESH"/>
    <n v="7134"/>
    <s v="M/S GOENKA AUTO PRIVATE LIMITED."/>
    <s v="VARANASI"/>
    <s v="24-Mar-25"/>
    <s v="12-May-25"/>
    <n v="872"/>
    <n v="10179"/>
    <n v="1"/>
    <s v="S"/>
    <s v="T-1"/>
    <n v="796573"/>
    <s v="MC1E4CAA0SP084278"/>
    <s v="D71070689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561"/>
    <s v="NORTH"/>
    <s v="UTTAR PRADESH"/>
    <n v="7134"/>
    <s v="M/S GOENKA AUTO PRIVATE LIMITED."/>
    <s v="VARANASI"/>
    <s v="28-Jun-24"/>
    <s v="25-May-25"/>
    <n v="1165"/>
    <n v="15950"/>
    <n v="3"/>
    <s v="S"/>
    <s v="T-1"/>
    <n v="780621"/>
    <s v="MC1E4CEA8RP079639"/>
    <s v="D71055245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562"/>
    <s v="NORTH"/>
    <s v="UTTAR PRADESH"/>
    <n v="7134"/>
    <s v="M/S GOENKA AUTO PRIVATE LIMITED."/>
    <s v="VARANASI"/>
    <s v="22-Jul-24"/>
    <s v="25-May-25"/>
    <n v="1165"/>
    <n v="26973"/>
    <n v="3"/>
    <s v="S"/>
    <s v="T-1"/>
    <n v="780309"/>
    <s v="MC1E4CFA3RP079790"/>
    <s v="D71056355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563"/>
    <s v="NORTH"/>
    <s v="UTTAR PRADESH"/>
    <n v="7134"/>
    <s v="M/S GOENKA AUTO PRIVATE LIMITED."/>
    <s v="VARANASI"/>
    <s v="22-Mar-25"/>
    <s v="04-May-25"/>
    <n v="1165"/>
    <n v="3200"/>
    <n v="1"/>
    <s v="S"/>
    <s v="TRAX"/>
    <n v="328028"/>
    <s v="MC1D1DBA7SP001616"/>
    <s v="D72018969"/>
    <m/>
    <m/>
    <x v="4"/>
    <s v="08-Jun-25"/>
    <x v="4"/>
    <n v="1250"/>
    <n v="588115"/>
    <s v="18-Jul-25"/>
    <n v="1250"/>
    <n v="1475"/>
    <n v="225"/>
    <n v="111582"/>
    <s v="18-Jul-25"/>
    <n v="0"/>
    <m/>
    <m/>
    <s v="TRXBS6"/>
    <s v="CVD"/>
    <s v="F"/>
  </r>
  <r>
    <n v="564"/>
    <s v="NORTH"/>
    <s v="UTTAR PRADESH"/>
    <n v="7134"/>
    <s v="M/S GOENKA AUTO PRIVATE LIMITED."/>
    <s v="VARANASI"/>
    <s v="25-Mar-25"/>
    <s v="15-May-25"/>
    <n v="871"/>
    <n v="10227"/>
    <n v="1"/>
    <s v="S"/>
    <s v="T-1"/>
    <n v="795237"/>
    <s v="MC1E4CAA6SP084124"/>
    <s v="D71070391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565"/>
    <s v="NORTH"/>
    <s v="UTTAR PRADESH"/>
    <n v="7134"/>
    <s v="M/S GOENKA AUTO PRIVATE LIMITED."/>
    <s v="VARANASI"/>
    <s v="30-Nov-24"/>
    <s v="11-May-25"/>
    <n v="1165"/>
    <n v="29920"/>
    <n v="3"/>
    <s v="S"/>
    <s v="T1N"/>
    <n v="5597"/>
    <s v="MC1M4AKAXSP002667"/>
    <s v="D71064615"/>
    <m/>
    <m/>
    <x v="4"/>
    <s v="08-Jun-25"/>
    <x v="4"/>
    <n v="1650"/>
    <n v="588115"/>
    <s v="18-Jul-25"/>
    <n v="1650"/>
    <n v="1947"/>
    <n v="297"/>
    <n v="111582"/>
    <s v="18-Jul-25"/>
    <n v="0"/>
    <m/>
    <m/>
    <s v="URBN"/>
    <s v="CVD"/>
    <s v="F"/>
  </r>
  <r>
    <n v="566"/>
    <s v="NORTH"/>
    <s v="UTTAR PRADESH"/>
    <n v="7134"/>
    <s v="M/S GOENKA AUTO PRIVATE LIMITED."/>
    <s v="VARANASI"/>
    <s v="31-Mar-25"/>
    <s v="13-May-25"/>
    <n v="840"/>
    <n v="10481"/>
    <n v="1"/>
    <s v="S"/>
    <s v="T-1"/>
    <n v="795039"/>
    <s v="MC1E4CAA5SP084180"/>
    <s v="D71070495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567"/>
    <s v="NORTH"/>
    <s v="UTTAR PRADESH"/>
    <n v="7134"/>
    <s v="M/S GOENKA AUTO PRIVATE LIMITED."/>
    <s v="VARANASI"/>
    <s v="21-Feb-25"/>
    <s v="15-May-25"/>
    <n v="1165"/>
    <n v="9961"/>
    <n v="1"/>
    <s v="S"/>
    <s v="T-1"/>
    <n v="790437"/>
    <s v="MC1E4EBA1SP015190"/>
    <s v="D71071493"/>
    <s v="002"/>
    <s v="SERV DATE EXCEEDS"/>
    <x v="4"/>
    <s v="08-Jun-25"/>
    <x v="4"/>
    <n v="1250"/>
    <n v="588115"/>
    <s v="18-Jul-25"/>
    <n v="1000"/>
    <n v="1475"/>
    <n v="225"/>
    <n v="111582"/>
    <s v="18-Jul-25"/>
    <n v="250"/>
    <m/>
    <m/>
    <s v="T1BS6"/>
    <s v="CVD"/>
    <s v="F"/>
  </r>
  <r>
    <n v="568"/>
    <s v="NORTH"/>
    <s v="UTTAR PRADESH"/>
    <n v="7134"/>
    <s v="M/S GOENKA AUTO PRIVATE LIMITED."/>
    <s v="VARANASI"/>
    <s v="29-Apr-24"/>
    <s v="29-May-25"/>
    <n v="1165"/>
    <n v="70000"/>
    <n v="7"/>
    <s v="S"/>
    <s v="T26"/>
    <n v="776069"/>
    <s v="MC1E4FDA3RP020047"/>
    <s v="D71052347"/>
    <m/>
    <m/>
    <x v="4"/>
    <s v="08-Jun-25"/>
    <x v="4"/>
    <n v="0"/>
    <n v="588115"/>
    <s v="18-Jul-25"/>
    <n v="0"/>
    <n v="0"/>
    <n v="0"/>
    <n v="111582"/>
    <s v="18-Jul-25"/>
    <n v="0"/>
    <m/>
    <m/>
    <s v="T26BS6"/>
    <s v="CVD"/>
    <s v="P"/>
  </r>
  <r>
    <n v="569"/>
    <s v="NORTH"/>
    <s v="UTTAR PRADESH"/>
    <n v="7134"/>
    <s v="M/S GOENKA AUTO PRIVATE LIMITED."/>
    <s v="VARANASI"/>
    <s v="07-Jul-24"/>
    <s v="29-May-25"/>
    <n v="1165"/>
    <n v="80000"/>
    <n v="8"/>
    <s v="S"/>
    <s v="T-1"/>
    <n v="773702"/>
    <s v="MC1E4EFA4RP013146"/>
    <s v="D71056292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"/>
    <s v="CVD"/>
    <s v="F"/>
  </r>
  <r>
    <n v="570"/>
    <s v="NORTH"/>
    <s v="UTTAR PRADESH"/>
    <n v="7134"/>
    <s v="M/S GOENKA AUTO PRIVATE LIMITED."/>
    <s v="VARANASI"/>
    <s v="07-Jul-24"/>
    <s v="02-May-25"/>
    <n v="1165"/>
    <n v="69900"/>
    <n v="7"/>
    <s v="S"/>
    <s v="T-1"/>
    <n v="773702"/>
    <s v="MC1E4EFA4RP013146"/>
    <s v="D71056292"/>
    <m/>
    <m/>
    <x v="4"/>
    <s v="08-Jun-25"/>
    <x v="4"/>
    <n v="0"/>
    <n v="588115"/>
    <s v="18-Jul-25"/>
    <n v="0"/>
    <n v="0"/>
    <n v="0"/>
    <n v="111582"/>
    <s v="18-Jul-25"/>
    <n v="0"/>
    <m/>
    <m/>
    <s v="T1BS6"/>
    <s v="CVD"/>
    <s v="P"/>
  </r>
  <r>
    <n v="571"/>
    <s v="NORTH"/>
    <s v="UTTAR PRADESH"/>
    <n v="7134"/>
    <s v="M/S GOENKA AUTO PRIVATE LIMITED."/>
    <s v="VARANASI"/>
    <s v="24-Mar-25"/>
    <s v="14-May-25"/>
    <n v="875"/>
    <n v="10662"/>
    <n v="1"/>
    <s v="S"/>
    <s v="T-1"/>
    <n v="796143"/>
    <s v="MC1E4CAA6SP083877"/>
    <s v="D71070045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572"/>
    <s v="NORTH"/>
    <s v="UTTAR PRADESH"/>
    <n v="7134"/>
    <s v="M/S GOENKA AUTO PRIVATE LIMITED."/>
    <s v="VARANASI"/>
    <s v="16-Jul-24"/>
    <s v="05-May-25"/>
    <n v="1165"/>
    <n v="12500"/>
    <n v="3"/>
    <s v="S"/>
    <s v="T3"/>
    <n v="767815"/>
    <s v="MC1L4ADA6RP001499"/>
    <s v="D71053395"/>
    <m/>
    <m/>
    <x v="4"/>
    <s v="08-Jun-25"/>
    <x v="4"/>
    <n v="1250"/>
    <n v="588115"/>
    <s v="18-Jul-25"/>
    <n v="1250"/>
    <n v="1475"/>
    <n v="225"/>
    <n v="111582"/>
    <s v="18-Jul-25"/>
    <n v="0"/>
    <m/>
    <m/>
    <s v="T3MONBS6"/>
    <s v="CVD"/>
    <s v="F"/>
  </r>
  <r>
    <n v="573"/>
    <s v="NORTH"/>
    <s v="UTTAR PRADESH"/>
    <n v="7134"/>
    <s v="M/S GOENKA AUTO PRIVATE LIMITED."/>
    <s v="VARANASI"/>
    <s v="25-Mar-25"/>
    <s v="19-May-25"/>
    <n v="873"/>
    <n v="9828"/>
    <n v="1"/>
    <s v="S"/>
    <s v="T-1"/>
    <n v="798608"/>
    <s v="MC1E4CAA5SP084454"/>
    <s v="D71069491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574"/>
    <s v="NORTH"/>
    <s v="UTTAR PRADESH"/>
    <n v="7134"/>
    <s v="M/S GOENKA AUTO PRIVATE LIMITED."/>
    <s v="VARANASI"/>
    <s v="29-Oct-24"/>
    <s v="11-May-25"/>
    <n v="1165"/>
    <n v="30000"/>
    <n v="3"/>
    <s v="S"/>
    <s v="T-1"/>
    <n v="790578"/>
    <s v="MC1E4EKA4SP014275"/>
    <s v="D71063275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"/>
    <s v="CVD"/>
    <s v="F"/>
  </r>
  <r>
    <n v="575"/>
    <s v="NORTH"/>
    <s v="UTTAR PRADESH"/>
    <n v="7134"/>
    <s v="M/S GOENKA AUTO PRIVATE LIMITED."/>
    <s v="VARANASI"/>
    <s v="29-May-23"/>
    <s v="04-May-25"/>
    <n v="1165"/>
    <n v="120443"/>
    <n v="12"/>
    <s v="S"/>
    <s v="T26"/>
    <n v="749388"/>
    <s v="MC1E4FEA5PP016853"/>
    <s v="D71030922"/>
    <m/>
    <m/>
    <x v="4"/>
    <s v="08-Jun-25"/>
    <x v="4"/>
    <n v="0"/>
    <n v="588115"/>
    <s v="18-Jul-25"/>
    <n v="0"/>
    <n v="0"/>
    <n v="0"/>
    <n v="111582"/>
    <s v="18-Jul-25"/>
    <n v="0"/>
    <m/>
    <m/>
    <s v="T26BS6"/>
    <s v="CVD"/>
    <s v="P"/>
  </r>
  <r>
    <n v="576"/>
    <s v="NORTH"/>
    <s v="UTTAR PRADESH"/>
    <n v="7134"/>
    <s v="M/S GOENKA AUTO PRIVATE LIMITED."/>
    <s v="VARANASI"/>
    <s v="12-Feb-25"/>
    <s v="04-May-25"/>
    <n v="1165"/>
    <n v="4123"/>
    <n v="1"/>
    <s v="S"/>
    <s v="T-1"/>
    <n v="781429"/>
    <s v="MC1E4DAA1SP055524"/>
    <s v="D71067085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577"/>
    <s v="NORTH"/>
    <s v="UTTAR PRADESH"/>
    <n v="7134"/>
    <s v="M/S GOENKA AUTO PRIVATE LIMITED."/>
    <s v="VARANASI"/>
    <s v="09-Sep-24"/>
    <s v="01-May-25"/>
    <n v="1165"/>
    <n v="60000"/>
    <n v="6"/>
    <s v="S"/>
    <s v="T-1"/>
    <n v="785386"/>
    <s v="MC1E4EFA3RP013378"/>
    <s v="D71057643"/>
    <m/>
    <m/>
    <x v="4"/>
    <s v="08-Jun-25"/>
    <x v="4"/>
    <n v="0"/>
    <n v="588115"/>
    <s v="18-Jul-25"/>
    <n v="0"/>
    <n v="0"/>
    <n v="0"/>
    <n v="111582"/>
    <s v="18-Jul-25"/>
    <n v="0"/>
    <m/>
    <m/>
    <s v="T1BS6"/>
    <s v="CVD"/>
    <s v="P"/>
  </r>
  <r>
    <n v="578"/>
    <s v="NORTH"/>
    <s v="UTTAR PRADESH"/>
    <n v="7134"/>
    <s v="M/S GOENKA AUTO PRIVATE LIMITED."/>
    <s v="VARANASI"/>
    <s v="09-Sep-24"/>
    <s v="28-May-25"/>
    <n v="1165"/>
    <n v="70000"/>
    <n v="7"/>
    <s v="S"/>
    <s v="T-1"/>
    <n v="785386"/>
    <s v="MC1E4EFA3RP013378"/>
    <s v="D71057643"/>
    <m/>
    <m/>
    <x v="4"/>
    <s v="08-Jun-25"/>
    <x v="4"/>
    <n v="0"/>
    <n v="588115"/>
    <s v="18-Jul-25"/>
    <n v="0"/>
    <n v="0"/>
    <n v="0"/>
    <n v="111582"/>
    <s v="18-Jul-25"/>
    <n v="0"/>
    <m/>
    <m/>
    <s v="T1BS6"/>
    <s v="CVD"/>
    <s v="P"/>
  </r>
  <r>
    <n v="579"/>
    <s v="NORTH"/>
    <s v="UTTAR PRADESH"/>
    <n v="7134"/>
    <s v="M/S GOENKA AUTO PRIVATE LIMITED."/>
    <s v="VARANASI"/>
    <s v="20-Jun-24"/>
    <s v="16-May-25"/>
    <n v="1165"/>
    <n v="39251"/>
    <n v="5"/>
    <s v="S"/>
    <s v="T-1"/>
    <n v="775459"/>
    <s v="MC1E4DEA3RP052936"/>
    <s v="D71055439"/>
    <s v="002"/>
    <s v="SERV DATE EXCEEDS"/>
    <x v="4"/>
    <s v="08-Jun-25"/>
    <x v="4"/>
    <n v="1250"/>
    <n v="588115"/>
    <s v="18-Jul-25"/>
    <n v="1000"/>
    <n v="1475"/>
    <n v="225"/>
    <n v="111582"/>
    <s v="18-Jul-25"/>
    <n v="250"/>
    <m/>
    <m/>
    <s v="T1BS6"/>
    <s v="CVD"/>
    <s v="F"/>
  </r>
  <r>
    <n v="580"/>
    <s v="NORTH"/>
    <s v="UTTAR PRADESH"/>
    <n v="7134"/>
    <s v="M/S GOENKA AUTO PRIVATE LIMITED."/>
    <s v="VARANASI"/>
    <s v="21-Oct-24"/>
    <s v="14-May-25"/>
    <n v="1165"/>
    <n v="38444"/>
    <n v="4"/>
    <s v="S"/>
    <s v="T-1"/>
    <n v="787041"/>
    <s v="MC1E4EHA9SP013856"/>
    <s v="D71061114"/>
    <m/>
    <m/>
    <x v="4"/>
    <s v="08-Jun-25"/>
    <x v="4"/>
    <n v="0"/>
    <n v="588115"/>
    <s v="18-Jul-25"/>
    <n v="0"/>
    <n v="0"/>
    <n v="0"/>
    <n v="111582"/>
    <s v="18-Jul-25"/>
    <n v="0"/>
    <m/>
    <m/>
    <s v="T1BS6"/>
    <s v="CVD"/>
    <s v="P"/>
  </r>
  <r>
    <n v="581"/>
    <s v="NORTH"/>
    <s v="UTTAR PRADESH"/>
    <n v="7134"/>
    <s v="M/S GOENKA AUTO PRIVATE LIMITED."/>
    <s v="VARANASI"/>
    <s v="24-Mar-25"/>
    <s v="26-May-25"/>
    <n v="895"/>
    <n v="9372"/>
    <n v="1"/>
    <s v="S"/>
    <s v="T-1"/>
    <n v="798680"/>
    <s v="MC1E4CAA1SP084418"/>
    <s v="D71070826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582"/>
    <s v="NORTH"/>
    <s v="UTTAR PRADESH"/>
    <n v="7134"/>
    <s v="M/S GOENKA AUTO PRIVATE LIMITED."/>
    <s v="VARANASI"/>
    <s v="31-Jul-24"/>
    <s v="30-Apr-25"/>
    <n v="1165"/>
    <n v="38187"/>
    <n v="4"/>
    <s v="S"/>
    <s v="T1N"/>
    <n v="5240"/>
    <s v="MC1M4AGA7SP002019"/>
    <s v="D71058503"/>
    <m/>
    <m/>
    <x v="4"/>
    <s v="08-Jun-25"/>
    <x v="4"/>
    <n v="0"/>
    <n v="588115"/>
    <s v="18-Jul-25"/>
    <n v="0"/>
    <n v="0"/>
    <n v="0"/>
    <n v="111582"/>
    <s v="18-Jul-25"/>
    <n v="0"/>
    <m/>
    <m/>
    <s v="URBN"/>
    <s v="CVD"/>
    <s v="P"/>
  </r>
  <r>
    <n v="583"/>
    <s v="NORTH"/>
    <s v="UTTAR PRADESH"/>
    <n v="7134"/>
    <s v="M/S GOENKA AUTO PRIVATE LIMITED."/>
    <s v="VARANASI"/>
    <s v="20-Aug-24"/>
    <s v="06-May-25"/>
    <n v="951"/>
    <n v="40000"/>
    <n v="4"/>
    <s v="S"/>
    <s v="T1N"/>
    <n v="4698"/>
    <s v="MC1M4AFA4RP001924"/>
    <s v="D71057611"/>
    <m/>
    <m/>
    <x v="4"/>
    <s v="08-Jun-25"/>
    <x v="4"/>
    <n v="0"/>
    <n v="588115"/>
    <s v="18-Jul-25"/>
    <n v="0"/>
    <n v="0"/>
    <n v="0"/>
    <n v="111582"/>
    <s v="18-Jul-25"/>
    <n v="0"/>
    <m/>
    <m/>
    <s v="URBN"/>
    <s v="CVD"/>
    <s v="P"/>
  </r>
  <r>
    <n v="584"/>
    <s v="NORTH"/>
    <s v="UTTAR PRADESH"/>
    <n v="7134"/>
    <s v="M/S GOENKA AUTO PRIVATE LIMITED."/>
    <s v="VARANASI"/>
    <s v="22-Mar-25"/>
    <s v="12-May-25"/>
    <n v="898"/>
    <n v="10237"/>
    <n v="1"/>
    <s v="S"/>
    <s v="T-1"/>
    <n v="796539"/>
    <s v="MC1E4CAA1SP083396"/>
    <s v="D71069263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585"/>
    <s v="NORTH"/>
    <s v="UTTAR PRADESH"/>
    <n v="7134"/>
    <s v="M/S GOENKA AUTO PRIVATE LIMITED."/>
    <s v="VARANASI"/>
    <s v="25-Mar-25"/>
    <s v="26-May-25"/>
    <n v="896"/>
    <n v="10461"/>
    <n v="1"/>
    <s v="S"/>
    <s v="T-1"/>
    <n v="797421"/>
    <s v="MC1E4CAA9SP084442"/>
    <s v="D71069729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586"/>
    <s v="NORTH"/>
    <s v="UTTAR PRADESH"/>
    <n v="7134"/>
    <s v="M/S GOENKA AUTO PRIVATE LIMITED."/>
    <s v="VARANASI"/>
    <s v="29-Apr-24"/>
    <s v="02-May-25"/>
    <n v="1165"/>
    <n v="89935"/>
    <n v="9"/>
    <s v="S"/>
    <s v="T-1"/>
    <n v="773372"/>
    <s v="MC1E4EDA5RP012526"/>
    <s v="D71051928"/>
    <m/>
    <m/>
    <x v="4"/>
    <s v="08-Jun-25"/>
    <x v="4"/>
    <n v="0"/>
    <n v="588115"/>
    <s v="18-Jul-25"/>
    <n v="0"/>
    <n v="0"/>
    <n v="0"/>
    <n v="111582"/>
    <s v="18-Jul-25"/>
    <n v="0"/>
    <m/>
    <m/>
    <s v="T1BS6"/>
    <s v="CVD"/>
    <s v="P"/>
  </r>
  <r>
    <n v="587"/>
    <s v="NORTH"/>
    <s v="UTTAR PRADESH"/>
    <n v="7134"/>
    <s v="M/S GOENKA AUTO PRIVATE LIMITED."/>
    <s v="VARANASI"/>
    <s v="24-Mar-25"/>
    <s v="09-May-25"/>
    <n v="889"/>
    <n v="9501"/>
    <n v="1"/>
    <s v="S"/>
    <s v="T-1"/>
    <n v="796130"/>
    <s v="MC1E4CAA9SP083839"/>
    <s v="D71069966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588"/>
    <s v="NORTH"/>
    <s v="UTTAR PRADESH"/>
    <n v="7134"/>
    <s v="M/S GOENKA AUTO PRIVATE LIMITED."/>
    <s v="VARANASI"/>
    <s v="27-Mar-25"/>
    <s v="26-May-25"/>
    <n v="860"/>
    <n v="9366"/>
    <n v="1"/>
    <s v="S"/>
    <s v="T-1"/>
    <n v="797770"/>
    <s v="MC1E4CBAXSP085811"/>
    <s v="D71073110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589"/>
    <s v="NORTH"/>
    <s v="UTTAR PRADESH"/>
    <n v="7134"/>
    <s v="M/S GOENKA AUTO PRIVATE LIMITED."/>
    <s v="VARANASI"/>
    <s v="27-Mar-25"/>
    <s v="26-May-25"/>
    <n v="852"/>
    <n v="9991"/>
    <n v="1"/>
    <s v="S"/>
    <s v="T-1"/>
    <n v="797765"/>
    <s v="MC1E4CBA3SP085746"/>
    <s v="D71073028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590"/>
    <s v="NORTH"/>
    <s v="UTTAR PRADESH"/>
    <n v="7134"/>
    <s v="M/S GOENKA AUTO PRIVATE LIMITED."/>
    <s v="VARANASI"/>
    <s v="23-Mar-25"/>
    <s v="18-May-25"/>
    <n v="860"/>
    <n v="9621"/>
    <n v="1"/>
    <s v="S"/>
    <s v="T-1"/>
    <n v="798115"/>
    <s v="MC1E4CBA3SP085102"/>
    <s v="D71071758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591"/>
    <s v="NORTH"/>
    <s v="UTTAR PRADESH"/>
    <n v="7134"/>
    <s v="M/S GOENKA AUTO PRIVATE LIMITED."/>
    <s v="VARANASI"/>
    <s v="20-Feb-25"/>
    <s v="14-May-25"/>
    <n v="866"/>
    <n v="10057"/>
    <n v="1"/>
    <s v="S"/>
    <s v="T-1"/>
    <n v="796366"/>
    <s v="MC1E4CAA9SP083386"/>
    <s v="D71069257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592"/>
    <s v="NORTH"/>
    <s v="UTTAR PRADESH"/>
    <n v="7134"/>
    <s v="M/S GOENKA AUTO PRIVATE LIMITED."/>
    <s v="VARANASI"/>
    <s v="11-Jul-24"/>
    <s v="14-May-25"/>
    <n v="1165"/>
    <n v="7377"/>
    <n v="2"/>
    <s v="S"/>
    <s v="T-1"/>
    <n v="771339"/>
    <s v="MC1E4DEA1RP052689"/>
    <s v="D71054537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593"/>
    <s v="NORTH"/>
    <s v="UTTAR PRADESH"/>
    <n v="7134"/>
    <s v="M/S GOENKA AUTO PRIVATE LIMITED."/>
    <s v="VARANASI"/>
    <s v="22-Jun-24"/>
    <s v="01-May-25"/>
    <n v="1165"/>
    <n v="60000"/>
    <n v="6"/>
    <s v="S"/>
    <s v="T-1"/>
    <n v="774638"/>
    <s v="MC1E4EDA9RP012805"/>
    <s v="D71053488"/>
    <m/>
    <m/>
    <x v="4"/>
    <s v="08-Jun-25"/>
    <x v="4"/>
    <n v="0"/>
    <n v="588115"/>
    <s v="18-Jul-25"/>
    <n v="0"/>
    <n v="0"/>
    <n v="0"/>
    <n v="111582"/>
    <s v="18-Jul-25"/>
    <n v="0"/>
    <m/>
    <m/>
    <s v="T1BS6"/>
    <s v="CVD"/>
    <s v="P"/>
  </r>
  <r>
    <n v="594"/>
    <s v="NORTH"/>
    <s v="UTTAR PRADESH"/>
    <n v="7134"/>
    <s v="M/S GOENKA AUTO PRIVATE LIMITED."/>
    <s v="VARANASI"/>
    <s v="24-Mar-25"/>
    <s v="15-May-25"/>
    <n v="856"/>
    <n v="10060"/>
    <n v="1"/>
    <s v="S"/>
    <s v="T-1"/>
    <n v="796592"/>
    <s v="MC1E4CAA8SP084271"/>
    <s v="D71070670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595"/>
    <s v="NORTH"/>
    <s v="UTTAR PRADESH"/>
    <n v="7134"/>
    <s v="M/S GOENKA AUTO PRIVATE LIMITED."/>
    <s v="VARANASI"/>
    <s v="26-Jul-24"/>
    <s v="21-May-25"/>
    <n v="1165"/>
    <n v="17974"/>
    <n v="2"/>
    <s v="S"/>
    <s v="T-1"/>
    <n v="781812"/>
    <s v="MC1E4DGA2SP053627"/>
    <s v="D71058150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596"/>
    <s v="NORTH"/>
    <s v="UTTAR PRADESH"/>
    <n v="7134"/>
    <s v="M/S GOENKA AUTO PRIVATE LIMITED."/>
    <s v="VARANASI"/>
    <s v="29-Mar-25"/>
    <s v="30-May-25"/>
    <n v="1165"/>
    <n v="4666"/>
    <n v="1"/>
    <s v="S"/>
    <s v="T26"/>
    <n v="789021"/>
    <s v="MC1E4FCA0SP023088"/>
    <s v="D71076373"/>
    <m/>
    <m/>
    <x v="4"/>
    <s v="08-Jun-25"/>
    <x v="4"/>
    <n v="1250"/>
    <n v="588115"/>
    <s v="18-Jul-25"/>
    <n v="1250"/>
    <n v="1475"/>
    <n v="225"/>
    <n v="111582"/>
    <s v="18-Jul-25"/>
    <n v="0"/>
    <m/>
    <m/>
    <s v="T26BS6"/>
    <s v="CVD"/>
    <s v="F"/>
  </r>
  <r>
    <n v="597"/>
    <s v="NORTH"/>
    <s v="UTTAR PRADESH"/>
    <n v="7134"/>
    <s v="M/S GOENKA AUTO PRIVATE LIMITED."/>
    <s v="VARANASI"/>
    <s v="16-Oct-24"/>
    <s v="11-May-25"/>
    <n v="1165"/>
    <n v="50000"/>
    <n v="5"/>
    <s v="S"/>
    <s v="TRAX"/>
    <n v="324809"/>
    <s v="MC1D4DHA2SP105462"/>
    <s v="D72016887"/>
    <m/>
    <m/>
    <x v="4"/>
    <s v="08-Jun-25"/>
    <x v="4"/>
    <n v="1250"/>
    <n v="588115"/>
    <s v="18-Jul-25"/>
    <n v="1250"/>
    <n v="1475"/>
    <n v="225"/>
    <n v="111582"/>
    <s v="18-Jul-25"/>
    <n v="0"/>
    <m/>
    <m/>
    <s v="TRXBS6"/>
    <s v="CVD"/>
    <s v="F"/>
  </r>
  <r>
    <n v="598"/>
    <s v="NORTH"/>
    <s v="UTTAR PRADESH"/>
    <n v="7134"/>
    <s v="M/S GOENKA AUTO PRIVATE LIMITED."/>
    <s v="VARANASI"/>
    <s v="10-Aug-23"/>
    <s v="25-May-25"/>
    <n v="1165"/>
    <n v="16511"/>
    <n v="11"/>
    <s v="S"/>
    <s v="T-1"/>
    <n v="733302"/>
    <s v="MC1E5DGAXRP000388"/>
    <s v="D73000522"/>
    <m/>
    <m/>
    <x v="4"/>
    <s v="08-Jun-25"/>
    <x v="4"/>
    <n v="1250"/>
    <n v="588115"/>
    <s v="18-Jul-25"/>
    <n v="1250"/>
    <n v="1475"/>
    <n v="225"/>
    <n v="111582"/>
    <s v="18-Jul-25"/>
    <n v="0"/>
    <m/>
    <m/>
    <s v="T1CNGL"/>
    <s v="CVD"/>
    <s v="F"/>
  </r>
  <r>
    <n v="599"/>
    <s v="NORTH"/>
    <s v="UTTAR PRADESH"/>
    <n v="7134"/>
    <s v="M/S GOENKA AUTO PRIVATE LIMITED."/>
    <s v="VARANASI"/>
    <s v="13-Jan-25"/>
    <s v="27-May-25"/>
    <n v="871"/>
    <n v="10610"/>
    <n v="1"/>
    <s v="S"/>
    <s v="T-1"/>
    <n v="796555"/>
    <s v="MC1E4CAA6SP083443"/>
    <s v="D71069271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600"/>
    <s v="NORTH"/>
    <s v="UTTAR PRADESH"/>
    <n v="7134"/>
    <s v="M/S GOENKA AUTO PRIVATE LIMITED."/>
    <s v="VARANASI"/>
    <s v="28-Jun-24"/>
    <s v="20-May-25"/>
    <n v="1165"/>
    <n v="70000"/>
    <n v="7"/>
    <s v="S"/>
    <s v="T-1"/>
    <n v="775503"/>
    <s v="MC1E4EEA9RP013001"/>
    <s v="D71054846"/>
    <m/>
    <m/>
    <x v="4"/>
    <s v="08-Jun-25"/>
    <x v="4"/>
    <n v="0"/>
    <n v="588115"/>
    <s v="18-Jul-25"/>
    <n v="0"/>
    <n v="0"/>
    <n v="0"/>
    <n v="111582"/>
    <s v="18-Jul-25"/>
    <n v="0"/>
    <m/>
    <m/>
    <s v="T1BS6"/>
    <s v="CVD"/>
    <s v="P"/>
  </r>
  <r>
    <n v="601"/>
    <s v="NORTH"/>
    <s v="UTTAR PRADESH"/>
    <n v="7134"/>
    <s v="M/S GOENKA AUTO PRIVATE LIMITED."/>
    <s v="VARANASI"/>
    <s v="25-Mar-25"/>
    <s v="15-May-25"/>
    <n v="877"/>
    <n v="9983"/>
    <n v="1"/>
    <s v="S"/>
    <s v="T-1"/>
    <n v="797079"/>
    <s v="MC1E4CBA0SP085879"/>
    <s v="D71073109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602"/>
    <s v="NORTH"/>
    <s v="UTTAR PRADESH"/>
    <n v="7134"/>
    <s v="M/S GOENKA AUTO PRIVATE LIMITED."/>
    <s v="VARANASI"/>
    <s v="26-Mar-25"/>
    <s v="18-May-25"/>
    <n v="854"/>
    <n v="9763"/>
    <n v="1"/>
    <s v="S"/>
    <s v="T-1"/>
    <n v="795543"/>
    <s v="MC1E4CBA2SP085740"/>
    <s v="D71073077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603"/>
    <s v="NORTH"/>
    <s v="UTTAR PRADESH"/>
    <n v="7134"/>
    <s v="M/S GOENKA AUTO PRIVATE LIMITED."/>
    <s v="VARANASI"/>
    <s v="24-Mar-25"/>
    <s v="13-May-25"/>
    <n v="855"/>
    <n v="10174"/>
    <n v="1"/>
    <s v="S"/>
    <s v="T-1"/>
    <n v="796598"/>
    <s v="MC1E4CAA4SP084266"/>
    <s v="D71070512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604"/>
    <s v="NORTH"/>
    <s v="UTTAR PRADESH"/>
    <n v="7134"/>
    <s v="M/S GOENKA AUTO PRIVATE LIMITED."/>
    <s v="VARANASI"/>
    <s v="23-Mar-25"/>
    <s v="15-May-25"/>
    <n v="882"/>
    <n v="9210"/>
    <n v="1"/>
    <s v="S"/>
    <s v="T-1"/>
    <n v="796468"/>
    <s v="MC1E4CAA1SP083561"/>
    <s v="D71069587"/>
    <s v="022"/>
    <s v="SERVICE COUPON HARD COPY NOT RECEIVED"/>
    <x v="4"/>
    <s v="08-Jun-25"/>
    <x v="4"/>
    <n v="1250"/>
    <n v="588115"/>
    <s v="18-Jul-25"/>
    <n v="0"/>
    <n v="1475"/>
    <n v="225"/>
    <n v="111582"/>
    <s v="18-Jul-25"/>
    <n v="1250"/>
    <m/>
    <m/>
    <s v="T1BS6N"/>
    <s v="CVD"/>
    <s v="F"/>
  </r>
  <r>
    <n v="605"/>
    <s v="NORTH"/>
    <s v="UTTAR PRADESH"/>
    <n v="7134"/>
    <s v="M/S GOENKA AUTO PRIVATE LIMITED."/>
    <s v="VARANASI"/>
    <s v="26-Mar-25"/>
    <s v="11-May-25"/>
    <n v="990"/>
    <n v="10000"/>
    <n v="1"/>
    <s v="S"/>
    <s v="T-1"/>
    <n v="797124"/>
    <s v="MC1E4CBA4SP086078"/>
    <s v="D71073649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606"/>
    <s v="NORTH"/>
    <s v="UTTAR PRADESH"/>
    <n v="7134"/>
    <s v="M/S GOENKA AUTO PRIVATE LIMITED."/>
    <s v="VARANASI"/>
    <s v="08-Mar-24"/>
    <s v="19-May-25"/>
    <n v="1165"/>
    <n v="46732"/>
    <n v="7"/>
    <s v="S"/>
    <s v="T-1"/>
    <n v="764087"/>
    <s v="MC1E4EAA5RP011624"/>
    <s v="D71045990"/>
    <m/>
    <m/>
    <x v="4"/>
    <s v="08-Jun-25"/>
    <x v="4"/>
    <n v="0"/>
    <n v="588115"/>
    <s v="18-Jul-25"/>
    <n v="0"/>
    <n v="0"/>
    <n v="0"/>
    <n v="111582"/>
    <s v="18-Jul-25"/>
    <n v="0"/>
    <m/>
    <m/>
    <s v="T1BS6"/>
    <s v="CVD"/>
    <s v="P"/>
  </r>
  <r>
    <n v="607"/>
    <s v="NORTH"/>
    <s v="UTTAR PRADESH"/>
    <n v="7134"/>
    <s v="M/S GOENKA AUTO PRIVATE LIMITED."/>
    <s v="VARANASI"/>
    <s v="16-Apr-24"/>
    <s v="02-May-25"/>
    <n v="1165"/>
    <n v="80000"/>
    <n v="8"/>
    <s v="S"/>
    <s v="T-1"/>
    <n v="773203"/>
    <s v="MC1E4EDAXRP012537"/>
    <s v="D71052049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"/>
    <s v="CVD"/>
    <s v="F"/>
  </r>
  <r>
    <n v="608"/>
    <s v="NORTH"/>
    <s v="UTTAR PRADESH"/>
    <n v="7134"/>
    <s v="M/S GOENKA AUTO PRIVATE LIMITED."/>
    <s v="VARANASI"/>
    <s v="09-Jul-24"/>
    <s v="13-May-25"/>
    <n v="1165"/>
    <n v="40000"/>
    <n v="5"/>
    <s v="S"/>
    <s v="TRAX"/>
    <n v="322213"/>
    <s v="MC1D4DFA2RP104728"/>
    <s v="D72015787"/>
    <m/>
    <m/>
    <x v="4"/>
    <s v="08-Jun-25"/>
    <x v="4"/>
    <n v="1250"/>
    <n v="588115"/>
    <s v="18-Jul-25"/>
    <n v="1250"/>
    <n v="1475"/>
    <n v="225"/>
    <n v="111582"/>
    <s v="18-Jul-25"/>
    <n v="0"/>
    <m/>
    <m/>
    <s v="TRXBS6"/>
    <s v="CVD"/>
    <s v="F"/>
  </r>
  <r>
    <n v="609"/>
    <s v="NORTH"/>
    <s v="UTTAR PRADESH"/>
    <n v="7134"/>
    <s v="M/S GOENKA AUTO PRIVATE LIMITED."/>
    <s v="VARANASI"/>
    <s v="24-Aug-24"/>
    <s v="12-May-25"/>
    <n v="1165"/>
    <n v="70000"/>
    <n v="7"/>
    <s v="S"/>
    <s v="TRAX"/>
    <n v="322564"/>
    <s v="MC1D4DHA2SP105199"/>
    <s v="D72016528"/>
    <m/>
    <m/>
    <x v="4"/>
    <s v="08-Jun-25"/>
    <x v="4"/>
    <n v="0"/>
    <n v="588115"/>
    <s v="18-Jul-25"/>
    <n v="0"/>
    <n v="0"/>
    <n v="0"/>
    <n v="111582"/>
    <s v="18-Jul-25"/>
    <n v="0"/>
    <m/>
    <m/>
    <s v="TRXBS6"/>
    <s v="CVD"/>
    <s v="P"/>
  </r>
  <r>
    <n v="610"/>
    <s v="NORTH"/>
    <s v="UTTAR PRADESH"/>
    <n v="7134"/>
    <s v="M/S GOENKA AUTO PRIVATE LIMITED."/>
    <s v="VARANASI"/>
    <s v="24-Mar-25"/>
    <s v="13-May-25"/>
    <n v="875"/>
    <n v="10053"/>
    <n v="1"/>
    <s v="S"/>
    <s v="T-1"/>
    <n v="796599"/>
    <s v="MC1E4CAA6SP084351"/>
    <s v="D71070672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611"/>
    <s v="NORTH"/>
    <s v="UTTAR PRADESH"/>
    <n v="7134"/>
    <s v="M/S GOENKA AUTO PRIVATE LIMITED."/>
    <s v="VARANASI"/>
    <s v="25-Feb-25"/>
    <s v="13-May-25"/>
    <n v="1"/>
    <n v="7784"/>
    <n v="1"/>
    <s v="S"/>
    <s v="T-1"/>
    <n v="785025"/>
    <s v="MC1E4EBA2SP015313"/>
    <s v="D71072545"/>
    <s v="002, 022"/>
    <s v="SERV DATE EXCEEDS, SERVICE COUPON HARD COPY NOT RECEIVED"/>
    <x v="4"/>
    <s v="08-Jun-25"/>
    <x v="4"/>
    <n v="1250"/>
    <n v="588115"/>
    <s v="18-Jul-25"/>
    <n v="0"/>
    <n v="1475"/>
    <n v="225"/>
    <n v="111582"/>
    <s v="18-Jul-25"/>
    <n v="1250"/>
    <m/>
    <m/>
    <s v="T1BS6"/>
    <s v="CVD"/>
    <s v="F"/>
  </r>
  <r>
    <n v="612"/>
    <s v="NORTH"/>
    <s v="UTTAR PRADESH"/>
    <n v="7134"/>
    <s v="M/S GOENKA AUTO PRIVATE LIMITED."/>
    <s v="VARANASI"/>
    <s v="11-Sep-24"/>
    <s v="22-May-25"/>
    <n v="979"/>
    <n v="28600"/>
    <n v="2"/>
    <s v="S"/>
    <s v="T-1"/>
    <n v="782153"/>
    <s v="MC1E4CGA3SP080135"/>
    <s v="D71058379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"/>
    <s v="CVD"/>
    <s v="F"/>
  </r>
  <r>
    <n v="613"/>
    <s v="NORTH"/>
    <s v="UTTAR PRADESH"/>
    <n v="7134"/>
    <s v="M/S GOENKA AUTO PRIVATE LIMITED."/>
    <s v="VARANASI"/>
    <s v="24-Mar-25"/>
    <s v="09-May-25"/>
    <n v="859"/>
    <n v="9830"/>
    <n v="1"/>
    <s v="S"/>
    <s v="T-1"/>
    <n v="796174"/>
    <s v="MC1E4CAA5SP083515"/>
    <s v="D71069440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614"/>
    <s v="NORTH"/>
    <s v="UTTAR PRADESH"/>
    <n v="7134"/>
    <s v="M/S GOENKA AUTO PRIVATE LIMITED."/>
    <s v="VARANASI"/>
    <s v="24-Mar-25"/>
    <s v="15-May-25"/>
    <n v="883"/>
    <n v="10090"/>
    <n v="1"/>
    <s v="S"/>
    <s v="T-1"/>
    <n v="796176"/>
    <s v="MC1E4CAAXSP083543"/>
    <s v="D71069411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615"/>
    <s v="NORTH"/>
    <s v="UTTAR PRADESH"/>
    <n v="7134"/>
    <s v="M/S GOENKA AUTO PRIVATE LIMITED."/>
    <s v="VARANASI"/>
    <s v="08-Mar-25"/>
    <s v="14-May-25"/>
    <n v="1165"/>
    <n v="2877"/>
    <n v="1"/>
    <s v="S"/>
    <s v="TRAX"/>
    <n v="327879"/>
    <s v="MC1D4DAA2SP107111"/>
    <s v="D72018740"/>
    <m/>
    <m/>
    <x v="4"/>
    <s v="08-Jun-25"/>
    <x v="4"/>
    <n v="1250"/>
    <n v="588115"/>
    <s v="18-Jul-25"/>
    <n v="1250"/>
    <n v="1475"/>
    <n v="225"/>
    <n v="111582"/>
    <s v="18-Jul-25"/>
    <n v="0"/>
    <m/>
    <m/>
    <s v="TRXBS6"/>
    <s v="CVD"/>
    <s v="F"/>
  </r>
  <r>
    <n v="616"/>
    <s v="NORTH"/>
    <s v="UTTAR PRADESH"/>
    <n v="7134"/>
    <s v="M/S GOENKA AUTO PRIVATE LIMITED."/>
    <s v="VARANASI"/>
    <s v="24-Mar-25"/>
    <s v="13-May-25"/>
    <n v="870"/>
    <n v="10228"/>
    <n v="1"/>
    <s v="S"/>
    <s v="T-1"/>
    <n v="797774"/>
    <s v="MC1E4CBA0SP085624"/>
    <s v="D71072799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617"/>
    <s v="NORTH"/>
    <s v="UTTAR PRADESH"/>
    <n v="7134"/>
    <s v="M/S GOENKA AUTO PRIVATE LIMITED."/>
    <s v="VARANASI"/>
    <s v="25-Mar-25"/>
    <s v="13-May-25"/>
    <n v="876"/>
    <n v="9622"/>
    <n v="1"/>
    <s v="S"/>
    <s v="T-1"/>
    <n v="797335"/>
    <s v="MC1E4CAA4SP084509"/>
    <s v="D71071059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618"/>
    <s v="NORTH"/>
    <s v="UTTAR PRADESH"/>
    <n v="7134"/>
    <s v="M/S GOENKA AUTO PRIVATE LIMITED."/>
    <s v="VARANASI"/>
    <s v="22-Jan-25"/>
    <s v="14-May-25"/>
    <n v="1165"/>
    <n v="9000"/>
    <n v="1"/>
    <s v="S"/>
    <s v="T-1"/>
    <n v="781694"/>
    <s v="MC1E4EFA8RP013277"/>
    <s v="D71056908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619"/>
    <s v="NORTH"/>
    <s v="UTTAR PRADESH"/>
    <n v="7134"/>
    <s v="M/S GOENKA AUTO PRIVATE LIMITED."/>
    <s v="VARANASI"/>
    <s v="31-Mar-25"/>
    <s v="23-May-25"/>
    <n v="1165"/>
    <n v="5800"/>
    <n v="1"/>
    <s v="S"/>
    <s v="TRAX"/>
    <n v="328035"/>
    <s v="MC1D4DCA0SP107816"/>
    <s v="D72019419"/>
    <m/>
    <m/>
    <x v="4"/>
    <s v="08-Jun-25"/>
    <x v="4"/>
    <n v="1250"/>
    <n v="588115"/>
    <s v="18-Jul-25"/>
    <n v="1250"/>
    <n v="1475"/>
    <n v="225"/>
    <n v="111582"/>
    <s v="18-Jul-25"/>
    <n v="0"/>
    <m/>
    <m/>
    <s v="TRXBS6"/>
    <s v="CVD"/>
    <s v="F"/>
  </r>
  <r>
    <n v="620"/>
    <s v="NORTH"/>
    <s v="UTTAR PRADESH"/>
    <n v="7134"/>
    <s v="M/S GOENKA AUTO PRIVATE LIMITED."/>
    <s v="VARANASI"/>
    <s v="25-Mar-25"/>
    <s v="26-May-25"/>
    <n v="887"/>
    <n v="11674"/>
    <n v="1"/>
    <s v="S"/>
    <s v="T-1"/>
    <n v="797100"/>
    <s v="MC1E4CBA4SP084993"/>
    <s v="D71071659"/>
    <s v="001"/>
    <s v="SERV KMS  / HRS EXCEEDS"/>
    <x v="4"/>
    <s v="08-Jun-25"/>
    <x v="4"/>
    <n v="1250"/>
    <n v="588115"/>
    <s v="18-Jul-25"/>
    <n v="1000"/>
    <n v="1475"/>
    <n v="225"/>
    <n v="111582"/>
    <s v="18-Jul-25"/>
    <n v="250"/>
    <m/>
    <m/>
    <s v="T1BS6N"/>
    <s v="CVD"/>
    <s v="F"/>
  </r>
  <r>
    <n v="621"/>
    <s v="NORTH"/>
    <s v="UTTAR PRADESH"/>
    <n v="7134"/>
    <s v="M/S GOENKA AUTO PRIVATE LIMITED."/>
    <s v="VARANASI"/>
    <s v="26-Mar-25"/>
    <s v="11-May-25"/>
    <n v="970"/>
    <n v="9642"/>
    <n v="1"/>
    <s v="S"/>
    <s v="T-1"/>
    <n v="797891"/>
    <s v="MC1E4CBA7SP085362"/>
    <s v="D71072194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622"/>
    <s v="NORTH"/>
    <s v="UTTAR PRADESH"/>
    <n v="7134"/>
    <s v="M/S GOENKA AUTO PRIVATE LIMITED."/>
    <s v="VARANASI"/>
    <s v="09-Mar-24"/>
    <s v="29-May-25"/>
    <n v="1165"/>
    <n v="52951"/>
    <n v="8"/>
    <s v="S"/>
    <s v="T-1"/>
    <n v="764717"/>
    <s v="MC1E4EAA5RP011672"/>
    <s v="D71046345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"/>
    <s v="CVD"/>
    <s v="F"/>
  </r>
  <r>
    <n v="623"/>
    <s v="NORTH"/>
    <s v="UTTAR PRADESH"/>
    <n v="7134"/>
    <s v="M/S GOENKA AUTO PRIVATE LIMITED."/>
    <s v="VARANASI"/>
    <s v="26-Mar-25"/>
    <s v="26-May-25"/>
    <n v="901"/>
    <n v="10673"/>
    <n v="1"/>
    <s v="S"/>
    <s v="T-1"/>
    <n v="798191"/>
    <s v="MC1E4CAA1SP084712"/>
    <s v="D71069517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624"/>
    <s v="NORTH"/>
    <s v="UTTAR PRADESH"/>
    <n v="7134"/>
    <s v="M/S GOENKA AUTO PRIVATE LIMITED."/>
    <s v="VARANASI"/>
    <s v="26-Mar-25"/>
    <s v="15-May-25"/>
    <n v="920"/>
    <n v="9526"/>
    <n v="1"/>
    <s v="S"/>
    <s v="T-1"/>
    <n v="797967"/>
    <s v="MC1E4CBA7SP086057"/>
    <s v="D71073648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625"/>
    <s v="NORTH"/>
    <s v="UTTAR PRADESH"/>
    <n v="7134"/>
    <s v="M/S GOENKA AUTO PRIVATE LIMITED."/>
    <s v="VARANASI"/>
    <s v="24-Feb-25"/>
    <s v="27-May-25"/>
    <n v="1165"/>
    <n v="9216"/>
    <n v="1"/>
    <s v="S"/>
    <s v="T-1"/>
    <n v="798339"/>
    <s v="MC1E4CBA6SP085739"/>
    <s v="D71073050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626"/>
    <s v="NORTH"/>
    <s v="UTTAR PRADESH"/>
    <n v="7134"/>
    <s v="M/S GOENKA AUTO PRIVATE LIMITED."/>
    <s v="VARANASI"/>
    <s v="15-Jun-24"/>
    <s v="20-May-25"/>
    <n v="965"/>
    <n v="40143"/>
    <n v="6"/>
    <s v="S"/>
    <s v="T-1"/>
    <n v="775258"/>
    <s v="MC1E4DEA8RP052866"/>
    <s v="D71055403"/>
    <m/>
    <m/>
    <x v="4"/>
    <s v="08-Jun-25"/>
    <x v="4"/>
    <n v="0"/>
    <n v="588115"/>
    <s v="18-Jul-25"/>
    <n v="0"/>
    <n v="0"/>
    <n v="0"/>
    <n v="111582"/>
    <s v="18-Jul-25"/>
    <n v="0"/>
    <m/>
    <m/>
    <s v="T1BS6"/>
    <s v="CVD"/>
    <s v="P"/>
  </r>
  <r>
    <n v="627"/>
    <s v="NORTH"/>
    <s v="UTTAR PRADESH"/>
    <n v="7134"/>
    <s v="M/S GOENKA AUTO PRIVATE LIMITED."/>
    <s v="VARANASI"/>
    <s v="31-Mar-25"/>
    <s v="28-May-25"/>
    <n v="1150"/>
    <n v="3391"/>
    <n v="1"/>
    <s v="S"/>
    <s v="T-1"/>
    <n v="778127"/>
    <s v="MC1E5ECA0SP003317"/>
    <s v="D73001777"/>
    <m/>
    <m/>
    <x v="4"/>
    <s v="08-Jun-25"/>
    <x v="4"/>
    <n v="1250"/>
    <n v="588115"/>
    <s v="18-Jul-25"/>
    <n v="1250"/>
    <n v="1475"/>
    <n v="225"/>
    <n v="111582"/>
    <s v="18-Jul-25"/>
    <n v="0"/>
    <m/>
    <m/>
    <s v="T1CNGL"/>
    <s v="CVD"/>
    <s v="F"/>
  </r>
  <r>
    <n v="628"/>
    <s v="NORTH"/>
    <s v="UTTAR PRADESH"/>
    <n v="7134"/>
    <s v="M/S GOENKA AUTO PRIVATE LIMITED."/>
    <s v="VARANASI"/>
    <s v="26-Aug-24"/>
    <s v="30-May-25"/>
    <n v="1165"/>
    <n v="32209"/>
    <n v="5"/>
    <s v="S"/>
    <s v="T26"/>
    <n v="777456"/>
    <s v="MC1E4FHA3SP021148"/>
    <s v="D71059666"/>
    <m/>
    <m/>
    <x v="4"/>
    <s v="08-Jun-25"/>
    <x v="4"/>
    <n v="1250"/>
    <n v="588115"/>
    <s v="18-Jul-25"/>
    <n v="1250"/>
    <n v="1475"/>
    <n v="225"/>
    <n v="111582"/>
    <s v="18-Jul-25"/>
    <n v="0"/>
    <m/>
    <m/>
    <s v="T26BS6"/>
    <s v="CVD"/>
    <s v="F"/>
  </r>
  <r>
    <n v="629"/>
    <s v="NORTH"/>
    <s v="UTTAR PRADESH"/>
    <n v="7134"/>
    <s v="M/S GOENKA AUTO PRIVATE LIMITED."/>
    <s v="VARANASI"/>
    <s v="23-Feb-23"/>
    <s v="11-May-25"/>
    <n v="1165"/>
    <n v="60141"/>
    <n v="13"/>
    <s v="S"/>
    <s v="T-1"/>
    <n v="743562"/>
    <s v="MC1E4DBA3PP044384"/>
    <s v="D71025909"/>
    <s v="002"/>
    <s v="SERV DATE EXCEEDS"/>
    <x v="4"/>
    <s v="08-Jun-25"/>
    <x v="4"/>
    <n v="0"/>
    <n v="588115"/>
    <s v="18-Jul-25"/>
    <n v="0"/>
    <n v="0"/>
    <n v="0"/>
    <n v="111582"/>
    <s v="18-Jul-25"/>
    <n v="0"/>
    <m/>
    <m/>
    <s v="T1BS6"/>
    <s v="CVD"/>
    <s v="P"/>
  </r>
  <r>
    <n v="630"/>
    <s v="NORTH"/>
    <s v="UTTAR PRADESH"/>
    <n v="7134"/>
    <s v="M/S GOENKA AUTO PRIVATE LIMITED."/>
    <s v="VARANASI"/>
    <s v="23-Mar-25"/>
    <s v="09-May-25"/>
    <n v="872"/>
    <n v="10202"/>
    <n v="1"/>
    <s v="S"/>
    <s v="T-1"/>
    <n v="796466"/>
    <s v="MC1E4CAA3SP083545"/>
    <s v="D71069443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631"/>
    <s v="NORTH"/>
    <s v="UTTAR PRADESH"/>
    <n v="7134"/>
    <s v="M/S GOENKA AUTO PRIVATE LIMITED."/>
    <s v="VARANASI"/>
    <s v="25-Mar-25"/>
    <s v="26-May-25"/>
    <n v="933"/>
    <n v="9906"/>
    <n v="1"/>
    <s v="S"/>
    <s v="T-1"/>
    <n v="798815"/>
    <s v="MC1E4CAA2SP084511"/>
    <s v="D71070996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632"/>
    <s v="NORTH"/>
    <s v="UTTAR PRADESH"/>
    <n v="7134"/>
    <s v="M/S GOENKA AUTO PRIVATE LIMITED."/>
    <s v="VARANASI"/>
    <s v="25-Mar-25"/>
    <s v="15-May-25"/>
    <n v="893"/>
    <n v="9525"/>
    <n v="1"/>
    <s v="S"/>
    <s v="T-1"/>
    <n v="795270"/>
    <s v="MC1E4CBA5SP086204"/>
    <s v="D71073761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633"/>
    <s v="NORTH"/>
    <s v="UTTAR PRADESH"/>
    <n v="7134"/>
    <s v="M/S GOENKA AUTO PRIVATE LIMITED."/>
    <s v="VARANASI"/>
    <s v="20-Jan-25"/>
    <s v="14-May-25"/>
    <n v="1165"/>
    <n v="10086"/>
    <n v="1"/>
    <s v="S"/>
    <s v="T-1"/>
    <n v="796086"/>
    <s v="MC1E4CAAXSP083820"/>
    <s v="D71069906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634"/>
    <s v="NORTH"/>
    <s v="UTTAR PRADESH"/>
    <n v="7134"/>
    <s v="M/S GOENKA AUTO PRIVATE LIMITED."/>
    <s v="VARANASI"/>
    <s v="22-Mar-25"/>
    <s v="20-May-25"/>
    <n v="1165"/>
    <n v="9950"/>
    <n v="1"/>
    <s v="S"/>
    <s v="T-1"/>
    <n v="801727"/>
    <s v="MC1E4DCA7SP056335"/>
    <s v="D71075083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"/>
    <s v="CVD"/>
    <s v="F"/>
  </r>
  <r>
    <n v="635"/>
    <s v="NORTH"/>
    <s v="UTTAR PRADESH"/>
    <n v="7134"/>
    <s v="M/S GOENKA AUTO PRIVATE LIMITED."/>
    <s v="VARANASI"/>
    <s v="26-Mar-25"/>
    <s v="13-May-25"/>
    <n v="980"/>
    <n v="9570"/>
    <n v="1"/>
    <s v="S"/>
    <s v="T-1"/>
    <n v="797023"/>
    <s v="MC1E4CBA1SP085941"/>
    <s v="D71073364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636"/>
    <s v="NORTH"/>
    <s v="UTTAR PRADESH"/>
    <n v="7134"/>
    <s v="M/S GOENKA AUTO PRIVATE LIMITED."/>
    <s v="VARANASI"/>
    <s v="31-Jan-24"/>
    <s v="11-May-25"/>
    <n v="1165"/>
    <n v="100000"/>
    <n v="10"/>
    <s v="S"/>
    <s v="T-1"/>
    <n v="761147"/>
    <s v="MC1E4EAA7RP011477"/>
    <s v="D71044954"/>
    <m/>
    <m/>
    <x v="4"/>
    <s v="08-Jun-25"/>
    <x v="4"/>
    <n v="0"/>
    <n v="588115"/>
    <s v="18-Jul-25"/>
    <n v="0"/>
    <n v="0"/>
    <n v="0"/>
    <n v="111582"/>
    <s v="18-Jul-25"/>
    <n v="0"/>
    <m/>
    <m/>
    <s v="T1BS6"/>
    <s v="CVD"/>
    <s v="P"/>
  </r>
  <r>
    <n v="637"/>
    <s v="NORTH"/>
    <s v="UTTAR PRADESH"/>
    <n v="7134"/>
    <s v="M/S GOENKA AUTO PRIVATE LIMITED."/>
    <s v="VARANASI"/>
    <s v="23-Dec-24"/>
    <s v="12-May-25"/>
    <n v="1165"/>
    <n v="28765"/>
    <n v="3"/>
    <s v="S"/>
    <s v="T26"/>
    <n v="789589"/>
    <s v="MC1E4FKA5SP021760"/>
    <s v="D71065153"/>
    <m/>
    <m/>
    <x v="4"/>
    <s v="08-Jun-25"/>
    <x v="4"/>
    <n v="1250"/>
    <n v="588115"/>
    <s v="18-Jul-25"/>
    <n v="1250"/>
    <n v="1475"/>
    <n v="225"/>
    <n v="111582"/>
    <s v="18-Jul-25"/>
    <n v="0"/>
    <m/>
    <m/>
    <s v="T26BS6"/>
    <s v="CVD"/>
    <s v="F"/>
  </r>
  <r>
    <n v="638"/>
    <s v="NORTH"/>
    <s v="UTTAR PRADESH"/>
    <n v="7134"/>
    <s v="M/S GOENKA AUTO PRIVATE LIMITED."/>
    <s v="VARANASI"/>
    <s v="18-Oct-24"/>
    <s v="16-May-25"/>
    <n v="1165"/>
    <n v="17300"/>
    <n v="4"/>
    <s v="S"/>
    <s v="T1N"/>
    <n v="4910"/>
    <s v="MC1M4AKA9SP002546"/>
    <s v="D71063692"/>
    <m/>
    <m/>
    <x v="4"/>
    <s v="08-Jun-25"/>
    <x v="4"/>
    <n v="0"/>
    <n v="588115"/>
    <s v="18-Jul-25"/>
    <n v="0"/>
    <n v="0"/>
    <n v="0"/>
    <n v="111582"/>
    <s v="18-Jul-25"/>
    <n v="0"/>
    <m/>
    <m/>
    <s v="URBN"/>
    <s v="CVD"/>
    <s v="P"/>
  </r>
  <r>
    <n v="639"/>
    <s v="NORTH"/>
    <s v="UTTAR PRADESH"/>
    <n v="7134"/>
    <s v="M/S GOENKA AUTO PRIVATE LIMITED."/>
    <s v="VARANASI"/>
    <s v="29-Mar-25"/>
    <s v="26-May-25"/>
    <n v="1165"/>
    <n v="10000"/>
    <n v="1"/>
    <s v="S"/>
    <s v="TRAX"/>
    <n v="327424"/>
    <s v="MC1D4DCA3SP107776"/>
    <s v="D72019387"/>
    <m/>
    <m/>
    <x v="4"/>
    <s v="08-Jun-25"/>
    <x v="4"/>
    <n v="1250"/>
    <n v="588115"/>
    <s v="18-Jul-25"/>
    <n v="1250"/>
    <n v="1475"/>
    <n v="225"/>
    <n v="111582"/>
    <s v="18-Jul-25"/>
    <n v="0"/>
    <m/>
    <m/>
    <s v="TRXBS6"/>
    <s v="CVD"/>
    <s v="F"/>
  </r>
  <r>
    <n v="640"/>
    <s v="NORTH"/>
    <s v="UTTAR PRADESH"/>
    <n v="7134"/>
    <s v="M/S GOENKA AUTO PRIVATE LIMITED."/>
    <s v="VARANASI"/>
    <s v="27-Mar-25"/>
    <s v="14-May-25"/>
    <n v="906"/>
    <n v="10171"/>
    <n v="1"/>
    <s v="S"/>
    <s v="T-1"/>
    <n v="795395"/>
    <s v="MC1E4CBA4SP085335"/>
    <s v="D71072191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641"/>
    <s v="NORTH"/>
    <s v="UTTAR PRADESH"/>
    <n v="7134"/>
    <s v="M/S GOENKA AUTO PRIVATE LIMITED."/>
    <s v="VARANASI"/>
    <s v="23-Mar-25"/>
    <s v="27-May-25"/>
    <n v="890"/>
    <n v="10100"/>
    <n v="1"/>
    <s v="S"/>
    <s v="T-1"/>
    <n v="795715"/>
    <s v="MC1E4CBA3SP085259"/>
    <s v="D71072102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642"/>
    <s v="NORTH"/>
    <s v="UTTAR PRADESH"/>
    <n v="7134"/>
    <s v="M/S GOENKA AUTO PRIVATE LIMITED."/>
    <s v="VARANASI"/>
    <s v="25-Mar-25"/>
    <s v="16-May-25"/>
    <n v="887"/>
    <n v="10166"/>
    <n v="1"/>
    <s v="S"/>
    <s v="T-1"/>
    <n v="796300"/>
    <s v="MC1E4CBA4SP085870"/>
    <s v="D71073183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643"/>
    <s v="NORTH"/>
    <s v="UTTAR PRADESH"/>
    <n v="7134"/>
    <s v="M/S GOENKA AUTO PRIVATE LIMITED."/>
    <s v="VARANASI"/>
    <s v="25-Mar-25"/>
    <s v="18-May-25"/>
    <n v="926"/>
    <n v="9720"/>
    <n v="1"/>
    <s v="S"/>
    <s v="T-1"/>
    <n v="797316"/>
    <s v="MC1E4CAA0SP084510"/>
    <s v="D71070855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644"/>
    <s v="NORTH"/>
    <s v="UTTAR PRADESH"/>
    <n v="7134"/>
    <s v="M/S GOENKA AUTO PRIVATE LIMITED."/>
    <s v="VARANASI"/>
    <s v="06-Mar-25"/>
    <s v="11-May-25"/>
    <n v="1165"/>
    <n v="10000"/>
    <n v="1"/>
    <s v="S"/>
    <s v="T-1"/>
    <n v="792931"/>
    <s v="MC1E4EBA7SP015193"/>
    <s v="D71071490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"/>
    <s v="CVD"/>
    <s v="F"/>
  </r>
  <r>
    <n v="645"/>
    <s v="NORTH"/>
    <s v="UTTAR PRADESH"/>
    <n v="7134"/>
    <s v="M/S GOENKA AUTO PRIVATE LIMITED."/>
    <s v="VARANASI"/>
    <s v="08-Jul-23"/>
    <s v="05-May-25"/>
    <n v="1165"/>
    <n v="25000"/>
    <n v="6"/>
    <s v="S"/>
    <s v="T3"/>
    <n v="750865"/>
    <s v="MC1L4AFA5PP000855"/>
    <s v="D71033462"/>
    <m/>
    <m/>
    <x v="4"/>
    <s v="08-Jun-25"/>
    <x v="4"/>
    <n v="0"/>
    <n v="588115"/>
    <s v="18-Jul-25"/>
    <n v="0"/>
    <n v="0"/>
    <n v="0"/>
    <n v="111582"/>
    <s v="18-Jul-25"/>
    <n v="0"/>
    <m/>
    <m/>
    <s v="T3MONBS6"/>
    <s v="CVD"/>
    <s v="P"/>
  </r>
  <r>
    <n v="646"/>
    <s v="NORTH"/>
    <s v="UTTAR PRADESH"/>
    <n v="7134"/>
    <s v="M/S GOENKA AUTO PRIVATE LIMITED."/>
    <s v="VARANASI"/>
    <s v="29-Mar-25"/>
    <s v="11-May-25"/>
    <n v="1165"/>
    <n v="10000"/>
    <n v="1"/>
    <s v="S"/>
    <s v="T3"/>
    <n v="788228"/>
    <s v="MC1L4BGA5SP000738"/>
    <s v="D71058742"/>
    <m/>
    <m/>
    <x v="4"/>
    <s v="08-Jun-25"/>
    <x v="4"/>
    <n v="1250"/>
    <n v="588115"/>
    <s v="18-Jul-25"/>
    <n v="1250"/>
    <n v="1475"/>
    <n v="225"/>
    <n v="111582"/>
    <s v="18-Jul-25"/>
    <n v="0"/>
    <m/>
    <m/>
    <s v="T3MONBS6"/>
    <s v="CVD"/>
    <s v="F"/>
  </r>
  <r>
    <n v="647"/>
    <s v="NORTH"/>
    <s v="UTTAR PRADESH"/>
    <n v="7134"/>
    <s v="M/S GOENKA AUTO PRIVATE LIMITED."/>
    <s v="VARANASI"/>
    <s v="31-Dec-23"/>
    <s v="07-May-25"/>
    <n v="1165"/>
    <n v="54825"/>
    <n v="6"/>
    <s v="S"/>
    <s v="T1N"/>
    <n v="1810"/>
    <s v="MC1M4AHA1RP000534"/>
    <s v="D71037781"/>
    <m/>
    <m/>
    <x v="4"/>
    <s v="08-Jun-25"/>
    <x v="4"/>
    <n v="0"/>
    <n v="588115"/>
    <s v="18-Jul-25"/>
    <n v="0"/>
    <n v="0"/>
    <n v="0"/>
    <n v="111582"/>
    <s v="18-Jul-25"/>
    <n v="0"/>
    <m/>
    <m/>
    <s v="URBN"/>
    <s v="CVD"/>
    <s v="P"/>
  </r>
  <r>
    <n v="648"/>
    <s v="NORTH"/>
    <s v="UTTAR PRADESH"/>
    <n v="7134"/>
    <s v="M/S GOENKA AUTO PRIVATE LIMITED."/>
    <s v="VARANASI"/>
    <s v="24-Mar-25"/>
    <s v="15-May-25"/>
    <n v="912"/>
    <n v="10438"/>
    <n v="1"/>
    <s v="S"/>
    <s v="T-1"/>
    <n v="796249"/>
    <s v="MC1E4CAA5SP084261"/>
    <s v="D71070197"/>
    <m/>
    <m/>
    <x v="4"/>
    <s v="08-Jun-25"/>
    <x v="4"/>
    <n v="1250"/>
    <n v="588115"/>
    <s v="18-Jul-25"/>
    <n v="1250"/>
    <n v="1475"/>
    <n v="225"/>
    <n v="111582"/>
    <s v="18-Jul-25"/>
    <n v="0"/>
    <m/>
    <m/>
    <s v="T1BS6N"/>
    <s v="CVD"/>
    <s v="F"/>
  </r>
  <r>
    <n v="649"/>
    <s v="NORTH"/>
    <s v="UTTAR PRADESH"/>
    <n v="7134"/>
    <s v="M/S GOENKA AUTO PRIVATE LIMITED."/>
    <s v="VARANASI"/>
    <s v="26-Mar-25"/>
    <s v="30-May-25"/>
    <n v="1165"/>
    <n v="9000"/>
    <n v="1"/>
    <s v="S"/>
    <s v="T1N"/>
    <n v="91005790"/>
    <s v="MC1M4ABA8SP003414"/>
    <s v="D71072338"/>
    <m/>
    <m/>
    <x v="4"/>
    <s v="08-Jun-25"/>
    <x v="4"/>
    <n v="1650"/>
    <n v="588115"/>
    <s v="18-Jul-25"/>
    <n v="1650"/>
    <n v="1947"/>
    <n v="297"/>
    <n v="111582"/>
    <s v="18-Jul-25"/>
    <n v="0"/>
    <m/>
    <m/>
    <s v="URBN"/>
    <s v="CVD"/>
    <s v="F"/>
  </r>
  <r>
    <n v="650"/>
    <s v="NORTH"/>
    <s v="UTTAR PRADESH"/>
    <n v="7134"/>
    <s v="M/S GOENKA AUTO PRIVATE LIMITED."/>
    <s v="VARANASI"/>
    <s v="07-Jan-25"/>
    <s v="26-May-25"/>
    <n v="1165"/>
    <n v="17600"/>
    <n v="2"/>
    <s v="S"/>
    <s v="T-1"/>
    <n v="792777"/>
    <s v="MC1E4DKA3SP054924"/>
    <s v="D71064189"/>
    <s v="002"/>
    <s v="SERV DATE EXCEEDS"/>
    <x v="4"/>
    <s v="08-Jun-25"/>
    <x v="4"/>
    <n v="0"/>
    <n v="588115"/>
    <s v="18-Jul-25"/>
    <n v="0"/>
    <n v="0"/>
    <n v="0"/>
    <n v="111582"/>
    <s v="18-Jul-25"/>
    <n v="0"/>
    <m/>
    <m/>
    <s v="T1BS6"/>
    <s v="CVD"/>
    <s v="P"/>
  </r>
  <r>
    <n v="651"/>
    <s v="NORTH"/>
    <s v="UTTAR PRADESH"/>
    <n v="7134"/>
    <s v="M/S GOENKA AUTO PRIVATE LIMITED."/>
    <s v="VARANASI"/>
    <s v="25-Jan-24"/>
    <s v="19-Jun-25"/>
    <n v="1165"/>
    <n v="89450"/>
    <n v="9"/>
    <s v="S"/>
    <s v="T-1"/>
    <n v="761864"/>
    <s v="MC1E4EAA2RP011497"/>
    <s v="D71045143"/>
    <m/>
    <m/>
    <x v="5"/>
    <s v="30-Jun-25"/>
    <x v="5"/>
    <n v="0"/>
    <n v="588556"/>
    <s v="16-Sep-25"/>
    <n v="0"/>
    <n v="0"/>
    <n v="0"/>
    <n v="112023"/>
    <s v="16-Sep-25"/>
    <n v="0"/>
    <m/>
    <m/>
    <s v="T1BS6"/>
    <s v="CVD"/>
    <s v="P"/>
  </r>
  <r>
    <n v="652"/>
    <s v="NORTH"/>
    <s v="UTTAR PRADESH"/>
    <n v="7134"/>
    <s v="M/S GOENKA AUTO PRIVATE LIMITED."/>
    <s v="VARANASI"/>
    <s v="23-Aug-24"/>
    <s v="30-Jun-25"/>
    <n v="1165"/>
    <n v="50000"/>
    <n v="5"/>
    <s v="S"/>
    <s v="T26"/>
    <n v="776633"/>
    <s v="MC1E4FFA0RP020858"/>
    <s v="D71057668"/>
    <m/>
    <m/>
    <x v="5"/>
    <s v="30-Jun-25"/>
    <x v="5"/>
    <n v="1250"/>
    <n v="588556"/>
    <s v="16-Sep-25"/>
    <n v="1250"/>
    <n v="1475"/>
    <n v="225"/>
    <n v="112023"/>
    <s v="16-Sep-25"/>
    <n v="0"/>
    <m/>
    <m/>
    <s v="T26BS6"/>
    <s v="CVD"/>
    <s v="F"/>
  </r>
  <r>
    <n v="653"/>
    <s v="NORTH"/>
    <s v="UTTAR PRADESH"/>
    <n v="7134"/>
    <s v="M/S GOENKA AUTO PRIVATE LIMITED."/>
    <s v="VARANASI"/>
    <s v="31-Mar-25"/>
    <s v="01-Jun-25"/>
    <n v="825"/>
    <n v="9390"/>
    <n v="1"/>
    <s v="S"/>
    <s v="T-1"/>
    <n v="797853"/>
    <s v="MC1E4CAA1SP084547"/>
    <s v="D71070976"/>
    <m/>
    <m/>
    <x v="5"/>
    <s v="30-Jun-25"/>
    <x v="5"/>
    <n v="1250"/>
    <n v="588556"/>
    <s v="16-Sep-25"/>
    <n v="1250"/>
    <n v="1475"/>
    <n v="225"/>
    <n v="112023"/>
    <s v="16-Sep-25"/>
    <n v="0"/>
    <m/>
    <m/>
    <s v="T1BS6N"/>
    <s v="CVD"/>
    <s v="F"/>
  </r>
  <r>
    <n v="654"/>
    <s v="NORTH"/>
    <s v="UTTAR PRADESH"/>
    <n v="7134"/>
    <s v="M/S GOENKA AUTO PRIVATE LIMITED."/>
    <s v="VARANASI"/>
    <s v="29-May-24"/>
    <s v="13-Jun-25"/>
    <n v="1165"/>
    <n v="18189"/>
    <n v="3"/>
    <s v="S"/>
    <s v="T-1"/>
    <n v="770712"/>
    <s v="MC1E4BCA9RP009354"/>
    <s v="D71050055"/>
    <m/>
    <m/>
    <x v="5"/>
    <s v="30-Jun-25"/>
    <x v="5"/>
    <n v="1250"/>
    <n v="588556"/>
    <s v="16-Sep-25"/>
    <n v="1250"/>
    <n v="1475"/>
    <n v="225"/>
    <n v="112023"/>
    <s v="16-Sep-25"/>
    <n v="0"/>
    <m/>
    <m/>
    <s v="T1BS6N"/>
    <s v="CVD"/>
    <s v="F"/>
  </r>
  <r>
    <n v="655"/>
    <s v="NORTH"/>
    <s v="UTTAR PRADESH"/>
    <n v="7134"/>
    <s v="M/S GOENKA AUTO PRIVATE LIMITED."/>
    <s v="VARANASI"/>
    <s v="23-Mar-25"/>
    <s v="24-Jun-25"/>
    <n v="871"/>
    <n v="31804"/>
    <n v="2"/>
    <s v="S"/>
    <s v="T-1"/>
    <n v="780913"/>
    <s v="MC1E4CAA3SP083786"/>
    <s v="D71069895"/>
    <s v="001"/>
    <s v="SERV KMS  / HRS EXCEEDS"/>
    <x v="5"/>
    <s v="30-Jun-25"/>
    <x v="5"/>
    <n v="1250"/>
    <n v="588556"/>
    <s v="16-Sep-25"/>
    <n v="1000"/>
    <n v="1475"/>
    <n v="225"/>
    <n v="112023"/>
    <s v="16-Sep-25"/>
    <n v="250"/>
    <m/>
    <m/>
    <s v="T1BS6N"/>
    <s v="CVD"/>
    <s v="F"/>
  </r>
  <r>
    <n v="656"/>
    <s v="NORTH"/>
    <s v="UTTAR PRADESH"/>
    <n v="7134"/>
    <s v="M/S GOENKA AUTO PRIVATE LIMITED."/>
    <s v="VARANASI"/>
    <s v="05-Mar-25"/>
    <s v="17-Jun-25"/>
    <n v="1165"/>
    <n v="6195"/>
    <n v="1"/>
    <s v="S"/>
    <s v="T-1"/>
    <n v="795726"/>
    <s v="MC1E4DAA9SP055836"/>
    <s v="D71069019"/>
    <m/>
    <m/>
    <x v="5"/>
    <s v="30-Jun-25"/>
    <x v="5"/>
    <n v="1250"/>
    <n v="588556"/>
    <s v="16-Sep-25"/>
    <n v="1250"/>
    <n v="1475"/>
    <n v="225"/>
    <n v="112023"/>
    <s v="16-Sep-25"/>
    <n v="0"/>
    <m/>
    <m/>
    <s v="T1BS6N"/>
    <s v="CVD"/>
    <s v="F"/>
  </r>
  <r>
    <n v="657"/>
    <s v="NORTH"/>
    <s v="UTTAR PRADESH"/>
    <n v="7134"/>
    <s v="M/S GOENKA AUTO PRIVATE LIMITED."/>
    <s v="VARANASI"/>
    <s v="14-Oct-24"/>
    <s v="12-Jun-25"/>
    <n v="1165"/>
    <n v="40000"/>
    <n v="4"/>
    <s v="S"/>
    <s v="T1N"/>
    <n v="5472"/>
    <s v="MC1M4AKA7SP002481"/>
    <s v="D71063459"/>
    <m/>
    <m/>
    <x v="5"/>
    <s v="30-Jun-25"/>
    <x v="5"/>
    <n v="0"/>
    <n v="588556"/>
    <s v="16-Sep-25"/>
    <n v="0"/>
    <n v="0"/>
    <n v="0"/>
    <n v="112023"/>
    <s v="16-Sep-25"/>
    <n v="0"/>
    <m/>
    <m/>
    <s v="URBN"/>
    <s v="CVD"/>
    <s v="P"/>
  </r>
  <r>
    <n v="658"/>
    <s v="NORTH"/>
    <s v="UTTAR PRADESH"/>
    <n v="7134"/>
    <s v="M/S GOENKA AUTO PRIVATE LIMITED."/>
    <s v="VARANASI"/>
    <s v="29-Apr-24"/>
    <s v="30-Jun-25"/>
    <n v="1165"/>
    <n v="100000"/>
    <n v="10"/>
    <s v="S"/>
    <s v="T-1"/>
    <n v="773372"/>
    <s v="MC1E4EDA5RP012526"/>
    <s v="D71051928"/>
    <m/>
    <m/>
    <x v="5"/>
    <s v="30-Jun-25"/>
    <x v="5"/>
    <n v="0"/>
    <n v="588556"/>
    <s v="16-Sep-25"/>
    <n v="0"/>
    <n v="0"/>
    <n v="0"/>
    <n v="112023"/>
    <s v="16-Sep-25"/>
    <n v="0"/>
    <m/>
    <m/>
    <s v="T1BS6"/>
    <s v="CVD"/>
    <s v="P"/>
  </r>
  <r>
    <n v="659"/>
    <s v="NORTH"/>
    <s v="UTTAR PRADESH"/>
    <n v="7134"/>
    <s v="M/S GOENKA AUTO PRIVATE LIMITED."/>
    <s v="VARANASI"/>
    <s v="28-Sep-24"/>
    <s v="08-Jun-25"/>
    <n v="1165"/>
    <n v="38586"/>
    <n v="4"/>
    <s v="S"/>
    <s v="T26"/>
    <n v="789775"/>
    <s v="MC1E4FHA2SP021349"/>
    <s v="D71060882"/>
    <m/>
    <m/>
    <x v="5"/>
    <s v="30-Jun-25"/>
    <x v="5"/>
    <n v="0"/>
    <n v="588556"/>
    <s v="16-Sep-25"/>
    <n v="0"/>
    <n v="0"/>
    <n v="0"/>
    <n v="112023"/>
    <s v="16-Sep-25"/>
    <n v="0"/>
    <m/>
    <m/>
    <s v="T26BS6"/>
    <s v="CVD"/>
    <s v="P"/>
  </r>
  <r>
    <n v="660"/>
    <s v="NORTH"/>
    <s v="UTTAR PRADESH"/>
    <n v="7134"/>
    <s v="M/S GOENKA AUTO PRIVATE LIMITED."/>
    <s v="VARANASI"/>
    <s v="29-May-23"/>
    <s v="30-Jun-25"/>
    <n v="1165"/>
    <n v="132183"/>
    <n v="13"/>
    <s v="S"/>
    <s v="T26"/>
    <n v="749388"/>
    <s v="MC1E4FEA5PP016853"/>
    <s v="D71030922"/>
    <s v="001"/>
    <s v="SERV KMS  / HRS EXCEEDS"/>
    <x v="5"/>
    <s v="30-Jun-25"/>
    <x v="5"/>
    <n v="0"/>
    <n v="588556"/>
    <s v="16-Sep-25"/>
    <n v="0"/>
    <n v="0"/>
    <n v="0"/>
    <n v="112023"/>
    <s v="16-Sep-25"/>
    <n v="0"/>
    <m/>
    <m/>
    <s v="T26BS6"/>
    <s v="CVD"/>
    <s v="P"/>
  </r>
  <r>
    <n v="661"/>
    <s v="NORTH"/>
    <s v="UTTAR PRADESH"/>
    <n v="7134"/>
    <s v="M/S GOENKA AUTO PRIVATE LIMITED."/>
    <s v="VARANASI"/>
    <s v="31-Jan-24"/>
    <s v="08-Jun-25"/>
    <n v="750"/>
    <n v="23720"/>
    <n v="6"/>
    <s v="S"/>
    <s v="T1N"/>
    <n v="2072"/>
    <s v="MC1M4AAA0RP000924"/>
    <s v="D71044973"/>
    <m/>
    <m/>
    <x v="5"/>
    <s v="30-Jun-25"/>
    <x v="5"/>
    <n v="0"/>
    <n v="588556"/>
    <s v="16-Sep-25"/>
    <n v="0"/>
    <n v="0"/>
    <n v="0"/>
    <n v="112023"/>
    <s v="16-Sep-25"/>
    <n v="0"/>
    <m/>
    <m/>
    <s v="URBN"/>
    <s v="CVD"/>
    <s v="P"/>
  </r>
  <r>
    <n v="662"/>
    <s v="NORTH"/>
    <s v="UTTAR PRADESH"/>
    <n v="7134"/>
    <s v="M/S GOENKA AUTO PRIVATE LIMITED."/>
    <s v="VARANASI"/>
    <s v="09-Sep-24"/>
    <s v="26-Jun-25"/>
    <n v="1165"/>
    <n v="80000"/>
    <n v="8"/>
    <s v="S"/>
    <s v="T-1"/>
    <n v="785386"/>
    <s v="MC1E4EFA3RP013378"/>
    <s v="D71057643"/>
    <m/>
    <m/>
    <x v="5"/>
    <s v="30-Jun-25"/>
    <x v="5"/>
    <n v="1250"/>
    <n v="588556"/>
    <s v="16-Sep-25"/>
    <n v="1250"/>
    <n v="1475"/>
    <n v="225"/>
    <n v="112023"/>
    <s v="16-Sep-25"/>
    <n v="0"/>
    <m/>
    <m/>
    <s v="T1BS6"/>
    <s v="CVD"/>
    <s v="F"/>
  </r>
  <r>
    <n v="663"/>
    <s v="NORTH"/>
    <s v="UTTAR PRADESH"/>
    <n v="7134"/>
    <s v="M/S GOENKA AUTO PRIVATE LIMITED."/>
    <s v="VARANASI"/>
    <s v="24-Mar-25"/>
    <s v="10-Jun-25"/>
    <n v="1165"/>
    <n v="3400"/>
    <n v="1"/>
    <s v="S"/>
    <s v="T26"/>
    <n v="794594"/>
    <s v="MC1E4FCA4SP023076"/>
    <s v="D71075966"/>
    <s v="002"/>
    <s v="SERV DATE EXCEEDS"/>
    <x v="5"/>
    <s v="30-Jun-25"/>
    <x v="5"/>
    <n v="1250"/>
    <n v="588556"/>
    <s v="16-Sep-25"/>
    <n v="1000"/>
    <n v="1475"/>
    <n v="225"/>
    <n v="112023"/>
    <s v="16-Sep-25"/>
    <n v="250"/>
    <m/>
    <m/>
    <s v="T26BS6"/>
    <s v="CVD"/>
    <s v="F"/>
  </r>
  <r>
    <n v="664"/>
    <s v="NORTH"/>
    <s v="UTTAR PRADESH"/>
    <n v="7134"/>
    <s v="M/S GOENKA AUTO PRIVATE LIMITED."/>
    <s v="VARANASI"/>
    <s v="27-Mar-25"/>
    <s v="06-Jun-25"/>
    <n v="850"/>
    <n v="8228"/>
    <n v="1"/>
    <s v="S"/>
    <s v="T-1"/>
    <n v="797769"/>
    <s v="MC1E4CBA4SP085738"/>
    <s v="D71073004"/>
    <m/>
    <m/>
    <x v="5"/>
    <s v="30-Jun-25"/>
    <x v="5"/>
    <n v="1250"/>
    <n v="588556"/>
    <s v="16-Sep-25"/>
    <n v="1250"/>
    <n v="1475"/>
    <n v="225"/>
    <n v="112023"/>
    <s v="16-Sep-25"/>
    <n v="0"/>
    <m/>
    <m/>
    <s v="T1BS6N"/>
    <s v="CVD"/>
    <s v="F"/>
  </r>
  <r>
    <n v="665"/>
    <s v="NORTH"/>
    <s v="UTTAR PRADESH"/>
    <n v="7134"/>
    <s v="M/S GOENKA AUTO PRIVATE LIMITED."/>
    <s v="VARANASI"/>
    <s v="08-Mar-25"/>
    <s v="06-Jun-25"/>
    <n v="942"/>
    <n v="9333"/>
    <n v="1"/>
    <s v="S"/>
    <s v="T-1"/>
    <n v="796014"/>
    <s v="MC1E4CAA4SP083988"/>
    <s v="D71070108"/>
    <m/>
    <m/>
    <x v="5"/>
    <s v="30-Jun-25"/>
    <x v="5"/>
    <n v="1250"/>
    <n v="588556"/>
    <s v="16-Sep-25"/>
    <n v="1250"/>
    <n v="1475"/>
    <n v="225"/>
    <n v="112023"/>
    <s v="16-Sep-25"/>
    <n v="0"/>
    <m/>
    <m/>
    <s v="T1BS6N"/>
    <s v="CVD"/>
    <s v="F"/>
  </r>
  <r>
    <n v="666"/>
    <s v="NORTH"/>
    <s v="UTTAR PRADESH"/>
    <n v="7134"/>
    <s v="M/S GOENKA AUTO PRIVATE LIMITED."/>
    <s v="VARANASI"/>
    <s v="14-May-24"/>
    <s v="08-Jun-25"/>
    <n v="1165"/>
    <n v="14300"/>
    <n v="3"/>
    <s v="S"/>
    <s v="T26"/>
    <n v="768168"/>
    <s v="MC1E4FCA7RP019923"/>
    <s v="D71051420"/>
    <m/>
    <m/>
    <x v="5"/>
    <s v="30-Jun-25"/>
    <x v="5"/>
    <n v="1250"/>
    <n v="588556"/>
    <s v="16-Sep-25"/>
    <n v="1250"/>
    <n v="1475"/>
    <n v="225"/>
    <n v="112023"/>
    <s v="16-Sep-25"/>
    <n v="0"/>
    <m/>
    <m/>
    <s v="T26BS6N"/>
    <s v="CVD"/>
    <s v="F"/>
  </r>
  <r>
    <n v="667"/>
    <s v="NORTH"/>
    <s v="UTTAR PRADESH"/>
    <n v="7134"/>
    <s v="M/S GOENKA AUTO PRIVATE LIMITED."/>
    <s v="VARANASI"/>
    <s v="13-Jul-24"/>
    <s v="19-Jun-25"/>
    <n v="1165"/>
    <n v="90000"/>
    <n v="9"/>
    <s v="S"/>
    <s v="T-1"/>
    <n v="775456"/>
    <s v="MC1E4EEA5RP013061"/>
    <s v="D71055469"/>
    <m/>
    <m/>
    <x v="5"/>
    <s v="30-Jun-25"/>
    <x v="5"/>
    <n v="0"/>
    <n v="588556"/>
    <s v="16-Sep-25"/>
    <n v="0"/>
    <n v="0"/>
    <n v="0"/>
    <n v="112023"/>
    <s v="16-Sep-25"/>
    <n v="0"/>
    <m/>
    <m/>
    <s v="T1BS6"/>
    <s v="CVD"/>
    <s v="P"/>
  </r>
  <r>
    <n v="668"/>
    <s v="NORTH"/>
    <s v="UTTAR PRADESH"/>
    <n v="7134"/>
    <s v="M/S GOENKA AUTO PRIVATE LIMITED."/>
    <s v="VARANASI"/>
    <s v="20-Jan-25"/>
    <s v="15-Jun-25"/>
    <n v="1165"/>
    <n v="16187"/>
    <n v="2"/>
    <s v="S"/>
    <s v="T26"/>
    <n v="789052"/>
    <s v="MC1E4FAAXSP022100"/>
    <s v="D71067934"/>
    <s v="002"/>
    <s v="SERV DATE EXCEEDS"/>
    <x v="5"/>
    <s v="30-Jun-25"/>
    <x v="5"/>
    <n v="0"/>
    <n v="588556"/>
    <s v="16-Sep-25"/>
    <n v="0"/>
    <n v="0"/>
    <n v="0"/>
    <n v="112023"/>
    <s v="16-Sep-25"/>
    <n v="0"/>
    <m/>
    <m/>
    <s v="T26BS6"/>
    <s v="CVD"/>
    <s v="P"/>
  </r>
  <r>
    <n v="669"/>
    <s v="NORTH"/>
    <s v="UTTAR PRADESH"/>
    <n v="7134"/>
    <s v="M/S GOENKA AUTO PRIVATE LIMITED."/>
    <s v="VARANASI"/>
    <s v="31-Mar-25"/>
    <s v="01-Jun-25"/>
    <n v="1165"/>
    <n v="12423"/>
    <n v="1"/>
    <s v="S"/>
    <s v="TRAX"/>
    <n v="327370"/>
    <s v="MC1D4DCA0SP107864"/>
    <s v="D72019478"/>
    <s v="001"/>
    <s v="SERV KMS  / HRS EXCEEDS"/>
    <x v="5"/>
    <s v="30-Jun-25"/>
    <x v="5"/>
    <n v="1250"/>
    <n v="588556"/>
    <s v="16-Sep-25"/>
    <n v="1000"/>
    <n v="1475"/>
    <n v="225"/>
    <n v="112023"/>
    <s v="16-Sep-25"/>
    <n v="250"/>
    <m/>
    <m/>
    <s v="TRXBS6"/>
    <s v="CVD"/>
    <s v="F"/>
  </r>
  <r>
    <n v="670"/>
    <s v="NORTH"/>
    <s v="UTTAR PRADESH"/>
    <n v="7134"/>
    <s v="M/S GOENKA AUTO PRIVATE LIMITED."/>
    <s v="VARANASI"/>
    <s v="26-Mar-25"/>
    <s v="01-Jun-25"/>
    <n v="970"/>
    <n v="9680"/>
    <n v="1"/>
    <s v="S"/>
    <s v="T-1"/>
    <n v="797819"/>
    <s v="MC1E4CBA7SP085345"/>
    <s v="D71072202"/>
    <m/>
    <m/>
    <x v="5"/>
    <s v="30-Jun-25"/>
    <x v="5"/>
    <n v="1250"/>
    <n v="588556"/>
    <s v="16-Sep-25"/>
    <n v="1250"/>
    <n v="1475"/>
    <n v="225"/>
    <n v="112023"/>
    <s v="16-Sep-25"/>
    <n v="0"/>
    <m/>
    <m/>
    <s v="T1BS6N"/>
    <s v="CVD"/>
    <s v="F"/>
  </r>
  <r>
    <n v="671"/>
    <s v="NORTH"/>
    <s v="UTTAR PRADESH"/>
    <n v="7134"/>
    <s v="M/S GOENKA AUTO PRIVATE LIMITED."/>
    <s v="VARANASI"/>
    <s v="05-Mar-25"/>
    <s v="17-Jun-25"/>
    <n v="1165"/>
    <n v="8434"/>
    <n v="1"/>
    <s v="S"/>
    <s v="T-1"/>
    <n v="795725"/>
    <s v="MC1E4DAA1SP055832"/>
    <s v="D71068928"/>
    <m/>
    <m/>
    <x v="5"/>
    <s v="30-Jun-25"/>
    <x v="5"/>
    <n v="1250"/>
    <n v="588556"/>
    <s v="16-Sep-25"/>
    <n v="1250"/>
    <n v="1475"/>
    <n v="225"/>
    <n v="112023"/>
    <s v="16-Sep-25"/>
    <n v="0"/>
    <m/>
    <m/>
    <s v="T1BS6N"/>
    <s v="CVD"/>
    <s v="F"/>
  </r>
  <r>
    <n v="672"/>
    <s v="NORTH"/>
    <s v="UTTAR PRADESH"/>
    <n v="7134"/>
    <s v="M/S GOENKA AUTO PRIVATE LIMITED."/>
    <s v="VARANASI"/>
    <s v="28-Dec-24"/>
    <s v="26-Jun-25"/>
    <n v="1108"/>
    <n v="30000"/>
    <n v="3"/>
    <s v="S"/>
    <s v="T1N"/>
    <n v="5897"/>
    <s v="MC1M4ALA7SP002849"/>
    <s v="D71066165"/>
    <m/>
    <m/>
    <x v="5"/>
    <s v="30-Jun-25"/>
    <x v="5"/>
    <n v="1650"/>
    <n v="588556"/>
    <s v="16-Sep-25"/>
    <n v="1650"/>
    <n v="1947"/>
    <n v="297"/>
    <n v="112023"/>
    <s v="16-Sep-25"/>
    <n v="0"/>
    <m/>
    <m/>
    <s v="URBN"/>
    <s v="CVD"/>
    <s v="F"/>
  </r>
  <r>
    <n v="673"/>
    <s v="NORTH"/>
    <s v="UTTAR PRADESH"/>
    <n v="7134"/>
    <s v="M/S GOENKA AUTO PRIVATE LIMITED."/>
    <s v="VARANASI"/>
    <s v="23-Mar-25"/>
    <s v="06-Jun-25"/>
    <n v="920"/>
    <n v="9515"/>
    <n v="1"/>
    <s v="S"/>
    <s v="T-1"/>
    <n v="795771"/>
    <s v="MC1E4CBA3SP085231"/>
    <s v="D71072091"/>
    <m/>
    <m/>
    <x v="5"/>
    <s v="30-Jun-25"/>
    <x v="5"/>
    <n v="1250"/>
    <n v="588556"/>
    <s v="16-Sep-25"/>
    <n v="1250"/>
    <n v="1475"/>
    <n v="225"/>
    <n v="112023"/>
    <s v="16-Sep-25"/>
    <n v="0"/>
    <m/>
    <m/>
    <s v="T1BS6N"/>
    <s v="CVD"/>
    <s v="F"/>
  </r>
  <r>
    <n v="674"/>
    <s v="NORTH"/>
    <s v="UTTAR PRADESH"/>
    <n v="7134"/>
    <s v="M/S GOENKA AUTO PRIVATE LIMITED."/>
    <s v="VARANASI"/>
    <s v="06-Jul-24"/>
    <s v="10-Jun-25"/>
    <n v="1165"/>
    <n v="71500"/>
    <n v="8"/>
    <s v="S"/>
    <s v="T26"/>
    <n v="777193"/>
    <s v="MC1E4FFA8RP020641"/>
    <s v="D71056088"/>
    <m/>
    <m/>
    <x v="5"/>
    <s v="30-Jun-25"/>
    <x v="5"/>
    <n v="1250"/>
    <n v="588556"/>
    <s v="16-Sep-25"/>
    <n v="1250"/>
    <n v="1475"/>
    <n v="225"/>
    <n v="112023"/>
    <s v="16-Sep-25"/>
    <n v="0"/>
    <m/>
    <m/>
    <s v="T26BS6"/>
    <s v="CVD"/>
    <s v="F"/>
  </r>
  <r>
    <n v="675"/>
    <s v="NORTH"/>
    <s v="UTTAR PRADESH"/>
    <n v="7134"/>
    <s v="M/S GOENKA AUTO PRIVATE LIMITED."/>
    <s v="VARANASI"/>
    <s v="09-Mar-24"/>
    <s v="22-Jun-25"/>
    <n v="1165"/>
    <n v="70000"/>
    <n v="7"/>
    <s v="S"/>
    <s v="T1N"/>
    <n v="3152"/>
    <s v="MC1M4ABA5RP001114"/>
    <s v="D71048194"/>
    <m/>
    <m/>
    <x v="5"/>
    <s v="30-Jun-25"/>
    <x v="5"/>
    <n v="1650"/>
    <n v="588556"/>
    <s v="16-Sep-25"/>
    <n v="1650"/>
    <n v="1947"/>
    <n v="297"/>
    <n v="112023"/>
    <s v="16-Sep-25"/>
    <n v="0"/>
    <m/>
    <m/>
    <s v="URBN"/>
    <s v="CVD"/>
    <s v="F"/>
  </r>
  <r>
    <n v="676"/>
    <s v="NORTH"/>
    <s v="UTTAR PRADESH"/>
    <n v="7134"/>
    <s v="M/S GOENKA AUTO PRIVATE LIMITED."/>
    <s v="VARANASI"/>
    <s v="27-Mar-25"/>
    <s v="04-Jun-25"/>
    <n v="852"/>
    <n v="8800"/>
    <n v="1"/>
    <s v="S"/>
    <s v="T-1"/>
    <n v="795351"/>
    <s v="MC1E4CBA1SP085373"/>
    <s v="D71072195"/>
    <m/>
    <m/>
    <x v="5"/>
    <s v="30-Jun-25"/>
    <x v="5"/>
    <n v="1250"/>
    <n v="588556"/>
    <s v="16-Sep-25"/>
    <n v="1250"/>
    <n v="1475"/>
    <n v="225"/>
    <n v="112023"/>
    <s v="16-Sep-25"/>
    <n v="0"/>
    <m/>
    <m/>
    <s v="T1BS6N"/>
    <s v="CVD"/>
    <s v="F"/>
  </r>
  <r>
    <n v="677"/>
    <s v="NORTH"/>
    <s v="UTTAR PRADESH"/>
    <n v="7134"/>
    <s v="M/S GOENKA AUTO PRIVATE LIMITED."/>
    <s v="VARANASI"/>
    <s v="28-May-24"/>
    <s v="30-Jun-25"/>
    <n v="1165"/>
    <n v="80000"/>
    <n v="8"/>
    <s v="S"/>
    <s v="T26"/>
    <n v="776290"/>
    <s v="MC1E4FEA9RP020391"/>
    <s v="D71054667"/>
    <m/>
    <m/>
    <x v="5"/>
    <s v="30-Jun-25"/>
    <x v="5"/>
    <n v="1250"/>
    <n v="588556"/>
    <s v="16-Sep-25"/>
    <n v="1250"/>
    <n v="1475"/>
    <n v="225"/>
    <n v="112023"/>
    <s v="16-Sep-25"/>
    <n v="0"/>
    <m/>
    <m/>
    <s v="T26BS6"/>
    <s v="CVD"/>
    <s v="F"/>
  </r>
  <r>
    <n v="678"/>
    <s v="NORTH"/>
    <s v="UTTAR PRADESH"/>
    <n v="7134"/>
    <s v="M/S GOENKA AUTO PRIVATE LIMITED."/>
    <s v="VARANASI"/>
    <s v="25-Feb-25"/>
    <s v="17-Jun-25"/>
    <n v="1165"/>
    <n v="8505"/>
    <n v="1"/>
    <s v="S"/>
    <s v="T-1"/>
    <n v="795727"/>
    <s v="MC1E4DAAXSP055814"/>
    <s v="D71069018"/>
    <m/>
    <m/>
    <x v="5"/>
    <s v="30-Jun-25"/>
    <x v="5"/>
    <n v="1250"/>
    <n v="588556"/>
    <s v="16-Sep-25"/>
    <n v="1250"/>
    <n v="1475"/>
    <n v="225"/>
    <n v="112023"/>
    <s v="16-Sep-25"/>
    <n v="0"/>
    <m/>
    <m/>
    <s v="T1BS6N"/>
    <s v="CVD"/>
    <s v="F"/>
  </r>
  <r>
    <n v="679"/>
    <s v="NORTH"/>
    <s v="UTTAR PRADESH"/>
    <n v="7134"/>
    <s v="M/S GOENKA AUTO PRIVATE LIMITED."/>
    <s v="VARANASI"/>
    <s v="25-Mar-25"/>
    <s v="04-Jun-25"/>
    <n v="872"/>
    <n v="9563"/>
    <n v="1"/>
    <s v="S"/>
    <s v="T-1"/>
    <n v="798677"/>
    <s v="MC1E4CAA7SP083984"/>
    <s v="D71070180"/>
    <m/>
    <m/>
    <x v="5"/>
    <s v="30-Jun-25"/>
    <x v="5"/>
    <n v="1250"/>
    <n v="588556"/>
    <s v="16-Sep-25"/>
    <n v="1250"/>
    <n v="1475"/>
    <n v="225"/>
    <n v="112023"/>
    <s v="16-Sep-25"/>
    <n v="0"/>
    <m/>
    <m/>
    <s v="T1BS6N"/>
    <s v="CVD"/>
    <s v="F"/>
  </r>
  <r>
    <n v="680"/>
    <s v="NORTH"/>
    <s v="UTTAR PRADESH"/>
    <n v="7134"/>
    <s v="M/S GOENKA AUTO PRIVATE LIMITED."/>
    <s v="VARANASI"/>
    <s v="31-Jan-24"/>
    <s v="03-Jun-25"/>
    <n v="1165"/>
    <n v="59685"/>
    <n v="6"/>
    <s v="S"/>
    <s v="T1N"/>
    <n v="2073"/>
    <s v="MC1M4AAA5RP000921"/>
    <s v="D71044541"/>
    <m/>
    <m/>
    <x v="5"/>
    <s v="30-Jun-25"/>
    <x v="5"/>
    <n v="0"/>
    <n v="588556"/>
    <s v="16-Sep-25"/>
    <n v="0"/>
    <n v="0"/>
    <n v="0"/>
    <n v="112023"/>
    <s v="16-Sep-25"/>
    <n v="0"/>
    <m/>
    <m/>
    <s v="URBN"/>
    <s v="CVD"/>
    <s v="P"/>
  </r>
  <r>
    <n v="681"/>
    <s v="NORTH"/>
    <s v="UTTAR PRADESH"/>
    <n v="7134"/>
    <s v="M/S GOENKA AUTO PRIVATE LIMITED."/>
    <s v="VARANASI"/>
    <s v="21-Aug-23"/>
    <s v="23-Jun-25"/>
    <n v="1165"/>
    <n v="25120"/>
    <n v="11"/>
    <s v="S"/>
    <s v="T-1"/>
    <n v="753617"/>
    <s v="MC1E4DHA3RP047392"/>
    <s v="D71036487"/>
    <m/>
    <m/>
    <x v="5"/>
    <s v="30-Jun-25"/>
    <x v="5"/>
    <n v="1250"/>
    <n v="588556"/>
    <s v="16-Sep-25"/>
    <n v="1250"/>
    <n v="1475"/>
    <n v="225"/>
    <n v="112023"/>
    <s v="16-Sep-25"/>
    <n v="0"/>
    <m/>
    <m/>
    <s v="T1BS6"/>
    <s v="CVD"/>
    <s v="F"/>
  </r>
  <r>
    <n v="682"/>
    <s v="NORTH"/>
    <s v="UTTAR PRADESH"/>
    <n v="7134"/>
    <s v="M/S GOENKA AUTO PRIVATE LIMITED."/>
    <s v="VARANASI"/>
    <s v="15-Apr-25"/>
    <s v="24-Jun-25"/>
    <n v="1165"/>
    <n v="10100"/>
    <n v="1"/>
    <s v="S"/>
    <s v="TRAX"/>
    <n v="327621"/>
    <s v="MC1D4DCAXSP108052"/>
    <s v="D72019707"/>
    <m/>
    <m/>
    <x v="5"/>
    <s v="30-Jun-25"/>
    <x v="5"/>
    <n v="1250"/>
    <n v="588556"/>
    <s v="16-Sep-25"/>
    <n v="1250"/>
    <n v="1475"/>
    <n v="225"/>
    <n v="112023"/>
    <s v="16-Sep-25"/>
    <n v="0"/>
    <m/>
    <m/>
    <s v="TRXBS6"/>
    <s v="CVD"/>
    <s v="F"/>
  </r>
  <r>
    <n v="683"/>
    <s v="NORTH"/>
    <s v="UTTAR PRADESH"/>
    <n v="7134"/>
    <s v="M/S GOENKA AUTO PRIVATE LIMITED."/>
    <s v="VARANASI"/>
    <s v="24-Mar-25"/>
    <s v="06-Jun-25"/>
    <n v="955"/>
    <n v="9005"/>
    <n v="1"/>
    <s v="S"/>
    <s v="T-1"/>
    <n v="798734"/>
    <s v="MC1E4CBA5SP084940"/>
    <s v="D71071458"/>
    <m/>
    <m/>
    <x v="5"/>
    <s v="30-Jun-25"/>
    <x v="5"/>
    <n v="1250"/>
    <n v="588556"/>
    <s v="16-Sep-25"/>
    <n v="1250"/>
    <n v="1475"/>
    <n v="225"/>
    <n v="112023"/>
    <s v="16-Sep-25"/>
    <n v="0"/>
    <m/>
    <m/>
    <s v="T1BS6N"/>
    <s v="CVD"/>
    <s v="F"/>
  </r>
  <r>
    <n v="684"/>
    <s v="NORTH"/>
    <s v="UTTAR PRADESH"/>
    <n v="7134"/>
    <s v="M/S GOENKA AUTO PRIVATE LIMITED."/>
    <s v="VARANASI"/>
    <s v="04-Jul-24"/>
    <s v="24-Jun-25"/>
    <n v="1165"/>
    <n v="46775"/>
    <n v="6"/>
    <s v="S"/>
    <s v="T-1"/>
    <n v="775458"/>
    <s v="MC1E4EEA2RP013048"/>
    <s v="D71055352"/>
    <m/>
    <m/>
    <x v="5"/>
    <s v="30-Jun-25"/>
    <x v="5"/>
    <n v="0"/>
    <n v="588556"/>
    <s v="16-Sep-25"/>
    <n v="0"/>
    <n v="0"/>
    <n v="0"/>
    <n v="112023"/>
    <s v="16-Sep-25"/>
    <n v="0"/>
    <m/>
    <m/>
    <s v="T1BS6"/>
    <s v="CVD"/>
    <s v="P"/>
  </r>
  <r>
    <n v="685"/>
    <s v="NORTH"/>
    <s v="UTTAR PRADESH"/>
    <n v="7134"/>
    <s v="M/S GOENKA AUTO PRIVATE LIMITED."/>
    <s v="VARANASI"/>
    <s v="20-Aug-24"/>
    <s v="25-Jun-25"/>
    <n v="1165"/>
    <n v="60000"/>
    <n v="6"/>
    <s v="S"/>
    <s v="TRAX"/>
    <n v="323055"/>
    <s v="MC1D4DFAXRP104783"/>
    <s v="D72015804"/>
    <m/>
    <m/>
    <x v="5"/>
    <s v="30-Jun-25"/>
    <x v="5"/>
    <n v="0"/>
    <n v="588556"/>
    <s v="16-Sep-25"/>
    <n v="0"/>
    <n v="0"/>
    <n v="0"/>
    <n v="112023"/>
    <s v="16-Sep-25"/>
    <n v="0"/>
    <m/>
    <m/>
    <s v="TRXBS6"/>
    <s v="CVD"/>
    <s v="P"/>
  </r>
  <r>
    <n v="686"/>
    <s v="NORTH"/>
    <s v="UTTAR PRADESH"/>
    <n v="7134"/>
    <s v="M/S GOENKA AUTO PRIVATE LIMITED."/>
    <s v="VARANASI"/>
    <s v="12-Aug-24"/>
    <s v="04-Jun-25"/>
    <n v="1165"/>
    <n v="14572"/>
    <n v="2"/>
    <s v="S"/>
    <s v="T-1"/>
    <n v="780244"/>
    <s v="MC1E4DGA8SP053678"/>
    <s v="D71058371"/>
    <m/>
    <m/>
    <x v="5"/>
    <s v="30-Jun-25"/>
    <x v="5"/>
    <n v="1250"/>
    <n v="588556"/>
    <s v="16-Sep-25"/>
    <n v="1250"/>
    <n v="1475"/>
    <n v="225"/>
    <n v="112023"/>
    <s v="16-Sep-25"/>
    <n v="0"/>
    <m/>
    <m/>
    <s v="T1BS6N"/>
    <s v="CVD"/>
    <s v="F"/>
  </r>
  <r>
    <n v="687"/>
    <s v="NORTH"/>
    <s v="UTTAR PRADESH"/>
    <n v="7134"/>
    <s v="M/S GOENKA AUTO PRIVATE LIMITED."/>
    <s v="VARANASI"/>
    <s v="29-Mar-25"/>
    <s v="18-Jun-25"/>
    <n v="1150"/>
    <n v="7754"/>
    <n v="1"/>
    <s v="S"/>
    <s v="T-1"/>
    <n v="778234"/>
    <s v="MC1E5EBA7SP003266"/>
    <s v="D73001699"/>
    <s v="002"/>
    <s v="SERV DATE EXCEEDS"/>
    <x v="5"/>
    <s v="30-Jun-25"/>
    <x v="5"/>
    <n v="1250"/>
    <n v="588556"/>
    <s v="16-Sep-25"/>
    <n v="1000"/>
    <n v="1475"/>
    <n v="225"/>
    <n v="112023"/>
    <s v="16-Sep-25"/>
    <n v="250"/>
    <m/>
    <m/>
    <s v="T1CNGL"/>
    <s v="CVD"/>
    <s v="F"/>
  </r>
  <r>
    <n v="688"/>
    <s v="NORTH"/>
    <s v="UTTAR PRADESH"/>
    <n v="7134"/>
    <s v="M/S GOENKA AUTO PRIVATE LIMITED."/>
    <s v="VARANASI"/>
    <s v="27-Aug-24"/>
    <s v="04-Jun-25"/>
    <n v="1165"/>
    <n v="7320"/>
    <n v="5"/>
    <s v="S"/>
    <s v="TRAX"/>
    <n v="324484"/>
    <s v="MC1D4DHA5SP105178"/>
    <s v="D72016500"/>
    <m/>
    <m/>
    <x v="5"/>
    <s v="30-Jun-25"/>
    <x v="5"/>
    <n v="1250"/>
    <n v="588556"/>
    <s v="16-Sep-25"/>
    <n v="1250"/>
    <n v="1475"/>
    <n v="225"/>
    <n v="112023"/>
    <s v="16-Sep-25"/>
    <n v="0"/>
    <m/>
    <m/>
    <s v="TRXBS6"/>
    <s v="CVD"/>
    <s v="F"/>
  </r>
  <r>
    <n v="689"/>
    <s v="NORTH"/>
    <s v="UTTAR PRADESH"/>
    <n v="7134"/>
    <s v="M/S GOENKA AUTO PRIVATE LIMITED."/>
    <s v="VARANASI"/>
    <s v="25-Mar-25"/>
    <s v="06-Jun-25"/>
    <n v="824"/>
    <n v="9500"/>
    <n v="1"/>
    <s v="S"/>
    <s v="T-1"/>
    <n v="795619"/>
    <s v="MC1E4CBA0SP085672"/>
    <s v="D71072887"/>
    <m/>
    <m/>
    <x v="5"/>
    <s v="30-Jun-25"/>
    <x v="5"/>
    <n v="1250"/>
    <n v="588556"/>
    <s v="16-Sep-25"/>
    <n v="1250"/>
    <n v="1475"/>
    <n v="225"/>
    <n v="112023"/>
    <s v="16-Sep-25"/>
    <n v="0"/>
    <m/>
    <m/>
    <s v="T1BS6N"/>
    <s v="CVD"/>
    <s v="F"/>
  </r>
  <r>
    <n v="690"/>
    <s v="NORTH"/>
    <s v="UTTAR PRADESH"/>
    <n v="7134"/>
    <s v="M/S GOENKA AUTO PRIVATE LIMITED."/>
    <s v="VARANASI"/>
    <s v="28-Dec-24"/>
    <s v="22-Jun-25"/>
    <n v="1165"/>
    <n v="28300"/>
    <n v="3"/>
    <s v="S"/>
    <s v="T26"/>
    <n v="789109"/>
    <s v="MC1E4FLA6SP021779"/>
    <s v="D71065359"/>
    <m/>
    <m/>
    <x v="5"/>
    <s v="30-Jun-25"/>
    <x v="5"/>
    <n v="1250"/>
    <n v="588556"/>
    <s v="16-Sep-25"/>
    <n v="1250"/>
    <n v="1475"/>
    <n v="225"/>
    <n v="112023"/>
    <s v="16-Sep-25"/>
    <n v="0"/>
    <m/>
    <m/>
    <s v="T26BS6"/>
    <s v="CVD"/>
    <s v="F"/>
  </r>
  <r>
    <n v="691"/>
    <s v="NORTH"/>
    <s v="UTTAR PRADESH"/>
    <n v="7134"/>
    <s v="M/S GOENKA AUTO PRIVATE LIMITED."/>
    <s v="VARANASI"/>
    <s v="30-Oct-23"/>
    <s v="18-Jun-25"/>
    <n v="1165"/>
    <n v="28971"/>
    <n v="10"/>
    <s v="S"/>
    <s v="T-1"/>
    <n v="733360"/>
    <s v="MC1E5EGA4RP002515"/>
    <s v="D73000540"/>
    <m/>
    <m/>
    <x v="5"/>
    <s v="30-Jun-25"/>
    <x v="5"/>
    <n v="0"/>
    <n v="588556"/>
    <s v="16-Sep-25"/>
    <n v="0"/>
    <n v="0"/>
    <n v="0"/>
    <n v="112023"/>
    <s v="16-Sep-25"/>
    <n v="0"/>
    <m/>
    <m/>
    <s v="T1CNGL"/>
    <s v="CVD"/>
    <s v="P"/>
  </r>
  <r>
    <n v="692"/>
    <s v="NORTH"/>
    <s v="UTTAR PRADESH"/>
    <n v="7134"/>
    <s v="M/S GOENKA AUTO PRIVATE LIMITED."/>
    <s v="VARANASI"/>
    <s v="26-Jun-24"/>
    <s v="20-Jun-25"/>
    <n v="1165"/>
    <n v="14313"/>
    <n v="2"/>
    <s v="S"/>
    <s v="T-1"/>
    <n v="781830"/>
    <s v="MC1E4DEA6RP052851"/>
    <s v="D71055149"/>
    <s v="002"/>
    <s v="SERV DATE EXCEEDS"/>
    <x v="5"/>
    <s v="30-Jun-25"/>
    <x v="5"/>
    <n v="1250"/>
    <n v="588556"/>
    <s v="16-Sep-25"/>
    <n v="1000"/>
    <n v="1475"/>
    <n v="225"/>
    <n v="112023"/>
    <s v="16-Sep-25"/>
    <n v="250"/>
    <m/>
    <m/>
    <s v="T1BS6N"/>
    <s v="CVD"/>
    <s v="F"/>
  </r>
  <r>
    <n v="693"/>
    <s v="NORTH"/>
    <s v="UTTAR PRADESH"/>
    <n v="7134"/>
    <s v="M/S GOENKA AUTO PRIVATE LIMITED."/>
    <s v="VARANASI"/>
    <s v="14-Feb-25"/>
    <s v="17-Jun-25"/>
    <n v="1165"/>
    <n v="10300"/>
    <n v="2"/>
    <s v="S"/>
    <s v="TRAX"/>
    <n v="326027"/>
    <s v="MC1D4DKA9SP106021"/>
    <s v="D72017466"/>
    <m/>
    <m/>
    <x v="5"/>
    <s v="30-Jun-25"/>
    <x v="5"/>
    <n v="0"/>
    <n v="588556"/>
    <s v="16-Sep-25"/>
    <n v="0"/>
    <n v="0"/>
    <n v="0"/>
    <n v="112023"/>
    <s v="16-Sep-25"/>
    <n v="0"/>
    <m/>
    <m/>
    <s v="TRXBS6"/>
    <s v="CVD"/>
    <s v="P"/>
  </r>
  <r>
    <n v="694"/>
    <s v="NORTH"/>
    <s v="UTTAR PRADESH"/>
    <n v="7134"/>
    <s v="M/S GOENKA AUTO PRIVATE LIMITED."/>
    <s v="VARANASI"/>
    <s v="31-May-23"/>
    <s v="16-Jun-25"/>
    <n v="1165"/>
    <n v="105702"/>
    <n v="13"/>
    <s v="S"/>
    <s v="T-1"/>
    <n v="747832"/>
    <s v="MC1E4DEA0PP045830"/>
    <s v="D71031521"/>
    <m/>
    <m/>
    <x v="5"/>
    <s v="30-Jun-25"/>
    <x v="5"/>
    <n v="0"/>
    <n v="588556"/>
    <s v="16-Sep-25"/>
    <n v="0"/>
    <n v="0"/>
    <n v="0"/>
    <n v="112023"/>
    <s v="16-Sep-25"/>
    <n v="0"/>
    <m/>
    <m/>
    <s v="T1BS6"/>
    <s v="CVD"/>
    <s v="P"/>
  </r>
  <r>
    <n v="695"/>
    <s v="NORTH"/>
    <s v="UTTAR PRADESH"/>
    <n v="7134"/>
    <s v="M/S GOENKA AUTO PRIVATE LIMITED."/>
    <s v="VARANASI"/>
    <s v="24-Apr-25"/>
    <s v="30-Jun-25"/>
    <n v="1150"/>
    <n v="3999"/>
    <n v="1"/>
    <s v="S"/>
    <s v="T-1"/>
    <n v="778137"/>
    <s v="MC1E5ECA9SP003316"/>
    <s v="D73001784"/>
    <m/>
    <m/>
    <x v="5"/>
    <s v="30-Jun-25"/>
    <x v="5"/>
    <n v="1250"/>
    <n v="588556"/>
    <s v="16-Sep-25"/>
    <n v="1250"/>
    <n v="1475"/>
    <n v="225"/>
    <n v="112023"/>
    <s v="16-Sep-25"/>
    <n v="0"/>
    <m/>
    <m/>
    <s v="T1CNGL"/>
    <s v="CVD"/>
    <s v="F"/>
  </r>
  <r>
    <n v="696"/>
    <s v="NORTH"/>
    <s v="UTTAR PRADESH"/>
    <n v="7134"/>
    <s v="M/S GOENKA AUTO PRIVATE LIMITED."/>
    <s v="VARANASI"/>
    <s v="10-Jul-24"/>
    <s v="15-Jun-25"/>
    <n v="1165"/>
    <n v="70000"/>
    <n v="7"/>
    <s v="S"/>
    <s v="T-1"/>
    <n v="774648"/>
    <s v="MC1E4EFA3RP013218"/>
    <s v="D71056616"/>
    <m/>
    <m/>
    <x v="5"/>
    <s v="30-Jun-25"/>
    <x v="5"/>
    <n v="0"/>
    <n v="588556"/>
    <s v="16-Sep-25"/>
    <n v="0"/>
    <n v="0"/>
    <n v="0"/>
    <n v="112023"/>
    <s v="16-Sep-25"/>
    <n v="0"/>
    <m/>
    <m/>
    <s v="T1BS6"/>
    <s v="CVD"/>
    <s v="P"/>
  </r>
  <r>
    <n v="697"/>
    <s v="NORTH"/>
    <s v="UTTAR PRADESH"/>
    <n v="7134"/>
    <s v="M/S GOENKA AUTO PRIVATE LIMITED."/>
    <s v="VARANASI"/>
    <s v="29-Mar-25"/>
    <s v="13-Jun-25"/>
    <n v="1165"/>
    <n v="10000"/>
    <n v="1"/>
    <s v="S"/>
    <s v="T-1"/>
    <n v="801496"/>
    <s v="MC1E4ECA8SP015718"/>
    <s v="D71076194"/>
    <s v="022"/>
    <s v="SERVICE COUPON HARD COPY NOT RECEIVED"/>
    <x v="5"/>
    <s v="30-Jun-25"/>
    <x v="5"/>
    <n v="1250"/>
    <n v="588556"/>
    <s v="16-Sep-25"/>
    <n v="0"/>
    <n v="1475"/>
    <n v="225"/>
    <n v="112023"/>
    <s v="16-Sep-25"/>
    <n v="1250"/>
    <m/>
    <m/>
    <s v="T1BS6"/>
    <s v="CVD"/>
    <s v="F"/>
  </r>
  <r>
    <n v="698"/>
    <s v="NORTH"/>
    <s v="UTTAR PRADESH"/>
    <n v="7134"/>
    <s v="M/S GOENKA AUTO PRIVATE LIMITED."/>
    <s v="VARANASI"/>
    <s v="24-Jan-25"/>
    <s v="12-Jun-25"/>
    <n v="1165"/>
    <n v="20000"/>
    <n v="2"/>
    <s v="S"/>
    <s v="T1N"/>
    <n v="6480"/>
    <s v="MC1M4AAA3SP003242"/>
    <s v="D71069327"/>
    <m/>
    <m/>
    <x v="5"/>
    <s v="30-Jun-25"/>
    <x v="5"/>
    <n v="0"/>
    <n v="588556"/>
    <s v="16-Sep-25"/>
    <n v="0"/>
    <n v="0"/>
    <n v="0"/>
    <n v="112023"/>
    <s v="16-Sep-25"/>
    <n v="0"/>
    <m/>
    <m/>
    <s v="URBN"/>
    <s v="CVD"/>
    <s v="P"/>
  </r>
  <r>
    <n v="699"/>
    <s v="NORTH"/>
    <s v="UTTAR PRADESH"/>
    <n v="7134"/>
    <s v="M/S GOENKA AUTO PRIVATE LIMITED."/>
    <s v="VARANASI"/>
    <s v="29-Feb-24"/>
    <s v="01-Jun-25"/>
    <n v="1165"/>
    <n v="68257"/>
    <n v="7"/>
    <s v="S"/>
    <s v="T1N"/>
    <n v="3261"/>
    <s v="MC1M4ABA8RP001057"/>
    <s v="D71048003"/>
    <m/>
    <m/>
    <x v="5"/>
    <s v="30-Jun-25"/>
    <x v="5"/>
    <n v="1650"/>
    <n v="588556"/>
    <s v="16-Sep-25"/>
    <n v="1650"/>
    <n v="1947"/>
    <n v="297"/>
    <n v="112023"/>
    <s v="16-Sep-25"/>
    <n v="0"/>
    <m/>
    <m/>
    <s v="URBN"/>
    <s v="CVD"/>
    <s v="F"/>
  </r>
  <r>
    <n v="700"/>
    <s v="NORTH"/>
    <s v="UTTAR PRADESH"/>
    <n v="7134"/>
    <s v="M/S GOENKA AUTO PRIVATE LIMITED."/>
    <s v="VARANASI"/>
    <s v="24-Mar-25"/>
    <s v="06-Jun-25"/>
    <n v="892"/>
    <n v="9400"/>
    <n v="1"/>
    <s v="S"/>
    <s v="T-1"/>
    <n v="796577"/>
    <s v="MC1E4CAA5SP084258"/>
    <s v="D71070623"/>
    <m/>
    <m/>
    <x v="5"/>
    <s v="30-Jun-25"/>
    <x v="5"/>
    <n v="1250"/>
    <n v="588556"/>
    <s v="16-Sep-25"/>
    <n v="1250"/>
    <n v="1475"/>
    <n v="225"/>
    <n v="112023"/>
    <s v="16-Sep-25"/>
    <n v="0"/>
    <m/>
    <m/>
    <s v="T1BS6N"/>
    <s v="CVD"/>
    <s v="F"/>
  </r>
  <r>
    <n v="701"/>
    <s v="NORTH"/>
    <s v="UTTAR PRADESH"/>
    <n v="7134"/>
    <s v="M/S GOENKA AUTO PRIVATE LIMITED."/>
    <s v="VARANASI"/>
    <s v="30-Oct-24"/>
    <s v="22-Jun-25"/>
    <n v="1165"/>
    <n v="40000"/>
    <n v="4"/>
    <s v="S"/>
    <s v="T-1"/>
    <n v="790571"/>
    <s v="MC1E4EKA5SP014270"/>
    <s v="D71063329"/>
    <m/>
    <m/>
    <x v="5"/>
    <s v="30-Jun-25"/>
    <x v="5"/>
    <n v="0"/>
    <n v="588556"/>
    <s v="16-Sep-25"/>
    <n v="0"/>
    <n v="0"/>
    <n v="0"/>
    <n v="112023"/>
    <s v="16-Sep-25"/>
    <n v="0"/>
    <m/>
    <m/>
    <s v="T1BS6"/>
    <s v="CVD"/>
    <s v="P"/>
  </r>
  <r>
    <n v="702"/>
    <s v="NORTH"/>
    <s v="UTTAR PRADESH"/>
    <n v="7134"/>
    <s v="M/S GOENKA AUTO PRIVATE LIMITED."/>
    <s v="VARANASI"/>
    <s v="27-Mar-25"/>
    <s v="01-Jun-25"/>
    <n v="892"/>
    <n v="8999"/>
    <n v="1"/>
    <s v="S"/>
    <s v="T-1"/>
    <n v="797897"/>
    <s v="MC1E4CBA6SP085336"/>
    <s v="D71072203"/>
    <m/>
    <m/>
    <x v="5"/>
    <s v="30-Jun-25"/>
    <x v="5"/>
    <n v="1250"/>
    <n v="588556"/>
    <s v="16-Sep-25"/>
    <n v="1250"/>
    <n v="1475"/>
    <n v="225"/>
    <n v="112023"/>
    <s v="16-Sep-25"/>
    <n v="0"/>
    <m/>
    <m/>
    <s v="T1BS6N"/>
    <s v="CVD"/>
    <s v="F"/>
  </r>
  <r>
    <n v="703"/>
    <s v="NORTH"/>
    <s v="UTTAR PRADESH"/>
    <n v="7134"/>
    <s v="M/S GOENKA AUTO PRIVATE LIMITED."/>
    <s v="VARANASI"/>
    <s v="14-Oct-24"/>
    <s v="10-Jun-25"/>
    <n v="1165"/>
    <n v="40000"/>
    <n v="4"/>
    <s v="S"/>
    <s v="T-1"/>
    <n v="787043"/>
    <s v="MC1E4EHA8SP013850"/>
    <s v="D71061089"/>
    <m/>
    <m/>
    <x v="5"/>
    <s v="30-Jun-25"/>
    <x v="5"/>
    <n v="0"/>
    <n v="588556"/>
    <s v="16-Sep-25"/>
    <n v="0"/>
    <n v="0"/>
    <n v="0"/>
    <n v="112023"/>
    <s v="16-Sep-25"/>
    <n v="0"/>
    <m/>
    <m/>
    <s v="T1BS6"/>
    <s v="CVD"/>
    <s v="P"/>
  </r>
  <r>
    <n v="704"/>
    <s v="NORTH"/>
    <s v="UTTAR PRADESH"/>
    <n v="7134"/>
    <s v="M/S GOENKA AUTO PRIVATE LIMITED."/>
    <s v="VARANASI"/>
    <s v="23-Jul-24"/>
    <s v="03-Jun-25"/>
    <n v="1165"/>
    <n v="15001"/>
    <n v="2"/>
    <s v="S"/>
    <s v="T-1"/>
    <n v="781805"/>
    <s v="MC1E4DGA5SP053623"/>
    <s v="D71058139"/>
    <m/>
    <m/>
    <x v="5"/>
    <s v="30-Jun-25"/>
    <x v="5"/>
    <n v="1250"/>
    <n v="588556"/>
    <s v="16-Sep-25"/>
    <n v="1250"/>
    <n v="1475"/>
    <n v="225"/>
    <n v="112023"/>
    <s v="16-Sep-25"/>
    <n v="0"/>
    <m/>
    <m/>
    <s v="T1BS6N"/>
    <s v="CVD"/>
    <s v="F"/>
  </r>
  <r>
    <n v="705"/>
    <s v="NORTH"/>
    <s v="UTTAR PRADESH"/>
    <n v="7134"/>
    <s v="M/S GOENKA AUTO PRIVATE LIMITED."/>
    <s v="VARANASI"/>
    <s v="10-Feb-25"/>
    <s v="16-Jun-25"/>
    <n v="1165"/>
    <n v="30000"/>
    <n v="3"/>
    <s v="S"/>
    <s v="T1N"/>
    <n v="6199"/>
    <s v="MC1M4ALA7SP002883"/>
    <s v="D71066311"/>
    <m/>
    <m/>
    <x v="5"/>
    <s v="30-Jun-25"/>
    <x v="5"/>
    <n v="1650"/>
    <n v="588556"/>
    <s v="16-Sep-25"/>
    <n v="1650"/>
    <n v="1947"/>
    <n v="297"/>
    <n v="112023"/>
    <s v="16-Sep-25"/>
    <n v="0"/>
    <m/>
    <m/>
    <s v="URBN"/>
    <s v="CVD"/>
    <s v="F"/>
  </r>
  <r>
    <n v="706"/>
    <s v="NORTH"/>
    <s v="UTTAR PRADESH"/>
    <n v="7134"/>
    <s v="M/S GOENKA AUTO PRIVATE LIMITED."/>
    <s v="VARANASI"/>
    <s v="18-Dec-24"/>
    <s v="19-Jun-25"/>
    <n v="1165"/>
    <n v="10500"/>
    <n v="3"/>
    <s v="S"/>
    <s v="TRAX"/>
    <n v="326648"/>
    <s v="MC1D4DKA3SP106175"/>
    <s v="D72017652"/>
    <m/>
    <m/>
    <x v="5"/>
    <s v="30-Jun-25"/>
    <x v="5"/>
    <n v="1250"/>
    <n v="588556"/>
    <s v="16-Sep-25"/>
    <n v="1250"/>
    <n v="1475"/>
    <n v="225"/>
    <n v="112023"/>
    <s v="16-Sep-25"/>
    <n v="0"/>
    <m/>
    <m/>
    <s v="TRXBS6"/>
    <s v="CVD"/>
    <s v="F"/>
  </r>
  <r>
    <n v="707"/>
    <s v="NORTH"/>
    <s v="UTTAR PRADESH"/>
    <n v="7134"/>
    <s v="M/S GOENKA AUTO PRIVATE LIMITED."/>
    <s v="VARANASI"/>
    <s v="30-Apr-24"/>
    <s v="02-Jun-25"/>
    <n v="1165"/>
    <n v="31102"/>
    <n v="3"/>
    <s v="S"/>
    <s v="T-1"/>
    <n v="771608"/>
    <s v="MC1E4DBA0RP050758"/>
    <s v="D71047039"/>
    <m/>
    <m/>
    <x v="5"/>
    <s v="30-Jun-25"/>
    <x v="5"/>
    <n v="1250"/>
    <n v="588556"/>
    <s v="16-Sep-25"/>
    <n v="1250"/>
    <n v="1475"/>
    <n v="225"/>
    <n v="112023"/>
    <s v="16-Sep-25"/>
    <n v="0"/>
    <m/>
    <m/>
    <s v="T1BS6N"/>
    <s v="CVD"/>
    <s v="F"/>
  </r>
  <r>
    <n v="708"/>
    <s v="NORTH"/>
    <s v="UTTAR PRADESH"/>
    <n v="7134"/>
    <s v="M/S GOENKA AUTO PRIVATE LIMITED."/>
    <s v="VARANASI"/>
    <s v="27-Mar-25"/>
    <s v="01-Jun-25"/>
    <n v="856"/>
    <n v="9010"/>
    <n v="1"/>
    <s v="S"/>
    <s v="T-1"/>
    <n v="798595"/>
    <s v="MC1E4CBA2SP085365"/>
    <s v="D71072196"/>
    <m/>
    <m/>
    <x v="5"/>
    <s v="30-Jun-25"/>
    <x v="5"/>
    <n v="1250"/>
    <n v="588556"/>
    <s v="16-Sep-25"/>
    <n v="1250"/>
    <n v="1475"/>
    <n v="225"/>
    <n v="112023"/>
    <s v="16-Sep-25"/>
    <n v="0"/>
    <m/>
    <m/>
    <s v="T1BS6N"/>
    <s v="CVD"/>
    <s v="F"/>
  </r>
  <r>
    <n v="709"/>
    <s v="NORTH"/>
    <s v="UTTAR PRADESH"/>
    <n v="7134"/>
    <s v="M/S GOENKA AUTO PRIVATE LIMITED."/>
    <s v="VARANASI"/>
    <s v="25-Jun-24"/>
    <s v="25-Jun-25"/>
    <n v="1165"/>
    <n v="80000"/>
    <n v="8"/>
    <s v="S"/>
    <s v="T-1"/>
    <n v="775229"/>
    <s v="MC1E4EFA2RP013095"/>
    <s v="D71055313"/>
    <m/>
    <m/>
    <x v="5"/>
    <s v="30-Jun-25"/>
    <x v="5"/>
    <n v="1250"/>
    <n v="588556"/>
    <s v="16-Sep-25"/>
    <n v="1250"/>
    <n v="1475"/>
    <n v="225"/>
    <n v="112023"/>
    <s v="16-Sep-25"/>
    <n v="0"/>
    <m/>
    <m/>
    <s v="T1BS6"/>
    <s v="CVD"/>
    <s v="F"/>
  </r>
  <r>
    <n v="710"/>
    <s v="NORTH"/>
    <s v="UTTAR PRADESH"/>
    <n v="7134"/>
    <s v="M/S GOENKA AUTO PRIVATE LIMITED."/>
    <s v="VARANASI"/>
    <s v="13-Mar-25"/>
    <s v="26-Jun-25"/>
    <n v="1165"/>
    <n v="9937"/>
    <n v="2"/>
    <s v="S"/>
    <s v="T1N"/>
    <n v="6118"/>
    <s v="MC1M4ALA8SP002956"/>
    <s v="D71066667"/>
    <m/>
    <m/>
    <x v="5"/>
    <s v="30-Jun-25"/>
    <x v="5"/>
    <n v="0"/>
    <n v="588556"/>
    <s v="16-Sep-25"/>
    <n v="0"/>
    <n v="0"/>
    <n v="0"/>
    <n v="112023"/>
    <s v="16-Sep-25"/>
    <n v="0"/>
    <m/>
    <m/>
    <s v="URBN"/>
    <s v="CVD"/>
    <s v="P"/>
  </r>
  <r>
    <n v="711"/>
    <s v="NORTH"/>
    <s v="UTTAR PRADESH"/>
    <n v="7134"/>
    <s v="M/S GOENKA AUTO PRIVATE LIMITED."/>
    <s v="VARANASI"/>
    <s v="31-Mar-24"/>
    <s v="30-Jun-25"/>
    <n v="1165"/>
    <n v="89000"/>
    <n v="9"/>
    <s v="S"/>
    <s v="T1N"/>
    <n v="3187"/>
    <s v="MC1M4ACA8RP001252"/>
    <s v="D71050836"/>
    <m/>
    <m/>
    <x v="5"/>
    <s v="30-Jun-25"/>
    <x v="5"/>
    <n v="0"/>
    <n v="588556"/>
    <s v="16-Sep-25"/>
    <n v="0"/>
    <n v="0"/>
    <n v="0"/>
    <n v="112023"/>
    <s v="16-Sep-25"/>
    <n v="0"/>
    <m/>
    <m/>
    <s v="URBN"/>
    <s v="CVD"/>
    <s v="P"/>
  </r>
  <r>
    <n v="712"/>
    <s v="NORTH"/>
    <s v="UTTAR PRADESH"/>
    <n v="7134"/>
    <s v="M/S GOENKA AUTO PRIVATE LIMITED."/>
    <s v="VARANASI"/>
    <s v="30-Mar-25"/>
    <s v="30-Jun-25"/>
    <n v="1165"/>
    <n v="3417"/>
    <n v="1"/>
    <s v="S"/>
    <s v="T26"/>
    <n v="789038"/>
    <s v="MC1E4FCAXSP023177"/>
    <s v="D71076546"/>
    <s v="002"/>
    <s v="SERV DATE EXCEEDS"/>
    <x v="5"/>
    <s v="30-Jun-25"/>
    <x v="5"/>
    <n v="1250"/>
    <n v="588556"/>
    <s v="16-Sep-25"/>
    <n v="1000"/>
    <n v="1475"/>
    <n v="225"/>
    <n v="112023"/>
    <s v="16-Sep-25"/>
    <n v="250"/>
    <m/>
    <m/>
    <s v="T26BS6"/>
    <s v="CVD"/>
    <s v="F"/>
  </r>
  <r>
    <n v="713"/>
    <s v="NORTH"/>
    <s v="UTTAR PRADESH"/>
    <n v="7134"/>
    <s v="M/S GOENKA AUTO PRIVATE LIMITED."/>
    <s v="VARANASI"/>
    <s v="30-Aug-24"/>
    <s v="04-Jun-25"/>
    <n v="1165"/>
    <n v="12980"/>
    <n v="2"/>
    <s v="S"/>
    <s v="T-1"/>
    <n v="780231"/>
    <s v="MC1E4DGA5SP053699"/>
    <s v="D71058470"/>
    <m/>
    <m/>
    <x v="5"/>
    <s v="30-Jun-25"/>
    <x v="5"/>
    <n v="1250"/>
    <n v="588556"/>
    <s v="16-Sep-25"/>
    <n v="1250"/>
    <n v="1475"/>
    <n v="225"/>
    <n v="112023"/>
    <s v="16-Sep-25"/>
    <n v="0"/>
    <m/>
    <m/>
    <s v="T1BS6N"/>
    <s v="CVD"/>
    <s v="F"/>
  </r>
  <r>
    <n v="714"/>
    <s v="NORTH"/>
    <s v="UTTAR PRADESH"/>
    <n v="7134"/>
    <s v="M/S GOENKA AUTO PRIVATE LIMITED."/>
    <s v="VARANASI"/>
    <s v="10-Sep-24"/>
    <s v="17-Jun-25"/>
    <n v="1165"/>
    <n v="49630"/>
    <n v="5"/>
    <s v="S"/>
    <s v="T26"/>
    <n v="776534"/>
    <s v="MC1E4FHA8SP021288"/>
    <s v="D71060855"/>
    <m/>
    <m/>
    <x v="5"/>
    <s v="30-Jun-25"/>
    <x v="5"/>
    <n v="1250"/>
    <n v="588556"/>
    <s v="16-Sep-25"/>
    <n v="1250"/>
    <n v="1475"/>
    <n v="225"/>
    <n v="112023"/>
    <s v="16-Sep-25"/>
    <n v="0"/>
    <m/>
    <m/>
    <s v="T26BS6"/>
    <s v="CVD"/>
    <s v="F"/>
  </r>
  <r>
    <n v="715"/>
    <s v="NORTH"/>
    <s v="UTTAR PRADESH"/>
    <n v="7134"/>
    <s v="M/S GOENKA AUTO PRIVATE LIMITED."/>
    <s v="VARANASI"/>
    <s v="22-Feb-24"/>
    <s v="15-Jun-25"/>
    <n v="1165"/>
    <n v="51168"/>
    <n v="8"/>
    <s v="S"/>
    <s v="TRAX"/>
    <n v="320410"/>
    <s v="MC1D4DJA8RP101565"/>
    <s v="D72012161"/>
    <m/>
    <m/>
    <x v="5"/>
    <s v="30-Jun-25"/>
    <x v="5"/>
    <n v="1250"/>
    <n v="588556"/>
    <s v="16-Sep-25"/>
    <n v="1250"/>
    <n v="1475"/>
    <n v="225"/>
    <n v="112023"/>
    <s v="16-Sep-25"/>
    <n v="0"/>
    <m/>
    <m/>
    <s v="TRXBS6"/>
    <s v="CVD"/>
    <s v="F"/>
  </r>
  <r>
    <n v="716"/>
    <s v="NORTH"/>
    <s v="UTTAR PRADESH"/>
    <n v="7134"/>
    <s v="M/S GOENKA AUTO PRIVATE LIMITED."/>
    <s v="VARANASI"/>
    <s v="28-Feb-25"/>
    <s v="17-Jun-25"/>
    <n v="1165"/>
    <n v="6742"/>
    <n v="1"/>
    <s v="S"/>
    <s v="T-1"/>
    <n v="707980091"/>
    <s v="MC1E4CAA6SP083376"/>
    <s v="D71069109"/>
    <m/>
    <m/>
    <x v="5"/>
    <s v="30-Jun-25"/>
    <x v="5"/>
    <n v="1250"/>
    <n v="588556"/>
    <s v="16-Sep-25"/>
    <n v="1250"/>
    <n v="1475"/>
    <n v="225"/>
    <n v="112023"/>
    <s v="16-Sep-25"/>
    <n v="0"/>
    <m/>
    <m/>
    <s v="T1BS6N"/>
    <s v="CVD"/>
    <s v="F"/>
  </r>
  <r>
    <n v="717"/>
    <s v="NORTH"/>
    <s v="UTTAR PRADESH"/>
    <n v="7134"/>
    <s v="M/S GOENKA AUTO PRIVATE LIMITED."/>
    <s v="VARANASI"/>
    <s v="11-Dec-24"/>
    <s v="24-Jun-25"/>
    <n v="1165"/>
    <n v="30000"/>
    <n v="3"/>
    <s v="S"/>
    <s v="T1N"/>
    <n v="5539"/>
    <s v="MC1M4ALA7SP002785"/>
    <s v="D71064906"/>
    <m/>
    <m/>
    <x v="5"/>
    <s v="30-Jun-25"/>
    <x v="5"/>
    <n v="1650"/>
    <n v="588556"/>
    <s v="16-Sep-25"/>
    <n v="1650"/>
    <n v="1947"/>
    <n v="297"/>
    <n v="112023"/>
    <s v="16-Sep-25"/>
    <n v="0"/>
    <m/>
    <m/>
    <s v="URBN"/>
    <s v="CVD"/>
    <s v="F"/>
  </r>
  <r>
    <n v="718"/>
    <s v="NORTH"/>
    <s v="UTTAR PRADESH"/>
    <n v="7134"/>
    <s v="M/S GOENKA AUTO PRIVATE LIMITED."/>
    <s v="VARANASI"/>
    <s v="31-Jul-23"/>
    <s v="23-Jun-25"/>
    <n v="998"/>
    <n v="126463"/>
    <n v="12"/>
    <s v="S"/>
    <s v="T-1"/>
    <n v="750061"/>
    <s v="MC1E4EFA9PP009977"/>
    <s v="D71034030"/>
    <s v="001"/>
    <s v="SERV KMS  / HRS EXCEEDS"/>
    <x v="5"/>
    <s v="30-Jun-25"/>
    <x v="5"/>
    <n v="0"/>
    <n v="588556"/>
    <s v="16-Sep-25"/>
    <n v="0"/>
    <n v="0"/>
    <n v="0"/>
    <n v="112023"/>
    <s v="16-Sep-25"/>
    <n v="0"/>
    <m/>
    <m/>
    <s v="T1BS6"/>
    <s v="CVD"/>
    <s v="P"/>
  </r>
  <r>
    <n v="719"/>
    <s v="NORTH"/>
    <s v="UTTAR PRADESH"/>
    <n v="7134"/>
    <s v="M/S GOENKA AUTO PRIVATE LIMITED."/>
    <s v="VARANASI"/>
    <s v="20-Oct-23"/>
    <s v="23-Jun-25"/>
    <n v="1165"/>
    <n v="129500"/>
    <n v="13"/>
    <s v="S"/>
    <s v="T-1"/>
    <n v="755374"/>
    <s v="MC1E4EKAXRP010712"/>
    <s v="D71040328"/>
    <m/>
    <m/>
    <x v="5"/>
    <s v="30-Jun-25"/>
    <x v="5"/>
    <n v="0"/>
    <n v="588556"/>
    <s v="16-Sep-25"/>
    <n v="0"/>
    <n v="0"/>
    <n v="0"/>
    <n v="112023"/>
    <s v="16-Sep-25"/>
    <n v="0"/>
    <m/>
    <m/>
    <s v="T1BS6"/>
    <s v="CVD"/>
    <s v="P"/>
  </r>
  <r>
    <n v="720"/>
    <s v="NORTH"/>
    <s v="UTTAR PRADESH"/>
    <n v="7134"/>
    <s v="M/S GOENKA AUTO PRIVATE LIMITED."/>
    <s v="VARANASI"/>
    <s v="29-Jan-25"/>
    <s v="05-Jun-25"/>
    <n v="1165"/>
    <n v="19000"/>
    <n v="2"/>
    <s v="S"/>
    <s v="T-1"/>
    <n v="791455"/>
    <s v="MC1E4EMA2SP014787"/>
    <s v="D71067028"/>
    <m/>
    <m/>
    <x v="5"/>
    <s v="30-Jun-25"/>
    <x v="5"/>
    <n v="0"/>
    <n v="588556"/>
    <s v="16-Sep-25"/>
    <n v="0"/>
    <n v="0"/>
    <n v="0"/>
    <n v="112023"/>
    <s v="16-Sep-25"/>
    <n v="0"/>
    <m/>
    <m/>
    <s v="T1BS6"/>
    <s v="CVD"/>
    <s v="P"/>
  </r>
  <r>
    <n v="721"/>
    <s v="NORTH"/>
    <s v="UTTAR PRADESH"/>
    <n v="7134"/>
    <s v="M/S GOENKA AUTO PRIVATE LIMITED."/>
    <s v="VARANASI"/>
    <s v="24-Mar-25"/>
    <s v="06-Jun-25"/>
    <n v="859"/>
    <n v="9594"/>
    <n v="1"/>
    <s v="S"/>
    <s v="T-1"/>
    <n v="796581"/>
    <s v="MC1E4CAA1SP084273"/>
    <s v="D71070598"/>
    <m/>
    <m/>
    <x v="5"/>
    <s v="30-Jun-25"/>
    <x v="5"/>
    <n v="1250"/>
    <n v="588556"/>
    <s v="16-Sep-25"/>
    <n v="1250"/>
    <n v="1475"/>
    <n v="225"/>
    <n v="112023"/>
    <s v="16-Sep-25"/>
    <n v="0"/>
    <m/>
    <m/>
    <s v="T1BS6N"/>
    <s v="CVD"/>
    <s v="F"/>
  </r>
  <r>
    <n v="722"/>
    <s v="NORTH"/>
    <s v="UTTAR PRADESH"/>
    <n v="7134"/>
    <s v="M/S GOENKA AUTO PRIVATE LIMITED."/>
    <s v="VARANASI"/>
    <s v="20-Aug-24"/>
    <s v="17-Jun-25"/>
    <n v="970"/>
    <n v="50000"/>
    <n v="5"/>
    <s v="S"/>
    <s v="T1N"/>
    <n v="4625"/>
    <s v="MC1M4AGA3SP001949"/>
    <s v="D71058108"/>
    <m/>
    <m/>
    <x v="5"/>
    <s v="30-Jun-25"/>
    <x v="5"/>
    <n v="1650"/>
    <n v="588556"/>
    <s v="16-Sep-25"/>
    <n v="1650"/>
    <n v="1947"/>
    <n v="297"/>
    <n v="112023"/>
    <s v="16-Sep-25"/>
    <n v="0"/>
    <m/>
    <m/>
    <s v="URBN"/>
    <s v="CVD"/>
    <s v="F"/>
  </r>
  <r>
    <n v="723"/>
    <s v="NORTH"/>
    <s v="UTTAR PRADESH"/>
    <n v="7134"/>
    <s v="M/S GOENKA AUTO PRIVATE LIMITED."/>
    <s v="VARANASI"/>
    <s v="30-Oct-24"/>
    <s v="27-Jun-25"/>
    <n v="1165"/>
    <n v="50000"/>
    <n v="5"/>
    <s v="S"/>
    <s v="T1N"/>
    <n v="5598"/>
    <s v="MC1M4AKAXSP002670"/>
    <s v="D71064697"/>
    <m/>
    <m/>
    <x v="5"/>
    <s v="30-Jun-25"/>
    <x v="5"/>
    <n v="1650"/>
    <n v="588556"/>
    <s v="16-Sep-25"/>
    <n v="1650"/>
    <n v="1947"/>
    <n v="297"/>
    <n v="112023"/>
    <s v="16-Sep-25"/>
    <n v="0"/>
    <m/>
    <m/>
    <s v="URBN"/>
    <s v="CVD"/>
    <s v="F"/>
  </r>
  <r>
    <n v="724"/>
    <s v="NORTH"/>
    <s v="UTTAR PRADESH"/>
    <n v="7134"/>
    <s v="M/S GOENKA AUTO PRIVATE LIMITED."/>
    <s v="VARANASI"/>
    <s v="29-Aug-24"/>
    <s v="12-Jun-25"/>
    <n v="1165"/>
    <n v="15315"/>
    <n v="2"/>
    <s v="S"/>
    <s v="T-1"/>
    <n v="780141"/>
    <s v="MC1E4DGA7SP053641"/>
    <s v="D71058370"/>
    <m/>
    <m/>
    <x v="5"/>
    <s v="30-Jun-25"/>
    <x v="5"/>
    <n v="1250"/>
    <n v="588556"/>
    <s v="16-Sep-25"/>
    <n v="1250"/>
    <n v="1475"/>
    <n v="225"/>
    <n v="112023"/>
    <s v="16-Sep-25"/>
    <n v="0"/>
    <m/>
    <m/>
    <s v="T1BS6N"/>
    <s v="CVD"/>
    <s v="F"/>
  </r>
  <r>
    <n v="725"/>
    <s v="NORTH"/>
    <s v="UTTAR PRADESH"/>
    <n v="7134"/>
    <s v="M/S GOENKA AUTO PRIVATE LIMITED."/>
    <s v="VARANASI"/>
    <s v="25-Oct-24"/>
    <s v="13-Jun-25"/>
    <n v="1165"/>
    <n v="25129"/>
    <n v="4"/>
    <s v="S"/>
    <s v="T-1"/>
    <n v="786107"/>
    <s v="MC1E4EJA7SP014014"/>
    <s v="D71062081"/>
    <m/>
    <m/>
    <x v="5"/>
    <s v="30-Jun-25"/>
    <x v="5"/>
    <n v="0"/>
    <n v="588556"/>
    <s v="16-Sep-25"/>
    <n v="0"/>
    <n v="0"/>
    <n v="0"/>
    <n v="112023"/>
    <s v="16-Sep-25"/>
    <n v="0"/>
    <m/>
    <m/>
    <s v="T1BS6"/>
    <s v="CVD"/>
    <s v="P"/>
  </r>
  <r>
    <n v="726"/>
    <s v="NORTH"/>
    <s v="UTTAR PRADESH"/>
    <n v="7134"/>
    <s v="M/S GOENKA AUTO PRIVATE LIMITED."/>
    <s v="VARANASI"/>
    <s v="22-Mar-24"/>
    <s v="06-Jun-25"/>
    <n v="1165"/>
    <n v="80000"/>
    <n v="8"/>
    <s v="S"/>
    <s v="TRAX"/>
    <n v="321778"/>
    <s v="MC1D4DBA4RP103635"/>
    <s v="D72014410"/>
    <m/>
    <m/>
    <x v="5"/>
    <s v="30-Jun-25"/>
    <x v="5"/>
    <n v="1250"/>
    <n v="588556"/>
    <s v="16-Sep-25"/>
    <n v="1250"/>
    <n v="1475"/>
    <n v="225"/>
    <n v="112023"/>
    <s v="16-Sep-25"/>
    <n v="0"/>
    <m/>
    <m/>
    <s v="TRXBS6"/>
    <s v="CVD"/>
    <s v="F"/>
  </r>
  <r>
    <n v="727"/>
    <s v="NORTH"/>
    <s v="UTTAR PRADESH"/>
    <n v="7134"/>
    <s v="M/S GOENKA AUTO PRIVATE LIMITED."/>
    <s v="VARANASI"/>
    <s v="24-Mar-25"/>
    <s v="01-Jun-25"/>
    <n v="891"/>
    <n v="9727"/>
    <n v="1"/>
    <s v="S"/>
    <s v="T-1"/>
    <n v="798678"/>
    <s v="MC1E4CAA9SP084182"/>
    <s v="D71070493"/>
    <m/>
    <m/>
    <x v="5"/>
    <s v="30-Jun-25"/>
    <x v="5"/>
    <n v="1250"/>
    <n v="588556"/>
    <s v="16-Sep-25"/>
    <n v="1250"/>
    <n v="1475"/>
    <n v="225"/>
    <n v="112023"/>
    <s v="16-Sep-25"/>
    <n v="0"/>
    <m/>
    <m/>
    <s v="T1BS6N"/>
    <s v="CVD"/>
    <s v="F"/>
  </r>
  <r>
    <n v="728"/>
    <s v="NORTH"/>
    <s v="UTTAR PRADESH"/>
    <n v="7134"/>
    <s v="M/S GOENKA AUTO PRIVATE LIMITED."/>
    <s v="VARANASI"/>
    <s v="24-Oct-24"/>
    <s v="12-Jun-25"/>
    <n v="1165"/>
    <n v="40000"/>
    <n v="4"/>
    <s v="S"/>
    <s v="T26"/>
    <n v="789881"/>
    <s v="MC1E4FJA1SP021496"/>
    <s v="D71061662"/>
    <m/>
    <m/>
    <x v="5"/>
    <s v="30-Jun-25"/>
    <x v="5"/>
    <n v="0"/>
    <n v="588556"/>
    <s v="16-Sep-25"/>
    <n v="0"/>
    <n v="0"/>
    <n v="0"/>
    <n v="112023"/>
    <s v="16-Sep-25"/>
    <n v="0"/>
    <m/>
    <m/>
    <s v="T26BS6"/>
    <s v="CVD"/>
    <s v="P"/>
  </r>
  <r>
    <n v="729"/>
    <s v="NORTH"/>
    <s v="UTTAR PRADESH"/>
    <n v="7134"/>
    <s v="M/S GOENKA AUTO PRIVATE LIMITED."/>
    <s v="VARANASI"/>
    <s v="10-May-23"/>
    <s v="05-Jun-25"/>
    <n v="1165"/>
    <n v="139500"/>
    <n v="14"/>
    <s v="S"/>
    <s v="T-1"/>
    <n v="746572"/>
    <s v="MC1E4EDA1PP009510"/>
    <s v="D71030097"/>
    <m/>
    <m/>
    <x v="5"/>
    <s v="30-Jun-25"/>
    <x v="5"/>
    <n v="1250"/>
    <n v="588556"/>
    <s v="16-Sep-25"/>
    <n v="1250"/>
    <n v="1475"/>
    <n v="225"/>
    <n v="112023"/>
    <s v="16-Sep-25"/>
    <n v="0"/>
    <m/>
    <m/>
    <s v="T1BS6"/>
    <s v="CVD"/>
    <s v="F"/>
  </r>
  <r>
    <n v="730"/>
    <s v="NORTH"/>
    <s v="UTTAR PRADESH"/>
    <n v="7134"/>
    <s v="M/S GOENKA AUTO PRIVATE LIMITED."/>
    <s v="VARANASI"/>
    <s v="20-Sep-23"/>
    <s v="10-Jun-25"/>
    <n v="1165"/>
    <n v="82537"/>
    <n v="10"/>
    <s v="S"/>
    <s v="TRAX"/>
    <n v="319115"/>
    <s v="MC1D4DJA2RP101366"/>
    <s v="D72011985"/>
    <s v="002"/>
    <s v="SERV DATE EXCEEDS"/>
    <x v="5"/>
    <s v="30-Jun-25"/>
    <x v="5"/>
    <n v="0"/>
    <n v="588556"/>
    <s v="16-Sep-25"/>
    <n v="0"/>
    <n v="0"/>
    <n v="0"/>
    <n v="112023"/>
    <s v="16-Sep-25"/>
    <n v="0"/>
    <m/>
    <m/>
    <s v="TRXBS6"/>
    <s v="CVD"/>
    <s v="P"/>
  </r>
  <r>
    <n v="731"/>
    <s v="NORTH"/>
    <s v="UTTAR PRADESH"/>
    <n v="7134"/>
    <s v="M/S GOENKA AUTO PRIVATE LIMITED."/>
    <s v="VARANASI"/>
    <s v="22-Jun-24"/>
    <s v="12-Jun-25"/>
    <n v="1165"/>
    <n v="69820"/>
    <n v="7"/>
    <s v="S"/>
    <s v="T-1"/>
    <n v="775938"/>
    <s v="MC1E4EDA0RP012854"/>
    <s v="D71053907"/>
    <m/>
    <m/>
    <x v="5"/>
    <s v="30-Jun-25"/>
    <x v="5"/>
    <n v="0"/>
    <n v="588556"/>
    <s v="16-Sep-25"/>
    <n v="0"/>
    <n v="0"/>
    <n v="0"/>
    <n v="112023"/>
    <s v="16-Sep-25"/>
    <n v="0"/>
    <m/>
    <m/>
    <s v="T1BS6"/>
    <s v="CVD"/>
    <s v="P"/>
  </r>
  <r>
    <n v="732"/>
    <s v="NORTH"/>
    <s v="UTTAR PRADESH"/>
    <n v="7134"/>
    <s v="M/S GOENKA AUTO PRIVATE LIMITED."/>
    <s v="VARANASI"/>
    <s v="08-May-24"/>
    <s v="08-Jun-25"/>
    <n v="1165"/>
    <n v="16949"/>
    <n v="3"/>
    <s v="S"/>
    <s v="T26"/>
    <n v="768939"/>
    <s v="MC1E4FCAXRP019656"/>
    <s v="D71049452"/>
    <m/>
    <m/>
    <x v="5"/>
    <s v="30-Jun-25"/>
    <x v="5"/>
    <n v="1250"/>
    <n v="588556"/>
    <s v="16-Sep-25"/>
    <n v="1250"/>
    <n v="1475"/>
    <n v="225"/>
    <n v="112023"/>
    <s v="16-Sep-25"/>
    <n v="0"/>
    <m/>
    <m/>
    <s v="T26BS6N"/>
    <s v="CVD"/>
    <s v="F"/>
  </r>
  <r>
    <n v="733"/>
    <s v="NORTH"/>
    <s v="UTTAR PRADESH"/>
    <n v="7134"/>
    <s v="M/S GOENKA AUTO PRIVATE LIMITED."/>
    <s v="VARANASI"/>
    <s v="11-Jul-24"/>
    <s v="24-Jun-25"/>
    <n v="1165"/>
    <n v="71283"/>
    <n v="7"/>
    <s v="S"/>
    <s v="T-1"/>
    <n v="775228"/>
    <s v="MC1E4EFA3RP013090"/>
    <s v="D71055784"/>
    <m/>
    <m/>
    <x v="5"/>
    <s v="30-Jun-25"/>
    <x v="5"/>
    <n v="0"/>
    <n v="588556"/>
    <s v="16-Sep-25"/>
    <n v="0"/>
    <n v="0"/>
    <n v="0"/>
    <n v="112023"/>
    <s v="16-Sep-25"/>
    <n v="0"/>
    <m/>
    <m/>
    <s v="T1BS6"/>
    <s v="CVD"/>
    <s v="P"/>
  </r>
  <r>
    <n v="734"/>
    <s v="NORTH"/>
    <s v="UTTAR PRADESH"/>
    <n v="7134"/>
    <s v="M/S GOENKA AUTO PRIVATE LIMITED."/>
    <s v="VARANASI"/>
    <s v="12-Sep-24"/>
    <s v="22-Jun-25"/>
    <n v="1165"/>
    <n v="21206"/>
    <n v="5"/>
    <s v="S"/>
    <s v="TRAX"/>
    <n v="324555"/>
    <s v="MC1D1DGA8SP001553"/>
    <s v="D72016186"/>
    <m/>
    <m/>
    <x v="5"/>
    <s v="30-Jun-25"/>
    <x v="5"/>
    <n v="1250"/>
    <n v="588556"/>
    <s v="16-Sep-25"/>
    <n v="1250"/>
    <n v="1475"/>
    <n v="225"/>
    <n v="112023"/>
    <s v="16-Sep-25"/>
    <n v="0"/>
    <m/>
    <m/>
    <s v="TRXBS6"/>
    <s v="CVD"/>
    <s v="F"/>
  </r>
  <r>
    <n v="735"/>
    <s v="NORTH"/>
    <s v="UTTAR PRADESH"/>
    <n v="7134"/>
    <s v="M/S GOENKA AUTO PRIVATE LIMITED."/>
    <s v="VARANASI"/>
    <s v="11-Sep-24"/>
    <s v="23-Jun-25"/>
    <n v="1165"/>
    <n v="70000"/>
    <n v="7"/>
    <s v="S"/>
    <s v="T-1"/>
    <n v="785727"/>
    <s v="MC1E4EGA4SP013474"/>
    <s v="D71058225"/>
    <m/>
    <m/>
    <x v="5"/>
    <s v="30-Jun-25"/>
    <x v="5"/>
    <n v="0"/>
    <n v="588556"/>
    <s v="16-Sep-25"/>
    <n v="0"/>
    <n v="0"/>
    <n v="0"/>
    <n v="112023"/>
    <s v="16-Sep-25"/>
    <n v="0"/>
    <m/>
    <m/>
    <s v="T1BS6"/>
    <s v="CVD"/>
    <s v="P"/>
  </r>
  <r>
    <n v="736"/>
    <s v="NORTH"/>
    <s v="UTTAR PRADESH"/>
    <n v="7134"/>
    <s v="M/S GOENKA AUTO PRIVATE LIMITED."/>
    <s v="VARANASI"/>
    <s v="30-Oct-24"/>
    <s v="08-Jun-25"/>
    <n v="1165"/>
    <n v="22621"/>
    <n v="3"/>
    <s v="S"/>
    <s v="T1N"/>
    <n v="4895"/>
    <s v="MC1M4AKA8SP002635"/>
    <s v="D71064370"/>
    <m/>
    <m/>
    <x v="5"/>
    <s v="30-Jun-25"/>
    <x v="5"/>
    <n v="1650"/>
    <n v="588556"/>
    <s v="16-Sep-25"/>
    <n v="1650"/>
    <n v="1947"/>
    <n v="297"/>
    <n v="112023"/>
    <s v="16-Sep-25"/>
    <n v="0"/>
    <m/>
    <m/>
    <s v="URBN"/>
    <s v="CVD"/>
    <s v="F"/>
  </r>
  <r>
    <n v="737"/>
    <s v="NORTH"/>
    <s v="UTTAR PRADESH"/>
    <n v="7134"/>
    <s v="M/S GOENKA AUTO PRIVATE LIMITED."/>
    <s v="VARANASI"/>
    <s v="31-Mar-24"/>
    <s v="02-Jun-25"/>
    <n v="1165"/>
    <n v="21111"/>
    <n v="3"/>
    <s v="S"/>
    <s v="T26"/>
    <n v="768046"/>
    <s v="MC1E4FBA6RP019316"/>
    <s v="D71048279"/>
    <m/>
    <m/>
    <x v="5"/>
    <s v="30-Jun-25"/>
    <x v="5"/>
    <n v="1250"/>
    <n v="588556"/>
    <s v="16-Sep-25"/>
    <n v="1250"/>
    <n v="1475"/>
    <n v="225"/>
    <n v="112023"/>
    <s v="16-Sep-25"/>
    <n v="0"/>
    <m/>
    <m/>
    <s v="T26BS6N"/>
    <s v="CVD"/>
    <s v="F"/>
  </r>
  <r>
    <n v="738"/>
    <s v="NORTH"/>
    <s v="UTTAR PRADESH"/>
    <n v="7134"/>
    <s v="M/S GOENKA AUTO PRIVATE LIMITED."/>
    <s v="VARANASI"/>
    <s v="10-Feb-25"/>
    <s v="05-Jun-25"/>
    <n v="1065"/>
    <n v="12890"/>
    <n v="2"/>
    <s v="S"/>
    <s v="TRAX"/>
    <n v="1"/>
    <s v="MC1D4DMA2SP106617"/>
    <s v="D72018107"/>
    <m/>
    <m/>
    <x v="5"/>
    <s v="30-Jun-25"/>
    <x v="5"/>
    <n v="0"/>
    <n v="588556"/>
    <s v="16-Sep-25"/>
    <n v="0"/>
    <n v="0"/>
    <n v="0"/>
    <n v="112023"/>
    <s v="16-Sep-25"/>
    <n v="0"/>
    <m/>
    <m/>
    <s v="TRXBS6"/>
    <s v="CVD"/>
    <s v="P"/>
  </r>
  <r>
    <n v="739"/>
    <s v="NORTH"/>
    <s v="UTTAR PRADESH"/>
    <n v="7134"/>
    <s v="M/S GOENKA AUTO PRIVATE LIMITED."/>
    <s v="VARANASI"/>
    <s v="05-Jul-24"/>
    <s v="22-Jun-25"/>
    <n v="1165"/>
    <n v="50000"/>
    <n v="5"/>
    <s v="S"/>
    <s v="T-1"/>
    <n v="774598"/>
    <s v="MC1E4DFA9RP053121"/>
    <s v="D71056204"/>
    <s v="002"/>
    <s v="SERV DATE EXCEEDS"/>
    <x v="5"/>
    <s v="30-Jun-25"/>
    <x v="5"/>
    <n v="1250"/>
    <n v="588556"/>
    <s v="16-Sep-25"/>
    <n v="1000"/>
    <n v="1475"/>
    <n v="225"/>
    <n v="112023"/>
    <s v="16-Sep-25"/>
    <n v="250"/>
    <m/>
    <m/>
    <s v="T1BS6"/>
    <s v="CVD"/>
    <s v="F"/>
  </r>
  <r>
    <n v="740"/>
    <s v="NORTH"/>
    <s v="UTTAR PRADESH"/>
    <n v="7134"/>
    <s v="M/S GOENKA AUTO PRIVATE LIMITED."/>
    <s v="VARANASI"/>
    <s v="26-Apr-25"/>
    <s v="08-Jun-25"/>
    <n v="1150"/>
    <n v="3725"/>
    <n v="1"/>
    <s v="S"/>
    <s v="T-1"/>
    <n v="778389"/>
    <s v="MC1E5EDA0SP003347"/>
    <s v="D73001814"/>
    <m/>
    <m/>
    <x v="5"/>
    <s v="30-Jun-25"/>
    <x v="5"/>
    <n v="1250"/>
    <n v="588556"/>
    <s v="16-Sep-25"/>
    <n v="1250"/>
    <n v="1475"/>
    <n v="225"/>
    <n v="112023"/>
    <s v="16-Sep-25"/>
    <n v="0"/>
    <m/>
    <m/>
    <s v="T1CNGL"/>
    <s v="CVD"/>
    <s v="F"/>
  </r>
  <r>
    <n v="741"/>
    <s v="NORTH"/>
    <s v="UTTAR PRADESH"/>
    <n v="7134"/>
    <s v="M/S GOENKA AUTO PRIVATE LIMITED."/>
    <s v="VARANASI"/>
    <s v="31-Dec-24"/>
    <s v="04-Jun-25"/>
    <n v="1165"/>
    <n v="30000"/>
    <n v="3"/>
    <s v="S"/>
    <s v="T1N"/>
    <n v="5651"/>
    <s v="MC1M4ALA6SP002809"/>
    <s v="D71065837"/>
    <m/>
    <m/>
    <x v="5"/>
    <s v="30-Jun-25"/>
    <x v="5"/>
    <n v="1650"/>
    <n v="588556"/>
    <s v="16-Sep-25"/>
    <n v="1650"/>
    <n v="1947"/>
    <n v="297"/>
    <n v="112023"/>
    <s v="16-Sep-25"/>
    <n v="0"/>
    <m/>
    <m/>
    <s v="URBN"/>
    <s v="CVD"/>
    <s v="F"/>
  </r>
  <r>
    <n v="742"/>
    <s v="NORTH"/>
    <s v="UTTAR PRADESH"/>
    <n v="7134"/>
    <s v="M/S GOENKA AUTO PRIVATE LIMITED."/>
    <s v="VARANASI"/>
    <s v="15-Nov-24"/>
    <s v="26-Jun-25"/>
    <n v="1165"/>
    <n v="49245"/>
    <n v="5"/>
    <s v="S"/>
    <s v="T26"/>
    <n v="789860"/>
    <s v="MC1E4FJA7SP021633"/>
    <s v="D71063051"/>
    <m/>
    <m/>
    <x v="5"/>
    <s v="30-Jun-25"/>
    <x v="5"/>
    <n v="1250"/>
    <n v="588556"/>
    <s v="16-Sep-25"/>
    <n v="1250"/>
    <n v="1475"/>
    <n v="225"/>
    <n v="112023"/>
    <s v="16-Sep-25"/>
    <n v="0"/>
    <m/>
    <m/>
    <s v="T26BS6"/>
    <s v="CVD"/>
    <s v="F"/>
  </r>
  <r>
    <n v="743"/>
    <s v="NORTH"/>
    <s v="UTTAR PRADESH"/>
    <n v="7134"/>
    <s v="M/S GOENKA AUTO PRIVATE LIMITED."/>
    <s v="VARANASI"/>
    <s v="30-Sep-24"/>
    <s v="20-Jun-25"/>
    <n v="1165"/>
    <n v="28712"/>
    <n v="3"/>
    <s v="S"/>
    <s v="T1N"/>
    <n v="5319"/>
    <s v="MC1M4AJA6SP002358"/>
    <s v="D71062135"/>
    <m/>
    <m/>
    <x v="5"/>
    <s v="30-Jun-25"/>
    <x v="5"/>
    <n v="1650"/>
    <n v="588556"/>
    <s v="16-Sep-25"/>
    <n v="1650"/>
    <n v="1947"/>
    <n v="297"/>
    <n v="112023"/>
    <s v="16-Sep-25"/>
    <n v="0"/>
    <m/>
    <m/>
    <s v="URBN"/>
    <s v="CVD"/>
    <s v="F"/>
  </r>
  <r>
    <n v="744"/>
    <s v="NORTH"/>
    <s v="UTTAR PRADESH"/>
    <n v="7134"/>
    <s v="M/S GOENKA AUTO PRIVATE LIMITED."/>
    <s v="VARANASI"/>
    <s v="19-Dec-24"/>
    <s v="26-Jun-25"/>
    <n v="1165"/>
    <n v="18531"/>
    <n v="3"/>
    <s v="S"/>
    <s v="T26"/>
    <n v="789111"/>
    <s v="MC1E4FLA6SP021782"/>
    <s v="D71065402"/>
    <m/>
    <m/>
    <x v="5"/>
    <s v="30-Jun-25"/>
    <x v="5"/>
    <n v="1250"/>
    <n v="588556"/>
    <s v="16-Sep-25"/>
    <n v="1250"/>
    <n v="1475"/>
    <n v="225"/>
    <n v="112023"/>
    <s v="16-Sep-25"/>
    <n v="0"/>
    <m/>
    <m/>
    <s v="T26BS6"/>
    <s v="CVD"/>
    <s v="F"/>
  </r>
  <r>
    <n v="745"/>
    <s v="NORTH"/>
    <s v="UTTAR PRADESH"/>
    <n v="7134"/>
    <s v="M/S GOENKA AUTO PRIVATE LIMITED."/>
    <s v="VARANASI"/>
    <s v="29-Mar-25"/>
    <s v="10-Jun-25"/>
    <n v="1165"/>
    <n v="4360"/>
    <n v="1"/>
    <s v="S"/>
    <s v="T26"/>
    <n v="789025"/>
    <s v="MC1E4FCA8SP023176"/>
    <s v="D71076538"/>
    <m/>
    <m/>
    <x v="5"/>
    <s v="30-Jun-25"/>
    <x v="5"/>
    <n v="1250"/>
    <n v="588556"/>
    <s v="16-Sep-25"/>
    <n v="1250"/>
    <n v="1475"/>
    <n v="225"/>
    <n v="112023"/>
    <s v="16-Sep-25"/>
    <n v="0"/>
    <m/>
    <m/>
    <s v="T26BS6"/>
    <s v="CVD"/>
    <s v="F"/>
  </r>
  <r>
    <n v="746"/>
    <s v="NORTH"/>
    <s v="UTTAR PRADESH"/>
    <n v="7134"/>
    <s v="M/S GOENKA AUTO PRIVATE LIMITED."/>
    <s v="VARANASI"/>
    <s v="25-Oct-24"/>
    <s v="18-Jun-25"/>
    <n v="1165"/>
    <n v="47000"/>
    <n v="5"/>
    <s v="S"/>
    <s v="T-1"/>
    <n v="785383"/>
    <s v="MC1E4EFA0RP013385"/>
    <s v="D71057618"/>
    <m/>
    <m/>
    <x v="5"/>
    <s v="30-Jun-25"/>
    <x v="5"/>
    <n v="1250"/>
    <n v="588556"/>
    <s v="16-Sep-25"/>
    <n v="1250"/>
    <n v="1475"/>
    <n v="225"/>
    <n v="112023"/>
    <s v="16-Sep-25"/>
    <n v="0"/>
    <m/>
    <m/>
    <s v="T1BS6"/>
    <s v="CVD"/>
    <s v="F"/>
  </r>
  <r>
    <n v="747"/>
    <s v="NORTH"/>
    <s v="UTTAR PRADESH"/>
    <n v="7134"/>
    <s v="M/S GOENKA AUTO PRIVATE LIMITED."/>
    <s v="VARANASI"/>
    <s v="17-Sep-24"/>
    <s v="16-Jun-25"/>
    <n v="1165"/>
    <n v="28199"/>
    <n v="3"/>
    <s v="S"/>
    <s v="T1N"/>
    <n v="5114"/>
    <s v="MC1M4AHA3SP002243"/>
    <s v="D71060936"/>
    <m/>
    <m/>
    <x v="5"/>
    <s v="30-Jun-25"/>
    <x v="5"/>
    <n v="1650"/>
    <n v="588556"/>
    <s v="16-Sep-25"/>
    <n v="1650"/>
    <n v="1947"/>
    <n v="297"/>
    <n v="112023"/>
    <s v="16-Sep-25"/>
    <n v="0"/>
    <m/>
    <m/>
    <s v="URBN"/>
    <s v="CVD"/>
    <s v="F"/>
  </r>
  <r>
    <n v="748"/>
    <s v="NORTH"/>
    <s v="UTTAR PRADESH"/>
    <n v="7134"/>
    <s v="M/S GOENKA AUTO PRIVATE LIMITED."/>
    <s v="VARANASI"/>
    <s v="29-Mar-25"/>
    <s v="10-Jun-25"/>
    <n v="1150"/>
    <n v="6638"/>
    <n v="1"/>
    <s v="S"/>
    <s v="T-1"/>
    <n v="778220"/>
    <s v="MC1E5EBA1SP003277"/>
    <s v="D73001698"/>
    <m/>
    <m/>
    <x v="5"/>
    <s v="30-Jun-25"/>
    <x v="5"/>
    <n v="1250"/>
    <n v="588556"/>
    <s v="16-Sep-25"/>
    <n v="1250"/>
    <n v="1475"/>
    <n v="225"/>
    <n v="112023"/>
    <s v="16-Sep-25"/>
    <n v="0"/>
    <m/>
    <m/>
    <s v="T1CNGL"/>
    <s v="CVD"/>
    <s v="F"/>
  </r>
  <r>
    <n v="749"/>
    <s v="NORTH"/>
    <s v="UTTAR PRADESH"/>
    <n v="7134"/>
    <s v="M/S GOENKA AUTO PRIVATE LIMITED."/>
    <s v="VARANASI"/>
    <s v="13-May-24"/>
    <s v="08-Jun-25"/>
    <n v="1165"/>
    <n v="12607"/>
    <n v="3"/>
    <s v="S"/>
    <s v="T26"/>
    <n v="768979"/>
    <s v="MC1E4FBA1RP019563"/>
    <s v="D71047984"/>
    <m/>
    <m/>
    <x v="5"/>
    <s v="30-Jun-25"/>
    <x v="5"/>
    <n v="1250"/>
    <n v="588556"/>
    <s v="16-Sep-25"/>
    <n v="1250"/>
    <n v="1475"/>
    <n v="225"/>
    <n v="112023"/>
    <s v="16-Sep-25"/>
    <n v="0"/>
    <m/>
    <m/>
    <s v="T26BS6N"/>
    <s v="CVD"/>
    <s v="F"/>
  </r>
  <r>
    <n v="750"/>
    <s v="NORTH"/>
    <s v="UTTAR PRADESH"/>
    <n v="7134"/>
    <s v="M/S GOENKA AUTO PRIVATE LIMITED."/>
    <s v="VARANASI"/>
    <s v="30-May-24"/>
    <s v="27-Jun-25"/>
    <n v="1165"/>
    <n v="99500"/>
    <n v="10"/>
    <s v="S"/>
    <s v="TRAX"/>
    <n v="321779"/>
    <s v="MC1D4DBA9RP103565"/>
    <s v="D72014281"/>
    <m/>
    <m/>
    <x v="5"/>
    <s v="30-Jun-25"/>
    <x v="5"/>
    <n v="0"/>
    <n v="588556"/>
    <s v="16-Sep-25"/>
    <n v="0"/>
    <n v="0"/>
    <n v="0"/>
    <n v="112023"/>
    <s v="16-Sep-25"/>
    <n v="0"/>
    <m/>
    <m/>
    <s v="TRXBS6"/>
    <s v="CVD"/>
    <s v="P"/>
  </r>
  <r>
    <n v="751"/>
    <s v="NORTH"/>
    <s v="UTTAR PRADESH"/>
    <n v="7134"/>
    <s v="M/S GOENKA AUTO PRIVATE LIMITED."/>
    <s v="VARANASI"/>
    <s v="19-May-25"/>
    <s v="10-Jun-25"/>
    <n v="1150"/>
    <n v="3067"/>
    <n v="1"/>
    <s v="S"/>
    <s v="T-1"/>
    <n v="778180"/>
    <s v="MC1E5EDA3SP003357"/>
    <s v="D73001815"/>
    <m/>
    <m/>
    <x v="5"/>
    <s v="30-Jun-25"/>
    <x v="5"/>
    <n v="1250"/>
    <n v="588556"/>
    <s v="16-Sep-25"/>
    <n v="1250"/>
    <n v="1475"/>
    <n v="225"/>
    <n v="112023"/>
    <s v="16-Sep-25"/>
    <n v="0"/>
    <m/>
    <m/>
    <s v="T1CNGL"/>
    <s v="CVD"/>
    <s v="F"/>
  </r>
  <r>
    <n v="752"/>
    <s v="NORTH"/>
    <s v="UTTAR PRADESH"/>
    <n v="7134"/>
    <s v="M/S GOENKA AUTO PRIVATE LIMITED."/>
    <s v="VARANASI"/>
    <s v="23-Mar-25"/>
    <s v="06-Jun-25"/>
    <n v="879"/>
    <n v="9515"/>
    <n v="1"/>
    <s v="S"/>
    <s v="T-1"/>
    <n v="796020"/>
    <s v="MC1E4CAA7SP084102"/>
    <s v="D71070175"/>
    <m/>
    <m/>
    <x v="5"/>
    <s v="30-Jun-25"/>
    <x v="5"/>
    <n v="1250"/>
    <n v="588556"/>
    <s v="16-Sep-25"/>
    <n v="1250"/>
    <n v="1475"/>
    <n v="225"/>
    <n v="112023"/>
    <s v="16-Sep-25"/>
    <n v="0"/>
    <m/>
    <m/>
    <s v="T1BS6N"/>
    <s v="CVD"/>
    <s v="F"/>
  </r>
  <r>
    <n v="753"/>
    <s v="NORTH"/>
    <s v="UTTAR PRADESH"/>
    <n v="7134"/>
    <s v="M/S GOENKA AUTO PRIVATE LIMITED."/>
    <s v="VARANASI"/>
    <s v="14-May-25"/>
    <s v="24-Jun-25"/>
    <n v="1165"/>
    <n v="10000"/>
    <n v="1"/>
    <s v="S"/>
    <s v="TRAX"/>
    <n v="327617"/>
    <s v="MC1D4DCA2SP107879"/>
    <s v="D72019510"/>
    <m/>
    <m/>
    <x v="5"/>
    <s v="30-Jun-25"/>
    <x v="5"/>
    <n v="1250"/>
    <n v="588556"/>
    <s v="16-Sep-25"/>
    <n v="1250"/>
    <n v="1475"/>
    <n v="225"/>
    <n v="112023"/>
    <s v="16-Sep-25"/>
    <n v="0"/>
    <m/>
    <m/>
    <s v="TRXBS6"/>
    <s v="CVD"/>
    <s v="F"/>
  </r>
  <r>
    <n v="754"/>
    <s v="NORTH"/>
    <s v="UTTAR PRADESH"/>
    <n v="7134"/>
    <s v="M/S GOENKA AUTO PRIVATE LIMITED."/>
    <s v="VARANASI"/>
    <s v="23-Mar-25"/>
    <s v="04-Jun-25"/>
    <n v="853"/>
    <n v="10055"/>
    <n v="1"/>
    <s v="S"/>
    <s v="T-1"/>
    <n v="798028"/>
    <s v="MC1E4CAA5SP084583"/>
    <s v="D71071153"/>
    <m/>
    <m/>
    <x v="5"/>
    <s v="30-Jun-25"/>
    <x v="5"/>
    <n v="1250"/>
    <n v="588556"/>
    <s v="16-Sep-25"/>
    <n v="1250"/>
    <n v="1475"/>
    <n v="225"/>
    <n v="112023"/>
    <s v="16-Sep-25"/>
    <n v="0"/>
    <m/>
    <m/>
    <s v="T1BS6N"/>
    <s v="CVD"/>
    <s v="F"/>
  </r>
  <r>
    <n v="755"/>
    <s v="NORTH"/>
    <s v="UTTAR PRADESH"/>
    <n v="7134"/>
    <s v="M/S GOENKA AUTO PRIVATE LIMITED."/>
    <s v="VARANASI"/>
    <s v="09-Apr-25"/>
    <s v="15-Jun-25"/>
    <n v="1165"/>
    <n v="3150"/>
    <n v="1"/>
    <s v="S"/>
    <s v="T-1"/>
    <n v="785190"/>
    <s v="MC1E4EBA8SP015414"/>
    <s v="D71073577"/>
    <m/>
    <m/>
    <x v="5"/>
    <s v="30-Jun-25"/>
    <x v="5"/>
    <n v="1250"/>
    <n v="588556"/>
    <s v="16-Sep-25"/>
    <n v="1250"/>
    <n v="1475"/>
    <n v="225"/>
    <n v="112023"/>
    <s v="16-Sep-25"/>
    <n v="0"/>
    <m/>
    <m/>
    <s v="T1BS6"/>
    <s v="CVD"/>
    <s v="F"/>
  </r>
  <r>
    <n v="756"/>
    <s v="NORTH"/>
    <s v="UTTAR PRADESH"/>
    <n v="7134"/>
    <s v="M/S GOENKA AUTO PRIVATE LIMITED."/>
    <s v="VARANASI"/>
    <s v="24-Mar-25"/>
    <s v="01-Jun-25"/>
    <n v="877"/>
    <n v="9368"/>
    <n v="1"/>
    <s v="S"/>
    <s v="T-1"/>
    <n v="798731"/>
    <s v="MC1E4CBA5SP084999"/>
    <s v="D71071676"/>
    <m/>
    <m/>
    <x v="5"/>
    <s v="30-Jun-25"/>
    <x v="5"/>
    <n v="1250"/>
    <n v="588556"/>
    <s v="16-Sep-25"/>
    <n v="1250"/>
    <n v="1475"/>
    <n v="225"/>
    <n v="112023"/>
    <s v="16-Sep-25"/>
    <n v="0"/>
    <m/>
    <m/>
    <s v="T1BS6N"/>
    <s v="CVD"/>
    <s v="F"/>
  </r>
  <r>
    <n v="757"/>
    <s v="NORTH"/>
    <s v="UTTAR PRADESH"/>
    <n v="7134"/>
    <s v="M/S GOENKA AUTO PRIVATE LIMITED."/>
    <s v="VARANASI"/>
    <s v="29-Mar-25"/>
    <s v="08-Jun-25"/>
    <n v="1150"/>
    <n v="7996"/>
    <n v="1"/>
    <s v="S"/>
    <s v="T-1"/>
    <n v="778219"/>
    <s v="MC1E5EBA8SP003275"/>
    <s v="D73001696"/>
    <m/>
    <m/>
    <x v="5"/>
    <s v="30-Jun-25"/>
    <x v="5"/>
    <n v="1250"/>
    <n v="588556"/>
    <s v="16-Sep-25"/>
    <n v="1250"/>
    <n v="1475"/>
    <n v="225"/>
    <n v="112023"/>
    <s v="16-Sep-25"/>
    <n v="0"/>
    <m/>
    <m/>
    <s v="T1CNGL"/>
    <s v="CVD"/>
    <s v="F"/>
  </r>
  <r>
    <n v="758"/>
    <s v="NORTH"/>
    <s v="UTTAR PRADESH"/>
    <n v="7134"/>
    <s v="M/S GOENKA AUTO PRIVATE LIMITED."/>
    <s v="VARANASI"/>
    <s v="03-Feb-24"/>
    <s v="13-Jun-25"/>
    <n v="1165"/>
    <n v="133800"/>
    <n v="13"/>
    <s v="S"/>
    <s v="TRAX"/>
    <n v="319846"/>
    <s v="MC1D4DLA1RP102182"/>
    <s v="D72012825"/>
    <s v="001"/>
    <s v="SERV KMS  / HRS EXCEEDS"/>
    <x v="5"/>
    <s v="30-Jun-25"/>
    <x v="5"/>
    <n v="0"/>
    <n v="588556"/>
    <s v="16-Sep-25"/>
    <n v="0"/>
    <n v="0"/>
    <n v="0"/>
    <n v="112023"/>
    <s v="16-Sep-25"/>
    <n v="0"/>
    <m/>
    <m/>
    <s v="TRXBS6"/>
    <s v="CVD"/>
    <s v="P"/>
  </r>
  <r>
    <n v="759"/>
    <s v="NORTH"/>
    <s v="UTTAR PRADESH"/>
    <n v="7134"/>
    <s v="M/S GOENKA AUTO PRIVATE LIMITED."/>
    <s v="VARANASI"/>
    <s v="23-Mar-25"/>
    <s v="01-Jun-25"/>
    <n v="883"/>
    <n v="10135"/>
    <n v="1"/>
    <s v="S"/>
    <s v="T-1"/>
    <n v="796008"/>
    <s v="MC1E4CAA9SP083985"/>
    <s v="D71070090"/>
    <m/>
    <m/>
    <x v="5"/>
    <s v="30-Jun-25"/>
    <x v="5"/>
    <n v="1250"/>
    <n v="588556"/>
    <s v="16-Sep-25"/>
    <n v="1250"/>
    <n v="1475"/>
    <n v="225"/>
    <n v="112023"/>
    <s v="16-Sep-25"/>
    <n v="0"/>
    <m/>
    <m/>
    <s v="T1BS6N"/>
    <s v="CVD"/>
    <s v="F"/>
  </r>
  <r>
    <n v="760"/>
    <s v="NORTH"/>
    <s v="UTTAR PRADESH"/>
    <n v="7134"/>
    <s v="M/S GOENKA AUTO PRIVATE LIMITED."/>
    <s v="VARANASI"/>
    <s v="21-Sep-24"/>
    <s v="11-Jun-25"/>
    <n v="1165"/>
    <n v="60000"/>
    <n v="6"/>
    <s v="S"/>
    <s v="T-1"/>
    <n v="786320"/>
    <s v="MC1E4EHA1SP013740"/>
    <s v="D71060115"/>
    <m/>
    <m/>
    <x v="5"/>
    <s v="30-Jun-25"/>
    <x v="5"/>
    <n v="0"/>
    <n v="588556"/>
    <s v="16-Sep-25"/>
    <n v="0"/>
    <n v="0"/>
    <n v="0"/>
    <n v="112023"/>
    <s v="16-Sep-25"/>
    <n v="0"/>
    <m/>
    <m/>
    <s v="T1BS6"/>
    <s v="CVD"/>
    <s v="P"/>
  </r>
  <r>
    <n v="761"/>
    <s v="NORTH"/>
    <s v="UTTAR PRADESH"/>
    <n v="7134"/>
    <s v="M/S GOENKA AUTO PRIVATE LIMITED."/>
    <s v="VARANASI"/>
    <s v="24-Jun-23"/>
    <s v="24-Jun-25"/>
    <n v="1165"/>
    <n v="115000"/>
    <n v="12"/>
    <s v="S"/>
    <s v="T-1"/>
    <n v="751799"/>
    <s v="MC1E4DFA3PP046534"/>
    <s v="D71033624"/>
    <m/>
    <m/>
    <x v="5"/>
    <s v="30-Jun-25"/>
    <x v="5"/>
    <n v="0"/>
    <n v="588556"/>
    <s v="16-Sep-25"/>
    <n v="0"/>
    <n v="0"/>
    <n v="0"/>
    <n v="112023"/>
    <s v="16-Sep-25"/>
    <n v="0"/>
    <m/>
    <m/>
    <s v="T1BS6"/>
    <s v="CVD"/>
    <s v="P"/>
  </r>
  <r>
    <n v="762"/>
    <s v="NORTH"/>
    <s v="UTTAR PRADESH"/>
    <n v="7134"/>
    <s v="M/S GOENKA AUTO PRIVATE LIMITED."/>
    <s v="VARANASI"/>
    <s v="17-Aug-24"/>
    <s v="10-Jun-25"/>
    <n v="1165"/>
    <n v="39890"/>
    <n v="4"/>
    <s v="S"/>
    <s v="T-1"/>
    <n v="785110"/>
    <s v="MC1E4EGAXSP013446"/>
    <s v="D71058090"/>
    <s v="002"/>
    <s v="SERV DATE EXCEEDS"/>
    <x v="5"/>
    <s v="30-Jun-25"/>
    <x v="5"/>
    <n v="0"/>
    <n v="588556"/>
    <s v="16-Sep-25"/>
    <n v="0"/>
    <n v="0"/>
    <n v="0"/>
    <n v="112023"/>
    <s v="16-Sep-25"/>
    <n v="0"/>
    <m/>
    <m/>
    <s v="T1BS6"/>
    <s v="CVD"/>
    <s v="P"/>
  </r>
  <r>
    <n v="763"/>
    <s v="NORTH"/>
    <s v="UTTAR PRADESH"/>
    <n v="7134"/>
    <s v="M/S GOENKA AUTO PRIVATE LIMITED."/>
    <s v="VARANASI"/>
    <s v="18-Nov-24"/>
    <s v="03-Jun-25"/>
    <n v="1165"/>
    <n v="29948"/>
    <n v="3"/>
    <s v="S"/>
    <s v="T26"/>
    <n v="789619"/>
    <s v="MC1E4FJA2SP021586"/>
    <s v="D71062197"/>
    <m/>
    <m/>
    <x v="5"/>
    <s v="30-Jun-25"/>
    <x v="5"/>
    <n v="1250"/>
    <n v="588556"/>
    <s v="16-Sep-25"/>
    <n v="1250"/>
    <n v="1475"/>
    <n v="225"/>
    <n v="112023"/>
    <s v="16-Sep-25"/>
    <n v="0"/>
    <m/>
    <m/>
    <s v="T26BS6"/>
    <s v="CVD"/>
    <s v="F"/>
  </r>
  <r>
    <n v="764"/>
    <s v="NORTH"/>
    <s v="UTTAR PRADESH"/>
    <n v="7134"/>
    <s v="M/S GOENKA AUTO PRIVATE LIMITED."/>
    <s v="VARANASI"/>
    <s v="25-Mar-25"/>
    <s v="04-Jun-25"/>
    <n v="872"/>
    <n v="9760"/>
    <n v="1"/>
    <s v="S"/>
    <s v="T-1"/>
    <n v="798610"/>
    <s v="MC1E4CAAXSP084045"/>
    <s v="D71070266"/>
    <m/>
    <m/>
    <x v="5"/>
    <s v="30-Jun-25"/>
    <x v="5"/>
    <n v="1250"/>
    <n v="588556"/>
    <s v="16-Sep-25"/>
    <n v="1250"/>
    <n v="1475"/>
    <n v="225"/>
    <n v="112023"/>
    <s v="16-Sep-25"/>
    <n v="0"/>
    <m/>
    <m/>
    <s v="T1BS6N"/>
    <s v="CVD"/>
    <s v="F"/>
  </r>
  <r>
    <n v="765"/>
    <s v="NORTH"/>
    <s v="UTTAR PRADESH"/>
    <n v="7134"/>
    <s v="M/S GOENKA AUTO PRIVATE LIMITED."/>
    <s v="VARANASI"/>
    <s v="28-Sep-24"/>
    <s v="24-Jun-25"/>
    <n v="1165"/>
    <n v="60000"/>
    <n v="6"/>
    <s v="S"/>
    <s v="T-1"/>
    <n v="787042"/>
    <s v="MC1E4EHA9SP013842"/>
    <s v="D71060493"/>
    <m/>
    <m/>
    <x v="5"/>
    <s v="30-Jun-25"/>
    <x v="5"/>
    <n v="0"/>
    <n v="588556"/>
    <s v="16-Sep-25"/>
    <n v="0"/>
    <n v="0"/>
    <n v="0"/>
    <n v="112023"/>
    <s v="16-Sep-25"/>
    <n v="0"/>
    <m/>
    <m/>
    <s v="T1BS6"/>
    <s v="CVD"/>
    <s v="P"/>
  </r>
  <r>
    <n v="766"/>
    <s v="NORTH"/>
    <s v="UTTAR PRADESH"/>
    <n v="7134"/>
    <s v="M/S GOENKA AUTO PRIVATE LIMITED."/>
    <s v="VARANASI"/>
    <s v="21-Aug-24"/>
    <s v="26-Jun-25"/>
    <n v="1165"/>
    <n v="70000"/>
    <n v="7"/>
    <s v="S"/>
    <s v="T-1"/>
    <n v="785726"/>
    <s v="MC1E4EGA5SP013466"/>
    <s v="D71058218"/>
    <m/>
    <m/>
    <x v="5"/>
    <s v="30-Jun-25"/>
    <x v="5"/>
    <n v="0"/>
    <n v="588556"/>
    <s v="16-Sep-25"/>
    <n v="0"/>
    <n v="0"/>
    <n v="0"/>
    <n v="112023"/>
    <s v="16-Sep-25"/>
    <n v="0"/>
    <m/>
    <m/>
    <s v="T1BS6"/>
    <s v="CVD"/>
    <s v="P"/>
  </r>
  <r>
    <n v="767"/>
    <s v="NORTH"/>
    <s v="UTTAR PRADESH"/>
    <n v="7134"/>
    <s v="M/S GOENKA AUTO PRIVATE LIMITED."/>
    <s v="VARANASI"/>
    <s v="18-Jan-25"/>
    <s v="09-Jun-25"/>
    <n v="1150"/>
    <n v="32500"/>
    <n v="4"/>
    <s v="S"/>
    <s v="T1N"/>
    <n v="5869"/>
    <s v="MC1M4ALAXSP002831"/>
    <s v="D71065996"/>
    <m/>
    <m/>
    <x v="5"/>
    <s v="30-Jun-25"/>
    <x v="5"/>
    <n v="0"/>
    <n v="588556"/>
    <s v="16-Sep-25"/>
    <n v="0"/>
    <n v="0"/>
    <n v="0"/>
    <n v="112023"/>
    <s v="16-Sep-25"/>
    <n v="0"/>
    <m/>
    <m/>
    <s v="URBN"/>
    <s v="CVD"/>
    <s v="P"/>
  </r>
  <r>
    <n v="768"/>
    <s v="NORTH"/>
    <s v="UTTAR PRADESH"/>
    <n v="7134"/>
    <s v="M/S GOENKA AUTO PRIVATE LIMITED."/>
    <s v="VARANASI"/>
    <s v="24-Apr-25"/>
    <s v="10-Jun-25"/>
    <n v="1150"/>
    <n v="6031"/>
    <n v="1"/>
    <s v="S"/>
    <s v="T-1"/>
    <n v="778136"/>
    <s v="MC1E5EBA9SP003267"/>
    <s v="D73001779"/>
    <m/>
    <m/>
    <x v="5"/>
    <s v="30-Jun-25"/>
    <x v="5"/>
    <n v="1250"/>
    <n v="588556"/>
    <s v="16-Sep-25"/>
    <n v="1250"/>
    <n v="1475"/>
    <n v="225"/>
    <n v="112023"/>
    <s v="16-Sep-25"/>
    <n v="0"/>
    <m/>
    <m/>
    <s v="T1CNGL"/>
    <s v="CVD"/>
    <s v="F"/>
  </r>
  <r>
    <n v="769"/>
    <s v="NORTH"/>
    <s v="UTTAR PRADESH"/>
    <n v="7134"/>
    <s v="M/S GOENKA AUTO PRIVATE LIMITED."/>
    <s v="VARANASI"/>
    <s v="29-Jun-24"/>
    <s v="23-Jun-25"/>
    <n v="1165"/>
    <n v="38654"/>
    <n v="4"/>
    <s v="S"/>
    <s v="T1N"/>
    <n v="3912"/>
    <s v="MC1M4AEAXRP001668"/>
    <s v="D71055604"/>
    <m/>
    <m/>
    <x v="5"/>
    <s v="30-Jun-25"/>
    <x v="5"/>
    <n v="0"/>
    <n v="588556"/>
    <s v="16-Sep-25"/>
    <n v="0"/>
    <n v="0"/>
    <n v="0"/>
    <n v="112023"/>
    <s v="16-Sep-25"/>
    <n v="0"/>
    <m/>
    <m/>
    <s v="URBN"/>
    <s v="CVD"/>
    <s v="P"/>
  </r>
  <r>
    <n v="770"/>
    <s v="NORTH"/>
    <s v="UTTAR PRADESH"/>
    <n v="7134"/>
    <s v="M/S GOENKA AUTO PRIVATE LIMITED."/>
    <s v="VARANASI"/>
    <s v="29-Apr-25"/>
    <s v="06-Jun-25"/>
    <n v="950"/>
    <n v="10978"/>
    <n v="1"/>
    <s v="S"/>
    <s v="T-1"/>
    <n v="795169"/>
    <s v="MC1E4CAA9SP083484"/>
    <s v="D71069434"/>
    <s v="001"/>
    <s v="SERV KMS  / HRS EXCEEDS"/>
    <x v="5"/>
    <s v="30-Jun-25"/>
    <x v="5"/>
    <n v="1250"/>
    <n v="588556"/>
    <s v="16-Sep-25"/>
    <n v="1000"/>
    <n v="1475"/>
    <n v="225"/>
    <n v="112023"/>
    <s v="16-Sep-25"/>
    <n v="250"/>
    <m/>
    <m/>
    <s v="T1BS6N"/>
    <s v="CVD"/>
    <s v="F"/>
  </r>
  <r>
    <n v="771"/>
    <s v="NORTH"/>
    <s v="UTTAR PRADESH"/>
    <n v="7134"/>
    <s v="M/S GOENKA AUTO PRIVATE LIMITED."/>
    <s v="VARANASI"/>
    <s v="26-Mar-25"/>
    <s v="04-Jun-25"/>
    <n v="902"/>
    <n v="8200"/>
    <n v="1"/>
    <s v="S"/>
    <s v="T-1"/>
    <n v="798566"/>
    <s v="MC1E4CBA9SP085346"/>
    <s v="D71072193"/>
    <m/>
    <m/>
    <x v="5"/>
    <s v="30-Jun-25"/>
    <x v="5"/>
    <n v="1250"/>
    <n v="588556"/>
    <s v="16-Sep-25"/>
    <n v="1250"/>
    <n v="1475"/>
    <n v="225"/>
    <n v="112023"/>
    <s v="16-Sep-25"/>
    <n v="0"/>
    <m/>
    <m/>
    <s v="T1BS6N"/>
    <s v="CVD"/>
    <s v="F"/>
  </r>
  <r>
    <n v="772"/>
    <s v="NORTH"/>
    <s v="UTTAR PRADESH"/>
    <n v="7134"/>
    <s v="M/S GOENKA AUTO PRIVATE LIMITED."/>
    <s v="VARANASI"/>
    <s v="28-Apr-25"/>
    <s v="10-Jun-25"/>
    <n v="1150"/>
    <n v="3810"/>
    <n v="1"/>
    <s v="S"/>
    <s v="T-1"/>
    <n v="778181"/>
    <s v="MC1E5EDA4SP003335"/>
    <s v="D73001808"/>
    <m/>
    <m/>
    <x v="5"/>
    <s v="30-Jun-25"/>
    <x v="5"/>
    <n v="1250"/>
    <n v="588556"/>
    <s v="16-Sep-25"/>
    <n v="1250"/>
    <n v="1475"/>
    <n v="225"/>
    <n v="112023"/>
    <s v="16-Sep-25"/>
    <n v="0"/>
    <m/>
    <m/>
    <s v="T1CNGL"/>
    <s v="CVD"/>
    <s v="F"/>
  </r>
  <r>
    <n v="773"/>
    <s v="NORTH"/>
    <s v="UTTAR PRADESH"/>
    <n v="7134"/>
    <s v="M/S GOENKA AUTO PRIVATE LIMITED."/>
    <s v="VARANASI"/>
    <s v="13-May-25"/>
    <s v="02-Jun-25"/>
    <n v="1165"/>
    <n v="8895"/>
    <n v="1"/>
    <s v="S"/>
    <s v="TRAX"/>
    <n v="326025"/>
    <s v="MC1D4DLA6SP106329"/>
    <s v="D72017803"/>
    <m/>
    <m/>
    <x v="5"/>
    <s v="30-Jun-25"/>
    <x v="5"/>
    <n v="1250"/>
    <n v="588556"/>
    <s v="16-Sep-25"/>
    <n v="1250"/>
    <n v="1475"/>
    <n v="225"/>
    <n v="112023"/>
    <s v="16-Sep-25"/>
    <n v="0"/>
    <m/>
    <m/>
    <s v="TRXBS6"/>
    <s v="CVD"/>
    <s v="F"/>
  </r>
  <r>
    <n v="774"/>
    <s v="NORTH"/>
    <s v="UTTAR PRADESH"/>
    <n v="7134"/>
    <s v="M/S GOENKA AUTO PRIVATE LIMITED."/>
    <s v="VARANASI"/>
    <s v="25-Mar-25"/>
    <s v="01-Jun-25"/>
    <n v="859"/>
    <n v="9617"/>
    <n v="1"/>
    <s v="S"/>
    <s v="T-1"/>
    <n v="795510"/>
    <s v="MC1E4CBA8SP085810"/>
    <s v="D71073147"/>
    <m/>
    <m/>
    <x v="5"/>
    <s v="30-Jun-25"/>
    <x v="5"/>
    <n v="1250"/>
    <n v="588556"/>
    <s v="16-Sep-25"/>
    <n v="1250"/>
    <n v="1475"/>
    <n v="225"/>
    <n v="112023"/>
    <s v="16-Sep-25"/>
    <n v="0"/>
    <m/>
    <m/>
    <s v="T1BS6N"/>
    <s v="CVD"/>
    <s v="F"/>
  </r>
  <r>
    <n v="775"/>
    <s v="NORTH"/>
    <s v="UTTAR PRADESH"/>
    <n v="7134"/>
    <s v="M/S GOENKA AUTO PRIVATE LIMITED."/>
    <s v="VARANASI"/>
    <s v="01-May-25"/>
    <s v="08-Jun-25"/>
    <n v="1150"/>
    <n v="4575"/>
    <n v="1"/>
    <s v="S"/>
    <s v="T-1"/>
    <n v="778388"/>
    <s v="MC1E5EDA9SP003332"/>
    <s v="D73001797"/>
    <m/>
    <m/>
    <x v="5"/>
    <s v="30-Jun-25"/>
    <x v="5"/>
    <n v="1250"/>
    <n v="588556"/>
    <s v="16-Sep-25"/>
    <n v="1250"/>
    <n v="1475"/>
    <n v="225"/>
    <n v="112023"/>
    <s v="16-Sep-25"/>
    <n v="0"/>
    <m/>
    <m/>
    <s v="T1CNGL"/>
    <s v="CVD"/>
    <s v="F"/>
  </r>
  <r>
    <n v="776"/>
    <s v="NORTH"/>
    <s v="UTTAR PRADESH"/>
    <n v="7134"/>
    <s v="M/S GOENKA AUTO PRIVATE LIMITED."/>
    <s v="VARANASI"/>
    <s v="22-Mar-25"/>
    <s v="09-Jun-25"/>
    <n v="1165"/>
    <n v="19400"/>
    <n v="2"/>
    <s v="S"/>
    <s v="T26"/>
    <n v="789361"/>
    <s v="MC1E4FCA3SP023022"/>
    <s v="D71075605"/>
    <m/>
    <m/>
    <x v="5"/>
    <s v="30-Jun-25"/>
    <x v="5"/>
    <n v="0"/>
    <n v="588556"/>
    <s v="16-Sep-25"/>
    <n v="0"/>
    <n v="0"/>
    <n v="0"/>
    <n v="112023"/>
    <s v="16-Sep-25"/>
    <n v="0"/>
    <m/>
    <m/>
    <s v="T26BS6"/>
    <s v="CVD"/>
    <s v="P"/>
  </r>
  <r>
    <n v="777"/>
    <s v="NORTH"/>
    <s v="UTTAR PRADESH"/>
    <n v="7134"/>
    <s v="M/S GOENKA AUTO PRIVATE LIMITED."/>
    <s v="VARANASI"/>
    <s v="31-Dec-24"/>
    <s v="18-Jun-25"/>
    <n v="1165"/>
    <n v="30000"/>
    <n v="3"/>
    <s v="S"/>
    <s v="T1N"/>
    <n v="5607"/>
    <s v="MC1M4ALA7SP002799"/>
    <s v="D71065600"/>
    <m/>
    <m/>
    <x v="5"/>
    <s v="30-Jun-25"/>
    <x v="5"/>
    <n v="1650"/>
    <n v="588556"/>
    <s v="16-Sep-25"/>
    <n v="1650"/>
    <n v="1947"/>
    <n v="297"/>
    <n v="112023"/>
    <s v="16-Sep-25"/>
    <n v="0"/>
    <m/>
    <m/>
    <s v="URBN"/>
    <s v="CVD"/>
    <s v="F"/>
  </r>
  <r>
    <n v="778"/>
    <s v="NORTH"/>
    <s v="UTTAR PRADESH"/>
    <n v="7134"/>
    <s v="M/S GOENKA AUTO PRIVATE LIMITED."/>
    <s v="VARANASI"/>
    <s v="16-Nov-23"/>
    <s v="27-Jun-25"/>
    <n v="1165"/>
    <n v="95410"/>
    <n v="10"/>
    <s v="S"/>
    <s v="T1N"/>
    <n v="2135"/>
    <s v="MC1M4ALA5RP000706"/>
    <s v="D71042291"/>
    <m/>
    <m/>
    <x v="5"/>
    <s v="30-Jun-25"/>
    <x v="5"/>
    <n v="0"/>
    <n v="588556"/>
    <s v="16-Sep-25"/>
    <n v="0"/>
    <n v="0"/>
    <n v="0"/>
    <n v="112023"/>
    <s v="16-Sep-25"/>
    <n v="0"/>
    <m/>
    <m/>
    <s v="URBN"/>
    <s v="CVD"/>
    <s v="P"/>
  </r>
  <r>
    <n v="779"/>
    <s v="NORTH"/>
    <s v="UTTAR PRADESH"/>
    <n v="7134"/>
    <s v="M/S GOENKA AUTO PRIVATE LIMITED."/>
    <s v="VARANASI"/>
    <s v="10-Jul-24"/>
    <s v="10-Jun-25"/>
    <n v="1165"/>
    <n v="70000"/>
    <n v="7"/>
    <s v="S"/>
    <s v="T-1"/>
    <n v="775225"/>
    <s v="MC1E4EFA6RP013102"/>
    <s v="D71055772"/>
    <m/>
    <m/>
    <x v="5"/>
    <s v="30-Jun-25"/>
    <x v="5"/>
    <n v="0"/>
    <n v="588556"/>
    <s v="16-Sep-25"/>
    <n v="0"/>
    <n v="0"/>
    <n v="0"/>
    <n v="112023"/>
    <s v="16-Sep-25"/>
    <n v="0"/>
    <m/>
    <m/>
    <s v="T1BS6"/>
    <s v="CVD"/>
    <s v="P"/>
  </r>
  <r>
    <n v="780"/>
    <s v="NORTH"/>
    <s v="UTTAR PRADESH"/>
    <n v="7134"/>
    <s v="M/S GOENKA AUTO PRIVATE LIMITED."/>
    <s v="VARANASI"/>
    <s v="10-Jul-24"/>
    <s v="29-Jun-25"/>
    <n v="1165"/>
    <n v="80000"/>
    <n v="8"/>
    <s v="S"/>
    <s v="T-1"/>
    <n v="775225"/>
    <s v="MC1E4EFA6RP013102"/>
    <s v="D71055772"/>
    <m/>
    <m/>
    <x v="5"/>
    <s v="30-Jun-25"/>
    <x v="5"/>
    <n v="1250"/>
    <n v="588556"/>
    <s v="16-Sep-25"/>
    <n v="1250"/>
    <n v="1475"/>
    <n v="225"/>
    <n v="112023"/>
    <s v="16-Sep-25"/>
    <n v="0"/>
    <m/>
    <m/>
    <s v="T1BS6"/>
    <s v="CVD"/>
    <s v="F"/>
  </r>
  <r>
    <n v="781"/>
    <s v="NORTH"/>
    <s v="UTTAR PRADESH"/>
    <n v="7134"/>
    <s v="M/S GOENKA AUTO PRIVATE LIMITED."/>
    <s v="VARANASI"/>
    <s v="17-Apr-25"/>
    <s v="22-Jun-25"/>
    <n v="1165"/>
    <n v="9707"/>
    <n v="1"/>
    <s v="S"/>
    <s v="T26"/>
    <n v="794423"/>
    <s v="MC1E4FCA0SP023169"/>
    <s v="D71076683"/>
    <m/>
    <m/>
    <x v="5"/>
    <s v="30-Jun-25"/>
    <x v="5"/>
    <n v="1250"/>
    <n v="588556"/>
    <s v="16-Sep-25"/>
    <n v="1250"/>
    <n v="1475"/>
    <n v="225"/>
    <n v="112023"/>
    <s v="16-Sep-25"/>
    <n v="0"/>
    <m/>
    <m/>
    <s v="T26BS6"/>
    <s v="CVD"/>
    <s v="F"/>
  </r>
  <r>
    <n v="782"/>
    <s v="NORTH"/>
    <s v="UTTAR PRADESH"/>
    <n v="7134"/>
    <s v="M/S GOENKA AUTO PRIVATE LIMITED."/>
    <s v="VARANASI"/>
    <s v="28-May-24"/>
    <s v="10-Jun-25"/>
    <n v="1165"/>
    <n v="80000"/>
    <n v="8"/>
    <s v="S"/>
    <s v="T26"/>
    <n v="776289"/>
    <s v="MC1E4FEA4RP020394"/>
    <s v="D71054669"/>
    <m/>
    <m/>
    <x v="5"/>
    <s v="30-Jun-25"/>
    <x v="5"/>
    <n v="1250"/>
    <n v="588556"/>
    <s v="16-Sep-25"/>
    <n v="1250"/>
    <n v="1475"/>
    <n v="225"/>
    <n v="112023"/>
    <s v="16-Sep-25"/>
    <n v="0"/>
    <m/>
    <m/>
    <s v="T26BS6"/>
    <s v="CVD"/>
    <s v="F"/>
  </r>
  <r>
    <n v="783"/>
    <s v="NORTH"/>
    <s v="UTTAR PRADESH"/>
    <n v="7134"/>
    <s v="M/S GOENKA AUTO PRIVATE LIMITED."/>
    <s v="VARANASI"/>
    <s v="10-May-24"/>
    <s v="08-Jun-25"/>
    <n v="1165"/>
    <n v="20680"/>
    <n v="3"/>
    <s v="S"/>
    <s v="T26"/>
    <n v="768517"/>
    <s v="MC1E4FCA8RP019655"/>
    <s v="D71049564"/>
    <m/>
    <m/>
    <x v="5"/>
    <s v="30-Jun-25"/>
    <x v="5"/>
    <n v="1250"/>
    <n v="588556"/>
    <s v="16-Sep-25"/>
    <n v="1250"/>
    <n v="1475"/>
    <n v="225"/>
    <n v="112023"/>
    <s v="16-Sep-25"/>
    <n v="0"/>
    <m/>
    <m/>
    <s v="T26BS6N"/>
    <s v="CVD"/>
    <s v="F"/>
  </r>
  <r>
    <n v="784"/>
    <s v="NORTH"/>
    <s v="UTTAR PRADESH"/>
    <n v="7134"/>
    <s v="M/S GOENKA AUTO PRIVATE LIMITED."/>
    <s v="VARANASI"/>
    <s v="20-Aug-24"/>
    <s v="05-Jun-25"/>
    <n v="1165"/>
    <n v="72600"/>
    <n v="7"/>
    <s v="S"/>
    <s v="TRAX"/>
    <n v="323056"/>
    <s v="MC1D4DFA3RP104799"/>
    <s v="D72015923"/>
    <s v="001"/>
    <s v="SERV KMS  / HRS EXCEEDS"/>
    <x v="5"/>
    <s v="30-Jun-25"/>
    <x v="5"/>
    <n v="0"/>
    <n v="588556"/>
    <s v="16-Sep-25"/>
    <n v="0"/>
    <n v="0"/>
    <n v="0"/>
    <n v="112023"/>
    <s v="16-Sep-25"/>
    <n v="0"/>
    <m/>
    <m/>
    <s v="TRXBS6"/>
    <s v="CVD"/>
    <s v="P"/>
  </r>
  <r>
    <n v="785"/>
    <s v="NORTH"/>
    <s v="UTTAR PRADESH"/>
    <n v="7134"/>
    <s v="M/S GOENKA AUTO PRIVATE LIMITED."/>
    <s v="VARANASI"/>
    <s v="12-Jul-24"/>
    <s v="15-Jun-25"/>
    <n v="1165"/>
    <n v="60000"/>
    <n v="6"/>
    <s v="S"/>
    <s v="T-1"/>
    <n v="774647"/>
    <s v="MC1E4EFA5RP013219"/>
    <s v="D71056637"/>
    <m/>
    <m/>
    <x v="5"/>
    <s v="30-Jun-25"/>
    <x v="5"/>
    <n v="0"/>
    <n v="588556"/>
    <s v="16-Sep-25"/>
    <n v="0"/>
    <n v="0"/>
    <n v="0"/>
    <n v="112023"/>
    <s v="16-Sep-25"/>
    <n v="0"/>
    <m/>
    <m/>
    <s v="T1BS6"/>
    <s v="CVD"/>
    <s v="P"/>
  </r>
  <r>
    <n v="786"/>
    <s v="NORTH"/>
    <s v="UTTAR PRADESH"/>
    <n v="7134"/>
    <s v="M/S GOENKA AUTO PRIVATE LIMITED."/>
    <s v="VARANASI"/>
    <s v="28-Aug-23"/>
    <s v="09-Jun-25"/>
    <n v="1165"/>
    <n v="79814"/>
    <n v="8"/>
    <s v="S"/>
    <s v="T1N"/>
    <n v="1300"/>
    <s v="MC1M4ADA0PP000303"/>
    <s v="D71030180"/>
    <m/>
    <m/>
    <x v="5"/>
    <s v="30-Jun-25"/>
    <x v="5"/>
    <n v="0"/>
    <n v="588556"/>
    <s v="16-Sep-25"/>
    <n v="0"/>
    <n v="0"/>
    <n v="0"/>
    <n v="112023"/>
    <s v="16-Sep-25"/>
    <n v="0"/>
    <m/>
    <m/>
    <s v="URBN"/>
    <s v="CVD"/>
    <s v="P"/>
  </r>
  <r>
    <n v="787"/>
    <s v="NORTH"/>
    <s v="UTTAR PRADESH"/>
    <n v="7134"/>
    <s v="M/S GOENKA AUTO PRIVATE LIMITED."/>
    <s v="VARANASI"/>
    <s v="09-Apr-25"/>
    <s v="23-Jun-25"/>
    <n v="1165"/>
    <n v="7600"/>
    <n v="1"/>
    <s v="S"/>
    <s v="T-1"/>
    <n v="801227"/>
    <s v="MC1E4ECA2SP015763"/>
    <s v="D71076632"/>
    <m/>
    <m/>
    <x v="5"/>
    <s v="30-Jun-25"/>
    <x v="5"/>
    <n v="1250"/>
    <n v="588556"/>
    <s v="16-Sep-25"/>
    <n v="1250"/>
    <n v="1475"/>
    <n v="225"/>
    <n v="112023"/>
    <s v="16-Sep-25"/>
    <n v="0"/>
    <m/>
    <m/>
    <s v="T1BS6"/>
    <s v="CVD"/>
    <s v="F"/>
  </r>
  <r>
    <n v="788"/>
    <s v="NORTH"/>
    <s v="UTTAR PRADESH"/>
    <n v="7134"/>
    <s v="M/S GOENKA AUTO PRIVATE LIMITED."/>
    <s v="VARANASI"/>
    <s v="08-Jul-24"/>
    <s v="29-Jun-25"/>
    <n v="1165"/>
    <n v="70000"/>
    <n v="7"/>
    <s v="S"/>
    <s v="T-1"/>
    <n v="773703"/>
    <s v="MC1E4EFA0RP013158"/>
    <s v="D71056321"/>
    <m/>
    <m/>
    <x v="5"/>
    <s v="30-Jun-25"/>
    <x v="5"/>
    <n v="0"/>
    <n v="588556"/>
    <s v="16-Sep-25"/>
    <n v="0"/>
    <n v="0"/>
    <n v="0"/>
    <n v="112023"/>
    <s v="16-Sep-25"/>
    <n v="0"/>
    <m/>
    <m/>
    <s v="T1BS6"/>
    <s v="CVD"/>
    <s v="P"/>
  </r>
  <r>
    <n v="789"/>
    <s v="NORTH"/>
    <s v="UTTAR PRADESH"/>
    <n v="7134"/>
    <s v="M/S GOENKA AUTO PRIVATE LIMITED."/>
    <s v="VARANASI"/>
    <s v="26-Mar-25"/>
    <s v="26-Jun-25"/>
    <n v="920"/>
    <n v="27522"/>
    <n v="2"/>
    <s v="S"/>
    <s v="T-1"/>
    <n v="797967"/>
    <s v="MC1E4CBA7SP086057"/>
    <s v="D71073648"/>
    <m/>
    <m/>
    <x v="5"/>
    <s v="30-Jun-25"/>
    <x v="5"/>
    <n v="1250"/>
    <n v="588556"/>
    <s v="16-Sep-25"/>
    <n v="1250"/>
    <n v="1475"/>
    <n v="225"/>
    <n v="112023"/>
    <s v="16-Sep-25"/>
    <n v="0"/>
    <m/>
    <m/>
    <s v="T1BS6N"/>
    <s v="CVD"/>
    <s v="F"/>
  </r>
  <r>
    <n v="790"/>
    <s v="NORTH"/>
    <s v="UTTAR PRADESH"/>
    <n v="7134"/>
    <s v="M/S GOENKA AUTO PRIVATE LIMITED."/>
    <s v="VARANASI"/>
    <s v="27-Mar-25"/>
    <s v="01-Jun-25"/>
    <n v="876"/>
    <n v="9528"/>
    <n v="1"/>
    <s v="S"/>
    <s v="T-1"/>
    <n v="797864"/>
    <s v="MC1E4CAA1SP084550"/>
    <s v="D71069498"/>
    <m/>
    <m/>
    <x v="5"/>
    <s v="30-Jun-25"/>
    <x v="5"/>
    <n v="1250"/>
    <n v="588556"/>
    <s v="16-Sep-25"/>
    <n v="1250"/>
    <n v="1475"/>
    <n v="225"/>
    <n v="112023"/>
    <s v="16-Sep-25"/>
    <n v="0"/>
    <m/>
    <m/>
    <s v="T1BS6N"/>
    <s v="CVD"/>
    <s v="F"/>
  </r>
  <r>
    <n v="791"/>
    <s v="NORTH"/>
    <s v="UTTAR PRADESH"/>
    <n v="7134"/>
    <s v="M/S GOENKA AUTO PRIVATE LIMITED."/>
    <s v="VARANASI"/>
    <s v="25-Mar-25"/>
    <s v="01-Jun-25"/>
    <n v="899"/>
    <n v="9210"/>
    <n v="1"/>
    <s v="S"/>
    <s v="T-1"/>
    <n v="795524"/>
    <s v="MC1E4CBA6SP085580"/>
    <s v="D71072678"/>
    <m/>
    <m/>
    <x v="5"/>
    <s v="30-Jun-25"/>
    <x v="5"/>
    <n v="1250"/>
    <n v="588556"/>
    <s v="16-Sep-25"/>
    <n v="1250"/>
    <n v="1475"/>
    <n v="225"/>
    <n v="112023"/>
    <s v="16-Sep-25"/>
    <n v="0"/>
    <m/>
    <m/>
    <s v="T1BS6N"/>
    <s v="CVD"/>
    <s v="F"/>
  </r>
  <r>
    <n v="792"/>
    <s v="NORTH"/>
    <s v="UTTAR PRADESH"/>
    <n v="7134"/>
    <s v="M/S GOENKA AUTO PRIVATE LIMITED."/>
    <s v="VARANASI"/>
    <s v="28-Feb-24"/>
    <s v="13-Jun-25"/>
    <n v="1165"/>
    <n v="98302"/>
    <n v="9"/>
    <s v="S"/>
    <s v="T26"/>
    <n v="767284"/>
    <s v="MC1E4FAA5RP019177"/>
    <s v="D71046539"/>
    <s v="001"/>
    <s v="SERV KMS  / HRS EXCEEDS"/>
    <x v="5"/>
    <s v="30-Jun-25"/>
    <x v="5"/>
    <n v="0"/>
    <n v="588556"/>
    <s v="16-Sep-25"/>
    <n v="0"/>
    <n v="0"/>
    <n v="0"/>
    <n v="112023"/>
    <s v="16-Sep-25"/>
    <n v="0"/>
    <m/>
    <m/>
    <s v="T26BS6"/>
    <s v="CVD"/>
    <s v="P"/>
  </r>
  <r>
    <n v="793"/>
    <s v="NORTH"/>
    <s v="UTTAR PRADESH"/>
    <n v="7134"/>
    <s v="M/S GOENKA AUTO PRIVATE LIMITED."/>
    <s v="VARANASI"/>
    <s v="26-Mar-25"/>
    <s v="01-Jun-25"/>
    <n v="877"/>
    <n v="10451"/>
    <n v="1"/>
    <s v="S"/>
    <s v="T-1"/>
    <n v="797670"/>
    <s v="MC1E4CAA6SP084771"/>
    <s v="D71069789"/>
    <m/>
    <m/>
    <x v="5"/>
    <s v="30-Jun-25"/>
    <x v="5"/>
    <n v="1250"/>
    <n v="588556"/>
    <s v="16-Sep-25"/>
    <n v="1250"/>
    <n v="1475"/>
    <n v="225"/>
    <n v="112023"/>
    <s v="16-Sep-25"/>
    <n v="0"/>
    <m/>
    <m/>
    <s v="T1BS6N"/>
    <s v="CVD"/>
    <s v="F"/>
  </r>
  <r>
    <n v="794"/>
    <s v="NORTH"/>
    <s v="UTTAR PRADESH"/>
    <n v="7134"/>
    <s v="M/S GOENKA AUTO PRIVATE LIMITED."/>
    <s v="VARANASI"/>
    <s v="30-Oct-24"/>
    <s v="15-Jun-25"/>
    <n v="1165"/>
    <n v="11358"/>
    <n v="4"/>
    <s v="S"/>
    <s v="T-1"/>
    <n v="787131"/>
    <s v="MC1E1CHA1SP007899"/>
    <s v="D71060480"/>
    <m/>
    <m/>
    <x v="5"/>
    <s v="30-Jun-25"/>
    <x v="5"/>
    <n v="0"/>
    <n v="588556"/>
    <s v="16-Sep-25"/>
    <n v="0"/>
    <n v="0"/>
    <n v="0"/>
    <n v="112023"/>
    <s v="16-Sep-25"/>
    <n v="0"/>
    <m/>
    <m/>
    <s v="T1BS6"/>
    <s v="CVD"/>
    <s v="P"/>
  </r>
  <r>
    <n v="795"/>
    <s v="NORTH"/>
    <s v="UTTAR PRADESH"/>
    <n v="7134"/>
    <s v="M/S GOENKA AUTO PRIVATE LIMITED."/>
    <s v="VARANASI"/>
    <s v="24-Mar-25"/>
    <s v="10-Jun-25"/>
    <n v="1165"/>
    <n v="4258"/>
    <n v="1"/>
    <s v="S"/>
    <s v="T26"/>
    <n v="794595"/>
    <s v="MC1E4FCA6SP023063"/>
    <s v="D71075908"/>
    <s v="002"/>
    <s v="SERV DATE EXCEEDS"/>
    <x v="5"/>
    <s v="30-Jun-25"/>
    <x v="5"/>
    <n v="1250"/>
    <n v="588556"/>
    <s v="16-Sep-25"/>
    <n v="1000"/>
    <n v="1475"/>
    <n v="225"/>
    <n v="112023"/>
    <s v="16-Sep-25"/>
    <n v="250"/>
    <m/>
    <m/>
    <s v="T26BS6"/>
    <s v="CVD"/>
    <s v="F"/>
  </r>
  <r>
    <n v="796"/>
    <s v="NORTH"/>
    <s v="UTTAR PRADESH"/>
    <n v="7134"/>
    <s v="M/S GOENKA AUTO PRIVATE LIMITED."/>
    <s v="VARANASI"/>
    <s v="21-Oct-24"/>
    <s v="03-Jun-25"/>
    <n v="1165"/>
    <n v="40000"/>
    <n v="4"/>
    <s v="S"/>
    <s v="TRAX"/>
    <n v="324355"/>
    <s v="MC1D4DJA7SP105502"/>
    <s v="D72016937"/>
    <m/>
    <m/>
    <x v="5"/>
    <s v="30-Jun-25"/>
    <x v="5"/>
    <n v="0"/>
    <n v="588556"/>
    <s v="16-Sep-25"/>
    <n v="0"/>
    <n v="0"/>
    <n v="0"/>
    <n v="112023"/>
    <s v="16-Sep-25"/>
    <n v="0"/>
    <m/>
    <m/>
    <s v="TRXBS6"/>
    <s v="CVD"/>
    <s v="P"/>
  </r>
  <r>
    <n v="797"/>
    <s v="NORTH"/>
    <s v="UTTAR PRADESH"/>
    <n v="7134"/>
    <s v="M/S GOENKA AUTO PRIVATE LIMITED."/>
    <s v="VARANASI"/>
    <s v="02-Jul-24"/>
    <s v="16-Jun-25"/>
    <n v="1165"/>
    <n v="59000"/>
    <n v="6"/>
    <s v="S"/>
    <s v="T-1"/>
    <n v="775223"/>
    <s v="MC1E4EFA7RP013092"/>
    <s v="D71055951"/>
    <m/>
    <m/>
    <x v="5"/>
    <s v="30-Jun-25"/>
    <x v="5"/>
    <n v="0"/>
    <n v="588556"/>
    <s v="16-Sep-25"/>
    <n v="0"/>
    <n v="0"/>
    <n v="0"/>
    <n v="112023"/>
    <s v="16-Sep-25"/>
    <n v="0"/>
    <m/>
    <m/>
    <s v="T1BS6"/>
    <s v="CVD"/>
    <s v="P"/>
  </r>
  <r>
    <n v="798"/>
    <s v="NORTH"/>
    <s v="UTTAR PRADESH"/>
    <n v="7134"/>
    <s v="M/S GOENKA AUTO PRIVATE LIMITED."/>
    <s v="VARANASI"/>
    <s v="30-Mar-25"/>
    <s v="08-Jun-25"/>
    <n v="1165"/>
    <n v="3462"/>
    <n v="1"/>
    <s v="S"/>
    <s v="TRAX"/>
    <n v="327606"/>
    <s v="MC1D4DBA3SP107505"/>
    <s v="D72019127"/>
    <m/>
    <m/>
    <x v="5"/>
    <s v="30-Jun-25"/>
    <x v="5"/>
    <n v="1250"/>
    <n v="588556"/>
    <s v="16-Sep-25"/>
    <n v="1250"/>
    <n v="1475"/>
    <n v="225"/>
    <n v="112023"/>
    <s v="16-Sep-25"/>
    <n v="0"/>
    <m/>
    <m/>
    <s v="TRXBS6"/>
    <s v="CVD"/>
    <s v="F"/>
  </r>
  <r>
    <n v="799"/>
    <s v="NORTH"/>
    <s v="UTTAR PRADESH"/>
    <n v="7134"/>
    <s v="M/S GOENKA AUTO PRIVATE LIMITED."/>
    <s v="VARANASI"/>
    <s v="29-Mar-25"/>
    <s v="10-Jun-25"/>
    <n v="1165"/>
    <n v="4350"/>
    <n v="1"/>
    <s v="S"/>
    <s v="T26"/>
    <n v="789024"/>
    <s v="MC1E4FCA4SP023093"/>
    <s v="D71076443"/>
    <m/>
    <m/>
    <x v="5"/>
    <s v="30-Jun-25"/>
    <x v="5"/>
    <n v="1250"/>
    <n v="588556"/>
    <s v="16-Sep-25"/>
    <n v="1250"/>
    <n v="1475"/>
    <n v="225"/>
    <n v="112023"/>
    <s v="16-Sep-25"/>
    <n v="0"/>
    <m/>
    <m/>
    <s v="T26BS6"/>
    <s v="CVD"/>
    <s v="F"/>
  </r>
  <r>
    <n v="800"/>
    <s v="NORTH"/>
    <s v="UTTAR PRADESH"/>
    <n v="7134"/>
    <s v="M/S GOENKA AUTO PRIVATE LIMITED."/>
    <s v="VARANASI"/>
    <s v="02-Aug-24"/>
    <s v="01-Jun-25"/>
    <n v="890"/>
    <n v="39529"/>
    <n v="5"/>
    <s v="S"/>
    <s v="T-1"/>
    <n v="775800"/>
    <s v="MC1E4EDA9RP012853"/>
    <s v="D71053859"/>
    <m/>
    <m/>
    <x v="5"/>
    <s v="30-Jun-25"/>
    <x v="5"/>
    <n v="1250"/>
    <n v="588556"/>
    <s v="16-Sep-25"/>
    <n v="1250"/>
    <n v="1475"/>
    <n v="225"/>
    <n v="112023"/>
    <s v="16-Sep-25"/>
    <n v="0"/>
    <m/>
    <m/>
    <s v="T1BS6"/>
    <s v="CVD"/>
    <s v="F"/>
  </r>
  <r>
    <n v="801"/>
    <s v="NORTH"/>
    <s v="UTTAR PRADESH"/>
    <n v="7134"/>
    <s v="M/S GOENKA AUTO PRIVATE LIMITED."/>
    <s v="VARANASI"/>
    <s v="25-Feb-25"/>
    <s v="17-Jun-25"/>
    <n v="1165"/>
    <n v="7201"/>
    <n v="1"/>
    <s v="S"/>
    <s v="T-1"/>
    <n v="798560"/>
    <s v="MC1E4CAA6SP083362"/>
    <s v="D71069118"/>
    <m/>
    <m/>
    <x v="5"/>
    <s v="30-Jun-25"/>
    <x v="5"/>
    <n v="1250"/>
    <n v="588556"/>
    <s v="16-Sep-25"/>
    <n v="1250"/>
    <n v="1475"/>
    <n v="225"/>
    <n v="112023"/>
    <s v="16-Sep-25"/>
    <n v="0"/>
    <m/>
    <m/>
    <s v="T1BS6N"/>
    <s v="CVD"/>
    <s v="F"/>
  </r>
  <r>
    <n v="802"/>
    <s v="NORTH"/>
    <s v="UTTAR PRADESH"/>
    <n v="7134"/>
    <s v="M/S GOENKA AUTO PRIVATE LIMITED."/>
    <s v="VARANASI"/>
    <s v="27-Feb-25"/>
    <s v="11-Jun-25"/>
    <n v="1165"/>
    <n v="13874"/>
    <n v="2"/>
    <s v="S"/>
    <s v="T-1"/>
    <n v="785025"/>
    <s v="MC1E4EBA2SP015313"/>
    <s v="D71072545"/>
    <m/>
    <m/>
    <x v="5"/>
    <s v="30-Jun-25"/>
    <x v="5"/>
    <n v="0"/>
    <n v="588556"/>
    <s v="16-Sep-25"/>
    <n v="0"/>
    <n v="0"/>
    <n v="0"/>
    <n v="112023"/>
    <s v="16-Sep-25"/>
    <n v="0"/>
    <m/>
    <m/>
    <s v="T1BS6"/>
    <s v="CVD"/>
    <s v="P"/>
  </r>
  <r>
    <n v="803"/>
    <s v="NORTH"/>
    <s v="UTTAR PRADESH"/>
    <n v="7134"/>
    <s v="M/S GOENKA AUTO PRIVATE LIMITED."/>
    <s v="VARANASI"/>
    <s v="24-Aug-24"/>
    <s v="15-Jun-25"/>
    <n v="1165"/>
    <n v="80000"/>
    <n v="8"/>
    <s v="S"/>
    <s v="TRAX"/>
    <n v="322564"/>
    <s v="MC1D4DHA2SP105199"/>
    <s v="D72016528"/>
    <m/>
    <m/>
    <x v="5"/>
    <s v="30-Jun-25"/>
    <x v="5"/>
    <n v="1250"/>
    <n v="588556"/>
    <s v="16-Sep-25"/>
    <n v="1250"/>
    <n v="1475"/>
    <n v="225"/>
    <n v="112023"/>
    <s v="16-Sep-25"/>
    <n v="0"/>
    <m/>
    <m/>
    <s v="TRXBS6"/>
    <s v="CVD"/>
    <s v="F"/>
  </r>
  <r>
    <n v="804"/>
    <s v="NORTH"/>
    <s v="UTTAR PRADESH"/>
    <n v="7134"/>
    <s v="M/S GOENKA AUTO PRIVATE LIMITED."/>
    <s v="VARANASI"/>
    <s v="16-Apr-24"/>
    <s v="30-Jun-25"/>
    <n v="1165"/>
    <n v="90000"/>
    <n v="9"/>
    <s v="S"/>
    <s v="T-1"/>
    <n v="773203"/>
    <s v="MC1E4EDAXRP012537"/>
    <s v="D71052049"/>
    <m/>
    <m/>
    <x v="5"/>
    <s v="30-Jun-25"/>
    <x v="5"/>
    <n v="0"/>
    <n v="588556"/>
    <s v="16-Sep-25"/>
    <n v="0"/>
    <n v="0"/>
    <n v="0"/>
    <n v="112023"/>
    <s v="16-Sep-25"/>
    <n v="0"/>
    <m/>
    <m/>
    <s v="T1BS6"/>
    <s v="CVD"/>
    <s v="P"/>
  </r>
  <r>
    <n v="805"/>
    <s v="NORTH"/>
    <s v="UTTAR PRADESH"/>
    <n v="7134"/>
    <s v="M/S GOENKA AUTO PRIVATE LIMITED."/>
    <s v="VARANASI"/>
    <s v="25-Mar-25"/>
    <s v="22-Jun-25"/>
    <n v="1165"/>
    <n v="2261"/>
    <n v="1"/>
    <s v="S"/>
    <s v="TRAX"/>
    <n v="327825"/>
    <s v="MC1D4DAA4SP107109"/>
    <s v="D72018744"/>
    <s v="002"/>
    <s v="SERV DATE EXCEEDS"/>
    <x v="5"/>
    <s v="30-Jun-25"/>
    <x v="5"/>
    <n v="1250"/>
    <n v="588556"/>
    <s v="16-Sep-25"/>
    <n v="1000"/>
    <n v="1475"/>
    <n v="225"/>
    <n v="112023"/>
    <s v="16-Sep-25"/>
    <n v="250"/>
    <m/>
    <m/>
    <s v="TRXBS6"/>
    <s v="CVD"/>
    <s v="F"/>
  </r>
  <r>
    <n v="806"/>
    <s v="NORTH"/>
    <s v="UTTAR PRADESH"/>
    <n v="7134"/>
    <s v="M/S GOENKA AUTO PRIVATE LIMITED."/>
    <s v="VARANASI"/>
    <s v="27-Jul-24"/>
    <s v="04-Jun-25"/>
    <n v="1165"/>
    <n v="47950"/>
    <n v="5"/>
    <s v="S"/>
    <s v="T-1"/>
    <n v="774650"/>
    <s v="MC1E4EFA2RP013193"/>
    <s v="D71056618"/>
    <m/>
    <m/>
    <x v="5"/>
    <s v="30-Jun-25"/>
    <x v="5"/>
    <n v="1250"/>
    <n v="588556"/>
    <s v="16-Sep-25"/>
    <n v="1250"/>
    <n v="1475"/>
    <n v="225"/>
    <n v="112023"/>
    <s v="16-Sep-25"/>
    <n v="0"/>
    <m/>
    <m/>
    <s v="T1BS6"/>
    <s v="CVD"/>
    <s v="F"/>
  </r>
  <r>
    <n v="807"/>
    <s v="NORTH"/>
    <s v="UTTAR PRADESH"/>
    <n v="7134"/>
    <s v="M/S GOENKA AUTO PRIVATE LIMITED."/>
    <s v="VARANASI"/>
    <s v="25-Jan-24"/>
    <s v="02-Jun-25"/>
    <n v="1165"/>
    <n v="130219"/>
    <n v="13"/>
    <s v="S"/>
    <s v="TRAX"/>
    <n v="320346"/>
    <s v="MC1D4DMAXRP102762"/>
    <s v="D72013178"/>
    <m/>
    <m/>
    <x v="5"/>
    <s v="30-Jun-25"/>
    <x v="5"/>
    <n v="0"/>
    <n v="588556"/>
    <s v="16-Sep-25"/>
    <n v="0"/>
    <n v="0"/>
    <n v="0"/>
    <n v="112023"/>
    <s v="16-Sep-25"/>
    <n v="0"/>
    <m/>
    <m/>
    <s v="TRXBS6"/>
    <s v="CVD"/>
    <s v="P"/>
  </r>
  <r>
    <n v="808"/>
    <s v="NORTH"/>
    <s v="UTTAR PRADESH"/>
    <n v="7134"/>
    <s v="M/S GOENKA AUTO PRIVATE LIMITED."/>
    <s v="VARANASI"/>
    <s v="16-Oct-24"/>
    <s v="19-Jun-25"/>
    <n v="1165"/>
    <n v="60000"/>
    <n v="6"/>
    <s v="S"/>
    <s v="TRAX"/>
    <n v="324809"/>
    <s v="MC1D4DHA2SP105462"/>
    <s v="D72016887"/>
    <m/>
    <m/>
    <x v="5"/>
    <s v="30-Jun-25"/>
    <x v="5"/>
    <n v="0"/>
    <n v="588556"/>
    <s v="16-Sep-25"/>
    <n v="0"/>
    <n v="0"/>
    <n v="0"/>
    <n v="112023"/>
    <s v="16-Sep-25"/>
    <n v="0"/>
    <m/>
    <m/>
    <s v="TRXBS6"/>
    <s v="CVD"/>
    <s v="P"/>
  </r>
  <r>
    <n v="809"/>
    <s v="NORTH"/>
    <s v="UTTAR PRADESH"/>
    <n v="7134"/>
    <s v="M/S GOENKA AUTO PRIVATE LIMITED."/>
    <s v="VARANASI"/>
    <s v="24-Apr-24"/>
    <s v="06-Jul-25"/>
    <n v="1165"/>
    <n v="93865"/>
    <n v="9"/>
    <s v="S"/>
    <s v="TRAX"/>
    <n v="322476"/>
    <s v="MC1D4DBA6RP103555"/>
    <s v="D72014275"/>
    <s v="001"/>
    <s v="SERV KMS  / HRS EXCEEDS"/>
    <x v="6"/>
    <s v="31-Jul-25"/>
    <x v="0"/>
    <n v="0"/>
    <n v="588732"/>
    <s v="28-Oct-25"/>
    <n v="0"/>
    <n v="0"/>
    <n v="0"/>
    <n v="112199"/>
    <s v="28-Oct-25"/>
    <n v="0"/>
    <m/>
    <m/>
    <s v="TRXBS6"/>
    <s v="CVD"/>
    <s v="P"/>
  </r>
  <r>
    <n v="810"/>
    <s v="NORTH"/>
    <s v="UTTAR PRADESH"/>
    <n v="7134"/>
    <s v="M/S GOENKA AUTO PRIVATE LIMITED."/>
    <s v="VARANASI"/>
    <s v="21-Mar-24"/>
    <s v="30-Jun-25"/>
    <n v="1165"/>
    <n v="100000"/>
    <n v="10"/>
    <s v="S"/>
    <s v="T-1"/>
    <n v="765716"/>
    <s v="MC1E4ECA5RP012138"/>
    <s v="D71050140"/>
    <m/>
    <m/>
    <x v="6"/>
    <s v="31-Jul-25"/>
    <x v="0"/>
    <n v="0"/>
    <n v="588732"/>
    <s v="28-Oct-25"/>
    <n v="0"/>
    <n v="0"/>
    <n v="0"/>
    <n v="112199"/>
    <s v="28-Oct-25"/>
    <n v="0"/>
    <m/>
    <m/>
    <s v="T1BS6"/>
    <s v="CVD"/>
    <s v="P"/>
  </r>
  <r>
    <n v="811"/>
    <s v="NORTH"/>
    <s v="UTTAR PRADESH"/>
    <n v="7134"/>
    <s v="M/S GOENKA AUTO PRIVATE LIMITED."/>
    <s v="VARANASI"/>
    <s v="07-May-24"/>
    <s v="22-Jun-25"/>
    <n v="1165"/>
    <n v="22817"/>
    <n v="3"/>
    <s v="S"/>
    <s v="T-1"/>
    <n v="771277"/>
    <s v="MC1E4DCA4RP051524"/>
    <s v="D71049327"/>
    <m/>
    <m/>
    <x v="6"/>
    <s v="31-Jul-25"/>
    <x v="0"/>
    <n v="1250"/>
    <n v="588732"/>
    <s v="28-Oct-25"/>
    <n v="1250"/>
    <n v="1475"/>
    <n v="225"/>
    <n v="112199"/>
    <s v="28-Oct-25"/>
    <n v="0"/>
    <m/>
    <m/>
    <s v="T1BS6N"/>
    <s v="CVD"/>
    <s v="F"/>
  </r>
  <r>
    <n v="812"/>
    <s v="NORTH"/>
    <s v="UTTAR PRADESH"/>
    <n v="7134"/>
    <s v="M/S GOENKA AUTO PRIVATE LIMITED."/>
    <s v="VARANASI"/>
    <s v="23-Aug-23"/>
    <s v="22-Jun-25"/>
    <n v="1165"/>
    <n v="31856"/>
    <n v="11"/>
    <s v="S"/>
    <s v="T-1"/>
    <n v="752345"/>
    <s v="MC1E4DHA8RP047484"/>
    <s v="D71036644"/>
    <m/>
    <m/>
    <x v="6"/>
    <s v="31-Jul-25"/>
    <x v="0"/>
    <n v="1250"/>
    <n v="588732"/>
    <s v="28-Oct-25"/>
    <n v="1250"/>
    <n v="1475"/>
    <n v="225"/>
    <n v="112199"/>
    <s v="28-Oct-25"/>
    <n v="0"/>
    <m/>
    <m/>
    <s v="T1BS6"/>
    <s v="CVD"/>
    <s v="F"/>
  </r>
  <r>
    <n v="813"/>
    <s v="NORTH"/>
    <s v="UTTAR PRADESH"/>
    <n v="7134"/>
    <s v="M/S GOENKA AUTO PRIVATE LIMITED."/>
    <s v="VARANASI"/>
    <s v="30-Jul-24"/>
    <s v="14-Jul-25"/>
    <n v="1165"/>
    <n v="48284"/>
    <n v="3"/>
    <s v="S"/>
    <s v="T-1"/>
    <n v="781804"/>
    <s v="MC1E4DGA6SP053629"/>
    <s v="D71058038"/>
    <m/>
    <m/>
    <x v="6"/>
    <s v="31-Jul-25"/>
    <x v="0"/>
    <n v="1250"/>
    <n v="588732"/>
    <s v="28-Oct-25"/>
    <n v="1250"/>
    <n v="1475"/>
    <n v="225"/>
    <n v="112199"/>
    <s v="28-Oct-25"/>
    <n v="0"/>
    <m/>
    <m/>
    <s v="T1BS6N"/>
    <s v="CVD"/>
    <s v="F"/>
  </r>
  <r>
    <n v="814"/>
    <s v="NORTH"/>
    <s v="UTTAR PRADESH"/>
    <n v="7134"/>
    <s v="M/S GOENKA AUTO PRIVATE LIMITED."/>
    <s v="VARANASI"/>
    <s v="18-Nov-24"/>
    <s v="21-Jul-25"/>
    <n v="1165"/>
    <n v="39500"/>
    <n v="4"/>
    <s v="S"/>
    <s v="T26"/>
    <n v="789619"/>
    <s v="MC1E4FJA2SP021586"/>
    <s v="D71062197"/>
    <m/>
    <m/>
    <x v="6"/>
    <s v="31-Jul-25"/>
    <x v="0"/>
    <n v="0"/>
    <n v="588732"/>
    <s v="28-Oct-25"/>
    <n v="0"/>
    <n v="0"/>
    <n v="0"/>
    <n v="112199"/>
    <s v="28-Oct-25"/>
    <n v="0"/>
    <m/>
    <m/>
    <s v="T26BS6"/>
    <s v="CVD"/>
    <s v="P"/>
  </r>
  <r>
    <n v="815"/>
    <s v="NORTH"/>
    <s v="UTTAR PRADESH"/>
    <n v="7134"/>
    <s v="M/S GOENKA AUTO PRIVATE LIMITED."/>
    <s v="VARANASI"/>
    <s v="21-Sep-24"/>
    <s v="16-Jul-25"/>
    <n v="1165"/>
    <n v="70367"/>
    <n v="7"/>
    <s v="S"/>
    <s v="T-1"/>
    <n v="786320"/>
    <s v="MC1E4EHA1SP013740"/>
    <s v="D71060115"/>
    <m/>
    <m/>
    <x v="6"/>
    <s v="31-Jul-25"/>
    <x v="0"/>
    <n v="0"/>
    <n v="588732"/>
    <s v="28-Oct-25"/>
    <n v="0"/>
    <n v="0"/>
    <n v="0"/>
    <n v="112199"/>
    <s v="28-Oct-25"/>
    <n v="0"/>
    <m/>
    <m/>
    <s v="T1BS6"/>
    <s v="CVD"/>
    <s v="P"/>
  </r>
  <r>
    <n v="816"/>
    <s v="NORTH"/>
    <s v="UTTAR PRADESH"/>
    <n v="7134"/>
    <s v="M/S GOENKA AUTO PRIVATE LIMITED."/>
    <s v="VARANASI"/>
    <s v="05-Jul-24"/>
    <s v="16-Jul-25"/>
    <n v="116"/>
    <n v="90000"/>
    <n v="9"/>
    <s v="S"/>
    <s v="T26"/>
    <n v="1"/>
    <s v="MC1E4FEA6RP020333"/>
    <s v="D71054105"/>
    <m/>
    <m/>
    <x v="6"/>
    <s v="31-Jul-25"/>
    <x v="0"/>
    <n v="0"/>
    <n v="588732"/>
    <s v="28-Oct-25"/>
    <n v="0"/>
    <n v="0"/>
    <n v="0"/>
    <n v="112199"/>
    <s v="28-Oct-25"/>
    <n v="0"/>
    <m/>
    <m/>
    <s v="T26BS6"/>
    <s v="CVD"/>
    <s v="P"/>
  </r>
  <r>
    <n v="817"/>
    <s v="NORTH"/>
    <s v="UTTAR PRADESH"/>
    <n v="7134"/>
    <s v="M/S GOENKA AUTO PRIVATE LIMITED."/>
    <s v="VARANASI"/>
    <s v="10-Apr-25"/>
    <s v="07-Jul-25"/>
    <n v="1152"/>
    <n v="9890"/>
    <n v="1"/>
    <s v="S"/>
    <s v="T-1"/>
    <n v="800848"/>
    <s v="MC1E4ECA1SP015608"/>
    <s v="D71075838"/>
    <s v="002"/>
    <s v="SERV DATE EXCEEDS"/>
    <x v="6"/>
    <s v="31-Jul-25"/>
    <x v="0"/>
    <n v="1250"/>
    <n v="588732"/>
    <s v="28-Oct-25"/>
    <n v="1000"/>
    <n v="1475"/>
    <n v="225"/>
    <n v="112199"/>
    <s v="28-Oct-25"/>
    <n v="250"/>
    <m/>
    <m/>
    <s v="T1BS6"/>
    <s v="CVD"/>
    <s v="F"/>
  </r>
  <r>
    <n v="818"/>
    <s v="NORTH"/>
    <s v="UTTAR PRADESH"/>
    <n v="7134"/>
    <s v="M/S GOENKA AUTO PRIVATE LIMITED."/>
    <s v="VARANASI"/>
    <s v="26-Mar-25"/>
    <s v="20-Jul-25"/>
    <n v="1165"/>
    <n v="5584"/>
    <n v="2"/>
    <s v="S"/>
    <s v="TRAX"/>
    <n v="327337"/>
    <s v="MC1D4DBA4SP107268"/>
    <s v="D72018873"/>
    <m/>
    <m/>
    <x v="6"/>
    <s v="31-Jul-25"/>
    <x v="0"/>
    <n v="0"/>
    <n v="588732"/>
    <s v="28-Oct-25"/>
    <n v="0"/>
    <n v="0"/>
    <n v="0"/>
    <n v="112199"/>
    <s v="28-Oct-25"/>
    <n v="0"/>
    <m/>
    <m/>
    <s v="TRXBS6"/>
    <s v="CVD"/>
    <s v="P"/>
  </r>
  <r>
    <n v="819"/>
    <s v="NORTH"/>
    <s v="UTTAR PRADESH"/>
    <n v="7134"/>
    <s v="M/S GOENKA AUTO PRIVATE LIMITED."/>
    <s v="VARANASI"/>
    <s v="26-Jul-24"/>
    <s v="01-Jul-25"/>
    <n v="1165"/>
    <n v="40977"/>
    <n v="6"/>
    <s v="S"/>
    <s v="T-1"/>
    <n v="774651"/>
    <s v="MC1E4EFA1RP013184"/>
    <s v="D71056676"/>
    <m/>
    <m/>
    <x v="6"/>
    <s v="31-Jul-25"/>
    <x v="0"/>
    <n v="0"/>
    <n v="588732"/>
    <s v="28-Oct-25"/>
    <n v="0"/>
    <n v="0"/>
    <n v="0"/>
    <n v="112199"/>
    <s v="28-Oct-25"/>
    <n v="0"/>
    <m/>
    <m/>
    <s v="T1BS6"/>
    <s v="CVD"/>
    <s v="P"/>
  </r>
  <r>
    <n v="820"/>
    <s v="NORTH"/>
    <s v="UTTAR PRADESH"/>
    <n v="7134"/>
    <s v="M/S GOENKA AUTO PRIVATE LIMITED."/>
    <s v="VARANASI"/>
    <s v="25-Apr-24"/>
    <s v="03-Jul-25"/>
    <n v="1165"/>
    <n v="80000"/>
    <n v="8"/>
    <s v="S"/>
    <s v="T1N"/>
    <n v="3488"/>
    <s v="MC1M4ADA9RP001369"/>
    <s v="D71052448"/>
    <m/>
    <m/>
    <x v="6"/>
    <s v="31-Jul-25"/>
    <x v="0"/>
    <n v="0"/>
    <n v="588732"/>
    <s v="28-Oct-25"/>
    <n v="0"/>
    <n v="0"/>
    <n v="0"/>
    <n v="112199"/>
    <s v="28-Oct-25"/>
    <n v="0"/>
    <m/>
    <m/>
    <s v="URBN"/>
    <s v="CVD"/>
    <s v="P"/>
  </r>
  <r>
    <n v="821"/>
    <s v="NORTH"/>
    <s v="UTTAR PRADESH"/>
    <n v="7134"/>
    <s v="M/S GOENKA AUTO PRIVATE LIMITED."/>
    <s v="VARANASI"/>
    <s v="22-Oct-24"/>
    <s v="29-Jul-25"/>
    <n v="978"/>
    <n v="20870"/>
    <n v="4"/>
    <s v="S"/>
    <s v="T1N"/>
    <n v="5247"/>
    <s v="MC1M4BDA7RP000596"/>
    <s v="D71052415"/>
    <m/>
    <m/>
    <x v="6"/>
    <s v="31-Jul-25"/>
    <x v="0"/>
    <n v="0"/>
    <n v="588732"/>
    <s v="28-Oct-25"/>
    <n v="0"/>
    <n v="0"/>
    <n v="0"/>
    <n v="112199"/>
    <s v="28-Oct-25"/>
    <n v="0"/>
    <m/>
    <m/>
    <s v="URBN"/>
    <s v="CVD"/>
    <s v="P"/>
  </r>
  <r>
    <n v="822"/>
    <s v="NORTH"/>
    <s v="UTTAR PRADESH"/>
    <n v="7134"/>
    <s v="M/S GOENKA AUTO PRIVATE LIMITED."/>
    <s v="VARANASI"/>
    <s v="30-May-24"/>
    <s v="24-Jul-25"/>
    <n v="1165"/>
    <n v="105442"/>
    <n v="11"/>
    <s v="S"/>
    <s v="TRAX"/>
    <n v="321779"/>
    <s v="MC1D4DBA9RP103565"/>
    <s v="D72014281"/>
    <m/>
    <m/>
    <x v="6"/>
    <s v="31-Jul-25"/>
    <x v="0"/>
    <n v="1250"/>
    <n v="588732"/>
    <s v="28-Oct-25"/>
    <n v="1250"/>
    <n v="1475"/>
    <n v="225"/>
    <n v="112199"/>
    <s v="28-Oct-25"/>
    <n v="0"/>
    <m/>
    <m/>
    <s v="TRXBS6"/>
    <s v="CVD"/>
    <s v="F"/>
  </r>
  <r>
    <n v="823"/>
    <s v="NORTH"/>
    <s v="UTTAR PRADESH"/>
    <n v="7134"/>
    <s v="M/S GOENKA AUTO PRIVATE LIMITED."/>
    <s v="VARANASI"/>
    <s v="30-Oct-24"/>
    <s v="22-Jun-25"/>
    <n v="1165"/>
    <n v="6822"/>
    <n v="2"/>
    <s v="S"/>
    <s v="T-1"/>
    <n v="782778"/>
    <s v="MC1E4DHA4SP054146"/>
    <s v="D71060235"/>
    <m/>
    <m/>
    <x v="6"/>
    <s v="31-Jul-25"/>
    <x v="0"/>
    <n v="1250"/>
    <n v="588732"/>
    <s v="28-Oct-25"/>
    <n v="1250"/>
    <n v="1475"/>
    <n v="225"/>
    <n v="112199"/>
    <s v="28-Oct-25"/>
    <n v="0"/>
    <m/>
    <m/>
    <s v="T1BS6N"/>
    <s v="CVD"/>
    <s v="F"/>
  </r>
  <r>
    <n v="824"/>
    <s v="NORTH"/>
    <s v="UTTAR PRADESH"/>
    <n v="7134"/>
    <s v="M/S GOENKA AUTO PRIVATE LIMITED."/>
    <s v="VARANASI"/>
    <s v="20-Jun-24"/>
    <s v="31-Jul-25"/>
    <n v="1165"/>
    <n v="40040"/>
    <n v="7"/>
    <s v="S"/>
    <s v="TRAX"/>
    <n v="323147"/>
    <s v="MC1D4DEA2RP104598"/>
    <s v="D72015580"/>
    <m/>
    <m/>
    <x v="6"/>
    <s v="31-Jul-25"/>
    <x v="0"/>
    <n v="0"/>
    <n v="588732"/>
    <s v="28-Oct-25"/>
    <n v="0"/>
    <n v="0"/>
    <n v="0"/>
    <n v="112199"/>
    <s v="28-Oct-25"/>
    <n v="0"/>
    <m/>
    <m/>
    <s v="TRXBS6"/>
    <s v="CVD"/>
    <s v="P"/>
  </r>
  <r>
    <n v="825"/>
    <s v="NORTH"/>
    <s v="UTTAR PRADESH"/>
    <n v="7134"/>
    <s v="M/S GOENKA AUTO PRIVATE LIMITED."/>
    <s v="VARANASI"/>
    <s v="03-Sep-24"/>
    <s v="20-Jul-25"/>
    <n v="1165"/>
    <n v="7107"/>
    <n v="3"/>
    <s v="S"/>
    <s v="T3"/>
    <n v="767709"/>
    <s v="MC1L4AFA1RP001763"/>
    <s v="D71056957"/>
    <s v="002"/>
    <s v="SERV DATE EXCEEDS"/>
    <x v="6"/>
    <s v="31-Jul-25"/>
    <x v="0"/>
    <n v="1250"/>
    <n v="588732"/>
    <s v="28-Oct-25"/>
    <n v="1000"/>
    <n v="1475"/>
    <n v="225"/>
    <n v="112199"/>
    <s v="28-Oct-25"/>
    <n v="250"/>
    <m/>
    <m/>
    <s v="T3MONBS6"/>
    <s v="CVD"/>
    <s v="F"/>
  </r>
  <r>
    <n v="826"/>
    <s v="NORTH"/>
    <s v="UTTAR PRADESH"/>
    <n v="7134"/>
    <s v="M/S GOENKA AUTO PRIVATE LIMITED."/>
    <s v="VARANASI"/>
    <s v="31-Dec-24"/>
    <s v="14-Jul-25"/>
    <n v="1150"/>
    <n v="32672"/>
    <n v="3"/>
    <s v="S"/>
    <s v="T1N"/>
    <n v="5709"/>
    <s v="MC1M4ALA5SP002834"/>
    <s v="D71066059"/>
    <s v="001"/>
    <s v="SERV KMS  / HRS EXCEEDS"/>
    <x v="6"/>
    <s v="31-Jul-25"/>
    <x v="0"/>
    <n v="1650"/>
    <n v="588732"/>
    <s v="28-Oct-25"/>
    <n v="1320"/>
    <n v="1947"/>
    <n v="297"/>
    <n v="112199"/>
    <s v="28-Oct-25"/>
    <n v="330"/>
    <m/>
    <m/>
    <s v="URBN"/>
    <s v="CVD"/>
    <s v="F"/>
  </r>
  <r>
    <n v="827"/>
    <s v="NORTH"/>
    <s v="UTTAR PRADESH"/>
    <n v="7134"/>
    <s v="M/S GOENKA AUTO PRIVATE LIMITED."/>
    <s v="VARANASI"/>
    <s v="29-Mar-25"/>
    <s v="28-Jul-25"/>
    <n v="1165"/>
    <n v="5658"/>
    <n v="2"/>
    <s v="S"/>
    <s v="T26"/>
    <n v="789025"/>
    <s v="MC1E4FCA8SP023176"/>
    <s v="D71076538"/>
    <m/>
    <m/>
    <x v="6"/>
    <s v="31-Jul-25"/>
    <x v="0"/>
    <n v="0"/>
    <n v="588732"/>
    <s v="28-Oct-25"/>
    <n v="0"/>
    <n v="0"/>
    <n v="0"/>
    <n v="112199"/>
    <s v="28-Oct-25"/>
    <n v="0"/>
    <m/>
    <m/>
    <s v="T26BS6"/>
    <s v="CVD"/>
    <s v="P"/>
  </r>
  <r>
    <n v="828"/>
    <s v="NORTH"/>
    <s v="UTTAR PRADESH"/>
    <n v="7134"/>
    <s v="M/S GOENKA AUTO PRIVATE LIMITED."/>
    <s v="VARANASI"/>
    <s v="27-Feb-24"/>
    <s v="25-Jul-25"/>
    <n v="1165"/>
    <n v="80000"/>
    <n v="8"/>
    <s v="S"/>
    <s v="T1N"/>
    <n v="3046"/>
    <s v="MC1M4ABA6RP001056"/>
    <s v="D71048004"/>
    <m/>
    <m/>
    <x v="6"/>
    <s v="31-Jul-25"/>
    <x v="0"/>
    <n v="0"/>
    <n v="588732"/>
    <s v="28-Oct-25"/>
    <n v="0"/>
    <n v="0"/>
    <n v="0"/>
    <n v="112199"/>
    <s v="28-Oct-25"/>
    <n v="0"/>
    <m/>
    <m/>
    <s v="URBN"/>
    <s v="CVD"/>
    <s v="P"/>
  </r>
  <r>
    <n v="829"/>
    <s v="NORTH"/>
    <s v="UTTAR PRADESH"/>
    <n v="7134"/>
    <s v="M/S GOENKA AUTO PRIVATE LIMITED."/>
    <s v="VARANASI"/>
    <s v="24-Mar-25"/>
    <s v="23-Jul-25"/>
    <n v="856"/>
    <n v="29717"/>
    <n v="2"/>
    <s v="S"/>
    <s v="T-1"/>
    <n v="796597"/>
    <s v="MC1E4CAA0SP084412"/>
    <s v="D71069289"/>
    <m/>
    <m/>
    <x v="6"/>
    <s v="31-Jul-25"/>
    <x v="0"/>
    <n v="1250"/>
    <n v="588732"/>
    <s v="28-Oct-25"/>
    <n v="1250"/>
    <n v="1475"/>
    <n v="225"/>
    <n v="112199"/>
    <s v="28-Oct-25"/>
    <n v="0"/>
    <m/>
    <m/>
    <s v="T1BS6N"/>
    <s v="CVD"/>
    <s v="F"/>
  </r>
  <r>
    <n v="830"/>
    <s v="NORTH"/>
    <s v="UTTAR PRADESH"/>
    <n v="7134"/>
    <s v="M/S GOENKA AUTO PRIVATE LIMITED."/>
    <s v="VARANASI"/>
    <s v="11-Jun-24"/>
    <s v="09-Jul-25"/>
    <n v="890"/>
    <n v="60158"/>
    <n v="7"/>
    <s v="S"/>
    <s v="T-1"/>
    <n v="775977"/>
    <s v="MC1E4EDA7RP012835"/>
    <s v="D71053741"/>
    <m/>
    <m/>
    <x v="6"/>
    <s v="31-Jul-25"/>
    <x v="0"/>
    <n v="0"/>
    <n v="588732"/>
    <s v="28-Oct-25"/>
    <n v="0"/>
    <n v="0"/>
    <n v="0"/>
    <n v="112199"/>
    <s v="28-Oct-25"/>
    <n v="0"/>
    <m/>
    <m/>
    <s v="T1BS6"/>
    <s v="CVD"/>
    <s v="P"/>
  </r>
  <r>
    <n v="831"/>
    <s v="NORTH"/>
    <s v="UTTAR PRADESH"/>
    <n v="7134"/>
    <s v="M/S GOENKA AUTO PRIVATE LIMITED."/>
    <s v="VARANASI"/>
    <s v="26-Mar-25"/>
    <s v="22-Jul-25"/>
    <n v="850"/>
    <n v="30094"/>
    <n v="2"/>
    <s v="S"/>
    <s v="T-1"/>
    <n v="795369"/>
    <s v="MC1E4CBA4SP085254"/>
    <s v="D71072177"/>
    <m/>
    <m/>
    <x v="6"/>
    <s v="31-Jul-25"/>
    <x v="0"/>
    <n v="1250"/>
    <n v="588732"/>
    <s v="28-Oct-25"/>
    <n v="1250"/>
    <n v="1475"/>
    <n v="225"/>
    <n v="112199"/>
    <s v="28-Oct-25"/>
    <n v="0"/>
    <m/>
    <m/>
    <s v="T1BS6N"/>
    <s v="CVD"/>
    <s v="F"/>
  </r>
  <r>
    <n v="832"/>
    <s v="NORTH"/>
    <s v="UTTAR PRADESH"/>
    <n v="7134"/>
    <s v="M/S GOENKA AUTO PRIVATE LIMITED."/>
    <s v="VARANASI"/>
    <s v="10-Jul-24"/>
    <s v="06-Jul-25"/>
    <n v="1165"/>
    <n v="69611"/>
    <n v="7"/>
    <s v="S"/>
    <s v="T-1"/>
    <n v="774685"/>
    <s v="MC1E4EFA6RP013360"/>
    <s v="D71057471"/>
    <m/>
    <m/>
    <x v="6"/>
    <s v="31-Jul-25"/>
    <x v="0"/>
    <n v="0"/>
    <n v="588732"/>
    <s v="28-Oct-25"/>
    <n v="0"/>
    <n v="0"/>
    <n v="0"/>
    <n v="112199"/>
    <s v="28-Oct-25"/>
    <n v="0"/>
    <m/>
    <m/>
    <s v="T1BS6"/>
    <s v="CVD"/>
    <s v="P"/>
  </r>
  <r>
    <n v="833"/>
    <s v="NORTH"/>
    <s v="UTTAR PRADESH"/>
    <n v="7134"/>
    <s v="M/S GOENKA AUTO PRIVATE LIMITED."/>
    <s v="VARANASI"/>
    <s v="15-Feb-24"/>
    <s v="07-Jul-25"/>
    <n v="1165"/>
    <n v="58203"/>
    <n v="6"/>
    <s v="S"/>
    <s v="T1N"/>
    <n v="3267"/>
    <s v="MC1M4ABA3RP000978"/>
    <s v="D71046706"/>
    <m/>
    <m/>
    <x v="6"/>
    <s v="31-Jul-25"/>
    <x v="0"/>
    <n v="0"/>
    <n v="588732"/>
    <s v="28-Oct-25"/>
    <n v="0"/>
    <n v="0"/>
    <n v="0"/>
    <n v="112199"/>
    <s v="28-Oct-25"/>
    <n v="0"/>
    <m/>
    <m/>
    <s v="URBN"/>
    <s v="CVD"/>
    <s v="P"/>
  </r>
  <r>
    <n v="834"/>
    <s v="NORTH"/>
    <s v="UTTAR PRADESH"/>
    <n v="7134"/>
    <s v="M/S GOENKA AUTO PRIVATE LIMITED."/>
    <s v="VARANASI"/>
    <s v="15-May-25"/>
    <s v="07-Jul-25"/>
    <n v="1165"/>
    <n v="10000"/>
    <n v="1"/>
    <s v="S"/>
    <s v="T-1"/>
    <n v="802597"/>
    <s v="MC1E4EDA9SP016021"/>
    <s v="D71078879"/>
    <m/>
    <m/>
    <x v="6"/>
    <s v="31-Jul-25"/>
    <x v="0"/>
    <n v="1250"/>
    <n v="588732"/>
    <s v="28-Oct-25"/>
    <n v="1250"/>
    <n v="1475"/>
    <n v="225"/>
    <n v="112199"/>
    <s v="28-Oct-25"/>
    <n v="0"/>
    <m/>
    <m/>
    <s v="T1BS6"/>
    <s v="CVD"/>
    <s v="F"/>
  </r>
  <r>
    <n v="835"/>
    <s v="NORTH"/>
    <s v="UTTAR PRADESH"/>
    <n v="7134"/>
    <s v="M/S GOENKA AUTO PRIVATE LIMITED."/>
    <s v="VARANASI"/>
    <s v="22-Jun-24"/>
    <s v="31-Jul-25"/>
    <n v="1165"/>
    <n v="80000"/>
    <n v="8"/>
    <s v="S"/>
    <s v="T-1"/>
    <n v="775938"/>
    <s v="MC1E4EDA0RP012854"/>
    <s v="D71053907"/>
    <m/>
    <m/>
    <x v="6"/>
    <s v="31-Jul-25"/>
    <x v="0"/>
    <n v="1250"/>
    <n v="588732"/>
    <s v="28-Oct-25"/>
    <n v="1250"/>
    <n v="1475"/>
    <n v="225"/>
    <n v="112199"/>
    <s v="28-Oct-25"/>
    <n v="0"/>
    <m/>
    <m/>
    <s v="T1BS6"/>
    <s v="CVD"/>
    <s v="F"/>
  </r>
  <r>
    <n v="836"/>
    <s v="NORTH"/>
    <s v="UTTAR PRADESH"/>
    <n v="7134"/>
    <s v="M/S GOENKA AUTO PRIVATE LIMITED."/>
    <s v="VARANASI"/>
    <s v="08-Mar-25"/>
    <s v="06-Jul-25"/>
    <n v="1165"/>
    <n v="2000"/>
    <n v="2"/>
    <s v="S"/>
    <s v="TRAX"/>
    <n v="327811"/>
    <s v="MC1D4DBA5SP107330"/>
    <s v="D72018945"/>
    <m/>
    <m/>
    <x v="6"/>
    <s v="31-Jul-25"/>
    <x v="0"/>
    <n v="0"/>
    <n v="588732"/>
    <s v="28-Oct-25"/>
    <n v="0"/>
    <n v="0"/>
    <n v="0"/>
    <n v="112199"/>
    <s v="28-Oct-25"/>
    <n v="0"/>
    <m/>
    <m/>
    <s v="TRXBS6"/>
    <s v="CVD"/>
    <s v="P"/>
  </r>
  <r>
    <n v="837"/>
    <s v="NORTH"/>
    <s v="UTTAR PRADESH"/>
    <n v="7134"/>
    <s v="M/S GOENKA AUTO PRIVATE LIMITED."/>
    <s v="VARANASI"/>
    <s v="11-Feb-25"/>
    <s v="29-Jul-25"/>
    <n v="1165"/>
    <n v="30000"/>
    <n v="3"/>
    <s v="S"/>
    <s v="T1N"/>
    <n v="6349"/>
    <s v="MC1M4AAA0SP003358"/>
    <s v="D71057957"/>
    <m/>
    <m/>
    <x v="6"/>
    <s v="31-Jul-25"/>
    <x v="0"/>
    <n v="1650"/>
    <n v="588732"/>
    <s v="28-Oct-25"/>
    <n v="1650"/>
    <n v="1947"/>
    <n v="297"/>
    <n v="112199"/>
    <s v="28-Oct-25"/>
    <n v="0"/>
    <m/>
    <m/>
    <s v="URBN"/>
    <s v="CVD"/>
    <s v="F"/>
  </r>
  <r>
    <n v="838"/>
    <s v="NORTH"/>
    <s v="UTTAR PRADESH"/>
    <n v="7134"/>
    <s v="M/S GOENKA AUTO PRIVATE LIMITED."/>
    <s v="VARANASI"/>
    <s v="04-Aug-23"/>
    <s v="14-Jul-25"/>
    <n v="1165"/>
    <n v="93594"/>
    <n v="9"/>
    <s v="S"/>
    <s v="T1N"/>
    <n v="1907"/>
    <s v="MC1M4AGAXRP000405"/>
    <s v="D71033054"/>
    <s v="001"/>
    <s v="SERV KMS  / HRS EXCEEDS"/>
    <x v="6"/>
    <s v="31-Jul-25"/>
    <x v="0"/>
    <n v="0"/>
    <n v="588732"/>
    <s v="28-Oct-25"/>
    <n v="0"/>
    <n v="0"/>
    <n v="0"/>
    <n v="112199"/>
    <s v="28-Oct-25"/>
    <n v="0"/>
    <m/>
    <m/>
    <s v="URBN"/>
    <s v="CVD"/>
    <s v="P"/>
  </r>
  <r>
    <n v="839"/>
    <s v="NORTH"/>
    <s v="UTTAR PRADESH"/>
    <n v="7134"/>
    <s v="M/S GOENKA AUTO PRIVATE LIMITED."/>
    <s v="VARANASI"/>
    <s v="24-Oct-24"/>
    <s v="28-Jul-25"/>
    <n v="1165"/>
    <n v="41862"/>
    <n v="5"/>
    <s v="S"/>
    <s v="T26"/>
    <n v="789881"/>
    <s v="MC1E4FJA1SP021496"/>
    <s v="D71061662"/>
    <m/>
    <m/>
    <x v="6"/>
    <s v="31-Jul-25"/>
    <x v="0"/>
    <n v="1250"/>
    <n v="588732"/>
    <s v="28-Oct-25"/>
    <n v="1250"/>
    <n v="1475"/>
    <n v="225"/>
    <n v="112199"/>
    <s v="28-Oct-25"/>
    <n v="0"/>
    <m/>
    <m/>
    <s v="T26BS6"/>
    <s v="CVD"/>
    <s v="F"/>
  </r>
  <r>
    <n v="840"/>
    <s v="NORTH"/>
    <s v="UTTAR PRADESH"/>
    <n v="7134"/>
    <s v="M/S GOENKA AUTO PRIVATE LIMITED."/>
    <s v="VARANASI"/>
    <s v="20-Jan-25"/>
    <s v="02-Jul-25"/>
    <n v="1165"/>
    <n v="30000"/>
    <n v="3"/>
    <s v="S"/>
    <s v="T1N"/>
    <n v="6475"/>
    <s v="MC1M4AAA6SP003235"/>
    <s v="D71069285"/>
    <m/>
    <m/>
    <x v="6"/>
    <s v="31-Jul-25"/>
    <x v="0"/>
    <n v="1650"/>
    <n v="588732"/>
    <s v="28-Oct-25"/>
    <n v="1650"/>
    <n v="1947"/>
    <n v="297"/>
    <n v="112199"/>
    <s v="28-Oct-25"/>
    <n v="0"/>
    <m/>
    <m/>
    <s v="URBN"/>
    <s v="CVD"/>
    <s v="F"/>
  </r>
  <r>
    <n v="841"/>
    <s v="NORTH"/>
    <s v="UTTAR PRADESH"/>
    <n v="7134"/>
    <s v="M/S GOENKA AUTO PRIVATE LIMITED."/>
    <s v="VARANASI"/>
    <s v="23-May-24"/>
    <s v="03-Jul-25"/>
    <n v="987"/>
    <n v="59442"/>
    <n v="6"/>
    <s v="S"/>
    <s v="T1N"/>
    <n v="3036"/>
    <s v="MC1M4ADA6RP001460"/>
    <s v="D71053484"/>
    <m/>
    <m/>
    <x v="6"/>
    <s v="31-Jul-25"/>
    <x v="0"/>
    <n v="0"/>
    <n v="588732"/>
    <s v="28-Oct-25"/>
    <n v="0"/>
    <n v="0"/>
    <n v="0"/>
    <n v="112199"/>
    <s v="28-Oct-25"/>
    <n v="0"/>
    <m/>
    <m/>
    <s v="URBN"/>
    <s v="CVD"/>
    <s v="P"/>
  </r>
  <r>
    <n v="842"/>
    <s v="NORTH"/>
    <s v="UTTAR PRADESH"/>
    <n v="7134"/>
    <s v="M/S GOENKA AUTO PRIVATE LIMITED."/>
    <s v="VARANASI"/>
    <s v="30-Jun-24"/>
    <s v="15-Jul-25"/>
    <n v="1165"/>
    <n v="57734"/>
    <n v="6"/>
    <s v="S"/>
    <s v="T1N"/>
    <n v="3559"/>
    <s v="MC1M4AFAXRP001720"/>
    <s v="D71055788"/>
    <m/>
    <m/>
    <x v="6"/>
    <s v="31-Jul-25"/>
    <x v="0"/>
    <n v="0"/>
    <n v="588732"/>
    <s v="28-Oct-25"/>
    <n v="0"/>
    <n v="0"/>
    <n v="0"/>
    <n v="112199"/>
    <s v="28-Oct-25"/>
    <n v="0"/>
    <m/>
    <m/>
    <s v="URBN"/>
    <s v="CVD"/>
    <s v="P"/>
  </r>
  <r>
    <n v="843"/>
    <s v="NORTH"/>
    <s v="UTTAR PRADESH"/>
    <n v="7134"/>
    <s v="M/S GOENKA AUTO PRIVATE LIMITED."/>
    <s v="VARANASI"/>
    <s v="26-May-25"/>
    <s v="21-Jul-25"/>
    <n v="1165"/>
    <n v="6109"/>
    <n v="1"/>
    <s v="S"/>
    <s v="T-1"/>
    <n v="778143"/>
    <s v="MC1E5DDA1SP000662"/>
    <s v="D73001851"/>
    <m/>
    <m/>
    <x v="6"/>
    <s v="31-Jul-25"/>
    <x v="0"/>
    <n v="1250"/>
    <n v="588732"/>
    <s v="28-Oct-25"/>
    <n v="1250"/>
    <n v="1475"/>
    <n v="225"/>
    <n v="112199"/>
    <s v="28-Oct-25"/>
    <n v="0"/>
    <m/>
    <m/>
    <s v="T1CNGL"/>
    <s v="CVD"/>
    <s v="F"/>
  </r>
  <r>
    <n v="844"/>
    <s v="NORTH"/>
    <s v="UTTAR PRADESH"/>
    <n v="7134"/>
    <s v="M/S GOENKA AUTO PRIVATE LIMITED."/>
    <s v="VARANASI"/>
    <s v="09-Oct-24"/>
    <s v="20-Jul-25"/>
    <n v="1165"/>
    <n v="29863"/>
    <n v="3"/>
    <s v="S"/>
    <s v="T1N"/>
    <n v="5353"/>
    <s v="MC1M4AJA1SP002400"/>
    <s v="D71062532"/>
    <s v="002"/>
    <s v="SERV DATE EXCEEDS"/>
    <x v="6"/>
    <s v="31-Jul-25"/>
    <x v="0"/>
    <n v="1650"/>
    <n v="588732"/>
    <s v="28-Oct-25"/>
    <n v="1320"/>
    <n v="1947"/>
    <n v="297"/>
    <n v="112199"/>
    <s v="28-Oct-25"/>
    <n v="330"/>
    <m/>
    <m/>
    <s v="URBN"/>
    <s v="CVD"/>
    <s v="F"/>
  </r>
  <r>
    <n v="845"/>
    <s v="NORTH"/>
    <s v="UTTAR PRADESH"/>
    <n v="7134"/>
    <s v="M/S GOENKA AUTO PRIVATE LIMITED."/>
    <s v="VARANASI"/>
    <s v="21-Apr-25"/>
    <s v="12-Jul-25"/>
    <n v="1165"/>
    <n v="2512"/>
    <n v="1"/>
    <s v="S"/>
    <s v="TRAX"/>
    <n v="328807"/>
    <s v="MC1D1DDA1SP001625"/>
    <s v="D72020101"/>
    <s v="002"/>
    <s v="SERV DATE EXCEEDS"/>
    <x v="6"/>
    <s v="31-Jul-25"/>
    <x v="0"/>
    <n v="1250"/>
    <n v="588732"/>
    <s v="28-Oct-25"/>
    <n v="1000"/>
    <n v="1475"/>
    <n v="225"/>
    <n v="112199"/>
    <s v="28-Oct-25"/>
    <n v="250"/>
    <m/>
    <m/>
    <s v="TRXBS6"/>
    <s v="CVD"/>
    <s v="F"/>
  </r>
  <r>
    <n v="846"/>
    <s v="NORTH"/>
    <s v="UTTAR PRADESH"/>
    <n v="7134"/>
    <s v="M/S GOENKA AUTO PRIVATE LIMITED."/>
    <s v="VARANASI"/>
    <s v="27-Feb-25"/>
    <s v="28-Jul-25"/>
    <n v="1165"/>
    <n v="30024"/>
    <n v="3"/>
    <s v="S"/>
    <s v="T-1"/>
    <n v="785976"/>
    <s v="MC1E4EJA6SP014182"/>
    <s v="D71062929"/>
    <m/>
    <m/>
    <x v="6"/>
    <s v="31-Jul-25"/>
    <x v="0"/>
    <n v="1250"/>
    <n v="588732"/>
    <s v="28-Oct-25"/>
    <n v="1250"/>
    <n v="1475"/>
    <n v="225"/>
    <n v="112199"/>
    <s v="28-Oct-25"/>
    <n v="0"/>
    <m/>
    <m/>
    <s v="T1BS6"/>
    <s v="CVD"/>
    <s v="F"/>
  </r>
  <r>
    <n v="847"/>
    <s v="NORTH"/>
    <s v="UTTAR PRADESH"/>
    <n v="7134"/>
    <s v="M/S GOENKA AUTO PRIVATE LIMITED."/>
    <s v="VARANASI"/>
    <s v="10-Oct-24"/>
    <s v="12-Jul-25"/>
    <n v="1165"/>
    <n v="9764"/>
    <n v="2"/>
    <s v="S"/>
    <s v="T-1"/>
    <n v="780233"/>
    <s v="MC1E4DGA4SP053709"/>
    <s v="D71058494"/>
    <m/>
    <m/>
    <x v="6"/>
    <s v="31-Jul-25"/>
    <x v="0"/>
    <n v="1250"/>
    <n v="588732"/>
    <s v="28-Oct-25"/>
    <n v="1250"/>
    <n v="1475"/>
    <n v="225"/>
    <n v="112199"/>
    <s v="28-Oct-25"/>
    <n v="0"/>
    <m/>
    <m/>
    <s v="T1BS6N"/>
    <s v="CVD"/>
    <s v="F"/>
  </r>
  <r>
    <n v="848"/>
    <s v="NORTH"/>
    <s v="UTTAR PRADESH"/>
    <n v="7134"/>
    <s v="M/S GOENKA AUTO PRIVATE LIMITED."/>
    <s v="VARANASI"/>
    <s v="21-Apr-25"/>
    <s v="16-Jul-25"/>
    <n v="733"/>
    <n v="20000"/>
    <n v="2"/>
    <s v="S"/>
    <s v="T-1"/>
    <n v="801200"/>
    <s v="MC1E1CCA5SP008223"/>
    <s v="D71075439"/>
    <s v="003"/>
    <s v="OWNER'S SIGNATURE MISSING"/>
    <x v="6"/>
    <s v="31-Jul-25"/>
    <x v="0"/>
    <n v="0"/>
    <n v="588732"/>
    <s v="28-Oct-25"/>
    <n v="0"/>
    <n v="0"/>
    <n v="0"/>
    <n v="112199"/>
    <s v="28-Oct-25"/>
    <n v="0"/>
    <m/>
    <m/>
    <s v="T1BS6"/>
    <s v="CVD"/>
    <s v="P"/>
  </r>
  <r>
    <n v="849"/>
    <s v="NORTH"/>
    <s v="UTTAR PRADESH"/>
    <n v="7134"/>
    <s v="M/S GOENKA AUTO PRIVATE LIMITED."/>
    <s v="VARANASI"/>
    <s v="23-Aug-24"/>
    <s v="14-Jul-25"/>
    <n v="965"/>
    <n v="49600"/>
    <n v="5"/>
    <s v="S"/>
    <s v="T1N"/>
    <n v="4608"/>
    <s v="MC1M4AGA0SP001973"/>
    <s v="D71058189"/>
    <m/>
    <m/>
    <x v="6"/>
    <s v="31-Jul-25"/>
    <x v="0"/>
    <n v="1650"/>
    <n v="588732"/>
    <s v="28-Oct-25"/>
    <n v="1650"/>
    <n v="1947"/>
    <n v="297"/>
    <n v="112199"/>
    <s v="28-Oct-25"/>
    <n v="0"/>
    <m/>
    <m/>
    <s v="URBN"/>
    <s v="CVD"/>
    <s v="F"/>
  </r>
  <r>
    <n v="850"/>
    <s v="NORTH"/>
    <s v="UTTAR PRADESH"/>
    <n v="7134"/>
    <s v="M/S GOENKA AUTO PRIVATE LIMITED."/>
    <s v="VARANASI"/>
    <s v="30-Jan-24"/>
    <s v="13-Jul-25"/>
    <n v="984"/>
    <n v="77874"/>
    <n v="8"/>
    <s v="S"/>
    <s v="T1N"/>
    <n v="2096"/>
    <s v="MC1M4AAA3RP000934"/>
    <s v="D71046057"/>
    <m/>
    <m/>
    <x v="6"/>
    <s v="31-Jul-25"/>
    <x v="0"/>
    <n v="0"/>
    <n v="588732"/>
    <s v="28-Oct-25"/>
    <n v="0"/>
    <n v="0"/>
    <n v="0"/>
    <n v="112199"/>
    <s v="28-Oct-25"/>
    <n v="0"/>
    <m/>
    <m/>
    <s v="URBN"/>
    <s v="CVD"/>
    <s v="P"/>
  </r>
  <r>
    <n v="851"/>
    <s v="NORTH"/>
    <s v="UTTAR PRADESH"/>
    <n v="7134"/>
    <s v="M/S GOENKA AUTO PRIVATE LIMITED."/>
    <s v="VARANASI"/>
    <s v="19-Jul-24"/>
    <s v="10-Jul-25"/>
    <n v="1165"/>
    <n v="36345"/>
    <n v="6"/>
    <s v="S"/>
    <s v="T-1"/>
    <n v="7085388"/>
    <s v="MC1E4DGA7SP053543"/>
    <s v="D71057790"/>
    <m/>
    <m/>
    <x v="6"/>
    <s v="31-Jul-25"/>
    <x v="0"/>
    <n v="0"/>
    <n v="588732"/>
    <s v="28-Oct-25"/>
    <n v="0"/>
    <n v="0"/>
    <n v="0"/>
    <n v="112199"/>
    <s v="28-Oct-25"/>
    <n v="0"/>
    <m/>
    <m/>
    <s v="T1BS6"/>
    <s v="CVD"/>
    <s v="P"/>
  </r>
  <r>
    <n v="852"/>
    <s v="NORTH"/>
    <s v="UTTAR PRADESH"/>
    <n v="7134"/>
    <s v="M/S GOENKA AUTO PRIVATE LIMITED."/>
    <s v="VARANASI"/>
    <s v="25-Oct-24"/>
    <s v="08-Jul-25"/>
    <n v="1165"/>
    <n v="31959"/>
    <n v="4"/>
    <s v="S"/>
    <s v="T-1"/>
    <n v="787434"/>
    <s v="MC1E4EHA4SP013800"/>
    <s v="D71060490"/>
    <m/>
    <m/>
    <x v="6"/>
    <s v="31-Jul-25"/>
    <x v="0"/>
    <n v="0"/>
    <n v="588732"/>
    <s v="28-Oct-25"/>
    <n v="0"/>
    <n v="0"/>
    <n v="0"/>
    <n v="112199"/>
    <s v="28-Oct-25"/>
    <n v="0"/>
    <m/>
    <m/>
    <s v="T1BS6"/>
    <s v="CVD"/>
    <s v="P"/>
  </r>
  <r>
    <n v="853"/>
    <s v="NORTH"/>
    <s v="UTTAR PRADESH"/>
    <n v="7134"/>
    <s v="M/S GOENKA AUTO PRIVATE LIMITED."/>
    <s v="VARANASI"/>
    <s v="24-Jan-24"/>
    <s v="01-Jul-25"/>
    <n v="1165"/>
    <n v="80312"/>
    <n v="9"/>
    <s v="S"/>
    <s v="T-1"/>
    <n v="761341"/>
    <s v="MC1E4EAA5RP011526"/>
    <s v="D71045349"/>
    <m/>
    <m/>
    <x v="6"/>
    <s v="31-Jul-25"/>
    <x v="0"/>
    <n v="0"/>
    <n v="588732"/>
    <s v="28-Oct-25"/>
    <n v="0"/>
    <n v="0"/>
    <n v="0"/>
    <n v="112199"/>
    <s v="28-Oct-25"/>
    <n v="0"/>
    <m/>
    <m/>
    <s v="T1BS6"/>
    <s v="CVD"/>
    <s v="P"/>
  </r>
  <r>
    <n v="854"/>
    <s v="NORTH"/>
    <s v="UTTAR PRADESH"/>
    <n v="7134"/>
    <s v="M/S GOENKA AUTO PRIVATE LIMITED."/>
    <s v="VARANASI"/>
    <s v="30-Mar-25"/>
    <s v="06-Jul-25"/>
    <n v="1165"/>
    <n v="6486"/>
    <n v="1"/>
    <s v="S"/>
    <s v="T-1"/>
    <n v="798838"/>
    <s v="MC1E4DAA5SP055929"/>
    <s v="D71070921"/>
    <m/>
    <m/>
    <x v="6"/>
    <s v="31-Jul-25"/>
    <x v="0"/>
    <n v="1250"/>
    <n v="588732"/>
    <s v="28-Oct-25"/>
    <n v="1250"/>
    <n v="1475"/>
    <n v="225"/>
    <n v="112199"/>
    <s v="28-Oct-25"/>
    <n v="0"/>
    <m/>
    <m/>
    <s v="T1BS6N"/>
    <s v="CVD"/>
    <s v="F"/>
  </r>
  <r>
    <n v="855"/>
    <s v="NORTH"/>
    <s v="UTTAR PRADESH"/>
    <n v="7134"/>
    <s v="M/S GOENKA AUTO PRIVATE LIMITED."/>
    <s v="VARANASI"/>
    <s v="03-Feb-25"/>
    <s v="23-Jul-25"/>
    <n v="900"/>
    <n v="19409"/>
    <n v="3"/>
    <s v="S"/>
    <s v="T-1"/>
    <n v="778270"/>
    <s v="MC1E5EKAXSP003214"/>
    <s v="D73001597"/>
    <m/>
    <m/>
    <x v="6"/>
    <s v="31-Jul-25"/>
    <x v="0"/>
    <n v="1250"/>
    <n v="588732"/>
    <s v="28-Oct-25"/>
    <n v="1250"/>
    <n v="1475"/>
    <n v="225"/>
    <n v="112199"/>
    <s v="28-Oct-25"/>
    <n v="0"/>
    <m/>
    <m/>
    <s v="T1CNGL"/>
    <s v="CVD"/>
    <s v="F"/>
  </r>
  <r>
    <n v="856"/>
    <s v="NORTH"/>
    <s v="UTTAR PRADESH"/>
    <n v="7134"/>
    <s v="M/S GOENKA AUTO PRIVATE LIMITED."/>
    <s v="VARANASI"/>
    <s v="06-Jan-25"/>
    <s v="10-Jul-25"/>
    <n v="1165"/>
    <n v="28584"/>
    <n v="3"/>
    <s v="S"/>
    <s v="T-1"/>
    <n v="792098"/>
    <s v="MC1E4ELA3SP014637"/>
    <s v="D71065348"/>
    <m/>
    <m/>
    <x v="6"/>
    <s v="31-Jul-25"/>
    <x v="0"/>
    <n v="1250"/>
    <n v="588732"/>
    <s v="28-Oct-25"/>
    <n v="1250"/>
    <n v="1475"/>
    <n v="225"/>
    <n v="112199"/>
    <s v="28-Oct-25"/>
    <n v="0"/>
    <m/>
    <m/>
    <s v="T1BS6"/>
    <s v="CVD"/>
    <s v="F"/>
  </r>
  <r>
    <n v="857"/>
    <s v="NORTH"/>
    <s v="UTTAR PRADESH"/>
    <n v="7134"/>
    <s v="M/S GOENKA AUTO PRIVATE LIMITED."/>
    <s v="VARANASI"/>
    <s v="20-Nov-24"/>
    <s v="15-Jul-25"/>
    <n v="1165"/>
    <n v="39501"/>
    <n v="4"/>
    <s v="S"/>
    <s v="T-1"/>
    <n v="790690"/>
    <s v="MC1E4EKA1SP014315"/>
    <s v="D71063632"/>
    <m/>
    <m/>
    <x v="6"/>
    <s v="31-Jul-25"/>
    <x v="0"/>
    <n v="0"/>
    <n v="588732"/>
    <s v="28-Oct-25"/>
    <n v="0"/>
    <n v="0"/>
    <n v="0"/>
    <n v="112199"/>
    <s v="28-Oct-25"/>
    <n v="0"/>
    <m/>
    <m/>
    <s v="T1BS6"/>
    <s v="CVD"/>
    <s v="P"/>
  </r>
  <r>
    <n v="858"/>
    <s v="NORTH"/>
    <s v="UTTAR PRADESH"/>
    <n v="7134"/>
    <s v="M/S GOENKA AUTO PRIVATE LIMITED."/>
    <s v="VARANASI"/>
    <s v="20-Sep-24"/>
    <s v="01-Jul-25"/>
    <n v="1165"/>
    <n v="68000"/>
    <n v="4"/>
    <s v="S"/>
    <s v="T-1"/>
    <n v="782620"/>
    <s v="MC1E4CHA1SP080648"/>
    <s v="D71061309"/>
    <m/>
    <m/>
    <x v="6"/>
    <s v="31-Jul-25"/>
    <x v="0"/>
    <n v="1250"/>
    <n v="588732"/>
    <s v="28-Oct-25"/>
    <n v="1250"/>
    <n v="1475"/>
    <n v="225"/>
    <n v="112199"/>
    <s v="28-Oct-25"/>
    <n v="0"/>
    <m/>
    <m/>
    <s v="T1BS6"/>
    <s v="CVD"/>
    <s v="F"/>
  </r>
  <r>
    <n v="859"/>
    <s v="NORTH"/>
    <s v="UTTAR PRADESH"/>
    <n v="7134"/>
    <s v="M/S GOENKA AUTO PRIVATE LIMITED."/>
    <s v="VARANASI"/>
    <s v="30-Sep-24"/>
    <s v="16-Jul-25"/>
    <n v="1165"/>
    <n v="50000"/>
    <n v="5"/>
    <s v="S"/>
    <s v="T1N"/>
    <n v="5321"/>
    <s v="MC1M4AJA3SP002298"/>
    <s v="D71061487"/>
    <m/>
    <m/>
    <x v="6"/>
    <s v="31-Jul-25"/>
    <x v="0"/>
    <n v="1650"/>
    <n v="588732"/>
    <s v="28-Oct-25"/>
    <n v="1650"/>
    <n v="1947"/>
    <n v="297"/>
    <n v="112199"/>
    <s v="28-Oct-25"/>
    <n v="0"/>
    <m/>
    <m/>
    <s v="URBN"/>
    <s v="CVD"/>
    <s v="F"/>
  </r>
  <r>
    <n v="860"/>
    <s v="NORTH"/>
    <s v="UTTAR PRADESH"/>
    <n v="7134"/>
    <s v="M/S GOENKA AUTO PRIVATE LIMITED."/>
    <s v="VARANASI"/>
    <s v="05-Jul-24"/>
    <s v="20-Jul-25"/>
    <n v="1165"/>
    <n v="18584"/>
    <n v="3"/>
    <s v="S"/>
    <s v="T-1"/>
    <n v="780502"/>
    <s v="MC1E4DFA1RP053159"/>
    <s v="D71056459"/>
    <m/>
    <m/>
    <x v="6"/>
    <s v="31-Jul-25"/>
    <x v="0"/>
    <n v="1250"/>
    <n v="588732"/>
    <s v="28-Oct-25"/>
    <n v="1250"/>
    <n v="1475"/>
    <n v="225"/>
    <n v="112199"/>
    <s v="28-Oct-25"/>
    <n v="0"/>
    <m/>
    <m/>
    <s v="T1BS6N"/>
    <s v="CVD"/>
    <s v="F"/>
  </r>
  <r>
    <n v="861"/>
    <s v="NORTH"/>
    <s v="UTTAR PRADESH"/>
    <n v="7134"/>
    <s v="M/S GOENKA AUTO PRIVATE LIMITED."/>
    <s v="VARANASI"/>
    <s v="24-Mar-23"/>
    <s v="08-Jul-25"/>
    <n v="1165"/>
    <n v="91755"/>
    <n v="14"/>
    <s v="S"/>
    <s v="T-1"/>
    <n v="744799"/>
    <s v="MC1E4ECA9PP009305"/>
    <s v="D71027313"/>
    <m/>
    <m/>
    <x v="6"/>
    <s v="31-Jul-25"/>
    <x v="0"/>
    <n v="1250"/>
    <n v="588732"/>
    <s v="28-Oct-25"/>
    <n v="1250"/>
    <n v="1475"/>
    <n v="225"/>
    <n v="112199"/>
    <s v="28-Oct-25"/>
    <n v="0"/>
    <m/>
    <m/>
    <s v="T1BS6"/>
    <s v="CVD"/>
    <s v="F"/>
  </r>
  <r>
    <n v="862"/>
    <s v="NORTH"/>
    <s v="UTTAR PRADESH"/>
    <n v="7134"/>
    <s v="M/S GOENKA AUTO PRIVATE LIMITED."/>
    <s v="VARANASI"/>
    <s v="28-Feb-25"/>
    <s v="22-Jun-25"/>
    <n v="1165"/>
    <n v="8574"/>
    <n v="2"/>
    <s v="S"/>
    <s v="TRAX"/>
    <n v="327226"/>
    <s v="MC1D4DAA0SP107009"/>
    <s v="D72018644"/>
    <m/>
    <m/>
    <x v="6"/>
    <s v="31-Jul-25"/>
    <x v="0"/>
    <n v="0"/>
    <n v="588732"/>
    <s v="28-Oct-25"/>
    <n v="0"/>
    <n v="0"/>
    <n v="0"/>
    <n v="112199"/>
    <s v="28-Oct-25"/>
    <n v="0"/>
    <m/>
    <m/>
    <s v="TRXBS6"/>
    <s v="CVD"/>
    <s v="P"/>
  </r>
  <r>
    <n v="863"/>
    <s v="NORTH"/>
    <s v="UTTAR PRADESH"/>
    <n v="7134"/>
    <s v="M/S GOENKA AUTO PRIVATE LIMITED."/>
    <s v="VARANASI"/>
    <s v="06-May-25"/>
    <s v="28-Jul-25"/>
    <n v="1165"/>
    <n v="10000"/>
    <n v="1"/>
    <s v="S"/>
    <s v="T-1"/>
    <n v="802530"/>
    <s v="MC1E4EDA5SP016002"/>
    <s v="D71078588"/>
    <s v="002"/>
    <s v="SERV DATE EXCEEDS"/>
    <x v="6"/>
    <s v="31-Jul-25"/>
    <x v="0"/>
    <n v="1250"/>
    <n v="588732"/>
    <s v="28-Oct-25"/>
    <n v="1000"/>
    <n v="1475"/>
    <n v="225"/>
    <n v="112199"/>
    <s v="28-Oct-25"/>
    <n v="250"/>
    <m/>
    <m/>
    <s v="T1BS6"/>
    <s v="CVD"/>
    <s v="F"/>
  </r>
  <r>
    <n v="864"/>
    <s v="NORTH"/>
    <s v="UTTAR PRADESH"/>
    <n v="7134"/>
    <s v="M/S GOENKA AUTO PRIVATE LIMITED."/>
    <s v="VARANASI"/>
    <s v="10-Apr-25"/>
    <s v="11-Jul-25"/>
    <n v="1165"/>
    <n v="8250"/>
    <n v="1"/>
    <s v="S"/>
    <s v="T-1"/>
    <n v="801228"/>
    <s v="MC1E4ECA4SP015800"/>
    <s v="D71076699"/>
    <s v="002"/>
    <s v="SERV DATE EXCEEDS"/>
    <x v="6"/>
    <s v="31-Jul-25"/>
    <x v="0"/>
    <n v="1250"/>
    <n v="588732"/>
    <s v="28-Oct-25"/>
    <n v="1000"/>
    <n v="1475"/>
    <n v="225"/>
    <n v="112199"/>
    <s v="28-Oct-25"/>
    <n v="250"/>
    <m/>
    <m/>
    <s v="T1BS6"/>
    <s v="CVD"/>
    <s v="F"/>
  </r>
  <r>
    <n v="865"/>
    <s v="NORTH"/>
    <s v="UTTAR PRADESH"/>
    <n v="7134"/>
    <s v="M/S GOENKA AUTO PRIVATE LIMITED."/>
    <s v="VARANASI"/>
    <s v="14-Oct-24"/>
    <s v="14-Jul-25"/>
    <n v="1165"/>
    <n v="39614"/>
    <n v="4"/>
    <s v="S"/>
    <s v="T1N"/>
    <n v="5471"/>
    <s v="MC1M4AJA0SP002470"/>
    <s v="D71063430"/>
    <m/>
    <m/>
    <x v="6"/>
    <s v="31-Jul-25"/>
    <x v="0"/>
    <n v="0"/>
    <n v="588732"/>
    <s v="28-Oct-25"/>
    <n v="0"/>
    <n v="0"/>
    <n v="0"/>
    <n v="112199"/>
    <s v="28-Oct-25"/>
    <n v="0"/>
    <m/>
    <m/>
    <s v="URBN"/>
    <s v="CVD"/>
    <s v="P"/>
  </r>
  <r>
    <n v="866"/>
    <s v="NORTH"/>
    <s v="UTTAR PRADESH"/>
    <n v="7134"/>
    <s v="M/S GOENKA AUTO PRIVATE LIMITED."/>
    <s v="VARANASI"/>
    <s v="22-May-24"/>
    <s v="04-Jul-25"/>
    <n v="990"/>
    <n v="18737"/>
    <n v="7"/>
    <s v="S"/>
    <s v="T-1"/>
    <n v="775773"/>
    <s v="MC1E1CEA7RP007811"/>
    <s v="D71054290"/>
    <m/>
    <m/>
    <x v="6"/>
    <s v="31-Jul-25"/>
    <x v="0"/>
    <n v="0"/>
    <n v="588732"/>
    <s v="28-Oct-25"/>
    <n v="0"/>
    <n v="0"/>
    <n v="0"/>
    <n v="112199"/>
    <s v="28-Oct-25"/>
    <n v="0"/>
    <m/>
    <m/>
    <s v="T1BS6"/>
    <s v="CVD"/>
    <s v="P"/>
  </r>
  <r>
    <n v="867"/>
    <s v="NORTH"/>
    <s v="UTTAR PRADESH"/>
    <n v="7134"/>
    <s v="M/S GOENKA AUTO PRIVATE LIMITED."/>
    <s v="VARANASI"/>
    <s v="09-Dec-24"/>
    <s v="09-Jul-25"/>
    <n v="1165"/>
    <n v="7032"/>
    <n v="3"/>
    <s v="S"/>
    <s v="T-1"/>
    <n v="781175"/>
    <s v="MC1E5DGA3SP000559"/>
    <s v="D73001405"/>
    <s v="002"/>
    <s v="SERV DATE EXCEEDS"/>
    <x v="6"/>
    <s v="31-Jul-25"/>
    <x v="0"/>
    <n v="1250"/>
    <n v="588732"/>
    <s v="28-Oct-25"/>
    <n v="1000"/>
    <n v="1475"/>
    <n v="225"/>
    <n v="112199"/>
    <s v="28-Oct-25"/>
    <n v="250"/>
    <m/>
    <m/>
    <s v="T1CNGL"/>
    <s v="CVD"/>
    <s v="F"/>
  </r>
  <r>
    <n v="868"/>
    <s v="NORTH"/>
    <s v="UTTAR PRADESH"/>
    <n v="7134"/>
    <s v="M/S GOENKA AUTO PRIVATE LIMITED."/>
    <s v="VARANASI"/>
    <s v="08-Oct-24"/>
    <s v="18-Jul-25"/>
    <n v="890"/>
    <n v="31082"/>
    <n v="5"/>
    <s v="S"/>
    <s v="T26"/>
    <n v="789142"/>
    <s v="MC1E4FJA4SP021525"/>
    <s v="D71061849"/>
    <m/>
    <m/>
    <x v="6"/>
    <s v="31-Jul-25"/>
    <x v="0"/>
    <n v="1250"/>
    <n v="588732"/>
    <s v="28-Oct-25"/>
    <n v="1250"/>
    <n v="1475"/>
    <n v="225"/>
    <n v="112199"/>
    <s v="28-Oct-25"/>
    <n v="0"/>
    <m/>
    <m/>
    <s v="T26BS6"/>
    <s v="CVD"/>
    <s v="F"/>
  </r>
  <r>
    <n v="869"/>
    <s v="NORTH"/>
    <s v="UTTAR PRADESH"/>
    <n v="7134"/>
    <s v="M/S GOENKA AUTO PRIVATE LIMITED."/>
    <s v="VARANASI"/>
    <s v="30-Oct-24"/>
    <s v="23-Jul-25"/>
    <n v="1165"/>
    <n v="50000"/>
    <n v="5"/>
    <s v="S"/>
    <s v="T-1"/>
    <n v="790571"/>
    <s v="MC1E4EKA5SP014270"/>
    <s v="D71063329"/>
    <m/>
    <m/>
    <x v="6"/>
    <s v="31-Jul-25"/>
    <x v="0"/>
    <n v="1250"/>
    <n v="588732"/>
    <s v="28-Oct-25"/>
    <n v="1250"/>
    <n v="1475"/>
    <n v="225"/>
    <n v="112199"/>
    <s v="28-Oct-25"/>
    <n v="0"/>
    <m/>
    <m/>
    <s v="T1BS6"/>
    <s v="CVD"/>
    <s v="F"/>
  </r>
  <r>
    <n v="870"/>
    <s v="NORTH"/>
    <s v="UTTAR PRADESH"/>
    <n v="7134"/>
    <s v="M/S GOENKA AUTO PRIVATE LIMITED."/>
    <s v="VARANASI"/>
    <s v="29-Mar-25"/>
    <s v="28-Jul-25"/>
    <n v="1165"/>
    <n v="10000"/>
    <n v="2"/>
    <s v="S"/>
    <s v="T26"/>
    <n v="789022"/>
    <s v="MC1E4FCA1SP023116"/>
    <s v="D71076361"/>
    <m/>
    <m/>
    <x v="6"/>
    <s v="31-Jul-25"/>
    <x v="0"/>
    <n v="0"/>
    <n v="588732"/>
    <s v="28-Oct-25"/>
    <n v="0"/>
    <n v="0"/>
    <n v="0"/>
    <n v="112199"/>
    <s v="28-Oct-25"/>
    <n v="0"/>
    <m/>
    <m/>
    <s v="T26BS6"/>
    <s v="CVD"/>
    <s v="P"/>
  </r>
  <r>
    <n v="871"/>
    <s v="NORTH"/>
    <s v="UTTAR PRADESH"/>
    <n v="7134"/>
    <s v="M/S GOENKA AUTO PRIVATE LIMITED."/>
    <s v="VARANASI"/>
    <s v="25-Mar-25"/>
    <s v="29-Jul-25"/>
    <n v="908"/>
    <n v="29848"/>
    <n v="2"/>
    <s v="S"/>
    <s v="T-1"/>
    <n v="797307"/>
    <s v="MC1E4CAA0SP084507"/>
    <s v="D71071034"/>
    <m/>
    <m/>
    <x v="6"/>
    <s v="31-Jul-25"/>
    <x v="0"/>
    <n v="1250"/>
    <n v="588732"/>
    <s v="28-Oct-25"/>
    <n v="1250"/>
    <n v="1475"/>
    <n v="225"/>
    <n v="112199"/>
    <s v="28-Oct-25"/>
    <n v="0"/>
    <m/>
    <m/>
    <s v="T1BS6N"/>
    <s v="CVD"/>
    <s v="F"/>
  </r>
  <r>
    <n v="872"/>
    <s v="NORTH"/>
    <s v="UTTAR PRADESH"/>
    <n v="7134"/>
    <s v="M/S GOENKA AUTO PRIVATE LIMITED."/>
    <s v="VARANASI"/>
    <s v="30-Mar-25"/>
    <s v="10-Jul-25"/>
    <n v="920"/>
    <n v="3336"/>
    <n v="2"/>
    <s v="S"/>
    <s v="TRAX"/>
    <n v="327482"/>
    <s v="MC1D4DBA6SP107417"/>
    <s v="D72019042"/>
    <m/>
    <m/>
    <x v="6"/>
    <s v="31-Jul-25"/>
    <x v="0"/>
    <n v="0"/>
    <n v="588732"/>
    <s v="28-Oct-25"/>
    <n v="0"/>
    <n v="0"/>
    <n v="0"/>
    <n v="112199"/>
    <s v="28-Oct-25"/>
    <n v="0"/>
    <m/>
    <m/>
    <s v="TRXBS6"/>
    <s v="CVD"/>
    <s v="P"/>
  </r>
  <r>
    <n v="873"/>
    <s v="NORTH"/>
    <s v="UTTAR PRADESH"/>
    <n v="7134"/>
    <s v="M/S GOENKA AUTO PRIVATE LIMITED."/>
    <s v="VARANASI"/>
    <s v="29-Mar-25"/>
    <s v="15-Jul-25"/>
    <n v="1160"/>
    <n v="1700"/>
    <n v="1"/>
    <s v="S"/>
    <s v="T26"/>
    <n v="784698"/>
    <s v="MC1E4FBA0SP022668"/>
    <s v="D71071710"/>
    <m/>
    <m/>
    <x v="6"/>
    <s v="31-Jul-25"/>
    <x v="0"/>
    <n v="1250"/>
    <n v="588732"/>
    <s v="28-Oct-25"/>
    <n v="1250"/>
    <n v="1475"/>
    <n v="225"/>
    <n v="112199"/>
    <s v="28-Oct-25"/>
    <n v="0"/>
    <m/>
    <m/>
    <s v="T26BS6N"/>
    <s v="CVD"/>
    <s v="F"/>
  </r>
  <r>
    <n v="874"/>
    <s v="NORTH"/>
    <s v="UTTAR PRADESH"/>
    <n v="7134"/>
    <s v="M/S GOENKA AUTO PRIVATE LIMITED."/>
    <s v="VARANASI"/>
    <s v="19-Jul-24"/>
    <s v="30-Jul-25"/>
    <n v="1165"/>
    <n v="29360"/>
    <n v="6"/>
    <s v="S"/>
    <s v="TRAX"/>
    <n v="322598"/>
    <s v="MC1D1DEA4RP001546"/>
    <s v="D72015420"/>
    <m/>
    <m/>
    <x v="6"/>
    <s v="31-Jul-25"/>
    <x v="0"/>
    <n v="0"/>
    <n v="588732"/>
    <s v="28-Oct-25"/>
    <n v="0"/>
    <n v="0"/>
    <n v="0"/>
    <n v="112199"/>
    <s v="28-Oct-25"/>
    <n v="0"/>
    <m/>
    <m/>
    <s v="TRXBS6"/>
    <s v="CVD"/>
    <s v="P"/>
  </r>
  <r>
    <n v="875"/>
    <s v="NORTH"/>
    <s v="UTTAR PRADESH"/>
    <n v="7134"/>
    <s v="M/S GOENKA AUTO PRIVATE LIMITED."/>
    <s v="VARANASI"/>
    <s v="15-Sep-23"/>
    <s v="08-Jul-25"/>
    <n v="1165"/>
    <n v="71120"/>
    <n v="11"/>
    <s v="S"/>
    <s v="T-1"/>
    <n v="752459"/>
    <s v="MC1E4EJA3RP010441"/>
    <s v="D71038477"/>
    <m/>
    <m/>
    <x v="6"/>
    <s v="31-Jul-25"/>
    <x v="0"/>
    <n v="1250"/>
    <n v="588732"/>
    <s v="28-Oct-25"/>
    <n v="1250"/>
    <n v="1475"/>
    <n v="225"/>
    <n v="112199"/>
    <s v="28-Oct-25"/>
    <n v="0"/>
    <m/>
    <m/>
    <s v="T1BS6"/>
    <s v="CVD"/>
    <s v="F"/>
  </r>
  <r>
    <n v="876"/>
    <s v="NORTH"/>
    <s v="UTTAR PRADESH"/>
    <n v="7134"/>
    <s v="M/S GOENKA AUTO PRIVATE LIMITED."/>
    <s v="VARANASI"/>
    <s v="16-Nov-24"/>
    <s v="03-Jul-25"/>
    <n v="1165"/>
    <n v="31200"/>
    <n v="3"/>
    <s v="S"/>
    <s v="T1N"/>
    <n v="4921"/>
    <s v="MC1M4AKA4SP002552"/>
    <s v="D71063800"/>
    <s v="001"/>
    <s v="SERV KMS  / HRS EXCEEDS"/>
    <x v="6"/>
    <s v="31-Jul-25"/>
    <x v="0"/>
    <n v="1650"/>
    <n v="588732"/>
    <s v="28-Oct-25"/>
    <n v="1320"/>
    <n v="1947"/>
    <n v="297"/>
    <n v="112199"/>
    <s v="28-Oct-25"/>
    <n v="330"/>
    <m/>
    <m/>
    <s v="URBN"/>
    <s v="CVD"/>
    <s v="F"/>
  </r>
  <r>
    <n v="877"/>
    <s v="NORTH"/>
    <s v="UTTAR PRADESH"/>
    <n v="7134"/>
    <s v="M/S GOENKA AUTO PRIVATE LIMITED."/>
    <s v="VARANASI"/>
    <s v="26-Mar-25"/>
    <s v="18-Jul-25"/>
    <n v="1165"/>
    <n v="10270"/>
    <n v="2"/>
    <s v="S"/>
    <s v="T-1"/>
    <n v="801400"/>
    <s v="MC1E4DCA0SP056435"/>
    <s v="D71075442"/>
    <m/>
    <m/>
    <x v="6"/>
    <s v="31-Jul-25"/>
    <x v="0"/>
    <n v="0"/>
    <n v="588732"/>
    <s v="28-Oct-25"/>
    <n v="0"/>
    <n v="0"/>
    <n v="0"/>
    <n v="112199"/>
    <s v="28-Oct-25"/>
    <n v="0"/>
    <m/>
    <m/>
    <s v="T1BS6"/>
    <s v="CVD"/>
    <s v="P"/>
  </r>
  <r>
    <n v="878"/>
    <s v="NORTH"/>
    <s v="UTTAR PRADESH"/>
    <n v="7134"/>
    <s v="M/S GOENKA AUTO PRIVATE LIMITED."/>
    <s v="VARANASI"/>
    <s v="30-Aug-24"/>
    <s v="18-Jul-25"/>
    <n v="1165"/>
    <n v="41170"/>
    <n v="5"/>
    <s v="S"/>
    <s v="T-1"/>
    <n v="786160"/>
    <s v="MC1E4EGA5SP013614"/>
    <s v="D71059197"/>
    <s v="002"/>
    <s v="SERV DATE EXCEEDS"/>
    <x v="6"/>
    <s v="31-Jul-25"/>
    <x v="0"/>
    <n v="1250"/>
    <n v="588732"/>
    <s v="28-Oct-25"/>
    <n v="1000"/>
    <n v="1475"/>
    <n v="225"/>
    <n v="112199"/>
    <s v="28-Oct-25"/>
    <n v="250"/>
    <m/>
    <m/>
    <s v="T1BS6"/>
    <s v="CVD"/>
    <s v="F"/>
  </r>
  <r>
    <n v="879"/>
    <s v="NORTH"/>
    <s v="UTTAR PRADESH"/>
    <n v="7134"/>
    <s v="M/S GOENKA AUTO PRIVATE LIMITED."/>
    <s v="VARANASI"/>
    <s v="29-Mar-25"/>
    <s v="04-Jul-25"/>
    <n v="1150"/>
    <n v="6650"/>
    <n v="1"/>
    <s v="S"/>
    <s v="T-1"/>
    <n v="778233"/>
    <s v="MC1E5EBA4SP003273"/>
    <s v="D73001702"/>
    <s v="002"/>
    <s v="SERV DATE EXCEEDS"/>
    <x v="6"/>
    <s v="31-Jul-25"/>
    <x v="0"/>
    <n v="1250"/>
    <n v="588732"/>
    <s v="28-Oct-25"/>
    <n v="1000"/>
    <n v="1475"/>
    <n v="225"/>
    <n v="112199"/>
    <s v="28-Oct-25"/>
    <n v="250"/>
    <m/>
    <m/>
    <s v="T1CNGL"/>
    <s v="CVD"/>
    <s v="F"/>
  </r>
  <r>
    <n v="880"/>
    <s v="NORTH"/>
    <s v="UTTAR PRADESH"/>
    <n v="7134"/>
    <s v="M/S GOENKA AUTO PRIVATE LIMITED."/>
    <s v="VARANASI"/>
    <s v="29-Oct-24"/>
    <s v="25-Jul-25"/>
    <n v="1165"/>
    <n v="42500"/>
    <n v="4"/>
    <s v="S"/>
    <s v="T-1"/>
    <n v="790578"/>
    <s v="MC1E4EKA4SP014275"/>
    <s v="D71063275"/>
    <s v="001"/>
    <s v="SERV KMS  / HRS EXCEEDS"/>
    <x v="6"/>
    <s v="31-Jul-25"/>
    <x v="0"/>
    <n v="0"/>
    <n v="588732"/>
    <s v="28-Oct-25"/>
    <n v="0"/>
    <n v="0"/>
    <n v="0"/>
    <n v="112199"/>
    <s v="28-Oct-25"/>
    <n v="0"/>
    <m/>
    <m/>
    <s v="T1BS6"/>
    <s v="CVD"/>
    <s v="P"/>
  </r>
  <r>
    <n v="881"/>
    <s v="NORTH"/>
    <s v="UTTAR PRADESH"/>
    <n v="7134"/>
    <s v="M/S GOENKA AUTO PRIVATE LIMITED."/>
    <s v="VARANASI"/>
    <s v="24-Mar-25"/>
    <s v="28-Jul-25"/>
    <n v="897"/>
    <n v="29486"/>
    <n v="2"/>
    <s v="S"/>
    <s v="T-1"/>
    <n v="796131"/>
    <s v="MC1E4CAA5SP083398"/>
    <s v="D71069236"/>
    <m/>
    <m/>
    <x v="6"/>
    <s v="31-Jul-25"/>
    <x v="0"/>
    <n v="1250"/>
    <n v="588732"/>
    <s v="28-Oct-25"/>
    <n v="1250"/>
    <n v="1475"/>
    <n v="225"/>
    <n v="112199"/>
    <s v="28-Oct-25"/>
    <n v="0"/>
    <m/>
    <m/>
    <s v="T1BS6N"/>
    <s v="CVD"/>
    <s v="F"/>
  </r>
  <r>
    <n v="882"/>
    <s v="NORTH"/>
    <s v="UTTAR PRADESH"/>
    <n v="7134"/>
    <s v="M/S GOENKA AUTO PRIVATE LIMITED."/>
    <s v="VARANASI"/>
    <s v="18-Apr-24"/>
    <s v="13-Jul-25"/>
    <n v="1165"/>
    <n v="30984"/>
    <n v="3"/>
    <s v="S"/>
    <s v="T-1"/>
    <n v="771812"/>
    <s v="MC1E4DBA7RP051129"/>
    <s v="D71047827"/>
    <m/>
    <m/>
    <x v="6"/>
    <s v="31-Jul-25"/>
    <x v="0"/>
    <n v="1250"/>
    <n v="588732"/>
    <s v="28-Oct-25"/>
    <n v="1250"/>
    <n v="1475"/>
    <n v="225"/>
    <n v="112199"/>
    <s v="28-Oct-25"/>
    <n v="0"/>
    <m/>
    <m/>
    <s v="T1BS6N"/>
    <s v="CVD"/>
    <s v="F"/>
  </r>
  <r>
    <n v="883"/>
    <s v="NORTH"/>
    <s v="UTTAR PRADESH"/>
    <n v="7134"/>
    <s v="M/S GOENKA AUTO PRIVATE LIMITED."/>
    <s v="VARANASI"/>
    <s v="21-Jan-25"/>
    <s v="22-Jun-25"/>
    <n v="1165"/>
    <n v="7312"/>
    <n v="2"/>
    <s v="S"/>
    <s v="T-1"/>
    <n v="782713"/>
    <s v="MC1E4DHA4SP054308"/>
    <s v="D71060911"/>
    <m/>
    <m/>
    <x v="6"/>
    <s v="31-Jul-25"/>
    <x v="0"/>
    <n v="1250"/>
    <n v="588732"/>
    <s v="28-Oct-25"/>
    <n v="1250"/>
    <n v="1475"/>
    <n v="225"/>
    <n v="112199"/>
    <s v="28-Oct-25"/>
    <n v="0"/>
    <m/>
    <m/>
    <s v="T1BS6N"/>
    <s v="CVD"/>
    <s v="F"/>
  </r>
  <r>
    <n v="884"/>
    <s v="NORTH"/>
    <s v="UTTAR PRADESH"/>
    <n v="7134"/>
    <s v="M/S GOENKA AUTO PRIVATE LIMITED."/>
    <s v="VARANASI"/>
    <s v="26-May-25"/>
    <s v="21-Jul-25"/>
    <n v="1165"/>
    <n v="5054"/>
    <n v="1"/>
    <s v="S"/>
    <s v="T-1"/>
    <n v="778995"/>
    <s v="MC1E5DDA1SP000645"/>
    <s v="D73001860"/>
    <m/>
    <m/>
    <x v="6"/>
    <s v="31-Jul-25"/>
    <x v="0"/>
    <n v="1250"/>
    <n v="588732"/>
    <s v="28-Oct-25"/>
    <n v="1250"/>
    <n v="1475"/>
    <n v="225"/>
    <n v="112199"/>
    <s v="28-Oct-25"/>
    <n v="0"/>
    <m/>
    <m/>
    <s v="T1CNGL"/>
    <s v="CVD"/>
    <s v="F"/>
  </r>
  <r>
    <n v="885"/>
    <s v="NORTH"/>
    <s v="UTTAR PRADESH"/>
    <n v="7134"/>
    <s v="M/S GOENKA AUTO PRIVATE LIMITED."/>
    <s v="VARANASI"/>
    <s v="19-Jul-24"/>
    <s v="27-Jul-25"/>
    <n v="1165"/>
    <n v="28908"/>
    <n v="6"/>
    <s v="S"/>
    <s v="TRAX"/>
    <n v="322625"/>
    <s v="MC1D1DEA3RP001537"/>
    <s v="D72015316"/>
    <m/>
    <m/>
    <x v="6"/>
    <s v="31-Jul-25"/>
    <x v="0"/>
    <n v="0"/>
    <n v="588732"/>
    <s v="28-Oct-25"/>
    <n v="0"/>
    <n v="0"/>
    <n v="0"/>
    <n v="112199"/>
    <s v="28-Oct-25"/>
    <n v="0"/>
    <m/>
    <m/>
    <s v="TRXBS6"/>
    <s v="CVD"/>
    <s v="P"/>
  </r>
  <r>
    <n v="886"/>
    <s v="NORTH"/>
    <s v="UTTAR PRADESH"/>
    <n v="7134"/>
    <s v="M/S GOENKA AUTO PRIVATE LIMITED."/>
    <s v="VARANASI"/>
    <s v="23-Mar-25"/>
    <s v="14-Jul-25"/>
    <n v="875"/>
    <n v="30000"/>
    <n v="2"/>
    <s v="S"/>
    <s v="T-1"/>
    <n v="796123"/>
    <s v="MC1E4CAAXSP083574"/>
    <s v="D71069315"/>
    <m/>
    <m/>
    <x v="6"/>
    <s v="31-Jul-25"/>
    <x v="0"/>
    <n v="1250"/>
    <n v="588732"/>
    <s v="28-Oct-25"/>
    <n v="1250"/>
    <n v="1475"/>
    <n v="225"/>
    <n v="112199"/>
    <s v="28-Oct-25"/>
    <n v="0"/>
    <m/>
    <m/>
    <s v="T1BS6N"/>
    <s v="CVD"/>
    <s v="F"/>
  </r>
  <r>
    <n v="887"/>
    <s v="NORTH"/>
    <s v="UTTAR PRADESH"/>
    <n v="7134"/>
    <s v="M/S GOENKA AUTO PRIVATE LIMITED."/>
    <s v="VARANASI"/>
    <s v="31-Aug-24"/>
    <s v="03-Jul-25"/>
    <n v="1165"/>
    <n v="25120"/>
    <n v="4"/>
    <s v="S"/>
    <s v="T1N"/>
    <n v="4929"/>
    <s v="MC1M4AGA2SP002056"/>
    <s v="D71058792"/>
    <m/>
    <m/>
    <x v="6"/>
    <s v="31-Jul-25"/>
    <x v="0"/>
    <n v="0"/>
    <n v="588732"/>
    <s v="28-Oct-25"/>
    <n v="0"/>
    <n v="0"/>
    <n v="0"/>
    <n v="112199"/>
    <s v="28-Oct-25"/>
    <n v="0"/>
    <m/>
    <m/>
    <s v="URBN"/>
    <s v="CVD"/>
    <s v="P"/>
  </r>
  <r>
    <n v="888"/>
    <s v="NORTH"/>
    <s v="UTTAR PRADESH"/>
    <n v="7134"/>
    <s v="M/S GOENKA AUTO PRIVATE LIMITED."/>
    <s v="VARANASI"/>
    <s v="22-Mar-25"/>
    <s v="20-Jul-25"/>
    <n v="1165"/>
    <n v="3550"/>
    <n v="2"/>
    <s v="S"/>
    <s v="TRAX"/>
    <n v="328462"/>
    <s v="MC1D1DCA2SP001618"/>
    <s v="D72019587"/>
    <m/>
    <m/>
    <x v="6"/>
    <s v="31-Jul-25"/>
    <x v="0"/>
    <n v="0"/>
    <n v="588732"/>
    <s v="28-Oct-25"/>
    <n v="0"/>
    <n v="0"/>
    <n v="0"/>
    <n v="112199"/>
    <s v="28-Oct-25"/>
    <n v="0"/>
    <m/>
    <m/>
    <s v="TRXBS6"/>
    <s v="CVD"/>
    <s v="P"/>
  </r>
  <r>
    <n v="889"/>
    <s v="NORTH"/>
    <s v="UTTAR PRADESH"/>
    <n v="7134"/>
    <s v="M/S GOENKA AUTO PRIVATE LIMITED."/>
    <s v="VARANASI"/>
    <s v="06-Mar-25"/>
    <s v="07-Jul-25"/>
    <n v="1165"/>
    <n v="20000"/>
    <n v="2"/>
    <s v="S"/>
    <s v="TRAX"/>
    <n v="327885"/>
    <s v="MC1D4DAA9SP107140"/>
    <s v="D72018775"/>
    <m/>
    <m/>
    <x v="6"/>
    <s v="31-Jul-25"/>
    <x v="0"/>
    <n v="0"/>
    <n v="588732"/>
    <s v="28-Oct-25"/>
    <n v="0"/>
    <n v="0"/>
    <n v="0"/>
    <n v="112199"/>
    <s v="28-Oct-25"/>
    <n v="0"/>
    <m/>
    <m/>
    <s v="TRXBS6"/>
    <s v="CVD"/>
    <s v="P"/>
  </r>
  <r>
    <n v="890"/>
    <s v="NORTH"/>
    <s v="UTTAR PRADESH"/>
    <n v="7134"/>
    <s v="M/S GOENKA AUTO PRIVATE LIMITED."/>
    <s v="VARANASI"/>
    <s v="29-Jun-24"/>
    <s v="15-Jul-25"/>
    <n v="1165"/>
    <n v="86880"/>
    <n v="9"/>
    <s v="S"/>
    <s v="T-1"/>
    <n v="775226"/>
    <s v="MC1E4EFA5RP013091"/>
    <s v="D71055952"/>
    <m/>
    <m/>
    <x v="6"/>
    <s v="31-Jul-25"/>
    <x v="0"/>
    <n v="0"/>
    <n v="588732"/>
    <s v="28-Oct-25"/>
    <n v="0"/>
    <n v="0"/>
    <n v="0"/>
    <n v="112199"/>
    <s v="28-Oct-25"/>
    <n v="0"/>
    <m/>
    <m/>
    <s v="T1BS6"/>
    <s v="CVD"/>
    <s v="P"/>
  </r>
  <r>
    <n v="891"/>
    <s v="NORTH"/>
    <s v="UTTAR PRADESH"/>
    <n v="7134"/>
    <s v="M/S GOENKA AUTO PRIVATE LIMITED."/>
    <s v="VARANASI"/>
    <s v="07-Jun-25"/>
    <s v="27-Jul-25"/>
    <n v="1165"/>
    <n v="10000"/>
    <n v="1"/>
    <s v="S"/>
    <s v="TRAX"/>
    <n v="328672"/>
    <s v="MC1D4DDA6SP108404"/>
    <s v="D72020089"/>
    <m/>
    <m/>
    <x v="6"/>
    <s v="31-Jul-25"/>
    <x v="0"/>
    <n v="1250"/>
    <n v="588732"/>
    <s v="28-Oct-25"/>
    <n v="1250"/>
    <n v="1475"/>
    <n v="225"/>
    <n v="112199"/>
    <s v="28-Oct-25"/>
    <n v="0"/>
    <m/>
    <m/>
    <s v="TRXBS6"/>
    <s v="CVD"/>
    <s v="F"/>
  </r>
  <r>
    <n v="892"/>
    <s v="NORTH"/>
    <s v="UTTAR PRADESH"/>
    <n v="7134"/>
    <s v="M/S GOENKA AUTO PRIVATE LIMITED."/>
    <s v="VARANASI"/>
    <s v="07-Jun-25"/>
    <s v="13-Jul-25"/>
    <n v="1165"/>
    <n v="9639"/>
    <n v="1"/>
    <s v="S"/>
    <s v="TRAX"/>
    <n v="326024"/>
    <s v="MC1D4DLA4SP106328"/>
    <s v="D72017786"/>
    <m/>
    <m/>
    <x v="6"/>
    <s v="31-Jul-25"/>
    <x v="0"/>
    <n v="1250"/>
    <n v="588732"/>
    <s v="28-Oct-25"/>
    <n v="1250"/>
    <n v="1475"/>
    <n v="225"/>
    <n v="112199"/>
    <s v="28-Oct-25"/>
    <n v="0"/>
    <m/>
    <m/>
    <s v="TRXBS6"/>
    <s v="CVD"/>
    <s v="F"/>
  </r>
  <r>
    <n v="893"/>
    <s v="NORTH"/>
    <s v="UTTAR PRADESH"/>
    <n v="7134"/>
    <s v="M/S GOENKA AUTO PRIVATE LIMITED."/>
    <s v="VARANASI"/>
    <s v="11-Dec-23"/>
    <s v="22-Jun-25"/>
    <n v="1165"/>
    <n v="23373"/>
    <n v="9"/>
    <s v="S"/>
    <s v="T26"/>
    <n v="749302"/>
    <s v="MC1E4FFA2PP017232"/>
    <s v="D71034038"/>
    <m/>
    <m/>
    <x v="6"/>
    <s v="31-Jul-25"/>
    <x v="0"/>
    <n v="0"/>
    <n v="588732"/>
    <s v="28-Oct-25"/>
    <n v="0"/>
    <n v="0"/>
    <n v="0"/>
    <n v="112199"/>
    <s v="28-Oct-25"/>
    <n v="0"/>
    <m/>
    <m/>
    <s v="T26BS6"/>
    <s v="CVD"/>
    <s v="P"/>
  </r>
  <r>
    <n v="894"/>
    <s v="NORTH"/>
    <s v="UTTAR PRADESH"/>
    <n v="7134"/>
    <s v="M/S GOENKA AUTO PRIVATE LIMITED."/>
    <s v="VARANASI"/>
    <s v="24-Mar-25"/>
    <s v="25-Jul-25"/>
    <n v="883"/>
    <n v="29668"/>
    <n v="2"/>
    <s v="S"/>
    <s v="T-1"/>
    <n v="798650"/>
    <s v="MC1E4CAA0SP084197"/>
    <s v="D71070488"/>
    <m/>
    <m/>
    <x v="6"/>
    <s v="31-Jul-25"/>
    <x v="0"/>
    <n v="1250"/>
    <n v="588732"/>
    <s v="28-Oct-25"/>
    <n v="1250"/>
    <n v="1475"/>
    <n v="225"/>
    <n v="112199"/>
    <s v="28-Oct-25"/>
    <n v="0"/>
    <m/>
    <m/>
    <s v="T1BS6N"/>
    <s v="CVD"/>
    <s v="F"/>
  </r>
  <r>
    <n v="895"/>
    <s v="NORTH"/>
    <s v="UTTAR PRADESH"/>
    <n v="7134"/>
    <s v="M/S GOENKA AUTO PRIVATE LIMITED."/>
    <s v="VARANASI"/>
    <s v="22-Mar-25"/>
    <s v="31-Jul-25"/>
    <n v="869"/>
    <n v="26987"/>
    <n v="2"/>
    <s v="S"/>
    <s v="T-1"/>
    <n v="796545"/>
    <s v="MC1E4CAA2SP083746"/>
    <s v="D71069835"/>
    <s v="022"/>
    <s v="SERVICE COUPON HARD COPY NOT RECEIVED"/>
    <x v="6"/>
    <s v="31-Jul-25"/>
    <x v="0"/>
    <n v="1250"/>
    <n v="588732"/>
    <s v="28-Oct-25"/>
    <n v="0"/>
    <n v="1475"/>
    <n v="225"/>
    <n v="112199"/>
    <s v="28-Oct-25"/>
    <n v="1250"/>
    <m/>
    <m/>
    <s v="T1BS6N"/>
    <s v="CVD"/>
    <s v="F"/>
  </r>
  <r>
    <n v="896"/>
    <s v="NORTH"/>
    <s v="UTTAR PRADESH"/>
    <n v="7134"/>
    <s v="M/S GOENKA AUTO PRIVATE LIMITED."/>
    <s v="VARANASI"/>
    <s v="23-Apr-24"/>
    <s v="10-Jul-25"/>
    <n v="1165"/>
    <n v="89300"/>
    <n v="9"/>
    <s v="S"/>
    <s v="T1N"/>
    <n v="3489"/>
    <s v="MC1M4ADA5RP001370"/>
    <s v="D71052482"/>
    <m/>
    <m/>
    <x v="6"/>
    <s v="31-Jul-25"/>
    <x v="0"/>
    <n v="0"/>
    <n v="588732"/>
    <s v="28-Oct-25"/>
    <n v="0"/>
    <n v="0"/>
    <n v="0"/>
    <n v="112199"/>
    <s v="28-Oct-25"/>
    <n v="0"/>
    <m/>
    <m/>
    <s v="URBN"/>
    <s v="CVD"/>
    <s v="P"/>
  </r>
  <r>
    <n v="897"/>
    <s v="NORTH"/>
    <s v="UTTAR PRADESH"/>
    <n v="7134"/>
    <s v="M/S GOENKA AUTO PRIVATE LIMITED."/>
    <s v="VARANASI"/>
    <s v="09-Aug-24"/>
    <s v="18-Jul-25"/>
    <n v="1165"/>
    <n v="69300"/>
    <n v="7"/>
    <s v="S"/>
    <s v="T-1"/>
    <n v="774600"/>
    <s v="MC1E4EFA8RP013148"/>
    <s v="D71056274"/>
    <m/>
    <m/>
    <x v="6"/>
    <s v="31-Jul-25"/>
    <x v="0"/>
    <n v="0"/>
    <n v="588732"/>
    <s v="28-Oct-25"/>
    <n v="0"/>
    <n v="0"/>
    <n v="0"/>
    <n v="112199"/>
    <s v="28-Oct-25"/>
    <n v="0"/>
    <m/>
    <m/>
    <s v="T1BS6"/>
    <s v="CVD"/>
    <s v="P"/>
  </r>
  <r>
    <n v="898"/>
    <s v="NORTH"/>
    <s v="UTTAR PRADESH"/>
    <n v="7134"/>
    <s v="M/S GOENKA AUTO PRIVATE LIMITED."/>
    <s v="VARANASI"/>
    <s v="30-Mar-25"/>
    <s v="06-Jul-25"/>
    <n v="1165"/>
    <n v="1981"/>
    <n v="1"/>
    <s v="S"/>
    <s v="T-1"/>
    <n v="796641"/>
    <s v="MC1E4DCA0SP056225"/>
    <s v="D71074854"/>
    <m/>
    <m/>
    <x v="6"/>
    <s v="31-Jul-25"/>
    <x v="0"/>
    <n v="1250"/>
    <n v="588732"/>
    <s v="28-Oct-25"/>
    <n v="1250"/>
    <n v="1475"/>
    <n v="225"/>
    <n v="112199"/>
    <s v="28-Oct-25"/>
    <n v="0"/>
    <m/>
    <m/>
    <s v="T1BS6N"/>
    <s v="CVD"/>
    <s v="F"/>
  </r>
  <r>
    <n v="899"/>
    <s v="NORTH"/>
    <s v="UTTAR PRADESH"/>
    <n v="7134"/>
    <s v="M/S GOENKA AUTO PRIVATE LIMITED."/>
    <s v="VARANASI"/>
    <s v="27-Jan-25"/>
    <s v="11-Jul-25"/>
    <n v="2500"/>
    <n v="29650"/>
    <n v="3"/>
    <s v="S"/>
    <s v="T-1"/>
    <n v="792320"/>
    <s v="MC1E4EKA6SP014620"/>
    <s v="D71065098"/>
    <m/>
    <m/>
    <x v="6"/>
    <s v="31-Jul-25"/>
    <x v="0"/>
    <n v="1250"/>
    <n v="588732"/>
    <s v="28-Oct-25"/>
    <n v="1250"/>
    <n v="1475"/>
    <n v="225"/>
    <n v="112199"/>
    <s v="28-Oct-25"/>
    <n v="0"/>
    <m/>
    <m/>
    <s v="T1BS6"/>
    <s v="CVD"/>
    <s v="F"/>
  </r>
  <r>
    <n v="900"/>
    <s v="NORTH"/>
    <s v="UTTAR PRADESH"/>
    <n v="7134"/>
    <s v="M/S GOENKA AUTO PRIVATE LIMITED."/>
    <s v="VARANASI"/>
    <s v="21-Sep-24"/>
    <s v="16-Jul-25"/>
    <n v="1150"/>
    <n v="41000"/>
    <n v="5"/>
    <s v="S"/>
    <s v="T-1"/>
    <n v="787826"/>
    <s v="MC1E4EJA5SP013895"/>
    <s v="D71061564"/>
    <m/>
    <m/>
    <x v="6"/>
    <s v="31-Jul-25"/>
    <x v="0"/>
    <n v="1250"/>
    <n v="588732"/>
    <s v="28-Oct-25"/>
    <n v="1250"/>
    <n v="1475"/>
    <n v="225"/>
    <n v="112199"/>
    <s v="28-Oct-25"/>
    <n v="0"/>
    <m/>
    <m/>
    <s v="T1BS6"/>
    <s v="CVD"/>
    <s v="F"/>
  </r>
  <r>
    <n v="901"/>
    <s v="NORTH"/>
    <s v="UTTAR PRADESH"/>
    <n v="7134"/>
    <s v="M/S GOENKA AUTO PRIVATE LIMITED."/>
    <s v="VARANASI"/>
    <s v="24-Mar-25"/>
    <s v="29-Jul-25"/>
    <n v="872"/>
    <n v="26266"/>
    <n v="2"/>
    <s v="S"/>
    <s v="T-1"/>
    <n v="796573"/>
    <s v="MC1E4CAA0SP084278"/>
    <s v="D71070689"/>
    <m/>
    <m/>
    <x v="6"/>
    <s v="31-Jul-25"/>
    <x v="0"/>
    <n v="1250"/>
    <n v="588732"/>
    <s v="28-Oct-25"/>
    <n v="1250"/>
    <n v="1475"/>
    <n v="225"/>
    <n v="112199"/>
    <s v="28-Oct-25"/>
    <n v="0"/>
    <m/>
    <m/>
    <s v="T1BS6N"/>
    <s v="CVD"/>
    <s v="F"/>
  </r>
  <r>
    <n v="902"/>
    <s v="NORTH"/>
    <s v="UTTAR PRADESH"/>
    <n v="7134"/>
    <s v="M/S GOENKA AUTO PRIVATE LIMITED."/>
    <s v="VARANASI"/>
    <s v="20-Jan-25"/>
    <s v="28-Jul-25"/>
    <n v="1165"/>
    <n v="19466"/>
    <n v="3"/>
    <s v="S"/>
    <s v="T26"/>
    <n v="789052"/>
    <s v="MC1E4FAAXSP022100"/>
    <s v="D71067934"/>
    <m/>
    <m/>
    <x v="6"/>
    <s v="31-Jul-25"/>
    <x v="0"/>
    <n v="1250"/>
    <n v="588732"/>
    <s v="28-Oct-25"/>
    <n v="1250"/>
    <n v="1475"/>
    <n v="225"/>
    <n v="112199"/>
    <s v="28-Oct-25"/>
    <n v="0"/>
    <m/>
    <m/>
    <s v="T26BS6"/>
    <s v="CVD"/>
    <s v="F"/>
  </r>
  <r>
    <n v="903"/>
    <s v="NORTH"/>
    <s v="UTTAR PRADESH"/>
    <n v="7134"/>
    <s v="M/S GOENKA AUTO PRIVATE LIMITED."/>
    <s v="VARANASI"/>
    <s v="28-Oct-24"/>
    <s v="14-Jul-25"/>
    <n v="1165"/>
    <n v="37880"/>
    <n v="4"/>
    <s v="S"/>
    <s v="T1N"/>
    <n v="4952"/>
    <s v="MC1M4AKA7SP002562"/>
    <s v="D71063886"/>
    <m/>
    <m/>
    <x v="6"/>
    <s v="31-Jul-25"/>
    <x v="0"/>
    <n v="0"/>
    <n v="588732"/>
    <s v="28-Oct-25"/>
    <n v="0"/>
    <n v="0"/>
    <n v="0"/>
    <n v="112199"/>
    <s v="28-Oct-25"/>
    <n v="0"/>
    <m/>
    <m/>
    <s v="URBN"/>
    <s v="CVD"/>
    <s v="P"/>
  </r>
  <r>
    <n v="904"/>
    <s v="NORTH"/>
    <s v="UTTAR PRADESH"/>
    <n v="7134"/>
    <s v="M/S GOENKA AUTO PRIVATE LIMITED."/>
    <s v="VARANASI"/>
    <s v="28-Jan-25"/>
    <s v="21-Jul-25"/>
    <n v="1165"/>
    <n v="18637"/>
    <n v="3"/>
    <s v="S"/>
    <s v="T-1"/>
    <n v="792099"/>
    <s v="MC1E4ELA2SP014662"/>
    <s v="D71065325"/>
    <m/>
    <m/>
    <x v="6"/>
    <s v="31-Jul-25"/>
    <x v="0"/>
    <n v="1250"/>
    <n v="588732"/>
    <s v="28-Oct-25"/>
    <n v="1250"/>
    <n v="1475"/>
    <n v="225"/>
    <n v="112199"/>
    <s v="28-Oct-25"/>
    <n v="0"/>
    <m/>
    <m/>
    <s v="T1BS6"/>
    <s v="CVD"/>
    <s v="F"/>
  </r>
  <r>
    <n v="905"/>
    <s v="NORTH"/>
    <s v="UTTAR PRADESH"/>
    <n v="7134"/>
    <s v="M/S GOENKA AUTO PRIVATE LIMITED."/>
    <s v="VARANASI"/>
    <s v="22-Mar-25"/>
    <s v="20-Jul-25"/>
    <n v="1165"/>
    <n v="4890"/>
    <n v="2"/>
    <s v="S"/>
    <s v="TRAX"/>
    <n v="328028"/>
    <s v="MC1D1DBA7SP001616"/>
    <s v="D72018969"/>
    <m/>
    <m/>
    <x v="6"/>
    <s v="31-Jul-25"/>
    <x v="0"/>
    <n v="0"/>
    <n v="588732"/>
    <s v="28-Oct-25"/>
    <n v="0"/>
    <n v="0"/>
    <n v="0"/>
    <n v="112199"/>
    <s v="28-Oct-25"/>
    <n v="0"/>
    <m/>
    <m/>
    <s v="TRXBS6"/>
    <s v="CVD"/>
    <s v="P"/>
  </r>
  <r>
    <n v="906"/>
    <s v="NORTH"/>
    <s v="UTTAR PRADESH"/>
    <n v="7134"/>
    <s v="M/S GOENKA AUTO PRIVATE LIMITED."/>
    <s v="VARANASI"/>
    <s v="24-Mar-25"/>
    <s v="28-Jul-25"/>
    <n v="1165"/>
    <n v="4762"/>
    <n v="2"/>
    <s v="S"/>
    <s v="T26"/>
    <n v="794594"/>
    <s v="MC1E4FCA4SP023076"/>
    <s v="D71075966"/>
    <m/>
    <m/>
    <x v="6"/>
    <s v="31-Jul-25"/>
    <x v="0"/>
    <n v="0"/>
    <n v="588732"/>
    <s v="28-Oct-25"/>
    <n v="0"/>
    <n v="0"/>
    <n v="0"/>
    <n v="112199"/>
    <s v="28-Oct-25"/>
    <n v="0"/>
    <m/>
    <m/>
    <s v="T26BS6"/>
    <s v="CVD"/>
    <s v="P"/>
  </r>
  <r>
    <n v="907"/>
    <s v="NORTH"/>
    <s v="UTTAR PRADESH"/>
    <n v="7134"/>
    <s v="M/S GOENKA AUTO PRIVATE LIMITED."/>
    <s v="VARANASI"/>
    <s v="16-Oct-24"/>
    <s v="15-Jul-25"/>
    <n v="1165"/>
    <n v="9324"/>
    <n v="4"/>
    <s v="S"/>
    <s v="TRAX"/>
    <n v="324754"/>
    <s v="MC1D4DJA6SP105491"/>
    <s v="D72016912"/>
    <s v="002"/>
    <s v="SERV DATE EXCEEDS"/>
    <x v="6"/>
    <s v="31-Jul-25"/>
    <x v="0"/>
    <n v="0"/>
    <n v="588732"/>
    <s v="28-Oct-25"/>
    <n v="0"/>
    <n v="0"/>
    <n v="0"/>
    <n v="112199"/>
    <s v="28-Oct-25"/>
    <n v="0"/>
    <m/>
    <m/>
    <s v="TRXBS6"/>
    <s v="CVD"/>
    <s v="P"/>
  </r>
  <r>
    <n v="908"/>
    <s v="NORTH"/>
    <s v="UTTAR PRADESH"/>
    <n v="7134"/>
    <s v="M/S GOENKA AUTO PRIVATE LIMITED."/>
    <s v="VARANASI"/>
    <s v="30-Nov-24"/>
    <s v="14-Jul-25"/>
    <n v="1165"/>
    <n v="40000"/>
    <n v="4"/>
    <s v="S"/>
    <s v="T1N"/>
    <n v="5597"/>
    <s v="MC1M4AKAXSP002667"/>
    <s v="D71064615"/>
    <m/>
    <m/>
    <x v="6"/>
    <s v="31-Jul-25"/>
    <x v="0"/>
    <n v="0"/>
    <n v="588732"/>
    <s v="28-Oct-25"/>
    <n v="0"/>
    <n v="0"/>
    <n v="0"/>
    <n v="112199"/>
    <s v="28-Oct-25"/>
    <n v="0"/>
    <m/>
    <m/>
    <s v="URBN"/>
    <s v="CVD"/>
    <s v="P"/>
  </r>
  <r>
    <n v="909"/>
    <s v="NORTH"/>
    <s v="UTTAR PRADESH"/>
    <n v="7134"/>
    <s v="M/S GOENKA AUTO PRIVATE LIMITED."/>
    <s v="VARANASI"/>
    <s v="17-Oct-24"/>
    <s v="10-Jul-25"/>
    <n v="1165"/>
    <n v="13626"/>
    <n v="5"/>
    <s v="S"/>
    <s v="T-1"/>
    <n v="781991"/>
    <s v="MC1E5DGA8SP000573"/>
    <s v="D73001418"/>
    <m/>
    <m/>
    <x v="6"/>
    <s v="31-Jul-25"/>
    <x v="0"/>
    <n v="1250"/>
    <n v="588732"/>
    <s v="28-Oct-25"/>
    <n v="1250"/>
    <n v="1475"/>
    <n v="225"/>
    <n v="112199"/>
    <s v="28-Oct-25"/>
    <n v="0"/>
    <m/>
    <m/>
    <s v="T1CNGL"/>
    <s v="CVD"/>
    <s v="F"/>
  </r>
  <r>
    <n v="910"/>
    <s v="NORTH"/>
    <s v="UTTAR PRADESH"/>
    <n v="7134"/>
    <s v="M/S GOENKA AUTO PRIVATE LIMITED."/>
    <s v="VARANASI"/>
    <s v="24-Mar-25"/>
    <s v="03-Jul-25"/>
    <n v="1165"/>
    <n v="2832"/>
    <n v="1"/>
    <s v="S"/>
    <s v="T26"/>
    <n v="784699"/>
    <s v="MC1E4FBA8SP022644"/>
    <s v="D71071824"/>
    <m/>
    <m/>
    <x v="6"/>
    <s v="31-Jul-25"/>
    <x v="0"/>
    <n v="1250"/>
    <n v="588732"/>
    <s v="28-Oct-25"/>
    <n v="1250"/>
    <n v="1475"/>
    <n v="225"/>
    <n v="112199"/>
    <s v="28-Oct-25"/>
    <n v="0"/>
    <m/>
    <m/>
    <s v="T26BS6N"/>
    <s v="CVD"/>
    <s v="F"/>
  </r>
  <r>
    <n v="911"/>
    <s v="NORTH"/>
    <s v="UTTAR PRADESH"/>
    <n v="7134"/>
    <s v="M/S GOENKA AUTO PRIVATE LIMITED."/>
    <s v="VARANASI"/>
    <s v="29-Apr-24"/>
    <s v="15-Jul-25"/>
    <n v="1165"/>
    <n v="80000"/>
    <n v="8"/>
    <s v="S"/>
    <s v="T26"/>
    <n v="776069"/>
    <s v="MC1E4FDA3RP020047"/>
    <s v="D71052347"/>
    <m/>
    <m/>
    <x v="6"/>
    <s v="31-Jul-25"/>
    <x v="0"/>
    <n v="1250"/>
    <n v="588732"/>
    <s v="28-Oct-25"/>
    <n v="1250"/>
    <n v="1475"/>
    <n v="225"/>
    <n v="112199"/>
    <s v="28-Oct-25"/>
    <n v="0"/>
    <m/>
    <m/>
    <s v="T26BS6"/>
    <s v="CVD"/>
    <s v="F"/>
  </r>
  <r>
    <n v="912"/>
    <s v="NORTH"/>
    <s v="UTTAR PRADESH"/>
    <n v="7134"/>
    <s v="M/S GOENKA AUTO PRIVATE LIMITED."/>
    <s v="VARANASI"/>
    <s v="21-Oct-24"/>
    <s v="24-Jul-25"/>
    <n v="1165"/>
    <n v="49775"/>
    <n v="5"/>
    <s v="S"/>
    <s v="T-1"/>
    <n v="787041"/>
    <s v="MC1E4EHA9SP013856"/>
    <s v="D71061114"/>
    <m/>
    <m/>
    <x v="6"/>
    <s v="31-Jul-25"/>
    <x v="0"/>
    <n v="1250"/>
    <n v="588732"/>
    <s v="28-Oct-25"/>
    <n v="1250"/>
    <n v="1475"/>
    <n v="225"/>
    <n v="112199"/>
    <s v="28-Oct-25"/>
    <n v="0"/>
    <m/>
    <m/>
    <s v="T1BS6"/>
    <s v="CVD"/>
    <s v="F"/>
  </r>
  <r>
    <n v="913"/>
    <s v="NORTH"/>
    <s v="UTTAR PRADESH"/>
    <n v="7134"/>
    <s v="M/S GOENKA AUTO PRIVATE LIMITED."/>
    <s v="VARANASI"/>
    <s v="31-Jul-24"/>
    <s v="21-Jul-25"/>
    <n v="1165"/>
    <n v="45000"/>
    <n v="5"/>
    <s v="S"/>
    <s v="T1N"/>
    <n v="5240"/>
    <s v="MC1M4AGA7SP002019"/>
    <s v="D71058503"/>
    <m/>
    <m/>
    <x v="6"/>
    <s v="31-Jul-25"/>
    <x v="0"/>
    <n v="1650"/>
    <n v="588732"/>
    <s v="28-Oct-25"/>
    <n v="1650"/>
    <n v="1947"/>
    <n v="297"/>
    <n v="112199"/>
    <s v="28-Oct-25"/>
    <n v="0"/>
    <m/>
    <m/>
    <s v="URBN"/>
    <s v="CVD"/>
    <s v="F"/>
  </r>
  <r>
    <n v="914"/>
    <s v="NORTH"/>
    <s v="UTTAR PRADESH"/>
    <n v="7134"/>
    <s v="M/S GOENKA AUTO PRIVATE LIMITED."/>
    <s v="VARANASI"/>
    <s v="24-Mar-25"/>
    <s v="29-Jul-25"/>
    <n v="889"/>
    <n v="29600"/>
    <n v="2"/>
    <s v="S"/>
    <s v="T-1"/>
    <n v="796130"/>
    <s v="MC1E4CAA9SP083839"/>
    <s v="D71069966"/>
    <m/>
    <m/>
    <x v="6"/>
    <s v="31-Jul-25"/>
    <x v="0"/>
    <n v="1250"/>
    <n v="588732"/>
    <s v="28-Oct-25"/>
    <n v="1250"/>
    <n v="1475"/>
    <n v="225"/>
    <n v="112199"/>
    <s v="28-Oct-25"/>
    <n v="0"/>
    <m/>
    <m/>
    <s v="T1BS6N"/>
    <s v="CVD"/>
    <s v="F"/>
  </r>
  <r>
    <n v="915"/>
    <s v="NORTH"/>
    <s v="UTTAR PRADESH"/>
    <n v="7134"/>
    <s v="M/S GOENKA AUTO PRIVATE LIMITED."/>
    <s v="VARANASI"/>
    <s v="26-Dec-23"/>
    <s v="07-Jul-25"/>
    <n v="951"/>
    <n v="120000"/>
    <n v="12"/>
    <s v="S"/>
    <s v="T-1"/>
    <n v="761716"/>
    <s v="MC1E4EMA6RP011224"/>
    <s v="D71043573"/>
    <m/>
    <m/>
    <x v="6"/>
    <s v="31-Jul-25"/>
    <x v="0"/>
    <n v="0"/>
    <n v="588732"/>
    <s v="28-Oct-25"/>
    <n v="0"/>
    <n v="0"/>
    <n v="0"/>
    <n v="112199"/>
    <s v="28-Oct-25"/>
    <n v="0"/>
    <m/>
    <m/>
    <s v="T1BS6"/>
    <s v="CVD"/>
    <s v="P"/>
  </r>
  <r>
    <n v="916"/>
    <s v="NORTH"/>
    <s v="UTTAR PRADESH"/>
    <n v="7134"/>
    <s v="M/S GOENKA AUTO PRIVATE LIMITED."/>
    <s v="VARANASI"/>
    <s v="30-Oct-24"/>
    <s v="24-Jul-25"/>
    <n v="983"/>
    <n v="28881"/>
    <n v="5"/>
    <s v="S"/>
    <s v="T26"/>
    <n v="789173"/>
    <s v="MC1E4FHA0SP021351"/>
    <s v="D71060818"/>
    <m/>
    <m/>
    <x v="6"/>
    <s v="31-Jul-25"/>
    <x v="0"/>
    <n v="1250"/>
    <n v="588732"/>
    <s v="28-Oct-25"/>
    <n v="1250"/>
    <n v="1475"/>
    <n v="225"/>
    <n v="112199"/>
    <s v="28-Oct-25"/>
    <n v="0"/>
    <m/>
    <m/>
    <s v="T26BS6"/>
    <s v="CVD"/>
    <s v="F"/>
  </r>
  <r>
    <n v="917"/>
    <s v="NORTH"/>
    <s v="UTTAR PRADESH"/>
    <n v="7134"/>
    <s v="M/S GOENKA AUTO PRIVATE LIMITED."/>
    <s v="VARANASI"/>
    <s v="07-Nov-23"/>
    <s v="03-Jul-25"/>
    <n v="1165"/>
    <n v="100000"/>
    <n v="10"/>
    <s v="S"/>
    <s v="TRAX"/>
    <n v="320280"/>
    <s v="MC1D4DKA3RP101830"/>
    <s v="D72012439"/>
    <m/>
    <m/>
    <x v="6"/>
    <s v="31-Jul-25"/>
    <x v="0"/>
    <n v="0"/>
    <n v="588732"/>
    <s v="28-Oct-25"/>
    <n v="0"/>
    <n v="0"/>
    <n v="0"/>
    <n v="112199"/>
    <s v="28-Oct-25"/>
    <n v="0"/>
    <m/>
    <m/>
    <s v="TRXBS6"/>
    <s v="CVD"/>
    <s v="P"/>
  </r>
  <r>
    <n v="918"/>
    <s v="NORTH"/>
    <s v="UTTAR PRADESH"/>
    <n v="7134"/>
    <s v="M/S GOENKA AUTO PRIVATE LIMITED."/>
    <s v="VARANASI"/>
    <s v="28-Jun-24"/>
    <s v="15-Jul-25"/>
    <n v="1165"/>
    <n v="77889"/>
    <n v="8"/>
    <s v="S"/>
    <s v="T-1"/>
    <n v="775503"/>
    <s v="MC1E4EEA9RP013001"/>
    <s v="D71054846"/>
    <m/>
    <m/>
    <x v="6"/>
    <s v="31-Jul-25"/>
    <x v="0"/>
    <n v="1250"/>
    <n v="588732"/>
    <s v="28-Oct-25"/>
    <n v="1250"/>
    <n v="1475"/>
    <n v="225"/>
    <n v="112199"/>
    <s v="28-Oct-25"/>
    <n v="0"/>
    <m/>
    <m/>
    <s v="T1BS6"/>
    <s v="CVD"/>
    <s v="F"/>
  </r>
  <r>
    <n v="919"/>
    <s v="NORTH"/>
    <s v="UTTAR PRADESH"/>
    <n v="7134"/>
    <s v="M/S GOENKA AUTO PRIVATE LIMITED."/>
    <s v="VARANASI"/>
    <s v="29-Mar-25"/>
    <s v="16-Jul-25"/>
    <n v="1165"/>
    <n v="11232"/>
    <n v="2"/>
    <s v="S"/>
    <s v="T26"/>
    <n v="789021"/>
    <s v="MC1E4FCA0SP023088"/>
    <s v="D71076373"/>
    <m/>
    <m/>
    <x v="6"/>
    <s v="31-Jul-25"/>
    <x v="0"/>
    <n v="0"/>
    <n v="588732"/>
    <s v="28-Oct-25"/>
    <n v="0"/>
    <n v="0"/>
    <n v="0"/>
    <n v="112199"/>
    <s v="28-Oct-25"/>
    <n v="0"/>
    <m/>
    <m/>
    <s v="T26BS6"/>
    <s v="CVD"/>
    <s v="P"/>
  </r>
  <r>
    <n v="920"/>
    <s v="NORTH"/>
    <s v="UTTAR PRADESH"/>
    <n v="7134"/>
    <s v="M/S GOENKA AUTO PRIVATE LIMITED."/>
    <s v="VARANASI"/>
    <s v="25-Mar-25"/>
    <s v="20-Jul-25"/>
    <n v="877"/>
    <n v="29623"/>
    <n v="2"/>
    <s v="S"/>
    <s v="T-1"/>
    <n v="797079"/>
    <s v="MC1E4CBA0SP085879"/>
    <s v="D71073109"/>
    <m/>
    <m/>
    <x v="6"/>
    <s v="31-Jul-25"/>
    <x v="0"/>
    <n v="1250"/>
    <n v="588732"/>
    <s v="28-Oct-25"/>
    <n v="1250"/>
    <n v="1475"/>
    <n v="225"/>
    <n v="112199"/>
    <s v="28-Oct-25"/>
    <n v="0"/>
    <m/>
    <m/>
    <s v="T1BS6N"/>
    <s v="CVD"/>
    <s v="F"/>
  </r>
  <r>
    <n v="921"/>
    <s v="NORTH"/>
    <s v="UTTAR PRADESH"/>
    <n v="7134"/>
    <s v="M/S GOENKA AUTO PRIVATE LIMITED."/>
    <s v="VARANASI"/>
    <s v="26-Mar-25"/>
    <s v="21-Jul-25"/>
    <n v="990"/>
    <n v="29464"/>
    <n v="2"/>
    <s v="S"/>
    <s v="T-1"/>
    <n v="797124"/>
    <s v="MC1E4CBA4SP086078"/>
    <s v="D71073649"/>
    <m/>
    <m/>
    <x v="6"/>
    <s v="31-Jul-25"/>
    <x v="0"/>
    <n v="1250"/>
    <n v="588732"/>
    <s v="28-Oct-25"/>
    <n v="1250"/>
    <n v="1475"/>
    <n v="225"/>
    <n v="112199"/>
    <s v="28-Oct-25"/>
    <n v="0"/>
    <m/>
    <m/>
    <s v="T1BS6N"/>
    <s v="CVD"/>
    <s v="F"/>
  </r>
  <r>
    <n v="922"/>
    <s v="NORTH"/>
    <s v="UTTAR PRADESH"/>
    <n v="7134"/>
    <s v="M/S GOENKA AUTO PRIVATE LIMITED."/>
    <s v="VARANASI"/>
    <s v="23-Apr-24"/>
    <s v="27-Jul-25"/>
    <n v="1165"/>
    <n v="20100"/>
    <n v="3"/>
    <s v="S"/>
    <s v="T-1"/>
    <n v="771204"/>
    <s v="MC1E4DCAXRP051527"/>
    <s v="D71049384"/>
    <m/>
    <m/>
    <x v="6"/>
    <s v="31-Jul-25"/>
    <x v="0"/>
    <n v="1250"/>
    <n v="588732"/>
    <s v="28-Oct-25"/>
    <n v="1250"/>
    <n v="1475"/>
    <n v="225"/>
    <n v="112199"/>
    <s v="28-Oct-25"/>
    <n v="0"/>
    <m/>
    <m/>
    <s v="T1BS6N"/>
    <s v="CVD"/>
    <s v="F"/>
  </r>
  <r>
    <n v="923"/>
    <s v="NORTH"/>
    <s v="UTTAR PRADESH"/>
    <n v="7134"/>
    <s v="M/S GOENKA AUTO PRIVATE LIMITED."/>
    <s v="VARANASI"/>
    <s v="29-Mar-25"/>
    <s v="28-Jul-25"/>
    <n v="1165"/>
    <n v="6451"/>
    <n v="2"/>
    <s v="S"/>
    <s v="T26"/>
    <n v="789024"/>
    <s v="MC1E4FCA4SP023093"/>
    <s v="D71076443"/>
    <m/>
    <m/>
    <x v="6"/>
    <s v="31-Jul-25"/>
    <x v="0"/>
    <n v="0"/>
    <n v="588732"/>
    <s v="28-Oct-25"/>
    <n v="0"/>
    <n v="0"/>
    <n v="0"/>
    <n v="112199"/>
    <s v="28-Oct-25"/>
    <n v="0"/>
    <m/>
    <m/>
    <s v="T26BS6"/>
    <s v="CVD"/>
    <s v="P"/>
  </r>
  <r>
    <n v="924"/>
    <s v="NORTH"/>
    <s v="UTTAR PRADESH"/>
    <n v="7134"/>
    <s v="M/S GOENKA AUTO PRIVATE LIMITED."/>
    <s v="VARANASI"/>
    <s v="09-Jul-24"/>
    <s v="16-Jul-25"/>
    <n v="1165"/>
    <n v="42917"/>
    <n v="6"/>
    <s v="S"/>
    <s v="TRAX"/>
    <n v="322213"/>
    <s v="MC1D4DFA2RP104728"/>
    <s v="D72015787"/>
    <m/>
    <m/>
    <x v="6"/>
    <s v="31-Jul-25"/>
    <x v="0"/>
    <n v="0"/>
    <n v="588732"/>
    <s v="28-Oct-25"/>
    <n v="0"/>
    <n v="0"/>
    <n v="0"/>
    <n v="112199"/>
    <s v="28-Oct-25"/>
    <n v="0"/>
    <m/>
    <m/>
    <s v="TRXBS6"/>
    <s v="CVD"/>
    <s v="P"/>
  </r>
  <r>
    <n v="925"/>
    <s v="NORTH"/>
    <s v="UTTAR PRADESH"/>
    <n v="7134"/>
    <s v="M/S GOENKA AUTO PRIVATE LIMITED."/>
    <s v="VARANASI"/>
    <s v="24-Aug-24"/>
    <s v="16-Jul-25"/>
    <n v="1165"/>
    <n v="90000"/>
    <n v="9"/>
    <s v="S"/>
    <s v="TRAX"/>
    <n v="322564"/>
    <s v="MC1D4DHA2SP105199"/>
    <s v="D72016528"/>
    <m/>
    <m/>
    <x v="6"/>
    <s v="31-Jul-25"/>
    <x v="0"/>
    <n v="0"/>
    <n v="588732"/>
    <s v="28-Oct-25"/>
    <n v="0"/>
    <n v="0"/>
    <n v="0"/>
    <n v="112199"/>
    <s v="28-Oct-25"/>
    <n v="0"/>
    <m/>
    <m/>
    <s v="TRXBS6"/>
    <s v="CVD"/>
    <s v="P"/>
  </r>
  <r>
    <n v="926"/>
    <s v="NORTH"/>
    <s v="UTTAR PRADESH"/>
    <n v="7134"/>
    <s v="M/S GOENKA AUTO PRIVATE LIMITED."/>
    <s v="VARANASI"/>
    <s v="24-Mar-25"/>
    <s v="25-Jul-25"/>
    <n v="859"/>
    <n v="30216"/>
    <n v="2"/>
    <s v="S"/>
    <s v="T-1"/>
    <n v="796174"/>
    <s v="MC1E4CAA5SP083515"/>
    <s v="D71069440"/>
    <m/>
    <m/>
    <x v="6"/>
    <s v="31-Jul-25"/>
    <x v="0"/>
    <n v="1250"/>
    <n v="588732"/>
    <s v="28-Oct-25"/>
    <n v="1250"/>
    <n v="1475"/>
    <n v="225"/>
    <n v="112199"/>
    <s v="28-Oct-25"/>
    <n v="0"/>
    <m/>
    <m/>
    <s v="T1BS6N"/>
    <s v="CVD"/>
    <s v="F"/>
  </r>
  <r>
    <n v="927"/>
    <s v="NORTH"/>
    <s v="UTTAR PRADESH"/>
    <n v="7134"/>
    <s v="M/S GOENKA AUTO PRIVATE LIMITED."/>
    <s v="VARANASI"/>
    <s v="31-Aug-24"/>
    <s v="04-Jul-25"/>
    <n v="1165"/>
    <n v="34623"/>
    <n v="4"/>
    <s v="S"/>
    <s v="T1N"/>
    <n v="4930"/>
    <s v="MC1M4AGA4SP002057"/>
    <s v="D71058793"/>
    <m/>
    <m/>
    <x v="6"/>
    <s v="31-Jul-25"/>
    <x v="0"/>
    <n v="0"/>
    <n v="588732"/>
    <s v="28-Oct-25"/>
    <n v="0"/>
    <n v="0"/>
    <n v="0"/>
    <n v="112199"/>
    <s v="28-Oct-25"/>
    <n v="0"/>
    <m/>
    <m/>
    <s v="URBN"/>
    <s v="CVD"/>
    <s v="P"/>
  </r>
  <r>
    <n v="928"/>
    <s v="NORTH"/>
    <s v="UTTAR PRADESH"/>
    <n v="7134"/>
    <s v="M/S GOENKA AUTO PRIVATE LIMITED."/>
    <s v="VARANASI"/>
    <s v="14-Jan-25"/>
    <s v="13-Jul-25"/>
    <n v="1165"/>
    <n v="28336"/>
    <n v="3"/>
    <s v="S"/>
    <s v="T1N"/>
    <n v="6183"/>
    <s v="MC1M4AMA1SP003008"/>
    <s v="D71066986"/>
    <m/>
    <m/>
    <x v="6"/>
    <s v="31-Jul-25"/>
    <x v="0"/>
    <n v="1650"/>
    <n v="588732"/>
    <s v="28-Oct-25"/>
    <n v="1650"/>
    <n v="1947"/>
    <n v="297"/>
    <n v="112199"/>
    <s v="28-Oct-25"/>
    <n v="0"/>
    <m/>
    <m/>
    <s v="URBN"/>
    <s v="CVD"/>
    <s v="F"/>
  </r>
  <r>
    <n v="929"/>
    <s v="NORTH"/>
    <s v="UTTAR PRADESH"/>
    <n v="7134"/>
    <s v="M/S GOENKA AUTO PRIVATE LIMITED."/>
    <s v="VARANASI"/>
    <s v="21-Oct-24"/>
    <s v="11-Jul-25"/>
    <n v="1165"/>
    <n v="49244"/>
    <n v="5"/>
    <s v="S"/>
    <s v="TRAX"/>
    <n v="324355"/>
    <s v="MC1D4DJA7SP105502"/>
    <s v="D72016937"/>
    <m/>
    <m/>
    <x v="6"/>
    <s v="31-Jul-25"/>
    <x v="0"/>
    <n v="1250"/>
    <n v="588732"/>
    <s v="28-Oct-25"/>
    <n v="1250"/>
    <n v="1475"/>
    <n v="225"/>
    <n v="112199"/>
    <s v="28-Oct-25"/>
    <n v="0"/>
    <m/>
    <m/>
    <s v="TRXBS6"/>
    <s v="CVD"/>
    <s v="F"/>
  </r>
  <r>
    <n v="930"/>
    <s v="NORTH"/>
    <s v="UTTAR PRADESH"/>
    <n v="7134"/>
    <s v="M/S GOENKA AUTO PRIVATE LIMITED."/>
    <s v="VARANASI"/>
    <s v="24-Mar-25"/>
    <s v="28-Jul-25"/>
    <n v="1165"/>
    <n v="5502"/>
    <n v="2"/>
    <s v="S"/>
    <s v="T26"/>
    <n v="794595"/>
    <s v="MC1E4FCA6SP023063"/>
    <s v="D71075908"/>
    <m/>
    <m/>
    <x v="6"/>
    <s v="31-Jul-25"/>
    <x v="0"/>
    <n v="0"/>
    <n v="588732"/>
    <s v="28-Oct-25"/>
    <n v="0"/>
    <n v="0"/>
    <n v="0"/>
    <n v="112199"/>
    <s v="28-Oct-25"/>
    <n v="0"/>
    <m/>
    <m/>
    <s v="T26BS6"/>
    <s v="CVD"/>
    <s v="P"/>
  </r>
  <r>
    <n v="931"/>
    <s v="NORTH"/>
    <s v="UTTAR PRADESH"/>
    <n v="7134"/>
    <s v="M/S GOENKA AUTO PRIVATE LIMITED."/>
    <s v="VARANASI"/>
    <s v="24-Jul-24"/>
    <s v="07-Jul-25"/>
    <n v="1165"/>
    <n v="65000"/>
    <n v="6"/>
    <s v="S"/>
    <s v="T-1"/>
    <n v="773865"/>
    <s v="MC1E4EFA5RP013351"/>
    <s v="D71057450"/>
    <s v="001"/>
    <s v="SERV KMS  / HRS EXCEEDS"/>
    <x v="6"/>
    <s v="31-Jul-25"/>
    <x v="0"/>
    <n v="0"/>
    <n v="588732"/>
    <s v="28-Oct-25"/>
    <n v="0"/>
    <n v="0"/>
    <n v="0"/>
    <n v="112199"/>
    <s v="28-Oct-25"/>
    <n v="0"/>
    <m/>
    <m/>
    <s v="T1BS6"/>
    <s v="CVD"/>
    <s v="P"/>
  </r>
  <r>
    <n v="932"/>
    <s v="NORTH"/>
    <s v="UTTAR PRADESH"/>
    <n v="7134"/>
    <s v="M/S GOENKA AUTO PRIVATE LIMITED."/>
    <s v="VARANASI"/>
    <s v="20-Feb-25"/>
    <s v="02-Jul-25"/>
    <n v="1165"/>
    <n v="19258"/>
    <n v="2"/>
    <s v="S"/>
    <s v="T-1"/>
    <n v="790132"/>
    <s v="MC1E4EAA2SP015023"/>
    <s v="D71069123"/>
    <m/>
    <m/>
    <x v="6"/>
    <s v="31-Jul-25"/>
    <x v="0"/>
    <n v="0"/>
    <n v="588732"/>
    <s v="28-Oct-25"/>
    <n v="0"/>
    <n v="0"/>
    <n v="0"/>
    <n v="112199"/>
    <s v="28-Oct-25"/>
    <n v="0"/>
    <m/>
    <m/>
    <s v="T1BS6"/>
    <s v="CVD"/>
    <s v="P"/>
  </r>
  <r>
    <n v="933"/>
    <s v="NORTH"/>
    <s v="UTTAR PRADESH"/>
    <n v="7134"/>
    <s v="M/S GOENKA AUTO PRIVATE LIMITED."/>
    <s v="VARANASI"/>
    <s v="25-Mar-25"/>
    <s v="29-Jul-25"/>
    <n v="876"/>
    <n v="29221"/>
    <n v="2"/>
    <s v="S"/>
    <s v="T-1"/>
    <n v="797335"/>
    <s v="MC1E4CAA4SP084509"/>
    <s v="D71071059"/>
    <m/>
    <m/>
    <x v="6"/>
    <s v="31-Jul-25"/>
    <x v="0"/>
    <n v="1250"/>
    <n v="588732"/>
    <s v="28-Oct-25"/>
    <n v="1250"/>
    <n v="1475"/>
    <n v="225"/>
    <n v="112199"/>
    <s v="28-Oct-25"/>
    <n v="0"/>
    <m/>
    <m/>
    <s v="T1BS6N"/>
    <s v="CVD"/>
    <s v="F"/>
  </r>
  <r>
    <n v="934"/>
    <s v="NORTH"/>
    <s v="UTTAR PRADESH"/>
    <n v="7134"/>
    <s v="M/S GOENKA AUTO PRIVATE LIMITED."/>
    <s v="VARANASI"/>
    <s v="20-Apr-24"/>
    <s v="25-Jul-25"/>
    <n v="1165"/>
    <n v="51212"/>
    <n v="6"/>
    <s v="S"/>
    <s v="T1N"/>
    <n v="3445"/>
    <s v="MC1M4ACA1RP001285"/>
    <s v="D71051505"/>
    <m/>
    <m/>
    <x v="6"/>
    <s v="31-Jul-25"/>
    <x v="0"/>
    <n v="0"/>
    <n v="588732"/>
    <s v="28-Oct-25"/>
    <n v="0"/>
    <n v="0"/>
    <n v="0"/>
    <n v="112199"/>
    <s v="28-Oct-25"/>
    <n v="0"/>
    <m/>
    <m/>
    <s v="URBN"/>
    <s v="CVD"/>
    <s v="P"/>
  </r>
  <r>
    <n v="935"/>
    <s v="NORTH"/>
    <s v="UTTAR PRADESH"/>
    <n v="7134"/>
    <s v="M/S GOENKA AUTO PRIVATE LIMITED."/>
    <s v="VARANASI"/>
    <s v="09-Sep-24"/>
    <s v="17-Jul-25"/>
    <n v="1165"/>
    <n v="34648"/>
    <n v="5"/>
    <s v="S"/>
    <s v="T26"/>
    <n v="776764"/>
    <s v="MC1E4FGA0SP021030"/>
    <s v="D71059001"/>
    <s v="003"/>
    <s v="OWNER'S SIGNATURE MISSING"/>
    <x v="6"/>
    <s v="31-Jul-25"/>
    <x v="0"/>
    <n v="1250"/>
    <n v="588732"/>
    <s v="28-Oct-25"/>
    <n v="1000"/>
    <n v="1475"/>
    <n v="225"/>
    <n v="112199"/>
    <s v="28-Oct-25"/>
    <n v="250"/>
    <m/>
    <m/>
    <s v="T26BS6"/>
    <s v="CVD"/>
    <s v="F"/>
  </r>
  <r>
    <n v="936"/>
    <s v="NORTH"/>
    <s v="UTTAR PRADESH"/>
    <n v="7134"/>
    <s v="M/S GOENKA AUTO PRIVATE LIMITED."/>
    <s v="VARANASI"/>
    <s v="15-Oct-24"/>
    <s v="17-Jul-25"/>
    <n v="1165"/>
    <n v="49778"/>
    <n v="5"/>
    <s v="S"/>
    <s v="T1N"/>
    <n v="5355"/>
    <s v="MC1M4AJA8SP002393"/>
    <s v="D71062471"/>
    <s v="003"/>
    <s v="OWNER'S SIGNATURE MISSING"/>
    <x v="6"/>
    <s v="31-Jul-25"/>
    <x v="0"/>
    <n v="1650"/>
    <n v="588732"/>
    <s v="28-Oct-25"/>
    <n v="1320"/>
    <n v="1947"/>
    <n v="297"/>
    <n v="112199"/>
    <s v="28-Oct-25"/>
    <n v="330"/>
    <m/>
    <m/>
    <s v="URBN"/>
    <s v="CVD"/>
    <s v="F"/>
  </r>
  <r>
    <n v="937"/>
    <s v="NORTH"/>
    <s v="UTTAR PRADESH"/>
    <n v="7134"/>
    <s v="M/S GOENKA AUTO PRIVATE LIMITED."/>
    <s v="VARANASI"/>
    <s v="19-Nov-24"/>
    <s v="29-Jun-25"/>
    <n v="1165"/>
    <n v="7008"/>
    <n v="3"/>
    <s v="S"/>
    <s v="T-1"/>
    <n v="790950"/>
    <s v="MC1E4DKA3SP054910"/>
    <s v="D71063808"/>
    <s v="002"/>
    <s v="SERV DATE EXCEEDS"/>
    <x v="6"/>
    <s v="31-Jul-25"/>
    <x v="0"/>
    <n v="1250"/>
    <n v="588732"/>
    <s v="28-Oct-25"/>
    <n v="1000"/>
    <n v="1475"/>
    <n v="225"/>
    <n v="112199"/>
    <s v="28-Oct-25"/>
    <n v="250"/>
    <m/>
    <m/>
    <s v="T1BS6"/>
    <s v="CVD"/>
    <s v="F"/>
  </r>
  <r>
    <n v="938"/>
    <s v="NORTH"/>
    <s v="UTTAR PRADESH"/>
    <n v="7134"/>
    <s v="M/S GOENKA AUTO PRIVATE LIMITED."/>
    <s v="VARANASI"/>
    <s v="26-Mar-25"/>
    <s v="31-Jul-25"/>
    <n v="980"/>
    <n v="29426"/>
    <n v="2"/>
    <s v="S"/>
    <s v="T-1"/>
    <n v="797023"/>
    <s v="MC1E4CBA1SP085941"/>
    <s v="D71073364"/>
    <m/>
    <m/>
    <x v="6"/>
    <s v="31-Jul-25"/>
    <x v="0"/>
    <n v="1250"/>
    <n v="588732"/>
    <s v="28-Oct-25"/>
    <n v="1250"/>
    <n v="1475"/>
    <n v="225"/>
    <n v="112199"/>
    <s v="28-Oct-25"/>
    <n v="0"/>
    <m/>
    <m/>
    <s v="T1BS6N"/>
    <s v="CVD"/>
    <s v="F"/>
  </r>
  <r>
    <n v="939"/>
    <s v="NORTH"/>
    <s v="UTTAR PRADESH"/>
    <n v="7134"/>
    <s v="M/S GOENKA AUTO PRIVATE LIMITED."/>
    <s v="VARANASI"/>
    <s v="09-Oct-24"/>
    <s v="23-Jul-25"/>
    <n v="1165"/>
    <n v="40000"/>
    <n v="4"/>
    <s v="S"/>
    <s v="T1N"/>
    <n v="5342"/>
    <s v="MC1M4AJA2SP002387"/>
    <s v="D71062463"/>
    <m/>
    <m/>
    <x v="6"/>
    <s v="31-Jul-25"/>
    <x v="0"/>
    <n v="0"/>
    <n v="588732"/>
    <s v="28-Oct-25"/>
    <n v="0"/>
    <n v="0"/>
    <n v="0"/>
    <n v="112199"/>
    <s v="28-Oct-25"/>
    <n v="0"/>
    <m/>
    <m/>
    <s v="URBN"/>
    <s v="CVD"/>
    <s v="P"/>
  </r>
  <r>
    <n v="940"/>
    <s v="NORTH"/>
    <s v="UTTAR PRADESH"/>
    <n v="7134"/>
    <s v="M/S GOENKA AUTO PRIVATE LIMITED."/>
    <s v="VARANASI"/>
    <s v="29-Mar-25"/>
    <s v="13-Jul-25"/>
    <n v="1165"/>
    <n v="20000"/>
    <n v="2"/>
    <s v="S"/>
    <s v="TRAX"/>
    <n v="327424"/>
    <s v="MC1D4DCA3SP107776"/>
    <s v="D72019387"/>
    <m/>
    <m/>
    <x v="6"/>
    <s v="31-Jul-25"/>
    <x v="0"/>
    <n v="0"/>
    <n v="588732"/>
    <s v="28-Oct-25"/>
    <n v="0"/>
    <n v="0"/>
    <n v="0"/>
    <n v="112199"/>
    <s v="28-Oct-25"/>
    <n v="0"/>
    <m/>
    <m/>
    <s v="TRXBS6"/>
    <s v="CVD"/>
    <s v="P"/>
  </r>
  <r>
    <n v="941"/>
    <s v="NORTH"/>
    <s v="UTTAR PRADESH"/>
    <n v="7134"/>
    <s v="M/S GOENKA AUTO PRIVATE LIMITED."/>
    <s v="VARANASI"/>
    <s v="06-Aug-24"/>
    <s v="27-Jul-25"/>
    <n v="1165"/>
    <n v="23168"/>
    <n v="3"/>
    <s v="S"/>
    <s v="T-1"/>
    <n v="781813"/>
    <s v="MC1E4DGA1SP053621"/>
    <s v="D71058053"/>
    <m/>
    <m/>
    <x v="6"/>
    <s v="31-Jul-25"/>
    <x v="0"/>
    <n v="1250"/>
    <n v="588732"/>
    <s v="28-Oct-25"/>
    <n v="1250"/>
    <n v="1475"/>
    <n v="225"/>
    <n v="112199"/>
    <s v="28-Oct-25"/>
    <n v="0"/>
    <m/>
    <m/>
    <s v="T1BS6N"/>
    <s v="CVD"/>
    <s v="F"/>
  </r>
  <r>
    <n v="942"/>
    <s v="NORTH"/>
    <s v="UTTAR PRADESH"/>
    <n v="7134"/>
    <s v="M/S GOENKA AUTO PRIVATE LIMITED."/>
    <s v="VARANASI"/>
    <s v="09-Jan-24"/>
    <s v="15-Jul-25"/>
    <n v="1165"/>
    <n v="90000"/>
    <n v="9"/>
    <s v="S"/>
    <s v="T26"/>
    <n v="766569"/>
    <s v="MC1E4FMA9RP018724"/>
    <s v="D71043407"/>
    <m/>
    <m/>
    <x v="6"/>
    <s v="31-Jul-25"/>
    <x v="0"/>
    <n v="0"/>
    <n v="588732"/>
    <s v="28-Oct-25"/>
    <n v="0"/>
    <n v="0"/>
    <n v="0"/>
    <n v="112199"/>
    <s v="28-Oct-25"/>
    <n v="0"/>
    <m/>
    <m/>
    <s v="T26BS6"/>
    <s v="CVD"/>
    <s v="P"/>
  </r>
  <r>
    <n v="943"/>
    <s v="NORTH"/>
    <s v="UTTAR PRADESH"/>
    <n v="7134"/>
    <s v="M/S GOENKA AUTO PRIVATE LIMITED."/>
    <s v="VARANASI"/>
    <s v="06-Mar-25"/>
    <s v="01-Jul-25"/>
    <n v="1165"/>
    <n v="19670"/>
    <n v="2"/>
    <s v="S"/>
    <s v="T-1"/>
    <n v="792931"/>
    <s v="MC1E4EBA7SP015193"/>
    <s v="D71071490"/>
    <m/>
    <m/>
    <x v="6"/>
    <s v="31-Jul-25"/>
    <x v="0"/>
    <n v="0"/>
    <n v="588732"/>
    <s v="28-Oct-25"/>
    <n v="0"/>
    <n v="0"/>
    <n v="0"/>
    <n v="112199"/>
    <s v="28-Oct-25"/>
    <n v="0"/>
    <m/>
    <m/>
    <s v="T1BS6"/>
    <s v="CVD"/>
    <s v="P"/>
  </r>
  <r>
    <n v="944"/>
    <s v="NORTH"/>
    <s v="UTTAR PRADESH"/>
    <n v="7134"/>
    <s v="M/S GOENKA AUTO PRIVATE LIMITED."/>
    <s v="VARANASI"/>
    <s v="06-May-24"/>
    <s v="15-Jul-25"/>
    <n v="1165"/>
    <n v="11700"/>
    <n v="3"/>
    <s v="S"/>
    <s v="T-1"/>
    <n v="770887"/>
    <s v="MC1E4DDA2RP051990"/>
    <s v="D71051716"/>
    <m/>
    <m/>
    <x v="6"/>
    <s v="31-Jul-25"/>
    <x v="0"/>
    <n v="1250"/>
    <n v="588732"/>
    <s v="28-Oct-25"/>
    <n v="1250"/>
    <n v="1475"/>
    <n v="225"/>
    <n v="112199"/>
    <s v="28-Oct-25"/>
    <n v="0"/>
    <m/>
    <m/>
    <s v="T1BS6N"/>
    <s v="CVD"/>
    <s v="F"/>
  </r>
  <r>
    <n v="945"/>
    <s v="NORTH"/>
    <s v="UTTAR PRADESH"/>
    <n v="7134"/>
    <s v="M/S GOENKA AUTO PRIVATE LIMITED."/>
    <s v="VARANASI"/>
    <s v="24-Oct-24"/>
    <s v="18-Jul-25"/>
    <n v="1152"/>
    <n v="33396"/>
    <n v="4"/>
    <s v="S"/>
    <s v="T-1"/>
    <n v="787971"/>
    <s v="MC1E1CHA1SP007904"/>
    <s v="D71060547"/>
    <s v="002"/>
    <s v="SERV DATE EXCEEDS"/>
    <x v="6"/>
    <s v="31-Jul-25"/>
    <x v="0"/>
    <n v="0"/>
    <n v="588732"/>
    <s v="28-Oct-25"/>
    <n v="0"/>
    <n v="0"/>
    <n v="0"/>
    <n v="112199"/>
    <s v="28-Oct-25"/>
    <n v="0"/>
    <m/>
    <m/>
    <s v="T1BS6"/>
    <s v="CVD"/>
    <s v="P"/>
  </r>
  <r>
    <n v="946"/>
    <s v="NORTH"/>
    <s v="UTTAR PRADESH"/>
    <n v="7134"/>
    <s v="M/S GOENKA AUTO PRIVATE LIMITED."/>
    <s v="VARANASI"/>
    <s v="04-Sep-24"/>
    <s v="10-Jul-25"/>
    <n v="1165"/>
    <n v="17500"/>
    <n v="5"/>
    <s v="S"/>
    <s v="TRAX"/>
    <n v="324906"/>
    <s v="MC1D4DHA8SP105336"/>
    <s v="D72016762"/>
    <m/>
    <m/>
    <x v="6"/>
    <s v="31-Jul-25"/>
    <x v="0"/>
    <n v="1250"/>
    <n v="588732"/>
    <s v="28-Oct-25"/>
    <n v="1250"/>
    <n v="1475"/>
    <n v="225"/>
    <n v="112199"/>
    <s v="28-Oct-25"/>
    <n v="0"/>
    <m/>
    <m/>
    <s v="TRXBS6"/>
    <s v="CVD"/>
    <s v="F"/>
  </r>
  <r>
    <n v="947"/>
    <s v="NORTH"/>
    <s v="UTTAR PRADESH"/>
    <n v="7134"/>
    <s v="M/S GOENKA AUTO PRIVATE LIMITED."/>
    <s v="VARANASI"/>
    <s v="26-Mar-25"/>
    <s v="14-Jul-25"/>
    <n v="1165"/>
    <n v="10500"/>
    <n v="2"/>
    <s v="S"/>
    <s v="T1N"/>
    <n v="91005790"/>
    <s v="MC1M4ABA8SP003414"/>
    <s v="D71072338"/>
    <m/>
    <m/>
    <x v="6"/>
    <s v="31-Jul-25"/>
    <x v="0"/>
    <n v="0"/>
    <n v="588732"/>
    <s v="28-Oct-25"/>
    <n v="0"/>
    <n v="0"/>
    <n v="0"/>
    <n v="112199"/>
    <s v="28-Oct-25"/>
    <n v="0"/>
    <m/>
    <m/>
    <s v="URBN"/>
    <s v="CVD"/>
    <s v="P"/>
  </r>
  <r>
    <n v="948"/>
    <s v="NORTH"/>
    <s v="UTTAR PRADESH"/>
    <n v="7134"/>
    <s v="M/S GOENKA AUTO PRIVATE LIMITED."/>
    <s v="VARANASI"/>
    <s v="26-Mar-25"/>
    <s v="29-Jul-25"/>
    <n v="902"/>
    <n v="31092"/>
    <n v="2"/>
    <s v="S"/>
    <s v="T-1"/>
    <n v="798566"/>
    <s v="MC1E4CBA9SP085346"/>
    <s v="D71072193"/>
    <s v="001"/>
    <s v="SERV KMS  / HRS EXCEEDS"/>
    <x v="6"/>
    <s v="31-Jul-25"/>
    <x v="0"/>
    <n v="1250"/>
    <n v="588732"/>
    <s v="28-Oct-25"/>
    <n v="1000"/>
    <n v="1475"/>
    <n v="225"/>
    <n v="112199"/>
    <s v="28-Oct-25"/>
    <n v="250"/>
    <m/>
    <m/>
    <s v="T1BS6N"/>
    <s v="CVD"/>
    <s v="F"/>
  </r>
  <r>
    <n v="949"/>
    <s v="NORTH"/>
    <s v="UTTAR PRADESH"/>
    <n v="7134"/>
    <s v="M/S GOENKA AUTO PRIVATE LIMITED."/>
    <s v="VARANASI"/>
    <s v="17-Jun-25"/>
    <s v="17-Aug-25"/>
    <n v="1165"/>
    <n v="9199"/>
    <n v="1"/>
    <s v="S"/>
    <s v="TRAX"/>
    <n v="328673"/>
    <s v="MC1D4DEAXSP108968"/>
    <s v="D72020656"/>
    <m/>
    <m/>
    <x v="7"/>
    <s v="29-Aug-25"/>
    <x v="6"/>
    <n v="1250"/>
    <n v="589181"/>
    <s v="13-Nov-25"/>
    <n v="1250"/>
    <n v="1475"/>
    <n v="225"/>
    <n v="112648"/>
    <s v="13-Nov-25"/>
    <n v="0"/>
    <m/>
    <m/>
    <s v="TRXBS6"/>
    <s v="CVD"/>
    <s v="F"/>
  </r>
  <r>
    <n v="950"/>
    <s v="NORTH"/>
    <s v="UTTAR PRADESH"/>
    <n v="7134"/>
    <s v="M/S GOENKA AUTO PRIVATE LIMITED."/>
    <s v="VARANASI"/>
    <s v="22-Jun-24"/>
    <s v="11-Aug-25"/>
    <n v="1165"/>
    <n v="70000"/>
    <n v="7"/>
    <s v="S"/>
    <s v="T-1"/>
    <n v="774638"/>
    <s v="MC1E4EDA9RP012805"/>
    <s v="D71053488"/>
    <m/>
    <m/>
    <x v="7"/>
    <s v="29-Aug-25"/>
    <x v="6"/>
    <n v="0"/>
    <n v="589181"/>
    <s v="13-Nov-25"/>
    <n v="0"/>
    <n v="0"/>
    <n v="0"/>
    <n v="112648"/>
    <s v="13-Nov-25"/>
    <n v="0"/>
    <m/>
    <m/>
    <s v="T1BS6"/>
    <s v="CVD"/>
    <s v="P"/>
  </r>
  <r>
    <n v="951"/>
    <s v="NORTH"/>
    <s v="UTTAR PRADESH"/>
    <n v="7134"/>
    <s v="M/S GOENKA AUTO PRIVATE LIMITED."/>
    <s v="VARANASI"/>
    <s v="23-Aug-24"/>
    <s v="22-Aug-25"/>
    <n v="1165"/>
    <n v="60000"/>
    <n v="6"/>
    <s v="S"/>
    <s v="T26"/>
    <n v="776633"/>
    <s v="MC1E4FFA0RP020858"/>
    <s v="D71057668"/>
    <m/>
    <m/>
    <x v="7"/>
    <s v="29-Aug-25"/>
    <x v="6"/>
    <n v="0"/>
    <n v="589181"/>
    <s v="13-Nov-25"/>
    <n v="0"/>
    <n v="0"/>
    <n v="0"/>
    <n v="112648"/>
    <s v="13-Nov-25"/>
    <n v="0"/>
    <m/>
    <m/>
    <s v="T26BS6"/>
    <s v="CVD"/>
    <s v="P"/>
  </r>
  <r>
    <n v="952"/>
    <s v="NORTH"/>
    <s v="UTTAR PRADESH"/>
    <n v="7134"/>
    <s v="M/S GOENKA AUTO PRIVATE LIMITED."/>
    <s v="VARANASI"/>
    <s v="23-Mar-25"/>
    <s v="24-Aug-25"/>
    <n v="895"/>
    <n v="31561"/>
    <n v="2"/>
    <s v="S"/>
    <s v="T-1"/>
    <n v="780902"/>
    <s v="MC1E4CAA9SP083694"/>
    <s v="D71069528"/>
    <s v="001"/>
    <s v="SERV KMS  / HRS EXCEEDS"/>
    <x v="7"/>
    <s v="29-Aug-25"/>
    <x v="6"/>
    <n v="1250"/>
    <n v="589181"/>
    <s v="13-Nov-25"/>
    <n v="1000"/>
    <n v="1475"/>
    <n v="225"/>
    <n v="112648"/>
    <s v="13-Nov-25"/>
    <n v="250"/>
    <m/>
    <m/>
    <s v="T1BS6N"/>
    <s v="CVD"/>
    <s v="F"/>
  </r>
  <r>
    <n v="953"/>
    <s v="NORTH"/>
    <s v="UTTAR PRADESH"/>
    <n v="7134"/>
    <s v="M/S GOENKA AUTO PRIVATE LIMITED."/>
    <s v="VARANASI"/>
    <s v="17-Feb-25"/>
    <s v="06-Aug-25"/>
    <n v="1165"/>
    <n v="11515"/>
    <n v="3"/>
    <s v="S"/>
    <s v="T-1"/>
    <n v="791456"/>
    <s v="MC1E4EMA3SP014782"/>
    <s v="D71067104"/>
    <m/>
    <m/>
    <x v="7"/>
    <s v="29-Aug-25"/>
    <x v="6"/>
    <n v="1250"/>
    <n v="589181"/>
    <s v="13-Nov-25"/>
    <n v="1250"/>
    <n v="1475"/>
    <n v="225"/>
    <n v="112648"/>
    <s v="13-Nov-25"/>
    <n v="0"/>
    <m/>
    <m/>
    <s v="T1BS6"/>
    <s v="CVD"/>
    <s v="F"/>
  </r>
  <r>
    <n v="954"/>
    <s v="NORTH"/>
    <s v="UTTAR PRADESH"/>
    <n v="7134"/>
    <s v="M/S GOENKA AUTO PRIVATE LIMITED."/>
    <s v="VARANASI"/>
    <s v="26-Apr-25"/>
    <s v="29-Aug-25"/>
    <n v="1165"/>
    <n v="7654"/>
    <n v="1"/>
    <s v="S"/>
    <s v="T26"/>
    <n v="784079"/>
    <s v="MC1E4FCA6SP022978"/>
    <s v="D71075006"/>
    <m/>
    <m/>
    <x v="7"/>
    <s v="29-Aug-25"/>
    <x v="6"/>
    <n v="1250"/>
    <n v="589181"/>
    <s v="13-Nov-25"/>
    <n v="1250"/>
    <n v="1475"/>
    <n v="225"/>
    <n v="112648"/>
    <s v="13-Nov-25"/>
    <n v="0"/>
    <m/>
    <m/>
    <s v="T26BS6N"/>
    <s v="CVD"/>
    <s v="F"/>
  </r>
  <r>
    <n v="955"/>
    <s v="NORTH"/>
    <s v="UTTAR PRADESH"/>
    <n v="7134"/>
    <s v="M/S GOENKA AUTO PRIVATE LIMITED."/>
    <s v="VARANASI"/>
    <s v="10-Jul-25"/>
    <s v="26-Aug-25"/>
    <n v="1165"/>
    <n v="6718"/>
    <n v="1"/>
    <s v="S"/>
    <s v="T1N"/>
    <n v="7892"/>
    <s v="MC1M4AFA7SP005116"/>
    <s v="D71084105"/>
    <m/>
    <m/>
    <x v="7"/>
    <s v="29-Aug-25"/>
    <x v="6"/>
    <n v="1650"/>
    <n v="589181"/>
    <s v="13-Nov-25"/>
    <n v="1650"/>
    <n v="1947"/>
    <n v="297"/>
    <n v="112648"/>
    <s v="13-Nov-25"/>
    <n v="0"/>
    <m/>
    <m/>
    <s v="URBN"/>
    <s v="CVD"/>
    <s v="F"/>
  </r>
  <r>
    <n v="956"/>
    <s v="NORTH"/>
    <s v="UTTAR PRADESH"/>
    <n v="7134"/>
    <s v="M/S GOENKA AUTO PRIVATE LIMITED."/>
    <s v="VARANASI"/>
    <s v="22-Mar-25"/>
    <s v="19-Aug-25"/>
    <n v="898"/>
    <n v="30000"/>
    <n v="2"/>
    <s v="S"/>
    <s v="T-1"/>
    <n v="796539"/>
    <s v="MC1E4CAA1SP083396"/>
    <s v="D71069263"/>
    <m/>
    <m/>
    <x v="7"/>
    <s v="29-Aug-25"/>
    <x v="6"/>
    <n v="1250"/>
    <n v="589181"/>
    <s v="13-Nov-25"/>
    <n v="1250"/>
    <n v="1475"/>
    <n v="225"/>
    <n v="112648"/>
    <s v="13-Nov-25"/>
    <n v="0"/>
    <m/>
    <m/>
    <s v="T1BS6N"/>
    <s v="CVD"/>
    <s v="F"/>
  </r>
  <r>
    <n v="957"/>
    <s v="NORTH"/>
    <s v="UTTAR PRADESH"/>
    <n v="7134"/>
    <s v="M/S GOENKA AUTO PRIVATE LIMITED."/>
    <s v="VARANASI"/>
    <s v="18-Apr-25"/>
    <s v="17-Aug-25"/>
    <n v="1165"/>
    <n v="9685"/>
    <n v="1"/>
    <s v="S"/>
    <s v="T-1"/>
    <n v="796644"/>
    <s v="MC1E4DCA0SP056371"/>
    <s v="D71075297"/>
    <m/>
    <m/>
    <x v="7"/>
    <s v="29-Aug-25"/>
    <x v="6"/>
    <n v="1250"/>
    <n v="589181"/>
    <s v="13-Nov-25"/>
    <n v="1250"/>
    <n v="1475"/>
    <n v="225"/>
    <n v="112648"/>
    <s v="13-Nov-25"/>
    <n v="0"/>
    <m/>
    <m/>
    <s v="T1BS6N"/>
    <s v="CVD"/>
    <s v="F"/>
  </r>
  <r>
    <n v="958"/>
    <s v="NORTH"/>
    <s v="UTTAR PRADESH"/>
    <n v="7134"/>
    <s v="M/S GOENKA AUTO PRIVATE LIMITED."/>
    <s v="VARANASI"/>
    <s v="20-Aug-24"/>
    <s v="12-Aug-25"/>
    <n v="951"/>
    <n v="49582"/>
    <n v="5"/>
    <s v="S"/>
    <s v="T1N"/>
    <n v="4698"/>
    <s v="MC1M4AFA4RP001924"/>
    <s v="D71057611"/>
    <m/>
    <m/>
    <x v="7"/>
    <s v="29-Aug-25"/>
    <x v="6"/>
    <n v="1650"/>
    <n v="589181"/>
    <s v="13-Nov-25"/>
    <n v="1650"/>
    <n v="1947"/>
    <n v="297"/>
    <n v="112648"/>
    <s v="13-Nov-25"/>
    <n v="0"/>
    <m/>
    <m/>
    <s v="URBN"/>
    <s v="CVD"/>
    <s v="F"/>
  </r>
  <r>
    <n v="959"/>
    <s v="NORTH"/>
    <s v="UTTAR PRADESH"/>
    <n v="7134"/>
    <s v="M/S GOENKA AUTO PRIVATE LIMITED."/>
    <s v="VARANASI"/>
    <s v="17-Mar-25"/>
    <s v="04-Aug-25"/>
    <n v="1165"/>
    <n v="5401"/>
    <n v="1"/>
    <s v="S"/>
    <s v="T-1"/>
    <n v="780645"/>
    <s v="MC1E4BGA3SP009592"/>
    <s v="D71058673"/>
    <s v="002"/>
    <s v="SERV DATE EXCEEDS"/>
    <x v="7"/>
    <s v="29-Aug-25"/>
    <x v="6"/>
    <n v="1250"/>
    <n v="589181"/>
    <s v="13-Nov-25"/>
    <n v="1000"/>
    <n v="1475"/>
    <n v="225"/>
    <n v="112648"/>
    <s v="13-Nov-25"/>
    <n v="250"/>
    <m/>
    <m/>
    <s v="T1BS6N"/>
    <s v="CVD"/>
    <s v="F"/>
  </r>
  <r>
    <n v="960"/>
    <s v="NORTH"/>
    <s v="UTTAR PRADESH"/>
    <n v="7134"/>
    <s v="M/S GOENKA AUTO PRIVATE LIMITED."/>
    <s v="VARANASI"/>
    <s v="23-Mar-25"/>
    <s v="24-Aug-25"/>
    <n v="871"/>
    <n v="53470"/>
    <n v="3"/>
    <s v="S"/>
    <s v="T-1"/>
    <n v="780913"/>
    <s v="MC1E4CAA3SP083786"/>
    <s v="D71069895"/>
    <s v="001"/>
    <s v="SERV KMS  / HRS EXCEEDS"/>
    <x v="7"/>
    <s v="29-Aug-25"/>
    <x v="6"/>
    <n v="1250"/>
    <n v="589181"/>
    <s v="13-Nov-25"/>
    <n v="1000"/>
    <n v="1475"/>
    <n v="225"/>
    <n v="112648"/>
    <s v="13-Nov-25"/>
    <n v="250"/>
    <m/>
    <m/>
    <s v="T1BS6N"/>
    <s v="CVD"/>
    <s v="F"/>
  </r>
  <r>
    <n v="961"/>
    <s v="NORTH"/>
    <s v="UTTAR PRADESH"/>
    <n v="7134"/>
    <s v="M/S GOENKA AUTO PRIVATE LIMITED."/>
    <s v="VARANASI"/>
    <s v="23-Mar-25"/>
    <s v="19-Aug-25"/>
    <n v="895"/>
    <n v="30000"/>
    <n v="2"/>
    <s v="S"/>
    <s v="T-1"/>
    <n v="780905"/>
    <s v="MC1E4CAA2SP083732"/>
    <s v="D71069293"/>
    <m/>
    <m/>
    <x v="7"/>
    <s v="29-Aug-25"/>
    <x v="6"/>
    <n v="1250"/>
    <n v="589181"/>
    <s v="13-Nov-25"/>
    <n v="1250"/>
    <n v="1475"/>
    <n v="225"/>
    <n v="112648"/>
    <s v="13-Nov-25"/>
    <n v="0"/>
    <m/>
    <m/>
    <s v="T1BS6N"/>
    <s v="CVD"/>
    <s v="F"/>
  </r>
  <r>
    <n v="962"/>
    <s v="NORTH"/>
    <s v="UTTAR PRADESH"/>
    <n v="7134"/>
    <s v="M/S GOENKA AUTO PRIVATE LIMITED."/>
    <s v="VARANASI"/>
    <s v="24-Mar-25"/>
    <s v="06-Aug-25"/>
    <n v="875"/>
    <n v="29591"/>
    <n v="2"/>
    <s v="S"/>
    <s v="T-1"/>
    <n v="796143"/>
    <s v="MC1E4CAA6SP083877"/>
    <s v="D71070045"/>
    <m/>
    <m/>
    <x v="7"/>
    <s v="29-Aug-25"/>
    <x v="6"/>
    <n v="1250"/>
    <n v="589181"/>
    <s v="13-Nov-25"/>
    <n v="1250"/>
    <n v="1475"/>
    <n v="225"/>
    <n v="112648"/>
    <s v="13-Nov-25"/>
    <n v="0"/>
    <m/>
    <m/>
    <s v="T1BS6N"/>
    <s v="CVD"/>
    <s v="F"/>
  </r>
  <r>
    <n v="963"/>
    <s v="NORTH"/>
    <s v="UTTAR PRADESH"/>
    <n v="7134"/>
    <s v="M/S GOENKA AUTO PRIVATE LIMITED."/>
    <s v="VARANASI"/>
    <s v="14-Jan-25"/>
    <s v="04-Aug-25"/>
    <n v="1165"/>
    <n v="27000"/>
    <n v="3"/>
    <s v="S"/>
    <s v="T-1"/>
    <n v="792074"/>
    <s v="MC1E4ELA2SP014645"/>
    <s v="D71065178"/>
    <s v="002"/>
    <s v="SERV DATE EXCEEDS"/>
    <x v="7"/>
    <s v="29-Aug-25"/>
    <x v="6"/>
    <n v="1250"/>
    <n v="589181"/>
    <s v="13-Nov-25"/>
    <n v="1000"/>
    <n v="1475"/>
    <n v="225"/>
    <n v="112648"/>
    <s v="13-Nov-25"/>
    <n v="250"/>
    <m/>
    <m/>
    <s v="T1BS6"/>
    <s v="CVD"/>
    <s v="F"/>
  </r>
  <r>
    <n v="964"/>
    <s v="NORTH"/>
    <s v="UTTAR PRADESH"/>
    <n v="7134"/>
    <s v="M/S GOENKA AUTO PRIVATE LIMITED."/>
    <s v="VARANASI"/>
    <s v="31-Mar-25"/>
    <s v="05-Aug-25"/>
    <n v="840"/>
    <n v="30000"/>
    <n v="2"/>
    <s v="S"/>
    <s v="T-1"/>
    <n v="795039"/>
    <s v="MC1E4CAA5SP084180"/>
    <s v="D71070495"/>
    <m/>
    <m/>
    <x v="7"/>
    <s v="29-Aug-25"/>
    <x v="6"/>
    <n v="1250"/>
    <n v="589181"/>
    <s v="13-Nov-25"/>
    <n v="1250"/>
    <n v="1475"/>
    <n v="225"/>
    <n v="112648"/>
    <s v="13-Nov-25"/>
    <n v="0"/>
    <m/>
    <m/>
    <s v="T1BS6N"/>
    <s v="CVD"/>
    <s v="F"/>
  </r>
  <r>
    <n v="965"/>
    <s v="NORTH"/>
    <s v="UTTAR PRADESH"/>
    <n v="7134"/>
    <s v="M/S GOENKA AUTO PRIVATE LIMITED."/>
    <s v="VARANASI"/>
    <s v="05-Jun-25"/>
    <s v="22-Aug-25"/>
    <n v="1165"/>
    <n v="9900"/>
    <n v="1"/>
    <s v="S"/>
    <s v="T-1"/>
    <n v="802127"/>
    <s v="MC1E4EEA0SP016293"/>
    <s v="D71080819"/>
    <s v="002"/>
    <s v="SERV DATE EXCEEDS"/>
    <x v="7"/>
    <s v="29-Aug-25"/>
    <x v="6"/>
    <n v="1250"/>
    <n v="589181"/>
    <s v="13-Nov-25"/>
    <n v="1000"/>
    <n v="1475"/>
    <n v="225"/>
    <n v="112648"/>
    <s v="13-Nov-25"/>
    <n v="250"/>
    <m/>
    <m/>
    <s v="T1BS6"/>
    <s v="CVD"/>
    <s v="F"/>
  </r>
  <r>
    <n v="966"/>
    <s v="NORTH"/>
    <s v="UTTAR PRADESH"/>
    <n v="7134"/>
    <s v="M/S GOENKA AUTO PRIVATE LIMITED."/>
    <s v="VARANASI"/>
    <s v="09-Sep-24"/>
    <s v="19-Aug-25"/>
    <n v="1165"/>
    <n v="90000"/>
    <n v="9"/>
    <s v="S"/>
    <s v="T-1"/>
    <n v="785386"/>
    <s v="MC1E4EFA3RP013378"/>
    <s v="D71057643"/>
    <m/>
    <m/>
    <x v="7"/>
    <s v="29-Aug-25"/>
    <x v="6"/>
    <n v="0"/>
    <n v="589181"/>
    <s v="13-Nov-25"/>
    <n v="0"/>
    <n v="0"/>
    <n v="0"/>
    <n v="112648"/>
    <s v="13-Nov-25"/>
    <n v="0"/>
    <m/>
    <m/>
    <s v="T1BS6"/>
    <s v="CVD"/>
    <s v="P"/>
  </r>
  <r>
    <n v="967"/>
    <s v="NORTH"/>
    <s v="UTTAR PRADESH"/>
    <n v="7134"/>
    <s v="M/S GOENKA AUTO PRIVATE LIMITED."/>
    <s v="VARANASI"/>
    <s v="24-Apr-24"/>
    <s v="13-Aug-25"/>
    <n v="1165"/>
    <n v="12880"/>
    <n v="8"/>
    <s v="S"/>
    <s v="TRAX"/>
    <n v="322498"/>
    <s v="MC1D1DDA0RP001531"/>
    <s v="D72015005"/>
    <m/>
    <m/>
    <x v="7"/>
    <s v="29-Aug-25"/>
    <x v="6"/>
    <n v="1250"/>
    <n v="589181"/>
    <s v="13-Nov-25"/>
    <n v="1250"/>
    <n v="1475"/>
    <n v="225"/>
    <n v="112648"/>
    <s v="13-Nov-25"/>
    <n v="0"/>
    <m/>
    <m/>
    <s v="TRXBS6"/>
    <s v="CVD"/>
    <s v="F"/>
  </r>
  <r>
    <n v="968"/>
    <s v="NORTH"/>
    <s v="UTTAR PRADESH"/>
    <n v="7134"/>
    <s v="M/S GOENKA AUTO PRIVATE LIMITED."/>
    <s v="VARANASI"/>
    <s v="13-Jul-24"/>
    <s v="12-Aug-25"/>
    <n v="1165"/>
    <n v="100000"/>
    <n v="10"/>
    <s v="S"/>
    <s v="T-1"/>
    <n v="775456"/>
    <s v="MC1E4EEA5RP013061"/>
    <s v="D71055469"/>
    <m/>
    <m/>
    <x v="7"/>
    <s v="29-Aug-25"/>
    <x v="6"/>
    <n v="0"/>
    <n v="589181"/>
    <s v="13-Nov-25"/>
    <n v="0"/>
    <n v="0"/>
    <n v="0"/>
    <n v="112648"/>
    <s v="13-Nov-25"/>
    <n v="0"/>
    <m/>
    <m/>
    <s v="T1BS6"/>
    <s v="CVD"/>
    <s v="P"/>
  </r>
  <r>
    <n v="969"/>
    <s v="NORTH"/>
    <s v="UTTAR PRADESH"/>
    <n v="7134"/>
    <s v="M/S GOENKA AUTO PRIVATE LIMITED."/>
    <s v="VARANASI"/>
    <s v="05-Jun-25"/>
    <s v="20-Aug-25"/>
    <n v="1165"/>
    <n v="3855"/>
    <n v="1"/>
    <s v="S"/>
    <s v="T-1"/>
    <n v="802873"/>
    <s v="MC1E4EEA6SP016279"/>
    <s v="D71080664"/>
    <m/>
    <m/>
    <x v="7"/>
    <s v="29-Aug-25"/>
    <x v="6"/>
    <n v="1250"/>
    <n v="589181"/>
    <s v="13-Nov-25"/>
    <n v="1250"/>
    <n v="1475"/>
    <n v="225"/>
    <n v="112648"/>
    <s v="13-Nov-25"/>
    <n v="0"/>
    <m/>
    <m/>
    <s v="T1BS6"/>
    <s v="CVD"/>
    <s v="F"/>
  </r>
  <r>
    <n v="970"/>
    <s v="NORTH"/>
    <s v="UTTAR PRADESH"/>
    <n v="7134"/>
    <s v="M/S GOENKA AUTO PRIVATE LIMITED."/>
    <s v="VARANASI"/>
    <s v="31-Mar-25"/>
    <s v="06-Aug-25"/>
    <n v="1165"/>
    <n v="20000"/>
    <n v="2"/>
    <s v="S"/>
    <s v="TRAX"/>
    <n v="327370"/>
    <s v="MC1D4DCA0SP107864"/>
    <s v="D72019478"/>
    <s v="022"/>
    <s v="SERVICE COUPON HARD COPY NOT RECEIVED"/>
    <x v="7"/>
    <s v="29-Aug-25"/>
    <x v="6"/>
    <n v="0"/>
    <n v="589181"/>
    <s v="13-Nov-25"/>
    <n v="0"/>
    <n v="0"/>
    <n v="0"/>
    <n v="112648"/>
    <s v="13-Nov-25"/>
    <n v="0"/>
    <m/>
    <m/>
    <s v="TRXBS6"/>
    <s v="CVD"/>
    <s v="P"/>
  </r>
  <r>
    <n v="971"/>
    <s v="NORTH"/>
    <s v="UTTAR PRADESH"/>
    <n v="7134"/>
    <s v="M/S GOENKA AUTO PRIVATE LIMITED."/>
    <s v="VARANASI"/>
    <s v="28-Apr-25"/>
    <s v="17-Aug-25"/>
    <n v="1165"/>
    <n v="6573"/>
    <n v="1"/>
    <s v="S"/>
    <s v="T-1"/>
    <n v="796647"/>
    <s v="MC1E4CAAXSP083364"/>
    <s v="D71069119"/>
    <m/>
    <m/>
    <x v="7"/>
    <s v="29-Aug-25"/>
    <x v="6"/>
    <n v="1250"/>
    <n v="589181"/>
    <s v="13-Nov-25"/>
    <n v="1250"/>
    <n v="1475"/>
    <n v="225"/>
    <n v="112648"/>
    <s v="13-Nov-25"/>
    <n v="0"/>
    <m/>
    <m/>
    <s v="T1BS6N"/>
    <s v="CVD"/>
    <s v="F"/>
  </r>
  <r>
    <n v="972"/>
    <s v="NORTH"/>
    <s v="UTTAR PRADESH"/>
    <n v="7134"/>
    <s v="M/S GOENKA AUTO PRIVATE LIMITED."/>
    <s v="VARANASI"/>
    <s v="23-Mar-25"/>
    <s v="24-Aug-25"/>
    <n v="877"/>
    <n v="32670"/>
    <n v="2"/>
    <s v="S"/>
    <s v="T-1"/>
    <n v="796498"/>
    <s v="MC1E4CAAXSP083655"/>
    <s v="D71069695"/>
    <s v="001"/>
    <s v="SERV KMS  / HRS EXCEEDS"/>
    <x v="7"/>
    <s v="29-Aug-25"/>
    <x v="6"/>
    <n v="1250"/>
    <n v="589181"/>
    <s v="13-Nov-25"/>
    <n v="1000"/>
    <n v="1475"/>
    <n v="225"/>
    <n v="112648"/>
    <s v="13-Nov-25"/>
    <n v="250"/>
    <m/>
    <m/>
    <s v="T1BS6N"/>
    <s v="CVD"/>
    <s v="F"/>
  </r>
  <r>
    <n v="973"/>
    <s v="NORTH"/>
    <s v="UTTAR PRADESH"/>
    <n v="7134"/>
    <s v="M/S GOENKA AUTO PRIVATE LIMITED."/>
    <s v="VARANASI"/>
    <s v="08-Jul-24"/>
    <s v="20-Aug-25"/>
    <n v="1165"/>
    <n v="90000"/>
    <n v="9"/>
    <s v="S"/>
    <s v="T-1"/>
    <n v="773701"/>
    <s v="MC1E4EFA6RP013147"/>
    <s v="D71056273"/>
    <m/>
    <m/>
    <x v="7"/>
    <s v="29-Aug-25"/>
    <x v="6"/>
    <n v="0"/>
    <n v="589181"/>
    <s v="13-Nov-25"/>
    <n v="0"/>
    <n v="0"/>
    <n v="0"/>
    <n v="112648"/>
    <s v="13-Nov-25"/>
    <n v="0"/>
    <m/>
    <m/>
    <s v="T1BS6"/>
    <s v="CVD"/>
    <s v="P"/>
  </r>
  <r>
    <n v="974"/>
    <s v="NORTH"/>
    <s v="UTTAR PRADESH"/>
    <n v="7134"/>
    <s v="M/S GOENKA AUTO PRIVATE LIMITED."/>
    <s v="VARANASI"/>
    <s v="09-Mar-24"/>
    <s v="27-Aug-25"/>
    <n v="1165"/>
    <n v="79500"/>
    <n v="8"/>
    <s v="S"/>
    <s v="T1N"/>
    <n v="3152"/>
    <s v="MC1M4ABA5RP001114"/>
    <s v="D71048194"/>
    <m/>
    <m/>
    <x v="7"/>
    <s v="29-Aug-25"/>
    <x v="6"/>
    <n v="0"/>
    <n v="589181"/>
    <s v="13-Nov-25"/>
    <n v="0"/>
    <n v="0"/>
    <n v="0"/>
    <n v="112648"/>
    <s v="13-Nov-25"/>
    <n v="0"/>
    <m/>
    <m/>
    <s v="URBN"/>
    <s v="CVD"/>
    <s v="P"/>
  </r>
  <r>
    <n v="975"/>
    <s v="NORTH"/>
    <s v="UTTAR PRADESH"/>
    <n v="7134"/>
    <s v="M/S GOENKA AUTO PRIVATE LIMITED."/>
    <s v="VARANASI"/>
    <s v="14-Apr-25"/>
    <s v="10-Aug-25"/>
    <n v="1165"/>
    <n v="2389"/>
    <n v="1"/>
    <s v="S"/>
    <s v="T-1"/>
    <n v="796642"/>
    <s v="MC1E4DCA1SP056217"/>
    <s v="D71074610"/>
    <m/>
    <m/>
    <x v="7"/>
    <s v="29-Aug-25"/>
    <x v="6"/>
    <n v="1250"/>
    <n v="589181"/>
    <s v="13-Nov-25"/>
    <n v="1250"/>
    <n v="1475"/>
    <n v="225"/>
    <n v="112648"/>
    <s v="13-Nov-25"/>
    <n v="0"/>
    <m/>
    <m/>
    <s v="T1BS6N"/>
    <s v="CVD"/>
    <s v="F"/>
  </r>
  <r>
    <n v="976"/>
    <s v="NORTH"/>
    <s v="UTTAR PRADESH"/>
    <n v="7134"/>
    <s v="M/S GOENKA AUTO PRIVATE LIMITED."/>
    <s v="VARANASI"/>
    <s v="31-Mar-25"/>
    <s v="29-Aug-25"/>
    <n v="842"/>
    <n v="32928"/>
    <n v="2"/>
    <s v="S"/>
    <s v="T-1"/>
    <n v="795055"/>
    <s v="MC1E4CAA8SP084111"/>
    <s v="D71070286"/>
    <s v="001"/>
    <s v="SERV KMS  / HRS EXCEEDS"/>
    <x v="7"/>
    <s v="29-Aug-25"/>
    <x v="6"/>
    <n v="1250"/>
    <n v="589181"/>
    <s v="13-Nov-25"/>
    <n v="1000"/>
    <n v="1475"/>
    <n v="225"/>
    <n v="112648"/>
    <s v="13-Nov-25"/>
    <n v="250"/>
    <m/>
    <m/>
    <s v="T1BS6N"/>
    <s v="CVD"/>
    <s v="F"/>
  </r>
  <r>
    <n v="977"/>
    <s v="NORTH"/>
    <s v="UTTAR PRADESH"/>
    <n v="7134"/>
    <s v="M/S GOENKA AUTO PRIVATE LIMITED."/>
    <s v="VARANASI"/>
    <s v="24-Mar-25"/>
    <s v="19-Aug-25"/>
    <n v="887"/>
    <n v="31438"/>
    <n v="2"/>
    <s v="S"/>
    <s v="T-1"/>
    <n v="796173"/>
    <s v="MC1E4CAA2SP083844"/>
    <s v="D71069961"/>
    <s v="001"/>
    <s v="SERV KMS  / HRS EXCEEDS"/>
    <x v="7"/>
    <s v="29-Aug-25"/>
    <x v="6"/>
    <n v="1250"/>
    <n v="589181"/>
    <s v="13-Nov-25"/>
    <n v="1000"/>
    <n v="1475"/>
    <n v="225"/>
    <n v="112648"/>
    <s v="13-Nov-25"/>
    <n v="250"/>
    <m/>
    <m/>
    <s v="T1BS6N"/>
    <s v="CVD"/>
    <s v="F"/>
  </r>
  <r>
    <n v="978"/>
    <s v="NORTH"/>
    <s v="UTTAR PRADESH"/>
    <n v="7134"/>
    <s v="M/S GOENKA AUTO PRIVATE LIMITED."/>
    <s v="VARANASI"/>
    <s v="30-Apr-25"/>
    <s v="24-Aug-25"/>
    <n v="1165"/>
    <n v="5637"/>
    <n v="1"/>
    <s v="S"/>
    <s v="T-1"/>
    <n v="798249"/>
    <s v="MC1E4DDA7SP056723"/>
    <s v="D71078029"/>
    <m/>
    <m/>
    <x v="7"/>
    <s v="29-Aug-25"/>
    <x v="6"/>
    <n v="1250"/>
    <n v="589181"/>
    <s v="13-Nov-25"/>
    <n v="1250"/>
    <n v="1475"/>
    <n v="225"/>
    <n v="112648"/>
    <s v="13-Nov-25"/>
    <n v="0"/>
    <m/>
    <m/>
    <s v="T1BS6N"/>
    <s v="CVD"/>
    <s v="F"/>
  </r>
  <r>
    <n v="979"/>
    <s v="NORTH"/>
    <s v="UTTAR PRADESH"/>
    <n v="7134"/>
    <s v="M/S GOENKA AUTO PRIVATE LIMITED."/>
    <s v="VARANASI"/>
    <s v="31-Mar-24"/>
    <s v="25-Aug-25"/>
    <n v="1165"/>
    <n v="77120"/>
    <n v="9"/>
    <s v="S"/>
    <s v="T-1"/>
    <n v="765111"/>
    <s v="MC1E4ECA7RP012304"/>
    <s v="D71050911"/>
    <m/>
    <m/>
    <x v="7"/>
    <s v="29-Aug-25"/>
    <x v="6"/>
    <n v="0"/>
    <n v="589181"/>
    <s v="13-Nov-25"/>
    <n v="0"/>
    <n v="0"/>
    <n v="0"/>
    <n v="112648"/>
    <s v="13-Nov-25"/>
    <n v="0"/>
    <m/>
    <m/>
    <s v="T1BS6"/>
    <s v="CVD"/>
    <s v="P"/>
  </r>
  <r>
    <n v="980"/>
    <s v="NORTH"/>
    <s v="UTTAR PRADESH"/>
    <n v="7134"/>
    <s v="M/S GOENKA AUTO PRIVATE LIMITED."/>
    <s v="VARANASI"/>
    <s v="27-Feb-25"/>
    <s v="20-Aug-25"/>
    <n v="1165"/>
    <n v="20000"/>
    <n v="2"/>
    <s v="S"/>
    <s v="T1N"/>
    <n v="6367"/>
    <s v="MC1M4ABA8SP003400"/>
    <s v="D71072085"/>
    <m/>
    <m/>
    <x v="7"/>
    <s v="29-Aug-25"/>
    <x v="6"/>
    <n v="0"/>
    <n v="589181"/>
    <s v="13-Nov-25"/>
    <n v="0"/>
    <n v="0"/>
    <n v="0"/>
    <n v="112648"/>
    <s v="13-Nov-25"/>
    <n v="0"/>
    <m/>
    <m/>
    <s v="URBN"/>
    <s v="CVD"/>
    <s v="P"/>
  </r>
  <r>
    <n v="981"/>
    <s v="NORTH"/>
    <s v="UTTAR PRADESH"/>
    <n v="7134"/>
    <s v="M/S GOENKA AUTO PRIVATE LIMITED."/>
    <s v="VARANASI"/>
    <s v="21-Aug-23"/>
    <s v="21-Aug-25"/>
    <n v="1165"/>
    <n v="27941"/>
    <n v="12"/>
    <s v="S"/>
    <s v="T-1"/>
    <n v="753617"/>
    <s v="MC1E4DHA3RP047392"/>
    <s v="D71036487"/>
    <m/>
    <m/>
    <x v="7"/>
    <s v="29-Aug-25"/>
    <x v="6"/>
    <n v="0"/>
    <n v="589181"/>
    <s v="13-Nov-25"/>
    <n v="0"/>
    <n v="0"/>
    <n v="0"/>
    <n v="112648"/>
    <s v="13-Nov-25"/>
    <n v="0"/>
    <m/>
    <m/>
    <s v="T1BS6"/>
    <s v="CVD"/>
    <s v="P"/>
  </r>
  <r>
    <n v="982"/>
    <s v="NORTH"/>
    <s v="UTTAR PRADESH"/>
    <n v="7134"/>
    <s v="M/S GOENKA AUTO PRIVATE LIMITED."/>
    <s v="VARANASI"/>
    <s v="28-Jun-25"/>
    <s v="07-Aug-25"/>
    <n v="1165"/>
    <n v="6000"/>
    <n v="1"/>
    <s v="S"/>
    <s v="T-1"/>
    <n v="807227"/>
    <s v="MC1E4DEA9SP057564"/>
    <s v="D71081401"/>
    <m/>
    <m/>
    <x v="7"/>
    <s v="29-Aug-25"/>
    <x v="6"/>
    <n v="1250"/>
    <n v="589181"/>
    <s v="13-Nov-25"/>
    <n v="1250"/>
    <n v="1475"/>
    <n v="225"/>
    <n v="112648"/>
    <s v="13-Nov-25"/>
    <n v="0"/>
    <m/>
    <m/>
    <s v="T1BS6"/>
    <s v="CVD"/>
    <s v="F"/>
  </r>
  <r>
    <n v="983"/>
    <s v="NORTH"/>
    <s v="UTTAR PRADESH"/>
    <n v="7134"/>
    <s v="M/S GOENKA AUTO PRIVATE LIMITED."/>
    <s v="VARANASI"/>
    <s v="24-Mar-25"/>
    <s v="19-Aug-25"/>
    <n v="895"/>
    <n v="31298"/>
    <n v="2"/>
    <s v="S"/>
    <s v="T-1"/>
    <n v="796579"/>
    <s v="MC1E4CAA8SP084268"/>
    <s v="D71070648"/>
    <s v="001"/>
    <s v="SERV KMS  / HRS EXCEEDS"/>
    <x v="7"/>
    <s v="29-Aug-25"/>
    <x v="6"/>
    <n v="1250"/>
    <n v="589181"/>
    <s v="13-Nov-25"/>
    <n v="1000"/>
    <n v="1475"/>
    <n v="225"/>
    <n v="112648"/>
    <s v="13-Nov-25"/>
    <n v="250"/>
    <m/>
    <m/>
    <s v="T1BS6N"/>
    <s v="CVD"/>
    <s v="F"/>
  </r>
  <r>
    <n v="984"/>
    <s v="NORTH"/>
    <s v="UTTAR PRADESH"/>
    <n v="7134"/>
    <s v="M/S GOENKA AUTO PRIVATE LIMITED."/>
    <s v="VARANASI"/>
    <s v="09-Mar-24"/>
    <s v="27-Aug-25"/>
    <n v="1165"/>
    <n v="65655"/>
    <n v="9"/>
    <s v="S"/>
    <s v="T-1"/>
    <n v="764716"/>
    <s v="MC1E4EAA5RP011669"/>
    <s v="D71046362"/>
    <m/>
    <m/>
    <x v="7"/>
    <s v="29-Aug-25"/>
    <x v="6"/>
    <n v="0"/>
    <n v="589181"/>
    <s v="13-Nov-25"/>
    <n v="0"/>
    <n v="0"/>
    <n v="0"/>
    <n v="112648"/>
    <s v="13-Nov-25"/>
    <n v="0"/>
    <m/>
    <m/>
    <s v="T1BS6"/>
    <s v="CVD"/>
    <s v="P"/>
  </r>
  <r>
    <n v="985"/>
    <s v="NORTH"/>
    <s v="UTTAR PRADESH"/>
    <n v="7134"/>
    <s v="M/S GOENKA AUTO PRIVATE LIMITED."/>
    <s v="VARANASI"/>
    <s v="15-Apr-25"/>
    <s v="11-Aug-25"/>
    <n v="1165"/>
    <n v="20000"/>
    <n v="2"/>
    <s v="S"/>
    <s v="TRAX"/>
    <n v="327621"/>
    <s v="MC1D4DCAXSP108052"/>
    <s v="D72019707"/>
    <m/>
    <m/>
    <x v="7"/>
    <s v="29-Aug-25"/>
    <x v="6"/>
    <n v="0"/>
    <n v="589181"/>
    <s v="13-Nov-25"/>
    <n v="0"/>
    <n v="0"/>
    <n v="0"/>
    <n v="112648"/>
    <s v="13-Nov-25"/>
    <n v="0"/>
    <m/>
    <m/>
    <s v="TRXBS6"/>
    <s v="CVD"/>
    <s v="P"/>
  </r>
  <r>
    <n v="986"/>
    <s v="NORTH"/>
    <s v="UTTAR PRADESH"/>
    <n v="7134"/>
    <s v="M/S GOENKA AUTO PRIVATE LIMITED."/>
    <s v="VARANASI"/>
    <s v="31-Mar-25"/>
    <s v="19-Aug-25"/>
    <n v="829"/>
    <n v="29119"/>
    <n v="2"/>
    <s v="S"/>
    <s v="T-1"/>
    <n v="795183"/>
    <s v="MC1E4CAA9SP083520"/>
    <s v="D71069251"/>
    <m/>
    <m/>
    <x v="7"/>
    <s v="29-Aug-25"/>
    <x v="6"/>
    <n v="1250"/>
    <n v="589181"/>
    <s v="13-Nov-25"/>
    <n v="1250"/>
    <n v="1475"/>
    <n v="225"/>
    <n v="112648"/>
    <s v="13-Nov-25"/>
    <n v="0"/>
    <m/>
    <m/>
    <s v="T1BS6N"/>
    <s v="CVD"/>
    <s v="F"/>
  </r>
  <r>
    <n v="987"/>
    <s v="NORTH"/>
    <s v="UTTAR PRADESH"/>
    <n v="7134"/>
    <s v="M/S GOENKA AUTO PRIVATE LIMITED."/>
    <s v="VARANASI"/>
    <s v="21-Mar-25"/>
    <s v="06-Aug-25"/>
    <n v="1165"/>
    <n v="3359"/>
    <n v="1"/>
    <s v="S"/>
    <s v="T26"/>
    <n v="784731"/>
    <s v="MC1E4FAA2SP022334"/>
    <s v="D71069755"/>
    <s v="002"/>
    <s v="SERV DATE EXCEEDS"/>
    <x v="7"/>
    <s v="29-Aug-25"/>
    <x v="6"/>
    <n v="1250"/>
    <n v="589181"/>
    <s v="13-Nov-25"/>
    <n v="1000"/>
    <n v="1475"/>
    <n v="225"/>
    <n v="112648"/>
    <s v="13-Nov-25"/>
    <n v="250"/>
    <m/>
    <m/>
    <s v="T26BS6N"/>
    <s v="CVD"/>
    <s v="F"/>
  </r>
  <r>
    <n v="988"/>
    <s v="NORTH"/>
    <s v="UTTAR PRADESH"/>
    <n v="7134"/>
    <s v="M/S GOENKA AUTO PRIVATE LIMITED."/>
    <s v="VARANASI"/>
    <s v="21-Mar-25"/>
    <s v="06-Aug-25"/>
    <n v="1165"/>
    <n v="3359"/>
    <n v="1"/>
    <s v="S"/>
    <s v="T-1"/>
    <n v="795278"/>
    <s v="MC1E4DBA8SP056040"/>
    <s v="D71072655"/>
    <s v="002"/>
    <s v="SERV DATE EXCEEDS"/>
    <x v="7"/>
    <s v="29-Aug-25"/>
    <x v="6"/>
    <n v="1250"/>
    <n v="589181"/>
    <s v="13-Nov-25"/>
    <n v="1000"/>
    <n v="1475"/>
    <n v="225"/>
    <n v="112648"/>
    <s v="13-Nov-25"/>
    <n v="250"/>
    <m/>
    <m/>
    <s v="T1BS6N"/>
    <s v="CVD"/>
    <s v="F"/>
  </r>
  <r>
    <n v="989"/>
    <s v="NORTH"/>
    <s v="UTTAR PRADESH"/>
    <n v="7134"/>
    <s v="M/S GOENKA AUTO PRIVATE LIMITED."/>
    <s v="VARANASI"/>
    <s v="24-Apr-25"/>
    <s v="21-Aug-25"/>
    <n v="1150"/>
    <n v="8433"/>
    <n v="2"/>
    <s v="S"/>
    <s v="T-1"/>
    <n v="778137"/>
    <s v="MC1E5ECA9SP003316"/>
    <s v="D73001784"/>
    <m/>
    <m/>
    <x v="7"/>
    <s v="29-Aug-25"/>
    <x v="6"/>
    <n v="0"/>
    <n v="589181"/>
    <s v="13-Nov-25"/>
    <n v="0"/>
    <n v="0"/>
    <n v="0"/>
    <n v="112648"/>
    <s v="13-Nov-25"/>
    <n v="0"/>
    <m/>
    <m/>
    <s v="T1CNGL"/>
    <s v="CVD"/>
    <s v="P"/>
  </r>
  <r>
    <n v="990"/>
    <s v="NORTH"/>
    <s v="UTTAR PRADESH"/>
    <n v="7134"/>
    <s v="M/S GOENKA AUTO PRIVATE LIMITED."/>
    <s v="VARANASI"/>
    <s v="13-Mar-24"/>
    <s v="25-Aug-25"/>
    <n v="687"/>
    <n v="47566"/>
    <n v="6"/>
    <s v="S"/>
    <s v="T1N"/>
    <n v="3137"/>
    <s v="MC1M4ACA2RP001151"/>
    <s v="D71048960"/>
    <m/>
    <m/>
    <x v="7"/>
    <s v="29-Aug-25"/>
    <x v="6"/>
    <n v="0"/>
    <n v="589181"/>
    <s v="13-Nov-25"/>
    <n v="0"/>
    <n v="0"/>
    <n v="0"/>
    <n v="112648"/>
    <s v="13-Nov-25"/>
    <n v="0"/>
    <m/>
    <m/>
    <s v="URBN"/>
    <s v="CVD"/>
    <s v="P"/>
  </r>
  <r>
    <n v="991"/>
    <s v="NORTH"/>
    <s v="UTTAR PRADESH"/>
    <n v="7134"/>
    <s v="M/S GOENKA AUTO PRIVATE LIMITED."/>
    <s v="VARANASI"/>
    <s v="29-Jan-25"/>
    <s v="17-Aug-25"/>
    <n v="1165"/>
    <n v="19775"/>
    <n v="2"/>
    <s v="S"/>
    <s v="T1N"/>
    <n v="5921"/>
    <s v="MC1M4AAAXSP003240"/>
    <s v="D71069281"/>
    <s v="002"/>
    <s v="SERV DATE EXCEEDS"/>
    <x v="7"/>
    <s v="29-Aug-25"/>
    <x v="6"/>
    <n v="0"/>
    <n v="589181"/>
    <s v="13-Nov-25"/>
    <n v="0"/>
    <n v="0"/>
    <n v="0"/>
    <n v="112648"/>
    <s v="13-Nov-25"/>
    <n v="0"/>
    <m/>
    <m/>
    <s v="URBN"/>
    <s v="CVD"/>
    <s v="P"/>
  </r>
  <r>
    <n v="992"/>
    <s v="NORTH"/>
    <s v="UTTAR PRADESH"/>
    <n v="7134"/>
    <s v="M/S GOENKA AUTO PRIVATE LIMITED."/>
    <s v="VARANASI"/>
    <s v="10-Jul-24"/>
    <s v="11-Aug-25"/>
    <n v="1165"/>
    <n v="80000"/>
    <n v="8"/>
    <s v="S"/>
    <s v="T-1"/>
    <n v="774648"/>
    <s v="MC1E4EFA3RP013218"/>
    <s v="D71056616"/>
    <m/>
    <m/>
    <x v="7"/>
    <s v="29-Aug-25"/>
    <x v="6"/>
    <n v="1250"/>
    <n v="589181"/>
    <s v="13-Nov-25"/>
    <n v="1250"/>
    <n v="1475"/>
    <n v="225"/>
    <n v="112648"/>
    <s v="13-Nov-25"/>
    <n v="0"/>
    <m/>
    <m/>
    <s v="T1BS6"/>
    <s v="CVD"/>
    <s v="F"/>
  </r>
  <r>
    <n v="993"/>
    <s v="NORTH"/>
    <s v="UTTAR PRADESH"/>
    <n v="7134"/>
    <s v="M/S GOENKA AUTO PRIVATE LIMITED."/>
    <s v="VARANASI"/>
    <s v="11-Apr-25"/>
    <s v="06-Aug-25"/>
    <n v="799"/>
    <n v="30000"/>
    <n v="3"/>
    <s v="S"/>
    <s v="T-1"/>
    <n v="780478"/>
    <s v="MC1E4CMA6SP082675"/>
    <s v="D71068079"/>
    <m/>
    <m/>
    <x v="7"/>
    <s v="29-Aug-25"/>
    <x v="6"/>
    <n v="1250"/>
    <n v="589181"/>
    <s v="13-Nov-25"/>
    <n v="1250"/>
    <n v="1475"/>
    <n v="225"/>
    <n v="112648"/>
    <s v="13-Nov-25"/>
    <n v="0"/>
    <m/>
    <m/>
    <s v="T1BS6"/>
    <s v="CVD"/>
    <s v="F"/>
  </r>
  <r>
    <n v="994"/>
    <s v="NORTH"/>
    <s v="UTTAR PRADESH"/>
    <n v="7134"/>
    <s v="M/S GOENKA AUTO PRIVATE LIMITED."/>
    <s v="VARANASI"/>
    <s v="29-Mar-25"/>
    <s v="11-Aug-25"/>
    <n v="1165"/>
    <n v="20000"/>
    <n v="2"/>
    <s v="S"/>
    <s v="T-1"/>
    <n v="801496"/>
    <s v="MC1E4ECA8SP015718"/>
    <s v="D71076194"/>
    <m/>
    <m/>
    <x v="7"/>
    <s v="29-Aug-25"/>
    <x v="6"/>
    <n v="0"/>
    <n v="589181"/>
    <s v="13-Nov-25"/>
    <n v="0"/>
    <n v="0"/>
    <n v="0"/>
    <n v="112648"/>
    <s v="13-Nov-25"/>
    <n v="0"/>
    <m/>
    <m/>
    <s v="T1BS6"/>
    <s v="CVD"/>
    <s v="P"/>
  </r>
  <r>
    <n v="995"/>
    <s v="NORTH"/>
    <s v="UTTAR PRADESH"/>
    <n v="7134"/>
    <s v="M/S GOENKA AUTO PRIVATE LIMITED."/>
    <s v="VARANASI"/>
    <s v="24-Mar-25"/>
    <s v="26-Aug-25"/>
    <n v="878"/>
    <n v="29738"/>
    <n v="2"/>
    <s v="S"/>
    <s v="T-1"/>
    <n v="795754"/>
    <s v="MC1E4CBA6SP085434"/>
    <s v="D71072423"/>
    <m/>
    <m/>
    <x v="7"/>
    <s v="29-Aug-25"/>
    <x v="6"/>
    <n v="1250"/>
    <n v="589181"/>
    <s v="13-Nov-25"/>
    <n v="1250"/>
    <n v="1475"/>
    <n v="225"/>
    <n v="112648"/>
    <s v="13-Nov-25"/>
    <n v="0"/>
    <m/>
    <m/>
    <s v="T1BS6N"/>
    <s v="CVD"/>
    <s v="F"/>
  </r>
  <r>
    <n v="996"/>
    <s v="NORTH"/>
    <s v="UTTAR PRADESH"/>
    <n v="7134"/>
    <s v="M/S GOENKA AUTO PRIVATE LIMITED."/>
    <s v="VARANASI"/>
    <s v="24-Mar-25"/>
    <s v="04-Aug-25"/>
    <n v="879"/>
    <n v="30000"/>
    <n v="2"/>
    <s v="S"/>
    <s v="T-1"/>
    <n v="796172"/>
    <s v="MC1E4CAA6SP083538"/>
    <s v="D71069179"/>
    <m/>
    <m/>
    <x v="7"/>
    <s v="29-Aug-25"/>
    <x v="6"/>
    <n v="1250"/>
    <n v="589181"/>
    <s v="13-Nov-25"/>
    <n v="1250"/>
    <n v="1475"/>
    <n v="225"/>
    <n v="112648"/>
    <s v="13-Nov-25"/>
    <n v="0"/>
    <m/>
    <m/>
    <s v="T1BS6N"/>
    <s v="CVD"/>
    <s v="F"/>
  </r>
  <r>
    <n v="997"/>
    <s v="NORTH"/>
    <s v="UTTAR PRADESH"/>
    <n v="7134"/>
    <s v="M/S GOENKA AUTO PRIVATE LIMITED."/>
    <s v="VARANASI"/>
    <s v="25-Mar-25"/>
    <s v="19-Aug-25"/>
    <n v="972"/>
    <n v="30000"/>
    <n v="2"/>
    <s v="S"/>
    <s v="T-1"/>
    <n v="798816"/>
    <s v="MC1E4CAA7SP084505"/>
    <s v="D71070522"/>
    <m/>
    <m/>
    <x v="7"/>
    <s v="29-Aug-25"/>
    <x v="6"/>
    <n v="1250"/>
    <n v="589181"/>
    <s v="13-Nov-25"/>
    <n v="1250"/>
    <n v="1475"/>
    <n v="225"/>
    <n v="112648"/>
    <s v="13-Nov-25"/>
    <n v="0"/>
    <m/>
    <m/>
    <s v="T1BS6N"/>
    <s v="CVD"/>
    <s v="F"/>
  </r>
  <r>
    <n v="998"/>
    <s v="NORTH"/>
    <s v="UTTAR PRADESH"/>
    <n v="7134"/>
    <s v="M/S GOENKA AUTO PRIVATE LIMITED."/>
    <s v="VARANASI"/>
    <s v="30-Jun-25"/>
    <s v="24-Aug-25"/>
    <n v="1165"/>
    <n v="2240"/>
    <n v="1"/>
    <s v="S"/>
    <s v="T-1"/>
    <n v="778198"/>
    <s v="MC1E5DDA7SP000651"/>
    <s v="D73001872"/>
    <m/>
    <m/>
    <x v="7"/>
    <s v="29-Aug-25"/>
    <x v="6"/>
    <n v="1250"/>
    <n v="589181"/>
    <s v="13-Nov-25"/>
    <n v="1250"/>
    <n v="1475"/>
    <n v="225"/>
    <n v="112648"/>
    <s v="13-Nov-25"/>
    <n v="0"/>
    <m/>
    <m/>
    <s v="T1CNGL"/>
    <s v="CVD"/>
    <s v="F"/>
  </r>
  <r>
    <n v="999"/>
    <s v="NORTH"/>
    <s v="UTTAR PRADESH"/>
    <n v="7134"/>
    <s v="M/S GOENKA AUTO PRIVATE LIMITED."/>
    <s v="VARANASI"/>
    <s v="14-Oct-24"/>
    <s v="05-Aug-25"/>
    <n v="1165"/>
    <n v="50000"/>
    <n v="5"/>
    <s v="S"/>
    <s v="T-1"/>
    <n v="787043"/>
    <s v="MC1E4EHA8SP013850"/>
    <s v="D71061089"/>
    <m/>
    <m/>
    <x v="7"/>
    <s v="29-Aug-25"/>
    <x v="6"/>
    <n v="1250"/>
    <n v="589181"/>
    <s v="13-Nov-25"/>
    <n v="1250"/>
    <n v="1475"/>
    <n v="225"/>
    <n v="112648"/>
    <s v="13-Nov-25"/>
    <n v="0"/>
    <m/>
    <m/>
    <s v="T1BS6"/>
    <s v="CVD"/>
    <s v="F"/>
  </r>
  <r>
    <n v="1000"/>
    <s v="NORTH"/>
    <s v="UTTAR PRADESH"/>
    <n v="7134"/>
    <s v="M/S GOENKA AUTO PRIVATE LIMITED."/>
    <s v="VARANASI"/>
    <s v="19-Jun-25"/>
    <s v="05-Aug-25"/>
    <n v="1165"/>
    <n v="9451"/>
    <n v="1"/>
    <s v="S"/>
    <s v="TRAX"/>
    <n v="327640"/>
    <s v="MC1D4DCA7SP108073"/>
    <s v="D72019720"/>
    <m/>
    <m/>
    <x v="7"/>
    <s v="29-Aug-25"/>
    <x v="6"/>
    <n v="1250"/>
    <n v="589181"/>
    <s v="13-Nov-25"/>
    <n v="1250"/>
    <n v="1475"/>
    <n v="225"/>
    <n v="112648"/>
    <s v="13-Nov-25"/>
    <n v="0"/>
    <m/>
    <m/>
    <s v="TRXBS6"/>
    <s v="CVD"/>
    <s v="F"/>
  </r>
  <r>
    <n v="1001"/>
    <s v="NORTH"/>
    <s v="UTTAR PRADESH"/>
    <n v="7134"/>
    <s v="M/S GOENKA AUTO PRIVATE LIMITED."/>
    <s v="VARANASI"/>
    <s v="30-Oct-24"/>
    <s v="29-Jul-25"/>
    <n v="1165"/>
    <n v="4102"/>
    <n v="5"/>
    <s v="S"/>
    <s v="TRAX"/>
    <n v="324356"/>
    <s v="MC1D1DJA8SP001576"/>
    <s v="D72017128"/>
    <m/>
    <m/>
    <x v="7"/>
    <s v="29-Aug-25"/>
    <x v="6"/>
    <n v="1250"/>
    <n v="589181"/>
    <s v="13-Nov-25"/>
    <n v="1250"/>
    <n v="1475"/>
    <n v="225"/>
    <n v="112648"/>
    <s v="13-Nov-25"/>
    <n v="0"/>
    <m/>
    <m/>
    <s v="TRXBS6"/>
    <s v="CVD"/>
    <s v="F"/>
  </r>
  <r>
    <n v="1002"/>
    <s v="NORTH"/>
    <s v="UTTAR PRADESH"/>
    <n v="7134"/>
    <s v="M/S GOENKA AUTO PRIVATE LIMITED."/>
    <s v="VARANASI"/>
    <s v="23-Mar-25"/>
    <s v="24-Aug-25"/>
    <n v="876"/>
    <n v="30942"/>
    <n v="2"/>
    <s v="S"/>
    <s v="T-1"/>
    <n v="780906"/>
    <s v="MC1E4CAA1SP083639"/>
    <s v="D71069660"/>
    <s v="001"/>
    <s v="SERV KMS  / HRS EXCEEDS"/>
    <x v="7"/>
    <s v="29-Aug-25"/>
    <x v="6"/>
    <n v="1250"/>
    <n v="589181"/>
    <s v="13-Nov-25"/>
    <n v="1000"/>
    <n v="1475"/>
    <n v="225"/>
    <n v="112648"/>
    <s v="13-Nov-25"/>
    <n v="250"/>
    <m/>
    <m/>
    <s v="T1BS6N"/>
    <s v="CVD"/>
    <s v="F"/>
  </r>
  <r>
    <n v="1003"/>
    <s v="NORTH"/>
    <s v="UTTAR PRADESH"/>
    <n v="7134"/>
    <s v="M/S GOENKA AUTO PRIVATE LIMITED."/>
    <s v="VARANASI"/>
    <s v="24-Mar-25"/>
    <s v="24-Aug-25"/>
    <n v="875"/>
    <n v="32648"/>
    <n v="2"/>
    <s v="S"/>
    <s v="T-1"/>
    <n v="796126"/>
    <s v="MC1E4CAA5SP083613"/>
    <s v="D71069567"/>
    <s v="001"/>
    <s v="SERV KMS  / HRS EXCEEDS"/>
    <x v="7"/>
    <s v="29-Aug-25"/>
    <x v="6"/>
    <n v="1250"/>
    <n v="589181"/>
    <s v="13-Nov-25"/>
    <n v="1000"/>
    <n v="1475"/>
    <n v="225"/>
    <n v="112648"/>
    <s v="13-Nov-25"/>
    <n v="250"/>
    <m/>
    <m/>
    <s v="T1BS6N"/>
    <s v="CVD"/>
    <s v="F"/>
  </r>
  <r>
    <n v="1004"/>
    <s v="NORTH"/>
    <s v="UTTAR PRADESH"/>
    <n v="7134"/>
    <s v="M/S GOENKA AUTO PRIVATE LIMITED."/>
    <s v="VARANASI"/>
    <s v="30-Jun-25"/>
    <s v="24-Aug-25"/>
    <n v="1165"/>
    <n v="3379"/>
    <n v="1"/>
    <s v="S"/>
    <s v="T-1"/>
    <n v="778953"/>
    <s v="MC1E5CEA8SP000179"/>
    <s v="D73002061"/>
    <m/>
    <m/>
    <x v="7"/>
    <s v="29-Aug-25"/>
    <x v="6"/>
    <n v="1250"/>
    <n v="589181"/>
    <s v="13-Nov-25"/>
    <n v="1250"/>
    <n v="1475"/>
    <n v="225"/>
    <n v="112648"/>
    <s v="13-Nov-25"/>
    <n v="0"/>
    <m/>
    <m/>
    <s v="T1CNGL"/>
    <s v="CVD"/>
    <s v="F"/>
  </r>
  <r>
    <n v="1005"/>
    <s v="NORTH"/>
    <s v="UTTAR PRADESH"/>
    <n v="7134"/>
    <s v="M/S GOENKA AUTO PRIVATE LIMITED."/>
    <s v="VARANASI"/>
    <s v="13-Jul-23"/>
    <s v="19-Aug-25"/>
    <n v="1165"/>
    <n v="30321"/>
    <n v="9"/>
    <s v="S"/>
    <s v="T1N"/>
    <n v="1782"/>
    <s v="MC1M4AFA1PP000372"/>
    <s v="D71032242"/>
    <m/>
    <m/>
    <x v="7"/>
    <s v="29-Aug-25"/>
    <x v="6"/>
    <n v="0"/>
    <n v="589181"/>
    <s v="13-Nov-25"/>
    <n v="0"/>
    <n v="0"/>
    <n v="0"/>
    <n v="112648"/>
    <s v="13-Nov-25"/>
    <n v="0"/>
    <m/>
    <m/>
    <s v="URBN"/>
    <s v="CVD"/>
    <s v="P"/>
  </r>
  <r>
    <n v="1006"/>
    <s v="NORTH"/>
    <s v="UTTAR PRADESH"/>
    <n v="7134"/>
    <s v="M/S GOENKA AUTO PRIVATE LIMITED."/>
    <s v="VARANASI"/>
    <s v="13-May-24"/>
    <s v="11-Aug-25"/>
    <n v="1165"/>
    <n v="124176"/>
    <n v="13"/>
    <s v="S"/>
    <s v="T-1"/>
    <n v="764113"/>
    <s v="MC1E4ECAXRP012359"/>
    <s v="D71051066"/>
    <m/>
    <m/>
    <x v="7"/>
    <s v="29-Aug-25"/>
    <x v="6"/>
    <n v="0"/>
    <n v="589181"/>
    <s v="13-Nov-25"/>
    <n v="0"/>
    <n v="0"/>
    <n v="0"/>
    <n v="112648"/>
    <s v="13-Nov-25"/>
    <n v="0"/>
    <m/>
    <m/>
    <s v="T1BS6"/>
    <s v="CVD"/>
    <s v="P"/>
  </r>
  <r>
    <n v="1007"/>
    <s v="NORTH"/>
    <s v="UTTAR PRADESH"/>
    <n v="7134"/>
    <s v="M/S GOENKA AUTO PRIVATE LIMITED."/>
    <s v="VARANASI"/>
    <s v="17-Feb-25"/>
    <s v="04-Aug-25"/>
    <n v="779"/>
    <n v="53031"/>
    <n v="4"/>
    <s v="S"/>
    <s v="T-1"/>
    <n v="780479"/>
    <s v="MC1E4CMA3SP082679"/>
    <s v="D71068123"/>
    <m/>
    <m/>
    <x v="7"/>
    <s v="29-Aug-25"/>
    <x v="6"/>
    <n v="1250"/>
    <n v="589181"/>
    <s v="13-Nov-25"/>
    <n v="1250"/>
    <n v="1475"/>
    <n v="225"/>
    <n v="112648"/>
    <s v="13-Nov-25"/>
    <n v="0"/>
    <m/>
    <m/>
    <s v="T1BS6"/>
    <s v="CVD"/>
    <s v="F"/>
  </r>
  <r>
    <n v="1008"/>
    <s v="NORTH"/>
    <s v="UTTAR PRADESH"/>
    <n v="7134"/>
    <s v="M/S GOENKA AUTO PRIVATE LIMITED."/>
    <s v="VARANASI"/>
    <s v="25-Jun-24"/>
    <s v="25-Aug-25"/>
    <n v="1165"/>
    <n v="90000"/>
    <n v="9"/>
    <s v="S"/>
    <s v="T-1"/>
    <n v="775229"/>
    <s v="MC1E4EFA2RP013095"/>
    <s v="D71055313"/>
    <m/>
    <m/>
    <x v="7"/>
    <s v="29-Aug-25"/>
    <x v="6"/>
    <n v="0"/>
    <n v="589181"/>
    <s v="13-Nov-25"/>
    <n v="0"/>
    <n v="0"/>
    <n v="0"/>
    <n v="112648"/>
    <s v="13-Nov-25"/>
    <n v="0"/>
    <m/>
    <m/>
    <s v="T1BS6"/>
    <s v="CVD"/>
    <s v="P"/>
  </r>
  <r>
    <n v="1009"/>
    <s v="NORTH"/>
    <s v="UTTAR PRADESH"/>
    <n v="7134"/>
    <s v="M/S GOENKA AUTO PRIVATE LIMITED."/>
    <s v="VARANASI"/>
    <s v="22-Mar-25"/>
    <s v="10-Aug-25"/>
    <n v="876"/>
    <n v="29173"/>
    <n v="2"/>
    <s v="S"/>
    <s v="T-1"/>
    <n v="796155"/>
    <s v="MC1E4CAA0SP083454"/>
    <s v="D71069389"/>
    <m/>
    <m/>
    <x v="7"/>
    <s v="29-Aug-25"/>
    <x v="6"/>
    <n v="1250"/>
    <n v="589181"/>
    <s v="13-Nov-25"/>
    <n v="1250"/>
    <n v="1475"/>
    <n v="225"/>
    <n v="112648"/>
    <s v="13-Nov-25"/>
    <n v="0"/>
    <m/>
    <m/>
    <s v="T1BS6N"/>
    <s v="CVD"/>
    <s v="F"/>
  </r>
  <r>
    <n v="1010"/>
    <s v="NORTH"/>
    <s v="UTTAR PRADESH"/>
    <n v="7134"/>
    <s v="M/S GOENKA AUTO PRIVATE LIMITED."/>
    <s v="VARANASI"/>
    <s v="30-Jun-25"/>
    <s v="24-Aug-25"/>
    <n v="1165"/>
    <n v="2717"/>
    <n v="1"/>
    <s v="S"/>
    <s v="T-1"/>
    <n v="778993"/>
    <s v="MC1E5DDA2SP000654"/>
    <s v="D73001869"/>
    <m/>
    <m/>
    <x v="7"/>
    <s v="29-Aug-25"/>
    <x v="6"/>
    <n v="1250"/>
    <n v="589181"/>
    <s v="13-Nov-25"/>
    <n v="1250"/>
    <n v="1475"/>
    <n v="225"/>
    <n v="112648"/>
    <s v="13-Nov-25"/>
    <n v="0"/>
    <m/>
    <m/>
    <s v="T1CNGL"/>
    <s v="CVD"/>
    <s v="F"/>
  </r>
  <r>
    <n v="1011"/>
    <s v="NORTH"/>
    <s v="UTTAR PRADESH"/>
    <n v="7134"/>
    <s v="M/S GOENKA AUTO PRIVATE LIMITED."/>
    <s v="VARANASI"/>
    <s v="23-Oct-24"/>
    <s v="06-Aug-25"/>
    <n v="1165"/>
    <n v="39753"/>
    <n v="5"/>
    <s v="S"/>
    <s v="T-1"/>
    <n v="786108"/>
    <s v="MC1E4EJA5SP014061"/>
    <s v="D71062337"/>
    <m/>
    <m/>
    <x v="7"/>
    <s v="29-Aug-25"/>
    <x v="6"/>
    <n v="1250"/>
    <n v="589181"/>
    <s v="13-Nov-25"/>
    <n v="1250"/>
    <n v="1475"/>
    <n v="225"/>
    <n v="112648"/>
    <s v="13-Nov-25"/>
    <n v="0"/>
    <m/>
    <m/>
    <s v="T1BS6"/>
    <s v="CVD"/>
    <s v="F"/>
  </r>
  <r>
    <n v="1012"/>
    <s v="NORTH"/>
    <s v="UTTAR PRADESH"/>
    <n v="7134"/>
    <s v="M/S GOENKA AUTO PRIVATE LIMITED."/>
    <s v="VARANASI"/>
    <s v="30-Jun-25"/>
    <s v="27-Aug-25"/>
    <n v="1165"/>
    <n v="2267"/>
    <n v="1"/>
    <s v="S"/>
    <s v="T26"/>
    <n v="806131"/>
    <s v="MC1E4FEA8SP023787"/>
    <s v="D71081852"/>
    <m/>
    <m/>
    <x v="7"/>
    <s v="29-Aug-25"/>
    <x v="6"/>
    <n v="1250"/>
    <n v="589181"/>
    <s v="13-Nov-25"/>
    <n v="1250"/>
    <n v="1475"/>
    <n v="225"/>
    <n v="112648"/>
    <s v="13-Nov-25"/>
    <n v="0"/>
    <m/>
    <m/>
    <s v="T26BS6"/>
    <s v="CVD"/>
    <s v="F"/>
  </r>
  <r>
    <n v="1013"/>
    <s v="NORTH"/>
    <s v="UTTAR PRADESH"/>
    <n v="7134"/>
    <s v="M/S GOENKA AUTO PRIVATE LIMITED."/>
    <s v="VARANASI"/>
    <s v="08-Mar-25"/>
    <s v="29-Aug-25"/>
    <n v="895"/>
    <n v="30000"/>
    <n v="2"/>
    <s v="S"/>
    <s v="T-1"/>
    <n v="796093"/>
    <s v="MC1E4CAAXSP083977"/>
    <s v="D71070100"/>
    <m/>
    <m/>
    <x v="7"/>
    <s v="29-Aug-25"/>
    <x v="6"/>
    <n v="1250"/>
    <n v="589181"/>
    <s v="13-Nov-25"/>
    <n v="1250"/>
    <n v="1475"/>
    <n v="225"/>
    <n v="112648"/>
    <s v="13-Nov-25"/>
    <n v="0"/>
    <m/>
    <m/>
    <s v="T1BS6N"/>
    <s v="CVD"/>
    <s v="F"/>
  </r>
  <r>
    <n v="1014"/>
    <s v="NORTH"/>
    <s v="UTTAR PRADESH"/>
    <n v="7134"/>
    <s v="M/S GOENKA AUTO PRIVATE LIMITED."/>
    <s v="VARANASI"/>
    <s v="17-Mar-25"/>
    <s v="29-Jul-25"/>
    <n v="1165"/>
    <n v="4668"/>
    <n v="1"/>
    <s v="S"/>
    <s v="T26"/>
    <n v="784362"/>
    <s v="MC1E4FAA3SP022049"/>
    <s v="D71067216"/>
    <m/>
    <m/>
    <x v="7"/>
    <s v="29-Aug-25"/>
    <x v="6"/>
    <n v="1250"/>
    <n v="589181"/>
    <s v="13-Nov-25"/>
    <n v="1250"/>
    <n v="1475"/>
    <n v="225"/>
    <n v="112648"/>
    <s v="13-Nov-25"/>
    <n v="0"/>
    <m/>
    <m/>
    <s v="T26BS6N"/>
    <s v="CVD"/>
    <s v="F"/>
  </r>
  <r>
    <n v="1015"/>
    <s v="NORTH"/>
    <s v="UTTAR PRADESH"/>
    <n v="7134"/>
    <s v="M/S GOENKA AUTO PRIVATE LIMITED."/>
    <s v="VARANASI"/>
    <s v="31-Mar-25"/>
    <s v="07-Aug-25"/>
    <n v="1165"/>
    <n v="7000"/>
    <n v="2"/>
    <s v="S"/>
    <s v="T26"/>
    <n v="789037"/>
    <s v="MC1E4FCAXSP023146"/>
    <s v="D71076503"/>
    <m/>
    <m/>
    <x v="7"/>
    <s v="29-Aug-25"/>
    <x v="6"/>
    <n v="0"/>
    <n v="589181"/>
    <s v="13-Nov-25"/>
    <n v="0"/>
    <n v="0"/>
    <n v="0"/>
    <n v="112648"/>
    <s v="13-Nov-25"/>
    <n v="0"/>
    <m/>
    <m/>
    <s v="T26BS6"/>
    <s v="CVD"/>
    <s v="P"/>
  </r>
  <r>
    <n v="1016"/>
    <s v="NORTH"/>
    <s v="UTTAR PRADESH"/>
    <n v="7134"/>
    <s v="M/S GOENKA AUTO PRIVATE LIMITED."/>
    <s v="VARANASI"/>
    <s v="28-Jun-24"/>
    <s v="29-Aug-25"/>
    <n v="1165"/>
    <n v="93120"/>
    <n v="9"/>
    <s v="S"/>
    <s v="T-1"/>
    <n v="775227"/>
    <s v="MC1E4EFA4RP013096"/>
    <s v="D71055365"/>
    <s v="001"/>
    <s v="SERV KMS  / HRS EXCEEDS"/>
    <x v="7"/>
    <s v="29-Aug-25"/>
    <x v="6"/>
    <n v="0"/>
    <n v="589181"/>
    <s v="13-Nov-25"/>
    <n v="0"/>
    <n v="0"/>
    <n v="0"/>
    <n v="112648"/>
    <s v="13-Nov-25"/>
    <n v="0"/>
    <m/>
    <m/>
    <s v="T1BS6"/>
    <s v="CVD"/>
    <s v="P"/>
  </r>
  <r>
    <n v="1017"/>
    <s v="NORTH"/>
    <s v="UTTAR PRADESH"/>
    <n v="7134"/>
    <s v="M/S GOENKA AUTO PRIVATE LIMITED."/>
    <s v="VARANASI"/>
    <s v="22-Feb-24"/>
    <s v="18-Aug-25"/>
    <n v="1165"/>
    <n v="59940"/>
    <n v="9"/>
    <s v="S"/>
    <s v="TRAX"/>
    <n v="320410"/>
    <s v="MC1D4DJA8RP101565"/>
    <s v="D72012161"/>
    <m/>
    <m/>
    <x v="7"/>
    <s v="29-Aug-25"/>
    <x v="6"/>
    <n v="0"/>
    <n v="589181"/>
    <s v="13-Nov-25"/>
    <n v="0"/>
    <n v="0"/>
    <n v="0"/>
    <n v="112648"/>
    <s v="13-Nov-25"/>
    <n v="0"/>
    <m/>
    <m/>
    <s v="TRXBS6"/>
    <s v="CVD"/>
    <s v="P"/>
  </r>
  <r>
    <n v="1018"/>
    <s v="NORTH"/>
    <s v="UTTAR PRADESH"/>
    <n v="7134"/>
    <s v="M/S GOENKA AUTO PRIVATE LIMITED."/>
    <s v="VARANASI"/>
    <s v="20-Feb-25"/>
    <s v="29-Aug-25"/>
    <n v="872"/>
    <n v="32928"/>
    <n v="2"/>
    <s v="S"/>
    <s v="T-1"/>
    <n v="796374"/>
    <s v="MC1E4CAA8SP083444"/>
    <s v="D71069262"/>
    <s v="001"/>
    <s v="SERV KMS  / HRS EXCEEDS"/>
    <x v="7"/>
    <s v="29-Aug-25"/>
    <x v="6"/>
    <n v="1250"/>
    <n v="589181"/>
    <s v="13-Nov-25"/>
    <n v="1000"/>
    <n v="1475"/>
    <n v="225"/>
    <n v="112648"/>
    <s v="13-Nov-25"/>
    <n v="250"/>
    <m/>
    <m/>
    <s v="T1BS6N"/>
    <s v="CVD"/>
    <s v="F"/>
  </r>
  <r>
    <n v="1019"/>
    <s v="NORTH"/>
    <s v="UTTAR PRADESH"/>
    <n v="7134"/>
    <s v="M/S GOENKA AUTO PRIVATE LIMITED."/>
    <s v="VARANASI"/>
    <s v="27-Mar-25"/>
    <s v="24-Aug-25"/>
    <n v="875"/>
    <n v="30000"/>
    <n v="2"/>
    <s v="S"/>
    <s v="T-1"/>
    <n v="798072"/>
    <s v="MC1E4CAA4SP084574"/>
    <s v="D71069488"/>
    <m/>
    <m/>
    <x v="7"/>
    <s v="29-Aug-25"/>
    <x v="6"/>
    <n v="1250"/>
    <n v="589181"/>
    <s v="13-Nov-25"/>
    <n v="1250"/>
    <n v="1475"/>
    <n v="225"/>
    <n v="112648"/>
    <s v="13-Nov-25"/>
    <n v="0"/>
    <m/>
    <m/>
    <s v="T1BS6N"/>
    <s v="CVD"/>
    <s v="F"/>
  </r>
  <r>
    <n v="1020"/>
    <s v="NORTH"/>
    <s v="UTTAR PRADESH"/>
    <n v="7134"/>
    <s v="M/S GOENKA AUTO PRIVATE LIMITED."/>
    <s v="VARANASI"/>
    <s v="25-Mar-25"/>
    <s v="21-Aug-25"/>
    <n v="875"/>
    <n v="30000"/>
    <n v="2"/>
    <s v="S"/>
    <s v="T-1"/>
    <n v="795315"/>
    <s v="MC1E4CAA4SP084672"/>
    <s v="D71069503"/>
    <m/>
    <m/>
    <x v="7"/>
    <s v="29-Aug-25"/>
    <x v="6"/>
    <n v="1250"/>
    <n v="589181"/>
    <s v="13-Nov-25"/>
    <n v="1250"/>
    <n v="1475"/>
    <n v="225"/>
    <n v="112648"/>
    <s v="13-Nov-25"/>
    <n v="0"/>
    <m/>
    <m/>
    <s v="T1BS6N"/>
    <s v="CVD"/>
    <s v="F"/>
  </r>
  <r>
    <n v="1021"/>
    <s v="NORTH"/>
    <s v="UTTAR PRADESH"/>
    <n v="7134"/>
    <s v="M/S GOENKA AUTO PRIVATE LIMITED."/>
    <s v="VARANASI"/>
    <s v="13-Jun-25"/>
    <s v="10-Aug-25"/>
    <n v="221001"/>
    <n v="1266"/>
    <n v="1"/>
    <s v="S"/>
    <s v="TRAX"/>
    <n v="327542"/>
    <s v="MC1D4DCA2SP107980"/>
    <s v="D72019619"/>
    <m/>
    <m/>
    <x v="7"/>
    <s v="29-Aug-25"/>
    <x v="6"/>
    <n v="1250"/>
    <n v="589181"/>
    <s v="13-Nov-25"/>
    <n v="1250"/>
    <n v="1475"/>
    <n v="225"/>
    <n v="112648"/>
    <s v="13-Nov-25"/>
    <n v="0"/>
    <m/>
    <m/>
    <s v="TRXBS6"/>
    <s v="CVD"/>
    <s v="F"/>
  </r>
  <r>
    <n v="1022"/>
    <s v="NORTH"/>
    <s v="UTTAR PRADESH"/>
    <n v="7134"/>
    <s v="M/S GOENKA AUTO PRIVATE LIMITED."/>
    <s v="VARANASI"/>
    <s v="28-May-25"/>
    <s v="14-Aug-25"/>
    <n v="1165"/>
    <n v="10000"/>
    <n v="1"/>
    <s v="S"/>
    <s v="T-1"/>
    <n v="803547"/>
    <s v="MC1E4CDA6SP087245"/>
    <s v="D71077690"/>
    <m/>
    <m/>
    <x v="7"/>
    <s v="29-Aug-25"/>
    <x v="6"/>
    <n v="1250"/>
    <n v="589181"/>
    <s v="13-Nov-25"/>
    <n v="1250"/>
    <n v="1475"/>
    <n v="225"/>
    <n v="112648"/>
    <s v="13-Nov-25"/>
    <n v="0"/>
    <m/>
    <m/>
    <s v="T1BS6"/>
    <s v="CVD"/>
    <s v="F"/>
  </r>
  <r>
    <n v="1023"/>
    <s v="NORTH"/>
    <s v="UTTAR PRADESH"/>
    <n v="7134"/>
    <s v="M/S GOENKA AUTO PRIVATE LIMITED."/>
    <s v="VARANASI"/>
    <s v="14-Jan-25"/>
    <s v="05-Aug-25"/>
    <n v="863"/>
    <n v="30000"/>
    <n v="2"/>
    <s v="S"/>
    <s v="T-1"/>
    <n v="796561"/>
    <s v="MC1E4CAA2SP083665"/>
    <s v="D71069644"/>
    <m/>
    <m/>
    <x v="7"/>
    <s v="29-Aug-25"/>
    <x v="6"/>
    <n v="1250"/>
    <n v="589181"/>
    <s v="13-Nov-25"/>
    <n v="1250"/>
    <n v="1475"/>
    <n v="225"/>
    <n v="112648"/>
    <s v="13-Nov-25"/>
    <n v="0"/>
    <m/>
    <m/>
    <s v="T1BS6N"/>
    <s v="CVD"/>
    <s v="F"/>
  </r>
  <r>
    <n v="1024"/>
    <s v="NORTH"/>
    <s v="UTTAR PRADESH"/>
    <n v="7134"/>
    <s v="M/S GOENKA AUTO PRIVATE LIMITED."/>
    <s v="VARANASI"/>
    <s v="10-Jun-25"/>
    <s v="13-Aug-25"/>
    <n v="1190"/>
    <n v="6270"/>
    <n v="1"/>
    <s v="S"/>
    <s v="T-1"/>
    <n v="802410"/>
    <s v="MC1E4EEA9SP016230"/>
    <s v="D71080349"/>
    <m/>
    <m/>
    <x v="7"/>
    <s v="29-Aug-25"/>
    <x v="6"/>
    <n v="1250"/>
    <n v="589181"/>
    <s v="13-Nov-25"/>
    <n v="1250"/>
    <n v="1475"/>
    <n v="225"/>
    <n v="112648"/>
    <s v="13-Nov-25"/>
    <n v="0"/>
    <m/>
    <m/>
    <s v="T1BS6"/>
    <s v="CVD"/>
    <s v="F"/>
  </r>
  <r>
    <n v="1025"/>
    <s v="NORTH"/>
    <s v="UTTAR PRADESH"/>
    <n v="7134"/>
    <s v="M/S GOENKA AUTO PRIVATE LIMITED."/>
    <s v="VARANASI"/>
    <s v="03-Jul-24"/>
    <s v="07-Aug-25"/>
    <n v="1165"/>
    <n v="66680"/>
    <n v="7"/>
    <s v="S"/>
    <s v="T-1"/>
    <n v="775222"/>
    <s v="MC1E4EFA9RP013093"/>
    <s v="D71055949"/>
    <m/>
    <m/>
    <x v="7"/>
    <s v="29-Aug-25"/>
    <x v="6"/>
    <n v="0"/>
    <n v="589181"/>
    <s v="13-Nov-25"/>
    <n v="0"/>
    <n v="0"/>
    <n v="0"/>
    <n v="112648"/>
    <s v="13-Nov-25"/>
    <n v="0"/>
    <m/>
    <m/>
    <s v="T1BS6"/>
    <s v="CVD"/>
    <s v="P"/>
  </r>
  <r>
    <n v="1026"/>
    <s v="NORTH"/>
    <s v="UTTAR PRADESH"/>
    <n v="7134"/>
    <s v="M/S GOENKA AUTO PRIVATE LIMITED."/>
    <s v="VARANASI"/>
    <s v="08-Feb-25"/>
    <s v="29-Aug-25"/>
    <n v="1165"/>
    <n v="5336"/>
    <n v="3"/>
    <s v="S"/>
    <s v="TRAX"/>
    <n v="326624"/>
    <s v="MC1D4DKA6SP106154"/>
    <s v="D72017629"/>
    <s v="002"/>
    <s v="SERV DATE EXCEEDS"/>
    <x v="7"/>
    <s v="29-Aug-25"/>
    <x v="6"/>
    <n v="1250"/>
    <n v="589181"/>
    <s v="13-Nov-25"/>
    <n v="1000"/>
    <n v="1475"/>
    <n v="225"/>
    <n v="112648"/>
    <s v="13-Nov-25"/>
    <n v="250"/>
    <m/>
    <m/>
    <s v="TRXBS6"/>
    <s v="CVD"/>
    <s v="F"/>
  </r>
  <r>
    <n v="1027"/>
    <s v="NORTH"/>
    <s v="UTTAR PRADESH"/>
    <n v="7134"/>
    <s v="M/S GOENKA AUTO PRIVATE LIMITED."/>
    <s v="VARANASI"/>
    <s v="15-May-25"/>
    <s v="22-Aug-25"/>
    <n v="1165"/>
    <n v="20395"/>
    <n v="2"/>
    <s v="S"/>
    <s v="T-1"/>
    <n v="802355"/>
    <s v="MC1E4EEA1SP016111"/>
    <s v="D71079576"/>
    <m/>
    <m/>
    <x v="7"/>
    <s v="29-Aug-25"/>
    <x v="6"/>
    <n v="0"/>
    <n v="589181"/>
    <s v="13-Nov-25"/>
    <n v="0"/>
    <n v="0"/>
    <n v="0"/>
    <n v="112648"/>
    <s v="13-Nov-25"/>
    <n v="0"/>
    <m/>
    <m/>
    <s v="T1BS6"/>
    <s v="CVD"/>
    <s v="P"/>
  </r>
  <r>
    <n v="1028"/>
    <s v="NORTH"/>
    <s v="UTTAR PRADESH"/>
    <n v="7134"/>
    <s v="M/S GOENKA AUTO PRIVATE LIMITED."/>
    <s v="VARANASI"/>
    <s v="24-Mar-25"/>
    <s v="08-Aug-25"/>
    <n v="852"/>
    <n v="29269"/>
    <n v="2"/>
    <s v="S"/>
    <s v="T-1"/>
    <n v="796224"/>
    <s v="MC1E4CAA6SP084401"/>
    <s v="D71070795"/>
    <m/>
    <m/>
    <x v="7"/>
    <s v="29-Aug-25"/>
    <x v="6"/>
    <n v="1250"/>
    <n v="589181"/>
    <s v="13-Nov-25"/>
    <n v="1250"/>
    <n v="1475"/>
    <n v="225"/>
    <n v="112648"/>
    <s v="13-Nov-25"/>
    <n v="0"/>
    <m/>
    <m/>
    <s v="T1BS6N"/>
    <s v="CVD"/>
    <s v="F"/>
  </r>
  <r>
    <n v="1029"/>
    <s v="NORTH"/>
    <s v="UTTAR PRADESH"/>
    <n v="7134"/>
    <s v="M/S GOENKA AUTO PRIVATE LIMITED."/>
    <s v="VARANASI"/>
    <s v="24-Feb-24"/>
    <s v="07-Aug-25"/>
    <n v="1165"/>
    <n v="90000"/>
    <n v="9"/>
    <s v="S"/>
    <s v="T1N"/>
    <n v="3269"/>
    <s v="MC1M4ABA2RP001023"/>
    <s v="D71047495"/>
    <m/>
    <m/>
    <x v="7"/>
    <s v="29-Aug-25"/>
    <x v="6"/>
    <n v="0"/>
    <n v="589181"/>
    <s v="13-Nov-25"/>
    <n v="0"/>
    <n v="0"/>
    <n v="0"/>
    <n v="112648"/>
    <s v="13-Nov-25"/>
    <n v="0"/>
    <m/>
    <m/>
    <s v="URBN"/>
    <s v="CVD"/>
    <s v="P"/>
  </r>
  <r>
    <n v="1030"/>
    <s v="NORTH"/>
    <s v="UTTAR PRADESH"/>
    <n v="7134"/>
    <s v="M/S GOENKA AUTO PRIVATE LIMITED."/>
    <s v="VARANASI"/>
    <s v="28-Nov-24"/>
    <s v="22-Aug-25"/>
    <n v="1165"/>
    <n v="29000"/>
    <n v="3"/>
    <s v="S"/>
    <s v="T1N"/>
    <n v="5577"/>
    <s v="MC1M4AKA5SP002673"/>
    <s v="D71064545"/>
    <m/>
    <m/>
    <x v="7"/>
    <s v="29-Aug-25"/>
    <x v="6"/>
    <n v="1650"/>
    <n v="589181"/>
    <s v="13-Nov-25"/>
    <n v="1650"/>
    <n v="1947"/>
    <n v="297"/>
    <n v="112648"/>
    <s v="13-Nov-25"/>
    <n v="0"/>
    <m/>
    <m/>
    <s v="URBN"/>
    <s v="CVD"/>
    <s v="F"/>
  </r>
  <r>
    <n v="1031"/>
    <s v="NORTH"/>
    <s v="UTTAR PRADESH"/>
    <n v="7134"/>
    <s v="M/S GOENKA AUTO PRIVATE LIMITED."/>
    <s v="VARANASI"/>
    <s v="15-Oct-24"/>
    <s v="29-Aug-25"/>
    <n v="1165"/>
    <n v="29594"/>
    <n v="4"/>
    <s v="S"/>
    <s v="T1N"/>
    <n v="5320"/>
    <s v="MC1M4AJA3SP002284"/>
    <s v="D71061468"/>
    <m/>
    <m/>
    <x v="7"/>
    <s v="29-Aug-25"/>
    <x v="6"/>
    <n v="0"/>
    <n v="589181"/>
    <s v="13-Nov-25"/>
    <n v="0"/>
    <n v="0"/>
    <n v="0"/>
    <n v="112648"/>
    <s v="13-Nov-25"/>
    <n v="0"/>
    <m/>
    <m/>
    <s v="URBN"/>
    <s v="CVD"/>
    <s v="P"/>
  </r>
  <r>
    <n v="1032"/>
    <s v="NORTH"/>
    <s v="UTTAR PRADESH"/>
    <n v="7134"/>
    <s v="M/S GOENKA AUTO PRIVATE LIMITED."/>
    <s v="VARANASI"/>
    <s v="08-Oct-24"/>
    <s v="18-Aug-25"/>
    <n v="1165"/>
    <n v="42910"/>
    <n v="5"/>
    <s v="S"/>
    <s v="T-1"/>
    <n v="787433"/>
    <s v="MC1E4EHA6SP013801"/>
    <s v="D71060519"/>
    <m/>
    <m/>
    <x v="7"/>
    <s v="29-Aug-25"/>
    <x v="6"/>
    <n v="1250"/>
    <n v="589181"/>
    <s v="13-Nov-25"/>
    <n v="1250"/>
    <n v="1475"/>
    <n v="225"/>
    <n v="112648"/>
    <s v="13-Nov-25"/>
    <n v="0"/>
    <m/>
    <m/>
    <s v="T1BS6"/>
    <s v="CVD"/>
    <s v="F"/>
  </r>
  <r>
    <n v="1033"/>
    <s v="NORTH"/>
    <s v="UTTAR PRADESH"/>
    <n v="7134"/>
    <s v="M/S GOENKA AUTO PRIVATE LIMITED."/>
    <s v="VARANASI"/>
    <s v="23-Mar-25"/>
    <s v="24-Aug-25"/>
    <n v="877"/>
    <n v="29163"/>
    <n v="2"/>
    <s v="S"/>
    <s v="T-1"/>
    <n v="796072"/>
    <s v="MC1E4CAA4SP083943"/>
    <s v="D71070105"/>
    <m/>
    <m/>
    <x v="7"/>
    <s v="29-Aug-25"/>
    <x v="6"/>
    <n v="1250"/>
    <n v="589181"/>
    <s v="13-Nov-25"/>
    <n v="1250"/>
    <n v="1475"/>
    <n v="225"/>
    <n v="112648"/>
    <s v="13-Nov-25"/>
    <n v="0"/>
    <m/>
    <m/>
    <s v="T1BS6N"/>
    <s v="CVD"/>
    <s v="F"/>
  </r>
  <r>
    <n v="1034"/>
    <s v="NORTH"/>
    <s v="UTTAR PRADESH"/>
    <n v="7134"/>
    <s v="M/S GOENKA AUTO PRIVATE LIMITED."/>
    <s v="VARANASI"/>
    <s v="08-May-25"/>
    <s v="17-Aug-25"/>
    <n v="1165"/>
    <n v="5084"/>
    <n v="1"/>
    <s v="S"/>
    <s v="T-1"/>
    <n v="798262"/>
    <s v="MC1E4DDA3SP056797"/>
    <s v="D71077924"/>
    <m/>
    <m/>
    <x v="7"/>
    <s v="29-Aug-25"/>
    <x v="6"/>
    <n v="1250"/>
    <n v="589181"/>
    <s v="13-Nov-25"/>
    <n v="1250"/>
    <n v="1475"/>
    <n v="225"/>
    <n v="112648"/>
    <s v="13-Nov-25"/>
    <n v="0"/>
    <m/>
    <m/>
    <s v="T1BS6N"/>
    <s v="CVD"/>
    <s v="F"/>
  </r>
  <r>
    <n v="1035"/>
    <s v="NORTH"/>
    <s v="UTTAR PRADESH"/>
    <n v="7134"/>
    <s v="M/S GOENKA AUTO PRIVATE LIMITED."/>
    <s v="VARANASI"/>
    <s v="19-Feb-24"/>
    <s v="04-Aug-25"/>
    <n v="1165"/>
    <n v="90000"/>
    <n v="9"/>
    <s v="S"/>
    <s v="T1N"/>
    <n v="3268"/>
    <s v="MC1M4ABA1RP000994"/>
    <s v="D71047182"/>
    <m/>
    <m/>
    <x v="7"/>
    <s v="29-Aug-25"/>
    <x v="6"/>
    <n v="0"/>
    <n v="589181"/>
    <s v="13-Nov-25"/>
    <n v="0"/>
    <n v="0"/>
    <n v="0"/>
    <n v="112648"/>
    <s v="13-Nov-25"/>
    <n v="0"/>
    <m/>
    <m/>
    <s v="URBN"/>
    <s v="CVD"/>
    <s v="P"/>
  </r>
  <r>
    <n v="1036"/>
    <s v="NORTH"/>
    <s v="UTTAR PRADESH"/>
    <n v="7134"/>
    <s v="M/S GOENKA AUTO PRIVATE LIMITED."/>
    <s v="VARANASI"/>
    <s v="20-Jul-24"/>
    <s v="26-Aug-25"/>
    <n v="1165"/>
    <n v="60000"/>
    <n v="6"/>
    <s v="S"/>
    <s v="T1N"/>
    <n v="3564"/>
    <s v="MC1M4AFA5RP001723"/>
    <s v="D71056049"/>
    <m/>
    <m/>
    <x v="7"/>
    <s v="29-Aug-25"/>
    <x v="6"/>
    <n v="0"/>
    <n v="589181"/>
    <s v="13-Nov-25"/>
    <n v="0"/>
    <n v="0"/>
    <n v="0"/>
    <n v="112648"/>
    <s v="13-Nov-25"/>
    <n v="0"/>
    <m/>
    <m/>
    <s v="URBN"/>
    <s v="CVD"/>
    <s v="P"/>
  </r>
  <r>
    <n v="1037"/>
    <s v="NORTH"/>
    <s v="UTTAR PRADESH"/>
    <n v="7134"/>
    <s v="M/S GOENKA AUTO PRIVATE LIMITED."/>
    <s v="VARANASI"/>
    <s v="25-Mar-25"/>
    <s v="10-Aug-25"/>
    <n v="909"/>
    <n v="30000"/>
    <n v="2"/>
    <s v="S"/>
    <s v="T-1"/>
    <n v="797308"/>
    <s v="MC1E4CBA2SP086158"/>
    <s v="D71073777"/>
    <m/>
    <m/>
    <x v="7"/>
    <s v="29-Aug-25"/>
    <x v="6"/>
    <n v="1250"/>
    <n v="589181"/>
    <s v="13-Nov-25"/>
    <n v="1250"/>
    <n v="1475"/>
    <n v="225"/>
    <n v="112648"/>
    <s v="13-Nov-25"/>
    <n v="0"/>
    <m/>
    <m/>
    <s v="T1BS6N"/>
    <s v="CVD"/>
    <s v="F"/>
  </r>
  <r>
    <n v="1038"/>
    <s v="NORTH"/>
    <s v="UTTAR PRADESH"/>
    <n v="7134"/>
    <s v="M/S GOENKA AUTO PRIVATE LIMITED."/>
    <s v="VARANASI"/>
    <s v="03-May-24"/>
    <s v="25-Aug-25"/>
    <n v="1165"/>
    <n v="30331"/>
    <n v="3"/>
    <s v="S"/>
    <s v="T26"/>
    <n v="768518"/>
    <s v="MC1E4FCA1RP019657"/>
    <s v="D71049595"/>
    <m/>
    <m/>
    <x v="7"/>
    <s v="29-Aug-25"/>
    <x v="6"/>
    <n v="1250"/>
    <n v="589181"/>
    <s v="13-Nov-25"/>
    <n v="1250"/>
    <n v="1475"/>
    <n v="225"/>
    <n v="112648"/>
    <s v="13-Nov-25"/>
    <n v="0"/>
    <m/>
    <m/>
    <s v="T26BS6N"/>
    <s v="CVD"/>
    <s v="F"/>
  </r>
  <r>
    <n v="1039"/>
    <s v="NORTH"/>
    <s v="UTTAR PRADESH"/>
    <n v="7134"/>
    <s v="M/S GOENKA AUTO PRIVATE LIMITED."/>
    <s v="VARANASI"/>
    <s v="30-Jun-25"/>
    <s v="24-Aug-25"/>
    <n v="1165"/>
    <n v="3514"/>
    <n v="1"/>
    <s v="S"/>
    <s v="T-1"/>
    <n v="778956"/>
    <s v="MC1E5CEA6SP000178"/>
    <s v="D73002059"/>
    <m/>
    <m/>
    <x v="7"/>
    <s v="29-Aug-25"/>
    <x v="6"/>
    <n v="1250"/>
    <n v="589181"/>
    <s v="13-Nov-25"/>
    <n v="1250"/>
    <n v="1475"/>
    <n v="225"/>
    <n v="112648"/>
    <s v="13-Nov-25"/>
    <n v="0"/>
    <m/>
    <m/>
    <s v="T1CNGL"/>
    <s v="CVD"/>
    <s v="F"/>
  </r>
  <r>
    <n v="1040"/>
    <s v="NORTH"/>
    <s v="UTTAR PRADESH"/>
    <n v="7134"/>
    <s v="M/S GOENKA AUTO PRIVATE LIMITED."/>
    <s v="VARANASI"/>
    <s v="23-Mar-25"/>
    <s v="24-Aug-25"/>
    <n v="865"/>
    <n v="31726"/>
    <n v="2"/>
    <s v="S"/>
    <s v="T-1"/>
    <n v="796163"/>
    <s v="MC1E4CAAXSP083882"/>
    <s v="D71069921"/>
    <s v="001"/>
    <s v="SERV KMS  / HRS EXCEEDS"/>
    <x v="7"/>
    <s v="29-Aug-25"/>
    <x v="6"/>
    <n v="1250"/>
    <n v="589181"/>
    <s v="13-Nov-25"/>
    <n v="1000"/>
    <n v="1475"/>
    <n v="225"/>
    <n v="112648"/>
    <s v="13-Nov-25"/>
    <n v="250"/>
    <m/>
    <m/>
    <s v="T1BS6N"/>
    <s v="CVD"/>
    <s v="F"/>
  </r>
  <r>
    <n v="1041"/>
    <s v="NORTH"/>
    <s v="UTTAR PRADESH"/>
    <n v="7134"/>
    <s v="M/S GOENKA AUTO PRIVATE LIMITED."/>
    <s v="VARANASI"/>
    <s v="18-Feb-25"/>
    <s v="21-Aug-25"/>
    <n v="1165"/>
    <n v="27854"/>
    <n v="3"/>
    <s v="S"/>
    <s v="T1N"/>
    <n v="6116"/>
    <s v="MC1M4ALA3SP002959"/>
    <s v="D71066712"/>
    <m/>
    <m/>
    <x v="7"/>
    <s v="29-Aug-25"/>
    <x v="6"/>
    <n v="1650"/>
    <n v="589181"/>
    <s v="13-Nov-25"/>
    <n v="1650"/>
    <n v="1947"/>
    <n v="297"/>
    <n v="112648"/>
    <s v="13-Nov-25"/>
    <n v="0"/>
    <m/>
    <m/>
    <s v="URBN"/>
    <s v="CVD"/>
    <s v="F"/>
  </r>
  <r>
    <n v="1042"/>
    <s v="NORTH"/>
    <s v="UTTAR PRADESH"/>
    <n v="7134"/>
    <s v="M/S GOENKA AUTO PRIVATE LIMITED."/>
    <s v="VARANASI"/>
    <s v="24-Apr-24"/>
    <s v="17-Aug-25"/>
    <n v="1165"/>
    <n v="101143"/>
    <n v="10"/>
    <s v="S"/>
    <s v="TRAX"/>
    <n v="322476"/>
    <s v="MC1D4DBA6RP103555"/>
    <s v="D72014275"/>
    <m/>
    <m/>
    <x v="7"/>
    <s v="29-Aug-25"/>
    <x v="6"/>
    <n v="0"/>
    <n v="589181"/>
    <s v="13-Nov-25"/>
    <n v="0"/>
    <n v="0"/>
    <n v="0"/>
    <n v="112648"/>
    <s v="13-Nov-25"/>
    <n v="0"/>
    <m/>
    <m/>
    <s v="TRXBS6"/>
    <s v="CVD"/>
    <s v="P"/>
  </r>
  <r>
    <n v="1043"/>
    <s v="NORTH"/>
    <s v="UTTAR PRADESH"/>
    <n v="7134"/>
    <s v="M/S GOENKA AUTO PRIVATE LIMITED."/>
    <s v="VARANASI"/>
    <s v="28-Apr-25"/>
    <s v="21-Aug-25"/>
    <n v="1150"/>
    <n v="9633"/>
    <n v="2"/>
    <s v="S"/>
    <s v="T-1"/>
    <n v="778181"/>
    <s v="MC1E5EDA4SP003335"/>
    <s v="D73001808"/>
    <m/>
    <m/>
    <x v="7"/>
    <s v="29-Aug-25"/>
    <x v="6"/>
    <n v="0"/>
    <n v="589181"/>
    <s v="13-Nov-25"/>
    <n v="0"/>
    <n v="0"/>
    <n v="0"/>
    <n v="112648"/>
    <s v="13-Nov-25"/>
    <n v="0"/>
    <m/>
    <m/>
    <s v="T1CNGL"/>
    <s v="CVD"/>
    <s v="P"/>
  </r>
  <r>
    <n v="1044"/>
    <s v="NORTH"/>
    <s v="UTTAR PRADESH"/>
    <n v="7134"/>
    <s v="M/S GOENKA AUTO PRIVATE LIMITED."/>
    <s v="VARANASI"/>
    <s v="26-Mar-25"/>
    <s v="03-Aug-25"/>
    <n v="877"/>
    <n v="31390"/>
    <n v="2"/>
    <s v="S"/>
    <s v="T-1"/>
    <n v="798914"/>
    <s v="MC1E4CAAXSP084496"/>
    <s v="D71070991"/>
    <s v="001"/>
    <s v="SERV KMS  / HRS EXCEEDS"/>
    <x v="7"/>
    <s v="29-Aug-25"/>
    <x v="6"/>
    <n v="1250"/>
    <n v="589181"/>
    <s v="13-Nov-25"/>
    <n v="1000"/>
    <n v="1475"/>
    <n v="225"/>
    <n v="112648"/>
    <s v="13-Nov-25"/>
    <n v="250"/>
    <m/>
    <m/>
    <s v="T1BS6N"/>
    <s v="CVD"/>
    <s v="F"/>
  </r>
  <r>
    <n v="1045"/>
    <s v="NORTH"/>
    <s v="UTTAR PRADESH"/>
    <n v="7134"/>
    <s v="M/S GOENKA AUTO PRIVATE LIMITED."/>
    <s v="VARANASI"/>
    <s v="31-May-24"/>
    <s v="24-Aug-25"/>
    <n v="1165"/>
    <n v="16009"/>
    <n v="3"/>
    <s v="S"/>
    <s v="T-1"/>
    <n v="771605"/>
    <s v="MC1E4DBA9RP050757"/>
    <s v="D71047077"/>
    <m/>
    <m/>
    <x v="7"/>
    <s v="29-Aug-25"/>
    <x v="6"/>
    <n v="1250"/>
    <n v="589181"/>
    <s v="13-Nov-25"/>
    <n v="1250"/>
    <n v="1475"/>
    <n v="225"/>
    <n v="112648"/>
    <s v="13-Nov-25"/>
    <n v="0"/>
    <m/>
    <m/>
    <s v="T1BS6N"/>
    <s v="CVD"/>
    <s v="F"/>
  </r>
  <r>
    <n v="1046"/>
    <s v="NORTH"/>
    <s v="UTTAR PRADESH"/>
    <n v="7134"/>
    <s v="M/S GOENKA AUTO PRIVATE LIMITED."/>
    <s v="VARANASI"/>
    <s v="29-Apr-25"/>
    <s v="12-Aug-25"/>
    <n v="950"/>
    <n v="30691"/>
    <n v="2"/>
    <s v="S"/>
    <s v="T-1"/>
    <n v="795169"/>
    <s v="MC1E4CAA9SP083484"/>
    <s v="D71069434"/>
    <m/>
    <m/>
    <x v="7"/>
    <s v="29-Aug-25"/>
    <x v="6"/>
    <n v="1250"/>
    <n v="589181"/>
    <s v="13-Nov-25"/>
    <n v="1250"/>
    <n v="1475"/>
    <n v="225"/>
    <n v="112648"/>
    <s v="13-Nov-25"/>
    <n v="0"/>
    <m/>
    <m/>
    <s v="T1BS6N"/>
    <s v="CVD"/>
    <s v="F"/>
  </r>
  <r>
    <n v="1047"/>
    <s v="NORTH"/>
    <s v="UTTAR PRADESH"/>
    <n v="7134"/>
    <s v="M/S GOENKA AUTO PRIVATE LIMITED."/>
    <s v="VARANASI"/>
    <s v="24-Mar-25"/>
    <s v="20-Aug-25"/>
    <n v="912"/>
    <n v="29766"/>
    <n v="2"/>
    <s v="S"/>
    <s v="T-1"/>
    <n v="796249"/>
    <s v="MC1E4CAA5SP084261"/>
    <s v="D71070197"/>
    <m/>
    <m/>
    <x v="7"/>
    <s v="29-Aug-25"/>
    <x v="6"/>
    <n v="1250"/>
    <n v="589181"/>
    <s v="13-Nov-25"/>
    <n v="1250"/>
    <n v="1475"/>
    <n v="225"/>
    <n v="112648"/>
    <s v="13-Nov-25"/>
    <n v="0"/>
    <m/>
    <m/>
    <s v="T1BS6N"/>
    <s v="CVD"/>
    <s v="F"/>
  </r>
  <r>
    <n v="1048"/>
    <s v="NORTH"/>
    <s v="UTTAR PRADESH"/>
    <n v="7134"/>
    <s v="M/S GOENKA AUTO PRIVATE LIMITED."/>
    <s v="VARANASI"/>
    <s v="29-Mar-25"/>
    <s v="18-Aug-25"/>
    <n v="1165"/>
    <n v="24686"/>
    <n v="2"/>
    <s v="S"/>
    <s v="T3"/>
    <n v="788228"/>
    <s v="MC1L4BGA5SP000738"/>
    <s v="D71058742"/>
    <m/>
    <m/>
    <x v="7"/>
    <s v="29-Aug-25"/>
    <x v="6"/>
    <n v="0"/>
    <n v="589181"/>
    <s v="13-Nov-25"/>
    <n v="0"/>
    <n v="0"/>
    <n v="0"/>
    <n v="112648"/>
    <s v="13-Nov-25"/>
    <n v="0"/>
    <m/>
    <m/>
    <s v="T3MONBS6"/>
    <s v="CVD"/>
    <s v="P"/>
  </r>
  <r>
    <n v="1049"/>
    <s v="NORTH"/>
    <s v="UTTAR PRADESH"/>
    <n v="7134"/>
    <s v="M/S GOENKA AUTO PRIVATE LIMITED."/>
    <s v="VARANASI"/>
    <s v="17-Feb-25"/>
    <s v="11-Aug-25"/>
    <n v="1165"/>
    <n v="15569"/>
    <n v="3"/>
    <s v="S"/>
    <s v="T26"/>
    <n v="789054"/>
    <s v="MC1E4FAA1SP022096"/>
    <s v="D71067736"/>
    <m/>
    <m/>
    <x v="7"/>
    <s v="29-Aug-25"/>
    <x v="6"/>
    <n v="1250"/>
    <n v="589181"/>
    <s v="13-Nov-25"/>
    <n v="1250"/>
    <n v="1475"/>
    <n v="225"/>
    <n v="112648"/>
    <s v="13-Nov-25"/>
    <n v="0"/>
    <m/>
    <m/>
    <s v="T26BS6"/>
    <s v="CVD"/>
    <s v="F"/>
  </r>
  <r>
    <n v="1050"/>
    <s v="NORTH"/>
    <s v="UTTAR PRADESH"/>
    <n v="7134"/>
    <s v="M/S GOENKA AUTO PRIVATE LIMITED."/>
    <s v="VARANASI"/>
    <s v="29-Apr-25"/>
    <s v="29-Aug-25"/>
    <n v="1165"/>
    <n v="5058"/>
    <n v="1"/>
    <s v="S"/>
    <s v="T-1"/>
    <n v="796631"/>
    <s v="MC1E4CAA9SP083369"/>
    <s v="D71069051"/>
    <m/>
    <m/>
    <x v="7"/>
    <s v="29-Aug-25"/>
    <x v="6"/>
    <n v="1250"/>
    <n v="589181"/>
    <s v="13-Nov-25"/>
    <n v="1250"/>
    <n v="1475"/>
    <n v="225"/>
    <n v="112648"/>
    <s v="13-Nov-25"/>
    <n v="0"/>
    <m/>
    <m/>
    <s v="T1BS6N"/>
    <s v="CVD"/>
    <s v="F"/>
  </r>
  <r>
    <n v="1051"/>
    <s v="NORTH"/>
    <s v="UTTAR PRADESH"/>
    <n v="7134"/>
    <s v="M/S GOENKA AUTO PRIVATE LIMITED."/>
    <s v="VARANASI"/>
    <s v="26-Apr-24"/>
    <s v="24-Aug-25"/>
    <n v="1165"/>
    <n v="16555"/>
    <n v="3"/>
    <s v="S"/>
    <s v="T-1"/>
    <n v="770327"/>
    <s v="MC1E4DBA8RP050751"/>
    <s v="D71046972"/>
    <m/>
    <m/>
    <x v="7"/>
    <s v="29-Aug-25"/>
    <x v="6"/>
    <n v="1250"/>
    <n v="589181"/>
    <s v="13-Nov-25"/>
    <n v="1250"/>
    <n v="1475"/>
    <n v="225"/>
    <n v="112648"/>
    <s v="13-Nov-25"/>
    <n v="0"/>
    <m/>
    <m/>
    <s v="T1BS6N"/>
    <s v="CVD"/>
    <s v="F"/>
  </r>
  <r>
    <n v="1052"/>
    <s v="NORTH"/>
    <s v="UTTAR PRADESH"/>
    <n v="7134"/>
    <s v="M/S GOENKA AUTO PRIVATE LIMITED."/>
    <s v="VARANASI"/>
    <s v="06-Mar-25"/>
    <s v="26-Aug-25"/>
    <n v="1165"/>
    <n v="28857"/>
    <n v="3"/>
    <s v="S"/>
    <s v="T-1"/>
    <n v="792931"/>
    <s v="MC1E4EBA7SP015193"/>
    <s v="D71071490"/>
    <m/>
    <m/>
    <x v="7"/>
    <s v="29-Aug-25"/>
    <x v="6"/>
    <n v="1250"/>
    <n v="589181"/>
    <s v="13-Nov-25"/>
    <n v="1250"/>
    <n v="1475"/>
    <n v="225"/>
    <n v="112648"/>
    <s v="13-Nov-25"/>
    <n v="0"/>
    <m/>
    <m/>
    <s v="T1BS6"/>
    <s v="CVD"/>
    <s v="F"/>
  </r>
  <r>
    <n v="1053"/>
    <s v="NORTH"/>
    <s v="UTTAR PRADESH"/>
    <n v="7134"/>
    <s v="M/S GOENKA AUTO PRIVATE LIMITED."/>
    <s v="VARANASI"/>
    <s v="01-May-25"/>
    <s v="20-Aug-25"/>
    <n v="1150"/>
    <n v="9949"/>
    <n v="2"/>
    <s v="S"/>
    <s v="T-1"/>
    <n v="778388"/>
    <s v="MC1E5EDA9SP003332"/>
    <s v="D73001797"/>
    <m/>
    <m/>
    <x v="7"/>
    <s v="29-Aug-25"/>
    <x v="6"/>
    <n v="0"/>
    <n v="589181"/>
    <s v="13-Nov-25"/>
    <n v="0"/>
    <n v="0"/>
    <n v="0"/>
    <n v="112648"/>
    <s v="13-Nov-25"/>
    <n v="0"/>
    <m/>
    <m/>
    <s v="T1CNGL"/>
    <s v="CVD"/>
    <s v="P"/>
  </r>
  <r>
    <n v="1054"/>
    <s v="NORTH"/>
    <s v="UTTAR PRADESH"/>
    <n v="7134"/>
    <s v="M/S GOENKA AUTO PRIVATE LIMITED."/>
    <s v="VARANASI"/>
    <s v="31-Dec-24"/>
    <s v="01-Aug-25"/>
    <n v="1165"/>
    <n v="36168"/>
    <n v="4"/>
    <s v="S"/>
    <s v="T1N"/>
    <n v="5607"/>
    <s v="MC1M4ALA7SP002799"/>
    <s v="D71065600"/>
    <m/>
    <m/>
    <x v="7"/>
    <s v="29-Aug-25"/>
    <x v="6"/>
    <n v="0"/>
    <n v="589181"/>
    <s v="13-Nov-25"/>
    <n v="0"/>
    <n v="0"/>
    <n v="0"/>
    <n v="112648"/>
    <s v="13-Nov-25"/>
    <n v="0"/>
    <m/>
    <m/>
    <s v="URBN"/>
    <s v="CVD"/>
    <s v="P"/>
  </r>
  <r>
    <n v="1055"/>
    <s v="NORTH"/>
    <s v="UTTAR PRADESH"/>
    <n v="7134"/>
    <s v="M/S GOENKA AUTO PRIVATE LIMITED."/>
    <s v="VARANASI"/>
    <s v="25-Mar-25"/>
    <s v="07-Aug-25"/>
    <n v="926"/>
    <n v="29684"/>
    <n v="2"/>
    <s v="S"/>
    <s v="T-1"/>
    <n v="797316"/>
    <s v="MC1E4CAA0SP084510"/>
    <s v="D71070855"/>
    <m/>
    <m/>
    <x v="7"/>
    <s v="29-Aug-25"/>
    <x v="6"/>
    <n v="1250"/>
    <n v="589181"/>
    <s v="13-Nov-25"/>
    <n v="1250"/>
    <n v="1475"/>
    <n v="225"/>
    <n v="112648"/>
    <s v="13-Nov-25"/>
    <n v="0"/>
    <m/>
    <m/>
    <s v="T1BS6N"/>
    <s v="CVD"/>
    <s v="F"/>
  </r>
  <r>
    <n v="1056"/>
    <s v="NORTH"/>
    <s v="UTTAR PRADESH"/>
    <n v="7134"/>
    <s v="M/S GOENKA AUTO PRIVATE LIMITED."/>
    <s v="VARANASI"/>
    <s v="23-Dec-24"/>
    <s v="26-Aug-25"/>
    <n v="1165"/>
    <n v="38800"/>
    <n v="4"/>
    <s v="S"/>
    <s v="T26"/>
    <n v="789589"/>
    <s v="MC1E4FKA5SP021760"/>
    <s v="D71065153"/>
    <m/>
    <m/>
    <x v="7"/>
    <s v="29-Aug-25"/>
    <x v="6"/>
    <n v="0"/>
    <n v="589181"/>
    <s v="13-Nov-25"/>
    <n v="0"/>
    <n v="0"/>
    <n v="0"/>
    <n v="112648"/>
    <s v="13-Nov-25"/>
    <n v="0"/>
    <m/>
    <m/>
    <s v="T26BS6"/>
    <s v="CVD"/>
    <s v="P"/>
  </r>
  <r>
    <n v="1057"/>
    <s v="NORTH"/>
    <s v="UTTAR PRADESH"/>
    <n v="7134"/>
    <s v="M/S GOENKA AUTO PRIVATE LIMITED."/>
    <s v="VARANASI"/>
    <s v="23-Mar-25"/>
    <s v="29-Aug-25"/>
    <n v="890"/>
    <n v="30000"/>
    <n v="2"/>
    <s v="S"/>
    <s v="T-1"/>
    <n v="795715"/>
    <s v="MC1E4CBA3SP085259"/>
    <s v="D71072102"/>
    <m/>
    <m/>
    <x v="7"/>
    <s v="29-Aug-25"/>
    <x v="6"/>
    <n v="1250"/>
    <n v="589181"/>
    <s v="13-Nov-25"/>
    <n v="1250"/>
    <n v="1475"/>
    <n v="225"/>
    <n v="112648"/>
    <s v="13-Nov-25"/>
    <n v="0"/>
    <m/>
    <m/>
    <s v="T1BS6N"/>
    <s v="CVD"/>
    <s v="F"/>
  </r>
  <r>
    <n v="1058"/>
    <s v="NORTH"/>
    <s v="UTTAR PRADESH"/>
    <n v="7134"/>
    <s v="M/S GOENKA AUTO PRIVATE LIMITED."/>
    <s v="VARANASI"/>
    <s v="13-Mar-24"/>
    <s v="05-Aug-25"/>
    <n v="1165"/>
    <n v="97131"/>
    <n v="10"/>
    <s v="S"/>
    <s v="T-1"/>
    <n v="763919"/>
    <s v="MC1E4EMA8RP011306"/>
    <s v="D71043916"/>
    <m/>
    <m/>
    <x v="7"/>
    <s v="29-Aug-25"/>
    <x v="6"/>
    <n v="0"/>
    <n v="589181"/>
    <s v="13-Nov-25"/>
    <n v="0"/>
    <n v="0"/>
    <n v="0"/>
    <n v="112648"/>
    <s v="13-Nov-25"/>
    <n v="0"/>
    <m/>
    <m/>
    <s v="T1BS6"/>
    <s v="CVD"/>
    <s v="P"/>
  </r>
  <r>
    <n v="1059"/>
    <s v="NORTH"/>
    <s v="UTTAR PRADESH"/>
    <n v="7134"/>
    <s v="M/S GOENKA AUTO PRIVATE LIMITED."/>
    <s v="VARANASI"/>
    <s v="31-Mar-25"/>
    <s v="05-Aug-25"/>
    <n v="1165"/>
    <n v="2898"/>
    <n v="2"/>
    <s v="S"/>
    <s v="T26"/>
    <n v="793736"/>
    <s v="MC1E4FCA8SP022920"/>
    <s v="D71074369"/>
    <m/>
    <m/>
    <x v="7"/>
    <s v="29-Aug-25"/>
    <x v="6"/>
    <n v="0"/>
    <n v="589181"/>
    <s v="13-Nov-25"/>
    <n v="0"/>
    <n v="0"/>
    <n v="0"/>
    <n v="112648"/>
    <s v="13-Nov-25"/>
    <n v="0"/>
    <m/>
    <m/>
    <s v="T26BS6"/>
    <s v="CVD"/>
    <s v="P"/>
  </r>
  <r>
    <n v="1060"/>
    <s v="NORTH"/>
    <s v="UTTAR PRADESH"/>
    <n v="7134"/>
    <s v="M/S GOENKA AUTO PRIVATE LIMITED."/>
    <s v="VARANASI"/>
    <s v="20-Aug-24"/>
    <s v="24-Aug-25"/>
    <n v="1165"/>
    <n v="93327"/>
    <n v="10"/>
    <s v="S"/>
    <s v="TRAX"/>
    <n v="323056"/>
    <s v="MC1D4DFA3RP104799"/>
    <s v="D72015923"/>
    <m/>
    <m/>
    <x v="7"/>
    <s v="29-Aug-25"/>
    <x v="6"/>
    <n v="0"/>
    <n v="589181"/>
    <s v="13-Nov-25"/>
    <n v="0"/>
    <n v="0"/>
    <n v="0"/>
    <n v="112648"/>
    <s v="13-Nov-25"/>
    <n v="0"/>
    <m/>
    <m/>
    <s v="TRXBS6"/>
    <s v="CVD"/>
    <s v="P"/>
  </r>
  <r>
    <n v="1061"/>
    <s v="NORTH"/>
    <s v="UTTAR PRADESH"/>
    <n v="7134"/>
    <s v="M/S GOENKA AUTO PRIVATE LIMITED."/>
    <s v="VARANASI"/>
    <s v="26-Apr-25"/>
    <s v="20-Aug-25"/>
    <n v="925"/>
    <n v="29615"/>
    <n v="2"/>
    <s v="S"/>
    <s v="T-1"/>
    <n v="796086"/>
    <s v="MC1E4CAAXSP083820"/>
    <s v="D71069906"/>
    <m/>
    <m/>
    <x v="7"/>
    <s v="29-Aug-25"/>
    <x v="6"/>
    <n v="1250"/>
    <n v="589181"/>
    <s v="13-Nov-25"/>
    <n v="1250"/>
    <n v="1475"/>
    <n v="225"/>
    <n v="112648"/>
    <s v="13-Nov-25"/>
    <n v="0"/>
    <m/>
    <m/>
    <s v="T1BS6N"/>
    <s v="CVD"/>
    <s v="F"/>
  </r>
  <r>
    <n v="1062"/>
    <s v="NORTH"/>
    <s v="UTTAR PRADESH"/>
    <n v="7134"/>
    <s v="M/S GOENKA AUTO PRIVATE LIMITED."/>
    <s v="VARANASI"/>
    <s v="25-Mar-25"/>
    <s v="20-Aug-25"/>
    <n v="893"/>
    <n v="32800"/>
    <n v="2"/>
    <s v="S"/>
    <s v="T-1"/>
    <n v="795270"/>
    <s v="MC1E4CBA5SP086204"/>
    <s v="D71073761"/>
    <s v="001"/>
    <s v="SERV KMS  / HRS EXCEEDS"/>
    <x v="7"/>
    <s v="29-Aug-25"/>
    <x v="6"/>
    <n v="1250"/>
    <n v="589181"/>
    <s v="13-Nov-25"/>
    <n v="1000"/>
    <n v="1475"/>
    <n v="225"/>
    <n v="112648"/>
    <s v="13-Nov-25"/>
    <n v="250"/>
    <m/>
    <m/>
    <s v="T1BS6N"/>
    <s v="CVD"/>
    <s v="F"/>
  </r>
  <r>
    <n v="1063"/>
    <s v="NORTH"/>
    <s v="UTTAR PRADESH"/>
    <n v="7134"/>
    <s v="M/S GOENKA AUTO PRIVATE LIMITED."/>
    <s v="VARANASI"/>
    <s v="23-Mar-25"/>
    <s v="24-Aug-25"/>
    <n v="872"/>
    <n v="34540"/>
    <n v="2"/>
    <s v="S"/>
    <s v="T-1"/>
    <n v="796120"/>
    <s v="MC1E4CAA2SP083648"/>
    <s v="D71069647"/>
    <s v="001"/>
    <s v="SERV KMS  / HRS EXCEEDS"/>
    <x v="7"/>
    <s v="29-Aug-25"/>
    <x v="6"/>
    <n v="1250"/>
    <n v="589181"/>
    <s v="13-Nov-25"/>
    <n v="1000"/>
    <n v="1475"/>
    <n v="225"/>
    <n v="112648"/>
    <s v="13-Nov-25"/>
    <n v="250"/>
    <m/>
    <m/>
    <s v="T1BS6N"/>
    <s v="CVD"/>
    <s v="F"/>
  </r>
  <r>
    <n v="1064"/>
    <s v="NORTH"/>
    <s v="UTTAR PRADESH"/>
    <n v="7134"/>
    <s v="M/S GOENKA AUTO PRIVATE LIMITED."/>
    <s v="VARANASI"/>
    <s v="17-Apr-23"/>
    <s v="04-Aug-25"/>
    <n v="920"/>
    <n v="81308"/>
    <n v="10"/>
    <s v="S"/>
    <s v="T1N"/>
    <n v="1344"/>
    <s v="MC1M4ACA2PP000188"/>
    <s v="D71027122"/>
    <m/>
    <m/>
    <x v="7"/>
    <s v="29-Aug-25"/>
    <x v="6"/>
    <n v="0"/>
    <n v="589181"/>
    <s v="13-Nov-25"/>
    <n v="0"/>
    <n v="0"/>
    <n v="0"/>
    <n v="112648"/>
    <s v="13-Nov-25"/>
    <n v="0"/>
    <m/>
    <m/>
    <s v="URBN"/>
    <s v="CVD"/>
    <s v="P"/>
  </r>
  <r>
    <n v="1065"/>
    <s v="NORTH"/>
    <s v="UTTAR PRADESH"/>
    <n v="7134"/>
    <s v="M/S GOENKA AUTO PRIVATE LIMITED."/>
    <s v="VARANASI"/>
    <s v="09-Mar-24"/>
    <s v="11-Aug-25"/>
    <n v="1165"/>
    <n v="64138"/>
    <n v="9"/>
    <s v="S"/>
    <s v="T-1"/>
    <n v="764717"/>
    <s v="MC1E4EAA5RP011672"/>
    <s v="D71046345"/>
    <m/>
    <m/>
    <x v="7"/>
    <s v="29-Aug-25"/>
    <x v="6"/>
    <n v="0"/>
    <n v="589181"/>
    <s v="13-Nov-25"/>
    <n v="0"/>
    <n v="0"/>
    <n v="0"/>
    <n v="112648"/>
    <s v="13-Nov-25"/>
    <n v="0"/>
    <m/>
    <m/>
    <s v="T1BS6"/>
    <s v="CVD"/>
    <s v="P"/>
  </r>
  <r>
    <n v="1066"/>
    <s v="NORTH"/>
    <s v="UTTAR PRADESH"/>
    <n v="7134"/>
    <s v="M/S GOENKA AUTO PRIVATE LIMITED."/>
    <s v="VARANASI"/>
    <s v="21-Oct-24"/>
    <s v="21-Aug-25"/>
    <n v="1165"/>
    <n v="29870"/>
    <n v="4"/>
    <s v="S"/>
    <s v="T1N"/>
    <n v="5352"/>
    <s v="MC1M4AJA4SP002407"/>
    <s v="D71062651"/>
    <m/>
    <m/>
    <x v="7"/>
    <s v="29-Aug-25"/>
    <x v="6"/>
    <n v="0"/>
    <n v="589181"/>
    <s v="13-Nov-25"/>
    <n v="0"/>
    <n v="0"/>
    <n v="0"/>
    <n v="112648"/>
    <s v="13-Nov-25"/>
    <n v="0"/>
    <m/>
    <m/>
    <s v="URBN"/>
    <s v="CVD"/>
    <s v="P"/>
  </r>
  <r>
    <n v="1067"/>
    <s v="NORTH"/>
    <s v="UTTAR PRADESH"/>
    <n v="7134"/>
    <s v="M/S GOENKA AUTO PRIVATE LIMITED."/>
    <s v="VARANASI"/>
    <s v="09-Jun-25"/>
    <s v="04-Aug-25"/>
    <n v="1165"/>
    <n v="9589"/>
    <n v="1"/>
    <s v="S"/>
    <s v="T-1"/>
    <n v="802650"/>
    <s v="MC1E4EEA3SP016174"/>
    <s v="D71079998"/>
    <m/>
    <m/>
    <x v="7"/>
    <s v="29-Aug-25"/>
    <x v="6"/>
    <n v="1250"/>
    <n v="589181"/>
    <s v="13-Nov-25"/>
    <n v="1250"/>
    <n v="1475"/>
    <n v="225"/>
    <n v="112648"/>
    <s v="13-Nov-25"/>
    <n v="0"/>
    <m/>
    <m/>
    <s v="T1BS6"/>
    <s v="CVD"/>
    <s v="F"/>
  </r>
  <r>
    <n v="1068"/>
    <s v="NORTH"/>
    <s v="UTTAR PRADESH"/>
    <n v="7134"/>
    <s v="M/S GOENKA AUTO PRIVATE LIMITED."/>
    <s v="VARANASI"/>
    <s v="29-Jun-23"/>
    <s v="01-Aug-25"/>
    <n v="1165"/>
    <n v="91137"/>
    <n v="13"/>
    <s v="S"/>
    <s v="T-1"/>
    <n v="750149"/>
    <s v="MC1E4EFA2PP009917"/>
    <s v="D71033770"/>
    <m/>
    <m/>
    <x v="7"/>
    <s v="29-Aug-25"/>
    <x v="6"/>
    <n v="0"/>
    <n v="589181"/>
    <s v="13-Nov-25"/>
    <n v="0"/>
    <n v="0"/>
    <n v="0"/>
    <n v="112648"/>
    <s v="13-Nov-25"/>
    <n v="0"/>
    <m/>
    <m/>
    <s v="T1BS6"/>
    <s v="CVD"/>
    <s v="P"/>
  </r>
  <r>
    <n v="1069"/>
    <s v="NORTH"/>
    <s v="UTTAR PRADESH"/>
    <n v="7134"/>
    <s v="M/S GOENKA AUTO PRIVATE LIMITED."/>
    <s v="VARANASI"/>
    <s v="02-Aug-23"/>
    <s v="24-Aug-25"/>
    <n v="1165"/>
    <n v="57744"/>
    <n v="13"/>
    <s v="S"/>
    <s v="TRAX"/>
    <n v="317884"/>
    <s v="MC1D4DGA1RP100698"/>
    <s v="D72011293"/>
    <m/>
    <m/>
    <x v="7"/>
    <s v="29-Aug-25"/>
    <x v="6"/>
    <n v="0"/>
    <n v="589181"/>
    <s v="13-Nov-25"/>
    <n v="0"/>
    <n v="0"/>
    <n v="0"/>
    <n v="112648"/>
    <s v="13-Nov-25"/>
    <n v="0"/>
    <m/>
    <m/>
    <s v="TRXBS6"/>
    <s v="CVD"/>
    <s v="P"/>
  </r>
  <r>
    <n v="1070"/>
    <s v="NORTH"/>
    <s v="UTTAR PRADESH"/>
    <n v="7134"/>
    <s v="M/S GOENKA AUTO PRIVATE LIMITED."/>
    <s v="VARANASI"/>
    <s v="20-Feb-25"/>
    <s v="29-Aug-25"/>
    <n v="1165"/>
    <n v="26261"/>
    <n v="3"/>
    <s v="S"/>
    <s v="T-1"/>
    <n v="790132"/>
    <s v="MC1E4EAA2SP015023"/>
    <s v="D71069123"/>
    <m/>
    <m/>
    <x v="7"/>
    <s v="29-Aug-25"/>
    <x v="6"/>
    <n v="1250"/>
    <n v="589181"/>
    <s v="13-Nov-25"/>
    <n v="1250"/>
    <n v="1475"/>
    <n v="225"/>
    <n v="112648"/>
    <s v="13-Nov-25"/>
    <n v="0"/>
    <m/>
    <m/>
    <s v="T1BS6"/>
    <s v="CVD"/>
    <s v="F"/>
  </r>
  <r>
    <n v="1071"/>
    <s v="NORTH"/>
    <s v="UTTAR PRADESH"/>
    <n v="7134"/>
    <s v="M/S GOENKA AUTO PRIVATE LIMITED."/>
    <s v="VARANASI"/>
    <s v="28-Apr-25"/>
    <s v="17-Aug-25"/>
    <n v="1165"/>
    <n v="6087"/>
    <n v="1"/>
    <s v="S"/>
    <s v="T-1"/>
    <n v="798272"/>
    <s v="MC1E4CCA9SP086446"/>
    <s v="D71074379"/>
    <m/>
    <m/>
    <x v="7"/>
    <s v="29-Aug-25"/>
    <x v="6"/>
    <n v="1250"/>
    <n v="589181"/>
    <s v="13-Nov-25"/>
    <n v="1250"/>
    <n v="1475"/>
    <n v="225"/>
    <n v="112648"/>
    <s v="13-Nov-25"/>
    <n v="0"/>
    <m/>
    <m/>
    <s v="T1BS6N"/>
    <s v="CVD"/>
    <s v="F"/>
  </r>
  <r>
    <n v="1072"/>
    <s v="NORTH"/>
    <s v="UTTAR PRADESH"/>
    <n v="7134"/>
    <s v="M/S GOENKA AUTO PRIVATE LIMITED."/>
    <s v="VARANASI"/>
    <s v="23-Mar-25"/>
    <s v="24-Aug-25"/>
    <n v="875"/>
    <n v="32540"/>
    <n v="2"/>
    <s v="S"/>
    <s v="T-1"/>
    <n v="796499"/>
    <s v="MC1E4CAAXSP083767"/>
    <s v="D71069836"/>
    <s v="001, 022"/>
    <s v="SERV KMS  / HRS EXCEEDS, SERVICE COUPON HARD COPY NOT RECEIVED"/>
    <x v="7"/>
    <s v="29-Aug-25"/>
    <x v="6"/>
    <n v="1250"/>
    <n v="589181"/>
    <s v="13-Nov-25"/>
    <n v="0"/>
    <n v="1475"/>
    <n v="225"/>
    <n v="112648"/>
    <s v="13-Nov-25"/>
    <n v="1250"/>
    <m/>
    <m/>
    <s v="T1BS6N"/>
    <s v="CVD"/>
    <s v="F"/>
  </r>
  <r>
    <n v="1073"/>
    <s v="NORTH"/>
    <s v="UTTAR PRADESH"/>
    <n v="7134"/>
    <s v="M/S GOENKA AUTO PRIVATE LIMITED."/>
    <s v="VARANASI"/>
    <s v="24-Jul-24"/>
    <s v="13-Aug-25"/>
    <n v="1165"/>
    <n v="70000"/>
    <n v="7"/>
    <s v="S"/>
    <s v="T-1"/>
    <n v="773865"/>
    <s v="MC1E4EFA5RP013351"/>
    <s v="D71057450"/>
    <m/>
    <m/>
    <x v="7"/>
    <s v="29-Aug-25"/>
    <x v="6"/>
    <n v="0"/>
    <n v="589181"/>
    <s v="13-Nov-25"/>
    <n v="0"/>
    <n v="0"/>
    <n v="0"/>
    <n v="112648"/>
    <s v="13-Nov-25"/>
    <n v="0"/>
    <m/>
    <m/>
    <s v="T1BS6"/>
    <s v="CVD"/>
    <s v="P"/>
  </r>
  <r>
    <n v="1074"/>
    <s v="NORTH"/>
    <s v="UTTAR PRADESH"/>
    <n v="7134"/>
    <s v="M/S GOENKA AUTO PRIVATE LIMITED."/>
    <s v="VARANASI"/>
    <s v="24-Mar-25"/>
    <s v="06-Aug-25"/>
    <n v="870"/>
    <n v="30000"/>
    <n v="2"/>
    <s v="S"/>
    <s v="T-1"/>
    <n v="797774"/>
    <s v="MC1E4CBA0SP085624"/>
    <s v="D71072799"/>
    <m/>
    <m/>
    <x v="7"/>
    <s v="29-Aug-25"/>
    <x v="6"/>
    <n v="1250"/>
    <n v="589181"/>
    <s v="13-Nov-25"/>
    <n v="1250"/>
    <n v="1475"/>
    <n v="225"/>
    <n v="112648"/>
    <s v="13-Nov-25"/>
    <n v="0"/>
    <m/>
    <m/>
    <s v="T1BS6N"/>
    <s v="CVD"/>
    <s v="F"/>
  </r>
  <r>
    <n v="1075"/>
    <s v="NORTH"/>
    <s v="UTTAR PRADESH"/>
    <n v="7134"/>
    <s v="M/S GOENKA AUTO PRIVATE LIMITED."/>
    <s v="VARANASI"/>
    <s v="02-Jul-24"/>
    <s v="25-Aug-25"/>
    <n v="1165"/>
    <n v="69500"/>
    <n v="7"/>
    <s v="S"/>
    <s v="T-1"/>
    <n v="775223"/>
    <s v="MC1E4EFA7RP013092"/>
    <s v="D71055951"/>
    <m/>
    <m/>
    <x v="7"/>
    <s v="29-Aug-25"/>
    <x v="6"/>
    <n v="0"/>
    <n v="589181"/>
    <s v="13-Nov-25"/>
    <n v="0"/>
    <n v="0"/>
    <n v="0"/>
    <n v="112648"/>
    <s v="13-Nov-25"/>
    <n v="0"/>
    <m/>
    <m/>
    <s v="T1BS6"/>
    <s v="CVD"/>
    <s v="P"/>
  </r>
  <r>
    <n v="1076"/>
    <s v="NORTH"/>
    <s v="UTTAR PRADESH"/>
    <n v="7134"/>
    <s v="M/S GOENKA AUTO PRIVATE LIMITED."/>
    <s v="VARANASI"/>
    <s v="30-Mar-25"/>
    <s v="03-Aug-25"/>
    <n v="1165"/>
    <n v="5729"/>
    <n v="2"/>
    <s v="S"/>
    <s v="TRAX"/>
    <n v="327606"/>
    <s v="MC1D4DBA3SP107505"/>
    <s v="D72019127"/>
    <m/>
    <m/>
    <x v="7"/>
    <s v="29-Aug-25"/>
    <x v="6"/>
    <n v="0"/>
    <n v="589181"/>
    <s v="13-Nov-25"/>
    <n v="0"/>
    <n v="0"/>
    <n v="0"/>
    <n v="112648"/>
    <s v="13-Nov-25"/>
    <n v="0"/>
    <m/>
    <m/>
    <s v="TRXBS6"/>
    <s v="CVD"/>
    <s v="P"/>
  </r>
  <r>
    <n v="1077"/>
    <s v="NORTH"/>
    <s v="UTTAR PRADESH"/>
    <n v="7134"/>
    <s v="M/S GOENKA AUTO PRIVATE LIMITED."/>
    <s v="VARANASI"/>
    <s v="11-Sep-24"/>
    <s v="19-Aug-25"/>
    <n v="979"/>
    <n v="41767"/>
    <n v="3"/>
    <s v="S"/>
    <s v="T-1"/>
    <n v="782153"/>
    <s v="MC1E4CGA3SP080135"/>
    <s v="D71058379"/>
    <m/>
    <m/>
    <x v="7"/>
    <s v="29-Aug-25"/>
    <x v="6"/>
    <n v="1250"/>
    <n v="589181"/>
    <s v="13-Nov-25"/>
    <n v="1250"/>
    <n v="1475"/>
    <n v="225"/>
    <n v="112648"/>
    <s v="13-Nov-25"/>
    <n v="0"/>
    <m/>
    <m/>
    <s v="T1BS6"/>
    <s v="CVD"/>
    <s v="F"/>
  </r>
  <r>
    <n v="1078"/>
    <s v="NORTH"/>
    <s v="UTTAR PRADESH"/>
    <n v="7134"/>
    <s v="M/S GOENKA AUTO PRIVATE LIMITED."/>
    <s v="VARANASI"/>
    <s v="20-Feb-25"/>
    <s v="24-Aug-25"/>
    <n v="869"/>
    <n v="32013"/>
    <n v="2"/>
    <s v="S"/>
    <s v="T-1"/>
    <n v="796369"/>
    <s v="MC1E4CAA1SP083558"/>
    <s v="D71069586"/>
    <s v="001"/>
    <s v="SERV KMS  / HRS EXCEEDS"/>
    <x v="7"/>
    <s v="29-Aug-25"/>
    <x v="6"/>
    <n v="1250"/>
    <n v="589181"/>
    <s v="13-Nov-25"/>
    <n v="1000"/>
    <n v="1475"/>
    <n v="225"/>
    <n v="112648"/>
    <s v="13-Nov-25"/>
    <n v="250"/>
    <m/>
    <m/>
    <s v="T1BS6N"/>
    <s v="CVD"/>
    <s v="F"/>
  </r>
  <r>
    <n v="1079"/>
    <s v="NORTH"/>
    <s v="UTTAR PRADESH"/>
    <n v="7134"/>
    <s v="M/S GOENKA AUTO PRIVATE LIMITED."/>
    <s v="VARANASI"/>
    <s v="17-Jun-25"/>
    <s v="19-Aug-25"/>
    <n v="1175"/>
    <n v="5700"/>
    <n v="1"/>
    <s v="S"/>
    <s v="T-1"/>
    <n v="802984"/>
    <s v="MC1E4EEA1SP016349"/>
    <s v="D71081124"/>
    <s v="022"/>
    <s v="SERVICE COUPON HARD COPY NOT RECEIVED"/>
    <x v="7"/>
    <s v="29-Aug-25"/>
    <x v="6"/>
    <n v="1250"/>
    <n v="589181"/>
    <s v="13-Nov-25"/>
    <n v="0"/>
    <n v="1475"/>
    <n v="225"/>
    <n v="112648"/>
    <s v="13-Nov-25"/>
    <n v="1250"/>
    <m/>
    <m/>
    <s v="T1BS6"/>
    <s v="CVD"/>
    <s v="F"/>
  </r>
  <r>
    <n v="1080"/>
    <s v="NORTH"/>
    <s v="UTTAR PRADESH"/>
    <n v="7134"/>
    <s v="M/S GOENKA AUTO PRIVATE LIMITED."/>
    <s v="VARANASI"/>
    <s v="25-Feb-25"/>
    <s v="17-Aug-25"/>
    <n v="1165"/>
    <n v="7483"/>
    <n v="2"/>
    <s v="S"/>
    <s v="T-1"/>
    <n v="798560"/>
    <s v="MC1E4CAA6SP083362"/>
    <s v="D71069118"/>
    <m/>
    <m/>
    <x v="7"/>
    <s v="29-Aug-25"/>
    <x v="6"/>
    <n v="1250"/>
    <n v="589181"/>
    <s v="13-Nov-25"/>
    <n v="1250"/>
    <n v="1475"/>
    <n v="225"/>
    <n v="112648"/>
    <s v="13-Nov-25"/>
    <n v="0"/>
    <m/>
    <m/>
    <s v="T1BS6N"/>
    <s v="CVD"/>
    <s v="F"/>
  </r>
  <r>
    <n v="1081"/>
    <s v="NORTH"/>
    <s v="UTTAR PRADESH"/>
    <n v="7134"/>
    <s v="M/S GOENKA AUTO PRIVATE LIMITED."/>
    <s v="VARANASI"/>
    <s v="24-Mar-25"/>
    <s v="07-Aug-25"/>
    <n v="875"/>
    <n v="29486"/>
    <n v="2"/>
    <s v="S"/>
    <s v="T-1"/>
    <n v="796599"/>
    <s v="MC1E4CAA6SP084351"/>
    <s v="D71070672"/>
    <m/>
    <m/>
    <x v="7"/>
    <s v="29-Aug-25"/>
    <x v="6"/>
    <n v="1250"/>
    <n v="589181"/>
    <s v="13-Nov-25"/>
    <n v="1250"/>
    <n v="1475"/>
    <n v="225"/>
    <n v="112648"/>
    <s v="13-Nov-25"/>
    <n v="0"/>
    <m/>
    <m/>
    <s v="T1BS6N"/>
    <s v="CVD"/>
    <s v="F"/>
  </r>
  <r>
    <n v="1082"/>
    <s v="NORTH"/>
    <s v="UTTAR PRADESH"/>
    <n v="7134"/>
    <s v="M/S GOENKA AUTO PRIVATE LIMITED."/>
    <s v="VARANASI"/>
    <s v="27-Feb-25"/>
    <s v="14-Aug-25"/>
    <n v="1165"/>
    <n v="25788"/>
    <n v="3"/>
    <s v="S"/>
    <s v="T-1"/>
    <n v="785025"/>
    <s v="MC1E4EBA2SP015313"/>
    <s v="D71072545"/>
    <m/>
    <m/>
    <x v="7"/>
    <s v="29-Aug-25"/>
    <x v="6"/>
    <n v="1250"/>
    <n v="589181"/>
    <s v="13-Nov-25"/>
    <n v="1250"/>
    <n v="1475"/>
    <n v="225"/>
    <n v="112648"/>
    <s v="13-Nov-25"/>
    <n v="0"/>
    <m/>
    <m/>
    <s v="T1BS6"/>
    <s v="CVD"/>
    <s v="F"/>
  </r>
  <r>
    <n v="1083"/>
    <s v="NORTH"/>
    <s v="UTTAR PRADESH"/>
    <n v="7134"/>
    <s v="M/S GOENKA AUTO PRIVATE LIMITED."/>
    <s v="VARANASI"/>
    <s v="25-Jan-24"/>
    <s v="21-Aug-25"/>
    <n v="1165"/>
    <n v="139000"/>
    <n v="14"/>
    <s v="S"/>
    <s v="TRAX"/>
    <n v="320346"/>
    <s v="MC1D4DMAXRP102762"/>
    <s v="D72013178"/>
    <m/>
    <m/>
    <x v="7"/>
    <s v="29-Aug-25"/>
    <x v="6"/>
    <n v="1250"/>
    <n v="589181"/>
    <s v="13-Nov-25"/>
    <n v="1250"/>
    <n v="1475"/>
    <n v="225"/>
    <n v="112648"/>
    <s v="13-Nov-25"/>
    <n v="0"/>
    <m/>
    <m/>
    <s v="TRXBS6"/>
    <s v="CVD"/>
    <s v="F"/>
  </r>
  <r>
    <n v="1084"/>
    <s v="NORTH"/>
    <s v="UTTAR PRADESH"/>
    <n v="7134"/>
    <s v="M/S GOENKA AUTO PRIVATE LIMITED."/>
    <s v="VARANASI"/>
    <s v="28-Sep-24"/>
    <s v="21-Aug-25"/>
    <n v="1165"/>
    <n v="48800"/>
    <n v="5"/>
    <s v="S"/>
    <s v="T1N"/>
    <n v="5065"/>
    <s v="MC1M4AHA7SP002245"/>
    <s v="D71061030"/>
    <m/>
    <m/>
    <x v="7"/>
    <s v="29-Aug-25"/>
    <x v="6"/>
    <n v="1650"/>
    <n v="589181"/>
    <s v="13-Nov-25"/>
    <n v="1650"/>
    <n v="1947"/>
    <n v="297"/>
    <n v="112648"/>
    <s v="13-Nov-25"/>
    <n v="0"/>
    <m/>
    <m/>
    <s v="URBN"/>
    <s v="CVD"/>
    <s v="F"/>
  </r>
  <r>
    <n v="1085"/>
    <s v="NORTH"/>
    <s v="UTTAR PRADESH"/>
    <n v="7134"/>
    <s v="M/S GOENKA AUTO PRIVATE LIMITED."/>
    <s v="VARANASI"/>
    <s v="21-Feb-25"/>
    <s v="24-Aug-25"/>
    <n v="856"/>
    <n v="31383"/>
    <n v="2"/>
    <s v="S"/>
    <s v="T-1"/>
    <n v="796501"/>
    <s v="MC1E4CAA9SP083856"/>
    <s v="D71069969"/>
    <s v="001"/>
    <s v="SERV KMS  / HRS EXCEEDS"/>
    <x v="7"/>
    <s v="29-Aug-25"/>
    <x v="6"/>
    <n v="1250"/>
    <n v="589181"/>
    <s v="13-Nov-25"/>
    <n v="1000"/>
    <n v="1475"/>
    <n v="225"/>
    <n v="112648"/>
    <s v="13-Nov-25"/>
    <n v="250"/>
    <m/>
    <m/>
    <s v="T1BS6N"/>
    <s v="CVD"/>
    <s v="F"/>
  </r>
  <r>
    <n v="1086"/>
    <s v="NORTH"/>
    <s v="UTTAR PRADESH"/>
    <n v="7134"/>
    <s v="M/S GOENKA AUTO PRIVATE LIMITED."/>
    <s v="VARANASI"/>
    <s v="28-Jun-24"/>
    <s v="25-Aug-25"/>
    <n v="1165"/>
    <n v="88900"/>
    <n v="9"/>
    <s v="S"/>
    <s v="T-1"/>
    <n v="775503"/>
    <s v="MC1E4EEA9RP013001"/>
    <s v="D71054846"/>
    <m/>
    <m/>
    <x v="7"/>
    <s v="29-Aug-25"/>
    <x v="6"/>
    <n v="0"/>
    <n v="589181"/>
    <s v="13-Nov-25"/>
    <n v="0"/>
    <n v="0"/>
    <n v="0"/>
    <n v="112648"/>
    <s v="13-Nov-25"/>
    <n v="0"/>
    <m/>
    <m/>
    <s v="T1BS6"/>
    <s v="CVD"/>
    <s v="P"/>
  </r>
  <r>
    <n v="1087"/>
    <s v="NORTH"/>
    <s v="UTTAR PRADESH"/>
    <n v="7134"/>
    <s v="M/S GOENKA AUTO PRIVATE LIMITED."/>
    <s v="VARANASI"/>
    <s v="26-Mar-25"/>
    <s v="13-Aug-25"/>
    <n v="854"/>
    <n v="30037"/>
    <n v="2"/>
    <s v="S"/>
    <s v="T-1"/>
    <n v="795543"/>
    <s v="MC1E4CBA2SP085740"/>
    <s v="D71073077"/>
    <m/>
    <m/>
    <x v="7"/>
    <s v="29-Aug-25"/>
    <x v="6"/>
    <n v="1250"/>
    <n v="589181"/>
    <s v="13-Nov-25"/>
    <n v="1250"/>
    <n v="1475"/>
    <n v="225"/>
    <n v="112648"/>
    <s v="13-Nov-25"/>
    <n v="0"/>
    <m/>
    <m/>
    <s v="T1BS6N"/>
    <s v="CVD"/>
    <s v="F"/>
  </r>
  <r>
    <n v="1088"/>
    <s v="NORTH"/>
    <s v="UTTAR PRADESH"/>
    <n v="7134"/>
    <s v="M/S GOENKA AUTO PRIVATE LIMITED."/>
    <s v="VARANASI"/>
    <s v="24-Mar-25"/>
    <s v="19-Aug-25"/>
    <n v="855"/>
    <n v="31293"/>
    <n v="2"/>
    <s v="S"/>
    <s v="T-1"/>
    <n v="796598"/>
    <s v="MC1E4CAA4SP084266"/>
    <s v="D71070512"/>
    <s v="001"/>
    <s v="SERV KMS  / HRS EXCEEDS"/>
    <x v="7"/>
    <s v="29-Aug-25"/>
    <x v="6"/>
    <n v="1250"/>
    <n v="589181"/>
    <s v="13-Nov-25"/>
    <n v="1000"/>
    <n v="1475"/>
    <n v="225"/>
    <n v="112648"/>
    <s v="13-Nov-25"/>
    <n v="250"/>
    <m/>
    <m/>
    <s v="T1BS6N"/>
    <s v="CVD"/>
    <s v="F"/>
  </r>
  <r>
    <n v="1089"/>
    <s v="NORTH"/>
    <s v="UTTAR PRADESH"/>
    <n v="7134"/>
    <s v="M/S GOENKA AUTO PRIVATE LIMITED."/>
    <s v="VARANASI"/>
    <s v="30-Dec-23"/>
    <s v="11-Aug-25"/>
    <n v="1165"/>
    <n v="53514"/>
    <n v="10"/>
    <s v="S"/>
    <s v="T-1"/>
    <n v="762665"/>
    <s v="MC1E4DMA7RP049698"/>
    <s v="D71043659"/>
    <m/>
    <m/>
    <x v="7"/>
    <s v="29-Aug-25"/>
    <x v="6"/>
    <n v="0"/>
    <n v="589181"/>
    <s v="13-Nov-25"/>
    <n v="0"/>
    <n v="0"/>
    <n v="0"/>
    <n v="112648"/>
    <s v="13-Nov-25"/>
    <n v="0"/>
    <m/>
    <m/>
    <s v="T1BS6"/>
    <s v="CVD"/>
    <s v="P"/>
  </r>
  <r>
    <n v="1090"/>
    <s v="NORTH"/>
    <s v="UTTAR PRADESH"/>
    <n v="7134"/>
    <s v="M/S GOENKA AUTO PRIVATE LIMITED."/>
    <s v="VARANASI"/>
    <s v="23-Mar-25"/>
    <s v="31-Aug-25"/>
    <n v="853"/>
    <n v="30595"/>
    <n v="2"/>
    <s v="S"/>
    <s v="T-1"/>
    <n v="798028"/>
    <s v="MC1E4CAA5SP084583"/>
    <s v="D71071153"/>
    <m/>
    <m/>
    <x v="8"/>
    <s v="31-Aug-25"/>
    <x v="7"/>
    <n v="1250"/>
    <n v="589182"/>
    <s v="13-Nov-25"/>
    <n v="1250"/>
    <n v="1475"/>
    <n v="225"/>
    <n v="112649"/>
    <s v="13-Nov-25"/>
    <n v="0"/>
    <m/>
    <m/>
    <s v="T1BS6N"/>
    <s v="CVD"/>
    <s v="F"/>
  </r>
  <r>
    <n v="1091"/>
    <s v="NORTH"/>
    <s v="UTTAR PRADESH"/>
    <n v="7134"/>
    <s v="M/S GOENKA AUTO PRIVATE LIMITED."/>
    <s v="VARANASI"/>
    <s v="15-Nov-24"/>
    <s v="31-Aug-25"/>
    <n v="1165"/>
    <n v="60000"/>
    <n v="6"/>
    <s v="S"/>
    <s v="T26"/>
    <n v="789860"/>
    <s v="MC1E4FJA7SP021633"/>
    <s v="D71063051"/>
    <m/>
    <m/>
    <x v="8"/>
    <s v="31-Aug-25"/>
    <x v="7"/>
    <n v="0"/>
    <n v="589182"/>
    <s v="13-Nov-25"/>
    <n v="0"/>
    <n v="0"/>
    <n v="0"/>
    <n v="112649"/>
    <s v="13-Nov-25"/>
    <n v="0"/>
    <m/>
    <m/>
    <s v="T26BS6"/>
    <s v="CVD"/>
    <s v="P"/>
  </r>
  <r>
    <n v="1092"/>
    <s v="NORTH"/>
    <s v="UTTAR PRADESH"/>
    <n v="7134"/>
    <s v="M/S GOENKA AUTO PRIVATE LIMITED."/>
    <s v="VARANASI"/>
    <s v="20-Feb-25"/>
    <s v="31-Aug-25"/>
    <n v="876"/>
    <n v="30701"/>
    <n v="2"/>
    <s v="S"/>
    <s v="T-1"/>
    <n v="796356"/>
    <s v="MC1E4CAA3SP083612"/>
    <s v="D71069490"/>
    <m/>
    <m/>
    <x v="8"/>
    <s v="31-Aug-25"/>
    <x v="7"/>
    <n v="1250"/>
    <n v="589182"/>
    <s v="13-Nov-25"/>
    <n v="1250"/>
    <n v="1475"/>
    <n v="225"/>
    <n v="112649"/>
    <s v="13-Nov-25"/>
    <n v="0"/>
    <m/>
    <m/>
    <s v="T1BS6N"/>
    <s v="CVD"/>
    <s v="F"/>
  </r>
  <r>
    <n v="1093"/>
    <s v="NORTH"/>
    <s v="UTTAR PRADESH"/>
    <n v="7134"/>
    <s v="M/S GOENKA AUTO PRIVATE LIMITED."/>
    <s v="VARANASI"/>
    <s v="27-Mar-25"/>
    <s v="31-Aug-25"/>
    <n v="892"/>
    <n v="30412"/>
    <n v="2"/>
    <s v="S"/>
    <s v="T-1"/>
    <n v="797897"/>
    <s v="MC1E4CBA6SP085336"/>
    <s v="D71072203"/>
    <m/>
    <m/>
    <x v="8"/>
    <s v="31-Aug-25"/>
    <x v="7"/>
    <n v="1250"/>
    <n v="589182"/>
    <s v="13-Nov-25"/>
    <n v="1250"/>
    <n v="1475"/>
    <n v="225"/>
    <n v="112649"/>
    <s v="13-Nov-25"/>
    <n v="0"/>
    <m/>
    <m/>
    <s v="T1BS6N"/>
    <s v="CVD"/>
    <s v="F"/>
  </r>
  <r>
    <n v="1094"/>
    <s v="NORTH"/>
    <s v="UTTAR PRADESH"/>
    <n v="7134"/>
    <s v="M/S GOENKA AUTO PRIVATE LIMITED."/>
    <s v="VARANASI"/>
    <s v="20-Feb-25"/>
    <s v="31-Aug-25"/>
    <n v="871"/>
    <n v="31530"/>
    <n v="2"/>
    <s v="S"/>
    <s v="T-1"/>
    <n v="796350"/>
    <s v="MC1E4CAA6SP083460"/>
    <s v="D71069217"/>
    <s v="001"/>
    <s v="SERV KMS  / HRS EXCEEDS"/>
    <x v="8"/>
    <s v="31-Aug-25"/>
    <x v="7"/>
    <n v="1250"/>
    <n v="589182"/>
    <s v="13-Nov-25"/>
    <n v="1000"/>
    <n v="1475"/>
    <n v="225"/>
    <n v="112649"/>
    <s v="13-Nov-25"/>
    <n v="250"/>
    <m/>
    <m/>
    <s v="T1BS6N"/>
    <s v="CVD"/>
    <s v="F"/>
  </r>
  <r>
    <n v="1095"/>
    <s v="NORTH"/>
    <s v="UTTAR PRADESH"/>
    <n v="7134"/>
    <s v="M/S GOENKA AUTO PRIVATE LIMITED."/>
    <s v="VARANASI"/>
    <s v="18-Mar-25"/>
    <s v="21-Aug-25"/>
    <n v="1165"/>
    <n v="6700"/>
    <n v="3"/>
    <s v="S"/>
    <s v="TRAX"/>
    <n v="327724"/>
    <s v="MC1D4DBA7SP107247"/>
    <s v="D72018852"/>
    <m/>
    <m/>
    <x v="8"/>
    <s v="31-Aug-25"/>
    <x v="7"/>
    <n v="1250"/>
    <n v="589182"/>
    <s v="13-Nov-25"/>
    <n v="1250"/>
    <n v="1475"/>
    <n v="225"/>
    <n v="112649"/>
    <s v="13-Nov-25"/>
    <n v="0"/>
    <m/>
    <m/>
    <s v="TRXBS6"/>
    <s v="CVD"/>
    <s v="F"/>
  </r>
  <r>
    <n v="1096"/>
    <s v="NORTH"/>
    <s v="UTTAR PRADESH"/>
    <n v="7134"/>
    <s v="M/S GOENKA AUTO PRIVATE LIMITED."/>
    <s v="VARANASI"/>
    <s v="25-Mar-25"/>
    <s v="31-Aug-25"/>
    <n v="824"/>
    <n v="32200"/>
    <n v="2"/>
    <s v="S"/>
    <s v="T-1"/>
    <n v="795619"/>
    <s v="MC1E4CBA0SP085672"/>
    <s v="D71072887"/>
    <s v="001"/>
    <s v="SERV KMS  / HRS EXCEEDS"/>
    <x v="8"/>
    <s v="31-Aug-25"/>
    <x v="7"/>
    <n v="1250"/>
    <n v="589182"/>
    <s v="13-Nov-25"/>
    <n v="1000"/>
    <n v="1475"/>
    <n v="225"/>
    <n v="112649"/>
    <s v="13-Nov-25"/>
    <n v="250"/>
    <m/>
    <m/>
    <s v="T1BS6N"/>
    <s v="CVD"/>
    <s v="F"/>
  </r>
  <r>
    <n v="1097"/>
    <s v="NORTH"/>
    <s v="UTTAR PRADESH"/>
    <n v="7134"/>
    <s v="M/S GOENKA AUTO PRIVATE LIMITED."/>
    <s v="VARANASI"/>
    <s v="27-Mar-25"/>
    <s v="31-Aug-25"/>
    <n v="856"/>
    <n v="29890"/>
    <n v="2"/>
    <s v="S"/>
    <s v="T-1"/>
    <n v="795389"/>
    <s v="MC1E4CBA2SP085270"/>
    <s v="D71072201"/>
    <m/>
    <m/>
    <x v="8"/>
    <s v="31-Aug-25"/>
    <x v="7"/>
    <n v="1250"/>
    <n v="589182"/>
    <s v="13-Nov-25"/>
    <n v="1250"/>
    <n v="1475"/>
    <n v="225"/>
    <n v="112649"/>
    <s v="13-Nov-25"/>
    <n v="0"/>
    <m/>
    <m/>
    <s v="T1BS6N"/>
    <s v="CVD"/>
    <s v="F"/>
  </r>
  <r>
    <n v="1098"/>
    <s v="NORTH"/>
    <s v="UTTAR PRADESH"/>
    <n v="7134"/>
    <s v="M/S GOENKA AUTO PRIVATE LIMITED."/>
    <s v="VARANASI"/>
    <s v="27-Aug-24"/>
    <s v="31-Aug-25"/>
    <n v="1165"/>
    <n v="9749"/>
    <n v="6"/>
    <s v="S"/>
    <s v="TRAX"/>
    <n v="324484"/>
    <s v="MC1D4DHA5SP105178"/>
    <s v="D72016500"/>
    <m/>
    <m/>
    <x v="8"/>
    <s v="31-Aug-25"/>
    <x v="7"/>
    <n v="0"/>
    <n v="589182"/>
    <s v="13-Nov-25"/>
    <n v="0"/>
    <n v="0"/>
    <n v="0"/>
    <n v="112649"/>
    <s v="13-Nov-25"/>
    <n v="0"/>
    <m/>
    <m/>
    <s v="TRXBS6"/>
    <s v="CVD"/>
    <s v="P"/>
  </r>
  <r>
    <n v="1099"/>
    <s v="NORTH"/>
    <s v="UTTAR PRADESH"/>
    <n v="7134"/>
    <s v="M/S GOENKA AUTO PRIVATE LIMITED."/>
    <s v="VARANASI"/>
    <s v="30-Nov-24"/>
    <s v="31-Aug-25"/>
    <n v="1123"/>
    <n v="20113"/>
    <n v="4"/>
    <s v="S"/>
    <s v="T-1"/>
    <n v="785680"/>
    <s v="MC1E4EJA0SP014176"/>
    <s v="D71062910"/>
    <s v="002"/>
    <s v="SERV DATE EXCEEDS"/>
    <x v="8"/>
    <s v="31-Aug-25"/>
    <x v="7"/>
    <n v="0"/>
    <n v="589182"/>
    <s v="13-Nov-25"/>
    <n v="0"/>
    <n v="0"/>
    <n v="0"/>
    <n v="112649"/>
    <s v="13-Nov-25"/>
    <n v="0"/>
    <m/>
    <m/>
    <s v="T1BS6"/>
    <s v="CVD"/>
    <s v="P"/>
  </r>
  <r>
    <n v="1100"/>
    <s v="NORTH"/>
    <s v="UTTAR PRADESH"/>
    <n v="7134"/>
    <s v="M/S GOENKA AUTO PRIVATE LIMITED."/>
    <s v="VARANASI"/>
    <s v="06-Feb-25"/>
    <s v="25-Sep-25"/>
    <n v="5800"/>
    <n v="13000"/>
    <n v="3"/>
    <s v="S"/>
    <s v="T26"/>
    <n v="793458"/>
    <s v="MC1E4FAA0SP022574"/>
    <s v="D71071184"/>
    <s v="002"/>
    <s v="SERV DATE EXCEEDS"/>
    <x v="9"/>
    <s v="29-Oct-25"/>
    <x v="8"/>
    <n v="1250"/>
    <n v="589463"/>
    <s v="17-Dec-25"/>
    <n v="1000"/>
    <n v="1475"/>
    <n v="225"/>
    <n v="112930"/>
    <s v="17-Dec-25"/>
    <n v="250"/>
    <m/>
    <m/>
    <s v="T26BS6"/>
    <s v="CVD"/>
    <s v="F"/>
  </r>
  <r>
    <n v="1101"/>
    <s v="NORTH"/>
    <s v="UTTAR PRADESH"/>
    <n v="7134"/>
    <s v="M/S GOENKA AUTO PRIVATE LIMITED."/>
    <s v="VARANASI"/>
    <s v="26-Dec-23"/>
    <s v="19-Sep-25"/>
    <n v="951"/>
    <n v="130187"/>
    <n v="13"/>
    <s v="S"/>
    <s v="T-1"/>
    <n v="761716"/>
    <s v="MC1E4EMA6RP011224"/>
    <s v="D71043573"/>
    <m/>
    <m/>
    <x v="9"/>
    <s v="29-Oct-25"/>
    <x v="8"/>
    <n v="0"/>
    <n v="589463"/>
    <s v="17-Dec-25"/>
    <n v="0"/>
    <n v="0"/>
    <n v="0"/>
    <n v="112930"/>
    <s v="17-Dec-25"/>
    <n v="0"/>
    <m/>
    <m/>
    <s v="T1BS6"/>
    <s v="CVD"/>
    <s v="P"/>
  </r>
  <r>
    <n v="1102"/>
    <s v="NORTH"/>
    <s v="UTTAR PRADESH"/>
    <n v="7134"/>
    <s v="M/S GOENKA AUTO PRIVATE LIMITED."/>
    <s v="VARANASI"/>
    <s v="20-Feb-25"/>
    <s v="12-Sep-25"/>
    <n v="866"/>
    <n v="30000"/>
    <n v="2"/>
    <s v="S"/>
    <s v="T-1"/>
    <n v="796366"/>
    <s v="MC1E4CAA9SP083386"/>
    <s v="D71069257"/>
    <m/>
    <m/>
    <x v="9"/>
    <s v="29-Oct-25"/>
    <x v="8"/>
    <n v="1250"/>
    <n v="589463"/>
    <s v="17-Dec-25"/>
    <n v="1250"/>
    <n v="1475"/>
    <n v="225"/>
    <n v="112930"/>
    <s v="17-Dec-25"/>
    <n v="0"/>
    <m/>
    <m/>
    <s v="T1BS6N"/>
    <s v="CVD"/>
    <s v="F"/>
  </r>
  <r>
    <n v="1103"/>
    <s v="NORTH"/>
    <s v="UTTAR PRADESH"/>
    <n v="7134"/>
    <s v="M/S GOENKA AUTO PRIVATE LIMITED."/>
    <s v="VARANASI"/>
    <s v="23-Mar-25"/>
    <s v="07-Sep-25"/>
    <n v="860"/>
    <n v="34717"/>
    <n v="2"/>
    <s v="S"/>
    <s v="T-1"/>
    <n v="798115"/>
    <s v="MC1E4CBA3SP085102"/>
    <s v="D71071758"/>
    <s v="001"/>
    <s v="SERV KMS  / HRS EXCEEDS"/>
    <x v="9"/>
    <s v="29-Oct-25"/>
    <x v="8"/>
    <n v="1250"/>
    <n v="589463"/>
    <s v="17-Dec-25"/>
    <n v="1000"/>
    <n v="1475"/>
    <n v="225"/>
    <n v="112930"/>
    <s v="17-Dec-25"/>
    <n v="250"/>
    <m/>
    <m/>
    <s v="T1BS6N"/>
    <s v="CVD"/>
    <s v="F"/>
  </r>
  <r>
    <n v="1104"/>
    <s v="NORTH"/>
    <s v="UTTAR PRADESH"/>
    <n v="7134"/>
    <s v="M/S GOENKA AUTO PRIVATE LIMITED."/>
    <s v="VARANASI"/>
    <s v="15-Nov-23"/>
    <s v="23-Sep-25"/>
    <n v="1165"/>
    <n v="83817"/>
    <n v="11"/>
    <s v="S"/>
    <s v="TRAX"/>
    <n v="319649"/>
    <s v="MC1D4DKA6RP101787"/>
    <s v="D72012455"/>
    <m/>
    <m/>
    <x v="9"/>
    <s v="29-Oct-25"/>
    <x v="8"/>
    <n v="1250"/>
    <n v="589463"/>
    <s v="17-Dec-25"/>
    <n v="1250"/>
    <n v="1475"/>
    <n v="225"/>
    <n v="112930"/>
    <s v="17-Dec-25"/>
    <n v="0"/>
    <m/>
    <m/>
    <s v="TRXBS6"/>
    <s v="CVD"/>
    <s v="F"/>
  </r>
  <r>
    <n v="1105"/>
    <s v="NORTH"/>
    <s v="UTTAR PRADESH"/>
    <n v="7134"/>
    <s v="M/S GOENKA AUTO PRIVATE LIMITED."/>
    <s v="VARANASI"/>
    <s v="31-Jan-25"/>
    <s v="26-Sep-25"/>
    <n v="1165"/>
    <n v="16373"/>
    <n v="3"/>
    <s v="S"/>
    <s v="T1N"/>
    <n v="5926"/>
    <s v="MC1M4AAA2SP003295"/>
    <s v="D71070121"/>
    <m/>
    <m/>
    <x v="9"/>
    <s v="29-Oct-25"/>
    <x v="8"/>
    <n v="1650"/>
    <n v="589463"/>
    <s v="17-Dec-25"/>
    <n v="1650"/>
    <n v="1947"/>
    <n v="297"/>
    <n v="112930"/>
    <s v="17-Dec-25"/>
    <n v="0"/>
    <m/>
    <m/>
    <s v="URBN"/>
    <s v="CVD"/>
    <s v="F"/>
  </r>
  <r>
    <n v="1106"/>
    <s v="NORTH"/>
    <s v="UTTAR PRADESH"/>
    <n v="7134"/>
    <s v="M/S GOENKA AUTO PRIVATE LIMITED."/>
    <s v="VARANASI"/>
    <s v="27-Mar-25"/>
    <s v="23-Sep-25"/>
    <n v="852"/>
    <n v="32100"/>
    <n v="2"/>
    <s v="S"/>
    <s v="T-1"/>
    <n v="797765"/>
    <s v="MC1E4CBA3SP085746"/>
    <s v="D71073028"/>
    <s v="001"/>
    <s v="SERV KMS  / HRS EXCEEDS"/>
    <x v="9"/>
    <s v="29-Oct-25"/>
    <x v="8"/>
    <n v="1250"/>
    <n v="589463"/>
    <s v="17-Dec-25"/>
    <n v="1000"/>
    <n v="1475"/>
    <n v="225"/>
    <n v="112930"/>
    <s v="17-Dec-25"/>
    <n v="250"/>
    <m/>
    <m/>
    <s v="T1BS6N"/>
    <s v="CVD"/>
    <s v="F"/>
  </r>
  <r>
    <n v="1107"/>
    <s v="NORTH"/>
    <s v="UTTAR PRADESH"/>
    <n v="7134"/>
    <s v="M/S GOENKA AUTO PRIVATE LIMITED."/>
    <s v="VARANASI"/>
    <s v="31-Mar-25"/>
    <s v="07-Sep-25"/>
    <n v="825"/>
    <n v="32109"/>
    <n v="2"/>
    <s v="S"/>
    <s v="T-1"/>
    <n v="797853"/>
    <s v="MC1E4CAA1SP084547"/>
    <s v="D71070976"/>
    <s v="001"/>
    <s v="SERV KMS  / HRS EXCEEDS"/>
    <x v="9"/>
    <s v="29-Oct-25"/>
    <x v="8"/>
    <n v="1250"/>
    <n v="589463"/>
    <s v="17-Dec-25"/>
    <n v="1000"/>
    <n v="1475"/>
    <n v="225"/>
    <n v="112930"/>
    <s v="17-Dec-25"/>
    <n v="250"/>
    <m/>
    <m/>
    <s v="T1BS6N"/>
    <s v="CVD"/>
    <s v="F"/>
  </r>
  <r>
    <n v="1108"/>
    <s v="NORTH"/>
    <s v="UTTAR PRADESH"/>
    <n v="7134"/>
    <s v="M/S GOENKA AUTO PRIVATE LIMITED."/>
    <s v="VARANASI"/>
    <s v="31-Jul-24"/>
    <s v="05-Sep-25"/>
    <n v="1165"/>
    <n v="51150"/>
    <n v="6"/>
    <s v="S"/>
    <s v="T1N"/>
    <n v="5240"/>
    <s v="MC1M4AGA7SP002019"/>
    <s v="D71058503"/>
    <m/>
    <m/>
    <x v="9"/>
    <s v="29-Oct-25"/>
    <x v="8"/>
    <n v="0"/>
    <n v="589463"/>
    <s v="17-Dec-25"/>
    <n v="0"/>
    <n v="0"/>
    <n v="0"/>
    <n v="112930"/>
    <s v="17-Dec-25"/>
    <n v="0"/>
    <m/>
    <m/>
    <s v="URBN"/>
    <s v="CVD"/>
    <s v="P"/>
  </r>
  <r>
    <n v="1109"/>
    <s v="NORTH"/>
    <s v="UTTAR PRADESH"/>
    <n v="7134"/>
    <s v="M/S GOENKA AUTO PRIVATE LIMITED."/>
    <s v="VARANASI"/>
    <s v="24-Mar-25"/>
    <s v="23-Sep-25"/>
    <n v="895"/>
    <n v="29936"/>
    <n v="2"/>
    <s v="S"/>
    <s v="T-1"/>
    <n v="798680"/>
    <s v="MC1E4CAA1SP084418"/>
    <s v="D71070826"/>
    <m/>
    <m/>
    <x v="9"/>
    <s v="29-Oct-25"/>
    <x v="8"/>
    <n v="1250"/>
    <n v="589463"/>
    <s v="17-Dec-25"/>
    <n v="1250"/>
    <n v="1475"/>
    <n v="225"/>
    <n v="112930"/>
    <s v="17-Dec-25"/>
    <n v="0"/>
    <m/>
    <m/>
    <s v="T1BS6N"/>
    <s v="CVD"/>
    <s v="F"/>
  </r>
  <r>
    <n v="1110"/>
    <s v="NORTH"/>
    <s v="UTTAR PRADESH"/>
    <n v="7134"/>
    <s v="M/S GOENKA AUTO PRIVATE LIMITED."/>
    <s v="VARANASI"/>
    <s v="29-Mar-25"/>
    <s v="28-Aug-25"/>
    <n v="1165"/>
    <n v="7749"/>
    <n v="1"/>
    <s v="S"/>
    <s v="T26"/>
    <n v="784996"/>
    <s v="MC1E4FCA8SP022965"/>
    <s v="D71074950"/>
    <s v="002"/>
    <s v="SERV DATE EXCEEDS"/>
    <x v="9"/>
    <s v="29-Oct-25"/>
    <x v="8"/>
    <n v="1250"/>
    <n v="589463"/>
    <s v="17-Dec-25"/>
    <n v="1000"/>
    <n v="1475"/>
    <n v="225"/>
    <n v="112930"/>
    <s v="17-Dec-25"/>
    <n v="250"/>
    <m/>
    <m/>
    <s v="T26BS6"/>
    <s v="CVD"/>
    <s v="F"/>
  </r>
  <r>
    <n v="1111"/>
    <s v="NORTH"/>
    <s v="UTTAR PRADESH"/>
    <n v="7134"/>
    <s v="M/S GOENKA AUTO PRIVATE LIMITED."/>
    <s v="VARANASI"/>
    <s v="23-Jan-24"/>
    <s v="02-Sep-25"/>
    <n v="1165"/>
    <n v="90000"/>
    <n v="9"/>
    <s v="S"/>
    <s v="T1N"/>
    <n v="2040"/>
    <s v="MC1M4AAA2RP000892"/>
    <s v="D71044975"/>
    <m/>
    <m/>
    <x v="9"/>
    <s v="29-Oct-25"/>
    <x v="8"/>
    <n v="0"/>
    <n v="589463"/>
    <s v="17-Dec-25"/>
    <n v="0"/>
    <n v="0"/>
    <n v="0"/>
    <n v="112930"/>
    <s v="17-Dec-25"/>
    <n v="0"/>
    <m/>
    <m/>
    <s v="URBN"/>
    <s v="CVD"/>
    <s v="P"/>
  </r>
  <r>
    <n v="1112"/>
    <s v="NORTH"/>
    <s v="UTTAR PRADESH"/>
    <n v="7134"/>
    <s v="M/S GOENKA AUTO PRIVATE LIMITED."/>
    <s v="VARANASI"/>
    <s v="27-Mar-25"/>
    <s v="07-Sep-25"/>
    <n v="860"/>
    <n v="32009"/>
    <n v="2"/>
    <s v="S"/>
    <s v="T-1"/>
    <n v="797770"/>
    <s v="MC1E4CBAXSP085811"/>
    <s v="D71073110"/>
    <s v="001"/>
    <s v="SERV KMS  / HRS EXCEEDS"/>
    <x v="9"/>
    <s v="29-Oct-25"/>
    <x v="8"/>
    <n v="1250"/>
    <n v="589463"/>
    <s v="17-Dec-25"/>
    <n v="1000"/>
    <n v="1475"/>
    <n v="225"/>
    <n v="112930"/>
    <s v="17-Dec-25"/>
    <n v="250"/>
    <m/>
    <m/>
    <s v="T1BS6N"/>
    <s v="CVD"/>
    <s v="F"/>
  </r>
  <r>
    <n v="1113"/>
    <s v="NORTH"/>
    <s v="UTTAR PRADESH"/>
    <n v="7134"/>
    <s v="M/S GOENKA AUTO PRIVATE LIMITED."/>
    <s v="VARANASI"/>
    <s v="28-Sep-24"/>
    <s v="12-Sep-25"/>
    <n v="1165"/>
    <n v="53510"/>
    <n v="6"/>
    <s v="S"/>
    <s v="T26"/>
    <n v="789775"/>
    <s v="MC1E4FHA2SP021349"/>
    <s v="D71060882"/>
    <s v="022"/>
    <s v="SERVICE COUPON HARD COPY NOT RECEIVED"/>
    <x v="9"/>
    <s v="29-Oct-25"/>
    <x v="8"/>
    <n v="0"/>
    <n v="589463"/>
    <s v="17-Dec-25"/>
    <n v="0"/>
    <n v="0"/>
    <n v="0"/>
    <n v="112930"/>
    <s v="17-Dec-25"/>
    <n v="0"/>
    <m/>
    <m/>
    <s v="T26BS6"/>
    <s v="CVD"/>
    <s v="P"/>
  </r>
  <r>
    <n v="1114"/>
    <s v="NORTH"/>
    <s v="UTTAR PRADESH"/>
    <n v="7134"/>
    <s v="M/S GOENKA AUTO PRIVATE LIMITED."/>
    <s v="VARANASI"/>
    <s v="31-Mar-25"/>
    <s v="26-Sep-25"/>
    <n v="1165"/>
    <n v="30000"/>
    <n v="3"/>
    <s v="S"/>
    <s v="TRAX"/>
    <n v="327370"/>
    <s v="MC1D4DCA0SP107864"/>
    <s v="D72019478"/>
    <m/>
    <m/>
    <x v="9"/>
    <s v="29-Oct-25"/>
    <x v="8"/>
    <n v="1250"/>
    <n v="589463"/>
    <s v="17-Dec-25"/>
    <n v="1250"/>
    <n v="1475"/>
    <n v="225"/>
    <n v="112930"/>
    <s v="17-Dec-25"/>
    <n v="0"/>
    <m/>
    <m/>
    <s v="TRXBS6"/>
    <s v="CVD"/>
    <s v="F"/>
  </r>
  <r>
    <n v="1115"/>
    <s v="NORTH"/>
    <s v="UTTAR PRADESH"/>
    <n v="7134"/>
    <s v="M/S GOENKA AUTO PRIVATE LIMITED."/>
    <s v="VARANASI"/>
    <s v="29-Apr-24"/>
    <s v="21-Sep-25"/>
    <n v="1165"/>
    <n v="108570"/>
    <n v="11"/>
    <s v="S"/>
    <s v="T-1"/>
    <n v="773372"/>
    <s v="MC1E4EDA5RP012526"/>
    <s v="D71051928"/>
    <m/>
    <m/>
    <x v="9"/>
    <s v="29-Oct-25"/>
    <x v="8"/>
    <n v="1250"/>
    <n v="589463"/>
    <s v="17-Dec-25"/>
    <n v="1250"/>
    <n v="1475"/>
    <n v="225"/>
    <n v="112930"/>
    <s v="17-Dec-25"/>
    <n v="0"/>
    <m/>
    <m/>
    <s v="T1BS6"/>
    <s v="CVD"/>
    <s v="F"/>
  </r>
  <r>
    <n v="1116"/>
    <s v="NORTH"/>
    <s v="UTTAR PRADESH"/>
    <n v="7134"/>
    <s v="M/S GOENKA AUTO PRIVATE LIMITED."/>
    <s v="VARANASI"/>
    <s v="22-Mar-25"/>
    <s v="16-Sep-25"/>
    <n v="1165"/>
    <n v="8361"/>
    <n v="3"/>
    <s v="S"/>
    <s v="TRAX"/>
    <n v="328028"/>
    <s v="MC1D1DBA7SP001616"/>
    <s v="D72018969"/>
    <m/>
    <m/>
    <x v="9"/>
    <s v="29-Oct-25"/>
    <x v="8"/>
    <n v="1250"/>
    <n v="589463"/>
    <s v="17-Dec-25"/>
    <n v="1250"/>
    <n v="1475"/>
    <n v="225"/>
    <n v="112930"/>
    <s v="17-Dec-25"/>
    <n v="0"/>
    <m/>
    <m/>
    <s v="TRXBS6"/>
    <s v="CVD"/>
    <s v="F"/>
  </r>
  <r>
    <n v="1117"/>
    <s v="NORTH"/>
    <s v="UTTAR PRADESH"/>
    <n v="7134"/>
    <s v="M/S GOENKA AUTO PRIVATE LIMITED."/>
    <s v="VARANASI"/>
    <s v="27-Mar-25"/>
    <s v="25-Sep-25"/>
    <n v="850"/>
    <n v="30000"/>
    <n v="2"/>
    <s v="S"/>
    <s v="T-1"/>
    <n v="797769"/>
    <s v="MC1E4CBA4SP085738"/>
    <s v="D71073004"/>
    <m/>
    <m/>
    <x v="9"/>
    <s v="29-Oct-25"/>
    <x v="8"/>
    <n v="1250"/>
    <n v="589463"/>
    <s v="17-Dec-25"/>
    <n v="1250"/>
    <n v="1475"/>
    <n v="225"/>
    <n v="112930"/>
    <s v="17-Dec-25"/>
    <n v="0"/>
    <m/>
    <m/>
    <s v="T1BS6N"/>
    <s v="CVD"/>
    <s v="F"/>
  </r>
  <r>
    <n v="1118"/>
    <s v="NORTH"/>
    <s v="UTTAR PRADESH"/>
    <n v="7134"/>
    <s v="M/S GOENKA AUTO PRIVATE LIMITED."/>
    <s v="VARANASI"/>
    <s v="30-Nov-24"/>
    <s v="26-Sep-25"/>
    <n v="1165"/>
    <n v="50000"/>
    <n v="5"/>
    <s v="S"/>
    <s v="T1N"/>
    <n v="5597"/>
    <s v="MC1M4AKAXSP002667"/>
    <s v="D71064615"/>
    <m/>
    <m/>
    <x v="9"/>
    <s v="29-Oct-25"/>
    <x v="8"/>
    <n v="1650"/>
    <n v="589463"/>
    <s v="17-Dec-25"/>
    <n v="1650"/>
    <n v="1947"/>
    <n v="297"/>
    <n v="112930"/>
    <s v="17-Dec-25"/>
    <n v="0"/>
    <m/>
    <m/>
    <s v="URBN"/>
    <s v="CVD"/>
    <s v="F"/>
  </r>
  <r>
    <n v="1119"/>
    <s v="NORTH"/>
    <s v="UTTAR PRADESH"/>
    <n v="7134"/>
    <s v="M/S GOENKA AUTO PRIVATE LIMITED."/>
    <s v="VARANASI"/>
    <s v="08-Mar-25"/>
    <s v="25-Sep-25"/>
    <n v="942"/>
    <n v="30000"/>
    <n v="2"/>
    <s v="S"/>
    <s v="T-1"/>
    <n v="796014"/>
    <s v="MC1E4CAA4SP083988"/>
    <s v="D71070108"/>
    <m/>
    <m/>
    <x v="9"/>
    <s v="29-Oct-25"/>
    <x v="8"/>
    <n v="1250"/>
    <n v="589463"/>
    <s v="17-Dec-25"/>
    <n v="1250"/>
    <n v="1475"/>
    <n v="225"/>
    <n v="112930"/>
    <s v="17-Dec-25"/>
    <n v="0"/>
    <m/>
    <m/>
    <s v="T1BS6N"/>
    <s v="CVD"/>
    <s v="F"/>
  </r>
  <r>
    <n v="1120"/>
    <s v="NORTH"/>
    <s v="UTTAR PRADESH"/>
    <n v="7134"/>
    <s v="M/S GOENKA AUTO PRIVATE LIMITED."/>
    <s v="VARANASI"/>
    <s v="25-Mar-25"/>
    <s v="03-Sep-25"/>
    <n v="873"/>
    <n v="29448"/>
    <n v="2"/>
    <s v="S"/>
    <s v="T-1"/>
    <n v="798608"/>
    <s v="MC1E4CAA5SP084454"/>
    <s v="D71069491"/>
    <m/>
    <m/>
    <x v="9"/>
    <s v="29-Oct-25"/>
    <x v="8"/>
    <n v="1250"/>
    <n v="589463"/>
    <s v="17-Dec-25"/>
    <n v="1250"/>
    <n v="1475"/>
    <n v="225"/>
    <n v="112930"/>
    <s v="17-Dec-25"/>
    <n v="0"/>
    <m/>
    <m/>
    <s v="T1BS6N"/>
    <s v="CVD"/>
    <s v="F"/>
  </r>
  <r>
    <n v="1121"/>
    <s v="NORTH"/>
    <s v="UTTAR PRADESH"/>
    <n v="7134"/>
    <s v="M/S GOENKA AUTO PRIVATE LIMITED."/>
    <s v="VARANASI"/>
    <s v="09-Sep-24"/>
    <s v="21-Sep-25"/>
    <n v="1165"/>
    <n v="103617"/>
    <n v="10"/>
    <s v="S"/>
    <s v="T-1"/>
    <n v="785386"/>
    <s v="MC1E4EFA3RP013378"/>
    <s v="D71057643"/>
    <s v="001"/>
    <s v="SERV KMS  / HRS EXCEEDS"/>
    <x v="9"/>
    <s v="29-Oct-25"/>
    <x v="8"/>
    <n v="0"/>
    <n v="589463"/>
    <s v="17-Dec-25"/>
    <n v="0"/>
    <n v="0"/>
    <n v="0"/>
    <n v="112930"/>
    <s v="17-Dec-25"/>
    <n v="0"/>
    <m/>
    <m/>
    <s v="T1BS6"/>
    <s v="CVD"/>
    <s v="P"/>
  </r>
  <r>
    <n v="1122"/>
    <s v="NORTH"/>
    <s v="UTTAR PRADESH"/>
    <n v="7134"/>
    <s v="M/S GOENKA AUTO PRIVATE LIMITED."/>
    <s v="VARANASI"/>
    <s v="07-Jul-24"/>
    <s v="04-Sep-25"/>
    <n v="1165"/>
    <n v="106456"/>
    <n v="10"/>
    <s v="S"/>
    <s v="T-1"/>
    <n v="773702"/>
    <s v="MC1E4EFA4RP013146"/>
    <s v="D71056292"/>
    <s v="001"/>
    <s v="SERV KMS  / HRS EXCEEDS"/>
    <x v="9"/>
    <s v="29-Oct-25"/>
    <x v="8"/>
    <n v="0"/>
    <n v="589463"/>
    <s v="17-Dec-25"/>
    <n v="0"/>
    <n v="0"/>
    <n v="0"/>
    <n v="112930"/>
    <s v="17-Dec-25"/>
    <n v="0"/>
    <m/>
    <m/>
    <s v="T1BS6"/>
    <s v="CVD"/>
    <s v="P"/>
  </r>
  <r>
    <n v="1123"/>
    <s v="NORTH"/>
    <s v="UTTAR PRADESH"/>
    <n v="7134"/>
    <s v="M/S GOENKA AUTO PRIVATE LIMITED."/>
    <s v="VARANASI"/>
    <s v="31-Dec-24"/>
    <s v="07-Sep-25"/>
    <n v="1165"/>
    <n v="30000"/>
    <n v="3"/>
    <s v="S"/>
    <s v="T1N"/>
    <n v="6182"/>
    <s v="MC1M4AMA9SP003001"/>
    <s v="D71066870"/>
    <m/>
    <m/>
    <x v="9"/>
    <s v="29-Oct-25"/>
    <x v="8"/>
    <n v="1650"/>
    <n v="589463"/>
    <s v="17-Dec-25"/>
    <n v="1650"/>
    <n v="1947"/>
    <n v="297"/>
    <n v="112930"/>
    <s v="17-Dec-25"/>
    <n v="0"/>
    <m/>
    <m/>
    <s v="URBN"/>
    <s v="CVD"/>
    <s v="F"/>
  </r>
  <r>
    <n v="1124"/>
    <s v="NORTH"/>
    <s v="UTTAR PRADESH"/>
    <n v="7134"/>
    <s v="M/S GOENKA AUTO PRIVATE LIMITED."/>
    <s v="VARANASI"/>
    <s v="29-Mar-25"/>
    <s v="19-Sep-25"/>
    <n v="1150"/>
    <n v="13820"/>
    <n v="3"/>
    <s v="S"/>
    <s v="T-1"/>
    <n v="778234"/>
    <s v="MC1E5EBA7SP003266"/>
    <s v="D73001699"/>
    <m/>
    <m/>
    <x v="9"/>
    <s v="29-Oct-25"/>
    <x v="8"/>
    <n v="1250"/>
    <n v="589463"/>
    <s v="17-Dec-25"/>
    <n v="1250"/>
    <n v="1475"/>
    <n v="225"/>
    <n v="112930"/>
    <s v="17-Dec-25"/>
    <n v="0"/>
    <m/>
    <m/>
    <s v="T1CNGL"/>
    <s v="CVD"/>
    <s v="F"/>
  </r>
  <r>
    <n v="1125"/>
    <s v="NORTH"/>
    <s v="UTTAR PRADESH"/>
    <n v="7134"/>
    <s v="M/S GOENKA AUTO PRIVATE LIMITED."/>
    <s v="VARANASI"/>
    <s v="24-Mar-25"/>
    <s v="25-Sep-25"/>
    <n v="955"/>
    <n v="31200"/>
    <n v="2"/>
    <s v="S"/>
    <s v="T-1"/>
    <n v="798734"/>
    <s v="MC1E4CBA5SP084940"/>
    <s v="D71071458"/>
    <s v="001"/>
    <s v="SERV KMS  / HRS EXCEEDS"/>
    <x v="9"/>
    <s v="29-Oct-25"/>
    <x v="8"/>
    <n v="1250"/>
    <n v="589463"/>
    <s v="17-Dec-25"/>
    <n v="1000"/>
    <n v="1475"/>
    <n v="225"/>
    <n v="112930"/>
    <s v="17-Dec-25"/>
    <n v="250"/>
    <m/>
    <m/>
    <s v="T1BS6N"/>
    <s v="CVD"/>
    <s v="F"/>
  </r>
  <r>
    <n v="1126"/>
    <s v="NORTH"/>
    <s v="UTTAR PRADESH"/>
    <n v="7134"/>
    <s v="M/S GOENKA AUTO PRIVATE LIMITED."/>
    <s v="VARANASI"/>
    <s v="25-Mar-25"/>
    <s v="03-Sep-25"/>
    <n v="872"/>
    <n v="30094"/>
    <n v="2"/>
    <s v="S"/>
    <s v="T-1"/>
    <n v="798677"/>
    <s v="MC1E4CAA7SP083984"/>
    <s v="D71070180"/>
    <m/>
    <m/>
    <x v="9"/>
    <s v="29-Oct-25"/>
    <x v="8"/>
    <n v="1250"/>
    <n v="589463"/>
    <s v="17-Dec-25"/>
    <n v="1250"/>
    <n v="1475"/>
    <n v="225"/>
    <n v="112930"/>
    <s v="17-Dec-25"/>
    <n v="0"/>
    <m/>
    <m/>
    <s v="T1BS6N"/>
    <s v="CVD"/>
    <s v="F"/>
  </r>
  <r>
    <n v="1127"/>
    <s v="NORTH"/>
    <s v="UTTAR PRADESH"/>
    <n v="7134"/>
    <s v="M/S GOENKA AUTO PRIVATE LIMITED."/>
    <s v="VARANASI"/>
    <s v="10-Jul-25"/>
    <s v="05-Sep-25"/>
    <n v="1165"/>
    <n v="4877"/>
    <n v="1"/>
    <s v="S"/>
    <s v="T1N"/>
    <n v="8133"/>
    <s v="MC1M4AFAXSP004879"/>
    <s v="D71082671"/>
    <m/>
    <m/>
    <x v="9"/>
    <s v="29-Oct-25"/>
    <x v="8"/>
    <n v="1650"/>
    <n v="589463"/>
    <s v="17-Dec-25"/>
    <n v="1650"/>
    <n v="1947"/>
    <n v="297"/>
    <n v="112930"/>
    <s v="17-Dec-25"/>
    <n v="0"/>
    <m/>
    <m/>
    <s v="URBN"/>
    <s v="CVD"/>
    <s v="F"/>
  </r>
  <r>
    <n v="1128"/>
    <s v="NORTH"/>
    <s v="UTTAR PRADESH"/>
    <n v="7134"/>
    <s v="M/S GOENKA AUTO PRIVATE LIMITED."/>
    <s v="VARANASI"/>
    <s v="28-Dec-24"/>
    <s v="25-Sep-25"/>
    <n v="1165"/>
    <n v="35782"/>
    <n v="4"/>
    <s v="S"/>
    <s v="T26"/>
    <n v="789109"/>
    <s v="MC1E4FLA6SP021779"/>
    <s v="D71065359"/>
    <s v="002"/>
    <s v="SERV DATE EXCEEDS"/>
    <x v="9"/>
    <s v="29-Oct-25"/>
    <x v="8"/>
    <n v="0"/>
    <n v="589463"/>
    <s v="17-Dec-25"/>
    <n v="0"/>
    <n v="0"/>
    <n v="0"/>
    <n v="112930"/>
    <s v="17-Dec-25"/>
    <n v="0"/>
    <m/>
    <m/>
    <s v="T26BS6"/>
    <s v="CVD"/>
    <s v="P"/>
  </r>
  <r>
    <n v="1129"/>
    <s v="NORTH"/>
    <s v="UTTAR PRADESH"/>
    <n v="7134"/>
    <s v="M/S GOENKA AUTO PRIVATE LIMITED."/>
    <s v="VARANASI"/>
    <s v="29-Oct-24"/>
    <s v="15-Sep-25"/>
    <n v="1165"/>
    <n v="30500"/>
    <n v="4"/>
    <s v="S"/>
    <s v="T-1"/>
    <n v="790577"/>
    <s v="MC1E4EKA6SP014276"/>
    <s v="D71063328"/>
    <s v="002"/>
    <s v="SERV DATE EXCEEDS"/>
    <x v="9"/>
    <s v="29-Oct-25"/>
    <x v="8"/>
    <n v="0"/>
    <n v="589463"/>
    <s v="17-Dec-25"/>
    <n v="0"/>
    <n v="0"/>
    <n v="0"/>
    <n v="112930"/>
    <s v="17-Dec-25"/>
    <n v="0"/>
    <m/>
    <m/>
    <s v="T1BS6"/>
    <s v="CVD"/>
    <s v="P"/>
  </r>
  <r>
    <n v="1130"/>
    <s v="NORTH"/>
    <s v="UTTAR PRADESH"/>
    <n v="7134"/>
    <s v="M/S GOENKA AUTO PRIVATE LIMITED."/>
    <s v="VARANASI"/>
    <s v="29-Oct-24"/>
    <s v="16-Sep-25"/>
    <n v="1165"/>
    <n v="50000"/>
    <n v="5"/>
    <s v="S"/>
    <s v="T-1"/>
    <n v="790578"/>
    <s v="MC1E4EKA4SP014275"/>
    <s v="D71063275"/>
    <s v="002"/>
    <s v="SERV DATE EXCEEDS"/>
    <x v="9"/>
    <s v="29-Oct-25"/>
    <x v="8"/>
    <n v="1250"/>
    <n v="589463"/>
    <s v="17-Dec-25"/>
    <n v="1000"/>
    <n v="1475"/>
    <n v="225"/>
    <n v="112930"/>
    <s v="17-Dec-25"/>
    <n v="250"/>
    <m/>
    <m/>
    <s v="T1BS6"/>
    <s v="CVD"/>
    <s v="F"/>
  </r>
  <r>
    <n v="1131"/>
    <s v="NORTH"/>
    <s v="UTTAR PRADESH"/>
    <n v="7134"/>
    <s v="M/S GOENKA AUTO PRIVATE LIMITED."/>
    <s v="VARANASI"/>
    <s v="18-Jan-25"/>
    <s v="04-Sep-25"/>
    <n v="1165"/>
    <n v="23200"/>
    <n v="4"/>
    <s v="S"/>
    <s v="T26"/>
    <n v="789051"/>
    <s v="MC1E4FAA1SP022101"/>
    <s v="D71067536"/>
    <m/>
    <m/>
    <x v="9"/>
    <s v="29-Oct-25"/>
    <x v="8"/>
    <n v="0"/>
    <n v="589463"/>
    <s v="17-Dec-25"/>
    <n v="0"/>
    <n v="0"/>
    <n v="0"/>
    <n v="112930"/>
    <s v="17-Dec-25"/>
    <n v="0"/>
    <m/>
    <m/>
    <s v="T26BS6"/>
    <s v="CVD"/>
    <s v="P"/>
  </r>
  <r>
    <n v="1132"/>
    <s v="NORTH"/>
    <s v="UTTAR PRADESH"/>
    <n v="7134"/>
    <s v="M/S GOENKA AUTO PRIVATE LIMITED."/>
    <s v="VARANASI"/>
    <s v="30-Sep-23"/>
    <s v="11-Sep-25"/>
    <n v="1165"/>
    <n v="71847"/>
    <n v="12"/>
    <s v="S"/>
    <s v="TRAX"/>
    <n v="573195831"/>
    <s v="MC1D1DJA5RP001495"/>
    <s v="D72012052"/>
    <m/>
    <m/>
    <x v="9"/>
    <s v="29-Oct-25"/>
    <x v="8"/>
    <n v="0"/>
    <n v="589463"/>
    <s v="17-Dec-25"/>
    <n v="0"/>
    <n v="0"/>
    <n v="0"/>
    <n v="112930"/>
    <s v="17-Dec-25"/>
    <n v="0"/>
    <m/>
    <m/>
    <s v="TRXBS6"/>
    <s v="CVD"/>
    <s v="P"/>
  </r>
  <r>
    <n v="1133"/>
    <s v="NORTH"/>
    <s v="UTTAR PRADESH"/>
    <n v="7134"/>
    <s v="M/S GOENKA AUTO PRIVATE LIMITED."/>
    <s v="VARANASI"/>
    <s v="13-May-25"/>
    <s v="15-Sep-25"/>
    <n v="1165"/>
    <n v="8082"/>
    <n v="2"/>
    <s v="S"/>
    <s v="T1N"/>
    <n v="7532"/>
    <s v="MC1M4ADA0SP004277"/>
    <s v="D71079105"/>
    <m/>
    <m/>
    <x v="9"/>
    <s v="29-Oct-25"/>
    <x v="8"/>
    <n v="0"/>
    <n v="589463"/>
    <s v="17-Dec-25"/>
    <n v="0"/>
    <n v="0"/>
    <n v="0"/>
    <n v="112930"/>
    <s v="17-Dec-25"/>
    <n v="0"/>
    <m/>
    <m/>
    <s v="URBN"/>
    <s v="CVD"/>
    <s v="P"/>
  </r>
  <r>
    <n v="1134"/>
    <s v="NORTH"/>
    <s v="UTTAR PRADESH"/>
    <n v="7134"/>
    <s v="M/S GOENKA AUTO PRIVATE LIMITED."/>
    <s v="VARANASI"/>
    <s v="29-Mar-25"/>
    <s v="15-Sep-25"/>
    <n v="1165"/>
    <n v="40000"/>
    <n v="4"/>
    <s v="S"/>
    <s v="T1N"/>
    <n v="6960"/>
    <s v="MC1M4ACA2SP003858"/>
    <s v="D71076103"/>
    <m/>
    <m/>
    <x v="9"/>
    <s v="29-Oct-25"/>
    <x v="8"/>
    <n v="0"/>
    <n v="589463"/>
    <s v="17-Dec-25"/>
    <n v="0"/>
    <n v="0"/>
    <n v="0"/>
    <n v="112930"/>
    <s v="17-Dec-25"/>
    <n v="0"/>
    <m/>
    <m/>
    <s v="URBN"/>
    <s v="CVD"/>
    <s v="P"/>
  </r>
  <r>
    <n v="1135"/>
    <s v="NORTH"/>
    <s v="UTTAR PRADESH"/>
    <n v="7134"/>
    <s v="M/S GOENKA AUTO PRIVATE LIMITED."/>
    <s v="VARANASI"/>
    <s v="24-Mar-25"/>
    <s v="09-Sep-25"/>
    <n v="39"/>
    <n v="1818"/>
    <n v="3"/>
    <s v="S"/>
    <s v="TRAX"/>
    <n v="328435"/>
    <s v="MC1D4DBAXSP107694"/>
    <s v="D72019388"/>
    <m/>
    <m/>
    <x v="9"/>
    <s v="29-Oct-25"/>
    <x v="8"/>
    <n v="1250"/>
    <n v="589463"/>
    <s v="17-Dec-25"/>
    <n v="1250"/>
    <n v="1475"/>
    <n v="225"/>
    <n v="112930"/>
    <s v="17-Dec-25"/>
    <n v="0"/>
    <m/>
    <m/>
    <s v="TRXBS6"/>
    <s v="CVD"/>
    <s v="F"/>
  </r>
  <r>
    <n v="1136"/>
    <s v="NORTH"/>
    <s v="UTTAR PRADESH"/>
    <n v="7134"/>
    <s v="M/S GOENKA AUTO PRIVATE LIMITED."/>
    <s v="VARANASI"/>
    <s v="06-Mar-25"/>
    <s v="26-Sep-25"/>
    <n v="1165"/>
    <n v="30000"/>
    <n v="4"/>
    <s v="S"/>
    <s v="TRAX"/>
    <n v="327885"/>
    <s v="MC1D4DAA9SP107140"/>
    <s v="D72018775"/>
    <m/>
    <m/>
    <x v="9"/>
    <s v="29-Oct-25"/>
    <x v="8"/>
    <n v="0"/>
    <n v="589463"/>
    <s v="17-Dec-25"/>
    <n v="0"/>
    <n v="0"/>
    <n v="0"/>
    <n v="112930"/>
    <s v="17-Dec-25"/>
    <n v="0"/>
    <m/>
    <m/>
    <s v="TRXBS6"/>
    <s v="CVD"/>
    <s v="P"/>
  </r>
  <r>
    <n v="1137"/>
    <s v="NORTH"/>
    <s v="UTTAR PRADESH"/>
    <n v="7134"/>
    <s v="M/S GOENKA AUTO PRIVATE LIMITED."/>
    <s v="VARANASI"/>
    <s v="22-Mar-25"/>
    <s v="16-Sep-25"/>
    <n v="1165"/>
    <n v="6719"/>
    <n v="3"/>
    <s v="S"/>
    <s v="TRAX"/>
    <n v="328462"/>
    <s v="MC1D1DCA2SP001618"/>
    <s v="D72019587"/>
    <m/>
    <m/>
    <x v="9"/>
    <s v="29-Oct-25"/>
    <x v="8"/>
    <n v="1250"/>
    <n v="589463"/>
    <s v="17-Dec-25"/>
    <n v="1250"/>
    <n v="1475"/>
    <n v="225"/>
    <n v="112930"/>
    <s v="17-Dec-25"/>
    <n v="0"/>
    <m/>
    <m/>
    <s v="TRXBS6"/>
    <s v="CVD"/>
    <s v="F"/>
  </r>
  <r>
    <n v="1138"/>
    <s v="NORTH"/>
    <s v="UTTAR PRADESH"/>
    <n v="7134"/>
    <s v="M/S GOENKA AUTO PRIVATE LIMITED."/>
    <s v="VARANASI"/>
    <s v="30-Oct-24"/>
    <s v="14-Sep-25"/>
    <n v="1165"/>
    <n v="30048"/>
    <n v="4"/>
    <s v="S"/>
    <s v="T1N"/>
    <n v="4898"/>
    <s v="MC1M4AKA9SP002577"/>
    <s v="D71064017"/>
    <m/>
    <m/>
    <x v="9"/>
    <s v="29-Oct-25"/>
    <x v="8"/>
    <n v="0"/>
    <n v="589463"/>
    <s v="17-Dec-25"/>
    <n v="0"/>
    <n v="0"/>
    <n v="0"/>
    <n v="112930"/>
    <s v="17-Dec-25"/>
    <n v="0"/>
    <m/>
    <m/>
    <s v="URBN"/>
    <s v="CVD"/>
    <s v="P"/>
  </r>
  <r>
    <n v="1139"/>
    <s v="NORTH"/>
    <s v="UTTAR PRADESH"/>
    <n v="7134"/>
    <s v="M/S GOENKA AUTO PRIVATE LIMITED."/>
    <s v="VARANASI"/>
    <s v="25-Mar-25"/>
    <s v="14-Sep-25"/>
    <n v="856"/>
    <n v="33158"/>
    <n v="2"/>
    <s v="S"/>
    <s v="T-1"/>
    <n v="798674"/>
    <s v="MC1E4CAA0SP084202"/>
    <s v="D71069719"/>
    <s v="001"/>
    <s v="SERV KMS  / HRS EXCEEDS"/>
    <x v="9"/>
    <s v="29-Oct-25"/>
    <x v="8"/>
    <n v="1250"/>
    <n v="589463"/>
    <s v="17-Dec-25"/>
    <n v="1000"/>
    <n v="1475"/>
    <n v="225"/>
    <n v="112930"/>
    <s v="17-Dec-25"/>
    <n v="250"/>
    <m/>
    <m/>
    <s v="T1BS6N"/>
    <s v="CVD"/>
    <s v="F"/>
  </r>
  <r>
    <n v="1140"/>
    <s v="NORTH"/>
    <s v="UTTAR PRADESH"/>
    <n v="7134"/>
    <s v="M/S GOENKA AUTO PRIVATE LIMITED."/>
    <s v="VARANASI"/>
    <s v="07-Jun-25"/>
    <s v="24-Sep-25"/>
    <n v="1165"/>
    <n v="20000"/>
    <n v="2"/>
    <s v="S"/>
    <s v="TRAX"/>
    <n v="328672"/>
    <s v="MC1D4DDA6SP108404"/>
    <s v="D72020089"/>
    <m/>
    <m/>
    <x v="9"/>
    <s v="29-Oct-25"/>
    <x v="8"/>
    <n v="0"/>
    <n v="589463"/>
    <s v="17-Dec-25"/>
    <n v="0"/>
    <n v="0"/>
    <n v="0"/>
    <n v="112930"/>
    <s v="17-Dec-25"/>
    <n v="0"/>
    <m/>
    <m/>
    <s v="TRXBS6"/>
    <s v="CVD"/>
    <s v="P"/>
  </r>
  <r>
    <n v="1141"/>
    <s v="NORTH"/>
    <s v="UTTAR PRADESH"/>
    <n v="7134"/>
    <s v="M/S GOENKA AUTO PRIVATE LIMITED."/>
    <s v="VARANASI"/>
    <s v="07-Jun-25"/>
    <s v="14-Sep-25"/>
    <n v="1165"/>
    <n v="20000"/>
    <n v="2"/>
    <s v="S"/>
    <s v="TRAX"/>
    <n v="326024"/>
    <s v="MC1D4DLA4SP106328"/>
    <s v="D72017786"/>
    <m/>
    <m/>
    <x v="9"/>
    <s v="29-Oct-25"/>
    <x v="8"/>
    <n v="0"/>
    <n v="589463"/>
    <s v="17-Dec-25"/>
    <n v="0"/>
    <n v="0"/>
    <n v="0"/>
    <n v="112930"/>
    <s v="17-Dec-25"/>
    <n v="0"/>
    <m/>
    <m/>
    <s v="TRXBS6"/>
    <s v="CVD"/>
    <s v="P"/>
  </r>
  <r>
    <n v="1142"/>
    <s v="NORTH"/>
    <s v="UTTAR PRADESH"/>
    <n v="7134"/>
    <s v="M/S GOENKA AUTO PRIVATE LIMITED."/>
    <s v="VARANASI"/>
    <s v="23-May-24"/>
    <s v="02-Sep-25"/>
    <n v="990"/>
    <n v="19848"/>
    <n v="8"/>
    <s v="S"/>
    <s v="TRAX"/>
    <n v="322403"/>
    <s v="MC1D4DCA8RP103829"/>
    <s v="D72014553"/>
    <m/>
    <m/>
    <x v="9"/>
    <s v="29-Oct-25"/>
    <x v="8"/>
    <n v="1250"/>
    <n v="589463"/>
    <s v="17-Dec-25"/>
    <n v="1250"/>
    <n v="1475"/>
    <n v="225"/>
    <n v="112930"/>
    <s v="17-Dec-25"/>
    <n v="0"/>
    <m/>
    <m/>
    <s v="TRXBS6"/>
    <s v="CVD"/>
    <s v="F"/>
  </r>
  <r>
    <n v="1143"/>
    <s v="NORTH"/>
    <s v="UTTAR PRADESH"/>
    <n v="7134"/>
    <s v="M/S GOENKA AUTO PRIVATE LIMITED."/>
    <s v="VARANASI"/>
    <s v="24-Mar-25"/>
    <s v="14-Sep-25"/>
    <n v="871"/>
    <n v="32623"/>
    <n v="2"/>
    <s v="S"/>
    <s v="T-1"/>
    <n v="796125"/>
    <s v="MC1E4CAAXSP083963"/>
    <s v="D71070041"/>
    <s v="001"/>
    <s v="SERV KMS  / HRS EXCEEDS"/>
    <x v="9"/>
    <s v="29-Oct-25"/>
    <x v="8"/>
    <n v="1250"/>
    <n v="589463"/>
    <s v="17-Dec-25"/>
    <n v="1000"/>
    <n v="1475"/>
    <n v="225"/>
    <n v="112930"/>
    <s v="17-Dec-25"/>
    <n v="250"/>
    <m/>
    <m/>
    <s v="T1BS6N"/>
    <s v="CVD"/>
    <s v="F"/>
  </r>
  <r>
    <n v="1144"/>
    <s v="NORTH"/>
    <s v="UTTAR PRADESH"/>
    <n v="7134"/>
    <s v="M/S GOENKA AUTO PRIVATE LIMITED."/>
    <s v="VARANASI"/>
    <s v="22-Mar-25"/>
    <s v="15-Sep-25"/>
    <n v="876"/>
    <n v="31894"/>
    <n v="2"/>
    <s v="S"/>
    <s v="T-1"/>
    <n v="796542"/>
    <s v="MC1E4CAA6SP083829"/>
    <s v="D71069913"/>
    <s v="001"/>
    <s v="SERV KMS  / HRS EXCEEDS"/>
    <x v="9"/>
    <s v="29-Oct-25"/>
    <x v="8"/>
    <n v="1250"/>
    <n v="589463"/>
    <s v="17-Dec-25"/>
    <n v="1000"/>
    <n v="1475"/>
    <n v="225"/>
    <n v="112930"/>
    <s v="17-Dec-25"/>
    <n v="250"/>
    <m/>
    <m/>
    <s v="T1BS6N"/>
    <s v="CVD"/>
    <s v="F"/>
  </r>
  <r>
    <n v="1145"/>
    <s v="NORTH"/>
    <s v="UTTAR PRADESH"/>
    <n v="7134"/>
    <s v="M/S GOENKA AUTO PRIVATE LIMITED."/>
    <s v="VARANASI"/>
    <s v="08-Feb-25"/>
    <s v="16-Sep-25"/>
    <n v="1165"/>
    <n v="7555"/>
    <n v="4"/>
    <s v="S"/>
    <s v="TRAX"/>
    <n v="326401"/>
    <s v="MC1D4DJAXSP105865"/>
    <s v="D72017337"/>
    <m/>
    <m/>
    <x v="9"/>
    <s v="29-Oct-25"/>
    <x v="8"/>
    <n v="0"/>
    <n v="589463"/>
    <s v="17-Dec-25"/>
    <n v="0"/>
    <n v="0"/>
    <n v="0"/>
    <n v="112930"/>
    <s v="17-Dec-25"/>
    <n v="0"/>
    <m/>
    <m/>
    <s v="TRXBS6"/>
    <s v="CVD"/>
    <s v="P"/>
  </r>
  <r>
    <n v="1146"/>
    <s v="NORTH"/>
    <s v="UTTAR PRADESH"/>
    <n v="7134"/>
    <s v="M/S GOENKA AUTO PRIVATE LIMITED."/>
    <s v="VARANASI"/>
    <s v="06-Jul-24"/>
    <s v="11-Sep-25"/>
    <n v="1165"/>
    <n v="86750"/>
    <n v="9"/>
    <s v="S"/>
    <s v="T26"/>
    <n v="777193"/>
    <s v="MC1E4FFA8RP020641"/>
    <s v="D71056088"/>
    <m/>
    <m/>
    <x v="9"/>
    <s v="29-Oct-25"/>
    <x v="8"/>
    <n v="0"/>
    <n v="589463"/>
    <s v="17-Dec-25"/>
    <n v="0"/>
    <n v="0"/>
    <n v="0"/>
    <n v="112930"/>
    <s v="17-Dec-25"/>
    <n v="0"/>
    <m/>
    <m/>
    <s v="T26BS6"/>
    <s v="CVD"/>
    <s v="P"/>
  </r>
  <r>
    <n v="1147"/>
    <s v="NORTH"/>
    <s v="UTTAR PRADESH"/>
    <n v="7134"/>
    <s v="M/S GOENKA AUTO PRIVATE LIMITED."/>
    <s v="VARANASI"/>
    <s v="19-Jun-25"/>
    <s v="08-Sep-25"/>
    <n v="1165"/>
    <n v="9541"/>
    <n v="1"/>
    <s v="S"/>
    <s v="T1N"/>
    <n v="8108"/>
    <s v="MC1M4AFA0SP004812"/>
    <s v="D71082360"/>
    <m/>
    <m/>
    <x v="9"/>
    <s v="29-Oct-25"/>
    <x v="8"/>
    <n v="1650"/>
    <n v="589463"/>
    <s v="17-Dec-25"/>
    <n v="1650"/>
    <n v="1947"/>
    <n v="297"/>
    <n v="112930"/>
    <s v="17-Dec-25"/>
    <n v="0"/>
    <m/>
    <m/>
    <s v="URBN"/>
    <s v="CVD"/>
    <s v="F"/>
  </r>
  <r>
    <n v="1148"/>
    <s v="NORTH"/>
    <s v="UTTAR PRADESH"/>
    <n v="7134"/>
    <s v="M/S GOENKA AUTO PRIVATE LIMITED."/>
    <s v="VARANASI"/>
    <s v="23-Apr-24"/>
    <s v="10-Sep-25"/>
    <n v="1165"/>
    <n v="99693"/>
    <n v="10"/>
    <s v="S"/>
    <s v="T1N"/>
    <n v="3489"/>
    <s v="MC1M4ADA5RP001370"/>
    <s v="D71052482"/>
    <m/>
    <m/>
    <x v="9"/>
    <s v="29-Oct-25"/>
    <x v="8"/>
    <n v="0"/>
    <n v="589463"/>
    <s v="17-Dec-25"/>
    <n v="0"/>
    <n v="0"/>
    <n v="0"/>
    <n v="112930"/>
    <s v="17-Dec-25"/>
    <n v="0"/>
    <m/>
    <m/>
    <s v="URBN"/>
    <s v="CVD"/>
    <s v="P"/>
  </r>
  <r>
    <n v="1149"/>
    <s v="NORTH"/>
    <s v="UTTAR PRADESH"/>
    <n v="7134"/>
    <s v="M/S GOENKA AUTO PRIVATE LIMITED."/>
    <s v="VARANASI"/>
    <s v="23-Mar-25"/>
    <s v="19-Sep-25"/>
    <n v="920"/>
    <n v="32281"/>
    <n v="2"/>
    <s v="S"/>
    <s v="T-1"/>
    <n v="795771"/>
    <s v="MC1E4CBA3SP085231"/>
    <s v="D71072091"/>
    <s v="001"/>
    <s v="SERV KMS  / HRS EXCEEDS"/>
    <x v="9"/>
    <s v="29-Oct-25"/>
    <x v="8"/>
    <n v="1250"/>
    <n v="589463"/>
    <s v="17-Dec-25"/>
    <n v="1000"/>
    <n v="1475"/>
    <n v="225"/>
    <n v="112930"/>
    <s v="17-Dec-25"/>
    <n v="250"/>
    <m/>
    <m/>
    <s v="T1BS6N"/>
    <s v="CVD"/>
    <s v="F"/>
  </r>
  <r>
    <n v="1150"/>
    <s v="NORTH"/>
    <s v="UTTAR PRADESH"/>
    <n v="7134"/>
    <s v="M/S GOENKA AUTO PRIVATE LIMITED."/>
    <s v="VARANASI"/>
    <s v="26-Mar-25"/>
    <s v="07-Sep-25"/>
    <n v="970"/>
    <n v="29300"/>
    <n v="2"/>
    <s v="S"/>
    <s v="T-1"/>
    <n v="797819"/>
    <s v="MC1E4CBA7SP085345"/>
    <s v="D71072202"/>
    <m/>
    <m/>
    <x v="9"/>
    <s v="29-Oct-25"/>
    <x v="8"/>
    <n v="1250"/>
    <n v="589463"/>
    <s v="17-Dec-25"/>
    <n v="1250"/>
    <n v="1475"/>
    <n v="225"/>
    <n v="112930"/>
    <s v="17-Dec-25"/>
    <n v="0"/>
    <m/>
    <m/>
    <s v="T1BS6N"/>
    <s v="CVD"/>
    <s v="F"/>
  </r>
  <r>
    <n v="1151"/>
    <s v="NORTH"/>
    <s v="UTTAR PRADESH"/>
    <n v="7134"/>
    <s v="M/S GOENKA AUTO PRIVATE LIMITED."/>
    <s v="VARANASI"/>
    <s v="22-Mar-25"/>
    <s v="30-Sep-25"/>
    <n v="1165"/>
    <n v="29627"/>
    <n v="3"/>
    <s v="S"/>
    <s v="T-1"/>
    <n v="800870"/>
    <s v="MC1E4ECA7SP015645"/>
    <s v="D71075726"/>
    <m/>
    <m/>
    <x v="9"/>
    <s v="29-Oct-25"/>
    <x v="8"/>
    <n v="1250"/>
    <n v="589463"/>
    <s v="17-Dec-25"/>
    <n v="1250"/>
    <n v="1475"/>
    <n v="225"/>
    <n v="112930"/>
    <s v="17-Dec-25"/>
    <n v="0"/>
    <m/>
    <m/>
    <s v="T1BS6"/>
    <s v="CVD"/>
    <s v="F"/>
  </r>
  <r>
    <n v="1152"/>
    <s v="NORTH"/>
    <s v="UTTAR PRADESH"/>
    <n v="7134"/>
    <s v="M/S GOENKA AUTO PRIVATE LIMITED."/>
    <s v="VARANASI"/>
    <s v="17-Feb-24"/>
    <s v="15-Sep-25"/>
    <n v="1165"/>
    <n v="55378"/>
    <n v="10"/>
    <s v="S"/>
    <s v="TRAX"/>
    <n v="320359"/>
    <s v="MC1D4DMAXRP102440"/>
    <s v="D72013157"/>
    <m/>
    <m/>
    <x v="9"/>
    <s v="29-Oct-25"/>
    <x v="8"/>
    <n v="0"/>
    <n v="589463"/>
    <s v="17-Dec-25"/>
    <n v="0"/>
    <n v="0"/>
    <n v="0"/>
    <n v="112930"/>
    <s v="17-Dec-25"/>
    <n v="0"/>
    <m/>
    <m/>
    <s v="TRXBS6"/>
    <s v="CVD"/>
    <s v="P"/>
  </r>
  <r>
    <n v="1153"/>
    <s v="NORTH"/>
    <s v="UTTAR PRADESH"/>
    <n v="7134"/>
    <s v="M/S GOENKA AUTO PRIVATE LIMITED."/>
    <s v="VARANASI"/>
    <s v="30-Aug-24"/>
    <s v="11-Sep-25"/>
    <n v="1165"/>
    <n v="50000"/>
    <n v="6"/>
    <s v="S"/>
    <s v="T-1"/>
    <n v="786160"/>
    <s v="MC1E4EGA5SP013614"/>
    <s v="D71059197"/>
    <m/>
    <m/>
    <x v="9"/>
    <s v="29-Oct-25"/>
    <x v="8"/>
    <n v="0"/>
    <n v="589463"/>
    <s v="17-Dec-25"/>
    <n v="0"/>
    <n v="0"/>
    <n v="0"/>
    <n v="112930"/>
    <s v="17-Dec-25"/>
    <n v="0"/>
    <m/>
    <m/>
    <s v="T1BS6"/>
    <s v="CVD"/>
    <s v="P"/>
  </r>
  <r>
    <n v="1154"/>
    <s v="NORTH"/>
    <s v="UTTAR PRADESH"/>
    <n v="7134"/>
    <s v="M/S GOENKA AUTO PRIVATE LIMITED."/>
    <s v="VARANASI"/>
    <s v="03-Mar-25"/>
    <s v="23-Sep-25"/>
    <n v="857"/>
    <n v="31720"/>
    <n v="2"/>
    <s v="S"/>
    <s v="T-1"/>
    <n v="7079654"/>
    <s v="MC1E4CAA4SP083747"/>
    <s v="D71069845"/>
    <s v="001"/>
    <s v="SERV KMS  / HRS EXCEEDS"/>
    <x v="9"/>
    <s v="29-Oct-25"/>
    <x v="8"/>
    <n v="1250"/>
    <n v="589463"/>
    <s v="17-Dec-25"/>
    <n v="1000"/>
    <n v="1475"/>
    <n v="225"/>
    <n v="112930"/>
    <s v="17-Dec-25"/>
    <n v="250"/>
    <m/>
    <m/>
    <s v="T1BS6N"/>
    <s v="CVD"/>
    <s v="F"/>
  </r>
  <r>
    <n v="1155"/>
    <s v="NORTH"/>
    <s v="UTTAR PRADESH"/>
    <n v="7134"/>
    <s v="M/S GOENKA AUTO PRIVATE LIMITED."/>
    <s v="VARANASI"/>
    <s v="16-Nov-24"/>
    <s v="23-Sep-25"/>
    <n v="1165"/>
    <n v="40623"/>
    <n v="4"/>
    <s v="S"/>
    <s v="T1N"/>
    <n v="4921"/>
    <s v="MC1M4AKA4SP002552"/>
    <s v="D71063800"/>
    <m/>
    <m/>
    <x v="9"/>
    <s v="29-Oct-25"/>
    <x v="8"/>
    <n v="0"/>
    <n v="589463"/>
    <s v="17-Dec-25"/>
    <n v="0"/>
    <n v="0"/>
    <n v="0"/>
    <n v="112930"/>
    <s v="17-Dec-25"/>
    <n v="0"/>
    <m/>
    <m/>
    <s v="URBN"/>
    <s v="CVD"/>
    <s v="P"/>
  </r>
  <r>
    <n v="1156"/>
    <s v="NORTH"/>
    <s v="UTTAR PRADESH"/>
    <n v="7134"/>
    <s v="M/S GOENKA AUTO PRIVATE LIMITED."/>
    <s v="VARANASI"/>
    <s v="24-Jan-25"/>
    <s v="12-Sep-25"/>
    <n v="1165"/>
    <n v="21120"/>
    <n v="3"/>
    <s v="S"/>
    <s v="T1N"/>
    <n v="6480"/>
    <s v="MC1M4AAA3SP003242"/>
    <s v="D71069327"/>
    <m/>
    <m/>
    <x v="9"/>
    <s v="29-Oct-25"/>
    <x v="8"/>
    <n v="1650"/>
    <n v="589463"/>
    <s v="17-Dec-25"/>
    <n v="1650"/>
    <n v="1947"/>
    <n v="297"/>
    <n v="112930"/>
    <s v="17-Dec-25"/>
    <n v="0"/>
    <m/>
    <m/>
    <s v="URBN"/>
    <s v="CVD"/>
    <s v="F"/>
  </r>
  <r>
    <n v="1157"/>
    <s v="NORTH"/>
    <s v="UTTAR PRADESH"/>
    <n v="7134"/>
    <s v="M/S GOENKA AUTO PRIVATE LIMITED."/>
    <s v="VARANASI"/>
    <s v="26-Sep-23"/>
    <s v="08-Sep-25"/>
    <n v="1165"/>
    <n v="89335"/>
    <n v="12"/>
    <s v="S"/>
    <s v="T-1"/>
    <n v="754077"/>
    <s v="MC1E4DJA3RP048116"/>
    <s v="D71039101"/>
    <m/>
    <m/>
    <x v="9"/>
    <s v="29-Oct-25"/>
    <x v="8"/>
    <n v="0"/>
    <n v="589463"/>
    <s v="17-Dec-25"/>
    <n v="0"/>
    <n v="0"/>
    <n v="0"/>
    <n v="112930"/>
    <s v="17-Dec-25"/>
    <n v="0"/>
    <m/>
    <m/>
    <s v="T1BS6"/>
    <s v="CVD"/>
    <s v="P"/>
  </r>
  <r>
    <n v="1158"/>
    <s v="NORTH"/>
    <s v="UTTAR PRADESH"/>
    <n v="7134"/>
    <s v="M/S GOENKA AUTO PRIVATE LIMITED."/>
    <s v="VARANASI"/>
    <s v="13-Mar-25"/>
    <s v="02-Sep-25"/>
    <n v="1165"/>
    <n v="8545"/>
    <n v="2"/>
    <s v="S"/>
    <s v="T-1"/>
    <n v="797216"/>
    <s v="MC1E4DAA1SP055796"/>
    <s v="D71068659"/>
    <m/>
    <m/>
    <x v="9"/>
    <s v="29-Oct-25"/>
    <x v="8"/>
    <n v="1250"/>
    <n v="589463"/>
    <s v="17-Dec-25"/>
    <n v="1250"/>
    <n v="1475"/>
    <n v="225"/>
    <n v="112930"/>
    <s v="17-Dec-25"/>
    <n v="0"/>
    <m/>
    <m/>
    <s v="T1BS6N"/>
    <s v="CVD"/>
    <s v="F"/>
  </r>
  <r>
    <n v="1159"/>
    <s v="NORTH"/>
    <s v="UTTAR PRADESH"/>
    <n v="7134"/>
    <s v="M/S GOENKA AUTO PRIVATE LIMITED."/>
    <s v="VARANASI"/>
    <s v="24-Mar-25"/>
    <s v="23-Sep-25"/>
    <n v="892"/>
    <n v="31120"/>
    <n v="2"/>
    <s v="S"/>
    <s v="T-1"/>
    <n v="796577"/>
    <s v="MC1E4CAA5SP084258"/>
    <s v="D71070623"/>
    <s v="001"/>
    <s v="SERV KMS  / HRS EXCEEDS"/>
    <x v="9"/>
    <s v="29-Oct-25"/>
    <x v="8"/>
    <n v="1250"/>
    <n v="589463"/>
    <s v="17-Dec-25"/>
    <n v="1000"/>
    <n v="1475"/>
    <n v="225"/>
    <n v="112930"/>
    <s v="17-Dec-25"/>
    <n v="250"/>
    <m/>
    <m/>
    <s v="T1BS6N"/>
    <s v="CVD"/>
    <s v="F"/>
  </r>
  <r>
    <n v="1160"/>
    <s v="NORTH"/>
    <s v="UTTAR PRADESH"/>
    <n v="7134"/>
    <s v="M/S GOENKA AUTO PRIVATE LIMITED."/>
    <s v="VARANASI"/>
    <s v="18-Mar-25"/>
    <s v="30-Sep-25"/>
    <n v="1165"/>
    <n v="7421"/>
    <n v="3"/>
    <s v="S"/>
    <s v="TRAX"/>
    <n v="327338"/>
    <s v="MC1D4DBA4SP107271"/>
    <s v="D72018874"/>
    <m/>
    <m/>
    <x v="9"/>
    <s v="29-Oct-25"/>
    <x v="8"/>
    <n v="1250"/>
    <n v="589463"/>
    <s v="17-Dec-25"/>
    <n v="1250"/>
    <n v="1475"/>
    <n v="225"/>
    <n v="112930"/>
    <s v="17-Dec-25"/>
    <n v="0"/>
    <m/>
    <m/>
    <s v="TRXBS6"/>
    <s v="CVD"/>
    <s v="F"/>
  </r>
  <r>
    <n v="1161"/>
    <s v="NORTH"/>
    <s v="UTTAR PRADESH"/>
    <n v="7134"/>
    <s v="M/S GOENKA AUTO PRIVATE LIMITED."/>
    <s v="VARANASI"/>
    <s v="09-May-25"/>
    <s v="28-Aug-25"/>
    <n v="1165"/>
    <n v="4838"/>
    <n v="1"/>
    <s v="S"/>
    <s v="T-1"/>
    <n v="796763"/>
    <s v="MC1E4DDA9SP056836"/>
    <s v="D71078564"/>
    <m/>
    <m/>
    <x v="9"/>
    <s v="29-Oct-25"/>
    <x v="8"/>
    <n v="1250"/>
    <n v="589463"/>
    <s v="17-Dec-25"/>
    <n v="1250"/>
    <n v="1475"/>
    <n v="225"/>
    <n v="112930"/>
    <s v="17-Dec-25"/>
    <n v="0"/>
    <m/>
    <m/>
    <s v="T1BS6N"/>
    <s v="CVD"/>
    <s v="F"/>
  </r>
  <r>
    <n v="1162"/>
    <s v="NORTH"/>
    <s v="UTTAR PRADESH"/>
    <n v="7134"/>
    <s v="M/S GOENKA AUTO PRIVATE LIMITED."/>
    <s v="VARANASI"/>
    <s v="31-Dec-24"/>
    <s v="03-Sep-25"/>
    <n v="1165"/>
    <n v="30000"/>
    <n v="3"/>
    <s v="S"/>
    <s v="T1N"/>
    <n v="6191"/>
    <s v="MC1M4ALA9SP002903"/>
    <s v="D71066450"/>
    <m/>
    <m/>
    <x v="9"/>
    <s v="29-Oct-25"/>
    <x v="8"/>
    <n v="1650"/>
    <n v="589463"/>
    <s v="17-Dec-25"/>
    <n v="1650"/>
    <n v="1947"/>
    <n v="297"/>
    <n v="112930"/>
    <s v="17-Dec-25"/>
    <n v="0"/>
    <m/>
    <m/>
    <s v="URBN"/>
    <s v="CVD"/>
    <s v="F"/>
  </r>
  <r>
    <n v="1163"/>
    <s v="NORTH"/>
    <s v="UTTAR PRADESH"/>
    <n v="7134"/>
    <s v="M/S GOENKA AUTO PRIVATE LIMITED."/>
    <s v="VARANASI"/>
    <s v="07-Mar-25"/>
    <s v="15-Sep-25"/>
    <n v="826"/>
    <n v="33162"/>
    <n v="2"/>
    <s v="S"/>
    <s v="T-1"/>
    <n v="796523"/>
    <s v="MC1E4CAA7SP083659"/>
    <s v="D71069664"/>
    <s v="001"/>
    <s v="SERV KMS  / HRS EXCEEDS"/>
    <x v="9"/>
    <s v="29-Oct-25"/>
    <x v="8"/>
    <n v="1250"/>
    <n v="589463"/>
    <s v="17-Dec-25"/>
    <n v="1000"/>
    <n v="1475"/>
    <n v="225"/>
    <n v="112930"/>
    <s v="17-Dec-25"/>
    <n v="250"/>
    <m/>
    <m/>
    <s v="T1BS6N"/>
    <s v="CVD"/>
    <s v="F"/>
  </r>
  <r>
    <n v="1164"/>
    <s v="NORTH"/>
    <s v="UTTAR PRADESH"/>
    <n v="7134"/>
    <s v="M/S GOENKA AUTO PRIVATE LIMITED."/>
    <s v="VARANASI"/>
    <s v="17-Sep-24"/>
    <s v="03-Sep-25"/>
    <n v="1165"/>
    <n v="27927"/>
    <n v="4"/>
    <s v="S"/>
    <s v="T1N"/>
    <n v="5097"/>
    <s v="MC1M4AHAXSP002238"/>
    <s v="D71060908"/>
    <m/>
    <m/>
    <x v="9"/>
    <s v="29-Oct-25"/>
    <x v="8"/>
    <n v="0"/>
    <n v="589463"/>
    <s v="17-Dec-25"/>
    <n v="0"/>
    <n v="0"/>
    <n v="0"/>
    <n v="112930"/>
    <s v="17-Dec-25"/>
    <n v="0"/>
    <m/>
    <m/>
    <s v="URBN"/>
    <s v="CVD"/>
    <s v="P"/>
  </r>
  <r>
    <n v="1165"/>
    <s v="NORTH"/>
    <s v="UTTAR PRADESH"/>
    <n v="7134"/>
    <s v="M/S GOENKA AUTO PRIVATE LIMITED."/>
    <s v="VARANASI"/>
    <s v="24-Jan-24"/>
    <s v="19-Sep-25"/>
    <n v="1165"/>
    <n v="90000"/>
    <n v="10"/>
    <s v="S"/>
    <s v="T-1"/>
    <n v="761341"/>
    <s v="MC1E4EAA5RP011526"/>
    <s v="D71045349"/>
    <m/>
    <m/>
    <x v="9"/>
    <s v="29-Oct-25"/>
    <x v="8"/>
    <n v="0"/>
    <n v="589463"/>
    <s v="17-Dec-25"/>
    <n v="0"/>
    <n v="0"/>
    <n v="0"/>
    <n v="112930"/>
    <s v="17-Dec-25"/>
    <n v="0"/>
    <m/>
    <m/>
    <s v="T1BS6"/>
    <s v="CVD"/>
    <s v="P"/>
  </r>
  <r>
    <n v="1166"/>
    <s v="NORTH"/>
    <s v="UTTAR PRADESH"/>
    <n v="7134"/>
    <s v="M/S GOENKA AUTO PRIVATE LIMITED."/>
    <s v="VARANASI"/>
    <s v="31-May-25"/>
    <s v="07-Sep-25"/>
    <n v="1165"/>
    <n v="2236"/>
    <n v="1"/>
    <s v="S"/>
    <s v="T1N"/>
    <n v="7590"/>
    <s v="MC1M4AEA6SP004587"/>
    <s v="D71081160"/>
    <s v="002"/>
    <s v="SERV DATE EXCEEDS"/>
    <x v="9"/>
    <s v="29-Oct-25"/>
    <x v="8"/>
    <n v="1650"/>
    <n v="589463"/>
    <s v="17-Dec-25"/>
    <n v="1320"/>
    <n v="1947"/>
    <n v="297"/>
    <n v="112930"/>
    <s v="17-Dec-25"/>
    <n v="330"/>
    <m/>
    <m/>
    <s v="URBN"/>
    <s v="CVD"/>
    <s v="F"/>
  </r>
  <r>
    <n v="1167"/>
    <s v="NORTH"/>
    <s v="UTTAR PRADESH"/>
    <n v="7134"/>
    <s v="M/S GOENKA AUTO PRIVATE LIMITED."/>
    <s v="VARANASI"/>
    <s v="20-Aug-24"/>
    <s v="05-Sep-25"/>
    <n v="968"/>
    <n v="59072"/>
    <n v="6"/>
    <s v="S"/>
    <s v="T-1"/>
    <n v="775157"/>
    <s v="MC1E4DDA5RP052440"/>
    <s v="D71053480"/>
    <s v="002"/>
    <s v="SERV DATE EXCEEDS"/>
    <x v="9"/>
    <s v="29-Oct-25"/>
    <x v="8"/>
    <n v="0"/>
    <n v="589463"/>
    <s v="17-Dec-25"/>
    <n v="0"/>
    <n v="0"/>
    <n v="0"/>
    <n v="112930"/>
    <s v="17-Dec-25"/>
    <n v="0"/>
    <m/>
    <m/>
    <s v="T1BS6"/>
    <s v="CVD"/>
    <s v="P"/>
  </r>
  <r>
    <n v="1168"/>
    <s v="NORTH"/>
    <s v="UTTAR PRADESH"/>
    <n v="7134"/>
    <s v="M/S GOENKA AUTO PRIVATE LIMITED."/>
    <s v="VARANASI"/>
    <s v="26-Aug-24"/>
    <s v="27-Sep-25"/>
    <n v="1150"/>
    <n v="45510"/>
    <n v="7"/>
    <s v="S"/>
    <s v="T26"/>
    <n v="777300"/>
    <s v="MC1E4FGA7SP020943"/>
    <s v="D71058284"/>
    <m/>
    <m/>
    <x v="9"/>
    <s v="29-Oct-25"/>
    <x v="8"/>
    <n v="0"/>
    <n v="589463"/>
    <s v="17-Dec-25"/>
    <n v="0"/>
    <n v="0"/>
    <n v="0"/>
    <n v="112930"/>
    <s v="17-Dec-25"/>
    <n v="0"/>
    <m/>
    <m/>
    <s v="T26BS6"/>
    <s v="CVD"/>
    <s v="P"/>
  </r>
  <r>
    <n v="1169"/>
    <s v="NORTH"/>
    <s v="UTTAR PRADESH"/>
    <n v="7134"/>
    <s v="M/S GOENKA AUTO PRIVATE LIMITED."/>
    <s v="VARANASI"/>
    <s v="08-Jul-23"/>
    <s v="30-Sep-25"/>
    <n v="1165"/>
    <n v="45006"/>
    <n v="14"/>
    <s v="S"/>
    <s v="T-1"/>
    <n v="743974"/>
    <s v="MC1E4DCA0PP045006"/>
    <s v="D71028390"/>
    <m/>
    <m/>
    <x v="9"/>
    <s v="29-Oct-25"/>
    <x v="8"/>
    <n v="1250"/>
    <n v="589463"/>
    <s v="17-Dec-25"/>
    <n v="1250"/>
    <n v="1475"/>
    <n v="225"/>
    <n v="112930"/>
    <s v="17-Dec-25"/>
    <n v="0"/>
    <m/>
    <m/>
    <s v="T1BS6"/>
    <s v="CVD"/>
    <s v="F"/>
  </r>
  <r>
    <n v="1170"/>
    <s v="NORTH"/>
    <s v="UTTAR PRADESH"/>
    <n v="7134"/>
    <s v="M/S GOENKA AUTO PRIVATE LIMITED."/>
    <s v="VARANASI"/>
    <s v="30-Sep-24"/>
    <s v="29-Sep-25"/>
    <n v="1165"/>
    <n v="62000"/>
    <n v="6"/>
    <s v="S"/>
    <s v="T1N"/>
    <n v="5321"/>
    <s v="MC1M4AJA3SP002298"/>
    <s v="D71061487"/>
    <s v="001"/>
    <s v="SERV KMS  / HRS EXCEEDS"/>
    <x v="9"/>
    <s v="29-Oct-25"/>
    <x v="8"/>
    <n v="0"/>
    <n v="589463"/>
    <s v="17-Dec-25"/>
    <n v="0"/>
    <n v="0"/>
    <n v="0"/>
    <n v="112930"/>
    <s v="17-Dec-25"/>
    <n v="0"/>
    <m/>
    <m/>
    <s v="URBN"/>
    <s v="CVD"/>
    <s v="P"/>
  </r>
  <r>
    <n v="1171"/>
    <s v="NORTH"/>
    <s v="UTTAR PRADESH"/>
    <n v="7134"/>
    <s v="M/S GOENKA AUTO PRIVATE LIMITED."/>
    <s v="VARANASI"/>
    <s v="20-Oct-23"/>
    <s v="25-Sep-25"/>
    <n v="1165"/>
    <n v="140863"/>
    <n v="14"/>
    <s v="S"/>
    <s v="T-1"/>
    <n v="755374"/>
    <s v="MC1E4EKAXRP010712"/>
    <s v="D71040328"/>
    <m/>
    <m/>
    <x v="9"/>
    <s v="29-Oct-25"/>
    <x v="8"/>
    <n v="1250"/>
    <n v="589463"/>
    <s v="17-Dec-25"/>
    <n v="1250"/>
    <n v="1475"/>
    <n v="225"/>
    <n v="112930"/>
    <s v="17-Dec-25"/>
    <n v="0"/>
    <m/>
    <m/>
    <s v="T1BS6"/>
    <s v="CVD"/>
    <s v="F"/>
  </r>
  <r>
    <n v="1172"/>
    <s v="NORTH"/>
    <s v="UTTAR PRADESH"/>
    <n v="7134"/>
    <s v="M/S GOENKA AUTO PRIVATE LIMITED."/>
    <s v="VARANASI"/>
    <s v="24-Mar-25"/>
    <s v="23-Sep-25"/>
    <n v="859"/>
    <n v="32102"/>
    <n v="2"/>
    <s v="S"/>
    <s v="T-1"/>
    <n v="796581"/>
    <s v="MC1E4CAA1SP084273"/>
    <s v="D71070598"/>
    <s v="001"/>
    <s v="SERV KMS  / HRS EXCEEDS"/>
    <x v="9"/>
    <s v="29-Oct-25"/>
    <x v="8"/>
    <n v="1250"/>
    <n v="589463"/>
    <s v="17-Dec-25"/>
    <n v="1000"/>
    <n v="1475"/>
    <n v="225"/>
    <n v="112930"/>
    <s v="17-Dec-25"/>
    <n v="250"/>
    <m/>
    <m/>
    <s v="T1BS6N"/>
    <s v="CVD"/>
    <s v="F"/>
  </r>
  <r>
    <n v="1173"/>
    <s v="NORTH"/>
    <s v="UTTAR PRADESH"/>
    <n v="7134"/>
    <s v="M/S GOENKA AUTO PRIVATE LIMITED."/>
    <s v="VARANASI"/>
    <s v="22-Nov-23"/>
    <s v="24-Sep-25"/>
    <n v="1165"/>
    <n v="110655"/>
    <n v="11"/>
    <s v="S"/>
    <s v="TRAX"/>
    <n v="317851"/>
    <s v="MC1D4DGA8RP100617"/>
    <s v="D72011234"/>
    <m/>
    <m/>
    <x v="9"/>
    <s v="29-Oct-25"/>
    <x v="8"/>
    <n v="1250"/>
    <n v="589463"/>
    <s v="17-Dec-25"/>
    <n v="1250"/>
    <n v="1475"/>
    <n v="225"/>
    <n v="112930"/>
    <s v="17-Dec-25"/>
    <n v="0"/>
    <m/>
    <m/>
    <s v="TRXBS6"/>
    <s v="CVD"/>
    <s v="F"/>
  </r>
  <r>
    <n v="1174"/>
    <s v="NORTH"/>
    <s v="UTTAR PRADESH"/>
    <n v="7134"/>
    <s v="M/S GOENKA AUTO PRIVATE LIMITED."/>
    <s v="VARANASI"/>
    <s v="20-Feb-25"/>
    <s v="23-Sep-25"/>
    <n v="880"/>
    <n v="32201"/>
    <n v="2"/>
    <s v="S"/>
    <s v="T-1"/>
    <n v="796315"/>
    <s v="MC1E4CAA9SP083498"/>
    <s v="D71069177"/>
    <s v="001"/>
    <s v="SERV KMS  / HRS EXCEEDS"/>
    <x v="9"/>
    <s v="29-Oct-25"/>
    <x v="8"/>
    <n v="1250"/>
    <n v="589463"/>
    <s v="17-Dec-25"/>
    <n v="1000"/>
    <n v="1475"/>
    <n v="225"/>
    <n v="112930"/>
    <s v="17-Dec-25"/>
    <n v="250"/>
    <m/>
    <m/>
    <s v="T1BS6N"/>
    <s v="CVD"/>
    <s v="F"/>
  </r>
  <r>
    <n v="1175"/>
    <s v="NORTH"/>
    <s v="UTTAR PRADESH"/>
    <n v="7134"/>
    <s v="M/S GOENKA AUTO PRIVATE LIMITED."/>
    <s v="VARANASI"/>
    <s v="24-Mar-25"/>
    <s v="07-Sep-25"/>
    <n v="900"/>
    <n v="30360"/>
    <n v="2"/>
    <s v="S"/>
    <s v="T-1"/>
    <n v="796591"/>
    <s v="MC1E4CAA7SP084407"/>
    <s v="D71069823"/>
    <m/>
    <m/>
    <x v="9"/>
    <s v="29-Oct-25"/>
    <x v="8"/>
    <n v="1250"/>
    <n v="589463"/>
    <s v="17-Dec-25"/>
    <n v="1250"/>
    <n v="1475"/>
    <n v="225"/>
    <n v="112930"/>
    <s v="17-Dec-25"/>
    <n v="0"/>
    <m/>
    <m/>
    <s v="T1BS6N"/>
    <s v="CVD"/>
    <s v="F"/>
  </r>
  <r>
    <n v="1176"/>
    <s v="NORTH"/>
    <s v="UTTAR PRADESH"/>
    <n v="7134"/>
    <s v="M/S GOENKA AUTO PRIVATE LIMITED."/>
    <s v="VARANASI"/>
    <s v="30-Oct-24"/>
    <s v="08-Sep-25"/>
    <n v="1165"/>
    <n v="59800"/>
    <n v="6"/>
    <s v="S"/>
    <s v="T1N"/>
    <n v="5598"/>
    <s v="MC1M4AKAXSP002670"/>
    <s v="D71064697"/>
    <m/>
    <m/>
    <x v="9"/>
    <s v="29-Oct-25"/>
    <x v="8"/>
    <n v="0"/>
    <n v="589463"/>
    <s v="17-Dec-25"/>
    <n v="0"/>
    <n v="0"/>
    <n v="0"/>
    <n v="112930"/>
    <s v="17-Dec-25"/>
    <n v="0"/>
    <m/>
    <m/>
    <s v="URBN"/>
    <s v="CVD"/>
    <s v="P"/>
  </r>
  <r>
    <n v="1177"/>
    <s v="NORTH"/>
    <s v="UTTAR PRADESH"/>
    <n v="7134"/>
    <s v="M/S GOENKA AUTO PRIVATE LIMITED."/>
    <s v="VARANASI"/>
    <s v="26-Mar-25"/>
    <s v="26-Sep-25"/>
    <n v="871"/>
    <n v="26218"/>
    <n v="2"/>
    <s v="S"/>
    <s v="T-1"/>
    <n v="798842"/>
    <s v="MC1E4CBA9SP086044"/>
    <s v="D71073592"/>
    <m/>
    <m/>
    <x v="9"/>
    <s v="29-Oct-25"/>
    <x v="8"/>
    <n v="1250"/>
    <n v="589463"/>
    <s v="17-Dec-25"/>
    <n v="1250"/>
    <n v="1475"/>
    <n v="225"/>
    <n v="112930"/>
    <s v="17-Dec-25"/>
    <n v="0"/>
    <m/>
    <m/>
    <s v="T1BS6N"/>
    <s v="CVD"/>
    <s v="F"/>
  </r>
  <r>
    <n v="1178"/>
    <s v="NORTH"/>
    <s v="UTTAR PRADESH"/>
    <n v="7134"/>
    <s v="M/S GOENKA AUTO PRIVATE LIMITED."/>
    <s v="VARANASI"/>
    <s v="20-Jun-24"/>
    <s v="24-Sep-25"/>
    <n v="1165"/>
    <n v="50133"/>
    <n v="8"/>
    <s v="S"/>
    <s v="T-1"/>
    <n v="775577"/>
    <s v="MC1E4EDA2RP012872"/>
    <s v="D71053886"/>
    <m/>
    <m/>
    <x v="9"/>
    <s v="29-Oct-25"/>
    <x v="8"/>
    <n v="1250"/>
    <n v="589463"/>
    <s v="17-Dec-25"/>
    <n v="1250"/>
    <n v="1475"/>
    <n v="225"/>
    <n v="112930"/>
    <s v="17-Dec-25"/>
    <n v="0"/>
    <m/>
    <m/>
    <s v="T1BS6"/>
    <s v="CVD"/>
    <s v="F"/>
  </r>
  <r>
    <n v="1179"/>
    <s v="NORTH"/>
    <s v="UTTAR PRADESH"/>
    <n v="7134"/>
    <s v="M/S GOENKA AUTO PRIVATE LIMITED."/>
    <s v="VARANASI"/>
    <s v="23-Mar-25"/>
    <s v="14-Sep-25"/>
    <n v="867"/>
    <n v="31200"/>
    <n v="2"/>
    <s v="S"/>
    <s v="T-1"/>
    <n v="796077"/>
    <s v="MC1E4CAA8SP084044"/>
    <s v="D71070263"/>
    <s v="001"/>
    <s v="SERV KMS  / HRS EXCEEDS"/>
    <x v="9"/>
    <s v="29-Oct-25"/>
    <x v="8"/>
    <n v="1250"/>
    <n v="589463"/>
    <s v="17-Dec-25"/>
    <n v="1000"/>
    <n v="1475"/>
    <n v="225"/>
    <n v="112930"/>
    <s v="17-Dec-25"/>
    <n v="250"/>
    <m/>
    <m/>
    <s v="T1BS6N"/>
    <s v="CVD"/>
    <s v="F"/>
  </r>
  <r>
    <n v="1180"/>
    <s v="NORTH"/>
    <s v="UTTAR PRADESH"/>
    <n v="7134"/>
    <s v="M/S GOENKA AUTO PRIVATE LIMITED."/>
    <s v="VARANASI"/>
    <s v="15-Feb-24"/>
    <s v="25-Sep-25"/>
    <n v="1165"/>
    <n v="67479"/>
    <n v="7"/>
    <s v="S"/>
    <s v="T1N"/>
    <n v="3267"/>
    <s v="MC1M4ABA3RP000978"/>
    <s v="D71046706"/>
    <m/>
    <m/>
    <x v="9"/>
    <s v="29-Oct-25"/>
    <x v="8"/>
    <n v="1650"/>
    <n v="589463"/>
    <s v="17-Dec-25"/>
    <n v="1650"/>
    <n v="1947"/>
    <n v="297"/>
    <n v="112930"/>
    <s v="17-Dec-25"/>
    <n v="0"/>
    <m/>
    <m/>
    <s v="URBN"/>
    <s v="CVD"/>
    <s v="F"/>
  </r>
  <r>
    <n v="1181"/>
    <s v="NORTH"/>
    <s v="UTTAR PRADESH"/>
    <n v="7134"/>
    <s v="M/S GOENKA AUTO PRIVATE LIMITED."/>
    <s v="VARANASI"/>
    <s v="30-Jun-24"/>
    <s v="19-Sep-25"/>
    <n v="1165"/>
    <n v="41400"/>
    <n v="6"/>
    <s v="S"/>
    <s v="T1N"/>
    <n v="3911"/>
    <s v="MC1M4AEA4RP001648"/>
    <s v="D71055397"/>
    <m/>
    <m/>
    <x v="9"/>
    <s v="29-Oct-25"/>
    <x v="8"/>
    <n v="0"/>
    <n v="589463"/>
    <s v="17-Dec-25"/>
    <n v="0"/>
    <n v="0"/>
    <n v="0"/>
    <n v="112930"/>
    <s v="17-Dec-25"/>
    <n v="0"/>
    <m/>
    <m/>
    <s v="URBN"/>
    <s v="CVD"/>
    <s v="P"/>
  </r>
  <r>
    <n v="1182"/>
    <s v="NORTH"/>
    <s v="UTTAR PRADESH"/>
    <n v="7134"/>
    <s v="M/S GOENKA AUTO PRIVATE LIMITED."/>
    <s v="VARANASI"/>
    <s v="06-Nov-23"/>
    <s v="21-Sep-25"/>
    <n v="1165"/>
    <n v="78586"/>
    <n v="9"/>
    <s v="S"/>
    <s v="T1N"/>
    <n v="2146"/>
    <s v="MC1M4AKAXRP000671"/>
    <s v="D71041770"/>
    <m/>
    <m/>
    <x v="9"/>
    <s v="29-Oct-25"/>
    <x v="8"/>
    <n v="0"/>
    <n v="589463"/>
    <s v="17-Dec-25"/>
    <n v="0"/>
    <n v="0"/>
    <n v="0"/>
    <n v="112930"/>
    <s v="17-Dec-25"/>
    <n v="0"/>
    <m/>
    <m/>
    <s v="URBN"/>
    <s v="CVD"/>
    <s v="P"/>
  </r>
  <r>
    <n v="1183"/>
    <s v="NORTH"/>
    <s v="UTTAR PRADESH"/>
    <n v="7134"/>
    <s v="M/S GOENKA AUTO PRIVATE LIMITED."/>
    <s v="VARANASI"/>
    <s v="11-Jul-24"/>
    <s v="23-Sep-25"/>
    <n v="1165"/>
    <n v="90000"/>
    <n v="9"/>
    <s v="S"/>
    <s v="T-1"/>
    <n v="775228"/>
    <s v="MC1E4EFA3RP013090"/>
    <s v="D71055784"/>
    <m/>
    <m/>
    <x v="9"/>
    <s v="29-Oct-25"/>
    <x v="8"/>
    <n v="0"/>
    <n v="589463"/>
    <s v="17-Dec-25"/>
    <n v="0"/>
    <n v="0"/>
    <n v="0"/>
    <n v="112930"/>
    <s v="17-Dec-25"/>
    <n v="0"/>
    <m/>
    <m/>
    <s v="T1BS6"/>
    <s v="CVD"/>
    <s v="P"/>
  </r>
  <r>
    <n v="1184"/>
    <s v="NORTH"/>
    <s v="UTTAR PRADESH"/>
    <n v="7134"/>
    <s v="M/S GOENKA AUTO PRIVATE LIMITED."/>
    <s v="VARANASI"/>
    <s v="09-May-25"/>
    <s v="07-Sep-25"/>
    <n v="1165"/>
    <n v="6552"/>
    <n v="1"/>
    <s v="S"/>
    <s v="T-1"/>
    <n v="797572"/>
    <s v="MC1E4CCA9SP087029"/>
    <s v="D71076761"/>
    <m/>
    <m/>
    <x v="9"/>
    <s v="29-Oct-25"/>
    <x v="8"/>
    <n v="1250"/>
    <n v="589463"/>
    <s v="17-Dec-25"/>
    <n v="1250"/>
    <n v="1475"/>
    <n v="225"/>
    <n v="112930"/>
    <s v="17-Dec-25"/>
    <n v="0"/>
    <m/>
    <m/>
    <s v="T1BS6"/>
    <s v="CVD"/>
    <s v="F"/>
  </r>
  <r>
    <n v="1185"/>
    <s v="NORTH"/>
    <s v="UTTAR PRADESH"/>
    <n v="7134"/>
    <s v="M/S GOENKA AUTO PRIVATE LIMITED."/>
    <s v="VARANASI"/>
    <s v="26-Mar-25"/>
    <s v="07-Sep-25"/>
    <n v="851"/>
    <n v="29253"/>
    <n v="2"/>
    <s v="S"/>
    <s v="T-1"/>
    <n v="798565"/>
    <s v="MC1E4CBA8SP085354"/>
    <s v="D71072199"/>
    <m/>
    <m/>
    <x v="9"/>
    <s v="29-Oct-25"/>
    <x v="8"/>
    <n v="1250"/>
    <n v="589463"/>
    <s v="17-Dec-25"/>
    <n v="1250"/>
    <n v="1475"/>
    <n v="225"/>
    <n v="112930"/>
    <s v="17-Dec-25"/>
    <n v="0"/>
    <m/>
    <m/>
    <s v="T1BS6N"/>
    <s v="CVD"/>
    <s v="F"/>
  </r>
  <r>
    <n v="1186"/>
    <s v="NORTH"/>
    <s v="UTTAR PRADESH"/>
    <n v="7134"/>
    <s v="M/S GOENKA AUTO PRIVATE LIMITED."/>
    <s v="VARANASI"/>
    <s v="26-Oct-24"/>
    <s v="28-Sep-25"/>
    <n v="1165"/>
    <n v="50000"/>
    <n v="5"/>
    <s v="S"/>
    <s v="T-1"/>
    <n v="790286"/>
    <s v="MC1E4EJA9SP014242"/>
    <s v="D71063229"/>
    <s v="002, 022"/>
    <s v="SERV DATE EXCEEDS, SERVICE COUPON HARD COPY NOT RECEIVED"/>
    <x v="9"/>
    <s v="29-Oct-25"/>
    <x v="8"/>
    <n v="1250"/>
    <n v="589463"/>
    <s v="17-Dec-25"/>
    <n v="0"/>
    <n v="1475"/>
    <n v="225"/>
    <n v="112930"/>
    <s v="17-Dec-25"/>
    <n v="1250"/>
    <m/>
    <m/>
    <s v="T1BS6"/>
    <s v="CVD"/>
    <s v="F"/>
  </r>
  <r>
    <n v="1187"/>
    <s v="NORTH"/>
    <s v="UTTAR PRADESH"/>
    <n v="7134"/>
    <s v="M/S GOENKA AUTO PRIVATE LIMITED."/>
    <s v="VARANASI"/>
    <s v="30-Jun-25"/>
    <s v="08-Sep-25"/>
    <n v="1165"/>
    <n v="6500"/>
    <n v="1"/>
    <s v="S"/>
    <s v="T1N"/>
    <n v="8144"/>
    <s v="MC1M4AFAXSP004865"/>
    <s v="D71082718"/>
    <m/>
    <m/>
    <x v="9"/>
    <s v="29-Oct-25"/>
    <x v="8"/>
    <n v="1650"/>
    <n v="589463"/>
    <s v="17-Dec-25"/>
    <n v="1650"/>
    <n v="1947"/>
    <n v="297"/>
    <n v="112930"/>
    <s v="17-Dec-25"/>
    <n v="0"/>
    <m/>
    <m/>
    <s v="URBN"/>
    <s v="CVD"/>
    <s v="F"/>
  </r>
  <r>
    <n v="1188"/>
    <s v="NORTH"/>
    <s v="UTTAR PRADESH"/>
    <n v="7134"/>
    <s v="M/S GOENKA AUTO PRIVATE LIMITED."/>
    <s v="VARANASI"/>
    <s v="23-May-24"/>
    <s v="29-Sep-25"/>
    <n v="987"/>
    <n v="59916"/>
    <n v="7"/>
    <s v="S"/>
    <s v="T1N"/>
    <n v="3036"/>
    <s v="MC1M4ADA6RP001460"/>
    <s v="D71053484"/>
    <m/>
    <m/>
    <x v="9"/>
    <s v="29-Oct-25"/>
    <x v="8"/>
    <n v="1650"/>
    <n v="589463"/>
    <s v="17-Dec-25"/>
    <n v="1650"/>
    <n v="1947"/>
    <n v="297"/>
    <n v="112930"/>
    <s v="17-Dec-25"/>
    <n v="0"/>
    <m/>
    <m/>
    <s v="URBN"/>
    <s v="CVD"/>
    <s v="F"/>
  </r>
  <r>
    <n v="1189"/>
    <s v="NORTH"/>
    <s v="UTTAR PRADESH"/>
    <n v="7134"/>
    <s v="M/S GOENKA AUTO PRIVATE LIMITED."/>
    <s v="VARANASI"/>
    <s v="24-Mar-25"/>
    <s v="07-Sep-25"/>
    <n v="891"/>
    <n v="29545"/>
    <n v="2"/>
    <s v="S"/>
    <s v="T-1"/>
    <n v="798678"/>
    <s v="MC1E4CAA9SP084182"/>
    <s v="D71070493"/>
    <m/>
    <m/>
    <x v="9"/>
    <s v="29-Oct-25"/>
    <x v="8"/>
    <n v="1250"/>
    <n v="589463"/>
    <s v="17-Dec-25"/>
    <n v="1250"/>
    <n v="1475"/>
    <n v="225"/>
    <n v="112930"/>
    <s v="17-Dec-25"/>
    <n v="0"/>
    <m/>
    <m/>
    <s v="T1BS6N"/>
    <s v="CVD"/>
    <s v="F"/>
  </r>
  <r>
    <n v="1190"/>
    <s v="NORTH"/>
    <s v="UTTAR PRADESH"/>
    <n v="7134"/>
    <s v="M/S GOENKA AUTO PRIVATE LIMITED."/>
    <s v="VARANASI"/>
    <s v="31-Dec-24"/>
    <s v="16-Sep-25"/>
    <n v="1165"/>
    <n v="50000"/>
    <n v="5"/>
    <s v="S"/>
    <s v="T1N"/>
    <n v="5651"/>
    <s v="MC1M4ALA6SP002809"/>
    <s v="D71065837"/>
    <m/>
    <m/>
    <x v="9"/>
    <s v="29-Oct-25"/>
    <x v="8"/>
    <n v="1650"/>
    <n v="589463"/>
    <s v="17-Dec-25"/>
    <n v="1650"/>
    <n v="1947"/>
    <n v="297"/>
    <n v="112930"/>
    <s v="17-Dec-25"/>
    <n v="0"/>
    <m/>
    <m/>
    <s v="URBN"/>
    <s v="CVD"/>
    <s v="F"/>
  </r>
  <r>
    <n v="1191"/>
    <s v="NORTH"/>
    <s v="UTTAR PRADESH"/>
    <n v="7134"/>
    <s v="M/S GOENKA AUTO PRIVATE LIMITED."/>
    <s v="VARANASI"/>
    <s v="26-Mar-25"/>
    <s v="23-Sep-25"/>
    <n v="850"/>
    <n v="50120"/>
    <n v="3"/>
    <s v="S"/>
    <s v="T-1"/>
    <n v="795369"/>
    <s v="MC1E4CBA4SP085254"/>
    <s v="D71072177"/>
    <m/>
    <m/>
    <x v="9"/>
    <s v="29-Oct-25"/>
    <x v="8"/>
    <n v="1250"/>
    <n v="589463"/>
    <s v="17-Dec-25"/>
    <n v="1250"/>
    <n v="1475"/>
    <n v="225"/>
    <n v="112930"/>
    <s v="17-Dec-25"/>
    <n v="0"/>
    <m/>
    <m/>
    <s v="T1BS6N"/>
    <s v="CVD"/>
    <s v="F"/>
  </r>
  <r>
    <n v="1192"/>
    <s v="NORTH"/>
    <s v="UTTAR PRADESH"/>
    <n v="7134"/>
    <s v="M/S GOENKA AUTO PRIVATE LIMITED."/>
    <s v="VARANASI"/>
    <s v="24-Mar-25"/>
    <s v="14-Sep-25"/>
    <n v="874"/>
    <n v="33157"/>
    <n v="2"/>
    <s v="S"/>
    <s v="T-1"/>
    <n v="795680"/>
    <s v="MC1E4CBAXSP085503"/>
    <s v="D71072602"/>
    <s v="001"/>
    <s v="SERV KMS  / HRS EXCEEDS"/>
    <x v="9"/>
    <s v="29-Oct-25"/>
    <x v="8"/>
    <n v="1250"/>
    <n v="589463"/>
    <s v="17-Dec-25"/>
    <n v="1000"/>
    <n v="1475"/>
    <n v="225"/>
    <n v="112930"/>
    <s v="17-Dec-25"/>
    <n v="250"/>
    <m/>
    <m/>
    <s v="T1BS6N"/>
    <s v="CVD"/>
    <s v="F"/>
  </r>
  <r>
    <n v="1193"/>
    <s v="NORTH"/>
    <s v="UTTAR PRADESH"/>
    <n v="7134"/>
    <s v="M/S GOENKA AUTO PRIVATE LIMITED."/>
    <s v="VARANASI"/>
    <s v="13-Mar-25"/>
    <s v="08-Sep-25"/>
    <n v="1165"/>
    <n v="7061"/>
    <n v="3"/>
    <s v="S"/>
    <s v="T-1"/>
    <n v="785189"/>
    <s v="MC1E4EBA7SP015422"/>
    <s v="D71073642"/>
    <m/>
    <m/>
    <x v="9"/>
    <s v="29-Oct-25"/>
    <x v="8"/>
    <n v="1250"/>
    <n v="589463"/>
    <s v="17-Dec-25"/>
    <n v="1250"/>
    <n v="1475"/>
    <n v="225"/>
    <n v="112930"/>
    <s v="17-Dec-25"/>
    <n v="0"/>
    <m/>
    <m/>
    <s v="T1BS6"/>
    <s v="CVD"/>
    <s v="F"/>
  </r>
  <r>
    <n v="1194"/>
    <s v="NORTH"/>
    <s v="UTTAR PRADESH"/>
    <n v="7134"/>
    <s v="M/S GOENKA AUTO PRIVATE LIMITED."/>
    <s v="VARANASI"/>
    <s v="26-Apr-25"/>
    <s v="26-Sep-25"/>
    <n v="1150"/>
    <n v="9980"/>
    <n v="3"/>
    <s v="S"/>
    <s v="T-1"/>
    <n v="778389"/>
    <s v="MC1E5EDA0SP003347"/>
    <s v="D73001814"/>
    <m/>
    <m/>
    <x v="9"/>
    <s v="29-Oct-25"/>
    <x v="8"/>
    <n v="1250"/>
    <n v="589463"/>
    <s v="17-Dec-25"/>
    <n v="1250"/>
    <n v="1475"/>
    <n v="225"/>
    <n v="112930"/>
    <s v="17-Dec-25"/>
    <n v="0"/>
    <m/>
    <m/>
    <s v="T1CNGL"/>
    <s v="CVD"/>
    <s v="F"/>
  </r>
  <r>
    <n v="1195"/>
    <s v="NORTH"/>
    <s v="UTTAR PRADESH"/>
    <n v="7134"/>
    <s v="M/S GOENKA AUTO PRIVATE LIMITED."/>
    <s v="VARANASI"/>
    <s v="25-Oct-24"/>
    <s v="21-Sep-25"/>
    <n v="1165"/>
    <n v="70000"/>
    <n v="7"/>
    <s v="S"/>
    <s v="T-1"/>
    <n v="790285"/>
    <s v="MC1E4EJAXSP014167"/>
    <s v="D71062561"/>
    <m/>
    <m/>
    <x v="9"/>
    <s v="29-Oct-25"/>
    <x v="8"/>
    <n v="0"/>
    <n v="589463"/>
    <s v="17-Dec-25"/>
    <n v="0"/>
    <n v="0"/>
    <n v="0"/>
    <n v="112930"/>
    <s v="17-Dec-25"/>
    <n v="0"/>
    <m/>
    <m/>
    <s v="T1BS6"/>
    <s v="CVD"/>
    <s v="P"/>
  </r>
  <r>
    <n v="1196"/>
    <s v="NORTH"/>
    <s v="UTTAR PRADESH"/>
    <n v="7134"/>
    <s v="M/S GOENKA AUTO PRIVATE LIMITED."/>
    <s v="VARANASI"/>
    <s v="05-Jul-24"/>
    <s v="29-Sep-25"/>
    <n v="1165"/>
    <n v="60000"/>
    <n v="8"/>
    <s v="S"/>
    <s v="T-1"/>
    <n v="774598"/>
    <s v="MC1E4DFA9RP053121"/>
    <s v="D71056204"/>
    <m/>
    <m/>
    <x v="9"/>
    <s v="29-Oct-25"/>
    <x v="8"/>
    <n v="1250"/>
    <n v="589463"/>
    <s v="17-Dec-25"/>
    <n v="1250"/>
    <n v="1475"/>
    <n v="225"/>
    <n v="112930"/>
    <s v="17-Dec-25"/>
    <n v="0"/>
    <m/>
    <m/>
    <s v="T1BS6"/>
    <s v="CVD"/>
    <s v="F"/>
  </r>
  <r>
    <n v="1197"/>
    <s v="NORTH"/>
    <s v="UTTAR PRADESH"/>
    <n v="7134"/>
    <s v="M/S GOENKA AUTO PRIVATE LIMITED."/>
    <s v="VARANASI"/>
    <s v="10-Feb-25"/>
    <s v="03-Sep-25"/>
    <n v="1065"/>
    <n v="18800"/>
    <n v="3"/>
    <s v="S"/>
    <s v="TRAX"/>
    <n v="327119"/>
    <s v="MC1D4DMA2SP106617"/>
    <s v="D72018107"/>
    <s v="002"/>
    <s v="SERV DATE EXCEEDS"/>
    <x v="9"/>
    <s v="29-Oct-25"/>
    <x v="8"/>
    <n v="1250"/>
    <n v="589463"/>
    <s v="17-Dec-25"/>
    <n v="1000"/>
    <n v="1475"/>
    <n v="225"/>
    <n v="112930"/>
    <s v="17-Dec-25"/>
    <n v="250"/>
    <m/>
    <m/>
    <s v="TRXBS6"/>
    <s v="CVD"/>
    <s v="F"/>
  </r>
  <r>
    <n v="1198"/>
    <s v="NORTH"/>
    <s v="UTTAR PRADESH"/>
    <n v="7134"/>
    <s v="M/S GOENKA AUTO PRIVATE LIMITED."/>
    <s v="VARANASI"/>
    <s v="20-Jun-24"/>
    <s v="19-Sep-25"/>
    <n v="1165"/>
    <n v="50296"/>
    <n v="7"/>
    <s v="S"/>
    <s v="T-1"/>
    <n v="775502"/>
    <s v="MC1E4DEA9RP052715"/>
    <s v="D71054523"/>
    <s v="002"/>
    <s v="SERV DATE EXCEEDS"/>
    <x v="9"/>
    <s v="29-Oct-25"/>
    <x v="8"/>
    <n v="0"/>
    <n v="589463"/>
    <s v="17-Dec-25"/>
    <n v="0"/>
    <n v="0"/>
    <n v="0"/>
    <n v="112930"/>
    <s v="17-Dec-25"/>
    <n v="0"/>
    <m/>
    <m/>
    <s v="T1BS6"/>
    <s v="CVD"/>
    <s v="P"/>
  </r>
  <r>
    <n v="1199"/>
    <s v="NORTH"/>
    <s v="UTTAR PRADESH"/>
    <n v="7134"/>
    <s v="M/S GOENKA AUTO PRIVATE LIMITED."/>
    <s v="VARANASI"/>
    <s v="29-Mar-25"/>
    <s v="19-Sep-25"/>
    <n v="1150"/>
    <n v="13390"/>
    <n v="3"/>
    <s v="S"/>
    <s v="T-1"/>
    <n v="778220"/>
    <s v="MC1E5EBA1SP003277"/>
    <s v="D73001698"/>
    <m/>
    <m/>
    <x v="9"/>
    <s v="29-Oct-25"/>
    <x v="8"/>
    <n v="1250"/>
    <n v="589463"/>
    <s v="17-Dec-25"/>
    <n v="1250"/>
    <n v="1475"/>
    <n v="225"/>
    <n v="112930"/>
    <s v="17-Dec-25"/>
    <n v="0"/>
    <m/>
    <m/>
    <s v="T1CNGL"/>
    <s v="CVD"/>
    <s v="F"/>
  </r>
  <r>
    <n v="1200"/>
    <s v="NORTH"/>
    <s v="UTTAR PRADESH"/>
    <n v="7134"/>
    <s v="M/S GOENKA AUTO PRIVATE LIMITED."/>
    <s v="VARANASI"/>
    <s v="31-Dec-24"/>
    <s v="30-Sep-25"/>
    <n v="1150"/>
    <n v="41100"/>
    <n v="4"/>
    <s v="S"/>
    <s v="T1N"/>
    <n v="5709"/>
    <s v="MC1M4ALA5SP002834"/>
    <s v="D71066059"/>
    <m/>
    <m/>
    <x v="9"/>
    <s v="29-Oct-25"/>
    <x v="8"/>
    <n v="0"/>
    <n v="589463"/>
    <s v="17-Dec-25"/>
    <n v="0"/>
    <n v="0"/>
    <n v="0"/>
    <n v="112930"/>
    <s v="17-Dec-25"/>
    <n v="0"/>
    <m/>
    <m/>
    <s v="URBN"/>
    <s v="CVD"/>
    <s v="P"/>
  </r>
  <r>
    <n v="1201"/>
    <s v="NORTH"/>
    <s v="UTTAR PRADESH"/>
    <n v="7134"/>
    <s v="M/S GOENKA AUTO PRIVATE LIMITED."/>
    <s v="VARANASI"/>
    <s v="27-Feb-24"/>
    <s v="21-Sep-25"/>
    <n v="1165"/>
    <n v="88110"/>
    <n v="9"/>
    <s v="S"/>
    <s v="T1N"/>
    <n v="3046"/>
    <s v="MC1M4ABA6RP001056"/>
    <s v="D71048004"/>
    <m/>
    <m/>
    <x v="9"/>
    <s v="29-Oct-25"/>
    <x v="8"/>
    <n v="0"/>
    <n v="589463"/>
    <s v="17-Dec-25"/>
    <n v="0"/>
    <n v="0"/>
    <n v="0"/>
    <n v="112930"/>
    <s v="17-Dec-25"/>
    <n v="0"/>
    <m/>
    <m/>
    <s v="URBN"/>
    <s v="CVD"/>
    <s v="P"/>
  </r>
  <r>
    <n v="1202"/>
    <s v="NORTH"/>
    <s v="UTTAR PRADESH"/>
    <n v="7134"/>
    <s v="M/S GOENKA AUTO PRIVATE LIMITED."/>
    <s v="VARANASI"/>
    <s v="27-Mar-25"/>
    <s v="04-Sep-25"/>
    <n v="904"/>
    <n v="31160"/>
    <n v="2"/>
    <s v="S"/>
    <s v="T-1"/>
    <n v="795397"/>
    <s v="MC1E4CBA5SP085344"/>
    <s v="D71072197"/>
    <s v="001"/>
    <s v="SERV KMS  / HRS EXCEEDS"/>
    <x v="9"/>
    <s v="29-Oct-25"/>
    <x v="8"/>
    <n v="1250"/>
    <n v="589463"/>
    <s v="17-Dec-25"/>
    <n v="1000"/>
    <n v="1475"/>
    <n v="225"/>
    <n v="112930"/>
    <s v="17-Dec-25"/>
    <n v="250"/>
    <m/>
    <m/>
    <s v="T1BS6N"/>
    <s v="CVD"/>
    <s v="F"/>
  </r>
  <r>
    <n v="1203"/>
    <s v="NORTH"/>
    <s v="UTTAR PRADESH"/>
    <n v="7134"/>
    <s v="M/S GOENKA AUTO PRIVATE LIMITED."/>
    <s v="VARANASI"/>
    <s v="23-Jan-25"/>
    <s v="07-Sep-25"/>
    <n v="1165"/>
    <n v="28027"/>
    <n v="4"/>
    <s v="S"/>
    <s v="T26"/>
    <n v="789007"/>
    <s v="MC1E4FAA3SP022178"/>
    <s v="D71068604"/>
    <m/>
    <m/>
    <x v="9"/>
    <s v="29-Oct-25"/>
    <x v="8"/>
    <n v="0"/>
    <n v="589463"/>
    <s v="17-Dec-25"/>
    <n v="0"/>
    <n v="0"/>
    <n v="0"/>
    <n v="112930"/>
    <s v="17-Dec-25"/>
    <n v="0"/>
    <m/>
    <m/>
    <s v="T26BS6"/>
    <s v="CVD"/>
    <s v="P"/>
  </r>
  <r>
    <n v="1204"/>
    <s v="NORTH"/>
    <s v="UTTAR PRADESH"/>
    <n v="7134"/>
    <s v="M/S GOENKA AUTO PRIVATE LIMITED."/>
    <s v="VARANASI"/>
    <s v="17-Jan-25"/>
    <s v="29-Sep-25"/>
    <n v="1165"/>
    <n v="31904"/>
    <n v="4"/>
    <s v="S"/>
    <s v="T26"/>
    <n v="789053"/>
    <s v="MC1E4FAAXSP022095"/>
    <s v="D71067661"/>
    <m/>
    <m/>
    <x v="9"/>
    <s v="29-Oct-25"/>
    <x v="8"/>
    <n v="0"/>
    <n v="589463"/>
    <s v="17-Dec-25"/>
    <n v="0"/>
    <n v="0"/>
    <n v="0"/>
    <n v="112930"/>
    <s v="17-Dec-25"/>
    <n v="0"/>
    <m/>
    <m/>
    <s v="T26BS6"/>
    <s v="CVD"/>
    <s v="P"/>
  </r>
  <r>
    <n v="1205"/>
    <s v="NORTH"/>
    <s v="UTTAR PRADESH"/>
    <n v="7134"/>
    <s v="M/S GOENKA AUTO PRIVATE LIMITED."/>
    <s v="VARANASI"/>
    <s v="23-Mar-25"/>
    <s v="14-Sep-25"/>
    <n v="879"/>
    <n v="29990"/>
    <n v="2"/>
    <s v="S"/>
    <s v="T-1"/>
    <n v="796020"/>
    <s v="MC1E4CAA7SP084102"/>
    <s v="D71070175"/>
    <m/>
    <m/>
    <x v="9"/>
    <s v="29-Oct-25"/>
    <x v="8"/>
    <n v="1250"/>
    <n v="589463"/>
    <s v="17-Dec-25"/>
    <n v="1250"/>
    <n v="1475"/>
    <n v="225"/>
    <n v="112930"/>
    <s v="17-Dec-25"/>
    <n v="0"/>
    <m/>
    <m/>
    <s v="T1BS6N"/>
    <s v="CVD"/>
    <s v="F"/>
  </r>
  <r>
    <n v="1206"/>
    <s v="NORTH"/>
    <s v="UTTAR PRADESH"/>
    <n v="7134"/>
    <s v="M/S GOENKA AUTO PRIVATE LIMITED."/>
    <s v="VARANASI"/>
    <s v="22-Oct-24"/>
    <s v="08-Sep-25"/>
    <n v="978"/>
    <n v="25714"/>
    <n v="5"/>
    <s v="S"/>
    <s v="T1N"/>
    <n v="5247"/>
    <s v="MC1M4BDA7RP000596"/>
    <s v="D71052415"/>
    <m/>
    <m/>
    <x v="9"/>
    <s v="29-Oct-25"/>
    <x v="8"/>
    <n v="1650"/>
    <n v="589463"/>
    <s v="17-Dec-25"/>
    <n v="1650"/>
    <n v="1947"/>
    <n v="297"/>
    <n v="112930"/>
    <s v="17-Dec-25"/>
    <n v="0"/>
    <m/>
    <m/>
    <s v="URBN"/>
    <s v="CVD"/>
    <s v="F"/>
  </r>
  <r>
    <n v="1207"/>
    <s v="NORTH"/>
    <s v="UTTAR PRADESH"/>
    <n v="7134"/>
    <s v="M/S GOENKA AUTO PRIVATE LIMITED."/>
    <s v="VARANASI"/>
    <s v="19-May-25"/>
    <s v="26-Sep-25"/>
    <n v="1150"/>
    <n v="12250"/>
    <n v="3"/>
    <s v="S"/>
    <s v="T-1"/>
    <n v="778180"/>
    <s v="MC1E5EDA3SP003357"/>
    <s v="D73001815"/>
    <m/>
    <m/>
    <x v="9"/>
    <s v="29-Oct-25"/>
    <x v="8"/>
    <n v="1250"/>
    <n v="589463"/>
    <s v="17-Dec-25"/>
    <n v="1250"/>
    <n v="1475"/>
    <n v="225"/>
    <n v="112930"/>
    <s v="17-Dec-25"/>
    <n v="0"/>
    <m/>
    <m/>
    <s v="T1CNGL"/>
    <s v="CVD"/>
    <s v="F"/>
  </r>
  <r>
    <n v="1208"/>
    <s v="NORTH"/>
    <s v="UTTAR PRADESH"/>
    <n v="7134"/>
    <s v="M/S GOENKA AUTO PRIVATE LIMITED."/>
    <s v="VARANASI"/>
    <s v="30-Apr-24"/>
    <s v="10-Sep-25"/>
    <n v="1165"/>
    <n v="60000"/>
    <n v="6"/>
    <s v="S"/>
    <s v="T1N"/>
    <n v="3248"/>
    <s v="MC1M4ADA3RP001383"/>
    <s v="D71052257"/>
    <m/>
    <m/>
    <x v="9"/>
    <s v="29-Oct-25"/>
    <x v="8"/>
    <n v="0"/>
    <n v="589463"/>
    <s v="17-Dec-25"/>
    <n v="0"/>
    <n v="0"/>
    <n v="0"/>
    <n v="112930"/>
    <s v="17-Dec-25"/>
    <n v="0"/>
    <m/>
    <m/>
    <s v="URBN"/>
    <s v="CVD"/>
    <s v="P"/>
  </r>
  <r>
    <n v="1209"/>
    <s v="NORTH"/>
    <s v="UTTAR PRADESH"/>
    <n v="7134"/>
    <s v="M/S GOENKA AUTO PRIVATE LIMITED."/>
    <s v="VARANASI"/>
    <s v="08-Mar-25"/>
    <s v="05-Sep-25"/>
    <n v="874"/>
    <n v="31773"/>
    <n v="2"/>
    <s v="S"/>
    <s v="T-1"/>
    <n v="796009"/>
    <s v="MC1E4CAAXSP083980"/>
    <s v="D71070150"/>
    <s v="001"/>
    <s v="SERV KMS  / HRS EXCEEDS"/>
    <x v="9"/>
    <s v="29-Oct-25"/>
    <x v="8"/>
    <n v="1250"/>
    <n v="589463"/>
    <s v="17-Dec-25"/>
    <n v="1000"/>
    <n v="1475"/>
    <n v="225"/>
    <n v="112930"/>
    <s v="17-Dec-25"/>
    <n v="250"/>
    <m/>
    <m/>
    <s v="T1BS6N"/>
    <s v="CVD"/>
    <s v="F"/>
  </r>
  <r>
    <n v="1210"/>
    <s v="NORTH"/>
    <s v="UTTAR PRADESH"/>
    <n v="7134"/>
    <s v="M/S GOENKA AUTO PRIVATE LIMITED."/>
    <s v="VARANASI"/>
    <s v="25-Mar-25"/>
    <s v="03-Sep-25"/>
    <n v="872"/>
    <n v="30147"/>
    <n v="2"/>
    <s v="S"/>
    <s v="T-1"/>
    <n v="798610"/>
    <s v="MC1E4CAAXSP084045"/>
    <s v="D71070266"/>
    <m/>
    <m/>
    <x v="9"/>
    <s v="29-Oct-25"/>
    <x v="8"/>
    <n v="1250"/>
    <n v="589463"/>
    <s v="17-Dec-25"/>
    <n v="1250"/>
    <n v="1475"/>
    <n v="225"/>
    <n v="112930"/>
    <s v="17-Dec-25"/>
    <n v="0"/>
    <m/>
    <m/>
    <s v="T1BS6N"/>
    <s v="CVD"/>
    <s v="F"/>
  </r>
  <r>
    <n v="1211"/>
    <s v="NORTH"/>
    <s v="UTTAR PRADESH"/>
    <n v="7134"/>
    <s v="M/S GOENKA AUTO PRIVATE LIMITED."/>
    <s v="VARANASI"/>
    <s v="13-Jun-24"/>
    <s v="24-Sep-25"/>
    <n v="910"/>
    <n v="49519"/>
    <n v="7"/>
    <s v="S"/>
    <s v="T-1"/>
    <n v="775649"/>
    <s v="MC1E4EEA0RP013016"/>
    <s v="D71055025"/>
    <s v="002"/>
    <s v="SERV DATE EXCEEDS"/>
    <x v="9"/>
    <s v="29-Oct-25"/>
    <x v="8"/>
    <n v="0"/>
    <n v="589463"/>
    <s v="17-Dec-25"/>
    <n v="0"/>
    <n v="0"/>
    <n v="0"/>
    <n v="112930"/>
    <s v="17-Dec-25"/>
    <n v="0"/>
    <m/>
    <m/>
    <s v="T1BS6"/>
    <s v="CVD"/>
    <s v="P"/>
  </r>
  <r>
    <n v="1212"/>
    <s v="NORTH"/>
    <s v="UTTAR PRADESH"/>
    <n v="7134"/>
    <s v="M/S GOENKA AUTO PRIVATE LIMITED."/>
    <s v="VARANASI"/>
    <s v="23-Mar-25"/>
    <s v="08-Sep-25"/>
    <n v="883"/>
    <n v="30000"/>
    <n v="2"/>
    <s v="S"/>
    <s v="T-1"/>
    <n v="796008"/>
    <s v="MC1E4CAA9SP083985"/>
    <s v="D71070090"/>
    <m/>
    <m/>
    <x v="9"/>
    <s v="29-Oct-25"/>
    <x v="8"/>
    <n v="1250"/>
    <n v="589463"/>
    <s v="17-Dec-25"/>
    <n v="1250"/>
    <n v="1475"/>
    <n v="225"/>
    <n v="112930"/>
    <s v="17-Dec-25"/>
    <n v="0"/>
    <m/>
    <m/>
    <s v="T1BS6N"/>
    <s v="CVD"/>
    <s v="F"/>
  </r>
  <r>
    <n v="1213"/>
    <s v="NORTH"/>
    <s v="UTTAR PRADESH"/>
    <n v="7134"/>
    <s v="M/S GOENKA AUTO PRIVATE LIMITED."/>
    <s v="VARANASI"/>
    <s v="30-Mar-25"/>
    <s v="24-Sep-25"/>
    <n v="1165"/>
    <n v="16200"/>
    <n v="2"/>
    <s v="S"/>
    <s v="T26"/>
    <n v="789023"/>
    <s v="MC1E4FCA2SP023089"/>
    <s v="D71076495"/>
    <s v="002, 022"/>
    <s v="SERV DATE EXCEEDS, SERVICE COUPON HARD COPY NOT RECEIVED"/>
    <x v="9"/>
    <s v="29-Oct-25"/>
    <x v="8"/>
    <n v="0"/>
    <n v="589463"/>
    <s v="17-Dec-25"/>
    <n v="0"/>
    <n v="0"/>
    <n v="0"/>
    <n v="112930"/>
    <s v="17-Dec-25"/>
    <n v="0"/>
    <m/>
    <m/>
    <s v="T26BS6"/>
    <s v="CVD"/>
    <s v="P"/>
  </r>
  <r>
    <n v="1214"/>
    <s v="NORTH"/>
    <s v="UTTAR PRADESH"/>
    <n v="7134"/>
    <s v="M/S GOENKA AUTO PRIVATE LIMITED."/>
    <s v="VARANASI"/>
    <s v="08-Aug-24"/>
    <s v="26-Sep-25"/>
    <n v="1165"/>
    <n v="40050"/>
    <n v="7"/>
    <s v="S"/>
    <s v="T-1"/>
    <n v="785384"/>
    <s v="MC1E4EFA1RP013377"/>
    <s v="D71057656"/>
    <m/>
    <m/>
    <x v="9"/>
    <s v="29-Oct-25"/>
    <x v="8"/>
    <n v="0"/>
    <n v="589463"/>
    <s v="17-Dec-25"/>
    <n v="0"/>
    <n v="0"/>
    <n v="0"/>
    <n v="112930"/>
    <s v="17-Dec-25"/>
    <n v="0"/>
    <m/>
    <m/>
    <s v="T1BS6"/>
    <s v="CVD"/>
    <s v="P"/>
  </r>
  <r>
    <n v="1215"/>
    <s v="NORTH"/>
    <s v="UTTAR PRADESH"/>
    <n v="7134"/>
    <s v="M/S GOENKA AUTO PRIVATE LIMITED."/>
    <s v="VARANASI"/>
    <s v="18-Jan-25"/>
    <s v="29-Sep-25"/>
    <n v="1150"/>
    <n v="53000"/>
    <n v="5"/>
    <s v="S"/>
    <s v="T1N"/>
    <n v="5869"/>
    <s v="MC1M4ALAXSP002831"/>
    <s v="D71065996"/>
    <s v="001"/>
    <s v="SERV KMS  / HRS EXCEEDS"/>
    <x v="9"/>
    <s v="29-Oct-25"/>
    <x v="8"/>
    <n v="1650"/>
    <n v="589463"/>
    <s v="17-Dec-25"/>
    <n v="1320"/>
    <n v="1947"/>
    <n v="297"/>
    <n v="112930"/>
    <s v="17-Dec-25"/>
    <n v="330"/>
    <m/>
    <m/>
    <s v="URBN"/>
    <s v="CVD"/>
    <s v="F"/>
  </r>
  <r>
    <n v="1216"/>
    <s v="NORTH"/>
    <s v="UTTAR PRADESH"/>
    <n v="7134"/>
    <s v="M/S GOENKA AUTO PRIVATE LIMITED."/>
    <s v="VARANASI"/>
    <s v="16-Oct-24"/>
    <s v="02-Sep-25"/>
    <n v="1165"/>
    <n v="76205"/>
    <n v="8"/>
    <s v="S"/>
    <s v="TRAX"/>
    <n v="324809"/>
    <s v="MC1D4DHA2SP105462"/>
    <s v="D72016887"/>
    <m/>
    <m/>
    <x v="9"/>
    <s v="29-Oct-25"/>
    <x v="8"/>
    <n v="1250"/>
    <n v="589463"/>
    <s v="17-Dec-25"/>
    <n v="1250"/>
    <n v="1475"/>
    <n v="225"/>
    <n v="112930"/>
    <s v="17-Dec-25"/>
    <n v="0"/>
    <m/>
    <m/>
    <s v="TRXBS6"/>
    <s v="CVD"/>
    <s v="F"/>
  </r>
  <r>
    <n v="1217"/>
    <s v="NORTH"/>
    <s v="UTTAR PRADESH"/>
    <n v="7134"/>
    <s v="M/S GOENKA AUTO PRIVATE LIMITED."/>
    <s v="VARANASI"/>
    <s v="27-Jul-24"/>
    <s v="19-Sep-25"/>
    <n v="1165"/>
    <n v="61575"/>
    <n v="7"/>
    <s v="S"/>
    <s v="T-1"/>
    <n v="774650"/>
    <s v="MC1E4EFA2RP013193"/>
    <s v="D71056618"/>
    <m/>
    <m/>
    <x v="9"/>
    <s v="29-Oct-25"/>
    <x v="8"/>
    <n v="0"/>
    <n v="589463"/>
    <s v="17-Dec-25"/>
    <n v="0"/>
    <n v="0"/>
    <n v="0"/>
    <n v="112930"/>
    <s v="17-Dec-25"/>
    <n v="0"/>
    <m/>
    <m/>
    <s v="T1BS6"/>
    <s v="CVD"/>
    <s v="P"/>
  </r>
  <r>
    <n v="1218"/>
    <s v="NORTH"/>
    <s v="UTTAR PRADESH"/>
    <n v="7134"/>
    <s v="M/S GOENKA AUTO PRIVATE LIMITED."/>
    <s v="VARANASI"/>
    <s v="24-Aug-24"/>
    <s v="08-Sep-25"/>
    <n v="1165"/>
    <n v="100000"/>
    <n v="10"/>
    <s v="S"/>
    <s v="TRAX"/>
    <n v="322564"/>
    <s v="MC1D4DHA2SP105199"/>
    <s v="D72016528"/>
    <m/>
    <m/>
    <x v="9"/>
    <s v="29-Oct-25"/>
    <x v="8"/>
    <n v="0"/>
    <n v="589463"/>
    <s v="17-Dec-25"/>
    <n v="0"/>
    <n v="0"/>
    <n v="0"/>
    <n v="112930"/>
    <s v="17-Dec-25"/>
    <n v="0"/>
    <m/>
    <m/>
    <s v="TRXBS6"/>
    <s v="CVD"/>
    <s v="P"/>
  </r>
  <r>
    <n v="1219"/>
    <s v="NORTH"/>
    <s v="UTTAR PRADESH"/>
    <n v="7134"/>
    <s v="M/S GOENKA AUTO PRIVATE LIMITED."/>
    <s v="VARANASI"/>
    <s v="31-Aug-24"/>
    <s v="19-Sep-25"/>
    <n v="1165"/>
    <n v="45922"/>
    <n v="5"/>
    <s v="S"/>
    <s v="T1N"/>
    <n v="4930"/>
    <s v="MC1M4AGA4SP002057"/>
    <s v="D71058793"/>
    <m/>
    <m/>
    <x v="9"/>
    <s v="29-Oct-25"/>
    <x v="8"/>
    <n v="1650"/>
    <n v="589463"/>
    <s v="17-Dec-25"/>
    <n v="1650"/>
    <n v="1947"/>
    <n v="297"/>
    <n v="112930"/>
    <s v="17-Dec-25"/>
    <n v="0"/>
    <m/>
    <m/>
    <s v="URBN"/>
    <s v="CVD"/>
    <s v="F"/>
  </r>
  <r>
    <n v="1220"/>
    <s v="NORTH"/>
    <s v="UTTAR PRADESH"/>
    <n v="7134"/>
    <s v="M/S GOENKA AUTO PRIVATE LIMITED."/>
    <s v="VARANASI"/>
    <s v="30-Mar-25"/>
    <s v="30-Sep-25"/>
    <n v="1165"/>
    <n v="8467"/>
    <n v="3"/>
    <s v="S"/>
    <s v="TRAX"/>
    <n v="327606"/>
    <s v="MC1D4DBA3SP107505"/>
    <s v="D72019127"/>
    <m/>
    <m/>
    <x v="9"/>
    <s v="29-Oct-25"/>
    <x v="8"/>
    <n v="1250"/>
    <n v="589463"/>
    <s v="17-Dec-25"/>
    <n v="1250"/>
    <n v="1475"/>
    <n v="225"/>
    <n v="112930"/>
    <s v="17-Dec-25"/>
    <n v="0"/>
    <m/>
    <m/>
    <s v="TRXBS6"/>
    <s v="CVD"/>
    <s v="F"/>
  </r>
  <r>
    <n v="1221"/>
    <s v="NORTH"/>
    <s v="UTTAR PRADESH"/>
    <n v="7134"/>
    <s v="M/S GOENKA AUTO PRIVATE LIMITED."/>
    <s v="VARANASI"/>
    <s v="08-Mar-25"/>
    <s v="30-Sep-25"/>
    <n v="1165"/>
    <n v="7767"/>
    <n v="3"/>
    <s v="S"/>
    <s v="TRAX"/>
    <n v="327879"/>
    <s v="MC1D4DAA2SP107111"/>
    <s v="D72018740"/>
    <s v="002"/>
    <s v="SERV DATE EXCEEDS"/>
    <x v="9"/>
    <s v="29-Oct-25"/>
    <x v="8"/>
    <n v="1250"/>
    <n v="589463"/>
    <s v="17-Dec-25"/>
    <n v="1000"/>
    <n v="1475"/>
    <n v="225"/>
    <n v="112930"/>
    <s v="17-Dec-25"/>
    <n v="250"/>
    <m/>
    <m/>
    <s v="TRXBS6"/>
    <s v="CVD"/>
    <s v="F"/>
  </r>
  <r>
    <n v="1222"/>
    <s v="NORTH"/>
    <s v="UTTAR PRADESH"/>
    <n v="7134"/>
    <s v="M/S GOENKA AUTO PRIVATE LIMITED."/>
    <s v="VARANASI"/>
    <s v="24-Mar-25"/>
    <s v="11-Sep-25"/>
    <n v="883"/>
    <n v="31974"/>
    <n v="2"/>
    <s v="S"/>
    <s v="T-1"/>
    <n v="796176"/>
    <s v="MC1E4CAAXSP083543"/>
    <s v="D71069411"/>
    <s v="001"/>
    <s v="SERV KMS  / HRS EXCEEDS"/>
    <x v="9"/>
    <s v="29-Oct-25"/>
    <x v="8"/>
    <n v="1250"/>
    <n v="589463"/>
    <s v="17-Dec-25"/>
    <n v="1000"/>
    <n v="1475"/>
    <n v="225"/>
    <n v="112930"/>
    <s v="17-Dec-25"/>
    <n v="250"/>
    <m/>
    <m/>
    <s v="T1BS6N"/>
    <s v="CVD"/>
    <s v="F"/>
  </r>
  <r>
    <n v="1223"/>
    <s v="NORTH"/>
    <s v="UTTAR PRADESH"/>
    <n v="7134"/>
    <s v="M/S GOENKA AUTO PRIVATE LIMITED."/>
    <s v="VARANASI"/>
    <s v="30-Mar-25"/>
    <s v="28-Aug-25"/>
    <n v="1165"/>
    <n v="3473"/>
    <n v="1"/>
    <s v="S"/>
    <s v="T-1"/>
    <n v="796637"/>
    <s v="MC1E4DCA4SP056163"/>
    <s v="D71074480"/>
    <s v="002"/>
    <s v="SERV DATE EXCEEDS"/>
    <x v="9"/>
    <s v="29-Oct-25"/>
    <x v="8"/>
    <n v="1250"/>
    <n v="589463"/>
    <s v="17-Dec-25"/>
    <n v="1000"/>
    <n v="1475"/>
    <n v="225"/>
    <n v="112930"/>
    <s v="17-Dec-25"/>
    <n v="250"/>
    <m/>
    <m/>
    <s v="T1BS6N"/>
    <s v="CVD"/>
    <s v="F"/>
  </r>
  <r>
    <n v="1224"/>
    <s v="NORTH"/>
    <s v="UTTAR PRADESH"/>
    <n v="7134"/>
    <s v="M/S GOENKA AUTO PRIVATE LIMITED."/>
    <s v="VARANASI"/>
    <s v="26-Aug-24"/>
    <s v="02-Sep-25"/>
    <n v="1165"/>
    <n v="45316"/>
    <n v="6"/>
    <s v="S"/>
    <s v="T-1"/>
    <n v="786068"/>
    <s v="MC1E4EHA3SP013657"/>
    <s v="D71059698"/>
    <m/>
    <m/>
    <x v="9"/>
    <s v="29-Oct-25"/>
    <x v="8"/>
    <n v="0"/>
    <n v="589463"/>
    <s v="17-Dec-25"/>
    <n v="0"/>
    <n v="0"/>
    <n v="0"/>
    <n v="112930"/>
    <s v="17-Dec-25"/>
    <n v="0"/>
    <m/>
    <m/>
    <s v="T1BS6"/>
    <s v="CVD"/>
    <s v="P"/>
  </r>
  <r>
    <n v="1225"/>
    <s v="NORTH"/>
    <s v="UTTAR PRADESH"/>
    <n v="7134"/>
    <s v="M/S GOENKA AUTO PRIVATE LIMITED."/>
    <s v="VARANASI"/>
    <s v="31-Mar-25"/>
    <s v="19-Sep-25"/>
    <n v="1150"/>
    <n v="8523"/>
    <n v="3"/>
    <s v="S"/>
    <s v="T-1"/>
    <n v="778127"/>
    <s v="MC1E5ECA0SP003317"/>
    <s v="D73001777"/>
    <m/>
    <m/>
    <x v="9"/>
    <s v="29-Oct-25"/>
    <x v="8"/>
    <n v="1250"/>
    <n v="589463"/>
    <s v="17-Dec-25"/>
    <n v="1250"/>
    <n v="1475"/>
    <n v="225"/>
    <n v="112930"/>
    <s v="17-Dec-25"/>
    <n v="0"/>
    <m/>
    <m/>
    <s v="T1CNGL"/>
    <s v="CVD"/>
    <s v="F"/>
  </r>
  <r>
    <n v="1226"/>
    <s v="NORTH"/>
    <s v="UTTAR PRADESH"/>
    <n v="7134"/>
    <s v="M/S GOENKA AUTO PRIVATE LIMITED."/>
    <s v="VARANASI"/>
    <s v="25-Nov-24"/>
    <s v="03-Sep-25"/>
    <n v="1165"/>
    <n v="29100"/>
    <n v="4"/>
    <s v="S"/>
    <s v="T1N"/>
    <n v="4899"/>
    <s v="MC1M4AKAXSP002572"/>
    <s v="D71063955"/>
    <m/>
    <m/>
    <x v="9"/>
    <s v="29-Oct-25"/>
    <x v="8"/>
    <n v="0"/>
    <n v="589463"/>
    <s v="17-Dec-25"/>
    <n v="0"/>
    <n v="0"/>
    <n v="0"/>
    <n v="112930"/>
    <s v="17-Dec-25"/>
    <n v="0"/>
    <m/>
    <m/>
    <s v="URBN"/>
    <s v="CVD"/>
    <s v="P"/>
  </r>
  <r>
    <n v="1227"/>
    <s v="NORTH"/>
    <s v="UTTAR PRADESH"/>
    <n v="7134"/>
    <s v="M/S GOENKA AUTO PRIVATE LIMITED."/>
    <s v="VARANASI"/>
    <s v="28-Apr-25"/>
    <s v="12-Sep-25"/>
    <n v="907"/>
    <n v="31154"/>
    <n v="2"/>
    <s v="S"/>
    <s v="T-1"/>
    <n v="798339"/>
    <s v="MC1E4CBA6SP085739"/>
    <s v="D71073050"/>
    <s v="001"/>
    <s v="SERV KMS  / HRS EXCEEDS"/>
    <x v="9"/>
    <s v="29-Oct-25"/>
    <x v="8"/>
    <n v="1250"/>
    <n v="589463"/>
    <s v="17-Dec-25"/>
    <n v="1000"/>
    <n v="1475"/>
    <n v="225"/>
    <n v="112930"/>
    <s v="17-Dec-25"/>
    <n v="250"/>
    <m/>
    <m/>
    <s v="T1BS6N"/>
    <s v="CVD"/>
    <s v="F"/>
  </r>
  <r>
    <n v="1228"/>
    <s v="NORTH"/>
    <s v="UTTAR PRADESH"/>
    <n v="7134"/>
    <s v="M/S GOENKA AUTO PRIVATE LIMITED."/>
    <s v="VARANASI"/>
    <s v="25-Mar-25"/>
    <s v="07-Sep-25"/>
    <n v="899"/>
    <n v="30941"/>
    <n v="2"/>
    <s v="S"/>
    <s v="T-1"/>
    <n v="795524"/>
    <s v="MC1E4CBA6SP085580"/>
    <s v="D71072678"/>
    <s v="001"/>
    <s v="SERV KMS  / HRS EXCEEDS"/>
    <x v="9"/>
    <s v="29-Oct-25"/>
    <x v="8"/>
    <n v="1250"/>
    <n v="589463"/>
    <s v="17-Dec-25"/>
    <n v="1000"/>
    <n v="1475"/>
    <n v="225"/>
    <n v="112930"/>
    <s v="17-Dec-25"/>
    <n v="250"/>
    <m/>
    <m/>
    <s v="T1BS6N"/>
    <s v="CVD"/>
    <s v="F"/>
  </r>
  <r>
    <n v="1229"/>
    <s v="NORTH"/>
    <s v="UTTAR PRADESH"/>
    <n v="7134"/>
    <s v="M/S GOENKA AUTO PRIVATE LIMITED."/>
    <s v="VARANASI"/>
    <s v="12-Jul-24"/>
    <s v="09-Sep-25"/>
    <n v="1165"/>
    <n v="70000"/>
    <n v="7"/>
    <s v="S"/>
    <s v="T-1"/>
    <n v="774647"/>
    <s v="MC1E4EFA5RP013219"/>
    <s v="D71056637"/>
    <m/>
    <m/>
    <x v="9"/>
    <s v="29-Oct-25"/>
    <x v="8"/>
    <n v="0"/>
    <n v="589463"/>
    <s v="17-Dec-25"/>
    <n v="0"/>
    <n v="0"/>
    <n v="0"/>
    <n v="112930"/>
    <s v="17-Dec-25"/>
    <n v="0"/>
    <m/>
    <m/>
    <s v="T1BS6"/>
    <s v="CVD"/>
    <s v="P"/>
  </r>
  <r>
    <n v="1230"/>
    <s v="NORTH"/>
    <s v="UTTAR PRADESH"/>
    <n v="7134"/>
    <s v="M/S GOENKA AUTO PRIVATE LIMITED."/>
    <s v="VARANASI"/>
    <s v="26-Mar-25"/>
    <s v="29-Sep-25"/>
    <n v="920"/>
    <n v="48618"/>
    <n v="3"/>
    <s v="S"/>
    <s v="T-1"/>
    <n v="797967"/>
    <s v="MC1E4CBA7SP086057"/>
    <s v="D71073648"/>
    <m/>
    <m/>
    <x v="9"/>
    <s v="29-Oct-25"/>
    <x v="8"/>
    <n v="1250"/>
    <n v="589463"/>
    <s v="17-Dec-25"/>
    <n v="1250"/>
    <n v="1475"/>
    <n v="225"/>
    <n v="112930"/>
    <s v="17-Dec-25"/>
    <n v="0"/>
    <m/>
    <m/>
    <s v="T1BS6N"/>
    <s v="CVD"/>
    <s v="F"/>
  </r>
  <r>
    <n v="1231"/>
    <s v="NORTH"/>
    <s v="UTTAR PRADESH"/>
    <n v="7134"/>
    <s v="M/S GOENKA AUTO PRIVATE LIMITED."/>
    <s v="VARANASI"/>
    <s v="30-Sep-24"/>
    <s v="28-Sep-25"/>
    <n v="1165"/>
    <n v="1864"/>
    <n v="3"/>
    <s v="S"/>
    <s v="T-1"/>
    <n v="781803"/>
    <s v="MC1E5DFA5RP000543"/>
    <s v="D73001391"/>
    <s v="002"/>
    <s v="SERV DATE EXCEEDS"/>
    <x v="9"/>
    <s v="29-Oct-25"/>
    <x v="8"/>
    <n v="1250"/>
    <n v="589463"/>
    <s v="17-Dec-25"/>
    <n v="1000"/>
    <n v="1475"/>
    <n v="225"/>
    <n v="112930"/>
    <s v="17-Dec-25"/>
    <n v="250"/>
    <m/>
    <m/>
    <s v="T1CNGL"/>
    <s v="CVD"/>
    <s v="F"/>
  </r>
  <r>
    <n v="1232"/>
    <s v="NORTH"/>
    <s v="UTTAR PRADESH"/>
    <n v="7134"/>
    <s v="M/S GOENKA AUTO PRIVATE LIMITED."/>
    <s v="VARANASI"/>
    <s v="10-Jul-24"/>
    <s v="29-Sep-25"/>
    <n v="1165"/>
    <n v="96552"/>
    <n v="10"/>
    <s v="S"/>
    <s v="T-1"/>
    <n v="775225"/>
    <s v="MC1E4EFA6RP013102"/>
    <s v="D71055772"/>
    <m/>
    <m/>
    <x v="9"/>
    <s v="29-Oct-25"/>
    <x v="8"/>
    <n v="0"/>
    <n v="589463"/>
    <s v="17-Dec-25"/>
    <n v="0"/>
    <n v="0"/>
    <n v="0"/>
    <n v="112930"/>
    <s v="17-Dec-25"/>
    <n v="0"/>
    <m/>
    <m/>
    <s v="T1BS6"/>
    <s v="CVD"/>
    <s v="P"/>
  </r>
  <r>
    <n v="1233"/>
    <s v="NORTH"/>
    <s v="UTTAR PRADESH"/>
    <n v="7134"/>
    <s v="M/S GOENKA AUTO PRIVATE LIMITED."/>
    <s v="VARANASI"/>
    <s v="17-Apr-25"/>
    <s v="08-Sep-25"/>
    <n v="1165"/>
    <n v="19920"/>
    <n v="2"/>
    <s v="S"/>
    <s v="T26"/>
    <n v="794423"/>
    <s v="MC1E4FCA0SP023169"/>
    <s v="D71076683"/>
    <s v="002"/>
    <s v="SERV DATE EXCEEDS"/>
    <x v="9"/>
    <s v="29-Oct-25"/>
    <x v="8"/>
    <n v="0"/>
    <n v="589463"/>
    <s v="17-Dec-25"/>
    <n v="0"/>
    <n v="0"/>
    <n v="0"/>
    <n v="112930"/>
    <s v="17-Dec-25"/>
    <n v="0"/>
    <m/>
    <m/>
    <s v="T26BS6"/>
    <s v="CVD"/>
    <s v="P"/>
  </r>
  <r>
    <n v="1234"/>
    <s v="NORTH"/>
    <s v="UTTAR PRADESH"/>
    <n v="7134"/>
    <s v="M/S GOENKA AUTO PRIVATE LIMITED."/>
    <s v="VARANASI"/>
    <s v="07-Aug-25"/>
    <s v="07-Sep-25"/>
    <n v="1165"/>
    <n v="3900"/>
    <n v="1"/>
    <s v="S"/>
    <s v="TRAX"/>
    <n v="328556"/>
    <s v="MC1D4DDA6SP108709"/>
    <s v="D72020395"/>
    <m/>
    <m/>
    <x v="9"/>
    <s v="29-Oct-25"/>
    <x v="8"/>
    <n v="1250"/>
    <n v="589463"/>
    <s v="17-Dec-25"/>
    <n v="1250"/>
    <n v="1475"/>
    <n v="225"/>
    <n v="112930"/>
    <s v="17-Dec-25"/>
    <n v="0"/>
    <m/>
    <m/>
    <s v="TRXBS6"/>
    <s v="CVD"/>
    <s v="F"/>
  </r>
  <r>
    <n v="1235"/>
    <s v="NORTH"/>
    <s v="UTTAR PRADESH"/>
    <n v="7134"/>
    <s v="M/S GOENKA AUTO PRIVATE LIMITED."/>
    <s v="VARANASI"/>
    <s v="28-May-24"/>
    <s v="04-Sep-25"/>
    <n v="1165"/>
    <n v="90000"/>
    <n v="9"/>
    <s v="S"/>
    <s v="T26"/>
    <n v="776289"/>
    <s v="MC1E4FEA4RP020394"/>
    <s v="D71054669"/>
    <m/>
    <m/>
    <x v="9"/>
    <s v="29-Oct-25"/>
    <x v="8"/>
    <n v="0"/>
    <n v="589463"/>
    <s v="17-Dec-25"/>
    <n v="0"/>
    <n v="0"/>
    <n v="0"/>
    <n v="112930"/>
    <s v="17-Dec-25"/>
    <n v="0"/>
    <m/>
    <m/>
    <s v="T26BS6"/>
    <s v="CVD"/>
    <s v="P"/>
  </r>
  <r>
    <n v="1236"/>
    <s v="NORTH"/>
    <s v="UTTAR PRADESH"/>
    <n v="7134"/>
    <s v="M/S GOENKA AUTO PRIVATE LIMITED."/>
    <s v="VARANASI"/>
    <s v="18-Oct-24"/>
    <s v="04-Sep-25"/>
    <n v="1165"/>
    <n v="23289"/>
    <n v="5"/>
    <s v="S"/>
    <s v="T1N"/>
    <n v="4910"/>
    <s v="MC1M4AKA9SP002546"/>
    <s v="D71063692"/>
    <m/>
    <m/>
    <x v="9"/>
    <s v="29-Oct-25"/>
    <x v="8"/>
    <n v="1650"/>
    <n v="589463"/>
    <s v="17-Dec-25"/>
    <n v="1650"/>
    <n v="1947"/>
    <n v="297"/>
    <n v="112930"/>
    <s v="17-Dec-25"/>
    <n v="0"/>
    <m/>
    <m/>
    <s v="URBN"/>
    <s v="CVD"/>
    <s v="F"/>
  </r>
  <r>
    <n v="1237"/>
    <s v="NORTH"/>
    <s v="UTTAR PRADESH"/>
    <n v="7134"/>
    <s v="M/S GOENKA AUTO PRIVATE LIMITED."/>
    <s v="VARANASI"/>
    <s v="29-Mar-25"/>
    <s v="29-Sep-25"/>
    <n v="1165"/>
    <n v="29300"/>
    <n v="3"/>
    <s v="S"/>
    <s v="TRAX"/>
    <n v="327424"/>
    <s v="MC1D4DCA3SP107776"/>
    <s v="D72019387"/>
    <m/>
    <m/>
    <x v="9"/>
    <s v="29-Oct-25"/>
    <x v="8"/>
    <n v="1250"/>
    <n v="589463"/>
    <s v="17-Dec-25"/>
    <n v="1250"/>
    <n v="1475"/>
    <n v="225"/>
    <n v="112930"/>
    <s v="17-Dec-25"/>
    <n v="0"/>
    <m/>
    <m/>
    <s v="TRXBS6"/>
    <s v="CVD"/>
    <s v="F"/>
  </r>
  <r>
    <n v="1238"/>
    <s v="NORTH"/>
    <s v="UTTAR PRADESH"/>
    <n v="7134"/>
    <s v="M/S GOENKA AUTO PRIVATE LIMITED."/>
    <s v="VARANASI"/>
    <s v="22-Mar-25"/>
    <s v="23-Sep-25"/>
    <n v="1165"/>
    <n v="30000"/>
    <n v="3"/>
    <s v="S"/>
    <s v="T26"/>
    <n v="789361"/>
    <s v="MC1E4FCA3SP023022"/>
    <s v="D71075605"/>
    <m/>
    <m/>
    <x v="9"/>
    <s v="29-Oct-25"/>
    <x v="8"/>
    <n v="1250"/>
    <n v="589463"/>
    <s v="17-Dec-25"/>
    <n v="1250"/>
    <n v="1475"/>
    <n v="225"/>
    <n v="112930"/>
    <s v="17-Dec-25"/>
    <n v="0"/>
    <m/>
    <m/>
    <s v="T26BS6"/>
    <s v="CVD"/>
    <s v="F"/>
  </r>
  <r>
    <n v="1239"/>
    <s v="NORTH"/>
    <s v="UTTAR PRADESH"/>
    <n v="7134"/>
    <s v="M/S GOENKA AUTO PRIVATE LIMITED."/>
    <s v="VARANASI"/>
    <s v="24-Apr-25"/>
    <s v="26-Sep-25"/>
    <n v="1150"/>
    <n v="14886"/>
    <n v="3"/>
    <s v="S"/>
    <s v="T-1"/>
    <n v="778136"/>
    <s v="MC1E5EBA9SP003267"/>
    <s v="D73001779"/>
    <m/>
    <m/>
    <x v="9"/>
    <s v="29-Oct-25"/>
    <x v="8"/>
    <n v="1250"/>
    <n v="589463"/>
    <s v="17-Dec-25"/>
    <n v="1250"/>
    <n v="1475"/>
    <n v="225"/>
    <n v="112930"/>
    <s v="17-Dec-25"/>
    <n v="0"/>
    <m/>
    <m/>
    <s v="T1CNGL"/>
    <s v="CVD"/>
    <s v="F"/>
  </r>
  <r>
    <n v="1240"/>
    <s v="NORTH"/>
    <s v="UTTAR PRADESH"/>
    <n v="7134"/>
    <s v="M/S GOENKA AUTO PRIVATE LIMITED."/>
    <s v="VARANASI"/>
    <s v="07-Jan-25"/>
    <s v="27-Sep-25"/>
    <n v="1165"/>
    <n v="29500"/>
    <n v="4"/>
    <s v="S"/>
    <s v="T-1"/>
    <n v="792777"/>
    <s v="MC1E4DKA3SP054924"/>
    <s v="D71064189"/>
    <s v="002, 022"/>
    <s v="SERV DATE EXCEEDS, SERVICE COUPON HARD COPY NOT RECEIVED"/>
    <x v="9"/>
    <s v="29-Oct-25"/>
    <x v="8"/>
    <n v="0"/>
    <n v="589463"/>
    <s v="17-Dec-25"/>
    <n v="0"/>
    <n v="0"/>
    <n v="0"/>
    <n v="112930"/>
    <s v="17-Dec-25"/>
    <n v="0"/>
    <m/>
    <m/>
    <s v="T1BS6"/>
    <s v="CVD"/>
    <s v="P"/>
  </r>
  <r>
    <n v="1241"/>
    <s v="NORTH"/>
    <s v="UTTAR PRADESH"/>
    <n v="7134"/>
    <s v="M/S GOENKA AUTO PRIVATE LIMITED."/>
    <s v="VARANASI"/>
    <s v="29-Jun-24"/>
    <s v="03-Sep-25"/>
    <n v="1165"/>
    <n v="48299"/>
    <n v="5"/>
    <s v="S"/>
    <s v="T1N"/>
    <n v="3912"/>
    <s v="MC1M4AEAXRP001668"/>
    <s v="D71055604"/>
    <m/>
    <m/>
    <x v="9"/>
    <s v="29-Oct-25"/>
    <x v="8"/>
    <n v="1650"/>
    <n v="589463"/>
    <s v="17-Dec-25"/>
    <n v="1650"/>
    <n v="1947"/>
    <n v="297"/>
    <n v="112930"/>
    <s v="17-Dec-25"/>
    <n v="0"/>
    <m/>
    <m/>
    <s v="URBN"/>
    <s v="CVD"/>
    <s v="F"/>
  </r>
  <r>
    <n v="1242"/>
    <s v="NORTH"/>
    <s v="UTTAR PRADESH"/>
    <n v="7134"/>
    <s v="M/S GOENKA AUTO PRIVATE LIMITED."/>
    <s v="VARANASI"/>
    <s v="31-Dec-23"/>
    <s v="07-Sep-25"/>
    <n v="1165"/>
    <n v="64399"/>
    <n v="7"/>
    <s v="S"/>
    <s v="T1N"/>
    <n v="1810"/>
    <s v="MC1M4AHA1RP000534"/>
    <s v="D71037781"/>
    <m/>
    <m/>
    <x v="9"/>
    <s v="29-Oct-25"/>
    <x v="8"/>
    <n v="1650"/>
    <n v="589463"/>
    <s v="17-Dec-25"/>
    <n v="1650"/>
    <n v="1947"/>
    <n v="297"/>
    <n v="112930"/>
    <s v="17-Dec-25"/>
    <n v="0"/>
    <m/>
    <m/>
    <s v="URBN"/>
    <s v="CVD"/>
    <s v="F"/>
  </r>
  <r>
    <n v="1243"/>
    <s v="NORTH"/>
    <s v="UTTAR PRADESH"/>
    <n v="7134"/>
    <s v="M/S GOENKA AUTO PRIVATE LIMITED."/>
    <s v="VARANASI"/>
    <s v="26-Mar-25"/>
    <s v="30-Sep-25"/>
    <n v="902"/>
    <n v="50000"/>
    <n v="3"/>
    <s v="S"/>
    <s v="T-1"/>
    <n v="798566"/>
    <s v="MC1E4CBA9SP085346"/>
    <s v="D71072193"/>
    <m/>
    <m/>
    <x v="9"/>
    <s v="29-Oct-25"/>
    <x v="8"/>
    <n v="1250"/>
    <n v="589463"/>
    <s v="17-Dec-25"/>
    <n v="1250"/>
    <n v="1475"/>
    <n v="225"/>
    <n v="112930"/>
    <s v="17-Dec-25"/>
    <n v="0"/>
    <m/>
    <m/>
    <s v="T1BS6N"/>
    <s v="CVD"/>
    <s v="F"/>
  </r>
  <r>
    <n v="1244"/>
    <s v="NORTH"/>
    <s v="UTTAR PRADESH"/>
    <n v="7134"/>
    <s v="M/S GOENKA AUTO PRIVATE LIMITED."/>
    <s v="VARANASI"/>
    <s v="26-Mar-25"/>
    <s v="30-Sep-25"/>
    <n v="1165"/>
    <n v="5417"/>
    <n v="3"/>
    <s v="S"/>
    <s v="T-1"/>
    <n v="796920"/>
    <s v="MC1E4DAA2SP055953"/>
    <s v="D71072071"/>
    <m/>
    <m/>
    <x v="9"/>
    <s v="29-Oct-25"/>
    <x v="8"/>
    <n v="1250"/>
    <n v="589463"/>
    <s v="17-Dec-25"/>
    <n v="1250"/>
    <n v="1475"/>
    <n v="225"/>
    <n v="112930"/>
    <s v="17-Dec-25"/>
    <n v="0"/>
    <m/>
    <m/>
    <s v="T1BS6N"/>
    <s v="CVD"/>
    <s v="F"/>
  </r>
  <r>
    <n v="1245"/>
    <s v="NORTH"/>
    <s v="UTTAR PRADESH"/>
    <n v="7134"/>
    <s v="M/S GOENKA AUTO PRIVATE LIMITED."/>
    <s v="VARANASI"/>
    <s v="24-Apr-24"/>
    <s v="27-Oct-25"/>
    <n v="1165"/>
    <n v="110000"/>
    <n v="11"/>
    <s v="S"/>
    <s v="TRAX"/>
    <n v="322476"/>
    <s v="MC1D4DBA6RP103555"/>
    <s v="D72014275"/>
    <m/>
    <m/>
    <x v="10"/>
    <s v="28-Nov-25"/>
    <x v="9"/>
    <n v="1250"/>
    <n v="590053"/>
    <s v="16-Feb-26"/>
    <n v="1250"/>
    <n v="1475"/>
    <n v="225"/>
    <n v="113520"/>
    <s v="16-Feb-26"/>
    <n v="0"/>
    <m/>
    <m/>
    <s v="TRXBS6"/>
    <s v="CVD"/>
    <s v="F"/>
  </r>
  <r>
    <n v="1246"/>
    <s v="NORTH"/>
    <s v="UTTAR PRADESH"/>
    <n v="7134"/>
    <s v="M/S GOENKA AUTO PRIVATE LIMITED."/>
    <s v="VARANASI"/>
    <s v="28-Sep-24"/>
    <s v="03-Oct-25"/>
    <n v="1165"/>
    <n v="70000"/>
    <n v="7"/>
    <s v="S"/>
    <s v="T-1"/>
    <n v="787042"/>
    <s v="MC1E4EHA9SP013842"/>
    <s v="D71060493"/>
    <m/>
    <m/>
    <x v="10"/>
    <s v="28-Nov-25"/>
    <x v="9"/>
    <n v="0"/>
    <n v="590053"/>
    <s v="16-Feb-26"/>
    <n v="0"/>
    <n v="0"/>
    <n v="0"/>
    <n v="113520"/>
    <s v="16-Feb-26"/>
    <n v="0"/>
    <m/>
    <m/>
    <s v="T1BS6"/>
    <s v="CVD"/>
    <s v="P"/>
  </r>
  <r>
    <n v="1247"/>
    <s v="NORTH"/>
    <s v="UTTAR PRADESH"/>
    <n v="7134"/>
    <s v="M/S GOENKA AUTO PRIVATE LIMITED."/>
    <s v="VARANASI"/>
    <s v="28-Feb-25"/>
    <s v="16-Oct-25"/>
    <n v="1165"/>
    <n v="15394"/>
    <n v="3"/>
    <s v="S"/>
    <s v="T1N"/>
    <n v="6195"/>
    <s v="MC1M4AKAXSP002586"/>
    <s v="D71064043"/>
    <m/>
    <m/>
    <x v="10"/>
    <s v="28-Nov-25"/>
    <x v="9"/>
    <n v="1650"/>
    <n v="590053"/>
    <s v="16-Feb-26"/>
    <n v="1650"/>
    <n v="1947"/>
    <n v="297"/>
    <n v="113520"/>
    <s v="16-Feb-26"/>
    <n v="0"/>
    <m/>
    <m/>
    <s v="URBN"/>
    <s v="CVD"/>
    <s v="F"/>
  </r>
  <r>
    <n v="1248"/>
    <s v="NORTH"/>
    <s v="UTTAR PRADESH"/>
    <n v="7134"/>
    <s v="M/S GOENKA AUTO PRIVATE LIMITED."/>
    <s v="VARANASI"/>
    <s v="29-Mar-25"/>
    <s v="31-Oct-25"/>
    <n v="1150"/>
    <n v="17706"/>
    <n v="4"/>
    <s v="S"/>
    <s v="T-1"/>
    <n v="778219"/>
    <s v="MC1E5EBA8SP003275"/>
    <s v="D73001696"/>
    <m/>
    <m/>
    <x v="10"/>
    <s v="28-Nov-25"/>
    <x v="9"/>
    <n v="0"/>
    <n v="590053"/>
    <s v="16-Feb-26"/>
    <n v="0"/>
    <n v="0"/>
    <n v="0"/>
    <n v="113520"/>
    <s v="16-Feb-26"/>
    <n v="0"/>
    <m/>
    <m/>
    <s v="T1CNGL"/>
    <s v="CVD"/>
    <s v="P"/>
  </r>
  <r>
    <n v="1249"/>
    <s v="NORTH"/>
    <s v="UTTAR PRADESH"/>
    <n v="7134"/>
    <s v="M/S GOENKA AUTO PRIVATE LIMITED."/>
    <s v="VARANASI"/>
    <s v="18-Feb-25"/>
    <s v="23-Oct-25"/>
    <n v="1165"/>
    <n v="36649"/>
    <n v="4"/>
    <s v="S"/>
    <s v="T1N"/>
    <n v="6116"/>
    <s v="MC1M4ALA3SP002959"/>
    <s v="D71066712"/>
    <m/>
    <m/>
    <x v="10"/>
    <s v="28-Nov-25"/>
    <x v="9"/>
    <n v="0"/>
    <n v="590053"/>
    <s v="16-Feb-26"/>
    <n v="0"/>
    <n v="0"/>
    <n v="0"/>
    <n v="113520"/>
    <s v="16-Feb-26"/>
    <n v="0"/>
    <m/>
    <m/>
    <s v="URBN"/>
    <s v="CVD"/>
    <s v="P"/>
  </r>
  <r>
    <n v="1250"/>
    <s v="NORTH"/>
    <s v="UTTAR PRADESH"/>
    <n v="7134"/>
    <s v="M/S GOENKA AUTO PRIVATE LIMITED."/>
    <s v="VARANASI"/>
    <s v="18-Nov-24"/>
    <s v="05-Oct-25"/>
    <n v="1165"/>
    <n v="50000"/>
    <n v="5"/>
    <s v="S"/>
    <s v="T26"/>
    <n v="789619"/>
    <s v="MC1E4FJA2SP021586"/>
    <s v="D71062197"/>
    <s v="002"/>
    <s v="SERV DATE EXCEEDS"/>
    <x v="10"/>
    <s v="28-Nov-25"/>
    <x v="9"/>
    <n v="1250"/>
    <n v="590053"/>
    <s v="16-Feb-26"/>
    <n v="1000"/>
    <n v="1475"/>
    <n v="225"/>
    <n v="113520"/>
    <s v="16-Feb-26"/>
    <n v="250"/>
    <m/>
    <m/>
    <s v="T26BS6"/>
    <s v="CVD"/>
    <s v="F"/>
  </r>
  <r>
    <n v="1251"/>
    <s v="NORTH"/>
    <s v="UTTAR PRADESH"/>
    <n v="7134"/>
    <s v="M/S GOENKA AUTO PRIVATE LIMITED."/>
    <s v="VARANASI"/>
    <s v="17-Aug-24"/>
    <s v="01-Oct-25"/>
    <n v="1165"/>
    <n v="49126"/>
    <n v="7"/>
    <s v="S"/>
    <s v="T-1"/>
    <n v="785110"/>
    <s v="MC1E4EGAXSP013446"/>
    <s v="D71058090"/>
    <m/>
    <m/>
    <x v="10"/>
    <s v="28-Nov-25"/>
    <x v="9"/>
    <n v="0"/>
    <n v="590053"/>
    <s v="16-Feb-26"/>
    <n v="0"/>
    <n v="0"/>
    <n v="0"/>
    <n v="113520"/>
    <s v="16-Feb-26"/>
    <n v="0"/>
    <m/>
    <m/>
    <s v="T1BS6"/>
    <s v="CVD"/>
    <s v="P"/>
  </r>
  <r>
    <n v="1252"/>
    <s v="NORTH"/>
    <s v="UTTAR PRADESH"/>
    <n v="7134"/>
    <s v="M/S GOENKA AUTO PRIVATE LIMITED."/>
    <s v="VARANASI"/>
    <s v="30-May-24"/>
    <s v="05-Oct-25"/>
    <n v="1165"/>
    <n v="120000"/>
    <n v="12"/>
    <s v="S"/>
    <s v="TRAX"/>
    <n v="321779"/>
    <s v="MC1D4DBA9RP103565"/>
    <s v="D72014281"/>
    <m/>
    <m/>
    <x v="10"/>
    <s v="28-Nov-25"/>
    <x v="9"/>
    <n v="0"/>
    <n v="590053"/>
    <s v="16-Feb-26"/>
    <n v="0"/>
    <n v="0"/>
    <n v="0"/>
    <n v="113520"/>
    <s v="16-Feb-26"/>
    <n v="0"/>
    <m/>
    <m/>
    <s v="TRXBS6"/>
    <s v="CVD"/>
    <s v="P"/>
  </r>
  <r>
    <n v="1253"/>
    <s v="NORTH"/>
    <s v="UTTAR PRADESH"/>
    <n v="7134"/>
    <s v="M/S GOENKA AUTO PRIVATE LIMITED."/>
    <s v="VARANASI"/>
    <s v="20-Jul-24"/>
    <s v="16-Oct-25"/>
    <n v="1165"/>
    <n v="70000"/>
    <n v="7"/>
    <s v="S"/>
    <s v="T1N"/>
    <n v="3564"/>
    <s v="MC1M4AFA5RP001723"/>
    <s v="D71056049"/>
    <m/>
    <m/>
    <x v="10"/>
    <s v="28-Nov-25"/>
    <x v="9"/>
    <n v="1650"/>
    <n v="590053"/>
    <s v="16-Feb-26"/>
    <n v="1650"/>
    <n v="1947"/>
    <n v="297"/>
    <n v="113520"/>
    <s v="16-Feb-26"/>
    <n v="0"/>
    <m/>
    <m/>
    <s v="URBN"/>
    <s v="CVD"/>
    <s v="F"/>
  </r>
  <r>
    <n v="1254"/>
    <s v="NORTH"/>
    <s v="UTTAR PRADESH"/>
    <n v="7134"/>
    <s v="M/S GOENKA AUTO PRIVATE LIMITED."/>
    <s v="VARANASI"/>
    <s v="25-Mar-25"/>
    <s v="10-Oct-25"/>
    <n v="898"/>
    <n v="49727"/>
    <n v="3"/>
    <s v="S"/>
    <s v="T-1"/>
    <n v="797483"/>
    <s v="MC1E4CAA5SP084244"/>
    <s v="D71069525"/>
    <m/>
    <m/>
    <x v="10"/>
    <s v="28-Nov-25"/>
    <x v="9"/>
    <n v="1250"/>
    <n v="590053"/>
    <s v="16-Feb-26"/>
    <n v="1250"/>
    <n v="1475"/>
    <n v="225"/>
    <n v="113520"/>
    <s v="16-Feb-26"/>
    <n v="0"/>
    <m/>
    <m/>
    <s v="T1BS6N"/>
    <s v="CVD"/>
    <s v="F"/>
  </r>
  <r>
    <n v="1255"/>
    <s v="NORTH"/>
    <s v="UTTAR PRADESH"/>
    <n v="7134"/>
    <s v="M/S GOENKA AUTO PRIVATE LIMITED."/>
    <s v="VARANASI"/>
    <s v="09-Apr-25"/>
    <s v="16-Oct-25"/>
    <n v="1165"/>
    <n v="15200"/>
    <n v="3"/>
    <s v="S"/>
    <s v="T-1"/>
    <n v="785190"/>
    <s v="MC1E4EBA8SP015414"/>
    <s v="D71073577"/>
    <m/>
    <m/>
    <x v="10"/>
    <s v="28-Nov-25"/>
    <x v="9"/>
    <n v="1250"/>
    <n v="590053"/>
    <s v="16-Feb-26"/>
    <n v="1250"/>
    <n v="1475"/>
    <n v="225"/>
    <n v="113520"/>
    <s v="16-Feb-26"/>
    <n v="0"/>
    <m/>
    <m/>
    <s v="T1BS6"/>
    <s v="CVD"/>
    <s v="F"/>
  </r>
  <r>
    <n v="1256"/>
    <s v="NORTH"/>
    <s v="UTTAR PRADESH"/>
    <n v="7134"/>
    <s v="M/S GOENKA AUTO PRIVATE LIMITED."/>
    <s v="VARANASI"/>
    <s v="22-Aug-24"/>
    <s v="24-Oct-25"/>
    <n v="1165"/>
    <n v="40172"/>
    <n v="7"/>
    <s v="S"/>
    <s v="T26"/>
    <n v="776948"/>
    <s v="MC1E4FGA7SP020988"/>
    <s v="D71058698"/>
    <m/>
    <m/>
    <x v="10"/>
    <s v="28-Nov-25"/>
    <x v="9"/>
    <n v="0"/>
    <n v="590053"/>
    <s v="16-Feb-26"/>
    <n v="0"/>
    <n v="0"/>
    <n v="0"/>
    <n v="113520"/>
    <s v="16-Feb-26"/>
    <n v="0"/>
    <m/>
    <m/>
    <s v="T26BS6"/>
    <s v="CVD"/>
    <s v="P"/>
  </r>
  <r>
    <n v="1257"/>
    <s v="NORTH"/>
    <s v="UTTAR PRADESH"/>
    <n v="7134"/>
    <s v="M/S GOENKA AUTO PRIVATE LIMITED."/>
    <s v="VARANASI"/>
    <s v="19-Feb-24"/>
    <s v="09-Oct-25"/>
    <n v="1165"/>
    <n v="98600"/>
    <n v="10"/>
    <s v="S"/>
    <s v="T1N"/>
    <n v="3268"/>
    <s v="MC1M4ABA1RP000994"/>
    <s v="D71047182"/>
    <m/>
    <m/>
    <x v="10"/>
    <s v="28-Nov-25"/>
    <x v="9"/>
    <n v="0"/>
    <n v="590053"/>
    <s v="16-Feb-26"/>
    <n v="0"/>
    <n v="0"/>
    <n v="0"/>
    <n v="113520"/>
    <s v="16-Feb-26"/>
    <n v="0"/>
    <m/>
    <m/>
    <s v="URBN"/>
    <s v="CVD"/>
    <s v="P"/>
  </r>
  <r>
    <n v="1258"/>
    <s v="NORTH"/>
    <s v="UTTAR PRADESH"/>
    <n v="7134"/>
    <s v="M/S GOENKA AUTO PRIVATE LIMITED."/>
    <s v="VARANASI"/>
    <s v="24-Mar-25"/>
    <s v="12-Oct-25"/>
    <n v="856"/>
    <n v="51090"/>
    <n v="3"/>
    <s v="S"/>
    <s v="T-1"/>
    <n v="796597"/>
    <s v="MC1E4CAA0SP084412"/>
    <s v="D71069289"/>
    <s v="001"/>
    <s v="SERV KMS  / HRS EXCEEDS"/>
    <x v="10"/>
    <s v="28-Nov-25"/>
    <x v="9"/>
    <n v="1250"/>
    <n v="590053"/>
    <s v="16-Feb-26"/>
    <n v="1000"/>
    <n v="1475"/>
    <n v="225"/>
    <n v="113520"/>
    <s v="16-Feb-26"/>
    <n v="250"/>
    <m/>
    <m/>
    <s v="T1BS6N"/>
    <s v="CVD"/>
    <s v="F"/>
  </r>
  <r>
    <n v="1259"/>
    <s v="NORTH"/>
    <s v="UTTAR PRADESH"/>
    <n v="7134"/>
    <s v="M/S GOENKA AUTO PRIVATE LIMITED."/>
    <s v="VARANASI"/>
    <s v="17-Sep-24"/>
    <s v="19-Oct-25"/>
    <n v="1165"/>
    <n v="39813"/>
    <n v="5"/>
    <s v="S"/>
    <s v="T1N"/>
    <n v="5114"/>
    <s v="MC1M4AHA3SP002243"/>
    <s v="D71060936"/>
    <m/>
    <m/>
    <x v="10"/>
    <s v="28-Nov-25"/>
    <x v="9"/>
    <n v="1650"/>
    <n v="590053"/>
    <s v="16-Feb-26"/>
    <n v="1650"/>
    <n v="1947"/>
    <n v="297"/>
    <n v="113520"/>
    <s v="16-Feb-26"/>
    <n v="0"/>
    <m/>
    <m/>
    <s v="URBN"/>
    <s v="CVD"/>
    <s v="F"/>
  </r>
  <r>
    <n v="1260"/>
    <s v="NORTH"/>
    <s v="UTTAR PRADESH"/>
    <n v="7134"/>
    <s v="M/S GOENKA AUTO PRIVATE LIMITED."/>
    <s v="VARANASI"/>
    <s v="07-Mar-25"/>
    <s v="16-Oct-25"/>
    <n v="1165"/>
    <n v="7735"/>
    <n v="4"/>
    <s v="S"/>
    <s v="T26"/>
    <n v="789309"/>
    <s v="MC1E4FLA7SP021807"/>
    <s v="D71066302"/>
    <m/>
    <m/>
    <x v="10"/>
    <s v="28-Nov-25"/>
    <x v="9"/>
    <n v="0"/>
    <n v="590053"/>
    <s v="16-Feb-26"/>
    <n v="0"/>
    <n v="0"/>
    <n v="0"/>
    <n v="113520"/>
    <s v="16-Feb-26"/>
    <n v="0"/>
    <m/>
    <m/>
    <s v="T26BS6"/>
    <s v="CVD"/>
    <s v="P"/>
  </r>
  <r>
    <n v="1261"/>
    <s v="NORTH"/>
    <s v="UTTAR PRADESH"/>
    <n v="7134"/>
    <s v="M/S GOENKA AUTO PRIVATE LIMITED."/>
    <s v="VARANASI"/>
    <s v="25-Oct-24"/>
    <s v="06-Oct-25"/>
    <n v="1165"/>
    <n v="70000"/>
    <n v="7"/>
    <s v="S"/>
    <s v="T-1"/>
    <n v="785383"/>
    <s v="MC1E4EFA0RP013385"/>
    <s v="D71057618"/>
    <m/>
    <m/>
    <x v="10"/>
    <s v="28-Nov-25"/>
    <x v="9"/>
    <n v="0"/>
    <n v="590053"/>
    <s v="16-Feb-26"/>
    <n v="0"/>
    <n v="0"/>
    <n v="0"/>
    <n v="113520"/>
    <s v="16-Feb-26"/>
    <n v="0"/>
    <m/>
    <m/>
    <s v="T1BS6"/>
    <s v="CVD"/>
    <s v="P"/>
  </r>
  <r>
    <n v="1262"/>
    <s v="NORTH"/>
    <s v="UTTAR PRADESH"/>
    <n v="7134"/>
    <s v="M/S GOENKA AUTO PRIVATE LIMITED."/>
    <s v="VARANASI"/>
    <s v="08-Oct-24"/>
    <s v="09-Oct-25"/>
    <n v="1165"/>
    <n v="52750"/>
    <n v="6"/>
    <s v="S"/>
    <s v="T-1"/>
    <n v="787433"/>
    <s v="MC1E4EHA6SP013801"/>
    <s v="D71060519"/>
    <m/>
    <m/>
    <x v="10"/>
    <s v="28-Nov-25"/>
    <x v="9"/>
    <n v="0"/>
    <n v="590053"/>
    <s v="16-Feb-26"/>
    <n v="0"/>
    <n v="0"/>
    <n v="0"/>
    <n v="113520"/>
    <s v="16-Feb-26"/>
    <n v="0"/>
    <m/>
    <m/>
    <s v="T1BS6"/>
    <s v="CVD"/>
    <s v="P"/>
  </r>
  <r>
    <n v="1263"/>
    <s v="NORTH"/>
    <s v="UTTAR PRADESH"/>
    <n v="7134"/>
    <s v="M/S GOENKA AUTO PRIVATE LIMITED."/>
    <s v="VARANASI"/>
    <s v="08-Jul-25"/>
    <s v="07-Oct-25"/>
    <n v="1165"/>
    <n v="3016"/>
    <n v="1"/>
    <s v="S"/>
    <s v="T-1"/>
    <n v="795498"/>
    <s v="MC1E4BAA2SP009754"/>
    <s v="D71067568"/>
    <m/>
    <m/>
    <x v="10"/>
    <s v="28-Nov-25"/>
    <x v="9"/>
    <n v="1250"/>
    <n v="590053"/>
    <s v="16-Feb-26"/>
    <n v="1250"/>
    <n v="1475"/>
    <n v="225"/>
    <n v="113520"/>
    <s v="16-Feb-26"/>
    <n v="0"/>
    <m/>
    <m/>
    <s v="T1BS6N"/>
    <s v="CVD"/>
    <s v="F"/>
  </r>
  <r>
    <n v="1264"/>
    <s v="NORTH"/>
    <s v="UTTAR PRADESH"/>
    <n v="7134"/>
    <s v="M/S GOENKA AUTO PRIVATE LIMITED."/>
    <s v="VARANASI"/>
    <s v="24-Feb-24"/>
    <s v="16-Oct-25"/>
    <n v="1165"/>
    <n v="100000"/>
    <n v="10"/>
    <s v="S"/>
    <s v="T1N"/>
    <n v="3269"/>
    <s v="MC1M4ABA2RP001023"/>
    <s v="D71047495"/>
    <m/>
    <m/>
    <x v="10"/>
    <s v="28-Nov-25"/>
    <x v="9"/>
    <n v="0"/>
    <n v="590053"/>
    <s v="16-Feb-26"/>
    <n v="0"/>
    <n v="0"/>
    <n v="0"/>
    <n v="113520"/>
    <s v="16-Feb-26"/>
    <n v="0"/>
    <m/>
    <m/>
    <s v="URBN"/>
    <s v="CVD"/>
    <s v="P"/>
  </r>
  <r>
    <n v="1265"/>
    <s v="NORTH"/>
    <s v="UTTAR PRADESH"/>
    <n v="7134"/>
    <s v="M/S GOENKA AUTO PRIVATE LIMITED."/>
    <s v="VARANASI"/>
    <s v="17-Feb-25"/>
    <s v="28-Oct-25"/>
    <n v="1165"/>
    <n v="20622"/>
    <n v="4"/>
    <s v="S"/>
    <s v="T-1"/>
    <n v="791456"/>
    <s v="MC1E4EMA3SP014782"/>
    <s v="D71067104"/>
    <m/>
    <m/>
    <x v="10"/>
    <s v="28-Nov-25"/>
    <x v="9"/>
    <n v="0"/>
    <n v="590053"/>
    <s v="16-Feb-26"/>
    <n v="0"/>
    <n v="0"/>
    <n v="0"/>
    <n v="113520"/>
    <s v="16-Feb-26"/>
    <n v="0"/>
    <m/>
    <m/>
    <s v="T1BS6"/>
    <s v="CVD"/>
    <s v="P"/>
  </r>
  <r>
    <n v="1266"/>
    <s v="NORTH"/>
    <s v="UTTAR PRADESH"/>
    <n v="7134"/>
    <s v="M/S GOENKA AUTO PRIVATE LIMITED."/>
    <s v="VARANASI"/>
    <s v="30-Oct-24"/>
    <s v="01-Oct-25"/>
    <n v="1165"/>
    <n v="38636"/>
    <n v="4"/>
    <s v="S"/>
    <s v="T1N"/>
    <n v="4895"/>
    <s v="MC1M4AKA8SP002635"/>
    <s v="D71064370"/>
    <m/>
    <m/>
    <x v="10"/>
    <s v="28-Nov-25"/>
    <x v="9"/>
    <n v="0"/>
    <n v="590053"/>
    <s v="16-Feb-26"/>
    <n v="0"/>
    <n v="0"/>
    <n v="0"/>
    <n v="113520"/>
    <s v="16-Feb-26"/>
    <n v="0"/>
    <m/>
    <m/>
    <s v="URBN"/>
    <s v="CVD"/>
    <s v="P"/>
  </r>
  <r>
    <n v="1267"/>
    <s v="NORTH"/>
    <s v="UTTAR PRADESH"/>
    <n v="7134"/>
    <s v="M/S GOENKA AUTO PRIVATE LIMITED."/>
    <s v="VARANASI"/>
    <s v="10-Jul-24"/>
    <s v="13-Oct-25"/>
    <n v="1165"/>
    <n v="89990"/>
    <n v="9"/>
    <s v="S"/>
    <s v="T-1"/>
    <n v="774685"/>
    <s v="MC1E4EFA6RP013360"/>
    <s v="D71057471"/>
    <m/>
    <m/>
    <x v="10"/>
    <s v="28-Nov-25"/>
    <x v="9"/>
    <n v="0"/>
    <n v="590053"/>
    <s v="16-Feb-26"/>
    <n v="0"/>
    <n v="0"/>
    <n v="0"/>
    <n v="113520"/>
    <s v="16-Feb-26"/>
    <n v="0"/>
    <m/>
    <m/>
    <s v="T1BS6"/>
    <s v="CVD"/>
    <s v="P"/>
  </r>
  <r>
    <n v="1268"/>
    <s v="NORTH"/>
    <s v="UTTAR PRADESH"/>
    <n v="7134"/>
    <s v="M/S GOENKA AUTO PRIVATE LIMITED."/>
    <s v="VARANASI"/>
    <s v="19-Sep-24"/>
    <s v="13-Oct-25"/>
    <n v="1165"/>
    <n v="31474"/>
    <n v="6"/>
    <s v="S"/>
    <s v="T-1"/>
    <n v="787125"/>
    <s v="MC1E4DHA0SP054273"/>
    <s v="D71060917"/>
    <s v="002"/>
    <s v="SERV DATE EXCEEDS"/>
    <x v="10"/>
    <s v="28-Nov-25"/>
    <x v="9"/>
    <n v="0"/>
    <n v="590053"/>
    <s v="16-Feb-26"/>
    <n v="0"/>
    <n v="0"/>
    <n v="0"/>
    <n v="113520"/>
    <s v="16-Feb-26"/>
    <n v="0"/>
    <m/>
    <m/>
    <s v="T1BS6"/>
    <s v="CVD"/>
    <s v="P"/>
  </r>
  <r>
    <n v="1269"/>
    <s v="NORTH"/>
    <s v="UTTAR PRADESH"/>
    <n v="7134"/>
    <s v="M/S GOENKA AUTO PRIVATE LIMITED."/>
    <s v="VARANASI"/>
    <s v="23-Sep-23"/>
    <s v="29-Oct-25"/>
    <n v="1165"/>
    <n v="91050"/>
    <n v="13"/>
    <s v="S"/>
    <s v="T-1"/>
    <n v="753171"/>
    <s v="MC1E4EJA5RP010487"/>
    <s v="D71038820"/>
    <m/>
    <m/>
    <x v="10"/>
    <s v="28-Nov-25"/>
    <x v="9"/>
    <n v="0"/>
    <n v="590053"/>
    <s v="16-Feb-26"/>
    <n v="0"/>
    <n v="0"/>
    <n v="0"/>
    <n v="113520"/>
    <s v="16-Feb-26"/>
    <n v="0"/>
    <m/>
    <m/>
    <s v="T1BS6"/>
    <s v="CVD"/>
    <s v="P"/>
  </r>
  <r>
    <n v="1270"/>
    <s v="NORTH"/>
    <s v="UTTAR PRADESH"/>
    <n v="7134"/>
    <s v="M/S GOENKA AUTO PRIVATE LIMITED."/>
    <s v="VARANASI"/>
    <s v="18-Nov-24"/>
    <s v="07-Oct-25"/>
    <n v="900"/>
    <n v="3790"/>
    <n v="2"/>
    <s v="S"/>
    <s v="T-1"/>
    <n v="781572"/>
    <s v="MC1E4CKA9SP081538"/>
    <s v="D71064317"/>
    <s v="002"/>
    <s v="SERV DATE EXCEEDS"/>
    <x v="10"/>
    <s v="28-Nov-25"/>
    <x v="9"/>
    <n v="1250"/>
    <n v="590053"/>
    <s v="16-Feb-26"/>
    <n v="1000"/>
    <n v="1475"/>
    <n v="225"/>
    <n v="113520"/>
    <s v="16-Feb-26"/>
    <n v="250"/>
    <m/>
    <m/>
    <s v="T1BS6"/>
    <s v="CVD"/>
    <s v="F"/>
  </r>
  <r>
    <n v="1271"/>
    <s v="NORTH"/>
    <s v="UTTAR PRADESH"/>
    <n v="7134"/>
    <s v="M/S GOENKA AUTO PRIVATE LIMITED."/>
    <s v="VARANASI"/>
    <s v="29-Mar-25"/>
    <s v="19-Oct-25"/>
    <n v="1165"/>
    <n v="9625"/>
    <n v="2"/>
    <s v="S"/>
    <s v="T-1"/>
    <n v="781693"/>
    <s v="MC1E4EFA1RP013332"/>
    <s v="D71057281"/>
    <m/>
    <m/>
    <x v="10"/>
    <s v="28-Nov-25"/>
    <x v="9"/>
    <n v="1250"/>
    <n v="590053"/>
    <s v="16-Feb-26"/>
    <n v="1250"/>
    <n v="1475"/>
    <n v="225"/>
    <n v="113520"/>
    <s v="16-Feb-26"/>
    <n v="0"/>
    <m/>
    <m/>
    <s v="T1BS6N"/>
    <s v="CVD"/>
    <s v="F"/>
  </r>
  <r>
    <n v="1272"/>
    <s v="NORTH"/>
    <s v="UTTAR PRADESH"/>
    <n v="7134"/>
    <s v="M/S GOENKA AUTO PRIVATE LIMITED."/>
    <s v="VARANASI"/>
    <s v="24-Jul-24"/>
    <s v="09-Oct-25"/>
    <n v="1165"/>
    <n v="9613"/>
    <n v="7"/>
    <s v="S"/>
    <s v="T-1"/>
    <n v="781826"/>
    <s v="MC1E5DEA1RP000492"/>
    <s v="D73001153"/>
    <s v="002"/>
    <s v="SERV DATE EXCEEDS"/>
    <x v="10"/>
    <s v="28-Nov-25"/>
    <x v="9"/>
    <n v="0"/>
    <n v="590053"/>
    <s v="16-Feb-26"/>
    <n v="0"/>
    <n v="0"/>
    <n v="0"/>
    <n v="113520"/>
    <s v="16-Feb-26"/>
    <n v="0"/>
    <m/>
    <m/>
    <s v="T1CNGL"/>
    <s v="CVD"/>
    <s v="P"/>
  </r>
  <r>
    <n v="1273"/>
    <s v="NORTH"/>
    <s v="UTTAR PRADESH"/>
    <n v="7134"/>
    <s v="M/S GOENKA AUTO PRIVATE LIMITED."/>
    <s v="VARANASI"/>
    <s v="04-Aug-23"/>
    <s v="06-Oct-25"/>
    <n v="1165"/>
    <n v="98883"/>
    <n v="10"/>
    <s v="S"/>
    <s v="T1N"/>
    <n v="1907"/>
    <s v="MC1M4AGAXRP000405"/>
    <s v="D71033054"/>
    <m/>
    <m/>
    <x v="10"/>
    <s v="28-Nov-25"/>
    <x v="9"/>
    <n v="0"/>
    <n v="590053"/>
    <s v="16-Feb-26"/>
    <n v="0"/>
    <n v="0"/>
    <n v="0"/>
    <n v="113520"/>
    <s v="16-Feb-26"/>
    <n v="0"/>
    <m/>
    <m/>
    <s v="URBN"/>
    <s v="CVD"/>
    <s v="P"/>
  </r>
  <r>
    <n v="1274"/>
    <s v="NORTH"/>
    <s v="UTTAR PRADESH"/>
    <n v="7134"/>
    <s v="M/S GOENKA AUTO PRIVATE LIMITED."/>
    <s v="VARANASI"/>
    <s v="20-Jan-25"/>
    <s v="19-Oct-25"/>
    <n v="1165"/>
    <n v="40639"/>
    <n v="4"/>
    <s v="S"/>
    <s v="T1N"/>
    <n v="6475"/>
    <s v="MC1M4AAA6SP003235"/>
    <s v="D71069285"/>
    <m/>
    <m/>
    <x v="10"/>
    <s v="28-Nov-25"/>
    <x v="9"/>
    <n v="0"/>
    <n v="590053"/>
    <s v="16-Feb-26"/>
    <n v="0"/>
    <n v="0"/>
    <n v="0"/>
    <n v="113520"/>
    <s v="16-Feb-26"/>
    <n v="0"/>
    <m/>
    <m/>
    <s v="URBN"/>
    <s v="CVD"/>
    <s v="P"/>
  </r>
  <r>
    <n v="1275"/>
    <s v="NORTH"/>
    <s v="UTTAR PRADESH"/>
    <n v="7134"/>
    <s v="M/S GOENKA AUTO PRIVATE LIMITED."/>
    <s v="VARANASI"/>
    <s v="10-Jun-25"/>
    <s v="09-Oct-25"/>
    <n v="1190"/>
    <n v="13018"/>
    <n v="2"/>
    <s v="S"/>
    <s v="T-1"/>
    <n v="802410"/>
    <s v="MC1E4EEA9SP016230"/>
    <s v="D71080349"/>
    <m/>
    <m/>
    <x v="10"/>
    <s v="28-Nov-25"/>
    <x v="9"/>
    <n v="0"/>
    <n v="590053"/>
    <s v="16-Feb-26"/>
    <n v="0"/>
    <n v="0"/>
    <n v="0"/>
    <n v="113520"/>
    <s v="16-Feb-26"/>
    <n v="0"/>
    <m/>
    <m/>
    <s v="T1BS6"/>
    <s v="CVD"/>
    <s v="P"/>
  </r>
  <r>
    <n v="1276"/>
    <s v="NORTH"/>
    <s v="UTTAR PRADESH"/>
    <n v="7134"/>
    <s v="M/S GOENKA AUTO PRIVATE LIMITED."/>
    <s v="VARANASI"/>
    <s v="22-Jun-24"/>
    <s v="16-Oct-25"/>
    <n v="1165"/>
    <n v="90638"/>
    <n v="9"/>
    <s v="S"/>
    <s v="T-1"/>
    <n v="775938"/>
    <s v="MC1E4EDA0RP012854"/>
    <s v="D71053907"/>
    <m/>
    <m/>
    <x v="10"/>
    <s v="28-Nov-25"/>
    <x v="9"/>
    <n v="0"/>
    <n v="590053"/>
    <s v="16-Feb-26"/>
    <n v="0"/>
    <n v="0"/>
    <n v="0"/>
    <n v="113520"/>
    <s v="16-Feb-26"/>
    <n v="0"/>
    <m/>
    <m/>
    <s v="T1BS6"/>
    <s v="CVD"/>
    <s v="P"/>
  </r>
  <r>
    <n v="1277"/>
    <s v="NORTH"/>
    <s v="UTTAR PRADESH"/>
    <n v="7134"/>
    <s v="M/S GOENKA AUTO PRIVATE LIMITED."/>
    <s v="VARANASI"/>
    <s v="30-Jan-25"/>
    <s v="30-Oct-25"/>
    <n v="1165"/>
    <n v="6485"/>
    <n v="5"/>
    <s v="S"/>
    <s v="TRAX"/>
    <n v="326362"/>
    <s v="MC1D4DLA6SP106413"/>
    <s v="D72017951"/>
    <m/>
    <m/>
    <x v="10"/>
    <s v="28-Nov-25"/>
    <x v="9"/>
    <n v="1250"/>
    <n v="590053"/>
    <s v="16-Feb-26"/>
    <n v="1250"/>
    <n v="1475"/>
    <n v="225"/>
    <n v="113520"/>
    <s v="16-Feb-26"/>
    <n v="0"/>
    <m/>
    <m/>
    <s v="TRXBS6"/>
    <s v="CVD"/>
    <s v="F"/>
  </r>
  <r>
    <n v="1278"/>
    <s v="NORTH"/>
    <s v="UTTAR PRADESH"/>
    <n v="7134"/>
    <s v="M/S GOENKA AUTO PRIVATE LIMITED."/>
    <s v="VARANASI"/>
    <s v="07-Jul-25"/>
    <s v="13-Oct-25"/>
    <n v="1165"/>
    <n v="10000"/>
    <n v="1"/>
    <s v="S"/>
    <s v="T1N"/>
    <n v="8044"/>
    <s v="MC1M4AFA2SP005086"/>
    <s v="D71083980"/>
    <s v="002"/>
    <s v="SERV DATE EXCEEDS"/>
    <x v="10"/>
    <s v="28-Nov-25"/>
    <x v="9"/>
    <n v="1650"/>
    <n v="590053"/>
    <s v="16-Feb-26"/>
    <n v="1320"/>
    <n v="1947"/>
    <n v="297"/>
    <n v="113520"/>
    <s v="16-Feb-26"/>
    <n v="330"/>
    <m/>
    <m/>
    <s v="URBN"/>
    <s v="CVD"/>
    <s v="F"/>
  </r>
  <r>
    <n v="1279"/>
    <s v="NORTH"/>
    <s v="UTTAR PRADESH"/>
    <n v="7134"/>
    <s v="M/S GOENKA AUTO PRIVATE LIMITED."/>
    <s v="VARANASI"/>
    <s v="15-May-25"/>
    <s v="03-Oct-25"/>
    <n v="1165"/>
    <n v="26551"/>
    <n v="2"/>
    <s v="S"/>
    <s v="T-1"/>
    <n v="802597"/>
    <s v="MC1E4EDA9SP016021"/>
    <s v="D71078879"/>
    <s v="001"/>
    <s v="SERV KMS  / HRS EXCEEDS"/>
    <x v="10"/>
    <s v="28-Nov-25"/>
    <x v="9"/>
    <n v="0"/>
    <n v="590053"/>
    <s v="16-Feb-26"/>
    <n v="0"/>
    <n v="0"/>
    <n v="0"/>
    <n v="113520"/>
    <s v="16-Feb-26"/>
    <n v="0"/>
    <m/>
    <m/>
    <s v="T1BS6"/>
    <s v="CVD"/>
    <s v="P"/>
  </r>
  <r>
    <n v="1280"/>
    <s v="NORTH"/>
    <s v="UTTAR PRADESH"/>
    <n v="7134"/>
    <s v="M/S GOENKA AUTO PRIVATE LIMITED."/>
    <s v="VARANASI"/>
    <s v="29-Oct-24"/>
    <s v="24-Oct-25"/>
    <n v="1165"/>
    <n v="30670"/>
    <n v="6"/>
    <s v="S"/>
    <s v="T-1"/>
    <n v="790753"/>
    <s v="MC1E4DKA8SP054739"/>
    <s v="D71063348"/>
    <m/>
    <m/>
    <x v="10"/>
    <s v="28-Nov-25"/>
    <x v="9"/>
    <n v="0"/>
    <n v="590053"/>
    <s v="16-Feb-26"/>
    <n v="0"/>
    <n v="0"/>
    <n v="0"/>
    <n v="113520"/>
    <s v="16-Feb-26"/>
    <n v="0"/>
    <m/>
    <m/>
    <s v="T1BS6"/>
    <s v="CVD"/>
    <s v="P"/>
  </r>
  <r>
    <n v="1281"/>
    <s v="NORTH"/>
    <s v="UTTAR PRADESH"/>
    <n v="7134"/>
    <s v="M/S GOENKA AUTO PRIVATE LIMITED."/>
    <s v="VARANASI"/>
    <s v="23-Jun-25"/>
    <s v="17-Oct-25"/>
    <n v="1165"/>
    <n v="5737"/>
    <n v="1"/>
    <s v="S"/>
    <s v="T-1"/>
    <n v="796788"/>
    <s v="MC1E4DDA6SP056891"/>
    <s v="D71078680"/>
    <m/>
    <m/>
    <x v="10"/>
    <s v="28-Nov-25"/>
    <x v="9"/>
    <n v="1250"/>
    <n v="590053"/>
    <s v="16-Feb-26"/>
    <n v="1250"/>
    <n v="1475"/>
    <n v="225"/>
    <n v="113520"/>
    <s v="16-Feb-26"/>
    <n v="0"/>
    <m/>
    <m/>
    <s v="T1BS6N"/>
    <s v="CVD"/>
    <s v="F"/>
  </r>
  <r>
    <n v="1282"/>
    <s v="NORTH"/>
    <s v="UTTAR PRADESH"/>
    <n v="7134"/>
    <s v="M/S GOENKA AUTO PRIVATE LIMITED."/>
    <s v="VARANASI"/>
    <s v="22-Feb-24"/>
    <s v="19-Oct-25"/>
    <n v="1165"/>
    <n v="69930"/>
    <n v="10"/>
    <s v="S"/>
    <s v="TRAX"/>
    <n v="320410"/>
    <s v="MC1D4DJA8RP101565"/>
    <s v="D72012161"/>
    <m/>
    <m/>
    <x v="10"/>
    <s v="28-Nov-25"/>
    <x v="9"/>
    <n v="0"/>
    <n v="590053"/>
    <s v="16-Feb-26"/>
    <n v="0"/>
    <n v="0"/>
    <n v="0"/>
    <n v="113520"/>
    <s v="16-Feb-26"/>
    <n v="0"/>
    <m/>
    <m/>
    <s v="TRXBS6"/>
    <s v="CVD"/>
    <s v="P"/>
  </r>
  <r>
    <n v="1283"/>
    <s v="NORTH"/>
    <s v="UTTAR PRADESH"/>
    <n v="7134"/>
    <s v="M/S GOENKA AUTO PRIVATE LIMITED."/>
    <s v="VARANASI"/>
    <s v="23-Aug-24"/>
    <s v="06-Oct-25"/>
    <n v="965"/>
    <n v="60634"/>
    <n v="6"/>
    <s v="S"/>
    <s v="T1N"/>
    <n v="4608"/>
    <s v="MC1M4AGA0SP001973"/>
    <s v="D71058189"/>
    <m/>
    <m/>
    <x v="10"/>
    <s v="28-Nov-25"/>
    <x v="9"/>
    <n v="0"/>
    <n v="590053"/>
    <s v="16-Feb-26"/>
    <n v="0"/>
    <n v="0"/>
    <n v="0"/>
    <n v="113520"/>
    <s v="16-Feb-26"/>
    <n v="0"/>
    <m/>
    <m/>
    <s v="URBN"/>
    <s v="CVD"/>
    <s v="P"/>
  </r>
  <r>
    <n v="1284"/>
    <s v="NORTH"/>
    <s v="UTTAR PRADESH"/>
    <n v="7134"/>
    <s v="M/S GOENKA AUTO PRIVATE LIMITED."/>
    <s v="VARANASI"/>
    <s v="10-Sep-24"/>
    <s v="01-Oct-25"/>
    <n v="1165"/>
    <n v="64374"/>
    <n v="7"/>
    <s v="S"/>
    <s v="T26"/>
    <n v="776534"/>
    <s v="MC1E4FHA8SP021288"/>
    <s v="D71060855"/>
    <m/>
    <m/>
    <x v="10"/>
    <s v="28-Nov-25"/>
    <x v="9"/>
    <n v="0"/>
    <n v="590053"/>
    <s v="16-Feb-26"/>
    <n v="0"/>
    <n v="0"/>
    <n v="0"/>
    <n v="113520"/>
    <s v="16-Feb-26"/>
    <n v="0"/>
    <m/>
    <m/>
    <s v="T26BS6"/>
    <s v="CVD"/>
    <s v="P"/>
  </r>
  <r>
    <n v="1285"/>
    <s v="NORTH"/>
    <s v="UTTAR PRADESH"/>
    <n v="7134"/>
    <s v="M/S GOENKA AUTO PRIVATE LIMITED."/>
    <s v="VARANASI"/>
    <s v="30-Jun-25"/>
    <s v="29-Oct-25"/>
    <n v="1165"/>
    <n v="9958"/>
    <n v="2"/>
    <s v="S"/>
    <s v="T26"/>
    <n v="806131"/>
    <s v="MC1E4FEA8SP023787"/>
    <s v="D71081852"/>
    <m/>
    <m/>
    <x v="10"/>
    <s v="28-Nov-25"/>
    <x v="9"/>
    <n v="0"/>
    <n v="590053"/>
    <s v="16-Feb-26"/>
    <n v="0"/>
    <n v="0"/>
    <n v="0"/>
    <n v="113520"/>
    <s v="16-Feb-26"/>
    <n v="0"/>
    <m/>
    <m/>
    <s v="T26BS6"/>
    <s v="CVD"/>
    <s v="P"/>
  </r>
  <r>
    <n v="1286"/>
    <s v="NORTH"/>
    <s v="UTTAR PRADESH"/>
    <n v="7134"/>
    <s v="M/S GOENKA AUTO PRIVATE LIMITED."/>
    <s v="VARANASI"/>
    <s v="23-Oct-24"/>
    <s v="26-Oct-25"/>
    <n v="1165"/>
    <n v="50898"/>
    <n v="6"/>
    <s v="S"/>
    <s v="T-1"/>
    <n v="786108"/>
    <s v="MC1E4EJA5SP014061"/>
    <s v="D71062337"/>
    <m/>
    <m/>
    <x v="10"/>
    <s v="28-Nov-25"/>
    <x v="9"/>
    <n v="0"/>
    <n v="590053"/>
    <s v="16-Feb-26"/>
    <n v="0"/>
    <n v="0"/>
    <n v="0"/>
    <n v="113520"/>
    <s v="16-Feb-26"/>
    <n v="0"/>
    <m/>
    <m/>
    <s v="T1BS6"/>
    <s v="CVD"/>
    <s v="P"/>
  </r>
  <r>
    <n v="1287"/>
    <s v="NORTH"/>
    <s v="UTTAR PRADESH"/>
    <n v="7134"/>
    <s v="M/S GOENKA AUTO PRIVATE LIMITED."/>
    <s v="VARANASI"/>
    <s v="17-Jul-25"/>
    <s v="07-Oct-25"/>
    <n v="1165"/>
    <n v="6638"/>
    <n v="1"/>
    <s v="S"/>
    <s v="TRAX"/>
    <n v="331031"/>
    <s v="MC1D4DFA7SP109381"/>
    <s v="D72021106"/>
    <s v="002"/>
    <s v="SERV DATE EXCEEDS"/>
    <x v="10"/>
    <s v="28-Nov-25"/>
    <x v="9"/>
    <n v="1250"/>
    <n v="590053"/>
    <s v="16-Feb-26"/>
    <n v="1000"/>
    <n v="1475"/>
    <n v="225"/>
    <n v="113520"/>
    <s v="16-Feb-26"/>
    <n v="250"/>
    <m/>
    <m/>
    <s v="TRXBS6"/>
    <s v="CVD"/>
    <s v="F"/>
  </r>
  <r>
    <n v="1288"/>
    <s v="NORTH"/>
    <s v="UTTAR PRADESH"/>
    <n v="7134"/>
    <s v="M/S GOENKA AUTO PRIVATE LIMITED."/>
    <s v="VARANASI"/>
    <s v="19-Jul-24"/>
    <s v="13-Oct-25"/>
    <n v="1165"/>
    <n v="50829"/>
    <n v="8"/>
    <s v="S"/>
    <s v="T-1"/>
    <n v="7085388"/>
    <s v="MC1E4DGA7SP053543"/>
    <s v="D71057790"/>
    <m/>
    <m/>
    <x v="10"/>
    <s v="28-Nov-25"/>
    <x v="9"/>
    <n v="1250"/>
    <n v="590053"/>
    <s v="16-Feb-26"/>
    <n v="1250"/>
    <n v="1475"/>
    <n v="225"/>
    <n v="113520"/>
    <s v="16-Feb-26"/>
    <n v="0"/>
    <m/>
    <m/>
    <s v="T1BS6"/>
    <s v="CVD"/>
    <s v="F"/>
  </r>
  <r>
    <n v="1289"/>
    <s v="NORTH"/>
    <s v="UTTAR PRADESH"/>
    <n v="7134"/>
    <s v="M/S GOENKA AUTO PRIVATE LIMITED."/>
    <s v="VARANASI"/>
    <s v="30-Jun-24"/>
    <s v="13-Oct-25"/>
    <n v="1165"/>
    <n v="70500"/>
    <n v="7"/>
    <s v="S"/>
    <s v="T1N"/>
    <n v="3559"/>
    <s v="MC1M4AFAXRP001720"/>
    <s v="D71055788"/>
    <m/>
    <m/>
    <x v="10"/>
    <s v="28-Nov-25"/>
    <x v="9"/>
    <n v="1650"/>
    <n v="590053"/>
    <s v="16-Feb-26"/>
    <n v="1650"/>
    <n v="1947"/>
    <n v="297"/>
    <n v="113520"/>
    <s v="16-Feb-26"/>
    <n v="0"/>
    <m/>
    <m/>
    <s v="URBN"/>
    <s v="CVD"/>
    <s v="F"/>
  </r>
  <r>
    <n v="1290"/>
    <s v="NORTH"/>
    <s v="UTTAR PRADESH"/>
    <n v="7134"/>
    <s v="M/S GOENKA AUTO PRIVATE LIMITED."/>
    <s v="VARANASI"/>
    <s v="30-Oct-24"/>
    <s v="16-Oct-25"/>
    <n v="1165"/>
    <n v="69250"/>
    <n v="7"/>
    <s v="S"/>
    <s v="T1N"/>
    <n v="5598"/>
    <s v="MC1M4AKAXSP002670"/>
    <s v="D71064697"/>
    <m/>
    <m/>
    <x v="10"/>
    <s v="28-Nov-25"/>
    <x v="9"/>
    <n v="1650"/>
    <n v="590053"/>
    <s v="16-Feb-26"/>
    <n v="1650"/>
    <n v="1947"/>
    <n v="297"/>
    <n v="113520"/>
    <s v="16-Feb-26"/>
    <n v="0"/>
    <m/>
    <m/>
    <s v="URBN"/>
    <s v="CVD"/>
    <s v="F"/>
  </r>
  <r>
    <n v="1291"/>
    <s v="NORTH"/>
    <s v="UTTAR PRADESH"/>
    <n v="7134"/>
    <s v="M/S GOENKA AUTO PRIVATE LIMITED."/>
    <s v="VARANASI"/>
    <s v="21-Oct-15"/>
    <s v="03-Oct-25"/>
    <n v="1304"/>
    <n v="11989902"/>
    <n v="8"/>
    <s v="S"/>
    <s v="T-1"/>
    <n v="701686071"/>
    <s v="MC1E4DHA4GP019971"/>
    <s v="D63018701"/>
    <s v="022"/>
    <s v="SERVICE COUPON HARD COPY NOT RECEIVED"/>
    <x v="10"/>
    <s v="28-Nov-25"/>
    <x v="9"/>
    <n v="1250"/>
    <n v="590053"/>
    <s v="16-Feb-26"/>
    <n v="0"/>
    <n v="1475"/>
    <n v="225"/>
    <n v="113520"/>
    <s v="16-Feb-26"/>
    <n v="1250"/>
    <m/>
    <m/>
    <s v="T-1"/>
    <s v="CVD"/>
    <s v="F"/>
  </r>
  <r>
    <n v="1292"/>
    <s v="NORTH"/>
    <s v="UTTAR PRADESH"/>
    <n v="7134"/>
    <s v="M/S GOENKA AUTO PRIVATE LIMITED."/>
    <s v="VARANASI"/>
    <s v="11-Jun-25"/>
    <s v="05-Oct-25"/>
    <n v="1165"/>
    <n v="8563"/>
    <n v="1"/>
    <s v="S"/>
    <s v="T-1"/>
    <n v="796765"/>
    <s v="MC1E4DDA4SP056873"/>
    <s v="D71078602"/>
    <m/>
    <m/>
    <x v="10"/>
    <s v="28-Nov-25"/>
    <x v="9"/>
    <n v="1250"/>
    <n v="590053"/>
    <s v="16-Feb-26"/>
    <n v="1250"/>
    <n v="1475"/>
    <n v="225"/>
    <n v="113520"/>
    <s v="16-Feb-26"/>
    <n v="0"/>
    <m/>
    <m/>
    <s v="T1BS6N"/>
    <s v="CVD"/>
    <s v="F"/>
  </r>
  <r>
    <n v="1293"/>
    <s v="NORTH"/>
    <s v="UTTAR PRADESH"/>
    <n v="7134"/>
    <s v="M/S GOENKA AUTO PRIVATE LIMITED."/>
    <s v="VARANASI"/>
    <s v="11-Dec-24"/>
    <s v="14-Oct-25"/>
    <n v="1165"/>
    <n v="40000"/>
    <n v="4"/>
    <s v="S"/>
    <s v="T1N"/>
    <n v="5539"/>
    <s v="MC1M4ALA7SP002785"/>
    <s v="D71064906"/>
    <m/>
    <m/>
    <x v="10"/>
    <s v="28-Nov-25"/>
    <x v="9"/>
    <n v="0"/>
    <n v="590053"/>
    <s v="16-Feb-26"/>
    <n v="0"/>
    <n v="0"/>
    <n v="0"/>
    <n v="113520"/>
    <s v="16-Feb-26"/>
    <n v="0"/>
    <m/>
    <m/>
    <s v="URBN"/>
    <s v="CVD"/>
    <s v="P"/>
  </r>
  <r>
    <n v="1294"/>
    <s v="NORTH"/>
    <s v="UTTAR PRADESH"/>
    <n v="7134"/>
    <s v="M/S GOENKA AUTO PRIVATE LIMITED."/>
    <s v="VARANASI"/>
    <s v="06-May-25"/>
    <s v="08-Oct-25"/>
    <n v="1165"/>
    <n v="20000"/>
    <n v="3"/>
    <s v="S"/>
    <s v="T-1"/>
    <n v="802530"/>
    <s v="MC1E4EDA5SP016002"/>
    <s v="D71078588"/>
    <m/>
    <m/>
    <x v="10"/>
    <s v="28-Nov-25"/>
    <x v="9"/>
    <n v="1250"/>
    <n v="590053"/>
    <s v="16-Feb-26"/>
    <n v="1250"/>
    <n v="1475"/>
    <n v="225"/>
    <n v="113520"/>
    <s v="16-Feb-26"/>
    <n v="0"/>
    <m/>
    <m/>
    <s v="T1BS6"/>
    <s v="CVD"/>
    <s v="F"/>
  </r>
  <r>
    <n v="1295"/>
    <s v="NORTH"/>
    <s v="UTTAR PRADESH"/>
    <n v="7134"/>
    <s v="M/S GOENKA AUTO PRIVATE LIMITED."/>
    <s v="VARANASI"/>
    <s v="18-Oct-24"/>
    <s v="07-Oct-25"/>
    <n v="1165"/>
    <n v="10763"/>
    <n v="6"/>
    <s v="S"/>
    <s v="TRAX"/>
    <n v="324399"/>
    <s v="MC1D4DJA6SP105555"/>
    <s v="D72016971"/>
    <m/>
    <m/>
    <x v="10"/>
    <s v="28-Nov-25"/>
    <x v="9"/>
    <n v="0"/>
    <n v="590053"/>
    <s v="16-Feb-26"/>
    <n v="0"/>
    <n v="0"/>
    <n v="0"/>
    <n v="113520"/>
    <s v="16-Feb-26"/>
    <n v="0"/>
    <m/>
    <m/>
    <s v="TRXBS6"/>
    <s v="CVD"/>
    <s v="P"/>
  </r>
  <r>
    <n v="1296"/>
    <s v="NORTH"/>
    <s v="UTTAR PRADESH"/>
    <n v="7134"/>
    <s v="M/S GOENKA AUTO PRIVATE LIMITED."/>
    <s v="VARANASI"/>
    <s v="03-Feb-25"/>
    <s v="13-Oct-25"/>
    <n v="900"/>
    <n v="27021"/>
    <n v="4"/>
    <s v="S"/>
    <s v="T-1"/>
    <n v="778270"/>
    <s v="MC1E5EKAXSP003214"/>
    <s v="D73001597"/>
    <m/>
    <m/>
    <x v="10"/>
    <s v="28-Nov-25"/>
    <x v="9"/>
    <n v="0"/>
    <n v="590053"/>
    <s v="16-Feb-26"/>
    <n v="0"/>
    <n v="0"/>
    <n v="0"/>
    <n v="113520"/>
    <s v="16-Feb-26"/>
    <n v="0"/>
    <m/>
    <m/>
    <s v="T1CNGL"/>
    <s v="CVD"/>
    <s v="P"/>
  </r>
  <r>
    <n v="1297"/>
    <s v="NORTH"/>
    <s v="UTTAR PRADESH"/>
    <n v="7134"/>
    <s v="M/S GOENKA AUTO PRIVATE LIMITED."/>
    <s v="VARANASI"/>
    <s v="10-Feb-25"/>
    <s v="24-Oct-25"/>
    <n v="1165"/>
    <n v="58000"/>
    <n v="6"/>
    <s v="S"/>
    <s v="T1N"/>
    <n v="6199"/>
    <s v="MC1M4ALA7SP002883"/>
    <s v="D71066311"/>
    <m/>
    <m/>
    <x v="10"/>
    <s v="28-Nov-25"/>
    <x v="9"/>
    <n v="0"/>
    <n v="590053"/>
    <s v="16-Feb-26"/>
    <n v="0"/>
    <n v="0"/>
    <n v="0"/>
    <n v="113520"/>
    <s v="16-Feb-26"/>
    <n v="0"/>
    <m/>
    <m/>
    <s v="URBN"/>
    <s v="CVD"/>
    <s v="P"/>
  </r>
  <r>
    <n v="1298"/>
    <s v="NORTH"/>
    <s v="UTTAR PRADESH"/>
    <n v="7134"/>
    <s v="M/S GOENKA AUTO PRIVATE LIMITED."/>
    <s v="VARANASI"/>
    <s v="15-Oct-24"/>
    <s v="07-Oct-25"/>
    <n v="1165"/>
    <n v="11156"/>
    <n v="6"/>
    <s v="S"/>
    <s v="TRAX"/>
    <n v="324389"/>
    <s v="MC1D4DJA1SP105558"/>
    <s v="D72016968"/>
    <m/>
    <m/>
    <x v="10"/>
    <s v="28-Nov-25"/>
    <x v="9"/>
    <n v="0"/>
    <n v="590053"/>
    <s v="16-Feb-26"/>
    <n v="0"/>
    <n v="0"/>
    <n v="0"/>
    <n v="113520"/>
    <s v="16-Feb-26"/>
    <n v="0"/>
    <m/>
    <m/>
    <s v="TRXBS6"/>
    <s v="CVD"/>
    <s v="P"/>
  </r>
  <r>
    <n v="1299"/>
    <s v="NORTH"/>
    <s v="UTTAR PRADESH"/>
    <n v="7134"/>
    <s v="M/S GOENKA AUTO PRIVATE LIMITED."/>
    <s v="VARANASI"/>
    <s v="20-Nov-24"/>
    <s v="27-Oct-25"/>
    <n v="1165"/>
    <n v="51065"/>
    <n v="6"/>
    <s v="S"/>
    <s v="T-1"/>
    <n v="790690"/>
    <s v="MC1E4EKA1SP014315"/>
    <s v="D71063632"/>
    <m/>
    <m/>
    <x v="10"/>
    <s v="28-Nov-25"/>
    <x v="9"/>
    <n v="0"/>
    <n v="590053"/>
    <s v="16-Feb-26"/>
    <n v="0"/>
    <n v="0"/>
    <n v="0"/>
    <n v="113520"/>
    <s v="16-Feb-26"/>
    <n v="0"/>
    <m/>
    <m/>
    <s v="T1BS6"/>
    <s v="CVD"/>
    <s v="P"/>
  </r>
  <r>
    <n v="1300"/>
    <s v="NORTH"/>
    <s v="UTTAR PRADESH"/>
    <n v="7134"/>
    <s v="M/S GOENKA AUTO PRIVATE LIMITED."/>
    <s v="VARANASI"/>
    <s v="28-Aug-25"/>
    <s v="26-Oct-25"/>
    <n v="1165"/>
    <n v="4700"/>
    <n v="1"/>
    <s v="S"/>
    <s v="T1N"/>
    <n v="7823"/>
    <s v="MC1M4AFAXSP005174"/>
    <s v="D71084195"/>
    <m/>
    <m/>
    <x v="10"/>
    <s v="28-Nov-25"/>
    <x v="9"/>
    <n v="1650"/>
    <n v="590053"/>
    <s v="16-Feb-26"/>
    <n v="1650"/>
    <n v="1947"/>
    <n v="297"/>
    <n v="113520"/>
    <s v="16-Feb-26"/>
    <n v="0"/>
    <m/>
    <m/>
    <s v="URBN"/>
    <s v="CVD"/>
    <s v="F"/>
  </r>
  <r>
    <n v="1301"/>
    <s v="NORTH"/>
    <s v="UTTAR PRADESH"/>
    <n v="7134"/>
    <s v="M/S GOENKA AUTO PRIVATE LIMITED."/>
    <s v="VARANASI"/>
    <s v="18-Dec-24"/>
    <s v="19-Oct-25"/>
    <n v="1165"/>
    <n v="16816"/>
    <n v="5"/>
    <s v="S"/>
    <s v="TRAX"/>
    <n v="326648"/>
    <s v="MC1D4DKA3SP106175"/>
    <s v="D72017652"/>
    <m/>
    <m/>
    <x v="10"/>
    <s v="28-Nov-25"/>
    <x v="9"/>
    <n v="1250"/>
    <n v="590053"/>
    <s v="16-Feb-26"/>
    <n v="1250"/>
    <n v="1475"/>
    <n v="225"/>
    <n v="113520"/>
    <s v="16-Feb-26"/>
    <n v="0"/>
    <m/>
    <m/>
    <s v="TRXBS6"/>
    <s v="CVD"/>
    <s v="F"/>
  </r>
  <r>
    <n v="1302"/>
    <s v="NORTH"/>
    <s v="UTTAR PRADESH"/>
    <n v="7134"/>
    <s v="M/S GOENKA AUTO PRIVATE LIMITED."/>
    <s v="VARANASI"/>
    <s v="31-May-25"/>
    <s v="30-Oct-25"/>
    <n v="1165"/>
    <n v="7000"/>
    <n v="2"/>
    <s v="S"/>
    <s v="T1N"/>
    <n v="7590"/>
    <s v="MC1M4AEA6SP004587"/>
    <s v="D71081160"/>
    <m/>
    <m/>
    <x v="10"/>
    <s v="28-Nov-25"/>
    <x v="9"/>
    <n v="0"/>
    <n v="590053"/>
    <s v="16-Feb-26"/>
    <n v="0"/>
    <n v="0"/>
    <n v="0"/>
    <n v="113520"/>
    <s v="16-Feb-26"/>
    <n v="0"/>
    <m/>
    <m/>
    <s v="URBN"/>
    <s v="CVD"/>
    <s v="P"/>
  </r>
  <r>
    <n v="1303"/>
    <s v="NORTH"/>
    <s v="UTTAR PRADESH"/>
    <n v="7134"/>
    <s v="M/S GOENKA AUTO PRIVATE LIMITED."/>
    <s v="VARANASI"/>
    <s v="27-Mar-25"/>
    <s v="28-Oct-25"/>
    <n v="856"/>
    <n v="51229"/>
    <n v="3"/>
    <s v="S"/>
    <s v="T-1"/>
    <n v="798595"/>
    <s v="MC1E4CBA2SP085365"/>
    <s v="D71072196"/>
    <s v="001"/>
    <s v="SERV KMS  / HRS EXCEEDS"/>
    <x v="10"/>
    <s v="28-Nov-25"/>
    <x v="9"/>
    <n v="1250"/>
    <n v="590053"/>
    <s v="16-Feb-26"/>
    <n v="1000"/>
    <n v="1475"/>
    <n v="225"/>
    <n v="113520"/>
    <s v="16-Feb-26"/>
    <n v="250"/>
    <m/>
    <m/>
    <s v="T1BS6N"/>
    <s v="CVD"/>
    <s v="F"/>
  </r>
  <r>
    <n v="1304"/>
    <s v="NORTH"/>
    <s v="UTTAR PRADESH"/>
    <n v="7134"/>
    <s v="M/S GOENKA AUTO PRIVATE LIMITED."/>
    <s v="VARANASI"/>
    <s v="17-Feb-25"/>
    <s v="07-Oct-25"/>
    <n v="779"/>
    <n v="73544"/>
    <n v="5"/>
    <s v="S"/>
    <s v="T-1"/>
    <n v="780479"/>
    <s v="MC1E4CMA3SP082679"/>
    <s v="D71068123"/>
    <m/>
    <m/>
    <x v="10"/>
    <s v="28-Nov-25"/>
    <x v="9"/>
    <n v="0"/>
    <n v="590053"/>
    <s v="16-Feb-26"/>
    <n v="0"/>
    <n v="0"/>
    <n v="0"/>
    <n v="113520"/>
    <s v="16-Feb-26"/>
    <n v="0"/>
    <m/>
    <m/>
    <s v="T1BS6"/>
    <s v="CVD"/>
    <s v="F"/>
  </r>
  <r>
    <n v="1305"/>
    <s v="NORTH"/>
    <s v="UTTAR PRADESH"/>
    <n v="7134"/>
    <s v="M/S GOENKA AUTO PRIVATE LIMITED."/>
    <s v="VARANASI"/>
    <s v="29-Oct-24"/>
    <s v="28-Oct-25"/>
    <n v="1150"/>
    <n v="30000"/>
    <n v="3"/>
    <s v="S"/>
    <s v="T-1"/>
    <n v="781928"/>
    <s v="MC1E4CKA9SP081412"/>
    <s v="D71063849"/>
    <m/>
    <m/>
    <x v="10"/>
    <s v="28-Nov-25"/>
    <x v="9"/>
    <n v="1250"/>
    <n v="590053"/>
    <s v="16-Feb-26"/>
    <n v="1250"/>
    <n v="1475"/>
    <n v="225"/>
    <n v="113520"/>
    <s v="16-Feb-26"/>
    <n v="0"/>
    <m/>
    <m/>
    <s v="T1BS6"/>
    <s v="CVD"/>
    <s v="F"/>
  </r>
  <r>
    <n v="1306"/>
    <s v="NORTH"/>
    <s v="UTTAR PRADESH"/>
    <n v="7134"/>
    <s v="M/S GOENKA AUTO PRIVATE LIMITED."/>
    <s v="VARANASI"/>
    <s v="13-Mar-25"/>
    <s v="15-Oct-25"/>
    <n v="1165"/>
    <n v="26521"/>
    <n v="3"/>
    <s v="S"/>
    <s v="T1N"/>
    <n v="6118"/>
    <s v="MC1M4ALA8SP002956"/>
    <s v="D71066667"/>
    <m/>
    <m/>
    <x v="10"/>
    <s v="28-Nov-25"/>
    <x v="9"/>
    <n v="1650"/>
    <n v="590053"/>
    <s v="16-Feb-26"/>
    <n v="1650"/>
    <n v="1947"/>
    <n v="297"/>
    <n v="113520"/>
    <s v="16-Feb-26"/>
    <n v="0"/>
    <m/>
    <m/>
    <s v="URBN"/>
    <s v="CVD"/>
    <s v="F"/>
  </r>
  <r>
    <n v="1307"/>
    <s v="NORTH"/>
    <s v="UTTAR PRADESH"/>
    <n v="7134"/>
    <s v="M/S GOENKA AUTO PRIVATE LIMITED."/>
    <s v="VARANASI"/>
    <s v="14-Oct-24"/>
    <s v="19-Oct-25"/>
    <n v="1165"/>
    <n v="61893"/>
    <n v="6"/>
    <s v="S"/>
    <s v="T-1"/>
    <n v="787043"/>
    <s v="MC1E4EHA8SP013850"/>
    <s v="D71061089"/>
    <s v="001"/>
    <s v="SERV KMS  / HRS EXCEEDS"/>
    <x v="10"/>
    <s v="28-Nov-25"/>
    <x v="9"/>
    <n v="0"/>
    <n v="590053"/>
    <s v="16-Feb-26"/>
    <n v="0"/>
    <n v="0"/>
    <n v="0"/>
    <n v="113520"/>
    <s v="16-Feb-26"/>
    <n v="0"/>
    <m/>
    <m/>
    <s v="T1BS6"/>
    <s v="CVD"/>
    <s v="P"/>
  </r>
  <r>
    <n v="1308"/>
    <s v="NORTH"/>
    <s v="UTTAR PRADESH"/>
    <n v="7134"/>
    <s v="M/S GOENKA AUTO PRIVATE LIMITED."/>
    <s v="VARANASI"/>
    <s v="24-Mar-25"/>
    <s v="31-Oct-25"/>
    <n v="879"/>
    <n v="53306"/>
    <n v="3"/>
    <s v="S"/>
    <s v="T-1"/>
    <n v="796172"/>
    <s v="MC1E4CAA6SP083538"/>
    <s v="D71069179"/>
    <s v="001"/>
    <s v="SERV KMS  / HRS EXCEEDS"/>
    <x v="10"/>
    <s v="28-Nov-25"/>
    <x v="9"/>
    <n v="1250"/>
    <n v="590053"/>
    <s v="16-Feb-26"/>
    <n v="1000"/>
    <n v="1475"/>
    <n v="225"/>
    <n v="113520"/>
    <s v="16-Feb-26"/>
    <n v="250"/>
    <m/>
    <m/>
    <s v="T1BS6N"/>
    <s v="CVD"/>
    <s v="F"/>
  </r>
  <r>
    <n v="1309"/>
    <s v="NORTH"/>
    <s v="UTTAR PRADESH"/>
    <n v="7134"/>
    <s v="M/S GOENKA AUTO PRIVATE LIMITED."/>
    <s v="VARANASI"/>
    <s v="23-Jul-25"/>
    <s v="05-Oct-25"/>
    <n v="1165"/>
    <n v="7500"/>
    <n v="1"/>
    <s v="S"/>
    <s v="T-1"/>
    <n v="802983"/>
    <s v="MC1E4EEA7SP016310"/>
    <s v="D71080968"/>
    <m/>
    <m/>
    <x v="10"/>
    <s v="28-Nov-25"/>
    <x v="9"/>
    <n v="1250"/>
    <n v="590053"/>
    <s v="16-Feb-26"/>
    <n v="1250"/>
    <n v="1475"/>
    <n v="225"/>
    <n v="113520"/>
    <s v="16-Feb-26"/>
    <n v="0"/>
    <m/>
    <m/>
    <s v="T1BS6"/>
    <s v="CVD"/>
    <s v="F"/>
  </r>
  <r>
    <n v="1310"/>
    <s v="NORTH"/>
    <s v="UTTAR PRADESH"/>
    <n v="7134"/>
    <s v="M/S GOENKA AUTO PRIVATE LIMITED."/>
    <s v="VARANASI"/>
    <s v="23-Sep-23"/>
    <s v="17-Oct-25"/>
    <n v="1165"/>
    <n v="91500"/>
    <n v="13"/>
    <s v="S"/>
    <s v="T-1"/>
    <n v="753201"/>
    <s v="MC1E4DHA8RP047825"/>
    <s v="D71037972"/>
    <m/>
    <m/>
    <x v="10"/>
    <s v="28-Nov-25"/>
    <x v="9"/>
    <n v="0"/>
    <n v="590053"/>
    <s v="16-Feb-26"/>
    <n v="0"/>
    <n v="0"/>
    <n v="0"/>
    <n v="113520"/>
    <s v="16-Feb-26"/>
    <n v="0"/>
    <m/>
    <m/>
    <s v="T1BS6"/>
    <s v="CVD"/>
    <s v="P"/>
  </r>
  <r>
    <n v="1311"/>
    <s v="NORTH"/>
    <s v="UTTAR PRADESH"/>
    <n v="7134"/>
    <s v="M/S GOENKA AUTO PRIVATE LIMITED."/>
    <s v="VARANASI"/>
    <s v="26-Mar-25"/>
    <s v="09-Oct-25"/>
    <n v="1165"/>
    <n v="16466"/>
    <n v="3"/>
    <s v="S"/>
    <s v="T-1"/>
    <n v="801400"/>
    <s v="MC1E4DCA0SP056435"/>
    <s v="D71075442"/>
    <m/>
    <m/>
    <x v="10"/>
    <s v="28-Nov-25"/>
    <x v="9"/>
    <n v="1250"/>
    <n v="590053"/>
    <s v="16-Feb-26"/>
    <n v="1250"/>
    <n v="1475"/>
    <n v="225"/>
    <n v="113520"/>
    <s v="16-Feb-26"/>
    <n v="0"/>
    <m/>
    <m/>
    <s v="T1BS6"/>
    <s v="CVD"/>
    <s v="F"/>
  </r>
  <r>
    <n v="1312"/>
    <s v="NORTH"/>
    <s v="UTTAR PRADESH"/>
    <n v="7134"/>
    <s v="M/S GOENKA AUTO PRIVATE LIMITED."/>
    <s v="VARANASI"/>
    <s v="29-Mar-25"/>
    <s v="05-Oct-25"/>
    <n v="1165"/>
    <n v="29200"/>
    <n v="3"/>
    <s v="S"/>
    <s v="T-1"/>
    <n v="801496"/>
    <s v="MC1E4ECA8SP015718"/>
    <s v="D71076194"/>
    <m/>
    <m/>
    <x v="10"/>
    <s v="28-Nov-25"/>
    <x v="9"/>
    <n v="1250"/>
    <n v="590053"/>
    <s v="16-Feb-26"/>
    <n v="1250"/>
    <n v="1475"/>
    <n v="225"/>
    <n v="113520"/>
    <s v="16-Feb-26"/>
    <n v="0"/>
    <m/>
    <m/>
    <s v="T1BS6"/>
    <s v="CVD"/>
    <s v="F"/>
  </r>
  <r>
    <n v="1313"/>
    <s v="NORTH"/>
    <s v="UTTAR PRADESH"/>
    <n v="7134"/>
    <s v="M/S GOENKA AUTO PRIVATE LIMITED."/>
    <s v="VARANASI"/>
    <s v="13-Mar-24"/>
    <s v="07-Oct-25"/>
    <n v="687"/>
    <n v="52601"/>
    <n v="7"/>
    <s v="S"/>
    <s v="T1N"/>
    <n v="3137"/>
    <s v="MC1M4ACA2RP001151"/>
    <s v="D71048960"/>
    <m/>
    <m/>
    <x v="10"/>
    <s v="28-Nov-25"/>
    <x v="9"/>
    <n v="1650"/>
    <n v="590053"/>
    <s v="16-Feb-26"/>
    <n v="1650"/>
    <n v="1947"/>
    <n v="297"/>
    <n v="113520"/>
    <s v="16-Feb-26"/>
    <n v="0"/>
    <m/>
    <m/>
    <s v="URBN"/>
    <s v="CVD"/>
    <s v="F"/>
  </r>
  <r>
    <n v="1314"/>
    <s v="NORTH"/>
    <s v="UTTAR PRADESH"/>
    <n v="7134"/>
    <s v="M/S GOENKA AUTO PRIVATE LIMITED."/>
    <s v="VARANASI"/>
    <s v="18-Jul-24"/>
    <s v="29-Oct-25"/>
    <n v="1165"/>
    <n v="69800"/>
    <n v="8"/>
    <s v="S"/>
    <s v="T26"/>
    <n v="776872"/>
    <s v="MC1E4FEAXRP020528"/>
    <s v="D71055105"/>
    <m/>
    <m/>
    <x v="10"/>
    <s v="28-Nov-25"/>
    <x v="9"/>
    <n v="1250"/>
    <n v="590053"/>
    <s v="16-Feb-26"/>
    <n v="1250"/>
    <n v="1475"/>
    <n v="225"/>
    <n v="113520"/>
    <s v="16-Feb-26"/>
    <n v="0"/>
    <m/>
    <m/>
    <s v="T26BS6"/>
    <s v="CVD"/>
    <s v="F"/>
  </r>
  <r>
    <n v="1315"/>
    <s v="NORTH"/>
    <s v="UTTAR PRADESH"/>
    <n v="7134"/>
    <s v="M/S GOENKA AUTO PRIVATE LIMITED."/>
    <s v="VARANASI"/>
    <s v="10-Jul-24"/>
    <s v="09-Oct-25"/>
    <n v="1165"/>
    <n v="90110"/>
    <n v="9"/>
    <s v="S"/>
    <s v="T-1"/>
    <n v="774648"/>
    <s v="MC1E4EFA3RP013218"/>
    <s v="D71056616"/>
    <m/>
    <m/>
    <x v="10"/>
    <s v="28-Nov-25"/>
    <x v="9"/>
    <n v="0"/>
    <n v="590053"/>
    <s v="16-Feb-26"/>
    <n v="0"/>
    <n v="0"/>
    <n v="0"/>
    <n v="113520"/>
    <s v="16-Feb-26"/>
    <n v="0"/>
    <m/>
    <m/>
    <s v="T1BS6"/>
    <s v="CVD"/>
    <s v="P"/>
  </r>
  <r>
    <n v="1316"/>
    <s v="NORTH"/>
    <s v="UTTAR PRADESH"/>
    <n v="7134"/>
    <s v="M/S GOENKA AUTO PRIVATE LIMITED."/>
    <s v="VARANASI"/>
    <s v="28-Dec-24"/>
    <s v="03-Oct-25"/>
    <n v="1108"/>
    <n v="56594"/>
    <n v="6"/>
    <s v="S"/>
    <s v="T1N"/>
    <n v="5897"/>
    <s v="MC1M4ALA7SP002849"/>
    <s v="D71066165"/>
    <m/>
    <m/>
    <x v="10"/>
    <s v="28-Nov-25"/>
    <x v="9"/>
    <n v="0"/>
    <n v="590053"/>
    <s v="16-Feb-26"/>
    <n v="0"/>
    <n v="0"/>
    <n v="0"/>
    <n v="113520"/>
    <s v="16-Feb-26"/>
    <n v="0"/>
    <m/>
    <m/>
    <s v="URBN"/>
    <s v="CVD"/>
    <s v="P"/>
  </r>
  <r>
    <n v="1317"/>
    <s v="NORTH"/>
    <s v="UTTAR PRADESH"/>
    <n v="7134"/>
    <s v="M/S GOENKA AUTO PRIVATE LIMITED."/>
    <s v="VARANASI"/>
    <s v="08-Jul-24"/>
    <s v="26-Oct-25"/>
    <n v="1165"/>
    <n v="100000"/>
    <n v="10"/>
    <s v="S"/>
    <s v="T-1"/>
    <n v="773701"/>
    <s v="MC1E4EFA6RP013147"/>
    <s v="D71056273"/>
    <m/>
    <m/>
    <x v="10"/>
    <s v="28-Nov-25"/>
    <x v="9"/>
    <n v="0"/>
    <n v="590053"/>
    <s v="16-Feb-26"/>
    <n v="0"/>
    <n v="0"/>
    <n v="0"/>
    <n v="113520"/>
    <s v="16-Feb-26"/>
    <n v="0"/>
    <m/>
    <m/>
    <s v="T1BS6"/>
    <s v="CVD"/>
    <s v="P"/>
  </r>
  <r>
    <n v="1318"/>
    <s v="NORTH"/>
    <s v="UTTAR PRADESH"/>
    <n v="7134"/>
    <s v="M/S GOENKA AUTO PRIVATE LIMITED."/>
    <s v="VARANASI"/>
    <s v="24-Mar-25"/>
    <s v="24-Oct-25"/>
    <n v="883"/>
    <n v="52283"/>
    <n v="3"/>
    <s v="S"/>
    <s v="T-1"/>
    <n v="798650"/>
    <s v="MC1E4CAA0SP084197"/>
    <s v="D71070488"/>
    <s v="001"/>
    <s v="SERV KMS  / HRS EXCEEDS"/>
    <x v="10"/>
    <s v="28-Nov-25"/>
    <x v="9"/>
    <n v="1250"/>
    <n v="590053"/>
    <s v="16-Feb-26"/>
    <n v="1000"/>
    <n v="1475"/>
    <n v="225"/>
    <n v="113520"/>
    <s v="16-Feb-26"/>
    <n v="250"/>
    <m/>
    <m/>
    <s v="T1BS6N"/>
    <s v="CVD"/>
    <s v="F"/>
  </r>
  <r>
    <n v="1319"/>
    <s v="NORTH"/>
    <s v="UTTAR PRADESH"/>
    <n v="7134"/>
    <s v="M/S GOENKA AUTO PRIVATE LIMITED."/>
    <s v="VARANASI"/>
    <s v="30-Oct-24"/>
    <s v="14-Oct-25"/>
    <n v="1165"/>
    <n v="38000"/>
    <n v="6"/>
    <s v="S"/>
    <s v="T-1"/>
    <n v="790580"/>
    <s v="MC1E4EKA2SP014274"/>
    <s v="D71063383"/>
    <m/>
    <m/>
    <x v="10"/>
    <s v="28-Nov-25"/>
    <x v="9"/>
    <n v="0"/>
    <n v="590053"/>
    <s v="16-Feb-26"/>
    <n v="0"/>
    <n v="0"/>
    <n v="0"/>
    <n v="113520"/>
    <s v="16-Feb-26"/>
    <n v="0"/>
    <m/>
    <m/>
    <s v="T1BS6"/>
    <s v="CVD"/>
    <s v="P"/>
  </r>
  <r>
    <n v="1320"/>
    <s v="NORTH"/>
    <s v="UTTAR PRADESH"/>
    <n v="7134"/>
    <s v="M/S GOENKA AUTO PRIVATE LIMITED."/>
    <s v="VARANASI"/>
    <s v="16-Apr-24"/>
    <s v="27-Oct-25"/>
    <n v="1165"/>
    <n v="25851"/>
    <n v="4"/>
    <s v="S"/>
    <s v="T-1"/>
    <n v="770705"/>
    <s v="MC1E4DBA7RP051048"/>
    <s v="D71047394"/>
    <m/>
    <m/>
    <x v="10"/>
    <s v="28-Nov-25"/>
    <x v="9"/>
    <n v="1250"/>
    <n v="590053"/>
    <s v="16-Feb-26"/>
    <n v="1250"/>
    <n v="1475"/>
    <n v="225"/>
    <n v="113520"/>
    <s v="16-Feb-26"/>
    <n v="0"/>
    <m/>
    <m/>
    <s v="T1BS6N"/>
    <s v="CVD"/>
    <s v="F"/>
  </r>
  <r>
    <n v="1321"/>
    <s v="NORTH"/>
    <s v="UTTAR PRADESH"/>
    <n v="7134"/>
    <s v="M/S GOENKA AUTO PRIVATE LIMITED."/>
    <s v="VARANASI"/>
    <s v="19-Nov-24"/>
    <s v="07-Oct-25"/>
    <n v="900"/>
    <n v="4022"/>
    <n v="2"/>
    <s v="S"/>
    <s v="T-1"/>
    <n v="781573"/>
    <s v="MC1E4CKA3SP081566"/>
    <s v="D71064193"/>
    <s v="002"/>
    <s v="SERV DATE EXCEEDS"/>
    <x v="10"/>
    <s v="28-Nov-25"/>
    <x v="9"/>
    <n v="1250"/>
    <n v="590053"/>
    <s v="16-Feb-26"/>
    <n v="1000"/>
    <n v="1475"/>
    <n v="225"/>
    <n v="113520"/>
    <s v="16-Feb-26"/>
    <n v="250"/>
    <m/>
    <m/>
    <s v="T1BS6"/>
    <s v="CVD"/>
    <s v="F"/>
  </r>
  <r>
    <n v="1322"/>
    <s v="NORTH"/>
    <s v="UTTAR PRADESH"/>
    <n v="7134"/>
    <s v="M/S GOENKA AUTO PRIVATE LIMITED."/>
    <s v="VARANASI"/>
    <s v="18-Oct-24"/>
    <s v="09-Oct-25"/>
    <n v="1165"/>
    <n v="51628"/>
    <n v="5"/>
    <s v="S"/>
    <s v="T1N"/>
    <n v="5392"/>
    <s v="MC1M4AJA0SP002436"/>
    <s v="D71062823"/>
    <s v="001"/>
    <s v="SERV KMS  / HRS EXCEEDS"/>
    <x v="10"/>
    <s v="28-Nov-25"/>
    <x v="9"/>
    <n v="1650"/>
    <n v="590053"/>
    <s v="16-Feb-26"/>
    <n v="1320"/>
    <n v="1947"/>
    <n v="297"/>
    <n v="113520"/>
    <s v="16-Feb-26"/>
    <n v="330"/>
    <m/>
    <m/>
    <s v="URBN"/>
    <s v="CVD"/>
    <s v="F"/>
  </r>
  <r>
    <n v="1323"/>
    <s v="NORTH"/>
    <s v="UTTAR PRADESH"/>
    <n v="7134"/>
    <s v="M/S GOENKA AUTO PRIVATE LIMITED."/>
    <s v="VARANASI"/>
    <s v="27-Feb-25"/>
    <s v="13-Oct-25"/>
    <n v="1165"/>
    <n v="30142"/>
    <n v="3"/>
    <s v="S"/>
    <s v="T1N"/>
    <n v="6367"/>
    <s v="MC1M4ABA8SP003400"/>
    <s v="D71072085"/>
    <m/>
    <m/>
    <x v="10"/>
    <s v="28-Nov-25"/>
    <x v="9"/>
    <n v="1650"/>
    <n v="590053"/>
    <s v="16-Feb-26"/>
    <n v="1650"/>
    <n v="1947"/>
    <n v="297"/>
    <n v="113520"/>
    <s v="16-Feb-26"/>
    <n v="0"/>
    <m/>
    <m/>
    <s v="URBN"/>
    <s v="CVD"/>
    <s v="F"/>
  </r>
  <r>
    <n v="1324"/>
    <s v="NORTH"/>
    <s v="UTTAR PRADESH"/>
    <n v="7134"/>
    <s v="M/S GOENKA AUTO PRIVATE LIMITED."/>
    <s v="VARANASI"/>
    <s v="25-Mar-25"/>
    <s v="01-Oct-25"/>
    <n v="1165"/>
    <n v="111326"/>
    <n v="5"/>
    <s v="S"/>
    <s v="T-1"/>
    <n v="785188"/>
    <s v="MC1E4EBA7SP015419"/>
    <s v="D71073629"/>
    <s v="001"/>
    <s v="SERV KMS  / HRS EXCEEDS"/>
    <x v="10"/>
    <s v="28-Nov-25"/>
    <x v="9"/>
    <n v="1250"/>
    <n v="590053"/>
    <s v="16-Feb-26"/>
    <n v="1000"/>
    <n v="1475"/>
    <n v="225"/>
    <n v="113520"/>
    <s v="16-Feb-26"/>
    <n v="250"/>
    <m/>
    <m/>
    <s v="T1BS6"/>
    <s v="CVD"/>
    <s v="F"/>
  </r>
  <r>
    <n v="1325"/>
    <s v="NORTH"/>
    <s v="UTTAR PRADESH"/>
    <n v="7134"/>
    <s v="M/S GOENKA AUTO PRIVATE LIMITED."/>
    <s v="VARANASI"/>
    <s v="24-Apr-25"/>
    <s v="29-Oct-25"/>
    <n v="1150"/>
    <n v="12414"/>
    <n v="3"/>
    <s v="S"/>
    <s v="T-1"/>
    <n v="778137"/>
    <s v="MC1E5ECA9SP003316"/>
    <s v="D73001784"/>
    <m/>
    <m/>
    <x v="10"/>
    <s v="28-Nov-25"/>
    <x v="9"/>
    <n v="1250"/>
    <n v="590053"/>
    <s v="16-Feb-26"/>
    <n v="1250"/>
    <n v="1475"/>
    <n v="225"/>
    <n v="113520"/>
    <s v="16-Feb-26"/>
    <n v="0"/>
    <m/>
    <m/>
    <s v="T1CNGL"/>
    <s v="CVD"/>
    <s v="F"/>
  </r>
  <r>
    <n v="1326"/>
    <s v="NORTH"/>
    <s v="UTTAR PRADESH"/>
    <n v="7134"/>
    <s v="M/S GOENKA AUTO PRIVATE LIMITED."/>
    <s v="VARANASI"/>
    <s v="12-May-25"/>
    <s v="30-Sep-25"/>
    <n v="1165"/>
    <n v="7450"/>
    <n v="2"/>
    <s v="S"/>
    <s v="TRAX"/>
    <n v="328366"/>
    <s v="MC1D1DDA0SP001633"/>
    <s v="D72020239"/>
    <s v="002"/>
    <s v="SERV DATE EXCEEDS"/>
    <x v="10"/>
    <s v="28-Nov-25"/>
    <x v="9"/>
    <n v="0"/>
    <n v="590053"/>
    <s v="16-Feb-26"/>
    <n v="0"/>
    <n v="0"/>
    <n v="0"/>
    <n v="113520"/>
    <s v="16-Feb-26"/>
    <n v="0"/>
    <m/>
    <m/>
    <s v="TRXBS6"/>
    <s v="CVD"/>
    <s v="P"/>
  </r>
  <r>
    <n v="1327"/>
    <s v="NORTH"/>
    <s v="UTTAR PRADESH"/>
    <n v="7134"/>
    <s v="M/S GOENKA AUTO PRIVATE LIMITED."/>
    <s v="VARANASI"/>
    <s v="06-Jun-25"/>
    <s v="10-Oct-25"/>
    <n v="1165"/>
    <n v="10000"/>
    <n v="1"/>
    <s v="S"/>
    <s v="T-1"/>
    <n v="802196"/>
    <s v="MC1E4EEA4SP016247"/>
    <s v="D71080336"/>
    <s v="002"/>
    <s v="SERV DATE EXCEEDS"/>
    <x v="10"/>
    <s v="28-Nov-25"/>
    <x v="9"/>
    <n v="1250"/>
    <n v="590053"/>
    <s v="16-Feb-26"/>
    <n v="1000"/>
    <n v="1475"/>
    <n v="225"/>
    <n v="113520"/>
    <s v="16-Feb-26"/>
    <n v="250"/>
    <m/>
    <m/>
    <s v="T1BS6"/>
    <s v="CVD"/>
    <s v="F"/>
  </r>
  <r>
    <n v="1328"/>
    <s v="NORTH"/>
    <s v="UTTAR PRADESH"/>
    <n v="7134"/>
    <s v="M/S GOENKA AUTO PRIVATE LIMITED."/>
    <s v="VARANASI"/>
    <s v="19-Jul-24"/>
    <s v="26-Oct-25"/>
    <n v="1165"/>
    <n v="35996"/>
    <n v="8"/>
    <s v="S"/>
    <s v="TRAX"/>
    <n v="322625"/>
    <s v="MC1D1DEA3RP001537"/>
    <s v="D72015316"/>
    <m/>
    <m/>
    <x v="10"/>
    <s v="28-Nov-25"/>
    <x v="9"/>
    <n v="1250"/>
    <n v="590053"/>
    <s v="16-Feb-26"/>
    <n v="1250"/>
    <n v="1475"/>
    <n v="225"/>
    <n v="113520"/>
    <s v="16-Feb-26"/>
    <n v="0"/>
    <m/>
    <m/>
    <s v="TRXBS6"/>
    <s v="CVD"/>
    <s v="F"/>
  </r>
  <r>
    <n v="1329"/>
    <s v="NORTH"/>
    <s v="UTTAR PRADESH"/>
    <n v="7134"/>
    <s v="M/S GOENKA AUTO PRIVATE LIMITED."/>
    <s v="VARANASI"/>
    <s v="31-Aug-24"/>
    <s v="01-Oct-25"/>
    <n v="1165"/>
    <n v="46899"/>
    <n v="5"/>
    <s v="S"/>
    <s v="T1N"/>
    <n v="4929"/>
    <s v="MC1M4AGA2SP002056"/>
    <s v="D71058792"/>
    <m/>
    <m/>
    <x v="10"/>
    <s v="28-Nov-25"/>
    <x v="9"/>
    <n v="1650"/>
    <n v="590053"/>
    <s v="16-Feb-26"/>
    <n v="1650"/>
    <n v="1947"/>
    <n v="297"/>
    <n v="113520"/>
    <s v="16-Feb-26"/>
    <n v="0"/>
    <m/>
    <m/>
    <s v="URBN"/>
    <s v="CVD"/>
    <s v="F"/>
  </r>
  <r>
    <n v="1330"/>
    <s v="NORTH"/>
    <s v="UTTAR PRADESH"/>
    <n v="7134"/>
    <s v="M/S GOENKA AUTO PRIVATE LIMITED."/>
    <s v="VARANASI"/>
    <s v="31-Jan-24"/>
    <s v="17-Oct-25"/>
    <n v="1165"/>
    <n v="70000"/>
    <n v="7"/>
    <s v="S"/>
    <s v="T1N"/>
    <n v="2073"/>
    <s v="MC1M4AAA5RP000921"/>
    <s v="D71044541"/>
    <m/>
    <m/>
    <x v="10"/>
    <s v="28-Nov-25"/>
    <x v="9"/>
    <n v="1650"/>
    <n v="590053"/>
    <s v="16-Feb-26"/>
    <n v="1650"/>
    <n v="1947"/>
    <n v="297"/>
    <n v="113520"/>
    <s v="16-Feb-26"/>
    <n v="0"/>
    <m/>
    <m/>
    <s v="URBN"/>
    <s v="CVD"/>
    <s v="F"/>
  </r>
  <r>
    <n v="1331"/>
    <s v="NORTH"/>
    <s v="UTTAR PRADESH"/>
    <n v="7134"/>
    <s v="M/S GOENKA AUTO PRIVATE LIMITED."/>
    <s v="VARANASI"/>
    <s v="23-Mar-25"/>
    <s v="13-Oct-25"/>
    <n v="875"/>
    <n v="54200"/>
    <n v="3"/>
    <s v="S"/>
    <s v="T-1"/>
    <n v="796123"/>
    <s v="MC1E4CAAXSP083574"/>
    <s v="D71069315"/>
    <s v="001"/>
    <s v="SERV KMS  / HRS EXCEEDS"/>
    <x v="10"/>
    <s v="28-Nov-25"/>
    <x v="9"/>
    <n v="1250"/>
    <n v="590053"/>
    <s v="16-Feb-26"/>
    <n v="1000"/>
    <n v="1475"/>
    <n v="225"/>
    <n v="113520"/>
    <s v="16-Feb-26"/>
    <n v="250"/>
    <m/>
    <m/>
    <s v="T1BS6N"/>
    <s v="CVD"/>
    <s v="F"/>
  </r>
  <r>
    <n v="1332"/>
    <s v="NORTH"/>
    <s v="UTTAR PRADESH"/>
    <n v="7134"/>
    <s v="M/S GOENKA AUTO PRIVATE LIMITED."/>
    <s v="VARANASI"/>
    <s v="21-Feb-25"/>
    <s v="31-Oct-25"/>
    <n v="1165"/>
    <n v="29570"/>
    <n v="4"/>
    <s v="S"/>
    <s v="T-1"/>
    <n v="790437"/>
    <s v="MC1E4EBA1SP015190"/>
    <s v="D71071493"/>
    <m/>
    <m/>
    <x v="10"/>
    <s v="28-Nov-25"/>
    <x v="9"/>
    <n v="0"/>
    <n v="590053"/>
    <s v="16-Feb-26"/>
    <n v="0"/>
    <n v="0"/>
    <n v="0"/>
    <n v="113520"/>
    <s v="16-Feb-26"/>
    <n v="0"/>
    <m/>
    <m/>
    <s v="T1BS6"/>
    <s v="CVD"/>
    <s v="P"/>
  </r>
  <r>
    <n v="1333"/>
    <s v="NORTH"/>
    <s v="UTTAR PRADESH"/>
    <n v="7134"/>
    <s v="M/S GOENKA AUTO PRIVATE LIMITED."/>
    <s v="VARANASI"/>
    <s v="18-Aug-25"/>
    <s v="07-Oct-25"/>
    <n v="1165"/>
    <n v="7213"/>
    <n v="1"/>
    <s v="S"/>
    <s v="T1N"/>
    <n v="8254"/>
    <s v="MC1M4AGA9TP005375"/>
    <s v="D71086045"/>
    <m/>
    <m/>
    <x v="10"/>
    <s v="28-Nov-25"/>
    <x v="9"/>
    <n v="1650"/>
    <n v="590053"/>
    <s v="16-Feb-26"/>
    <n v="1650"/>
    <n v="1947"/>
    <n v="297"/>
    <n v="113520"/>
    <s v="16-Feb-26"/>
    <n v="0"/>
    <m/>
    <m/>
    <s v="URBN"/>
    <s v="CVD"/>
    <s v="F"/>
  </r>
  <r>
    <n v="1334"/>
    <s v="NORTH"/>
    <s v="UTTAR PRADESH"/>
    <n v="7134"/>
    <s v="M/S GOENKA AUTO PRIVATE LIMITED."/>
    <s v="VARANASI"/>
    <s v="29-Apr-24"/>
    <s v="06-Oct-25"/>
    <n v="1165"/>
    <n v="89475"/>
    <n v="9"/>
    <s v="S"/>
    <s v="T26"/>
    <n v="776069"/>
    <s v="MC1E4FDA3RP020047"/>
    <s v="D71052347"/>
    <m/>
    <m/>
    <x v="10"/>
    <s v="28-Nov-25"/>
    <x v="9"/>
    <n v="0"/>
    <n v="590053"/>
    <s v="16-Feb-26"/>
    <n v="0"/>
    <n v="0"/>
    <n v="0"/>
    <n v="113520"/>
    <s v="16-Feb-26"/>
    <n v="0"/>
    <m/>
    <m/>
    <s v="T26BS6"/>
    <s v="CVD"/>
    <s v="P"/>
  </r>
  <r>
    <n v="1335"/>
    <s v="NORTH"/>
    <s v="UTTAR PRADESH"/>
    <n v="7134"/>
    <s v="M/S GOENKA AUTO PRIVATE LIMITED."/>
    <s v="VARANASI"/>
    <s v="31-Mar-25"/>
    <s v="28-Oct-25"/>
    <n v="840"/>
    <n v="49497"/>
    <n v="3"/>
    <s v="S"/>
    <s v="T-1"/>
    <n v="795039"/>
    <s v="MC1E4CAA5SP084180"/>
    <s v="D71070495"/>
    <m/>
    <m/>
    <x v="10"/>
    <s v="28-Nov-25"/>
    <x v="9"/>
    <n v="1250"/>
    <n v="590053"/>
    <s v="16-Feb-26"/>
    <n v="1250"/>
    <n v="1475"/>
    <n v="225"/>
    <n v="113520"/>
    <s v="16-Feb-26"/>
    <n v="0"/>
    <m/>
    <m/>
    <s v="T1BS6N"/>
    <s v="CVD"/>
    <s v="F"/>
  </r>
  <r>
    <n v="1336"/>
    <s v="NORTH"/>
    <s v="UTTAR PRADESH"/>
    <n v="7134"/>
    <s v="M/S GOENKA AUTO PRIVATE LIMITED."/>
    <s v="VARANASI"/>
    <s v="31-Jan-24"/>
    <s v="29-Oct-25"/>
    <n v="750"/>
    <n v="30883"/>
    <n v="7"/>
    <s v="S"/>
    <s v="T1N"/>
    <n v="2072"/>
    <s v="MC1M4AAA0RP000924"/>
    <s v="D71044973"/>
    <m/>
    <m/>
    <x v="10"/>
    <s v="28-Nov-25"/>
    <x v="9"/>
    <n v="1650"/>
    <n v="590053"/>
    <s v="16-Feb-26"/>
    <n v="1650"/>
    <n v="1947"/>
    <n v="297"/>
    <n v="113520"/>
    <s v="16-Feb-26"/>
    <n v="0"/>
    <m/>
    <m/>
    <s v="URBN"/>
    <s v="CVD"/>
    <s v="F"/>
  </r>
  <r>
    <n v="1337"/>
    <s v="NORTH"/>
    <s v="UTTAR PRADESH"/>
    <n v="7134"/>
    <s v="M/S GOENKA AUTO PRIVATE LIMITED."/>
    <s v="VARANASI"/>
    <s v="28-Oct-24"/>
    <s v="24-Oct-25"/>
    <n v="1165"/>
    <n v="48198"/>
    <n v="5"/>
    <s v="S"/>
    <s v="T1N"/>
    <n v="4952"/>
    <s v="MC1M4AKA7SP002562"/>
    <s v="D71063886"/>
    <m/>
    <m/>
    <x v="10"/>
    <s v="28-Nov-25"/>
    <x v="9"/>
    <n v="1650"/>
    <n v="590053"/>
    <s v="16-Feb-26"/>
    <n v="1650"/>
    <n v="1947"/>
    <n v="297"/>
    <n v="113520"/>
    <s v="16-Feb-26"/>
    <n v="0"/>
    <m/>
    <m/>
    <s v="URBN"/>
    <s v="CVD"/>
    <s v="F"/>
  </r>
  <r>
    <n v="1338"/>
    <s v="NORTH"/>
    <s v="UTTAR PRADESH"/>
    <n v="7134"/>
    <s v="M/S GOENKA AUTO PRIVATE LIMITED."/>
    <s v="VARANASI"/>
    <s v="18-Nov-24"/>
    <s v="06-Oct-25"/>
    <n v="900"/>
    <n v="3127"/>
    <n v="2"/>
    <s v="S"/>
    <s v="T-1"/>
    <n v="782999"/>
    <s v="MC1E4CKA7SP081537"/>
    <s v="D71064335"/>
    <s v="002"/>
    <s v="SERV DATE EXCEEDS"/>
    <x v="10"/>
    <s v="28-Nov-25"/>
    <x v="9"/>
    <n v="1250"/>
    <n v="590053"/>
    <s v="16-Feb-26"/>
    <n v="1000"/>
    <n v="1475"/>
    <n v="225"/>
    <n v="113520"/>
    <s v="16-Feb-26"/>
    <n v="250"/>
    <m/>
    <m/>
    <s v="T1BS6"/>
    <s v="CVD"/>
    <s v="F"/>
  </r>
  <r>
    <n v="1339"/>
    <s v="NORTH"/>
    <s v="UTTAR PRADESH"/>
    <n v="7134"/>
    <s v="M/S GOENKA AUTO PRIVATE LIMITED."/>
    <s v="VARANASI"/>
    <s v="09-Aug-25"/>
    <s v="06-Oct-25"/>
    <n v="1165"/>
    <n v="2068"/>
    <n v="2"/>
    <s v="S"/>
    <s v="T26"/>
    <n v="805597"/>
    <s v="MC1E4FGA6TP024192"/>
    <s v="D71084960"/>
    <s v="022"/>
    <s v="SERVICE COUPON HARD COPY NOT RECEIVED"/>
    <x v="10"/>
    <s v="28-Nov-25"/>
    <x v="9"/>
    <n v="0"/>
    <n v="590053"/>
    <s v="16-Feb-26"/>
    <n v="0"/>
    <n v="0"/>
    <n v="0"/>
    <n v="113520"/>
    <s v="16-Feb-26"/>
    <n v="0"/>
    <m/>
    <m/>
    <s v="T26BS6"/>
    <s v="CVD"/>
    <s v="P"/>
  </r>
  <r>
    <n v="1340"/>
    <s v="NORTH"/>
    <s v="UTTAR PRADESH"/>
    <n v="7134"/>
    <s v="M/S GOENKA AUTO PRIVATE LIMITED."/>
    <s v="VARANASI"/>
    <s v="24-Jul-25"/>
    <s v="06-Oct-25"/>
    <n v="1165"/>
    <n v="5868"/>
    <n v="1"/>
    <s v="S"/>
    <s v="T1N"/>
    <n v="8573"/>
    <s v="MC1M4AFA4SP005137"/>
    <s v="D71084206"/>
    <m/>
    <m/>
    <x v="10"/>
    <s v="28-Nov-25"/>
    <x v="9"/>
    <n v="1650"/>
    <n v="590053"/>
    <s v="16-Feb-26"/>
    <n v="1650"/>
    <n v="1947"/>
    <n v="297"/>
    <n v="113520"/>
    <s v="16-Feb-26"/>
    <n v="0"/>
    <m/>
    <m/>
    <s v="URBN"/>
    <s v="CVD"/>
    <s v="F"/>
  </r>
  <r>
    <n v="1341"/>
    <s v="NORTH"/>
    <s v="UTTAR PRADESH"/>
    <n v="7134"/>
    <s v="M/S GOENKA AUTO PRIVATE LIMITED."/>
    <s v="VARANASI"/>
    <s v="18-Jan-25"/>
    <s v="15-Oct-25"/>
    <n v="1165"/>
    <n v="28050"/>
    <n v="4"/>
    <s v="S"/>
    <s v="T-1"/>
    <n v="790037"/>
    <s v="MC1E4EKA7SP014402"/>
    <s v="D71064055"/>
    <s v="002"/>
    <s v="SERV DATE EXCEEDS"/>
    <x v="10"/>
    <s v="28-Nov-25"/>
    <x v="9"/>
    <n v="0"/>
    <n v="590053"/>
    <s v="16-Feb-26"/>
    <n v="0"/>
    <n v="0"/>
    <n v="0"/>
    <n v="113520"/>
    <s v="16-Feb-26"/>
    <n v="0"/>
    <m/>
    <m/>
    <s v="T1BS6"/>
    <s v="CVD"/>
    <s v="P"/>
  </r>
  <r>
    <n v="1342"/>
    <s v="NORTH"/>
    <s v="UTTAR PRADESH"/>
    <n v="7134"/>
    <s v="M/S GOENKA AUTO PRIVATE LIMITED."/>
    <s v="VARANASI"/>
    <s v="26-Aug-25"/>
    <s v="16-Oct-25"/>
    <n v="1165"/>
    <n v="8167"/>
    <n v="1"/>
    <s v="S"/>
    <s v="T26"/>
    <n v="805626"/>
    <s v="MC1E4FHA6TP024451"/>
    <s v="D71084603"/>
    <m/>
    <m/>
    <x v="10"/>
    <s v="28-Nov-25"/>
    <x v="9"/>
    <n v="1250"/>
    <n v="590053"/>
    <s v="16-Feb-26"/>
    <n v="1250"/>
    <n v="1475"/>
    <n v="225"/>
    <n v="113520"/>
    <s v="16-Feb-26"/>
    <n v="0"/>
    <m/>
    <m/>
    <s v="T26BS6"/>
    <s v="CVD"/>
    <s v="F"/>
  </r>
  <r>
    <n v="1343"/>
    <s v="NORTH"/>
    <s v="UTTAR PRADESH"/>
    <n v="7134"/>
    <s v="M/S GOENKA AUTO PRIVATE LIMITED."/>
    <s v="VARANASI"/>
    <s v="27-Jan-25"/>
    <s v="23-Oct-25"/>
    <n v="2500"/>
    <n v="40000"/>
    <n v="4"/>
    <s v="S"/>
    <s v="T-1"/>
    <n v="792320"/>
    <s v="MC1E4EKA6SP014620"/>
    <s v="D71065098"/>
    <s v="002"/>
    <s v="SERV DATE EXCEEDS"/>
    <x v="10"/>
    <s v="28-Nov-25"/>
    <x v="9"/>
    <n v="0"/>
    <n v="590053"/>
    <s v="16-Feb-26"/>
    <n v="0"/>
    <n v="0"/>
    <n v="0"/>
    <n v="113520"/>
    <s v="16-Feb-26"/>
    <n v="0"/>
    <m/>
    <m/>
    <s v="T1BS6"/>
    <s v="CVD"/>
    <s v="P"/>
  </r>
  <r>
    <n v="1344"/>
    <s v="NORTH"/>
    <s v="UTTAR PRADESH"/>
    <n v="7134"/>
    <s v="M/S GOENKA AUTO PRIVATE LIMITED."/>
    <s v="VARANASI"/>
    <s v="05-Jun-25"/>
    <s v="08-Oct-25"/>
    <n v="1165"/>
    <n v="8600"/>
    <n v="2"/>
    <s v="S"/>
    <s v="T-1"/>
    <n v="802873"/>
    <s v="MC1E4EEA6SP016279"/>
    <s v="D71080664"/>
    <m/>
    <m/>
    <x v="10"/>
    <s v="28-Nov-25"/>
    <x v="9"/>
    <n v="0"/>
    <n v="590053"/>
    <s v="16-Feb-26"/>
    <n v="0"/>
    <n v="0"/>
    <n v="0"/>
    <n v="113520"/>
    <s v="16-Feb-26"/>
    <n v="0"/>
    <m/>
    <m/>
    <s v="T1BS6"/>
    <s v="CVD"/>
    <s v="P"/>
  </r>
  <r>
    <n v="1345"/>
    <s v="NORTH"/>
    <s v="UTTAR PRADESH"/>
    <n v="7134"/>
    <s v="M/S GOENKA AUTO PRIVATE LIMITED."/>
    <s v="VARANASI"/>
    <s v="25-Sep-23"/>
    <s v="03-Oct-25"/>
    <n v="1165"/>
    <n v="118265"/>
    <n v="12"/>
    <s v="S"/>
    <s v="T-1"/>
    <n v="753574"/>
    <s v="MC1E4DJA1RP048101"/>
    <s v="D71039051"/>
    <m/>
    <m/>
    <x v="10"/>
    <s v="28-Nov-25"/>
    <x v="9"/>
    <n v="0"/>
    <n v="590053"/>
    <s v="16-Feb-26"/>
    <n v="0"/>
    <n v="0"/>
    <n v="0"/>
    <n v="113520"/>
    <s v="16-Feb-26"/>
    <n v="0"/>
    <m/>
    <m/>
    <s v="T1BS6"/>
    <s v="CVD"/>
    <s v="P"/>
  </r>
  <r>
    <n v="1346"/>
    <s v="NORTH"/>
    <s v="UTTAR PRADESH"/>
    <n v="7134"/>
    <s v="M/S GOENKA AUTO PRIVATE LIMITED."/>
    <s v="VARANASI"/>
    <s v="24-Mar-25"/>
    <s v="15-Oct-25"/>
    <n v="872"/>
    <n v="47000"/>
    <n v="3"/>
    <s v="S"/>
    <s v="T-1"/>
    <n v="796573"/>
    <s v="MC1E4CAA0SP084278"/>
    <s v="D71070689"/>
    <m/>
    <m/>
    <x v="10"/>
    <s v="28-Nov-25"/>
    <x v="9"/>
    <n v="1250"/>
    <n v="590053"/>
    <s v="16-Feb-26"/>
    <n v="1250"/>
    <n v="1475"/>
    <n v="225"/>
    <n v="113520"/>
    <s v="16-Feb-26"/>
    <n v="0"/>
    <m/>
    <m/>
    <s v="T1BS6N"/>
    <s v="CVD"/>
    <s v="F"/>
  </r>
  <r>
    <n v="1347"/>
    <s v="NORTH"/>
    <s v="UTTAR PRADESH"/>
    <n v="7134"/>
    <s v="M/S GOENKA AUTO PRIVATE LIMITED."/>
    <s v="VARANASI"/>
    <s v="28-Sep-24"/>
    <s v="29-Oct-25"/>
    <n v="1165"/>
    <n v="57447"/>
    <n v="7"/>
    <s v="S"/>
    <s v="T26"/>
    <n v="789775"/>
    <s v="MC1E4FHA2SP021349"/>
    <s v="D71060882"/>
    <m/>
    <m/>
    <x v="10"/>
    <s v="28-Nov-25"/>
    <x v="9"/>
    <n v="0"/>
    <n v="590053"/>
    <s v="16-Feb-26"/>
    <n v="0"/>
    <n v="0"/>
    <n v="0"/>
    <n v="113520"/>
    <s v="16-Feb-26"/>
    <n v="0"/>
    <m/>
    <m/>
    <s v="T26BS6"/>
    <s v="CVD"/>
    <s v="P"/>
  </r>
  <r>
    <n v="1348"/>
    <s v="NORTH"/>
    <s v="UTTAR PRADESH"/>
    <n v="7134"/>
    <s v="M/S GOENKA AUTO PRIVATE LIMITED."/>
    <s v="VARANASI"/>
    <s v="10-Jul-25"/>
    <s v="31-Oct-25"/>
    <n v="1165"/>
    <n v="14499"/>
    <n v="2"/>
    <s v="S"/>
    <s v="T1N"/>
    <n v="7892"/>
    <s v="MC1M4AFA7SP005116"/>
    <s v="D71084105"/>
    <m/>
    <m/>
    <x v="10"/>
    <s v="28-Nov-25"/>
    <x v="9"/>
    <n v="0"/>
    <n v="590053"/>
    <s v="16-Feb-26"/>
    <n v="0"/>
    <n v="0"/>
    <n v="0"/>
    <n v="113520"/>
    <s v="16-Feb-26"/>
    <n v="0"/>
    <m/>
    <m/>
    <s v="URBN"/>
    <s v="CVD"/>
    <s v="P"/>
  </r>
  <r>
    <n v="1349"/>
    <s v="NORTH"/>
    <s v="UTTAR PRADESH"/>
    <n v="7134"/>
    <s v="M/S GOENKA AUTO PRIVATE LIMITED."/>
    <s v="VARANASI"/>
    <s v="31-Jul-23"/>
    <s v="07-Oct-25"/>
    <n v="1165"/>
    <n v="70704"/>
    <n v="13"/>
    <s v="S"/>
    <s v="T-1"/>
    <n v="751190"/>
    <s v="MC1E4DGA2RP046977"/>
    <s v="D71033670"/>
    <m/>
    <m/>
    <x v="10"/>
    <s v="28-Nov-25"/>
    <x v="9"/>
    <n v="0"/>
    <n v="590053"/>
    <s v="16-Feb-26"/>
    <n v="0"/>
    <n v="0"/>
    <n v="0"/>
    <n v="113520"/>
    <s v="16-Feb-26"/>
    <n v="0"/>
    <m/>
    <m/>
    <s v="T1BS6"/>
    <s v="CVD"/>
    <s v="P"/>
  </r>
  <r>
    <n v="1350"/>
    <s v="NORTH"/>
    <s v="UTTAR PRADESH"/>
    <n v="7134"/>
    <s v="M/S GOENKA AUTO PRIVATE LIMITED."/>
    <s v="VARANASI"/>
    <s v="20-Aug-24"/>
    <s v="27-Oct-25"/>
    <n v="951"/>
    <n v="59747"/>
    <n v="6"/>
    <s v="S"/>
    <s v="T1N"/>
    <n v="4698"/>
    <s v="MC1M4AFA4RP001924"/>
    <s v="D71057611"/>
    <m/>
    <m/>
    <x v="10"/>
    <s v="28-Nov-25"/>
    <x v="9"/>
    <n v="0"/>
    <n v="590053"/>
    <s v="16-Feb-26"/>
    <n v="0"/>
    <n v="0"/>
    <n v="0"/>
    <n v="113520"/>
    <s v="16-Feb-26"/>
    <n v="0"/>
    <m/>
    <m/>
    <s v="URBN"/>
    <s v="CVD"/>
    <s v="P"/>
  </r>
  <r>
    <n v="1351"/>
    <s v="NORTH"/>
    <s v="UTTAR PRADESH"/>
    <n v="7134"/>
    <s v="M/S GOENKA AUTO PRIVATE LIMITED."/>
    <s v="VARANASI"/>
    <s v="21-Oct-24"/>
    <s v="01-Oct-25"/>
    <n v="1165"/>
    <n v="59122"/>
    <n v="6"/>
    <s v="S"/>
    <s v="T-1"/>
    <n v="787041"/>
    <s v="MC1E4EHA9SP013856"/>
    <s v="D71061114"/>
    <m/>
    <m/>
    <x v="10"/>
    <s v="28-Nov-25"/>
    <x v="9"/>
    <n v="0"/>
    <n v="590053"/>
    <s v="16-Feb-26"/>
    <n v="0"/>
    <n v="0"/>
    <n v="0"/>
    <n v="113520"/>
    <s v="16-Feb-26"/>
    <n v="0"/>
    <m/>
    <m/>
    <s v="T1BS6"/>
    <s v="CVD"/>
    <s v="P"/>
  </r>
  <r>
    <n v="1352"/>
    <s v="NORTH"/>
    <s v="UTTAR PRADESH"/>
    <n v="7134"/>
    <s v="M/S GOENKA AUTO PRIVATE LIMITED."/>
    <s v="VARANASI"/>
    <s v="28-May-25"/>
    <s v="14-Oct-25"/>
    <n v="1165"/>
    <n v="9839"/>
    <n v="2"/>
    <s v="S"/>
    <s v="TRAX"/>
    <n v="327378"/>
    <s v="MC1D4DBAXSP107453"/>
    <s v="D72019077"/>
    <s v="002"/>
    <s v="SERV DATE EXCEEDS"/>
    <x v="10"/>
    <s v="28-Nov-25"/>
    <x v="9"/>
    <n v="0"/>
    <n v="590053"/>
    <s v="16-Feb-26"/>
    <n v="0"/>
    <n v="0"/>
    <n v="0"/>
    <n v="113520"/>
    <s v="16-Feb-26"/>
    <n v="0"/>
    <m/>
    <m/>
    <s v="TRXBS6"/>
    <s v="CVD"/>
    <s v="P"/>
  </r>
  <r>
    <n v="1353"/>
    <s v="NORTH"/>
    <s v="UTTAR PRADESH"/>
    <n v="7134"/>
    <s v="M/S GOENKA AUTO PRIVATE LIMITED."/>
    <s v="VARANASI"/>
    <s v="30-Jun-23"/>
    <s v="17-Oct-25"/>
    <n v="1165"/>
    <n v="126770"/>
    <n v="12"/>
    <s v="S"/>
    <s v="TRAX"/>
    <n v="317176"/>
    <s v="MC1D4DFAXPP100326"/>
    <s v="D72010898"/>
    <s v="001"/>
    <s v="SERV KMS  / HRS EXCEEDS"/>
    <x v="10"/>
    <s v="28-Nov-25"/>
    <x v="9"/>
    <n v="0"/>
    <n v="590053"/>
    <s v="16-Feb-26"/>
    <n v="0"/>
    <n v="0"/>
    <n v="0"/>
    <n v="113520"/>
    <s v="16-Feb-26"/>
    <n v="0"/>
    <m/>
    <m/>
    <s v="TRXBS6"/>
    <s v="CVD"/>
    <s v="P"/>
  </r>
  <r>
    <n v="1354"/>
    <s v="NORTH"/>
    <s v="UTTAR PRADESH"/>
    <n v="7134"/>
    <s v="M/S GOENKA AUTO PRIVATE LIMITED."/>
    <s v="VARANASI"/>
    <s v="24-Jul-24"/>
    <s v="01-Oct-25"/>
    <n v="1165"/>
    <n v="47775"/>
    <n v="7"/>
    <s v="S"/>
    <s v="T-1"/>
    <n v="774079"/>
    <s v="MC1E4DFA8RP053465"/>
    <s v="D71057531"/>
    <m/>
    <m/>
    <x v="10"/>
    <s v="28-Nov-25"/>
    <x v="9"/>
    <n v="0"/>
    <n v="590053"/>
    <s v="16-Feb-26"/>
    <n v="0"/>
    <n v="0"/>
    <n v="0"/>
    <n v="113520"/>
    <s v="16-Feb-26"/>
    <n v="0"/>
    <m/>
    <m/>
    <s v="T1BS6"/>
    <s v="CVD"/>
    <s v="P"/>
  </r>
  <r>
    <n v="1355"/>
    <s v="NORTH"/>
    <s v="UTTAR PRADESH"/>
    <n v="7134"/>
    <s v="M/S GOENKA AUTO PRIVATE LIMITED."/>
    <s v="VARANASI"/>
    <s v="22-Jun-24"/>
    <s v="10-Oct-25"/>
    <n v="1165"/>
    <n v="81867"/>
    <n v="8"/>
    <s v="S"/>
    <s v="T-1"/>
    <n v="774638"/>
    <s v="MC1E4EDA9RP012805"/>
    <s v="D71053488"/>
    <s v="001"/>
    <s v="SERV KMS  / HRS EXCEEDS"/>
    <x v="10"/>
    <s v="28-Nov-25"/>
    <x v="9"/>
    <n v="1250"/>
    <n v="590053"/>
    <s v="16-Feb-26"/>
    <n v="1000"/>
    <n v="1475"/>
    <n v="225"/>
    <n v="113520"/>
    <s v="16-Feb-26"/>
    <n v="250"/>
    <m/>
    <m/>
    <s v="T1BS6"/>
    <s v="CVD"/>
    <s v="F"/>
  </r>
  <r>
    <n v="1356"/>
    <s v="NORTH"/>
    <s v="UTTAR PRADESH"/>
    <n v="7134"/>
    <s v="M/S GOENKA AUTO PRIVATE LIMITED."/>
    <s v="VARANASI"/>
    <s v="14-Oct-24"/>
    <s v="01-Oct-25"/>
    <n v="1165"/>
    <n v="50000"/>
    <n v="5"/>
    <s v="S"/>
    <s v="T1N"/>
    <n v="5472"/>
    <s v="MC1M4AKA7SP002481"/>
    <s v="D71063459"/>
    <m/>
    <m/>
    <x v="10"/>
    <s v="28-Nov-25"/>
    <x v="9"/>
    <n v="1650"/>
    <n v="590053"/>
    <s v="16-Feb-26"/>
    <n v="1650"/>
    <n v="1947"/>
    <n v="297"/>
    <n v="113520"/>
    <s v="16-Feb-26"/>
    <n v="0"/>
    <m/>
    <m/>
    <s v="URBN"/>
    <s v="CVD"/>
    <s v="F"/>
  </r>
  <r>
    <n v="1357"/>
    <s v="NORTH"/>
    <s v="UTTAR PRADESH"/>
    <n v="7134"/>
    <s v="M/S GOENKA AUTO PRIVATE LIMITED."/>
    <s v="VARANASI"/>
    <s v="28-Apr-25"/>
    <s v="27-Oct-25"/>
    <n v="1150"/>
    <n v="13245"/>
    <n v="3"/>
    <s v="S"/>
    <s v="T-1"/>
    <n v="778181"/>
    <s v="MC1E5EDA4SP003335"/>
    <s v="D73001808"/>
    <m/>
    <m/>
    <x v="10"/>
    <s v="28-Nov-25"/>
    <x v="9"/>
    <n v="1250"/>
    <n v="590053"/>
    <s v="16-Feb-26"/>
    <n v="1250"/>
    <n v="1475"/>
    <n v="225"/>
    <n v="113520"/>
    <s v="16-Feb-26"/>
    <n v="0"/>
    <m/>
    <m/>
    <s v="T1CNGL"/>
    <s v="CVD"/>
    <s v="F"/>
  </r>
  <r>
    <n v="1358"/>
    <s v="NORTH"/>
    <s v="UTTAR PRADESH"/>
    <n v="7134"/>
    <s v="M/S GOENKA AUTO PRIVATE LIMITED."/>
    <s v="VARANASI"/>
    <s v="12-Apr-24"/>
    <s v="24-Oct-25"/>
    <n v="1165"/>
    <n v="32168"/>
    <n v="4"/>
    <s v="S"/>
    <s v="T26"/>
    <n v="768513"/>
    <s v="MC1E4FCA1RP019724"/>
    <s v="D71049999"/>
    <s v="002"/>
    <s v="SERV DATE EXCEEDS"/>
    <x v="10"/>
    <s v="28-Nov-25"/>
    <x v="9"/>
    <n v="1250"/>
    <n v="590053"/>
    <s v="16-Feb-26"/>
    <n v="1000"/>
    <n v="1475"/>
    <n v="225"/>
    <n v="113520"/>
    <s v="16-Feb-26"/>
    <n v="250"/>
    <m/>
    <m/>
    <s v="T26BS6"/>
    <s v="CVD"/>
    <s v="F"/>
  </r>
  <r>
    <n v="1359"/>
    <s v="NORTH"/>
    <s v="UTTAR PRADESH"/>
    <n v="7134"/>
    <s v="M/S GOENKA AUTO PRIVATE LIMITED."/>
    <s v="VARANASI"/>
    <s v="13-May-25"/>
    <s v="16-Oct-25"/>
    <n v="1165"/>
    <n v="20000"/>
    <n v="2"/>
    <s v="S"/>
    <s v="TRAX"/>
    <n v="326025"/>
    <s v="MC1D4DLA6SP106329"/>
    <s v="D72017803"/>
    <s v="002"/>
    <s v="SERV DATE EXCEEDS"/>
    <x v="10"/>
    <s v="28-Nov-25"/>
    <x v="9"/>
    <n v="0"/>
    <n v="590053"/>
    <s v="16-Feb-26"/>
    <n v="0"/>
    <n v="0"/>
    <n v="0"/>
    <n v="113520"/>
    <s v="16-Feb-26"/>
    <n v="0"/>
    <m/>
    <m/>
    <s v="TRXBS6"/>
    <s v="CVD"/>
    <s v="P"/>
  </r>
  <r>
    <n v="1360"/>
    <s v="NORTH"/>
    <s v="UTTAR PRADESH"/>
    <n v="7134"/>
    <s v="M/S GOENKA AUTO PRIVATE LIMITED."/>
    <s v="VARANASI"/>
    <s v="06-Mar-25"/>
    <s v="15-Oct-25"/>
    <n v="1165"/>
    <n v="40323"/>
    <n v="4"/>
    <s v="S"/>
    <s v="T-1"/>
    <n v="792931"/>
    <s v="MC1E4EBA7SP015193"/>
    <s v="D71071490"/>
    <m/>
    <m/>
    <x v="10"/>
    <s v="28-Nov-25"/>
    <x v="9"/>
    <n v="0"/>
    <n v="590053"/>
    <s v="16-Feb-26"/>
    <n v="0"/>
    <n v="0"/>
    <n v="0"/>
    <n v="113520"/>
    <s v="16-Feb-26"/>
    <n v="0"/>
    <m/>
    <m/>
    <s v="T1BS6"/>
    <s v="CVD"/>
    <s v="P"/>
  </r>
  <r>
    <n v="1361"/>
    <s v="NORTH"/>
    <s v="UTTAR PRADESH"/>
    <n v="7134"/>
    <s v="M/S GOENKA AUTO PRIVATE LIMITED."/>
    <s v="VARANASI"/>
    <s v="01-May-25"/>
    <s v="31-Oct-25"/>
    <n v="1150"/>
    <n v="14527"/>
    <n v="3"/>
    <s v="S"/>
    <s v="T-1"/>
    <n v="778388"/>
    <s v="MC1E5EDA9SP003332"/>
    <s v="D73001797"/>
    <m/>
    <m/>
    <x v="10"/>
    <s v="28-Nov-25"/>
    <x v="9"/>
    <n v="1250"/>
    <n v="590053"/>
    <s v="16-Feb-26"/>
    <n v="1250"/>
    <n v="1475"/>
    <n v="225"/>
    <n v="113520"/>
    <s v="16-Feb-26"/>
    <n v="0"/>
    <m/>
    <m/>
    <s v="T1CNGL"/>
    <s v="CVD"/>
    <s v="F"/>
  </r>
  <r>
    <n v="1362"/>
    <s v="NORTH"/>
    <s v="UTTAR PRADESH"/>
    <n v="7134"/>
    <s v="M/S GOENKA AUTO PRIVATE LIMITED."/>
    <s v="VARANASI"/>
    <s v="31-Dec-24"/>
    <s v="07-Oct-25"/>
    <n v="1165"/>
    <n v="47282"/>
    <n v="5"/>
    <s v="S"/>
    <s v="T1N"/>
    <n v="5607"/>
    <s v="MC1M4ALA7SP002799"/>
    <s v="D71065600"/>
    <m/>
    <m/>
    <x v="10"/>
    <s v="28-Nov-25"/>
    <x v="9"/>
    <n v="1650"/>
    <n v="590053"/>
    <s v="16-Feb-26"/>
    <n v="1650"/>
    <n v="1947"/>
    <n v="297"/>
    <n v="113520"/>
    <s v="16-Feb-26"/>
    <n v="0"/>
    <m/>
    <m/>
    <s v="URBN"/>
    <s v="CVD"/>
    <s v="F"/>
  </r>
  <r>
    <n v="1363"/>
    <s v="NORTH"/>
    <s v="UTTAR PRADESH"/>
    <n v="7134"/>
    <s v="M/S GOENKA AUTO PRIVATE LIMITED."/>
    <s v="VARANASI"/>
    <s v="07-Feb-24"/>
    <s v="28-Oct-25"/>
    <n v="1134"/>
    <n v="80744"/>
    <n v="10"/>
    <s v="S"/>
    <s v="T26"/>
    <n v="766720"/>
    <s v="MC1E4FAA5RP019065"/>
    <s v="D71045495"/>
    <s v="002"/>
    <s v="SERV DATE EXCEEDS"/>
    <x v="10"/>
    <s v="28-Nov-25"/>
    <x v="9"/>
    <n v="0"/>
    <n v="590053"/>
    <s v="16-Feb-26"/>
    <n v="0"/>
    <n v="0"/>
    <n v="0"/>
    <n v="113520"/>
    <s v="16-Feb-26"/>
    <n v="0"/>
    <m/>
    <m/>
    <s v="T26BS6"/>
    <s v="CVD"/>
    <s v="P"/>
  </r>
  <r>
    <n v="1364"/>
    <s v="NORTH"/>
    <s v="UTTAR PRADESH"/>
    <n v="7134"/>
    <s v="M/S GOENKA AUTO PRIVATE LIMITED."/>
    <s v="VARANASI"/>
    <s v="25-Mar-25"/>
    <s v="29-Oct-25"/>
    <n v="926"/>
    <n v="47196"/>
    <n v="3"/>
    <s v="S"/>
    <s v="T-1"/>
    <n v="797316"/>
    <s v="MC1E4CAA0SP084510"/>
    <s v="D71070855"/>
    <m/>
    <m/>
    <x v="10"/>
    <s v="28-Nov-25"/>
    <x v="9"/>
    <n v="1250"/>
    <n v="590053"/>
    <s v="16-Feb-26"/>
    <n v="1250"/>
    <n v="1475"/>
    <n v="225"/>
    <n v="113520"/>
    <s v="16-Feb-26"/>
    <n v="0"/>
    <m/>
    <m/>
    <s v="T1BS6N"/>
    <s v="CVD"/>
    <s v="F"/>
  </r>
  <r>
    <n v="1365"/>
    <s v="NORTH"/>
    <s v="UTTAR PRADESH"/>
    <n v="7134"/>
    <s v="M/S GOENKA AUTO PRIVATE LIMITED."/>
    <s v="VARANASI"/>
    <s v="27-Mar-25"/>
    <s v="29-Oct-25"/>
    <n v="906"/>
    <n v="53560"/>
    <n v="3"/>
    <s v="S"/>
    <s v="T-1"/>
    <n v="795395"/>
    <s v="MC1E4CBA4SP085335"/>
    <s v="D71072191"/>
    <s v="001"/>
    <s v="SERV KMS  / HRS EXCEEDS"/>
    <x v="10"/>
    <s v="28-Nov-25"/>
    <x v="9"/>
    <n v="1250"/>
    <n v="590053"/>
    <s v="16-Feb-26"/>
    <n v="1000"/>
    <n v="1475"/>
    <n v="225"/>
    <n v="113520"/>
    <s v="16-Feb-26"/>
    <n v="250"/>
    <m/>
    <m/>
    <s v="T1BS6N"/>
    <s v="CVD"/>
    <s v="F"/>
  </r>
  <r>
    <n v="1366"/>
    <s v="NORTH"/>
    <s v="UTTAR PRADESH"/>
    <n v="7134"/>
    <s v="M/S GOENKA AUTO PRIVATE LIMITED."/>
    <s v="VARANASI"/>
    <s v="21-Mar-25"/>
    <s v="07-Oct-25"/>
    <n v="1165"/>
    <n v="9435"/>
    <n v="3"/>
    <s v="S"/>
    <s v="TRAX"/>
    <n v="327821"/>
    <s v="MC1D4DAA3SP107117"/>
    <s v="D72018790"/>
    <s v="002"/>
    <s v="SERV DATE EXCEEDS"/>
    <x v="10"/>
    <s v="28-Nov-25"/>
    <x v="9"/>
    <n v="1250"/>
    <n v="590053"/>
    <s v="16-Feb-26"/>
    <n v="1000"/>
    <n v="1475"/>
    <n v="225"/>
    <n v="113520"/>
    <s v="16-Feb-26"/>
    <n v="250"/>
    <m/>
    <m/>
    <s v="TRXBS6"/>
    <s v="CVD"/>
    <s v="F"/>
  </r>
  <r>
    <n v="1367"/>
    <s v="NORTH"/>
    <s v="UTTAR PRADESH"/>
    <n v="7134"/>
    <s v="M/S GOENKA AUTO PRIVATE LIMITED."/>
    <s v="VARANASI"/>
    <s v="31-Mar-25"/>
    <s v="01-Oct-25"/>
    <n v="1165"/>
    <n v="6385"/>
    <n v="3"/>
    <s v="S"/>
    <s v="T26"/>
    <n v="793736"/>
    <s v="MC1E4FCA8SP022920"/>
    <s v="D71074369"/>
    <m/>
    <m/>
    <x v="10"/>
    <s v="28-Nov-25"/>
    <x v="9"/>
    <n v="1250"/>
    <n v="590053"/>
    <s v="16-Feb-26"/>
    <n v="1250"/>
    <n v="1475"/>
    <n v="225"/>
    <n v="113520"/>
    <s v="16-Feb-26"/>
    <n v="0"/>
    <m/>
    <m/>
    <s v="T26BS6"/>
    <s v="CVD"/>
    <s v="F"/>
  </r>
  <r>
    <n v="1368"/>
    <s v="NORTH"/>
    <s v="UTTAR PRADESH"/>
    <n v="7134"/>
    <s v="M/S GOENKA AUTO PRIVATE LIMITED."/>
    <s v="VARANASI"/>
    <s v="15-Oct-24"/>
    <s v="03-Oct-25"/>
    <n v="1165"/>
    <n v="60000"/>
    <n v="6"/>
    <s v="S"/>
    <s v="T1N"/>
    <n v="5355"/>
    <s v="MC1M4AJA8SP002393"/>
    <s v="D71062471"/>
    <m/>
    <m/>
    <x v="10"/>
    <s v="28-Nov-25"/>
    <x v="9"/>
    <n v="0"/>
    <n v="590053"/>
    <s v="16-Feb-26"/>
    <n v="0"/>
    <n v="0"/>
    <n v="0"/>
    <n v="113520"/>
    <s v="16-Feb-26"/>
    <n v="0"/>
    <m/>
    <m/>
    <s v="URBN"/>
    <s v="CVD"/>
    <s v="P"/>
  </r>
  <r>
    <n v="1369"/>
    <s v="NORTH"/>
    <s v="UTTAR PRADESH"/>
    <n v="7134"/>
    <s v="M/S GOENKA AUTO PRIVATE LIMITED."/>
    <s v="VARANASI"/>
    <s v="26-Mar-25"/>
    <s v="26-Oct-25"/>
    <n v="980"/>
    <n v="51770"/>
    <n v="3"/>
    <s v="S"/>
    <s v="T-1"/>
    <n v="797023"/>
    <s v="MC1E4CBA1SP085941"/>
    <s v="D71073364"/>
    <s v="001"/>
    <s v="SERV KMS  / HRS EXCEEDS"/>
    <x v="10"/>
    <s v="28-Nov-25"/>
    <x v="9"/>
    <n v="1250"/>
    <n v="590053"/>
    <s v="16-Feb-26"/>
    <n v="1000"/>
    <n v="1475"/>
    <n v="225"/>
    <n v="113520"/>
    <s v="16-Feb-26"/>
    <n v="250"/>
    <m/>
    <m/>
    <s v="T1BS6N"/>
    <s v="CVD"/>
    <s v="F"/>
  </r>
  <r>
    <n v="1370"/>
    <s v="NORTH"/>
    <s v="UTTAR PRADESH"/>
    <n v="7134"/>
    <s v="M/S GOENKA AUTO PRIVATE LIMITED."/>
    <s v="VARANASI"/>
    <s v="31-Jul-25"/>
    <s v="28-Oct-25"/>
    <n v="1165"/>
    <n v="10000"/>
    <n v="1"/>
    <s v="S"/>
    <s v="T-1"/>
    <n v="809278"/>
    <s v="MC1E4DGA0TP058262"/>
    <s v="D71086623"/>
    <s v="002"/>
    <s v="SERV DATE EXCEEDS"/>
    <x v="10"/>
    <s v="28-Nov-25"/>
    <x v="9"/>
    <n v="1250"/>
    <n v="590053"/>
    <s v="16-Feb-26"/>
    <n v="1000"/>
    <n v="1475"/>
    <n v="225"/>
    <n v="113520"/>
    <s v="16-Feb-26"/>
    <n v="250"/>
    <m/>
    <m/>
    <s v="T1BS6"/>
    <s v="CVD"/>
    <s v="F"/>
  </r>
  <r>
    <n v="1371"/>
    <s v="NORTH"/>
    <s v="UTTAR PRADESH"/>
    <n v="7134"/>
    <s v="M/S GOENKA AUTO PRIVATE LIMITED."/>
    <s v="VARANASI"/>
    <s v="17-Nov-23"/>
    <s v="10-Oct-25"/>
    <n v="1165"/>
    <n v="125171"/>
    <n v="12"/>
    <s v="S"/>
    <s v="T26"/>
    <n v="758119"/>
    <s v="MC1E4FJA5RP018224"/>
    <s v="D71039485"/>
    <s v="001"/>
    <s v="SERV KMS  / HRS EXCEEDS"/>
    <x v="10"/>
    <s v="28-Nov-25"/>
    <x v="9"/>
    <n v="0"/>
    <n v="590053"/>
    <s v="16-Feb-26"/>
    <n v="0"/>
    <n v="0"/>
    <n v="0"/>
    <n v="113520"/>
    <s v="16-Feb-26"/>
    <n v="0"/>
    <m/>
    <m/>
    <s v="T26BS6"/>
    <s v="CVD"/>
    <s v="P"/>
  </r>
  <r>
    <n v="1372"/>
    <s v="NORTH"/>
    <s v="UTTAR PRADESH"/>
    <n v="7134"/>
    <s v="M/S GOENKA AUTO PRIVATE LIMITED."/>
    <s v="VARANASI"/>
    <s v="09-Mar-24"/>
    <s v="14-Oct-25"/>
    <n v="1165"/>
    <n v="75408"/>
    <n v="10"/>
    <s v="S"/>
    <s v="T-1"/>
    <n v="764717"/>
    <s v="MC1E4EAA5RP011672"/>
    <s v="D71046345"/>
    <m/>
    <m/>
    <x v="10"/>
    <s v="28-Nov-25"/>
    <x v="9"/>
    <n v="0"/>
    <n v="590053"/>
    <s v="16-Feb-26"/>
    <n v="0"/>
    <n v="0"/>
    <n v="0"/>
    <n v="113520"/>
    <s v="16-Feb-26"/>
    <n v="0"/>
    <m/>
    <m/>
    <s v="T1BS6"/>
    <s v="CVD"/>
    <s v="P"/>
  </r>
  <r>
    <n v="1373"/>
    <s v="NORTH"/>
    <s v="UTTAR PRADESH"/>
    <n v="7134"/>
    <s v="M/S GOENKA AUTO PRIVATE LIMITED."/>
    <s v="VARANASI"/>
    <s v="27-Jun-24"/>
    <s v="13-Oct-25"/>
    <n v="1165"/>
    <n v="46915"/>
    <n v="8"/>
    <s v="S"/>
    <s v="T-1"/>
    <n v="775501"/>
    <s v="MC1E4DEA9RP052746"/>
    <s v="D71054585"/>
    <m/>
    <m/>
    <x v="10"/>
    <s v="28-Nov-25"/>
    <x v="9"/>
    <n v="1250"/>
    <n v="590053"/>
    <s v="16-Feb-26"/>
    <n v="1250"/>
    <n v="1475"/>
    <n v="225"/>
    <n v="113520"/>
    <s v="16-Feb-26"/>
    <n v="0"/>
    <m/>
    <m/>
    <s v="T1BS6"/>
    <s v="CVD"/>
    <s v="F"/>
  </r>
  <r>
    <n v="1374"/>
    <s v="NORTH"/>
    <s v="UTTAR PRADESH"/>
    <n v="7134"/>
    <s v="M/S GOENKA AUTO PRIVATE LIMITED."/>
    <s v="VARANASI"/>
    <s v="26-Mar-25"/>
    <s v="12-Oct-25"/>
    <n v="970"/>
    <n v="50000"/>
    <n v="3"/>
    <s v="S"/>
    <s v="T-1"/>
    <n v="797891"/>
    <s v="MC1E4CBA7SP085362"/>
    <s v="D71072194"/>
    <m/>
    <m/>
    <x v="10"/>
    <s v="28-Nov-25"/>
    <x v="9"/>
    <n v="1250"/>
    <n v="590053"/>
    <s v="16-Feb-26"/>
    <n v="1250"/>
    <n v="1475"/>
    <n v="225"/>
    <n v="113520"/>
    <s v="16-Feb-26"/>
    <n v="0"/>
    <m/>
    <m/>
    <s v="T1BS6N"/>
    <s v="CVD"/>
    <s v="F"/>
  </r>
  <r>
    <n v="1375"/>
    <s v="NORTH"/>
    <s v="UTTAR PRADESH"/>
    <n v="7134"/>
    <s v="M/S GOENKA AUTO PRIVATE LIMITED."/>
    <s v="VARANASI"/>
    <s v="08-Jul-24"/>
    <s v="15-Oct-25"/>
    <n v="1165"/>
    <n v="90443"/>
    <n v="9"/>
    <s v="S"/>
    <s v="T-1"/>
    <n v="773703"/>
    <s v="MC1E4EFA0RP013158"/>
    <s v="D71056321"/>
    <m/>
    <m/>
    <x v="10"/>
    <s v="28-Nov-25"/>
    <x v="9"/>
    <n v="0"/>
    <n v="590053"/>
    <s v="16-Feb-26"/>
    <n v="0"/>
    <n v="0"/>
    <n v="0"/>
    <n v="113520"/>
    <s v="16-Feb-26"/>
    <n v="0"/>
    <m/>
    <m/>
    <s v="T1BS6"/>
    <s v="CVD"/>
    <s v="P"/>
  </r>
  <r>
    <n v="1376"/>
    <s v="NORTH"/>
    <s v="UTTAR PRADESH"/>
    <n v="7134"/>
    <s v="M/S GOENKA AUTO PRIVATE LIMITED."/>
    <s v="VARANASI"/>
    <s v="09-Jun-25"/>
    <s v="10-Oct-25"/>
    <n v="1165"/>
    <n v="19200"/>
    <n v="2"/>
    <s v="S"/>
    <s v="T-1"/>
    <n v="802650"/>
    <s v="MC1E4EEA3SP016174"/>
    <s v="D71079998"/>
    <m/>
    <m/>
    <x v="10"/>
    <s v="28-Nov-25"/>
    <x v="9"/>
    <n v="0"/>
    <n v="590053"/>
    <s v="16-Feb-26"/>
    <n v="0"/>
    <n v="0"/>
    <n v="0"/>
    <n v="113520"/>
    <s v="16-Feb-26"/>
    <n v="0"/>
    <m/>
    <m/>
    <s v="T1BS6"/>
    <s v="CVD"/>
    <s v="P"/>
  </r>
  <r>
    <n v="1377"/>
    <s v="NORTH"/>
    <s v="UTTAR PRADESH"/>
    <n v="7134"/>
    <s v="M/S GOENKA AUTO PRIVATE LIMITED."/>
    <s v="VARANASI"/>
    <s v="28-Aug-23"/>
    <s v="27-Oct-25"/>
    <n v="1165"/>
    <n v="100210"/>
    <n v="10"/>
    <s v="S"/>
    <s v="T1N"/>
    <n v="1300"/>
    <s v="MC1M4ADA0PP000303"/>
    <s v="D71030180"/>
    <m/>
    <m/>
    <x v="10"/>
    <s v="28-Nov-25"/>
    <x v="9"/>
    <n v="0"/>
    <n v="590053"/>
    <s v="16-Feb-26"/>
    <n v="0"/>
    <n v="0"/>
    <n v="0"/>
    <n v="113520"/>
    <s v="16-Feb-26"/>
    <n v="0"/>
    <m/>
    <m/>
    <s v="URBN"/>
    <s v="CVD"/>
    <s v="P"/>
  </r>
  <r>
    <n v="1378"/>
    <s v="NORTH"/>
    <s v="UTTAR PRADESH"/>
    <n v="7134"/>
    <s v="M/S GOENKA AUTO PRIVATE LIMITED."/>
    <s v="VARANASI"/>
    <s v="26-Aug-24"/>
    <s v="30-Oct-25"/>
    <n v="1165"/>
    <n v="50365"/>
    <n v="7"/>
    <s v="S"/>
    <s v="T-1"/>
    <n v="786068"/>
    <s v="MC1E4EHA3SP013657"/>
    <s v="D71059698"/>
    <m/>
    <m/>
    <x v="10"/>
    <s v="28-Nov-25"/>
    <x v="9"/>
    <n v="0"/>
    <n v="590053"/>
    <s v="16-Feb-26"/>
    <n v="0"/>
    <n v="0"/>
    <n v="0"/>
    <n v="113520"/>
    <s v="16-Feb-26"/>
    <n v="0"/>
    <m/>
    <m/>
    <s v="T1BS6"/>
    <s v="CVD"/>
    <s v="P"/>
  </r>
  <r>
    <n v="1379"/>
    <s v="NORTH"/>
    <s v="UTTAR PRADESH"/>
    <n v="7134"/>
    <s v="M/S GOENKA AUTO PRIVATE LIMITED."/>
    <s v="VARANASI"/>
    <s v="25-Mar-25"/>
    <s v="26-Oct-25"/>
    <n v="876"/>
    <n v="51316"/>
    <n v="3"/>
    <s v="S"/>
    <s v="T-1"/>
    <n v="797335"/>
    <s v="MC1E4CAA4SP084509"/>
    <s v="D71071059"/>
    <s v="001"/>
    <s v="SERV KMS  / HRS EXCEEDS"/>
    <x v="10"/>
    <s v="28-Nov-25"/>
    <x v="9"/>
    <n v="1250"/>
    <n v="590053"/>
    <s v="16-Feb-26"/>
    <n v="1000"/>
    <n v="1475"/>
    <n v="225"/>
    <n v="113520"/>
    <s v="16-Feb-26"/>
    <n v="250"/>
    <m/>
    <m/>
    <s v="T1BS6N"/>
    <s v="CVD"/>
    <s v="F"/>
  </r>
  <r>
    <n v="1380"/>
    <s v="NORTH"/>
    <s v="UTTAR PRADESH"/>
    <n v="7134"/>
    <s v="M/S GOENKA AUTO PRIVATE LIMITED."/>
    <s v="VARANASI"/>
    <s v="30-Oct-24"/>
    <s v="30-Oct-25"/>
    <n v="1165"/>
    <n v="24240"/>
    <n v="6"/>
    <s v="S"/>
    <s v="T-1"/>
    <n v="787131"/>
    <s v="MC1E1CHA1SP007899"/>
    <s v="D71060480"/>
    <m/>
    <m/>
    <x v="10"/>
    <s v="28-Nov-25"/>
    <x v="9"/>
    <n v="0"/>
    <n v="590053"/>
    <s v="16-Feb-26"/>
    <n v="0"/>
    <n v="0"/>
    <n v="0"/>
    <n v="113520"/>
    <s v="16-Feb-26"/>
    <n v="0"/>
    <m/>
    <m/>
    <s v="T1BS6"/>
    <s v="CVD"/>
    <s v="P"/>
  </r>
  <r>
    <n v="1381"/>
    <s v="NORTH"/>
    <s v="UTTAR PRADESH"/>
    <n v="7134"/>
    <s v="M/S GOENKA AUTO PRIVATE LIMITED."/>
    <s v="VARANASI"/>
    <s v="24-Mar-25"/>
    <s v="16-Oct-25"/>
    <n v="870"/>
    <n v="50646"/>
    <n v="3"/>
    <s v="S"/>
    <s v="T-1"/>
    <n v="797774"/>
    <s v="MC1E4CBA0SP085624"/>
    <s v="D71072799"/>
    <m/>
    <m/>
    <x v="10"/>
    <s v="28-Nov-25"/>
    <x v="9"/>
    <n v="1250"/>
    <n v="590053"/>
    <s v="16-Feb-26"/>
    <n v="1250"/>
    <n v="1475"/>
    <n v="225"/>
    <n v="113520"/>
    <s v="16-Feb-26"/>
    <n v="0"/>
    <m/>
    <m/>
    <s v="T1BS6N"/>
    <s v="CVD"/>
    <s v="F"/>
  </r>
  <r>
    <n v="1382"/>
    <s v="NORTH"/>
    <s v="UTTAR PRADESH"/>
    <n v="7134"/>
    <s v="M/S GOENKA AUTO PRIVATE LIMITED."/>
    <s v="VARANASI"/>
    <s v="27-Dec-22"/>
    <s v="09-Oct-25"/>
    <n v="1165"/>
    <n v="122939"/>
    <n v="12"/>
    <s v="S"/>
    <s v="T-1"/>
    <n v="739257"/>
    <s v="MC1E4ELA2PP008819"/>
    <s v="D71023391"/>
    <s v="001"/>
    <s v="SERV KMS  / HRS EXCEEDS"/>
    <x v="10"/>
    <s v="28-Nov-25"/>
    <x v="9"/>
    <n v="0"/>
    <n v="590053"/>
    <s v="16-Feb-26"/>
    <n v="0"/>
    <n v="0"/>
    <n v="0"/>
    <n v="113520"/>
    <s v="16-Feb-26"/>
    <n v="0"/>
    <m/>
    <m/>
    <s v="T1BS6"/>
    <s v="CVD"/>
    <s v="P"/>
  </r>
  <r>
    <n v="1383"/>
    <s v="NORTH"/>
    <s v="UTTAR PRADESH"/>
    <n v="7134"/>
    <s v="M/S GOENKA AUTO PRIVATE LIMITED."/>
    <s v="VARANASI"/>
    <s v="07-Mar-25"/>
    <s v="31-Oct-25"/>
    <n v="866"/>
    <n v="50696"/>
    <n v="3"/>
    <s v="S"/>
    <s v="T-1"/>
    <n v="796516"/>
    <s v="MC1E4CAA9SP083761"/>
    <s v="D71069275"/>
    <m/>
    <m/>
    <x v="10"/>
    <s v="28-Nov-25"/>
    <x v="9"/>
    <n v="1250"/>
    <n v="590053"/>
    <s v="16-Feb-26"/>
    <n v="1250"/>
    <n v="1475"/>
    <n v="225"/>
    <n v="113520"/>
    <s v="16-Feb-26"/>
    <n v="0"/>
    <m/>
    <m/>
    <s v="T1BS6N"/>
    <s v="CVD"/>
    <s v="F"/>
  </r>
  <r>
    <n v="1384"/>
    <s v="NORTH"/>
    <s v="UTTAR PRADESH"/>
    <n v="7134"/>
    <s v="M/S GOENKA AUTO PRIVATE LIMITED."/>
    <s v="VARANASI"/>
    <s v="02-Jul-24"/>
    <s v="14-Oct-25"/>
    <n v="1165"/>
    <n v="80000"/>
    <n v="8"/>
    <s v="S"/>
    <s v="T-1"/>
    <n v="775223"/>
    <s v="MC1E4EFA7RP013092"/>
    <s v="D71055951"/>
    <m/>
    <m/>
    <x v="10"/>
    <s v="28-Nov-25"/>
    <x v="9"/>
    <n v="1250"/>
    <n v="590053"/>
    <s v="16-Feb-26"/>
    <n v="1250"/>
    <n v="1475"/>
    <n v="225"/>
    <n v="113520"/>
    <s v="16-Feb-26"/>
    <n v="0"/>
    <m/>
    <m/>
    <s v="T1BS6"/>
    <s v="CVD"/>
    <s v="F"/>
  </r>
  <r>
    <n v="1385"/>
    <s v="NORTH"/>
    <s v="UTTAR PRADESH"/>
    <n v="7134"/>
    <s v="M/S GOENKA AUTO PRIVATE LIMITED."/>
    <s v="VARANASI"/>
    <s v="26-Mar-25"/>
    <s v="24-Oct-25"/>
    <n v="990"/>
    <n v="50000"/>
    <n v="3"/>
    <s v="S"/>
    <s v="T-1"/>
    <n v="797124"/>
    <s v="MC1E4CBA4SP086078"/>
    <s v="D71073649"/>
    <m/>
    <m/>
    <x v="10"/>
    <s v="28-Nov-25"/>
    <x v="9"/>
    <n v="1250"/>
    <n v="590053"/>
    <s v="16-Feb-26"/>
    <n v="1250"/>
    <n v="1475"/>
    <n v="225"/>
    <n v="113520"/>
    <s v="16-Feb-26"/>
    <n v="0"/>
    <m/>
    <m/>
    <s v="T1BS6N"/>
    <s v="CVD"/>
    <s v="F"/>
  </r>
  <r>
    <n v="1386"/>
    <s v="NORTH"/>
    <s v="UTTAR PRADESH"/>
    <n v="7134"/>
    <s v="M/S GOENKA AUTO PRIVATE LIMITED."/>
    <s v="VARANASI"/>
    <s v="03-Jul-24"/>
    <s v="28-Oct-25"/>
    <n v="936"/>
    <n v="89333"/>
    <n v="9"/>
    <s v="S"/>
    <s v="T-1"/>
    <n v="773853"/>
    <s v="MC1E4EFA9RP013272"/>
    <s v="D71056732"/>
    <m/>
    <m/>
    <x v="10"/>
    <s v="28-Nov-25"/>
    <x v="9"/>
    <n v="0"/>
    <n v="590053"/>
    <s v="16-Feb-26"/>
    <n v="0"/>
    <n v="0"/>
    <n v="0"/>
    <n v="113520"/>
    <s v="16-Feb-26"/>
    <n v="0"/>
    <m/>
    <m/>
    <s v="T1BS6"/>
    <s v="CVD"/>
    <s v="P"/>
  </r>
  <r>
    <n v="1387"/>
    <s v="NORTH"/>
    <s v="UTTAR PRADESH"/>
    <n v="7134"/>
    <s v="M/S GOENKA AUTO PRIVATE LIMITED."/>
    <s v="VARANASI"/>
    <s v="29-Nov-23"/>
    <s v="24-Oct-25"/>
    <n v="1165"/>
    <n v="55489"/>
    <n v="12"/>
    <s v="S"/>
    <s v="TRAX"/>
    <n v="319116"/>
    <s v="MC1D4DJA3RP101358"/>
    <s v="D72011950"/>
    <m/>
    <m/>
    <x v="10"/>
    <s v="28-Nov-25"/>
    <x v="9"/>
    <n v="0"/>
    <n v="590053"/>
    <s v="16-Feb-26"/>
    <n v="0"/>
    <n v="0"/>
    <n v="0"/>
    <n v="113520"/>
    <s v="16-Feb-26"/>
    <n v="0"/>
    <m/>
    <m/>
    <s v="TRXBS6"/>
    <s v="CVD"/>
    <s v="P"/>
  </r>
  <r>
    <n v="1388"/>
    <s v="NORTH"/>
    <s v="UTTAR PRADESH"/>
    <n v="7134"/>
    <s v="M/S GOENKA AUTO PRIVATE LIMITED."/>
    <s v="VARANASI"/>
    <s v="26-Nov-24"/>
    <s v="06-Oct-25"/>
    <n v="900"/>
    <n v="5294"/>
    <n v="2"/>
    <s v="S"/>
    <s v="T-1"/>
    <n v="782987"/>
    <s v="MC1E4CKA0SP081685"/>
    <s v="D71064659"/>
    <m/>
    <m/>
    <x v="10"/>
    <s v="28-Nov-25"/>
    <x v="9"/>
    <n v="1250"/>
    <n v="590053"/>
    <s v="16-Feb-26"/>
    <n v="1250"/>
    <n v="1475"/>
    <n v="225"/>
    <n v="113520"/>
    <s v="16-Feb-26"/>
    <n v="0"/>
    <m/>
    <m/>
    <s v="T1BS6"/>
    <s v="CVD"/>
    <s v="F"/>
  </r>
  <r>
    <n v="1389"/>
    <s v="NORTH"/>
    <s v="UTTAR PRADESH"/>
    <n v="7134"/>
    <s v="M/S GOENKA AUTO PRIVATE LIMITED."/>
    <s v="VARANASI"/>
    <s v="10-Aug-23"/>
    <s v="01-Oct-25"/>
    <n v="1165"/>
    <n v="27197"/>
    <n v="13"/>
    <s v="S"/>
    <s v="T-1"/>
    <n v="733302"/>
    <s v="MC1E5DGAXRP000388"/>
    <s v="D73000522"/>
    <m/>
    <m/>
    <x v="10"/>
    <s v="28-Nov-25"/>
    <x v="9"/>
    <n v="0"/>
    <n v="590053"/>
    <s v="16-Feb-26"/>
    <n v="0"/>
    <n v="0"/>
    <n v="0"/>
    <n v="113520"/>
    <s v="16-Feb-26"/>
    <n v="0"/>
    <m/>
    <m/>
    <s v="T1CNGL"/>
    <s v="CVD"/>
    <s v="P"/>
  </r>
  <r>
    <n v="1390"/>
    <s v="NORTH"/>
    <s v="UTTAR PRADESH"/>
    <n v="7134"/>
    <s v="M/S GOENKA AUTO PRIVATE LIMITED."/>
    <s v="VARANASI"/>
    <s v="25-Mar-25"/>
    <s v="28-Oct-25"/>
    <n v="877"/>
    <n v="48763"/>
    <n v="3"/>
    <s v="S"/>
    <s v="T-1"/>
    <n v="797079"/>
    <s v="MC1E4CBA0SP085879"/>
    <s v="D71073109"/>
    <m/>
    <m/>
    <x v="10"/>
    <s v="28-Nov-25"/>
    <x v="9"/>
    <n v="1250"/>
    <n v="590053"/>
    <s v="16-Feb-26"/>
    <n v="1250"/>
    <n v="1475"/>
    <n v="225"/>
    <n v="113520"/>
    <s v="16-Feb-26"/>
    <n v="0"/>
    <m/>
    <m/>
    <s v="T1BS6N"/>
    <s v="CVD"/>
    <s v="F"/>
  </r>
  <r>
    <n v="1391"/>
    <s v="NORTH"/>
    <s v="UTTAR PRADESH"/>
    <n v="7134"/>
    <s v="M/S GOENKA AUTO PRIVATE LIMITED."/>
    <s v="VARANASI"/>
    <s v="24-Mar-25"/>
    <s v="12-Oct-25"/>
    <n v="856"/>
    <n v="49096"/>
    <n v="3"/>
    <s v="S"/>
    <s v="T-1"/>
    <n v="796592"/>
    <s v="MC1E4CAA8SP084271"/>
    <s v="D71070670"/>
    <m/>
    <m/>
    <x v="10"/>
    <s v="28-Nov-25"/>
    <x v="9"/>
    <n v="1250"/>
    <n v="590053"/>
    <s v="16-Feb-26"/>
    <n v="1250"/>
    <n v="1475"/>
    <n v="225"/>
    <n v="113520"/>
    <s v="16-Feb-26"/>
    <n v="0"/>
    <m/>
    <m/>
    <s v="T1BS6N"/>
    <s v="CVD"/>
    <s v="F"/>
  </r>
  <r>
    <n v="1392"/>
    <s v="NORTH"/>
    <s v="UTTAR PRADESH"/>
    <n v="7134"/>
    <s v="M/S GOENKA AUTO PRIVATE LIMITED."/>
    <s v="VARANASI"/>
    <s v="02-May-24"/>
    <s v="10-Oct-25"/>
    <n v="1165"/>
    <n v="16736"/>
    <n v="9"/>
    <s v="S"/>
    <s v="TRAX"/>
    <n v="322616"/>
    <s v="MC1D1DDA0RP001528"/>
    <s v="D72015068"/>
    <m/>
    <m/>
    <x v="10"/>
    <s v="28-Nov-25"/>
    <x v="9"/>
    <n v="0"/>
    <n v="590053"/>
    <s v="16-Feb-26"/>
    <n v="0"/>
    <n v="0"/>
    <n v="0"/>
    <n v="113520"/>
    <s v="16-Feb-26"/>
    <n v="0"/>
    <m/>
    <m/>
    <s v="TRXBS6"/>
    <s v="CVD"/>
    <s v="P"/>
  </r>
  <r>
    <n v="1393"/>
    <s v="NORTH"/>
    <s v="UTTAR PRADESH"/>
    <n v="7134"/>
    <s v="M/S GOENKA AUTO PRIVATE LIMITED."/>
    <s v="VARANASI"/>
    <s v="17-Jun-25"/>
    <s v="26-Nov-25"/>
    <n v="1165"/>
    <n v="21049"/>
    <n v="3"/>
    <s v="S"/>
    <s v="TRAX"/>
    <n v="328673"/>
    <s v="MC1D4DEAXSP108968"/>
    <s v="D72020656"/>
    <m/>
    <m/>
    <x v="11"/>
    <s v="30-Nov-25"/>
    <x v="9"/>
    <n v="1250"/>
    <n v="590054"/>
    <s v="16-Feb-26"/>
    <n v="1250"/>
    <n v="1475"/>
    <n v="225"/>
    <n v="113521"/>
    <s v="16-Feb-26"/>
    <n v="0"/>
    <m/>
    <m/>
    <s v="TRXBS6"/>
    <s v="CVD"/>
    <s v="F"/>
  </r>
  <r>
    <n v="1394"/>
    <s v="NORTH"/>
    <s v="UTTAR PRADESH"/>
    <n v="7134"/>
    <s v="M/S GOENKA AUTO PRIVATE LIMITED."/>
    <s v="VARANASI"/>
    <s v="20-Feb-24"/>
    <s v="10-Nov-25"/>
    <n v="1165"/>
    <n v="85000"/>
    <n v="10"/>
    <s v="S"/>
    <s v="T26"/>
    <n v="766692"/>
    <s v="MC1E4FAA9RP019134"/>
    <s v="D71046150"/>
    <s v="002"/>
    <s v="SERV DATE EXCEEDS"/>
    <x v="11"/>
    <s v="30-Nov-25"/>
    <x v="9"/>
    <n v="0"/>
    <n v="590054"/>
    <s v="16-Feb-26"/>
    <n v="0"/>
    <n v="0"/>
    <n v="0"/>
    <n v="113521"/>
    <s v="16-Feb-26"/>
    <n v="0"/>
    <m/>
    <m/>
    <s v="T26BS6"/>
    <s v="CVD"/>
    <s v="P"/>
  </r>
  <r>
    <n v="1395"/>
    <s v="NORTH"/>
    <s v="UTTAR PRADESH"/>
    <n v="7134"/>
    <s v="M/S GOENKA AUTO PRIVATE LIMITED."/>
    <s v="VARANASI"/>
    <s v="23-Mar-25"/>
    <s v="28-Nov-25"/>
    <n v="860"/>
    <n v="50000"/>
    <n v="3"/>
    <s v="S"/>
    <s v="T-1"/>
    <n v="798115"/>
    <s v="MC1E4CBA3SP085102"/>
    <s v="D71071758"/>
    <m/>
    <m/>
    <x v="11"/>
    <s v="30-Nov-25"/>
    <x v="9"/>
    <n v="1250"/>
    <n v="590054"/>
    <s v="16-Feb-26"/>
    <n v="1250"/>
    <n v="1475"/>
    <n v="225"/>
    <n v="113521"/>
    <s v="16-Feb-26"/>
    <n v="0"/>
    <m/>
    <m/>
    <s v="T1BS6N"/>
    <s v="CVD"/>
    <s v="F"/>
  </r>
  <r>
    <n v="1396"/>
    <s v="NORTH"/>
    <s v="UTTAR PRADESH"/>
    <n v="7134"/>
    <s v="M/S GOENKA AUTO PRIVATE LIMITED."/>
    <s v="VARANASI"/>
    <s v="19-Sep-25"/>
    <s v="06-Nov-25"/>
    <n v="1165"/>
    <n v="1722"/>
    <n v="1"/>
    <s v="S"/>
    <s v="TRAX"/>
    <n v="331230"/>
    <s v="MC1D1DFA8SP001649"/>
    <s v="D72021156"/>
    <m/>
    <m/>
    <x v="11"/>
    <s v="30-Nov-25"/>
    <x v="9"/>
    <n v="1250"/>
    <n v="590054"/>
    <s v="16-Feb-26"/>
    <n v="1250"/>
    <n v="1475"/>
    <n v="225"/>
    <n v="113521"/>
    <s v="16-Feb-26"/>
    <n v="0"/>
    <m/>
    <m/>
    <s v="TRXBS6"/>
    <s v="CVD"/>
    <s v="F"/>
  </r>
  <r>
    <n v="1397"/>
    <s v="NORTH"/>
    <s v="UTTAR PRADESH"/>
    <n v="7134"/>
    <s v="M/S GOENKA AUTO PRIVATE LIMITED."/>
    <s v="VARANASI"/>
    <s v="23-Mar-25"/>
    <s v="20-Nov-25"/>
    <n v="891"/>
    <n v="51275"/>
    <n v="3"/>
    <s v="S"/>
    <s v="T-1"/>
    <n v="795108"/>
    <s v="MC1E4CAA4SP084087"/>
    <s v="D71070298"/>
    <s v="001"/>
    <s v="SERV KMS  / HRS EXCEEDS"/>
    <x v="11"/>
    <s v="30-Nov-25"/>
    <x v="9"/>
    <n v="1250"/>
    <n v="590054"/>
    <s v="16-Feb-26"/>
    <n v="1000"/>
    <n v="1475"/>
    <n v="225"/>
    <n v="113521"/>
    <s v="16-Feb-26"/>
    <n v="250"/>
    <m/>
    <m/>
    <s v="T1BS6N"/>
    <s v="CVD"/>
    <s v="F"/>
  </r>
  <r>
    <n v="1398"/>
    <s v="NORTH"/>
    <s v="UTTAR PRADESH"/>
    <n v="7134"/>
    <s v="M/S GOENKA AUTO PRIVATE LIMITED."/>
    <s v="VARANASI"/>
    <s v="23-Aug-24"/>
    <s v="04-Nov-25"/>
    <n v="1165"/>
    <n v="70000"/>
    <n v="7"/>
    <s v="S"/>
    <s v="T26"/>
    <n v="776633"/>
    <s v="MC1E4FFA0RP020858"/>
    <s v="D71057668"/>
    <m/>
    <m/>
    <x v="11"/>
    <s v="30-Nov-25"/>
    <x v="9"/>
    <n v="0"/>
    <n v="590054"/>
    <s v="16-Feb-26"/>
    <n v="0"/>
    <n v="0"/>
    <n v="0"/>
    <n v="113521"/>
    <s v="16-Feb-26"/>
    <n v="0"/>
    <m/>
    <m/>
    <s v="T26BS6"/>
    <s v="CVD"/>
    <s v="P"/>
  </r>
  <r>
    <n v="1399"/>
    <s v="NORTH"/>
    <s v="UTTAR PRADESH"/>
    <n v="7134"/>
    <s v="M/S GOENKA AUTO PRIVATE LIMITED."/>
    <s v="VARANASI"/>
    <s v="30-Sep-25"/>
    <s v="28-Nov-25"/>
    <n v="1165"/>
    <n v="8882"/>
    <n v="1"/>
    <s v="S"/>
    <s v="T-1"/>
    <n v="811129"/>
    <s v="MC1E4DGA1TP058352"/>
    <s v="D71086950"/>
    <m/>
    <m/>
    <x v="11"/>
    <s v="30-Nov-25"/>
    <x v="9"/>
    <n v="1250"/>
    <n v="590054"/>
    <s v="16-Feb-26"/>
    <n v="1250"/>
    <n v="1475"/>
    <n v="225"/>
    <n v="113521"/>
    <s v="16-Feb-26"/>
    <n v="0"/>
    <m/>
    <m/>
    <s v="T1BS6"/>
    <s v="CVD"/>
    <s v="F"/>
  </r>
  <r>
    <n v="1400"/>
    <s v="NORTH"/>
    <s v="UTTAR PRADESH"/>
    <n v="7134"/>
    <s v="M/S GOENKA AUTO PRIVATE LIMITED."/>
    <s v="VARANASI"/>
    <s v="25-Jan-24"/>
    <s v="12-Nov-25"/>
    <n v="1165"/>
    <n v="109000"/>
    <n v="11"/>
    <s v="S"/>
    <s v="T-1"/>
    <n v="761864"/>
    <s v="MC1E4EAA2RP011497"/>
    <s v="D71045143"/>
    <m/>
    <m/>
    <x v="11"/>
    <s v="30-Nov-25"/>
    <x v="9"/>
    <n v="1250"/>
    <n v="590054"/>
    <s v="16-Feb-26"/>
    <n v="1250"/>
    <n v="1475"/>
    <n v="225"/>
    <n v="113521"/>
    <s v="16-Feb-26"/>
    <n v="0"/>
    <m/>
    <m/>
    <s v="T1BS6"/>
    <s v="CVD"/>
    <s v="F"/>
  </r>
  <r>
    <n v="1401"/>
    <s v="NORTH"/>
    <s v="UTTAR PRADESH"/>
    <n v="7134"/>
    <s v="M/S GOENKA AUTO PRIVATE LIMITED."/>
    <s v="VARANASI"/>
    <s v="23-Mar-25"/>
    <s v="14-Nov-25"/>
    <n v="895"/>
    <n v="50272"/>
    <n v="3"/>
    <s v="S"/>
    <s v="T-1"/>
    <n v="780905"/>
    <s v="MC1E4CAA2SP083732"/>
    <s v="D71069293"/>
    <m/>
    <m/>
    <x v="11"/>
    <s v="30-Nov-25"/>
    <x v="9"/>
    <n v="1250"/>
    <n v="590054"/>
    <s v="16-Feb-26"/>
    <n v="1250"/>
    <n v="1475"/>
    <n v="225"/>
    <n v="113521"/>
    <s v="16-Feb-26"/>
    <n v="0"/>
    <m/>
    <m/>
    <s v="T1BS6N"/>
    <s v="CVD"/>
    <s v="F"/>
  </r>
  <r>
    <n v="1402"/>
    <s v="NORTH"/>
    <s v="UTTAR PRADESH"/>
    <n v="7134"/>
    <s v="M/S GOENKA AUTO PRIVATE LIMITED."/>
    <s v="VARANASI"/>
    <s v="22-Mar-25"/>
    <s v="20-Nov-25"/>
    <n v="898"/>
    <n v="49326"/>
    <n v="3"/>
    <s v="S"/>
    <s v="T-1"/>
    <n v="796539"/>
    <s v="MC1E4CAA1SP083396"/>
    <s v="D71069263"/>
    <m/>
    <m/>
    <x v="11"/>
    <s v="30-Nov-25"/>
    <x v="9"/>
    <n v="1250"/>
    <n v="590054"/>
    <s v="16-Feb-26"/>
    <n v="1250"/>
    <n v="1475"/>
    <n v="225"/>
    <n v="113521"/>
    <s v="16-Feb-26"/>
    <n v="0"/>
    <m/>
    <m/>
    <s v="T1BS6N"/>
    <s v="CVD"/>
    <s v="F"/>
  </r>
  <r>
    <n v="1403"/>
    <s v="NORTH"/>
    <s v="UTTAR PRADESH"/>
    <n v="7134"/>
    <s v="M/S GOENKA AUTO PRIVATE LIMITED."/>
    <s v="VARANASI"/>
    <s v="21-Jul-25"/>
    <s v="30-Nov-25"/>
    <n v="1165"/>
    <n v="6275"/>
    <n v="1"/>
    <s v="S"/>
    <s v="T-1"/>
    <n v="803688"/>
    <s v="MC1E4DEA2SP057468"/>
    <s v="D71081081"/>
    <m/>
    <m/>
    <x v="11"/>
    <s v="30-Nov-25"/>
    <x v="9"/>
    <n v="1250"/>
    <n v="590054"/>
    <s v="16-Feb-26"/>
    <n v="1250"/>
    <n v="1475"/>
    <n v="225"/>
    <n v="113521"/>
    <s v="16-Feb-26"/>
    <n v="0"/>
    <m/>
    <m/>
    <s v="T1BS6N"/>
    <s v="CVD"/>
    <s v="F"/>
  </r>
  <r>
    <n v="1404"/>
    <s v="NORTH"/>
    <s v="UTTAR PRADESH"/>
    <n v="7134"/>
    <s v="M/S GOENKA AUTO PRIVATE LIMITED."/>
    <s v="VARANASI"/>
    <s v="30-Sep-25"/>
    <s v="26-Nov-25"/>
    <n v="1165"/>
    <n v="5010"/>
    <n v="1"/>
    <s v="S"/>
    <s v="T-1"/>
    <n v="812646"/>
    <s v="MC1E4EHA2TP017409"/>
    <s v="D71089032"/>
    <m/>
    <m/>
    <x v="11"/>
    <s v="30-Nov-25"/>
    <x v="9"/>
    <n v="1250"/>
    <n v="590054"/>
    <s v="16-Feb-26"/>
    <n v="1250"/>
    <n v="1475"/>
    <n v="225"/>
    <n v="113521"/>
    <s v="16-Feb-26"/>
    <n v="0"/>
    <m/>
    <m/>
    <s v="T1BS6"/>
    <s v="CVD"/>
    <s v="F"/>
  </r>
  <r>
    <n v="1405"/>
    <s v="NORTH"/>
    <s v="UTTAR PRADESH"/>
    <n v="7134"/>
    <s v="M/S GOENKA AUTO PRIVATE LIMITED."/>
    <s v="VARANASI"/>
    <s v="21-Sep-24"/>
    <s v="23-Nov-25"/>
    <n v="1150"/>
    <n v="90270"/>
    <n v="9"/>
    <s v="S"/>
    <s v="T-1"/>
    <n v="786485"/>
    <s v="MC1E4EGA7SP013551"/>
    <s v="D71058782"/>
    <m/>
    <m/>
    <x v="11"/>
    <s v="30-Nov-25"/>
    <x v="9"/>
    <n v="0"/>
    <n v="590054"/>
    <s v="16-Feb-26"/>
    <n v="0"/>
    <n v="0"/>
    <n v="0"/>
    <n v="113521"/>
    <s v="16-Feb-26"/>
    <n v="0"/>
    <m/>
    <m/>
    <s v="T1BS6"/>
    <s v="CVD"/>
    <s v="P"/>
  </r>
  <r>
    <n v="1406"/>
    <s v="NORTH"/>
    <s v="UTTAR PRADESH"/>
    <n v="7134"/>
    <s v="M/S GOENKA AUTO PRIVATE LIMITED."/>
    <s v="VARANASI"/>
    <s v="20-Jun-24"/>
    <s v="03-Nov-25"/>
    <n v="1165"/>
    <n v="52803"/>
    <n v="8"/>
    <s v="S"/>
    <s v="T-1"/>
    <n v="775459"/>
    <s v="MC1E4DEA3RP052936"/>
    <s v="D71055439"/>
    <m/>
    <m/>
    <x v="11"/>
    <s v="30-Nov-25"/>
    <x v="9"/>
    <n v="1250"/>
    <n v="590054"/>
    <s v="16-Feb-26"/>
    <n v="1250"/>
    <n v="1475"/>
    <n v="225"/>
    <n v="113521"/>
    <s v="16-Feb-26"/>
    <n v="0"/>
    <m/>
    <m/>
    <s v="T1BS6"/>
    <s v="CVD"/>
    <s v="F"/>
  </r>
  <r>
    <n v="1407"/>
    <s v="NORTH"/>
    <s v="UTTAR PRADESH"/>
    <n v="7134"/>
    <s v="M/S GOENKA AUTO PRIVATE LIMITED."/>
    <s v="VARANASI"/>
    <s v="24-Mar-25"/>
    <s v="11-Nov-25"/>
    <n v="889"/>
    <n v="50000"/>
    <n v="3"/>
    <s v="S"/>
    <s v="T-1"/>
    <n v="796130"/>
    <s v="MC1E4CAA9SP083839"/>
    <s v="D71069966"/>
    <m/>
    <m/>
    <x v="11"/>
    <s v="30-Nov-25"/>
    <x v="9"/>
    <n v="1250"/>
    <n v="590054"/>
    <s v="16-Feb-26"/>
    <n v="1250"/>
    <n v="1475"/>
    <n v="225"/>
    <n v="113521"/>
    <s v="16-Feb-26"/>
    <n v="0"/>
    <m/>
    <m/>
    <s v="T1BS6N"/>
    <s v="CVD"/>
    <s v="F"/>
  </r>
  <r>
    <n v="1408"/>
    <s v="NORTH"/>
    <s v="UTTAR PRADESH"/>
    <n v="7134"/>
    <s v="M/S GOENKA AUTO PRIVATE LIMITED."/>
    <s v="VARANASI"/>
    <s v="31-Mar-25"/>
    <s v="20-Nov-25"/>
    <n v="1165"/>
    <n v="40329"/>
    <n v="4"/>
    <s v="S"/>
    <s v="TRAX"/>
    <n v="327370"/>
    <s v="MC1D4DCA0SP107864"/>
    <s v="D72019478"/>
    <m/>
    <m/>
    <x v="11"/>
    <s v="30-Nov-25"/>
    <x v="9"/>
    <n v="0"/>
    <n v="590054"/>
    <s v="16-Feb-26"/>
    <n v="0"/>
    <n v="0"/>
    <n v="0"/>
    <n v="113521"/>
    <s v="16-Feb-26"/>
    <n v="0"/>
    <m/>
    <m/>
    <s v="TRXBS6"/>
    <s v="CVD"/>
    <s v="P"/>
  </r>
  <r>
    <n v="1409"/>
    <s v="NORTH"/>
    <s v="UTTAR PRADESH"/>
    <n v="7134"/>
    <s v="M/S GOENKA AUTO PRIVATE LIMITED."/>
    <s v="VARANASI"/>
    <s v="29-Apr-24"/>
    <s v="14-Nov-25"/>
    <n v="1165"/>
    <n v="118000"/>
    <n v="12"/>
    <s v="S"/>
    <s v="T-1"/>
    <n v="773372"/>
    <s v="MC1E4EDA5RP012526"/>
    <s v="D71051928"/>
    <m/>
    <m/>
    <x v="11"/>
    <s v="30-Nov-25"/>
    <x v="9"/>
    <n v="0"/>
    <n v="590054"/>
    <s v="16-Feb-26"/>
    <n v="0"/>
    <n v="0"/>
    <n v="0"/>
    <n v="113521"/>
    <s v="16-Feb-26"/>
    <n v="0"/>
    <m/>
    <m/>
    <s v="T1BS6"/>
    <s v="CVD"/>
    <s v="P"/>
  </r>
  <r>
    <n v="1410"/>
    <s v="NORTH"/>
    <s v="UTTAR PRADESH"/>
    <n v="7134"/>
    <s v="M/S GOENKA AUTO PRIVATE LIMITED."/>
    <s v="VARANASI"/>
    <s v="12-Aug-25"/>
    <s v="12-Nov-25"/>
    <n v="1165"/>
    <n v="8825"/>
    <n v="3"/>
    <s v="S"/>
    <s v="T-1"/>
    <n v="809428"/>
    <s v="MC1E4EFA6SP016846"/>
    <s v="D71084407"/>
    <s v="022"/>
    <s v="SERVICE COUPON HARD COPY NOT RECEIVED"/>
    <x v="11"/>
    <s v="30-Nov-25"/>
    <x v="9"/>
    <n v="1250"/>
    <n v="590054"/>
    <s v="16-Feb-26"/>
    <n v="0"/>
    <n v="1475"/>
    <n v="225"/>
    <n v="113521"/>
    <s v="16-Feb-26"/>
    <n v="1250"/>
    <m/>
    <m/>
    <s v="T1BS6"/>
    <s v="CVD"/>
    <s v="F"/>
  </r>
  <r>
    <n v="1411"/>
    <s v="NORTH"/>
    <s v="UTTAR PRADESH"/>
    <n v="7134"/>
    <s v="M/S GOENKA AUTO PRIVATE LIMITED."/>
    <s v="VARANASI"/>
    <s v="12-Aug-25"/>
    <s v="12-Nov-25"/>
    <n v="1165"/>
    <n v="8825"/>
    <n v="1"/>
    <s v="S"/>
    <s v="T-1"/>
    <n v="809428"/>
    <s v="MC1E4EFA6SP016846"/>
    <s v="D71084407"/>
    <s v="002"/>
    <s v="SERV DATE EXCEEDS"/>
    <x v="11"/>
    <s v="30-Nov-25"/>
    <x v="9"/>
    <n v="1250"/>
    <n v="590054"/>
    <s v="16-Feb-26"/>
    <n v="1000"/>
    <n v="1475"/>
    <n v="225"/>
    <n v="113521"/>
    <s v="16-Feb-26"/>
    <n v="250"/>
    <m/>
    <m/>
    <s v="T1BS6"/>
    <s v="CVD"/>
    <s v="F"/>
  </r>
  <r>
    <n v="1412"/>
    <s v="NORTH"/>
    <s v="UTTAR PRADESH"/>
    <n v="7134"/>
    <s v="M/S GOENKA AUTO PRIVATE LIMITED."/>
    <s v="VARANASI"/>
    <s v="18-Jan-25"/>
    <s v="20-Nov-25"/>
    <n v="1165"/>
    <n v="32432"/>
    <n v="5"/>
    <s v="S"/>
    <s v="T-1"/>
    <n v="790037"/>
    <s v="MC1E4EKA7SP014402"/>
    <s v="D71064055"/>
    <m/>
    <m/>
    <x v="11"/>
    <s v="30-Nov-25"/>
    <x v="9"/>
    <n v="1250"/>
    <n v="590054"/>
    <s v="16-Feb-26"/>
    <n v="1250"/>
    <n v="1475"/>
    <n v="225"/>
    <n v="113521"/>
    <s v="16-Feb-26"/>
    <n v="0"/>
    <m/>
    <m/>
    <s v="T1BS6"/>
    <s v="CVD"/>
    <s v="F"/>
  </r>
  <r>
    <n v="1413"/>
    <s v="NORTH"/>
    <s v="UTTAR PRADESH"/>
    <n v="7134"/>
    <s v="M/S GOENKA AUTO PRIVATE LIMITED."/>
    <s v="VARANASI"/>
    <s v="28-Jan-25"/>
    <s v="21-Nov-25"/>
    <n v="1165"/>
    <n v="25315"/>
    <n v="5"/>
    <s v="S"/>
    <s v="T-1"/>
    <n v="792099"/>
    <s v="MC1E4ELA2SP014662"/>
    <s v="D71065325"/>
    <m/>
    <m/>
    <x v="11"/>
    <s v="30-Nov-25"/>
    <x v="9"/>
    <n v="1250"/>
    <n v="590054"/>
    <s v="16-Feb-26"/>
    <n v="1250"/>
    <n v="1475"/>
    <n v="225"/>
    <n v="113521"/>
    <s v="16-Feb-26"/>
    <n v="0"/>
    <m/>
    <m/>
    <s v="T1BS6"/>
    <s v="CVD"/>
    <s v="F"/>
  </r>
  <r>
    <n v="1414"/>
    <s v="NORTH"/>
    <s v="UTTAR PRADESH"/>
    <n v="7134"/>
    <s v="M/S GOENKA AUTO PRIVATE LIMITED."/>
    <s v="VARANASI"/>
    <s v="24-Jul-24"/>
    <s v="04-Nov-25"/>
    <n v="1165"/>
    <n v="16120"/>
    <n v="3"/>
    <s v="S"/>
    <s v="T-1"/>
    <n v="780783"/>
    <s v="MC1E4DFA5RP053276"/>
    <s v="D71056809"/>
    <m/>
    <m/>
    <x v="11"/>
    <s v="30-Nov-25"/>
    <x v="9"/>
    <n v="1250"/>
    <n v="590054"/>
    <s v="16-Feb-26"/>
    <n v="1250"/>
    <n v="1475"/>
    <n v="225"/>
    <n v="113521"/>
    <s v="16-Feb-26"/>
    <n v="0"/>
    <m/>
    <m/>
    <s v="T1BS6N"/>
    <s v="CVD"/>
    <s v="F"/>
  </r>
  <r>
    <n v="1415"/>
    <s v="NORTH"/>
    <s v="UTTAR PRADESH"/>
    <n v="7134"/>
    <s v="M/S GOENKA AUTO PRIVATE LIMITED."/>
    <s v="VARANASI"/>
    <s v="22-Mar-25"/>
    <s v="16-Nov-25"/>
    <n v="1165"/>
    <n v="11477"/>
    <n v="4"/>
    <s v="S"/>
    <s v="TRAX"/>
    <n v="328028"/>
    <s v="MC1D1DBA7SP001616"/>
    <s v="D72018969"/>
    <m/>
    <m/>
    <x v="11"/>
    <s v="30-Nov-25"/>
    <x v="9"/>
    <n v="0"/>
    <n v="590054"/>
    <s v="16-Feb-26"/>
    <n v="0"/>
    <n v="0"/>
    <n v="0"/>
    <n v="113521"/>
    <s v="16-Feb-26"/>
    <n v="0"/>
    <m/>
    <m/>
    <s v="TRXBS6"/>
    <s v="CVD"/>
    <s v="P"/>
  </r>
  <r>
    <n v="1416"/>
    <s v="NORTH"/>
    <s v="UTTAR PRADESH"/>
    <n v="7134"/>
    <s v="M/S GOENKA AUTO PRIVATE LIMITED."/>
    <s v="VARANASI"/>
    <s v="30-Sep-24"/>
    <s v="04-Nov-25"/>
    <n v="1165"/>
    <n v="18654"/>
    <n v="3"/>
    <s v="S"/>
    <s v="T-1"/>
    <n v="782166"/>
    <s v="MC1E4DGA9SP053950"/>
    <s v="D71059289"/>
    <m/>
    <m/>
    <x v="11"/>
    <s v="30-Nov-25"/>
    <x v="9"/>
    <n v="1250"/>
    <n v="590054"/>
    <s v="16-Feb-26"/>
    <n v="1250"/>
    <n v="1475"/>
    <n v="225"/>
    <n v="113521"/>
    <s v="16-Feb-26"/>
    <n v="0"/>
    <m/>
    <m/>
    <s v="T1BS6N"/>
    <s v="CVD"/>
    <s v="F"/>
  </r>
  <r>
    <n v="1417"/>
    <s v="NORTH"/>
    <s v="UTTAR PRADESH"/>
    <n v="7134"/>
    <s v="M/S GOENKA AUTO PRIVATE LIMITED."/>
    <s v="VARANASI"/>
    <s v="05-Jun-25"/>
    <s v="27-Nov-25"/>
    <n v="1165"/>
    <n v="30000"/>
    <n v="3"/>
    <s v="S"/>
    <s v="T-1"/>
    <n v="802127"/>
    <s v="MC1E4EEA0SP016293"/>
    <s v="D71080819"/>
    <m/>
    <m/>
    <x v="11"/>
    <s v="30-Nov-25"/>
    <x v="9"/>
    <n v="1250"/>
    <n v="590054"/>
    <s v="16-Feb-26"/>
    <n v="1250"/>
    <n v="1475"/>
    <n v="225"/>
    <n v="113521"/>
    <s v="16-Feb-26"/>
    <n v="0"/>
    <m/>
    <m/>
    <s v="T1BS6"/>
    <s v="CVD"/>
    <s v="F"/>
  </r>
  <r>
    <n v="1418"/>
    <s v="NORTH"/>
    <s v="UTTAR PRADESH"/>
    <n v="7134"/>
    <s v="M/S GOENKA AUTO PRIVATE LIMITED."/>
    <s v="VARANASI"/>
    <s v="27-Sep-25"/>
    <s v="28-Nov-25"/>
    <n v="1165"/>
    <n v="5245"/>
    <n v="1"/>
    <s v="S"/>
    <s v="T-1"/>
    <n v="812507"/>
    <s v="MC1E4EHA1TP017336"/>
    <s v="D71088319"/>
    <m/>
    <m/>
    <x v="11"/>
    <s v="30-Nov-25"/>
    <x v="9"/>
    <n v="1250"/>
    <n v="590054"/>
    <s v="16-Feb-26"/>
    <n v="1250"/>
    <n v="1475"/>
    <n v="225"/>
    <n v="113521"/>
    <s v="16-Feb-26"/>
    <n v="0"/>
    <m/>
    <m/>
    <s v="T1BS6"/>
    <s v="CVD"/>
    <s v="F"/>
  </r>
  <r>
    <n v="1419"/>
    <s v="NORTH"/>
    <s v="UTTAR PRADESH"/>
    <n v="7134"/>
    <s v="M/S GOENKA AUTO PRIVATE LIMITED."/>
    <s v="VARANASI"/>
    <s v="09-Sep-24"/>
    <s v="20-Nov-25"/>
    <n v="1165"/>
    <n v="121907"/>
    <n v="12"/>
    <s v="S"/>
    <s v="T-1"/>
    <n v="785386"/>
    <s v="MC1E4EFA3RP013378"/>
    <s v="D71057643"/>
    <s v="001"/>
    <s v="SERV KMS  / HRS EXCEEDS"/>
    <x v="11"/>
    <s v="30-Nov-25"/>
    <x v="9"/>
    <n v="0"/>
    <n v="590054"/>
    <s v="16-Feb-26"/>
    <n v="0"/>
    <n v="0"/>
    <n v="0"/>
    <n v="113521"/>
    <s v="16-Feb-26"/>
    <n v="0"/>
    <m/>
    <m/>
    <s v="T1BS6"/>
    <s v="CVD"/>
    <s v="P"/>
  </r>
  <r>
    <n v="1420"/>
    <s v="NORTH"/>
    <s v="UTTAR PRADESH"/>
    <n v="7134"/>
    <s v="M/S GOENKA AUTO PRIVATE LIMITED."/>
    <s v="VARANASI"/>
    <s v="27-Sep-25"/>
    <s v="19-Nov-25"/>
    <n v="1165"/>
    <n v="10000"/>
    <n v="1"/>
    <s v="S"/>
    <s v="T-1"/>
    <n v="809347"/>
    <s v="MC1E4EFA9SP016825"/>
    <s v="D71084322"/>
    <m/>
    <m/>
    <x v="11"/>
    <s v="30-Nov-25"/>
    <x v="9"/>
    <n v="1250"/>
    <n v="590054"/>
    <s v="16-Feb-26"/>
    <n v="1250"/>
    <n v="1475"/>
    <n v="225"/>
    <n v="113521"/>
    <s v="16-Feb-26"/>
    <n v="0"/>
    <m/>
    <m/>
    <s v="T1BS6"/>
    <s v="CVD"/>
    <s v="F"/>
  </r>
  <r>
    <n v="1421"/>
    <s v="NORTH"/>
    <s v="UTTAR PRADESH"/>
    <n v="7134"/>
    <s v="M/S GOENKA AUTO PRIVATE LIMITED."/>
    <s v="VARANASI"/>
    <s v="12-Feb-25"/>
    <s v="25-Nov-25"/>
    <n v="1165"/>
    <n v="10277"/>
    <n v="2"/>
    <s v="S"/>
    <s v="T-1"/>
    <n v="781429"/>
    <s v="MC1E4DAA1SP055524"/>
    <s v="D71067085"/>
    <m/>
    <m/>
    <x v="11"/>
    <s v="30-Nov-25"/>
    <x v="9"/>
    <n v="1250"/>
    <n v="590054"/>
    <s v="16-Feb-26"/>
    <n v="1250"/>
    <n v="1475"/>
    <n v="225"/>
    <n v="113521"/>
    <s v="16-Feb-26"/>
    <n v="0"/>
    <m/>
    <m/>
    <s v="T1BS6N"/>
    <s v="CVD"/>
    <s v="F"/>
  </r>
  <r>
    <n v="1422"/>
    <s v="NORTH"/>
    <s v="UTTAR PRADESH"/>
    <n v="7134"/>
    <s v="M/S GOENKA AUTO PRIVATE LIMITED."/>
    <s v="VARANASI"/>
    <s v="23-Mar-25"/>
    <s v="20-Nov-25"/>
    <n v="875"/>
    <n v="73091"/>
    <n v="4"/>
    <s v="S"/>
    <s v="T-1"/>
    <n v="796123"/>
    <s v="MC1E4CAAXSP083574"/>
    <s v="D71069315"/>
    <s v="001"/>
    <s v="SERV KMS  / HRS EXCEEDS"/>
    <x v="11"/>
    <s v="30-Nov-25"/>
    <x v="9"/>
    <n v="1250"/>
    <n v="590054"/>
    <s v="16-Feb-26"/>
    <n v="1000"/>
    <n v="1475"/>
    <n v="225"/>
    <n v="113521"/>
    <s v="16-Feb-26"/>
    <n v="250"/>
    <m/>
    <m/>
    <s v="T1BS6N"/>
    <s v="CVD"/>
    <s v="F"/>
  </r>
  <r>
    <n v="1423"/>
    <s v="NORTH"/>
    <s v="UTTAR PRADESH"/>
    <n v="7134"/>
    <s v="M/S GOENKA AUTO PRIVATE LIMITED."/>
    <s v="VARANASI"/>
    <s v="29-Mar-25"/>
    <s v="10-Nov-25"/>
    <n v="1150"/>
    <n v="14169"/>
    <n v="4"/>
    <s v="S"/>
    <s v="T-1"/>
    <n v="778234"/>
    <s v="MC1E5EBA7SP003266"/>
    <s v="D73001699"/>
    <m/>
    <m/>
    <x v="11"/>
    <s v="30-Nov-25"/>
    <x v="9"/>
    <n v="0"/>
    <n v="590054"/>
    <s v="16-Feb-26"/>
    <n v="0"/>
    <n v="0"/>
    <n v="0"/>
    <n v="113521"/>
    <s v="16-Feb-26"/>
    <n v="0"/>
    <m/>
    <m/>
    <s v="T1CNGL"/>
    <s v="CVD"/>
    <s v="P"/>
  </r>
  <r>
    <n v="1424"/>
    <s v="NORTH"/>
    <s v="UTTAR PRADESH"/>
    <n v="7134"/>
    <s v="M/S GOENKA AUTO PRIVATE LIMITED."/>
    <s v="VARANASI"/>
    <s v="24-Mar-25"/>
    <s v="14-Nov-25"/>
    <n v="895"/>
    <n v="50000"/>
    <n v="3"/>
    <s v="S"/>
    <s v="T-1"/>
    <n v="796579"/>
    <s v="MC1E4CAA8SP084268"/>
    <s v="D71070648"/>
    <m/>
    <m/>
    <x v="11"/>
    <s v="30-Nov-25"/>
    <x v="9"/>
    <n v="1250"/>
    <n v="590054"/>
    <s v="16-Feb-26"/>
    <n v="1250"/>
    <n v="1475"/>
    <n v="225"/>
    <n v="113521"/>
    <s v="16-Feb-26"/>
    <n v="0"/>
    <m/>
    <m/>
    <s v="T1BS6N"/>
    <s v="CVD"/>
    <s v="F"/>
  </r>
  <r>
    <n v="1425"/>
    <s v="NORTH"/>
    <s v="UTTAR PRADESH"/>
    <n v="7134"/>
    <s v="M/S GOENKA AUTO PRIVATE LIMITED."/>
    <s v="VARANASI"/>
    <s v="10-Jun-25"/>
    <s v="10-Nov-25"/>
    <n v="1165"/>
    <n v="8425"/>
    <n v="3"/>
    <s v="S"/>
    <s v="TRAX"/>
    <n v="328518"/>
    <s v="MC1D4DDA5SP108619"/>
    <s v="D72020308"/>
    <m/>
    <m/>
    <x v="11"/>
    <s v="30-Nov-25"/>
    <x v="9"/>
    <n v="1250"/>
    <n v="590054"/>
    <s v="16-Feb-26"/>
    <n v="1250"/>
    <n v="1475"/>
    <n v="225"/>
    <n v="113521"/>
    <s v="16-Feb-26"/>
    <n v="0"/>
    <m/>
    <m/>
    <s v="TRXBS6"/>
    <s v="CVD"/>
    <s v="F"/>
  </r>
  <r>
    <n v="1426"/>
    <s v="NORTH"/>
    <s v="UTTAR PRADESH"/>
    <n v="7134"/>
    <s v="M/S GOENKA AUTO PRIVATE LIMITED."/>
    <s v="VARANASI"/>
    <s v="09-Aug-25"/>
    <s v="30-Nov-25"/>
    <n v="1165"/>
    <n v="8421"/>
    <n v="1"/>
    <s v="S"/>
    <s v="T-1"/>
    <n v="804752"/>
    <s v="MC1E4DFA6SP058024"/>
    <s v="D71084329"/>
    <m/>
    <m/>
    <x v="11"/>
    <s v="30-Nov-25"/>
    <x v="9"/>
    <n v="1250"/>
    <n v="590054"/>
    <s v="16-Feb-26"/>
    <n v="1250"/>
    <n v="1475"/>
    <n v="225"/>
    <n v="113521"/>
    <s v="16-Feb-26"/>
    <n v="0"/>
    <m/>
    <m/>
    <s v="T1BS6N"/>
    <s v="CVD"/>
    <s v="F"/>
  </r>
  <r>
    <n v="1427"/>
    <s v="NORTH"/>
    <s v="UTTAR PRADESH"/>
    <n v="7134"/>
    <s v="M/S GOENKA AUTO PRIVATE LIMITED."/>
    <s v="VARANASI"/>
    <s v="10-Jul-25"/>
    <s v="24-Nov-25"/>
    <n v="1165"/>
    <n v="19100"/>
    <n v="2"/>
    <s v="S"/>
    <s v="T1N"/>
    <n v="8133"/>
    <s v="MC1M4AFAXSP004879"/>
    <s v="D71082671"/>
    <m/>
    <m/>
    <x v="11"/>
    <s v="30-Nov-25"/>
    <x v="9"/>
    <n v="0"/>
    <n v="590054"/>
    <s v="16-Feb-26"/>
    <n v="0"/>
    <n v="0"/>
    <n v="0"/>
    <n v="113521"/>
    <s v="16-Feb-26"/>
    <n v="0"/>
    <m/>
    <m/>
    <s v="URBN"/>
    <s v="CVD"/>
    <s v="P"/>
  </r>
  <r>
    <n v="1428"/>
    <s v="NORTH"/>
    <s v="UTTAR PRADESH"/>
    <n v="7134"/>
    <s v="M/S GOENKA AUTO PRIVATE LIMITED."/>
    <s v="VARANASI"/>
    <s v="28-Dec-24"/>
    <s v="24-Nov-25"/>
    <n v="1165"/>
    <n v="43394"/>
    <n v="5"/>
    <s v="S"/>
    <s v="T26"/>
    <n v="789109"/>
    <s v="MC1E4FLA6SP021779"/>
    <s v="D71065359"/>
    <s v="002"/>
    <s v="SERV DATE EXCEEDS"/>
    <x v="11"/>
    <s v="30-Nov-25"/>
    <x v="9"/>
    <n v="1250"/>
    <n v="590054"/>
    <s v="16-Feb-26"/>
    <n v="1000"/>
    <n v="1475"/>
    <n v="225"/>
    <n v="113521"/>
    <s v="16-Feb-26"/>
    <n v="250"/>
    <m/>
    <m/>
    <s v="T26BS6"/>
    <s v="CVD"/>
    <s v="F"/>
  </r>
  <r>
    <n v="1429"/>
    <s v="NORTH"/>
    <s v="UTTAR PRADESH"/>
    <n v="7134"/>
    <s v="M/S GOENKA AUTO PRIVATE LIMITED."/>
    <s v="VARANASI"/>
    <s v="18-Jan-25"/>
    <s v="10-Nov-25"/>
    <n v="1165"/>
    <n v="35082"/>
    <n v="5"/>
    <s v="S"/>
    <s v="T26"/>
    <n v="789051"/>
    <s v="MC1E4FAA1SP022101"/>
    <s v="D71067536"/>
    <m/>
    <m/>
    <x v="11"/>
    <s v="30-Nov-25"/>
    <x v="9"/>
    <n v="1250"/>
    <n v="590054"/>
    <s v="16-Feb-26"/>
    <n v="1250"/>
    <n v="1475"/>
    <n v="225"/>
    <n v="113521"/>
    <s v="16-Feb-26"/>
    <n v="0"/>
    <m/>
    <m/>
    <s v="T26BS6"/>
    <s v="CVD"/>
    <s v="F"/>
  </r>
  <r>
    <n v="1430"/>
    <s v="NORTH"/>
    <s v="UTTAR PRADESH"/>
    <n v="7134"/>
    <s v="M/S GOENKA AUTO PRIVATE LIMITED."/>
    <s v="VARANASI"/>
    <s v="24-Mar-25"/>
    <s v="13-Nov-25"/>
    <n v="897"/>
    <n v="51621"/>
    <n v="3"/>
    <s v="S"/>
    <s v="T-1"/>
    <n v="796131"/>
    <s v="MC1E4CAA5SP083398"/>
    <s v="D71069236"/>
    <s v="001"/>
    <s v="SERV KMS  / HRS EXCEEDS"/>
    <x v="11"/>
    <s v="30-Nov-25"/>
    <x v="9"/>
    <n v="1250"/>
    <n v="590054"/>
    <s v="16-Feb-26"/>
    <n v="1000"/>
    <n v="1475"/>
    <n v="225"/>
    <n v="113521"/>
    <s v="16-Feb-26"/>
    <n v="250"/>
    <m/>
    <m/>
    <s v="T1BS6N"/>
    <s v="CVD"/>
    <s v="F"/>
  </r>
  <r>
    <n v="1431"/>
    <s v="NORTH"/>
    <s v="UTTAR PRADESH"/>
    <n v="7134"/>
    <s v="M/S GOENKA AUTO PRIVATE LIMITED."/>
    <s v="VARANASI"/>
    <s v="29-Oct-24"/>
    <s v="21-Nov-25"/>
    <n v="1165"/>
    <n v="60000"/>
    <n v="6"/>
    <s v="S"/>
    <s v="T-1"/>
    <n v="790578"/>
    <s v="MC1E4EKA4SP014275"/>
    <s v="D71063275"/>
    <s v="002"/>
    <s v="SERV DATE EXCEEDS"/>
    <x v="11"/>
    <s v="30-Nov-25"/>
    <x v="9"/>
    <n v="0"/>
    <n v="590054"/>
    <s v="16-Feb-26"/>
    <n v="0"/>
    <n v="0"/>
    <n v="0"/>
    <n v="113521"/>
    <s v="16-Feb-26"/>
    <n v="0"/>
    <m/>
    <m/>
    <s v="T1BS6"/>
    <s v="CVD"/>
    <s v="P"/>
  </r>
  <r>
    <n v="1432"/>
    <s v="NORTH"/>
    <s v="UTTAR PRADESH"/>
    <n v="7134"/>
    <s v="M/S GOENKA AUTO PRIVATE LIMITED."/>
    <s v="VARANASI"/>
    <s v="24-Mar-25"/>
    <s v="20-Nov-25"/>
    <n v="875"/>
    <n v="50803"/>
    <n v="3"/>
    <s v="S"/>
    <s v="T-1"/>
    <n v="796143"/>
    <s v="MC1E4CAA6SP083877"/>
    <s v="D71070045"/>
    <m/>
    <m/>
    <x v="11"/>
    <s v="30-Nov-25"/>
    <x v="9"/>
    <n v="1250"/>
    <n v="590054"/>
    <s v="16-Feb-26"/>
    <n v="1250"/>
    <n v="1475"/>
    <n v="225"/>
    <n v="113521"/>
    <s v="16-Feb-26"/>
    <n v="0"/>
    <m/>
    <m/>
    <s v="T1BS6N"/>
    <s v="CVD"/>
    <s v="F"/>
  </r>
  <r>
    <n v="1433"/>
    <s v="NORTH"/>
    <s v="UTTAR PRADESH"/>
    <n v="7134"/>
    <s v="M/S GOENKA AUTO PRIVATE LIMITED."/>
    <s v="VARANASI"/>
    <s v="25-Mar-25"/>
    <s v="24-Nov-25"/>
    <n v="1165"/>
    <n v="111585"/>
    <n v="7"/>
    <s v="S"/>
    <s v="T-1"/>
    <n v="785188"/>
    <s v="MC1E4EBA7SP015419"/>
    <s v="D71073629"/>
    <s v="001"/>
    <s v="SERV KMS  / HRS EXCEEDS"/>
    <x v="11"/>
    <s v="30-Nov-25"/>
    <x v="9"/>
    <n v="0"/>
    <n v="590054"/>
    <s v="16-Feb-26"/>
    <n v="0"/>
    <n v="0"/>
    <n v="0"/>
    <n v="113521"/>
    <s v="16-Feb-26"/>
    <n v="0"/>
    <m/>
    <m/>
    <s v="T1BS6"/>
    <s v="CVD"/>
    <s v="P"/>
  </r>
  <r>
    <n v="1434"/>
    <s v="NORTH"/>
    <s v="UTTAR PRADESH"/>
    <n v="7134"/>
    <s v="M/S GOENKA AUTO PRIVATE LIMITED."/>
    <s v="VARANASI"/>
    <s v="28-May-24"/>
    <s v="10-Nov-25"/>
    <n v="1165"/>
    <n v="100000"/>
    <n v="10"/>
    <s v="S"/>
    <s v="T26"/>
    <n v="776290"/>
    <s v="MC1E4FEA9RP020391"/>
    <s v="D71054667"/>
    <m/>
    <m/>
    <x v="11"/>
    <s v="30-Nov-25"/>
    <x v="9"/>
    <n v="0"/>
    <n v="590054"/>
    <s v="16-Feb-26"/>
    <n v="0"/>
    <n v="0"/>
    <n v="0"/>
    <n v="113521"/>
    <s v="16-Feb-26"/>
    <n v="0"/>
    <m/>
    <m/>
    <s v="T26BS6"/>
    <s v="CVD"/>
    <s v="P"/>
  </r>
  <r>
    <n v="1435"/>
    <s v="NORTH"/>
    <s v="UTTAR PRADESH"/>
    <n v="7134"/>
    <s v="M/S GOENKA AUTO PRIVATE LIMITED."/>
    <s v="VARANASI"/>
    <s v="27-Mar-25"/>
    <s v="10-Nov-25"/>
    <n v="1165"/>
    <n v="34797"/>
    <n v="4"/>
    <s v="S"/>
    <s v="TRAX"/>
    <n v="324054"/>
    <s v="MC1D4DGA1SP104949"/>
    <s v="D72016128"/>
    <m/>
    <m/>
    <x v="11"/>
    <s v="30-Nov-25"/>
    <x v="9"/>
    <n v="0"/>
    <n v="590054"/>
    <s v="16-Feb-26"/>
    <n v="0"/>
    <n v="0"/>
    <n v="0"/>
    <n v="113521"/>
    <s v="16-Feb-26"/>
    <n v="0"/>
    <m/>
    <m/>
    <s v="TRXBS6"/>
    <s v="CVD"/>
    <s v="P"/>
  </r>
  <r>
    <n v="1436"/>
    <s v="NORTH"/>
    <s v="UTTAR PRADESH"/>
    <n v="7134"/>
    <s v="M/S GOENKA AUTO PRIVATE LIMITED."/>
    <s v="VARANASI"/>
    <s v="22-Mar-25"/>
    <s v="16-Nov-25"/>
    <n v="1165"/>
    <n v="6812"/>
    <n v="4"/>
    <s v="S"/>
    <s v="TRAX"/>
    <n v="328462"/>
    <s v="MC1D1DCA2SP001618"/>
    <s v="D72019587"/>
    <m/>
    <m/>
    <x v="11"/>
    <s v="30-Nov-25"/>
    <x v="9"/>
    <n v="0"/>
    <n v="590054"/>
    <s v="16-Feb-26"/>
    <n v="0"/>
    <n v="0"/>
    <n v="0"/>
    <n v="113521"/>
    <s v="16-Feb-26"/>
    <n v="0"/>
    <m/>
    <m/>
    <s v="TRXBS6"/>
    <s v="CVD"/>
    <s v="P"/>
  </r>
  <r>
    <n v="1437"/>
    <s v="NORTH"/>
    <s v="UTTAR PRADESH"/>
    <n v="7134"/>
    <s v="M/S GOENKA AUTO PRIVATE LIMITED."/>
    <s v="VARANASI"/>
    <s v="31-Mar-24"/>
    <s v="21-Nov-25"/>
    <n v="1165"/>
    <n v="77520"/>
    <n v="10"/>
    <s v="S"/>
    <s v="T-1"/>
    <n v="765111"/>
    <s v="MC1E4ECA7RP012304"/>
    <s v="D71050911"/>
    <m/>
    <m/>
    <x v="11"/>
    <s v="30-Nov-25"/>
    <x v="9"/>
    <n v="0"/>
    <n v="590054"/>
    <s v="16-Feb-26"/>
    <n v="0"/>
    <n v="0"/>
    <n v="0"/>
    <n v="113521"/>
    <s v="16-Feb-26"/>
    <n v="0"/>
    <m/>
    <m/>
    <s v="T1BS6"/>
    <s v="CVD"/>
    <s v="P"/>
  </r>
  <r>
    <n v="1438"/>
    <s v="NORTH"/>
    <s v="UTTAR PRADESH"/>
    <n v="7134"/>
    <s v="M/S GOENKA AUTO PRIVATE LIMITED."/>
    <s v="VARANASI"/>
    <s v="18-Oct-24"/>
    <s v="27-Nov-25"/>
    <n v="1165"/>
    <n v="60000"/>
    <n v="6"/>
    <s v="S"/>
    <s v="T1N"/>
    <n v="5392"/>
    <s v="MC1M4AJA0SP002436"/>
    <s v="D71062823"/>
    <m/>
    <m/>
    <x v="11"/>
    <s v="30-Nov-25"/>
    <x v="9"/>
    <n v="0"/>
    <n v="590054"/>
    <s v="16-Feb-26"/>
    <n v="0"/>
    <n v="0"/>
    <n v="0"/>
    <n v="113521"/>
    <s v="16-Feb-26"/>
    <n v="0"/>
    <m/>
    <m/>
    <s v="URBN"/>
    <s v="CVD"/>
    <s v="P"/>
  </r>
  <r>
    <n v="1439"/>
    <s v="NORTH"/>
    <s v="UTTAR PRADESH"/>
    <n v="7134"/>
    <s v="M/S GOENKA AUTO PRIVATE LIMITED."/>
    <s v="VARANASI"/>
    <s v="07-Jun-25"/>
    <s v="10-Nov-25"/>
    <n v="1165"/>
    <n v="30357"/>
    <n v="3"/>
    <s v="S"/>
    <s v="TRAX"/>
    <n v="328672"/>
    <s v="MC1D4DDA6SP108404"/>
    <s v="D72020089"/>
    <m/>
    <m/>
    <x v="11"/>
    <s v="30-Nov-25"/>
    <x v="9"/>
    <n v="1250"/>
    <n v="590054"/>
    <s v="16-Feb-26"/>
    <n v="1250"/>
    <n v="1475"/>
    <n v="225"/>
    <n v="113521"/>
    <s v="16-Feb-26"/>
    <n v="0"/>
    <m/>
    <m/>
    <s v="TRXBS6"/>
    <s v="CVD"/>
    <s v="F"/>
  </r>
  <r>
    <n v="1440"/>
    <s v="NORTH"/>
    <s v="UTTAR PRADESH"/>
    <n v="7134"/>
    <s v="M/S GOENKA AUTO PRIVATE LIMITED."/>
    <s v="VARANASI"/>
    <s v="24-Mar-25"/>
    <s v="14-Nov-25"/>
    <n v="871"/>
    <n v="51000"/>
    <n v="3"/>
    <s v="S"/>
    <s v="T-1"/>
    <n v="796125"/>
    <s v="MC1E4CAAXSP083963"/>
    <s v="D71070041"/>
    <s v="001"/>
    <s v="SERV KMS  / HRS EXCEEDS"/>
    <x v="11"/>
    <s v="30-Nov-25"/>
    <x v="9"/>
    <n v="1250"/>
    <n v="590054"/>
    <s v="16-Feb-26"/>
    <n v="1000"/>
    <n v="1475"/>
    <n v="225"/>
    <n v="113521"/>
    <s v="16-Feb-26"/>
    <n v="250"/>
    <m/>
    <m/>
    <s v="T1BS6N"/>
    <s v="CVD"/>
    <s v="F"/>
  </r>
  <r>
    <n v="1441"/>
    <s v="NORTH"/>
    <s v="UTTAR PRADESH"/>
    <n v="7134"/>
    <s v="M/S GOENKA AUTO PRIVATE LIMITED."/>
    <s v="VARANASI"/>
    <s v="24-Mar-25"/>
    <s v="14-Nov-25"/>
    <n v="887"/>
    <n v="50000"/>
    <n v="3"/>
    <s v="S"/>
    <s v="T-1"/>
    <n v="796173"/>
    <s v="MC1E4CAA2SP083844"/>
    <s v="D71069961"/>
    <m/>
    <m/>
    <x v="11"/>
    <s v="30-Nov-25"/>
    <x v="9"/>
    <n v="1250"/>
    <n v="590054"/>
    <s v="16-Feb-26"/>
    <n v="1250"/>
    <n v="1475"/>
    <n v="225"/>
    <n v="113521"/>
    <s v="16-Feb-26"/>
    <n v="0"/>
    <m/>
    <m/>
    <s v="T1BS6N"/>
    <s v="CVD"/>
    <s v="F"/>
  </r>
  <r>
    <n v="1442"/>
    <s v="NORTH"/>
    <s v="UTTAR PRADESH"/>
    <n v="7134"/>
    <s v="M/S GOENKA AUTO PRIVATE LIMITED."/>
    <s v="VARANASI"/>
    <s v="07-Jun-25"/>
    <s v="02-Nov-25"/>
    <n v="1165"/>
    <n v="30000"/>
    <n v="3"/>
    <s v="S"/>
    <s v="TRAX"/>
    <n v="326024"/>
    <s v="MC1D4DLA4SP106328"/>
    <s v="D72017786"/>
    <m/>
    <m/>
    <x v="11"/>
    <s v="30-Nov-25"/>
    <x v="9"/>
    <n v="1250"/>
    <n v="590054"/>
    <s v="16-Feb-26"/>
    <n v="1250"/>
    <n v="1475"/>
    <n v="225"/>
    <n v="113521"/>
    <s v="16-Feb-26"/>
    <n v="0"/>
    <m/>
    <m/>
    <s v="TRXBS6"/>
    <s v="CVD"/>
    <s v="F"/>
  </r>
  <r>
    <n v="1443"/>
    <s v="NORTH"/>
    <s v="UTTAR PRADESH"/>
    <n v="7134"/>
    <s v="M/S GOENKA AUTO PRIVATE LIMITED."/>
    <s v="VARANASI"/>
    <s v="08-Jul-25"/>
    <s v="30-Nov-25"/>
    <n v="1165"/>
    <n v="10775"/>
    <n v="3"/>
    <s v="S"/>
    <s v="T-1"/>
    <n v="778945"/>
    <s v="MC1E5CFA5SP000185"/>
    <s v="D73002102"/>
    <m/>
    <m/>
    <x v="11"/>
    <s v="30-Nov-25"/>
    <x v="9"/>
    <n v="1250"/>
    <n v="590054"/>
    <s v="16-Feb-26"/>
    <n v="1250"/>
    <n v="1475"/>
    <n v="225"/>
    <n v="113521"/>
    <s v="16-Feb-26"/>
    <n v="0"/>
    <m/>
    <m/>
    <s v="T1CNGL"/>
    <s v="CVD"/>
    <s v="F"/>
  </r>
  <r>
    <n v="1444"/>
    <s v="NORTH"/>
    <s v="UTTAR PRADESH"/>
    <n v="7134"/>
    <s v="M/S GOENKA AUTO PRIVATE LIMITED."/>
    <s v="VARANASI"/>
    <s v="06-Jul-24"/>
    <s v="18-Nov-25"/>
    <n v="1165"/>
    <n v="98387"/>
    <n v="10"/>
    <s v="S"/>
    <s v="T26"/>
    <n v="777193"/>
    <s v="MC1E4FFA8RP020641"/>
    <s v="D71056088"/>
    <m/>
    <m/>
    <x v="11"/>
    <s v="30-Nov-25"/>
    <x v="9"/>
    <n v="0"/>
    <n v="590054"/>
    <s v="16-Feb-26"/>
    <n v="0"/>
    <n v="0"/>
    <n v="0"/>
    <n v="113521"/>
    <s v="16-Feb-26"/>
    <n v="0"/>
    <m/>
    <m/>
    <s v="T26BS6"/>
    <s v="CVD"/>
    <s v="P"/>
  </r>
  <r>
    <n v="1445"/>
    <s v="NORTH"/>
    <s v="UTTAR PRADESH"/>
    <n v="7134"/>
    <s v="M/S GOENKA AUTO PRIVATE LIMITED."/>
    <s v="VARANASI"/>
    <s v="23-Apr-24"/>
    <s v="03-Nov-25"/>
    <n v="1165"/>
    <n v="110000"/>
    <n v="11"/>
    <s v="S"/>
    <s v="T1N"/>
    <n v="3489"/>
    <s v="MC1M4ADA5RP001370"/>
    <s v="D71052482"/>
    <m/>
    <m/>
    <x v="11"/>
    <s v="30-Nov-25"/>
    <x v="9"/>
    <n v="0"/>
    <n v="590054"/>
    <s v="16-Feb-26"/>
    <n v="0"/>
    <n v="0"/>
    <n v="0"/>
    <n v="113521"/>
    <s v="16-Feb-26"/>
    <n v="0"/>
    <m/>
    <m/>
    <s v="URBN"/>
    <s v="CVD"/>
    <s v="P"/>
  </r>
  <r>
    <n v="1446"/>
    <s v="NORTH"/>
    <s v="UTTAR PRADESH"/>
    <n v="7134"/>
    <s v="M/S GOENKA AUTO PRIVATE LIMITED."/>
    <s v="VARANASI"/>
    <s v="31-Jul-25"/>
    <s v="23-Nov-25"/>
    <n v="1165"/>
    <n v="10000"/>
    <n v="1"/>
    <s v="S"/>
    <s v="T-1"/>
    <n v="807123"/>
    <s v="MC1E4EFA1SP016625"/>
    <s v="D71082796"/>
    <s v="002"/>
    <s v="SERV DATE EXCEEDS"/>
    <x v="11"/>
    <s v="30-Nov-25"/>
    <x v="9"/>
    <n v="1250"/>
    <n v="590054"/>
    <s v="16-Feb-26"/>
    <n v="1000"/>
    <n v="1475"/>
    <n v="225"/>
    <n v="113521"/>
    <s v="16-Feb-26"/>
    <n v="250"/>
    <m/>
    <m/>
    <s v="T1BS6"/>
    <s v="CVD"/>
    <s v="F"/>
  </r>
  <r>
    <n v="1447"/>
    <s v="NORTH"/>
    <s v="UTTAR PRADESH"/>
    <n v="7134"/>
    <s v="M/S GOENKA AUTO PRIVATE LIMITED."/>
    <s v="VARANASI"/>
    <s v="23-Mar-25"/>
    <s v="20-Nov-25"/>
    <n v="877"/>
    <n v="51552"/>
    <n v="3"/>
    <s v="S"/>
    <s v="T-1"/>
    <n v="796498"/>
    <s v="MC1E4CAAXSP083655"/>
    <s v="D71069695"/>
    <s v="001"/>
    <s v="SERV KMS  / HRS EXCEEDS"/>
    <x v="11"/>
    <s v="30-Nov-25"/>
    <x v="9"/>
    <n v="1250"/>
    <n v="590054"/>
    <s v="16-Feb-26"/>
    <n v="1000"/>
    <n v="1475"/>
    <n v="225"/>
    <n v="113521"/>
    <s v="16-Feb-26"/>
    <n v="250"/>
    <m/>
    <m/>
    <s v="T1BS6N"/>
    <s v="CVD"/>
    <s v="F"/>
  </r>
  <r>
    <n v="1448"/>
    <s v="NORTH"/>
    <s v="UTTAR PRADESH"/>
    <n v="7134"/>
    <s v="M/S GOENKA AUTO PRIVATE LIMITED."/>
    <s v="VARANASI"/>
    <s v="19-Jun-25"/>
    <s v="27-Nov-25"/>
    <n v="1165"/>
    <n v="20000"/>
    <n v="2"/>
    <s v="S"/>
    <s v="T1N"/>
    <n v="8108"/>
    <s v="MC1M4AFA0SP004812"/>
    <s v="D71082360"/>
    <m/>
    <m/>
    <x v="11"/>
    <s v="30-Nov-25"/>
    <x v="9"/>
    <n v="0"/>
    <n v="590054"/>
    <s v="16-Feb-26"/>
    <n v="0"/>
    <n v="0"/>
    <n v="0"/>
    <n v="113521"/>
    <s v="16-Feb-26"/>
    <n v="0"/>
    <m/>
    <m/>
    <s v="URBN"/>
    <s v="CVD"/>
    <s v="P"/>
  </r>
  <r>
    <n v="1449"/>
    <s v="NORTH"/>
    <s v="UTTAR PRADESH"/>
    <n v="7134"/>
    <s v="M/S GOENKA AUTO PRIVATE LIMITED."/>
    <s v="VARANASI"/>
    <s v="09-Aug-24"/>
    <s v="06-Nov-25"/>
    <n v="1165"/>
    <n v="82093"/>
    <n v="8"/>
    <s v="S"/>
    <s v="T-1"/>
    <n v="774600"/>
    <s v="MC1E4EFA8RP013148"/>
    <s v="D71056274"/>
    <s v="001"/>
    <s v="SERV KMS  / HRS EXCEEDS"/>
    <x v="11"/>
    <s v="30-Nov-25"/>
    <x v="9"/>
    <n v="1250"/>
    <n v="590054"/>
    <s v="16-Feb-26"/>
    <n v="1000"/>
    <n v="1475"/>
    <n v="225"/>
    <n v="113521"/>
    <s v="16-Feb-26"/>
    <n v="250"/>
    <m/>
    <m/>
    <s v="T1BS6"/>
    <s v="CVD"/>
    <s v="F"/>
  </r>
  <r>
    <n v="1450"/>
    <s v="NORTH"/>
    <s v="UTTAR PRADESH"/>
    <n v="7134"/>
    <s v="M/S GOENKA AUTO PRIVATE LIMITED."/>
    <s v="VARANASI"/>
    <s v="16-Jul-25"/>
    <s v="10-Nov-25"/>
    <n v="1165"/>
    <n v="10000"/>
    <n v="1"/>
    <s v="S"/>
    <s v="T26"/>
    <n v="806451"/>
    <s v="MC1E4FEAXSP023855"/>
    <s v="D71081991"/>
    <s v="002"/>
    <s v="SERV DATE EXCEEDS"/>
    <x v="11"/>
    <s v="30-Nov-25"/>
    <x v="9"/>
    <n v="1250"/>
    <n v="590054"/>
    <s v="16-Feb-26"/>
    <n v="1000"/>
    <n v="1475"/>
    <n v="225"/>
    <n v="113521"/>
    <s v="16-Feb-26"/>
    <n v="250"/>
    <m/>
    <m/>
    <s v="T26BS6"/>
    <s v="CVD"/>
    <s v="F"/>
  </r>
  <r>
    <n v="1451"/>
    <s v="NORTH"/>
    <s v="UTTAR PRADESH"/>
    <n v="7134"/>
    <s v="M/S GOENKA AUTO PRIVATE LIMITED."/>
    <s v="VARANASI"/>
    <s v="16-Jul-25"/>
    <s v="19-Nov-25"/>
    <n v="1165"/>
    <n v="12500"/>
    <n v="2"/>
    <s v="S"/>
    <s v="T26"/>
    <n v="806451"/>
    <s v="MC1E4FEAXSP023855"/>
    <s v="D71081991"/>
    <m/>
    <m/>
    <x v="11"/>
    <s v="30-Nov-25"/>
    <x v="9"/>
    <n v="0"/>
    <n v="590054"/>
    <s v="16-Feb-26"/>
    <n v="0"/>
    <n v="0"/>
    <n v="0"/>
    <n v="113521"/>
    <s v="16-Feb-26"/>
    <n v="0"/>
    <m/>
    <m/>
    <s v="T26BS6"/>
    <s v="CVD"/>
    <s v="P"/>
  </r>
  <r>
    <n v="1452"/>
    <s v="NORTH"/>
    <s v="UTTAR PRADESH"/>
    <n v="7134"/>
    <s v="M/S GOENKA AUTO PRIVATE LIMITED."/>
    <s v="VARANASI"/>
    <s v="11-Apr-25"/>
    <s v="02-Nov-25"/>
    <n v="799"/>
    <n v="54300"/>
    <n v="4"/>
    <s v="S"/>
    <s v="T-1"/>
    <n v="780478"/>
    <s v="MC1E4CMA6SP082675"/>
    <s v="D71068079"/>
    <m/>
    <m/>
    <x v="11"/>
    <s v="30-Nov-25"/>
    <x v="9"/>
    <n v="1250"/>
    <n v="590054"/>
    <s v="16-Feb-26"/>
    <n v="1250"/>
    <n v="1475"/>
    <n v="225"/>
    <n v="113521"/>
    <s v="16-Feb-26"/>
    <n v="0"/>
    <m/>
    <m/>
    <s v="T1BS6"/>
    <s v="CVD"/>
    <s v="F"/>
  </r>
  <r>
    <n v="1453"/>
    <s v="NORTH"/>
    <s v="UTTAR PRADESH"/>
    <n v="7134"/>
    <s v="M/S GOENKA AUTO PRIVATE LIMITED."/>
    <s v="VARANASI"/>
    <s v="16-Jul-25"/>
    <s v="10-Nov-25"/>
    <n v="1165"/>
    <n v="10000"/>
    <n v="1"/>
    <s v="S"/>
    <s v="T26"/>
    <n v="805943"/>
    <s v="MC1E4FEA4SP023849"/>
    <s v="D71082108"/>
    <s v="002"/>
    <s v="SERV DATE EXCEEDS"/>
    <x v="11"/>
    <s v="30-Nov-25"/>
    <x v="9"/>
    <n v="1250"/>
    <n v="590054"/>
    <s v="16-Feb-26"/>
    <n v="1000"/>
    <n v="1475"/>
    <n v="225"/>
    <n v="113521"/>
    <s v="16-Feb-26"/>
    <n v="250"/>
    <m/>
    <m/>
    <s v="T26BS6"/>
    <s v="CVD"/>
    <s v="F"/>
  </r>
  <r>
    <n v="1454"/>
    <s v="NORTH"/>
    <s v="UTTAR PRADESH"/>
    <n v="7134"/>
    <s v="M/S GOENKA AUTO PRIVATE LIMITED."/>
    <s v="VARANASI"/>
    <s v="16-Jul-25"/>
    <s v="19-Nov-25"/>
    <n v="1165"/>
    <n v="12500"/>
    <n v="2"/>
    <s v="S"/>
    <s v="T26"/>
    <n v="805943"/>
    <s v="MC1E4FEA4SP023849"/>
    <s v="D71082108"/>
    <m/>
    <m/>
    <x v="11"/>
    <s v="30-Nov-25"/>
    <x v="9"/>
    <n v="0"/>
    <n v="590054"/>
    <s v="16-Feb-26"/>
    <n v="0"/>
    <n v="0"/>
    <n v="0"/>
    <n v="113521"/>
    <s v="16-Feb-26"/>
    <n v="0"/>
    <m/>
    <m/>
    <s v="T26BS6"/>
    <s v="CVD"/>
    <s v="P"/>
  </r>
  <r>
    <n v="1455"/>
    <s v="NORTH"/>
    <s v="UTTAR PRADESH"/>
    <n v="7134"/>
    <s v="M/S GOENKA AUTO PRIVATE LIMITED."/>
    <s v="VARANASI"/>
    <s v="29-Jan-25"/>
    <s v="16-Nov-25"/>
    <n v="1165"/>
    <n v="29922"/>
    <n v="4"/>
    <s v="S"/>
    <s v="T1N"/>
    <n v="5921"/>
    <s v="MC1M4AAAXSP003240"/>
    <s v="D71069281"/>
    <m/>
    <m/>
    <x v="11"/>
    <s v="30-Nov-25"/>
    <x v="9"/>
    <n v="0"/>
    <n v="590054"/>
    <s v="16-Feb-26"/>
    <n v="0"/>
    <n v="0"/>
    <n v="0"/>
    <n v="113521"/>
    <s v="16-Feb-26"/>
    <n v="0"/>
    <m/>
    <m/>
    <s v="URBN"/>
    <s v="CVD"/>
    <s v="P"/>
  </r>
  <r>
    <n v="1456"/>
    <s v="NORTH"/>
    <s v="UTTAR PRADESH"/>
    <n v="7134"/>
    <s v="M/S GOENKA AUTO PRIVATE LIMITED."/>
    <s v="VARANASI"/>
    <s v="25-Mar-25"/>
    <s v="30-Nov-25"/>
    <n v="908"/>
    <n v="52925"/>
    <n v="3"/>
    <s v="S"/>
    <s v="T-1"/>
    <n v="797307"/>
    <s v="MC1E4CAA0SP084507"/>
    <s v="D71071034"/>
    <s v="001"/>
    <s v="SERV KMS  / HRS EXCEEDS"/>
    <x v="11"/>
    <s v="30-Nov-25"/>
    <x v="9"/>
    <n v="1250"/>
    <n v="590054"/>
    <s v="16-Feb-26"/>
    <n v="1000"/>
    <n v="1475"/>
    <n v="225"/>
    <n v="113521"/>
    <s v="16-Feb-26"/>
    <n v="250"/>
    <m/>
    <m/>
    <s v="T1BS6N"/>
    <s v="CVD"/>
    <s v="F"/>
  </r>
  <r>
    <n v="1457"/>
    <s v="NORTH"/>
    <s v="UTTAR PRADESH"/>
    <n v="7134"/>
    <s v="M/S GOENKA AUTO PRIVATE LIMITED."/>
    <s v="VARANASI"/>
    <s v="16-Nov-24"/>
    <s v="18-Nov-25"/>
    <n v="1165"/>
    <n v="48598"/>
    <n v="5"/>
    <s v="S"/>
    <s v="T1N"/>
    <n v="4921"/>
    <s v="MC1M4AKA4SP002552"/>
    <s v="D71063800"/>
    <m/>
    <m/>
    <x v="11"/>
    <s v="30-Nov-25"/>
    <x v="9"/>
    <n v="1650"/>
    <n v="590054"/>
    <s v="16-Feb-26"/>
    <n v="1650"/>
    <n v="1947"/>
    <n v="297"/>
    <n v="113521"/>
    <s v="16-Feb-26"/>
    <n v="0"/>
    <m/>
    <m/>
    <s v="URBN"/>
    <s v="CVD"/>
    <s v="F"/>
  </r>
  <r>
    <n v="1458"/>
    <s v="NORTH"/>
    <s v="UTTAR PRADESH"/>
    <n v="7134"/>
    <s v="M/S GOENKA AUTO PRIVATE LIMITED."/>
    <s v="VARANASI"/>
    <s v="26-Mar-25"/>
    <s v="18-Nov-25"/>
    <n v="1165"/>
    <n v="19653"/>
    <n v="4"/>
    <s v="S"/>
    <s v="T-1"/>
    <n v="801400"/>
    <s v="MC1E4DCA0SP056435"/>
    <s v="D71075442"/>
    <m/>
    <m/>
    <x v="11"/>
    <s v="30-Nov-25"/>
    <x v="9"/>
    <n v="0"/>
    <n v="590054"/>
    <s v="16-Feb-26"/>
    <n v="0"/>
    <n v="0"/>
    <n v="0"/>
    <n v="113521"/>
    <s v="16-Feb-26"/>
    <n v="0"/>
    <m/>
    <m/>
    <s v="T1BS6"/>
    <s v="CVD"/>
    <s v="P"/>
  </r>
  <r>
    <n v="1459"/>
    <s v="NORTH"/>
    <s v="UTTAR PRADESH"/>
    <n v="7134"/>
    <s v="M/S GOENKA AUTO PRIVATE LIMITED."/>
    <s v="VARANASI"/>
    <s v="30-Apr-25"/>
    <s v="19-Nov-25"/>
    <n v="1165"/>
    <n v="10558"/>
    <n v="3"/>
    <s v="S"/>
    <s v="T1N"/>
    <n v="6730"/>
    <s v="MC1M4ADAXSP004013"/>
    <s v="D71077066"/>
    <m/>
    <m/>
    <x v="11"/>
    <s v="30-Nov-25"/>
    <x v="9"/>
    <n v="1650"/>
    <n v="590054"/>
    <s v="16-Feb-26"/>
    <n v="1650"/>
    <n v="1947"/>
    <n v="297"/>
    <n v="113521"/>
    <s v="16-Feb-26"/>
    <n v="0"/>
    <m/>
    <m/>
    <s v="URBN"/>
    <s v="CVD"/>
    <s v="F"/>
  </r>
  <r>
    <n v="1460"/>
    <s v="NORTH"/>
    <s v="UTTAR PRADESH"/>
    <n v="7134"/>
    <s v="M/S GOENKA AUTO PRIVATE LIMITED."/>
    <s v="VARANASI"/>
    <s v="23-Jul-25"/>
    <s v="20-Nov-25"/>
    <n v="1165"/>
    <n v="15983"/>
    <n v="2"/>
    <s v="S"/>
    <s v="T-1"/>
    <n v="802983"/>
    <s v="MC1E4EEA7SP016310"/>
    <s v="D71080968"/>
    <m/>
    <m/>
    <x v="11"/>
    <s v="30-Nov-25"/>
    <x v="9"/>
    <n v="0"/>
    <n v="590054"/>
    <s v="16-Feb-26"/>
    <n v="0"/>
    <n v="0"/>
    <n v="0"/>
    <n v="113521"/>
    <s v="16-Feb-26"/>
    <n v="0"/>
    <m/>
    <m/>
    <s v="T1BS6"/>
    <s v="CVD"/>
    <s v="P"/>
  </r>
  <r>
    <n v="1461"/>
    <s v="NORTH"/>
    <s v="UTTAR PRADESH"/>
    <n v="7134"/>
    <s v="M/S GOENKA AUTO PRIVATE LIMITED."/>
    <s v="VARANASI"/>
    <s v="09-Dec-24"/>
    <s v="10-Nov-25"/>
    <n v="1165"/>
    <n v="11159"/>
    <n v="6"/>
    <s v="S"/>
    <s v="T-1"/>
    <n v="781175"/>
    <s v="MC1E5DGA3SP000559"/>
    <s v="D73001405"/>
    <m/>
    <m/>
    <x v="11"/>
    <s v="30-Nov-25"/>
    <x v="9"/>
    <n v="0"/>
    <n v="590054"/>
    <s v="16-Feb-26"/>
    <n v="0"/>
    <n v="0"/>
    <n v="0"/>
    <n v="113521"/>
    <s v="16-Feb-26"/>
    <n v="0"/>
    <m/>
    <m/>
    <s v="T1CNGL"/>
    <s v="CVD"/>
    <s v="P"/>
  </r>
  <r>
    <n v="1462"/>
    <s v="NORTH"/>
    <s v="UTTAR PRADESH"/>
    <n v="7134"/>
    <s v="M/S GOENKA AUTO PRIVATE LIMITED."/>
    <s v="VARANASI"/>
    <s v="20-Sep-25"/>
    <s v="03-Nov-25"/>
    <n v="1165"/>
    <n v="9832"/>
    <n v="1"/>
    <s v="S"/>
    <s v="TRAX"/>
    <n v="328660"/>
    <s v="MC1D4DEA0SP109143"/>
    <s v="D72020882"/>
    <m/>
    <m/>
    <x v="11"/>
    <s v="30-Nov-25"/>
    <x v="9"/>
    <n v="1250"/>
    <n v="590054"/>
    <s v="16-Feb-26"/>
    <n v="1250"/>
    <n v="1475"/>
    <n v="225"/>
    <n v="113521"/>
    <s v="16-Feb-26"/>
    <n v="0"/>
    <m/>
    <m/>
    <s v="TRXBS6"/>
    <s v="CVD"/>
    <s v="F"/>
  </r>
  <r>
    <n v="1463"/>
    <s v="NORTH"/>
    <s v="UTTAR PRADESH"/>
    <n v="7134"/>
    <s v="M/S GOENKA AUTO PRIVATE LIMITED."/>
    <s v="VARANASI"/>
    <s v="14-Oct-24"/>
    <s v="18-Nov-25"/>
    <n v="1165"/>
    <n v="51500"/>
    <n v="5"/>
    <s v="S"/>
    <s v="T1N"/>
    <n v="5471"/>
    <s v="MC1M4AJA0SP002470"/>
    <s v="D71063430"/>
    <s v="001"/>
    <s v="SERV KMS  / HRS EXCEEDS"/>
    <x v="11"/>
    <s v="30-Nov-25"/>
    <x v="9"/>
    <n v="1650"/>
    <n v="590054"/>
    <s v="16-Feb-26"/>
    <n v="1320"/>
    <n v="1947"/>
    <n v="297"/>
    <n v="113521"/>
    <s v="16-Feb-26"/>
    <n v="330"/>
    <m/>
    <m/>
    <s v="URBN"/>
    <s v="CVD"/>
    <s v="F"/>
  </r>
  <r>
    <n v="1464"/>
    <s v="NORTH"/>
    <s v="UTTAR PRADESH"/>
    <n v="7134"/>
    <s v="M/S GOENKA AUTO PRIVATE LIMITED."/>
    <s v="VARANASI"/>
    <s v="10-Apr-25"/>
    <s v="18-Nov-25"/>
    <n v="1165"/>
    <n v="19800"/>
    <n v="4"/>
    <s v="S"/>
    <s v="T-1"/>
    <n v="801228"/>
    <s v="MC1E4ECA4SP015800"/>
    <s v="D71076699"/>
    <m/>
    <m/>
    <x v="11"/>
    <s v="30-Nov-25"/>
    <x v="9"/>
    <n v="0"/>
    <n v="590054"/>
    <s v="16-Feb-26"/>
    <n v="0"/>
    <n v="0"/>
    <n v="0"/>
    <n v="113521"/>
    <s v="16-Feb-26"/>
    <n v="0"/>
    <m/>
    <m/>
    <s v="T1BS6"/>
    <s v="CVD"/>
    <s v="P"/>
  </r>
  <r>
    <n v="1465"/>
    <s v="NORTH"/>
    <s v="UTTAR PRADESH"/>
    <n v="7134"/>
    <s v="M/S GOENKA AUTO PRIVATE LIMITED."/>
    <s v="VARANASI"/>
    <s v="09-Aug-25"/>
    <s v="30-Nov-25"/>
    <n v="1165"/>
    <n v="4497"/>
    <n v="1"/>
    <s v="S"/>
    <s v="T-1"/>
    <n v="804424"/>
    <s v="MC1E4DFA5SP057964"/>
    <s v="D71083483"/>
    <m/>
    <m/>
    <x v="11"/>
    <s v="30-Nov-25"/>
    <x v="9"/>
    <n v="1250"/>
    <n v="590054"/>
    <s v="16-Feb-26"/>
    <n v="1250"/>
    <n v="1475"/>
    <n v="225"/>
    <n v="113521"/>
    <s v="16-Feb-26"/>
    <n v="0"/>
    <m/>
    <m/>
    <s v="T1BS6N"/>
    <s v="CVD"/>
    <s v="F"/>
  </r>
  <r>
    <n v="1466"/>
    <s v="NORTH"/>
    <s v="UTTAR PRADESH"/>
    <n v="7134"/>
    <s v="M/S GOENKA AUTO PRIVATE LIMITED."/>
    <s v="VARANASI"/>
    <s v="30-Oct-24"/>
    <s v="12-Nov-25"/>
    <n v="1165"/>
    <n v="70344"/>
    <n v="7"/>
    <s v="S"/>
    <s v="T-1"/>
    <n v="790571"/>
    <s v="MC1E4EKA5SP014270"/>
    <s v="D71063329"/>
    <m/>
    <m/>
    <x v="11"/>
    <s v="30-Nov-25"/>
    <x v="9"/>
    <n v="0"/>
    <n v="590054"/>
    <s v="16-Feb-26"/>
    <n v="0"/>
    <n v="0"/>
    <n v="0"/>
    <n v="113521"/>
    <s v="16-Feb-26"/>
    <n v="0"/>
    <m/>
    <m/>
    <s v="T1BS6"/>
    <s v="CVD"/>
    <s v="P"/>
  </r>
  <r>
    <n v="1467"/>
    <s v="NORTH"/>
    <s v="UTTAR PRADESH"/>
    <n v="7134"/>
    <s v="M/S GOENKA AUTO PRIVATE LIMITED."/>
    <s v="VARANASI"/>
    <s v="29-Mar-25"/>
    <s v="05-Nov-25"/>
    <n v="1165"/>
    <n v="26500"/>
    <n v="4"/>
    <s v="S"/>
    <s v="T26"/>
    <n v="789022"/>
    <s v="MC1E4FCA1SP023116"/>
    <s v="D71076361"/>
    <m/>
    <m/>
    <x v="11"/>
    <s v="30-Nov-25"/>
    <x v="9"/>
    <n v="0"/>
    <n v="590054"/>
    <s v="16-Feb-26"/>
    <n v="0"/>
    <n v="0"/>
    <n v="0"/>
    <n v="113521"/>
    <s v="16-Feb-26"/>
    <n v="0"/>
    <m/>
    <m/>
    <s v="T26BS6"/>
    <s v="CVD"/>
    <s v="P"/>
  </r>
  <r>
    <n v="1468"/>
    <s v="NORTH"/>
    <s v="UTTAR PRADESH"/>
    <n v="7134"/>
    <s v="M/S GOENKA AUTO PRIVATE LIMITED."/>
    <s v="VARANASI"/>
    <s v="17-Feb-25"/>
    <s v="16-Nov-25"/>
    <n v="779"/>
    <n v="90389"/>
    <n v="6"/>
    <s v="S"/>
    <s v="T-1"/>
    <n v="780479"/>
    <s v="MC1E4CMA3SP082679"/>
    <s v="D71068123"/>
    <m/>
    <m/>
    <x v="11"/>
    <s v="30-Nov-25"/>
    <x v="9"/>
    <n v="0"/>
    <n v="590054"/>
    <s v="16-Feb-26"/>
    <n v="0"/>
    <n v="0"/>
    <n v="0"/>
    <n v="113521"/>
    <s v="16-Feb-26"/>
    <n v="0"/>
    <m/>
    <m/>
    <s v="T1BS6"/>
    <s v="CVD"/>
    <s v="P"/>
  </r>
  <r>
    <n v="1469"/>
    <s v="NORTH"/>
    <s v="UTTAR PRADESH"/>
    <n v="7134"/>
    <s v="M/S GOENKA AUTO PRIVATE LIMITED."/>
    <s v="VARANASI"/>
    <s v="16-Sep-23"/>
    <s v="03-Nov-25"/>
    <n v="1165"/>
    <n v="75000"/>
    <n v="13"/>
    <s v="S"/>
    <s v="T-1"/>
    <n v="754751"/>
    <s v="MC1E4EJA4RP010481"/>
    <s v="D71038700"/>
    <m/>
    <m/>
    <x v="11"/>
    <s v="30-Nov-25"/>
    <x v="9"/>
    <n v="0"/>
    <n v="590054"/>
    <s v="16-Feb-26"/>
    <n v="0"/>
    <n v="0"/>
    <n v="0"/>
    <n v="113521"/>
    <s v="16-Feb-26"/>
    <n v="0"/>
    <m/>
    <m/>
    <s v="T1BS6"/>
    <s v="CVD"/>
    <s v="P"/>
  </r>
  <r>
    <n v="1470"/>
    <s v="NORTH"/>
    <s v="UTTAR PRADESH"/>
    <n v="7134"/>
    <s v="M/S GOENKA AUTO PRIVATE LIMITED."/>
    <s v="VARANASI"/>
    <s v="31-Dec-24"/>
    <s v="28-Nov-25"/>
    <n v="1165"/>
    <n v="40007"/>
    <n v="4"/>
    <s v="S"/>
    <s v="T1N"/>
    <n v="6191"/>
    <s v="MC1M4ALA9SP002903"/>
    <s v="D71066450"/>
    <m/>
    <m/>
    <x v="11"/>
    <s v="30-Nov-25"/>
    <x v="9"/>
    <n v="0"/>
    <n v="590054"/>
    <s v="16-Feb-26"/>
    <n v="0"/>
    <n v="0"/>
    <n v="0"/>
    <n v="113521"/>
    <s v="16-Feb-26"/>
    <n v="0"/>
    <m/>
    <m/>
    <s v="URBN"/>
    <s v="CVD"/>
    <s v="P"/>
  </r>
  <r>
    <n v="1471"/>
    <s v="NORTH"/>
    <s v="UTTAR PRADESH"/>
    <n v="7134"/>
    <s v="M/S GOENKA AUTO PRIVATE LIMITED."/>
    <s v="VARANASI"/>
    <s v="24-Mar-25"/>
    <s v="14-Nov-25"/>
    <n v="875"/>
    <n v="52000"/>
    <n v="3"/>
    <s v="S"/>
    <s v="T-1"/>
    <n v="796126"/>
    <s v="MC1E4CAA5SP083613"/>
    <s v="D71069567"/>
    <s v="001"/>
    <s v="SERV KMS  / HRS EXCEEDS"/>
    <x v="11"/>
    <s v="30-Nov-25"/>
    <x v="9"/>
    <n v="1250"/>
    <n v="590054"/>
    <s v="16-Feb-26"/>
    <n v="1000"/>
    <n v="1475"/>
    <n v="225"/>
    <n v="113521"/>
    <s v="16-Feb-26"/>
    <n v="250"/>
    <m/>
    <m/>
    <s v="T1BS6N"/>
    <s v="CVD"/>
    <s v="F"/>
  </r>
  <r>
    <n v="1472"/>
    <s v="NORTH"/>
    <s v="UTTAR PRADESH"/>
    <n v="7134"/>
    <s v="M/S GOENKA AUTO PRIVATE LIMITED."/>
    <s v="VARANASI"/>
    <s v="25-Mar-25"/>
    <s v="06-Nov-25"/>
    <n v="892"/>
    <n v="50581"/>
    <n v="3"/>
    <s v="S"/>
    <s v="T-1"/>
    <n v="798770"/>
    <s v="MC1E4CBA7SP086043"/>
    <s v="D71073314"/>
    <m/>
    <m/>
    <x v="11"/>
    <s v="30-Nov-25"/>
    <x v="9"/>
    <n v="1250"/>
    <n v="590054"/>
    <s v="16-Feb-26"/>
    <n v="1250"/>
    <n v="1475"/>
    <n v="225"/>
    <n v="113521"/>
    <s v="16-Feb-26"/>
    <n v="0"/>
    <m/>
    <m/>
    <s v="T1BS6N"/>
    <s v="CVD"/>
    <s v="F"/>
  </r>
  <r>
    <n v="1473"/>
    <s v="NORTH"/>
    <s v="UTTAR PRADESH"/>
    <n v="7134"/>
    <s v="M/S GOENKA AUTO PRIVATE LIMITED."/>
    <s v="VARANASI"/>
    <s v="22-Feb-23"/>
    <s v="06-Nov-25"/>
    <n v="1165"/>
    <n v="90376"/>
    <n v="13"/>
    <s v="S"/>
    <s v="T1N"/>
    <n v="1107"/>
    <s v="MC1M4ABA8PP000150"/>
    <s v="D71026419"/>
    <m/>
    <m/>
    <x v="11"/>
    <s v="30-Nov-25"/>
    <x v="9"/>
    <n v="0"/>
    <n v="590054"/>
    <s v="16-Feb-26"/>
    <n v="0"/>
    <n v="0"/>
    <n v="0"/>
    <n v="113521"/>
    <s v="16-Feb-26"/>
    <n v="0"/>
    <m/>
    <m/>
    <s v="URBN"/>
    <s v="CVD"/>
    <s v="P"/>
  </r>
  <r>
    <n v="1474"/>
    <s v="NORTH"/>
    <s v="UTTAR PRADESH"/>
    <n v="7134"/>
    <s v="M/S GOENKA AUTO PRIVATE LIMITED."/>
    <s v="VARANASI"/>
    <s v="06-Jan-25"/>
    <s v="20-Nov-25"/>
    <n v="1165"/>
    <n v="47429"/>
    <n v="5"/>
    <s v="S"/>
    <s v="T-1"/>
    <n v="792098"/>
    <s v="MC1E4ELA3SP014637"/>
    <s v="D71065348"/>
    <m/>
    <m/>
    <x v="11"/>
    <s v="30-Nov-25"/>
    <x v="9"/>
    <n v="1250"/>
    <n v="590054"/>
    <s v="16-Feb-26"/>
    <n v="1250"/>
    <n v="1475"/>
    <n v="225"/>
    <n v="113521"/>
    <s v="16-Feb-26"/>
    <n v="0"/>
    <m/>
    <m/>
    <s v="T1BS6"/>
    <s v="CVD"/>
    <s v="F"/>
  </r>
  <r>
    <n v="1475"/>
    <s v="NORTH"/>
    <s v="UTTAR PRADESH"/>
    <n v="7134"/>
    <s v="M/S GOENKA AUTO PRIVATE LIMITED."/>
    <s v="VARANASI"/>
    <s v="20-Sep-24"/>
    <s v="03-Nov-25"/>
    <n v="1165"/>
    <n v="90000"/>
    <n v="5"/>
    <s v="S"/>
    <s v="T-1"/>
    <n v="782620"/>
    <s v="MC1E4CHA1SP080648"/>
    <s v="D71061309"/>
    <m/>
    <m/>
    <x v="11"/>
    <s v="30-Nov-25"/>
    <x v="9"/>
    <n v="0"/>
    <n v="590054"/>
    <s v="16-Feb-26"/>
    <n v="0"/>
    <n v="0"/>
    <n v="0"/>
    <n v="113521"/>
    <s v="16-Feb-26"/>
    <n v="0"/>
    <m/>
    <m/>
    <s v="T1BS6"/>
    <s v="CVD"/>
    <s v="F"/>
  </r>
  <r>
    <n v="1476"/>
    <s v="NORTH"/>
    <s v="UTTAR PRADESH"/>
    <n v="7134"/>
    <s v="M/S GOENKA AUTO PRIVATE LIMITED."/>
    <s v="VARANASI"/>
    <s v="30-Sep-24"/>
    <s v="17-Nov-25"/>
    <n v="1165"/>
    <n v="70000"/>
    <n v="7"/>
    <s v="S"/>
    <s v="T1N"/>
    <n v="5321"/>
    <s v="MC1M4AJA3SP002298"/>
    <s v="D71061487"/>
    <m/>
    <m/>
    <x v="11"/>
    <s v="30-Nov-25"/>
    <x v="9"/>
    <n v="1650"/>
    <n v="590054"/>
    <s v="16-Feb-26"/>
    <n v="1650"/>
    <n v="1947"/>
    <n v="297"/>
    <n v="113521"/>
    <s v="16-Feb-26"/>
    <n v="0"/>
    <m/>
    <m/>
    <s v="URBN"/>
    <s v="CVD"/>
    <s v="F"/>
  </r>
  <r>
    <n v="1477"/>
    <s v="NORTH"/>
    <s v="UTTAR PRADESH"/>
    <n v="7134"/>
    <s v="M/S GOENKA AUTO PRIVATE LIMITED."/>
    <s v="VARANASI"/>
    <s v="14-Oct-24"/>
    <s v="02-Nov-25"/>
    <n v="1165"/>
    <n v="15373"/>
    <n v="3"/>
    <s v="S"/>
    <s v="T-1"/>
    <n v="782170"/>
    <s v="MC1E4DHA2SP054033"/>
    <s v="D71059735"/>
    <m/>
    <m/>
    <x v="11"/>
    <s v="30-Nov-25"/>
    <x v="9"/>
    <n v="1250"/>
    <n v="590054"/>
    <s v="16-Feb-26"/>
    <n v="1250"/>
    <n v="1475"/>
    <n v="225"/>
    <n v="113521"/>
    <s v="16-Feb-26"/>
    <n v="0"/>
    <m/>
    <m/>
    <s v="T1BS6N"/>
    <s v="CVD"/>
    <s v="F"/>
  </r>
  <r>
    <n v="1478"/>
    <s v="NORTH"/>
    <s v="UTTAR PRADESH"/>
    <n v="7134"/>
    <s v="M/S GOENKA AUTO PRIVATE LIMITED."/>
    <s v="VARANASI"/>
    <s v="27-Feb-25"/>
    <s v="17-Nov-25"/>
    <n v="1165"/>
    <n v="40000"/>
    <n v="4"/>
    <s v="S"/>
    <s v="T-1"/>
    <n v="785976"/>
    <s v="MC1E4EJA6SP014182"/>
    <s v="D71062929"/>
    <s v="002"/>
    <s v="SERV DATE EXCEEDS"/>
    <x v="11"/>
    <s v="30-Nov-25"/>
    <x v="9"/>
    <n v="0"/>
    <n v="590054"/>
    <s v="16-Feb-26"/>
    <n v="0"/>
    <n v="0"/>
    <n v="0"/>
    <n v="113521"/>
    <s v="16-Feb-26"/>
    <n v="0"/>
    <m/>
    <m/>
    <s v="T1BS6"/>
    <s v="CVD"/>
    <s v="P"/>
  </r>
  <r>
    <n v="1479"/>
    <s v="NORTH"/>
    <s v="UTTAR PRADESH"/>
    <n v="7134"/>
    <s v="M/S GOENKA AUTO PRIVATE LIMITED."/>
    <s v="VARANASI"/>
    <s v="20-Aug-24"/>
    <s v="02-Nov-25"/>
    <n v="970"/>
    <n v="60000"/>
    <n v="6"/>
    <s v="S"/>
    <s v="T1N"/>
    <n v="4625"/>
    <s v="MC1M4AGA3SP001949"/>
    <s v="D71058108"/>
    <m/>
    <m/>
    <x v="11"/>
    <s v="30-Nov-25"/>
    <x v="9"/>
    <n v="0"/>
    <n v="590054"/>
    <s v="16-Feb-26"/>
    <n v="0"/>
    <n v="0"/>
    <n v="0"/>
    <n v="113521"/>
    <s v="16-Feb-26"/>
    <n v="0"/>
    <m/>
    <m/>
    <s v="URBN"/>
    <s v="CVD"/>
    <s v="P"/>
  </r>
  <r>
    <n v="1480"/>
    <s v="NORTH"/>
    <s v="UTTAR PRADESH"/>
    <n v="7134"/>
    <s v="M/S GOENKA AUTO PRIVATE LIMITED."/>
    <s v="VARANASI"/>
    <s v="28-Aug-25"/>
    <s v="04-Nov-25"/>
    <n v="1165"/>
    <n v="4500"/>
    <n v="1"/>
    <s v="S"/>
    <s v="TRAX"/>
    <n v="328544"/>
    <s v="MC1D4DDA6SP108712"/>
    <s v="D72020414"/>
    <m/>
    <m/>
    <x v="11"/>
    <s v="30-Nov-25"/>
    <x v="9"/>
    <n v="1250"/>
    <n v="590054"/>
    <s v="16-Feb-26"/>
    <n v="1250"/>
    <n v="1475"/>
    <n v="225"/>
    <n v="113521"/>
    <s v="16-Feb-26"/>
    <n v="0"/>
    <m/>
    <m/>
    <s v="TRXBS6"/>
    <s v="CVD"/>
    <s v="F"/>
  </r>
  <r>
    <n v="1481"/>
    <s v="NORTH"/>
    <s v="UTTAR PRADESH"/>
    <n v="7134"/>
    <s v="M/S GOENKA AUTO PRIVATE LIMITED."/>
    <s v="VARANASI"/>
    <s v="29-Jul-25"/>
    <s v="21-Nov-25"/>
    <n v="1165"/>
    <n v="6285"/>
    <n v="1"/>
    <s v="S"/>
    <s v="T-1"/>
    <n v="803682"/>
    <s v="MC1E4DEA3SP057379"/>
    <s v="D71080953"/>
    <m/>
    <m/>
    <x v="11"/>
    <s v="30-Nov-25"/>
    <x v="9"/>
    <n v="1250"/>
    <n v="590054"/>
    <s v="16-Feb-26"/>
    <n v="1250"/>
    <n v="1475"/>
    <n v="225"/>
    <n v="113521"/>
    <s v="16-Feb-26"/>
    <n v="0"/>
    <m/>
    <m/>
    <s v="T1BS6N"/>
    <s v="CVD"/>
    <s v="F"/>
  </r>
  <r>
    <n v="1482"/>
    <s v="NORTH"/>
    <s v="UTTAR PRADESH"/>
    <n v="7134"/>
    <s v="M/S GOENKA AUTO PRIVATE LIMITED."/>
    <s v="VARANASI"/>
    <s v="11-Jan-25"/>
    <s v="07-Nov-25"/>
    <n v="1165"/>
    <n v="31900"/>
    <n v="5"/>
    <s v="S"/>
    <s v="T-1"/>
    <n v="792067"/>
    <s v="MC1E4EKA8SP014618"/>
    <s v="D71065160"/>
    <m/>
    <m/>
    <x v="11"/>
    <s v="30-Nov-25"/>
    <x v="9"/>
    <n v="1250"/>
    <n v="590054"/>
    <s v="16-Feb-26"/>
    <n v="1250"/>
    <n v="1475"/>
    <n v="225"/>
    <n v="113521"/>
    <s v="16-Feb-26"/>
    <n v="0"/>
    <m/>
    <m/>
    <s v="T1BS6"/>
    <s v="CVD"/>
    <s v="F"/>
  </r>
  <r>
    <n v="1483"/>
    <s v="NORTH"/>
    <s v="UTTAR PRADESH"/>
    <n v="7134"/>
    <s v="M/S GOENKA AUTO PRIVATE LIMITED."/>
    <s v="VARANASI"/>
    <s v="13-Dec-24"/>
    <s v="10-Nov-25"/>
    <n v="1165"/>
    <n v="39321"/>
    <n v="6"/>
    <s v="S"/>
    <s v="TRAX"/>
    <n v="326093"/>
    <s v="MC1D4DJA5SP105675"/>
    <s v="D72017155"/>
    <m/>
    <m/>
    <x v="11"/>
    <s v="30-Nov-25"/>
    <x v="9"/>
    <n v="0"/>
    <n v="590054"/>
    <s v="16-Feb-26"/>
    <n v="0"/>
    <n v="0"/>
    <n v="0"/>
    <n v="113521"/>
    <s v="16-Feb-26"/>
    <n v="0"/>
    <m/>
    <m/>
    <s v="TRXBS6"/>
    <s v="CVD"/>
    <s v="P"/>
  </r>
  <r>
    <n v="1484"/>
    <s v="NORTH"/>
    <s v="UTTAR PRADESH"/>
    <n v="7134"/>
    <s v="M/S GOENKA AUTO PRIVATE LIMITED."/>
    <s v="VARANASI"/>
    <s v="19-Jul-25"/>
    <s v="04-Nov-25"/>
    <n v="1165"/>
    <n v="5817"/>
    <n v="2"/>
    <s v="S"/>
    <s v="T26"/>
    <n v="806496"/>
    <s v="MC1E4FEA1SP023730"/>
    <s v="D71080907"/>
    <m/>
    <m/>
    <x v="11"/>
    <s v="30-Nov-25"/>
    <x v="9"/>
    <n v="0"/>
    <n v="590054"/>
    <s v="16-Feb-26"/>
    <n v="0"/>
    <n v="0"/>
    <n v="0"/>
    <n v="113521"/>
    <s v="16-Feb-26"/>
    <n v="0"/>
    <m/>
    <m/>
    <s v="T26BS6"/>
    <s v="CVD"/>
    <s v="P"/>
  </r>
  <r>
    <n v="1485"/>
    <s v="NORTH"/>
    <s v="UTTAR PRADESH"/>
    <n v="7134"/>
    <s v="M/S GOENKA AUTO PRIVATE LIMITED."/>
    <s v="VARANASI"/>
    <s v="22-Mar-25"/>
    <s v="20-Nov-25"/>
    <n v="876"/>
    <n v="50441"/>
    <n v="3"/>
    <s v="S"/>
    <s v="T-1"/>
    <n v="796155"/>
    <s v="MC1E4CAA0SP083454"/>
    <s v="D71069389"/>
    <m/>
    <m/>
    <x v="11"/>
    <s v="30-Nov-25"/>
    <x v="9"/>
    <n v="1250"/>
    <n v="590054"/>
    <s v="16-Feb-26"/>
    <n v="1250"/>
    <n v="1475"/>
    <n v="225"/>
    <n v="113521"/>
    <s v="16-Feb-26"/>
    <n v="0"/>
    <m/>
    <m/>
    <s v="T1BS6N"/>
    <s v="CVD"/>
    <s v="F"/>
  </r>
  <r>
    <n v="1486"/>
    <s v="NORTH"/>
    <s v="UTTAR PRADESH"/>
    <n v="7134"/>
    <s v="M/S GOENKA AUTO PRIVATE LIMITED."/>
    <s v="VARANASI"/>
    <s v="31-Mar-24"/>
    <s v="04-Nov-25"/>
    <n v="1165"/>
    <n v="97772"/>
    <n v="10"/>
    <s v="S"/>
    <s v="T1N"/>
    <n v="3187"/>
    <s v="MC1M4ACA8RP001252"/>
    <s v="D71050836"/>
    <m/>
    <m/>
    <x v="11"/>
    <s v="30-Nov-25"/>
    <x v="9"/>
    <n v="0"/>
    <n v="590054"/>
    <s v="16-Feb-26"/>
    <n v="0"/>
    <n v="0"/>
    <n v="0"/>
    <n v="113521"/>
    <s v="16-Feb-26"/>
    <n v="0"/>
    <m/>
    <m/>
    <s v="URBN"/>
    <s v="CVD"/>
    <s v="P"/>
  </r>
  <r>
    <n v="1487"/>
    <s v="NORTH"/>
    <s v="UTTAR PRADESH"/>
    <n v="7134"/>
    <s v="M/S GOENKA AUTO PRIVATE LIMITED."/>
    <s v="VARANASI"/>
    <s v="19-Jul-24"/>
    <s v="30-Nov-25"/>
    <n v="1165"/>
    <n v="18917"/>
    <n v="3"/>
    <s v="S"/>
    <s v="T-1"/>
    <n v="780781"/>
    <s v="MC1E4DFA7RP053280"/>
    <s v="D71056816"/>
    <m/>
    <m/>
    <x v="11"/>
    <s v="30-Nov-25"/>
    <x v="9"/>
    <n v="1250"/>
    <n v="590054"/>
    <s v="16-Feb-26"/>
    <n v="1250"/>
    <n v="1475"/>
    <n v="225"/>
    <n v="113521"/>
    <s v="16-Feb-26"/>
    <n v="0"/>
    <m/>
    <m/>
    <s v="T1BS6N"/>
    <s v="CVD"/>
    <s v="F"/>
  </r>
  <r>
    <n v="1488"/>
    <s v="NORTH"/>
    <s v="UTTAR PRADESH"/>
    <n v="7134"/>
    <s v="M/S GOENKA AUTO PRIVATE LIMITED."/>
    <s v="VARANASI"/>
    <s v="30-Jun-25"/>
    <s v="27-Nov-25"/>
    <n v="1165"/>
    <n v="16225"/>
    <n v="3"/>
    <s v="S"/>
    <s v="T26"/>
    <n v="806131"/>
    <s v="MC1E4FEA8SP023787"/>
    <s v="D71081852"/>
    <m/>
    <m/>
    <x v="11"/>
    <s v="30-Nov-25"/>
    <x v="9"/>
    <n v="1250"/>
    <n v="590054"/>
    <s v="16-Feb-26"/>
    <n v="1250"/>
    <n v="1475"/>
    <n v="225"/>
    <n v="113521"/>
    <s v="16-Feb-26"/>
    <n v="0"/>
    <m/>
    <m/>
    <s v="T26BS6"/>
    <s v="CVD"/>
    <s v="F"/>
  </r>
  <r>
    <n v="1489"/>
    <s v="NORTH"/>
    <s v="UTTAR PRADESH"/>
    <n v="7134"/>
    <s v="M/S GOENKA AUTO PRIVATE LIMITED."/>
    <s v="VARANASI"/>
    <s v="31-Mar-24"/>
    <s v="30-Nov-25"/>
    <n v="1165"/>
    <n v="34723"/>
    <n v="4"/>
    <s v="S"/>
    <s v="T26"/>
    <n v="768042"/>
    <s v="MC1E4FBA5RP019470"/>
    <s v="D71048420"/>
    <s v="002"/>
    <s v="SERV DATE EXCEEDS"/>
    <x v="11"/>
    <s v="30-Nov-25"/>
    <x v="9"/>
    <n v="1250"/>
    <n v="590054"/>
    <s v="16-Feb-26"/>
    <n v="1000"/>
    <n v="1475"/>
    <n v="225"/>
    <n v="113521"/>
    <s v="16-Feb-26"/>
    <n v="250"/>
    <m/>
    <m/>
    <s v="T26BS6"/>
    <s v="CVD"/>
    <s v="F"/>
  </r>
  <r>
    <n v="1490"/>
    <s v="NORTH"/>
    <s v="UTTAR PRADESH"/>
    <n v="7134"/>
    <s v="M/S GOENKA AUTO PRIVATE LIMITED."/>
    <s v="VARANASI"/>
    <s v="31-Mar-25"/>
    <s v="27-Nov-25"/>
    <n v="1165"/>
    <n v="18000"/>
    <n v="4"/>
    <s v="S"/>
    <s v="T26"/>
    <n v="789037"/>
    <s v="MC1E4FCAXSP023146"/>
    <s v="D71076503"/>
    <m/>
    <m/>
    <x v="11"/>
    <s v="30-Nov-25"/>
    <x v="9"/>
    <n v="0"/>
    <n v="590054"/>
    <s v="16-Feb-26"/>
    <n v="0"/>
    <n v="0"/>
    <n v="0"/>
    <n v="113521"/>
    <s v="16-Feb-26"/>
    <n v="0"/>
    <m/>
    <m/>
    <s v="T26BS6"/>
    <s v="CVD"/>
    <s v="P"/>
  </r>
  <r>
    <n v="1491"/>
    <s v="NORTH"/>
    <s v="UTTAR PRADESH"/>
    <n v="7134"/>
    <s v="M/S GOENKA AUTO PRIVATE LIMITED."/>
    <s v="VARANASI"/>
    <s v="09-Jun-25"/>
    <s v="07-Nov-25"/>
    <n v="1165"/>
    <n v="11066"/>
    <n v="3"/>
    <s v="S"/>
    <s v="T-1"/>
    <n v="802872"/>
    <s v="MC1E4EEA7SP016226"/>
    <s v="D71080252"/>
    <m/>
    <m/>
    <x v="11"/>
    <s v="30-Nov-25"/>
    <x v="9"/>
    <n v="1250"/>
    <n v="590054"/>
    <s v="16-Feb-26"/>
    <n v="1250"/>
    <n v="1475"/>
    <n v="225"/>
    <n v="113521"/>
    <s v="16-Feb-26"/>
    <n v="0"/>
    <m/>
    <m/>
    <s v="T1BS6"/>
    <s v="CVD"/>
    <s v="F"/>
  </r>
  <r>
    <n v="1492"/>
    <s v="NORTH"/>
    <s v="UTTAR PRADESH"/>
    <n v="7134"/>
    <s v="M/S GOENKA AUTO PRIVATE LIMITED."/>
    <s v="VARANASI"/>
    <s v="24-Mar-25"/>
    <s v="13-Nov-25"/>
    <n v="852"/>
    <n v="50000"/>
    <n v="3"/>
    <s v="S"/>
    <s v="T-1"/>
    <n v="796224"/>
    <s v="MC1E4CAA6SP084401"/>
    <s v="D71070795"/>
    <m/>
    <m/>
    <x v="11"/>
    <s v="30-Nov-25"/>
    <x v="9"/>
    <n v="1250"/>
    <n v="590054"/>
    <s v="16-Feb-26"/>
    <n v="1250"/>
    <n v="1475"/>
    <n v="225"/>
    <n v="113521"/>
    <s v="16-Feb-26"/>
    <n v="0"/>
    <m/>
    <m/>
    <s v="T1BS6N"/>
    <s v="CVD"/>
    <s v="F"/>
  </r>
  <r>
    <n v="1493"/>
    <s v="NORTH"/>
    <s v="UTTAR PRADESH"/>
    <n v="7134"/>
    <s v="M/S GOENKA AUTO PRIVATE LIMITED."/>
    <s v="VARANASI"/>
    <s v="31-Mar-24"/>
    <s v="02-Nov-25"/>
    <n v="1165"/>
    <n v="66552"/>
    <n v="10"/>
    <s v="S"/>
    <s v="T-1"/>
    <n v="762678"/>
    <s v="MC1E4DMA4RP049769"/>
    <s v="D71043633"/>
    <m/>
    <m/>
    <x v="11"/>
    <s v="30-Nov-25"/>
    <x v="9"/>
    <n v="0"/>
    <n v="590054"/>
    <s v="16-Feb-26"/>
    <n v="0"/>
    <n v="0"/>
    <n v="0"/>
    <n v="113521"/>
    <s v="16-Feb-26"/>
    <n v="0"/>
    <m/>
    <m/>
    <s v="T1BS6"/>
    <s v="CVD"/>
    <s v="P"/>
  </r>
  <r>
    <n v="1494"/>
    <s v="NORTH"/>
    <s v="UTTAR PRADESH"/>
    <n v="7134"/>
    <s v="M/S GOENKA AUTO PRIVATE LIMITED."/>
    <s v="VARANASI"/>
    <s v="25-Mar-25"/>
    <s v="28-Nov-25"/>
    <n v="890"/>
    <n v="50255"/>
    <n v="3"/>
    <s v="S"/>
    <s v="T-1"/>
    <n v="797497"/>
    <s v="MC1E4CAA0SP084474"/>
    <s v="D71070995"/>
    <s v="022"/>
    <s v="SERVICE COUPON HARD COPY NOT RECEIVED"/>
    <x v="11"/>
    <s v="30-Nov-25"/>
    <x v="9"/>
    <n v="1250"/>
    <n v="590054"/>
    <s v="16-Feb-26"/>
    <n v="0"/>
    <n v="1475"/>
    <n v="225"/>
    <n v="113521"/>
    <s v="16-Feb-26"/>
    <n v="1250"/>
    <m/>
    <m/>
    <s v="T1BS6N"/>
    <s v="CVD"/>
    <s v="F"/>
  </r>
  <r>
    <n v="1495"/>
    <s v="NORTH"/>
    <s v="UTTAR PRADESH"/>
    <n v="7134"/>
    <s v="M/S GOENKA AUTO PRIVATE LIMITED."/>
    <s v="VARANASI"/>
    <s v="15-May-25"/>
    <s v="06-Nov-25"/>
    <n v="1165"/>
    <n v="31466"/>
    <n v="3"/>
    <s v="S"/>
    <s v="T-1"/>
    <n v="802597"/>
    <s v="MC1E4EDA9SP016021"/>
    <s v="D71078879"/>
    <m/>
    <m/>
    <x v="11"/>
    <s v="30-Nov-25"/>
    <x v="9"/>
    <n v="1250"/>
    <n v="590054"/>
    <s v="16-Feb-26"/>
    <n v="1250"/>
    <n v="1475"/>
    <n v="225"/>
    <n v="113521"/>
    <s v="16-Feb-26"/>
    <n v="0"/>
    <m/>
    <m/>
    <s v="T1BS6"/>
    <s v="CVD"/>
    <s v="F"/>
  </r>
  <r>
    <n v="1496"/>
    <s v="NORTH"/>
    <s v="UTTAR PRADESH"/>
    <n v="7134"/>
    <s v="M/S GOENKA AUTO PRIVATE LIMITED."/>
    <s v="VARANASI"/>
    <s v="23-Jan-24"/>
    <s v="03-Nov-25"/>
    <n v="1165"/>
    <n v="110000"/>
    <n v="11"/>
    <s v="S"/>
    <s v="T26"/>
    <n v="766599"/>
    <s v="MC1E4FMA5RP018879"/>
    <s v="D71044348"/>
    <m/>
    <m/>
    <x v="11"/>
    <s v="30-Nov-25"/>
    <x v="9"/>
    <n v="1250"/>
    <n v="590054"/>
    <s v="16-Feb-26"/>
    <n v="1250"/>
    <n v="1475"/>
    <n v="225"/>
    <n v="113521"/>
    <s v="16-Feb-26"/>
    <n v="0"/>
    <m/>
    <m/>
    <s v="T26BS6"/>
    <s v="CVD"/>
    <s v="F"/>
  </r>
  <r>
    <n v="1497"/>
    <s v="NORTH"/>
    <s v="UTTAR PRADESH"/>
    <n v="7134"/>
    <s v="M/S GOENKA AUTO PRIVATE LIMITED."/>
    <s v="VARANASI"/>
    <s v="30-Jul-25"/>
    <s v="30-Nov-25"/>
    <n v="1165"/>
    <n v="4077"/>
    <n v="1"/>
    <s v="S"/>
    <s v="T-1"/>
    <n v="805055"/>
    <s v="MC1E4DFA9SP057966"/>
    <s v="D71083562"/>
    <m/>
    <m/>
    <x v="11"/>
    <s v="30-Nov-25"/>
    <x v="9"/>
    <n v="1250"/>
    <n v="590054"/>
    <s v="16-Feb-26"/>
    <n v="1250"/>
    <n v="1475"/>
    <n v="225"/>
    <n v="113521"/>
    <s v="16-Feb-26"/>
    <n v="0"/>
    <m/>
    <m/>
    <s v="T1BS6N"/>
    <s v="CVD"/>
    <s v="F"/>
  </r>
  <r>
    <n v="1498"/>
    <s v="NORTH"/>
    <s v="UTTAR PRADESH"/>
    <n v="7134"/>
    <s v="M/S GOENKA AUTO PRIVATE LIMITED."/>
    <s v="VARANASI"/>
    <s v="08-Mar-25"/>
    <s v="17-Nov-25"/>
    <n v="1165"/>
    <n v="2400"/>
    <n v="4"/>
    <s v="S"/>
    <s v="TRAX"/>
    <n v="327811"/>
    <s v="MC1D4DBA5SP107330"/>
    <s v="D72018945"/>
    <m/>
    <m/>
    <x v="11"/>
    <s v="30-Nov-25"/>
    <x v="9"/>
    <n v="0"/>
    <n v="590054"/>
    <s v="16-Feb-26"/>
    <n v="0"/>
    <n v="0"/>
    <n v="0"/>
    <n v="113521"/>
    <s v="16-Feb-26"/>
    <n v="0"/>
    <m/>
    <m/>
    <s v="TRXBS6"/>
    <s v="CVD"/>
    <s v="P"/>
  </r>
  <r>
    <n v="1499"/>
    <s v="NORTH"/>
    <s v="UTTAR PRADESH"/>
    <n v="7134"/>
    <s v="M/S GOENKA AUTO PRIVATE LIMITED."/>
    <s v="VARANASI"/>
    <s v="11-Feb-25"/>
    <s v="30-Nov-25"/>
    <n v="1165"/>
    <n v="50000"/>
    <n v="5"/>
    <s v="S"/>
    <s v="T1N"/>
    <n v="6349"/>
    <s v="MC1M4AAA0SP003358"/>
    <s v="D71057957"/>
    <m/>
    <m/>
    <x v="11"/>
    <s v="30-Nov-25"/>
    <x v="9"/>
    <n v="1650"/>
    <n v="590054"/>
    <s v="16-Feb-26"/>
    <n v="1650"/>
    <n v="1947"/>
    <n v="297"/>
    <n v="113521"/>
    <s v="16-Feb-26"/>
    <n v="0"/>
    <m/>
    <m/>
    <s v="URBN"/>
    <s v="CVD"/>
    <s v="F"/>
  </r>
  <r>
    <n v="1500"/>
    <s v="NORTH"/>
    <s v="UTTAR PRADESH"/>
    <n v="7134"/>
    <s v="M/S GOENKA AUTO PRIVATE LIMITED."/>
    <s v="VARANASI"/>
    <s v="25-Jul-24"/>
    <s v="12-Nov-25"/>
    <n v="1165"/>
    <n v="70545"/>
    <n v="8"/>
    <s v="S"/>
    <s v="T-1"/>
    <n v="774649"/>
    <s v="MC1E4EFA3RP013185"/>
    <s v="D71056695"/>
    <m/>
    <m/>
    <x v="11"/>
    <s v="30-Nov-25"/>
    <x v="9"/>
    <n v="1250"/>
    <n v="590054"/>
    <s v="16-Feb-26"/>
    <n v="1250"/>
    <n v="1475"/>
    <n v="225"/>
    <n v="113521"/>
    <s v="16-Feb-26"/>
    <n v="0"/>
    <m/>
    <m/>
    <s v="T1BS6"/>
    <s v="CVD"/>
    <s v="F"/>
  </r>
  <r>
    <n v="1501"/>
    <s v="NORTH"/>
    <s v="UTTAR PRADESH"/>
    <n v="7134"/>
    <s v="M/S GOENKA AUTO PRIVATE LIMITED."/>
    <s v="VARANASI"/>
    <s v="17-Oct-25"/>
    <s v="03-Nov-25"/>
    <n v="1165"/>
    <n v="4971"/>
    <n v="1"/>
    <s v="S"/>
    <s v="T-1"/>
    <n v="812404"/>
    <s v="MC1E4EHA8TP017480"/>
    <s v="D71089682"/>
    <m/>
    <m/>
    <x v="11"/>
    <s v="30-Nov-25"/>
    <x v="9"/>
    <n v="1250"/>
    <n v="590054"/>
    <s v="16-Feb-26"/>
    <n v="1250"/>
    <n v="1475"/>
    <n v="225"/>
    <n v="113521"/>
    <s v="16-Feb-26"/>
    <n v="0"/>
    <m/>
    <m/>
    <s v="T1BS6"/>
    <s v="CVD"/>
    <s v="F"/>
  </r>
  <r>
    <n v="1502"/>
    <s v="NORTH"/>
    <s v="UTTAR PRADESH"/>
    <n v="7134"/>
    <s v="M/S GOENKA AUTO PRIVATE LIMITED."/>
    <s v="VARANASI"/>
    <s v="30-Jun-25"/>
    <s v="26-Nov-25"/>
    <n v="1165"/>
    <n v="16500"/>
    <n v="2"/>
    <s v="S"/>
    <s v="T1N"/>
    <n v="8144"/>
    <s v="MC1M4AFAXSP004865"/>
    <s v="D71082718"/>
    <m/>
    <m/>
    <x v="11"/>
    <s v="30-Nov-25"/>
    <x v="9"/>
    <n v="0"/>
    <n v="590054"/>
    <s v="16-Feb-26"/>
    <n v="0"/>
    <n v="0"/>
    <n v="0"/>
    <n v="113521"/>
    <s v="16-Feb-26"/>
    <n v="0"/>
    <m/>
    <m/>
    <s v="URBN"/>
    <s v="CVD"/>
    <s v="P"/>
  </r>
  <r>
    <n v="1503"/>
    <s v="NORTH"/>
    <s v="UTTAR PRADESH"/>
    <n v="7134"/>
    <s v="M/S GOENKA AUTO PRIVATE LIMITED."/>
    <s v="VARANASI"/>
    <s v="14-Jan-25"/>
    <s v="11-Nov-25"/>
    <n v="863"/>
    <n v="50161"/>
    <n v="3"/>
    <s v="S"/>
    <s v="T-1"/>
    <n v="796561"/>
    <s v="MC1E4CAA2SP083665"/>
    <s v="D71069644"/>
    <m/>
    <m/>
    <x v="11"/>
    <s v="30-Nov-25"/>
    <x v="9"/>
    <n v="1250"/>
    <n v="590054"/>
    <s v="16-Feb-26"/>
    <n v="1250"/>
    <n v="1475"/>
    <n v="225"/>
    <n v="113521"/>
    <s v="16-Feb-26"/>
    <n v="0"/>
    <m/>
    <m/>
    <s v="T1BS6N"/>
    <s v="CVD"/>
    <s v="F"/>
  </r>
  <r>
    <n v="1504"/>
    <s v="NORTH"/>
    <s v="UTTAR PRADESH"/>
    <n v="7134"/>
    <s v="M/S GOENKA AUTO PRIVATE LIMITED."/>
    <s v="VARANASI"/>
    <s v="26-Apr-25"/>
    <s v="26-Nov-25"/>
    <n v="1150"/>
    <n v="12995"/>
    <n v="4"/>
    <s v="S"/>
    <s v="T-1"/>
    <n v="778389"/>
    <s v="MC1E5EDA0SP003347"/>
    <s v="D73001814"/>
    <m/>
    <m/>
    <x v="11"/>
    <s v="30-Nov-25"/>
    <x v="9"/>
    <n v="0"/>
    <n v="590054"/>
    <s v="16-Feb-26"/>
    <n v="0"/>
    <n v="0"/>
    <n v="0"/>
    <n v="113521"/>
    <s v="16-Feb-26"/>
    <n v="0"/>
    <m/>
    <m/>
    <s v="T1CNGL"/>
    <s v="CVD"/>
    <s v="P"/>
  </r>
  <r>
    <n v="1505"/>
    <s v="NORTH"/>
    <s v="UTTAR PRADESH"/>
    <n v="7134"/>
    <s v="M/S GOENKA AUTO PRIVATE LIMITED."/>
    <s v="VARANASI"/>
    <s v="30-Sep-24"/>
    <s v="25-Nov-25"/>
    <n v="1165"/>
    <n v="37966"/>
    <n v="5"/>
    <s v="S"/>
    <s v="T1N"/>
    <n v="5319"/>
    <s v="MC1M4AJA6SP002358"/>
    <s v="D71062135"/>
    <m/>
    <m/>
    <x v="11"/>
    <s v="30-Nov-25"/>
    <x v="9"/>
    <n v="1650"/>
    <n v="590054"/>
    <s v="16-Feb-26"/>
    <n v="1650"/>
    <n v="1947"/>
    <n v="297"/>
    <n v="113521"/>
    <s v="16-Feb-26"/>
    <n v="0"/>
    <m/>
    <m/>
    <s v="URBN"/>
    <s v="CVD"/>
    <s v="F"/>
  </r>
  <r>
    <n v="1506"/>
    <s v="NORTH"/>
    <s v="UTTAR PRADESH"/>
    <n v="7134"/>
    <s v="M/S GOENKA AUTO PRIVATE LIMITED."/>
    <s v="VARANASI"/>
    <s v="10-Feb-25"/>
    <s v="07-Nov-25"/>
    <n v="1065"/>
    <n v="27000"/>
    <n v="4"/>
    <s v="S"/>
    <s v="TRAX"/>
    <n v="327119"/>
    <s v="MC1D4DMA2SP106617"/>
    <s v="D72018107"/>
    <s v="002"/>
    <s v="SERV DATE EXCEEDS"/>
    <x v="11"/>
    <s v="30-Nov-25"/>
    <x v="9"/>
    <n v="0"/>
    <n v="590054"/>
    <s v="16-Feb-26"/>
    <n v="0"/>
    <n v="0"/>
    <n v="0"/>
    <n v="113521"/>
    <s v="16-Feb-26"/>
    <n v="0"/>
    <m/>
    <m/>
    <s v="TRXBS6"/>
    <s v="CVD"/>
    <s v="P"/>
  </r>
  <r>
    <n v="1507"/>
    <s v="NORTH"/>
    <s v="UTTAR PRADESH"/>
    <n v="7134"/>
    <s v="M/S GOENKA AUTO PRIVATE LIMITED."/>
    <s v="VARANASI"/>
    <s v="31-Jul-25"/>
    <s v="03-Nov-25"/>
    <n v="1165"/>
    <n v="4971"/>
    <n v="1"/>
    <s v="S"/>
    <s v="T-1"/>
    <n v="807201"/>
    <s v="MC1E4EEA9SP016518"/>
    <s v="D71081968"/>
    <s v="002, 022"/>
    <s v="SERV DATE EXCEEDS, SERVICE COUPON HARD COPY NOT RECEIVED"/>
    <x v="11"/>
    <s v="30-Nov-25"/>
    <x v="9"/>
    <n v="1250"/>
    <n v="590054"/>
    <s v="16-Feb-26"/>
    <n v="0"/>
    <n v="1475"/>
    <n v="225"/>
    <n v="113521"/>
    <s v="16-Feb-26"/>
    <n v="1250"/>
    <m/>
    <m/>
    <s v="T1BS6"/>
    <s v="CVD"/>
    <s v="F"/>
  </r>
  <r>
    <n v="1508"/>
    <s v="NORTH"/>
    <s v="UTTAR PRADESH"/>
    <n v="7134"/>
    <s v="M/S GOENKA AUTO PRIVATE LIMITED."/>
    <s v="VARANASI"/>
    <s v="30-Jul-25"/>
    <s v="25-Nov-25"/>
    <n v="1165"/>
    <n v="8474"/>
    <n v="1"/>
    <s v="S"/>
    <s v="T-1"/>
    <n v="804423"/>
    <s v="MC1E4DFA0SP057967"/>
    <s v="D71083598"/>
    <m/>
    <m/>
    <x v="11"/>
    <s v="30-Nov-25"/>
    <x v="9"/>
    <n v="1250"/>
    <n v="590054"/>
    <s v="16-Feb-26"/>
    <n v="1250"/>
    <n v="1475"/>
    <n v="225"/>
    <n v="113521"/>
    <s v="16-Feb-26"/>
    <n v="0"/>
    <m/>
    <m/>
    <s v="T1BS6N"/>
    <s v="CVD"/>
    <s v="F"/>
  </r>
  <r>
    <n v="1509"/>
    <s v="NORTH"/>
    <s v="UTTAR PRADESH"/>
    <n v="7134"/>
    <s v="M/S GOENKA AUTO PRIVATE LIMITED."/>
    <s v="VARANASI"/>
    <s v="15-Jul-24"/>
    <s v="10-Nov-25"/>
    <n v="1165"/>
    <n v="52904"/>
    <n v="8"/>
    <s v="S"/>
    <s v="T-1"/>
    <n v="774646"/>
    <s v="MC1E4EFA8RP013229"/>
    <s v="D71056708"/>
    <m/>
    <m/>
    <x v="11"/>
    <s v="30-Nov-25"/>
    <x v="9"/>
    <n v="1250"/>
    <n v="590054"/>
    <s v="16-Feb-26"/>
    <n v="1250"/>
    <n v="1475"/>
    <n v="225"/>
    <n v="113521"/>
    <s v="16-Feb-26"/>
    <n v="0"/>
    <m/>
    <m/>
    <s v="T1BS6"/>
    <s v="CVD"/>
    <s v="F"/>
  </r>
  <r>
    <n v="1510"/>
    <s v="NORTH"/>
    <s v="UTTAR PRADESH"/>
    <n v="7134"/>
    <s v="M/S GOENKA AUTO PRIVATE LIMITED."/>
    <s v="VARANASI"/>
    <s v="18-Jul-24"/>
    <s v="30-Nov-25"/>
    <n v="1165"/>
    <n v="34589"/>
    <n v="4"/>
    <s v="S"/>
    <s v="T-1"/>
    <n v="780308"/>
    <s v="MC1E4CFA7RP079789"/>
    <s v="D71056356"/>
    <m/>
    <m/>
    <x v="11"/>
    <s v="30-Nov-25"/>
    <x v="9"/>
    <n v="1250"/>
    <n v="590054"/>
    <s v="16-Feb-26"/>
    <n v="1250"/>
    <n v="1475"/>
    <n v="225"/>
    <n v="113521"/>
    <s v="16-Feb-26"/>
    <n v="0"/>
    <m/>
    <m/>
    <s v="T1BS6N"/>
    <s v="CVD"/>
    <s v="F"/>
  </r>
  <r>
    <n v="1511"/>
    <s v="NORTH"/>
    <s v="UTTAR PRADESH"/>
    <n v="7134"/>
    <s v="M/S GOENKA AUTO PRIVATE LIMITED."/>
    <s v="VARANASI"/>
    <s v="24-Mar-25"/>
    <s v="23-Nov-25"/>
    <n v="877"/>
    <n v="310341"/>
    <n v="3"/>
    <s v="S"/>
    <s v="T-1"/>
    <n v="796124"/>
    <s v="MC1E4CAAXSP083672"/>
    <s v="D71069684"/>
    <s v="001"/>
    <s v="SERV KMS  / HRS EXCEEDS"/>
    <x v="11"/>
    <s v="30-Nov-25"/>
    <x v="9"/>
    <n v="1250"/>
    <n v="590054"/>
    <s v="16-Feb-26"/>
    <n v="1000"/>
    <n v="1475"/>
    <n v="225"/>
    <n v="113521"/>
    <s v="16-Feb-26"/>
    <n v="250"/>
    <m/>
    <m/>
    <s v="T1BS6N"/>
    <s v="CVD"/>
    <s v="F"/>
  </r>
  <r>
    <n v="1512"/>
    <s v="NORTH"/>
    <s v="UTTAR PRADESH"/>
    <n v="7134"/>
    <s v="M/S GOENKA AUTO PRIVATE LIMITED."/>
    <s v="VARANASI"/>
    <s v="29-Mar-25"/>
    <s v="10-Nov-25"/>
    <n v="1150"/>
    <n v="15824"/>
    <n v="4"/>
    <s v="S"/>
    <s v="T-1"/>
    <n v="778220"/>
    <s v="MC1E5EBA1SP003277"/>
    <s v="D73001698"/>
    <m/>
    <m/>
    <x v="11"/>
    <s v="30-Nov-25"/>
    <x v="9"/>
    <n v="0"/>
    <n v="590054"/>
    <s v="16-Feb-26"/>
    <n v="0"/>
    <n v="0"/>
    <n v="0"/>
    <n v="113521"/>
    <s v="16-Feb-26"/>
    <n v="0"/>
    <m/>
    <m/>
    <s v="T1CNGL"/>
    <s v="CVD"/>
    <s v="P"/>
  </r>
  <r>
    <n v="1513"/>
    <s v="NORTH"/>
    <s v="UTTAR PRADESH"/>
    <n v="7134"/>
    <s v="M/S GOENKA AUTO PRIVATE LIMITED."/>
    <s v="VARANASI"/>
    <s v="24-Sep-25"/>
    <s v="07-Nov-25"/>
    <n v="1165"/>
    <n v="9720"/>
    <n v="1"/>
    <s v="S"/>
    <s v="T1N"/>
    <n v="9007"/>
    <s v="MC1M4AHA3TP005810"/>
    <s v="D71088618"/>
    <m/>
    <m/>
    <x v="11"/>
    <s v="30-Nov-25"/>
    <x v="9"/>
    <n v="1650"/>
    <n v="590054"/>
    <s v="16-Feb-26"/>
    <n v="1650"/>
    <n v="1947"/>
    <n v="297"/>
    <n v="113521"/>
    <s v="16-Feb-26"/>
    <n v="0"/>
    <m/>
    <m/>
    <s v="URBN"/>
    <s v="CVD"/>
    <s v="F"/>
  </r>
  <r>
    <n v="1514"/>
    <s v="NORTH"/>
    <s v="UTTAR PRADESH"/>
    <n v="7134"/>
    <s v="M/S GOENKA AUTO PRIVATE LIMITED."/>
    <s v="VARANASI"/>
    <s v="19-Dec-24"/>
    <s v="13-Nov-25"/>
    <n v="1165"/>
    <n v="24165"/>
    <n v="6"/>
    <s v="S"/>
    <s v="T26"/>
    <n v="789111"/>
    <s v="MC1E4FLA6SP021782"/>
    <s v="D71065402"/>
    <m/>
    <m/>
    <x v="11"/>
    <s v="30-Nov-25"/>
    <x v="9"/>
    <n v="0"/>
    <n v="590054"/>
    <s v="16-Feb-26"/>
    <n v="0"/>
    <n v="0"/>
    <n v="0"/>
    <n v="113521"/>
    <s v="16-Feb-26"/>
    <n v="0"/>
    <m/>
    <m/>
    <s v="T26BS6"/>
    <s v="CVD"/>
    <s v="P"/>
  </r>
  <r>
    <n v="1515"/>
    <s v="NORTH"/>
    <s v="UTTAR PRADESH"/>
    <n v="7134"/>
    <s v="M/S GOENKA AUTO PRIVATE LIMITED."/>
    <s v="VARANASI"/>
    <s v="28-Nov-24"/>
    <s v="19-Nov-25"/>
    <n v="1165"/>
    <n v="40256"/>
    <n v="4"/>
    <s v="S"/>
    <s v="T1N"/>
    <n v="5577"/>
    <s v="MC1M4AKA5SP002673"/>
    <s v="D71064545"/>
    <m/>
    <m/>
    <x v="11"/>
    <s v="30-Nov-25"/>
    <x v="9"/>
    <n v="0"/>
    <n v="590054"/>
    <s v="16-Feb-26"/>
    <n v="0"/>
    <n v="0"/>
    <n v="0"/>
    <n v="113521"/>
    <s v="16-Feb-26"/>
    <n v="0"/>
    <m/>
    <m/>
    <s v="URBN"/>
    <s v="CVD"/>
    <s v="P"/>
  </r>
  <r>
    <n v="1516"/>
    <s v="NORTH"/>
    <s v="UTTAR PRADESH"/>
    <n v="7134"/>
    <s v="M/S GOENKA AUTO PRIVATE LIMITED."/>
    <s v="VARANASI"/>
    <s v="14-May-25"/>
    <s v="21-Nov-25"/>
    <n v="1165"/>
    <n v="30155"/>
    <n v="3"/>
    <s v="S"/>
    <s v="TRAX"/>
    <n v="327617"/>
    <s v="MC1D4DCA2SP107879"/>
    <s v="D72019510"/>
    <m/>
    <m/>
    <x v="11"/>
    <s v="30-Nov-25"/>
    <x v="9"/>
    <n v="1250"/>
    <n v="590054"/>
    <s v="16-Feb-26"/>
    <n v="1250"/>
    <n v="1475"/>
    <n v="225"/>
    <n v="113521"/>
    <s v="16-Feb-26"/>
    <n v="0"/>
    <m/>
    <m/>
    <s v="TRXBS6"/>
    <s v="CVD"/>
    <s v="F"/>
  </r>
  <r>
    <n v="1517"/>
    <s v="NORTH"/>
    <s v="UTTAR PRADESH"/>
    <n v="7134"/>
    <s v="M/S GOENKA AUTO PRIVATE LIMITED."/>
    <s v="VARANASI"/>
    <s v="23-Jan-25"/>
    <s v="19-Nov-25"/>
    <n v="1165"/>
    <n v="40158"/>
    <n v="5"/>
    <s v="S"/>
    <s v="T26"/>
    <n v="789007"/>
    <s v="MC1E4FAA3SP022178"/>
    <s v="D71068604"/>
    <m/>
    <m/>
    <x v="11"/>
    <s v="30-Nov-25"/>
    <x v="9"/>
    <n v="1250"/>
    <n v="590054"/>
    <s v="16-Feb-26"/>
    <n v="1250"/>
    <n v="1475"/>
    <n v="225"/>
    <n v="113521"/>
    <s v="16-Feb-26"/>
    <n v="0"/>
    <m/>
    <m/>
    <s v="T26BS6"/>
    <s v="CVD"/>
    <s v="F"/>
  </r>
  <r>
    <n v="1518"/>
    <s v="NORTH"/>
    <s v="UTTAR PRADESH"/>
    <n v="7134"/>
    <s v="M/S GOENKA AUTO PRIVATE LIMITED."/>
    <s v="VARANASI"/>
    <s v="03-May-24"/>
    <s v="30-Nov-25"/>
    <n v="1165"/>
    <n v="326983"/>
    <n v="4"/>
    <s v="S"/>
    <s v="T26"/>
    <n v="768518"/>
    <s v="MC1E4FCA1RP019657"/>
    <s v="D71049595"/>
    <s v="001"/>
    <s v="SERV KMS  / HRS EXCEEDS"/>
    <x v="11"/>
    <s v="30-Nov-25"/>
    <x v="9"/>
    <n v="1250"/>
    <n v="590054"/>
    <s v="16-Feb-26"/>
    <n v="1000"/>
    <n v="1475"/>
    <n v="225"/>
    <n v="113521"/>
    <s v="16-Feb-26"/>
    <n v="250"/>
    <m/>
    <m/>
    <s v="T26BS6"/>
    <s v="CVD"/>
    <s v="F"/>
  </r>
  <r>
    <n v="1519"/>
    <s v="NORTH"/>
    <s v="UTTAR PRADESH"/>
    <n v="7134"/>
    <s v="M/S GOENKA AUTO PRIVATE LIMITED."/>
    <s v="VARANASI"/>
    <s v="25-Mar-25"/>
    <s v="06-Nov-25"/>
    <n v="909"/>
    <n v="51980"/>
    <n v="3"/>
    <s v="S"/>
    <s v="T-1"/>
    <n v="797308"/>
    <s v="MC1E4CBA2SP086158"/>
    <s v="D71073777"/>
    <s v="001"/>
    <s v="SERV KMS  / HRS EXCEEDS"/>
    <x v="11"/>
    <s v="30-Nov-25"/>
    <x v="9"/>
    <n v="1250"/>
    <n v="590054"/>
    <s v="16-Feb-26"/>
    <n v="1000"/>
    <n v="1475"/>
    <n v="225"/>
    <n v="113521"/>
    <s v="16-Feb-26"/>
    <n v="250"/>
    <m/>
    <m/>
    <s v="T1BS6N"/>
    <s v="CVD"/>
    <s v="F"/>
  </r>
  <r>
    <n v="1520"/>
    <s v="NORTH"/>
    <s v="UTTAR PRADESH"/>
    <n v="7134"/>
    <s v="M/S GOENKA AUTO PRIVATE LIMITED."/>
    <s v="VARANASI"/>
    <s v="22-Oct-24"/>
    <s v="23-Nov-25"/>
    <n v="978"/>
    <n v="31788"/>
    <n v="6"/>
    <s v="S"/>
    <s v="T1N"/>
    <n v="5247"/>
    <s v="MC1M4BDA7RP000596"/>
    <s v="D71052415"/>
    <m/>
    <m/>
    <x v="11"/>
    <s v="30-Nov-25"/>
    <x v="9"/>
    <n v="0"/>
    <n v="590054"/>
    <s v="16-Feb-26"/>
    <n v="0"/>
    <n v="0"/>
    <n v="0"/>
    <n v="113521"/>
    <s v="16-Feb-26"/>
    <n v="0"/>
    <m/>
    <m/>
    <s v="URBN"/>
    <s v="CVD"/>
    <s v="P"/>
  </r>
  <r>
    <n v="1521"/>
    <s v="NORTH"/>
    <s v="UTTAR PRADESH"/>
    <n v="7134"/>
    <s v="M/S GOENKA AUTO PRIVATE LIMITED."/>
    <s v="VARANASI"/>
    <s v="19-May-25"/>
    <s v="24-Nov-25"/>
    <n v="1150"/>
    <n v="16832"/>
    <n v="4"/>
    <s v="S"/>
    <s v="T-1"/>
    <n v="778180"/>
    <s v="MC1E5EDA3SP003357"/>
    <s v="D73001815"/>
    <m/>
    <m/>
    <x v="11"/>
    <s v="30-Nov-25"/>
    <x v="9"/>
    <n v="0"/>
    <n v="590054"/>
    <s v="16-Feb-26"/>
    <n v="0"/>
    <n v="0"/>
    <n v="0"/>
    <n v="113521"/>
    <s v="16-Feb-26"/>
    <n v="0"/>
    <m/>
    <m/>
    <s v="T1CNGL"/>
    <s v="CVD"/>
    <s v="P"/>
  </r>
  <r>
    <n v="1522"/>
    <s v="NORTH"/>
    <s v="UTTAR PRADESH"/>
    <n v="7134"/>
    <s v="M/S GOENKA AUTO PRIVATE LIMITED."/>
    <s v="VARANASI"/>
    <s v="30-Apr-24"/>
    <s v="24-Nov-25"/>
    <n v="1165"/>
    <n v="70000"/>
    <n v="7"/>
    <s v="S"/>
    <s v="T1N"/>
    <n v="3248"/>
    <s v="MC1M4ADA3RP001383"/>
    <s v="D71052257"/>
    <m/>
    <m/>
    <x v="11"/>
    <s v="30-Nov-25"/>
    <x v="9"/>
    <n v="1650"/>
    <n v="590054"/>
    <s v="16-Feb-26"/>
    <n v="1650"/>
    <n v="1947"/>
    <n v="297"/>
    <n v="113521"/>
    <s v="16-Feb-26"/>
    <n v="0"/>
    <m/>
    <m/>
    <s v="URBN"/>
    <s v="CVD"/>
    <s v="F"/>
  </r>
  <r>
    <n v="1523"/>
    <s v="NORTH"/>
    <s v="UTTAR PRADESH"/>
    <n v="7134"/>
    <s v="M/S GOENKA AUTO PRIVATE LIMITED."/>
    <s v="VARANASI"/>
    <s v="08-Mar-25"/>
    <s v="28-Nov-25"/>
    <n v="874"/>
    <n v="50250"/>
    <n v="3"/>
    <s v="S"/>
    <s v="T-1"/>
    <n v="796009"/>
    <s v="MC1E4CAAXSP083980"/>
    <s v="D71070150"/>
    <m/>
    <m/>
    <x v="11"/>
    <s v="30-Nov-25"/>
    <x v="9"/>
    <n v="1250"/>
    <n v="590054"/>
    <s v="16-Feb-26"/>
    <n v="1250"/>
    <n v="1475"/>
    <n v="225"/>
    <n v="113521"/>
    <s v="16-Feb-26"/>
    <n v="0"/>
    <m/>
    <m/>
    <s v="T1BS6N"/>
    <s v="CVD"/>
    <s v="F"/>
  </r>
  <r>
    <n v="1524"/>
    <s v="NORTH"/>
    <s v="UTTAR PRADESH"/>
    <n v="7134"/>
    <s v="M/S GOENKA AUTO PRIVATE LIMITED."/>
    <s v="VARANASI"/>
    <s v="21-Sep-24"/>
    <s v="26-Nov-25"/>
    <n v="1165"/>
    <n v="90120"/>
    <n v="9"/>
    <s v="S"/>
    <s v="T-1"/>
    <n v="786320"/>
    <s v="MC1E4EHA1SP013740"/>
    <s v="D71060115"/>
    <m/>
    <m/>
    <x v="11"/>
    <s v="30-Nov-25"/>
    <x v="9"/>
    <n v="0"/>
    <n v="590054"/>
    <s v="16-Feb-26"/>
    <n v="0"/>
    <n v="0"/>
    <n v="0"/>
    <n v="113521"/>
    <s v="16-Feb-26"/>
    <n v="0"/>
    <m/>
    <m/>
    <s v="T1BS6"/>
    <s v="CVD"/>
    <s v="P"/>
  </r>
  <r>
    <n v="1525"/>
    <s v="NORTH"/>
    <s v="UTTAR PRADESH"/>
    <n v="7134"/>
    <s v="M/S GOENKA AUTO PRIVATE LIMITED."/>
    <s v="VARANASI"/>
    <s v="16-Oct-24"/>
    <s v="10-Nov-25"/>
    <n v="767"/>
    <n v="19123"/>
    <n v="7"/>
    <s v="S"/>
    <s v="T-1"/>
    <n v="778003"/>
    <s v="MC1E5CDA2RP000139"/>
    <s v="D73001099"/>
    <m/>
    <m/>
    <x v="11"/>
    <s v="30-Nov-25"/>
    <x v="9"/>
    <n v="0"/>
    <n v="590054"/>
    <s v="16-Feb-26"/>
    <n v="0"/>
    <n v="0"/>
    <n v="0"/>
    <n v="113521"/>
    <s v="16-Feb-26"/>
    <n v="0"/>
    <m/>
    <m/>
    <s v="T1CNGL"/>
    <s v="CVD"/>
    <s v="P"/>
  </r>
  <r>
    <n v="1526"/>
    <s v="NORTH"/>
    <s v="UTTAR PRADESH"/>
    <n v="7134"/>
    <s v="M/S GOENKA AUTO PRIVATE LIMITED."/>
    <s v="VARANASI"/>
    <s v="21-Mar-24"/>
    <s v="26-Nov-25"/>
    <n v="1165"/>
    <n v="129125"/>
    <n v="11"/>
    <s v="S"/>
    <s v="T-1"/>
    <n v="765716"/>
    <s v="MC1E4ECA5RP012138"/>
    <s v="D71050140"/>
    <s v="001"/>
    <s v="SERV KMS  / HRS EXCEEDS"/>
    <x v="11"/>
    <s v="30-Nov-25"/>
    <x v="9"/>
    <n v="1250"/>
    <n v="590054"/>
    <s v="16-Feb-26"/>
    <n v="1000"/>
    <n v="1475"/>
    <n v="225"/>
    <n v="113521"/>
    <s v="16-Feb-26"/>
    <n v="250"/>
    <m/>
    <m/>
    <s v="T1BS6"/>
    <s v="CVD"/>
    <s v="F"/>
  </r>
  <r>
    <n v="1527"/>
    <s v="NORTH"/>
    <s v="UTTAR PRADESH"/>
    <n v="7134"/>
    <s v="M/S GOENKA AUTO PRIVATE LIMITED."/>
    <s v="VARANASI"/>
    <s v="28-Sep-24"/>
    <s v="13-Nov-25"/>
    <n v="1165"/>
    <n v="79604"/>
    <n v="8"/>
    <s v="S"/>
    <s v="T-1"/>
    <n v="787042"/>
    <s v="MC1E4EHA9SP013842"/>
    <s v="D71060493"/>
    <m/>
    <m/>
    <x v="11"/>
    <s v="30-Nov-25"/>
    <x v="9"/>
    <n v="1250"/>
    <n v="590054"/>
    <s v="16-Feb-26"/>
    <n v="1250"/>
    <n v="1475"/>
    <n v="225"/>
    <n v="113521"/>
    <s v="16-Feb-26"/>
    <n v="0"/>
    <m/>
    <m/>
    <s v="T1BS6"/>
    <s v="CVD"/>
    <s v="F"/>
  </r>
  <r>
    <n v="1528"/>
    <s v="NORTH"/>
    <s v="UTTAR PRADESH"/>
    <n v="7134"/>
    <s v="M/S GOENKA AUTO PRIVATE LIMITED."/>
    <s v="VARANASI"/>
    <s v="21-Feb-25"/>
    <s v="21-Nov-25"/>
    <n v="856"/>
    <n v="50594"/>
    <n v="3"/>
    <s v="S"/>
    <s v="T-1"/>
    <n v="796501"/>
    <s v="MC1E4CAA9SP083856"/>
    <s v="D71069969"/>
    <m/>
    <m/>
    <x v="11"/>
    <s v="30-Nov-25"/>
    <x v="9"/>
    <n v="1250"/>
    <n v="590054"/>
    <s v="16-Feb-26"/>
    <n v="1250"/>
    <n v="1475"/>
    <n v="225"/>
    <n v="113521"/>
    <s v="16-Feb-26"/>
    <n v="0"/>
    <m/>
    <m/>
    <s v="T1BS6N"/>
    <s v="CVD"/>
    <s v="F"/>
  </r>
  <r>
    <n v="1529"/>
    <s v="NORTH"/>
    <s v="UTTAR PRADESH"/>
    <n v="7134"/>
    <s v="M/S GOENKA AUTO PRIVATE LIMITED."/>
    <s v="VARANASI"/>
    <s v="26-Jul-24"/>
    <s v="12-Nov-25"/>
    <n v="1165"/>
    <n v="23003"/>
    <n v="3"/>
    <s v="S"/>
    <s v="T-1"/>
    <n v="781812"/>
    <s v="MC1E4DGA2SP053627"/>
    <s v="D71058150"/>
    <s v="022"/>
    <s v="SERVICE COUPON HARD COPY NOT RECEIVED"/>
    <x v="11"/>
    <s v="30-Nov-25"/>
    <x v="9"/>
    <n v="1250"/>
    <n v="590054"/>
    <s v="16-Feb-26"/>
    <n v="0"/>
    <n v="1475"/>
    <n v="225"/>
    <n v="113521"/>
    <s v="16-Feb-26"/>
    <n v="1250"/>
    <m/>
    <m/>
    <s v="T1BS6N"/>
    <s v="CVD"/>
    <s v="F"/>
  </r>
  <r>
    <n v="1530"/>
    <s v="NORTH"/>
    <s v="UTTAR PRADESH"/>
    <n v="7134"/>
    <s v="M/S GOENKA AUTO PRIVATE LIMITED."/>
    <s v="VARANASI"/>
    <s v="16-May-25"/>
    <s v="16-Nov-25"/>
    <n v="1165"/>
    <n v="10855"/>
    <n v="3"/>
    <s v="S"/>
    <s v="T-1"/>
    <n v="803475"/>
    <s v="MC1E5CDAXSP000167"/>
    <s v="D73001901"/>
    <m/>
    <m/>
    <x v="11"/>
    <s v="30-Nov-25"/>
    <x v="9"/>
    <n v="1250"/>
    <n v="590054"/>
    <s v="16-Feb-26"/>
    <n v="1250"/>
    <n v="1475"/>
    <n v="225"/>
    <n v="113521"/>
    <s v="16-Feb-26"/>
    <n v="0"/>
    <m/>
    <m/>
    <s v="T1CNGL"/>
    <s v="CVD"/>
    <s v="F"/>
  </r>
  <r>
    <n v="1531"/>
    <s v="NORTH"/>
    <s v="UTTAR PRADESH"/>
    <n v="7134"/>
    <s v="M/S GOENKA AUTO PRIVATE LIMITED."/>
    <s v="VARANASI"/>
    <s v="27-Sep-25"/>
    <s v="20-Nov-25"/>
    <n v="1165"/>
    <n v="9600"/>
    <n v="1"/>
    <s v="S"/>
    <s v="T-1"/>
    <n v="809345"/>
    <s v="MC1E4EFA9SP016839"/>
    <s v="D71084370"/>
    <m/>
    <m/>
    <x v="11"/>
    <s v="30-Nov-25"/>
    <x v="9"/>
    <n v="1250"/>
    <n v="590054"/>
    <s v="16-Feb-26"/>
    <n v="1250"/>
    <n v="1475"/>
    <n v="225"/>
    <n v="113521"/>
    <s v="16-Feb-26"/>
    <n v="0"/>
    <m/>
    <m/>
    <s v="T1BS6"/>
    <s v="CVD"/>
    <s v="F"/>
  </r>
  <r>
    <n v="1532"/>
    <s v="NORTH"/>
    <s v="UTTAR PRADESH"/>
    <n v="7134"/>
    <s v="M/S GOENKA AUTO PRIVATE LIMITED."/>
    <s v="VARANASI"/>
    <s v="31-Aug-24"/>
    <s v="05-Nov-25"/>
    <n v="1165"/>
    <n v="38438"/>
    <n v="7"/>
    <s v="S"/>
    <s v="T-1"/>
    <n v="785728"/>
    <s v="MC1E4EGA0SP013472"/>
    <s v="D71058264"/>
    <m/>
    <m/>
    <x v="11"/>
    <s v="30-Nov-25"/>
    <x v="9"/>
    <n v="0"/>
    <n v="590054"/>
    <s v="16-Feb-26"/>
    <n v="0"/>
    <n v="0"/>
    <n v="0"/>
    <n v="113521"/>
    <s v="16-Feb-26"/>
    <n v="0"/>
    <m/>
    <m/>
    <s v="T1BS6"/>
    <s v="CVD"/>
    <s v="P"/>
  </r>
  <r>
    <n v="1533"/>
    <s v="NORTH"/>
    <s v="UTTAR PRADESH"/>
    <n v="7134"/>
    <s v="M/S GOENKA AUTO PRIVATE LIMITED."/>
    <s v="VARANASI"/>
    <s v="24-Mar-25"/>
    <s v="21-Nov-25"/>
    <n v="855"/>
    <n v="49265"/>
    <n v="3"/>
    <s v="S"/>
    <s v="T-1"/>
    <n v="796598"/>
    <s v="MC1E4CAA4SP084266"/>
    <s v="D71070512"/>
    <m/>
    <m/>
    <x v="11"/>
    <s v="30-Nov-25"/>
    <x v="9"/>
    <n v="1250"/>
    <n v="590054"/>
    <s v="16-Feb-26"/>
    <n v="1250"/>
    <n v="1475"/>
    <n v="225"/>
    <n v="113521"/>
    <s v="16-Feb-26"/>
    <n v="0"/>
    <m/>
    <m/>
    <s v="T1BS6N"/>
    <s v="CVD"/>
    <s v="F"/>
  </r>
  <r>
    <n v="1534"/>
    <s v="NORTH"/>
    <s v="UTTAR PRADESH"/>
    <n v="7134"/>
    <s v="M/S GOENKA AUTO PRIVATE LIMITED."/>
    <s v="VARANASI"/>
    <s v="28-Jun-24"/>
    <s v="05-Nov-25"/>
    <n v="1165"/>
    <n v="108756"/>
    <n v="10"/>
    <s v="S"/>
    <s v="T-1"/>
    <n v="775503"/>
    <s v="MC1E4EEA9RP013001"/>
    <s v="D71054846"/>
    <s v="001"/>
    <s v="SERV KMS  / HRS EXCEEDS"/>
    <x v="11"/>
    <s v="30-Nov-25"/>
    <x v="9"/>
    <n v="0"/>
    <n v="590054"/>
    <s v="16-Feb-26"/>
    <n v="0"/>
    <n v="0"/>
    <n v="0"/>
    <n v="113521"/>
    <s v="16-Feb-26"/>
    <n v="0"/>
    <m/>
    <m/>
    <s v="T1BS6"/>
    <s v="CVD"/>
    <s v="P"/>
  </r>
  <r>
    <n v="1535"/>
    <s v="NORTH"/>
    <s v="UTTAR PRADESH"/>
    <n v="7134"/>
    <s v="M/S GOENKA AUTO PRIVATE LIMITED."/>
    <s v="VARANASI"/>
    <s v="16-Oct-24"/>
    <s v="10-Nov-25"/>
    <n v="1165"/>
    <n v="90300"/>
    <n v="9"/>
    <s v="S"/>
    <s v="TRAX"/>
    <n v="324809"/>
    <s v="MC1D4DHA2SP105462"/>
    <s v="D72016887"/>
    <m/>
    <m/>
    <x v="11"/>
    <s v="30-Nov-25"/>
    <x v="9"/>
    <n v="0"/>
    <n v="590054"/>
    <s v="16-Feb-26"/>
    <n v="0"/>
    <n v="0"/>
    <n v="0"/>
    <n v="113521"/>
    <s v="16-Feb-26"/>
    <n v="0"/>
    <m/>
    <m/>
    <s v="TRXBS6"/>
    <s v="CVD"/>
    <s v="P"/>
  </r>
  <r>
    <n v="1536"/>
    <s v="NORTH"/>
    <s v="UTTAR PRADESH"/>
    <n v="7134"/>
    <s v="M/S GOENKA AUTO PRIVATE LIMITED."/>
    <s v="VARANASI"/>
    <s v="26-Mar-25"/>
    <s v="28-Nov-25"/>
    <n v="854"/>
    <n v="50000"/>
    <n v="3"/>
    <s v="S"/>
    <s v="T-1"/>
    <n v="795543"/>
    <s v="MC1E4CBA2SP085740"/>
    <s v="D71073077"/>
    <m/>
    <m/>
    <x v="11"/>
    <s v="30-Nov-25"/>
    <x v="9"/>
    <n v="1250"/>
    <n v="590054"/>
    <s v="16-Feb-26"/>
    <n v="1250"/>
    <n v="1475"/>
    <n v="225"/>
    <n v="113521"/>
    <s v="16-Feb-26"/>
    <n v="0"/>
    <m/>
    <m/>
    <s v="T1BS6N"/>
    <s v="CVD"/>
    <s v="F"/>
  </r>
  <r>
    <n v="1537"/>
    <s v="NORTH"/>
    <s v="UTTAR PRADESH"/>
    <n v="7134"/>
    <s v="M/S GOENKA AUTO PRIVATE LIMITED."/>
    <s v="VARANASI"/>
    <s v="30-Sep-25"/>
    <s v="25-Nov-25"/>
    <n v="1165"/>
    <n v="2495"/>
    <n v="1"/>
    <s v="S"/>
    <s v="TRAX"/>
    <n v="330206"/>
    <s v="MC1D4DFA3SP109541"/>
    <s v="D72021333"/>
    <m/>
    <m/>
    <x v="11"/>
    <s v="30-Nov-25"/>
    <x v="9"/>
    <n v="1250"/>
    <n v="590054"/>
    <s v="16-Feb-26"/>
    <n v="1250"/>
    <n v="1475"/>
    <n v="225"/>
    <n v="113521"/>
    <s v="16-Feb-26"/>
    <n v="0"/>
    <m/>
    <m/>
    <s v="TRXBS6"/>
    <s v="CVD"/>
    <s v="F"/>
  </r>
  <r>
    <n v="1538"/>
    <s v="NORTH"/>
    <s v="UTTAR PRADESH"/>
    <n v="7134"/>
    <s v="M/S GOENKA AUTO PRIVATE LIMITED."/>
    <s v="VARANASI"/>
    <s v="08-Mar-24"/>
    <s v="07-Nov-25"/>
    <n v="1165"/>
    <n v="56542"/>
    <n v="10"/>
    <s v="S"/>
    <s v="T-1"/>
    <n v="764087"/>
    <s v="MC1E4EAA5RP011624"/>
    <s v="D71045990"/>
    <m/>
    <m/>
    <x v="11"/>
    <s v="30-Nov-25"/>
    <x v="9"/>
    <n v="0"/>
    <n v="590054"/>
    <s v="16-Feb-26"/>
    <n v="0"/>
    <n v="0"/>
    <n v="0"/>
    <n v="113521"/>
    <s v="16-Feb-26"/>
    <n v="0"/>
    <m/>
    <m/>
    <s v="T1BS6"/>
    <s v="CVD"/>
    <s v="P"/>
  </r>
  <r>
    <n v="1539"/>
    <s v="NORTH"/>
    <s v="UTTAR PRADESH"/>
    <n v="7134"/>
    <s v="M/S GOENKA AUTO PRIVATE LIMITED."/>
    <s v="VARANASI"/>
    <s v="16-Apr-24"/>
    <s v="06-Nov-25"/>
    <n v="1165"/>
    <n v="907765"/>
    <n v="11"/>
    <s v="S"/>
    <s v="T-1"/>
    <n v="773203"/>
    <s v="MC1E4EDAXRP012537"/>
    <s v="D71052049"/>
    <s v="001, 022"/>
    <s v="SERV KMS  / HRS EXCEEDS, SERVICE COUPON HARD COPY NOT RECEIVED"/>
    <x v="11"/>
    <s v="30-Nov-25"/>
    <x v="9"/>
    <n v="1250"/>
    <n v="590054"/>
    <s v="16-Feb-26"/>
    <n v="0"/>
    <n v="1475"/>
    <n v="225"/>
    <n v="113521"/>
    <s v="16-Feb-26"/>
    <n v="1250"/>
    <m/>
    <m/>
    <s v="T1BS6"/>
    <s v="CVD"/>
    <s v="F"/>
  </r>
  <r>
    <n v="1540"/>
    <s v="NORTH"/>
    <s v="UTTAR PRADESH"/>
    <n v="7134"/>
    <s v="M/S GOENKA AUTO PRIVATE LIMITED."/>
    <s v="VARANASI"/>
    <s v="24-Mar-25"/>
    <s v="11-Nov-25"/>
    <n v="875"/>
    <n v="50243"/>
    <n v="3"/>
    <s v="S"/>
    <s v="T-1"/>
    <n v="796599"/>
    <s v="MC1E4CAA6SP084351"/>
    <s v="D71070672"/>
    <m/>
    <m/>
    <x v="11"/>
    <s v="30-Nov-25"/>
    <x v="9"/>
    <n v="1250"/>
    <n v="590054"/>
    <s v="16-Feb-26"/>
    <n v="1250"/>
    <n v="1475"/>
    <n v="225"/>
    <n v="113521"/>
    <s v="16-Feb-26"/>
    <n v="0"/>
    <m/>
    <m/>
    <s v="T1BS6N"/>
    <s v="CVD"/>
    <s v="F"/>
  </r>
  <r>
    <n v="1541"/>
    <s v="NORTH"/>
    <s v="UTTAR PRADESH"/>
    <n v="7134"/>
    <s v="M/S GOENKA AUTO PRIVATE LIMITED."/>
    <s v="VARANASI"/>
    <s v="17-Jun-25"/>
    <s v="19-Nov-25"/>
    <n v="1175"/>
    <n v="30575"/>
    <n v="3"/>
    <s v="S"/>
    <s v="T-1"/>
    <n v="802984"/>
    <s v="MC1E4EEA1SP016349"/>
    <s v="D71081124"/>
    <m/>
    <m/>
    <x v="11"/>
    <s v="30-Nov-25"/>
    <x v="9"/>
    <n v="1250"/>
    <n v="590054"/>
    <s v="16-Feb-26"/>
    <n v="1250"/>
    <n v="1475"/>
    <n v="225"/>
    <n v="113521"/>
    <s v="16-Feb-26"/>
    <n v="0"/>
    <m/>
    <m/>
    <s v="T1BS6"/>
    <s v="CVD"/>
    <s v="F"/>
  </r>
  <r>
    <n v="1542"/>
    <s v="NORTH"/>
    <s v="UTTAR PRADESH"/>
    <n v="7134"/>
    <s v="M/S GOENKA AUTO PRIVATE LIMITED."/>
    <s v="VARANASI"/>
    <s v="30-Sep-25"/>
    <s v="26-Nov-25"/>
    <n v="1165"/>
    <n v="6099"/>
    <n v="1"/>
    <s v="S"/>
    <s v="T-1"/>
    <n v="812654"/>
    <s v="MC1E4EHA3TP017418"/>
    <s v="D71084598"/>
    <m/>
    <m/>
    <x v="11"/>
    <s v="30-Nov-25"/>
    <x v="9"/>
    <n v="1250"/>
    <n v="590054"/>
    <s v="16-Feb-26"/>
    <n v="1250"/>
    <n v="1475"/>
    <n v="225"/>
    <n v="113521"/>
    <s v="16-Feb-26"/>
    <n v="0"/>
    <m/>
    <m/>
    <s v="T1BS6"/>
    <s v="CVD"/>
    <s v="F"/>
  </r>
  <r>
    <n v="1543"/>
    <s v="NORTH"/>
    <s v="UTTAR PRADESH"/>
    <n v="7134"/>
    <s v="M/S GOENKA AUTO PRIVATE LIMITED."/>
    <s v="VARANASI"/>
    <s v="20-Feb-25"/>
    <s v="21-Nov-25"/>
    <n v="869"/>
    <n v="50150"/>
    <n v="3"/>
    <s v="S"/>
    <s v="T-1"/>
    <n v="796369"/>
    <s v="MC1E4CAA1SP083558"/>
    <s v="D71069586"/>
    <m/>
    <m/>
    <x v="11"/>
    <s v="30-Nov-25"/>
    <x v="9"/>
    <n v="1250"/>
    <n v="590054"/>
    <s v="16-Feb-26"/>
    <n v="1250"/>
    <n v="1475"/>
    <n v="225"/>
    <n v="113521"/>
    <s v="16-Feb-26"/>
    <n v="0"/>
    <m/>
    <m/>
    <s v="T1BS6N"/>
    <s v="CVD"/>
    <s v="F"/>
  </r>
  <r>
    <n v="1544"/>
    <s v="NORTH"/>
    <s v="UTTAR PRADESH"/>
    <n v="7134"/>
    <s v="M/S GOENKA AUTO PRIVATE LIMITED."/>
    <s v="VARANASI"/>
    <s v="29-Jul-25"/>
    <s v="02-Nov-25"/>
    <n v="1165"/>
    <n v="3879"/>
    <n v="1"/>
    <s v="S"/>
    <s v="TRAX"/>
    <n v="328308"/>
    <s v="MC1D4DDA0SP108642"/>
    <s v="D72020323"/>
    <s v="002"/>
    <s v="SERV DATE EXCEEDS"/>
    <x v="11"/>
    <s v="30-Nov-25"/>
    <x v="9"/>
    <n v="1250"/>
    <n v="590054"/>
    <s v="16-Feb-26"/>
    <n v="1000"/>
    <n v="1475"/>
    <n v="225"/>
    <n v="113521"/>
    <s v="16-Feb-26"/>
    <n v="250"/>
    <m/>
    <m/>
    <s v="TRXBS6"/>
    <s v="CVD"/>
    <s v="F"/>
  </r>
  <r>
    <n v="1545"/>
    <s v="NORTH"/>
    <s v="UTTAR PRADESH"/>
    <n v="7134"/>
    <s v="M/S GOENKA AUTO PRIVATE LIMITED."/>
    <s v="VARANASI"/>
    <s v="20-Feb-25"/>
    <s v="31-Oct-25"/>
    <n v="1165"/>
    <n v="39226"/>
    <n v="5"/>
    <s v="S"/>
    <s v="T-1"/>
    <n v="790132"/>
    <s v="MC1E4EAA2SP015023"/>
    <s v="D71069123"/>
    <m/>
    <m/>
    <x v="11"/>
    <s v="30-Nov-25"/>
    <x v="9"/>
    <n v="1250"/>
    <n v="590054"/>
    <s v="16-Feb-26"/>
    <n v="1250"/>
    <n v="1475"/>
    <n v="225"/>
    <n v="113521"/>
    <s v="16-Feb-26"/>
    <n v="0"/>
    <m/>
    <m/>
    <s v="T1BS6"/>
    <s v="CVD"/>
    <s v="F"/>
  </r>
  <r>
    <n v="1546"/>
    <s v="NORTH"/>
    <s v="UTTAR PRADESH"/>
    <n v="7134"/>
    <s v="M/S GOENKA AUTO PRIVATE LIMITED."/>
    <s v="VARANASI"/>
    <s v="14-Jan-25"/>
    <s v="20-Nov-25"/>
    <n v="1165"/>
    <n v="42066"/>
    <n v="4"/>
    <s v="S"/>
    <s v="T1N"/>
    <n v="6183"/>
    <s v="MC1M4AMA1SP003008"/>
    <s v="D71066986"/>
    <s v="001"/>
    <s v="SERV KMS  / HRS EXCEEDS"/>
    <x v="11"/>
    <s v="30-Nov-25"/>
    <x v="9"/>
    <n v="0"/>
    <n v="590054"/>
    <s v="16-Feb-26"/>
    <n v="0"/>
    <n v="0"/>
    <n v="0"/>
    <n v="113521"/>
    <s v="16-Feb-26"/>
    <n v="0"/>
    <m/>
    <m/>
    <s v="URBN"/>
    <s v="CVD"/>
    <s v="P"/>
  </r>
  <r>
    <n v="1547"/>
    <s v="NORTH"/>
    <s v="UTTAR PRADESH"/>
    <n v="7134"/>
    <s v="M/S GOENKA AUTO PRIVATE LIMITED."/>
    <s v="VARANASI"/>
    <s v="10-Jun-24"/>
    <s v="14-Nov-25"/>
    <n v="1165"/>
    <n v="62000"/>
    <n v="9"/>
    <s v="S"/>
    <s v="T26"/>
    <n v="736051"/>
    <s v="MC1E4FDA9RP020327"/>
    <s v="D71054049"/>
    <m/>
    <m/>
    <x v="11"/>
    <s v="30-Nov-25"/>
    <x v="9"/>
    <n v="0"/>
    <n v="590054"/>
    <s v="16-Feb-26"/>
    <n v="0"/>
    <n v="0"/>
    <n v="0"/>
    <n v="113521"/>
    <s v="16-Feb-26"/>
    <n v="0"/>
    <m/>
    <m/>
    <s v="T26BS6"/>
    <s v="CVD"/>
    <s v="P"/>
  </r>
  <r>
    <n v="1548"/>
    <s v="NORTH"/>
    <s v="UTTAR PRADESH"/>
    <n v="7134"/>
    <s v="M/S GOENKA AUTO PRIVATE LIMITED."/>
    <s v="VARANASI"/>
    <s v="31-Mar-25"/>
    <s v="24-Nov-25"/>
    <n v="1150"/>
    <n v="11756"/>
    <n v="4"/>
    <s v="S"/>
    <s v="T-1"/>
    <n v="778127"/>
    <s v="MC1E5ECA0SP003317"/>
    <s v="D73001777"/>
    <m/>
    <m/>
    <x v="11"/>
    <s v="30-Nov-25"/>
    <x v="9"/>
    <n v="0"/>
    <n v="590054"/>
    <s v="16-Feb-26"/>
    <n v="0"/>
    <n v="0"/>
    <n v="0"/>
    <n v="113521"/>
    <s v="16-Feb-26"/>
    <n v="0"/>
    <m/>
    <m/>
    <s v="T1CNGL"/>
    <s v="CVD"/>
    <s v="P"/>
  </r>
  <r>
    <n v="1549"/>
    <s v="NORTH"/>
    <s v="UTTAR PRADESH"/>
    <n v="7134"/>
    <s v="M/S GOENKA AUTO PRIVATE LIMITED."/>
    <s v="VARANASI"/>
    <s v="23-Mar-25"/>
    <s v="28-Nov-25"/>
    <n v="875"/>
    <n v="51210"/>
    <n v="3"/>
    <s v="S"/>
    <s v="T-1"/>
    <n v="796499"/>
    <s v="MC1E4CAAXSP083767"/>
    <s v="D71069836"/>
    <s v="001"/>
    <s v="SERV KMS  / HRS EXCEEDS"/>
    <x v="11"/>
    <s v="30-Nov-25"/>
    <x v="9"/>
    <n v="1250"/>
    <n v="590054"/>
    <s v="16-Feb-26"/>
    <n v="1000"/>
    <n v="1475"/>
    <n v="225"/>
    <n v="113521"/>
    <s v="16-Feb-26"/>
    <n v="250"/>
    <m/>
    <m/>
    <s v="T1BS6N"/>
    <s v="CVD"/>
    <s v="F"/>
  </r>
  <r>
    <n v="1550"/>
    <s v="NORTH"/>
    <s v="UTTAR PRADESH"/>
    <n v="7134"/>
    <s v="M/S GOENKA AUTO PRIVATE LIMITED."/>
    <s v="VARANASI"/>
    <s v="24-Mar-25"/>
    <s v="14-Nov-25"/>
    <n v="872"/>
    <n v="51000"/>
    <n v="3"/>
    <s v="S"/>
    <s v="T-1"/>
    <n v="796127"/>
    <s v="MC1E4CAA0SP083857"/>
    <s v="D71069982"/>
    <s v="001"/>
    <s v="SERV KMS  / HRS EXCEEDS"/>
    <x v="11"/>
    <s v="30-Nov-25"/>
    <x v="9"/>
    <n v="1250"/>
    <n v="590054"/>
    <s v="16-Feb-26"/>
    <n v="1000"/>
    <n v="1475"/>
    <n v="225"/>
    <n v="113521"/>
    <s v="16-Feb-26"/>
    <n v="250"/>
    <m/>
    <m/>
    <s v="T1BS6N"/>
    <s v="CVD"/>
    <s v="F"/>
  </r>
  <r>
    <n v="1551"/>
    <s v="NORTH"/>
    <s v="UTTAR PRADESH"/>
    <n v="7134"/>
    <s v="M/S GOENKA AUTO PRIVATE LIMITED."/>
    <s v="VARANASI"/>
    <s v="28-Feb-24"/>
    <s v="10-Nov-25"/>
    <n v="1165"/>
    <n v="120000"/>
    <n v="12"/>
    <s v="S"/>
    <s v="T26"/>
    <n v="767284"/>
    <s v="MC1E4FAA5RP019177"/>
    <s v="D71046539"/>
    <m/>
    <m/>
    <x v="11"/>
    <s v="30-Nov-25"/>
    <x v="9"/>
    <n v="0"/>
    <n v="590054"/>
    <s v="16-Feb-26"/>
    <n v="0"/>
    <n v="0"/>
    <n v="0"/>
    <n v="113521"/>
    <s v="16-Feb-26"/>
    <n v="0"/>
    <m/>
    <m/>
    <s v="T26BS6"/>
    <s v="CVD"/>
    <s v="P"/>
  </r>
  <r>
    <n v="1552"/>
    <s v="NORTH"/>
    <s v="UTTAR PRADESH"/>
    <n v="7134"/>
    <s v="M/S GOENKA AUTO PRIVATE LIMITED."/>
    <s v="VARANASI"/>
    <s v="23-Mar-25"/>
    <s v="14-Nov-25"/>
    <n v="872"/>
    <n v="51200"/>
    <n v="3"/>
    <s v="S"/>
    <s v="T-1"/>
    <n v="796120"/>
    <s v="MC1E4CAA2SP083648"/>
    <s v="D71069647"/>
    <s v="001, 022"/>
    <s v="SERV KMS  / HRS EXCEEDS, SERVICE COUPON HARD COPY NOT RECEIVED"/>
    <x v="11"/>
    <s v="30-Nov-25"/>
    <x v="9"/>
    <n v="1250"/>
    <n v="590054"/>
    <s v="16-Feb-26"/>
    <n v="0"/>
    <n v="1475"/>
    <n v="225"/>
    <n v="113521"/>
    <s v="16-Feb-26"/>
    <n v="1250"/>
    <m/>
    <m/>
    <s v="T1BS6N"/>
    <s v="CVD"/>
    <s v="F"/>
  </r>
  <r>
    <n v="1553"/>
    <s v="NORTH"/>
    <s v="UTTAR PRADESH"/>
    <n v="7134"/>
    <s v="M/S GOENKA AUTO PRIVATE LIMITED."/>
    <s v="VARANASI"/>
    <s v="20-Feb-25"/>
    <s v="27-Nov-25"/>
    <n v="1065"/>
    <n v="35000"/>
    <n v="5"/>
    <s v="S"/>
    <s v="T-1"/>
    <n v="792997"/>
    <s v="MC1E4DAA1SP055720"/>
    <s v="D71068167"/>
    <m/>
    <m/>
    <x v="11"/>
    <s v="30-Nov-25"/>
    <x v="9"/>
    <n v="1250"/>
    <n v="590054"/>
    <s v="16-Feb-26"/>
    <n v="1250"/>
    <n v="1475"/>
    <n v="225"/>
    <n v="113521"/>
    <s v="16-Feb-26"/>
    <n v="0"/>
    <m/>
    <m/>
    <s v="T1BS6"/>
    <s v="CVD"/>
    <s v="F"/>
  </r>
  <r>
    <n v="1554"/>
    <s v="NORTH"/>
    <s v="UTTAR PRADESH"/>
    <n v="7134"/>
    <s v="M/S GOENKA AUTO PRIVATE LIMITED."/>
    <s v="VARANASI"/>
    <s v="10-May-24"/>
    <s v="23-Nov-25"/>
    <n v="1165"/>
    <n v="34743"/>
    <n v="4"/>
    <s v="S"/>
    <s v="T26"/>
    <n v="768517"/>
    <s v="MC1E4FCA8RP019655"/>
    <s v="D71049564"/>
    <s v="002"/>
    <s v="SERV DATE EXCEEDS"/>
    <x v="11"/>
    <s v="30-Nov-25"/>
    <x v="9"/>
    <n v="1250"/>
    <n v="590054"/>
    <s v="16-Feb-26"/>
    <n v="1000"/>
    <n v="1475"/>
    <n v="225"/>
    <n v="113521"/>
    <s v="16-Feb-26"/>
    <n v="250"/>
    <m/>
    <m/>
    <s v="T26BS6"/>
    <s v="CVD"/>
    <s v="F"/>
  </r>
  <r>
    <n v="1555"/>
    <s v="NORTH"/>
    <s v="UTTAR PRADESH"/>
    <n v="7134"/>
    <s v="M/S GOENKA AUTO PRIVATE LIMITED."/>
    <s v="VARANASI"/>
    <s v="25-Mar-25"/>
    <s v="20-Nov-25"/>
    <n v="856"/>
    <n v="52372"/>
    <n v="3"/>
    <s v="S"/>
    <s v="T-1"/>
    <n v="798622"/>
    <s v="MC1E4CAA8SP084190"/>
    <s v="D71070503"/>
    <s v="001"/>
    <s v="SERV KMS  / HRS EXCEEDS"/>
    <x v="11"/>
    <s v="30-Nov-25"/>
    <x v="9"/>
    <n v="1250"/>
    <n v="590054"/>
    <s v="16-Feb-26"/>
    <n v="1000"/>
    <n v="1475"/>
    <n v="225"/>
    <n v="113521"/>
    <s v="16-Feb-26"/>
    <n v="250"/>
    <m/>
    <m/>
    <s v="T1BS6N"/>
    <s v="CVD"/>
    <s v="F"/>
  </r>
  <r>
    <n v="1556"/>
    <s v="NORTH"/>
    <s v="UTTAR PRADESH"/>
    <n v="7134"/>
    <s v="M/S GOENKA AUTO PRIVATE LIMITED."/>
    <s v="VARANASI"/>
    <s v="26-Apr-25"/>
    <s v="20-Nov-25"/>
    <n v="925"/>
    <n v="50604"/>
    <n v="3"/>
    <s v="S"/>
    <s v="T-1"/>
    <n v="796086"/>
    <s v="MC1E4CAAXSP083820"/>
    <s v="D71069906"/>
    <m/>
    <m/>
    <x v="11"/>
    <s v="30-Nov-25"/>
    <x v="9"/>
    <n v="1250"/>
    <n v="590054"/>
    <s v="16-Feb-26"/>
    <n v="1250"/>
    <n v="1475"/>
    <n v="225"/>
    <n v="113521"/>
    <s v="16-Feb-26"/>
    <n v="0"/>
    <m/>
    <m/>
    <s v="T1BS6N"/>
    <s v="CVD"/>
    <s v="F"/>
  </r>
  <r>
    <n v="1557"/>
    <s v="NORTH"/>
    <s v="UTTAR PRADESH"/>
    <n v="7134"/>
    <s v="M/S GOENKA AUTO PRIVATE LIMITED."/>
    <s v="VARANASI"/>
    <s v="25-Mar-25"/>
    <s v="28-Nov-25"/>
    <n v="893"/>
    <n v="51000"/>
    <n v="3"/>
    <s v="S"/>
    <s v="T-1"/>
    <n v="795270"/>
    <s v="MC1E4CBA5SP086204"/>
    <s v="D71073761"/>
    <s v="001"/>
    <s v="SERV KMS  / HRS EXCEEDS"/>
    <x v="11"/>
    <s v="30-Nov-25"/>
    <x v="9"/>
    <n v="1250"/>
    <n v="590054"/>
    <s v="16-Feb-26"/>
    <n v="1000"/>
    <n v="1475"/>
    <n v="225"/>
    <n v="113521"/>
    <s v="16-Feb-26"/>
    <n v="250"/>
    <m/>
    <m/>
    <s v="T1BS6N"/>
    <s v="CVD"/>
    <s v="F"/>
  </r>
  <r>
    <n v="1558"/>
    <s v="NORTH"/>
    <s v="UTTAR PRADESH"/>
    <n v="7134"/>
    <s v="M/S GOENKA AUTO PRIVATE LIMITED."/>
    <s v="VARANASI"/>
    <s v="09-Oct-24"/>
    <s v="17-Nov-25"/>
    <n v="1165"/>
    <n v="60040"/>
    <n v="5"/>
    <s v="S"/>
    <s v="T1N"/>
    <n v="5342"/>
    <s v="MC1M4AJA2SP002387"/>
    <s v="D71062463"/>
    <s v="001"/>
    <s v="SERV KMS  / HRS EXCEEDS"/>
    <x v="11"/>
    <s v="30-Nov-25"/>
    <x v="9"/>
    <n v="1650"/>
    <n v="590054"/>
    <s v="16-Feb-26"/>
    <n v="1320"/>
    <n v="1947"/>
    <n v="297"/>
    <n v="113521"/>
    <s v="16-Feb-26"/>
    <n v="330"/>
    <m/>
    <m/>
    <s v="URBN"/>
    <s v="CVD"/>
    <s v="F"/>
  </r>
  <r>
    <n v="1559"/>
    <s v="NORTH"/>
    <s v="UTTAR PRADESH"/>
    <n v="7134"/>
    <s v="M/S GOENKA AUTO PRIVATE LIMITED."/>
    <s v="VARANASI"/>
    <s v="28-May-24"/>
    <s v="10-Nov-25"/>
    <n v="1165"/>
    <n v="100000"/>
    <n v="10"/>
    <s v="S"/>
    <s v="T26"/>
    <n v="776289"/>
    <s v="MC1E4FEA4RP020394"/>
    <s v="D71054669"/>
    <m/>
    <m/>
    <x v="11"/>
    <s v="30-Nov-25"/>
    <x v="9"/>
    <n v="0"/>
    <n v="590054"/>
    <s v="16-Feb-26"/>
    <n v="0"/>
    <n v="0"/>
    <n v="0"/>
    <n v="113521"/>
    <s v="16-Feb-26"/>
    <n v="0"/>
    <m/>
    <m/>
    <s v="T26BS6"/>
    <s v="CVD"/>
    <s v="P"/>
  </r>
  <r>
    <n v="1560"/>
    <s v="NORTH"/>
    <s v="UTTAR PRADESH"/>
    <n v="7134"/>
    <s v="M/S GOENKA AUTO PRIVATE LIMITED."/>
    <s v="VARANASI"/>
    <s v="22-Mar-25"/>
    <s v="04-Nov-25"/>
    <n v="1160"/>
    <n v="10000"/>
    <n v="4"/>
    <s v="S"/>
    <s v="T-1"/>
    <n v="801727"/>
    <s v="MC1E4DCA7SP056335"/>
    <s v="D71075083"/>
    <m/>
    <m/>
    <x v="11"/>
    <s v="30-Nov-25"/>
    <x v="9"/>
    <n v="0"/>
    <n v="590054"/>
    <s v="16-Feb-26"/>
    <n v="0"/>
    <n v="0"/>
    <n v="0"/>
    <n v="113521"/>
    <s v="16-Feb-26"/>
    <n v="0"/>
    <m/>
    <m/>
    <s v="T1BS6"/>
    <s v="CVD"/>
    <s v="P"/>
  </r>
  <r>
    <n v="1561"/>
    <s v="NORTH"/>
    <s v="UTTAR PRADESH"/>
    <n v="7134"/>
    <s v="M/S GOENKA AUTO PRIVATE LIMITED."/>
    <s v="VARANASI"/>
    <s v="23-Dec-24"/>
    <s v="19-Nov-25"/>
    <n v="1165"/>
    <n v="50885"/>
    <n v="5"/>
    <s v="S"/>
    <s v="T26"/>
    <n v="789589"/>
    <s v="MC1E4FKA5SP021760"/>
    <s v="D71065153"/>
    <s v="002"/>
    <s v="SERV DATE EXCEEDS"/>
    <x v="11"/>
    <s v="30-Nov-25"/>
    <x v="9"/>
    <n v="1250"/>
    <n v="590054"/>
    <s v="16-Feb-26"/>
    <n v="1000"/>
    <n v="1475"/>
    <n v="225"/>
    <n v="113521"/>
    <s v="16-Feb-26"/>
    <n v="250"/>
    <m/>
    <m/>
    <s v="T26BS6"/>
    <s v="CVD"/>
    <s v="F"/>
  </r>
  <r>
    <n v="1562"/>
    <s v="NORTH"/>
    <s v="UTTAR PRADESH"/>
    <n v="7134"/>
    <s v="M/S GOENKA AUTO PRIVATE LIMITED."/>
    <s v="VARANASI"/>
    <s v="25-Mar-25"/>
    <s v="06-Nov-25"/>
    <n v="887"/>
    <n v="52000"/>
    <n v="3"/>
    <s v="S"/>
    <s v="T-1"/>
    <n v="796300"/>
    <s v="MC1E4CBA4SP085870"/>
    <s v="D71073183"/>
    <s v="001"/>
    <s v="SERV KMS  / HRS EXCEEDS"/>
    <x v="11"/>
    <s v="30-Nov-25"/>
    <x v="9"/>
    <n v="1250"/>
    <n v="590054"/>
    <s v="16-Feb-26"/>
    <n v="1000"/>
    <n v="1475"/>
    <n v="225"/>
    <n v="113521"/>
    <s v="16-Feb-26"/>
    <n v="250"/>
    <m/>
    <m/>
    <s v="T1BS6N"/>
    <s v="CVD"/>
    <s v="F"/>
  </r>
  <r>
    <n v="1563"/>
    <s v="NORTH"/>
    <s v="UTTAR PRADESH"/>
    <n v="7134"/>
    <s v="M/S GOENKA AUTO PRIVATE LIMITED."/>
    <s v="VARANASI"/>
    <s v="29-Mar-25"/>
    <s v="24-Nov-25"/>
    <n v="1165"/>
    <n v="40000"/>
    <n v="4"/>
    <s v="S"/>
    <s v="TRAX"/>
    <n v="327424"/>
    <s v="MC1D4DCA3SP107776"/>
    <s v="D72019387"/>
    <m/>
    <m/>
    <x v="11"/>
    <s v="30-Nov-25"/>
    <x v="9"/>
    <n v="0"/>
    <n v="590054"/>
    <s v="16-Feb-26"/>
    <n v="0"/>
    <n v="0"/>
    <n v="0"/>
    <n v="113521"/>
    <s v="16-Feb-26"/>
    <n v="0"/>
    <m/>
    <m/>
    <s v="TRXBS6"/>
    <s v="CVD"/>
    <s v="P"/>
  </r>
  <r>
    <n v="1564"/>
    <s v="NORTH"/>
    <s v="UTTAR PRADESH"/>
    <n v="7134"/>
    <s v="M/S GOENKA AUTO PRIVATE LIMITED."/>
    <s v="VARANASI"/>
    <s v="22-Mar-25"/>
    <s v="04-Nov-25"/>
    <n v="1165"/>
    <n v="40000"/>
    <n v="4"/>
    <s v="S"/>
    <s v="T26"/>
    <n v="789361"/>
    <s v="MC1E4FCA3SP023022"/>
    <s v="D71075605"/>
    <s v="022"/>
    <s v="SERVICE COUPON HARD COPY NOT RECEIVED"/>
    <x v="11"/>
    <s v="30-Nov-25"/>
    <x v="9"/>
    <n v="0"/>
    <n v="590054"/>
    <s v="16-Feb-26"/>
    <n v="0"/>
    <n v="0"/>
    <n v="0"/>
    <n v="113521"/>
    <s v="16-Feb-26"/>
    <n v="0"/>
    <m/>
    <m/>
    <s v="T26BS6"/>
    <s v="CVD"/>
    <s v="P"/>
  </r>
  <r>
    <n v="1565"/>
    <s v="NORTH"/>
    <s v="UTTAR PRADESH"/>
    <n v="7134"/>
    <s v="M/S GOENKA AUTO PRIVATE LIMITED."/>
    <s v="VARANASI"/>
    <s v="17-Apr-25"/>
    <s v="17-Nov-25"/>
    <n v="1165"/>
    <n v="30241"/>
    <n v="3"/>
    <s v="S"/>
    <s v="T26"/>
    <n v="794423"/>
    <s v="MC1E4FCA0SP023169"/>
    <s v="D71076683"/>
    <s v="002"/>
    <s v="SERV DATE EXCEEDS"/>
    <x v="11"/>
    <s v="30-Nov-25"/>
    <x v="9"/>
    <n v="1250"/>
    <n v="590054"/>
    <s v="16-Feb-26"/>
    <n v="1000"/>
    <n v="1475"/>
    <n v="225"/>
    <n v="113521"/>
    <s v="16-Feb-26"/>
    <n v="250"/>
    <m/>
    <m/>
    <s v="T26BS6"/>
    <s v="CVD"/>
    <s v="F"/>
  </r>
  <r>
    <n v="1566"/>
    <s v="NORTH"/>
    <s v="UTTAR PRADESH"/>
    <n v="7134"/>
    <s v="M/S GOENKA AUTO PRIVATE LIMITED."/>
    <s v="VARANASI"/>
    <s v="17-Feb-25"/>
    <s v="25-Nov-25"/>
    <n v="1165"/>
    <n v="21678"/>
    <n v="5"/>
    <s v="S"/>
    <s v="T26"/>
    <n v="789054"/>
    <s v="MC1E4FAA1SP022096"/>
    <s v="D71067736"/>
    <m/>
    <m/>
    <x v="11"/>
    <s v="30-Nov-25"/>
    <x v="9"/>
    <n v="1250"/>
    <n v="590054"/>
    <s v="16-Feb-26"/>
    <n v="1250"/>
    <n v="1475"/>
    <n v="225"/>
    <n v="113521"/>
    <s v="16-Feb-26"/>
    <n v="0"/>
    <m/>
    <m/>
    <s v="T26BS6"/>
    <s v="CVD"/>
    <s v="F"/>
  </r>
  <r>
    <n v="1567"/>
    <s v="NORTH"/>
    <s v="UTTAR PRADESH"/>
    <n v="7134"/>
    <s v="M/S GOENKA AUTO PRIVATE LIMITED."/>
    <s v="VARANASI"/>
    <s v="30-Dec-23"/>
    <s v="24-Nov-25"/>
    <n v="986"/>
    <n v="58353"/>
    <n v="12"/>
    <s v="S"/>
    <s v="T-1"/>
    <n v="762377"/>
    <s v="MC1E4DMA8RP049774"/>
    <s v="D71043394"/>
    <m/>
    <m/>
    <x v="11"/>
    <s v="30-Nov-25"/>
    <x v="9"/>
    <n v="0"/>
    <n v="590054"/>
    <s v="16-Feb-26"/>
    <n v="0"/>
    <n v="0"/>
    <n v="0"/>
    <n v="113521"/>
    <s v="16-Feb-26"/>
    <n v="0"/>
    <m/>
    <m/>
    <s v="T1BS6"/>
    <s v="CVD"/>
    <s v="P"/>
  </r>
  <r>
    <n v="1568"/>
    <s v="NORTH"/>
    <s v="UTTAR PRADESH"/>
    <n v="7134"/>
    <s v="M/S GOENKA AUTO PRIVATE LIMITED."/>
    <s v="VARANASI"/>
    <s v="11-Jun-24"/>
    <s v="16-Nov-25"/>
    <n v="1165"/>
    <n v="10350"/>
    <n v="5"/>
    <s v="S"/>
    <s v="T3"/>
    <n v="767809"/>
    <s v="MC1L4ADA7RP001494"/>
    <s v="D71053272"/>
    <m/>
    <m/>
    <x v="11"/>
    <s v="30-Nov-25"/>
    <x v="9"/>
    <n v="1250"/>
    <n v="590054"/>
    <s v="16-Feb-26"/>
    <n v="1250"/>
    <n v="1475"/>
    <n v="225"/>
    <n v="113521"/>
    <s v="16-Feb-26"/>
    <n v="0"/>
    <m/>
    <m/>
    <s v="T3MONBS6"/>
    <s v="CVD"/>
    <s v="F"/>
  </r>
  <r>
    <n v="1569"/>
    <s v="NORTH"/>
    <s v="UTTAR PRADESH"/>
    <n v="7134"/>
    <s v="M/S GOENKA AUTO PRIVATE LIMITED."/>
    <s v="VARANASI"/>
    <s v="24-Apr-25"/>
    <s v="10-Nov-25"/>
    <n v="1150"/>
    <n v="17073"/>
    <n v="4"/>
    <s v="S"/>
    <s v="T-1"/>
    <n v="778136"/>
    <s v="MC1E5EBA9SP003267"/>
    <s v="D73001779"/>
    <m/>
    <m/>
    <x v="11"/>
    <s v="30-Nov-25"/>
    <x v="9"/>
    <n v="0"/>
    <n v="590054"/>
    <s v="16-Feb-26"/>
    <n v="0"/>
    <n v="0"/>
    <n v="0"/>
    <n v="113521"/>
    <s v="16-Feb-26"/>
    <n v="0"/>
    <m/>
    <m/>
    <s v="T1CNGL"/>
    <s v="CVD"/>
    <s v="P"/>
  </r>
  <r>
    <n v="1570"/>
    <s v="NORTH"/>
    <s v="UTTAR PRADESH"/>
    <n v="7134"/>
    <s v="M/S GOENKA AUTO PRIVATE LIMITED."/>
    <s v="VARANASI"/>
    <s v="04-Sep-24"/>
    <s v="10-Nov-25"/>
    <n v="1165"/>
    <n v="20329"/>
    <n v="7"/>
    <s v="S"/>
    <s v="TRAX"/>
    <n v="324906"/>
    <s v="MC1D4DHA8SP105336"/>
    <s v="D72016762"/>
    <m/>
    <m/>
    <x v="11"/>
    <s v="30-Nov-25"/>
    <x v="9"/>
    <n v="0"/>
    <n v="590054"/>
    <s v="16-Feb-26"/>
    <n v="0"/>
    <n v="0"/>
    <n v="0"/>
    <n v="113521"/>
    <s v="16-Feb-26"/>
    <n v="0"/>
    <m/>
    <m/>
    <s v="TRXBS6"/>
    <s v="CVD"/>
    <s v="P"/>
  </r>
  <r>
    <n v="1571"/>
    <s v="NORTH"/>
    <s v="UTTAR PRADESH"/>
    <n v="7134"/>
    <s v="M/S GOENKA AUTO PRIVATE LIMITED."/>
    <s v="VARANASI"/>
    <s v="29-Mar-25"/>
    <s v="17-Nov-25"/>
    <n v="1165"/>
    <n v="39500"/>
    <n v="3"/>
    <s v="S"/>
    <s v="T3"/>
    <n v="788228"/>
    <s v="MC1L4BGA5SP000738"/>
    <s v="D71058742"/>
    <m/>
    <m/>
    <x v="11"/>
    <s v="30-Nov-25"/>
    <x v="9"/>
    <n v="1250"/>
    <n v="590054"/>
    <s v="16-Feb-26"/>
    <n v="1250"/>
    <n v="1475"/>
    <n v="225"/>
    <n v="113521"/>
    <s v="16-Feb-26"/>
    <n v="0"/>
    <m/>
    <m/>
    <s v="T3MONBS6"/>
    <s v="CVD"/>
    <s v="F"/>
  </r>
  <r>
    <n v="1572"/>
    <s v="NORTH"/>
    <s v="UTTAR PRADESH"/>
    <n v="7134"/>
    <s v="M/S GOENKA AUTO PRIVATE LIMITED."/>
    <s v="VARANASI"/>
    <s v="12-Feb-24"/>
    <s v="17-Nov-25"/>
    <n v="1165"/>
    <n v="90975"/>
    <n v="11"/>
    <s v="S"/>
    <s v="T26"/>
    <n v="767302"/>
    <s v="MC1E4FAA2RP019007"/>
    <s v="D71045082"/>
    <m/>
    <m/>
    <x v="11"/>
    <s v="30-Nov-25"/>
    <x v="9"/>
    <n v="1250"/>
    <n v="590054"/>
    <s v="16-Feb-26"/>
    <n v="1250"/>
    <n v="1475"/>
    <n v="225"/>
    <n v="113521"/>
    <s v="16-Feb-26"/>
    <n v="0"/>
    <m/>
    <m/>
    <s v="T26BS6"/>
    <s v="CVD"/>
    <s v="F"/>
  </r>
  <r>
    <n v="1573"/>
    <s v="NORTH"/>
    <s v="UTTAR PRADESH"/>
    <n v="7134"/>
    <s v="M/S GOENKA AUTO PRIVATE LIMITED."/>
    <s v="VARANASI"/>
    <s v="26-Mar-25"/>
    <s v="16-Nov-25"/>
    <n v="1165"/>
    <n v="16582"/>
    <n v="3"/>
    <s v="S"/>
    <s v="T1N"/>
    <n v="91005790"/>
    <s v="MC1M4ABA8SP003414"/>
    <s v="D71072338"/>
    <m/>
    <m/>
    <x v="11"/>
    <s v="30-Nov-25"/>
    <x v="9"/>
    <n v="1650"/>
    <n v="590054"/>
    <s v="16-Feb-26"/>
    <n v="1650"/>
    <n v="1947"/>
    <n v="297"/>
    <n v="113521"/>
    <s v="16-Feb-26"/>
    <n v="0"/>
    <m/>
    <m/>
    <s v="URBN"/>
    <s v="CVD"/>
    <s v="F"/>
  </r>
  <r>
    <n v="1574"/>
    <s v="NORTH"/>
    <s v="UTTAR PRADESH"/>
    <n v="7134"/>
    <s v="M/S GOENKA AUTO PRIVATE LIMITED."/>
    <s v="VARANASI"/>
    <s v="29-Apr-25"/>
    <s v="12-Nov-25"/>
    <n v="950"/>
    <n v="50000"/>
    <n v="3"/>
    <s v="S"/>
    <s v="T-1"/>
    <n v="795169"/>
    <s v="MC1E4CAA9SP083484"/>
    <s v="D71069434"/>
    <m/>
    <m/>
    <x v="11"/>
    <s v="30-Nov-25"/>
    <x v="9"/>
    <n v="1250"/>
    <n v="590054"/>
    <s v="16-Feb-26"/>
    <n v="1250"/>
    <n v="1475"/>
    <n v="225"/>
    <n v="113521"/>
    <s v="16-Feb-26"/>
    <n v="0"/>
    <m/>
    <m/>
    <s v="T1BS6N"/>
    <s v="CVD"/>
    <s v="F"/>
  </r>
  <r>
    <n v="1575"/>
    <s v="NORTH"/>
    <s v="UTTAR PRADESH"/>
    <n v="7134"/>
    <s v="M/S GOENKA AUTO PRIVATE LIMITED."/>
    <s v="VARANASI"/>
    <s v="18-Mar-25"/>
    <s v="01-Dec-25"/>
    <n v="1165"/>
    <n v="18762"/>
    <n v="5"/>
    <s v="S"/>
    <s v="T26"/>
    <n v="789530"/>
    <s v="MC1E4FBA3SP022860"/>
    <s v="D71074009"/>
    <m/>
    <m/>
    <x v="12"/>
    <s v="31-Dec-25"/>
    <x v="10"/>
    <n v="1250"/>
    <n v="0"/>
    <m/>
    <n v="1250"/>
    <n v="1475"/>
    <n v="225"/>
    <n v="0"/>
    <m/>
    <n v="0"/>
    <m/>
    <m/>
    <s v="T26BS6"/>
    <s v="CVD"/>
    <s v="F"/>
  </r>
  <r>
    <n v="1576"/>
    <s v="NORTH"/>
    <s v="UTTAR PRADESH"/>
    <n v="7134"/>
    <s v="M/S GOENKA AUTO PRIVATE LIMITED."/>
    <s v="VARANASI"/>
    <s v="30-Mar-25"/>
    <s v="28-Nov-25"/>
    <n v="1165"/>
    <n v="20000"/>
    <n v="3"/>
    <s v="S"/>
    <s v="T26"/>
    <n v="789023"/>
    <s v="MC1E4FCA2SP023089"/>
    <s v="D71076495"/>
    <s v="002"/>
    <s v="SERV DATE EXCEEDS"/>
    <x v="12"/>
    <s v="31-Dec-25"/>
    <x v="10"/>
    <n v="1250"/>
    <n v="0"/>
    <m/>
    <n v="1000"/>
    <n v="1475"/>
    <n v="225"/>
    <n v="0"/>
    <m/>
    <n v="250"/>
    <m/>
    <m/>
    <s v="T26BS6"/>
    <s v="CVD"/>
    <s v="F"/>
  </r>
  <r>
    <n v="1577"/>
    <s v="NORTH"/>
    <s v="UTTAR PRADESH"/>
    <n v="7134"/>
    <s v="M/S GOENKA AUTO PRIVATE LIMITED."/>
    <s v="VARANASI"/>
    <s v="16-May-24"/>
    <s v="26-Dec-25"/>
    <n v="1165"/>
    <n v="44533"/>
    <n v="10"/>
    <s v="S"/>
    <s v="T-1"/>
    <n v="773117"/>
    <s v="MC1E4DDA5RP052082"/>
    <s v="D71052040"/>
    <m/>
    <m/>
    <x v="12"/>
    <s v="31-Dec-25"/>
    <x v="10"/>
    <n v="0"/>
    <n v="0"/>
    <m/>
    <n v="0"/>
    <n v="0"/>
    <n v="0"/>
    <n v="0"/>
    <m/>
    <n v="0"/>
    <m/>
    <m/>
    <s v="T1BS6"/>
    <s v="CVD"/>
    <s v="P"/>
  </r>
  <r>
    <n v="1578"/>
    <s v="NORTH"/>
    <s v="UTTAR PRADESH"/>
    <n v="7134"/>
    <s v="M/S GOENKA AUTO PRIVATE LIMITED."/>
    <s v="VARANASI"/>
    <s v="23-Mar-25"/>
    <s v="02-Dec-25"/>
    <n v="865"/>
    <n v="50000"/>
    <n v="3"/>
    <s v="S"/>
    <s v="T-1"/>
    <n v="796163"/>
    <s v="MC1E4CAAXSP083882"/>
    <s v="D71069921"/>
    <m/>
    <m/>
    <x v="12"/>
    <s v="31-Dec-25"/>
    <x v="10"/>
    <n v="1250"/>
    <n v="0"/>
    <m/>
    <n v="1250"/>
    <n v="1475"/>
    <n v="225"/>
    <n v="0"/>
    <m/>
    <n v="0"/>
    <m/>
    <m/>
    <s v="T1BS6N"/>
    <s v="CVD"/>
    <s v="F"/>
  </r>
  <r>
    <n v="1579"/>
    <s v="NORTH"/>
    <s v="UTTAR PRADESH"/>
    <n v="7134"/>
    <s v="M/S GOENKA AUTO PRIVATE LIMITED."/>
    <s v="VARANASI"/>
    <s v="29-Sep-25"/>
    <s v="04-Dec-25"/>
    <n v="660"/>
    <n v="10700"/>
    <n v="1"/>
    <s v="S"/>
    <s v="T1N"/>
    <n v="9016"/>
    <s v="MC1M4AJA8TP006235"/>
    <s v="D71090797"/>
    <s v="001"/>
    <s v="SERV KMS  / HRS EXCEEDS"/>
    <x v="12"/>
    <s v="31-Dec-25"/>
    <x v="10"/>
    <n v="1650"/>
    <n v="0"/>
    <m/>
    <n v="1320"/>
    <n v="1947"/>
    <n v="297"/>
    <n v="0"/>
    <m/>
    <n v="330"/>
    <m/>
    <m/>
    <s v="URBN"/>
    <s v="CVD"/>
    <s v="F"/>
  </r>
  <r>
    <n v="1580"/>
    <s v="NORTH"/>
    <s v="UTTAR PRADESH"/>
    <n v="7134"/>
    <s v="M/S GOENKA AUTO PRIVATE LIMITED."/>
    <s v="VARANASI"/>
    <s v="26-Mar-25"/>
    <s v="26-Dec-25"/>
    <n v="892"/>
    <n v="50000"/>
    <n v="3"/>
    <s v="S"/>
    <s v="T-1"/>
    <n v="797627"/>
    <s v="MC1E4CAA1SP084628"/>
    <s v="D71070998"/>
    <m/>
    <m/>
    <x v="12"/>
    <s v="31-Dec-25"/>
    <x v="10"/>
    <n v="1250"/>
    <n v="0"/>
    <m/>
    <n v="1250"/>
    <n v="1475"/>
    <n v="225"/>
    <n v="0"/>
    <m/>
    <n v="0"/>
    <m/>
    <m/>
    <s v="T1BS6N"/>
    <s v="CVD"/>
    <s v="F"/>
  </r>
  <r>
    <n v="1581"/>
    <s v="NORTH"/>
    <s v="UTTAR PRADESH"/>
    <n v="7134"/>
    <s v="M/S GOENKA AUTO PRIVATE LIMITED."/>
    <s v="VARANASI"/>
    <s v="29-Mar-25"/>
    <s v="24-Dec-25"/>
    <n v="1150"/>
    <n v="20688"/>
    <n v="5"/>
    <s v="S"/>
    <s v="T-1"/>
    <n v="778219"/>
    <s v="MC1E5EBA8SP003275"/>
    <s v="D73001696"/>
    <m/>
    <m/>
    <x v="12"/>
    <s v="31-Dec-25"/>
    <x v="10"/>
    <n v="1250"/>
    <n v="0"/>
    <m/>
    <n v="1250"/>
    <n v="1475"/>
    <n v="225"/>
    <n v="0"/>
    <m/>
    <n v="0"/>
    <m/>
    <m/>
    <s v="T1CNGL"/>
    <s v="CVD"/>
    <s v="F"/>
  </r>
  <r>
    <n v="1582"/>
    <s v="NORTH"/>
    <s v="UTTAR PRADESH"/>
    <n v="7134"/>
    <s v="M/S GOENKA AUTO PRIVATE LIMITED."/>
    <s v="VARANASI"/>
    <s v="14-Nov-25"/>
    <s v="07-Dec-25"/>
    <n v="1200"/>
    <n v="11508"/>
    <n v="1"/>
    <s v="S"/>
    <s v="T1N"/>
    <n v="10269"/>
    <s v="MC1M4AKA8TP006993"/>
    <s v="D71092657"/>
    <s v="001"/>
    <s v="SERV KMS  / HRS EXCEEDS"/>
    <x v="12"/>
    <s v="31-Dec-25"/>
    <x v="10"/>
    <n v="1650"/>
    <n v="0"/>
    <m/>
    <n v="1320"/>
    <n v="1947"/>
    <n v="297"/>
    <n v="0"/>
    <m/>
    <n v="330"/>
    <m/>
    <m/>
    <s v="URBN"/>
    <s v="CVD"/>
    <s v="F"/>
  </r>
  <r>
    <n v="1583"/>
    <s v="NORTH"/>
    <s v="UTTAR PRADESH"/>
    <n v="7134"/>
    <s v="M/S GOENKA AUTO PRIVATE LIMITED."/>
    <s v="VARANASI"/>
    <s v="15-Jul-25"/>
    <s v="02-Dec-25"/>
    <n v="1165"/>
    <n v="8983"/>
    <n v="1"/>
    <s v="S"/>
    <s v="T26"/>
    <n v="784965"/>
    <s v="MC1E4FDA3SP023293"/>
    <s v="D71077455"/>
    <s v="002"/>
    <s v="SERV DATE EXCEEDS"/>
    <x v="12"/>
    <s v="31-Dec-25"/>
    <x v="10"/>
    <n v="1250"/>
    <n v="0"/>
    <m/>
    <n v="1000"/>
    <n v="1475"/>
    <n v="225"/>
    <n v="0"/>
    <m/>
    <n v="250"/>
    <m/>
    <m/>
    <s v="T26BS6N"/>
    <s v="CVD"/>
    <s v="F"/>
  </r>
  <r>
    <n v="1584"/>
    <s v="NORTH"/>
    <s v="UTTAR PRADESH"/>
    <n v="7134"/>
    <s v="M/S GOENKA AUTO PRIVATE LIMITED."/>
    <s v="VARANASI"/>
    <s v="14-Aug-25"/>
    <s v="11-Dec-25"/>
    <n v="1165"/>
    <n v="7885"/>
    <n v="1"/>
    <s v="S"/>
    <s v="T-1"/>
    <n v="803982"/>
    <s v="MC1E4DGA4TP058152"/>
    <s v="D71084760"/>
    <m/>
    <m/>
    <x v="12"/>
    <s v="31-Dec-25"/>
    <x v="10"/>
    <n v="1250"/>
    <n v="0"/>
    <m/>
    <n v="1250"/>
    <n v="1475"/>
    <n v="225"/>
    <n v="0"/>
    <m/>
    <n v="0"/>
    <m/>
    <m/>
    <s v="T1BS6N"/>
    <s v="CVD"/>
    <s v="F"/>
  </r>
  <r>
    <n v="1585"/>
    <s v="NORTH"/>
    <s v="UTTAR PRADESH"/>
    <n v="7134"/>
    <s v="M/S GOENKA AUTO PRIVATE LIMITED."/>
    <s v="VARANASI"/>
    <s v="30-Jul-24"/>
    <s v="07-Dec-25"/>
    <n v="1165"/>
    <n v="67149"/>
    <n v="4"/>
    <s v="S"/>
    <s v="T-1"/>
    <n v="781804"/>
    <s v="MC1E4DGA6SP053629"/>
    <s v="D71058038"/>
    <m/>
    <m/>
    <x v="12"/>
    <s v="31-Dec-25"/>
    <x v="10"/>
    <n v="1250"/>
    <n v="0"/>
    <m/>
    <n v="1250"/>
    <n v="1475"/>
    <n v="225"/>
    <n v="0"/>
    <m/>
    <n v="0"/>
    <m/>
    <m/>
    <s v="T1BS6N"/>
    <s v="CVD"/>
    <s v="F"/>
  </r>
  <r>
    <n v="1586"/>
    <s v="NORTH"/>
    <s v="UTTAR PRADESH"/>
    <n v="7134"/>
    <s v="M/S GOENKA AUTO PRIVATE LIMITED."/>
    <s v="VARANASI"/>
    <s v="18-Feb-25"/>
    <s v="22-Dec-25"/>
    <n v="1165"/>
    <n v="46674"/>
    <n v="5"/>
    <s v="S"/>
    <s v="T1N"/>
    <n v="6116"/>
    <s v="MC1M4ALA3SP002959"/>
    <s v="D71066712"/>
    <m/>
    <m/>
    <x v="12"/>
    <s v="31-Dec-25"/>
    <x v="10"/>
    <n v="1650"/>
    <n v="0"/>
    <m/>
    <n v="1650"/>
    <n v="1947"/>
    <n v="297"/>
    <n v="0"/>
    <m/>
    <n v="0"/>
    <m/>
    <m/>
    <s v="URBN"/>
    <s v="CVD"/>
    <s v="F"/>
  </r>
  <r>
    <n v="1587"/>
    <s v="NORTH"/>
    <s v="UTTAR PRADESH"/>
    <n v="7134"/>
    <s v="M/S GOENKA AUTO PRIVATE LIMITED."/>
    <s v="VARANASI"/>
    <s v="25-Mar-25"/>
    <s v="18-Dec-25"/>
    <n v="872"/>
    <n v="51000"/>
    <n v="3"/>
    <s v="S"/>
    <s v="T-1"/>
    <n v="798610"/>
    <s v="MC1E4CAAXSP084045"/>
    <s v="D71070266"/>
    <s v="001"/>
    <s v="SERV KMS  / HRS EXCEEDS"/>
    <x v="12"/>
    <s v="31-Dec-25"/>
    <x v="10"/>
    <n v="1250"/>
    <n v="0"/>
    <m/>
    <n v="1000"/>
    <n v="1475"/>
    <n v="225"/>
    <n v="0"/>
    <m/>
    <n v="250"/>
    <m/>
    <m/>
    <s v="T1BS6N"/>
    <s v="CVD"/>
    <s v="F"/>
  </r>
  <r>
    <n v="1588"/>
    <s v="NORTH"/>
    <s v="UTTAR PRADESH"/>
    <n v="7134"/>
    <s v="M/S GOENKA AUTO PRIVATE LIMITED."/>
    <s v="VARANASI"/>
    <s v="17-Aug-24"/>
    <s v="31-Dec-25"/>
    <n v="1165"/>
    <n v="60000"/>
    <n v="9"/>
    <s v="S"/>
    <s v="T-1"/>
    <n v="785110"/>
    <s v="MC1E4EGAXSP013446"/>
    <s v="D71058090"/>
    <m/>
    <m/>
    <x v="12"/>
    <s v="31-Dec-25"/>
    <x v="10"/>
    <n v="0"/>
    <n v="0"/>
    <m/>
    <n v="0"/>
    <n v="0"/>
    <n v="0"/>
    <n v="0"/>
    <m/>
    <n v="0"/>
    <m/>
    <m/>
    <s v="T1BS6"/>
    <s v="CVD"/>
    <s v="P"/>
  </r>
  <r>
    <n v="1589"/>
    <s v="NORTH"/>
    <s v="UTTAR PRADESH"/>
    <n v="7134"/>
    <s v="M/S GOENKA AUTO PRIVATE LIMITED."/>
    <s v="VARANASI"/>
    <s v="18-Nov-24"/>
    <s v="18-Dec-25"/>
    <n v="1165"/>
    <n v="60000"/>
    <n v="6"/>
    <s v="S"/>
    <s v="T26"/>
    <n v="789619"/>
    <s v="MC1E4FJA2SP021586"/>
    <s v="D71062197"/>
    <s v="002"/>
    <s v="SERV DATE EXCEEDS"/>
    <x v="12"/>
    <s v="31-Dec-25"/>
    <x v="10"/>
    <n v="0"/>
    <n v="0"/>
    <m/>
    <n v="0"/>
    <n v="0"/>
    <n v="0"/>
    <n v="0"/>
    <m/>
    <n v="0"/>
    <m/>
    <m/>
    <s v="T26BS6"/>
    <s v="CVD"/>
    <s v="P"/>
  </r>
  <r>
    <n v="1590"/>
    <s v="NORTH"/>
    <s v="UTTAR PRADESH"/>
    <n v="7134"/>
    <s v="M/S GOENKA AUTO PRIVATE LIMITED."/>
    <s v="VARANASI"/>
    <s v="15-Oct-24"/>
    <s v="02-Dec-25"/>
    <n v="1165"/>
    <n v="28856"/>
    <n v="7"/>
    <s v="S"/>
    <s v="TRAX"/>
    <n v="324388"/>
    <s v="MC1D4DJA1SP105494"/>
    <s v="D72016942"/>
    <m/>
    <m/>
    <x v="12"/>
    <s v="31-Dec-25"/>
    <x v="10"/>
    <n v="0"/>
    <n v="0"/>
    <m/>
    <n v="0"/>
    <n v="0"/>
    <n v="0"/>
    <n v="0"/>
    <m/>
    <n v="0"/>
    <m/>
    <m/>
    <s v="TRXBS6"/>
    <s v="CVD"/>
    <s v="P"/>
  </r>
  <r>
    <n v="1591"/>
    <s v="NORTH"/>
    <s v="UTTAR PRADESH"/>
    <n v="7134"/>
    <s v="M/S GOENKA AUTO PRIVATE LIMITED."/>
    <s v="VARANASI"/>
    <s v="20-Dec-24"/>
    <s v="23-Dec-25"/>
    <n v="1165"/>
    <n v="22201"/>
    <n v="6"/>
    <s v="S"/>
    <s v="T26"/>
    <n v="789120"/>
    <s v="MC1E4FLA8SP021783"/>
    <s v="D71065448"/>
    <m/>
    <m/>
    <x v="12"/>
    <s v="31-Dec-25"/>
    <x v="10"/>
    <n v="0"/>
    <n v="0"/>
    <m/>
    <n v="0"/>
    <n v="0"/>
    <n v="0"/>
    <n v="0"/>
    <m/>
    <n v="0"/>
    <m/>
    <m/>
    <s v="T26BS6"/>
    <s v="CVD"/>
    <s v="P"/>
  </r>
  <r>
    <n v="1592"/>
    <s v="NORTH"/>
    <s v="UTTAR PRADESH"/>
    <n v="7134"/>
    <s v="M/S GOENKA AUTO PRIVATE LIMITED."/>
    <s v="VARANASI"/>
    <s v="30-Jun-25"/>
    <s v="07-Dec-25"/>
    <n v="1165"/>
    <n v="7991"/>
    <n v="3"/>
    <s v="S"/>
    <s v="T-1"/>
    <n v="778956"/>
    <s v="MC1E5CEA6SP000178"/>
    <s v="D73002059"/>
    <m/>
    <m/>
    <x v="12"/>
    <s v="31-Dec-25"/>
    <x v="10"/>
    <n v="1250"/>
    <n v="0"/>
    <m/>
    <n v="1250"/>
    <n v="1475"/>
    <n v="225"/>
    <n v="0"/>
    <m/>
    <n v="0"/>
    <m/>
    <m/>
    <s v="T1CNGL"/>
    <s v="CVD"/>
    <s v="F"/>
  </r>
  <r>
    <n v="1593"/>
    <s v="NORTH"/>
    <s v="UTTAR PRADESH"/>
    <n v="7134"/>
    <s v="M/S GOENKA AUTO PRIVATE LIMITED."/>
    <s v="VARANASI"/>
    <s v="29-Mar-25"/>
    <s v="21-Dec-25"/>
    <n v="1165"/>
    <n v="11260"/>
    <n v="4"/>
    <s v="S"/>
    <s v="T26"/>
    <n v="789025"/>
    <s v="MC1E4FCA8SP023176"/>
    <s v="D71076538"/>
    <s v="002"/>
    <s v="SERV DATE EXCEEDS"/>
    <x v="12"/>
    <s v="31-Dec-25"/>
    <x v="10"/>
    <n v="0"/>
    <n v="0"/>
    <m/>
    <n v="0"/>
    <n v="0"/>
    <n v="0"/>
    <n v="0"/>
    <m/>
    <n v="0"/>
    <m/>
    <m/>
    <s v="T26BS6"/>
    <s v="CVD"/>
    <s v="P"/>
  </r>
  <r>
    <n v="1594"/>
    <s v="NORTH"/>
    <s v="UTTAR PRADESH"/>
    <n v="7134"/>
    <s v="M/S GOENKA AUTO PRIVATE LIMITED."/>
    <s v="VARANASI"/>
    <s v="15-Oct-24"/>
    <s v="25-Dec-25"/>
    <n v="1165"/>
    <n v="45600"/>
    <n v="5"/>
    <s v="S"/>
    <s v="T1N"/>
    <n v="5320"/>
    <s v="MC1M4AJA3SP002284"/>
    <s v="D71061468"/>
    <m/>
    <m/>
    <x v="12"/>
    <s v="31-Dec-25"/>
    <x v="10"/>
    <n v="1650"/>
    <n v="0"/>
    <m/>
    <n v="1650"/>
    <n v="1947"/>
    <n v="297"/>
    <n v="0"/>
    <m/>
    <n v="0"/>
    <m/>
    <m/>
    <s v="URBN"/>
    <s v="CVD"/>
    <s v="F"/>
  </r>
  <r>
    <n v="1595"/>
    <s v="NORTH"/>
    <s v="UTTAR PRADESH"/>
    <n v="7134"/>
    <s v="M/S GOENKA AUTO PRIVATE LIMITED."/>
    <s v="VARANASI"/>
    <s v="18-Aug-25"/>
    <s v="07-Dec-25"/>
    <n v="1165"/>
    <n v="5310"/>
    <n v="1"/>
    <s v="S"/>
    <s v="T-1"/>
    <n v="803927"/>
    <s v="MC1E4DGA5TP058208"/>
    <s v="D71086083"/>
    <m/>
    <m/>
    <x v="12"/>
    <s v="31-Dec-25"/>
    <x v="10"/>
    <n v="1250"/>
    <n v="0"/>
    <m/>
    <n v="1250"/>
    <n v="1475"/>
    <n v="225"/>
    <n v="0"/>
    <m/>
    <n v="0"/>
    <m/>
    <m/>
    <s v="T1BS6N"/>
    <s v="CVD"/>
    <s v="F"/>
  </r>
  <r>
    <n v="1596"/>
    <s v="NORTH"/>
    <s v="UTTAR PRADESH"/>
    <n v="7134"/>
    <s v="M/S GOENKA AUTO PRIVATE LIMITED."/>
    <s v="VARANASI"/>
    <s v="24-Mar-25"/>
    <s v="30-Dec-25"/>
    <n v="856"/>
    <n v="70000"/>
    <n v="4"/>
    <s v="S"/>
    <s v="T-1"/>
    <n v="796597"/>
    <s v="MC1E4CAA0SP084412"/>
    <s v="D71069289"/>
    <m/>
    <m/>
    <x v="12"/>
    <s v="31-Dec-25"/>
    <x v="10"/>
    <n v="1250"/>
    <n v="0"/>
    <m/>
    <n v="1250"/>
    <n v="1475"/>
    <n v="225"/>
    <n v="0"/>
    <m/>
    <n v="0"/>
    <m/>
    <m/>
    <s v="T1BS6N"/>
    <s v="CVD"/>
    <s v="F"/>
  </r>
  <r>
    <n v="1597"/>
    <s v="NORTH"/>
    <s v="UTTAR PRADESH"/>
    <n v="7134"/>
    <s v="M/S GOENKA AUTO PRIVATE LIMITED."/>
    <s v="VARANASI"/>
    <s v="11-Jun-24"/>
    <s v="31-Dec-25"/>
    <n v="890"/>
    <n v="77200"/>
    <n v="10"/>
    <s v="S"/>
    <s v="T-1"/>
    <n v="775977"/>
    <s v="MC1E4EDA7RP012835"/>
    <s v="D71053741"/>
    <m/>
    <m/>
    <x v="12"/>
    <s v="31-Dec-25"/>
    <x v="10"/>
    <n v="0"/>
    <n v="0"/>
    <m/>
    <n v="0"/>
    <n v="0"/>
    <n v="0"/>
    <n v="0"/>
    <m/>
    <n v="0"/>
    <m/>
    <m/>
    <s v="T1BS6"/>
    <s v="CVD"/>
    <s v="P"/>
  </r>
  <r>
    <n v="1598"/>
    <s v="NORTH"/>
    <s v="UTTAR PRADESH"/>
    <n v="7134"/>
    <s v="M/S GOENKA AUTO PRIVATE LIMITED."/>
    <s v="VARANASI"/>
    <s v="19-Feb-24"/>
    <s v="22-Dec-25"/>
    <n v="1165"/>
    <n v="109000"/>
    <n v="11"/>
    <s v="S"/>
    <s v="T1N"/>
    <n v="3268"/>
    <s v="MC1M4ABA1RP000994"/>
    <s v="D71047182"/>
    <m/>
    <m/>
    <x v="12"/>
    <s v="31-Dec-25"/>
    <x v="10"/>
    <n v="0"/>
    <n v="0"/>
    <m/>
    <n v="0"/>
    <n v="0"/>
    <n v="0"/>
    <n v="0"/>
    <m/>
    <n v="0"/>
    <m/>
    <m/>
    <s v="URBN"/>
    <s v="CVD"/>
    <s v="P"/>
  </r>
  <r>
    <n v="1599"/>
    <s v="NORTH"/>
    <s v="UTTAR PRADESH"/>
    <n v="7134"/>
    <s v="M/S GOENKA AUTO PRIVATE LIMITED."/>
    <s v="VARANASI"/>
    <s v="31-Dec-24"/>
    <s v="02-Dec-25"/>
    <n v="1150"/>
    <n v="50000"/>
    <n v="5"/>
    <s v="S"/>
    <s v="T1N"/>
    <n v="5709"/>
    <s v="MC1M4ALA5SP002834"/>
    <s v="D71066059"/>
    <m/>
    <m/>
    <x v="12"/>
    <s v="31-Dec-25"/>
    <x v="10"/>
    <n v="1650"/>
    <n v="0"/>
    <m/>
    <n v="1650"/>
    <n v="1947"/>
    <n v="297"/>
    <n v="0"/>
    <m/>
    <n v="0"/>
    <m/>
    <m/>
    <s v="URBN"/>
    <s v="CVD"/>
    <s v="F"/>
  </r>
  <r>
    <n v="1600"/>
    <s v="NORTH"/>
    <s v="UTTAR PRADESH"/>
    <n v="7134"/>
    <s v="M/S GOENKA AUTO PRIVATE LIMITED."/>
    <s v="VARANASI"/>
    <s v="30-Oct-24"/>
    <s v="19-Dec-25"/>
    <n v="1165"/>
    <n v="49934"/>
    <n v="5"/>
    <s v="S"/>
    <s v="T1N"/>
    <n v="4895"/>
    <s v="MC1M4AKA8SP002635"/>
    <s v="D71064370"/>
    <m/>
    <m/>
    <x v="12"/>
    <s v="31-Dec-25"/>
    <x v="10"/>
    <n v="1650"/>
    <n v="0"/>
    <m/>
    <n v="1650"/>
    <n v="1947"/>
    <n v="297"/>
    <n v="0"/>
    <m/>
    <n v="0"/>
    <m/>
    <m/>
    <s v="URBN"/>
    <s v="CVD"/>
    <s v="F"/>
  </r>
  <r>
    <n v="1601"/>
    <s v="NORTH"/>
    <s v="UTTAR PRADESH"/>
    <n v="7134"/>
    <s v="M/S GOENKA AUTO PRIVATE LIMITED."/>
    <s v="VARANASI"/>
    <s v="18-Jul-25"/>
    <s v="29-Dec-25"/>
    <n v="1165"/>
    <n v="6275"/>
    <n v="3"/>
    <s v="S"/>
    <s v="T-1"/>
    <n v="778992"/>
    <s v="MC1E5DDA0SP000653"/>
    <s v="D73001870"/>
    <m/>
    <m/>
    <x v="12"/>
    <s v="31-Dec-25"/>
    <x v="10"/>
    <n v="1250"/>
    <n v="0"/>
    <m/>
    <n v="1250"/>
    <n v="1475"/>
    <n v="225"/>
    <n v="0"/>
    <m/>
    <n v="0"/>
    <m/>
    <m/>
    <s v="T1CNGL"/>
    <s v="CVD"/>
    <s v="F"/>
  </r>
  <r>
    <n v="1602"/>
    <s v="NORTH"/>
    <s v="UTTAR PRADESH"/>
    <n v="7134"/>
    <s v="M/S GOENKA AUTO PRIVATE LIMITED."/>
    <s v="VARANASI"/>
    <s v="14-Jul-25"/>
    <s v="07-Dec-25"/>
    <n v="1165"/>
    <n v="4432"/>
    <n v="3"/>
    <s v="S"/>
    <s v="T-1"/>
    <n v="778917"/>
    <s v="MC1E5CFA1SP000183"/>
    <s v="D73002101"/>
    <m/>
    <m/>
    <x v="12"/>
    <s v="31-Dec-25"/>
    <x v="10"/>
    <n v="1250"/>
    <n v="0"/>
    <m/>
    <n v="1250"/>
    <n v="1475"/>
    <n v="225"/>
    <n v="0"/>
    <m/>
    <n v="0"/>
    <m/>
    <m/>
    <s v="T1CNGL"/>
    <s v="CVD"/>
    <s v="F"/>
  </r>
  <r>
    <n v="1603"/>
    <s v="NORTH"/>
    <s v="UTTAR PRADESH"/>
    <n v="7134"/>
    <s v="M/S GOENKA AUTO PRIVATE LIMITED."/>
    <s v="VARANASI"/>
    <s v="31-Jul-25"/>
    <s v="26-Dec-25"/>
    <n v="1165"/>
    <n v="14643"/>
    <n v="2"/>
    <s v="S"/>
    <s v="T1N"/>
    <n v="8052"/>
    <s v="MC1M4AFA9SP005151"/>
    <s v="D71084126"/>
    <m/>
    <m/>
    <x v="12"/>
    <s v="31-Dec-25"/>
    <x v="10"/>
    <n v="0"/>
    <n v="0"/>
    <m/>
    <n v="0"/>
    <n v="0"/>
    <n v="0"/>
    <n v="0"/>
    <m/>
    <n v="0"/>
    <m/>
    <m/>
    <s v="URBN"/>
    <s v="CVD"/>
    <s v="P"/>
  </r>
  <r>
    <n v="1604"/>
    <s v="NORTH"/>
    <s v="UTTAR PRADESH"/>
    <n v="7134"/>
    <s v="M/S GOENKA AUTO PRIVATE LIMITED."/>
    <s v="VARANASI"/>
    <s v="24-Mar-25"/>
    <s v="23-Dec-25"/>
    <n v="874"/>
    <n v="50000"/>
    <n v="3"/>
    <s v="S"/>
    <s v="T-1"/>
    <n v="795680"/>
    <s v="MC1E4CBAXSP085503"/>
    <s v="D71072602"/>
    <m/>
    <m/>
    <x v="12"/>
    <s v="31-Dec-25"/>
    <x v="10"/>
    <n v="1250"/>
    <n v="0"/>
    <m/>
    <n v="1250"/>
    <n v="1475"/>
    <n v="225"/>
    <n v="0"/>
    <m/>
    <n v="0"/>
    <m/>
    <m/>
    <s v="T1BS6N"/>
    <s v="CVD"/>
    <s v="F"/>
  </r>
  <r>
    <n v="1605"/>
    <s v="NORTH"/>
    <s v="UTTAR PRADESH"/>
    <n v="7134"/>
    <s v="M/S GOENKA AUTO PRIVATE LIMITED."/>
    <s v="VARANASI"/>
    <s v="15-Nov-24"/>
    <s v="17-Dec-25"/>
    <n v="1165"/>
    <n v="70000"/>
    <n v="7"/>
    <s v="S"/>
    <s v="T26"/>
    <n v="789860"/>
    <s v="MC1E4FJA7SP021633"/>
    <s v="D71063051"/>
    <m/>
    <m/>
    <x v="12"/>
    <s v="31-Dec-25"/>
    <x v="10"/>
    <n v="0"/>
    <n v="0"/>
    <m/>
    <n v="0"/>
    <n v="0"/>
    <n v="0"/>
    <n v="0"/>
    <m/>
    <n v="0"/>
    <m/>
    <m/>
    <s v="T26BS6"/>
    <s v="CVD"/>
    <s v="P"/>
  </r>
  <r>
    <n v="1606"/>
    <s v="NORTH"/>
    <s v="UTTAR PRADESH"/>
    <n v="7134"/>
    <s v="M/S GOENKA AUTO PRIVATE LIMITED."/>
    <s v="VARANASI"/>
    <s v="23-May-24"/>
    <s v="31-Dec-25"/>
    <n v="987"/>
    <n v="85908"/>
    <n v="8"/>
    <s v="S"/>
    <s v="T1N"/>
    <n v="3036"/>
    <s v="MC1M4ADA6RP001460"/>
    <s v="D71053484"/>
    <s v="001"/>
    <s v="SERV KMS  / HRS EXCEEDS"/>
    <x v="12"/>
    <s v="31-Dec-25"/>
    <x v="10"/>
    <n v="0"/>
    <n v="0"/>
    <m/>
    <n v="0"/>
    <n v="0"/>
    <n v="0"/>
    <n v="0"/>
    <m/>
    <n v="0"/>
    <m/>
    <m/>
    <s v="URBN"/>
    <s v="CVD"/>
    <s v="P"/>
  </r>
  <r>
    <n v="1607"/>
    <s v="NORTH"/>
    <s v="UTTAR PRADESH"/>
    <n v="7134"/>
    <s v="M/S GOENKA AUTO PRIVATE LIMITED."/>
    <s v="VARANASI"/>
    <s v="26-Aug-25"/>
    <s v="26-Dec-25"/>
    <n v="1165"/>
    <n v="3480"/>
    <n v="1"/>
    <s v="S"/>
    <s v="T-1"/>
    <n v="708070041"/>
    <s v="MC1E4EGAXTP017062"/>
    <s v="D71086073"/>
    <m/>
    <m/>
    <x v="12"/>
    <s v="31-Dec-25"/>
    <x v="10"/>
    <n v="1250"/>
    <n v="0"/>
    <m/>
    <n v="1250"/>
    <n v="1475"/>
    <n v="225"/>
    <n v="0"/>
    <m/>
    <n v="0"/>
    <m/>
    <m/>
    <s v="T1BS6N"/>
    <s v="CVD"/>
    <s v="F"/>
  </r>
  <r>
    <n v="1608"/>
    <s v="NORTH"/>
    <s v="UTTAR PRADESH"/>
    <n v="7134"/>
    <s v="M/S GOENKA AUTO PRIVATE LIMITED."/>
    <s v="VARANASI"/>
    <s v="24-Mar-25"/>
    <s v="29-Dec-25"/>
    <n v="891"/>
    <n v="50000"/>
    <n v="3"/>
    <s v="S"/>
    <s v="T-1"/>
    <n v="798678"/>
    <s v="MC1E4CAA9SP084182"/>
    <s v="D71070493"/>
    <m/>
    <m/>
    <x v="12"/>
    <s v="31-Dec-25"/>
    <x v="10"/>
    <n v="1250"/>
    <n v="0"/>
    <m/>
    <n v="1250"/>
    <n v="1475"/>
    <n v="225"/>
    <n v="0"/>
    <m/>
    <n v="0"/>
    <m/>
    <m/>
    <s v="T1BS6N"/>
    <s v="CVD"/>
    <s v="F"/>
  </r>
  <r>
    <n v="1609"/>
    <s v="NORTH"/>
    <s v="UTTAR PRADESH"/>
    <n v="7134"/>
    <s v="M/S GOENKA AUTO PRIVATE LIMITED."/>
    <s v="VARANASI"/>
    <s v="03-Jul-24"/>
    <s v="31-Dec-25"/>
    <n v="1165"/>
    <n v="87714"/>
    <n v="9"/>
    <s v="S"/>
    <s v="T-1"/>
    <n v="775222"/>
    <s v="MC1E4EFA9RP013093"/>
    <s v="D71055949"/>
    <m/>
    <m/>
    <x v="12"/>
    <s v="31-Dec-25"/>
    <x v="10"/>
    <n v="0"/>
    <n v="0"/>
    <m/>
    <n v="0"/>
    <n v="0"/>
    <n v="0"/>
    <n v="0"/>
    <m/>
    <n v="0"/>
    <m/>
    <m/>
    <s v="T1BS6"/>
    <s v="CVD"/>
    <s v="P"/>
  </r>
  <r>
    <n v="1610"/>
    <s v="NORTH"/>
    <s v="UTTAR PRADESH"/>
    <n v="7134"/>
    <s v="M/S GOENKA AUTO PRIVATE LIMITED."/>
    <s v="VARANASI"/>
    <s v="22-Jun-24"/>
    <s v="22-Dec-25"/>
    <n v="1165"/>
    <n v="101055"/>
    <n v="10"/>
    <s v="S"/>
    <s v="T-1"/>
    <n v="775938"/>
    <s v="MC1E4EDA0RP012854"/>
    <s v="D71053907"/>
    <m/>
    <m/>
    <x v="12"/>
    <s v="31-Dec-25"/>
    <x v="10"/>
    <n v="0"/>
    <n v="0"/>
    <m/>
    <n v="0"/>
    <n v="0"/>
    <n v="0"/>
    <n v="0"/>
    <m/>
    <n v="0"/>
    <m/>
    <m/>
    <s v="T1BS6"/>
    <s v="CVD"/>
    <s v="P"/>
  </r>
  <r>
    <n v="1611"/>
    <s v="NORTH"/>
    <s v="UTTAR PRADESH"/>
    <n v="7134"/>
    <s v="M/S GOENKA AUTO PRIVATE LIMITED."/>
    <s v="VARANASI"/>
    <s v="20-Jan-25"/>
    <s v="14-Dec-25"/>
    <n v="1165"/>
    <n v="2011126"/>
    <n v="5"/>
    <s v="S"/>
    <s v="T1N"/>
    <n v="6475"/>
    <s v="MC1M4AAA6SP003235"/>
    <s v="D71069285"/>
    <s v="001, 014"/>
    <s v="ERROR IN COUPON, SERV KMS  / HRS EXCEEDS"/>
    <x v="12"/>
    <s v="31-Dec-25"/>
    <x v="10"/>
    <n v="1650"/>
    <n v="0"/>
    <m/>
    <n v="0"/>
    <n v="1947"/>
    <n v="297"/>
    <n v="0"/>
    <m/>
    <n v="1650"/>
    <m/>
    <m/>
    <s v="URBN"/>
    <s v="CVD"/>
    <s v="F"/>
  </r>
  <r>
    <n v="1612"/>
    <s v="NORTH"/>
    <s v="UTTAR PRADESH"/>
    <n v="7134"/>
    <s v="M/S GOENKA AUTO PRIVATE LIMITED."/>
    <s v="VARANASI"/>
    <s v="09-May-25"/>
    <s v="14-Dec-25"/>
    <n v="1165"/>
    <n v="16221"/>
    <n v="2"/>
    <s v="S"/>
    <s v="T-1"/>
    <n v="797572"/>
    <s v="MC1E4CCA9SP087029"/>
    <s v="D71076761"/>
    <m/>
    <m/>
    <x v="12"/>
    <s v="31-Dec-25"/>
    <x v="10"/>
    <n v="1250"/>
    <n v="0"/>
    <m/>
    <n v="1250"/>
    <n v="1475"/>
    <n v="225"/>
    <n v="0"/>
    <m/>
    <n v="0"/>
    <m/>
    <m/>
    <s v="T1BS6"/>
    <s v="CVD"/>
    <s v="F"/>
  </r>
  <r>
    <n v="1613"/>
    <s v="NORTH"/>
    <s v="UTTAR PRADESH"/>
    <n v="7134"/>
    <s v="M/S GOENKA AUTO PRIVATE LIMITED."/>
    <s v="VARANASI"/>
    <s v="23-Jan-24"/>
    <s v="29-Dec-25"/>
    <n v="1165"/>
    <n v="120000"/>
    <n v="12"/>
    <s v="S"/>
    <s v="T26"/>
    <n v="766599"/>
    <s v="MC1E4FMA5RP018879"/>
    <s v="D71044348"/>
    <m/>
    <m/>
    <x v="12"/>
    <s v="31-Dec-25"/>
    <x v="10"/>
    <n v="0"/>
    <n v="0"/>
    <m/>
    <n v="0"/>
    <n v="0"/>
    <n v="0"/>
    <n v="0"/>
    <m/>
    <n v="0"/>
    <m/>
    <m/>
    <s v="T26BS6"/>
    <s v="CVD"/>
    <s v="P"/>
  </r>
  <r>
    <n v="1614"/>
    <s v="NORTH"/>
    <s v="UTTAR PRADESH"/>
    <n v="7134"/>
    <s v="M/S GOENKA AUTO PRIVATE LIMITED."/>
    <s v="VARANASI"/>
    <s v="15-May-25"/>
    <s v="26-Dec-25"/>
    <n v="1165"/>
    <n v="43394"/>
    <n v="4"/>
    <s v="S"/>
    <s v="T-1"/>
    <n v="802597"/>
    <s v="MC1E4EDA9SP016021"/>
    <s v="D71078879"/>
    <s v="001"/>
    <s v="SERV KMS  / HRS EXCEEDS"/>
    <x v="12"/>
    <s v="31-Dec-25"/>
    <x v="10"/>
    <n v="0"/>
    <n v="0"/>
    <m/>
    <n v="0"/>
    <n v="0"/>
    <n v="0"/>
    <n v="0"/>
    <m/>
    <n v="0"/>
    <m/>
    <m/>
    <s v="T1BS6"/>
    <s v="CVD"/>
    <s v="P"/>
  </r>
  <r>
    <n v="1615"/>
    <s v="NORTH"/>
    <s v="UTTAR PRADESH"/>
    <n v="7134"/>
    <s v="M/S GOENKA AUTO PRIVATE LIMITED."/>
    <s v="VARANASI"/>
    <s v="11-Sep-24"/>
    <s v="01-Dec-25"/>
    <n v="1165"/>
    <n v="90000"/>
    <n v="9"/>
    <s v="S"/>
    <s v="T-1"/>
    <n v="785727"/>
    <s v="MC1E4EGA4SP013474"/>
    <s v="D71058225"/>
    <m/>
    <m/>
    <x v="12"/>
    <s v="31-Dec-25"/>
    <x v="10"/>
    <n v="0"/>
    <n v="0"/>
    <m/>
    <n v="0"/>
    <n v="0"/>
    <n v="0"/>
    <n v="0"/>
    <m/>
    <n v="0"/>
    <m/>
    <m/>
    <s v="T1BS6"/>
    <s v="CVD"/>
    <s v="P"/>
  </r>
  <r>
    <n v="1616"/>
    <s v="NORTH"/>
    <s v="UTTAR PRADESH"/>
    <n v="7134"/>
    <s v="M/S GOENKA AUTO PRIVATE LIMITED."/>
    <s v="VARANASI"/>
    <s v="15-May-25"/>
    <s v="05-Dec-25"/>
    <n v="1165"/>
    <n v="40000"/>
    <n v="4"/>
    <s v="S"/>
    <s v="T-1"/>
    <n v="802355"/>
    <s v="MC1E4EEA1SP016111"/>
    <s v="D71079576"/>
    <m/>
    <m/>
    <x v="12"/>
    <s v="31-Dec-25"/>
    <x v="10"/>
    <n v="0"/>
    <n v="0"/>
    <m/>
    <n v="0"/>
    <n v="0"/>
    <n v="0"/>
    <n v="0"/>
    <m/>
    <n v="0"/>
    <m/>
    <m/>
    <s v="T1BS6"/>
    <s v="CVD"/>
    <s v="P"/>
  </r>
  <r>
    <n v="1617"/>
    <s v="NORTH"/>
    <s v="UTTAR PRADESH"/>
    <n v="7134"/>
    <s v="M/S GOENKA AUTO PRIVATE LIMITED."/>
    <s v="VARANASI"/>
    <s v="29-Sep-25"/>
    <s v="02-Dec-25"/>
    <n v="1165"/>
    <n v="8829"/>
    <n v="1"/>
    <s v="S"/>
    <s v="T1N"/>
    <n v="9769"/>
    <s v="MC1M4AJA3TP006062"/>
    <s v="D71089963"/>
    <m/>
    <m/>
    <x v="12"/>
    <s v="31-Dec-25"/>
    <x v="10"/>
    <n v="1650"/>
    <n v="0"/>
    <m/>
    <n v="1650"/>
    <n v="1947"/>
    <n v="297"/>
    <n v="0"/>
    <m/>
    <n v="0"/>
    <m/>
    <m/>
    <s v="URBN"/>
    <s v="CVD"/>
    <s v="F"/>
  </r>
  <r>
    <n v="1618"/>
    <s v="NORTH"/>
    <s v="UTTAR PRADESH"/>
    <n v="7134"/>
    <s v="M/S GOENKA AUTO PRIVATE LIMITED."/>
    <s v="VARANASI"/>
    <s v="23-Mar-25"/>
    <s v="09-Dec-25"/>
    <n v="867"/>
    <n v="50000"/>
    <n v="3"/>
    <s v="S"/>
    <s v="T-1"/>
    <n v="796077"/>
    <s v="MC1E4CAA8SP084044"/>
    <s v="D71070263"/>
    <m/>
    <m/>
    <x v="12"/>
    <s v="31-Dec-25"/>
    <x v="10"/>
    <n v="1250"/>
    <n v="0"/>
    <m/>
    <n v="1250"/>
    <n v="1475"/>
    <n v="225"/>
    <n v="0"/>
    <m/>
    <n v="0"/>
    <m/>
    <m/>
    <s v="T1BS6N"/>
    <s v="CVD"/>
    <s v="F"/>
  </r>
  <r>
    <n v="1619"/>
    <s v="NORTH"/>
    <s v="UTTAR PRADESH"/>
    <n v="7134"/>
    <s v="M/S GOENKA AUTO PRIVATE LIMITED."/>
    <s v="VARANASI"/>
    <s v="13-Feb-25"/>
    <s v="09-Dec-25"/>
    <n v="1165"/>
    <n v="37000"/>
    <n v="5"/>
    <s v="S"/>
    <s v="TRAX"/>
    <n v="326051"/>
    <s v="MC1D4DKA2SP105924"/>
    <s v="D72017397"/>
    <m/>
    <m/>
    <x v="12"/>
    <s v="31-Dec-25"/>
    <x v="10"/>
    <n v="1250"/>
    <n v="0"/>
    <m/>
    <n v="1250"/>
    <n v="1475"/>
    <n v="225"/>
    <n v="0"/>
    <m/>
    <n v="0"/>
    <m/>
    <m/>
    <s v="TRXBS6"/>
    <s v="CVD"/>
    <s v="F"/>
  </r>
  <r>
    <n v="1620"/>
    <s v="NORTH"/>
    <s v="UTTAR PRADESH"/>
    <n v="7134"/>
    <s v="M/S GOENKA AUTO PRIVATE LIMITED."/>
    <s v="VARANASI"/>
    <s v="28-Jun-24"/>
    <s v="29-Dec-25"/>
    <n v="1165"/>
    <n v="112720"/>
    <n v="10"/>
    <s v="S"/>
    <s v="T-1"/>
    <n v="775227"/>
    <s v="MC1E4EFA4RP013096"/>
    <s v="D71055365"/>
    <s v="001"/>
    <s v="SERV KMS  / HRS EXCEEDS"/>
    <x v="12"/>
    <s v="31-Dec-25"/>
    <x v="10"/>
    <n v="0"/>
    <n v="0"/>
    <m/>
    <n v="0"/>
    <n v="0"/>
    <n v="0"/>
    <n v="0"/>
    <m/>
    <n v="0"/>
    <m/>
    <m/>
    <s v="T1BS6"/>
    <s v="CVD"/>
    <s v="P"/>
  </r>
  <r>
    <n v="1621"/>
    <s v="NORTH"/>
    <s v="UTTAR PRADESH"/>
    <n v="7134"/>
    <s v="M/S GOENKA AUTO PRIVATE LIMITED."/>
    <s v="VARANASI"/>
    <s v="23-Oct-24"/>
    <s v="17-Dec-25"/>
    <n v="1165"/>
    <n v="59496"/>
    <n v="7"/>
    <s v="S"/>
    <s v="T-1"/>
    <n v="786108"/>
    <s v="MC1E4EJA5SP014061"/>
    <s v="D71062337"/>
    <m/>
    <m/>
    <x v="12"/>
    <s v="31-Dec-25"/>
    <x v="10"/>
    <n v="0"/>
    <n v="0"/>
    <m/>
    <n v="0"/>
    <n v="0"/>
    <n v="0"/>
    <n v="0"/>
    <m/>
    <n v="0"/>
    <m/>
    <m/>
    <s v="T1BS6"/>
    <s v="CVD"/>
    <s v="P"/>
  </r>
  <r>
    <n v="1622"/>
    <s v="NORTH"/>
    <s v="UTTAR PRADESH"/>
    <n v="7134"/>
    <s v="M/S GOENKA AUTO PRIVATE LIMITED."/>
    <s v="VARANASI"/>
    <s v="25-Oct-24"/>
    <s v="22-Dec-25"/>
    <n v="1165"/>
    <n v="39859"/>
    <n v="7"/>
    <s v="S"/>
    <s v="T-1"/>
    <n v="786107"/>
    <s v="MC1E4EJA7SP014014"/>
    <s v="D71062081"/>
    <m/>
    <m/>
    <x v="12"/>
    <s v="31-Dec-25"/>
    <x v="10"/>
    <n v="0"/>
    <n v="0"/>
    <m/>
    <n v="0"/>
    <n v="0"/>
    <n v="0"/>
    <n v="0"/>
    <m/>
    <n v="0"/>
    <m/>
    <m/>
    <s v="T1BS6"/>
    <s v="CVD"/>
    <s v="P"/>
  </r>
  <r>
    <n v="1623"/>
    <s v="NORTH"/>
    <s v="UTTAR PRADESH"/>
    <n v="7134"/>
    <s v="M/S GOENKA AUTO PRIVATE LIMITED."/>
    <s v="VARANASI"/>
    <s v="19-Aug-25"/>
    <s v="07-Dec-25"/>
    <n v="1165"/>
    <n v="8386"/>
    <n v="1"/>
    <s v="S"/>
    <s v="T-1"/>
    <n v="803716"/>
    <s v="MC1E4BGA2TP010119"/>
    <s v="D71084805"/>
    <m/>
    <m/>
    <x v="12"/>
    <s v="31-Dec-25"/>
    <x v="10"/>
    <n v="1250"/>
    <n v="0"/>
    <m/>
    <n v="1250"/>
    <n v="1475"/>
    <n v="225"/>
    <n v="0"/>
    <m/>
    <n v="0"/>
    <m/>
    <m/>
    <s v="T1BS6N"/>
    <s v="CVD"/>
    <s v="F"/>
  </r>
  <r>
    <n v="1624"/>
    <s v="NORTH"/>
    <s v="UTTAR PRADESH"/>
    <n v="7134"/>
    <s v="M/S GOENKA AUTO PRIVATE LIMITED."/>
    <s v="VARANASI"/>
    <s v="14-May-25"/>
    <s v="07-Dec-25"/>
    <n v="1165"/>
    <n v="8777"/>
    <n v="2"/>
    <s v="S"/>
    <s v="T-1"/>
    <n v="798231"/>
    <s v="MC1E4DDA3SP056718"/>
    <s v="D71077738"/>
    <m/>
    <m/>
    <x v="12"/>
    <s v="31-Dec-25"/>
    <x v="10"/>
    <n v="1250"/>
    <n v="0"/>
    <m/>
    <n v="1250"/>
    <n v="1475"/>
    <n v="225"/>
    <n v="0"/>
    <m/>
    <n v="0"/>
    <m/>
    <m/>
    <s v="T1BS6N"/>
    <s v="CVD"/>
    <s v="F"/>
  </r>
  <r>
    <n v="1625"/>
    <s v="NORTH"/>
    <s v="UTTAR PRADESH"/>
    <n v="7134"/>
    <s v="M/S GOENKA AUTO PRIVATE LIMITED."/>
    <s v="VARANASI"/>
    <s v="30-Jun-25"/>
    <s v="07-Dec-25"/>
    <n v="1165"/>
    <n v="5148"/>
    <n v="3"/>
    <s v="S"/>
    <s v="T-1"/>
    <n v="778993"/>
    <s v="MC1E5DDA2SP000654"/>
    <s v="D73001869"/>
    <m/>
    <m/>
    <x v="12"/>
    <s v="31-Dec-25"/>
    <x v="10"/>
    <n v="1250"/>
    <n v="0"/>
    <m/>
    <n v="1250"/>
    <n v="1475"/>
    <n v="225"/>
    <n v="0"/>
    <m/>
    <n v="0"/>
    <m/>
    <m/>
    <s v="T1CNGL"/>
    <s v="CVD"/>
    <s v="F"/>
  </r>
  <r>
    <n v="1626"/>
    <s v="NORTH"/>
    <s v="UTTAR PRADESH"/>
    <n v="7134"/>
    <s v="M/S GOENKA AUTO PRIVATE LIMITED."/>
    <s v="VARANASI"/>
    <s v="30-Oct-25"/>
    <s v="09-Dec-25"/>
    <n v="1165"/>
    <n v="10000"/>
    <n v="1"/>
    <s v="S"/>
    <s v="T1N"/>
    <n v="9489"/>
    <s v="MC1M4AJA2TP006442"/>
    <s v="D71091691"/>
    <m/>
    <m/>
    <x v="12"/>
    <s v="31-Dec-25"/>
    <x v="10"/>
    <n v="1650"/>
    <n v="0"/>
    <m/>
    <n v="1650"/>
    <n v="1947"/>
    <n v="297"/>
    <n v="0"/>
    <m/>
    <n v="0"/>
    <m/>
    <m/>
    <s v="URBN"/>
    <s v="CVD"/>
    <s v="F"/>
  </r>
  <r>
    <n v="1627"/>
    <s v="NORTH"/>
    <s v="UTTAR PRADESH"/>
    <n v="7134"/>
    <s v="M/S GOENKA AUTO PRIVATE LIMITED."/>
    <s v="VARANASI"/>
    <s v="24-Mar-25"/>
    <s v="29-Dec-25"/>
    <n v="900"/>
    <n v="50000"/>
    <n v="3"/>
    <s v="S"/>
    <s v="T-1"/>
    <n v="796591"/>
    <s v="MC1E4CAA7SP084407"/>
    <s v="D71069823"/>
    <m/>
    <m/>
    <x v="12"/>
    <s v="31-Dec-25"/>
    <x v="10"/>
    <n v="1250"/>
    <n v="0"/>
    <m/>
    <n v="1250"/>
    <n v="1475"/>
    <n v="225"/>
    <n v="0"/>
    <m/>
    <n v="0"/>
    <m/>
    <m/>
    <s v="T1BS6N"/>
    <s v="CVD"/>
    <s v="F"/>
  </r>
  <r>
    <n v="1628"/>
    <s v="NORTH"/>
    <s v="UTTAR PRADESH"/>
    <n v="7134"/>
    <s v="M/S GOENKA AUTO PRIVATE LIMITED."/>
    <s v="VARANASI"/>
    <s v="28-Aug-25"/>
    <s v="11-Dec-25"/>
    <n v="1165"/>
    <n v="6084"/>
    <n v="2"/>
    <s v="S"/>
    <s v="TRAX"/>
    <n v="328544"/>
    <s v="MC1D4DDA6SP108712"/>
    <s v="D72020414"/>
    <m/>
    <m/>
    <x v="12"/>
    <s v="31-Dec-25"/>
    <x v="10"/>
    <n v="0"/>
    <n v="0"/>
    <m/>
    <n v="0"/>
    <n v="0"/>
    <n v="0"/>
    <n v="0"/>
    <m/>
    <n v="0"/>
    <m/>
    <m/>
    <s v="TRXBS6"/>
    <s v="CVD"/>
    <s v="P"/>
  </r>
  <r>
    <n v="1629"/>
    <s v="NORTH"/>
    <s v="UTTAR PRADESH"/>
    <n v="7134"/>
    <s v="M/S GOENKA AUTO PRIVATE LIMITED."/>
    <s v="VARANASI"/>
    <s v="20-Feb-25"/>
    <s v="21-Dec-25"/>
    <n v="872"/>
    <n v="51000"/>
    <n v="3"/>
    <s v="S"/>
    <s v="T-1"/>
    <n v="796374"/>
    <s v="MC1E4CAA8SP083444"/>
    <s v="D71069262"/>
    <s v="001"/>
    <s v="SERV KMS  / HRS EXCEEDS"/>
    <x v="12"/>
    <s v="31-Dec-25"/>
    <x v="10"/>
    <n v="1250"/>
    <n v="0"/>
    <m/>
    <n v="1000"/>
    <n v="1475"/>
    <n v="225"/>
    <n v="0"/>
    <m/>
    <n v="250"/>
    <m/>
    <m/>
    <s v="T1BS6N"/>
    <s v="CVD"/>
    <s v="F"/>
  </r>
  <r>
    <n v="1630"/>
    <s v="NORTH"/>
    <s v="UTTAR PRADESH"/>
    <n v="7134"/>
    <s v="M/S GOENKA AUTO PRIVATE LIMITED."/>
    <s v="VARANASI"/>
    <s v="27-Feb-25"/>
    <s v="12-Dec-25"/>
    <n v="1168"/>
    <n v="45000"/>
    <n v="5"/>
    <s v="S"/>
    <s v="T-1"/>
    <n v="785976"/>
    <s v="MC1E4EJA6SP014182"/>
    <s v="D71062929"/>
    <m/>
    <m/>
    <x v="12"/>
    <s v="31-Dec-25"/>
    <x v="10"/>
    <n v="1250"/>
    <n v="0"/>
    <m/>
    <n v="1250"/>
    <n v="1475"/>
    <n v="225"/>
    <n v="0"/>
    <m/>
    <n v="0"/>
    <m/>
    <m/>
    <s v="T1BS6"/>
    <s v="CVD"/>
    <s v="F"/>
  </r>
  <r>
    <n v="1631"/>
    <s v="NORTH"/>
    <s v="UTTAR PRADESH"/>
    <n v="7134"/>
    <s v="M/S GOENKA AUTO PRIVATE LIMITED."/>
    <s v="VARANASI"/>
    <s v="20-Feb-25"/>
    <s v="14-Dec-25"/>
    <n v="880"/>
    <n v="50000"/>
    <n v="3"/>
    <s v="S"/>
    <s v="T-1"/>
    <n v="796315"/>
    <s v="MC1E4CAA9SP083498"/>
    <s v="D71069177"/>
    <m/>
    <m/>
    <x v="12"/>
    <s v="31-Dec-25"/>
    <x v="10"/>
    <n v="1250"/>
    <n v="0"/>
    <m/>
    <n v="1250"/>
    <n v="1475"/>
    <n v="225"/>
    <n v="0"/>
    <m/>
    <n v="0"/>
    <m/>
    <m/>
    <s v="T1BS6N"/>
    <s v="CVD"/>
    <s v="F"/>
  </r>
  <r>
    <n v="1632"/>
    <s v="NORTH"/>
    <s v="UTTAR PRADESH"/>
    <n v="7134"/>
    <s v="M/S GOENKA AUTO PRIVATE LIMITED."/>
    <s v="VARANASI"/>
    <s v="22-Nov-23"/>
    <s v="16-Dec-25"/>
    <n v="1165"/>
    <n v="123485"/>
    <n v="12"/>
    <s v="S"/>
    <s v="TRAX"/>
    <n v="317851"/>
    <s v="MC1D4DGA8RP100617"/>
    <s v="D72011234"/>
    <s v="001"/>
    <s v="SERV KMS  / HRS EXCEEDS"/>
    <x v="12"/>
    <s v="31-Dec-25"/>
    <x v="10"/>
    <n v="0"/>
    <n v="0"/>
    <m/>
    <n v="0"/>
    <n v="0"/>
    <n v="0"/>
    <n v="0"/>
    <m/>
    <n v="0"/>
    <m/>
    <m/>
    <s v="TRXBS6"/>
    <s v="CVD"/>
    <s v="P"/>
  </r>
  <r>
    <n v="1633"/>
    <s v="NORTH"/>
    <s v="UTTAR PRADESH"/>
    <n v="7134"/>
    <s v="M/S GOENKA AUTO PRIVATE LIMITED."/>
    <s v="VARANASI"/>
    <s v="24-Mar-25"/>
    <s v="29-Dec-25"/>
    <n v="859"/>
    <n v="50000"/>
    <n v="3"/>
    <s v="S"/>
    <s v="T-1"/>
    <n v="796581"/>
    <s v="MC1E4CAA1SP084273"/>
    <s v="D71070598"/>
    <m/>
    <m/>
    <x v="12"/>
    <s v="31-Dec-25"/>
    <x v="10"/>
    <n v="1250"/>
    <n v="0"/>
    <m/>
    <n v="1250"/>
    <n v="1475"/>
    <n v="225"/>
    <n v="0"/>
    <m/>
    <n v="0"/>
    <m/>
    <m/>
    <s v="T1BS6N"/>
    <s v="CVD"/>
    <s v="F"/>
  </r>
  <r>
    <n v="1634"/>
    <s v="NORTH"/>
    <s v="UTTAR PRADESH"/>
    <n v="7134"/>
    <s v="M/S GOENKA AUTO PRIVATE LIMITED."/>
    <s v="VARANASI"/>
    <s v="30-Jun-25"/>
    <s v="07-Dec-25"/>
    <n v="1165"/>
    <n v="4848"/>
    <n v="3"/>
    <s v="S"/>
    <s v="T-1"/>
    <n v="778198"/>
    <s v="MC1E5DDA7SP000651"/>
    <s v="D73001872"/>
    <m/>
    <m/>
    <x v="12"/>
    <s v="31-Dec-25"/>
    <x v="10"/>
    <n v="1250"/>
    <n v="0"/>
    <m/>
    <n v="1250"/>
    <n v="1475"/>
    <n v="225"/>
    <n v="0"/>
    <m/>
    <n v="0"/>
    <m/>
    <m/>
    <s v="T1CNGL"/>
    <s v="CVD"/>
    <s v="F"/>
  </r>
  <r>
    <n v="1635"/>
    <s v="NORTH"/>
    <s v="UTTAR PRADESH"/>
    <n v="7134"/>
    <s v="M/S GOENKA AUTO PRIVATE LIMITED."/>
    <s v="VARANASI"/>
    <s v="06-May-25"/>
    <s v="18-Dec-25"/>
    <n v="1165"/>
    <n v="30718"/>
    <n v="4"/>
    <s v="S"/>
    <s v="T-1"/>
    <n v="802530"/>
    <s v="MC1E4EDA5SP016002"/>
    <s v="D71078588"/>
    <m/>
    <m/>
    <x v="12"/>
    <s v="31-Dec-25"/>
    <x v="10"/>
    <n v="0"/>
    <n v="0"/>
    <m/>
    <n v="0"/>
    <n v="0"/>
    <n v="0"/>
    <n v="0"/>
    <m/>
    <n v="0"/>
    <m/>
    <m/>
    <s v="T1BS6"/>
    <s v="CVD"/>
    <s v="P"/>
  </r>
  <r>
    <n v="1636"/>
    <s v="NORTH"/>
    <s v="UTTAR PRADESH"/>
    <n v="7134"/>
    <s v="M/S GOENKA AUTO PRIVATE LIMITED."/>
    <s v="VARANASI"/>
    <s v="29-Jul-25"/>
    <s v="07-Dec-25"/>
    <n v="1165"/>
    <n v="7192"/>
    <n v="1"/>
    <s v="S"/>
    <s v="T-1"/>
    <n v="803991"/>
    <s v="MC1E4DGAXTP058141"/>
    <s v="D71085683"/>
    <m/>
    <m/>
    <x v="12"/>
    <s v="31-Dec-25"/>
    <x v="10"/>
    <n v="1250"/>
    <n v="0"/>
    <m/>
    <n v="1250"/>
    <n v="1475"/>
    <n v="225"/>
    <n v="0"/>
    <m/>
    <n v="0"/>
    <m/>
    <m/>
    <s v="T1BS6N"/>
    <s v="CVD"/>
    <s v="F"/>
  </r>
  <r>
    <n v="1637"/>
    <s v="NORTH"/>
    <s v="UTTAR PRADESH"/>
    <n v="7134"/>
    <s v="M/S GOENKA AUTO PRIVATE LIMITED."/>
    <s v="VARANASI"/>
    <s v="03-Feb-25"/>
    <s v="10-Dec-25"/>
    <n v="900"/>
    <n v="32021"/>
    <n v="5"/>
    <s v="S"/>
    <s v="T-1"/>
    <n v="778270"/>
    <s v="MC1E5EKAXSP003214"/>
    <s v="D73001597"/>
    <m/>
    <m/>
    <x v="12"/>
    <s v="31-Dec-25"/>
    <x v="10"/>
    <n v="1250"/>
    <n v="0"/>
    <m/>
    <n v="1250"/>
    <n v="1475"/>
    <n v="225"/>
    <n v="0"/>
    <m/>
    <n v="0"/>
    <m/>
    <m/>
    <s v="T1CNGL"/>
    <s v="CVD"/>
    <s v="F"/>
  </r>
  <r>
    <n v="1638"/>
    <s v="NORTH"/>
    <s v="UTTAR PRADESH"/>
    <n v="7134"/>
    <s v="M/S GOENKA AUTO PRIVATE LIMITED."/>
    <s v="VARANASI"/>
    <s v="28-Oct-25"/>
    <s v="08-Dec-25"/>
    <n v="1165"/>
    <n v="11520"/>
    <n v="1"/>
    <s v="S"/>
    <s v="TRAX"/>
    <n v="333667"/>
    <s v="MC1D4DKA5TP110875"/>
    <s v="D72022685"/>
    <m/>
    <m/>
    <x v="12"/>
    <s v="31-Dec-25"/>
    <x v="10"/>
    <n v="1250"/>
    <n v="0"/>
    <m/>
    <n v="1250"/>
    <n v="1475"/>
    <n v="225"/>
    <n v="0"/>
    <m/>
    <n v="0"/>
    <m/>
    <m/>
    <s v="TRXBS6"/>
    <s v="CVD"/>
    <s v="F"/>
  </r>
  <r>
    <n v="1639"/>
    <s v="NORTH"/>
    <s v="UTTAR PRADESH"/>
    <n v="7134"/>
    <s v="M/S GOENKA AUTO PRIVATE LIMITED."/>
    <s v="VARANASI"/>
    <s v="30-Mar-25"/>
    <s v="07-Dec-25"/>
    <n v="1165"/>
    <n v="25760"/>
    <n v="2"/>
    <s v="S"/>
    <s v="T-1"/>
    <n v="798838"/>
    <s v="MC1E4DAA5SP055929"/>
    <s v="D71070921"/>
    <m/>
    <m/>
    <x v="12"/>
    <s v="31-Dec-25"/>
    <x v="10"/>
    <n v="1250"/>
    <n v="0"/>
    <m/>
    <n v="1250"/>
    <n v="1475"/>
    <n v="225"/>
    <n v="0"/>
    <m/>
    <n v="0"/>
    <m/>
    <m/>
    <s v="T1BS6N"/>
    <s v="CVD"/>
    <s v="F"/>
  </r>
  <r>
    <n v="1640"/>
    <s v="NORTH"/>
    <s v="UTTAR PRADESH"/>
    <n v="7134"/>
    <s v="M/S GOENKA AUTO PRIVATE LIMITED."/>
    <s v="VARANASI"/>
    <s v="07-Mar-25"/>
    <s v="09-Dec-25"/>
    <n v="826"/>
    <n v="51000"/>
    <n v="3"/>
    <s v="S"/>
    <s v="T-1"/>
    <n v="796523"/>
    <s v="MC1E4CAA7SP083659"/>
    <s v="D71069664"/>
    <s v="001"/>
    <s v="SERV KMS  / HRS EXCEEDS"/>
    <x v="12"/>
    <s v="31-Dec-25"/>
    <x v="10"/>
    <n v="1250"/>
    <n v="0"/>
    <m/>
    <n v="1000"/>
    <n v="1475"/>
    <n v="225"/>
    <n v="0"/>
    <m/>
    <n v="250"/>
    <m/>
    <m/>
    <s v="T1BS6N"/>
    <s v="CVD"/>
    <s v="F"/>
  </r>
  <r>
    <n v="1641"/>
    <s v="NORTH"/>
    <s v="UTTAR PRADESH"/>
    <n v="7134"/>
    <s v="M/S GOENKA AUTO PRIVATE LIMITED."/>
    <s v="VARANASI"/>
    <s v="23-Mar-25"/>
    <s v="24-Dec-25"/>
    <n v="876"/>
    <n v="50000"/>
    <n v="3"/>
    <s v="S"/>
    <s v="T-1"/>
    <n v="780906"/>
    <s v="MC1E4CAA1SP083639"/>
    <s v="D71069660"/>
    <m/>
    <m/>
    <x v="12"/>
    <s v="31-Dec-25"/>
    <x v="10"/>
    <n v="1250"/>
    <n v="0"/>
    <m/>
    <n v="1250"/>
    <n v="1475"/>
    <n v="225"/>
    <n v="0"/>
    <m/>
    <n v="0"/>
    <m/>
    <m/>
    <s v="T1BS6N"/>
    <s v="CVD"/>
    <s v="F"/>
  </r>
  <r>
    <n v="1642"/>
    <s v="NORTH"/>
    <s v="UTTAR PRADESH"/>
    <n v="7134"/>
    <s v="M/S GOENKA AUTO PRIVATE LIMITED."/>
    <s v="VARANASI"/>
    <s v="30-Jun-25"/>
    <s v="07-Dec-25"/>
    <n v="1165"/>
    <n v="8593"/>
    <n v="3"/>
    <s v="S"/>
    <s v="T-1"/>
    <n v="778953"/>
    <s v="MC1E5CEA8SP000179"/>
    <s v="D73002061"/>
    <m/>
    <m/>
    <x v="12"/>
    <s v="31-Dec-25"/>
    <x v="10"/>
    <n v="1250"/>
    <n v="0"/>
    <m/>
    <n v="1250"/>
    <n v="1475"/>
    <n v="225"/>
    <n v="0"/>
    <m/>
    <n v="0"/>
    <m/>
    <m/>
    <s v="T1CNGL"/>
    <s v="CVD"/>
    <s v="F"/>
  </r>
  <r>
    <n v="1643"/>
    <s v="NORTH"/>
    <s v="UTTAR PRADESH"/>
    <n v="7134"/>
    <s v="M/S GOENKA AUTO PRIVATE LIMITED."/>
    <s v="VARANASI"/>
    <s v="29-Aug-25"/>
    <s v="11-Dec-25"/>
    <n v="1165"/>
    <n v="4565"/>
    <n v="1"/>
    <s v="S"/>
    <s v="T26"/>
    <n v="784274"/>
    <s v="MC1E4FGA7TP024279"/>
    <s v="D71086413"/>
    <m/>
    <m/>
    <x v="12"/>
    <s v="31-Dec-25"/>
    <x v="10"/>
    <n v="1250"/>
    <n v="0"/>
    <m/>
    <n v="1250"/>
    <n v="1475"/>
    <n v="225"/>
    <n v="0"/>
    <m/>
    <n v="0"/>
    <m/>
    <m/>
    <s v="T26BS6N"/>
    <s v="CVD"/>
    <s v="F"/>
  </r>
  <r>
    <n v="1644"/>
    <s v="NORTH"/>
    <s v="UTTAR PRADESH"/>
    <n v="7134"/>
    <s v="M/S GOENKA AUTO PRIVATE LIMITED."/>
    <s v="VARANASI"/>
    <s v="25-Jun-24"/>
    <s v="19-Dec-25"/>
    <n v="1165"/>
    <n v="111945"/>
    <n v="10"/>
    <s v="S"/>
    <s v="T-1"/>
    <n v="775229"/>
    <s v="MC1E4EFA2RP013095"/>
    <s v="D71055313"/>
    <s v="001"/>
    <s v="SERV KMS  / HRS EXCEEDS"/>
    <x v="12"/>
    <s v="31-Dec-25"/>
    <x v="10"/>
    <n v="0"/>
    <n v="0"/>
    <m/>
    <n v="0"/>
    <n v="0"/>
    <n v="0"/>
    <n v="0"/>
    <m/>
    <n v="0"/>
    <m/>
    <m/>
    <s v="T1BS6"/>
    <s v="CVD"/>
    <s v="P"/>
  </r>
  <r>
    <n v="1645"/>
    <s v="NORTH"/>
    <s v="UTTAR PRADESH"/>
    <n v="7134"/>
    <s v="M/S GOENKA AUTO PRIVATE LIMITED."/>
    <s v="VARANASI"/>
    <s v="23-Oct-25"/>
    <s v="23-Dec-25"/>
    <n v="1165"/>
    <n v="2300"/>
    <n v="1"/>
    <s v="S"/>
    <s v="TRAX"/>
    <n v="330596"/>
    <s v="MC1D4DJA4TP110383"/>
    <s v="D72022331"/>
    <m/>
    <m/>
    <x v="12"/>
    <s v="31-Dec-25"/>
    <x v="10"/>
    <n v="1250"/>
    <n v="0"/>
    <m/>
    <n v="1250"/>
    <n v="1475"/>
    <n v="225"/>
    <n v="0"/>
    <m/>
    <n v="0"/>
    <m/>
    <m/>
    <s v="TRXBS6"/>
    <s v="CVD"/>
    <s v="F"/>
  </r>
  <r>
    <n v="1646"/>
    <s v="NORTH"/>
    <s v="UTTAR PRADESH"/>
    <n v="7134"/>
    <s v="M/S GOENKA AUTO PRIVATE LIMITED."/>
    <s v="VARANASI"/>
    <s v="28-Jun-24"/>
    <s v="23-Dec-25"/>
    <n v="1165"/>
    <n v="80000"/>
    <n v="9"/>
    <s v="S"/>
    <s v="T-1"/>
    <n v="775504"/>
    <s v="MC1E4EEA7RP012994"/>
    <s v="D71054867"/>
    <m/>
    <m/>
    <x v="12"/>
    <s v="31-Dec-25"/>
    <x v="10"/>
    <n v="0"/>
    <n v="0"/>
    <m/>
    <n v="0"/>
    <n v="0"/>
    <n v="0"/>
    <n v="0"/>
    <m/>
    <n v="0"/>
    <m/>
    <m/>
    <s v="T1BS6"/>
    <s v="CVD"/>
    <s v="P"/>
  </r>
  <r>
    <n v="1647"/>
    <s v="NORTH"/>
    <s v="UTTAR PRADESH"/>
    <n v="7134"/>
    <s v="M/S GOENKA AUTO PRIVATE LIMITED."/>
    <s v="VARANASI"/>
    <s v="24-Mar-25"/>
    <s v="15-Dec-25"/>
    <n v="878"/>
    <n v="50000"/>
    <n v="3"/>
    <s v="S"/>
    <s v="T-1"/>
    <n v="795754"/>
    <s v="MC1E4CBA6SP085434"/>
    <s v="D71072423"/>
    <m/>
    <m/>
    <x v="12"/>
    <s v="31-Dec-25"/>
    <x v="10"/>
    <n v="1250"/>
    <n v="0"/>
    <m/>
    <n v="1250"/>
    <n v="1475"/>
    <n v="225"/>
    <n v="0"/>
    <m/>
    <n v="0"/>
    <m/>
    <m/>
    <s v="T1BS6N"/>
    <s v="CVD"/>
    <s v="F"/>
  </r>
  <r>
    <n v="1648"/>
    <s v="NORTH"/>
    <s v="UTTAR PRADESH"/>
    <n v="7134"/>
    <s v="M/S GOENKA AUTO PRIVATE LIMITED."/>
    <s v="VARANASI"/>
    <s v="29-Feb-24"/>
    <s v="24-Dec-25"/>
    <n v="1165"/>
    <n v="93311"/>
    <n v="10"/>
    <s v="S"/>
    <s v="T1N"/>
    <n v="3261"/>
    <s v="MC1M4ABA8RP001057"/>
    <s v="D71048003"/>
    <m/>
    <m/>
    <x v="12"/>
    <s v="31-Dec-25"/>
    <x v="10"/>
    <n v="0"/>
    <n v="0"/>
    <m/>
    <n v="0"/>
    <n v="0"/>
    <n v="0"/>
    <n v="0"/>
    <m/>
    <n v="0"/>
    <m/>
    <m/>
    <s v="URBN"/>
    <s v="CVD"/>
    <s v="P"/>
  </r>
  <r>
    <n v="1649"/>
    <s v="NORTH"/>
    <s v="UTTAR PRADESH"/>
    <n v="7134"/>
    <s v="M/S GOENKA AUTO PRIVATE LIMITED."/>
    <s v="VARANASI"/>
    <s v="14-Oct-24"/>
    <s v="14-Dec-25"/>
    <n v="1165"/>
    <n v="73600"/>
    <n v="7"/>
    <s v="S"/>
    <s v="T-1"/>
    <n v="787043"/>
    <s v="MC1E4EHA8SP013850"/>
    <s v="D71061089"/>
    <s v="001"/>
    <s v="SERV KMS  / HRS EXCEEDS"/>
    <x v="12"/>
    <s v="31-Dec-25"/>
    <x v="10"/>
    <n v="0"/>
    <n v="0"/>
    <m/>
    <n v="0"/>
    <n v="0"/>
    <n v="0"/>
    <n v="0"/>
    <m/>
    <n v="0"/>
    <m/>
    <m/>
    <s v="T1BS6"/>
    <s v="CVD"/>
    <s v="P"/>
  </r>
  <r>
    <n v="1650"/>
    <s v="NORTH"/>
    <s v="UTTAR PRADESH"/>
    <n v="7134"/>
    <s v="M/S GOENKA AUTO PRIVATE LIMITED."/>
    <s v="VARANASI"/>
    <s v="23-Oct-25"/>
    <s v="08-Dec-25"/>
    <n v="1165"/>
    <n v="8593"/>
    <n v="1"/>
    <s v="S"/>
    <s v="T1N"/>
    <n v="9768"/>
    <s v="MC1M4AJA1TP006139"/>
    <s v="D71089949"/>
    <m/>
    <m/>
    <x v="12"/>
    <s v="31-Dec-25"/>
    <x v="10"/>
    <n v="1650"/>
    <n v="0"/>
    <m/>
    <n v="1650"/>
    <n v="1947"/>
    <n v="297"/>
    <n v="0"/>
    <m/>
    <n v="0"/>
    <m/>
    <m/>
    <s v="URBN"/>
    <s v="CVD"/>
    <s v="F"/>
  </r>
  <r>
    <n v="1651"/>
    <s v="NORTH"/>
    <s v="UTTAR PRADESH"/>
    <n v="7134"/>
    <s v="M/S GOENKA AUTO PRIVATE LIMITED."/>
    <s v="VARANASI"/>
    <s v="03-Mar-25"/>
    <s v="28-Dec-25"/>
    <n v="857"/>
    <n v="50000"/>
    <n v="3"/>
    <s v="S"/>
    <s v="T-1"/>
    <n v="7079654"/>
    <s v="MC1E4CAA4SP083747"/>
    <s v="D71069845"/>
    <m/>
    <m/>
    <x v="12"/>
    <s v="31-Dec-25"/>
    <x v="10"/>
    <n v="1250"/>
    <n v="0"/>
    <m/>
    <n v="1250"/>
    <n v="1475"/>
    <n v="225"/>
    <n v="0"/>
    <m/>
    <n v="0"/>
    <m/>
    <m/>
    <s v="T1BS6N"/>
    <s v="CVD"/>
    <s v="F"/>
  </r>
  <r>
    <n v="1652"/>
    <s v="NORTH"/>
    <s v="UTTAR PRADESH"/>
    <n v="7134"/>
    <s v="M/S GOENKA AUTO PRIVATE LIMITED."/>
    <s v="VARANASI"/>
    <s v="29-Sep-25"/>
    <s v="16-Dec-25"/>
    <n v="1165"/>
    <n v="10000"/>
    <n v="1"/>
    <s v="S"/>
    <s v="T1N"/>
    <n v="910080011"/>
    <s v="MC1M4AGA7TP005598"/>
    <s v="D71086772"/>
    <m/>
    <m/>
    <x v="12"/>
    <s v="31-Dec-25"/>
    <x v="10"/>
    <n v="1650"/>
    <n v="0"/>
    <m/>
    <n v="1650"/>
    <n v="1947"/>
    <n v="297"/>
    <n v="0"/>
    <m/>
    <n v="0"/>
    <m/>
    <m/>
    <s v="URBN"/>
    <s v="CVD"/>
    <s v="F"/>
  </r>
  <r>
    <n v="1653"/>
    <s v="NORTH"/>
    <s v="UTTAR PRADESH"/>
    <n v="7134"/>
    <s v="M/S GOENKA AUTO PRIVATE LIMITED."/>
    <s v="VARANASI"/>
    <s v="11-Apr-25"/>
    <s v="16-Dec-25"/>
    <n v="799"/>
    <n v="74527"/>
    <n v="5"/>
    <s v="S"/>
    <s v="T-1"/>
    <n v="780478"/>
    <s v="MC1E4CMA6SP082675"/>
    <s v="D71068079"/>
    <m/>
    <m/>
    <x v="12"/>
    <s v="31-Dec-25"/>
    <x v="10"/>
    <n v="0"/>
    <n v="0"/>
    <m/>
    <n v="0"/>
    <n v="0"/>
    <n v="0"/>
    <n v="0"/>
    <m/>
    <n v="0"/>
    <m/>
    <m/>
    <s v="T1BS6"/>
    <s v="CVD"/>
    <s v="F"/>
  </r>
  <r>
    <n v="1654"/>
    <s v="NORTH"/>
    <s v="UTTAR PRADESH"/>
    <n v="7134"/>
    <s v="M/S GOENKA AUTO PRIVATE LIMITED."/>
    <s v="VARANASI"/>
    <s v="24-Mar-25"/>
    <s v="21-Dec-25"/>
    <n v="992"/>
    <n v="50826"/>
    <n v="3"/>
    <s v="S"/>
    <s v="T-1"/>
    <n v="784703"/>
    <s v="MC1E4CBA4SP086159"/>
    <s v="D71073748"/>
    <m/>
    <m/>
    <x v="12"/>
    <s v="31-Dec-25"/>
    <x v="10"/>
    <n v="1250"/>
    <n v="0"/>
    <m/>
    <n v="1250"/>
    <n v="1475"/>
    <n v="225"/>
    <n v="0"/>
    <m/>
    <n v="0"/>
    <m/>
    <m/>
    <s v="T1BS6N"/>
    <s v="CVD"/>
    <s v="F"/>
  </r>
  <r>
    <n v="1655"/>
    <s v="NORTH"/>
    <s v="UTTAR PRADESH"/>
    <n v="7134"/>
    <s v="M/S GOENKA AUTO PRIVATE LIMITED."/>
    <s v="VARANASI"/>
    <s v="09-Mar-24"/>
    <s v="01-Dec-25"/>
    <n v="1165"/>
    <n v="90811"/>
    <n v="9"/>
    <s v="S"/>
    <s v="T1N"/>
    <n v="3152"/>
    <s v="MC1M4ABA5RP001114"/>
    <s v="D71048194"/>
    <m/>
    <m/>
    <x v="12"/>
    <s v="31-Dec-25"/>
    <x v="10"/>
    <n v="0"/>
    <n v="0"/>
    <m/>
    <n v="0"/>
    <n v="0"/>
    <n v="0"/>
    <n v="0"/>
    <m/>
    <n v="0"/>
    <m/>
    <m/>
    <s v="URBN"/>
    <s v="CVD"/>
    <s v="P"/>
  </r>
  <r>
    <n v="1656"/>
    <s v="NORTH"/>
    <s v="UTTAR PRADESH"/>
    <n v="7134"/>
    <s v="M/S GOENKA AUTO PRIVATE LIMITED."/>
    <s v="VARANASI"/>
    <s v="08-Jul-24"/>
    <s v="09-Dec-25"/>
    <n v="1165"/>
    <n v="110272"/>
    <n v="11"/>
    <s v="S"/>
    <s v="T-1"/>
    <n v="773701"/>
    <s v="MC1E4EFA6RP013147"/>
    <s v="D71056273"/>
    <m/>
    <m/>
    <x v="12"/>
    <s v="31-Dec-25"/>
    <x v="10"/>
    <n v="1250"/>
    <n v="0"/>
    <m/>
    <n v="1250"/>
    <n v="1475"/>
    <n v="225"/>
    <n v="0"/>
    <m/>
    <n v="0"/>
    <m/>
    <m/>
    <s v="T1BS6"/>
    <s v="CVD"/>
    <s v="F"/>
  </r>
  <r>
    <n v="1657"/>
    <s v="NORTH"/>
    <s v="UTTAR PRADESH"/>
    <n v="7134"/>
    <s v="M/S GOENKA AUTO PRIVATE LIMITED."/>
    <s v="VARANASI"/>
    <s v="22-Mar-25"/>
    <s v="23-Dec-25"/>
    <n v="876"/>
    <n v="51000"/>
    <n v="3"/>
    <s v="S"/>
    <s v="T-1"/>
    <n v="796542"/>
    <s v="MC1E4CAA6SP083829"/>
    <s v="D71069913"/>
    <s v="001"/>
    <s v="SERV KMS  / HRS EXCEEDS"/>
    <x v="12"/>
    <s v="31-Dec-25"/>
    <x v="10"/>
    <n v="1250"/>
    <n v="0"/>
    <m/>
    <n v="1000"/>
    <n v="1475"/>
    <n v="225"/>
    <n v="0"/>
    <m/>
    <n v="250"/>
    <m/>
    <m/>
    <s v="T1BS6N"/>
    <s v="CVD"/>
    <s v="F"/>
  </r>
  <r>
    <n v="1658"/>
    <s v="NORTH"/>
    <s v="UTTAR PRADESH"/>
    <n v="7134"/>
    <s v="M/S GOENKA AUTO PRIVATE LIMITED."/>
    <s v="VARANASI"/>
    <s v="29-Sep-25"/>
    <s v="09-Dec-25"/>
    <n v="1165"/>
    <n v="9300"/>
    <n v="1"/>
    <s v="S"/>
    <s v="T1N"/>
    <n v="9836"/>
    <s v="MC1M4AHA6TP005896"/>
    <s v="D71088837"/>
    <m/>
    <m/>
    <x v="12"/>
    <s v="31-Dec-25"/>
    <x v="10"/>
    <n v="1650"/>
    <n v="0"/>
    <m/>
    <n v="1650"/>
    <n v="1947"/>
    <n v="297"/>
    <n v="0"/>
    <m/>
    <n v="0"/>
    <m/>
    <m/>
    <s v="URBN"/>
    <s v="CVD"/>
    <s v="F"/>
  </r>
  <r>
    <n v="1659"/>
    <s v="NORTH"/>
    <s v="UTTAR PRADESH"/>
    <n v="7134"/>
    <s v="M/S GOENKA AUTO PRIVATE LIMITED."/>
    <s v="VARANASI"/>
    <s v="25-Mar-25"/>
    <s v="09-Dec-25"/>
    <n v="856"/>
    <n v="50000"/>
    <n v="3"/>
    <s v="S"/>
    <s v="T-1"/>
    <n v="798674"/>
    <s v="MC1E4CAA0SP084202"/>
    <s v="D71069719"/>
    <m/>
    <m/>
    <x v="12"/>
    <s v="31-Dec-25"/>
    <x v="10"/>
    <n v="1250"/>
    <n v="0"/>
    <m/>
    <n v="1250"/>
    <n v="1475"/>
    <n v="225"/>
    <n v="0"/>
    <m/>
    <n v="0"/>
    <m/>
    <m/>
    <s v="T1BS6N"/>
    <s v="CVD"/>
    <s v="F"/>
  </r>
  <r>
    <n v="1660"/>
    <s v="NORTH"/>
    <s v="UTTAR PRADESH"/>
    <n v="7134"/>
    <s v="M/S GOENKA AUTO PRIVATE LIMITED."/>
    <s v="VARANASI"/>
    <s v="13-May-25"/>
    <s v="26-Dec-25"/>
    <n v="1165"/>
    <n v="20768"/>
    <n v="3"/>
    <s v="S"/>
    <s v="T1N"/>
    <n v="7532"/>
    <s v="MC1M4ADA0SP004277"/>
    <s v="D71079105"/>
    <m/>
    <m/>
    <x v="12"/>
    <s v="31-Dec-25"/>
    <x v="10"/>
    <n v="1650"/>
    <n v="0"/>
    <m/>
    <n v="1650"/>
    <n v="1947"/>
    <n v="297"/>
    <n v="0"/>
    <m/>
    <n v="0"/>
    <m/>
    <m/>
    <s v="URBN"/>
    <s v="CVD"/>
    <s v="F"/>
  </r>
  <r>
    <n v="1661"/>
    <s v="NORTH"/>
    <s v="UTTAR PRADESH"/>
    <n v="7134"/>
    <s v="M/S GOENKA AUTO PRIVATE LIMITED."/>
    <s v="VARANASI"/>
    <s v="27-Feb-25"/>
    <s v="11-Dec-25"/>
    <n v="1165"/>
    <n v="40537"/>
    <n v="4"/>
    <s v="S"/>
    <s v="T1N"/>
    <n v="6367"/>
    <s v="MC1M4ABA8SP003400"/>
    <s v="D71072085"/>
    <m/>
    <m/>
    <x v="12"/>
    <s v="31-Dec-25"/>
    <x v="10"/>
    <n v="0"/>
    <n v="0"/>
    <m/>
    <n v="0"/>
    <n v="0"/>
    <n v="0"/>
    <n v="0"/>
    <m/>
    <n v="0"/>
    <m/>
    <m/>
    <s v="URBN"/>
    <s v="CVD"/>
    <s v="P"/>
  </r>
  <r>
    <n v="1662"/>
    <s v="NORTH"/>
    <s v="UTTAR PRADESH"/>
    <n v="7134"/>
    <s v="M/S GOENKA AUTO PRIVATE LIMITED."/>
    <s v="VARANASI"/>
    <s v="30-Oct-24"/>
    <s v="31-Dec-25"/>
    <n v="1165"/>
    <n v="43724"/>
    <n v="5"/>
    <s v="S"/>
    <s v="T1N"/>
    <n v="4898"/>
    <s v="MC1M4AKA9SP002577"/>
    <s v="D71064017"/>
    <m/>
    <m/>
    <x v="12"/>
    <s v="31-Dec-25"/>
    <x v="10"/>
    <n v="1650"/>
    <n v="0"/>
    <m/>
    <n v="1650"/>
    <n v="1947"/>
    <n v="297"/>
    <n v="0"/>
    <m/>
    <n v="0"/>
    <m/>
    <m/>
    <s v="URBN"/>
    <s v="CVD"/>
    <s v="F"/>
  </r>
  <r>
    <n v="1663"/>
    <s v="NORTH"/>
    <s v="UTTAR PRADESH"/>
    <n v="7134"/>
    <s v="M/S GOENKA AUTO PRIVATE LIMITED."/>
    <s v="VARANASI"/>
    <s v="29-Sep-25"/>
    <s v="01-Dec-25"/>
    <n v="1165"/>
    <n v="10760"/>
    <n v="1"/>
    <s v="S"/>
    <s v="T1N"/>
    <n v="10846"/>
    <s v="MC1M4AJA5TP006077"/>
    <s v="D71089905"/>
    <m/>
    <m/>
    <x v="12"/>
    <s v="31-Dec-25"/>
    <x v="10"/>
    <n v="1650"/>
    <n v="0"/>
    <m/>
    <n v="1650"/>
    <n v="1947"/>
    <n v="297"/>
    <n v="0"/>
    <m/>
    <n v="0"/>
    <m/>
    <m/>
    <s v="URBN"/>
    <s v="CVD"/>
    <s v="F"/>
  </r>
  <r>
    <n v="1664"/>
    <s v="NORTH"/>
    <s v="UTTAR PRADESH"/>
    <n v="7134"/>
    <s v="M/S GOENKA AUTO PRIVATE LIMITED."/>
    <s v="VARANASI"/>
    <s v="29-Oct-24"/>
    <s v="04-Dec-25"/>
    <n v="1165"/>
    <n v="40024"/>
    <n v="7"/>
    <s v="S"/>
    <s v="T-1"/>
    <n v="790577"/>
    <s v="MC1E4EKA6SP014276"/>
    <s v="D71063328"/>
    <m/>
    <m/>
    <x v="12"/>
    <s v="31-Dec-25"/>
    <x v="10"/>
    <n v="0"/>
    <n v="0"/>
    <m/>
    <n v="0"/>
    <n v="0"/>
    <n v="0"/>
    <n v="0"/>
    <m/>
    <n v="0"/>
    <m/>
    <m/>
    <s v="T1BS6"/>
    <s v="CVD"/>
    <s v="P"/>
  </r>
  <r>
    <n v="1665"/>
    <s v="NORTH"/>
    <s v="UTTAR PRADESH"/>
    <n v="7134"/>
    <s v="M/S GOENKA AUTO PRIVATE LIMITED."/>
    <s v="VARANASI"/>
    <s v="08-Oct-24"/>
    <s v="15-Dec-25"/>
    <n v="1160"/>
    <n v="19437"/>
    <n v="5"/>
    <s v="S"/>
    <s v="T1N"/>
    <n v="5365"/>
    <s v="MC1M4AJA1SP002395"/>
    <s v="D71062536"/>
    <m/>
    <m/>
    <x v="12"/>
    <s v="31-Dec-25"/>
    <x v="10"/>
    <n v="1650"/>
    <n v="0"/>
    <m/>
    <n v="1650"/>
    <n v="1947"/>
    <n v="297"/>
    <n v="0"/>
    <m/>
    <n v="0"/>
    <m/>
    <m/>
    <s v="URBN"/>
    <s v="CVD"/>
    <s v="F"/>
  </r>
  <r>
    <n v="1666"/>
    <s v="NORTH"/>
    <s v="UTTAR PRADESH"/>
    <n v="7134"/>
    <s v="M/S GOENKA AUTO PRIVATE LIMITED."/>
    <s v="VARANASI"/>
    <s v="31-Oct-25"/>
    <s v="26-Dec-25"/>
    <n v="1165"/>
    <n v="6925"/>
    <n v="1"/>
    <s v="S"/>
    <s v="T1N"/>
    <n v="11404"/>
    <s v="MC1M4AKA7TP006614"/>
    <s v="D71091854"/>
    <m/>
    <m/>
    <x v="12"/>
    <s v="31-Dec-25"/>
    <x v="10"/>
    <n v="1650"/>
    <n v="0"/>
    <m/>
    <n v="1650"/>
    <n v="1947"/>
    <n v="297"/>
    <n v="0"/>
    <m/>
    <n v="0"/>
    <m/>
    <m/>
    <s v="URBN"/>
    <s v="CVD"/>
    <s v="F"/>
  </r>
  <r>
    <n v="1667"/>
    <s v="NORTH"/>
    <s v="UTTAR PRADESH"/>
    <n v="7134"/>
    <s v="M/S GOENKA AUTO PRIVATE LIMITED."/>
    <s v="VARANASI"/>
    <s v="06-Feb-25"/>
    <s v="03-Dec-25"/>
    <n v="1165"/>
    <n v="40000"/>
    <n v="5"/>
    <s v="S"/>
    <s v="T-1"/>
    <n v="791054"/>
    <s v="MC1E4DKA6SP055081"/>
    <s v="D71065081"/>
    <m/>
    <m/>
    <x v="12"/>
    <s v="31-Dec-25"/>
    <x v="10"/>
    <n v="1250"/>
    <n v="0"/>
    <m/>
    <n v="1250"/>
    <n v="1475"/>
    <n v="225"/>
    <n v="0"/>
    <m/>
    <n v="0"/>
    <m/>
    <m/>
    <s v="T1BS6"/>
    <s v="CVD"/>
    <s v="F"/>
  </r>
  <r>
    <n v="1668"/>
    <s v="NORTH"/>
    <s v="UTTAR PRADESH"/>
    <n v="7134"/>
    <s v="M/S GOENKA AUTO PRIVATE LIMITED."/>
    <s v="VARANASI"/>
    <s v="31-Jul-25"/>
    <s v="07-Dec-25"/>
    <n v="1167"/>
    <n v="10212"/>
    <n v="2"/>
    <s v="S"/>
    <s v="T-1"/>
    <n v="807067"/>
    <s v="MC1E4EFA8SP016654"/>
    <s v="D71082978"/>
    <m/>
    <m/>
    <x v="12"/>
    <s v="31-Dec-25"/>
    <x v="10"/>
    <n v="0"/>
    <n v="0"/>
    <m/>
    <n v="0"/>
    <n v="0"/>
    <n v="0"/>
    <n v="0"/>
    <m/>
    <n v="0"/>
    <m/>
    <m/>
    <s v="T1BS6"/>
    <s v="CVD"/>
    <s v="P"/>
  </r>
  <r>
    <n v="1669"/>
    <s v="NORTH"/>
    <s v="UTTAR PRADESH"/>
    <n v="7134"/>
    <s v="M/S GOENKA AUTO PRIVATE LIMITED."/>
    <s v="VARANASI"/>
    <s v="12-Aug-25"/>
    <s v="28-Dec-25"/>
    <n v="1165"/>
    <n v="5403"/>
    <n v="2"/>
    <s v="S"/>
    <s v="T-1"/>
    <n v="803995"/>
    <s v="MC1E4DGA9TP058146"/>
    <s v="D71085879"/>
    <s v="022"/>
    <s v="SERVICE COUPON HARD COPY NOT RECEIVED"/>
    <x v="12"/>
    <s v="31-Dec-25"/>
    <x v="10"/>
    <n v="1250"/>
    <n v="0"/>
    <m/>
    <n v="0"/>
    <n v="1475"/>
    <n v="225"/>
    <n v="0"/>
    <m/>
    <n v="1250"/>
    <m/>
    <m/>
    <s v="T1BS6N"/>
    <s v="CVD"/>
    <s v="F"/>
  </r>
  <r>
    <n v="1670"/>
    <s v="NORTH"/>
    <s v="UTTAR PRADESH"/>
    <n v="7134"/>
    <s v="M/S GOENKA AUTO PRIVATE LIMITED."/>
    <s v="VARANASI"/>
    <s v="30-Oct-25"/>
    <s v="08-Dec-25"/>
    <n v="1165"/>
    <n v="4621"/>
    <n v="1"/>
    <s v="S"/>
    <s v="TRAX"/>
    <n v="331537"/>
    <s v="MC1D4DJA2TP110608"/>
    <s v="D72022563"/>
    <m/>
    <m/>
    <x v="12"/>
    <s v="31-Dec-25"/>
    <x v="10"/>
    <n v="1250"/>
    <n v="0"/>
    <m/>
    <n v="1250"/>
    <n v="1475"/>
    <n v="225"/>
    <n v="0"/>
    <m/>
    <n v="0"/>
    <m/>
    <m/>
    <s v="TRXBS6"/>
    <s v="CVD"/>
    <s v="F"/>
  </r>
  <r>
    <n v="1671"/>
    <s v="NORTH"/>
    <s v="UTTAR PRADESH"/>
    <n v="7134"/>
    <s v="M/S GOENKA AUTO PRIVATE LIMITED."/>
    <s v="VARANASI"/>
    <s v="25-Feb-25"/>
    <s v="07-Dec-25"/>
    <n v="1165"/>
    <n v="31210"/>
    <n v="2"/>
    <s v="S"/>
    <s v="T-1"/>
    <n v="795727"/>
    <s v="MC1E4DAAXSP055814"/>
    <s v="D71069018"/>
    <s v="001"/>
    <s v="SERV KMS  / HRS EXCEEDS"/>
    <x v="12"/>
    <s v="31-Dec-25"/>
    <x v="10"/>
    <n v="1250"/>
    <n v="0"/>
    <m/>
    <n v="1000"/>
    <n v="1475"/>
    <n v="225"/>
    <n v="0"/>
    <m/>
    <n v="250"/>
    <m/>
    <m/>
    <s v="T1BS6N"/>
    <s v="CVD"/>
    <s v="F"/>
  </r>
  <r>
    <n v="1672"/>
    <s v="NORTH"/>
    <s v="UTTAR PRADESH"/>
    <n v="7134"/>
    <s v="M/S GOENKA AUTO PRIVATE LIMITED."/>
    <s v="VARANASI"/>
    <s v="08-Mar-25"/>
    <s v="09-Dec-25"/>
    <n v="914"/>
    <n v="50000"/>
    <n v="3"/>
    <s v="S"/>
    <s v="T-1"/>
    <n v="796158"/>
    <s v="MC1E4CAA3SP083884"/>
    <s v="D71069691"/>
    <m/>
    <m/>
    <x v="12"/>
    <s v="31-Dec-25"/>
    <x v="10"/>
    <n v="1250"/>
    <n v="0"/>
    <m/>
    <n v="1250"/>
    <n v="1475"/>
    <n v="225"/>
    <n v="0"/>
    <m/>
    <n v="0"/>
    <m/>
    <m/>
    <s v="T1BS6N"/>
    <s v="CVD"/>
    <s v="F"/>
  </r>
  <r>
    <n v="1673"/>
    <s v="NORTH"/>
    <s v="UTTAR PRADESH"/>
    <n v="7134"/>
    <s v="M/S GOENKA AUTO PRIVATE LIMITED."/>
    <s v="VARANASI"/>
    <s v="12-Oct-23"/>
    <s v="08-Dec-25"/>
    <n v="1165"/>
    <n v="69485"/>
    <n v="13"/>
    <s v="S"/>
    <s v="T-1"/>
    <n v="754002"/>
    <s v="MC1E4EJA0RP010574"/>
    <s v="D71039432"/>
    <m/>
    <m/>
    <x v="12"/>
    <s v="31-Dec-25"/>
    <x v="10"/>
    <n v="0"/>
    <n v="0"/>
    <m/>
    <n v="0"/>
    <n v="0"/>
    <n v="0"/>
    <n v="0"/>
    <m/>
    <n v="0"/>
    <m/>
    <m/>
    <s v="T1BS6"/>
    <s v="CVD"/>
    <s v="P"/>
  </r>
  <r>
    <n v="1674"/>
    <s v="NORTH"/>
    <s v="UTTAR PRADESH"/>
    <n v="7134"/>
    <s v="M/S GOENKA AUTO PRIVATE LIMITED."/>
    <s v="VARANASI"/>
    <s v="24-Mar-25"/>
    <s v="11-Dec-25"/>
    <n v="955"/>
    <n v="50000"/>
    <n v="3"/>
    <s v="S"/>
    <s v="T-1"/>
    <n v="798734"/>
    <s v="MC1E4CBA5SP084940"/>
    <s v="D71071458"/>
    <m/>
    <m/>
    <x v="12"/>
    <s v="31-Dec-25"/>
    <x v="10"/>
    <n v="1250"/>
    <n v="0"/>
    <m/>
    <n v="1250"/>
    <n v="1475"/>
    <n v="225"/>
    <n v="0"/>
    <m/>
    <n v="0"/>
    <m/>
    <m/>
    <s v="T1BS6N"/>
    <s v="CVD"/>
    <s v="F"/>
  </r>
  <r>
    <n v="1675"/>
    <s v="NORTH"/>
    <s v="UTTAR PRADESH"/>
    <n v="7134"/>
    <s v="M/S GOENKA AUTO PRIVATE LIMITED."/>
    <s v="VARANASI"/>
    <s v="31-Aug-24"/>
    <s v="05-Dec-25"/>
    <n v="1165"/>
    <n v="57443"/>
    <n v="6"/>
    <s v="S"/>
    <s v="T1N"/>
    <n v="4929"/>
    <s v="MC1M4AGA2SP002056"/>
    <s v="D71058792"/>
    <m/>
    <m/>
    <x v="12"/>
    <s v="31-Dec-25"/>
    <x v="10"/>
    <n v="0"/>
    <n v="0"/>
    <m/>
    <n v="0"/>
    <n v="0"/>
    <n v="0"/>
    <n v="0"/>
    <m/>
    <n v="0"/>
    <m/>
    <m/>
    <s v="URBN"/>
    <s v="CVD"/>
    <s v="P"/>
  </r>
  <r>
    <n v="1676"/>
    <s v="NORTH"/>
    <s v="UTTAR PRADESH"/>
    <n v="7134"/>
    <s v="M/S GOENKA AUTO PRIVATE LIMITED."/>
    <s v="VARANASI"/>
    <s v="25-Mar-25"/>
    <s v="15-Dec-25"/>
    <n v="872"/>
    <n v="50000"/>
    <n v="3"/>
    <s v="S"/>
    <s v="T-1"/>
    <n v="798677"/>
    <s v="MC1E4CAA7SP083984"/>
    <s v="D71070180"/>
    <m/>
    <m/>
    <x v="12"/>
    <s v="31-Dec-25"/>
    <x v="10"/>
    <n v="1250"/>
    <n v="0"/>
    <m/>
    <n v="1250"/>
    <n v="1475"/>
    <n v="225"/>
    <n v="0"/>
    <m/>
    <n v="0"/>
    <m/>
    <m/>
    <s v="T1BS6N"/>
    <s v="CVD"/>
    <s v="F"/>
  </r>
  <r>
    <n v="1677"/>
    <s v="NORTH"/>
    <s v="UTTAR PRADESH"/>
    <n v="7134"/>
    <s v="M/S GOENKA AUTO PRIVATE LIMITED."/>
    <s v="VARANASI"/>
    <s v="31-Dec-24"/>
    <s v="07-Dec-25"/>
    <n v="1165"/>
    <n v="42436"/>
    <n v="4"/>
    <s v="S"/>
    <s v="T1N"/>
    <n v="6182"/>
    <s v="MC1M4AMA9SP003001"/>
    <s v="D71066870"/>
    <s v="001"/>
    <s v="SERV KMS  / HRS EXCEEDS"/>
    <x v="12"/>
    <s v="31-Dec-25"/>
    <x v="10"/>
    <n v="0"/>
    <n v="0"/>
    <m/>
    <n v="0"/>
    <n v="0"/>
    <n v="0"/>
    <n v="0"/>
    <m/>
    <n v="0"/>
    <m/>
    <m/>
    <s v="URBN"/>
    <s v="CVD"/>
    <s v="P"/>
  </r>
  <r>
    <n v="1678"/>
    <s v="NORTH"/>
    <s v="UTTAR PRADESH"/>
    <n v="7134"/>
    <s v="M/S GOENKA AUTO PRIVATE LIMITED."/>
    <s v="VARANASI"/>
    <s v="14-Aug-25"/>
    <s v="02-Dec-25"/>
    <n v="1165"/>
    <n v="5067"/>
    <n v="1"/>
    <s v="S"/>
    <s v="T26"/>
    <n v="784170"/>
    <s v="MC1E4FEAXSP023810"/>
    <s v="D71081785"/>
    <m/>
    <m/>
    <x v="12"/>
    <s v="31-Dec-25"/>
    <x v="10"/>
    <n v="1250"/>
    <n v="0"/>
    <m/>
    <n v="1250"/>
    <n v="1475"/>
    <n v="225"/>
    <n v="0"/>
    <m/>
    <n v="0"/>
    <m/>
    <m/>
    <s v="T26BS6N"/>
    <s v="CVD"/>
    <s v="F"/>
  </r>
  <r>
    <n v="1679"/>
    <s v="NORTH"/>
    <s v="UTTAR PRADESH"/>
    <n v="7134"/>
    <s v="M/S GOENKA AUTO PRIVATE LIMITED."/>
    <s v="VARANASI"/>
    <s v="23-Mar-25"/>
    <s v="14-Dec-25"/>
    <n v="891"/>
    <n v="50000"/>
    <n v="3"/>
    <s v="S"/>
    <s v="T-1"/>
    <n v="798151"/>
    <s v="MC1E4CAA2SP084590"/>
    <s v="D71070978"/>
    <m/>
    <m/>
    <x v="12"/>
    <s v="31-Dec-25"/>
    <x v="10"/>
    <n v="1250"/>
    <n v="0"/>
    <m/>
    <n v="1250"/>
    <n v="1475"/>
    <n v="225"/>
    <n v="0"/>
    <m/>
    <n v="0"/>
    <m/>
    <m/>
    <s v="T1BS6N"/>
    <s v="CVD"/>
    <s v="F"/>
  </r>
  <r>
    <n v="1680"/>
    <s v="NORTH"/>
    <s v="UTTAR PRADESH"/>
    <n v="7134"/>
    <s v="M/S GOENKA AUTO PRIVATE LIMITED."/>
    <s v="VARANASI"/>
    <s v="31-Mar-25"/>
    <s v="02-Dec-25"/>
    <n v="829"/>
    <n v="51200"/>
    <n v="3"/>
    <s v="S"/>
    <s v="T-1"/>
    <n v="795183"/>
    <s v="MC1E4CAA9SP083520"/>
    <s v="D71069251"/>
    <s v="001"/>
    <s v="SERV KMS  / HRS EXCEEDS"/>
    <x v="12"/>
    <s v="31-Dec-25"/>
    <x v="10"/>
    <n v="1250"/>
    <n v="0"/>
    <m/>
    <n v="1000"/>
    <n v="1475"/>
    <n v="225"/>
    <n v="0"/>
    <m/>
    <n v="250"/>
    <m/>
    <m/>
    <s v="T1BS6N"/>
    <s v="CVD"/>
    <s v="F"/>
  </r>
  <r>
    <n v="1681"/>
    <s v="NORTH"/>
    <s v="UTTAR PRADESH"/>
    <n v="7134"/>
    <s v="M/S GOENKA AUTO PRIVATE LIMITED."/>
    <s v="VARANASI"/>
    <s v="17-Oct-24"/>
    <s v="24-Dec-25"/>
    <n v="1165"/>
    <n v="24461"/>
    <n v="7"/>
    <s v="S"/>
    <s v="T-1"/>
    <n v="781991"/>
    <s v="MC1E5DGA8SP000573"/>
    <s v="D73001418"/>
    <m/>
    <m/>
    <x v="12"/>
    <s v="31-Dec-25"/>
    <x v="10"/>
    <n v="0"/>
    <n v="0"/>
    <m/>
    <n v="0"/>
    <n v="0"/>
    <n v="0"/>
    <n v="0"/>
    <m/>
    <n v="0"/>
    <m/>
    <m/>
    <s v="T1CNGL"/>
    <s v="CVD"/>
    <s v="P"/>
  </r>
  <r>
    <n v="1682"/>
    <s v="NORTH"/>
    <s v="UTTAR PRADESH"/>
    <n v="7134"/>
    <s v="M/S GOENKA AUTO PRIVATE LIMITED."/>
    <s v="VARANASI"/>
    <s v="16-Feb-24"/>
    <s v="02-Dec-25"/>
    <n v="1165"/>
    <n v="117170"/>
    <n v="12"/>
    <s v="S"/>
    <s v="T26"/>
    <n v="766694"/>
    <s v="MC1E4FAA0RP019118"/>
    <s v="D71045606"/>
    <m/>
    <m/>
    <x v="12"/>
    <s v="31-Dec-25"/>
    <x v="10"/>
    <n v="0"/>
    <n v="0"/>
    <m/>
    <n v="0"/>
    <n v="0"/>
    <n v="0"/>
    <n v="0"/>
    <m/>
    <n v="0"/>
    <m/>
    <m/>
    <s v="T26BS6"/>
    <s v="CVD"/>
    <s v="P"/>
  </r>
  <r>
    <n v="1683"/>
    <s v="NORTH"/>
    <s v="UTTAR PRADESH"/>
    <n v="7134"/>
    <s v="M/S GOENKA AUTO PRIVATE LIMITED."/>
    <s v="VARANASI"/>
    <s v="24-Mar-25"/>
    <s v="21-Dec-25"/>
    <n v="1165"/>
    <n v="8950"/>
    <n v="4"/>
    <s v="S"/>
    <s v="T26"/>
    <n v="794594"/>
    <s v="MC1E4FCA4SP023076"/>
    <s v="D71075966"/>
    <s v="002"/>
    <s v="SERV DATE EXCEEDS"/>
    <x v="12"/>
    <s v="31-Dec-25"/>
    <x v="10"/>
    <n v="0"/>
    <n v="0"/>
    <m/>
    <n v="0"/>
    <n v="0"/>
    <n v="0"/>
    <n v="0"/>
    <m/>
    <n v="0"/>
    <m/>
    <m/>
    <s v="T26BS6"/>
    <s v="CVD"/>
    <s v="P"/>
  </r>
  <r>
    <n v="1684"/>
    <s v="NORTH"/>
    <s v="UTTAR PRADESH"/>
    <n v="7134"/>
    <s v="M/S GOENKA AUTO PRIVATE LIMITED."/>
    <s v="VARANASI"/>
    <s v="16-Oct-24"/>
    <s v="30-Dec-25"/>
    <n v="1165"/>
    <n v="14775"/>
    <n v="7"/>
    <s v="S"/>
    <s v="TRAX"/>
    <n v="324754"/>
    <s v="MC1D4DJA6SP105491"/>
    <s v="D72016912"/>
    <m/>
    <m/>
    <x v="12"/>
    <s v="31-Dec-25"/>
    <x v="10"/>
    <n v="0"/>
    <n v="0"/>
    <m/>
    <n v="0"/>
    <n v="0"/>
    <n v="0"/>
    <n v="0"/>
    <m/>
    <n v="0"/>
    <m/>
    <m/>
    <s v="TRXBS6"/>
    <s v="CVD"/>
    <s v="P"/>
  </r>
  <r>
    <n v="1685"/>
    <s v="NORTH"/>
    <s v="UTTAR PRADESH"/>
    <n v="7134"/>
    <s v="M/S GOENKA AUTO PRIVATE LIMITED."/>
    <s v="VARANASI"/>
    <s v="08-Mar-25"/>
    <s v="26-Dec-25"/>
    <n v="942"/>
    <n v="53381"/>
    <n v="3"/>
    <s v="S"/>
    <s v="T-1"/>
    <n v="796014"/>
    <s v="MC1E4CAA4SP083988"/>
    <s v="D71070108"/>
    <s v="001, 022"/>
    <s v="SERV KMS  / HRS EXCEEDS, SERVICE COUPON HARD COPY NOT RECEIVED"/>
    <x v="12"/>
    <s v="31-Dec-25"/>
    <x v="10"/>
    <n v="1250"/>
    <n v="0"/>
    <m/>
    <n v="0"/>
    <n v="1475"/>
    <n v="225"/>
    <n v="0"/>
    <m/>
    <n v="1250"/>
    <m/>
    <m/>
    <s v="T1BS6N"/>
    <s v="CVD"/>
    <s v="F"/>
  </r>
  <r>
    <n v="1686"/>
    <s v="NORTH"/>
    <s v="UTTAR PRADESH"/>
    <n v="7134"/>
    <s v="M/S GOENKA AUTO PRIVATE LIMITED."/>
    <s v="VARANASI"/>
    <s v="30-Nov-24"/>
    <s v="08-Dec-25"/>
    <n v="1165"/>
    <n v="61950"/>
    <n v="6"/>
    <s v="S"/>
    <s v="T1N"/>
    <n v="5597"/>
    <s v="MC1M4AKAXSP002667"/>
    <s v="D71064615"/>
    <s v="001"/>
    <s v="SERV KMS  / HRS EXCEEDS"/>
    <x v="12"/>
    <s v="31-Dec-25"/>
    <x v="10"/>
    <n v="0"/>
    <n v="0"/>
    <m/>
    <n v="0"/>
    <n v="0"/>
    <n v="0"/>
    <n v="0"/>
    <m/>
    <n v="0"/>
    <m/>
    <m/>
    <s v="URBN"/>
    <s v="CVD"/>
    <s v="P"/>
  </r>
  <r>
    <n v="1687"/>
    <s v="NORTH"/>
    <s v="UTTAR PRADESH"/>
    <n v="7134"/>
    <s v="M/S GOENKA AUTO PRIVATE LIMITED."/>
    <s v="VARANASI"/>
    <s v="27-Mar-25"/>
    <s v="26-Dec-25"/>
    <n v="850"/>
    <n v="50000"/>
    <n v="3"/>
    <s v="S"/>
    <s v="T-1"/>
    <n v="797769"/>
    <s v="MC1E4CBA4SP085738"/>
    <s v="D71073004"/>
    <m/>
    <m/>
    <x v="12"/>
    <s v="31-Dec-25"/>
    <x v="10"/>
    <n v="1250"/>
    <n v="0"/>
    <m/>
    <n v="1250"/>
    <n v="1475"/>
    <n v="225"/>
    <n v="0"/>
    <m/>
    <n v="0"/>
    <m/>
    <m/>
    <s v="T1BS6N"/>
    <s v="CVD"/>
    <s v="F"/>
  </r>
  <r>
    <n v="1688"/>
    <s v="NORTH"/>
    <s v="UTTAR PRADESH"/>
    <n v="7134"/>
    <s v="M/S GOENKA AUTO PRIVATE LIMITED."/>
    <s v="VARANASI"/>
    <s v="24-Jul-25"/>
    <s v="31-Dec-25"/>
    <n v="1165"/>
    <n v="19856"/>
    <n v="3"/>
    <s v="S"/>
    <s v="T1N"/>
    <n v="8573"/>
    <s v="MC1M4AFA4SP005137"/>
    <s v="D71084206"/>
    <m/>
    <m/>
    <x v="12"/>
    <s v="31-Dec-25"/>
    <x v="10"/>
    <n v="1650"/>
    <n v="0"/>
    <m/>
    <n v="1650"/>
    <n v="1947"/>
    <n v="297"/>
    <n v="0"/>
    <m/>
    <n v="0"/>
    <m/>
    <m/>
    <s v="URBN"/>
    <s v="CVD"/>
    <s v="F"/>
  </r>
  <r>
    <n v="1689"/>
    <s v="NORTH"/>
    <s v="UTTAR PRADESH"/>
    <n v="7134"/>
    <s v="M/S GOENKA AUTO PRIVATE LIMITED."/>
    <s v="VARANASI"/>
    <s v="23-Mar-25"/>
    <s v="21-Dec-25"/>
    <n v="853"/>
    <n v="50380"/>
    <n v="3"/>
    <s v="S"/>
    <s v="T-1"/>
    <n v="798937"/>
    <s v="MC1E4CAA0SP084832"/>
    <s v="D71071296"/>
    <m/>
    <m/>
    <x v="12"/>
    <s v="31-Dec-25"/>
    <x v="10"/>
    <n v="1250"/>
    <n v="0"/>
    <m/>
    <n v="1250"/>
    <n v="1475"/>
    <n v="225"/>
    <n v="0"/>
    <m/>
    <n v="0"/>
    <m/>
    <m/>
    <s v="T1BS6N"/>
    <s v="CVD"/>
    <s v="F"/>
  </r>
  <r>
    <n v="1690"/>
    <s v="NORTH"/>
    <s v="UTTAR PRADESH"/>
    <n v="7134"/>
    <s v="M/S GOENKA AUTO PRIVATE LIMITED."/>
    <s v="VARANASI"/>
    <s v="18-Feb-25"/>
    <s v="25-Dec-25"/>
    <n v="1165"/>
    <n v="40000"/>
    <n v="4"/>
    <s v="S"/>
    <s v="T1N"/>
    <n v="6346"/>
    <s v="MC1M4AAA7SP003356"/>
    <s v="D71071189"/>
    <m/>
    <m/>
    <x v="12"/>
    <s v="31-Dec-25"/>
    <x v="10"/>
    <n v="0"/>
    <n v="0"/>
    <m/>
    <n v="0"/>
    <n v="0"/>
    <n v="0"/>
    <n v="0"/>
    <m/>
    <n v="0"/>
    <m/>
    <m/>
    <s v="URBN"/>
    <s v="CVD"/>
    <s v="P"/>
  </r>
  <r>
    <n v="1691"/>
    <s v="NORTH"/>
    <s v="UTTAR PRADESH"/>
    <n v="7134"/>
    <s v="M/S GOENKA AUTO PRIVATE LIMITED."/>
    <s v="VARANASI"/>
    <s v="26-Aug-25"/>
    <s v="30-Dec-25"/>
    <n v="1165"/>
    <n v="18855"/>
    <n v="2"/>
    <s v="S"/>
    <s v="T26"/>
    <n v="805626"/>
    <s v="MC1E4FHA6TP024451"/>
    <s v="D71084603"/>
    <m/>
    <m/>
    <x v="12"/>
    <s v="31-Dec-25"/>
    <x v="10"/>
    <n v="0"/>
    <n v="0"/>
    <m/>
    <n v="0"/>
    <n v="0"/>
    <n v="0"/>
    <n v="0"/>
    <m/>
    <n v="0"/>
    <m/>
    <m/>
    <s v="T26BS6"/>
    <s v="CVD"/>
    <s v="P"/>
  </r>
  <r>
    <n v="1692"/>
    <s v="NORTH"/>
    <s v="UTTAR PRADESH"/>
    <n v="7134"/>
    <s v="M/S GOENKA AUTO PRIVATE LIMITED."/>
    <s v="VARANASI"/>
    <s v="27-Jan-25"/>
    <s v="15-Dec-25"/>
    <n v="2500"/>
    <n v="48080"/>
    <n v="5"/>
    <s v="S"/>
    <s v="T-1"/>
    <n v="792320"/>
    <s v="MC1E4EKA6SP014620"/>
    <s v="D71065098"/>
    <s v="002"/>
    <s v="SERV DATE EXCEEDS"/>
    <x v="12"/>
    <s v="31-Dec-25"/>
    <x v="10"/>
    <n v="1250"/>
    <n v="0"/>
    <m/>
    <n v="1000"/>
    <n v="1475"/>
    <n v="225"/>
    <n v="0"/>
    <m/>
    <n v="250"/>
    <m/>
    <m/>
    <s v="T1BS6"/>
    <s v="CVD"/>
    <s v="F"/>
  </r>
  <r>
    <n v="1693"/>
    <s v="NORTH"/>
    <s v="UTTAR PRADESH"/>
    <n v="7134"/>
    <s v="M/S GOENKA AUTO PRIVATE LIMITED."/>
    <s v="VARANASI"/>
    <s v="27-Mar-25"/>
    <s v="05-Dec-25"/>
    <n v="860"/>
    <n v="51104"/>
    <n v="3"/>
    <s v="S"/>
    <s v="T-1"/>
    <n v="797770"/>
    <s v="MC1E4CBAXSP085811"/>
    <s v="D71073110"/>
    <s v="001"/>
    <s v="SERV KMS  / HRS EXCEEDS"/>
    <x v="12"/>
    <s v="31-Dec-25"/>
    <x v="10"/>
    <n v="1250"/>
    <n v="0"/>
    <m/>
    <n v="1000"/>
    <n v="1475"/>
    <n v="225"/>
    <n v="0"/>
    <m/>
    <n v="250"/>
    <m/>
    <m/>
    <s v="T1BS6N"/>
    <s v="CVD"/>
    <s v="F"/>
  </r>
  <r>
    <n v="1694"/>
    <s v="NORTH"/>
    <s v="UTTAR PRADESH"/>
    <n v="7134"/>
    <s v="M/S GOENKA AUTO PRIVATE LIMITED."/>
    <s v="VARANASI"/>
    <s v="28-Sep-24"/>
    <s v="22-Dec-25"/>
    <n v="1165"/>
    <n v="66011"/>
    <n v="8"/>
    <s v="S"/>
    <s v="T26"/>
    <n v="789775"/>
    <s v="MC1E4FHA2SP021349"/>
    <s v="D71060882"/>
    <m/>
    <m/>
    <x v="12"/>
    <s v="31-Dec-25"/>
    <x v="10"/>
    <n v="1250"/>
    <n v="0"/>
    <m/>
    <n v="1250"/>
    <n v="1475"/>
    <n v="225"/>
    <n v="0"/>
    <m/>
    <n v="0"/>
    <m/>
    <m/>
    <s v="T26BS6"/>
    <s v="CVD"/>
    <s v="F"/>
  </r>
  <r>
    <n v="1695"/>
    <s v="NORTH"/>
    <s v="UTTAR PRADESH"/>
    <n v="7134"/>
    <s v="M/S GOENKA AUTO PRIVATE LIMITED."/>
    <s v="VARANASI"/>
    <s v="10-Jul-25"/>
    <s v="09-Dec-25"/>
    <n v="1165"/>
    <n v="23752"/>
    <n v="3"/>
    <s v="S"/>
    <s v="T1N"/>
    <n v="7892"/>
    <s v="MC1M4AFA7SP005116"/>
    <s v="D71084105"/>
    <m/>
    <m/>
    <x v="12"/>
    <s v="31-Dec-25"/>
    <x v="10"/>
    <n v="1650"/>
    <n v="0"/>
    <m/>
    <n v="1650"/>
    <n v="1947"/>
    <n v="297"/>
    <n v="0"/>
    <m/>
    <n v="0"/>
    <m/>
    <m/>
    <s v="URBN"/>
    <s v="CVD"/>
    <s v="F"/>
  </r>
  <r>
    <n v="1696"/>
    <s v="NORTH"/>
    <s v="UTTAR PRADESH"/>
    <n v="7134"/>
    <s v="M/S GOENKA AUTO PRIVATE LIMITED."/>
    <s v="VARANASI"/>
    <s v="21-Oct-24"/>
    <s v="03-Dec-25"/>
    <n v="1165"/>
    <n v="117635"/>
    <n v="7"/>
    <s v="S"/>
    <s v="T-1"/>
    <n v="787041"/>
    <s v="MC1E4EHA9SP013856"/>
    <s v="D71061114"/>
    <s v="001"/>
    <s v="SERV KMS  / HRS EXCEEDS"/>
    <x v="12"/>
    <s v="31-Dec-25"/>
    <x v="10"/>
    <n v="0"/>
    <n v="0"/>
    <m/>
    <n v="0"/>
    <n v="0"/>
    <n v="0"/>
    <n v="0"/>
    <m/>
    <n v="0"/>
    <m/>
    <m/>
    <s v="T1BS6"/>
    <s v="CVD"/>
    <s v="P"/>
  </r>
  <r>
    <n v="1697"/>
    <s v="NORTH"/>
    <s v="UTTAR PRADESH"/>
    <n v="7134"/>
    <s v="M/S GOENKA AUTO PRIVATE LIMITED."/>
    <s v="VARANASI"/>
    <s v="20-Feb-25"/>
    <s v="28-Dec-25"/>
    <n v="866"/>
    <n v="50000"/>
    <n v="3"/>
    <s v="S"/>
    <s v="T-1"/>
    <n v="796366"/>
    <s v="MC1E4CAA9SP083386"/>
    <s v="D71069257"/>
    <m/>
    <m/>
    <x v="12"/>
    <s v="31-Dec-25"/>
    <x v="10"/>
    <n v="1250"/>
    <n v="0"/>
    <m/>
    <n v="1250"/>
    <n v="1475"/>
    <n v="225"/>
    <n v="0"/>
    <m/>
    <n v="0"/>
    <m/>
    <m/>
    <s v="T1BS6N"/>
    <s v="CVD"/>
    <s v="F"/>
  </r>
  <r>
    <n v="1698"/>
    <s v="NORTH"/>
    <s v="UTTAR PRADESH"/>
    <n v="7134"/>
    <s v="M/S GOENKA AUTO PRIVATE LIMITED."/>
    <s v="VARANASI"/>
    <s v="27-Mar-25"/>
    <s v="16-Dec-25"/>
    <n v="852"/>
    <n v="50000"/>
    <n v="3"/>
    <s v="S"/>
    <s v="T-1"/>
    <n v="797765"/>
    <s v="MC1E4CBA3SP085746"/>
    <s v="D71073028"/>
    <m/>
    <m/>
    <x v="12"/>
    <s v="31-Dec-25"/>
    <x v="10"/>
    <n v="1250"/>
    <n v="0"/>
    <m/>
    <n v="1250"/>
    <n v="1475"/>
    <n v="225"/>
    <n v="0"/>
    <m/>
    <n v="0"/>
    <m/>
    <m/>
    <s v="T1BS6N"/>
    <s v="CVD"/>
    <s v="F"/>
  </r>
  <r>
    <n v="1699"/>
    <s v="NORTH"/>
    <s v="UTTAR PRADESH"/>
    <n v="7134"/>
    <s v="M/S GOENKA AUTO PRIVATE LIMITED."/>
    <s v="VARANASI"/>
    <s v="24-Mar-25"/>
    <s v="09-Dec-25"/>
    <n v="884"/>
    <n v="50000"/>
    <n v="3"/>
    <s v="S"/>
    <s v="T-1"/>
    <n v="798543"/>
    <s v="MC1E4CBA1SP085308"/>
    <s v="D71072308"/>
    <m/>
    <m/>
    <x v="12"/>
    <s v="31-Dec-25"/>
    <x v="10"/>
    <n v="1250"/>
    <n v="0"/>
    <m/>
    <n v="1250"/>
    <n v="1475"/>
    <n v="225"/>
    <n v="0"/>
    <m/>
    <n v="0"/>
    <m/>
    <m/>
    <s v="T1BS6N"/>
    <s v="CVD"/>
    <s v="F"/>
  </r>
  <r>
    <n v="1700"/>
    <s v="NORTH"/>
    <s v="UTTAR PRADESH"/>
    <n v="7134"/>
    <s v="M/S GOENKA AUTO PRIVATE LIMITED."/>
    <s v="VARANASI"/>
    <s v="31-Mar-24"/>
    <s v="14-Dec-25"/>
    <n v="1165"/>
    <n v="26317"/>
    <n v="4"/>
    <s v="S"/>
    <s v="T26"/>
    <n v="768949"/>
    <s v="MC1E4FBA3RP019399"/>
    <s v="D71047702"/>
    <s v="002"/>
    <s v="SERV DATE EXCEEDS"/>
    <x v="12"/>
    <s v="31-Dec-25"/>
    <x v="10"/>
    <n v="1250"/>
    <n v="0"/>
    <m/>
    <n v="1000"/>
    <n v="1475"/>
    <n v="225"/>
    <n v="0"/>
    <m/>
    <n v="250"/>
    <m/>
    <m/>
    <s v="T26BS6"/>
    <s v="CVD"/>
    <s v="F"/>
  </r>
  <r>
    <n v="1701"/>
    <s v="NORTH"/>
    <s v="UTTAR PRADESH"/>
    <n v="7134"/>
    <s v="M/S GOENKA AUTO PRIVATE LIMITED."/>
    <s v="VARANASI"/>
    <s v="24-Mar-25"/>
    <s v="16-Dec-25"/>
    <n v="912"/>
    <n v="50000"/>
    <n v="3"/>
    <s v="S"/>
    <s v="T-1"/>
    <n v="796249"/>
    <s v="MC1E4CAA5SP084261"/>
    <s v="D71070197"/>
    <m/>
    <m/>
    <x v="12"/>
    <s v="31-Dec-25"/>
    <x v="10"/>
    <n v="1250"/>
    <n v="0"/>
    <m/>
    <n v="1250"/>
    <n v="1475"/>
    <n v="225"/>
    <n v="0"/>
    <m/>
    <n v="0"/>
    <m/>
    <m/>
    <s v="T1BS6N"/>
    <s v="CVD"/>
    <s v="F"/>
  </r>
  <r>
    <n v="1702"/>
    <s v="NORTH"/>
    <s v="UTTAR PRADESH"/>
    <n v="7134"/>
    <s v="M/S GOENKA AUTO PRIVATE LIMITED."/>
    <s v="VARANASI"/>
    <s v="22-Jul-25"/>
    <s v="30-Dec-25"/>
    <n v="1165"/>
    <n v="6834"/>
    <n v="3"/>
    <s v="S"/>
    <s v="T-1"/>
    <n v="778771"/>
    <s v="MC1E5DFA6SP000699"/>
    <s v="D73002071"/>
    <m/>
    <m/>
    <x v="12"/>
    <s v="31-Dec-25"/>
    <x v="10"/>
    <n v="1250"/>
    <n v="0"/>
    <m/>
    <n v="1250"/>
    <n v="1475"/>
    <n v="225"/>
    <n v="0"/>
    <m/>
    <n v="0"/>
    <m/>
    <m/>
    <s v="T1CNGL"/>
    <s v="CVD"/>
    <s v="F"/>
  </r>
  <r>
    <n v="1703"/>
    <s v="NORTH"/>
    <s v="UTTAR PRADESH"/>
    <n v="7134"/>
    <s v="M/S GOENKA AUTO PRIVATE LIMITED."/>
    <s v="VARANASI"/>
    <s v="13-May-25"/>
    <s v="08-Dec-25"/>
    <n v="1165"/>
    <n v="30000"/>
    <n v="3"/>
    <s v="S"/>
    <s v="TRAX"/>
    <n v="326025"/>
    <s v="MC1D4DLA6SP106329"/>
    <s v="D72017803"/>
    <s v="002"/>
    <s v="SERV DATE EXCEEDS"/>
    <x v="12"/>
    <s v="31-Dec-25"/>
    <x v="10"/>
    <n v="1250"/>
    <n v="0"/>
    <m/>
    <n v="1000"/>
    <n v="1475"/>
    <n v="225"/>
    <n v="0"/>
    <m/>
    <n v="250"/>
    <m/>
    <m/>
    <s v="TRXBS6"/>
    <s v="CVD"/>
    <s v="F"/>
  </r>
  <r>
    <n v="1704"/>
    <s v="NORTH"/>
    <s v="UTTAR PRADESH"/>
    <n v="7134"/>
    <s v="M/S GOENKA AUTO PRIVATE LIMITED."/>
    <s v="VARANASI"/>
    <s v="01-May-25"/>
    <s v="24-Dec-25"/>
    <n v="1150"/>
    <n v="18200"/>
    <n v="4"/>
    <s v="S"/>
    <s v="T-1"/>
    <n v="778388"/>
    <s v="MC1E5EDA9SP003332"/>
    <s v="D73001797"/>
    <m/>
    <m/>
    <x v="12"/>
    <s v="31-Dec-25"/>
    <x v="10"/>
    <n v="0"/>
    <n v="0"/>
    <m/>
    <n v="0"/>
    <n v="0"/>
    <n v="0"/>
    <n v="0"/>
    <m/>
    <n v="0"/>
    <m/>
    <m/>
    <s v="T1CNGL"/>
    <s v="CVD"/>
    <s v="P"/>
  </r>
  <r>
    <n v="1705"/>
    <s v="NORTH"/>
    <s v="UTTAR PRADESH"/>
    <n v="7134"/>
    <s v="M/S GOENKA AUTO PRIVATE LIMITED."/>
    <s v="VARANASI"/>
    <s v="06-Mar-25"/>
    <s v="15-Dec-25"/>
    <n v="1165"/>
    <n v="50430"/>
    <n v="5"/>
    <s v="S"/>
    <s v="T-1"/>
    <n v="792931"/>
    <s v="MC1E4EBA7SP015193"/>
    <s v="D71071490"/>
    <m/>
    <m/>
    <x v="12"/>
    <s v="31-Dec-25"/>
    <x v="10"/>
    <n v="1250"/>
    <n v="0"/>
    <m/>
    <n v="1250"/>
    <n v="1475"/>
    <n v="225"/>
    <n v="0"/>
    <m/>
    <n v="0"/>
    <m/>
    <m/>
    <s v="T1BS6"/>
    <s v="CVD"/>
    <s v="F"/>
  </r>
  <r>
    <n v="1706"/>
    <s v="NORTH"/>
    <s v="UTTAR PRADESH"/>
    <n v="7134"/>
    <s v="M/S GOENKA AUTO PRIVATE LIMITED."/>
    <s v="VARANASI"/>
    <s v="31-Dec-24"/>
    <s v="10-Dec-25"/>
    <n v="1165"/>
    <n v="59817"/>
    <n v="6"/>
    <s v="S"/>
    <s v="T1N"/>
    <n v="5607"/>
    <s v="MC1M4ALA7SP002799"/>
    <s v="D71065600"/>
    <m/>
    <m/>
    <x v="12"/>
    <s v="31-Dec-25"/>
    <x v="10"/>
    <n v="0"/>
    <n v="0"/>
    <m/>
    <n v="0"/>
    <n v="0"/>
    <n v="0"/>
    <n v="0"/>
    <m/>
    <n v="0"/>
    <m/>
    <m/>
    <s v="URBN"/>
    <s v="CVD"/>
    <s v="P"/>
  </r>
  <r>
    <n v="1707"/>
    <s v="NORTH"/>
    <s v="UTTAR PRADESH"/>
    <n v="7134"/>
    <s v="M/S GOENKA AUTO PRIVATE LIMITED."/>
    <s v="VARANASI"/>
    <s v="17-Oct-25"/>
    <s v="21-Dec-25"/>
    <n v="1165"/>
    <n v="7992"/>
    <n v="1"/>
    <s v="S"/>
    <s v="T1N"/>
    <n v="10198"/>
    <s v="MC1M4AJA6TP006363"/>
    <s v="D71091373"/>
    <m/>
    <m/>
    <x v="12"/>
    <s v="31-Dec-25"/>
    <x v="10"/>
    <n v="1650"/>
    <n v="0"/>
    <m/>
    <n v="1650"/>
    <n v="1947"/>
    <n v="297"/>
    <n v="0"/>
    <m/>
    <n v="0"/>
    <m/>
    <m/>
    <s v="URBN"/>
    <s v="CVD"/>
    <s v="F"/>
  </r>
  <r>
    <n v="1708"/>
    <s v="NORTH"/>
    <s v="UTTAR PRADESH"/>
    <n v="7134"/>
    <s v="M/S GOENKA AUTO PRIVATE LIMITED."/>
    <s v="VARANASI"/>
    <s v="23-Mar-25"/>
    <s v="05-Dec-25"/>
    <n v="890"/>
    <n v="50000"/>
    <n v="3"/>
    <s v="S"/>
    <s v="T-1"/>
    <n v="795715"/>
    <s v="MC1E4CBA3SP085259"/>
    <s v="D71072102"/>
    <m/>
    <m/>
    <x v="12"/>
    <s v="31-Dec-25"/>
    <x v="10"/>
    <n v="1250"/>
    <n v="0"/>
    <m/>
    <n v="1250"/>
    <n v="1475"/>
    <n v="225"/>
    <n v="0"/>
    <m/>
    <n v="0"/>
    <m/>
    <m/>
    <s v="T1BS6N"/>
    <s v="CVD"/>
    <s v="F"/>
  </r>
  <r>
    <n v="1709"/>
    <s v="NORTH"/>
    <s v="UTTAR PRADESH"/>
    <n v="7134"/>
    <s v="M/S GOENKA AUTO PRIVATE LIMITED."/>
    <s v="VARANASI"/>
    <s v="13-Mar-24"/>
    <s v="03-Dec-25"/>
    <n v="1165"/>
    <n v="117635"/>
    <n v="12"/>
    <s v="S"/>
    <s v="T-1"/>
    <n v="763919"/>
    <s v="MC1E4EMA8RP011306"/>
    <s v="D71043916"/>
    <m/>
    <m/>
    <x v="12"/>
    <s v="31-Dec-25"/>
    <x v="10"/>
    <n v="0"/>
    <n v="0"/>
    <m/>
    <n v="0"/>
    <n v="0"/>
    <n v="0"/>
    <n v="0"/>
    <m/>
    <n v="0"/>
    <m/>
    <m/>
    <s v="T1BS6"/>
    <s v="CVD"/>
    <s v="P"/>
  </r>
  <r>
    <n v="1710"/>
    <s v="NORTH"/>
    <s v="UTTAR PRADESH"/>
    <n v="7134"/>
    <s v="M/S GOENKA AUTO PRIVATE LIMITED."/>
    <s v="VARANASI"/>
    <s v="15-Oct-24"/>
    <s v="03-Dec-25"/>
    <n v="1165"/>
    <n v="71525"/>
    <n v="7"/>
    <s v="S"/>
    <s v="T1N"/>
    <n v="5355"/>
    <s v="MC1M4AJA8SP002393"/>
    <s v="D71062471"/>
    <s v="001"/>
    <s v="SERV KMS  / HRS EXCEEDS"/>
    <x v="12"/>
    <s v="31-Dec-25"/>
    <x v="10"/>
    <n v="1650"/>
    <n v="0"/>
    <m/>
    <n v="1320"/>
    <n v="1947"/>
    <n v="297"/>
    <n v="0"/>
    <m/>
    <n v="330"/>
    <m/>
    <m/>
    <s v="URBN"/>
    <s v="CVD"/>
    <s v="F"/>
  </r>
  <r>
    <n v="1711"/>
    <s v="NORTH"/>
    <s v="UTTAR PRADESH"/>
    <n v="7134"/>
    <s v="M/S GOENKA AUTO PRIVATE LIMITED."/>
    <s v="VARANASI"/>
    <s v="17-Apr-25"/>
    <s v="24-Dec-25"/>
    <n v="1165"/>
    <n v="40000"/>
    <n v="4"/>
    <s v="S"/>
    <s v="T26"/>
    <n v="794423"/>
    <s v="MC1E4FCA0SP023169"/>
    <s v="D71076683"/>
    <m/>
    <m/>
    <x v="12"/>
    <s v="31-Dec-25"/>
    <x v="10"/>
    <n v="0"/>
    <n v="0"/>
    <m/>
    <n v="0"/>
    <n v="0"/>
    <n v="0"/>
    <n v="0"/>
    <m/>
    <n v="0"/>
    <m/>
    <m/>
    <s v="T26BS6"/>
    <s v="CVD"/>
    <s v="P"/>
  </r>
  <r>
    <n v="1712"/>
    <s v="NORTH"/>
    <s v="UTTAR PRADESH"/>
    <n v="7134"/>
    <s v="M/S GOENKA AUTO PRIVATE LIMITED."/>
    <s v="VARANASI"/>
    <s v="10-Jul-24"/>
    <s v="12-Dec-25"/>
    <n v="1165"/>
    <n v="115361"/>
    <n v="12"/>
    <s v="S"/>
    <s v="T-1"/>
    <n v="775225"/>
    <s v="MC1E4EFA6RP013102"/>
    <s v="D71055772"/>
    <m/>
    <m/>
    <x v="12"/>
    <s v="31-Dec-25"/>
    <x v="10"/>
    <n v="0"/>
    <n v="0"/>
    <m/>
    <n v="0"/>
    <n v="0"/>
    <n v="0"/>
    <n v="0"/>
    <m/>
    <n v="0"/>
    <m/>
    <m/>
    <s v="T1BS6"/>
    <s v="CVD"/>
    <s v="P"/>
  </r>
  <r>
    <n v="1713"/>
    <s v="NORTH"/>
    <s v="UTTAR PRADESH"/>
    <n v="7134"/>
    <s v="M/S GOENKA AUTO PRIVATE LIMITED."/>
    <s v="VARANASI"/>
    <s v="23-Mar-25"/>
    <s v="14-Dec-25"/>
    <n v="871"/>
    <n v="50000"/>
    <n v="3"/>
    <s v="S"/>
    <s v="T-1"/>
    <n v="780903"/>
    <s v="MC1E4CAA5SP083563"/>
    <s v="D71069532"/>
    <m/>
    <m/>
    <x v="12"/>
    <s v="31-Dec-25"/>
    <x v="10"/>
    <n v="1250"/>
    <n v="0"/>
    <m/>
    <n v="1250"/>
    <n v="1475"/>
    <n v="225"/>
    <n v="0"/>
    <m/>
    <n v="0"/>
    <m/>
    <m/>
    <s v="T1BS6N"/>
    <s v="CVD"/>
    <s v="F"/>
  </r>
  <r>
    <n v="1714"/>
    <s v="NORTH"/>
    <s v="UTTAR PRADESH"/>
    <n v="7134"/>
    <s v="M/S GOENKA AUTO PRIVATE LIMITED."/>
    <s v="VARANASI"/>
    <s v="14-Jul-25"/>
    <s v="07-Dec-25"/>
    <n v="1165"/>
    <n v="6228"/>
    <n v="3"/>
    <s v="S"/>
    <s v="T-1"/>
    <n v="778938"/>
    <s v="MC1E5CFA3SP000184"/>
    <s v="D73002103"/>
    <m/>
    <m/>
    <x v="12"/>
    <s v="31-Dec-25"/>
    <x v="10"/>
    <n v="1250"/>
    <n v="0"/>
    <m/>
    <n v="1250"/>
    <n v="1475"/>
    <n v="225"/>
    <n v="0"/>
    <m/>
    <n v="0"/>
    <m/>
    <m/>
    <s v="T1CNGL"/>
    <s v="CVD"/>
    <s v="F"/>
  </r>
  <r>
    <n v="1715"/>
    <s v="NORTH"/>
    <s v="UTTAR PRADESH"/>
    <n v="7134"/>
    <s v="M/S GOENKA AUTO PRIVATE LIMITED."/>
    <s v="VARANASI"/>
    <s v="30-Sep-24"/>
    <s v="17-Dec-25"/>
    <n v="1165"/>
    <n v="2197"/>
    <n v="5"/>
    <s v="S"/>
    <s v="T-1"/>
    <n v="781803"/>
    <s v="MC1E5DFA5RP000543"/>
    <s v="D73001391"/>
    <s v="002"/>
    <s v="SERV DATE EXCEEDS"/>
    <x v="12"/>
    <s v="31-Dec-25"/>
    <x v="10"/>
    <n v="1250"/>
    <n v="0"/>
    <m/>
    <n v="1000"/>
    <n v="1475"/>
    <n v="225"/>
    <n v="0"/>
    <m/>
    <n v="250"/>
    <m/>
    <m/>
    <s v="T1CNGL"/>
    <s v="CVD"/>
    <s v="F"/>
  </r>
  <r>
    <n v="1716"/>
    <s v="NORTH"/>
    <s v="UTTAR PRADESH"/>
    <n v="7134"/>
    <s v="M/S GOENKA AUTO PRIVATE LIMITED."/>
    <s v="VARANASI"/>
    <s v="12-Jul-24"/>
    <s v="19-Dec-25"/>
    <n v="1165"/>
    <n v="89551"/>
    <n v="9"/>
    <s v="S"/>
    <s v="T-1"/>
    <n v="774647"/>
    <s v="MC1E4EFA5RP013219"/>
    <s v="D71056637"/>
    <m/>
    <m/>
    <x v="12"/>
    <s v="31-Dec-25"/>
    <x v="10"/>
    <n v="0"/>
    <n v="0"/>
    <m/>
    <n v="0"/>
    <n v="0"/>
    <n v="0"/>
    <n v="0"/>
    <m/>
    <n v="0"/>
    <m/>
    <m/>
    <s v="T1BS6"/>
    <s v="CVD"/>
    <s v="P"/>
  </r>
  <r>
    <n v="1717"/>
    <s v="NORTH"/>
    <s v="UTTAR PRADESH"/>
    <n v="7134"/>
    <s v="M/S GOENKA AUTO PRIVATE LIMITED."/>
    <s v="VARANASI"/>
    <s v="26-Mar-25"/>
    <s v="23-Dec-25"/>
    <n v="920"/>
    <n v="69095"/>
    <n v="4"/>
    <s v="S"/>
    <s v="T-1"/>
    <n v="797967"/>
    <s v="MC1E4CBA7SP086057"/>
    <s v="D71073648"/>
    <m/>
    <m/>
    <x v="12"/>
    <s v="31-Dec-25"/>
    <x v="10"/>
    <n v="1250"/>
    <n v="0"/>
    <m/>
    <n v="1250"/>
    <n v="1475"/>
    <n v="225"/>
    <n v="0"/>
    <m/>
    <n v="0"/>
    <m/>
    <m/>
    <s v="T1BS6N"/>
    <s v="CVD"/>
    <s v="F"/>
  </r>
  <r>
    <n v="1718"/>
    <s v="NORTH"/>
    <s v="UTTAR PRADESH"/>
    <n v="7134"/>
    <s v="M/S GOENKA AUTO PRIVATE LIMITED."/>
    <s v="VARANASI"/>
    <s v="25-Mar-25"/>
    <s v="05-Dec-25"/>
    <n v="884"/>
    <n v="51200"/>
    <n v="3"/>
    <s v="S"/>
    <s v="T-1"/>
    <n v="797461"/>
    <s v="MC1E4CAA2SP084461"/>
    <s v="D71070990"/>
    <s v="001"/>
    <s v="SERV KMS  / HRS EXCEEDS"/>
    <x v="12"/>
    <s v="31-Dec-25"/>
    <x v="10"/>
    <n v="1250"/>
    <n v="0"/>
    <m/>
    <n v="1000"/>
    <n v="1475"/>
    <n v="225"/>
    <n v="0"/>
    <m/>
    <n v="250"/>
    <m/>
    <m/>
    <s v="T1BS6N"/>
    <s v="CVD"/>
    <s v="F"/>
  </r>
  <r>
    <n v="1719"/>
    <s v="NORTH"/>
    <s v="UTTAR PRADESH"/>
    <n v="7134"/>
    <s v="M/S GOENKA AUTO PRIVATE LIMITED."/>
    <s v="VARANASI"/>
    <s v="14-Jan-25"/>
    <s v="02-Dec-25"/>
    <n v="865"/>
    <n v="50000"/>
    <n v="3"/>
    <s v="S"/>
    <s v="T-1"/>
    <n v="796557"/>
    <s v="MC1E4CAA5SP083692"/>
    <s v="D71069698"/>
    <m/>
    <m/>
    <x v="12"/>
    <s v="31-Dec-25"/>
    <x v="10"/>
    <n v="1250"/>
    <n v="0"/>
    <m/>
    <n v="1250"/>
    <n v="1475"/>
    <n v="225"/>
    <n v="0"/>
    <m/>
    <n v="0"/>
    <m/>
    <m/>
    <s v="T1BS6N"/>
    <s v="CVD"/>
    <s v="F"/>
  </r>
  <r>
    <n v="1720"/>
    <s v="NORTH"/>
    <s v="UTTAR PRADESH"/>
    <n v="7134"/>
    <s v="M/S GOENKA AUTO PRIVATE LIMITED."/>
    <s v="VARANASI"/>
    <s v="20-Jan-25"/>
    <s v="08-Dec-25"/>
    <n v="1095"/>
    <n v="51099"/>
    <n v="6"/>
    <s v="S"/>
    <s v="TRAX"/>
    <n v="326776"/>
    <s v="MC1D4DLA2SP106490"/>
    <s v="D72018027"/>
    <m/>
    <m/>
    <x v="12"/>
    <s v="31-Dec-25"/>
    <x v="10"/>
    <n v="0"/>
    <n v="0"/>
    <m/>
    <n v="0"/>
    <n v="0"/>
    <n v="0"/>
    <n v="0"/>
    <m/>
    <n v="0"/>
    <m/>
    <m/>
    <s v="TRXBS6"/>
    <s v="CVD"/>
    <s v="P"/>
  </r>
  <r>
    <n v="1721"/>
    <s v="NORTH"/>
    <s v="UTTAR PRADESH"/>
    <n v="7134"/>
    <s v="M/S GOENKA AUTO PRIVATE LIMITED."/>
    <s v="VARANASI"/>
    <s v="24-Oct-25"/>
    <s v="08-Dec-25"/>
    <n v="1165"/>
    <n v="10000"/>
    <n v="1"/>
    <s v="S"/>
    <s v="T1N"/>
    <n v="10163"/>
    <s v="MC1M4AJA0TP006438"/>
    <s v="D71091730"/>
    <m/>
    <m/>
    <x v="12"/>
    <s v="31-Dec-25"/>
    <x v="10"/>
    <n v="1650"/>
    <n v="0"/>
    <m/>
    <n v="1650"/>
    <n v="1947"/>
    <n v="297"/>
    <n v="0"/>
    <m/>
    <n v="0"/>
    <m/>
    <m/>
    <s v="URBN"/>
    <s v="CVD"/>
    <s v="F"/>
  </r>
  <r>
    <n v="1722"/>
    <s v="NORTH"/>
    <s v="UTTAR PRADESH"/>
    <n v="7134"/>
    <s v="M/S GOENKA AUTO PRIVATE LIMITED."/>
    <s v="VARANASI"/>
    <s v="28-Feb-24"/>
    <s v="18-Dec-25"/>
    <n v="1165"/>
    <n v="133338"/>
    <n v="13"/>
    <s v="S"/>
    <s v="T26"/>
    <n v="767284"/>
    <s v="MC1E4FAA5RP019177"/>
    <s v="D71046539"/>
    <s v="001"/>
    <s v="SERV KMS  / HRS EXCEEDS"/>
    <x v="12"/>
    <s v="31-Dec-25"/>
    <x v="10"/>
    <n v="0"/>
    <n v="0"/>
    <m/>
    <n v="0"/>
    <n v="0"/>
    <n v="0"/>
    <n v="0"/>
    <m/>
    <n v="0"/>
    <m/>
    <m/>
    <s v="T26BS6"/>
    <s v="CVD"/>
    <s v="P"/>
  </r>
  <r>
    <n v="1723"/>
    <s v="NORTH"/>
    <s v="UTTAR PRADESH"/>
    <n v="7134"/>
    <s v="M/S GOENKA AUTO PRIVATE LIMITED."/>
    <s v="VARANASI"/>
    <s v="31-Mar-25"/>
    <s v="18-Dec-25"/>
    <n v="1065"/>
    <n v="29962"/>
    <n v="5"/>
    <s v="S"/>
    <s v="TRAX"/>
    <n v="328035"/>
    <s v="MC1D4DCA0SP107816"/>
    <s v="D72019419"/>
    <m/>
    <m/>
    <x v="12"/>
    <s v="31-Dec-25"/>
    <x v="10"/>
    <n v="1250"/>
    <n v="0"/>
    <m/>
    <n v="1250"/>
    <n v="1475"/>
    <n v="225"/>
    <n v="0"/>
    <m/>
    <n v="0"/>
    <m/>
    <m/>
    <s v="TRXBS6"/>
    <s v="CVD"/>
    <s v="F"/>
  </r>
  <r>
    <n v="1724"/>
    <s v="NORTH"/>
    <s v="UTTAR PRADESH"/>
    <n v="7134"/>
    <s v="M/S GOENKA AUTO PRIVATE LIMITED."/>
    <s v="VARANASI"/>
    <s v="16-Aug-24"/>
    <s v="22-Dec-25"/>
    <n v="1165"/>
    <n v="50474"/>
    <n v="9"/>
    <s v="S"/>
    <s v="T-1"/>
    <n v="774645"/>
    <s v="MC1E4DFA5RP053259"/>
    <s v="D71056905"/>
    <m/>
    <m/>
    <x v="12"/>
    <s v="31-Dec-25"/>
    <x v="10"/>
    <n v="0"/>
    <n v="0"/>
    <m/>
    <n v="0"/>
    <n v="0"/>
    <n v="0"/>
    <n v="0"/>
    <m/>
    <n v="0"/>
    <m/>
    <m/>
    <s v="T1BS6"/>
    <s v="CVD"/>
    <s v="P"/>
  </r>
  <r>
    <n v="1725"/>
    <s v="NORTH"/>
    <s v="UTTAR PRADESH"/>
    <n v="7134"/>
    <s v="M/S GOENKA AUTO PRIVATE LIMITED."/>
    <s v="VARANASI"/>
    <s v="21-Oct-24"/>
    <s v="10-Dec-25"/>
    <n v="1165"/>
    <n v="29870"/>
    <n v="5"/>
    <s v="S"/>
    <s v="T1N"/>
    <n v="5352"/>
    <s v="MC1M4AJA4SP002407"/>
    <s v="D71062651"/>
    <m/>
    <m/>
    <x v="12"/>
    <s v="31-Dec-25"/>
    <x v="10"/>
    <n v="1650"/>
    <n v="0"/>
    <m/>
    <n v="1650"/>
    <n v="1947"/>
    <n v="297"/>
    <n v="0"/>
    <m/>
    <n v="0"/>
    <m/>
    <m/>
    <s v="URBN"/>
    <s v="CVD"/>
    <s v="F"/>
  </r>
  <r>
    <n v="1726"/>
    <s v="NORTH"/>
    <s v="UTTAR PRADESH"/>
    <n v="7134"/>
    <s v="M/S GOENKA AUTO PRIVATE LIMITED."/>
    <s v="VARANASI"/>
    <s v="09-Jun-25"/>
    <s v="18-Dec-25"/>
    <n v="1165"/>
    <n v="31590"/>
    <n v="3"/>
    <s v="S"/>
    <s v="T-1"/>
    <n v="802650"/>
    <s v="MC1E4EEA3SP016174"/>
    <s v="D71079998"/>
    <m/>
    <m/>
    <x v="12"/>
    <s v="31-Dec-25"/>
    <x v="10"/>
    <n v="1250"/>
    <n v="0"/>
    <m/>
    <n v="1250"/>
    <n v="1475"/>
    <n v="225"/>
    <n v="0"/>
    <m/>
    <n v="0"/>
    <m/>
    <m/>
    <s v="T1BS6"/>
    <s v="CVD"/>
    <s v="F"/>
  </r>
  <r>
    <n v="1727"/>
    <s v="NORTH"/>
    <s v="UTTAR PRADESH"/>
    <n v="7134"/>
    <s v="M/S GOENKA AUTO PRIVATE LIMITED."/>
    <s v="VARANASI"/>
    <s v="28-Apr-25"/>
    <s v="23-Dec-25"/>
    <n v="907"/>
    <n v="50305"/>
    <n v="3"/>
    <s v="S"/>
    <s v="T-1"/>
    <n v="798339"/>
    <s v="MC1E4CBA6SP085739"/>
    <s v="D71073050"/>
    <m/>
    <m/>
    <x v="12"/>
    <s v="31-Dec-25"/>
    <x v="10"/>
    <n v="1250"/>
    <n v="0"/>
    <m/>
    <n v="1250"/>
    <n v="1475"/>
    <n v="225"/>
    <n v="0"/>
    <m/>
    <n v="0"/>
    <m/>
    <m/>
    <s v="T1BS6N"/>
    <s v="CVD"/>
    <s v="F"/>
  </r>
  <r>
    <n v="1728"/>
    <s v="NORTH"/>
    <s v="UTTAR PRADESH"/>
    <n v="7134"/>
    <s v="M/S GOENKA AUTO PRIVATE LIMITED."/>
    <s v="VARANASI"/>
    <s v="25-Nov-24"/>
    <s v="07-Dec-25"/>
    <n v="1165"/>
    <n v="38788"/>
    <n v="5"/>
    <s v="S"/>
    <s v="T1N"/>
    <n v="4899"/>
    <s v="MC1M4AKAXSP002572"/>
    <s v="D71063955"/>
    <m/>
    <m/>
    <x v="12"/>
    <s v="31-Dec-25"/>
    <x v="10"/>
    <n v="1650"/>
    <n v="0"/>
    <m/>
    <n v="1650"/>
    <n v="1947"/>
    <n v="297"/>
    <n v="0"/>
    <m/>
    <n v="0"/>
    <m/>
    <m/>
    <s v="URBN"/>
    <s v="CVD"/>
    <s v="F"/>
  </r>
  <r>
    <n v="1729"/>
    <s v="NORTH"/>
    <s v="UTTAR PRADESH"/>
    <n v="7134"/>
    <s v="M/S GOENKA AUTO PRIVATE LIMITED."/>
    <s v="VARANASI"/>
    <s v="31-Jan-25"/>
    <s v="09-Dec-25"/>
    <n v="905"/>
    <n v="10080"/>
    <n v="5"/>
    <s v="S"/>
    <s v="T26"/>
    <n v="793353"/>
    <s v="MC1E4FAA7SP022426"/>
    <s v="D71070345"/>
    <m/>
    <m/>
    <x v="12"/>
    <s v="31-Dec-25"/>
    <x v="10"/>
    <n v="1250"/>
    <n v="0"/>
    <m/>
    <n v="1250"/>
    <n v="1475"/>
    <n v="225"/>
    <n v="0"/>
    <m/>
    <n v="0"/>
    <m/>
    <m/>
    <s v="T26BS6"/>
    <s v="CVD"/>
    <s v="F"/>
  </r>
  <r>
    <n v="1730"/>
    <s v="NORTH"/>
    <s v="UTTAR PRADESH"/>
    <n v="7134"/>
    <s v="M/S GOENKA AUTO PRIVATE LIMITED."/>
    <s v="VARANASI"/>
    <s v="18-Aug-25"/>
    <s v="07-Dec-25"/>
    <n v="1165"/>
    <n v="5876"/>
    <n v="1"/>
    <s v="S"/>
    <s v="T-1"/>
    <n v="803739"/>
    <s v="MC1E4DGA6TP058427"/>
    <s v="D71086483"/>
    <m/>
    <m/>
    <x v="12"/>
    <s v="31-Dec-25"/>
    <x v="10"/>
    <n v="1250"/>
    <n v="0"/>
    <m/>
    <n v="1250"/>
    <n v="1475"/>
    <n v="225"/>
    <n v="0"/>
    <m/>
    <n v="0"/>
    <m/>
    <m/>
    <s v="T1BS6N"/>
    <s v="CVD"/>
    <s v="F"/>
  </r>
  <r>
    <n v="1731"/>
    <s v="NORTH"/>
    <s v="UTTAR PRADESH"/>
    <n v="7134"/>
    <s v="M/S GOENKA AUTO PRIVATE LIMITED."/>
    <s v="VARANASI"/>
    <s v="24-Mar-25"/>
    <s v="02-Dec-25"/>
    <n v="883"/>
    <n v="51000"/>
    <n v="3"/>
    <s v="S"/>
    <s v="T-1"/>
    <n v="796176"/>
    <s v="MC1E4CAAXSP083543"/>
    <s v="D71069411"/>
    <s v="001"/>
    <s v="SERV KMS  / HRS EXCEEDS"/>
    <x v="12"/>
    <s v="31-Dec-25"/>
    <x v="10"/>
    <n v="1250"/>
    <n v="0"/>
    <m/>
    <n v="1000"/>
    <n v="1475"/>
    <n v="225"/>
    <n v="0"/>
    <m/>
    <n v="250"/>
    <m/>
    <m/>
    <s v="T1BS6N"/>
    <s v="CVD"/>
    <s v="F"/>
  </r>
  <r>
    <n v="1732"/>
    <s v="NORTH"/>
    <s v="UTTAR PRADESH"/>
    <n v="7134"/>
    <s v="M/S GOENKA AUTO PRIVATE LIMITED."/>
    <s v="VARANASI"/>
    <s v="24-Mar-25"/>
    <s v="21-Dec-25"/>
    <n v="1165"/>
    <n v="9619"/>
    <n v="4"/>
    <s v="S"/>
    <s v="T26"/>
    <n v="794595"/>
    <s v="MC1E4FCA6SP023063"/>
    <s v="D71075908"/>
    <s v="002"/>
    <s v="SERV DATE EXCEEDS"/>
    <x v="12"/>
    <s v="31-Dec-25"/>
    <x v="10"/>
    <n v="0"/>
    <n v="0"/>
    <m/>
    <n v="0"/>
    <n v="0"/>
    <n v="0"/>
    <n v="0"/>
    <m/>
    <n v="0"/>
    <m/>
    <m/>
    <s v="T26BS6"/>
    <s v="CVD"/>
    <s v="P"/>
  </r>
  <r>
    <n v="1733"/>
    <s v="NORTH"/>
    <s v="UTTAR PRADESH"/>
    <n v="7134"/>
    <s v="M/S GOENKA AUTO PRIVATE LIMITED."/>
    <s v="VARANASI"/>
    <s v="02-Jul-24"/>
    <s v="14-Dec-25"/>
    <n v="1165"/>
    <n v="90000"/>
    <n v="9"/>
    <s v="S"/>
    <s v="T-1"/>
    <n v="775223"/>
    <s v="MC1E4EFA7RP013092"/>
    <s v="D71055951"/>
    <m/>
    <m/>
    <x v="12"/>
    <s v="31-Dec-25"/>
    <x v="10"/>
    <n v="0"/>
    <n v="0"/>
    <m/>
    <n v="0"/>
    <n v="0"/>
    <n v="0"/>
    <n v="0"/>
    <m/>
    <n v="0"/>
    <m/>
    <m/>
    <s v="T1BS6"/>
    <s v="CVD"/>
    <s v="P"/>
  </r>
  <r>
    <n v="1734"/>
    <s v="NORTH"/>
    <s v="UTTAR PRADESH"/>
    <n v="7134"/>
    <s v="M/S GOENKA AUTO PRIVATE LIMITED."/>
    <s v="VARANASI"/>
    <s v="30-Sep-25"/>
    <s v="22-Dec-25"/>
    <n v="1165"/>
    <n v="10000"/>
    <n v="1"/>
    <s v="S"/>
    <s v="T1N"/>
    <n v="9322"/>
    <s v="MC1M4AHAXTP005898"/>
    <s v="D71088606"/>
    <m/>
    <m/>
    <x v="12"/>
    <s v="31-Dec-25"/>
    <x v="10"/>
    <n v="1650"/>
    <n v="0"/>
    <m/>
    <n v="1650"/>
    <n v="1947"/>
    <n v="297"/>
    <n v="0"/>
    <m/>
    <n v="0"/>
    <m/>
    <m/>
    <s v="URBN"/>
    <s v="CVD"/>
    <s v="F"/>
  </r>
  <r>
    <n v="1735"/>
    <s v="NORTH"/>
    <s v="UTTAR PRADESH"/>
    <n v="7134"/>
    <s v="M/S GOENKA AUTO PRIVATE LIMITED."/>
    <s v="VARANASI"/>
    <s v="31-Aug-24"/>
    <s v="04-Dec-25"/>
    <n v="1165"/>
    <n v="54864"/>
    <n v="7"/>
    <s v="S"/>
    <s v="T1N"/>
    <n v="4930"/>
    <s v="MC1M4AGA4SP002057"/>
    <s v="D71058793"/>
    <m/>
    <m/>
    <x v="12"/>
    <s v="31-Dec-25"/>
    <x v="10"/>
    <n v="1650"/>
    <n v="0"/>
    <m/>
    <n v="1650"/>
    <n v="1947"/>
    <n v="297"/>
    <n v="0"/>
    <m/>
    <n v="0"/>
    <m/>
    <m/>
    <s v="URBN"/>
    <s v="CVD"/>
    <s v="F"/>
  </r>
  <r>
    <n v="1736"/>
    <s v="NORTH"/>
    <s v="UTTAR PRADESH"/>
    <n v="7134"/>
    <s v="M/S GOENKA AUTO PRIVATE LIMITED."/>
    <s v="VARANASI"/>
    <s v="08-Aug-24"/>
    <s v="07-Dec-25"/>
    <n v="1165"/>
    <n v="20006"/>
    <n v="3"/>
    <s v="S"/>
    <s v="T-1"/>
    <n v="781809"/>
    <s v="MC1E4DGA0SP053576"/>
    <s v="D71058041"/>
    <m/>
    <m/>
    <x v="12"/>
    <s v="31-Dec-25"/>
    <x v="10"/>
    <n v="1250"/>
    <n v="0"/>
    <m/>
    <n v="1250"/>
    <n v="1475"/>
    <n v="225"/>
    <n v="0"/>
    <m/>
    <n v="0"/>
    <m/>
    <m/>
    <s v="T1BS6N"/>
    <s v="CVD"/>
    <s v="F"/>
  </r>
  <r>
    <n v="1737"/>
    <s v="NORTH"/>
    <s v="UTTAR PRADESH"/>
    <n v="7134"/>
    <s v="M/S GOENKA AUTO PRIVATE LIMITED."/>
    <s v="VARANASI"/>
    <s v="09-Jul-24"/>
    <s v="31-Dec-25"/>
    <n v="1165"/>
    <n v="58531"/>
    <n v="9"/>
    <s v="S"/>
    <s v="TRAX"/>
    <n v="322213"/>
    <s v="MC1D4DFA2RP104728"/>
    <s v="D72015787"/>
    <m/>
    <m/>
    <x v="12"/>
    <s v="31-Dec-25"/>
    <x v="10"/>
    <n v="0"/>
    <n v="0"/>
    <m/>
    <n v="0"/>
    <n v="0"/>
    <n v="0"/>
    <n v="0"/>
    <m/>
    <n v="0"/>
    <m/>
    <m/>
    <s v="TRXBS6"/>
    <s v="CVD"/>
    <s v="P"/>
  </r>
  <r>
    <n v="1738"/>
    <s v="NORTH"/>
    <s v="UTTAR PRADESH"/>
    <n v="7134"/>
    <s v="M/S GOENKA AUTO PRIVATE LIMITED."/>
    <s v="VARANASI"/>
    <s v="29-Mar-25"/>
    <s v="21-Dec-25"/>
    <n v="1165"/>
    <n v="13290"/>
    <n v="4"/>
    <s v="S"/>
    <s v="T26"/>
    <n v="789024"/>
    <s v="MC1E4FCA4SP023093"/>
    <s v="D71076443"/>
    <s v="002"/>
    <s v="SERV DATE EXCEEDS"/>
    <x v="12"/>
    <s v="31-Dec-25"/>
    <x v="10"/>
    <n v="0"/>
    <n v="0"/>
    <m/>
    <n v="0"/>
    <n v="0"/>
    <n v="0"/>
    <n v="0"/>
    <m/>
    <n v="0"/>
    <m/>
    <m/>
    <s v="T26BS6"/>
    <s v="CVD"/>
    <s v="P"/>
  </r>
  <r>
    <n v="1739"/>
    <s v="NORTH"/>
    <s v="UTTAR PRADESH"/>
    <n v="7134"/>
    <s v="M/S GOENKA AUTO PRIVATE LIMITED."/>
    <s v="VARANASI"/>
    <s v="25-Mar-25"/>
    <s v="09-Dec-25"/>
    <n v="898"/>
    <n v="50000"/>
    <n v="3"/>
    <s v="S"/>
    <s v="T-1"/>
    <n v="797943"/>
    <s v="MC1E4CAA4SP084512"/>
    <s v="D71071060"/>
    <m/>
    <m/>
    <x v="12"/>
    <s v="31-Dec-25"/>
    <x v="10"/>
    <n v="1250"/>
    <n v="0"/>
    <m/>
    <n v="1250"/>
    <n v="1475"/>
    <n v="225"/>
    <n v="0"/>
    <m/>
    <n v="0"/>
    <m/>
    <m/>
    <s v="T1BS6N"/>
    <s v="CVD"/>
    <s v="F"/>
  </r>
  <r>
    <n v="1740"/>
    <s v="NORTH"/>
    <s v="UTTAR PRADESH"/>
    <n v="7134"/>
    <s v="M/S GOENKA AUTO PRIVATE LIMITED."/>
    <s v="VARANASI"/>
    <s v="11-Sep-24"/>
    <s v="19-Dec-25"/>
    <n v="979"/>
    <n v="61639"/>
    <n v="4"/>
    <s v="S"/>
    <s v="T-1"/>
    <n v="782153"/>
    <s v="MC1E4CGA3SP080135"/>
    <s v="D71058379"/>
    <m/>
    <m/>
    <x v="12"/>
    <s v="31-Dec-25"/>
    <x v="10"/>
    <n v="1250"/>
    <n v="0"/>
    <m/>
    <n v="1250"/>
    <n v="1475"/>
    <n v="225"/>
    <n v="0"/>
    <m/>
    <n v="0"/>
    <m/>
    <m/>
    <s v="T1BS6"/>
    <s v="CVD"/>
    <s v="F"/>
  </r>
  <r>
    <n v="1741"/>
    <s v="NORTH"/>
    <s v="UTTAR PRADESH"/>
    <n v="7134"/>
    <s v="M/S GOENKA AUTO PRIVATE LIMITED."/>
    <s v="VARANASI"/>
    <s v="27-Feb-25"/>
    <s v="02-Dec-25"/>
    <n v="1165"/>
    <n v="86859"/>
    <n v="4"/>
    <s v="S"/>
    <s v="T-1"/>
    <n v="785025"/>
    <s v="MC1E4EBA2SP015313"/>
    <s v="D71072545"/>
    <s v="001"/>
    <s v="SERV KMS  / HRS EXCEEDS"/>
    <x v="12"/>
    <s v="31-Dec-25"/>
    <x v="10"/>
    <n v="0"/>
    <n v="0"/>
    <m/>
    <n v="0"/>
    <n v="0"/>
    <n v="0"/>
    <n v="0"/>
    <m/>
    <n v="0"/>
    <m/>
    <m/>
    <s v="T1BS6"/>
    <s v="CVD"/>
    <s v="P"/>
  </r>
  <r>
    <n v="1742"/>
    <s v="NORTH"/>
    <s v="UTTAR PRADESH"/>
    <n v="7134"/>
    <s v="M/S GOENKA AUTO PRIVATE LIMITED."/>
    <s v="VARANASI"/>
    <s v="31-Jul-25"/>
    <s v="02-Dec-25"/>
    <n v="1165"/>
    <n v="4800"/>
    <n v="1"/>
    <s v="S"/>
    <s v="T-1"/>
    <n v="804641"/>
    <s v="MC1E4DGAXTP058107"/>
    <s v="D71085381"/>
    <m/>
    <m/>
    <x v="12"/>
    <s v="31-Dec-25"/>
    <x v="10"/>
    <n v="1250"/>
    <n v="0"/>
    <m/>
    <n v="1250"/>
    <n v="1475"/>
    <n v="225"/>
    <n v="0"/>
    <m/>
    <n v="0"/>
    <m/>
    <m/>
    <s v="T1BS6N"/>
    <s v="CVD"/>
    <s v="F"/>
  </r>
  <r>
    <n v="1743"/>
    <s v="NORTH"/>
    <s v="UTTAR PRADESH"/>
    <n v="7134"/>
    <s v="M/S GOENKA AUTO PRIVATE LIMITED."/>
    <s v="VARANASI"/>
    <s v="24-Mar-25"/>
    <s v="23-Dec-25"/>
    <n v="891"/>
    <n v="52800"/>
    <n v="3"/>
    <s v="S"/>
    <s v="T-1"/>
    <n v="797752"/>
    <s v="MC1E4CBA0SP085459"/>
    <s v="D71072480"/>
    <s v="001"/>
    <s v="SERV KMS  / HRS EXCEEDS"/>
    <x v="12"/>
    <s v="31-Dec-25"/>
    <x v="10"/>
    <n v="1250"/>
    <n v="0"/>
    <m/>
    <n v="1000"/>
    <n v="1475"/>
    <n v="225"/>
    <n v="0"/>
    <m/>
    <n v="250"/>
    <m/>
    <m/>
    <s v="T1BS6N"/>
    <s v="CVD"/>
    <s v="F"/>
  </r>
  <r>
    <n v="1744"/>
    <s v="NORTH"/>
    <s v="UTTAR PRADESH"/>
    <n v="7134"/>
    <s v="M/S GOENKA AUTO PRIVATE LIMITED."/>
    <s v="VARANASI"/>
    <s v="27-Apr-24"/>
    <s v="14-Dec-25"/>
    <n v="1165"/>
    <n v="19446"/>
    <n v="4"/>
    <s v="S"/>
    <s v="T26"/>
    <n v="768004"/>
    <s v="MC1E4FBAXRP019416"/>
    <s v="D71047729"/>
    <s v="002"/>
    <s v="SERV DATE EXCEEDS"/>
    <x v="12"/>
    <s v="31-Dec-25"/>
    <x v="10"/>
    <n v="1250"/>
    <n v="0"/>
    <m/>
    <n v="1000"/>
    <n v="1475"/>
    <n v="225"/>
    <n v="0"/>
    <m/>
    <n v="250"/>
    <m/>
    <m/>
    <s v="T26BS6"/>
    <s v="CVD"/>
    <s v="F"/>
  </r>
  <r>
    <n v="1745"/>
    <s v="NORTH"/>
    <s v="UTTAR PRADESH"/>
    <n v="7134"/>
    <s v="M/S GOENKA AUTO PRIVATE LIMITED."/>
    <s v="VARANASI"/>
    <s v="31-Aug-24"/>
    <s v="31-Dec-25"/>
    <n v="1165"/>
    <n v="45055"/>
    <n v="8"/>
    <s v="S"/>
    <s v="T-1"/>
    <n v="785728"/>
    <s v="MC1E4EGA0SP013472"/>
    <s v="D71058264"/>
    <m/>
    <m/>
    <x v="12"/>
    <s v="31-Dec-25"/>
    <x v="10"/>
    <n v="1250"/>
    <n v="0"/>
    <m/>
    <n v="1250"/>
    <n v="1475"/>
    <n v="225"/>
    <n v="0"/>
    <m/>
    <n v="0"/>
    <m/>
    <m/>
    <s v="T1BS6"/>
    <s v="CVD"/>
    <s v="F"/>
  </r>
  <r>
    <n v="1746"/>
    <s v="NORTH"/>
    <s v="UTTAR PRADESH"/>
    <n v="7134"/>
    <s v="M/S GOENKA AUTO PRIVATE LIMITED."/>
    <s v="VARANASI"/>
    <s v="25-Mar-25"/>
    <s v="14-Dec-25"/>
    <n v="861"/>
    <n v="70000"/>
    <n v="4"/>
    <s v="S"/>
    <s v="T-1"/>
    <n v="797456"/>
    <s v="MC1E4CAA1SP084452"/>
    <s v="D71070992"/>
    <m/>
    <m/>
    <x v="12"/>
    <s v="31-Dec-25"/>
    <x v="10"/>
    <n v="1250"/>
    <n v="0"/>
    <m/>
    <n v="1250"/>
    <n v="1475"/>
    <n v="225"/>
    <n v="0"/>
    <m/>
    <n v="0"/>
    <m/>
    <m/>
    <s v="T1BS6N"/>
    <s v="CVD"/>
    <s v="F"/>
  </r>
  <r>
    <n v="1747"/>
    <s v="NORTH"/>
    <s v="UTTAR PRADESH"/>
    <n v="7134"/>
    <s v="M/S GOENKA AUTO PRIVATE LIMITED."/>
    <s v="VARANASI"/>
    <s v="28-Sep-24"/>
    <s v="02-Dec-25"/>
    <n v="1165"/>
    <n v="99777"/>
    <n v="6"/>
    <s v="S"/>
    <s v="T1N"/>
    <n v="5065"/>
    <s v="MC1M4AHA7SP002245"/>
    <s v="D71061030"/>
    <s v="001"/>
    <s v="SERV KMS  / HRS EXCEEDS"/>
    <x v="12"/>
    <s v="31-Dec-25"/>
    <x v="10"/>
    <n v="0"/>
    <n v="0"/>
    <m/>
    <n v="0"/>
    <n v="0"/>
    <n v="0"/>
    <n v="0"/>
    <m/>
    <n v="0"/>
    <m/>
    <m/>
    <s v="URBN"/>
    <s v="CVD"/>
    <s v="P"/>
  </r>
  <r>
    <n v="1748"/>
    <s v="NORTH"/>
    <s v="UTTAR PRADESH"/>
    <n v="7134"/>
    <s v="M/S GOENKA AUTO PRIVATE LIMITED."/>
    <s v="VARANASI"/>
    <s v="13-Aug-25"/>
    <s v="12-Dec-25"/>
    <n v="1165"/>
    <n v="4700"/>
    <n v="1"/>
    <s v="S"/>
    <s v="T-1"/>
    <n v="803976"/>
    <s v="MC1E4DGA0TP058150"/>
    <s v="D71085798"/>
    <m/>
    <m/>
    <x v="12"/>
    <s v="31-Dec-25"/>
    <x v="10"/>
    <n v="1250"/>
    <n v="0"/>
    <m/>
    <n v="1250"/>
    <n v="1475"/>
    <n v="225"/>
    <n v="0"/>
    <m/>
    <n v="0"/>
    <m/>
    <m/>
    <s v="T1BS6N"/>
    <s v="CVD"/>
    <s v="F"/>
  </r>
  <r>
    <n v="1749"/>
    <s v="NORTH"/>
    <s v="UTTAR PRADESH"/>
    <n v="7134"/>
    <s v="M/S GOENKA AUTO PRIVATE LIMITED."/>
    <s v="VARANASI"/>
    <s v="30-Sep-25"/>
    <s v="09-Dec-25"/>
    <n v="1165"/>
    <n v="5340"/>
    <n v="1"/>
    <s v="S"/>
    <s v="T1N"/>
    <n v="10848"/>
    <s v="MC1M4AHA1TP005787"/>
    <s v="D71088204"/>
    <m/>
    <m/>
    <x v="12"/>
    <s v="31-Dec-25"/>
    <x v="10"/>
    <n v="1650"/>
    <n v="0"/>
    <m/>
    <n v="1650"/>
    <n v="1947"/>
    <n v="297"/>
    <n v="0"/>
    <m/>
    <n v="0"/>
    <m/>
    <m/>
    <s v="URBN"/>
    <s v="CVD"/>
    <s v="F"/>
  </r>
  <r>
    <n v="1750"/>
    <s v="NORTH"/>
    <s v="UTTAR PRADESH"/>
    <n v="7134"/>
    <s v="M/S GOENKA AUTO PRIVATE LIMITED."/>
    <s v="VARANASI"/>
    <s v="31-Mar-25"/>
    <s v="14-Dec-25"/>
    <n v="1165"/>
    <n v="7668"/>
    <n v="2"/>
    <s v="S"/>
    <s v="T-1"/>
    <n v="796638"/>
    <s v="MC1E4DCA6SP056245"/>
    <s v="D71074689"/>
    <m/>
    <m/>
    <x v="12"/>
    <s v="31-Dec-25"/>
    <x v="10"/>
    <n v="1250"/>
    <n v="0"/>
    <m/>
    <n v="1250"/>
    <n v="1475"/>
    <n v="225"/>
    <n v="0"/>
    <m/>
    <n v="0"/>
    <m/>
    <m/>
    <s v="T1BS6N"/>
    <s v="CVD"/>
    <s v="F"/>
  </r>
  <r>
    <n v="1751"/>
    <s v="NORTH"/>
    <s v="UTTAR PRADESH"/>
    <n v="7134"/>
    <s v="M/S GOENKA AUTO PRIVATE LIMITED."/>
    <s v="VARANASI"/>
    <s v="29-Mar-25"/>
    <s v="03-Dec-25"/>
    <n v="1165"/>
    <n v="28413"/>
    <n v="4"/>
    <s v="S"/>
    <s v="T26"/>
    <n v="789021"/>
    <s v="MC1E4FCA0SP023088"/>
    <s v="D71076373"/>
    <m/>
    <m/>
    <x v="12"/>
    <s v="31-Dec-25"/>
    <x v="10"/>
    <n v="0"/>
    <n v="0"/>
    <m/>
    <n v="0"/>
    <n v="0"/>
    <n v="0"/>
    <n v="0"/>
    <m/>
    <n v="0"/>
    <m/>
    <m/>
    <s v="T26BS6"/>
    <s v="CVD"/>
    <s v="P"/>
  </r>
  <r>
    <n v="1752"/>
    <s v="NORTH"/>
    <s v="UTTAR PRADESH"/>
    <n v="7134"/>
    <s v="M/S GOENKA AUTO PRIVATE LIMITED."/>
    <s v="VARANASI"/>
    <s v="14-Oct-24"/>
    <s v="15-Jan-26"/>
    <n v="1165"/>
    <n v="72746"/>
    <n v="7"/>
    <s v="S"/>
    <s v="T1N"/>
    <n v="5472"/>
    <s v="MC1M4AKA7SP002481"/>
    <s v="D71063459"/>
    <s v="001"/>
    <s v="SERV KMS  / HRS EXCEEDS"/>
    <x v="13"/>
    <s v="30-Jan-26"/>
    <x v="11"/>
    <n v="1650"/>
    <n v="0"/>
    <m/>
    <n v="1320"/>
    <n v="1947"/>
    <n v="297"/>
    <n v="0"/>
    <m/>
    <n v="330"/>
    <m/>
    <m/>
    <s v="URBN"/>
    <s v="CVD"/>
    <s v="F"/>
  </r>
  <r>
    <n v="1753"/>
    <s v="NORTH"/>
    <s v="UTTAR PRADESH"/>
    <n v="7134"/>
    <s v="M/S GOENKA AUTO PRIVATE LIMITED."/>
    <s v="VARANASI"/>
    <s v="30-Nov-24"/>
    <s v="09-Jan-26"/>
    <n v="1123"/>
    <n v="40700"/>
    <n v="7"/>
    <s v="S"/>
    <s v="T-1"/>
    <n v="785680"/>
    <s v="MC1E4EJA0SP014176"/>
    <s v="D71062910"/>
    <m/>
    <m/>
    <x v="13"/>
    <s v="30-Jan-26"/>
    <x v="11"/>
    <n v="0"/>
    <n v="0"/>
    <m/>
    <n v="0"/>
    <n v="0"/>
    <n v="0"/>
    <n v="0"/>
    <m/>
    <n v="0"/>
    <m/>
    <m/>
    <s v="T1BS6"/>
    <s v="CVD"/>
    <s v="P"/>
  </r>
  <r>
    <n v="1754"/>
    <s v="NORTH"/>
    <s v="UTTAR PRADESH"/>
    <n v="7134"/>
    <s v="M/S GOENKA AUTO PRIVATE LIMITED."/>
    <s v="VARANASI"/>
    <s v="03-Jan-26"/>
    <s v="27-Jan-26"/>
    <n v="1165"/>
    <n v="9533"/>
    <n v="1"/>
    <s v="S"/>
    <s v="T26"/>
    <n v="810079"/>
    <s v="MC1E4FLA8TP024989"/>
    <s v="D71093826"/>
    <m/>
    <m/>
    <x v="13"/>
    <s v="30-Jan-26"/>
    <x v="11"/>
    <n v="1250"/>
    <n v="0"/>
    <m/>
    <n v="1250"/>
    <n v="1475"/>
    <n v="225"/>
    <n v="0"/>
    <m/>
    <n v="0"/>
    <m/>
    <m/>
    <s v="T26BS6"/>
    <s v="CVD"/>
    <s v="F"/>
  </r>
  <r>
    <n v="1755"/>
    <s v="NORTH"/>
    <s v="UTTAR PRADESH"/>
    <n v="7134"/>
    <s v="M/S GOENKA AUTO PRIVATE LIMITED."/>
    <s v="VARANASI"/>
    <s v="24-Jul-24"/>
    <s v="12-Jan-26"/>
    <n v="1165"/>
    <n v="61271"/>
    <n v="9"/>
    <s v="S"/>
    <s v="T-1"/>
    <n v="774079"/>
    <s v="MC1E4DFA8RP053465"/>
    <s v="D71057531"/>
    <m/>
    <m/>
    <x v="13"/>
    <s v="30-Jan-26"/>
    <x v="11"/>
    <n v="0"/>
    <n v="0"/>
    <m/>
    <n v="0"/>
    <n v="0"/>
    <n v="0"/>
    <n v="0"/>
    <m/>
    <n v="0"/>
    <m/>
    <m/>
    <s v="T1BS6"/>
    <s v="CVD"/>
    <s v="P"/>
  </r>
  <r>
    <n v="1756"/>
    <s v="NORTH"/>
    <s v="UTTAR PRADESH"/>
    <n v="7134"/>
    <s v="M/S GOENKA AUTO PRIVATE LIMITED."/>
    <s v="VARANASI"/>
    <s v="30-Sep-25"/>
    <s v="20-Jan-26"/>
    <n v="1165"/>
    <n v="5304"/>
    <n v="2"/>
    <s v="S"/>
    <s v="T1N"/>
    <n v="10076"/>
    <s v="MC1M4AHA5TP005792"/>
    <s v="D71087766"/>
    <m/>
    <m/>
    <x v="13"/>
    <s v="30-Jan-26"/>
    <x v="11"/>
    <n v="0"/>
    <n v="0"/>
    <m/>
    <n v="0"/>
    <n v="0"/>
    <n v="0"/>
    <n v="0"/>
    <m/>
    <n v="0"/>
    <m/>
    <m/>
    <s v="URBN"/>
    <s v="CVD"/>
    <s v="P"/>
  </r>
  <r>
    <n v="1757"/>
    <s v="NORTH"/>
    <s v="UTTAR PRADESH"/>
    <n v="7134"/>
    <s v="M/S GOENKA AUTO PRIVATE LIMITED."/>
    <s v="VARANASI"/>
    <s v="17-Feb-25"/>
    <s v="23-Jan-26"/>
    <n v="1165"/>
    <n v="30064"/>
    <n v="6"/>
    <s v="S"/>
    <s v="T-1"/>
    <n v="791456"/>
    <s v="MC1E4EMA3SP014782"/>
    <s v="D71067104"/>
    <m/>
    <m/>
    <x v="13"/>
    <s v="30-Jan-26"/>
    <x v="11"/>
    <n v="0"/>
    <n v="0"/>
    <m/>
    <n v="0"/>
    <n v="0"/>
    <n v="0"/>
    <n v="0"/>
    <m/>
    <n v="0"/>
    <m/>
    <m/>
    <s v="T1BS6"/>
    <s v="CVD"/>
    <s v="P"/>
  </r>
  <r>
    <n v="1758"/>
    <s v="NORTH"/>
    <s v="UTTAR PRADESH"/>
    <n v="7134"/>
    <s v="M/S GOENKA AUTO PRIVATE LIMITED."/>
    <s v="VARANASI"/>
    <s v="23-Feb-23"/>
    <s v="18-Jan-26"/>
    <n v="1"/>
    <n v="38541"/>
    <n v="9"/>
    <s v="S"/>
    <s v="T-1"/>
    <n v="743126"/>
    <s v="MC1E4EAA9PP009095"/>
    <s v="D71025232"/>
    <s v="002, 022"/>
    <s v="SERV DATE EXCEEDS, SERVICE COUPON HARD COPY NOT RECEIVED"/>
    <x v="13"/>
    <s v="30-Jan-26"/>
    <x v="11"/>
    <n v="0"/>
    <n v="0"/>
    <m/>
    <n v="0"/>
    <n v="0"/>
    <n v="0"/>
    <n v="0"/>
    <m/>
    <n v="0"/>
    <m/>
    <m/>
    <s v="T1BS6"/>
    <s v="CVD"/>
    <s v="P"/>
  </r>
  <r>
    <n v="1759"/>
    <s v="NORTH"/>
    <s v="UTTAR PRADESH"/>
    <n v="7134"/>
    <s v="M/S GOENKA AUTO PRIVATE LIMITED."/>
    <s v="VARANASI"/>
    <s v="24-Mar-25"/>
    <s v="13-Jan-26"/>
    <n v="895"/>
    <n v="47721"/>
    <n v="3"/>
    <s v="S"/>
    <s v="T-1"/>
    <n v="798680"/>
    <s v="MC1E4CAA1SP084418"/>
    <s v="D71070826"/>
    <m/>
    <m/>
    <x v="13"/>
    <s v="30-Jan-26"/>
    <x v="11"/>
    <n v="1250"/>
    <n v="0"/>
    <m/>
    <n v="1250"/>
    <n v="1475"/>
    <n v="225"/>
    <n v="0"/>
    <m/>
    <n v="0"/>
    <m/>
    <m/>
    <s v="T1BS6N"/>
    <s v="CVD"/>
    <s v="F"/>
  </r>
  <r>
    <n v="1760"/>
    <s v="NORTH"/>
    <s v="UTTAR PRADESH"/>
    <n v="7134"/>
    <s v="M/S GOENKA AUTO PRIVATE LIMITED."/>
    <s v="VARANASI"/>
    <s v="20-Aug-24"/>
    <s v="05-Jan-26"/>
    <n v="951"/>
    <n v="69350"/>
    <n v="7"/>
    <s v="S"/>
    <s v="T1N"/>
    <n v="4698"/>
    <s v="MC1M4AFA4RP001924"/>
    <s v="D71057611"/>
    <m/>
    <m/>
    <x v="13"/>
    <s v="30-Jan-26"/>
    <x v="11"/>
    <n v="1650"/>
    <n v="0"/>
    <m/>
    <n v="1650"/>
    <n v="1947"/>
    <n v="297"/>
    <n v="0"/>
    <m/>
    <n v="0"/>
    <m/>
    <m/>
    <s v="URBN"/>
    <s v="CVD"/>
    <s v="F"/>
  </r>
  <r>
    <n v="1761"/>
    <s v="NORTH"/>
    <s v="UTTAR PRADESH"/>
    <n v="7134"/>
    <s v="M/S GOENKA AUTO PRIVATE LIMITED."/>
    <s v="VARANASI"/>
    <s v="24-Mar-25"/>
    <s v="20-Jan-26"/>
    <n v="871"/>
    <n v="70000"/>
    <n v="4"/>
    <s v="S"/>
    <s v="T-1"/>
    <n v="796129"/>
    <s v="MC1E4CAA8SP083864"/>
    <s v="D71070013"/>
    <m/>
    <m/>
    <x v="13"/>
    <s v="30-Jan-26"/>
    <x v="11"/>
    <n v="1250"/>
    <n v="0"/>
    <m/>
    <n v="1250"/>
    <n v="1475"/>
    <n v="225"/>
    <n v="0"/>
    <m/>
    <n v="0"/>
    <m/>
    <m/>
    <s v="T1BS6N"/>
    <s v="CVD"/>
    <s v="F"/>
  </r>
  <r>
    <n v="1762"/>
    <s v="NORTH"/>
    <s v="UTTAR PRADESH"/>
    <n v="7134"/>
    <s v="M/S GOENKA AUTO PRIVATE LIMITED."/>
    <s v="VARANASI"/>
    <s v="31-Dec-25"/>
    <s v="19-Jan-26"/>
    <n v="1"/>
    <n v="1165"/>
    <n v="1"/>
    <s v="S"/>
    <s v="T1N"/>
    <n v="11231"/>
    <s v="MC1M4AMA4TP007586"/>
    <s v="D71095583"/>
    <s v="022"/>
    <s v="SERVICE COUPON HARD COPY NOT RECEIVED"/>
    <x v="13"/>
    <s v="30-Jan-26"/>
    <x v="11"/>
    <n v="1650"/>
    <n v="0"/>
    <m/>
    <n v="0"/>
    <n v="1947"/>
    <n v="297"/>
    <n v="0"/>
    <m/>
    <n v="1650"/>
    <m/>
    <m/>
    <s v="URBN"/>
    <s v="CVD"/>
    <s v="F"/>
  </r>
  <r>
    <n v="1763"/>
    <s v="NORTH"/>
    <s v="UTTAR PRADESH"/>
    <n v="7134"/>
    <s v="M/S GOENKA AUTO PRIVATE LIMITED."/>
    <s v="VARANASI"/>
    <s v="30-Sep-25"/>
    <s v="04-Jan-26"/>
    <n v="1165"/>
    <n v="9398"/>
    <n v="2"/>
    <s v="S"/>
    <s v="T-1"/>
    <n v="812646"/>
    <s v="MC1E4EHA2TP017409"/>
    <s v="D71089032"/>
    <s v="004"/>
    <s v="SERV KMS / HRS NOT MENTIONED"/>
    <x v="13"/>
    <s v="30-Jan-26"/>
    <x v="11"/>
    <n v="0"/>
    <n v="0"/>
    <m/>
    <n v="0"/>
    <n v="0"/>
    <n v="0"/>
    <n v="0"/>
    <m/>
    <n v="0"/>
    <m/>
    <m/>
    <s v="T1BS6"/>
    <s v="CVD"/>
    <s v="P"/>
  </r>
  <r>
    <n v="1764"/>
    <s v="NORTH"/>
    <s v="UTTAR PRADESH"/>
    <n v="7134"/>
    <s v="M/S GOENKA AUTO PRIVATE LIMITED."/>
    <s v="VARANASI"/>
    <s v="29-Apr-24"/>
    <s v="01-Jan-26"/>
    <n v="1165"/>
    <n v="129000"/>
    <n v="13"/>
    <s v="S"/>
    <s v="T-1"/>
    <n v="773372"/>
    <s v="MC1E4EDA5RP012526"/>
    <s v="D71051928"/>
    <m/>
    <m/>
    <x v="13"/>
    <s v="30-Jan-26"/>
    <x v="11"/>
    <n v="0"/>
    <n v="0"/>
    <m/>
    <n v="0"/>
    <n v="0"/>
    <n v="0"/>
    <n v="0"/>
    <m/>
    <n v="0"/>
    <m/>
    <m/>
    <s v="T1BS6"/>
    <s v="CVD"/>
    <s v="P"/>
  </r>
  <r>
    <n v="1765"/>
    <s v="NORTH"/>
    <s v="UTTAR PRADESH"/>
    <n v="7134"/>
    <s v="M/S GOENKA AUTO PRIVATE LIMITED."/>
    <s v="VARANASI"/>
    <s v="10-Jul-25"/>
    <s v="07-Jan-26"/>
    <n v="1165"/>
    <n v="34877"/>
    <n v="4"/>
    <s v="S"/>
    <s v="T1N"/>
    <n v="7892"/>
    <s v="MC1M4AFA7SP005116"/>
    <s v="D71084105"/>
    <m/>
    <m/>
    <x v="13"/>
    <s v="30-Jan-26"/>
    <x v="11"/>
    <n v="0"/>
    <n v="0"/>
    <m/>
    <n v="0"/>
    <n v="0"/>
    <n v="0"/>
    <n v="0"/>
    <m/>
    <n v="0"/>
    <m/>
    <m/>
    <s v="URBN"/>
    <s v="CVD"/>
    <s v="P"/>
  </r>
  <r>
    <n v="1766"/>
    <s v="NORTH"/>
    <s v="UTTAR PRADESH"/>
    <n v="7134"/>
    <s v="M/S GOENKA AUTO PRIVATE LIMITED."/>
    <s v="VARANASI"/>
    <s v="05-Jun-25"/>
    <s v="13-Jan-26"/>
    <n v="1165"/>
    <n v="25500"/>
    <n v="4"/>
    <s v="S"/>
    <s v="T-1"/>
    <n v="802873"/>
    <s v="MC1E4EEA6SP016279"/>
    <s v="D71080664"/>
    <m/>
    <m/>
    <x v="13"/>
    <s v="30-Jan-26"/>
    <x v="11"/>
    <n v="0"/>
    <n v="0"/>
    <m/>
    <n v="0"/>
    <n v="0"/>
    <n v="0"/>
    <n v="0"/>
    <m/>
    <n v="0"/>
    <m/>
    <m/>
    <s v="T1BS6"/>
    <s v="CVD"/>
    <s v="P"/>
  </r>
  <r>
    <n v="1767"/>
    <s v="NORTH"/>
    <s v="UTTAR PRADESH"/>
    <n v="7134"/>
    <s v="M/S GOENKA AUTO PRIVATE LIMITED."/>
    <s v="VARANASI"/>
    <s v="26-Mar-25"/>
    <s v="21-Jan-26"/>
    <n v="863"/>
    <n v="70000"/>
    <n v="4"/>
    <s v="S"/>
    <s v="T-1"/>
    <n v="797289"/>
    <s v="MC1E4CAA5SP084471"/>
    <s v="D71070988"/>
    <m/>
    <m/>
    <x v="13"/>
    <s v="30-Jan-26"/>
    <x v="11"/>
    <n v="1250"/>
    <n v="0"/>
    <m/>
    <n v="1250"/>
    <n v="1475"/>
    <n v="225"/>
    <n v="0"/>
    <m/>
    <n v="0"/>
    <m/>
    <m/>
    <s v="T1BS6N"/>
    <s v="CVD"/>
    <s v="F"/>
  </r>
  <r>
    <n v="1768"/>
    <s v="NORTH"/>
    <s v="UTTAR PRADESH"/>
    <n v="7134"/>
    <s v="M/S GOENKA AUTO PRIVATE LIMITED."/>
    <s v="VARANASI"/>
    <s v="24-Mar-25"/>
    <s v="20-Jan-26"/>
    <n v="872"/>
    <n v="70000"/>
    <n v="4"/>
    <s v="S"/>
    <s v="T-1"/>
    <n v="796573"/>
    <s v="MC1E4CAA0SP084278"/>
    <s v="D71070689"/>
    <m/>
    <m/>
    <x v="13"/>
    <s v="30-Jan-26"/>
    <x v="11"/>
    <n v="1250"/>
    <n v="0"/>
    <m/>
    <n v="1250"/>
    <n v="1475"/>
    <n v="225"/>
    <n v="0"/>
    <m/>
    <n v="0"/>
    <m/>
    <m/>
    <s v="T1BS6N"/>
    <s v="CVD"/>
    <s v="F"/>
  </r>
  <r>
    <n v="1769"/>
    <s v="NORTH"/>
    <s v="UTTAR PRADESH"/>
    <n v="7134"/>
    <s v="M/S GOENKA AUTO PRIVATE LIMITED."/>
    <s v="VARANASI"/>
    <s v="28-Oct-24"/>
    <s v="12-Jan-26"/>
    <n v="1165"/>
    <n v="59067"/>
    <n v="6"/>
    <s v="S"/>
    <s v="T1N"/>
    <n v="4952"/>
    <s v="MC1M4AKA7SP002562"/>
    <s v="D71063886"/>
    <m/>
    <m/>
    <x v="13"/>
    <s v="30-Jan-26"/>
    <x v="11"/>
    <n v="0"/>
    <n v="0"/>
    <m/>
    <n v="0"/>
    <n v="0"/>
    <n v="0"/>
    <n v="0"/>
    <m/>
    <n v="0"/>
    <m/>
    <m/>
    <s v="URBN"/>
    <s v="CVD"/>
    <s v="P"/>
  </r>
  <r>
    <n v="1770"/>
    <s v="NORTH"/>
    <s v="UTTAR PRADESH"/>
    <n v="7134"/>
    <s v="M/S GOENKA AUTO PRIVATE LIMITED."/>
    <s v="VARANASI"/>
    <s v="11-Jul-25"/>
    <s v="30-Jan-26"/>
    <n v="1165"/>
    <n v="10790"/>
    <n v="2"/>
    <s v="S"/>
    <s v="T-1"/>
    <n v="805199"/>
    <s v="MC1E4DEA1SP057512"/>
    <s v="D71081186"/>
    <m/>
    <m/>
    <x v="13"/>
    <s v="30-Jan-26"/>
    <x v="11"/>
    <n v="1250"/>
    <n v="0"/>
    <m/>
    <n v="1250"/>
    <n v="1475"/>
    <n v="225"/>
    <n v="0"/>
    <m/>
    <n v="0"/>
    <m/>
    <m/>
    <s v="T1BS6N"/>
    <s v="CVD"/>
    <s v="F"/>
  </r>
  <r>
    <n v="1771"/>
    <s v="NORTH"/>
    <s v="UTTAR PRADESH"/>
    <n v="7134"/>
    <s v="M/S GOENKA AUTO PRIVATE LIMITED."/>
    <s v="VARANASI"/>
    <s v="22-Mar-25"/>
    <s v="13-Jan-26"/>
    <n v="1165"/>
    <n v="14127"/>
    <n v="5"/>
    <s v="S"/>
    <s v="TRAX"/>
    <n v="328028"/>
    <s v="MC1D1DBA7SP001616"/>
    <s v="D72018969"/>
    <m/>
    <m/>
    <x v="13"/>
    <s v="30-Jan-26"/>
    <x v="11"/>
    <n v="1250"/>
    <n v="0"/>
    <m/>
    <n v="1250"/>
    <n v="1475"/>
    <n v="225"/>
    <n v="0"/>
    <m/>
    <n v="0"/>
    <m/>
    <m/>
    <s v="TRXBS6"/>
    <s v="CVD"/>
    <s v="F"/>
  </r>
  <r>
    <n v="1772"/>
    <s v="NORTH"/>
    <s v="UTTAR PRADESH"/>
    <n v="7134"/>
    <s v="M/S GOENKA AUTO PRIVATE LIMITED."/>
    <s v="VARANASI"/>
    <s v="31-Mar-25"/>
    <s v="28-Jan-26"/>
    <n v="840"/>
    <n v="69015"/>
    <n v="4"/>
    <s v="S"/>
    <s v="T-1"/>
    <n v="795039"/>
    <s v="MC1E4CAA5SP084180"/>
    <s v="D71070495"/>
    <m/>
    <m/>
    <x v="13"/>
    <s v="30-Jan-26"/>
    <x v="11"/>
    <n v="1250"/>
    <n v="0"/>
    <m/>
    <n v="1250"/>
    <n v="1475"/>
    <n v="225"/>
    <n v="0"/>
    <m/>
    <n v="0"/>
    <m/>
    <m/>
    <s v="T1BS6N"/>
    <s v="CVD"/>
    <s v="F"/>
  </r>
  <r>
    <n v="1773"/>
    <s v="NORTH"/>
    <s v="UTTAR PRADESH"/>
    <n v="7134"/>
    <s v="M/S GOENKA AUTO PRIVATE LIMITED."/>
    <s v="VARANASI"/>
    <s v="05-Jun-25"/>
    <s v="07-Jan-26"/>
    <n v="1165"/>
    <n v="49606"/>
    <n v="5"/>
    <s v="S"/>
    <s v="T-1"/>
    <n v="802127"/>
    <s v="MC1E4EEA0SP016293"/>
    <s v="D71080819"/>
    <m/>
    <m/>
    <x v="13"/>
    <s v="30-Jan-26"/>
    <x v="11"/>
    <n v="1250"/>
    <n v="0"/>
    <m/>
    <n v="1250"/>
    <n v="1475"/>
    <n v="225"/>
    <n v="0"/>
    <m/>
    <n v="0"/>
    <m/>
    <m/>
    <s v="T1BS6"/>
    <s v="CVD"/>
    <s v="F"/>
  </r>
  <r>
    <n v="1774"/>
    <s v="NORTH"/>
    <s v="UTTAR PRADESH"/>
    <n v="7134"/>
    <s v="M/S GOENKA AUTO PRIVATE LIMITED."/>
    <s v="VARANASI"/>
    <s v="17-Dec-25"/>
    <s v="18-Jan-26"/>
    <n v="1165"/>
    <n v="19369"/>
    <n v="2"/>
    <s v="S"/>
    <s v="T1N"/>
    <n v="11288"/>
    <s v="MC1M4ALA6TP007218"/>
    <s v="D71094021"/>
    <m/>
    <m/>
    <x v="13"/>
    <s v="30-Jan-26"/>
    <x v="11"/>
    <n v="0"/>
    <n v="0"/>
    <m/>
    <n v="0"/>
    <n v="0"/>
    <n v="0"/>
    <n v="0"/>
    <m/>
    <n v="0"/>
    <m/>
    <m/>
    <s v="URBN"/>
    <s v="CVD"/>
    <s v="P"/>
  </r>
  <r>
    <n v="1775"/>
    <s v="NORTH"/>
    <s v="UTTAR PRADESH"/>
    <n v="7134"/>
    <s v="M/S GOENKA AUTO PRIVATE LIMITED."/>
    <s v="VARANASI"/>
    <s v="25-Mar-25"/>
    <s v="06-Jan-26"/>
    <n v="873"/>
    <n v="51000"/>
    <n v="3"/>
    <s v="S"/>
    <s v="T-1"/>
    <n v="798608"/>
    <s v="MC1E4CAA5SP084454"/>
    <s v="D71069491"/>
    <s v="001"/>
    <s v="SERV KMS  / HRS EXCEEDS"/>
    <x v="13"/>
    <s v="30-Jan-26"/>
    <x v="11"/>
    <n v="1250"/>
    <n v="0"/>
    <m/>
    <n v="1000"/>
    <n v="1475"/>
    <n v="225"/>
    <n v="0"/>
    <m/>
    <n v="250"/>
    <m/>
    <m/>
    <s v="T1BS6N"/>
    <s v="CVD"/>
    <s v="F"/>
  </r>
  <r>
    <n v="1776"/>
    <s v="NORTH"/>
    <s v="UTTAR PRADESH"/>
    <n v="7134"/>
    <s v="M/S GOENKA AUTO PRIVATE LIMITED."/>
    <s v="VARANASI"/>
    <s v="24-Mar-25"/>
    <s v="30-Jan-26"/>
    <n v="875"/>
    <n v="69800"/>
    <n v="4"/>
    <s v="S"/>
    <s v="T-1"/>
    <n v="796143"/>
    <s v="MC1E4CAA6SP083877"/>
    <s v="D71070045"/>
    <s v="022"/>
    <s v="SERVICE COUPON HARD COPY NOT RECEIVED"/>
    <x v="13"/>
    <s v="30-Jan-26"/>
    <x v="11"/>
    <n v="1250"/>
    <n v="0"/>
    <m/>
    <n v="0"/>
    <n v="1475"/>
    <n v="225"/>
    <n v="0"/>
    <m/>
    <n v="1250"/>
    <m/>
    <m/>
    <s v="T1BS6N"/>
    <s v="CVD"/>
    <s v="F"/>
  </r>
  <r>
    <n v="1777"/>
    <s v="NORTH"/>
    <s v="UTTAR PRADESH"/>
    <n v="7134"/>
    <s v="M/S GOENKA AUTO PRIVATE LIMITED."/>
    <s v="VARANASI"/>
    <s v="18-Aug-25"/>
    <s v="13-Jan-26"/>
    <n v="1165"/>
    <n v="20000"/>
    <n v="2"/>
    <s v="S"/>
    <s v="T1N"/>
    <n v="8254"/>
    <s v="MC1M4AGA9TP005375"/>
    <s v="D71086045"/>
    <m/>
    <m/>
    <x v="13"/>
    <s v="30-Jan-26"/>
    <x v="11"/>
    <n v="0"/>
    <n v="0"/>
    <m/>
    <n v="0"/>
    <n v="0"/>
    <n v="0"/>
    <n v="0"/>
    <m/>
    <n v="0"/>
    <m/>
    <m/>
    <s v="URBN"/>
    <s v="CVD"/>
    <s v="P"/>
  </r>
  <r>
    <n v="1778"/>
    <s v="NORTH"/>
    <s v="UTTAR PRADESH"/>
    <n v="7134"/>
    <s v="M/S GOENKA AUTO PRIVATE LIMITED."/>
    <s v="VARANASI"/>
    <s v="23-Mar-25"/>
    <s v="27-Jan-26"/>
    <n v="875"/>
    <n v="90000"/>
    <n v="5"/>
    <s v="S"/>
    <s v="T-1"/>
    <n v="796123"/>
    <s v="MC1E4CAAXSP083574"/>
    <s v="D71069315"/>
    <m/>
    <m/>
    <x v="13"/>
    <s v="30-Jan-26"/>
    <x v="11"/>
    <n v="0"/>
    <n v="0"/>
    <m/>
    <n v="0"/>
    <n v="0"/>
    <n v="0"/>
    <n v="0"/>
    <m/>
    <n v="0"/>
    <m/>
    <m/>
    <s v="T1BS6N"/>
    <s v="CVD"/>
    <s v="P"/>
  </r>
  <r>
    <n v="1779"/>
    <s v="NORTH"/>
    <s v="UTTAR PRADESH"/>
    <n v="7134"/>
    <s v="M/S GOENKA AUTO PRIVATE LIMITED."/>
    <s v="VARANASI"/>
    <s v="04-Jul-24"/>
    <s v="06-Jan-26"/>
    <n v="1165"/>
    <n v="69524"/>
    <n v="9"/>
    <s v="S"/>
    <s v="T-1"/>
    <n v="775458"/>
    <s v="MC1E4EEA2RP013048"/>
    <s v="D71055352"/>
    <m/>
    <m/>
    <x v="13"/>
    <s v="30-Jan-26"/>
    <x v="11"/>
    <n v="0"/>
    <n v="0"/>
    <m/>
    <n v="0"/>
    <n v="0"/>
    <n v="0"/>
    <n v="0"/>
    <m/>
    <n v="0"/>
    <m/>
    <m/>
    <s v="T1BS6"/>
    <s v="CVD"/>
    <s v="P"/>
  </r>
  <r>
    <n v="1780"/>
    <s v="NORTH"/>
    <s v="UTTAR PRADESH"/>
    <n v="7134"/>
    <s v="M/S GOENKA AUTO PRIVATE LIMITED."/>
    <s v="VARANASI"/>
    <s v="29-Mar-25"/>
    <s v="07-Jan-26"/>
    <n v="1150"/>
    <n v="20914"/>
    <n v="5"/>
    <s v="S"/>
    <s v="T-1"/>
    <n v="778234"/>
    <s v="MC1E5EBA7SP003266"/>
    <s v="D73001699"/>
    <m/>
    <m/>
    <x v="13"/>
    <s v="30-Jan-26"/>
    <x v="11"/>
    <n v="1250"/>
    <n v="0"/>
    <m/>
    <n v="1250"/>
    <n v="1475"/>
    <n v="225"/>
    <n v="0"/>
    <m/>
    <n v="0"/>
    <m/>
    <m/>
    <s v="T1CNGL"/>
    <s v="CVD"/>
    <s v="F"/>
  </r>
  <r>
    <n v="1781"/>
    <s v="NORTH"/>
    <s v="UTTAR PRADESH"/>
    <n v="7134"/>
    <s v="M/S GOENKA AUTO PRIVATE LIMITED."/>
    <s v="VARANASI"/>
    <s v="31-Jan-24"/>
    <s v="02-Jan-26"/>
    <n v="1165"/>
    <n v="81866"/>
    <n v="8"/>
    <s v="S"/>
    <s v="T1N"/>
    <n v="2073"/>
    <s v="MC1M4AAA5RP000921"/>
    <s v="D71044541"/>
    <s v="001"/>
    <s v="SERV KMS  / HRS EXCEEDS"/>
    <x v="13"/>
    <s v="30-Jan-26"/>
    <x v="11"/>
    <n v="0"/>
    <n v="0"/>
    <m/>
    <n v="0"/>
    <n v="0"/>
    <n v="0"/>
    <n v="0"/>
    <m/>
    <n v="0"/>
    <m/>
    <m/>
    <s v="URBN"/>
    <s v="CVD"/>
    <s v="P"/>
  </r>
  <r>
    <n v="1782"/>
    <s v="NORTH"/>
    <s v="UTTAR PRADESH"/>
    <n v="7134"/>
    <s v="M/S GOENKA AUTO PRIVATE LIMITED."/>
    <s v="VARANASI"/>
    <s v="19-Jun-25"/>
    <s v="20-Jan-26"/>
    <n v="1165"/>
    <n v="8038"/>
    <n v="1"/>
    <s v="S"/>
    <s v="TRAX"/>
    <n v="328365"/>
    <s v="MC1D1DDA2SP001634"/>
    <s v="D72020229"/>
    <s v="002, 022"/>
    <s v="SERV DATE EXCEEDS, SERVICE COUPON HARD COPY NOT RECEIVED"/>
    <x v="13"/>
    <s v="30-Jan-26"/>
    <x v="11"/>
    <n v="1250"/>
    <n v="0"/>
    <m/>
    <n v="0"/>
    <n v="1475"/>
    <n v="225"/>
    <n v="0"/>
    <m/>
    <n v="1250"/>
    <m/>
    <m/>
    <s v="TRXBS6"/>
    <s v="CVD"/>
    <s v="F"/>
  </r>
  <r>
    <n v="1783"/>
    <s v="NORTH"/>
    <s v="UTTAR PRADESH"/>
    <n v="7134"/>
    <s v="M/S GOENKA AUTO PRIVATE LIMITED."/>
    <s v="VARANASI"/>
    <s v="26-May-25"/>
    <s v="25-Jan-26"/>
    <n v="1165"/>
    <n v="18406"/>
    <n v="4"/>
    <s v="S"/>
    <s v="T-1"/>
    <n v="778995"/>
    <s v="MC1E5DDA1SP000645"/>
    <s v="D73001860"/>
    <m/>
    <m/>
    <x v="13"/>
    <s v="30-Jan-26"/>
    <x v="11"/>
    <n v="0"/>
    <n v="0"/>
    <m/>
    <n v="0"/>
    <n v="0"/>
    <n v="0"/>
    <n v="0"/>
    <m/>
    <n v="0"/>
    <m/>
    <m/>
    <s v="T1CNGL"/>
    <s v="CVD"/>
    <s v="P"/>
  </r>
  <r>
    <n v="1784"/>
    <s v="NORTH"/>
    <s v="UTTAR PRADESH"/>
    <n v="7134"/>
    <s v="M/S GOENKA AUTO PRIVATE LIMITED."/>
    <s v="VARANASI"/>
    <s v="20-Dec-23"/>
    <s v="30-Jan-26"/>
    <n v="961"/>
    <n v="53490"/>
    <n v="13"/>
    <s v="S"/>
    <s v="T-1"/>
    <n v="760924"/>
    <s v="MC1E4DLA0RP049236"/>
    <s v="D71042572"/>
    <m/>
    <m/>
    <x v="13"/>
    <s v="30-Jan-26"/>
    <x v="11"/>
    <n v="0"/>
    <n v="0"/>
    <m/>
    <n v="0"/>
    <n v="0"/>
    <n v="0"/>
    <n v="0"/>
    <m/>
    <n v="0"/>
    <m/>
    <m/>
    <s v="T1BS6"/>
    <s v="CVD"/>
    <s v="P"/>
  </r>
  <r>
    <n v="1785"/>
    <s v="NORTH"/>
    <s v="UTTAR PRADESH"/>
    <n v="7134"/>
    <s v="M/S GOENKA AUTO PRIVATE LIMITED."/>
    <s v="VARANASI"/>
    <s v="26-Jun-24"/>
    <s v="05-Jan-26"/>
    <n v="1165"/>
    <n v="22973"/>
    <n v="4"/>
    <s v="S"/>
    <s v="T-1"/>
    <n v="781830"/>
    <s v="MC1E4DEA6RP052851"/>
    <s v="D71055149"/>
    <m/>
    <m/>
    <x v="13"/>
    <s v="30-Jan-26"/>
    <x v="11"/>
    <n v="1250"/>
    <n v="0"/>
    <m/>
    <n v="1250"/>
    <n v="1475"/>
    <n v="225"/>
    <n v="0"/>
    <m/>
    <n v="0"/>
    <m/>
    <m/>
    <s v="T1BS6N"/>
    <s v="CVD"/>
    <s v="F"/>
  </r>
  <r>
    <n v="1786"/>
    <s v="NORTH"/>
    <s v="UTTAR PRADESH"/>
    <n v="7134"/>
    <s v="M/S GOENKA AUTO PRIVATE LIMITED."/>
    <s v="VARANASI"/>
    <s v="25-Mar-25"/>
    <s v="15-Jan-26"/>
    <n v="1165"/>
    <n v="111785"/>
    <n v="8"/>
    <s v="S"/>
    <s v="T-1"/>
    <n v="785188"/>
    <s v="MC1E4EBA7SP015419"/>
    <s v="D71073629"/>
    <s v="001, 022"/>
    <s v="SERV KMS  / HRS EXCEEDS, SERVICE COUPON HARD COPY NOT RECEIVED"/>
    <x v="13"/>
    <s v="30-Jan-26"/>
    <x v="11"/>
    <n v="1250"/>
    <n v="0"/>
    <m/>
    <n v="0"/>
    <n v="1475"/>
    <n v="225"/>
    <n v="0"/>
    <m/>
    <n v="1250"/>
    <m/>
    <m/>
    <s v="T1BS6"/>
    <s v="CVD"/>
    <s v="F"/>
  </r>
  <r>
    <n v="1787"/>
    <s v="NORTH"/>
    <s v="UTTAR PRADESH"/>
    <n v="7134"/>
    <s v="M/S GOENKA AUTO PRIVATE LIMITED."/>
    <s v="VARANASI"/>
    <s v="29-Oct-24"/>
    <s v="02-Jan-26"/>
    <n v="1165"/>
    <n v="70100"/>
    <n v="7"/>
    <s v="S"/>
    <s v="T-1"/>
    <n v="790578"/>
    <s v="MC1E4EKA4SP014275"/>
    <s v="D71063275"/>
    <m/>
    <m/>
    <x v="13"/>
    <s v="30-Jan-26"/>
    <x v="11"/>
    <n v="0"/>
    <n v="0"/>
    <m/>
    <n v="0"/>
    <n v="0"/>
    <n v="0"/>
    <n v="0"/>
    <m/>
    <n v="0"/>
    <m/>
    <m/>
    <s v="T1BS6"/>
    <s v="CVD"/>
    <s v="P"/>
  </r>
  <r>
    <n v="1788"/>
    <s v="NORTH"/>
    <s v="UTTAR PRADESH"/>
    <n v="7134"/>
    <s v="M/S GOENKA AUTO PRIVATE LIMITED."/>
    <s v="VARANASI"/>
    <s v="29-Mar-25"/>
    <s v="28-Jan-26"/>
    <n v="1150"/>
    <n v="18767"/>
    <n v="5"/>
    <s v="S"/>
    <s v="T-1"/>
    <n v="778233"/>
    <s v="MC1E5EBA4SP003273"/>
    <s v="D73001702"/>
    <m/>
    <m/>
    <x v="13"/>
    <s v="30-Jan-26"/>
    <x v="11"/>
    <n v="1250"/>
    <n v="0"/>
    <m/>
    <n v="1250"/>
    <n v="1475"/>
    <n v="225"/>
    <n v="0"/>
    <m/>
    <n v="0"/>
    <m/>
    <m/>
    <s v="T1CNGL"/>
    <s v="CVD"/>
    <s v="F"/>
  </r>
  <r>
    <n v="1789"/>
    <s v="NORTH"/>
    <s v="UTTAR PRADESH"/>
    <n v="7134"/>
    <s v="M/S GOENKA AUTO PRIVATE LIMITED."/>
    <s v="VARANASI"/>
    <s v="21-Aug-24"/>
    <s v="07-Jan-26"/>
    <n v="1165"/>
    <n v="42200"/>
    <n v="9"/>
    <s v="S"/>
    <s v="T-1"/>
    <n v="786905"/>
    <s v="MC1E4DGA9SP053995"/>
    <s v="D71059499"/>
    <m/>
    <m/>
    <x v="13"/>
    <s v="30-Jan-26"/>
    <x v="11"/>
    <n v="0"/>
    <n v="0"/>
    <m/>
    <n v="0"/>
    <n v="0"/>
    <n v="0"/>
    <n v="0"/>
    <m/>
    <n v="0"/>
    <m/>
    <m/>
    <s v="T1BS6"/>
    <s v="CVD"/>
    <s v="P"/>
  </r>
  <r>
    <n v="1790"/>
    <s v="NORTH"/>
    <s v="UTTAR PRADESH"/>
    <n v="7134"/>
    <s v="M/S GOENKA AUTO PRIVATE LIMITED."/>
    <s v="VARANASI"/>
    <s v="28-May-24"/>
    <s v="30-Jan-26"/>
    <n v="1165"/>
    <n v="110000"/>
    <n v="11"/>
    <s v="S"/>
    <s v="T26"/>
    <n v="776290"/>
    <s v="MC1E4FEA9RP020391"/>
    <s v="D71054667"/>
    <m/>
    <m/>
    <x v="13"/>
    <s v="30-Jan-26"/>
    <x v="11"/>
    <n v="1250"/>
    <n v="0"/>
    <m/>
    <n v="1250"/>
    <n v="1475"/>
    <n v="225"/>
    <n v="0"/>
    <m/>
    <n v="0"/>
    <m/>
    <m/>
    <s v="T26BS6"/>
    <s v="CVD"/>
    <s v="F"/>
  </r>
  <r>
    <n v="1791"/>
    <s v="NORTH"/>
    <s v="UTTAR PRADESH"/>
    <n v="7134"/>
    <s v="M/S GOENKA AUTO PRIVATE LIMITED."/>
    <s v="VARANASI"/>
    <s v="22-Mar-25"/>
    <s v="13-Jan-26"/>
    <n v="1165"/>
    <n v="12200"/>
    <n v="5"/>
    <s v="S"/>
    <s v="TRAX"/>
    <n v="328462"/>
    <s v="MC1D1DCA2SP001618"/>
    <s v="D72019587"/>
    <m/>
    <m/>
    <x v="13"/>
    <s v="30-Jan-26"/>
    <x v="11"/>
    <n v="1250"/>
    <n v="0"/>
    <m/>
    <n v="1250"/>
    <n v="1475"/>
    <n v="225"/>
    <n v="0"/>
    <m/>
    <n v="0"/>
    <m/>
    <m/>
    <s v="TRXBS6"/>
    <s v="CVD"/>
    <s v="F"/>
  </r>
  <r>
    <n v="1792"/>
    <s v="NORTH"/>
    <s v="UTTAR PRADESH"/>
    <n v="7134"/>
    <s v="M/S GOENKA AUTO PRIVATE LIMITED."/>
    <s v="VARANASI"/>
    <s v="03-Mar-24"/>
    <s v="16-Jan-26"/>
    <n v="1170"/>
    <n v="71125"/>
    <n v="11"/>
    <s v="S"/>
    <s v="T-1"/>
    <n v="765111"/>
    <s v="MC1E4ECA7RP012304"/>
    <s v="D71050911"/>
    <m/>
    <m/>
    <x v="13"/>
    <s v="30-Jan-26"/>
    <x v="11"/>
    <n v="1250"/>
    <n v="0"/>
    <m/>
    <n v="1250"/>
    <n v="1475"/>
    <n v="225"/>
    <n v="0"/>
    <m/>
    <n v="0"/>
    <m/>
    <m/>
    <s v="T1BS6"/>
    <s v="CVD"/>
    <s v="F"/>
  </r>
  <r>
    <n v="1793"/>
    <s v="NORTH"/>
    <s v="UTTAR PRADESH"/>
    <n v="7134"/>
    <s v="M/S GOENKA AUTO PRIVATE LIMITED."/>
    <s v="VARANASI"/>
    <s v="11-Jul-25"/>
    <s v="27-Jan-26"/>
    <n v="1165"/>
    <n v="11520"/>
    <n v="2"/>
    <s v="S"/>
    <s v="T-1"/>
    <n v="805200"/>
    <s v="MC1E4DEA5SP057514"/>
    <s v="D71081183"/>
    <m/>
    <m/>
    <x v="13"/>
    <s v="30-Jan-26"/>
    <x v="11"/>
    <n v="1250"/>
    <n v="0"/>
    <m/>
    <n v="1250"/>
    <n v="1475"/>
    <n v="225"/>
    <n v="0"/>
    <m/>
    <n v="0"/>
    <m/>
    <m/>
    <s v="T1BS6N"/>
    <s v="CVD"/>
    <s v="F"/>
  </r>
  <r>
    <n v="1794"/>
    <s v="NORTH"/>
    <s v="UTTAR PRADESH"/>
    <n v="7134"/>
    <s v="M/S GOENKA AUTO PRIVATE LIMITED."/>
    <s v="VARANASI"/>
    <s v="24-Mar-25"/>
    <s v="04-Jan-26"/>
    <n v="871"/>
    <n v="69000"/>
    <n v="4"/>
    <s v="S"/>
    <s v="T-1"/>
    <n v="796125"/>
    <s v="MC1E4CAAXSP083963"/>
    <s v="D71070041"/>
    <m/>
    <m/>
    <x v="13"/>
    <s v="30-Jan-26"/>
    <x v="11"/>
    <n v="1250"/>
    <n v="0"/>
    <m/>
    <n v="1250"/>
    <n v="1475"/>
    <n v="225"/>
    <n v="0"/>
    <m/>
    <n v="0"/>
    <m/>
    <m/>
    <s v="T1BS6N"/>
    <s v="CVD"/>
    <s v="F"/>
  </r>
  <r>
    <n v="1795"/>
    <s v="NORTH"/>
    <s v="UTTAR PRADESH"/>
    <n v="7134"/>
    <s v="M/S GOENKA AUTO PRIVATE LIMITED."/>
    <s v="VARANASI"/>
    <s v="23-May-24"/>
    <s v="04-Jan-26"/>
    <n v="990"/>
    <n v="26229"/>
    <n v="10"/>
    <s v="S"/>
    <s v="TRAX"/>
    <n v="322403"/>
    <s v="MC1D4DCA8RP103829"/>
    <s v="D72014553"/>
    <m/>
    <m/>
    <x v="13"/>
    <s v="30-Jan-26"/>
    <x v="11"/>
    <n v="0"/>
    <n v="0"/>
    <m/>
    <n v="0"/>
    <n v="0"/>
    <n v="0"/>
    <n v="0"/>
    <m/>
    <n v="0"/>
    <m/>
    <m/>
    <s v="TRXBS6"/>
    <s v="CVD"/>
    <s v="P"/>
  </r>
  <r>
    <n v="1796"/>
    <s v="NORTH"/>
    <s v="UTTAR PRADESH"/>
    <n v="7134"/>
    <s v="M/S GOENKA AUTO PRIVATE LIMITED."/>
    <s v="VARANASI"/>
    <s v="24-Mar-25"/>
    <s v="13-Jan-26"/>
    <n v="883"/>
    <n v="70000"/>
    <n v="4"/>
    <s v="S"/>
    <s v="T-1"/>
    <n v="798650"/>
    <s v="MC1E4CAA0SP084197"/>
    <s v="D71070488"/>
    <m/>
    <m/>
    <x v="13"/>
    <s v="30-Jan-26"/>
    <x v="11"/>
    <n v="1250"/>
    <n v="0"/>
    <m/>
    <n v="1250"/>
    <n v="1475"/>
    <n v="225"/>
    <n v="0"/>
    <m/>
    <n v="0"/>
    <m/>
    <m/>
    <s v="T1BS6N"/>
    <s v="CVD"/>
    <s v="F"/>
  </r>
  <r>
    <n v="1797"/>
    <s v="NORTH"/>
    <s v="UTTAR PRADESH"/>
    <n v="7134"/>
    <s v="M/S GOENKA AUTO PRIVATE LIMITED."/>
    <s v="VARANASI"/>
    <s v="06-Jul-24"/>
    <s v="06-Jan-26"/>
    <n v="1165"/>
    <n v="109820"/>
    <n v="11"/>
    <s v="S"/>
    <s v="T26"/>
    <n v="777193"/>
    <s v="MC1E4FFA8RP020641"/>
    <s v="D71056088"/>
    <m/>
    <m/>
    <x v="13"/>
    <s v="30-Jan-26"/>
    <x v="11"/>
    <n v="1250"/>
    <n v="0"/>
    <m/>
    <n v="1250"/>
    <n v="1475"/>
    <n v="225"/>
    <n v="0"/>
    <m/>
    <n v="0"/>
    <m/>
    <m/>
    <s v="T26BS6"/>
    <s v="CVD"/>
    <s v="F"/>
  </r>
  <r>
    <n v="1798"/>
    <s v="NORTH"/>
    <s v="UTTAR PRADESH"/>
    <n v="7134"/>
    <s v="M/S GOENKA AUTO PRIVATE LIMITED."/>
    <s v="VARANASI"/>
    <s v="22-Mar-25"/>
    <s v="06-Jan-26"/>
    <n v="1165"/>
    <n v="51391"/>
    <n v="5"/>
    <s v="S"/>
    <s v="T-1"/>
    <n v="800870"/>
    <s v="MC1E4ECA7SP015645"/>
    <s v="D71075726"/>
    <m/>
    <m/>
    <x v="13"/>
    <s v="30-Jan-26"/>
    <x v="11"/>
    <n v="1250"/>
    <n v="0"/>
    <m/>
    <n v="1250"/>
    <n v="1475"/>
    <n v="225"/>
    <n v="0"/>
    <m/>
    <n v="0"/>
    <m/>
    <m/>
    <s v="T1BS6"/>
    <s v="CVD"/>
    <s v="F"/>
  </r>
  <r>
    <n v="1799"/>
    <s v="NORTH"/>
    <s v="UTTAR PRADESH"/>
    <n v="7134"/>
    <s v="M/S GOENKA AUTO PRIVATE LIMITED."/>
    <s v="VARANASI"/>
    <s v="16-Jul-25"/>
    <s v="16-Jan-26"/>
    <n v="1165"/>
    <n v="24370"/>
    <n v="3"/>
    <s v="S"/>
    <s v="T26"/>
    <n v="806451"/>
    <s v="MC1E4FEAXSP023855"/>
    <s v="D71081991"/>
    <m/>
    <m/>
    <x v="13"/>
    <s v="30-Jan-26"/>
    <x v="11"/>
    <n v="1250"/>
    <n v="0"/>
    <m/>
    <n v="1250"/>
    <n v="1475"/>
    <n v="225"/>
    <n v="0"/>
    <m/>
    <n v="0"/>
    <m/>
    <m/>
    <s v="T26BS6"/>
    <s v="CVD"/>
    <s v="F"/>
  </r>
  <r>
    <n v="1800"/>
    <s v="NORTH"/>
    <s v="UTTAR PRADESH"/>
    <n v="7134"/>
    <s v="M/S GOENKA AUTO PRIVATE LIMITED."/>
    <s v="VARANASI"/>
    <s v="20-Jun-24"/>
    <s v="21-Jan-26"/>
    <n v="1165"/>
    <n v="61153"/>
    <n v="10"/>
    <s v="S"/>
    <s v="T-1"/>
    <n v="775577"/>
    <s v="MC1E4EDA2RP012872"/>
    <s v="D71053886"/>
    <m/>
    <m/>
    <x v="13"/>
    <s v="30-Jan-26"/>
    <x v="11"/>
    <n v="0"/>
    <n v="0"/>
    <m/>
    <n v="0"/>
    <n v="0"/>
    <n v="0"/>
    <n v="0"/>
    <m/>
    <n v="0"/>
    <m/>
    <m/>
    <s v="T1BS6"/>
    <s v="CVD"/>
    <s v="P"/>
  </r>
  <r>
    <n v="1801"/>
    <s v="NORTH"/>
    <s v="UTTAR PRADESH"/>
    <n v="7134"/>
    <s v="M/S GOENKA AUTO PRIVATE LIMITED."/>
    <s v="VARANASI"/>
    <s v="28-Dec-24"/>
    <s v="04-Jan-26"/>
    <n v="1108"/>
    <n v="73000"/>
    <n v="7"/>
    <s v="S"/>
    <s v="T1N"/>
    <n v="5897"/>
    <s v="MC1M4ALA7SP002849"/>
    <s v="D71066165"/>
    <s v="001"/>
    <s v="SERV KMS  / HRS EXCEEDS"/>
    <x v="13"/>
    <s v="30-Jan-26"/>
    <x v="11"/>
    <n v="1650"/>
    <n v="0"/>
    <m/>
    <n v="1320"/>
    <n v="1947"/>
    <n v="297"/>
    <n v="0"/>
    <m/>
    <n v="330"/>
    <m/>
    <m/>
    <s v="URBN"/>
    <s v="CVD"/>
    <s v="F"/>
  </r>
  <r>
    <n v="1802"/>
    <s v="NORTH"/>
    <s v="UTTAR PRADESH"/>
    <n v="7134"/>
    <s v="M/S GOENKA AUTO PRIVATE LIMITED."/>
    <s v="VARANASI"/>
    <s v="29-Oct-25"/>
    <s v="21-Jan-26"/>
    <n v="1165"/>
    <n v="2853"/>
    <n v="1"/>
    <s v="S"/>
    <s v="TRAX"/>
    <n v="331892"/>
    <s v="MC1D4DGA8TP109874"/>
    <s v="D72021754"/>
    <s v="002, 022"/>
    <s v="SERV DATE EXCEEDS, SERVICE COUPON HARD COPY NOT RECEIVED"/>
    <x v="13"/>
    <s v="30-Jan-26"/>
    <x v="11"/>
    <n v="1250"/>
    <n v="0"/>
    <m/>
    <n v="0"/>
    <n v="1475"/>
    <n v="225"/>
    <n v="0"/>
    <m/>
    <n v="1250"/>
    <m/>
    <m/>
    <s v="TRXBS6"/>
    <s v="CVD"/>
    <s v="F"/>
  </r>
  <r>
    <n v="1803"/>
    <s v="NORTH"/>
    <s v="UTTAR PRADESH"/>
    <n v="7134"/>
    <s v="M/S GOENKA AUTO PRIVATE LIMITED."/>
    <s v="VARANASI"/>
    <s v="16-Jul-25"/>
    <s v="16-Jan-26"/>
    <n v="1165"/>
    <n v="25772"/>
    <n v="3"/>
    <s v="S"/>
    <s v="T26"/>
    <n v="805943"/>
    <s v="MC1E4FEA4SP023849"/>
    <s v="D71082108"/>
    <m/>
    <m/>
    <x v="13"/>
    <s v="30-Jan-26"/>
    <x v="11"/>
    <n v="1250"/>
    <n v="0"/>
    <m/>
    <n v="1250"/>
    <n v="1475"/>
    <n v="225"/>
    <n v="0"/>
    <m/>
    <n v="0"/>
    <m/>
    <m/>
    <s v="T26BS6"/>
    <s v="CVD"/>
    <s v="F"/>
  </r>
  <r>
    <n v="1804"/>
    <s v="NORTH"/>
    <s v="UTTAR PRADESH"/>
    <n v="7134"/>
    <s v="M/S GOENKA AUTO PRIVATE LIMITED."/>
    <s v="VARANASI"/>
    <s v="10-Jul-24"/>
    <s v="19-Jan-26"/>
    <n v="1165"/>
    <n v="109800"/>
    <n v="11"/>
    <s v="S"/>
    <s v="T-1"/>
    <n v="774648"/>
    <s v="MC1E4EFA3RP013218"/>
    <s v="D71056616"/>
    <m/>
    <m/>
    <x v="13"/>
    <s v="30-Jan-26"/>
    <x v="11"/>
    <n v="1250"/>
    <n v="0"/>
    <m/>
    <n v="1250"/>
    <n v="1475"/>
    <n v="225"/>
    <n v="0"/>
    <m/>
    <n v="0"/>
    <m/>
    <m/>
    <s v="T1BS6"/>
    <s v="CVD"/>
    <s v="F"/>
  </r>
  <r>
    <n v="1805"/>
    <s v="NORTH"/>
    <s v="UTTAR PRADESH"/>
    <n v="7134"/>
    <s v="M/S GOENKA AUTO PRIVATE LIMITED."/>
    <s v="VARANASI"/>
    <s v="13-Jun-23"/>
    <s v="13-Jan-26"/>
    <n v="1165"/>
    <n v="371882"/>
    <n v="16"/>
    <s v="S"/>
    <s v="T-1"/>
    <n v="733425"/>
    <s v="MC1E5DEA4PP000371"/>
    <s v="D73000443"/>
    <s v="001, 022"/>
    <s v="SERV KMS  / HRS EXCEEDS, SERVICE COUPON HARD COPY NOT RECEIVED"/>
    <x v="13"/>
    <s v="30-Jan-26"/>
    <x v="11"/>
    <n v="0"/>
    <n v="0"/>
    <m/>
    <n v="0"/>
    <n v="0"/>
    <n v="0"/>
    <n v="0"/>
    <m/>
    <n v="0"/>
    <m/>
    <m/>
    <s v="T1CNGL"/>
    <s v="CVD"/>
    <s v="P"/>
  </r>
  <r>
    <n v="1806"/>
    <s v="NORTH"/>
    <s v="UTTAR PRADESH"/>
    <n v="7134"/>
    <s v="M/S GOENKA AUTO PRIVATE LIMITED."/>
    <s v="VARANASI"/>
    <s v="26-Mar-25"/>
    <s v="07-Jan-26"/>
    <n v="1165"/>
    <n v="25161"/>
    <n v="5"/>
    <s v="S"/>
    <s v="T-1"/>
    <n v="801400"/>
    <s v="MC1E4DCA0SP056435"/>
    <s v="D71075442"/>
    <m/>
    <m/>
    <x v="13"/>
    <s v="30-Jan-26"/>
    <x v="11"/>
    <n v="1250"/>
    <n v="0"/>
    <m/>
    <n v="1250"/>
    <n v="1475"/>
    <n v="225"/>
    <n v="0"/>
    <m/>
    <n v="0"/>
    <m/>
    <m/>
    <s v="T1BS6"/>
    <s v="CVD"/>
    <s v="F"/>
  </r>
  <r>
    <n v="1807"/>
    <s v="NORTH"/>
    <s v="UTTAR PRADESH"/>
    <n v="7134"/>
    <s v="M/S GOENKA AUTO PRIVATE LIMITED."/>
    <s v="VARANASI"/>
    <s v="16-Nov-24"/>
    <s v="11-Jan-26"/>
    <n v="1165"/>
    <n v="58424"/>
    <n v="7"/>
    <s v="S"/>
    <s v="T1N"/>
    <n v="4921"/>
    <s v="MC1M4AKA4SP002552"/>
    <s v="D71063800"/>
    <m/>
    <m/>
    <x v="13"/>
    <s v="30-Jan-26"/>
    <x v="11"/>
    <n v="1650"/>
    <n v="0"/>
    <m/>
    <n v="1650"/>
    <n v="1947"/>
    <n v="297"/>
    <n v="0"/>
    <m/>
    <n v="0"/>
    <m/>
    <m/>
    <s v="URBN"/>
    <s v="CVD"/>
    <s v="F"/>
  </r>
  <r>
    <n v="1808"/>
    <s v="NORTH"/>
    <s v="UTTAR PRADESH"/>
    <n v="7134"/>
    <s v="M/S GOENKA AUTO PRIVATE LIMITED."/>
    <s v="VARANASI"/>
    <s v="24-Jan-25"/>
    <s v="14-Jan-26"/>
    <n v="1165"/>
    <n v="28082"/>
    <n v="4"/>
    <s v="S"/>
    <s v="T1N"/>
    <n v="6480"/>
    <s v="MC1M4AAA3SP003242"/>
    <s v="D71069327"/>
    <m/>
    <m/>
    <x v="13"/>
    <s v="30-Jan-26"/>
    <x v="11"/>
    <n v="0"/>
    <n v="0"/>
    <m/>
    <n v="0"/>
    <n v="0"/>
    <n v="0"/>
    <n v="0"/>
    <m/>
    <n v="0"/>
    <m/>
    <m/>
    <s v="URBN"/>
    <s v="CVD"/>
    <s v="P"/>
  </r>
  <r>
    <n v="1809"/>
    <s v="NORTH"/>
    <s v="UTTAR PRADESH"/>
    <n v="7134"/>
    <s v="M/S GOENKA AUTO PRIVATE LIMITED."/>
    <s v="VARANASI"/>
    <s v="07-Dec-24"/>
    <s v="14-Jan-26"/>
    <n v="1165"/>
    <n v="18443"/>
    <n v="7"/>
    <s v="S"/>
    <s v="T-1"/>
    <n v="790691"/>
    <s v="MC1E4EKA1SP014296"/>
    <s v="D71062279"/>
    <m/>
    <m/>
    <x v="13"/>
    <s v="30-Jan-26"/>
    <x v="11"/>
    <n v="0"/>
    <n v="0"/>
    <m/>
    <n v="0"/>
    <n v="0"/>
    <n v="0"/>
    <n v="0"/>
    <m/>
    <n v="0"/>
    <m/>
    <m/>
    <s v="T1BS6"/>
    <s v="CVD"/>
    <s v="P"/>
  </r>
  <r>
    <n v="1810"/>
    <s v="NORTH"/>
    <s v="UTTAR PRADESH"/>
    <n v="7134"/>
    <s v="M/S GOENKA AUTO PRIVATE LIMITED."/>
    <s v="VARANASI"/>
    <s v="10-Apr-25"/>
    <s v="05-Jan-26"/>
    <n v="1165"/>
    <n v="29222"/>
    <n v="5"/>
    <s v="S"/>
    <s v="T-1"/>
    <n v="801228"/>
    <s v="MC1E4ECA4SP015800"/>
    <s v="D71076699"/>
    <m/>
    <m/>
    <x v="13"/>
    <s v="30-Jan-26"/>
    <x v="11"/>
    <n v="1250"/>
    <n v="0"/>
    <m/>
    <n v="1250"/>
    <n v="1475"/>
    <n v="225"/>
    <n v="0"/>
    <m/>
    <n v="0"/>
    <m/>
    <m/>
    <s v="T1BS6"/>
    <s v="CVD"/>
    <s v="F"/>
  </r>
  <r>
    <n v="1811"/>
    <s v="NORTH"/>
    <s v="UTTAR PRADESH"/>
    <n v="7134"/>
    <s v="M/S GOENKA AUTO PRIVATE LIMITED."/>
    <s v="VARANASI"/>
    <s v="23-Jul-25"/>
    <s v="14-Jan-26"/>
    <n v="1165"/>
    <n v="26117"/>
    <n v="3"/>
    <s v="S"/>
    <s v="T-1"/>
    <n v="802983"/>
    <s v="MC1E4EEA7SP016310"/>
    <s v="D71080968"/>
    <m/>
    <m/>
    <x v="13"/>
    <s v="30-Jan-26"/>
    <x v="11"/>
    <n v="1250"/>
    <n v="0"/>
    <m/>
    <n v="1250"/>
    <n v="1475"/>
    <n v="225"/>
    <n v="0"/>
    <m/>
    <n v="0"/>
    <m/>
    <m/>
    <s v="T1BS6"/>
    <s v="CVD"/>
    <s v="F"/>
  </r>
  <r>
    <n v="1812"/>
    <s v="NORTH"/>
    <s v="UTTAR PRADESH"/>
    <n v="7134"/>
    <s v="M/S GOENKA AUTO PRIVATE LIMITED."/>
    <s v="VARANASI"/>
    <s v="24-Mar-25"/>
    <s v="19-Jan-26"/>
    <n v="892"/>
    <n v="50000"/>
    <n v="3"/>
    <s v="S"/>
    <s v="T-1"/>
    <n v="796577"/>
    <s v="MC1E4CAA5SP084258"/>
    <s v="D71070623"/>
    <m/>
    <m/>
    <x v="13"/>
    <s v="30-Jan-26"/>
    <x v="11"/>
    <n v="1250"/>
    <n v="0"/>
    <m/>
    <n v="1250"/>
    <n v="1475"/>
    <n v="225"/>
    <n v="0"/>
    <m/>
    <n v="0"/>
    <m/>
    <m/>
    <s v="T1BS6N"/>
    <s v="CVD"/>
    <s v="F"/>
  </r>
  <r>
    <n v="1813"/>
    <s v="NORTH"/>
    <s v="UTTAR PRADESH"/>
    <n v="7134"/>
    <s v="M/S GOENKA AUTO PRIVATE LIMITED."/>
    <s v="VARANASI"/>
    <s v="30-Sep-25"/>
    <s v="30-Jan-26"/>
    <n v="1165"/>
    <n v="12218"/>
    <n v="2"/>
    <s v="S"/>
    <s v="T26"/>
    <n v="810977"/>
    <s v="MC1E4FFA7SP023956"/>
    <s v="D71083068"/>
    <m/>
    <m/>
    <x v="13"/>
    <s v="30-Jan-26"/>
    <x v="11"/>
    <n v="0"/>
    <n v="0"/>
    <m/>
    <n v="0"/>
    <n v="0"/>
    <n v="0"/>
    <n v="0"/>
    <m/>
    <n v="0"/>
    <m/>
    <m/>
    <s v="T26BS6"/>
    <s v="CVD"/>
    <s v="P"/>
  </r>
  <r>
    <n v="1814"/>
    <s v="NORTH"/>
    <s v="UTTAR PRADESH"/>
    <n v="7134"/>
    <s v="M/S GOENKA AUTO PRIVATE LIMITED."/>
    <s v="VARANASI"/>
    <s v="29-Mar-25"/>
    <s v="12-Jan-26"/>
    <n v="1165"/>
    <n v="40000"/>
    <n v="5"/>
    <s v="S"/>
    <s v="T26"/>
    <n v="789022"/>
    <s v="MC1E4FCA1SP023116"/>
    <s v="D71076361"/>
    <m/>
    <m/>
    <x v="13"/>
    <s v="30-Jan-26"/>
    <x v="11"/>
    <n v="1250"/>
    <n v="0"/>
    <m/>
    <n v="1250"/>
    <n v="1475"/>
    <n v="225"/>
    <n v="0"/>
    <m/>
    <n v="0"/>
    <m/>
    <m/>
    <s v="T26BS6"/>
    <s v="CVD"/>
    <s v="F"/>
  </r>
  <r>
    <n v="1815"/>
    <s v="NORTH"/>
    <s v="UTTAR PRADESH"/>
    <n v="7134"/>
    <s v="M/S GOENKA AUTO PRIVATE LIMITED."/>
    <s v="VARANASI"/>
    <s v="31-Dec-24"/>
    <s v="02-Jan-26"/>
    <n v="1165"/>
    <n v="47500"/>
    <n v="5"/>
    <s v="S"/>
    <s v="T1N"/>
    <n v="6191"/>
    <s v="MC1M4ALA9SP002903"/>
    <s v="D71066450"/>
    <m/>
    <m/>
    <x v="13"/>
    <s v="30-Jan-26"/>
    <x v="11"/>
    <n v="1650"/>
    <n v="0"/>
    <m/>
    <n v="1650"/>
    <n v="1947"/>
    <n v="297"/>
    <n v="0"/>
    <m/>
    <n v="0"/>
    <m/>
    <m/>
    <s v="URBN"/>
    <s v="CVD"/>
    <s v="F"/>
  </r>
  <r>
    <n v="1816"/>
    <s v="NORTH"/>
    <s v="UTTAR PRADESH"/>
    <n v="7134"/>
    <s v="M/S GOENKA AUTO PRIVATE LIMITED."/>
    <s v="VARANASI"/>
    <s v="20-Aug-24"/>
    <s v="28-Jan-26"/>
    <n v="968"/>
    <n v="75500"/>
    <n v="9"/>
    <s v="S"/>
    <s v="T-1"/>
    <n v="775157"/>
    <s v="MC1E4DDA5RP052440"/>
    <s v="D71053480"/>
    <m/>
    <m/>
    <x v="13"/>
    <s v="30-Jan-26"/>
    <x v="11"/>
    <n v="0"/>
    <n v="0"/>
    <m/>
    <n v="0"/>
    <n v="0"/>
    <n v="0"/>
    <n v="0"/>
    <m/>
    <n v="0"/>
    <m/>
    <m/>
    <s v="T1BS6"/>
    <s v="CVD"/>
    <s v="P"/>
  </r>
  <r>
    <n v="1817"/>
    <s v="NORTH"/>
    <s v="UTTAR PRADESH"/>
    <n v="7134"/>
    <s v="M/S GOENKA AUTO PRIVATE LIMITED."/>
    <s v="VARANASI"/>
    <s v="18-Dec-24"/>
    <s v="23-Jan-26"/>
    <n v="1165"/>
    <n v="20911"/>
    <n v="7"/>
    <s v="S"/>
    <s v="TRAX"/>
    <n v="326648"/>
    <s v="MC1D4DKA3SP106175"/>
    <s v="D72017652"/>
    <m/>
    <m/>
    <x v="13"/>
    <s v="30-Jan-26"/>
    <x v="11"/>
    <n v="0"/>
    <n v="0"/>
    <m/>
    <n v="0"/>
    <n v="0"/>
    <n v="0"/>
    <n v="0"/>
    <m/>
    <n v="0"/>
    <m/>
    <m/>
    <s v="TRXBS6"/>
    <s v="CVD"/>
    <s v="P"/>
  </r>
  <r>
    <n v="1818"/>
    <s v="NORTH"/>
    <s v="UTTAR PRADESH"/>
    <n v="7134"/>
    <s v="M/S GOENKA AUTO PRIVATE LIMITED."/>
    <s v="VARANASI"/>
    <s v="27-Mar-25"/>
    <s v="23-Jan-26"/>
    <n v="856"/>
    <n v="70000"/>
    <n v="4"/>
    <s v="S"/>
    <s v="T-1"/>
    <n v="798595"/>
    <s v="MC1E4CBA2SP085365"/>
    <s v="D71072196"/>
    <m/>
    <m/>
    <x v="13"/>
    <s v="30-Jan-26"/>
    <x v="11"/>
    <n v="1250"/>
    <n v="0"/>
    <m/>
    <n v="1250"/>
    <n v="1475"/>
    <n v="225"/>
    <n v="0"/>
    <m/>
    <n v="0"/>
    <m/>
    <m/>
    <s v="T1BS6N"/>
    <s v="CVD"/>
    <s v="F"/>
  </r>
  <r>
    <n v="1819"/>
    <s v="NORTH"/>
    <s v="UTTAR PRADESH"/>
    <n v="7134"/>
    <s v="M/S GOENKA AUTO PRIVATE LIMITED."/>
    <s v="VARANASI"/>
    <s v="24-Jan-24"/>
    <s v="27-Jan-26"/>
    <n v="1165"/>
    <n v="100000"/>
    <n v="12"/>
    <s v="S"/>
    <s v="T-1"/>
    <n v="761341"/>
    <s v="MC1E4EAA5RP011526"/>
    <s v="D71045349"/>
    <m/>
    <m/>
    <x v="13"/>
    <s v="30-Jan-26"/>
    <x v="11"/>
    <n v="0"/>
    <n v="0"/>
    <m/>
    <n v="0"/>
    <n v="0"/>
    <n v="0"/>
    <n v="0"/>
    <m/>
    <n v="0"/>
    <m/>
    <m/>
    <s v="T1BS6"/>
    <s v="CVD"/>
    <s v="P"/>
  </r>
  <r>
    <n v="1820"/>
    <s v="NORTH"/>
    <s v="UTTAR PRADESH"/>
    <n v="7134"/>
    <s v="M/S GOENKA AUTO PRIVATE LIMITED."/>
    <s v="VARANASI"/>
    <s v="31-May-25"/>
    <s v="13-Jan-26"/>
    <n v="1165"/>
    <n v="16506"/>
    <n v="3"/>
    <s v="S"/>
    <s v="T1N"/>
    <n v="7590"/>
    <s v="MC1M4AEA6SP004587"/>
    <s v="D71081160"/>
    <m/>
    <m/>
    <x v="13"/>
    <s v="30-Jan-26"/>
    <x v="11"/>
    <n v="1650"/>
    <n v="0"/>
    <m/>
    <n v="1650"/>
    <n v="1947"/>
    <n v="297"/>
    <n v="0"/>
    <m/>
    <n v="0"/>
    <m/>
    <m/>
    <s v="URBN"/>
    <s v="CVD"/>
    <s v="F"/>
  </r>
  <r>
    <n v="1821"/>
    <s v="NORTH"/>
    <s v="UTTAR PRADESH"/>
    <n v="7134"/>
    <s v="M/S GOENKA AUTO PRIVATE LIMITED."/>
    <s v="VARANASI"/>
    <s v="10-Feb-25"/>
    <s v="30-Jan-26"/>
    <n v="1165"/>
    <n v="80218"/>
    <n v="8"/>
    <s v="S"/>
    <s v="T1N"/>
    <n v="6199"/>
    <s v="MC1M4ALA7SP002883"/>
    <s v="D71066311"/>
    <m/>
    <m/>
    <x v="13"/>
    <s v="30-Jan-26"/>
    <x v="11"/>
    <n v="0"/>
    <n v="0"/>
    <m/>
    <n v="0"/>
    <n v="0"/>
    <n v="0"/>
    <n v="0"/>
    <m/>
    <n v="0"/>
    <m/>
    <m/>
    <s v="URBN"/>
    <s v="CVD"/>
    <s v="P"/>
  </r>
  <r>
    <n v="1822"/>
    <s v="NORTH"/>
    <s v="UTTAR PRADESH"/>
    <n v="7134"/>
    <s v="M/S GOENKA AUTO PRIVATE LIMITED."/>
    <s v="VARANASI"/>
    <s v="28-Aug-25"/>
    <s v="19-Jan-26"/>
    <n v="1165"/>
    <n v="10000"/>
    <n v="2"/>
    <s v="S"/>
    <s v="T1N"/>
    <n v="7823"/>
    <s v="MC1M4AFAXSP005174"/>
    <s v="D71084195"/>
    <m/>
    <m/>
    <x v="13"/>
    <s v="30-Jan-26"/>
    <x v="11"/>
    <n v="0"/>
    <n v="0"/>
    <m/>
    <n v="0"/>
    <n v="0"/>
    <n v="0"/>
    <n v="0"/>
    <m/>
    <n v="0"/>
    <m/>
    <m/>
    <s v="URBN"/>
    <s v="CVD"/>
    <s v="P"/>
  </r>
  <r>
    <n v="1823"/>
    <s v="NORTH"/>
    <s v="UTTAR PRADESH"/>
    <n v="7134"/>
    <s v="M/S GOENKA AUTO PRIVATE LIMITED."/>
    <s v="VARANASI"/>
    <s v="28-Oct-25"/>
    <s v="23-Jan-26"/>
    <n v="1165"/>
    <n v="20000"/>
    <n v="2"/>
    <s v="S"/>
    <s v="TRAX"/>
    <n v="333667"/>
    <s v="MC1D4DKA5TP110875"/>
    <s v="D72022685"/>
    <m/>
    <m/>
    <x v="13"/>
    <s v="30-Jan-26"/>
    <x v="11"/>
    <n v="0"/>
    <n v="0"/>
    <m/>
    <n v="0"/>
    <n v="0"/>
    <n v="0"/>
    <n v="0"/>
    <m/>
    <n v="0"/>
    <m/>
    <m/>
    <s v="TRXBS6"/>
    <s v="CVD"/>
    <s v="P"/>
  </r>
  <r>
    <n v="1824"/>
    <s v="NORTH"/>
    <s v="UTTAR PRADESH"/>
    <n v="7134"/>
    <s v="M/S GOENKA AUTO PRIVATE LIMITED."/>
    <s v="VARANASI"/>
    <s v="30-Sep-24"/>
    <s v="28-Jan-26"/>
    <n v="1165"/>
    <n v="82700"/>
    <n v="8"/>
    <s v="S"/>
    <s v="T1N"/>
    <n v="5321"/>
    <s v="MC1M4AJA3SP002298"/>
    <s v="D71061487"/>
    <s v="001"/>
    <s v="SERV KMS  / HRS EXCEEDS"/>
    <x v="13"/>
    <s v="30-Jan-26"/>
    <x v="11"/>
    <n v="0"/>
    <n v="0"/>
    <m/>
    <n v="0"/>
    <n v="0"/>
    <n v="0"/>
    <n v="0"/>
    <m/>
    <n v="0"/>
    <m/>
    <m/>
    <s v="URBN"/>
    <s v="CVD"/>
    <s v="P"/>
  </r>
  <r>
    <n v="1825"/>
    <s v="NORTH"/>
    <s v="UTTAR PRADESH"/>
    <n v="7134"/>
    <s v="M/S GOENKA AUTO PRIVATE LIMITED."/>
    <s v="VARANASI"/>
    <s v="29-Jan-25"/>
    <s v="18-Jan-26"/>
    <n v="1165"/>
    <n v="32000"/>
    <n v="6"/>
    <s v="S"/>
    <s v="T-1"/>
    <n v="791455"/>
    <s v="MC1E4EMA2SP014787"/>
    <s v="D71067028"/>
    <m/>
    <m/>
    <x v="13"/>
    <s v="30-Jan-26"/>
    <x v="11"/>
    <n v="0"/>
    <n v="0"/>
    <m/>
    <n v="0"/>
    <n v="0"/>
    <n v="0"/>
    <n v="0"/>
    <m/>
    <n v="0"/>
    <m/>
    <m/>
    <s v="T1BS6"/>
    <s v="CVD"/>
    <s v="P"/>
  </r>
  <r>
    <n v="1826"/>
    <s v="NORTH"/>
    <s v="UTTAR PRADESH"/>
    <n v="7134"/>
    <s v="M/S GOENKA AUTO PRIVATE LIMITED."/>
    <s v="VARANASI"/>
    <s v="11-Dec-24"/>
    <s v="06-Jan-26"/>
    <n v="1165"/>
    <n v="50156"/>
    <n v="5"/>
    <s v="S"/>
    <s v="T1N"/>
    <n v="5539"/>
    <s v="MC1M4ALA7SP002785"/>
    <s v="D71064906"/>
    <m/>
    <m/>
    <x v="13"/>
    <s v="30-Jan-26"/>
    <x v="11"/>
    <n v="1650"/>
    <n v="0"/>
    <m/>
    <n v="1650"/>
    <n v="1947"/>
    <n v="297"/>
    <n v="0"/>
    <m/>
    <n v="0"/>
    <m/>
    <m/>
    <s v="URBN"/>
    <s v="CVD"/>
    <s v="F"/>
  </r>
  <r>
    <n v="1827"/>
    <s v="NORTH"/>
    <s v="UTTAR PRADESH"/>
    <n v="7134"/>
    <s v="M/S GOENKA AUTO PRIVATE LIMITED."/>
    <s v="VARANASI"/>
    <s v="20-Aug-24"/>
    <s v="22-Jan-26"/>
    <n v="970"/>
    <n v="70000"/>
    <n v="7"/>
    <s v="S"/>
    <s v="T1N"/>
    <n v="4625"/>
    <s v="MC1M4AGA3SP001949"/>
    <s v="D71058108"/>
    <m/>
    <m/>
    <x v="13"/>
    <s v="30-Jan-26"/>
    <x v="11"/>
    <n v="1650"/>
    <n v="0"/>
    <m/>
    <n v="1650"/>
    <n v="1947"/>
    <n v="297"/>
    <n v="0"/>
    <m/>
    <n v="0"/>
    <m/>
    <m/>
    <s v="URBN"/>
    <s v="CVD"/>
    <s v="F"/>
  </r>
  <r>
    <n v="1828"/>
    <s v="NORTH"/>
    <s v="UTTAR PRADESH"/>
    <n v="7134"/>
    <s v="M/S GOENKA AUTO PRIVATE LIMITED."/>
    <s v="VARANASI"/>
    <s v="30-Oct-24"/>
    <s v="05-Jan-26"/>
    <n v="1165"/>
    <n v="91404"/>
    <n v="9"/>
    <s v="S"/>
    <s v="T1N"/>
    <n v="5598"/>
    <s v="MC1M4AKAXSP002670"/>
    <s v="D71064697"/>
    <s v="001"/>
    <s v="SERV KMS  / HRS EXCEEDS"/>
    <x v="13"/>
    <s v="30-Jan-26"/>
    <x v="11"/>
    <n v="0"/>
    <n v="0"/>
    <m/>
    <n v="0"/>
    <n v="0"/>
    <n v="0"/>
    <n v="0"/>
    <m/>
    <n v="0"/>
    <m/>
    <m/>
    <s v="URBN"/>
    <s v="CVD"/>
    <s v="P"/>
  </r>
  <r>
    <n v="1829"/>
    <s v="NORTH"/>
    <s v="UTTAR PRADESH"/>
    <n v="7134"/>
    <s v="M/S GOENKA AUTO PRIVATE LIMITED."/>
    <s v="VARANASI"/>
    <s v="31-Oct-25"/>
    <s v="16-Jan-26"/>
    <n v="1165"/>
    <n v="2463"/>
    <n v="1"/>
    <s v="S"/>
    <s v="T-1"/>
    <n v="708067001"/>
    <s v="MC1E5EHA5TP003503"/>
    <s v="D73002245"/>
    <s v="002"/>
    <s v="SERV DATE EXCEEDS"/>
    <x v="13"/>
    <s v="30-Jan-26"/>
    <x v="11"/>
    <n v="1250"/>
    <n v="0"/>
    <m/>
    <n v="1000"/>
    <n v="1475"/>
    <n v="225"/>
    <n v="0"/>
    <m/>
    <n v="250"/>
    <m/>
    <m/>
    <s v="T1CNGL"/>
    <s v="CVD"/>
    <s v="F"/>
  </r>
  <r>
    <n v="1830"/>
    <s v="NORTH"/>
    <s v="UTTAR PRADESH"/>
    <n v="7134"/>
    <s v="M/S GOENKA AUTO PRIVATE LIMITED."/>
    <s v="VARANASI"/>
    <s v="09-Oct-24"/>
    <s v="01-Jan-26"/>
    <n v="1165"/>
    <n v="40169"/>
    <n v="6"/>
    <s v="S"/>
    <s v="T1N"/>
    <n v="5353"/>
    <s v="MC1M4AJA1SP002400"/>
    <s v="D71062532"/>
    <m/>
    <m/>
    <x v="13"/>
    <s v="30-Jan-26"/>
    <x v="11"/>
    <n v="0"/>
    <n v="0"/>
    <m/>
    <n v="0"/>
    <n v="0"/>
    <n v="0"/>
    <n v="0"/>
    <m/>
    <n v="0"/>
    <m/>
    <m/>
    <s v="URBN"/>
    <s v="CVD"/>
    <s v="P"/>
  </r>
  <r>
    <n v="1831"/>
    <s v="NORTH"/>
    <s v="UTTAR PRADESH"/>
    <n v="7134"/>
    <s v="M/S GOENKA AUTO PRIVATE LIMITED."/>
    <s v="VARANASI"/>
    <s v="31-Mar-24"/>
    <s v="05-Jan-26"/>
    <n v="1165"/>
    <n v="110399"/>
    <n v="11"/>
    <s v="S"/>
    <s v="T1N"/>
    <n v="3187"/>
    <s v="MC1M4ACA8RP001252"/>
    <s v="D71050836"/>
    <m/>
    <m/>
    <x v="13"/>
    <s v="30-Jan-26"/>
    <x v="11"/>
    <n v="0"/>
    <n v="0"/>
    <m/>
    <n v="0"/>
    <n v="0"/>
    <n v="0"/>
    <n v="0"/>
    <m/>
    <n v="0"/>
    <m/>
    <m/>
    <s v="URBN"/>
    <s v="CVD"/>
    <s v="P"/>
  </r>
  <r>
    <n v="1832"/>
    <s v="NORTH"/>
    <s v="UTTAR PRADESH"/>
    <n v="7134"/>
    <s v="M/S GOENKA AUTO PRIVATE LIMITED."/>
    <s v="VARANASI"/>
    <s v="29-Nov-25"/>
    <s v="07-Jan-26"/>
    <n v="959"/>
    <n v="4100"/>
    <n v="1"/>
    <s v="S"/>
    <s v="T1N"/>
    <n v="10267"/>
    <s v="MC1M4AKA8TP006945"/>
    <s v="D71092561"/>
    <s v="022"/>
    <s v="SERVICE COUPON HARD COPY NOT RECEIVED"/>
    <x v="13"/>
    <s v="30-Jan-26"/>
    <x v="11"/>
    <n v="1650"/>
    <n v="0"/>
    <m/>
    <n v="0"/>
    <n v="1947"/>
    <n v="297"/>
    <n v="0"/>
    <m/>
    <n v="1650"/>
    <m/>
    <m/>
    <s v="URBN"/>
    <s v="CVD"/>
    <s v="F"/>
  </r>
  <r>
    <n v="1833"/>
    <s v="NORTH"/>
    <s v="UTTAR PRADESH"/>
    <n v="7134"/>
    <s v="M/S GOENKA AUTO PRIVATE LIMITED."/>
    <s v="VARANASI"/>
    <s v="19-Jul-24"/>
    <s v="12-Jan-26"/>
    <n v="1165"/>
    <n v="63862"/>
    <n v="9"/>
    <s v="S"/>
    <s v="T-1"/>
    <n v="7085388"/>
    <s v="MC1E4DGA7SP053543"/>
    <s v="D71057790"/>
    <m/>
    <m/>
    <x v="13"/>
    <s v="30-Jan-26"/>
    <x v="11"/>
    <n v="0"/>
    <n v="0"/>
    <m/>
    <n v="0"/>
    <n v="0"/>
    <n v="0"/>
    <n v="0"/>
    <m/>
    <n v="0"/>
    <m/>
    <m/>
    <s v="T1BS6"/>
    <s v="CVD"/>
    <s v="P"/>
  </r>
  <r>
    <n v="1834"/>
    <s v="NORTH"/>
    <s v="UTTAR PRADESH"/>
    <n v="7134"/>
    <s v="M/S GOENKA AUTO PRIVATE LIMITED."/>
    <s v="VARANASI"/>
    <s v="25-Oct-24"/>
    <s v="13-Jan-26"/>
    <n v="1165"/>
    <n v="52811"/>
    <n v="7"/>
    <s v="S"/>
    <s v="T-1"/>
    <n v="787434"/>
    <s v="MC1E4EHA4SP013800"/>
    <s v="D71060490"/>
    <s v="002"/>
    <s v="SERV DATE EXCEEDS"/>
    <x v="13"/>
    <s v="30-Jan-26"/>
    <x v="11"/>
    <n v="0"/>
    <n v="0"/>
    <m/>
    <n v="0"/>
    <n v="0"/>
    <n v="0"/>
    <n v="0"/>
    <m/>
    <n v="0"/>
    <m/>
    <m/>
    <s v="T1BS6"/>
    <s v="CVD"/>
    <s v="P"/>
  </r>
  <r>
    <n v="1835"/>
    <s v="NORTH"/>
    <s v="UTTAR PRADESH"/>
    <n v="7134"/>
    <s v="M/S GOENKA AUTO PRIVATE LIMITED."/>
    <s v="VARANASI"/>
    <s v="26-Mar-25"/>
    <s v="22-Jan-26"/>
    <n v="871"/>
    <n v="49713"/>
    <n v="3"/>
    <s v="S"/>
    <s v="T-1"/>
    <n v="798842"/>
    <s v="MC1E4CBA9SP086044"/>
    <s v="D71073592"/>
    <m/>
    <m/>
    <x v="13"/>
    <s v="30-Jan-26"/>
    <x v="11"/>
    <n v="1250"/>
    <n v="0"/>
    <m/>
    <n v="1250"/>
    <n v="1475"/>
    <n v="225"/>
    <n v="0"/>
    <m/>
    <n v="0"/>
    <m/>
    <m/>
    <s v="T1BS6N"/>
    <s v="CVD"/>
    <s v="F"/>
  </r>
  <r>
    <n v="1836"/>
    <s v="NORTH"/>
    <s v="UTTAR PRADESH"/>
    <n v="7134"/>
    <s v="M/S GOENKA AUTO PRIVATE LIMITED."/>
    <s v="VARANASI"/>
    <s v="30-Jan-24"/>
    <s v="01-Jan-26"/>
    <n v="984"/>
    <n v="91491"/>
    <n v="9"/>
    <s v="S"/>
    <s v="T1N"/>
    <n v="2096"/>
    <s v="MC1M4AAA3RP000934"/>
    <s v="D71046057"/>
    <s v="001"/>
    <s v="SERV KMS  / HRS EXCEEDS"/>
    <x v="13"/>
    <s v="30-Jan-26"/>
    <x v="11"/>
    <n v="0"/>
    <n v="0"/>
    <m/>
    <n v="0"/>
    <n v="0"/>
    <n v="0"/>
    <n v="0"/>
    <m/>
    <n v="0"/>
    <m/>
    <m/>
    <s v="URBN"/>
    <s v="CVD"/>
    <s v="P"/>
  </r>
  <r>
    <n v="1837"/>
    <s v="NORTH"/>
    <s v="UTTAR PRADESH"/>
    <n v="7134"/>
    <s v="M/S GOENKA AUTO PRIVATE LIMITED."/>
    <s v="VARANASI"/>
    <s v="27-Aug-25"/>
    <s v="20-Jan-26"/>
    <n v="1165"/>
    <n v="11014"/>
    <n v="1"/>
    <s v="S"/>
    <s v="T-1"/>
    <n v="803751"/>
    <s v="MC1E4DGA7TP058193"/>
    <s v="D71086063"/>
    <s v="002, 022"/>
    <s v="SERV DATE EXCEEDS, SERVICE COUPON HARD COPY NOT RECEIVED"/>
    <x v="13"/>
    <s v="30-Jan-26"/>
    <x v="11"/>
    <n v="1250"/>
    <n v="0"/>
    <m/>
    <n v="0"/>
    <n v="1475"/>
    <n v="225"/>
    <n v="0"/>
    <m/>
    <n v="1250"/>
    <m/>
    <m/>
    <s v="T1BS6N"/>
    <s v="CVD"/>
    <s v="F"/>
  </r>
  <r>
    <n v="1838"/>
    <s v="NORTH"/>
    <s v="UTTAR PRADESH"/>
    <n v="7134"/>
    <s v="M/S GOENKA AUTO PRIVATE LIMITED."/>
    <s v="VARANASI"/>
    <s v="23-Aug-24"/>
    <s v="18-Jan-26"/>
    <n v="965"/>
    <n v="80000"/>
    <n v="8"/>
    <s v="S"/>
    <s v="T1N"/>
    <n v="4608"/>
    <s v="MC1M4AGA0SP001973"/>
    <s v="D71058189"/>
    <m/>
    <m/>
    <x v="13"/>
    <s v="30-Jan-26"/>
    <x v="11"/>
    <n v="0"/>
    <n v="0"/>
    <m/>
    <n v="0"/>
    <n v="0"/>
    <n v="0"/>
    <n v="0"/>
    <m/>
    <n v="0"/>
    <m/>
    <m/>
    <s v="URBN"/>
    <s v="CVD"/>
    <s v="P"/>
  </r>
  <r>
    <n v="1839"/>
    <s v="NORTH"/>
    <s v="UTTAR PRADESH"/>
    <n v="7134"/>
    <s v="M/S GOENKA AUTO PRIVATE LIMITED."/>
    <s v="VARANASI"/>
    <s v="10-Sep-24"/>
    <s v="19-Jan-26"/>
    <n v="1165"/>
    <n v="83174"/>
    <n v="10"/>
    <s v="S"/>
    <s v="T26"/>
    <n v="776534"/>
    <s v="MC1E4FHA8SP021288"/>
    <s v="D71060855"/>
    <m/>
    <m/>
    <x v="13"/>
    <s v="30-Jan-26"/>
    <x v="11"/>
    <n v="0"/>
    <n v="0"/>
    <m/>
    <n v="0"/>
    <n v="0"/>
    <n v="0"/>
    <n v="0"/>
    <m/>
    <n v="0"/>
    <m/>
    <m/>
    <s v="T26BS6"/>
    <s v="CVD"/>
    <s v="P"/>
  </r>
  <r>
    <n v="1840"/>
    <s v="NORTH"/>
    <s v="UTTAR PRADESH"/>
    <n v="7134"/>
    <s v="M/S GOENKA AUTO PRIVATE LIMITED."/>
    <s v="VARANASI"/>
    <s v="30-Jun-24"/>
    <s v="18-Jan-26"/>
    <n v="1165"/>
    <n v="52928"/>
    <n v="7"/>
    <s v="S"/>
    <s v="T1N"/>
    <n v="3911"/>
    <s v="MC1M4AEA4RP001648"/>
    <s v="D71055397"/>
    <m/>
    <m/>
    <x v="13"/>
    <s v="30-Jan-26"/>
    <x v="11"/>
    <n v="1650"/>
    <n v="0"/>
    <m/>
    <n v="1650"/>
    <n v="1947"/>
    <n v="297"/>
    <n v="0"/>
    <m/>
    <n v="0"/>
    <m/>
    <m/>
    <s v="URBN"/>
    <s v="CVD"/>
    <s v="F"/>
  </r>
  <r>
    <n v="1841"/>
    <s v="NORTH"/>
    <s v="UTTAR PRADESH"/>
    <n v="7134"/>
    <s v="M/S GOENKA AUTO PRIVATE LIMITED."/>
    <s v="VARANASI"/>
    <s v="11-Jul-24"/>
    <s v="05-Jan-26"/>
    <n v="1165"/>
    <n v="110000"/>
    <n v="11"/>
    <s v="S"/>
    <s v="T-1"/>
    <n v="775228"/>
    <s v="MC1E4EFA3RP013090"/>
    <s v="D71055784"/>
    <m/>
    <m/>
    <x v="13"/>
    <s v="30-Jan-26"/>
    <x v="11"/>
    <n v="1250"/>
    <n v="0"/>
    <m/>
    <n v="1250"/>
    <n v="1475"/>
    <n v="225"/>
    <n v="0"/>
    <m/>
    <n v="0"/>
    <m/>
    <m/>
    <s v="T1BS6"/>
    <s v="CVD"/>
    <s v="F"/>
  </r>
  <r>
    <n v="1842"/>
    <s v="NORTH"/>
    <s v="UTTAR PRADESH"/>
    <n v="7134"/>
    <s v="M/S GOENKA AUTO PRIVATE LIMITED."/>
    <s v="VARANASI"/>
    <s v="29-Nov-25"/>
    <s v="23-Jan-26"/>
    <n v="1165"/>
    <n v="2945"/>
    <n v="1"/>
    <s v="S"/>
    <s v="TRAX"/>
    <n v="1"/>
    <s v="MC1D4DJA4TP110724"/>
    <s v="D72022655"/>
    <m/>
    <m/>
    <x v="13"/>
    <s v="30-Jan-26"/>
    <x v="11"/>
    <n v="1250"/>
    <n v="0"/>
    <m/>
    <n v="1250"/>
    <n v="1475"/>
    <n v="225"/>
    <n v="0"/>
    <m/>
    <n v="0"/>
    <m/>
    <m/>
    <s v="TRXBS6"/>
    <s v="CVD"/>
    <s v="F"/>
  </r>
  <r>
    <n v="1843"/>
    <s v="NORTH"/>
    <s v="UTTAR PRADESH"/>
    <n v="7134"/>
    <s v="M/S GOENKA AUTO PRIVATE LIMITED."/>
    <s v="VARANASI"/>
    <s v="17-Oct-25"/>
    <s v="14-Jan-26"/>
    <n v="1165"/>
    <n v="9203"/>
    <n v="2"/>
    <s v="S"/>
    <s v="T-1"/>
    <n v="812404"/>
    <s v="MC1E4EHA8TP017480"/>
    <s v="D71089682"/>
    <s v="022"/>
    <s v="SERVICE COUPON HARD COPY NOT RECEIVED"/>
    <x v="13"/>
    <s v="30-Jan-26"/>
    <x v="11"/>
    <n v="0"/>
    <n v="0"/>
    <m/>
    <n v="0"/>
    <n v="0"/>
    <n v="0"/>
    <n v="0"/>
    <m/>
    <n v="0"/>
    <m/>
    <m/>
    <s v="T1BS6"/>
    <s v="CVD"/>
    <s v="P"/>
  </r>
  <r>
    <n v="1844"/>
    <s v="NORTH"/>
    <s v="UTTAR PRADESH"/>
    <n v="7134"/>
    <s v="M/S GOENKA AUTO PRIVATE LIMITED."/>
    <s v="VARANASI"/>
    <s v="10-Jun-25"/>
    <s v="05-Jan-26"/>
    <n v="1190"/>
    <n v="26439"/>
    <n v="4"/>
    <s v="S"/>
    <s v="T-1"/>
    <n v="802410"/>
    <s v="MC1E4EEA9SP016230"/>
    <s v="D71080349"/>
    <m/>
    <m/>
    <x v="13"/>
    <s v="30-Jan-26"/>
    <x v="11"/>
    <n v="0"/>
    <n v="0"/>
    <m/>
    <n v="0"/>
    <n v="0"/>
    <n v="0"/>
    <n v="0"/>
    <m/>
    <n v="0"/>
    <m/>
    <m/>
    <s v="T1BS6"/>
    <s v="CVD"/>
    <s v="P"/>
  </r>
  <r>
    <n v="1845"/>
    <s v="NORTH"/>
    <s v="UTTAR PRADESH"/>
    <n v="7134"/>
    <s v="M/S GOENKA AUTO PRIVATE LIMITED."/>
    <s v="VARANASI"/>
    <s v="26-Oct-24"/>
    <s v="12-Jan-26"/>
    <n v="1165"/>
    <n v="70000"/>
    <n v="8"/>
    <s v="S"/>
    <s v="T-1"/>
    <n v="790286"/>
    <s v="MC1E4EJA9SP014242"/>
    <s v="D71063229"/>
    <m/>
    <m/>
    <x v="13"/>
    <s v="30-Jan-26"/>
    <x v="11"/>
    <n v="1250"/>
    <n v="0"/>
    <m/>
    <n v="1250"/>
    <n v="1475"/>
    <n v="225"/>
    <n v="0"/>
    <m/>
    <n v="0"/>
    <m/>
    <m/>
    <s v="T1BS6"/>
    <s v="CVD"/>
    <s v="F"/>
  </r>
  <r>
    <n v="1846"/>
    <s v="NORTH"/>
    <s v="UTTAR PRADESH"/>
    <n v="7134"/>
    <s v="M/S GOENKA AUTO PRIVATE LIMITED."/>
    <s v="VARANASI"/>
    <s v="30-Jun-25"/>
    <s v="21-Jan-26"/>
    <n v="1165"/>
    <n v="25205"/>
    <n v="3"/>
    <s v="S"/>
    <s v="T1N"/>
    <n v="8144"/>
    <s v="MC1M4AFAXSP004865"/>
    <s v="D71082718"/>
    <m/>
    <m/>
    <x v="13"/>
    <s v="30-Jan-26"/>
    <x v="11"/>
    <n v="1650"/>
    <n v="0"/>
    <m/>
    <n v="1650"/>
    <n v="1947"/>
    <n v="297"/>
    <n v="0"/>
    <m/>
    <n v="0"/>
    <m/>
    <m/>
    <s v="URBN"/>
    <s v="CVD"/>
    <s v="F"/>
  </r>
  <r>
    <n v="1847"/>
    <s v="NORTH"/>
    <s v="UTTAR PRADESH"/>
    <n v="7134"/>
    <s v="M/S GOENKA AUTO PRIVATE LIMITED."/>
    <s v="VARANASI"/>
    <s v="28-May-25"/>
    <s v="08-Jan-26"/>
    <n v="1165"/>
    <n v="44407"/>
    <n v="2"/>
    <s v="S"/>
    <s v="T-1"/>
    <n v="803547"/>
    <s v="MC1E4CDA6SP087245"/>
    <s v="D71077690"/>
    <s v="001"/>
    <s v="SERV KMS  / HRS EXCEEDS"/>
    <x v="13"/>
    <s v="30-Jan-26"/>
    <x v="11"/>
    <n v="1250"/>
    <n v="0"/>
    <m/>
    <n v="1000"/>
    <n v="1475"/>
    <n v="225"/>
    <n v="0"/>
    <m/>
    <n v="250"/>
    <m/>
    <m/>
    <s v="T1BS6"/>
    <s v="CVD"/>
    <s v="F"/>
  </r>
  <r>
    <n v="1848"/>
    <s v="NORTH"/>
    <s v="UTTAR PRADESH"/>
    <n v="7134"/>
    <s v="M/S GOENKA AUTO PRIVATE LIMITED."/>
    <s v="VARANASI"/>
    <s v="26-Apr-25"/>
    <s v="23-Jan-26"/>
    <n v="1150"/>
    <n v="16682"/>
    <n v="5"/>
    <s v="S"/>
    <s v="T-1"/>
    <n v="778389"/>
    <s v="MC1E5EDA0SP003347"/>
    <s v="D73001814"/>
    <m/>
    <m/>
    <x v="13"/>
    <s v="30-Jan-26"/>
    <x v="11"/>
    <n v="1250"/>
    <n v="0"/>
    <m/>
    <n v="1250"/>
    <n v="1475"/>
    <n v="225"/>
    <n v="0"/>
    <m/>
    <n v="0"/>
    <m/>
    <m/>
    <s v="T1CNGL"/>
    <s v="CVD"/>
    <s v="F"/>
  </r>
  <r>
    <n v="1849"/>
    <s v="NORTH"/>
    <s v="UTTAR PRADESH"/>
    <n v="7134"/>
    <s v="M/S GOENKA AUTO PRIVATE LIMITED."/>
    <s v="VARANASI"/>
    <s v="13-Mar-25"/>
    <s v="29-Jan-26"/>
    <n v="1165"/>
    <n v="17110"/>
    <n v="6"/>
    <s v="S"/>
    <s v="T-1"/>
    <n v="785189"/>
    <s v="MC1E4EBA7SP015422"/>
    <s v="D71073642"/>
    <m/>
    <m/>
    <x v="13"/>
    <s v="30-Jan-26"/>
    <x v="11"/>
    <n v="0"/>
    <n v="0"/>
    <m/>
    <n v="0"/>
    <n v="0"/>
    <n v="0"/>
    <n v="0"/>
    <m/>
    <n v="0"/>
    <m/>
    <m/>
    <s v="T1BS6"/>
    <s v="CVD"/>
    <s v="P"/>
  </r>
  <r>
    <n v="1850"/>
    <s v="NORTH"/>
    <s v="UTTAR PRADESH"/>
    <n v="7134"/>
    <s v="M/S GOENKA AUTO PRIVATE LIMITED."/>
    <s v="VARANASI"/>
    <s v="26-Mar-25"/>
    <s v="21-Jan-26"/>
    <n v="850"/>
    <n v="90000"/>
    <n v="5"/>
    <s v="S"/>
    <s v="T-1"/>
    <n v="795369"/>
    <s v="MC1E4CBA4SP085254"/>
    <s v="D71072177"/>
    <m/>
    <m/>
    <x v="13"/>
    <s v="30-Jan-26"/>
    <x v="11"/>
    <n v="0"/>
    <n v="0"/>
    <m/>
    <n v="0"/>
    <n v="0"/>
    <n v="0"/>
    <n v="0"/>
    <m/>
    <n v="0"/>
    <m/>
    <m/>
    <s v="T1BS6N"/>
    <s v="CVD"/>
    <s v="P"/>
  </r>
  <r>
    <n v="1851"/>
    <s v="NORTH"/>
    <s v="UTTAR PRADESH"/>
    <n v="7134"/>
    <s v="M/S GOENKA AUTO PRIVATE LIMITED."/>
    <s v="VARANASI"/>
    <s v="24-Feb-24"/>
    <s v="02-Jan-26"/>
    <n v="1165"/>
    <n v="110000"/>
    <n v="11"/>
    <s v="S"/>
    <s v="T1N"/>
    <n v="3269"/>
    <s v="MC1M4ABA2RP001023"/>
    <s v="D71047495"/>
    <m/>
    <m/>
    <x v="13"/>
    <s v="30-Jan-26"/>
    <x v="11"/>
    <n v="0"/>
    <n v="0"/>
    <m/>
    <n v="0"/>
    <n v="0"/>
    <n v="0"/>
    <n v="0"/>
    <m/>
    <n v="0"/>
    <m/>
    <m/>
    <s v="URBN"/>
    <s v="CVD"/>
    <s v="P"/>
  </r>
  <r>
    <n v="1852"/>
    <s v="NORTH"/>
    <s v="UTTAR PRADESH"/>
    <n v="7134"/>
    <s v="M/S GOENKA AUTO PRIVATE LIMITED."/>
    <s v="VARANASI"/>
    <s v="10-Feb-25"/>
    <s v="25-Jan-26"/>
    <n v="1065"/>
    <n v="27319"/>
    <n v="5"/>
    <s v="S"/>
    <s v="TRAX"/>
    <n v="327119"/>
    <s v="MC1D4DMA2SP106617"/>
    <s v="D72018107"/>
    <s v="002, 022"/>
    <s v="SERV DATE EXCEEDS, SERVICE COUPON HARD COPY NOT RECEIVED"/>
    <x v="13"/>
    <s v="30-Jan-26"/>
    <x v="11"/>
    <n v="1250"/>
    <n v="0"/>
    <m/>
    <n v="0"/>
    <n v="1475"/>
    <n v="225"/>
    <n v="0"/>
    <m/>
    <n v="1250"/>
    <m/>
    <m/>
    <s v="TRXBS6"/>
    <s v="CVD"/>
    <s v="F"/>
  </r>
  <r>
    <n v="1853"/>
    <s v="NORTH"/>
    <s v="UTTAR PRADESH"/>
    <n v="7134"/>
    <s v="M/S GOENKA AUTO PRIVATE LIMITED."/>
    <s v="VARANASI"/>
    <s v="31-Jul-25"/>
    <s v="19-Jan-26"/>
    <n v="1165"/>
    <n v="13010"/>
    <n v="3"/>
    <s v="S"/>
    <s v="T-1"/>
    <n v="807201"/>
    <s v="MC1E4EEA9SP016518"/>
    <s v="D71081968"/>
    <m/>
    <m/>
    <x v="13"/>
    <s v="30-Jan-26"/>
    <x v="11"/>
    <n v="1250"/>
    <n v="0"/>
    <m/>
    <n v="1250"/>
    <n v="1475"/>
    <n v="225"/>
    <n v="0"/>
    <m/>
    <n v="0"/>
    <m/>
    <m/>
    <s v="T1BS6"/>
    <s v="CVD"/>
    <s v="F"/>
  </r>
  <r>
    <n v="1854"/>
    <s v="NORTH"/>
    <s v="UTTAR PRADESH"/>
    <n v="7134"/>
    <s v="M/S GOENKA AUTO PRIVATE LIMITED."/>
    <s v="VARANASI"/>
    <s v="18-Nov-25"/>
    <s v="27-Jan-26"/>
    <n v="1165"/>
    <n v="1372"/>
    <n v="1"/>
    <s v="S"/>
    <s v="TRAX"/>
    <n v="332653"/>
    <s v="MC1D4DKA5TP111041"/>
    <s v="D72022585"/>
    <m/>
    <m/>
    <x v="13"/>
    <s v="30-Jan-26"/>
    <x v="11"/>
    <n v="1250"/>
    <n v="0"/>
    <m/>
    <n v="1250"/>
    <n v="1475"/>
    <n v="225"/>
    <n v="0"/>
    <m/>
    <n v="0"/>
    <m/>
    <m/>
    <s v="TRXBS6"/>
    <s v="CVD"/>
    <s v="F"/>
  </r>
  <r>
    <n v="1855"/>
    <s v="NORTH"/>
    <s v="UTTAR PRADESH"/>
    <n v="7134"/>
    <s v="M/S GOENKA AUTO PRIVATE LIMITED."/>
    <s v="VARANASI"/>
    <s v="20-Jun-24"/>
    <s v="09-Jan-26"/>
    <n v="1165"/>
    <n v="90860"/>
    <n v="9"/>
    <s v="S"/>
    <s v="T-1"/>
    <n v="775502"/>
    <s v="MC1E4DEA9RP052715"/>
    <s v="D71054523"/>
    <s v="002"/>
    <s v="SERV DATE EXCEEDS"/>
    <x v="13"/>
    <s v="30-Jan-26"/>
    <x v="11"/>
    <n v="0"/>
    <n v="0"/>
    <m/>
    <n v="0"/>
    <n v="0"/>
    <n v="0"/>
    <n v="0"/>
    <m/>
    <n v="0"/>
    <m/>
    <m/>
    <s v="T1BS6"/>
    <s v="CVD"/>
    <s v="P"/>
  </r>
  <r>
    <n v="1856"/>
    <s v="NORTH"/>
    <s v="UTTAR PRADESH"/>
    <n v="7134"/>
    <s v="M/S GOENKA AUTO PRIVATE LIMITED."/>
    <s v="VARANASI"/>
    <s v="17-Sep-24"/>
    <s v="27-Jan-26"/>
    <n v="1165"/>
    <n v="48530"/>
    <n v="6"/>
    <s v="S"/>
    <s v="T1N"/>
    <n v="5114"/>
    <s v="MC1M4AHA3SP002243"/>
    <s v="D71060936"/>
    <m/>
    <m/>
    <x v="13"/>
    <s v="30-Jan-26"/>
    <x v="11"/>
    <n v="0"/>
    <n v="0"/>
    <m/>
    <n v="0"/>
    <n v="0"/>
    <n v="0"/>
    <n v="0"/>
    <m/>
    <n v="0"/>
    <m/>
    <m/>
    <s v="URBN"/>
    <s v="CVD"/>
    <s v="P"/>
  </r>
  <r>
    <n v="1857"/>
    <s v="NORTH"/>
    <s v="UTTAR PRADESH"/>
    <n v="7134"/>
    <s v="M/S GOENKA AUTO PRIVATE LIMITED."/>
    <s v="VARANASI"/>
    <s v="29-Mar-25"/>
    <s v="08-Jan-26"/>
    <n v="1150"/>
    <n v="19319"/>
    <n v="5"/>
    <s v="S"/>
    <s v="T-1"/>
    <n v="778220"/>
    <s v="MC1E5EBA1SP003277"/>
    <s v="D73001698"/>
    <m/>
    <m/>
    <x v="13"/>
    <s v="30-Jan-26"/>
    <x v="11"/>
    <n v="1250"/>
    <n v="0"/>
    <m/>
    <n v="1250"/>
    <n v="1475"/>
    <n v="225"/>
    <n v="0"/>
    <m/>
    <n v="0"/>
    <m/>
    <m/>
    <s v="T1CNGL"/>
    <s v="CVD"/>
    <s v="F"/>
  </r>
  <r>
    <n v="1858"/>
    <s v="NORTH"/>
    <s v="UTTAR PRADESH"/>
    <n v="7134"/>
    <s v="M/S GOENKA AUTO PRIVATE LIMITED."/>
    <s v="VARANASI"/>
    <s v="27-Feb-24"/>
    <s v="04-Jan-26"/>
    <n v="1165"/>
    <n v="100800"/>
    <n v="10"/>
    <s v="S"/>
    <s v="T1N"/>
    <n v="3046"/>
    <s v="MC1M4ABA6RP001056"/>
    <s v="D71048004"/>
    <m/>
    <m/>
    <x v="13"/>
    <s v="30-Jan-26"/>
    <x v="11"/>
    <n v="0"/>
    <n v="0"/>
    <m/>
    <n v="0"/>
    <n v="0"/>
    <n v="0"/>
    <n v="0"/>
    <m/>
    <n v="0"/>
    <m/>
    <m/>
    <s v="URBN"/>
    <s v="CVD"/>
    <s v="P"/>
  </r>
  <r>
    <n v="1859"/>
    <s v="NORTH"/>
    <s v="UTTAR PRADESH"/>
    <n v="7134"/>
    <s v="M/S GOENKA AUTO PRIVATE LIMITED."/>
    <s v="VARANASI"/>
    <s v="19-May-25"/>
    <s v="08-Jan-26"/>
    <n v="1150"/>
    <n v="19862"/>
    <n v="5"/>
    <s v="S"/>
    <s v="T-1"/>
    <n v="778180"/>
    <s v="MC1E5EDA3SP003357"/>
    <s v="D73001815"/>
    <m/>
    <m/>
    <x v="13"/>
    <s v="30-Jan-26"/>
    <x v="11"/>
    <n v="1250"/>
    <n v="0"/>
    <m/>
    <n v="1250"/>
    <n v="1475"/>
    <n v="225"/>
    <n v="0"/>
    <m/>
    <n v="0"/>
    <m/>
    <m/>
    <s v="T1CNGL"/>
    <s v="CVD"/>
    <s v="F"/>
  </r>
  <r>
    <n v="1860"/>
    <s v="NORTH"/>
    <s v="UTTAR PRADESH"/>
    <n v="7134"/>
    <s v="M/S GOENKA AUTO PRIVATE LIMITED."/>
    <s v="VARANASI"/>
    <s v="23-Mar-25"/>
    <s v="13-Jan-26"/>
    <n v="879"/>
    <n v="50000"/>
    <n v="3"/>
    <s v="S"/>
    <s v="T-1"/>
    <n v="796020"/>
    <s v="MC1E4CAA7SP084102"/>
    <s v="D71070175"/>
    <m/>
    <m/>
    <x v="13"/>
    <s v="30-Jan-26"/>
    <x v="11"/>
    <n v="1250"/>
    <n v="0"/>
    <m/>
    <n v="1250"/>
    <n v="1475"/>
    <n v="225"/>
    <n v="0"/>
    <m/>
    <n v="0"/>
    <m/>
    <m/>
    <s v="T1BS6N"/>
    <s v="CVD"/>
    <s v="F"/>
  </r>
  <r>
    <n v="1861"/>
    <s v="NORTH"/>
    <s v="UTTAR PRADESH"/>
    <n v="7134"/>
    <s v="M/S GOENKA AUTO PRIVATE LIMITED."/>
    <s v="VARANASI"/>
    <s v="20-Jul-24"/>
    <s v="30-Jan-26"/>
    <n v="1165"/>
    <n v="89299"/>
    <n v="9"/>
    <s v="S"/>
    <s v="T1N"/>
    <n v="3564"/>
    <s v="MC1M4AFA5RP001723"/>
    <s v="D71056049"/>
    <m/>
    <m/>
    <x v="13"/>
    <s v="30-Jan-26"/>
    <x v="11"/>
    <n v="0"/>
    <n v="0"/>
    <m/>
    <n v="0"/>
    <n v="0"/>
    <n v="0"/>
    <n v="0"/>
    <m/>
    <n v="0"/>
    <m/>
    <m/>
    <s v="URBN"/>
    <s v="CVD"/>
    <s v="P"/>
  </r>
  <r>
    <n v="1862"/>
    <s v="NORTH"/>
    <s v="UTTAR PRADESH"/>
    <n v="7134"/>
    <s v="M/S GOENKA AUTO PRIVATE LIMITED."/>
    <s v="VARANASI"/>
    <s v="18-Nov-24"/>
    <s v="19-Jan-26"/>
    <n v="1165"/>
    <n v="65200"/>
    <n v="7"/>
    <s v="S"/>
    <s v="T26"/>
    <n v="789619"/>
    <s v="MC1E4FJA2SP021586"/>
    <s v="D71062197"/>
    <m/>
    <m/>
    <x v="13"/>
    <s v="30-Jan-26"/>
    <x v="11"/>
    <n v="0"/>
    <n v="0"/>
    <m/>
    <n v="0"/>
    <n v="0"/>
    <n v="0"/>
    <n v="0"/>
    <m/>
    <n v="0"/>
    <m/>
    <m/>
    <s v="T26BS6"/>
    <s v="CVD"/>
    <s v="P"/>
  </r>
  <r>
    <n v="1863"/>
    <s v="NORTH"/>
    <s v="UTTAR PRADESH"/>
    <n v="7134"/>
    <s v="M/S GOENKA AUTO PRIVATE LIMITED."/>
    <s v="VARANASI"/>
    <s v="13-Jun-24"/>
    <s v="13-Jan-26"/>
    <n v="910"/>
    <n v="60529"/>
    <n v="9"/>
    <s v="S"/>
    <s v="T-1"/>
    <n v="775649"/>
    <s v="MC1E4EEA0RP013016"/>
    <s v="D71055025"/>
    <s v="002"/>
    <s v="SERV DATE EXCEEDS"/>
    <x v="13"/>
    <s v="30-Jan-26"/>
    <x v="11"/>
    <n v="0"/>
    <n v="0"/>
    <m/>
    <n v="0"/>
    <n v="0"/>
    <n v="0"/>
    <n v="0"/>
    <m/>
    <n v="0"/>
    <m/>
    <m/>
    <s v="T1BS6"/>
    <s v="CVD"/>
    <s v="P"/>
  </r>
  <r>
    <n v="1864"/>
    <s v="NORTH"/>
    <s v="UTTAR PRADESH"/>
    <n v="7134"/>
    <s v="M/S GOENKA AUTO PRIVATE LIMITED."/>
    <s v="VARANASI"/>
    <s v="22-Nov-25"/>
    <s v="02-Jan-26"/>
    <n v="1165"/>
    <n v="9734"/>
    <n v="1"/>
    <s v="S"/>
    <s v="T1N"/>
    <n v="9957"/>
    <s v="MC1M4ALA2TP007202"/>
    <s v="D71094077"/>
    <m/>
    <m/>
    <x v="13"/>
    <s v="30-Jan-26"/>
    <x v="11"/>
    <n v="1650"/>
    <n v="0"/>
    <m/>
    <n v="1650"/>
    <n v="1947"/>
    <n v="297"/>
    <n v="0"/>
    <m/>
    <n v="0"/>
    <m/>
    <m/>
    <s v="URBN"/>
    <s v="CVD"/>
    <s v="F"/>
  </r>
  <r>
    <n v="1865"/>
    <s v="NORTH"/>
    <s v="UTTAR PRADESH"/>
    <n v="7134"/>
    <s v="M/S GOENKA AUTO PRIVATE LIMITED."/>
    <s v="VARANASI"/>
    <s v="26-Jul-24"/>
    <s v="01-Jan-26"/>
    <n v="1165"/>
    <n v="52035"/>
    <n v="9"/>
    <s v="S"/>
    <s v="T-1"/>
    <n v="774651"/>
    <s v="MC1E4EFA1RP013184"/>
    <s v="D71056676"/>
    <m/>
    <m/>
    <x v="13"/>
    <s v="30-Jan-26"/>
    <x v="11"/>
    <n v="0"/>
    <n v="0"/>
    <m/>
    <n v="0"/>
    <n v="0"/>
    <n v="0"/>
    <n v="0"/>
    <m/>
    <n v="0"/>
    <m/>
    <m/>
    <s v="T1BS6"/>
    <s v="CVD"/>
    <s v="P"/>
  </r>
  <r>
    <n v="1866"/>
    <s v="NORTH"/>
    <s v="UTTAR PRADESH"/>
    <n v="7134"/>
    <s v="M/S GOENKA AUTO PRIVATE LIMITED."/>
    <s v="VARANASI"/>
    <s v="30-Sep-24"/>
    <s v="06-Jan-26"/>
    <n v="1165"/>
    <n v="49001"/>
    <n v="6"/>
    <s v="S"/>
    <s v="T1N"/>
    <n v="5318"/>
    <s v="MC1M4AJA0SP002369"/>
    <s v="D71062324"/>
    <m/>
    <m/>
    <x v="13"/>
    <s v="30-Jan-26"/>
    <x v="11"/>
    <n v="0"/>
    <n v="0"/>
    <m/>
    <n v="0"/>
    <n v="0"/>
    <n v="0"/>
    <n v="0"/>
    <m/>
    <n v="0"/>
    <m/>
    <m/>
    <s v="URBN"/>
    <s v="CVD"/>
    <s v="P"/>
  </r>
  <r>
    <n v="1867"/>
    <s v="NORTH"/>
    <s v="UTTAR PRADESH"/>
    <n v="7134"/>
    <s v="M/S GOENKA AUTO PRIVATE LIMITED."/>
    <s v="VARANASI"/>
    <s v="10-Jan-25"/>
    <s v="21-Jan-26"/>
    <n v="1150"/>
    <n v="52068"/>
    <n v="6"/>
    <s v="S"/>
    <s v="T-1"/>
    <n v="791891"/>
    <s v="MC1E4EKA5SP014589"/>
    <s v="D71064930"/>
    <m/>
    <m/>
    <x v="13"/>
    <s v="30-Jan-26"/>
    <x v="11"/>
    <n v="0"/>
    <n v="0"/>
    <m/>
    <n v="0"/>
    <n v="0"/>
    <n v="0"/>
    <n v="0"/>
    <m/>
    <n v="0"/>
    <m/>
    <m/>
    <s v="T1BS6"/>
    <s v="CVD"/>
    <s v="P"/>
  </r>
  <r>
    <n v="1868"/>
    <s v="NORTH"/>
    <s v="UTTAR PRADESH"/>
    <n v="7134"/>
    <s v="M/S GOENKA AUTO PRIVATE LIMITED."/>
    <s v="VARANASI"/>
    <s v="28-Sep-24"/>
    <s v="19-Jan-26"/>
    <n v="1165"/>
    <n v="90000"/>
    <n v="9"/>
    <s v="S"/>
    <s v="T-1"/>
    <n v="787042"/>
    <s v="MC1E4EHA9SP013842"/>
    <s v="D71060493"/>
    <m/>
    <m/>
    <x v="13"/>
    <s v="30-Jan-26"/>
    <x v="11"/>
    <n v="0"/>
    <n v="0"/>
    <m/>
    <n v="0"/>
    <n v="0"/>
    <n v="0"/>
    <n v="0"/>
    <m/>
    <n v="0"/>
    <m/>
    <m/>
    <s v="T1BS6"/>
    <s v="CVD"/>
    <s v="P"/>
  </r>
  <r>
    <n v="1869"/>
    <s v="NORTH"/>
    <s v="UTTAR PRADESH"/>
    <n v="7134"/>
    <s v="M/S GOENKA AUTO PRIVATE LIMITED."/>
    <s v="VARANASI"/>
    <s v="24-Oct-24"/>
    <s v="27-Jan-26"/>
    <n v="1152"/>
    <n v="68294"/>
    <n v="8"/>
    <s v="S"/>
    <s v="T-1"/>
    <n v="787971"/>
    <s v="MC1E1CHA1SP007904"/>
    <s v="D71060547"/>
    <m/>
    <m/>
    <x v="13"/>
    <s v="30-Jan-26"/>
    <x v="11"/>
    <n v="1250"/>
    <n v="0"/>
    <m/>
    <n v="1250"/>
    <n v="1475"/>
    <n v="225"/>
    <n v="0"/>
    <m/>
    <n v="0"/>
    <m/>
    <m/>
    <s v="T1BS6"/>
    <s v="CVD"/>
    <s v="F"/>
  </r>
  <r>
    <n v="1870"/>
    <s v="NORTH"/>
    <s v="UTTAR PRADESH"/>
    <n v="7134"/>
    <s v="M/S GOENKA AUTO PRIVATE LIMITED."/>
    <s v="VARANASI"/>
    <s v="24-Mar-25"/>
    <s v="05-Jan-26"/>
    <n v="856"/>
    <n v="70000"/>
    <n v="4"/>
    <s v="S"/>
    <s v="T-1"/>
    <n v="796592"/>
    <s v="MC1E4CAA8SP084271"/>
    <s v="D71070670"/>
    <s v="022"/>
    <s v="SERVICE COUPON HARD COPY NOT RECEIVED"/>
    <x v="13"/>
    <s v="30-Jan-26"/>
    <x v="11"/>
    <n v="1250"/>
    <n v="0"/>
    <m/>
    <n v="0"/>
    <n v="1475"/>
    <n v="225"/>
    <n v="0"/>
    <m/>
    <n v="1250"/>
    <m/>
    <m/>
    <s v="T1BS6N"/>
    <s v="CVD"/>
    <s v="F"/>
  </r>
  <r>
    <n v="1871"/>
    <s v="NORTH"/>
    <s v="UTTAR PRADESH"/>
    <n v="7134"/>
    <s v="M/S GOENKA AUTO PRIVATE LIMITED."/>
    <s v="VARANASI"/>
    <s v="27-Sep-25"/>
    <s v="08-Jan-26"/>
    <n v="1165"/>
    <n v="19865"/>
    <n v="2"/>
    <s v="S"/>
    <s v="T-1"/>
    <n v="809345"/>
    <s v="MC1E4EFA9SP016839"/>
    <s v="D71084370"/>
    <m/>
    <m/>
    <x v="13"/>
    <s v="30-Jan-26"/>
    <x v="11"/>
    <n v="0"/>
    <n v="0"/>
    <m/>
    <n v="0"/>
    <n v="0"/>
    <n v="0"/>
    <n v="0"/>
    <m/>
    <n v="0"/>
    <m/>
    <m/>
    <s v="T1BS6"/>
    <s v="CVD"/>
    <s v="P"/>
  </r>
  <r>
    <n v="1872"/>
    <s v="NORTH"/>
    <s v="UTTAR PRADESH"/>
    <n v="7134"/>
    <s v="M/S GOENKA AUTO PRIVATE LIMITED."/>
    <s v="VARANASI"/>
    <s v="30-Dec-23"/>
    <s v="28-Jan-26"/>
    <n v="1165"/>
    <n v="56820"/>
    <n v="13"/>
    <s v="S"/>
    <s v="T-1"/>
    <n v="762665"/>
    <s v="MC1E4DMA7RP049698"/>
    <s v="D71043659"/>
    <m/>
    <m/>
    <x v="13"/>
    <s v="30-Jan-26"/>
    <x v="11"/>
    <n v="0"/>
    <n v="0"/>
    <m/>
    <n v="0"/>
    <n v="0"/>
    <n v="0"/>
    <n v="0"/>
    <m/>
    <n v="0"/>
    <m/>
    <m/>
    <s v="T1BS6"/>
    <s v="CVD"/>
    <s v="P"/>
  </r>
  <r>
    <n v="1873"/>
    <s v="NORTH"/>
    <s v="UTTAR PRADESH"/>
    <n v="7134"/>
    <s v="M/S GOENKA AUTO PRIVATE LIMITED."/>
    <s v="VARANASI"/>
    <s v="29-Oct-24"/>
    <s v="23-Jan-26"/>
    <n v="1150"/>
    <n v="71120"/>
    <n v="7"/>
    <s v="S"/>
    <s v="T1N"/>
    <n v="4891"/>
    <s v="MC1M4AKA8SP002571"/>
    <s v="D71063952"/>
    <m/>
    <m/>
    <x v="13"/>
    <s v="30-Jan-26"/>
    <x v="11"/>
    <n v="1650"/>
    <n v="0"/>
    <m/>
    <n v="1650"/>
    <n v="1947"/>
    <n v="297"/>
    <n v="0"/>
    <m/>
    <n v="0"/>
    <m/>
    <m/>
    <s v="URBN"/>
    <s v="CVD"/>
    <s v="F"/>
  </r>
  <r>
    <n v="1874"/>
    <s v="NORTH"/>
    <s v="UTTAR PRADESH"/>
    <n v="7134"/>
    <s v="M/S GOENKA AUTO PRIVATE LIMITED."/>
    <s v="VARANASI"/>
    <s v="08-Mar-24"/>
    <s v="30-Jan-26"/>
    <n v="1165"/>
    <n v="65220"/>
    <n v="12"/>
    <s v="S"/>
    <s v="T-1"/>
    <n v="764087"/>
    <s v="MC1E4EAA5RP011624"/>
    <s v="D71045990"/>
    <m/>
    <m/>
    <x v="13"/>
    <s v="30-Jan-26"/>
    <x v="11"/>
    <n v="0"/>
    <n v="0"/>
    <m/>
    <n v="0"/>
    <n v="0"/>
    <n v="0"/>
    <n v="0"/>
    <m/>
    <n v="0"/>
    <m/>
    <m/>
    <s v="T1BS6"/>
    <s v="CVD"/>
    <s v="P"/>
  </r>
  <r>
    <n v="1875"/>
    <s v="NORTH"/>
    <s v="UTTAR PRADESH"/>
    <n v="7134"/>
    <s v="M/S GOENKA AUTO PRIVATE LIMITED."/>
    <s v="VARANASI"/>
    <s v="26-Mar-25"/>
    <s v="13-Jan-26"/>
    <n v="990"/>
    <n v="68575"/>
    <n v="4"/>
    <s v="S"/>
    <s v="T-1"/>
    <n v="797124"/>
    <s v="MC1E4CBA4SP086078"/>
    <s v="D71073649"/>
    <m/>
    <m/>
    <x v="13"/>
    <s v="30-Jan-26"/>
    <x v="11"/>
    <n v="1250"/>
    <n v="0"/>
    <m/>
    <n v="1250"/>
    <n v="1475"/>
    <n v="225"/>
    <n v="0"/>
    <m/>
    <n v="0"/>
    <m/>
    <m/>
    <s v="T1BS6N"/>
    <s v="CVD"/>
    <s v="F"/>
  </r>
  <r>
    <n v="1876"/>
    <s v="NORTH"/>
    <s v="UTTAR PRADESH"/>
    <n v="7134"/>
    <s v="M/S GOENKA AUTO PRIVATE LIMITED."/>
    <s v="VARANASI"/>
    <s v="24-Aug-24"/>
    <s v="08-Jan-26"/>
    <n v="1165"/>
    <n v="140000"/>
    <n v="14"/>
    <s v="S"/>
    <s v="TRAX"/>
    <n v="322564"/>
    <s v="MC1D4DHA2SP105199"/>
    <s v="D72016528"/>
    <m/>
    <m/>
    <x v="13"/>
    <s v="30-Jan-26"/>
    <x v="11"/>
    <n v="1250"/>
    <n v="0"/>
    <m/>
    <n v="1250"/>
    <n v="1475"/>
    <n v="225"/>
    <n v="0"/>
    <m/>
    <n v="0"/>
    <m/>
    <m/>
    <s v="TRXBS6"/>
    <s v="CVD"/>
    <s v="F"/>
  </r>
  <r>
    <n v="1877"/>
    <s v="NORTH"/>
    <s v="UTTAR PRADESH"/>
    <n v="7134"/>
    <s v="M/S GOENKA AUTO PRIVATE LIMITED."/>
    <s v="VARANASI"/>
    <s v="02-Jul-24"/>
    <s v="21-Jan-26"/>
    <n v="1165"/>
    <n v="97995"/>
    <n v="10"/>
    <s v="S"/>
    <s v="T-1"/>
    <n v="775223"/>
    <s v="MC1E4EFA7RP013092"/>
    <s v="D71055951"/>
    <m/>
    <m/>
    <x v="13"/>
    <s v="30-Jan-26"/>
    <x v="11"/>
    <n v="0"/>
    <n v="0"/>
    <m/>
    <n v="0"/>
    <n v="0"/>
    <n v="0"/>
    <n v="0"/>
    <m/>
    <n v="0"/>
    <m/>
    <m/>
    <s v="T1BS6"/>
    <s v="CVD"/>
    <s v="P"/>
  </r>
  <r>
    <n v="1878"/>
    <s v="NORTH"/>
    <s v="UTTAR PRADESH"/>
    <n v="7134"/>
    <s v="M/S GOENKA AUTO PRIVATE LIMITED."/>
    <s v="VARANASI"/>
    <s v="21-Oct-24"/>
    <s v="11-Jan-26"/>
    <n v="1165"/>
    <n v="49660"/>
    <n v="8"/>
    <s v="S"/>
    <s v="TRAX"/>
    <n v="324355"/>
    <s v="MC1D4DJA7SP105502"/>
    <s v="D72016937"/>
    <m/>
    <m/>
    <x v="13"/>
    <s v="30-Jan-26"/>
    <x v="11"/>
    <n v="1250"/>
    <n v="0"/>
    <m/>
    <n v="1250"/>
    <n v="1475"/>
    <n v="225"/>
    <n v="0"/>
    <m/>
    <n v="0"/>
    <m/>
    <m/>
    <s v="TRXBS6"/>
    <s v="CVD"/>
    <s v="F"/>
  </r>
  <r>
    <n v="1879"/>
    <s v="NORTH"/>
    <s v="UTTAR PRADESH"/>
    <n v="7134"/>
    <s v="M/S GOENKA AUTO PRIVATE LIMITED."/>
    <s v="VARANASI"/>
    <s v="24-Mar-25"/>
    <s v="02-Jan-26"/>
    <n v="870"/>
    <n v="50646"/>
    <n v="4"/>
    <s v="S"/>
    <s v="T-1"/>
    <n v="797774"/>
    <s v="MC1E4CBA0SP085624"/>
    <s v="D71072799"/>
    <m/>
    <m/>
    <x v="13"/>
    <s v="30-Jan-26"/>
    <x v="11"/>
    <n v="1250"/>
    <n v="0"/>
    <m/>
    <n v="1250"/>
    <n v="1475"/>
    <n v="225"/>
    <n v="0"/>
    <m/>
    <n v="0"/>
    <m/>
    <m/>
    <s v="T1BS6N"/>
    <s v="CVD"/>
    <s v="F"/>
  </r>
  <r>
    <n v="1880"/>
    <s v="NORTH"/>
    <s v="UTTAR PRADESH"/>
    <n v="7134"/>
    <s v="M/S GOENKA AUTO PRIVATE LIMITED."/>
    <s v="VARANASI"/>
    <s v="20-Feb-25"/>
    <s v="06-Jan-26"/>
    <n v="1165"/>
    <n v="50500"/>
    <n v="6"/>
    <s v="S"/>
    <s v="T-1"/>
    <n v="790132"/>
    <s v="MC1E4EAA2SP015023"/>
    <s v="D71069123"/>
    <m/>
    <m/>
    <x v="13"/>
    <s v="30-Jan-26"/>
    <x v="11"/>
    <n v="0"/>
    <n v="0"/>
    <m/>
    <n v="0"/>
    <n v="0"/>
    <n v="0"/>
    <n v="0"/>
    <m/>
    <n v="0"/>
    <m/>
    <m/>
    <s v="T1BS6"/>
    <s v="CVD"/>
    <s v="P"/>
  </r>
  <r>
    <n v="1881"/>
    <s v="NORTH"/>
    <s v="UTTAR PRADESH"/>
    <n v="7134"/>
    <s v="M/S GOENKA AUTO PRIVATE LIMITED."/>
    <s v="VARANASI"/>
    <s v="25-Mar-25"/>
    <s v="13-Jan-26"/>
    <n v="876"/>
    <n v="70000"/>
    <n v="4"/>
    <s v="S"/>
    <s v="T-1"/>
    <n v="797335"/>
    <s v="MC1E4CAA4SP084509"/>
    <s v="D71071059"/>
    <m/>
    <m/>
    <x v="13"/>
    <s v="30-Jan-26"/>
    <x v="11"/>
    <n v="1250"/>
    <n v="0"/>
    <m/>
    <n v="1250"/>
    <n v="1475"/>
    <n v="225"/>
    <n v="0"/>
    <m/>
    <n v="0"/>
    <m/>
    <m/>
    <s v="T1BS6N"/>
    <s v="CVD"/>
    <s v="F"/>
  </r>
  <r>
    <n v="1882"/>
    <s v="NORTH"/>
    <s v="UTTAR PRADESH"/>
    <n v="7134"/>
    <s v="M/S GOENKA AUTO PRIVATE LIMITED."/>
    <s v="VARANASI"/>
    <s v="31-Mar-25"/>
    <s v="23-Jan-26"/>
    <n v="1150"/>
    <n v="16626"/>
    <n v="5"/>
    <s v="S"/>
    <s v="T-1"/>
    <n v="778127"/>
    <s v="MC1E5ECA0SP003317"/>
    <s v="D73001777"/>
    <m/>
    <m/>
    <x v="13"/>
    <s v="30-Jan-26"/>
    <x v="11"/>
    <n v="1250"/>
    <n v="0"/>
    <m/>
    <n v="1250"/>
    <n v="1475"/>
    <n v="225"/>
    <n v="0"/>
    <m/>
    <n v="0"/>
    <m/>
    <m/>
    <s v="T1CNGL"/>
    <s v="CVD"/>
    <s v="F"/>
  </r>
  <r>
    <n v="1883"/>
    <s v="NORTH"/>
    <s v="UTTAR PRADESH"/>
    <n v="7134"/>
    <s v="M/S GOENKA AUTO PRIVATE LIMITED."/>
    <s v="VARANASI"/>
    <s v="17-Apr-23"/>
    <s v="05-Jan-26"/>
    <n v="920"/>
    <n v="92580"/>
    <n v="15"/>
    <s v="S"/>
    <s v="T1N"/>
    <n v="1344"/>
    <s v="MC1M4ACA2PP000188"/>
    <s v="D71027122"/>
    <m/>
    <m/>
    <x v="13"/>
    <s v="30-Jan-26"/>
    <x v="11"/>
    <n v="0"/>
    <n v="0"/>
    <m/>
    <n v="0"/>
    <n v="0"/>
    <n v="0"/>
    <n v="0"/>
    <m/>
    <n v="0"/>
    <m/>
    <m/>
    <s v="URBN"/>
    <s v="CVD"/>
    <s v="P"/>
  </r>
  <r>
    <n v="1884"/>
    <s v="NORTH"/>
    <s v="UTTAR PRADESH"/>
    <n v="7134"/>
    <s v="M/S GOENKA AUTO PRIVATE LIMITED."/>
    <s v="VARANASI"/>
    <s v="25-Mar-25"/>
    <s v="30-Jan-26"/>
    <n v="893"/>
    <n v="70000"/>
    <n v="4"/>
    <s v="S"/>
    <s v="T-1"/>
    <n v="795270"/>
    <s v="MC1E4CBA5SP086204"/>
    <s v="D71073761"/>
    <m/>
    <m/>
    <x v="13"/>
    <s v="30-Jan-26"/>
    <x v="11"/>
    <n v="1250"/>
    <n v="0"/>
    <m/>
    <n v="1250"/>
    <n v="1475"/>
    <n v="225"/>
    <n v="0"/>
    <m/>
    <n v="0"/>
    <m/>
    <m/>
    <s v="T1BS6N"/>
    <s v="CVD"/>
    <s v="F"/>
  </r>
  <r>
    <n v="1885"/>
    <s v="NORTH"/>
    <s v="UTTAR PRADESH"/>
    <n v="7134"/>
    <s v="M/S GOENKA AUTO PRIVATE LIMITED."/>
    <s v="VARANASI"/>
    <s v="15-Oct-24"/>
    <s v="27-Jan-26"/>
    <n v="1165"/>
    <n v="81577"/>
    <n v="8"/>
    <s v="S"/>
    <s v="T1N"/>
    <n v="5355"/>
    <s v="MC1M4AJA8SP002393"/>
    <s v="D71062471"/>
    <s v="001"/>
    <s v="SERV KMS  / HRS EXCEEDS"/>
    <x v="13"/>
    <s v="30-Jan-26"/>
    <x v="11"/>
    <n v="0"/>
    <n v="0"/>
    <m/>
    <n v="0"/>
    <n v="0"/>
    <n v="0"/>
    <n v="0"/>
    <m/>
    <n v="0"/>
    <m/>
    <m/>
    <s v="URBN"/>
    <s v="CVD"/>
    <s v="P"/>
  </r>
  <r>
    <n v="1886"/>
    <s v="NORTH"/>
    <s v="UTTAR PRADESH"/>
    <n v="7134"/>
    <s v="M/S GOENKA AUTO PRIVATE LIMITED."/>
    <s v="VARANASI"/>
    <s v="26-Mar-25"/>
    <s v="13-Jan-26"/>
    <n v="980"/>
    <n v="70000"/>
    <n v="4"/>
    <s v="S"/>
    <s v="T-1"/>
    <n v="797023"/>
    <s v="MC1E4CBA1SP085941"/>
    <s v="D71073364"/>
    <m/>
    <m/>
    <x v="13"/>
    <s v="30-Jan-26"/>
    <x v="11"/>
    <n v="1250"/>
    <n v="0"/>
    <m/>
    <n v="1250"/>
    <n v="1475"/>
    <n v="225"/>
    <n v="0"/>
    <m/>
    <n v="0"/>
    <m/>
    <m/>
    <s v="T1BS6N"/>
    <s v="CVD"/>
    <s v="F"/>
  </r>
  <r>
    <n v="1887"/>
    <s v="NORTH"/>
    <s v="UTTAR PRADESH"/>
    <n v="7134"/>
    <s v="M/S GOENKA AUTO PRIVATE LIMITED."/>
    <s v="VARANASI"/>
    <s v="28-May-24"/>
    <s v="16-Jan-26"/>
    <n v="1165"/>
    <n v="111000"/>
    <n v="11"/>
    <s v="S"/>
    <s v="T26"/>
    <n v="776289"/>
    <s v="MC1E4FEA4RP020394"/>
    <s v="D71054669"/>
    <m/>
    <m/>
    <x v="13"/>
    <s v="30-Jan-26"/>
    <x v="11"/>
    <n v="1250"/>
    <n v="0"/>
    <m/>
    <n v="1250"/>
    <n v="1475"/>
    <n v="225"/>
    <n v="0"/>
    <m/>
    <n v="0"/>
    <m/>
    <m/>
    <s v="T26BS6"/>
    <s v="CVD"/>
    <s v="F"/>
  </r>
  <r>
    <n v="1888"/>
    <s v="NORTH"/>
    <s v="UTTAR PRADESH"/>
    <n v="7134"/>
    <s v="M/S GOENKA AUTO PRIVATE LIMITED."/>
    <s v="VARANASI"/>
    <s v="22-Mar-25"/>
    <s v="18-Jan-26"/>
    <n v="1160"/>
    <n v="21549"/>
    <n v="5"/>
    <s v="S"/>
    <s v="T-1"/>
    <n v="801727"/>
    <s v="MC1E4DCA7SP056335"/>
    <s v="D71075083"/>
    <m/>
    <m/>
    <x v="13"/>
    <s v="30-Jan-26"/>
    <x v="11"/>
    <n v="1250"/>
    <n v="0"/>
    <m/>
    <n v="1250"/>
    <n v="1475"/>
    <n v="225"/>
    <n v="0"/>
    <m/>
    <n v="0"/>
    <m/>
    <m/>
    <s v="T1BS6"/>
    <s v="CVD"/>
    <s v="F"/>
  </r>
  <r>
    <n v="1889"/>
    <s v="NORTH"/>
    <s v="UTTAR PRADESH"/>
    <n v="7134"/>
    <s v="M/S GOENKA AUTO PRIVATE LIMITED."/>
    <s v="VARANASI"/>
    <s v="31-Mar-25"/>
    <s v="20-Jan-26"/>
    <n v="1165"/>
    <n v="14509"/>
    <n v="5"/>
    <s v="S"/>
    <s v="T26"/>
    <n v="793736"/>
    <s v="MC1E4FCA8SP022920"/>
    <s v="D71074369"/>
    <m/>
    <m/>
    <x v="13"/>
    <s v="30-Jan-26"/>
    <x v="11"/>
    <n v="1250"/>
    <n v="0"/>
    <m/>
    <n v="1250"/>
    <n v="1475"/>
    <n v="225"/>
    <n v="0"/>
    <m/>
    <n v="0"/>
    <m/>
    <m/>
    <s v="T26BS6"/>
    <s v="CVD"/>
    <s v="F"/>
  </r>
  <r>
    <n v="1890"/>
    <s v="NORTH"/>
    <s v="UTTAR PRADESH"/>
    <n v="7134"/>
    <s v="M/S GOENKA AUTO PRIVATE LIMITED."/>
    <s v="VARANASI"/>
    <s v="18-Oct-24"/>
    <s v="07-Jan-26"/>
    <n v="1165"/>
    <n v="32241"/>
    <n v="6"/>
    <s v="S"/>
    <s v="T1N"/>
    <n v="4910"/>
    <s v="MC1M4AKA9SP002546"/>
    <s v="D71063692"/>
    <m/>
    <m/>
    <x v="13"/>
    <s v="30-Jan-26"/>
    <x v="11"/>
    <n v="0"/>
    <n v="0"/>
    <m/>
    <n v="0"/>
    <n v="0"/>
    <n v="0"/>
    <n v="0"/>
    <m/>
    <n v="0"/>
    <m/>
    <m/>
    <s v="URBN"/>
    <s v="CVD"/>
    <s v="P"/>
  </r>
  <r>
    <n v="1891"/>
    <s v="NORTH"/>
    <s v="UTTAR PRADESH"/>
    <n v="7134"/>
    <s v="M/S GOENKA AUTO PRIVATE LIMITED."/>
    <s v="VARANASI"/>
    <s v="16-Nov-23"/>
    <s v="08-Jan-26"/>
    <n v="1165"/>
    <n v="124848"/>
    <n v="13"/>
    <s v="S"/>
    <s v="T1N"/>
    <n v="2135"/>
    <s v="MC1M4ALA5RP000706"/>
    <s v="D71042291"/>
    <m/>
    <m/>
    <x v="13"/>
    <s v="30-Jan-26"/>
    <x v="11"/>
    <n v="0"/>
    <n v="0"/>
    <m/>
    <n v="0"/>
    <n v="0"/>
    <n v="0"/>
    <n v="0"/>
    <m/>
    <n v="0"/>
    <m/>
    <m/>
    <s v="URBN"/>
    <s v="CVD"/>
    <s v="P"/>
  </r>
  <r>
    <n v="1892"/>
    <s v="NORTH"/>
    <s v="UTTAR PRADESH"/>
    <n v="7134"/>
    <s v="M/S GOENKA AUTO PRIVATE LIMITED."/>
    <s v="VARANASI"/>
    <s v="29-Mar-25"/>
    <s v="27-Jan-26"/>
    <n v="1165"/>
    <n v="54120"/>
    <n v="5"/>
    <s v="S"/>
    <s v="TRAX"/>
    <n v="327424"/>
    <s v="MC1D4DCA3SP107776"/>
    <s v="D72019387"/>
    <s v="001"/>
    <s v="SERV KMS  / HRS EXCEEDS"/>
    <x v="13"/>
    <s v="30-Jan-26"/>
    <x v="11"/>
    <n v="1250"/>
    <n v="0"/>
    <m/>
    <n v="1000"/>
    <n v="1475"/>
    <n v="225"/>
    <n v="0"/>
    <m/>
    <n v="250"/>
    <m/>
    <m/>
    <s v="TRXBS6"/>
    <s v="CVD"/>
    <s v="F"/>
  </r>
  <r>
    <n v="1893"/>
    <s v="NORTH"/>
    <s v="UTTAR PRADESH"/>
    <n v="7134"/>
    <s v="M/S GOENKA AUTO PRIVATE LIMITED."/>
    <s v="VARANASI"/>
    <s v="29-Nov-25"/>
    <s v="01-Jan-26"/>
    <n v="1165"/>
    <n v="10000"/>
    <n v="1"/>
    <s v="S"/>
    <s v="T1N"/>
    <n v="9952"/>
    <s v="MC1M4ALA4TP007153"/>
    <s v="D71093888"/>
    <m/>
    <m/>
    <x v="13"/>
    <s v="30-Jan-26"/>
    <x v="11"/>
    <n v="1650"/>
    <n v="0"/>
    <m/>
    <n v="1650"/>
    <n v="1947"/>
    <n v="297"/>
    <n v="0"/>
    <m/>
    <n v="0"/>
    <m/>
    <m/>
    <s v="URBN"/>
    <s v="CVD"/>
    <s v="F"/>
  </r>
  <r>
    <n v="1894"/>
    <s v="NORTH"/>
    <s v="UTTAR PRADESH"/>
    <n v="7134"/>
    <s v="M/S GOENKA AUTO PRIVATE LIMITED."/>
    <s v="VARANASI"/>
    <s v="30-Jun-23"/>
    <s v="21-Jan-26"/>
    <n v="1165"/>
    <n v="44666"/>
    <n v="8"/>
    <s v="S"/>
    <s v="T26"/>
    <n v="749139"/>
    <s v="MC1E4FDA8PP016752"/>
    <s v="D71030337"/>
    <s v="002, 022"/>
    <s v="SERV DATE EXCEEDS, SERVICE COUPON HARD COPY NOT RECEIVED"/>
    <x v="13"/>
    <s v="30-Jan-26"/>
    <x v="11"/>
    <n v="1250"/>
    <n v="0"/>
    <m/>
    <n v="0"/>
    <n v="1475"/>
    <n v="225"/>
    <n v="0"/>
    <m/>
    <n v="1250"/>
    <m/>
    <m/>
    <s v="T26BS6"/>
    <s v="CVD"/>
    <s v="F"/>
  </r>
  <r>
    <n v="1895"/>
    <s v="NORTH"/>
    <s v="UTTAR PRADESH"/>
    <n v="7134"/>
    <s v="M/S GOENKA AUTO PRIVATE LIMITED."/>
    <s v="VARANASI"/>
    <s v="31-Dec-24"/>
    <s v="28-Jan-26"/>
    <n v="1165"/>
    <n v="69949"/>
    <n v="7"/>
    <s v="S"/>
    <s v="T1N"/>
    <n v="5607"/>
    <s v="MC1M4ALA7SP002799"/>
    <s v="D71065600"/>
    <s v="022"/>
    <s v="SERVICE COUPON HARD COPY NOT RECEIVED"/>
    <x v="13"/>
    <s v="30-Jan-26"/>
    <x v="11"/>
    <n v="1650"/>
    <n v="0"/>
    <m/>
    <n v="0"/>
    <n v="1947"/>
    <n v="297"/>
    <n v="0"/>
    <m/>
    <n v="1650"/>
    <m/>
    <m/>
    <s v="URBN"/>
    <s v="CVD"/>
    <s v="F"/>
  </r>
  <r>
    <n v="1896"/>
    <s v="NORTH"/>
    <s v="UTTAR PRADESH"/>
    <n v="7134"/>
    <s v="M/S GOENKA AUTO PRIVATE LIMITED."/>
    <s v="VARANASI"/>
    <s v="06-Mar-25"/>
    <s v="14-Jan-26"/>
    <n v="1165"/>
    <n v="60332"/>
    <n v="6"/>
    <s v="S"/>
    <s v="T-1"/>
    <n v="792931"/>
    <s v="MC1E4EBA7SP015193"/>
    <s v="D71071490"/>
    <m/>
    <m/>
    <x v="13"/>
    <s v="30-Jan-26"/>
    <x v="11"/>
    <n v="0"/>
    <n v="0"/>
    <m/>
    <n v="0"/>
    <n v="0"/>
    <n v="0"/>
    <n v="0"/>
    <m/>
    <n v="0"/>
    <m/>
    <m/>
    <s v="T1BS6"/>
    <s v="CVD"/>
    <s v="P"/>
  </r>
  <r>
    <n v="1897"/>
    <s v="NORTH"/>
    <s v="UTTAR PRADESH"/>
    <n v="7134"/>
    <s v="M/S GOENKA AUTO PRIVATE LIMITED."/>
    <s v="VARANASI"/>
    <s v="17-Feb-25"/>
    <s v="19-Jan-26"/>
    <n v="1165"/>
    <n v="24175"/>
    <n v="6"/>
    <s v="S"/>
    <s v="T26"/>
    <n v="789054"/>
    <s v="MC1E4FAA1SP022096"/>
    <s v="D71067736"/>
    <m/>
    <m/>
    <x v="13"/>
    <s v="30-Jan-26"/>
    <x v="11"/>
    <n v="0"/>
    <n v="0"/>
    <m/>
    <n v="0"/>
    <n v="0"/>
    <n v="0"/>
    <n v="0"/>
    <m/>
    <n v="0"/>
    <m/>
    <m/>
    <s v="T26BS6"/>
    <s v="CVD"/>
    <s v="P"/>
  </r>
  <r>
    <n v="1898"/>
    <s v="NORTH"/>
    <s v="UTTAR PRADESH"/>
    <n v="7134"/>
    <s v="M/S GOENKA AUTO PRIVATE LIMITED."/>
    <s v="VARANASI"/>
    <s v="23-Jan-25"/>
    <s v="05-Jan-26"/>
    <n v="1165"/>
    <n v="50000"/>
    <n v="6"/>
    <s v="S"/>
    <s v="T26"/>
    <n v="789007"/>
    <s v="MC1E4FAA3SP022178"/>
    <s v="D71068604"/>
    <m/>
    <m/>
    <x v="13"/>
    <s v="30-Jan-26"/>
    <x v="11"/>
    <n v="0"/>
    <n v="0"/>
    <m/>
    <n v="0"/>
    <n v="0"/>
    <n v="0"/>
    <n v="0"/>
    <m/>
    <n v="0"/>
    <m/>
    <m/>
    <s v="T26BS6"/>
    <s v="CVD"/>
    <s v="P"/>
  </r>
  <r>
    <n v="1899"/>
    <s v="NORTH"/>
    <s v="UTTAR PRADESH"/>
    <n v="7134"/>
    <s v="M/S GOENKA AUTO PRIVATE LIMITED."/>
    <s v="VARANASI"/>
    <s v="04-Sep-24"/>
    <s v="29-Jan-26"/>
    <n v="1165"/>
    <n v="24026"/>
    <n v="8"/>
    <s v="S"/>
    <s v="TRAX"/>
    <n v="324906"/>
    <s v="MC1D4DHA8SP105336"/>
    <s v="D72016762"/>
    <s v="002"/>
    <s v="SERV DATE EXCEEDS"/>
    <x v="13"/>
    <s v="30-Jan-26"/>
    <x v="11"/>
    <n v="1250"/>
    <n v="0"/>
    <m/>
    <n v="1000"/>
    <n v="1475"/>
    <n v="225"/>
    <n v="0"/>
    <m/>
    <n v="250"/>
    <m/>
    <m/>
    <s v="TRXBS6"/>
    <s v="CVD"/>
    <s v="F"/>
  </r>
  <r>
    <n v="1900"/>
    <s v="NORTH"/>
    <s v="UTTAR PRADESH"/>
    <n v="7134"/>
    <s v="M/S GOENKA AUTO PRIVATE LIMITED."/>
    <s v="VARANASI"/>
    <s v="13-Sep-24"/>
    <s v="04-Jan-26"/>
    <n v="1165"/>
    <n v="50751"/>
    <n v="8"/>
    <s v="S"/>
    <s v="T-1"/>
    <n v="787473"/>
    <s v="MC1E4EHA0SP013776"/>
    <s v="D71060563"/>
    <m/>
    <m/>
    <x v="13"/>
    <s v="30-Jan-26"/>
    <x v="11"/>
    <n v="1250"/>
    <n v="0"/>
    <m/>
    <n v="1250"/>
    <n v="1475"/>
    <n v="225"/>
    <n v="0"/>
    <m/>
    <n v="0"/>
    <m/>
    <m/>
    <s v="T1BS6"/>
    <s v="CVD"/>
    <s v="F"/>
  </r>
  <r>
    <n v="1901"/>
    <s v="NORTH"/>
    <s v="UTTAR PRADESH"/>
    <n v="7134"/>
    <s v="M/S GOENKA AUTO PRIVATE LIMITED."/>
    <s v="VARANASI"/>
    <s v="24-Apr-25"/>
    <s v="07-Jan-26"/>
    <n v="1150"/>
    <n v="20043"/>
    <n v="5"/>
    <s v="S"/>
    <s v="T-1"/>
    <n v="778136"/>
    <s v="MC1E5EBA9SP003267"/>
    <s v="D73001779"/>
    <m/>
    <m/>
    <x v="13"/>
    <s v="30-Jan-26"/>
    <x v="11"/>
    <n v="1250"/>
    <n v="0"/>
    <m/>
    <n v="1250"/>
    <n v="1475"/>
    <n v="225"/>
    <n v="0"/>
    <m/>
    <n v="0"/>
    <m/>
    <m/>
    <s v="T1CNGL"/>
    <s v="CVD"/>
    <s v="F"/>
  </r>
  <r>
    <n v="1902"/>
    <s v="NORTH"/>
    <s v="UTTAR PRADESH"/>
    <n v="7134"/>
    <s v="M/S GOENKA AUTO PRIVATE LIMITED."/>
    <s v="VARANASI"/>
    <s v="19-Nov-25"/>
    <s v="14-Jan-26"/>
    <n v="1165"/>
    <n v="7000"/>
    <n v="1"/>
    <s v="S"/>
    <s v="T1N"/>
    <n v="10666"/>
    <s v="MC1M4AJA7TP006050"/>
    <s v="D71089907"/>
    <m/>
    <m/>
    <x v="13"/>
    <s v="30-Jan-26"/>
    <x v="11"/>
    <n v="1650"/>
    <n v="0"/>
    <m/>
    <n v="1650"/>
    <n v="1947"/>
    <n v="297"/>
    <n v="0"/>
    <m/>
    <n v="0"/>
    <m/>
    <m/>
    <s v="URBN"/>
    <s v="CVD"/>
    <s v="F"/>
  </r>
  <r>
    <n v="1903"/>
    <s v="NORTH"/>
    <s v="UTTAR PRADESH"/>
    <n v="7134"/>
    <s v="M/S GOENKA AUTO PRIVATE LIMITED."/>
    <s v="VARANASI"/>
    <s v="26-Mar-25"/>
    <s v="13-Jan-26"/>
    <n v="877"/>
    <n v="70000"/>
    <n v="4"/>
    <s v="S"/>
    <s v="T-1"/>
    <n v="798914"/>
    <s v="MC1E4CAAXSP084496"/>
    <s v="D71070991"/>
    <m/>
    <m/>
    <x v="13"/>
    <s v="30-Jan-26"/>
    <x v="11"/>
    <n v="1250"/>
    <n v="0"/>
    <m/>
    <n v="1250"/>
    <n v="1475"/>
    <n v="225"/>
    <n v="0"/>
    <m/>
    <n v="0"/>
    <m/>
    <m/>
    <s v="T1BS6N"/>
    <s v="CVD"/>
    <s v="F"/>
  </r>
  <r>
    <n v="1904"/>
    <s v="NORTH"/>
    <s v="UTTAR PRADESH"/>
    <n v="7134"/>
    <s v="M/S GOENKA AUTO PRIVATE LIMITED."/>
    <s v="VARANASI"/>
    <s v="26-Mar-25"/>
    <s v="22-Jan-26"/>
    <n v="902"/>
    <n v="90000"/>
    <n v="5"/>
    <s v="S"/>
    <s v="T-1"/>
    <n v="798566"/>
    <s v="MC1E4CBA9SP085346"/>
    <s v="D71072193"/>
    <m/>
    <m/>
    <x v="13"/>
    <s v="30-Jan-26"/>
    <x v="11"/>
    <n v="0"/>
    <n v="0"/>
    <m/>
    <n v="0"/>
    <n v="0"/>
    <n v="0"/>
    <n v="0"/>
    <m/>
    <n v="0"/>
    <m/>
    <m/>
    <s v="T1BS6N"/>
    <s v="CVD"/>
    <s v="P"/>
  </r>
  <r>
    <n v="1905"/>
    <s v="NORTH"/>
    <s v="UTTAR PRADESH"/>
    <n v="7160"/>
    <s v="M/S GOENKA AUTO PVT LTD"/>
    <s v="VARANASI"/>
    <s v="12-Aug-24"/>
    <s v="08-May-25"/>
    <n v="765"/>
    <n v="30000"/>
    <n v="3"/>
    <s v="S"/>
    <s v="GURKHA"/>
    <n v="107289"/>
    <s v="MC1D4GFAXRP000201"/>
    <s v="D72015901"/>
    <m/>
    <m/>
    <x v="14"/>
    <s v="10-Jun-25"/>
    <x v="12"/>
    <n v="1250"/>
    <n v="588516"/>
    <s v="19-Aug-25"/>
    <n v="1250"/>
    <n v="1475"/>
    <n v="225"/>
    <n v="111983"/>
    <s v="19-Aug-25"/>
    <n v="0"/>
    <m/>
    <m/>
    <s v="GURK44B6"/>
    <s v="PVD"/>
    <s v="F"/>
  </r>
  <r>
    <n v="1906"/>
    <s v="NORTH"/>
    <s v="UTTAR PRADESH"/>
    <n v="7160"/>
    <s v="M/S GOENKA AUTO PVT LTD"/>
    <s v="VARANASI"/>
    <s v="25-Jun-24"/>
    <s v="21-May-25"/>
    <n v="1165"/>
    <n v="12000"/>
    <n v="3"/>
    <s v="S"/>
    <s v="GURKHA"/>
    <n v="107191"/>
    <s v="MC1D4GFA5RP000137"/>
    <s v="D72015603"/>
    <m/>
    <m/>
    <x v="14"/>
    <s v="10-Jun-25"/>
    <x v="12"/>
    <n v="1250"/>
    <n v="588516"/>
    <s v="19-Aug-25"/>
    <n v="1250"/>
    <n v="1475"/>
    <n v="225"/>
    <n v="111983"/>
    <s v="19-Aug-25"/>
    <n v="0"/>
    <m/>
    <m/>
    <s v="GURK44B6"/>
    <s v="PVD"/>
    <s v="F"/>
  </r>
  <r>
    <n v="1907"/>
    <s v="NORTH"/>
    <s v="UTTAR PRADESH"/>
    <n v="7160"/>
    <s v="M/S GOENKA AUTO PVT LTD"/>
    <s v="VARANASI"/>
    <s v="09-Dec-24"/>
    <s v="20-May-25"/>
    <n v="765"/>
    <n v="19670"/>
    <n v="2"/>
    <s v="S"/>
    <s v="GURKHA"/>
    <n v="107304"/>
    <s v="MC1D4GGAXSP000249"/>
    <s v="D72015970"/>
    <m/>
    <m/>
    <x v="14"/>
    <s v="10-Jun-25"/>
    <x v="12"/>
    <n v="1250"/>
    <n v="588516"/>
    <s v="19-Aug-25"/>
    <n v="1250"/>
    <n v="1475"/>
    <n v="225"/>
    <n v="111983"/>
    <s v="19-Aug-25"/>
    <n v="0"/>
    <m/>
    <m/>
    <s v="GURK44B6"/>
    <s v="PVD"/>
    <s v="F"/>
  </r>
  <r>
    <n v="1908"/>
    <s v="NORTH"/>
    <s v="UTTAR PRADESH"/>
    <n v="7160"/>
    <s v="M/S GOENKA AUTO PVT LTD"/>
    <s v="VARANASI"/>
    <s v="12-Aug-24"/>
    <s v="08-Sep-25"/>
    <n v="765"/>
    <n v="40000"/>
    <n v="4"/>
    <s v="S"/>
    <s v="GURKHA"/>
    <n v="107289"/>
    <s v="MC1D4GFAXRP000201"/>
    <s v="D72015901"/>
    <s v="010"/>
    <s v="LATE SUBMISSION"/>
    <x v="15"/>
    <s v="31-Dec-25"/>
    <x v="10"/>
    <n v="1250"/>
    <n v="0"/>
    <m/>
    <n v="0"/>
    <n v="1475"/>
    <n v="225"/>
    <n v="0"/>
    <m/>
    <n v="1250"/>
    <m/>
    <m/>
    <s v="GURK44B6"/>
    <s v="PVD"/>
    <s v="F"/>
  </r>
  <r>
    <n v="1909"/>
    <s v="NORTH"/>
    <s v="UTTAR PRADESH"/>
    <n v="7160"/>
    <s v="M/S GOENKA AUTO PVT LTD"/>
    <s v="VARANASI"/>
    <s v="09-Dec-24"/>
    <s v="13-Nov-25"/>
    <n v="765"/>
    <n v="27273"/>
    <n v="3"/>
    <s v="S"/>
    <s v="GURKHA"/>
    <n v="107304"/>
    <s v="MC1D4GGAXSP000249"/>
    <s v="D72015970"/>
    <m/>
    <m/>
    <x v="16"/>
    <s v="31-Dec-25"/>
    <x v="10"/>
    <n v="1250"/>
    <n v="0"/>
    <m/>
    <n v="1250"/>
    <n v="1475"/>
    <n v="225"/>
    <n v="0"/>
    <m/>
    <n v="0"/>
    <m/>
    <m/>
    <s v="GURK44B6"/>
    <s v="PVD"/>
    <s v="F"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x v="17"/>
    <m/>
    <x v="13"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2645BC-B163-4E24-A91E-49FE5B23E9C1}" name="PivotTable1" cacheId="1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E17" firstHeaderRow="0" firstDataRow="1" firstDataCol="2" rowPageCount="1" colPageCount="1"/>
  <pivotFields count="12"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9">
        <item x="7"/>
        <item x="6"/>
        <item x="3"/>
        <item x="2"/>
        <item x="4"/>
        <item x="1"/>
        <item x="0"/>
        <item h="1" x="5"/>
        <item t="default"/>
      </items>
    </pivotField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axis="axisPage" compact="0" outline="0" showAll="0">
      <items count="13">
        <item x="4"/>
        <item x="0"/>
        <item x="1"/>
        <item x="2"/>
        <item x="5"/>
        <item x="3"/>
        <item x="7"/>
        <item x="8"/>
        <item x="6"/>
        <item x="10"/>
        <item x="9"/>
        <item x="11"/>
        <item t="default"/>
      </items>
    </pivotField>
    <pivotField axis="axisRow" compact="0" outline="0" showAll="0">
      <items count="5">
        <item h="1" x="1"/>
        <item x="0"/>
        <item x="2"/>
        <item h="1" x="3"/>
        <item t="default"/>
      </items>
    </pivotField>
  </pivotFields>
  <rowFields count="2">
    <field x="11"/>
    <field x="4"/>
  </rowFields>
  <rowItems count="13">
    <i>
      <x v="1"/>
      <x v="1"/>
    </i>
    <i r="1">
      <x v="2"/>
    </i>
    <i r="1">
      <x v="3"/>
    </i>
    <i r="1">
      <x v="4"/>
    </i>
    <i r="1">
      <x v="5"/>
    </i>
    <i r="1">
      <x v="6"/>
    </i>
    <i t="default">
      <x v="1"/>
    </i>
    <i>
      <x v="2"/>
      <x v="1"/>
    </i>
    <i r="1">
      <x v="2"/>
    </i>
    <i r="1">
      <x v="4"/>
    </i>
    <i r="1">
      <x v="6"/>
    </i>
    <i t="default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0" hier="-1"/>
  </pageFields>
  <dataFields count="3">
    <dataField name="Sum of Invoice Value" fld="3" baseField="0" baseItem="0"/>
    <dataField name="Sum of Claim Passed Amount" fld="6" baseField="11" baseItem="0"/>
    <dataField name="Sum of Rejected Amount" fld="7" baseField="11" baseItem="0"/>
  </dataFields>
  <formats count="53">
    <format dxfId="158">
      <pivotArea outline="0" collapsedLevelsAreSubtotals="1" fieldPosition="0"/>
    </format>
    <format dxfId="157">
      <pivotArea field="11" type="button" dataOnly="0" labelOnly="1" outline="0" axis="axisRow" fieldPosition="0"/>
    </format>
    <format dxfId="156">
      <pivotArea field="4" type="button" dataOnly="0" labelOnly="1" outline="0" axis="axisRow" fieldPosition="1"/>
    </format>
    <format dxfId="155">
      <pivotArea dataOnly="0" labelOnly="1" outline="0" fieldPosition="0">
        <references count="1">
          <reference field="11" count="0"/>
        </references>
      </pivotArea>
    </format>
    <format dxfId="154">
      <pivotArea dataOnly="0" labelOnly="1" outline="0" fieldPosition="0">
        <references count="1">
          <reference field="11" count="0" defaultSubtotal="1"/>
        </references>
      </pivotArea>
    </format>
    <format dxfId="153">
      <pivotArea dataOnly="0" labelOnly="1" grandRow="1" outline="0" fieldPosition="0"/>
    </format>
    <format dxfId="152">
      <pivotArea dataOnly="0" labelOnly="1" outline="0" fieldPosition="0">
        <references count="2">
          <reference field="4" count="6">
            <x v="1"/>
            <x v="2"/>
            <x v="3"/>
            <x v="4"/>
            <x v="5"/>
            <x v="6"/>
          </reference>
          <reference field="11" count="1" selected="0">
            <x v="1"/>
          </reference>
        </references>
      </pivotArea>
    </format>
    <format dxfId="151">
      <pivotArea dataOnly="0" labelOnly="1" outline="0" fieldPosition="0">
        <references count="2">
          <reference field="4" count="4">
            <x v="1"/>
            <x v="2"/>
            <x v="4"/>
            <x v="6"/>
          </reference>
          <reference field="11" count="1" selected="0">
            <x v="2"/>
          </reference>
        </references>
      </pivotArea>
    </format>
    <format dxfId="150">
      <pivotArea dataOnly="0" labelOnly="1" outline="0" fieldPosition="0">
        <references count="2">
          <reference field="4294967294" count="2">
            <x v="1"/>
            <x v="2"/>
          </reference>
          <reference field="10" count="1" selected="0">
            <x v="0"/>
          </reference>
        </references>
      </pivotArea>
    </format>
    <format dxfId="149">
      <pivotArea dataOnly="0" labelOnly="1" outline="0" fieldPosition="0">
        <references count="2">
          <reference field="4294967294" count="2">
            <x v="1"/>
            <x v="2"/>
          </reference>
          <reference field="10" count="1" selected="0">
            <x v="1"/>
          </reference>
        </references>
      </pivotArea>
    </format>
    <format dxfId="148">
      <pivotArea dataOnly="0" labelOnly="1" outline="0" fieldPosition="0">
        <references count="2">
          <reference field="4294967294" count="2">
            <x v="1"/>
            <x v="2"/>
          </reference>
          <reference field="10" count="1" selected="0">
            <x v="2"/>
          </reference>
        </references>
      </pivotArea>
    </format>
    <format dxfId="147">
      <pivotArea dataOnly="0" labelOnly="1" outline="0" fieldPosition="0">
        <references count="2">
          <reference field="4294967294" count="2">
            <x v="1"/>
            <x v="2"/>
          </reference>
          <reference field="10" count="1" selected="0">
            <x v="3"/>
          </reference>
        </references>
      </pivotArea>
    </format>
    <format dxfId="146">
      <pivotArea dataOnly="0" labelOnly="1" outline="0" fieldPosition="0">
        <references count="2">
          <reference field="4294967294" count="2">
            <x v="1"/>
            <x v="2"/>
          </reference>
          <reference field="10" count="1" selected="0">
            <x v="4"/>
          </reference>
        </references>
      </pivotArea>
    </format>
    <format dxfId="145">
      <pivotArea dataOnly="0" labelOnly="1" outline="0" fieldPosition="0">
        <references count="2">
          <reference field="4294967294" count="2">
            <x v="1"/>
            <x v="2"/>
          </reference>
          <reference field="10" count="1" selected="0">
            <x v="5"/>
          </reference>
        </references>
      </pivotArea>
    </format>
    <format dxfId="144">
      <pivotArea dataOnly="0" labelOnly="1" outline="0" fieldPosition="0">
        <references count="2">
          <reference field="4294967294" count="2">
            <x v="1"/>
            <x v="2"/>
          </reference>
          <reference field="10" count="1" selected="0">
            <x v="6"/>
          </reference>
        </references>
      </pivotArea>
    </format>
    <format dxfId="143">
      <pivotArea dataOnly="0" labelOnly="1" outline="0" fieldPosition="0">
        <references count="2">
          <reference field="4294967294" count="2">
            <x v="1"/>
            <x v="2"/>
          </reference>
          <reference field="10" count="1" selected="0">
            <x v="7"/>
          </reference>
        </references>
      </pivotArea>
    </format>
    <format dxfId="142">
      <pivotArea dataOnly="0" labelOnly="1" outline="0" fieldPosition="0">
        <references count="2">
          <reference field="4294967294" count="2">
            <x v="1"/>
            <x v="2"/>
          </reference>
          <reference field="10" count="1" selected="0">
            <x v="8"/>
          </reference>
        </references>
      </pivotArea>
    </format>
    <format dxfId="141">
      <pivotArea dataOnly="0" labelOnly="1" outline="0" fieldPosition="0">
        <references count="2">
          <reference field="4294967294" count="2">
            <x v="1"/>
            <x v="2"/>
          </reference>
          <reference field="10" count="1" selected="0">
            <x v="9"/>
          </reference>
        </references>
      </pivotArea>
    </format>
    <format dxfId="140">
      <pivotArea dataOnly="0" labelOnly="1" outline="0" fieldPosition="0">
        <references count="2">
          <reference field="4294967294" count="2">
            <x v="1"/>
            <x v="2"/>
          </reference>
          <reference field="10" count="1" selected="0">
            <x v="10"/>
          </reference>
        </references>
      </pivotArea>
    </format>
    <format dxfId="139">
      <pivotArea outline="0" fieldPosition="0">
        <references count="4">
          <reference field="4294967294" count="1" selected="0">
            <x v="1"/>
          </reference>
          <reference field="4" count="1" selected="0">
            <x v="1"/>
          </reference>
          <reference field="10" count="10" selected="0">
            <x v="1"/>
            <x v="2"/>
            <x v="3"/>
            <x v="4"/>
            <x v="5"/>
            <x v="6"/>
            <x v="7"/>
            <x v="8"/>
            <x v="9"/>
            <x v="10"/>
          </reference>
          <reference field="11" count="1" selected="0">
            <x v="1"/>
          </reference>
        </references>
      </pivotArea>
    </format>
    <format dxfId="138">
      <pivotArea dataOnly="0" labelOnly="1" outline="0" fieldPosition="0">
        <references count="1">
          <reference field="11" count="1">
            <x v="1"/>
          </reference>
        </references>
      </pivotArea>
    </format>
    <format dxfId="137">
      <pivotArea dataOnly="0" labelOnly="1" outline="0" fieldPosition="0">
        <references count="2">
          <reference field="10" count="10">
            <x v="1"/>
            <x v="2"/>
            <x v="3"/>
            <x v="4"/>
            <x v="5"/>
            <x v="6"/>
            <x v="7"/>
            <x v="8"/>
            <x v="9"/>
            <x v="10"/>
          </reference>
          <reference field="11" count="1" selected="0">
            <x v="1"/>
          </reference>
        </references>
      </pivotArea>
    </format>
    <format dxfId="136">
      <pivotArea type="origin" dataOnly="0" labelOnly="1" outline="0" fieldPosition="0"/>
    </format>
    <format dxfId="135">
      <pivotArea field="4" type="button" dataOnly="0" labelOnly="1" outline="0" axis="axisRow" fieldPosition="1"/>
    </format>
    <format dxfId="134">
      <pivotArea field="-2" type="button" dataOnly="0" labelOnly="1" outline="0" axis="axisCol" fieldPosition="0"/>
    </format>
    <format dxfId="133">
      <pivotArea type="topRight" dataOnly="0" labelOnly="1" outline="0" fieldPosition="0"/>
    </format>
    <format dxfId="132">
      <pivotArea field="11" type="button" dataOnly="0" labelOnly="1" outline="0" axis="axisRow" fieldPosition="0"/>
    </format>
    <format dxfId="131">
      <pivotArea field="10" type="button" dataOnly="0" labelOnly="1" outline="0" axis="axisPage" fieldPosition="0"/>
    </format>
    <format dxfId="130">
      <pivotArea dataOnly="0" labelOnly="1" outline="0" fieldPosition="0">
        <references count="1">
          <reference field="4" count="6">
            <x v="1"/>
            <x v="2"/>
            <x v="3"/>
            <x v="4"/>
            <x v="5"/>
            <x v="6"/>
          </reference>
        </references>
      </pivotArea>
    </format>
    <format dxfId="129">
      <pivotArea field="4" dataOnly="0" labelOnly="1" grandRow="1" outline="0" axis="axisRow" fieldPosition="1">
        <references count="1">
          <reference field="4294967294" count="1" selected="0">
            <x v="1"/>
          </reference>
        </references>
      </pivotArea>
    </format>
    <format dxfId="128">
      <pivotArea field="4" dataOnly="0" labelOnly="1" grandRow="1" outline="0" axis="axisRow" fieldPosition="1">
        <references count="1">
          <reference field="4294967294" count="1" selected="0">
            <x v="2"/>
          </reference>
        </references>
      </pivotArea>
    </format>
    <format dxfId="127">
      <pivotArea dataOnly="0" labelOnly="1" outline="0" fieldPosition="0">
        <references count="2">
          <reference field="4294967294" count="2">
            <x v="1"/>
            <x v="2"/>
          </reference>
          <reference field="4" count="1" selected="0">
            <x v="1"/>
          </reference>
        </references>
      </pivotArea>
    </format>
    <format dxfId="126">
      <pivotArea dataOnly="0" labelOnly="1" outline="0" fieldPosition="0">
        <references count="2">
          <reference field="4294967294" count="2">
            <x v="1"/>
            <x v="2"/>
          </reference>
          <reference field="4" count="1" selected="0">
            <x v="2"/>
          </reference>
        </references>
      </pivotArea>
    </format>
    <format dxfId="125">
      <pivotArea dataOnly="0" labelOnly="1" outline="0" fieldPosition="0">
        <references count="2">
          <reference field="4294967294" count="2">
            <x v="1"/>
            <x v="2"/>
          </reference>
          <reference field="4" count="1" selected="0">
            <x v="3"/>
          </reference>
        </references>
      </pivotArea>
    </format>
    <format dxfId="124">
      <pivotArea dataOnly="0" labelOnly="1" outline="0" fieldPosition="0">
        <references count="2">
          <reference field="4294967294" count="2">
            <x v="1"/>
            <x v="2"/>
          </reference>
          <reference field="4" count="1" selected="0">
            <x v="4"/>
          </reference>
        </references>
      </pivotArea>
    </format>
    <format dxfId="123">
      <pivotArea dataOnly="0" labelOnly="1" outline="0" fieldPosition="0">
        <references count="2">
          <reference field="4294967294" count="2">
            <x v="1"/>
            <x v="2"/>
          </reference>
          <reference field="4" count="1" selected="0">
            <x v="5"/>
          </reference>
        </references>
      </pivotArea>
    </format>
    <format dxfId="122">
      <pivotArea dataOnly="0" labelOnly="1" outline="0" fieldPosition="0">
        <references count="2">
          <reference field="4294967294" count="2">
            <x v="1"/>
            <x v="2"/>
          </reference>
          <reference field="4" count="1" selected="0">
            <x v="6"/>
          </reference>
        </references>
      </pivotArea>
    </format>
    <format dxfId="121">
      <pivotArea type="origin" dataOnly="0" labelOnly="1" outline="0" fieldPosition="0"/>
    </format>
    <format dxfId="120">
      <pivotArea field="4" type="button" dataOnly="0" labelOnly="1" outline="0" axis="axisRow" fieldPosition="1"/>
    </format>
    <format dxfId="119">
      <pivotArea field="-2" type="button" dataOnly="0" labelOnly="1" outline="0" axis="axisCol" fieldPosition="0"/>
    </format>
    <format dxfId="118">
      <pivotArea type="topRight" dataOnly="0" labelOnly="1" outline="0" fieldPosition="0"/>
    </format>
    <format dxfId="117">
      <pivotArea field="11" type="button" dataOnly="0" labelOnly="1" outline="0" axis="axisRow" fieldPosition="0"/>
    </format>
    <format dxfId="116">
      <pivotArea field="10" type="button" dataOnly="0" labelOnly="1" outline="0" axis="axisPage" fieldPosition="0"/>
    </format>
    <format dxfId="115">
      <pivotArea dataOnly="0" labelOnly="1" outline="0" fieldPosition="0">
        <references count="1">
          <reference field="4" count="6">
            <x v="1"/>
            <x v="2"/>
            <x v="3"/>
            <x v="4"/>
            <x v="5"/>
            <x v="6"/>
          </reference>
        </references>
      </pivotArea>
    </format>
    <format dxfId="114">
      <pivotArea field="4" dataOnly="0" labelOnly="1" grandRow="1" outline="0" axis="axisRow" fieldPosition="1">
        <references count="1">
          <reference field="4294967294" count="1" selected="0">
            <x v="1"/>
          </reference>
        </references>
      </pivotArea>
    </format>
    <format dxfId="113">
      <pivotArea field="4" dataOnly="0" labelOnly="1" grandRow="1" outline="0" axis="axisRow" fieldPosition="1">
        <references count="1">
          <reference field="4294967294" count="1" selected="0">
            <x v="2"/>
          </reference>
        </references>
      </pivotArea>
    </format>
    <format dxfId="112">
      <pivotArea dataOnly="0" labelOnly="1" outline="0" fieldPosition="0">
        <references count="2">
          <reference field="4294967294" count="2">
            <x v="1"/>
            <x v="2"/>
          </reference>
          <reference field="4" count="1" selected="0">
            <x v="1"/>
          </reference>
        </references>
      </pivotArea>
    </format>
    <format dxfId="111">
      <pivotArea dataOnly="0" labelOnly="1" outline="0" fieldPosition="0">
        <references count="2">
          <reference field="4294967294" count="2">
            <x v="1"/>
            <x v="2"/>
          </reference>
          <reference field="4" count="1" selected="0">
            <x v="2"/>
          </reference>
        </references>
      </pivotArea>
    </format>
    <format dxfId="110">
      <pivotArea dataOnly="0" labelOnly="1" outline="0" fieldPosition="0">
        <references count="2">
          <reference field="4294967294" count="2">
            <x v="1"/>
            <x v="2"/>
          </reference>
          <reference field="4" count="1" selected="0">
            <x v="3"/>
          </reference>
        </references>
      </pivotArea>
    </format>
    <format dxfId="109">
      <pivotArea dataOnly="0" labelOnly="1" outline="0" fieldPosition="0">
        <references count="2">
          <reference field="4294967294" count="2">
            <x v="1"/>
            <x v="2"/>
          </reference>
          <reference field="4" count="1" selected="0">
            <x v="4"/>
          </reference>
        </references>
      </pivotArea>
    </format>
    <format dxfId="108">
      <pivotArea dataOnly="0" labelOnly="1" outline="0" fieldPosition="0">
        <references count="2">
          <reference field="4294967294" count="2">
            <x v="1"/>
            <x v="2"/>
          </reference>
          <reference field="4" count="1" selected="0">
            <x v="5"/>
          </reference>
        </references>
      </pivotArea>
    </format>
    <format dxfId="107">
      <pivotArea dataOnly="0" labelOnly="1" outline="0" fieldPosition="0">
        <references count="2">
          <reference field="4294967294" count="2">
            <x v="1"/>
            <x v="2"/>
          </reference>
          <reference field="4" count="1" selected="0">
            <x v="6"/>
          </reference>
        </references>
      </pivotArea>
    </format>
    <format dxfId="106">
      <pivotArea outline="0" collapsedLevelsAreSubtotals="1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D2737A-FD08-4C10-88FC-F28F43797077}" name="PivotTable2" cacheId="1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008:D3027" firstHeaderRow="0" firstDataRow="1" firstDataCol="2"/>
  <pivotFields count="3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18">
        <item x="1"/>
        <item x="2"/>
        <item x="14"/>
        <item x="3"/>
        <item x="4"/>
        <item x="5"/>
        <item x="17"/>
        <item x="0"/>
        <item x="6"/>
        <item x="7"/>
        <item x="8"/>
        <item x="9"/>
        <item x="10"/>
        <item x="11"/>
        <item x="12"/>
        <item x="13"/>
        <item x="15"/>
        <item x="16"/>
      </items>
    </pivotField>
    <pivotField compact="0" outline="0" showAll="0"/>
    <pivotField axis="axisRow" compact="0" outline="0" showAll="0" defaultSubtotal="0">
      <items count="14">
        <item x="3"/>
        <item x="12"/>
        <item x="2"/>
        <item x="1"/>
        <item x="5"/>
        <item x="4"/>
        <item x="13"/>
        <item x="0"/>
        <item x="6"/>
        <item x="7"/>
        <item x="8"/>
        <item x="9"/>
        <item x="10"/>
        <item x="11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18"/>
    <field x="20"/>
  </rowFields>
  <rowItems count="19">
    <i>
      <x/>
      <x v="3"/>
    </i>
    <i>
      <x v="1"/>
      <x v="2"/>
    </i>
    <i>
      <x v="2"/>
      <x v="1"/>
    </i>
    <i>
      <x v="3"/>
      <x/>
    </i>
    <i>
      <x v="4"/>
      <x v="5"/>
    </i>
    <i>
      <x v="5"/>
      <x v="4"/>
    </i>
    <i>
      <x v="6"/>
      <x v="6"/>
    </i>
    <i>
      <x v="7"/>
      <x v="7"/>
    </i>
    <i>
      <x v="8"/>
      <x v="7"/>
    </i>
    <i>
      <x v="9"/>
      <x v="8"/>
    </i>
    <i>
      <x v="10"/>
      <x v="9"/>
    </i>
    <i>
      <x v="11"/>
      <x v="10"/>
    </i>
    <i>
      <x v="12"/>
      <x v="11"/>
    </i>
    <i>
      <x v="13"/>
      <x v="11"/>
    </i>
    <i>
      <x v="14"/>
      <x v="12"/>
    </i>
    <i>
      <x v="15"/>
      <x v="13"/>
    </i>
    <i>
      <x v="16"/>
      <x v="12"/>
    </i>
    <i>
      <x v="17"/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 Amount" fld="25" baseField="0" baseItem="0"/>
    <dataField name="Sum of Debit Amount" fld="2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2FB0EC-4E67-42E4-8507-883EE159F812}" name="PivotTable1" cacheId="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23" firstHeaderRow="0" firstDataRow="1" firstDataCol="2"/>
  <pivotFields count="3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19">
        <item x="0"/>
        <item x="17"/>
        <item x="1"/>
        <item x="2"/>
        <item x="3"/>
        <item x="4"/>
        <item x="5"/>
        <item x="18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compact="0" outline="0" showAll="0"/>
    <pivotField axis="axisRow" compact="0" outline="0" showAll="0" defaultSubtotal="0">
      <items count="10">
        <item x="1"/>
        <item x="8"/>
        <item x="2"/>
        <item x="0"/>
        <item x="9"/>
        <item x="3"/>
        <item x="4"/>
        <item x="5"/>
        <item x="6"/>
        <item x="7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13"/>
    <field x="15"/>
  </rowFields>
  <rowItems count="20">
    <i>
      <x/>
      <x v="3"/>
    </i>
    <i>
      <x v="1"/>
      <x v="1"/>
    </i>
    <i>
      <x v="2"/>
      <x/>
    </i>
    <i>
      <x v="3"/>
      <x/>
    </i>
    <i>
      <x v="4"/>
      <x/>
    </i>
    <i>
      <x v="5"/>
      <x/>
    </i>
    <i>
      <x v="6"/>
      <x v="2"/>
    </i>
    <i>
      <x v="7"/>
      <x v="4"/>
    </i>
    <i>
      <x v="8"/>
      <x v="5"/>
    </i>
    <i>
      <x v="9"/>
      <x v="6"/>
    </i>
    <i>
      <x v="10"/>
      <x v="6"/>
    </i>
    <i>
      <x v="11"/>
      <x v="6"/>
    </i>
    <i>
      <x v="12"/>
      <x v="7"/>
    </i>
    <i>
      <x v="13"/>
      <x v="7"/>
    </i>
    <i>
      <x v="14"/>
      <x v="8"/>
    </i>
    <i>
      <x v="15"/>
      <x v="8"/>
    </i>
    <i>
      <x v="16"/>
      <x v="9"/>
    </i>
    <i>
      <x v="17"/>
      <x v="9"/>
    </i>
    <i>
      <x v="18"/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 Amount" fld="19" baseField="0" baseItem="0"/>
    <dataField name="Sum of Debit Amount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3FD505-2FFE-418B-BC5C-413028033D22}" name="PivotTable3" cacheId="1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7606:D8015" firstHeaderRow="0" firstDataRow="1" firstDataCol="2"/>
  <pivotFields count="35">
    <pivotField compact="0" outline="0" showAll="0"/>
    <pivotField axis="axisRow" compact="0" outline="0" showAll="0" defaultSubtotal="0">
      <items count="408">
        <item x="397"/>
        <item x="1"/>
        <item x="0"/>
        <item x="402"/>
        <item x="401"/>
        <item x="400"/>
        <item x="4"/>
        <item x="363"/>
        <item x="359"/>
        <item x="360"/>
        <item x="362"/>
        <item x="358"/>
        <item x="361"/>
        <item x="2"/>
        <item x="3"/>
        <item x="364"/>
        <item x="7"/>
        <item x="8"/>
        <item x="5"/>
        <item x="6"/>
        <item x="365"/>
        <item x="67"/>
        <item x="9"/>
        <item x="61"/>
        <item x="74"/>
        <item x="86"/>
        <item x="45"/>
        <item x="72"/>
        <item x="29"/>
        <item x="59"/>
        <item x="17"/>
        <item x="22"/>
        <item x="66"/>
        <item x="12"/>
        <item x="80"/>
        <item x="32"/>
        <item x="54"/>
        <item x="83"/>
        <item x="35"/>
        <item x="370"/>
        <item x="81"/>
        <item x="76"/>
        <item x="38"/>
        <item x="77"/>
        <item x="79"/>
        <item x="68"/>
        <item x="28"/>
        <item x="16"/>
        <item x="62"/>
        <item x="14"/>
        <item x="60"/>
        <item x="82"/>
        <item x="41"/>
        <item x="19"/>
        <item x="20"/>
        <item x="34"/>
        <item x="44"/>
        <item x="49"/>
        <item x="46"/>
        <item x="37"/>
        <item x="21"/>
        <item x="52"/>
        <item x="39"/>
        <item x="48"/>
        <item x="69"/>
        <item x="371"/>
        <item x="25"/>
        <item x="368"/>
        <item x="47"/>
        <item x="375"/>
        <item x="53"/>
        <item x="13"/>
        <item x="73"/>
        <item x="84"/>
        <item x="65"/>
        <item x="15"/>
        <item x="78"/>
        <item x="40"/>
        <item x="10"/>
        <item x="50"/>
        <item x="63"/>
        <item x="373"/>
        <item x="376"/>
        <item x="18"/>
        <item x="23"/>
        <item x="57"/>
        <item x="55"/>
        <item x="372"/>
        <item x="378"/>
        <item x="374"/>
        <item x="367"/>
        <item x="87"/>
        <item x="88"/>
        <item x="42"/>
        <item x="56"/>
        <item x="33"/>
        <item x="51"/>
        <item x="369"/>
        <item x="58"/>
        <item x="27"/>
        <item x="366"/>
        <item x="11"/>
        <item x="377"/>
        <item x="24"/>
        <item x="70"/>
        <item x="64"/>
        <item x="43"/>
        <item x="36"/>
        <item x="85"/>
        <item x="26"/>
        <item x="380"/>
        <item x="30"/>
        <item x="31"/>
        <item x="71"/>
        <item x="75"/>
        <item x="379"/>
        <item x="382"/>
        <item x="383"/>
        <item x="89"/>
        <item x="381"/>
        <item x="90"/>
        <item x="407"/>
        <item x="403"/>
        <item x="117"/>
        <item x="389"/>
        <item x="118"/>
        <item x="91"/>
        <item x="95"/>
        <item x="106"/>
        <item x="121"/>
        <item x="92"/>
        <item x="122"/>
        <item x="127"/>
        <item x="137"/>
        <item x="387"/>
        <item x="94"/>
        <item x="97"/>
        <item x="105"/>
        <item x="119"/>
        <item x="123"/>
        <item x="103"/>
        <item x="107"/>
        <item x="101"/>
        <item x="98"/>
        <item x="132"/>
        <item x="134"/>
        <item x="135"/>
        <item x="386"/>
        <item x="129"/>
        <item x="99"/>
        <item x="115"/>
        <item x="93"/>
        <item x="114"/>
        <item x="109"/>
        <item x="113"/>
        <item x="124"/>
        <item x="116"/>
        <item x="108"/>
        <item x="112"/>
        <item x="100"/>
        <item x="384"/>
        <item x="390"/>
        <item x="385"/>
        <item x="102"/>
        <item x="130"/>
        <item x="128"/>
        <item x="104"/>
        <item x="111"/>
        <item x="133"/>
        <item x="125"/>
        <item x="110"/>
        <item x="126"/>
        <item x="120"/>
        <item x="131"/>
        <item x="96"/>
        <item x="136"/>
        <item x="388"/>
        <item x="138"/>
        <item x="139"/>
        <item x="140"/>
        <item x="141"/>
        <item x="142"/>
        <item x="143"/>
        <item x="391"/>
        <item x="392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393"/>
        <item x="394"/>
        <item x="395"/>
        <item x="396"/>
        <item x="404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398"/>
        <item x="399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405"/>
        <item x="406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19">
        <item x="0"/>
        <item x="18"/>
        <item x="2"/>
        <item x="4"/>
        <item x="1"/>
        <item x="17"/>
        <item x="3"/>
        <item x="16"/>
        <item x="6"/>
        <item x="5"/>
        <item x="7"/>
        <item x="8"/>
        <item x="9"/>
        <item x="11"/>
        <item x="12"/>
        <item x="10"/>
        <item x="13"/>
        <item x="14"/>
        <item x="15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2">
    <field x="1"/>
    <field x="7"/>
  </rowFields>
  <rowItems count="409">
    <i>
      <x/>
      <x v="5"/>
    </i>
    <i>
      <x v="1"/>
      <x/>
    </i>
    <i>
      <x v="2"/>
      <x/>
    </i>
    <i>
      <x v="3"/>
      <x v="1"/>
    </i>
    <i>
      <x v="4"/>
      <x v="1"/>
    </i>
    <i>
      <x v="5"/>
      <x v="1"/>
    </i>
    <i>
      <x v="6"/>
      <x v="4"/>
    </i>
    <i>
      <x v="7"/>
      <x v="4"/>
    </i>
    <i>
      <x v="8"/>
      <x v="4"/>
    </i>
    <i>
      <x v="9"/>
      <x v="4"/>
    </i>
    <i>
      <x v="10"/>
      <x v="4"/>
    </i>
    <i>
      <x v="11"/>
      <x v="4"/>
    </i>
    <i>
      <x v="12"/>
      <x v="4"/>
    </i>
    <i>
      <x v="13"/>
      <x v="4"/>
    </i>
    <i>
      <x v="14"/>
      <x v="4"/>
    </i>
    <i>
      <x v="15"/>
      <x v="2"/>
    </i>
    <i>
      <x v="16"/>
      <x v="2"/>
    </i>
    <i>
      <x v="17"/>
      <x v="2"/>
    </i>
    <i>
      <x v="18"/>
      <x v="2"/>
    </i>
    <i>
      <x v="19"/>
      <x v="2"/>
    </i>
    <i>
      <x v="20"/>
      <x v="2"/>
    </i>
    <i>
      <x v="21"/>
      <x v="2"/>
    </i>
    <i>
      <x v="22"/>
      <x v="2"/>
    </i>
    <i>
      <x v="23"/>
      <x v="3"/>
    </i>
    <i>
      <x v="24"/>
      <x v="3"/>
    </i>
    <i>
      <x v="25"/>
      <x v="2"/>
    </i>
    <i>
      <x v="26"/>
      <x v="2"/>
    </i>
    <i>
      <x v="27"/>
      <x v="2"/>
    </i>
    <i>
      <x v="28"/>
      <x v="2"/>
    </i>
    <i>
      <x v="29"/>
      <x v="2"/>
    </i>
    <i>
      <x v="30"/>
      <x v="2"/>
    </i>
    <i>
      <x v="31"/>
      <x v="2"/>
    </i>
    <i>
      <x v="32"/>
      <x v="2"/>
    </i>
    <i>
      <x v="33"/>
      <x v="2"/>
    </i>
    <i>
      <x v="34"/>
      <x v="2"/>
    </i>
    <i>
      <x v="35"/>
      <x v="6"/>
    </i>
    <i>
      <x v="36"/>
      <x v="6"/>
    </i>
    <i>
      <x v="37"/>
      <x v="6"/>
    </i>
    <i>
      <x v="38"/>
      <x v="6"/>
    </i>
    <i>
      <x v="39"/>
      <x v="6"/>
    </i>
    <i>
      <x v="40"/>
      <x v="6"/>
    </i>
    <i>
      <x v="41"/>
      <x v="6"/>
    </i>
    <i>
      <x v="42"/>
      <x v="6"/>
    </i>
    <i>
      <x v="43"/>
      <x v="6"/>
    </i>
    <i>
      <x v="44"/>
      <x v="6"/>
    </i>
    <i>
      <x v="45"/>
      <x v="6"/>
    </i>
    <i>
      <x v="46"/>
      <x v="6"/>
    </i>
    <i>
      <x v="47"/>
      <x v="6"/>
    </i>
    <i>
      <x v="48"/>
      <x v="6"/>
    </i>
    <i>
      <x v="49"/>
      <x v="6"/>
    </i>
    <i>
      <x v="50"/>
      <x v="6"/>
    </i>
    <i>
      <x v="51"/>
      <x v="6"/>
    </i>
    <i>
      <x v="52"/>
      <x v="6"/>
    </i>
    <i>
      <x v="53"/>
      <x v="6"/>
    </i>
    <i>
      <x v="54"/>
      <x v="6"/>
    </i>
    <i>
      <x v="55"/>
      <x v="6"/>
    </i>
    <i>
      <x v="56"/>
      <x v="6"/>
    </i>
    <i>
      <x v="57"/>
      <x v="6"/>
    </i>
    <i>
      <x v="58"/>
      <x v="6"/>
    </i>
    <i>
      <x v="59"/>
      <x v="6"/>
    </i>
    <i>
      <x v="60"/>
      <x v="6"/>
    </i>
    <i>
      <x v="61"/>
      <x v="6"/>
    </i>
    <i>
      <x v="62"/>
      <x v="6"/>
    </i>
    <i>
      <x v="63"/>
      <x v="6"/>
    </i>
    <i>
      <x v="64"/>
      <x v="6"/>
    </i>
    <i>
      <x v="65"/>
      <x v="6"/>
    </i>
    <i>
      <x v="66"/>
      <x v="6"/>
    </i>
    <i>
      <x v="67"/>
      <x v="6"/>
    </i>
    <i>
      <x v="68"/>
      <x v="6"/>
    </i>
    <i>
      <x v="69"/>
      <x v="6"/>
    </i>
    <i>
      <x v="70"/>
      <x v="6"/>
    </i>
    <i>
      <x v="71"/>
      <x v="6"/>
    </i>
    <i>
      <x v="72"/>
      <x v="6"/>
    </i>
    <i>
      <x v="73"/>
      <x v="6"/>
    </i>
    <i>
      <x v="74"/>
      <x v="6"/>
    </i>
    <i>
      <x v="75"/>
      <x v="6"/>
    </i>
    <i>
      <x v="76"/>
      <x v="6"/>
    </i>
    <i>
      <x v="77"/>
      <x v="6"/>
    </i>
    <i>
      <x v="78"/>
      <x v="6"/>
    </i>
    <i>
      <x v="79"/>
      <x v="6"/>
    </i>
    <i>
      <x v="80"/>
      <x v="6"/>
    </i>
    <i>
      <x v="81"/>
      <x v="6"/>
    </i>
    <i>
      <x v="82"/>
      <x v="6"/>
    </i>
    <i>
      <x v="83"/>
      <x v="6"/>
    </i>
    <i>
      <x v="84"/>
      <x v="6"/>
    </i>
    <i>
      <x v="85"/>
      <x v="6"/>
    </i>
    <i>
      <x v="86"/>
      <x v="6"/>
    </i>
    <i>
      <x v="87"/>
      <x v="6"/>
    </i>
    <i>
      <x v="88"/>
      <x v="6"/>
    </i>
    <i>
      <x v="89"/>
      <x v="6"/>
    </i>
    <i>
      <x v="90"/>
      <x v="6"/>
    </i>
    <i>
      <x v="91"/>
      <x v="6"/>
    </i>
    <i>
      <x v="92"/>
      <x v="6"/>
    </i>
    <i>
      <x v="93"/>
      <x v="6"/>
    </i>
    <i>
      <x v="94"/>
      <x v="6"/>
    </i>
    <i>
      <x v="95"/>
      <x v="6"/>
    </i>
    <i>
      <x v="96"/>
      <x v="6"/>
    </i>
    <i>
      <x v="97"/>
      <x v="6"/>
    </i>
    <i>
      <x v="98"/>
      <x v="6"/>
    </i>
    <i>
      <x v="99"/>
      <x v="6"/>
    </i>
    <i>
      <x v="100"/>
      <x v="6"/>
    </i>
    <i>
      <x v="101"/>
      <x v="6"/>
    </i>
    <i>
      <x v="102"/>
      <x v="6"/>
    </i>
    <i>
      <x v="103"/>
      <x v="6"/>
    </i>
    <i>
      <x v="104"/>
      <x v="6"/>
    </i>
    <i>
      <x v="105"/>
      <x v="6"/>
    </i>
    <i>
      <x v="106"/>
      <x v="6"/>
    </i>
    <i>
      <x v="107"/>
      <x v="6"/>
    </i>
    <i>
      <x v="108"/>
      <x v="6"/>
    </i>
    <i>
      <x v="109"/>
      <x v="6"/>
    </i>
    <i>
      <x v="110"/>
      <x v="6"/>
    </i>
    <i>
      <x v="111"/>
      <x v="6"/>
    </i>
    <i>
      <x v="112"/>
      <x v="6"/>
    </i>
    <i>
      <x v="113"/>
      <x v="6"/>
    </i>
    <i>
      <x v="114"/>
      <x v="6"/>
    </i>
    <i>
      <x v="115"/>
      <x v="6"/>
    </i>
    <i>
      <x v="116"/>
      <x v="9"/>
    </i>
    <i>
      <x v="117"/>
      <x v="9"/>
    </i>
    <i>
      <x v="118"/>
      <x v="9"/>
    </i>
    <i>
      <x v="119"/>
      <x v="9"/>
    </i>
    <i>
      <x v="120"/>
      <x v="9"/>
    </i>
    <i>
      <x v="121"/>
      <x v="7"/>
    </i>
    <i>
      <x v="122"/>
      <x v="9"/>
    </i>
    <i>
      <x v="123"/>
      <x v="9"/>
    </i>
    <i>
      <x v="124"/>
      <x v="9"/>
    </i>
    <i>
      <x v="125"/>
      <x v="9"/>
    </i>
    <i>
      <x v="126"/>
      <x v="8"/>
    </i>
    <i>
      <x v="127"/>
      <x v="8"/>
    </i>
    <i>
      <x v="128"/>
      <x v="8"/>
    </i>
    <i>
      <x v="129"/>
      <x v="8"/>
    </i>
    <i>
      <x v="130"/>
      <x v="8"/>
    </i>
    <i>
      <x v="131"/>
      <x v="8"/>
    </i>
    <i>
      <x v="132"/>
      <x v="8"/>
    </i>
    <i>
      <x v="133"/>
      <x v="8"/>
    </i>
    <i>
      <x v="134"/>
      <x v="8"/>
    </i>
    <i>
      <x v="135"/>
      <x v="8"/>
    </i>
    <i>
      <x v="136"/>
      <x v="8"/>
    </i>
    <i>
      <x v="137"/>
      <x v="8"/>
    </i>
    <i>
      <x v="138"/>
      <x v="8"/>
    </i>
    <i>
      <x v="139"/>
      <x v="8"/>
    </i>
    <i>
      <x v="140"/>
      <x v="8"/>
    </i>
    <i>
      <x v="141"/>
      <x v="8"/>
    </i>
    <i>
      <x v="142"/>
      <x v="8"/>
    </i>
    <i>
      <x v="143"/>
      <x v="8"/>
    </i>
    <i>
      <x v="144"/>
      <x v="8"/>
    </i>
    <i>
      <x v="145"/>
      <x v="8"/>
    </i>
    <i>
      <x v="146"/>
      <x v="8"/>
    </i>
    <i>
      <x v="147"/>
      <x v="8"/>
    </i>
    <i>
      <x v="148"/>
      <x v="8"/>
    </i>
    <i>
      <x v="149"/>
      <x v="8"/>
    </i>
    <i>
      <x v="150"/>
      <x v="8"/>
    </i>
    <i>
      <x v="151"/>
      <x v="8"/>
    </i>
    <i>
      <x v="152"/>
      <x v="8"/>
    </i>
    <i>
      <x v="153"/>
      <x v="8"/>
    </i>
    <i>
      <x v="154"/>
      <x v="8"/>
    </i>
    <i>
      <x v="155"/>
      <x v="8"/>
    </i>
    <i>
      <x v="156"/>
      <x v="8"/>
    </i>
    <i>
      <x v="157"/>
      <x v="8"/>
    </i>
    <i>
      <x v="158"/>
      <x v="8"/>
    </i>
    <i>
      <x v="159"/>
      <x v="8"/>
    </i>
    <i>
      <x v="160"/>
      <x v="8"/>
    </i>
    <i>
      <x v="161"/>
      <x v="8"/>
    </i>
    <i>
      <x v="162"/>
      <x v="8"/>
    </i>
    <i>
      <x v="163"/>
      <x v="8"/>
    </i>
    <i>
      <x v="164"/>
      <x v="8"/>
    </i>
    <i>
      <x v="165"/>
      <x v="8"/>
    </i>
    <i>
      <x v="166"/>
      <x v="8"/>
    </i>
    <i>
      <x v="167"/>
      <x v="8"/>
    </i>
    <i>
      <x v="168"/>
      <x v="8"/>
    </i>
    <i>
      <x v="169"/>
      <x v="8"/>
    </i>
    <i>
      <x v="170"/>
      <x v="8"/>
    </i>
    <i>
      <x v="171"/>
      <x v="8"/>
    </i>
    <i>
      <x v="172"/>
      <x v="8"/>
    </i>
    <i>
      <x v="173"/>
      <x v="8"/>
    </i>
    <i>
      <x v="174"/>
      <x v="8"/>
    </i>
    <i>
      <x v="175"/>
      <x v="8"/>
    </i>
    <i>
      <x v="176"/>
      <x v="8"/>
    </i>
    <i>
      <x v="177"/>
      <x v="10"/>
    </i>
    <i>
      <x v="178"/>
      <x v="10"/>
    </i>
    <i>
      <x v="179"/>
      <x v="10"/>
    </i>
    <i>
      <x v="180"/>
      <x v="10"/>
    </i>
    <i>
      <x v="181"/>
      <x v="10"/>
    </i>
    <i>
      <x v="182"/>
      <x v="10"/>
    </i>
    <i>
      <x v="183"/>
      <x v="10"/>
    </i>
    <i>
      <x v="184"/>
      <x v="10"/>
    </i>
    <i>
      <x v="185"/>
      <x v="11"/>
    </i>
    <i>
      <x v="186"/>
      <x v="11"/>
    </i>
    <i>
      <x v="187"/>
      <x v="12"/>
    </i>
    <i>
      <x v="188"/>
      <x v="11"/>
    </i>
    <i>
      <x v="189"/>
      <x v="12"/>
    </i>
    <i>
      <x v="190"/>
      <x v="11"/>
    </i>
    <i>
      <x v="191"/>
      <x v="11"/>
    </i>
    <i>
      <x v="192"/>
      <x v="12"/>
    </i>
    <i>
      <x v="193"/>
      <x v="11"/>
    </i>
    <i>
      <x v="194"/>
      <x v="11"/>
    </i>
    <i>
      <x v="195"/>
      <x v="12"/>
    </i>
    <i>
      <x v="196"/>
      <x v="11"/>
    </i>
    <i>
      <x v="197"/>
      <x v="12"/>
    </i>
    <i>
      <x v="198"/>
      <x v="12"/>
    </i>
    <i>
      <x v="199"/>
      <x v="11"/>
    </i>
    <i>
      <x v="200"/>
      <x v="15"/>
    </i>
    <i>
      <x v="201"/>
      <x v="12"/>
    </i>
    <i>
      <x v="202"/>
      <x v="12"/>
    </i>
    <i>
      <x v="203"/>
      <x v="13"/>
    </i>
    <i>
      <x v="204"/>
      <x v="12"/>
    </i>
    <i>
      <x v="205"/>
      <x v="12"/>
    </i>
    <i>
      <x v="206"/>
      <x v="12"/>
    </i>
    <i>
      <x v="207"/>
      <x v="12"/>
    </i>
    <i>
      <x v="208"/>
      <x v="7"/>
    </i>
    <i>
      <x v="209"/>
      <x v="14"/>
    </i>
    <i>
      <x v="210"/>
      <x v="14"/>
    </i>
    <i>
      <x v="211"/>
      <x v="14"/>
    </i>
    <i>
      <x v="212"/>
      <x v="11"/>
    </i>
    <i>
      <x v="213"/>
      <x v="14"/>
    </i>
    <i>
      <x v="214"/>
      <x v="16"/>
    </i>
    <i>
      <x v="215"/>
      <x v="14"/>
    </i>
    <i>
      <x v="216"/>
      <x v="11"/>
    </i>
    <i>
      <x v="217"/>
      <x v="14"/>
    </i>
    <i>
      <x v="218"/>
      <x v="14"/>
    </i>
    <i>
      <x v="219"/>
      <x v="11"/>
    </i>
    <i>
      <x v="220"/>
      <x v="11"/>
    </i>
    <i>
      <x v="221"/>
      <x v="14"/>
    </i>
    <i>
      <x v="222"/>
      <x v="14"/>
    </i>
    <i>
      <x v="223"/>
      <x v="14"/>
    </i>
    <i>
      <x v="224"/>
      <x v="14"/>
    </i>
    <i>
      <x v="225"/>
      <x v="14"/>
    </i>
    <i>
      <x v="226"/>
      <x v="14"/>
    </i>
    <i>
      <x v="227"/>
      <x v="14"/>
    </i>
    <i>
      <x v="228"/>
      <x v="11"/>
    </i>
    <i>
      <x v="229"/>
      <x v="11"/>
    </i>
    <i>
      <x v="230"/>
      <x v="11"/>
    </i>
    <i>
      <x v="231"/>
      <x v="11"/>
    </i>
    <i>
      <x v="232"/>
      <x v="11"/>
    </i>
    <i>
      <x v="233"/>
      <x v="14"/>
    </i>
    <i>
      <x v="234"/>
      <x v="11"/>
    </i>
    <i>
      <x v="235"/>
      <x v="14"/>
    </i>
    <i>
      <x v="236"/>
      <x v="14"/>
    </i>
    <i>
      <x v="237"/>
      <x v="11"/>
    </i>
    <i>
      <x v="238"/>
      <x v="14"/>
    </i>
    <i>
      <x v="239"/>
      <x v="11"/>
    </i>
    <i>
      <x v="240"/>
      <x v="11"/>
    </i>
    <i>
      <x v="241"/>
      <x v="14"/>
    </i>
    <i>
      <x v="242"/>
      <x v="11"/>
    </i>
    <i>
      <x v="243"/>
      <x v="14"/>
    </i>
    <i>
      <x v="244"/>
      <x v="14"/>
    </i>
    <i>
      <x v="245"/>
      <x v="14"/>
    </i>
    <i>
      <x v="246"/>
      <x v="14"/>
    </i>
    <i>
      <x v="247"/>
      <x v="14"/>
    </i>
    <i>
      <x v="248"/>
      <x v="14"/>
    </i>
    <i>
      <x v="249"/>
      <x v="14"/>
    </i>
    <i>
      <x v="250"/>
      <x v="14"/>
    </i>
    <i>
      <x v="251"/>
      <x v="14"/>
    </i>
    <i>
      <x v="252"/>
      <x v="14"/>
    </i>
    <i>
      <x v="253"/>
      <x v="11"/>
    </i>
    <i>
      <x v="254"/>
      <x v="14"/>
    </i>
    <i>
      <x v="255"/>
      <x v="11"/>
    </i>
    <i>
      <x v="256"/>
      <x v="14"/>
    </i>
    <i>
      <x v="257"/>
      <x v="11"/>
    </i>
    <i>
      <x v="258"/>
      <x v="14"/>
    </i>
    <i>
      <x v="259"/>
      <x v="16"/>
    </i>
    <i>
      <x v="260"/>
      <x v="14"/>
    </i>
    <i>
      <x v="261"/>
      <x v="14"/>
    </i>
    <i>
      <x v="262"/>
      <x v="14"/>
    </i>
    <i>
      <x v="263"/>
      <x v="14"/>
    </i>
    <i>
      <x v="264"/>
      <x v="11"/>
    </i>
    <i>
      <x v="265"/>
      <x v="14"/>
    </i>
    <i>
      <x v="266"/>
      <x v="11"/>
    </i>
    <i>
      <x v="267"/>
      <x v="14"/>
    </i>
    <i>
      <x v="268"/>
      <x v="11"/>
    </i>
    <i>
      <x v="269"/>
      <x v="14"/>
    </i>
    <i>
      <x v="270"/>
      <x v="11"/>
    </i>
    <i>
      <x v="271"/>
      <x v="14"/>
    </i>
    <i>
      <x v="272"/>
      <x v="14"/>
    </i>
    <i>
      <x v="273"/>
      <x v="14"/>
    </i>
    <i>
      <x v="274"/>
      <x v="14"/>
    </i>
    <i>
      <x v="275"/>
      <x v="16"/>
    </i>
    <i>
      <x v="276"/>
      <x v="11"/>
    </i>
    <i>
      <x v="277"/>
      <x v="14"/>
    </i>
    <i>
      <x v="278"/>
      <x v="14"/>
    </i>
    <i>
      <x v="279"/>
      <x v="11"/>
    </i>
    <i>
      <x v="280"/>
      <x v="11"/>
    </i>
    <i>
      <x v="281"/>
      <x v="11"/>
    </i>
    <i>
      <x v="282"/>
      <x v="11"/>
    </i>
    <i>
      <x v="283"/>
      <x v="11"/>
    </i>
    <i>
      <x v="284"/>
      <x v="14"/>
    </i>
    <i>
      <x v="285"/>
      <x v="14"/>
    </i>
    <i>
      <x v="286"/>
      <x v="11"/>
    </i>
    <i>
      <x v="287"/>
      <x v="11"/>
    </i>
    <i>
      <x v="288"/>
      <x v="14"/>
    </i>
    <i>
      <x v="289"/>
      <x v="14"/>
    </i>
    <i>
      <x v="290"/>
      <x v="11"/>
    </i>
    <i>
      <x v="291"/>
      <x v="14"/>
    </i>
    <i>
      <x v="292"/>
      <x v="11"/>
    </i>
    <i>
      <x v="293"/>
      <x v="17"/>
    </i>
    <i>
      <x v="294"/>
      <x v="11"/>
    </i>
    <i>
      <x v="295"/>
      <x v="14"/>
    </i>
    <i>
      <x v="296"/>
      <x v="14"/>
    </i>
    <i>
      <x v="297"/>
      <x v="14"/>
    </i>
    <i>
      <x v="298"/>
      <x v="16"/>
    </i>
    <i>
      <x v="299"/>
      <x v="16"/>
    </i>
    <i>
      <x v="300"/>
      <x v="16"/>
    </i>
    <i>
      <x v="301"/>
      <x v="16"/>
    </i>
    <i>
      <x v="302"/>
      <x v="16"/>
    </i>
    <i>
      <x v="303"/>
      <x v="16"/>
    </i>
    <i>
      <x v="304"/>
      <x v="16"/>
    </i>
    <i>
      <x v="305"/>
      <x v="16"/>
    </i>
    <i>
      <x v="306"/>
      <x v="16"/>
    </i>
    <i>
      <x v="307"/>
      <x v="16"/>
    </i>
    <i>
      <x v="308"/>
      <x v="16"/>
    </i>
    <i>
      <x v="309"/>
      <x v="16"/>
    </i>
    <i>
      <x v="310"/>
      <x v="16"/>
    </i>
    <i>
      <x v="311"/>
      <x v="16"/>
    </i>
    <i>
      <x v="312"/>
      <x v="16"/>
    </i>
    <i>
      <x v="313"/>
      <x v="16"/>
    </i>
    <i>
      <x v="314"/>
      <x v="16"/>
    </i>
    <i>
      <x v="315"/>
      <x v="16"/>
    </i>
    <i>
      <x v="316"/>
      <x v="16"/>
    </i>
    <i>
      <x v="317"/>
      <x v="16"/>
    </i>
    <i>
      <x v="318"/>
      <x v="16"/>
    </i>
    <i>
      <x v="319"/>
      <x v="16"/>
    </i>
    <i>
      <x v="320"/>
      <x v="16"/>
    </i>
    <i>
      <x v="321"/>
      <x v="16"/>
    </i>
    <i>
      <x v="322"/>
      <x v="16"/>
    </i>
    <i>
      <x v="323"/>
      <x v="16"/>
    </i>
    <i>
      <x v="324"/>
      <x v="14"/>
    </i>
    <i>
      <x v="325"/>
      <x v="14"/>
    </i>
    <i>
      <x v="326"/>
      <x v="18"/>
    </i>
    <i>
      <x v="327"/>
      <x v="18"/>
    </i>
    <i>
      <x v="328"/>
      <x v="18"/>
    </i>
    <i>
      <x v="329"/>
      <x v="18"/>
    </i>
    <i>
      <x v="330"/>
      <x v="18"/>
    </i>
    <i>
      <x v="331"/>
      <x v="18"/>
    </i>
    <i>
      <x v="332"/>
      <x v="18"/>
    </i>
    <i>
      <x v="333"/>
      <x v="18"/>
    </i>
    <i>
      <x v="334"/>
      <x v="18"/>
    </i>
    <i>
      <x v="335"/>
      <x v="18"/>
    </i>
    <i>
      <x v="336"/>
      <x v="18"/>
    </i>
    <i>
      <x v="337"/>
      <x v="18"/>
    </i>
    <i>
      <x v="338"/>
      <x v="18"/>
    </i>
    <i>
      <x v="339"/>
      <x v="18"/>
    </i>
    <i>
      <x v="340"/>
      <x v="18"/>
    </i>
    <i>
      <x v="341"/>
      <x v="18"/>
    </i>
    <i>
      <x v="342"/>
      <x v="18"/>
    </i>
    <i>
      <x v="343"/>
      <x v="18"/>
    </i>
    <i>
      <x v="344"/>
      <x v="18"/>
    </i>
    <i>
      <x v="345"/>
      <x v="18"/>
    </i>
    <i>
      <x v="346"/>
      <x v="18"/>
    </i>
    <i>
      <x v="347"/>
      <x v="18"/>
    </i>
    <i>
      <x v="348"/>
      <x v="18"/>
    </i>
    <i>
      <x v="349"/>
      <x v="18"/>
    </i>
    <i>
      <x v="350"/>
      <x v="18"/>
    </i>
    <i>
      <x v="351"/>
      <x v="18"/>
    </i>
    <i>
      <x v="352"/>
      <x v="18"/>
    </i>
    <i>
      <x v="353"/>
      <x v="18"/>
    </i>
    <i>
      <x v="354"/>
      <x v="18"/>
    </i>
    <i>
      <x v="355"/>
      <x v="18"/>
    </i>
    <i>
      <x v="356"/>
      <x v="18"/>
    </i>
    <i>
      <x v="357"/>
      <x v="18"/>
    </i>
    <i>
      <x v="358"/>
      <x v="18"/>
    </i>
    <i>
      <x v="359"/>
      <x v="18"/>
    </i>
    <i>
      <x v="360"/>
      <x v="18"/>
    </i>
    <i>
      <x v="361"/>
      <x v="18"/>
    </i>
    <i>
      <x v="362"/>
      <x v="18"/>
    </i>
    <i>
      <x v="363"/>
      <x v="18"/>
    </i>
    <i>
      <x v="364"/>
      <x v="18"/>
    </i>
    <i>
      <x v="365"/>
      <x v="18"/>
    </i>
    <i>
      <x v="366"/>
      <x v="18"/>
    </i>
    <i>
      <x v="367"/>
      <x v="18"/>
    </i>
    <i>
      <x v="368"/>
      <x v="18"/>
    </i>
    <i>
      <x v="369"/>
      <x v="18"/>
    </i>
    <i>
      <x v="370"/>
      <x v="18"/>
    </i>
    <i>
      <x v="371"/>
      <x v="18"/>
    </i>
    <i>
      <x v="372"/>
      <x v="18"/>
    </i>
    <i>
      <x v="373"/>
      <x v="18"/>
    </i>
    <i>
      <x v="374"/>
      <x v="18"/>
    </i>
    <i>
      <x v="375"/>
      <x v="18"/>
    </i>
    <i>
      <x v="376"/>
      <x v="18"/>
    </i>
    <i>
      <x v="377"/>
      <x v="18"/>
    </i>
    <i>
      <x v="378"/>
      <x v="18"/>
    </i>
    <i>
      <x v="379"/>
      <x v="18"/>
    </i>
    <i>
      <x v="380"/>
      <x v="18"/>
    </i>
    <i>
      <x v="381"/>
      <x v="18"/>
    </i>
    <i>
      <x v="382"/>
      <x v="18"/>
    </i>
    <i>
      <x v="383"/>
      <x v="18"/>
    </i>
    <i>
      <x v="384"/>
      <x v="18"/>
    </i>
    <i>
      <x v="385"/>
      <x v="18"/>
    </i>
    <i>
      <x v="386"/>
      <x v="18"/>
    </i>
    <i>
      <x v="387"/>
      <x v="18"/>
    </i>
    <i>
      <x v="388"/>
      <x v="18"/>
    </i>
    <i>
      <x v="389"/>
      <x v="18"/>
    </i>
    <i>
      <x v="390"/>
      <x v="18"/>
    </i>
    <i>
      <x v="391"/>
      <x v="18"/>
    </i>
    <i>
      <x v="392"/>
      <x v="18"/>
    </i>
    <i>
      <x v="393"/>
      <x v="18"/>
    </i>
    <i>
      <x v="394"/>
      <x v="18"/>
    </i>
    <i>
      <x v="395"/>
      <x v="7"/>
    </i>
    <i>
      <x v="396"/>
      <x v="18"/>
    </i>
    <i>
      <x v="397"/>
      <x v="18"/>
    </i>
    <i>
      <x v="398"/>
      <x v="18"/>
    </i>
    <i>
      <x v="399"/>
      <x v="18"/>
    </i>
    <i>
      <x v="400"/>
      <x v="18"/>
    </i>
    <i>
      <x v="401"/>
      <x v="18"/>
    </i>
    <i>
      <x v="402"/>
      <x v="18"/>
    </i>
    <i>
      <x v="403"/>
      <x v="18"/>
    </i>
    <i>
      <x v="404"/>
      <x v="18"/>
    </i>
    <i>
      <x v="405"/>
      <x v="7"/>
    </i>
    <i>
      <x v="406"/>
      <x v="18"/>
    </i>
    <i>
      <x v="407"/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ctual Credit Amt To dealer (A-B)" fld="31" baseField="0" baseItem="0"/>
    <dataField name="Sum of Dealer Debit Amt (B)" fld="2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D0158-FDD7-4505-9D21-ECA489F3B8CA}">
  <sheetPr>
    <tabColor rgb="FFFFC000"/>
  </sheetPr>
  <dimension ref="A2:F6"/>
  <sheetViews>
    <sheetView workbookViewId="0">
      <selection activeCell="E16" sqref="E16"/>
    </sheetView>
  </sheetViews>
  <sheetFormatPr defaultRowHeight="17.5"/>
  <cols>
    <col min="1" max="16384" width="8.7265625" style="14"/>
  </cols>
  <sheetData>
    <row r="2" spans="1:6" ht="18">
      <c r="A2" s="15" t="s">
        <v>2864</v>
      </c>
      <c r="B2" s="16"/>
      <c r="C2" s="16"/>
      <c r="D2" s="16"/>
      <c r="E2" s="16"/>
      <c r="F2" s="16"/>
    </row>
    <row r="3" spans="1:6" s="17" customFormat="1" ht="30" customHeight="1">
      <c r="A3" s="17" t="s">
        <v>2865</v>
      </c>
    </row>
    <row r="4" spans="1:6" s="17" customFormat="1" ht="30" customHeight="1">
      <c r="A4" s="17" t="s">
        <v>2866</v>
      </c>
    </row>
    <row r="5" spans="1:6" s="17" customFormat="1" ht="30" customHeight="1">
      <c r="A5" s="17" t="s">
        <v>2867</v>
      </c>
    </row>
    <row r="6" spans="1:6" s="17" customFormat="1" ht="30" customHeight="1">
      <c r="A6" s="18" t="s">
        <v>2868</v>
      </c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9ACEA-87DA-4DAA-8A01-62408526DA42}">
  <sheetPr>
    <tabColor rgb="FF00B0F0"/>
  </sheetPr>
  <dimension ref="A1:N2627"/>
  <sheetViews>
    <sheetView tabSelected="1" workbookViewId="0">
      <pane xSplit="5" ySplit="1" topLeftCell="F2" activePane="bottomRight" state="frozen"/>
      <selection pane="topRight" activeCell="E1" sqref="E1"/>
      <selection pane="bottomLeft" activeCell="A2" sqref="A2"/>
      <selection pane="bottomRight" activeCell="J10" sqref="J10"/>
    </sheetView>
  </sheetViews>
  <sheetFormatPr defaultRowHeight="14.5"/>
  <cols>
    <col min="1" max="1" width="18" style="21" customWidth="1"/>
    <col min="2" max="2" width="15.453125" style="21" customWidth="1"/>
    <col min="3" max="3" width="13.08984375" style="21" customWidth="1"/>
    <col min="4" max="4" width="11.7265625" style="33" customWidth="1"/>
    <col min="5" max="5" width="26.453125" style="21" bestFit="1" customWidth="1"/>
    <col min="6" max="6" width="15.6328125" style="21" bestFit="1" customWidth="1"/>
    <col min="7" max="7" width="16.7265625" style="33" bestFit="1" customWidth="1"/>
    <col min="8" max="8" width="13.08984375" style="33" bestFit="1" customWidth="1"/>
    <col min="9" max="9" width="17.26953125" style="21" bestFit="1" customWidth="1"/>
    <col min="10" max="10" width="31.81640625" style="21" customWidth="1"/>
    <col min="11" max="11" width="13.453125" style="21" bestFit="1" customWidth="1"/>
    <col min="12" max="13" width="8.7265625" style="21"/>
    <col min="14" max="14" width="10.08984375" style="21" bestFit="1" customWidth="1"/>
    <col min="15" max="16384" width="8.7265625" style="21"/>
  </cols>
  <sheetData>
    <row r="1" spans="1:14" ht="74.150000000000006" customHeight="1">
      <c r="A1" s="1" t="s">
        <v>0</v>
      </c>
      <c r="B1" s="1" t="s">
        <v>7</v>
      </c>
      <c r="C1" s="1" t="s">
        <v>1</v>
      </c>
      <c r="D1" s="12" t="s">
        <v>2</v>
      </c>
      <c r="E1" s="1" t="s">
        <v>5</v>
      </c>
      <c r="F1" s="1" t="s">
        <v>3</v>
      </c>
      <c r="G1" s="12" t="s">
        <v>2863</v>
      </c>
      <c r="H1" s="12" t="s">
        <v>2862</v>
      </c>
      <c r="I1" s="1" t="s">
        <v>4</v>
      </c>
      <c r="J1" s="52" t="s">
        <v>6</v>
      </c>
      <c r="K1" s="56" t="s">
        <v>5236</v>
      </c>
      <c r="L1" s="56" t="s">
        <v>5237</v>
      </c>
    </row>
    <row r="2" spans="1:14">
      <c r="A2" s="36" t="s">
        <v>3349</v>
      </c>
      <c r="B2" s="22">
        <v>356</v>
      </c>
      <c r="C2" s="51">
        <v>45743</v>
      </c>
      <c r="D2" s="13">
        <v>2765</v>
      </c>
      <c r="E2" s="23" t="s">
        <v>33</v>
      </c>
      <c r="F2" s="11" t="s">
        <v>35</v>
      </c>
      <c r="G2" s="19">
        <v>2765</v>
      </c>
      <c r="H2" s="19" t="str">
        <f>IF(ISERROR(VLOOKUP(A2,Report!A:D,4,FALSE)),"NOT FOUND",VLOOKUP(A2,Report!A:D,4,FALSE))</f>
        <v>NOT FOUND</v>
      </c>
      <c r="I2" s="20">
        <v>45813</v>
      </c>
      <c r="J2" s="53"/>
      <c r="K2" s="56">
        <f>MONTH(C2)</f>
        <v>3</v>
      </c>
      <c r="L2" s="56">
        <f>YEAR(C2)</f>
        <v>2025</v>
      </c>
      <c r="N2" s="50"/>
    </row>
    <row r="3" spans="1:14">
      <c r="A3" s="36" t="s">
        <v>3350</v>
      </c>
      <c r="B3" s="22">
        <v>357</v>
      </c>
      <c r="C3" s="51">
        <v>45743</v>
      </c>
      <c r="D3" s="13">
        <v>2588</v>
      </c>
      <c r="E3" s="23" t="s">
        <v>33</v>
      </c>
      <c r="F3" s="11" t="s">
        <v>35</v>
      </c>
      <c r="G3" s="19">
        <v>2588</v>
      </c>
      <c r="H3" s="19" t="str">
        <f>IF(ISERROR(VLOOKUP(A3,Report!A:D,4,FALSE)),"NOT FOUND",VLOOKUP(A3,Report!A:D,4,FALSE))</f>
        <v>NOT FOUND</v>
      </c>
      <c r="I3" s="20">
        <v>45813</v>
      </c>
      <c r="J3" s="53"/>
      <c r="K3" s="56">
        <f t="shared" ref="K3:K66" si="0">MONTH(C3)</f>
        <v>3</v>
      </c>
      <c r="L3" s="56">
        <f t="shared" ref="L3:L66" si="1">YEAR(C3)</f>
        <v>2025</v>
      </c>
      <c r="N3" s="50"/>
    </row>
    <row r="4" spans="1:14">
      <c r="A4" s="24" t="s">
        <v>2294</v>
      </c>
      <c r="B4" s="22">
        <v>358</v>
      </c>
      <c r="C4" s="51">
        <v>45777</v>
      </c>
      <c r="D4" s="13">
        <v>1465</v>
      </c>
      <c r="E4" s="23" t="s">
        <v>33</v>
      </c>
      <c r="F4" s="11" t="s">
        <v>37</v>
      </c>
      <c r="G4" s="19">
        <f>IF(ISERROR(VLOOKUP(A4,Report!A:D,3,FALSE)),"NOT FOUND",VLOOKUP(A4,Report!A:D,3,FALSE))</f>
        <v>0</v>
      </c>
      <c r="H4" s="19">
        <f>IF(ISERROR(VLOOKUP(A4,Report!A:D,4,FALSE)),"NOT FOUND",VLOOKUP(A4,Report!A:D,4,FALSE))</f>
        <v>1464.91</v>
      </c>
      <c r="I4" s="20" t="str">
        <f>IF(ISERROR(VLOOKUP(A4,Report!A:D,2,FALSE)),"NOT FOUND",VLOOKUP(A4,Report!A:D,2,FALSE))</f>
        <v>29-05-2025</v>
      </c>
      <c r="J4" s="53"/>
      <c r="K4" s="56">
        <f t="shared" si="0"/>
        <v>4</v>
      </c>
      <c r="L4" s="56">
        <f t="shared" si="1"/>
        <v>2025</v>
      </c>
      <c r="N4" s="50"/>
    </row>
    <row r="5" spans="1:14">
      <c r="A5" s="24" t="s">
        <v>2746</v>
      </c>
      <c r="B5" s="22">
        <v>359</v>
      </c>
      <c r="C5" s="51">
        <v>45777</v>
      </c>
      <c r="D5" s="13">
        <v>2187</v>
      </c>
      <c r="E5" s="23" t="s">
        <v>33</v>
      </c>
      <c r="F5" s="11" t="str">
        <f t="shared" ref="F5:F68" si="2">IF((D5-G5)&lt;10,"Accepted","Partial/Rejected")</f>
        <v>Accepted</v>
      </c>
      <c r="G5" s="19">
        <f>IF(ISERROR(VLOOKUP(A5,Report!A:D,3,FALSE)),"NOT FOUND",VLOOKUP(A5,Report!A:D,3,FALSE))</f>
        <v>2186.85</v>
      </c>
      <c r="H5" s="19">
        <f>IF(ISERROR(VLOOKUP(A5,Report!A:D,4,FALSE)),"NOT FOUND",VLOOKUP(A5,Report!A:D,4,FALSE))</f>
        <v>0</v>
      </c>
      <c r="I5" s="20" t="str">
        <f>IF(ISERROR(VLOOKUP(A5,Report!A:D,2,FALSE)),"NOT FOUND",VLOOKUP(A5,Report!A:D,2,FALSE))</f>
        <v>29-05-2025</v>
      </c>
      <c r="J5" s="53"/>
      <c r="K5" s="56">
        <f t="shared" si="0"/>
        <v>4</v>
      </c>
      <c r="L5" s="56">
        <f t="shared" si="1"/>
        <v>2025</v>
      </c>
      <c r="N5" s="50"/>
    </row>
    <row r="6" spans="1:14">
      <c r="A6" s="22" t="s">
        <v>49</v>
      </c>
      <c r="B6" s="22"/>
      <c r="C6" s="51">
        <v>45770</v>
      </c>
      <c r="D6" s="13">
        <v>7375</v>
      </c>
      <c r="E6" s="26" t="s">
        <v>47</v>
      </c>
      <c r="F6" s="11" t="str">
        <f t="shared" si="2"/>
        <v>Accepted</v>
      </c>
      <c r="G6" s="19">
        <v>7375</v>
      </c>
      <c r="H6" s="19" t="str">
        <f>IF(ISERROR(VLOOKUP(A6,Report!A:D,4,FALSE)),"NOT FOUND",VLOOKUP(A6,Report!A:D,4,FALSE))</f>
        <v>NOT FOUND</v>
      </c>
      <c r="I6" s="20">
        <v>45831</v>
      </c>
      <c r="J6" s="53"/>
      <c r="K6" s="56">
        <f t="shared" si="0"/>
        <v>4</v>
      </c>
      <c r="L6" s="56">
        <f t="shared" si="1"/>
        <v>2025</v>
      </c>
      <c r="N6" s="50"/>
    </row>
    <row r="7" spans="1:14">
      <c r="A7" s="22" t="s">
        <v>50</v>
      </c>
      <c r="B7" s="22"/>
      <c r="C7" s="51">
        <v>45770</v>
      </c>
      <c r="D7" s="27">
        <v>8661</v>
      </c>
      <c r="E7" s="28" t="s">
        <v>47</v>
      </c>
      <c r="F7" s="11" t="str">
        <f t="shared" si="2"/>
        <v>Accepted</v>
      </c>
      <c r="G7" s="19">
        <v>8661.2000000000007</v>
      </c>
      <c r="H7" s="19" t="str">
        <f>IF(ISERROR(VLOOKUP(A7,Report!A:D,4,FALSE)),"NOT FOUND",VLOOKUP(A7,Report!A:D,4,FALSE))</f>
        <v>NOT FOUND</v>
      </c>
      <c r="I7" s="20">
        <v>45831</v>
      </c>
      <c r="J7" s="53"/>
      <c r="K7" s="56">
        <f t="shared" si="0"/>
        <v>4</v>
      </c>
      <c r="L7" s="56">
        <f t="shared" si="1"/>
        <v>2025</v>
      </c>
      <c r="N7" s="50"/>
    </row>
    <row r="8" spans="1:14">
      <c r="A8" s="22" t="s">
        <v>51</v>
      </c>
      <c r="B8" s="22"/>
      <c r="C8" s="51">
        <v>45777</v>
      </c>
      <c r="D8" s="27">
        <v>8685</v>
      </c>
      <c r="E8" s="28" t="s">
        <v>47</v>
      </c>
      <c r="F8" s="11" t="str">
        <f t="shared" si="2"/>
        <v>Accepted</v>
      </c>
      <c r="G8" s="19">
        <v>8684.7999999999993</v>
      </c>
      <c r="H8" s="19" t="str">
        <f>IF(ISERROR(VLOOKUP(A8,Report!A:D,4,FALSE)),"NOT FOUND",VLOOKUP(A8,Report!A:D,4,FALSE))</f>
        <v>NOT FOUND</v>
      </c>
      <c r="I8" s="20">
        <v>45868</v>
      </c>
      <c r="J8" s="53"/>
      <c r="K8" s="56">
        <f t="shared" si="0"/>
        <v>4</v>
      </c>
      <c r="L8" s="56">
        <f t="shared" si="1"/>
        <v>2025</v>
      </c>
      <c r="N8" s="50"/>
    </row>
    <row r="9" spans="1:14">
      <c r="A9" s="22" t="s">
        <v>52</v>
      </c>
      <c r="B9" s="22"/>
      <c r="C9" s="51">
        <v>45777</v>
      </c>
      <c r="D9" s="27">
        <v>8484</v>
      </c>
      <c r="E9" s="28" t="s">
        <v>47</v>
      </c>
      <c r="F9" s="11" t="str">
        <f t="shared" si="2"/>
        <v>Partial/Rejected</v>
      </c>
      <c r="G9" s="19">
        <v>8340.2000000000007</v>
      </c>
      <c r="H9" s="19" t="str">
        <f>IF(ISERROR(VLOOKUP(A9,Report!A:D,4,FALSE)),"NOT FOUND",VLOOKUP(A9,Report!A:D,4,FALSE))</f>
        <v>NOT FOUND</v>
      </c>
      <c r="I9" s="20">
        <v>45869</v>
      </c>
      <c r="J9" s="53"/>
      <c r="K9" s="56">
        <f t="shared" si="0"/>
        <v>4</v>
      </c>
      <c r="L9" s="56">
        <f t="shared" si="1"/>
        <v>2025</v>
      </c>
      <c r="N9" s="50"/>
    </row>
    <row r="10" spans="1:14">
      <c r="A10" s="22" t="s">
        <v>53</v>
      </c>
      <c r="B10" s="22"/>
      <c r="C10" s="51">
        <v>45777</v>
      </c>
      <c r="D10" s="27">
        <v>142876</v>
      </c>
      <c r="E10" s="28" t="s">
        <v>48</v>
      </c>
      <c r="F10" s="11" t="str">
        <f t="shared" si="2"/>
        <v>Accepted</v>
      </c>
      <c r="G10" s="19">
        <v>142875.57999999999</v>
      </c>
      <c r="H10" s="19" t="str">
        <f>IF(ISERROR(VLOOKUP(A10,Report!A:D,4,FALSE)),"NOT FOUND",VLOOKUP(A10,Report!A:D,4,FALSE))</f>
        <v>NOT FOUND</v>
      </c>
      <c r="I10" s="20">
        <v>45868</v>
      </c>
      <c r="J10" s="53"/>
      <c r="K10" s="56">
        <f t="shared" si="0"/>
        <v>4</v>
      </c>
      <c r="L10" s="56">
        <f t="shared" si="1"/>
        <v>2025</v>
      </c>
      <c r="N10" s="50"/>
    </row>
    <row r="11" spans="1:14">
      <c r="A11" s="22" t="s">
        <v>54</v>
      </c>
      <c r="B11" s="22"/>
      <c r="C11" s="51">
        <v>45777</v>
      </c>
      <c r="D11" s="27">
        <v>8832</v>
      </c>
      <c r="E11" s="28" t="s">
        <v>47</v>
      </c>
      <c r="F11" s="11" t="str">
        <f t="shared" si="2"/>
        <v>Partial/Rejected</v>
      </c>
      <c r="G11" s="19">
        <v>8682.2999999999993</v>
      </c>
      <c r="H11" s="19" t="str">
        <f>IF(ISERROR(VLOOKUP(A11,Report!A:D,4,FALSE)),"NOT FOUND",VLOOKUP(A11,Report!A:D,4,FALSE))</f>
        <v>NOT FOUND</v>
      </c>
      <c r="I11" s="20">
        <v>45868</v>
      </c>
      <c r="J11" s="53"/>
      <c r="K11" s="56">
        <f t="shared" si="0"/>
        <v>4</v>
      </c>
      <c r="L11" s="56">
        <f t="shared" si="1"/>
        <v>2025</v>
      </c>
      <c r="N11" s="50"/>
    </row>
    <row r="12" spans="1:14">
      <c r="A12" s="22" t="s">
        <v>55</v>
      </c>
      <c r="B12" s="22"/>
      <c r="C12" s="51">
        <v>45808</v>
      </c>
      <c r="D12" s="27">
        <v>7776</v>
      </c>
      <c r="E12" s="28" t="s">
        <v>47</v>
      </c>
      <c r="F12" s="11" t="str">
        <f t="shared" si="2"/>
        <v>Partial/Rejected</v>
      </c>
      <c r="G12" s="19">
        <v>7644.2</v>
      </c>
      <c r="H12" s="19" t="str">
        <f>IF(ISERROR(VLOOKUP(A12,Report!A:D,4,FALSE)),"NOT FOUND",VLOOKUP(A12,Report!A:D,4,FALSE))</f>
        <v>NOT FOUND</v>
      </c>
      <c r="I12" s="20">
        <v>45869</v>
      </c>
      <c r="J12" s="53"/>
      <c r="K12" s="56">
        <f t="shared" si="0"/>
        <v>5</v>
      </c>
      <c r="L12" s="56">
        <f t="shared" si="1"/>
        <v>2025</v>
      </c>
      <c r="N12" s="50"/>
    </row>
    <row r="13" spans="1:14">
      <c r="A13" s="22" t="s">
        <v>56</v>
      </c>
      <c r="B13" s="22"/>
      <c r="C13" s="51">
        <v>45808</v>
      </c>
      <c r="D13" s="27">
        <v>8838</v>
      </c>
      <c r="E13" s="28" t="s">
        <v>47</v>
      </c>
      <c r="F13" s="11" t="str">
        <f t="shared" si="2"/>
        <v>Partial/Rejected</v>
      </c>
      <c r="G13" s="19">
        <v>8688.2000000000007</v>
      </c>
      <c r="H13" s="19" t="str">
        <f>IF(ISERROR(VLOOKUP(A13,Report!A:D,4,FALSE)),"NOT FOUND",VLOOKUP(A13,Report!A:D,4,FALSE))</f>
        <v>NOT FOUND</v>
      </c>
      <c r="I13" s="20">
        <v>45869</v>
      </c>
      <c r="J13" s="53"/>
      <c r="K13" s="56">
        <f t="shared" si="0"/>
        <v>5</v>
      </c>
      <c r="L13" s="56">
        <f t="shared" si="1"/>
        <v>2025</v>
      </c>
      <c r="N13" s="50"/>
    </row>
    <row r="14" spans="1:14" ht="17" customHeight="1">
      <c r="A14" s="25" t="s">
        <v>57</v>
      </c>
      <c r="B14" s="22"/>
      <c r="C14" s="51">
        <v>45839</v>
      </c>
      <c r="D14" s="27">
        <v>159064</v>
      </c>
      <c r="E14" s="26" t="s">
        <v>154</v>
      </c>
      <c r="F14" s="11" t="str">
        <f t="shared" si="2"/>
        <v>Accepted</v>
      </c>
      <c r="G14" s="19">
        <f>IF(ISERROR(VLOOKUP(A14,Report!A:D,3,FALSE)),"NOT FOUND",VLOOKUP(A14,Report!A:D,3,FALSE))</f>
        <v>159064</v>
      </c>
      <c r="H14" s="19">
        <f>IF(ISERROR(VLOOKUP(A14,Report!A:D,4,FALSE)),"NOT FOUND",VLOOKUP(A14,Report!A:D,4,FALSE))</f>
        <v>3750</v>
      </c>
      <c r="I14" s="20" t="str">
        <f>IF(ISERROR(VLOOKUP(A14,Report!A:D,2,FALSE)),"NOT FOUND",VLOOKUP(A14,Report!A:D,2,FALSE))</f>
        <v>21-Aug-25</v>
      </c>
      <c r="J14" s="53"/>
      <c r="K14" s="56">
        <f t="shared" si="0"/>
        <v>7</v>
      </c>
      <c r="L14" s="56">
        <f t="shared" si="1"/>
        <v>2025</v>
      </c>
      <c r="N14" s="50"/>
    </row>
    <row r="15" spans="1:14" ht="13" customHeight="1">
      <c r="A15" s="25" t="s">
        <v>58</v>
      </c>
      <c r="B15" s="22"/>
      <c r="C15" s="51">
        <v>45839</v>
      </c>
      <c r="D15" s="27">
        <v>34751</v>
      </c>
      <c r="E15" s="26" t="s">
        <v>153</v>
      </c>
      <c r="F15" s="11" t="str">
        <f t="shared" si="2"/>
        <v>Accepted</v>
      </c>
      <c r="G15" s="19">
        <f>IF(ISERROR(VLOOKUP(A15,Report!A:D,3,FALSE)),"NOT FOUND",VLOOKUP(A15,Report!A:D,3,FALSE))</f>
        <v>34751</v>
      </c>
      <c r="H15" s="19">
        <f>IF(ISERROR(VLOOKUP(A15,Report!A:D,4,FALSE)),"NOT FOUND",VLOOKUP(A15,Report!A:D,4,FALSE))</f>
        <v>0</v>
      </c>
      <c r="I15" s="20" t="str">
        <f>IF(ISERROR(VLOOKUP(A15,Report!A:D,2,FALSE)),"NOT FOUND",VLOOKUP(A15,Report!A:D,2,FALSE))</f>
        <v>20-Aug-25</v>
      </c>
      <c r="J15" s="53"/>
      <c r="K15" s="56">
        <f t="shared" si="0"/>
        <v>7</v>
      </c>
      <c r="L15" s="56">
        <f t="shared" si="1"/>
        <v>2025</v>
      </c>
      <c r="N15" s="50"/>
    </row>
    <row r="16" spans="1:14" ht="14.5" customHeight="1">
      <c r="A16" s="25" t="s">
        <v>59</v>
      </c>
      <c r="B16" s="22"/>
      <c r="C16" s="51">
        <v>45839</v>
      </c>
      <c r="D16" s="27">
        <v>1239</v>
      </c>
      <c r="E16" s="26" t="s">
        <v>153</v>
      </c>
      <c r="F16" s="11" t="str">
        <f t="shared" si="2"/>
        <v>Accepted</v>
      </c>
      <c r="G16" s="19">
        <f>IF(ISERROR(VLOOKUP(A16,Report!A:D,3,FALSE)),"NOT FOUND",VLOOKUP(A16,Report!A:D,3,FALSE))</f>
        <v>1239</v>
      </c>
      <c r="H16" s="19">
        <f>IF(ISERROR(VLOOKUP(A16,Report!A:D,4,FALSE)),"NOT FOUND",VLOOKUP(A16,Report!A:D,4,FALSE))</f>
        <v>0</v>
      </c>
      <c r="I16" s="20" t="str">
        <f>IF(ISERROR(VLOOKUP(A16,Report!A:D,2,FALSE)),"NOT FOUND",VLOOKUP(A16,Report!A:D,2,FALSE))</f>
        <v>13-Aug-25</v>
      </c>
      <c r="J16" s="53"/>
      <c r="K16" s="56">
        <f t="shared" si="0"/>
        <v>7</v>
      </c>
      <c r="L16" s="56">
        <f t="shared" si="1"/>
        <v>2025</v>
      </c>
      <c r="N16" s="50"/>
    </row>
    <row r="17" spans="1:14" ht="14.5" customHeight="1">
      <c r="A17" s="24" t="s">
        <v>2681</v>
      </c>
      <c r="B17" s="22"/>
      <c r="C17" s="51">
        <v>45839</v>
      </c>
      <c r="D17" s="27">
        <v>53</v>
      </c>
      <c r="E17" s="23" t="s">
        <v>33</v>
      </c>
      <c r="F17" s="11" t="str">
        <f t="shared" si="2"/>
        <v>Accepted</v>
      </c>
      <c r="G17" s="19">
        <f>IF(ISERROR(VLOOKUP(A17,Report!A:D,3,FALSE)),"NOT FOUND",VLOOKUP(A17,Report!A:D,3,FALSE))</f>
        <v>53.1</v>
      </c>
      <c r="H17" s="19">
        <f>IF(ISERROR(VLOOKUP(A17,Report!A:D,4,FALSE)),"NOT FOUND",VLOOKUP(A17,Report!A:D,4,FALSE))</f>
        <v>0</v>
      </c>
      <c r="I17" s="20" t="str">
        <f>IF(ISERROR(VLOOKUP(A17,Report!A:D,2,FALSE)),"NOT FOUND",VLOOKUP(A17,Report!A:D,2,FALSE))</f>
        <v>23-07-2025</v>
      </c>
      <c r="J17" s="53"/>
      <c r="K17" s="56">
        <f t="shared" si="0"/>
        <v>7</v>
      </c>
      <c r="L17" s="56">
        <f t="shared" si="1"/>
        <v>2025</v>
      </c>
      <c r="N17" s="50"/>
    </row>
    <row r="18" spans="1:14" ht="14.5" customHeight="1">
      <c r="A18" s="24" t="s">
        <v>2500</v>
      </c>
      <c r="B18" s="22"/>
      <c r="C18" s="51">
        <v>45839</v>
      </c>
      <c r="D18" s="27">
        <v>53</v>
      </c>
      <c r="E18" s="23" t="s">
        <v>33</v>
      </c>
      <c r="F18" s="11" t="str">
        <f t="shared" si="2"/>
        <v>Accepted</v>
      </c>
      <c r="G18" s="19">
        <f>IF(ISERROR(VLOOKUP(A18,Report!A:D,3,FALSE)),"NOT FOUND",VLOOKUP(A18,Report!A:D,3,FALSE))</f>
        <v>53.1</v>
      </c>
      <c r="H18" s="19">
        <f>IF(ISERROR(VLOOKUP(A18,Report!A:D,4,FALSE)),"NOT FOUND",VLOOKUP(A18,Report!A:D,4,FALSE))</f>
        <v>0</v>
      </c>
      <c r="I18" s="20" t="str">
        <f>IF(ISERROR(VLOOKUP(A18,Report!A:D,2,FALSE)),"NOT FOUND",VLOOKUP(A18,Report!A:D,2,FALSE))</f>
        <v>23-07-2025</v>
      </c>
      <c r="J18" s="53"/>
      <c r="K18" s="56">
        <f t="shared" si="0"/>
        <v>7</v>
      </c>
      <c r="L18" s="56">
        <f t="shared" si="1"/>
        <v>2025</v>
      </c>
      <c r="N18" s="50"/>
    </row>
    <row r="19" spans="1:14" ht="14.5" customHeight="1">
      <c r="A19" s="24" t="s">
        <v>2611</v>
      </c>
      <c r="B19" s="22"/>
      <c r="C19" s="51">
        <v>45839</v>
      </c>
      <c r="D19" s="27">
        <v>53</v>
      </c>
      <c r="E19" s="23" t="s">
        <v>33</v>
      </c>
      <c r="F19" s="11" t="str">
        <f t="shared" si="2"/>
        <v>Accepted</v>
      </c>
      <c r="G19" s="19">
        <f>IF(ISERROR(VLOOKUP(A19,Report!A:D,3,FALSE)),"NOT FOUND",VLOOKUP(A19,Report!A:D,3,FALSE))</f>
        <v>53.1</v>
      </c>
      <c r="H19" s="19">
        <f>IF(ISERROR(VLOOKUP(A19,Report!A:D,4,FALSE)),"NOT FOUND",VLOOKUP(A19,Report!A:D,4,FALSE))</f>
        <v>0</v>
      </c>
      <c r="I19" s="20" t="str">
        <f>IF(ISERROR(VLOOKUP(A19,Report!A:D,2,FALSE)),"NOT FOUND",VLOOKUP(A19,Report!A:D,2,FALSE))</f>
        <v>23-07-2025</v>
      </c>
      <c r="J19" s="53"/>
      <c r="K19" s="56">
        <f t="shared" si="0"/>
        <v>7</v>
      </c>
      <c r="L19" s="56">
        <f t="shared" si="1"/>
        <v>2025</v>
      </c>
      <c r="N19" s="50"/>
    </row>
    <row r="20" spans="1:14" ht="14.5" customHeight="1">
      <c r="A20" s="24" t="s">
        <v>2437</v>
      </c>
      <c r="B20" s="22"/>
      <c r="C20" s="51">
        <v>45839</v>
      </c>
      <c r="D20" s="27">
        <v>53</v>
      </c>
      <c r="E20" s="23" t="s">
        <v>33</v>
      </c>
      <c r="F20" s="11" t="str">
        <f t="shared" si="2"/>
        <v>Accepted</v>
      </c>
      <c r="G20" s="19">
        <f>IF(ISERROR(VLOOKUP(A20,Report!A:D,3,FALSE)),"NOT FOUND",VLOOKUP(A20,Report!A:D,3,FALSE))</f>
        <v>53.1</v>
      </c>
      <c r="H20" s="19">
        <f>IF(ISERROR(VLOOKUP(A20,Report!A:D,4,FALSE)),"NOT FOUND",VLOOKUP(A20,Report!A:D,4,FALSE))</f>
        <v>0</v>
      </c>
      <c r="I20" s="20" t="str">
        <f>IF(ISERROR(VLOOKUP(A20,Report!A:D,2,FALSE)),"NOT FOUND",VLOOKUP(A20,Report!A:D,2,FALSE))</f>
        <v>23-07-2025</v>
      </c>
      <c r="J20" s="53"/>
      <c r="K20" s="56">
        <f t="shared" si="0"/>
        <v>7</v>
      </c>
      <c r="L20" s="56">
        <f t="shared" si="1"/>
        <v>2025</v>
      </c>
      <c r="N20" s="50"/>
    </row>
    <row r="21" spans="1:14" ht="14.5" customHeight="1">
      <c r="A21" s="24" t="s">
        <v>2554</v>
      </c>
      <c r="B21" s="22"/>
      <c r="C21" s="51">
        <v>45839</v>
      </c>
      <c r="D21" s="27">
        <v>53</v>
      </c>
      <c r="E21" s="23" t="s">
        <v>33</v>
      </c>
      <c r="F21" s="11" t="str">
        <f t="shared" si="2"/>
        <v>Accepted</v>
      </c>
      <c r="G21" s="19">
        <f>IF(ISERROR(VLOOKUP(A21,Report!A:D,3,FALSE)),"NOT FOUND",VLOOKUP(A21,Report!A:D,3,FALSE))</f>
        <v>53.1</v>
      </c>
      <c r="H21" s="19">
        <f>IF(ISERROR(VLOOKUP(A21,Report!A:D,4,FALSE)),"NOT FOUND",VLOOKUP(A21,Report!A:D,4,FALSE))</f>
        <v>0</v>
      </c>
      <c r="I21" s="20" t="str">
        <f>IF(ISERROR(VLOOKUP(A21,Report!A:D,2,FALSE)),"NOT FOUND",VLOOKUP(A21,Report!A:D,2,FALSE))</f>
        <v>23-07-2025</v>
      </c>
      <c r="J21" s="53"/>
      <c r="K21" s="56">
        <f t="shared" si="0"/>
        <v>7</v>
      </c>
      <c r="L21" s="56">
        <f t="shared" si="1"/>
        <v>2025</v>
      </c>
      <c r="N21" s="50"/>
    </row>
    <row r="22" spans="1:14" ht="14.5" customHeight="1">
      <c r="A22" s="24" t="s">
        <v>2382</v>
      </c>
      <c r="B22" s="22"/>
      <c r="C22" s="51">
        <v>45839</v>
      </c>
      <c r="D22" s="27">
        <v>53</v>
      </c>
      <c r="E22" s="23" t="s">
        <v>33</v>
      </c>
      <c r="F22" s="11" t="str">
        <f t="shared" si="2"/>
        <v>Accepted</v>
      </c>
      <c r="G22" s="19">
        <f>IF(ISERROR(VLOOKUP(A22,Report!A:D,3,FALSE)),"NOT FOUND",VLOOKUP(A22,Report!A:D,3,FALSE))</f>
        <v>53.1</v>
      </c>
      <c r="H22" s="19">
        <f>IF(ISERROR(VLOOKUP(A22,Report!A:D,4,FALSE)),"NOT FOUND",VLOOKUP(A22,Report!A:D,4,FALSE))</f>
        <v>0</v>
      </c>
      <c r="I22" s="20" t="str">
        <f>IF(ISERROR(VLOOKUP(A22,Report!A:D,2,FALSE)),"NOT FOUND",VLOOKUP(A22,Report!A:D,2,FALSE))</f>
        <v>23-07-2025</v>
      </c>
      <c r="J22" s="53"/>
      <c r="K22" s="56">
        <f t="shared" si="0"/>
        <v>7</v>
      </c>
      <c r="L22" s="56">
        <f t="shared" si="1"/>
        <v>2025</v>
      </c>
      <c r="N22" s="50"/>
    </row>
    <row r="23" spans="1:14" ht="14.5" customHeight="1">
      <c r="A23" s="24" t="s">
        <v>2404</v>
      </c>
      <c r="B23" s="22"/>
      <c r="C23" s="51">
        <v>45839</v>
      </c>
      <c r="D23" s="27">
        <v>53</v>
      </c>
      <c r="E23" s="23" t="s">
        <v>33</v>
      </c>
      <c r="F23" s="11" t="str">
        <f t="shared" si="2"/>
        <v>Accepted</v>
      </c>
      <c r="G23" s="19">
        <f>IF(ISERROR(VLOOKUP(A23,Report!A:D,3,FALSE)),"NOT FOUND",VLOOKUP(A23,Report!A:D,3,FALSE))</f>
        <v>53.1</v>
      </c>
      <c r="H23" s="19">
        <f>IF(ISERROR(VLOOKUP(A23,Report!A:D,4,FALSE)),"NOT FOUND",VLOOKUP(A23,Report!A:D,4,FALSE))</f>
        <v>0</v>
      </c>
      <c r="I23" s="20" t="str">
        <f>IF(ISERROR(VLOOKUP(A23,Report!A:D,2,FALSE)),"NOT FOUND",VLOOKUP(A23,Report!A:D,2,FALSE))</f>
        <v>23-07-2025</v>
      </c>
      <c r="J23" s="53"/>
      <c r="K23" s="56">
        <f t="shared" si="0"/>
        <v>7</v>
      </c>
      <c r="L23" s="56">
        <f t="shared" si="1"/>
        <v>2025</v>
      </c>
      <c r="N23" s="50"/>
    </row>
    <row r="24" spans="1:14" ht="14.5" customHeight="1">
      <c r="A24" s="24" t="s">
        <v>2585</v>
      </c>
      <c r="B24" s="22"/>
      <c r="C24" s="51">
        <v>45839</v>
      </c>
      <c r="D24" s="27">
        <v>53</v>
      </c>
      <c r="E24" s="23" t="s">
        <v>33</v>
      </c>
      <c r="F24" s="11" t="str">
        <f t="shared" si="2"/>
        <v>Accepted</v>
      </c>
      <c r="G24" s="19">
        <f>IF(ISERROR(VLOOKUP(A24,Report!A:D,3,FALSE)),"NOT FOUND",VLOOKUP(A24,Report!A:D,3,FALSE))</f>
        <v>53.1</v>
      </c>
      <c r="H24" s="19">
        <f>IF(ISERROR(VLOOKUP(A24,Report!A:D,4,FALSE)),"NOT FOUND",VLOOKUP(A24,Report!A:D,4,FALSE))</f>
        <v>0</v>
      </c>
      <c r="I24" s="20" t="str">
        <f>IF(ISERROR(VLOOKUP(A24,Report!A:D,2,FALSE)),"NOT FOUND",VLOOKUP(A24,Report!A:D,2,FALSE))</f>
        <v>23-07-2025</v>
      </c>
      <c r="J24" s="53"/>
      <c r="K24" s="56">
        <f t="shared" si="0"/>
        <v>7</v>
      </c>
      <c r="L24" s="56">
        <f t="shared" si="1"/>
        <v>2025</v>
      </c>
      <c r="N24" s="50"/>
    </row>
    <row r="25" spans="1:14" ht="14.5" customHeight="1">
      <c r="A25" s="24" t="s">
        <v>2354</v>
      </c>
      <c r="B25" s="22"/>
      <c r="C25" s="51">
        <v>45839</v>
      </c>
      <c r="D25" s="27">
        <v>53</v>
      </c>
      <c r="E25" s="23" t="s">
        <v>33</v>
      </c>
      <c r="F25" s="11" t="str">
        <f t="shared" si="2"/>
        <v>Accepted</v>
      </c>
      <c r="G25" s="19">
        <f>IF(ISERROR(VLOOKUP(A25,Report!A:D,3,FALSE)),"NOT FOUND",VLOOKUP(A25,Report!A:D,3,FALSE))</f>
        <v>53.1</v>
      </c>
      <c r="H25" s="19">
        <f>IF(ISERROR(VLOOKUP(A25,Report!A:D,4,FALSE)),"NOT FOUND",VLOOKUP(A25,Report!A:D,4,FALSE))</f>
        <v>0</v>
      </c>
      <c r="I25" s="20" t="str">
        <f>IF(ISERROR(VLOOKUP(A25,Report!A:D,2,FALSE)),"NOT FOUND",VLOOKUP(A25,Report!A:D,2,FALSE))</f>
        <v>23-07-2025</v>
      </c>
      <c r="J25" s="53"/>
      <c r="K25" s="56">
        <f t="shared" si="0"/>
        <v>7</v>
      </c>
      <c r="L25" s="56">
        <f t="shared" si="1"/>
        <v>2025</v>
      </c>
      <c r="N25" s="50"/>
    </row>
    <row r="26" spans="1:14" ht="14.5" customHeight="1">
      <c r="A26" s="24" t="s">
        <v>2652</v>
      </c>
      <c r="B26" s="22"/>
      <c r="C26" s="51">
        <v>45839</v>
      </c>
      <c r="D26" s="27">
        <v>53</v>
      </c>
      <c r="E26" s="23" t="s">
        <v>33</v>
      </c>
      <c r="F26" s="11" t="str">
        <f t="shared" si="2"/>
        <v>Accepted</v>
      </c>
      <c r="G26" s="19">
        <f>IF(ISERROR(VLOOKUP(A26,Report!A:D,3,FALSE)),"NOT FOUND",VLOOKUP(A26,Report!A:D,3,FALSE))</f>
        <v>53.1</v>
      </c>
      <c r="H26" s="19">
        <f>IF(ISERROR(VLOOKUP(A26,Report!A:D,4,FALSE)),"NOT FOUND",VLOOKUP(A26,Report!A:D,4,FALSE))</f>
        <v>0</v>
      </c>
      <c r="I26" s="20" t="str">
        <f>IF(ISERROR(VLOOKUP(A26,Report!A:D,2,FALSE)),"NOT FOUND",VLOOKUP(A26,Report!A:D,2,FALSE))</f>
        <v>23-07-2025</v>
      </c>
      <c r="J26" s="53"/>
      <c r="K26" s="56">
        <f t="shared" si="0"/>
        <v>7</v>
      </c>
      <c r="L26" s="56">
        <f t="shared" si="1"/>
        <v>2025</v>
      </c>
      <c r="N26" s="50"/>
    </row>
    <row r="27" spans="1:14" ht="14.5" customHeight="1">
      <c r="A27" s="24" t="s">
        <v>2446</v>
      </c>
      <c r="B27" s="22"/>
      <c r="C27" s="51">
        <v>45839</v>
      </c>
      <c r="D27" s="27">
        <v>53</v>
      </c>
      <c r="E27" s="23" t="s">
        <v>33</v>
      </c>
      <c r="F27" s="11" t="str">
        <f t="shared" si="2"/>
        <v>Accepted</v>
      </c>
      <c r="G27" s="19">
        <f>IF(ISERROR(VLOOKUP(A27,Report!A:D,3,FALSE)),"NOT FOUND",VLOOKUP(A27,Report!A:D,3,FALSE))</f>
        <v>53.1</v>
      </c>
      <c r="H27" s="19">
        <f>IF(ISERROR(VLOOKUP(A27,Report!A:D,4,FALSE)),"NOT FOUND",VLOOKUP(A27,Report!A:D,4,FALSE))</f>
        <v>0</v>
      </c>
      <c r="I27" s="20" t="str">
        <f>IF(ISERROR(VLOOKUP(A27,Report!A:D,2,FALSE)),"NOT FOUND",VLOOKUP(A27,Report!A:D,2,FALSE))</f>
        <v>31-07-2025</v>
      </c>
      <c r="J27" s="53"/>
      <c r="K27" s="56">
        <f t="shared" si="0"/>
        <v>7</v>
      </c>
      <c r="L27" s="56">
        <f t="shared" si="1"/>
        <v>2025</v>
      </c>
      <c r="N27" s="50"/>
    </row>
    <row r="28" spans="1:14" ht="14.5" customHeight="1">
      <c r="A28" s="24" t="s">
        <v>2536</v>
      </c>
      <c r="B28" s="22"/>
      <c r="C28" s="51">
        <v>45839</v>
      </c>
      <c r="D28" s="27">
        <v>53</v>
      </c>
      <c r="E28" s="23" t="s">
        <v>33</v>
      </c>
      <c r="F28" s="11" t="str">
        <f t="shared" si="2"/>
        <v>Accepted</v>
      </c>
      <c r="G28" s="19">
        <f>IF(ISERROR(VLOOKUP(A28,Report!A:D,3,FALSE)),"NOT FOUND",VLOOKUP(A28,Report!A:D,3,FALSE))</f>
        <v>53.1</v>
      </c>
      <c r="H28" s="19">
        <f>IF(ISERROR(VLOOKUP(A28,Report!A:D,4,FALSE)),"NOT FOUND",VLOOKUP(A28,Report!A:D,4,FALSE))</f>
        <v>0</v>
      </c>
      <c r="I28" s="20" t="str">
        <f>IF(ISERROR(VLOOKUP(A28,Report!A:D,2,FALSE)),"NOT FOUND",VLOOKUP(A28,Report!A:D,2,FALSE))</f>
        <v>31-07-2025</v>
      </c>
      <c r="J28" s="53"/>
      <c r="K28" s="56">
        <f t="shared" si="0"/>
        <v>7</v>
      </c>
      <c r="L28" s="56">
        <f t="shared" si="1"/>
        <v>2025</v>
      </c>
      <c r="N28" s="50"/>
    </row>
    <row r="29" spans="1:14" ht="14.5" customHeight="1">
      <c r="A29" s="24" t="s">
        <v>2667</v>
      </c>
      <c r="B29" s="22"/>
      <c r="C29" s="51">
        <v>45839</v>
      </c>
      <c r="D29" s="27">
        <v>53</v>
      </c>
      <c r="E29" s="23" t="s">
        <v>33</v>
      </c>
      <c r="F29" s="11" t="str">
        <f t="shared" si="2"/>
        <v>Accepted</v>
      </c>
      <c r="G29" s="19">
        <f>IF(ISERROR(VLOOKUP(A29,Report!A:D,3,FALSE)),"NOT FOUND",VLOOKUP(A29,Report!A:D,3,FALSE))</f>
        <v>53.1</v>
      </c>
      <c r="H29" s="19">
        <f>IF(ISERROR(VLOOKUP(A29,Report!A:D,4,FALSE)),"NOT FOUND",VLOOKUP(A29,Report!A:D,4,FALSE))</f>
        <v>0</v>
      </c>
      <c r="I29" s="20" t="str">
        <f>IF(ISERROR(VLOOKUP(A29,Report!A:D,2,FALSE)),"NOT FOUND",VLOOKUP(A29,Report!A:D,2,FALSE))</f>
        <v>31-07-2025</v>
      </c>
      <c r="J29" s="53"/>
      <c r="K29" s="56">
        <f t="shared" si="0"/>
        <v>7</v>
      </c>
      <c r="L29" s="56">
        <f t="shared" si="1"/>
        <v>2025</v>
      </c>
      <c r="N29" s="50"/>
    </row>
    <row r="30" spans="1:14" ht="14.5" customHeight="1">
      <c r="A30" s="24" t="s">
        <v>2459</v>
      </c>
      <c r="B30" s="22"/>
      <c r="C30" s="51">
        <v>45839</v>
      </c>
      <c r="D30" s="27">
        <v>53</v>
      </c>
      <c r="E30" s="23" t="s">
        <v>33</v>
      </c>
      <c r="F30" s="11" t="str">
        <f t="shared" si="2"/>
        <v>Accepted</v>
      </c>
      <c r="G30" s="19">
        <f>IF(ISERROR(VLOOKUP(A30,Report!A:D,3,FALSE)),"NOT FOUND",VLOOKUP(A30,Report!A:D,3,FALSE))</f>
        <v>53.1</v>
      </c>
      <c r="H30" s="19">
        <f>IF(ISERROR(VLOOKUP(A30,Report!A:D,4,FALSE)),"NOT FOUND",VLOOKUP(A30,Report!A:D,4,FALSE))</f>
        <v>0</v>
      </c>
      <c r="I30" s="20" t="str">
        <f>IF(ISERROR(VLOOKUP(A30,Report!A:D,2,FALSE)),"NOT FOUND",VLOOKUP(A30,Report!A:D,2,FALSE))</f>
        <v>31-07-2025</v>
      </c>
      <c r="J30" s="53"/>
      <c r="K30" s="56">
        <f t="shared" si="0"/>
        <v>7</v>
      </c>
      <c r="L30" s="56">
        <f t="shared" si="1"/>
        <v>2025</v>
      </c>
      <c r="N30" s="50"/>
    </row>
    <row r="31" spans="1:14" ht="14.5" customHeight="1">
      <c r="A31" s="24" t="s">
        <v>2777</v>
      </c>
      <c r="B31" s="22"/>
      <c r="C31" s="51">
        <v>45839</v>
      </c>
      <c r="D31" s="27">
        <v>53</v>
      </c>
      <c r="E31" s="23" t="s">
        <v>33</v>
      </c>
      <c r="F31" s="11" t="str">
        <f t="shared" si="2"/>
        <v>Accepted</v>
      </c>
      <c r="G31" s="19">
        <f>IF(ISERROR(VLOOKUP(A31,Report!A:D,3,FALSE)),"NOT FOUND",VLOOKUP(A31,Report!A:D,3,FALSE))</f>
        <v>53.1</v>
      </c>
      <c r="H31" s="19">
        <f>IF(ISERROR(VLOOKUP(A31,Report!A:D,4,FALSE)),"NOT FOUND",VLOOKUP(A31,Report!A:D,4,FALSE))</f>
        <v>0</v>
      </c>
      <c r="I31" s="20" t="str">
        <f>IF(ISERROR(VLOOKUP(A31,Report!A:D,2,FALSE)),"NOT FOUND",VLOOKUP(A31,Report!A:D,2,FALSE))</f>
        <v>31-07-2025</v>
      </c>
      <c r="J31" s="53"/>
      <c r="K31" s="56">
        <f t="shared" si="0"/>
        <v>7</v>
      </c>
      <c r="L31" s="56">
        <f t="shared" si="1"/>
        <v>2025</v>
      </c>
      <c r="N31" s="50"/>
    </row>
    <row r="32" spans="1:14" ht="14.5" customHeight="1">
      <c r="A32" s="24" t="s">
        <v>2657</v>
      </c>
      <c r="B32" s="22"/>
      <c r="C32" s="51">
        <v>45839</v>
      </c>
      <c r="D32" s="27">
        <v>62</v>
      </c>
      <c r="E32" s="23" t="s">
        <v>33</v>
      </c>
      <c r="F32" s="11" t="str">
        <f t="shared" si="2"/>
        <v>Accepted</v>
      </c>
      <c r="G32" s="19">
        <f>IF(ISERROR(VLOOKUP(A32,Report!A:D,3,FALSE)),"NOT FOUND",VLOOKUP(A32,Report!A:D,3,FALSE))</f>
        <v>61.95</v>
      </c>
      <c r="H32" s="19">
        <f>IF(ISERROR(VLOOKUP(A32,Report!A:D,4,FALSE)),"NOT FOUND",VLOOKUP(A32,Report!A:D,4,FALSE))</f>
        <v>0</v>
      </c>
      <c r="I32" s="20" t="str">
        <f>IF(ISERROR(VLOOKUP(A32,Report!A:D,2,FALSE)),"NOT FOUND",VLOOKUP(A32,Report!A:D,2,FALSE))</f>
        <v>31-07-2025</v>
      </c>
      <c r="J32" s="53"/>
      <c r="K32" s="56">
        <f t="shared" si="0"/>
        <v>7</v>
      </c>
      <c r="L32" s="56">
        <f t="shared" si="1"/>
        <v>2025</v>
      </c>
      <c r="N32" s="50"/>
    </row>
    <row r="33" spans="1:14" ht="14.5" customHeight="1">
      <c r="A33" s="24" t="s">
        <v>2633</v>
      </c>
      <c r="B33" s="22"/>
      <c r="C33" s="51">
        <v>45839</v>
      </c>
      <c r="D33" s="27">
        <v>62</v>
      </c>
      <c r="E33" s="23" t="s">
        <v>33</v>
      </c>
      <c r="F33" s="11" t="str">
        <f t="shared" si="2"/>
        <v>Accepted</v>
      </c>
      <c r="G33" s="19">
        <f>IF(ISERROR(VLOOKUP(A33,Report!A:D,3,FALSE)),"NOT FOUND",VLOOKUP(A33,Report!A:D,3,FALSE))</f>
        <v>61.95</v>
      </c>
      <c r="H33" s="19">
        <f>IF(ISERROR(VLOOKUP(A33,Report!A:D,4,FALSE)),"NOT FOUND",VLOOKUP(A33,Report!A:D,4,FALSE))</f>
        <v>0</v>
      </c>
      <c r="I33" s="20" t="str">
        <f>IF(ISERROR(VLOOKUP(A33,Report!A:D,2,FALSE)),"NOT FOUND",VLOOKUP(A33,Report!A:D,2,FALSE))</f>
        <v>31-07-2025</v>
      </c>
      <c r="J33" s="53"/>
      <c r="K33" s="56">
        <f t="shared" si="0"/>
        <v>7</v>
      </c>
      <c r="L33" s="56">
        <f t="shared" si="1"/>
        <v>2025</v>
      </c>
      <c r="N33" s="50"/>
    </row>
    <row r="34" spans="1:14" ht="14.5" customHeight="1">
      <c r="A34" s="24" t="s">
        <v>2470</v>
      </c>
      <c r="B34" s="22"/>
      <c r="C34" s="51">
        <v>45839</v>
      </c>
      <c r="D34" s="27">
        <v>62</v>
      </c>
      <c r="E34" s="23" t="s">
        <v>33</v>
      </c>
      <c r="F34" s="11" t="str">
        <f t="shared" si="2"/>
        <v>Accepted</v>
      </c>
      <c r="G34" s="19">
        <f>IF(ISERROR(VLOOKUP(A34,Report!A:D,3,FALSE)),"NOT FOUND",VLOOKUP(A34,Report!A:D,3,FALSE))</f>
        <v>61.95</v>
      </c>
      <c r="H34" s="19">
        <f>IF(ISERROR(VLOOKUP(A34,Report!A:D,4,FALSE)),"NOT FOUND",VLOOKUP(A34,Report!A:D,4,FALSE))</f>
        <v>0</v>
      </c>
      <c r="I34" s="20" t="str">
        <f>IF(ISERROR(VLOOKUP(A34,Report!A:D,2,FALSE)),"NOT FOUND",VLOOKUP(A34,Report!A:D,2,FALSE))</f>
        <v>31-07-2025</v>
      </c>
      <c r="J34" s="53"/>
      <c r="K34" s="56">
        <f t="shared" si="0"/>
        <v>7</v>
      </c>
      <c r="L34" s="56">
        <f t="shared" si="1"/>
        <v>2025</v>
      </c>
      <c r="N34" s="50"/>
    </row>
    <row r="35" spans="1:14" ht="14.5" customHeight="1">
      <c r="A35" s="24" t="s">
        <v>2638</v>
      </c>
      <c r="B35" s="22"/>
      <c r="C35" s="51">
        <v>45839</v>
      </c>
      <c r="D35" s="27">
        <v>62</v>
      </c>
      <c r="E35" s="23" t="s">
        <v>33</v>
      </c>
      <c r="F35" s="11" t="str">
        <f t="shared" si="2"/>
        <v>Accepted</v>
      </c>
      <c r="G35" s="19">
        <f>IF(ISERROR(VLOOKUP(A35,Report!A:D,3,FALSE)),"NOT FOUND",VLOOKUP(A35,Report!A:D,3,FALSE))</f>
        <v>61.95</v>
      </c>
      <c r="H35" s="19">
        <f>IF(ISERROR(VLOOKUP(A35,Report!A:D,4,FALSE)),"NOT FOUND",VLOOKUP(A35,Report!A:D,4,FALSE))</f>
        <v>0</v>
      </c>
      <c r="I35" s="20" t="str">
        <f>IF(ISERROR(VLOOKUP(A35,Report!A:D,2,FALSE)),"NOT FOUND",VLOOKUP(A35,Report!A:D,2,FALSE))</f>
        <v>31-07-2025</v>
      </c>
      <c r="J35" s="53"/>
      <c r="K35" s="56">
        <f t="shared" si="0"/>
        <v>7</v>
      </c>
      <c r="L35" s="56">
        <f t="shared" si="1"/>
        <v>2025</v>
      </c>
      <c r="N35" s="50"/>
    </row>
    <row r="36" spans="1:14" ht="14.5" customHeight="1">
      <c r="A36" s="24" t="s">
        <v>2648</v>
      </c>
      <c r="B36" s="22"/>
      <c r="C36" s="51">
        <v>45839</v>
      </c>
      <c r="D36" s="27">
        <v>62</v>
      </c>
      <c r="E36" s="23" t="s">
        <v>33</v>
      </c>
      <c r="F36" s="11" t="str">
        <f t="shared" si="2"/>
        <v>Accepted</v>
      </c>
      <c r="G36" s="19">
        <f>IF(ISERROR(VLOOKUP(A36,Report!A:D,3,FALSE)),"NOT FOUND",VLOOKUP(A36,Report!A:D,3,FALSE))</f>
        <v>61.95</v>
      </c>
      <c r="H36" s="19">
        <f>IF(ISERROR(VLOOKUP(A36,Report!A:D,4,FALSE)),"NOT FOUND",VLOOKUP(A36,Report!A:D,4,FALSE))</f>
        <v>0</v>
      </c>
      <c r="I36" s="20" t="str">
        <f>IF(ISERROR(VLOOKUP(A36,Report!A:D,2,FALSE)),"NOT FOUND",VLOOKUP(A36,Report!A:D,2,FALSE))</f>
        <v>31-07-2025</v>
      </c>
      <c r="J36" s="53"/>
      <c r="K36" s="56">
        <f t="shared" si="0"/>
        <v>7</v>
      </c>
      <c r="L36" s="56">
        <f t="shared" si="1"/>
        <v>2025</v>
      </c>
      <c r="N36" s="50"/>
    </row>
    <row r="37" spans="1:14" ht="14.5" customHeight="1">
      <c r="A37" s="24" t="s">
        <v>2596</v>
      </c>
      <c r="B37" s="22"/>
      <c r="C37" s="51">
        <v>45839</v>
      </c>
      <c r="D37" s="27">
        <v>62</v>
      </c>
      <c r="E37" s="23" t="s">
        <v>33</v>
      </c>
      <c r="F37" s="11" t="str">
        <f t="shared" si="2"/>
        <v>Accepted</v>
      </c>
      <c r="G37" s="19">
        <f>IF(ISERROR(VLOOKUP(A37,Report!A:D,3,FALSE)),"NOT FOUND",VLOOKUP(A37,Report!A:D,3,FALSE))</f>
        <v>61.95</v>
      </c>
      <c r="H37" s="19">
        <f>IF(ISERROR(VLOOKUP(A37,Report!A:D,4,FALSE)),"NOT FOUND",VLOOKUP(A37,Report!A:D,4,FALSE))</f>
        <v>0</v>
      </c>
      <c r="I37" s="20" t="str">
        <f>IF(ISERROR(VLOOKUP(A37,Report!A:D,2,FALSE)),"NOT FOUND",VLOOKUP(A37,Report!A:D,2,FALSE))</f>
        <v>31-07-2025</v>
      </c>
      <c r="J37" s="53"/>
      <c r="K37" s="56">
        <f t="shared" si="0"/>
        <v>7</v>
      </c>
      <c r="L37" s="56">
        <f t="shared" si="1"/>
        <v>2025</v>
      </c>
      <c r="N37" s="50"/>
    </row>
    <row r="38" spans="1:14" ht="14.5" customHeight="1">
      <c r="A38" s="24" t="s">
        <v>2432</v>
      </c>
      <c r="B38" s="22"/>
      <c r="C38" s="51">
        <v>45839</v>
      </c>
      <c r="D38" s="27">
        <v>62</v>
      </c>
      <c r="E38" s="23" t="s">
        <v>33</v>
      </c>
      <c r="F38" s="11" t="str">
        <f t="shared" si="2"/>
        <v>Accepted</v>
      </c>
      <c r="G38" s="19">
        <f>IF(ISERROR(VLOOKUP(A38,Report!A:D,3,FALSE)),"NOT FOUND",VLOOKUP(A38,Report!A:D,3,FALSE))</f>
        <v>61.95</v>
      </c>
      <c r="H38" s="19">
        <f>IF(ISERROR(VLOOKUP(A38,Report!A:D,4,FALSE)),"NOT FOUND",VLOOKUP(A38,Report!A:D,4,FALSE))</f>
        <v>0</v>
      </c>
      <c r="I38" s="20" t="str">
        <f>IF(ISERROR(VLOOKUP(A38,Report!A:D,2,FALSE)),"NOT FOUND",VLOOKUP(A38,Report!A:D,2,FALSE))</f>
        <v>31-07-2025</v>
      </c>
      <c r="J38" s="53"/>
      <c r="K38" s="56">
        <f t="shared" si="0"/>
        <v>7</v>
      </c>
      <c r="L38" s="56">
        <f t="shared" si="1"/>
        <v>2025</v>
      </c>
      <c r="N38" s="50"/>
    </row>
    <row r="39" spans="1:14" ht="14.5" customHeight="1">
      <c r="A39" s="24" t="s">
        <v>2376</v>
      </c>
      <c r="B39" s="22"/>
      <c r="C39" s="51">
        <v>45839</v>
      </c>
      <c r="D39" s="27">
        <v>62</v>
      </c>
      <c r="E39" s="23" t="s">
        <v>33</v>
      </c>
      <c r="F39" s="11" t="str">
        <f t="shared" si="2"/>
        <v>Accepted</v>
      </c>
      <c r="G39" s="19">
        <f>IF(ISERROR(VLOOKUP(A39,Report!A:D,3,FALSE)),"NOT FOUND",VLOOKUP(A39,Report!A:D,3,FALSE))</f>
        <v>61.95</v>
      </c>
      <c r="H39" s="19">
        <f>IF(ISERROR(VLOOKUP(A39,Report!A:D,4,FALSE)),"NOT FOUND",VLOOKUP(A39,Report!A:D,4,FALSE))</f>
        <v>0</v>
      </c>
      <c r="I39" s="20" t="str">
        <f>IF(ISERROR(VLOOKUP(A39,Report!A:D,2,FALSE)),"NOT FOUND",VLOOKUP(A39,Report!A:D,2,FALSE))</f>
        <v>31-07-2025</v>
      </c>
      <c r="J39" s="53"/>
      <c r="K39" s="56">
        <f t="shared" si="0"/>
        <v>7</v>
      </c>
      <c r="L39" s="56">
        <f t="shared" si="1"/>
        <v>2025</v>
      </c>
      <c r="N39" s="50"/>
    </row>
    <row r="40" spans="1:14" ht="14.5" customHeight="1">
      <c r="A40" s="24" t="s">
        <v>2570</v>
      </c>
      <c r="B40" s="22"/>
      <c r="C40" s="51">
        <v>45839</v>
      </c>
      <c r="D40" s="27">
        <v>62</v>
      </c>
      <c r="E40" s="23" t="s">
        <v>33</v>
      </c>
      <c r="F40" s="11" t="str">
        <f t="shared" si="2"/>
        <v>Accepted</v>
      </c>
      <c r="G40" s="19">
        <f>IF(ISERROR(VLOOKUP(A40,Report!A:D,3,FALSE)),"NOT FOUND",VLOOKUP(A40,Report!A:D,3,FALSE))</f>
        <v>61.95</v>
      </c>
      <c r="H40" s="19">
        <f>IF(ISERROR(VLOOKUP(A40,Report!A:D,4,FALSE)),"NOT FOUND",VLOOKUP(A40,Report!A:D,4,FALSE))</f>
        <v>0</v>
      </c>
      <c r="I40" s="20" t="str">
        <f>IF(ISERROR(VLOOKUP(A40,Report!A:D,2,FALSE)),"NOT FOUND",VLOOKUP(A40,Report!A:D,2,FALSE))</f>
        <v>31-07-2025</v>
      </c>
      <c r="J40" s="53"/>
      <c r="K40" s="56">
        <f t="shared" si="0"/>
        <v>7</v>
      </c>
      <c r="L40" s="56">
        <f t="shared" si="1"/>
        <v>2025</v>
      </c>
      <c r="N40" s="50"/>
    </row>
    <row r="41" spans="1:14" ht="14.5" customHeight="1">
      <c r="A41" s="24" t="s">
        <v>2365</v>
      </c>
      <c r="B41" s="22"/>
      <c r="C41" s="51">
        <v>45839</v>
      </c>
      <c r="D41" s="27">
        <v>62</v>
      </c>
      <c r="E41" s="23" t="s">
        <v>33</v>
      </c>
      <c r="F41" s="11" t="str">
        <f t="shared" si="2"/>
        <v>Accepted</v>
      </c>
      <c r="G41" s="19">
        <f>IF(ISERROR(VLOOKUP(A41,Report!A:D,3,FALSE)),"NOT FOUND",VLOOKUP(A41,Report!A:D,3,FALSE))</f>
        <v>61.95</v>
      </c>
      <c r="H41" s="19">
        <f>IF(ISERROR(VLOOKUP(A41,Report!A:D,4,FALSE)),"NOT FOUND",VLOOKUP(A41,Report!A:D,4,FALSE))</f>
        <v>0</v>
      </c>
      <c r="I41" s="20" t="str">
        <f>IF(ISERROR(VLOOKUP(A41,Report!A:D,2,FALSE)),"NOT FOUND",VLOOKUP(A41,Report!A:D,2,FALSE))</f>
        <v>31-07-2025</v>
      </c>
      <c r="J41" s="53"/>
      <c r="K41" s="56">
        <f t="shared" si="0"/>
        <v>7</v>
      </c>
      <c r="L41" s="56">
        <f t="shared" si="1"/>
        <v>2025</v>
      </c>
      <c r="N41" s="50"/>
    </row>
    <row r="42" spans="1:14" ht="14.5" customHeight="1">
      <c r="A42" s="24" t="s">
        <v>2558</v>
      </c>
      <c r="B42" s="22"/>
      <c r="C42" s="51">
        <v>45839</v>
      </c>
      <c r="D42" s="27">
        <v>62</v>
      </c>
      <c r="E42" s="23" t="s">
        <v>33</v>
      </c>
      <c r="F42" s="11" t="str">
        <f t="shared" si="2"/>
        <v>Accepted</v>
      </c>
      <c r="G42" s="19">
        <f>IF(ISERROR(VLOOKUP(A42,Report!A:D,3,FALSE)),"NOT FOUND",VLOOKUP(A42,Report!A:D,3,FALSE))</f>
        <v>61.95</v>
      </c>
      <c r="H42" s="19">
        <f>IF(ISERROR(VLOOKUP(A42,Report!A:D,4,FALSE)),"NOT FOUND",VLOOKUP(A42,Report!A:D,4,FALSE))</f>
        <v>0</v>
      </c>
      <c r="I42" s="20" t="str">
        <f>IF(ISERROR(VLOOKUP(A42,Report!A:D,2,FALSE)),"NOT FOUND",VLOOKUP(A42,Report!A:D,2,FALSE))</f>
        <v>31-07-2025</v>
      </c>
      <c r="J42" s="53"/>
      <c r="K42" s="56">
        <f t="shared" si="0"/>
        <v>7</v>
      </c>
      <c r="L42" s="56">
        <f t="shared" si="1"/>
        <v>2025</v>
      </c>
      <c r="N42" s="50"/>
    </row>
    <row r="43" spans="1:14" ht="14.5" customHeight="1">
      <c r="A43" s="24" t="s">
        <v>2662</v>
      </c>
      <c r="B43" s="22"/>
      <c r="C43" s="51">
        <v>45839</v>
      </c>
      <c r="D43" s="27">
        <v>62</v>
      </c>
      <c r="E43" s="23" t="s">
        <v>33</v>
      </c>
      <c r="F43" s="11" t="str">
        <f t="shared" si="2"/>
        <v>Accepted</v>
      </c>
      <c r="G43" s="19">
        <f>IF(ISERROR(VLOOKUP(A43,Report!A:D,3,FALSE)),"NOT FOUND",VLOOKUP(A43,Report!A:D,3,FALSE))</f>
        <v>61.95</v>
      </c>
      <c r="H43" s="19">
        <f>IF(ISERROR(VLOOKUP(A43,Report!A:D,4,FALSE)),"NOT FOUND",VLOOKUP(A43,Report!A:D,4,FALSE))</f>
        <v>0</v>
      </c>
      <c r="I43" s="20" t="str">
        <f>IF(ISERROR(VLOOKUP(A43,Report!A:D,2,FALSE)),"NOT FOUND",VLOOKUP(A43,Report!A:D,2,FALSE))</f>
        <v>31-07-2025</v>
      </c>
      <c r="J43" s="53"/>
      <c r="K43" s="56">
        <f t="shared" si="0"/>
        <v>7</v>
      </c>
      <c r="L43" s="56">
        <f t="shared" si="1"/>
        <v>2025</v>
      </c>
      <c r="N43" s="50"/>
    </row>
    <row r="44" spans="1:14" ht="14.5" customHeight="1">
      <c r="A44" s="24" t="s">
        <v>2481</v>
      </c>
      <c r="B44" s="22"/>
      <c r="C44" s="51">
        <v>45839</v>
      </c>
      <c r="D44" s="27">
        <v>62</v>
      </c>
      <c r="E44" s="23" t="s">
        <v>33</v>
      </c>
      <c r="F44" s="11" t="str">
        <f t="shared" si="2"/>
        <v>Accepted</v>
      </c>
      <c r="G44" s="19">
        <f>IF(ISERROR(VLOOKUP(A44,Report!A:D,3,FALSE)),"NOT FOUND",VLOOKUP(A44,Report!A:D,3,FALSE))</f>
        <v>61.95</v>
      </c>
      <c r="H44" s="19">
        <f>IF(ISERROR(VLOOKUP(A44,Report!A:D,4,FALSE)),"NOT FOUND",VLOOKUP(A44,Report!A:D,4,FALSE))</f>
        <v>0</v>
      </c>
      <c r="I44" s="20" t="str">
        <f>IF(ISERROR(VLOOKUP(A44,Report!A:D,2,FALSE)),"NOT FOUND",VLOOKUP(A44,Report!A:D,2,FALSE))</f>
        <v>31-07-2025</v>
      </c>
      <c r="J44" s="53"/>
      <c r="K44" s="56">
        <f t="shared" si="0"/>
        <v>7</v>
      </c>
      <c r="L44" s="56">
        <f t="shared" si="1"/>
        <v>2025</v>
      </c>
      <c r="N44" s="50"/>
    </row>
    <row r="45" spans="1:14" ht="14.5" customHeight="1">
      <c r="A45" s="24" t="s">
        <v>2391</v>
      </c>
      <c r="B45" s="22"/>
      <c r="C45" s="51">
        <v>45839</v>
      </c>
      <c r="D45" s="27">
        <v>62</v>
      </c>
      <c r="E45" s="23" t="s">
        <v>33</v>
      </c>
      <c r="F45" s="11" t="str">
        <f t="shared" si="2"/>
        <v>Accepted</v>
      </c>
      <c r="G45" s="19">
        <f>IF(ISERROR(VLOOKUP(A45,Report!A:D,3,FALSE)),"NOT FOUND",VLOOKUP(A45,Report!A:D,3,FALSE))</f>
        <v>61.95</v>
      </c>
      <c r="H45" s="19">
        <f>IF(ISERROR(VLOOKUP(A45,Report!A:D,4,FALSE)),"NOT FOUND",VLOOKUP(A45,Report!A:D,4,FALSE))</f>
        <v>0</v>
      </c>
      <c r="I45" s="20" t="str">
        <f>IF(ISERROR(VLOOKUP(A45,Report!A:D,2,FALSE)),"NOT FOUND",VLOOKUP(A45,Report!A:D,2,FALSE))</f>
        <v>31-07-2025</v>
      </c>
      <c r="J45" s="53"/>
      <c r="K45" s="56">
        <f t="shared" si="0"/>
        <v>7</v>
      </c>
      <c r="L45" s="56">
        <f t="shared" si="1"/>
        <v>2025</v>
      </c>
      <c r="N45" s="50"/>
    </row>
    <row r="46" spans="1:14" ht="14.5" customHeight="1">
      <c r="A46" s="24" t="s">
        <v>2396</v>
      </c>
      <c r="B46" s="22"/>
      <c r="C46" s="51">
        <v>45839</v>
      </c>
      <c r="D46" s="27">
        <v>62</v>
      </c>
      <c r="E46" s="23" t="s">
        <v>33</v>
      </c>
      <c r="F46" s="11" t="str">
        <f t="shared" si="2"/>
        <v>Accepted</v>
      </c>
      <c r="G46" s="19">
        <f>IF(ISERROR(VLOOKUP(A46,Report!A:D,3,FALSE)),"NOT FOUND",VLOOKUP(A46,Report!A:D,3,FALSE))</f>
        <v>61.95</v>
      </c>
      <c r="H46" s="19">
        <f>IF(ISERROR(VLOOKUP(A46,Report!A:D,4,FALSE)),"NOT FOUND",VLOOKUP(A46,Report!A:D,4,FALSE))</f>
        <v>0</v>
      </c>
      <c r="I46" s="20" t="str">
        <f>IF(ISERROR(VLOOKUP(A46,Report!A:D,2,FALSE)),"NOT FOUND",VLOOKUP(A46,Report!A:D,2,FALSE))</f>
        <v>31-07-2025</v>
      </c>
      <c r="J46" s="53"/>
      <c r="K46" s="56">
        <f t="shared" si="0"/>
        <v>7</v>
      </c>
      <c r="L46" s="56">
        <f t="shared" si="1"/>
        <v>2025</v>
      </c>
      <c r="N46" s="50"/>
    </row>
    <row r="47" spans="1:14" ht="14.5" customHeight="1">
      <c r="A47" s="24" t="s">
        <v>2454</v>
      </c>
      <c r="B47" s="22"/>
      <c r="C47" s="51">
        <v>45839</v>
      </c>
      <c r="D47" s="27">
        <v>62</v>
      </c>
      <c r="E47" s="23" t="s">
        <v>33</v>
      </c>
      <c r="F47" s="11" t="str">
        <f t="shared" si="2"/>
        <v>Accepted</v>
      </c>
      <c r="G47" s="19">
        <f>IF(ISERROR(VLOOKUP(A47,Report!A:D,3,FALSE)),"NOT FOUND",VLOOKUP(A47,Report!A:D,3,FALSE))</f>
        <v>61.95</v>
      </c>
      <c r="H47" s="19">
        <f>IF(ISERROR(VLOOKUP(A47,Report!A:D,4,FALSE)),"NOT FOUND",VLOOKUP(A47,Report!A:D,4,FALSE))</f>
        <v>0</v>
      </c>
      <c r="I47" s="20" t="str">
        <f>IF(ISERROR(VLOOKUP(A47,Report!A:D,2,FALSE)),"NOT FOUND",VLOOKUP(A47,Report!A:D,2,FALSE))</f>
        <v>31-07-2025</v>
      </c>
      <c r="J47" s="53"/>
      <c r="K47" s="56">
        <f t="shared" si="0"/>
        <v>7</v>
      </c>
      <c r="L47" s="56">
        <f t="shared" si="1"/>
        <v>2025</v>
      </c>
      <c r="N47" s="50"/>
    </row>
    <row r="48" spans="1:14" ht="14.5" customHeight="1">
      <c r="A48" s="24" t="s">
        <v>2497</v>
      </c>
      <c r="B48" s="22"/>
      <c r="C48" s="51">
        <v>45839</v>
      </c>
      <c r="D48" s="27">
        <v>62</v>
      </c>
      <c r="E48" s="23" t="s">
        <v>33</v>
      </c>
      <c r="F48" s="11" t="str">
        <f t="shared" si="2"/>
        <v>Accepted</v>
      </c>
      <c r="G48" s="19">
        <f>IF(ISERROR(VLOOKUP(A48,Report!A:D,3,FALSE)),"NOT FOUND",VLOOKUP(A48,Report!A:D,3,FALSE))</f>
        <v>61.95</v>
      </c>
      <c r="H48" s="19">
        <f>IF(ISERROR(VLOOKUP(A48,Report!A:D,4,FALSE)),"NOT FOUND",VLOOKUP(A48,Report!A:D,4,FALSE))</f>
        <v>0</v>
      </c>
      <c r="I48" s="20" t="str">
        <f>IF(ISERROR(VLOOKUP(A48,Report!A:D,2,FALSE)),"NOT FOUND",VLOOKUP(A48,Report!A:D,2,FALSE))</f>
        <v>31-07-2025</v>
      </c>
      <c r="J48" s="53"/>
      <c r="K48" s="56">
        <f t="shared" si="0"/>
        <v>7</v>
      </c>
      <c r="L48" s="56">
        <f t="shared" si="1"/>
        <v>2025</v>
      </c>
      <c r="N48" s="50"/>
    </row>
    <row r="49" spans="1:14" ht="14.5" customHeight="1">
      <c r="A49" s="24" t="s">
        <v>2517</v>
      </c>
      <c r="B49" s="22"/>
      <c r="C49" s="51">
        <v>45839</v>
      </c>
      <c r="D49" s="27">
        <v>62</v>
      </c>
      <c r="E49" s="23" t="s">
        <v>33</v>
      </c>
      <c r="F49" s="11" t="str">
        <f t="shared" si="2"/>
        <v>Accepted</v>
      </c>
      <c r="G49" s="19">
        <f>IF(ISERROR(VLOOKUP(A49,Report!A:D,3,FALSE)),"NOT FOUND",VLOOKUP(A49,Report!A:D,3,FALSE))</f>
        <v>61.95</v>
      </c>
      <c r="H49" s="19">
        <f>IF(ISERROR(VLOOKUP(A49,Report!A:D,4,FALSE)),"NOT FOUND",VLOOKUP(A49,Report!A:D,4,FALSE))</f>
        <v>0</v>
      </c>
      <c r="I49" s="20" t="str">
        <f>IF(ISERROR(VLOOKUP(A49,Report!A:D,2,FALSE)),"NOT FOUND",VLOOKUP(A49,Report!A:D,2,FALSE))</f>
        <v>31-07-2025</v>
      </c>
      <c r="J49" s="53"/>
      <c r="K49" s="56">
        <f t="shared" si="0"/>
        <v>7</v>
      </c>
      <c r="L49" s="56">
        <f t="shared" si="1"/>
        <v>2025</v>
      </c>
      <c r="N49" s="50"/>
    </row>
    <row r="50" spans="1:14" ht="14.5" customHeight="1">
      <c r="A50" s="24" t="s">
        <v>2503</v>
      </c>
      <c r="B50" s="22"/>
      <c r="C50" s="51">
        <v>45839</v>
      </c>
      <c r="D50" s="27">
        <v>62</v>
      </c>
      <c r="E50" s="23" t="s">
        <v>33</v>
      </c>
      <c r="F50" s="11" t="str">
        <f t="shared" si="2"/>
        <v>Accepted</v>
      </c>
      <c r="G50" s="19">
        <f>IF(ISERROR(VLOOKUP(A50,Report!A:D,3,FALSE)),"NOT FOUND",VLOOKUP(A50,Report!A:D,3,FALSE))</f>
        <v>61.95</v>
      </c>
      <c r="H50" s="19">
        <f>IF(ISERROR(VLOOKUP(A50,Report!A:D,4,FALSE)),"NOT FOUND",VLOOKUP(A50,Report!A:D,4,FALSE))</f>
        <v>0</v>
      </c>
      <c r="I50" s="20" t="str">
        <f>IF(ISERROR(VLOOKUP(A50,Report!A:D,2,FALSE)),"NOT FOUND",VLOOKUP(A50,Report!A:D,2,FALSE))</f>
        <v>31-07-2025</v>
      </c>
      <c r="J50" s="53"/>
      <c r="K50" s="56">
        <f t="shared" si="0"/>
        <v>7</v>
      </c>
      <c r="L50" s="56">
        <f t="shared" si="1"/>
        <v>2025</v>
      </c>
      <c r="N50" s="50"/>
    </row>
    <row r="51" spans="1:14" ht="14.5" customHeight="1">
      <c r="A51" s="24" t="s">
        <v>2465</v>
      </c>
      <c r="B51" s="22"/>
      <c r="C51" s="51">
        <v>45839</v>
      </c>
      <c r="D51" s="27">
        <v>62</v>
      </c>
      <c r="E51" s="23" t="s">
        <v>33</v>
      </c>
      <c r="F51" s="11" t="str">
        <f t="shared" si="2"/>
        <v>Accepted</v>
      </c>
      <c r="G51" s="19">
        <f>IF(ISERROR(VLOOKUP(A51,Report!A:D,3,FALSE)),"NOT FOUND",VLOOKUP(A51,Report!A:D,3,FALSE))</f>
        <v>61.95</v>
      </c>
      <c r="H51" s="19">
        <f>IF(ISERROR(VLOOKUP(A51,Report!A:D,4,FALSE)),"NOT FOUND",VLOOKUP(A51,Report!A:D,4,FALSE))</f>
        <v>0</v>
      </c>
      <c r="I51" s="20" t="str">
        <f>IF(ISERROR(VLOOKUP(A51,Report!A:D,2,FALSE)),"NOT FOUND",VLOOKUP(A51,Report!A:D,2,FALSE))</f>
        <v>31-07-2025</v>
      </c>
      <c r="J51" s="53"/>
      <c r="K51" s="56">
        <f t="shared" si="0"/>
        <v>7</v>
      </c>
      <c r="L51" s="56">
        <f t="shared" si="1"/>
        <v>2025</v>
      </c>
      <c r="N51" s="50"/>
    </row>
    <row r="52" spans="1:14" ht="14.5" customHeight="1">
      <c r="A52" s="24" t="s">
        <v>2399</v>
      </c>
      <c r="B52" s="22"/>
      <c r="C52" s="51">
        <v>45839</v>
      </c>
      <c r="D52" s="27">
        <v>62</v>
      </c>
      <c r="E52" s="23" t="s">
        <v>33</v>
      </c>
      <c r="F52" s="11" t="str">
        <f t="shared" si="2"/>
        <v>Accepted</v>
      </c>
      <c r="G52" s="19">
        <f>IF(ISERROR(VLOOKUP(A52,Report!A:D,3,FALSE)),"NOT FOUND",VLOOKUP(A52,Report!A:D,3,FALSE))</f>
        <v>61.95</v>
      </c>
      <c r="H52" s="19">
        <f>IF(ISERROR(VLOOKUP(A52,Report!A:D,4,FALSE)),"NOT FOUND",VLOOKUP(A52,Report!A:D,4,FALSE))</f>
        <v>0</v>
      </c>
      <c r="I52" s="20" t="str">
        <f>IF(ISERROR(VLOOKUP(A52,Report!A:D,2,FALSE)),"NOT FOUND",VLOOKUP(A52,Report!A:D,2,FALSE))</f>
        <v>31-07-2025</v>
      </c>
      <c r="J52" s="53"/>
      <c r="K52" s="56">
        <f t="shared" si="0"/>
        <v>7</v>
      </c>
      <c r="L52" s="56">
        <f t="shared" si="1"/>
        <v>2025</v>
      </c>
      <c r="N52" s="50"/>
    </row>
    <row r="53" spans="1:14" ht="14.5" customHeight="1">
      <c r="A53" s="24" t="s">
        <v>2527</v>
      </c>
      <c r="B53" s="22"/>
      <c r="C53" s="51">
        <v>45839</v>
      </c>
      <c r="D53" s="27">
        <v>62</v>
      </c>
      <c r="E53" s="23" t="s">
        <v>33</v>
      </c>
      <c r="F53" s="11" t="str">
        <f t="shared" si="2"/>
        <v>Accepted</v>
      </c>
      <c r="G53" s="19">
        <f>IF(ISERROR(VLOOKUP(A53,Report!A:D,3,FALSE)),"NOT FOUND",VLOOKUP(A53,Report!A:D,3,FALSE))</f>
        <v>61.95</v>
      </c>
      <c r="H53" s="19">
        <f>IF(ISERROR(VLOOKUP(A53,Report!A:D,4,FALSE)),"NOT FOUND",VLOOKUP(A53,Report!A:D,4,FALSE))</f>
        <v>0</v>
      </c>
      <c r="I53" s="20" t="str">
        <f>IF(ISERROR(VLOOKUP(A53,Report!A:D,2,FALSE)),"NOT FOUND",VLOOKUP(A53,Report!A:D,2,FALSE))</f>
        <v>31-07-2025</v>
      </c>
      <c r="J53" s="53"/>
      <c r="K53" s="56">
        <f t="shared" si="0"/>
        <v>7</v>
      </c>
      <c r="L53" s="56">
        <f t="shared" si="1"/>
        <v>2025</v>
      </c>
      <c r="N53" s="50"/>
    </row>
    <row r="54" spans="1:14" ht="14.5" customHeight="1">
      <c r="A54" s="24" t="s">
        <v>2475</v>
      </c>
      <c r="B54" s="22"/>
      <c r="C54" s="51">
        <v>45839</v>
      </c>
      <c r="D54" s="27">
        <v>62</v>
      </c>
      <c r="E54" s="23" t="s">
        <v>33</v>
      </c>
      <c r="F54" s="11" t="str">
        <f t="shared" si="2"/>
        <v>Accepted</v>
      </c>
      <c r="G54" s="19">
        <f>IF(ISERROR(VLOOKUP(A54,Report!A:D,3,FALSE)),"NOT FOUND",VLOOKUP(A54,Report!A:D,3,FALSE))</f>
        <v>61.95</v>
      </c>
      <c r="H54" s="19">
        <f>IF(ISERROR(VLOOKUP(A54,Report!A:D,4,FALSE)),"NOT FOUND",VLOOKUP(A54,Report!A:D,4,FALSE))</f>
        <v>0</v>
      </c>
      <c r="I54" s="20" t="str">
        <f>IF(ISERROR(VLOOKUP(A54,Report!A:D,2,FALSE)),"NOT FOUND",VLOOKUP(A54,Report!A:D,2,FALSE))</f>
        <v>31-07-2025</v>
      </c>
      <c r="J54" s="53"/>
      <c r="K54" s="56">
        <f t="shared" si="0"/>
        <v>7</v>
      </c>
      <c r="L54" s="56">
        <f t="shared" si="1"/>
        <v>2025</v>
      </c>
      <c r="N54" s="50"/>
    </row>
    <row r="55" spans="1:14" ht="14.5" customHeight="1">
      <c r="A55" s="24" t="s">
        <v>2601</v>
      </c>
      <c r="B55" s="22"/>
      <c r="C55" s="51">
        <v>45839</v>
      </c>
      <c r="D55" s="27">
        <v>62</v>
      </c>
      <c r="E55" s="23" t="s">
        <v>33</v>
      </c>
      <c r="F55" s="11" t="str">
        <f t="shared" si="2"/>
        <v>Accepted</v>
      </c>
      <c r="G55" s="19">
        <f>IF(ISERROR(VLOOKUP(A55,Report!A:D,3,FALSE)),"NOT FOUND",VLOOKUP(A55,Report!A:D,3,FALSE))</f>
        <v>61.95</v>
      </c>
      <c r="H55" s="19">
        <f>IF(ISERROR(VLOOKUP(A55,Report!A:D,4,FALSE)),"NOT FOUND",VLOOKUP(A55,Report!A:D,4,FALSE))</f>
        <v>0</v>
      </c>
      <c r="I55" s="20" t="str">
        <f>IF(ISERROR(VLOOKUP(A55,Report!A:D,2,FALSE)),"NOT FOUND",VLOOKUP(A55,Report!A:D,2,FALSE))</f>
        <v>31-07-2025</v>
      </c>
      <c r="J55" s="53"/>
      <c r="K55" s="56">
        <f t="shared" si="0"/>
        <v>7</v>
      </c>
      <c r="L55" s="56">
        <f t="shared" si="1"/>
        <v>2025</v>
      </c>
      <c r="N55" s="50"/>
    </row>
    <row r="56" spans="1:14" ht="14.5" customHeight="1">
      <c r="A56" s="24" t="s">
        <v>2512</v>
      </c>
      <c r="B56" s="22"/>
      <c r="C56" s="51">
        <v>45839</v>
      </c>
      <c r="D56" s="27">
        <v>62</v>
      </c>
      <c r="E56" s="23" t="s">
        <v>33</v>
      </c>
      <c r="F56" s="11" t="str">
        <f t="shared" si="2"/>
        <v>Accepted</v>
      </c>
      <c r="G56" s="19">
        <f>IF(ISERROR(VLOOKUP(A56,Report!A:D,3,FALSE)),"NOT FOUND",VLOOKUP(A56,Report!A:D,3,FALSE))</f>
        <v>61.95</v>
      </c>
      <c r="H56" s="19">
        <f>IF(ISERROR(VLOOKUP(A56,Report!A:D,4,FALSE)),"NOT FOUND",VLOOKUP(A56,Report!A:D,4,FALSE))</f>
        <v>0</v>
      </c>
      <c r="I56" s="20" t="str">
        <f>IF(ISERROR(VLOOKUP(A56,Report!A:D,2,FALSE)),"NOT FOUND",VLOOKUP(A56,Report!A:D,2,FALSE))</f>
        <v>31-07-2025</v>
      </c>
      <c r="J56" s="53"/>
      <c r="K56" s="56">
        <f t="shared" si="0"/>
        <v>7</v>
      </c>
      <c r="L56" s="56">
        <f t="shared" si="1"/>
        <v>2025</v>
      </c>
      <c r="N56" s="50"/>
    </row>
    <row r="57" spans="1:14" ht="14.5" customHeight="1">
      <c r="A57" s="24" t="s">
        <v>2782</v>
      </c>
      <c r="B57" s="22"/>
      <c r="C57" s="51">
        <v>45839</v>
      </c>
      <c r="D57" s="27">
        <v>62</v>
      </c>
      <c r="E57" s="23" t="s">
        <v>33</v>
      </c>
      <c r="F57" s="11" t="str">
        <f t="shared" si="2"/>
        <v>Accepted</v>
      </c>
      <c r="G57" s="19">
        <f>IF(ISERROR(VLOOKUP(A57,Report!A:D,3,FALSE)),"NOT FOUND",VLOOKUP(A57,Report!A:D,3,FALSE))</f>
        <v>61.95</v>
      </c>
      <c r="H57" s="19">
        <f>IF(ISERROR(VLOOKUP(A57,Report!A:D,4,FALSE)),"NOT FOUND",VLOOKUP(A57,Report!A:D,4,FALSE))</f>
        <v>0</v>
      </c>
      <c r="I57" s="20" t="str">
        <f>IF(ISERROR(VLOOKUP(A57,Report!A:D,2,FALSE)),"NOT FOUND",VLOOKUP(A57,Report!A:D,2,FALSE))</f>
        <v>31-07-2025</v>
      </c>
      <c r="J57" s="53"/>
      <c r="K57" s="56">
        <f t="shared" si="0"/>
        <v>7</v>
      </c>
      <c r="L57" s="56">
        <f t="shared" si="1"/>
        <v>2025</v>
      </c>
      <c r="N57" s="50"/>
    </row>
    <row r="58" spans="1:14" ht="14.5" customHeight="1">
      <c r="A58" s="24" t="s">
        <v>2417</v>
      </c>
      <c r="B58" s="22"/>
      <c r="C58" s="51">
        <v>45839</v>
      </c>
      <c r="D58" s="27">
        <v>62</v>
      </c>
      <c r="E58" s="23" t="s">
        <v>33</v>
      </c>
      <c r="F58" s="11" t="str">
        <f t="shared" si="2"/>
        <v>Accepted</v>
      </c>
      <c r="G58" s="19">
        <f>IF(ISERROR(VLOOKUP(A58,Report!A:D,3,FALSE)),"NOT FOUND",VLOOKUP(A58,Report!A:D,3,FALSE))</f>
        <v>61.95</v>
      </c>
      <c r="H58" s="19">
        <f>IF(ISERROR(VLOOKUP(A58,Report!A:D,4,FALSE)),"NOT FOUND",VLOOKUP(A58,Report!A:D,4,FALSE))</f>
        <v>0</v>
      </c>
      <c r="I58" s="20" t="str">
        <f>IF(ISERROR(VLOOKUP(A58,Report!A:D,2,FALSE)),"NOT FOUND",VLOOKUP(A58,Report!A:D,2,FALSE))</f>
        <v>31-07-2025</v>
      </c>
      <c r="J58" s="53"/>
      <c r="K58" s="56">
        <f t="shared" si="0"/>
        <v>7</v>
      </c>
      <c r="L58" s="56">
        <f t="shared" si="1"/>
        <v>2025</v>
      </c>
      <c r="N58" s="50"/>
    </row>
    <row r="59" spans="1:14" ht="14.5" customHeight="1">
      <c r="A59" s="24" t="s">
        <v>2770</v>
      </c>
      <c r="B59" s="22"/>
      <c r="C59" s="51">
        <v>45839</v>
      </c>
      <c r="D59" s="27">
        <v>62</v>
      </c>
      <c r="E59" s="23" t="s">
        <v>33</v>
      </c>
      <c r="F59" s="11" t="str">
        <f t="shared" si="2"/>
        <v>Accepted</v>
      </c>
      <c r="G59" s="19">
        <f>IF(ISERROR(VLOOKUP(A59,Report!A:D,3,FALSE)),"NOT FOUND",VLOOKUP(A59,Report!A:D,3,FALSE))</f>
        <v>61.95</v>
      </c>
      <c r="H59" s="19">
        <f>IF(ISERROR(VLOOKUP(A59,Report!A:D,4,FALSE)),"NOT FOUND",VLOOKUP(A59,Report!A:D,4,FALSE))</f>
        <v>0</v>
      </c>
      <c r="I59" s="20" t="str">
        <f>IF(ISERROR(VLOOKUP(A59,Report!A:D,2,FALSE)),"NOT FOUND",VLOOKUP(A59,Report!A:D,2,FALSE))</f>
        <v>31-07-2025</v>
      </c>
      <c r="J59" s="53"/>
      <c r="K59" s="56">
        <f t="shared" si="0"/>
        <v>7</v>
      </c>
      <c r="L59" s="56">
        <f t="shared" si="1"/>
        <v>2025</v>
      </c>
      <c r="N59" s="50"/>
    </row>
    <row r="60" spans="1:14" ht="14.5" customHeight="1">
      <c r="A60" s="24" t="s">
        <v>2507</v>
      </c>
      <c r="B60" s="22"/>
      <c r="C60" s="51">
        <v>45839</v>
      </c>
      <c r="D60" s="27">
        <v>62</v>
      </c>
      <c r="E60" s="23" t="s">
        <v>33</v>
      </c>
      <c r="F60" s="11" t="str">
        <f t="shared" si="2"/>
        <v>Accepted</v>
      </c>
      <c r="G60" s="19">
        <f>IF(ISERROR(VLOOKUP(A60,Report!A:D,3,FALSE)),"NOT FOUND",VLOOKUP(A60,Report!A:D,3,FALSE))</f>
        <v>61.95</v>
      </c>
      <c r="H60" s="19">
        <f>IF(ISERROR(VLOOKUP(A60,Report!A:D,4,FALSE)),"NOT FOUND",VLOOKUP(A60,Report!A:D,4,FALSE))</f>
        <v>0</v>
      </c>
      <c r="I60" s="20" t="str">
        <f>IF(ISERROR(VLOOKUP(A60,Report!A:D,2,FALSE)),"NOT FOUND",VLOOKUP(A60,Report!A:D,2,FALSE))</f>
        <v>31-07-2025</v>
      </c>
      <c r="J60" s="53"/>
      <c r="K60" s="56">
        <f t="shared" si="0"/>
        <v>7</v>
      </c>
      <c r="L60" s="56">
        <f t="shared" si="1"/>
        <v>2025</v>
      </c>
      <c r="N60" s="50"/>
    </row>
    <row r="61" spans="1:14" ht="14.5" customHeight="1">
      <c r="A61" s="24" t="s">
        <v>2793</v>
      </c>
      <c r="B61" s="22"/>
      <c r="C61" s="51">
        <v>45839</v>
      </c>
      <c r="D61" s="27">
        <v>62</v>
      </c>
      <c r="E61" s="23" t="s">
        <v>33</v>
      </c>
      <c r="F61" s="11" t="str">
        <f t="shared" si="2"/>
        <v>Accepted</v>
      </c>
      <c r="G61" s="19">
        <f>IF(ISERROR(VLOOKUP(A61,Report!A:D,3,FALSE)),"NOT FOUND",VLOOKUP(A61,Report!A:D,3,FALSE))</f>
        <v>61.95</v>
      </c>
      <c r="H61" s="19">
        <f>IF(ISERROR(VLOOKUP(A61,Report!A:D,4,FALSE)),"NOT FOUND",VLOOKUP(A61,Report!A:D,4,FALSE))</f>
        <v>0</v>
      </c>
      <c r="I61" s="20" t="str">
        <f>IF(ISERROR(VLOOKUP(A61,Report!A:D,2,FALSE)),"NOT FOUND",VLOOKUP(A61,Report!A:D,2,FALSE))</f>
        <v>31-07-2025</v>
      </c>
      <c r="J61" s="53"/>
      <c r="K61" s="56">
        <f t="shared" si="0"/>
        <v>7</v>
      </c>
      <c r="L61" s="56">
        <f t="shared" si="1"/>
        <v>2025</v>
      </c>
      <c r="N61" s="50"/>
    </row>
    <row r="62" spans="1:14" ht="14.5" customHeight="1">
      <c r="A62" s="24" t="s">
        <v>2531</v>
      </c>
      <c r="B62" s="22"/>
      <c r="C62" s="51">
        <v>45839</v>
      </c>
      <c r="D62" s="27">
        <v>62</v>
      </c>
      <c r="E62" s="23" t="s">
        <v>33</v>
      </c>
      <c r="F62" s="11" t="str">
        <f t="shared" si="2"/>
        <v>Accepted</v>
      </c>
      <c r="G62" s="19">
        <f>IF(ISERROR(VLOOKUP(A62,Report!A:D,3,FALSE)),"NOT FOUND",VLOOKUP(A62,Report!A:D,3,FALSE))</f>
        <v>61.95</v>
      </c>
      <c r="H62" s="19">
        <f>IF(ISERROR(VLOOKUP(A62,Report!A:D,4,FALSE)),"NOT FOUND",VLOOKUP(A62,Report!A:D,4,FALSE))</f>
        <v>0</v>
      </c>
      <c r="I62" s="20" t="str">
        <f>IF(ISERROR(VLOOKUP(A62,Report!A:D,2,FALSE)),"NOT FOUND",VLOOKUP(A62,Report!A:D,2,FALSE))</f>
        <v>31-07-2025</v>
      </c>
      <c r="J62" s="53"/>
      <c r="K62" s="56">
        <f t="shared" si="0"/>
        <v>7</v>
      </c>
      <c r="L62" s="56">
        <f t="shared" si="1"/>
        <v>2025</v>
      </c>
      <c r="N62" s="50"/>
    </row>
    <row r="63" spans="1:14" ht="14.5" customHeight="1">
      <c r="A63" s="24" t="s">
        <v>2360</v>
      </c>
      <c r="B63" s="22"/>
      <c r="C63" s="51">
        <v>45839</v>
      </c>
      <c r="D63" s="27">
        <v>62</v>
      </c>
      <c r="E63" s="23" t="s">
        <v>33</v>
      </c>
      <c r="F63" s="11" t="str">
        <f t="shared" si="2"/>
        <v>Accepted</v>
      </c>
      <c r="G63" s="19">
        <f>IF(ISERROR(VLOOKUP(A63,Report!A:D,3,FALSE)),"NOT FOUND",VLOOKUP(A63,Report!A:D,3,FALSE))</f>
        <v>61.95</v>
      </c>
      <c r="H63" s="19">
        <f>IF(ISERROR(VLOOKUP(A63,Report!A:D,4,FALSE)),"NOT FOUND",VLOOKUP(A63,Report!A:D,4,FALSE))</f>
        <v>0</v>
      </c>
      <c r="I63" s="20" t="str">
        <f>IF(ISERROR(VLOOKUP(A63,Report!A:D,2,FALSE)),"NOT FOUND",VLOOKUP(A63,Report!A:D,2,FALSE))</f>
        <v>31-07-2025</v>
      </c>
      <c r="J63" s="53"/>
      <c r="K63" s="56">
        <f t="shared" si="0"/>
        <v>7</v>
      </c>
      <c r="L63" s="56">
        <f t="shared" si="1"/>
        <v>2025</v>
      </c>
      <c r="N63" s="50"/>
    </row>
    <row r="64" spans="1:14" ht="14.5" customHeight="1">
      <c r="A64" s="24" t="s">
        <v>2616</v>
      </c>
      <c r="B64" s="22"/>
      <c r="C64" s="51">
        <v>45839</v>
      </c>
      <c r="D64" s="27">
        <v>62</v>
      </c>
      <c r="E64" s="23" t="s">
        <v>33</v>
      </c>
      <c r="F64" s="11" t="str">
        <f t="shared" si="2"/>
        <v>Accepted</v>
      </c>
      <c r="G64" s="19">
        <f>IF(ISERROR(VLOOKUP(A64,Report!A:D,3,FALSE)),"NOT FOUND",VLOOKUP(A64,Report!A:D,3,FALSE))</f>
        <v>61.95</v>
      </c>
      <c r="H64" s="19">
        <f>IF(ISERROR(VLOOKUP(A64,Report!A:D,4,FALSE)),"NOT FOUND",VLOOKUP(A64,Report!A:D,4,FALSE))</f>
        <v>0</v>
      </c>
      <c r="I64" s="20" t="str">
        <f>IF(ISERROR(VLOOKUP(A64,Report!A:D,2,FALSE)),"NOT FOUND",VLOOKUP(A64,Report!A:D,2,FALSE))</f>
        <v>31-07-2025</v>
      </c>
      <c r="J64" s="53"/>
      <c r="K64" s="56">
        <f t="shared" si="0"/>
        <v>7</v>
      </c>
      <c r="L64" s="56">
        <f t="shared" si="1"/>
        <v>2025</v>
      </c>
      <c r="N64" s="50"/>
    </row>
    <row r="65" spans="1:14" ht="14.5" customHeight="1">
      <c r="A65" s="24" t="s">
        <v>2672</v>
      </c>
      <c r="B65" s="22"/>
      <c r="C65" s="51">
        <v>45839</v>
      </c>
      <c r="D65" s="27">
        <v>62</v>
      </c>
      <c r="E65" s="23" t="s">
        <v>33</v>
      </c>
      <c r="F65" s="11" t="str">
        <f t="shared" si="2"/>
        <v>Accepted</v>
      </c>
      <c r="G65" s="19">
        <f>IF(ISERROR(VLOOKUP(A65,Report!A:D,3,FALSE)),"NOT FOUND",VLOOKUP(A65,Report!A:D,3,FALSE))</f>
        <v>61.95</v>
      </c>
      <c r="H65" s="19">
        <f>IF(ISERROR(VLOOKUP(A65,Report!A:D,4,FALSE)),"NOT FOUND",VLOOKUP(A65,Report!A:D,4,FALSE))</f>
        <v>0</v>
      </c>
      <c r="I65" s="20" t="str">
        <f>IF(ISERROR(VLOOKUP(A65,Report!A:D,2,FALSE)),"NOT FOUND",VLOOKUP(A65,Report!A:D,2,FALSE))</f>
        <v>31-07-2025</v>
      </c>
      <c r="J65" s="53"/>
      <c r="K65" s="56">
        <f t="shared" si="0"/>
        <v>7</v>
      </c>
      <c r="L65" s="56">
        <f t="shared" si="1"/>
        <v>2025</v>
      </c>
      <c r="N65" s="50"/>
    </row>
    <row r="66" spans="1:14" ht="14.5" customHeight="1">
      <c r="A66" s="24" t="s">
        <v>2580</v>
      </c>
      <c r="B66" s="22"/>
      <c r="C66" s="51">
        <v>45839</v>
      </c>
      <c r="D66" s="27">
        <v>62</v>
      </c>
      <c r="E66" s="23" t="s">
        <v>33</v>
      </c>
      <c r="F66" s="11" t="str">
        <f t="shared" si="2"/>
        <v>Accepted</v>
      </c>
      <c r="G66" s="19">
        <f>IF(ISERROR(VLOOKUP(A66,Report!A:D,3,FALSE)),"NOT FOUND",VLOOKUP(A66,Report!A:D,3,FALSE))</f>
        <v>61.95</v>
      </c>
      <c r="H66" s="19">
        <f>IF(ISERROR(VLOOKUP(A66,Report!A:D,4,FALSE)),"NOT FOUND",VLOOKUP(A66,Report!A:D,4,FALSE))</f>
        <v>0</v>
      </c>
      <c r="I66" s="20" t="str">
        <f>IF(ISERROR(VLOOKUP(A66,Report!A:D,2,FALSE)),"NOT FOUND",VLOOKUP(A66,Report!A:D,2,FALSE))</f>
        <v>31-07-2025</v>
      </c>
      <c r="J66" s="53"/>
      <c r="K66" s="56">
        <f t="shared" si="0"/>
        <v>7</v>
      </c>
      <c r="L66" s="56">
        <f t="shared" si="1"/>
        <v>2025</v>
      </c>
      <c r="N66" s="50"/>
    </row>
    <row r="67" spans="1:14" ht="14.5" customHeight="1">
      <c r="A67" s="24" t="s">
        <v>2371</v>
      </c>
      <c r="B67" s="22"/>
      <c r="C67" s="51">
        <v>45839</v>
      </c>
      <c r="D67" s="27">
        <v>62</v>
      </c>
      <c r="E67" s="23" t="s">
        <v>33</v>
      </c>
      <c r="F67" s="11" t="str">
        <f t="shared" si="2"/>
        <v>Accepted</v>
      </c>
      <c r="G67" s="19">
        <f>IF(ISERROR(VLOOKUP(A67,Report!A:D,3,FALSE)),"NOT FOUND",VLOOKUP(A67,Report!A:D,3,FALSE))</f>
        <v>61.95</v>
      </c>
      <c r="H67" s="19">
        <f>IF(ISERROR(VLOOKUP(A67,Report!A:D,4,FALSE)),"NOT FOUND",VLOOKUP(A67,Report!A:D,4,FALSE))</f>
        <v>0</v>
      </c>
      <c r="I67" s="20" t="str">
        <f>IF(ISERROR(VLOOKUP(A67,Report!A:D,2,FALSE)),"NOT FOUND",VLOOKUP(A67,Report!A:D,2,FALSE))</f>
        <v>31-07-2025</v>
      </c>
      <c r="J67" s="53"/>
      <c r="K67" s="56">
        <f t="shared" ref="K67:K125" si="3">MONTH(C67)</f>
        <v>7</v>
      </c>
      <c r="L67" s="56">
        <f t="shared" ref="L67:L125" si="4">YEAR(C67)</f>
        <v>2025</v>
      </c>
      <c r="N67" s="50"/>
    </row>
    <row r="68" spans="1:14" ht="14.5" customHeight="1">
      <c r="A68" s="24" t="s">
        <v>2643</v>
      </c>
      <c r="B68" s="22"/>
      <c r="C68" s="51">
        <v>45839</v>
      </c>
      <c r="D68" s="27">
        <v>62</v>
      </c>
      <c r="E68" s="23" t="s">
        <v>33</v>
      </c>
      <c r="F68" s="11" t="str">
        <f t="shared" si="2"/>
        <v>Accepted</v>
      </c>
      <c r="G68" s="19">
        <f>IF(ISERROR(VLOOKUP(A68,Report!A:D,3,FALSE)),"NOT FOUND",VLOOKUP(A68,Report!A:D,3,FALSE))</f>
        <v>61.95</v>
      </c>
      <c r="H68" s="19">
        <f>IF(ISERROR(VLOOKUP(A68,Report!A:D,4,FALSE)),"NOT FOUND",VLOOKUP(A68,Report!A:D,4,FALSE))</f>
        <v>0</v>
      </c>
      <c r="I68" s="20" t="str">
        <f>IF(ISERROR(VLOOKUP(A68,Report!A:D,2,FALSE)),"NOT FOUND",VLOOKUP(A68,Report!A:D,2,FALSE))</f>
        <v>31-07-2025</v>
      </c>
      <c r="J68" s="53"/>
      <c r="K68" s="56">
        <f t="shared" si="3"/>
        <v>7</v>
      </c>
      <c r="L68" s="56">
        <f t="shared" si="4"/>
        <v>2025</v>
      </c>
      <c r="N68" s="50"/>
    </row>
    <row r="69" spans="1:14" ht="14.5" customHeight="1">
      <c r="A69" s="24" t="s">
        <v>2478</v>
      </c>
      <c r="B69" s="22"/>
      <c r="C69" s="51">
        <v>45839</v>
      </c>
      <c r="D69" s="27">
        <v>62</v>
      </c>
      <c r="E69" s="23" t="s">
        <v>33</v>
      </c>
      <c r="F69" s="11" t="str">
        <f t="shared" ref="F69:F127" si="5">IF((D69-G69)&lt;10,"Accepted","Partial/Rejected")</f>
        <v>Accepted</v>
      </c>
      <c r="G69" s="19">
        <f>IF(ISERROR(VLOOKUP(A69,Report!A:D,3,FALSE)),"NOT FOUND",VLOOKUP(A69,Report!A:D,3,FALSE))</f>
        <v>61.95</v>
      </c>
      <c r="H69" s="19">
        <f>IF(ISERROR(VLOOKUP(A69,Report!A:D,4,FALSE)),"NOT FOUND",VLOOKUP(A69,Report!A:D,4,FALSE))</f>
        <v>0</v>
      </c>
      <c r="I69" s="20" t="str">
        <f>IF(ISERROR(VLOOKUP(A69,Report!A:D,2,FALSE)),"NOT FOUND",VLOOKUP(A69,Report!A:D,2,FALSE))</f>
        <v>31-07-2025</v>
      </c>
      <c r="J69" s="53"/>
      <c r="K69" s="56">
        <f t="shared" si="3"/>
        <v>7</v>
      </c>
      <c r="L69" s="56">
        <f t="shared" si="4"/>
        <v>2025</v>
      </c>
      <c r="N69" s="50"/>
    </row>
    <row r="70" spans="1:14" ht="14.5" customHeight="1">
      <c r="A70" s="24" t="s">
        <v>2340</v>
      </c>
      <c r="B70" s="22"/>
      <c r="C70" s="51">
        <v>45839</v>
      </c>
      <c r="D70" s="27">
        <v>62</v>
      </c>
      <c r="E70" s="23" t="s">
        <v>33</v>
      </c>
      <c r="F70" s="11" t="str">
        <f t="shared" si="5"/>
        <v>Accepted</v>
      </c>
      <c r="G70" s="19">
        <f>IF(ISERROR(VLOOKUP(A70,Report!A:D,3,FALSE)),"NOT FOUND",VLOOKUP(A70,Report!A:D,3,FALSE))</f>
        <v>61.95</v>
      </c>
      <c r="H70" s="19">
        <f>IF(ISERROR(VLOOKUP(A70,Report!A:D,4,FALSE)),"NOT FOUND",VLOOKUP(A70,Report!A:D,4,FALSE))</f>
        <v>0</v>
      </c>
      <c r="I70" s="20" t="str">
        <f>IF(ISERROR(VLOOKUP(A70,Report!A:D,2,FALSE)),"NOT FOUND",VLOOKUP(A70,Report!A:D,2,FALSE))</f>
        <v>31-07-2025</v>
      </c>
      <c r="J70" s="53"/>
      <c r="K70" s="56">
        <f t="shared" si="3"/>
        <v>7</v>
      </c>
      <c r="L70" s="56">
        <f t="shared" si="4"/>
        <v>2025</v>
      </c>
      <c r="N70" s="50"/>
    </row>
    <row r="71" spans="1:14" ht="14.5" customHeight="1">
      <c r="A71" s="24" t="s">
        <v>2521</v>
      </c>
      <c r="B71" s="22"/>
      <c r="C71" s="51">
        <v>45839</v>
      </c>
      <c r="D71" s="27">
        <v>62</v>
      </c>
      <c r="E71" s="23" t="s">
        <v>33</v>
      </c>
      <c r="F71" s="11" t="str">
        <f t="shared" si="5"/>
        <v>Accepted</v>
      </c>
      <c r="G71" s="19">
        <f>IF(ISERROR(VLOOKUP(A71,Report!A:D,3,FALSE)),"NOT FOUND",VLOOKUP(A71,Report!A:D,3,FALSE))</f>
        <v>61.95</v>
      </c>
      <c r="H71" s="19">
        <f>IF(ISERROR(VLOOKUP(A71,Report!A:D,4,FALSE)),"NOT FOUND",VLOOKUP(A71,Report!A:D,4,FALSE))</f>
        <v>0</v>
      </c>
      <c r="I71" s="20" t="str">
        <f>IF(ISERROR(VLOOKUP(A71,Report!A:D,2,FALSE)),"NOT FOUND",VLOOKUP(A71,Report!A:D,2,FALSE))</f>
        <v>31-07-2025</v>
      </c>
      <c r="J71" s="53"/>
      <c r="K71" s="56">
        <f t="shared" si="3"/>
        <v>7</v>
      </c>
      <c r="L71" s="56">
        <f t="shared" si="4"/>
        <v>2025</v>
      </c>
      <c r="N71" s="50"/>
    </row>
    <row r="72" spans="1:14" ht="14.5" customHeight="1">
      <c r="A72" s="24" t="s">
        <v>2575</v>
      </c>
      <c r="B72" s="22"/>
      <c r="C72" s="51">
        <v>45839</v>
      </c>
      <c r="D72" s="27">
        <v>62</v>
      </c>
      <c r="E72" s="23" t="s">
        <v>33</v>
      </c>
      <c r="F72" s="11" t="str">
        <f t="shared" si="5"/>
        <v>Accepted</v>
      </c>
      <c r="G72" s="19">
        <f>IF(ISERROR(VLOOKUP(A72,Report!A:D,3,FALSE)),"NOT FOUND",VLOOKUP(A72,Report!A:D,3,FALSE))</f>
        <v>61.95</v>
      </c>
      <c r="H72" s="19">
        <f>IF(ISERROR(VLOOKUP(A72,Report!A:D,4,FALSE)),"NOT FOUND",VLOOKUP(A72,Report!A:D,4,FALSE))</f>
        <v>0</v>
      </c>
      <c r="I72" s="20" t="str">
        <f>IF(ISERROR(VLOOKUP(A72,Report!A:D,2,FALSE)),"NOT FOUND",VLOOKUP(A72,Report!A:D,2,FALSE))</f>
        <v>31-07-2025</v>
      </c>
      <c r="J72" s="53"/>
      <c r="K72" s="56">
        <f t="shared" si="3"/>
        <v>7</v>
      </c>
      <c r="L72" s="56">
        <f t="shared" si="4"/>
        <v>2025</v>
      </c>
      <c r="N72" s="50"/>
    </row>
    <row r="73" spans="1:14" ht="14.5" customHeight="1">
      <c r="A73" s="24" t="s">
        <v>2787</v>
      </c>
      <c r="B73" s="22"/>
      <c r="C73" s="51">
        <v>45839</v>
      </c>
      <c r="D73" s="27">
        <v>62</v>
      </c>
      <c r="E73" s="23" t="s">
        <v>33</v>
      </c>
      <c r="F73" s="11" t="str">
        <f t="shared" si="5"/>
        <v>Accepted</v>
      </c>
      <c r="G73" s="19">
        <f>IF(ISERROR(VLOOKUP(A73,Report!A:D,3,FALSE)),"NOT FOUND",VLOOKUP(A73,Report!A:D,3,FALSE))</f>
        <v>61.95</v>
      </c>
      <c r="H73" s="19">
        <f>IF(ISERROR(VLOOKUP(A73,Report!A:D,4,FALSE)),"NOT FOUND",VLOOKUP(A73,Report!A:D,4,FALSE))</f>
        <v>0</v>
      </c>
      <c r="I73" s="20" t="str">
        <f>IF(ISERROR(VLOOKUP(A73,Report!A:D,2,FALSE)),"NOT FOUND",VLOOKUP(A73,Report!A:D,2,FALSE))</f>
        <v>31-07-2025</v>
      </c>
      <c r="J73" s="53"/>
      <c r="K73" s="56">
        <f t="shared" si="3"/>
        <v>7</v>
      </c>
      <c r="L73" s="56">
        <f t="shared" si="4"/>
        <v>2025</v>
      </c>
      <c r="N73" s="50"/>
    </row>
    <row r="74" spans="1:14" ht="14.5" customHeight="1">
      <c r="A74" s="24" t="s">
        <v>2796</v>
      </c>
      <c r="B74" s="22"/>
      <c r="C74" s="51">
        <v>45839</v>
      </c>
      <c r="D74" s="27">
        <v>62</v>
      </c>
      <c r="E74" s="23" t="s">
        <v>33</v>
      </c>
      <c r="F74" s="11" t="str">
        <f t="shared" si="5"/>
        <v>Accepted</v>
      </c>
      <c r="G74" s="19">
        <f>IF(ISERROR(VLOOKUP(A74,Report!A:D,3,FALSE)),"NOT FOUND",VLOOKUP(A74,Report!A:D,3,FALSE))</f>
        <v>61.95</v>
      </c>
      <c r="H74" s="19">
        <f>IF(ISERROR(VLOOKUP(A74,Report!A:D,4,FALSE)),"NOT FOUND",VLOOKUP(A74,Report!A:D,4,FALSE))</f>
        <v>0</v>
      </c>
      <c r="I74" s="20" t="str">
        <f>IF(ISERROR(VLOOKUP(A74,Report!A:D,2,FALSE)),"NOT FOUND",VLOOKUP(A74,Report!A:D,2,FALSE))</f>
        <v>31-07-2025</v>
      </c>
      <c r="J74" s="53"/>
      <c r="K74" s="56">
        <f t="shared" si="3"/>
        <v>7</v>
      </c>
      <c r="L74" s="56">
        <f t="shared" si="4"/>
        <v>2025</v>
      </c>
      <c r="N74" s="50"/>
    </row>
    <row r="75" spans="1:14" ht="14.5" customHeight="1">
      <c r="A75" s="24" t="s">
        <v>2387</v>
      </c>
      <c r="B75" s="22"/>
      <c r="C75" s="51">
        <v>45839</v>
      </c>
      <c r="D75" s="27">
        <v>62</v>
      </c>
      <c r="E75" s="23" t="s">
        <v>33</v>
      </c>
      <c r="F75" s="11" t="str">
        <f t="shared" si="5"/>
        <v>Accepted</v>
      </c>
      <c r="G75" s="19">
        <f>IF(ISERROR(VLOOKUP(A75,Report!A:D,3,FALSE)),"NOT FOUND",VLOOKUP(A75,Report!A:D,3,FALSE))</f>
        <v>61.95</v>
      </c>
      <c r="H75" s="19">
        <f>IF(ISERROR(VLOOKUP(A75,Report!A:D,4,FALSE)),"NOT FOUND",VLOOKUP(A75,Report!A:D,4,FALSE))</f>
        <v>0</v>
      </c>
      <c r="I75" s="20" t="str">
        <f>IF(ISERROR(VLOOKUP(A75,Report!A:D,2,FALSE)),"NOT FOUND",VLOOKUP(A75,Report!A:D,2,FALSE))</f>
        <v>31-07-2025</v>
      </c>
      <c r="J75" s="53"/>
      <c r="K75" s="56">
        <f t="shared" si="3"/>
        <v>7</v>
      </c>
      <c r="L75" s="56">
        <f t="shared" si="4"/>
        <v>2025</v>
      </c>
      <c r="N75" s="50"/>
    </row>
    <row r="76" spans="1:14" ht="14.5" customHeight="1">
      <c r="A76" s="24" t="s">
        <v>2409</v>
      </c>
      <c r="B76" s="22"/>
      <c r="C76" s="51">
        <v>45839</v>
      </c>
      <c r="D76" s="27">
        <v>62</v>
      </c>
      <c r="E76" s="23" t="s">
        <v>33</v>
      </c>
      <c r="F76" s="11" t="str">
        <f t="shared" si="5"/>
        <v>Accepted</v>
      </c>
      <c r="G76" s="19">
        <f>IF(ISERROR(VLOOKUP(A76,Report!A:D,3,FALSE)),"NOT FOUND",VLOOKUP(A76,Report!A:D,3,FALSE))</f>
        <v>61.95</v>
      </c>
      <c r="H76" s="19">
        <f>IF(ISERROR(VLOOKUP(A76,Report!A:D,4,FALSE)),"NOT FOUND",VLOOKUP(A76,Report!A:D,4,FALSE))</f>
        <v>0</v>
      </c>
      <c r="I76" s="20" t="str">
        <f>IF(ISERROR(VLOOKUP(A76,Report!A:D,2,FALSE)),"NOT FOUND",VLOOKUP(A76,Report!A:D,2,FALSE))</f>
        <v>31-07-2025</v>
      </c>
      <c r="J76" s="53"/>
      <c r="K76" s="56">
        <f t="shared" si="3"/>
        <v>7</v>
      </c>
      <c r="L76" s="56">
        <f t="shared" si="4"/>
        <v>2025</v>
      </c>
      <c r="N76" s="50"/>
    </row>
    <row r="77" spans="1:14" ht="14.5" customHeight="1">
      <c r="A77" s="24" t="s">
        <v>2546</v>
      </c>
      <c r="B77" s="22"/>
      <c r="C77" s="51">
        <v>45839</v>
      </c>
      <c r="D77" s="27">
        <v>62</v>
      </c>
      <c r="E77" s="23" t="s">
        <v>33</v>
      </c>
      <c r="F77" s="11" t="str">
        <f t="shared" si="5"/>
        <v>Accepted</v>
      </c>
      <c r="G77" s="19">
        <f>IF(ISERROR(VLOOKUP(A77,Report!A:D,3,FALSE)),"NOT FOUND",VLOOKUP(A77,Report!A:D,3,FALSE))</f>
        <v>61.95</v>
      </c>
      <c r="H77" s="19">
        <f>IF(ISERROR(VLOOKUP(A77,Report!A:D,4,FALSE)),"NOT FOUND",VLOOKUP(A77,Report!A:D,4,FALSE))</f>
        <v>0</v>
      </c>
      <c r="I77" s="20" t="str">
        <f>IF(ISERROR(VLOOKUP(A77,Report!A:D,2,FALSE)),"NOT FOUND",VLOOKUP(A77,Report!A:D,2,FALSE))</f>
        <v>31-07-2025</v>
      </c>
      <c r="J77" s="53"/>
      <c r="K77" s="56">
        <f t="shared" si="3"/>
        <v>7</v>
      </c>
      <c r="L77" s="56">
        <f t="shared" si="4"/>
        <v>2025</v>
      </c>
      <c r="N77" s="50"/>
    </row>
    <row r="78" spans="1:14" ht="14.5" customHeight="1">
      <c r="A78" s="24" t="s">
        <v>2541</v>
      </c>
      <c r="B78" s="22"/>
      <c r="C78" s="51">
        <v>45839</v>
      </c>
      <c r="D78" s="27">
        <v>62</v>
      </c>
      <c r="E78" s="23" t="s">
        <v>33</v>
      </c>
      <c r="F78" s="11" t="str">
        <f t="shared" si="5"/>
        <v>Accepted</v>
      </c>
      <c r="G78" s="19">
        <f>IF(ISERROR(VLOOKUP(A78,Report!A:D,3,FALSE)),"NOT FOUND",VLOOKUP(A78,Report!A:D,3,FALSE))</f>
        <v>61.95</v>
      </c>
      <c r="H78" s="19">
        <f>IF(ISERROR(VLOOKUP(A78,Report!A:D,4,FALSE)),"NOT FOUND",VLOOKUP(A78,Report!A:D,4,FALSE))</f>
        <v>0</v>
      </c>
      <c r="I78" s="20" t="str">
        <f>IF(ISERROR(VLOOKUP(A78,Report!A:D,2,FALSE)),"NOT FOUND",VLOOKUP(A78,Report!A:D,2,FALSE))</f>
        <v>31-07-2025</v>
      </c>
      <c r="J78" s="53"/>
      <c r="K78" s="56">
        <f t="shared" si="3"/>
        <v>7</v>
      </c>
      <c r="L78" s="56">
        <f t="shared" si="4"/>
        <v>2025</v>
      </c>
      <c r="N78" s="50"/>
    </row>
    <row r="79" spans="1:14" ht="14.5" customHeight="1">
      <c r="A79" s="24" t="s">
        <v>2784</v>
      </c>
      <c r="B79" s="22"/>
      <c r="C79" s="51">
        <v>45839</v>
      </c>
      <c r="D79" s="27">
        <v>62</v>
      </c>
      <c r="E79" s="23" t="s">
        <v>33</v>
      </c>
      <c r="F79" s="11" t="str">
        <f t="shared" si="5"/>
        <v>Accepted</v>
      </c>
      <c r="G79" s="19">
        <f>IF(ISERROR(VLOOKUP(A79,Report!A:D,3,FALSE)),"NOT FOUND",VLOOKUP(A79,Report!A:D,3,FALSE))</f>
        <v>61.95</v>
      </c>
      <c r="H79" s="19">
        <f>IF(ISERROR(VLOOKUP(A79,Report!A:D,4,FALSE)),"NOT FOUND",VLOOKUP(A79,Report!A:D,4,FALSE))</f>
        <v>0</v>
      </c>
      <c r="I79" s="20" t="str">
        <f>IF(ISERROR(VLOOKUP(A79,Report!A:D,2,FALSE)),"NOT FOUND",VLOOKUP(A79,Report!A:D,2,FALSE))</f>
        <v>31-07-2025</v>
      </c>
      <c r="J79" s="53"/>
      <c r="K79" s="56">
        <f t="shared" si="3"/>
        <v>7</v>
      </c>
      <c r="L79" s="56">
        <f t="shared" si="4"/>
        <v>2025</v>
      </c>
      <c r="N79" s="50"/>
    </row>
    <row r="80" spans="1:14" ht="14.5" customHeight="1">
      <c r="A80" s="24" t="s">
        <v>2802</v>
      </c>
      <c r="B80" s="22"/>
      <c r="C80" s="51">
        <v>45839</v>
      </c>
      <c r="D80" s="27">
        <v>62</v>
      </c>
      <c r="E80" s="23" t="s">
        <v>33</v>
      </c>
      <c r="F80" s="11" t="str">
        <f t="shared" si="5"/>
        <v>Accepted</v>
      </c>
      <c r="G80" s="19">
        <f>IF(ISERROR(VLOOKUP(A80,Report!A:D,3,FALSE)),"NOT FOUND",VLOOKUP(A80,Report!A:D,3,FALSE))</f>
        <v>61.95</v>
      </c>
      <c r="H80" s="19">
        <f>IF(ISERROR(VLOOKUP(A80,Report!A:D,4,FALSE)),"NOT FOUND",VLOOKUP(A80,Report!A:D,4,FALSE))</f>
        <v>0</v>
      </c>
      <c r="I80" s="20" t="str">
        <f>IF(ISERROR(VLOOKUP(A80,Report!A:D,2,FALSE)),"NOT FOUND",VLOOKUP(A80,Report!A:D,2,FALSE))</f>
        <v>31-07-2025</v>
      </c>
      <c r="J80" s="53"/>
      <c r="K80" s="56">
        <f t="shared" si="3"/>
        <v>7</v>
      </c>
      <c r="L80" s="56">
        <f t="shared" si="4"/>
        <v>2025</v>
      </c>
      <c r="N80" s="50"/>
    </row>
    <row r="81" spans="1:14" ht="14.5" customHeight="1">
      <c r="A81" s="24" t="s">
        <v>2789</v>
      </c>
      <c r="B81" s="22"/>
      <c r="C81" s="51">
        <v>45839</v>
      </c>
      <c r="D81" s="27">
        <v>62</v>
      </c>
      <c r="E81" s="23" t="s">
        <v>33</v>
      </c>
      <c r="F81" s="11" t="str">
        <f t="shared" si="5"/>
        <v>Accepted</v>
      </c>
      <c r="G81" s="19">
        <f>IF(ISERROR(VLOOKUP(A81,Report!A:D,3,FALSE)),"NOT FOUND",VLOOKUP(A81,Report!A:D,3,FALSE))</f>
        <v>61.95</v>
      </c>
      <c r="H81" s="19">
        <f>IF(ISERROR(VLOOKUP(A81,Report!A:D,4,FALSE)),"NOT FOUND",VLOOKUP(A81,Report!A:D,4,FALSE))</f>
        <v>0</v>
      </c>
      <c r="I81" s="20" t="str">
        <f>IF(ISERROR(VLOOKUP(A81,Report!A:D,2,FALSE)),"NOT FOUND",VLOOKUP(A81,Report!A:D,2,FALSE))</f>
        <v>31-07-2025</v>
      </c>
      <c r="J81" s="53"/>
      <c r="K81" s="56">
        <f t="shared" si="3"/>
        <v>7</v>
      </c>
      <c r="L81" s="56">
        <f t="shared" si="4"/>
        <v>2025</v>
      </c>
      <c r="N81" s="50"/>
    </row>
    <row r="82" spans="1:14" ht="14.5" customHeight="1">
      <c r="A82" s="24" t="s">
        <v>2768</v>
      </c>
      <c r="B82" s="22"/>
      <c r="C82" s="51">
        <v>45839</v>
      </c>
      <c r="D82" s="27">
        <v>62</v>
      </c>
      <c r="E82" s="23" t="s">
        <v>33</v>
      </c>
      <c r="F82" s="11" t="str">
        <f t="shared" si="5"/>
        <v>Accepted</v>
      </c>
      <c r="G82" s="19">
        <f>IF(ISERROR(VLOOKUP(A82,Report!A:D,3,FALSE)),"NOT FOUND",VLOOKUP(A82,Report!A:D,3,FALSE))</f>
        <v>61.95</v>
      </c>
      <c r="H82" s="19">
        <f>IF(ISERROR(VLOOKUP(A82,Report!A:D,4,FALSE)),"NOT FOUND",VLOOKUP(A82,Report!A:D,4,FALSE))</f>
        <v>0</v>
      </c>
      <c r="I82" s="20" t="str">
        <f>IF(ISERROR(VLOOKUP(A82,Report!A:D,2,FALSE)),"NOT FOUND",VLOOKUP(A82,Report!A:D,2,FALSE))</f>
        <v>31-07-2025</v>
      </c>
      <c r="J82" s="53"/>
      <c r="K82" s="56">
        <f t="shared" si="3"/>
        <v>7</v>
      </c>
      <c r="L82" s="56">
        <f t="shared" si="4"/>
        <v>2025</v>
      </c>
      <c r="N82" s="50"/>
    </row>
    <row r="83" spans="1:14" ht="14.5" customHeight="1">
      <c r="A83" s="24" t="s">
        <v>2686</v>
      </c>
      <c r="B83" s="22"/>
      <c r="C83" s="51">
        <v>45839</v>
      </c>
      <c r="D83" s="27">
        <v>62</v>
      </c>
      <c r="E83" s="23" t="s">
        <v>33</v>
      </c>
      <c r="F83" s="11" t="str">
        <f t="shared" si="5"/>
        <v>Accepted</v>
      </c>
      <c r="G83" s="19">
        <f>IF(ISERROR(VLOOKUP(A83,Report!A:D,3,FALSE)),"NOT FOUND",VLOOKUP(A83,Report!A:D,3,FALSE))</f>
        <v>61.95</v>
      </c>
      <c r="H83" s="19">
        <f>IF(ISERROR(VLOOKUP(A83,Report!A:D,4,FALSE)),"NOT FOUND",VLOOKUP(A83,Report!A:D,4,FALSE))</f>
        <v>0</v>
      </c>
      <c r="I83" s="20" t="str">
        <f>IF(ISERROR(VLOOKUP(A83,Report!A:D,2,FALSE)),"NOT FOUND",VLOOKUP(A83,Report!A:D,2,FALSE))</f>
        <v>31-07-2025</v>
      </c>
      <c r="J83" s="53"/>
      <c r="K83" s="56">
        <f t="shared" si="3"/>
        <v>7</v>
      </c>
      <c r="L83" s="56">
        <f t="shared" si="4"/>
        <v>2025</v>
      </c>
      <c r="N83" s="50"/>
    </row>
    <row r="84" spans="1:14" ht="14.5" customHeight="1">
      <c r="A84" s="24" t="s">
        <v>2689</v>
      </c>
      <c r="B84" s="22"/>
      <c r="C84" s="51">
        <v>45839</v>
      </c>
      <c r="D84" s="27">
        <v>62</v>
      </c>
      <c r="E84" s="23" t="s">
        <v>33</v>
      </c>
      <c r="F84" s="11" t="str">
        <f t="shared" si="5"/>
        <v>Accepted</v>
      </c>
      <c r="G84" s="19">
        <f>IF(ISERROR(VLOOKUP(A84,Report!A:D,3,FALSE)),"NOT FOUND",VLOOKUP(A84,Report!A:D,3,FALSE))</f>
        <v>61.95</v>
      </c>
      <c r="H84" s="19">
        <f>IF(ISERROR(VLOOKUP(A84,Report!A:D,4,FALSE)),"NOT FOUND",VLOOKUP(A84,Report!A:D,4,FALSE))</f>
        <v>0</v>
      </c>
      <c r="I84" s="20" t="str">
        <f>IF(ISERROR(VLOOKUP(A84,Report!A:D,2,FALSE)),"NOT FOUND",VLOOKUP(A84,Report!A:D,2,FALSE))</f>
        <v>31-07-2025</v>
      </c>
      <c r="J84" s="53"/>
      <c r="K84" s="56">
        <f t="shared" si="3"/>
        <v>7</v>
      </c>
      <c r="L84" s="56">
        <f t="shared" si="4"/>
        <v>2025</v>
      </c>
      <c r="N84" s="50"/>
    </row>
    <row r="85" spans="1:14" ht="14.5" customHeight="1">
      <c r="A85" s="24" t="s">
        <v>2486</v>
      </c>
      <c r="B85" s="22"/>
      <c r="C85" s="51">
        <v>45839</v>
      </c>
      <c r="D85" s="27">
        <v>62</v>
      </c>
      <c r="E85" s="23" t="s">
        <v>33</v>
      </c>
      <c r="F85" s="11" t="str">
        <f t="shared" si="5"/>
        <v>Accepted</v>
      </c>
      <c r="G85" s="19">
        <f>IF(ISERROR(VLOOKUP(A85,Report!A:D,3,FALSE)),"NOT FOUND",VLOOKUP(A85,Report!A:D,3,FALSE))</f>
        <v>61.95</v>
      </c>
      <c r="H85" s="19">
        <f>IF(ISERROR(VLOOKUP(A85,Report!A:D,4,FALSE)),"NOT FOUND",VLOOKUP(A85,Report!A:D,4,FALSE))</f>
        <v>0</v>
      </c>
      <c r="I85" s="20" t="str">
        <f>IF(ISERROR(VLOOKUP(A85,Report!A:D,2,FALSE)),"NOT FOUND",VLOOKUP(A85,Report!A:D,2,FALSE))</f>
        <v>31-07-2025</v>
      </c>
      <c r="J85" s="53"/>
      <c r="K85" s="56">
        <f t="shared" si="3"/>
        <v>7</v>
      </c>
      <c r="L85" s="56">
        <f t="shared" si="4"/>
        <v>2025</v>
      </c>
      <c r="N85" s="50"/>
    </row>
    <row r="86" spans="1:14" ht="14.5" customHeight="1">
      <c r="A86" s="24" t="s">
        <v>2544</v>
      </c>
      <c r="B86" s="22"/>
      <c r="C86" s="51">
        <v>45839</v>
      </c>
      <c r="D86" s="27">
        <v>62</v>
      </c>
      <c r="E86" s="23" t="s">
        <v>33</v>
      </c>
      <c r="F86" s="11" t="str">
        <f t="shared" si="5"/>
        <v>Accepted</v>
      </c>
      <c r="G86" s="19">
        <f>IF(ISERROR(VLOOKUP(A86,Report!A:D,3,FALSE)),"NOT FOUND",VLOOKUP(A86,Report!A:D,3,FALSE))</f>
        <v>61.95</v>
      </c>
      <c r="H86" s="19">
        <f>IF(ISERROR(VLOOKUP(A86,Report!A:D,4,FALSE)),"NOT FOUND",VLOOKUP(A86,Report!A:D,4,FALSE))</f>
        <v>0</v>
      </c>
      <c r="I86" s="20" t="str">
        <f>IF(ISERROR(VLOOKUP(A86,Report!A:D,2,FALSE)),"NOT FOUND",VLOOKUP(A86,Report!A:D,2,FALSE))</f>
        <v>31-07-2025</v>
      </c>
      <c r="J86" s="53"/>
      <c r="K86" s="56">
        <f t="shared" si="3"/>
        <v>7</v>
      </c>
      <c r="L86" s="56">
        <f t="shared" si="4"/>
        <v>2025</v>
      </c>
      <c r="N86" s="50"/>
    </row>
    <row r="87" spans="1:14" ht="14.5" customHeight="1">
      <c r="A87" s="24" t="s">
        <v>2451</v>
      </c>
      <c r="B87" s="22"/>
      <c r="C87" s="51">
        <v>45839</v>
      </c>
      <c r="D87" s="27">
        <v>62</v>
      </c>
      <c r="E87" s="23" t="s">
        <v>33</v>
      </c>
      <c r="F87" s="11" t="str">
        <f t="shared" si="5"/>
        <v>Accepted</v>
      </c>
      <c r="G87" s="19">
        <f>IF(ISERROR(VLOOKUP(A87,Report!A:D,3,FALSE)),"NOT FOUND",VLOOKUP(A87,Report!A:D,3,FALSE))</f>
        <v>61.95</v>
      </c>
      <c r="H87" s="19">
        <f>IF(ISERROR(VLOOKUP(A87,Report!A:D,4,FALSE)),"NOT FOUND",VLOOKUP(A87,Report!A:D,4,FALSE))</f>
        <v>0</v>
      </c>
      <c r="I87" s="20" t="str">
        <f>IF(ISERROR(VLOOKUP(A87,Report!A:D,2,FALSE)),"NOT FOUND",VLOOKUP(A87,Report!A:D,2,FALSE))</f>
        <v>31-07-2025</v>
      </c>
      <c r="J87" s="53"/>
      <c r="K87" s="56">
        <f t="shared" si="3"/>
        <v>7</v>
      </c>
      <c r="L87" s="56">
        <f t="shared" si="4"/>
        <v>2025</v>
      </c>
      <c r="N87" s="50"/>
    </row>
    <row r="88" spans="1:14" ht="14.5" customHeight="1">
      <c r="A88" s="24" t="s">
        <v>2524</v>
      </c>
      <c r="B88" s="22"/>
      <c r="C88" s="51">
        <v>45839</v>
      </c>
      <c r="D88" s="27">
        <v>62</v>
      </c>
      <c r="E88" s="23" t="s">
        <v>33</v>
      </c>
      <c r="F88" s="11" t="str">
        <f t="shared" si="5"/>
        <v>Accepted</v>
      </c>
      <c r="G88" s="19">
        <f>IF(ISERROR(VLOOKUP(A88,Report!A:D,3,FALSE)),"NOT FOUND",VLOOKUP(A88,Report!A:D,3,FALSE))</f>
        <v>61.95</v>
      </c>
      <c r="H88" s="19">
        <f>IF(ISERROR(VLOOKUP(A88,Report!A:D,4,FALSE)),"NOT FOUND",VLOOKUP(A88,Report!A:D,4,FALSE))</f>
        <v>0</v>
      </c>
      <c r="I88" s="20" t="str">
        <f>IF(ISERROR(VLOOKUP(A88,Report!A:D,2,FALSE)),"NOT FOUND",VLOOKUP(A88,Report!A:D,2,FALSE))</f>
        <v>31-07-2025</v>
      </c>
      <c r="J88" s="53"/>
      <c r="K88" s="56">
        <f t="shared" si="3"/>
        <v>7</v>
      </c>
      <c r="L88" s="56">
        <f t="shared" si="4"/>
        <v>2025</v>
      </c>
      <c r="N88" s="50"/>
    </row>
    <row r="89" spans="1:14" ht="14.5" customHeight="1">
      <c r="A89" s="24" t="s">
        <v>2775</v>
      </c>
      <c r="B89" s="22"/>
      <c r="C89" s="51">
        <v>45839</v>
      </c>
      <c r="D89" s="27">
        <v>62</v>
      </c>
      <c r="E89" s="23" t="s">
        <v>33</v>
      </c>
      <c r="F89" s="11" t="str">
        <f t="shared" si="5"/>
        <v>Accepted</v>
      </c>
      <c r="G89" s="19">
        <f>IF(ISERROR(VLOOKUP(A89,Report!A:D,3,FALSE)),"NOT FOUND",VLOOKUP(A89,Report!A:D,3,FALSE))</f>
        <v>61.95</v>
      </c>
      <c r="H89" s="19">
        <f>IF(ISERROR(VLOOKUP(A89,Report!A:D,4,FALSE)),"NOT FOUND",VLOOKUP(A89,Report!A:D,4,FALSE))</f>
        <v>0</v>
      </c>
      <c r="I89" s="20" t="str">
        <f>IF(ISERROR(VLOOKUP(A89,Report!A:D,2,FALSE)),"NOT FOUND",VLOOKUP(A89,Report!A:D,2,FALSE))</f>
        <v>31-07-2025</v>
      </c>
      <c r="J89" s="53"/>
      <c r="K89" s="56">
        <f t="shared" si="3"/>
        <v>7</v>
      </c>
      <c r="L89" s="56">
        <f t="shared" si="4"/>
        <v>2025</v>
      </c>
      <c r="N89" s="50"/>
    </row>
    <row r="90" spans="1:14" ht="14.5" customHeight="1">
      <c r="A90" s="24" t="s">
        <v>2551</v>
      </c>
      <c r="B90" s="22"/>
      <c r="C90" s="51">
        <v>45839</v>
      </c>
      <c r="D90" s="27">
        <v>62</v>
      </c>
      <c r="E90" s="23" t="s">
        <v>33</v>
      </c>
      <c r="F90" s="11" t="str">
        <f t="shared" si="5"/>
        <v>Accepted</v>
      </c>
      <c r="G90" s="19">
        <f>IF(ISERROR(VLOOKUP(A90,Report!A:D,3,FALSE)),"NOT FOUND",VLOOKUP(A90,Report!A:D,3,FALSE))</f>
        <v>61.95</v>
      </c>
      <c r="H90" s="19">
        <f>IF(ISERROR(VLOOKUP(A90,Report!A:D,4,FALSE)),"NOT FOUND",VLOOKUP(A90,Report!A:D,4,FALSE))</f>
        <v>0</v>
      </c>
      <c r="I90" s="20" t="str">
        <f>IF(ISERROR(VLOOKUP(A90,Report!A:D,2,FALSE)),"NOT FOUND",VLOOKUP(A90,Report!A:D,2,FALSE))</f>
        <v>31-07-2025</v>
      </c>
      <c r="J90" s="53"/>
      <c r="K90" s="56">
        <f t="shared" si="3"/>
        <v>7</v>
      </c>
      <c r="L90" s="56">
        <f t="shared" si="4"/>
        <v>2025</v>
      </c>
      <c r="N90" s="50"/>
    </row>
    <row r="91" spans="1:14" ht="14.5" customHeight="1">
      <c r="A91" s="24" t="s">
        <v>2429</v>
      </c>
      <c r="B91" s="22"/>
      <c r="C91" s="51">
        <v>45839</v>
      </c>
      <c r="D91" s="27">
        <v>62</v>
      </c>
      <c r="E91" s="23" t="s">
        <v>33</v>
      </c>
      <c r="F91" s="11" t="str">
        <f t="shared" si="5"/>
        <v>Accepted</v>
      </c>
      <c r="G91" s="19">
        <f>IF(ISERROR(VLOOKUP(A91,Report!A:D,3,FALSE)),"NOT FOUND",VLOOKUP(A91,Report!A:D,3,FALSE))</f>
        <v>61.95</v>
      </c>
      <c r="H91" s="19">
        <f>IF(ISERROR(VLOOKUP(A91,Report!A:D,4,FALSE)),"NOT FOUND",VLOOKUP(A91,Report!A:D,4,FALSE))</f>
        <v>0</v>
      </c>
      <c r="I91" s="20" t="str">
        <f>IF(ISERROR(VLOOKUP(A91,Report!A:D,2,FALSE)),"NOT FOUND",VLOOKUP(A91,Report!A:D,2,FALSE))</f>
        <v>31-07-2025</v>
      </c>
      <c r="J91" s="53"/>
      <c r="K91" s="56">
        <f t="shared" si="3"/>
        <v>7</v>
      </c>
      <c r="L91" s="56">
        <f t="shared" si="4"/>
        <v>2025</v>
      </c>
      <c r="N91" s="50"/>
    </row>
    <row r="92" spans="1:14" ht="14.5" customHeight="1">
      <c r="A92" s="24" t="s">
        <v>2765</v>
      </c>
      <c r="B92" s="22"/>
      <c r="C92" s="51">
        <v>45839</v>
      </c>
      <c r="D92" s="27">
        <v>62</v>
      </c>
      <c r="E92" s="23" t="s">
        <v>33</v>
      </c>
      <c r="F92" s="11" t="str">
        <f t="shared" si="5"/>
        <v>Accepted</v>
      </c>
      <c r="G92" s="19">
        <f>IF(ISERROR(VLOOKUP(A92,Report!A:D,3,FALSE)),"NOT FOUND",VLOOKUP(A92,Report!A:D,3,FALSE))</f>
        <v>61.95</v>
      </c>
      <c r="H92" s="19">
        <f>IF(ISERROR(VLOOKUP(A92,Report!A:D,4,FALSE)),"NOT FOUND",VLOOKUP(A92,Report!A:D,4,FALSE))</f>
        <v>0</v>
      </c>
      <c r="I92" s="20" t="str">
        <f>IF(ISERROR(VLOOKUP(A92,Report!A:D,2,FALSE)),"NOT FOUND",VLOOKUP(A92,Report!A:D,2,FALSE))</f>
        <v>31-07-2025</v>
      </c>
      <c r="J92" s="53"/>
      <c r="K92" s="56">
        <f t="shared" si="3"/>
        <v>7</v>
      </c>
      <c r="L92" s="56">
        <f t="shared" si="4"/>
        <v>2025</v>
      </c>
      <c r="N92" s="50"/>
    </row>
    <row r="93" spans="1:14" ht="14.5" customHeight="1">
      <c r="A93" s="24" t="s">
        <v>2348</v>
      </c>
      <c r="B93" s="22"/>
      <c r="C93" s="51">
        <v>45839</v>
      </c>
      <c r="D93" s="27">
        <v>62</v>
      </c>
      <c r="E93" s="23" t="s">
        <v>33</v>
      </c>
      <c r="F93" s="11" t="str">
        <f t="shared" si="5"/>
        <v>Accepted</v>
      </c>
      <c r="G93" s="19">
        <f>IF(ISERROR(VLOOKUP(A93,Report!A:D,3,FALSE)),"NOT FOUND",VLOOKUP(A93,Report!A:D,3,FALSE))</f>
        <v>61.95</v>
      </c>
      <c r="H93" s="19">
        <f>IF(ISERROR(VLOOKUP(A93,Report!A:D,4,FALSE)),"NOT FOUND",VLOOKUP(A93,Report!A:D,4,FALSE))</f>
        <v>0</v>
      </c>
      <c r="I93" s="20" t="str">
        <f>IF(ISERROR(VLOOKUP(A93,Report!A:D,2,FALSE)),"NOT FOUND",VLOOKUP(A93,Report!A:D,2,FALSE))</f>
        <v>31-07-2025</v>
      </c>
      <c r="J93" s="53"/>
      <c r="K93" s="56">
        <f t="shared" si="3"/>
        <v>7</v>
      </c>
      <c r="L93" s="56">
        <f t="shared" si="4"/>
        <v>2025</v>
      </c>
      <c r="N93" s="50"/>
    </row>
    <row r="94" spans="1:14" ht="14.5" customHeight="1">
      <c r="A94" s="24" t="s">
        <v>2799</v>
      </c>
      <c r="B94" s="22"/>
      <c r="C94" s="51">
        <v>45839</v>
      </c>
      <c r="D94" s="27">
        <v>62</v>
      </c>
      <c r="E94" s="23" t="s">
        <v>33</v>
      </c>
      <c r="F94" s="11" t="str">
        <f t="shared" si="5"/>
        <v>Accepted</v>
      </c>
      <c r="G94" s="19">
        <f>IF(ISERROR(VLOOKUP(A94,Report!A:D,3,FALSE)),"NOT FOUND",VLOOKUP(A94,Report!A:D,3,FALSE))</f>
        <v>61.95</v>
      </c>
      <c r="H94" s="19">
        <f>IF(ISERROR(VLOOKUP(A94,Report!A:D,4,FALSE)),"NOT FOUND",VLOOKUP(A94,Report!A:D,4,FALSE))</f>
        <v>0</v>
      </c>
      <c r="I94" s="20" t="str">
        <f>IF(ISERROR(VLOOKUP(A94,Report!A:D,2,FALSE)),"NOT FOUND",VLOOKUP(A94,Report!A:D,2,FALSE))</f>
        <v>31-07-2025</v>
      </c>
      <c r="J94" s="53"/>
      <c r="K94" s="56">
        <f t="shared" si="3"/>
        <v>7</v>
      </c>
      <c r="L94" s="56">
        <f t="shared" si="4"/>
        <v>2025</v>
      </c>
      <c r="N94" s="50"/>
    </row>
    <row r="95" spans="1:14" ht="14.5" customHeight="1">
      <c r="A95" s="24" t="s">
        <v>2412</v>
      </c>
      <c r="B95" s="22"/>
      <c r="C95" s="51">
        <v>45839</v>
      </c>
      <c r="D95" s="27">
        <v>62</v>
      </c>
      <c r="E95" s="23" t="s">
        <v>33</v>
      </c>
      <c r="F95" s="11" t="str">
        <f t="shared" si="5"/>
        <v>Accepted</v>
      </c>
      <c r="G95" s="19">
        <f>IF(ISERROR(VLOOKUP(A95,Report!A:D,3,FALSE)),"NOT FOUND",VLOOKUP(A95,Report!A:D,3,FALSE))</f>
        <v>61.95</v>
      </c>
      <c r="H95" s="19">
        <f>IF(ISERROR(VLOOKUP(A95,Report!A:D,4,FALSE)),"NOT FOUND",VLOOKUP(A95,Report!A:D,4,FALSE))</f>
        <v>0</v>
      </c>
      <c r="I95" s="20" t="str">
        <f>IF(ISERROR(VLOOKUP(A95,Report!A:D,2,FALSE)),"NOT FOUND",VLOOKUP(A95,Report!A:D,2,FALSE))</f>
        <v>31-07-2025</v>
      </c>
      <c r="J95" s="53"/>
      <c r="K95" s="56">
        <f t="shared" si="3"/>
        <v>7</v>
      </c>
      <c r="L95" s="56">
        <f t="shared" si="4"/>
        <v>2025</v>
      </c>
      <c r="N95" s="50"/>
    </row>
    <row r="96" spans="1:14" ht="14.5" customHeight="1">
      <c r="A96" s="24" t="s">
        <v>2577</v>
      </c>
      <c r="B96" s="22"/>
      <c r="C96" s="51">
        <v>45839</v>
      </c>
      <c r="D96" s="27">
        <v>62</v>
      </c>
      <c r="E96" s="23" t="s">
        <v>33</v>
      </c>
      <c r="F96" s="11" t="str">
        <f t="shared" si="5"/>
        <v>Accepted</v>
      </c>
      <c r="G96" s="19">
        <f>IF(ISERROR(VLOOKUP(A96,Report!A:D,3,FALSE)),"NOT FOUND",VLOOKUP(A96,Report!A:D,3,FALSE))</f>
        <v>61.95</v>
      </c>
      <c r="H96" s="19">
        <f>IF(ISERROR(VLOOKUP(A96,Report!A:D,4,FALSE)),"NOT FOUND",VLOOKUP(A96,Report!A:D,4,FALSE))</f>
        <v>0</v>
      </c>
      <c r="I96" s="20" t="str">
        <f>IF(ISERROR(VLOOKUP(A96,Report!A:D,2,FALSE)),"NOT FOUND",VLOOKUP(A96,Report!A:D,2,FALSE))</f>
        <v>31-07-2025</v>
      </c>
      <c r="J96" s="53"/>
      <c r="K96" s="56">
        <f t="shared" si="3"/>
        <v>7</v>
      </c>
      <c r="L96" s="56">
        <f t="shared" si="4"/>
        <v>2025</v>
      </c>
      <c r="N96" s="50"/>
    </row>
    <row r="97" spans="1:14" ht="14.5" customHeight="1">
      <c r="A97" s="24" t="s">
        <v>2604</v>
      </c>
      <c r="B97" s="22"/>
      <c r="C97" s="51">
        <v>45839</v>
      </c>
      <c r="D97" s="27">
        <v>62</v>
      </c>
      <c r="E97" s="23" t="s">
        <v>33</v>
      </c>
      <c r="F97" s="11" t="str">
        <f t="shared" si="5"/>
        <v>Accepted</v>
      </c>
      <c r="G97" s="19">
        <f>IF(ISERROR(VLOOKUP(A97,Report!A:D,3,FALSE)),"NOT FOUND",VLOOKUP(A97,Report!A:D,3,FALSE))</f>
        <v>61.95</v>
      </c>
      <c r="H97" s="19">
        <f>IF(ISERROR(VLOOKUP(A97,Report!A:D,4,FALSE)),"NOT FOUND",VLOOKUP(A97,Report!A:D,4,FALSE))</f>
        <v>0</v>
      </c>
      <c r="I97" s="20" t="str">
        <f>IF(ISERROR(VLOOKUP(A97,Report!A:D,2,FALSE)),"NOT FOUND",VLOOKUP(A97,Report!A:D,2,FALSE))</f>
        <v>31-07-2025</v>
      </c>
      <c r="J97" s="53"/>
      <c r="K97" s="56">
        <f t="shared" si="3"/>
        <v>7</v>
      </c>
      <c r="L97" s="56">
        <f t="shared" si="4"/>
        <v>2025</v>
      </c>
      <c r="N97" s="50"/>
    </row>
    <row r="98" spans="1:14" ht="14.5" customHeight="1">
      <c r="A98" s="24" t="s">
        <v>2491</v>
      </c>
      <c r="B98" s="22"/>
      <c r="C98" s="51">
        <v>45839</v>
      </c>
      <c r="D98" s="27">
        <v>62</v>
      </c>
      <c r="E98" s="23" t="s">
        <v>33</v>
      </c>
      <c r="F98" s="11" t="str">
        <f t="shared" si="5"/>
        <v>Accepted</v>
      </c>
      <c r="G98" s="19">
        <f>IF(ISERROR(VLOOKUP(A98,Report!A:D,3,FALSE)),"NOT FOUND",VLOOKUP(A98,Report!A:D,3,FALSE))</f>
        <v>61.95</v>
      </c>
      <c r="H98" s="19">
        <f>IF(ISERROR(VLOOKUP(A98,Report!A:D,4,FALSE)),"NOT FOUND",VLOOKUP(A98,Report!A:D,4,FALSE))</f>
        <v>0</v>
      </c>
      <c r="I98" s="20" t="str">
        <f>IF(ISERROR(VLOOKUP(A98,Report!A:D,2,FALSE)),"NOT FOUND",VLOOKUP(A98,Report!A:D,2,FALSE))</f>
        <v>31-07-2025</v>
      </c>
      <c r="J98" s="53"/>
      <c r="K98" s="56">
        <f t="shared" si="3"/>
        <v>7</v>
      </c>
      <c r="L98" s="56">
        <f t="shared" si="4"/>
        <v>2025</v>
      </c>
      <c r="N98" s="50"/>
    </row>
    <row r="99" spans="1:14" ht="14.5" customHeight="1">
      <c r="A99" s="24" t="s">
        <v>2462</v>
      </c>
      <c r="B99" s="22"/>
      <c r="C99" s="51">
        <v>45839</v>
      </c>
      <c r="D99" s="27">
        <v>62</v>
      </c>
      <c r="E99" s="23" t="s">
        <v>33</v>
      </c>
      <c r="F99" s="11" t="str">
        <f t="shared" si="5"/>
        <v>Accepted</v>
      </c>
      <c r="G99" s="19">
        <f>IF(ISERROR(VLOOKUP(A99,Report!A:D,3,FALSE)),"NOT FOUND",VLOOKUP(A99,Report!A:D,3,FALSE))</f>
        <v>61.95</v>
      </c>
      <c r="H99" s="19">
        <f>IF(ISERROR(VLOOKUP(A99,Report!A:D,4,FALSE)),"NOT FOUND",VLOOKUP(A99,Report!A:D,4,FALSE))</f>
        <v>0</v>
      </c>
      <c r="I99" s="20" t="str">
        <f>IF(ISERROR(VLOOKUP(A99,Report!A:D,2,FALSE)),"NOT FOUND",VLOOKUP(A99,Report!A:D,2,FALSE))</f>
        <v>31-07-2025</v>
      </c>
      <c r="J99" s="53"/>
      <c r="K99" s="56">
        <f t="shared" si="3"/>
        <v>7</v>
      </c>
      <c r="L99" s="56">
        <f t="shared" si="4"/>
        <v>2025</v>
      </c>
      <c r="N99" s="50"/>
    </row>
    <row r="100" spans="1:14" ht="14.5" customHeight="1">
      <c r="A100" s="24" t="s">
        <v>2676</v>
      </c>
      <c r="B100" s="22"/>
      <c r="C100" s="51">
        <v>45839</v>
      </c>
      <c r="D100" s="27">
        <v>62</v>
      </c>
      <c r="E100" s="23" t="s">
        <v>33</v>
      </c>
      <c r="F100" s="11" t="str">
        <f t="shared" si="5"/>
        <v>Accepted</v>
      </c>
      <c r="G100" s="19">
        <f>IF(ISERROR(VLOOKUP(A100,Report!A:D,3,FALSE)),"NOT FOUND",VLOOKUP(A100,Report!A:D,3,FALSE))</f>
        <v>61.95</v>
      </c>
      <c r="H100" s="19">
        <f>IF(ISERROR(VLOOKUP(A100,Report!A:D,4,FALSE)),"NOT FOUND",VLOOKUP(A100,Report!A:D,4,FALSE))</f>
        <v>0</v>
      </c>
      <c r="I100" s="20" t="str">
        <f>IF(ISERROR(VLOOKUP(A100,Report!A:D,2,FALSE)),"NOT FOUND",VLOOKUP(A100,Report!A:D,2,FALSE))</f>
        <v>31-07-2025</v>
      </c>
      <c r="J100" s="53"/>
      <c r="K100" s="56">
        <f t="shared" si="3"/>
        <v>7</v>
      </c>
      <c r="L100" s="56">
        <f t="shared" si="4"/>
        <v>2025</v>
      </c>
      <c r="N100" s="50"/>
    </row>
    <row r="101" spans="1:14" ht="14.5" customHeight="1">
      <c r="A101" s="24" t="s">
        <v>2422</v>
      </c>
      <c r="B101" s="22"/>
      <c r="C101" s="51">
        <v>45839</v>
      </c>
      <c r="D101" s="27">
        <v>62</v>
      </c>
      <c r="E101" s="23" t="s">
        <v>33</v>
      </c>
      <c r="F101" s="11" t="str">
        <f t="shared" si="5"/>
        <v>Accepted</v>
      </c>
      <c r="G101" s="19">
        <f>IF(ISERROR(VLOOKUP(A101,Report!A:D,3,FALSE)),"NOT FOUND",VLOOKUP(A101,Report!A:D,3,FALSE))</f>
        <v>61.95</v>
      </c>
      <c r="H101" s="19">
        <f>IF(ISERROR(VLOOKUP(A101,Report!A:D,4,FALSE)),"NOT FOUND",VLOOKUP(A101,Report!A:D,4,FALSE))</f>
        <v>0</v>
      </c>
      <c r="I101" s="20" t="str">
        <f>IF(ISERROR(VLOOKUP(A101,Report!A:D,2,FALSE)),"NOT FOUND",VLOOKUP(A101,Report!A:D,2,FALSE))</f>
        <v>31-07-2025</v>
      </c>
      <c r="J101" s="53"/>
      <c r="K101" s="56">
        <f t="shared" si="3"/>
        <v>7</v>
      </c>
      <c r="L101" s="56">
        <f t="shared" si="4"/>
        <v>2025</v>
      </c>
      <c r="N101" s="50"/>
    </row>
    <row r="102" spans="1:14" ht="14.5" customHeight="1">
      <c r="A102" s="24" t="s">
        <v>2807</v>
      </c>
      <c r="B102" s="22"/>
      <c r="C102" s="51">
        <v>45839</v>
      </c>
      <c r="D102" s="27">
        <v>62</v>
      </c>
      <c r="E102" s="23" t="s">
        <v>33</v>
      </c>
      <c r="F102" s="11" t="str">
        <f t="shared" si="5"/>
        <v>Accepted</v>
      </c>
      <c r="G102" s="19">
        <f>IF(ISERROR(VLOOKUP(A102,Report!A:D,3,FALSE)),"NOT FOUND",VLOOKUP(A102,Report!A:D,3,FALSE))</f>
        <v>61.95</v>
      </c>
      <c r="H102" s="19">
        <f>IF(ISERROR(VLOOKUP(A102,Report!A:D,4,FALSE)),"NOT FOUND",VLOOKUP(A102,Report!A:D,4,FALSE))</f>
        <v>0</v>
      </c>
      <c r="I102" s="20" t="str">
        <f>IF(ISERROR(VLOOKUP(A102,Report!A:D,2,FALSE)),"NOT FOUND",VLOOKUP(A102,Report!A:D,2,FALSE))</f>
        <v>31-07-2025</v>
      </c>
      <c r="J102" s="53"/>
      <c r="K102" s="56">
        <f t="shared" si="3"/>
        <v>7</v>
      </c>
      <c r="L102" s="56">
        <f t="shared" si="4"/>
        <v>2025</v>
      </c>
      <c r="N102" s="50"/>
    </row>
    <row r="103" spans="1:14" ht="14.5" customHeight="1">
      <c r="A103" s="24" t="s">
        <v>2440</v>
      </c>
      <c r="B103" s="22"/>
      <c r="C103" s="51">
        <v>45839</v>
      </c>
      <c r="D103" s="27">
        <v>62</v>
      </c>
      <c r="E103" s="23" t="s">
        <v>33</v>
      </c>
      <c r="F103" s="11" t="str">
        <f t="shared" si="5"/>
        <v>Accepted</v>
      </c>
      <c r="G103" s="19">
        <f>IF(ISERROR(VLOOKUP(A103,Report!A:D,3,FALSE)),"NOT FOUND",VLOOKUP(A103,Report!A:D,3,FALSE))</f>
        <v>61.95</v>
      </c>
      <c r="H103" s="19">
        <f>IF(ISERROR(VLOOKUP(A103,Report!A:D,4,FALSE)),"NOT FOUND",VLOOKUP(A103,Report!A:D,4,FALSE))</f>
        <v>0</v>
      </c>
      <c r="I103" s="20" t="str">
        <f>IF(ISERROR(VLOOKUP(A103,Report!A:D,2,FALSE)),"NOT FOUND",VLOOKUP(A103,Report!A:D,2,FALSE))</f>
        <v>31-07-2025</v>
      </c>
      <c r="J103" s="53"/>
      <c r="K103" s="56">
        <f t="shared" si="3"/>
        <v>7</v>
      </c>
      <c r="L103" s="56">
        <f t="shared" si="4"/>
        <v>2025</v>
      </c>
      <c r="N103" s="50"/>
    </row>
    <row r="104" spans="1:14" ht="14.5" customHeight="1">
      <c r="A104" s="24" t="s">
        <v>2443</v>
      </c>
      <c r="B104" s="22"/>
      <c r="C104" s="51">
        <v>45839</v>
      </c>
      <c r="D104" s="27">
        <v>62</v>
      </c>
      <c r="E104" s="23" t="s">
        <v>33</v>
      </c>
      <c r="F104" s="11" t="str">
        <f t="shared" si="5"/>
        <v>Accepted</v>
      </c>
      <c r="G104" s="19">
        <f>IF(ISERROR(VLOOKUP(A104,Report!A:D,3,FALSE)),"NOT FOUND",VLOOKUP(A104,Report!A:D,3,FALSE))</f>
        <v>61.95</v>
      </c>
      <c r="H104" s="19">
        <f>IF(ISERROR(VLOOKUP(A104,Report!A:D,4,FALSE)),"NOT FOUND",VLOOKUP(A104,Report!A:D,4,FALSE))</f>
        <v>0</v>
      </c>
      <c r="I104" s="20" t="str">
        <f>IF(ISERROR(VLOOKUP(A104,Report!A:D,2,FALSE)),"NOT FOUND",VLOOKUP(A104,Report!A:D,2,FALSE))</f>
        <v>31-07-2025</v>
      </c>
      <c r="J104" s="53"/>
      <c r="K104" s="56">
        <f t="shared" si="3"/>
        <v>7</v>
      </c>
      <c r="L104" s="56">
        <f t="shared" si="4"/>
        <v>2025</v>
      </c>
      <c r="N104" s="50"/>
    </row>
    <row r="105" spans="1:14">
      <c r="A105" s="24" t="s">
        <v>2606</v>
      </c>
      <c r="B105" s="22"/>
      <c r="C105" s="51">
        <v>45839</v>
      </c>
      <c r="D105" s="27">
        <v>62</v>
      </c>
      <c r="E105" s="23" t="s">
        <v>33</v>
      </c>
      <c r="F105" s="11" t="str">
        <f t="shared" si="5"/>
        <v>Accepted</v>
      </c>
      <c r="G105" s="19">
        <f>IF(ISERROR(VLOOKUP(A105,Report!A:D,3,FALSE)),"NOT FOUND",VLOOKUP(A105,Report!A:D,3,FALSE))</f>
        <v>61.95</v>
      </c>
      <c r="H105" s="19">
        <f>IF(ISERROR(VLOOKUP(A105,Report!A:D,4,FALSE)),"NOT FOUND",VLOOKUP(A105,Report!A:D,4,FALSE))</f>
        <v>0</v>
      </c>
      <c r="I105" s="20" t="str">
        <f>IF(ISERROR(VLOOKUP(A105,Report!A:D,2,FALSE)),"NOT FOUND",VLOOKUP(A105,Report!A:D,2,FALSE))</f>
        <v>31-07-2025</v>
      </c>
      <c r="J105" s="53"/>
      <c r="K105" s="56">
        <f t="shared" si="3"/>
        <v>7</v>
      </c>
      <c r="L105" s="56">
        <f t="shared" si="4"/>
        <v>2025</v>
      </c>
      <c r="N105" s="50"/>
    </row>
    <row r="106" spans="1:14">
      <c r="A106" s="24" t="s">
        <v>2628</v>
      </c>
      <c r="B106" s="22"/>
      <c r="C106" s="51">
        <v>45839</v>
      </c>
      <c r="D106" s="27">
        <v>62</v>
      </c>
      <c r="E106" s="23" t="s">
        <v>33</v>
      </c>
      <c r="F106" s="11" t="str">
        <f t="shared" si="5"/>
        <v>Accepted</v>
      </c>
      <c r="G106" s="19">
        <f>IF(ISERROR(VLOOKUP(A106,Report!A:D,3,FALSE)),"NOT FOUND",VLOOKUP(A106,Report!A:D,3,FALSE))</f>
        <v>61.95</v>
      </c>
      <c r="H106" s="19">
        <f>IF(ISERROR(VLOOKUP(A106,Report!A:D,4,FALSE)),"NOT FOUND",VLOOKUP(A106,Report!A:D,4,FALSE))</f>
        <v>0</v>
      </c>
      <c r="I106" s="20" t="str">
        <f>IF(ISERROR(VLOOKUP(A106,Report!A:D,2,FALSE)),"NOT FOUND",VLOOKUP(A106,Report!A:D,2,FALSE))</f>
        <v>31-07-2025</v>
      </c>
      <c r="J106" s="53"/>
      <c r="K106" s="56">
        <f t="shared" si="3"/>
        <v>7</v>
      </c>
      <c r="L106" s="56">
        <f t="shared" si="4"/>
        <v>2025</v>
      </c>
      <c r="N106" s="50"/>
    </row>
    <row r="107" spans="1:14">
      <c r="A107" s="24" t="s">
        <v>2805</v>
      </c>
      <c r="B107" s="22"/>
      <c r="C107" s="51">
        <v>45839</v>
      </c>
      <c r="D107" s="27">
        <v>62</v>
      </c>
      <c r="E107" s="23" t="s">
        <v>33</v>
      </c>
      <c r="F107" s="11" t="str">
        <f t="shared" si="5"/>
        <v>Accepted</v>
      </c>
      <c r="G107" s="19">
        <f>IF(ISERROR(VLOOKUP(A107,Report!A:D,3,FALSE)),"NOT FOUND",VLOOKUP(A107,Report!A:D,3,FALSE))</f>
        <v>61.95</v>
      </c>
      <c r="H107" s="19">
        <f>IF(ISERROR(VLOOKUP(A107,Report!A:D,4,FALSE)),"NOT FOUND",VLOOKUP(A107,Report!A:D,4,FALSE))</f>
        <v>0</v>
      </c>
      <c r="I107" s="20" t="str">
        <f>IF(ISERROR(VLOOKUP(A107,Report!A:D,2,FALSE)),"NOT FOUND",VLOOKUP(A107,Report!A:D,2,FALSE))</f>
        <v>31-07-2025</v>
      </c>
      <c r="J107" s="53"/>
      <c r="K107" s="56">
        <f t="shared" si="3"/>
        <v>7</v>
      </c>
      <c r="L107" s="56">
        <f t="shared" si="4"/>
        <v>2025</v>
      </c>
      <c r="N107" s="50"/>
    </row>
    <row r="108" spans="1:14">
      <c r="A108" s="24" t="s">
        <v>2817</v>
      </c>
      <c r="B108" s="22">
        <v>360</v>
      </c>
      <c r="C108" s="51">
        <v>45869</v>
      </c>
      <c r="D108" s="13">
        <v>88274</v>
      </c>
      <c r="E108" s="23" t="s">
        <v>33</v>
      </c>
      <c r="F108" s="11" t="str">
        <f t="shared" si="5"/>
        <v>Accepted</v>
      </c>
      <c r="G108" s="19">
        <f>IF(ISERROR(VLOOKUP(A108,Report!A:D,3,FALSE)),"NOT FOUND",VLOOKUP(A108,Report!A:D,3,FALSE))</f>
        <v>88274.19</v>
      </c>
      <c r="H108" s="19">
        <f>IF(ISERROR(VLOOKUP(A108,Report!A:D,4,FALSE)),"NOT FOUND",VLOOKUP(A108,Report!A:D,4,FALSE))</f>
        <v>0</v>
      </c>
      <c r="I108" s="20" t="str">
        <f>IF(ISERROR(VLOOKUP(A108,Report!A:D,2,FALSE)),"NOT FOUND",VLOOKUP(A108,Report!A:D,2,FALSE))</f>
        <v>30-09-2025</v>
      </c>
      <c r="J108" s="53"/>
      <c r="K108" s="56">
        <f t="shared" si="3"/>
        <v>7</v>
      </c>
      <c r="L108" s="56">
        <f t="shared" si="4"/>
        <v>2025</v>
      </c>
      <c r="N108" s="50"/>
    </row>
    <row r="109" spans="1:14">
      <c r="A109" s="24" t="s">
        <v>2720</v>
      </c>
      <c r="B109" s="22">
        <v>361</v>
      </c>
      <c r="C109" s="51">
        <v>45777</v>
      </c>
      <c r="D109" s="13">
        <v>4471</v>
      </c>
      <c r="E109" s="23" t="s">
        <v>33</v>
      </c>
      <c r="F109" s="11" t="str">
        <f t="shared" si="5"/>
        <v>Accepted</v>
      </c>
      <c r="G109" s="19">
        <f>IF(ISERROR(VLOOKUP(A109,Report!A:D,3,FALSE)),"NOT FOUND",VLOOKUP(A109,Report!A:D,3,FALSE))</f>
        <v>4470.63</v>
      </c>
      <c r="H109" s="19">
        <f>IF(ISERROR(VLOOKUP(A109,Report!A:D,4,FALSE)),"NOT FOUND",VLOOKUP(A109,Report!A:D,4,FALSE))</f>
        <v>0</v>
      </c>
      <c r="I109" s="20" t="str">
        <f>IF(ISERROR(VLOOKUP(A109,Report!A:D,2,FALSE)),"NOT FOUND",VLOOKUP(A109,Report!A:D,2,FALSE))</f>
        <v>29-05-2025</v>
      </c>
      <c r="J109" s="53"/>
      <c r="K109" s="56">
        <f t="shared" si="3"/>
        <v>4</v>
      </c>
      <c r="L109" s="56">
        <f t="shared" si="4"/>
        <v>2025</v>
      </c>
      <c r="N109" s="50"/>
    </row>
    <row r="110" spans="1:14">
      <c r="A110" s="24" t="s">
        <v>2729</v>
      </c>
      <c r="B110" s="22">
        <v>362</v>
      </c>
      <c r="C110" s="51">
        <v>45777</v>
      </c>
      <c r="D110" s="13">
        <v>2765</v>
      </c>
      <c r="E110" s="23" t="s">
        <v>33</v>
      </c>
      <c r="F110" s="11" t="str">
        <f t="shared" si="5"/>
        <v>Accepted</v>
      </c>
      <c r="G110" s="19">
        <f>IF(ISERROR(VLOOKUP(A110,Report!A:D,3,FALSE)),"NOT FOUND",VLOOKUP(A110,Report!A:D,3,FALSE))</f>
        <v>2765.42</v>
      </c>
      <c r="H110" s="19">
        <f>IF(ISERROR(VLOOKUP(A110,Report!A:D,4,FALSE)),"NOT FOUND",VLOOKUP(A110,Report!A:D,4,FALSE))</f>
        <v>0</v>
      </c>
      <c r="I110" s="20" t="str">
        <f>IF(ISERROR(VLOOKUP(A110,Report!A:D,2,FALSE)),"NOT FOUND",VLOOKUP(A110,Report!A:D,2,FALSE))</f>
        <v>29-05-2025</v>
      </c>
      <c r="J110" s="54"/>
      <c r="K110" s="56">
        <f t="shared" si="3"/>
        <v>4</v>
      </c>
      <c r="L110" s="56">
        <f t="shared" si="4"/>
        <v>2025</v>
      </c>
      <c r="N110" s="50"/>
    </row>
    <row r="111" spans="1:14">
      <c r="A111" s="24" t="s">
        <v>2742</v>
      </c>
      <c r="B111" s="22">
        <v>363</v>
      </c>
      <c r="C111" s="51">
        <v>45777</v>
      </c>
      <c r="D111" s="13">
        <v>3419</v>
      </c>
      <c r="E111" s="23" t="s">
        <v>33</v>
      </c>
      <c r="F111" s="11" t="str">
        <f t="shared" si="5"/>
        <v>Accepted</v>
      </c>
      <c r="G111" s="19">
        <f>IF(ISERROR(VLOOKUP(A111,Report!A:D,3,FALSE)),"NOT FOUND",VLOOKUP(A111,Report!A:D,3,FALSE))</f>
        <v>3419.35</v>
      </c>
      <c r="H111" s="19">
        <f>IF(ISERROR(VLOOKUP(A111,Report!A:D,4,FALSE)),"NOT FOUND",VLOOKUP(A111,Report!A:D,4,FALSE))</f>
        <v>0</v>
      </c>
      <c r="I111" s="20" t="str">
        <f>IF(ISERROR(VLOOKUP(A111,Report!A:D,2,FALSE)),"NOT FOUND",VLOOKUP(A111,Report!A:D,2,FALSE))</f>
        <v>29-05-2025</v>
      </c>
      <c r="J111" s="53"/>
      <c r="K111" s="56">
        <f t="shared" si="3"/>
        <v>4</v>
      </c>
      <c r="L111" s="56">
        <f t="shared" si="4"/>
        <v>2025</v>
      </c>
      <c r="N111" s="50"/>
    </row>
    <row r="112" spans="1:14">
      <c r="A112" s="24" t="s">
        <v>2710</v>
      </c>
      <c r="B112" s="22">
        <v>364</v>
      </c>
      <c r="C112" s="51">
        <v>45777</v>
      </c>
      <c r="D112" s="13">
        <v>2916</v>
      </c>
      <c r="E112" s="23" t="s">
        <v>33</v>
      </c>
      <c r="F112" s="11" t="str">
        <f t="shared" si="5"/>
        <v>Accepted</v>
      </c>
      <c r="G112" s="19">
        <f>IF(ISERROR(VLOOKUP(A112,Report!A:D,3,FALSE)),"NOT FOUND",VLOOKUP(A112,Report!A:D,3,FALSE))</f>
        <v>2916.44</v>
      </c>
      <c r="H112" s="19">
        <f>IF(ISERROR(VLOOKUP(A112,Report!A:D,4,FALSE)),"NOT FOUND",VLOOKUP(A112,Report!A:D,4,FALSE))</f>
        <v>0</v>
      </c>
      <c r="I112" s="20" t="str">
        <f>IF(ISERROR(VLOOKUP(A112,Report!A:D,2,FALSE)),"NOT FOUND",VLOOKUP(A112,Report!A:D,2,FALSE))</f>
        <v>29-05-2025</v>
      </c>
      <c r="J112" s="53"/>
      <c r="K112" s="56">
        <f t="shared" si="3"/>
        <v>4</v>
      </c>
      <c r="L112" s="56">
        <f t="shared" si="4"/>
        <v>2025</v>
      </c>
      <c r="N112" s="50"/>
    </row>
    <row r="113" spans="1:14">
      <c r="A113" s="24" t="s">
        <v>2735</v>
      </c>
      <c r="B113" s="22">
        <v>365</v>
      </c>
      <c r="C113" s="51">
        <v>45777</v>
      </c>
      <c r="D113" s="13">
        <v>8418</v>
      </c>
      <c r="E113" s="23" t="s">
        <v>33</v>
      </c>
      <c r="F113" s="11" t="str">
        <f t="shared" si="5"/>
        <v>Accepted</v>
      </c>
      <c r="G113" s="19">
        <f>IF(ISERROR(VLOOKUP(A113,Report!A:D,3,FALSE)),"NOT FOUND",VLOOKUP(A113,Report!A:D,3,FALSE))</f>
        <v>8418.35</v>
      </c>
      <c r="H113" s="19">
        <f>IF(ISERROR(VLOOKUP(A113,Report!A:D,4,FALSE)),"NOT FOUND",VLOOKUP(A113,Report!A:D,4,FALSE))</f>
        <v>0</v>
      </c>
      <c r="I113" s="20" t="str">
        <f>IF(ISERROR(VLOOKUP(A113,Report!A:D,2,FALSE)),"NOT FOUND",VLOOKUP(A113,Report!A:D,2,FALSE))</f>
        <v>29-05-2025</v>
      </c>
      <c r="J113" s="53"/>
      <c r="K113" s="56">
        <f t="shared" si="3"/>
        <v>4</v>
      </c>
      <c r="L113" s="56">
        <f t="shared" si="4"/>
        <v>2025</v>
      </c>
      <c r="N113" s="50"/>
    </row>
    <row r="114" spans="1:14">
      <c r="A114" s="22" t="s">
        <v>34</v>
      </c>
      <c r="B114" s="22">
        <v>366</v>
      </c>
      <c r="C114" s="51"/>
      <c r="D114" s="13"/>
      <c r="E114" s="23"/>
      <c r="F114" s="11" t="e">
        <f t="shared" si="5"/>
        <v>#VALUE!</v>
      </c>
      <c r="G114" s="19" t="str">
        <f>IF(ISERROR(VLOOKUP(A114,Report!A:D,3,FALSE)),"NOT FOUND",VLOOKUP(A114,Report!A:D,3,FALSE))</f>
        <v>NOT FOUND</v>
      </c>
      <c r="H114" s="19" t="str">
        <f>IF(ISERROR(VLOOKUP(A114,Report!A:D,4,FALSE)),"NOT FOUND",VLOOKUP(A114,Report!A:D,4,FALSE))</f>
        <v>NOT FOUND</v>
      </c>
      <c r="I114" s="20" t="str">
        <f>IF(ISERROR(VLOOKUP(A114,Report!A:D,2,FALSE)),"NOT FOUND",VLOOKUP(A114,Report!A:D,2,FALSE))</f>
        <v>NOT FOUND</v>
      </c>
      <c r="J114" s="53"/>
      <c r="K114" s="56">
        <f t="shared" si="3"/>
        <v>1</v>
      </c>
      <c r="L114" s="56">
        <f t="shared" si="4"/>
        <v>1900</v>
      </c>
      <c r="N114" s="50"/>
    </row>
    <row r="115" spans="1:14">
      <c r="A115" s="24" t="s">
        <v>2276</v>
      </c>
      <c r="B115" s="22">
        <v>367</v>
      </c>
      <c r="C115" s="51">
        <v>45777</v>
      </c>
      <c r="D115" s="13">
        <v>1927</v>
      </c>
      <c r="E115" s="23" t="s">
        <v>33</v>
      </c>
      <c r="F115" s="11" t="str">
        <f t="shared" si="5"/>
        <v>Accepted</v>
      </c>
      <c r="G115" s="19">
        <f>IF(ISERROR(VLOOKUP(A115,Report!A:D,3,FALSE)),"NOT FOUND",VLOOKUP(A115,Report!A:D,3,FALSE))</f>
        <v>1926.94</v>
      </c>
      <c r="H115" s="19">
        <f>IF(ISERROR(VLOOKUP(A115,Report!A:D,4,FALSE)),"NOT FOUND",VLOOKUP(A115,Report!A:D,4,FALSE))</f>
        <v>0</v>
      </c>
      <c r="I115" s="20" t="str">
        <f>IF(ISERROR(VLOOKUP(A115,Report!A:D,2,FALSE)),"NOT FOUND",VLOOKUP(A115,Report!A:D,2,FALSE))</f>
        <v>29-05-2025</v>
      </c>
      <c r="J115" s="53"/>
      <c r="K115" s="56">
        <f t="shared" si="3"/>
        <v>4</v>
      </c>
      <c r="L115" s="56">
        <f t="shared" si="4"/>
        <v>2025</v>
      </c>
      <c r="N115" s="50"/>
    </row>
    <row r="116" spans="1:14">
      <c r="A116" s="22"/>
      <c r="B116" s="22">
        <v>368</v>
      </c>
      <c r="C116" s="51"/>
      <c r="D116" s="13"/>
      <c r="E116" s="23"/>
      <c r="F116" s="11" t="e">
        <f t="shared" si="5"/>
        <v>#VALUE!</v>
      </c>
      <c r="G116" s="19" t="str">
        <f>IF(ISERROR(VLOOKUP(A116,Report!A:D,3,FALSE)),"NOT FOUND",VLOOKUP(A116,Report!A:D,3,FALSE))</f>
        <v>NOT FOUND</v>
      </c>
      <c r="H116" s="19" t="str">
        <f>IF(ISERROR(VLOOKUP(A116,Report!A:D,4,FALSE)),"NOT FOUND",VLOOKUP(A116,Report!A:D,4,FALSE))</f>
        <v>NOT FOUND</v>
      </c>
      <c r="I116" s="20" t="str">
        <f>IF(ISERROR(VLOOKUP(A116,Report!A:D,2,FALSE)),"NOT FOUND",VLOOKUP(A116,Report!A:D,2,FALSE))</f>
        <v>NOT FOUND</v>
      </c>
      <c r="J116" s="53" t="s">
        <v>46</v>
      </c>
      <c r="K116" s="56">
        <f t="shared" si="3"/>
        <v>1</v>
      </c>
      <c r="L116" s="56">
        <f t="shared" si="4"/>
        <v>1900</v>
      </c>
      <c r="N116" s="50"/>
    </row>
    <row r="117" spans="1:14">
      <c r="A117" s="24" t="s">
        <v>2286</v>
      </c>
      <c r="B117" s="22">
        <v>369</v>
      </c>
      <c r="C117" s="51">
        <v>45777</v>
      </c>
      <c r="D117" s="13">
        <v>11953</v>
      </c>
      <c r="E117" s="23" t="s">
        <v>33</v>
      </c>
      <c r="F117" s="11" t="str">
        <f t="shared" si="5"/>
        <v>Accepted</v>
      </c>
      <c r="G117" s="19">
        <f>IF(ISERROR(VLOOKUP(A117,Report!A:D,3,FALSE)),"NOT FOUND",VLOOKUP(A117,Report!A:D,3,FALSE))</f>
        <v>11952.71</v>
      </c>
      <c r="H117" s="19">
        <f>IF(ISERROR(VLOOKUP(A117,Report!A:D,4,FALSE)),"NOT FOUND",VLOOKUP(A117,Report!A:D,4,FALSE))</f>
        <v>0</v>
      </c>
      <c r="I117" s="20" t="str">
        <f>IF(ISERROR(VLOOKUP(A117,Report!A:D,2,FALSE)),"NOT FOUND",VLOOKUP(A117,Report!A:D,2,FALSE))</f>
        <v>29-05-2025</v>
      </c>
      <c r="J117" s="53"/>
      <c r="K117" s="56">
        <f t="shared" si="3"/>
        <v>4</v>
      </c>
      <c r="L117" s="56">
        <f t="shared" si="4"/>
        <v>2025</v>
      </c>
      <c r="N117" s="50"/>
    </row>
    <row r="118" spans="1:14">
      <c r="A118" s="24" t="s">
        <v>2323</v>
      </c>
      <c r="B118" s="22">
        <v>370</v>
      </c>
      <c r="C118" s="51">
        <v>45808</v>
      </c>
      <c r="D118" s="13">
        <v>689</v>
      </c>
      <c r="E118" s="23" t="s">
        <v>33</v>
      </c>
      <c r="F118" s="11" t="str">
        <f t="shared" si="5"/>
        <v>Accepted</v>
      </c>
      <c r="G118" s="19">
        <f>IF(ISERROR(VLOOKUP(A118,Report!A:D,3,FALSE)),"NOT FOUND",VLOOKUP(A118,Report!A:D,3,FALSE))</f>
        <v>689.3599999999999</v>
      </c>
      <c r="H118" s="19">
        <f>IF(ISERROR(VLOOKUP(A118,Report!A:D,4,FALSE)),"NOT FOUND",VLOOKUP(A118,Report!A:D,4,FALSE))</f>
        <v>0</v>
      </c>
      <c r="I118" s="20" t="str">
        <f>IF(ISERROR(VLOOKUP(A118,Report!A:D,2,FALSE)),"NOT FOUND",VLOOKUP(A118,Report!A:D,2,FALSE))</f>
        <v>23-07-2025</v>
      </c>
      <c r="J118" s="53"/>
      <c r="K118" s="56">
        <f t="shared" si="3"/>
        <v>5</v>
      </c>
      <c r="L118" s="56">
        <f t="shared" si="4"/>
        <v>2025</v>
      </c>
      <c r="N118" s="50"/>
    </row>
    <row r="119" spans="1:14">
      <c r="A119" s="24" t="s">
        <v>2329</v>
      </c>
      <c r="B119" s="22">
        <v>371</v>
      </c>
      <c r="C119" s="51">
        <v>45808</v>
      </c>
      <c r="D119" s="13">
        <v>7636</v>
      </c>
      <c r="E119" s="23" t="s">
        <v>33</v>
      </c>
      <c r="F119" s="11" t="str">
        <f t="shared" si="5"/>
        <v>Accepted</v>
      </c>
      <c r="G119" s="19">
        <f>IF(ISERROR(VLOOKUP(A119,Report!A:D,3,FALSE)),"NOT FOUND",VLOOKUP(A119,Report!A:D,3,FALSE))</f>
        <v>7635.58</v>
      </c>
      <c r="H119" s="19">
        <f>IF(ISERROR(VLOOKUP(A119,Report!A:D,4,FALSE)),"NOT FOUND",VLOOKUP(A119,Report!A:D,4,FALSE))</f>
        <v>0</v>
      </c>
      <c r="I119" s="20" t="str">
        <f>IF(ISERROR(VLOOKUP(A119,Report!A:D,2,FALSE)),"NOT FOUND",VLOOKUP(A119,Report!A:D,2,FALSE))</f>
        <v>23-07-2025</v>
      </c>
      <c r="J119" s="53"/>
      <c r="K119" s="56">
        <f t="shared" si="3"/>
        <v>5</v>
      </c>
      <c r="L119" s="56">
        <f t="shared" si="4"/>
        <v>2025</v>
      </c>
      <c r="N119" s="50"/>
    </row>
    <row r="120" spans="1:14">
      <c r="A120" s="24" t="s">
        <v>2329</v>
      </c>
      <c r="B120" s="22">
        <v>371</v>
      </c>
      <c r="C120" s="51">
        <v>45808</v>
      </c>
      <c r="D120" s="13">
        <v>7636</v>
      </c>
      <c r="E120" s="23" t="s">
        <v>33</v>
      </c>
      <c r="F120" s="11" t="str">
        <f t="shared" si="5"/>
        <v>Accepted</v>
      </c>
      <c r="G120" s="19">
        <f>IF(ISERROR(VLOOKUP(A120,Report!A:D,3,FALSE)),"NOT FOUND",VLOOKUP(A120,Report!A:D,3,FALSE))</f>
        <v>7635.58</v>
      </c>
      <c r="H120" s="19">
        <f>IF(ISERROR(VLOOKUP(A120,Report!A:D,4,FALSE)),"NOT FOUND",VLOOKUP(A120,Report!A:D,4,FALSE))</f>
        <v>0</v>
      </c>
      <c r="I120" s="20" t="str">
        <f>IF(ISERROR(VLOOKUP(A120,Report!A:D,2,FALSE)),"NOT FOUND",VLOOKUP(A120,Report!A:D,2,FALSE))</f>
        <v>23-07-2025</v>
      </c>
      <c r="J120" s="53"/>
      <c r="K120" s="56">
        <f t="shared" si="3"/>
        <v>5</v>
      </c>
      <c r="L120" s="56">
        <f t="shared" si="4"/>
        <v>2025</v>
      </c>
      <c r="N120" s="50"/>
    </row>
    <row r="121" spans="1:14">
      <c r="A121" s="24" t="s">
        <v>2304</v>
      </c>
      <c r="B121" s="22">
        <v>372</v>
      </c>
      <c r="C121" s="51">
        <v>45808</v>
      </c>
      <c r="D121" s="13">
        <v>3419</v>
      </c>
      <c r="E121" s="23" t="s">
        <v>33</v>
      </c>
      <c r="F121" s="11" t="str">
        <f t="shared" si="5"/>
        <v>Accepted</v>
      </c>
      <c r="G121" s="19">
        <f>IF(ISERROR(VLOOKUP(A121,Report!A:D,3,FALSE)),"NOT FOUND",VLOOKUP(A121,Report!A:D,3,FALSE))</f>
        <v>3419.35</v>
      </c>
      <c r="H121" s="19">
        <f>IF(ISERROR(VLOOKUP(A121,Report!A:D,4,FALSE)),"NOT FOUND",VLOOKUP(A121,Report!A:D,4,FALSE))</f>
        <v>0</v>
      </c>
      <c r="I121" s="20" t="str">
        <f>IF(ISERROR(VLOOKUP(A121,Report!A:D,2,FALSE)),"NOT FOUND",VLOOKUP(A121,Report!A:D,2,FALSE))</f>
        <v>23-07-2025</v>
      </c>
      <c r="J121" s="53"/>
      <c r="K121" s="56">
        <f t="shared" si="3"/>
        <v>5</v>
      </c>
      <c r="L121" s="56">
        <f t="shared" si="4"/>
        <v>2025</v>
      </c>
      <c r="N121" s="50"/>
    </row>
    <row r="122" spans="1:14">
      <c r="A122" s="24" t="s">
        <v>2315</v>
      </c>
      <c r="B122" s="22">
        <v>373</v>
      </c>
      <c r="C122" s="51">
        <v>45808</v>
      </c>
      <c r="D122" s="13">
        <v>2049</v>
      </c>
      <c r="E122" s="23" t="s">
        <v>33</v>
      </c>
      <c r="F122" s="11" t="str">
        <f t="shared" si="5"/>
        <v>Accepted</v>
      </c>
      <c r="G122" s="19">
        <f>IF(ISERROR(VLOOKUP(A122,Report!A:D,3,FALSE)),"NOT FOUND",VLOOKUP(A122,Report!A:D,3,FALSE))</f>
        <v>2049.08</v>
      </c>
      <c r="H122" s="19">
        <f>IF(ISERROR(VLOOKUP(A122,Report!A:D,4,FALSE)),"NOT FOUND",VLOOKUP(A122,Report!A:D,4,FALSE))</f>
        <v>0</v>
      </c>
      <c r="I122" s="20" t="str">
        <f>IF(ISERROR(VLOOKUP(A122,Report!A:D,2,FALSE)),"NOT FOUND",VLOOKUP(A122,Report!A:D,2,FALSE))</f>
        <v>23-07-2025</v>
      </c>
      <c r="J122" s="53"/>
      <c r="K122" s="56">
        <f t="shared" si="3"/>
        <v>5</v>
      </c>
      <c r="L122" s="56">
        <f t="shared" si="4"/>
        <v>2025</v>
      </c>
      <c r="N122" s="50"/>
    </row>
    <row r="123" spans="1:14">
      <c r="A123" s="24" t="s">
        <v>2621</v>
      </c>
      <c r="B123" s="22">
        <v>374</v>
      </c>
      <c r="C123" s="51">
        <v>45836</v>
      </c>
      <c r="D123" s="13">
        <v>3186</v>
      </c>
      <c r="E123" s="23" t="s">
        <v>33</v>
      </c>
      <c r="F123" s="11" t="str">
        <f t="shared" si="5"/>
        <v>Accepted</v>
      </c>
      <c r="G123" s="19">
        <f>IF(ISERROR(VLOOKUP(A123,Report!A:D,3,FALSE)),"NOT FOUND",VLOOKUP(A123,Report!A:D,3,FALSE))</f>
        <v>3186</v>
      </c>
      <c r="H123" s="19">
        <f>IF(ISERROR(VLOOKUP(A123,Report!A:D,4,FALSE)),"NOT FOUND",VLOOKUP(A123,Report!A:D,4,FALSE))</f>
        <v>0</v>
      </c>
      <c r="I123" s="20" t="str">
        <f>IF(ISERROR(VLOOKUP(A123,Report!A:D,2,FALSE)),"NOT FOUND",VLOOKUP(A123,Report!A:D,2,FALSE))</f>
        <v>25-07-2025</v>
      </c>
      <c r="J123" s="53"/>
      <c r="K123" s="56">
        <f t="shared" si="3"/>
        <v>6</v>
      </c>
      <c r="L123" s="56">
        <f t="shared" si="4"/>
        <v>2025</v>
      </c>
      <c r="N123" s="50"/>
    </row>
    <row r="124" spans="1:14">
      <c r="A124" s="24" t="s">
        <v>2563</v>
      </c>
      <c r="B124" s="22">
        <v>375</v>
      </c>
      <c r="C124" s="51">
        <v>45836</v>
      </c>
      <c r="D124" s="13">
        <v>2965</v>
      </c>
      <c r="E124" s="23" t="s">
        <v>33</v>
      </c>
      <c r="F124" s="11" t="str">
        <f t="shared" si="5"/>
        <v>Accepted</v>
      </c>
      <c r="G124" s="19">
        <f>IF(ISERROR(VLOOKUP(A124,Report!A:D,3,FALSE)),"NOT FOUND",VLOOKUP(A124,Report!A:D,3,FALSE))</f>
        <v>2964.75</v>
      </c>
      <c r="H124" s="19">
        <f>IF(ISERROR(VLOOKUP(A124,Report!A:D,4,FALSE)),"NOT FOUND",VLOOKUP(A124,Report!A:D,4,FALSE))</f>
        <v>0</v>
      </c>
      <c r="I124" s="20" t="str">
        <f>IF(ISERROR(VLOOKUP(A124,Report!A:D,2,FALSE)),"NOT FOUND",VLOOKUP(A124,Report!A:D,2,FALSE))</f>
        <v>25-07-2025</v>
      </c>
      <c r="J124" s="53"/>
      <c r="K124" s="56">
        <f t="shared" si="3"/>
        <v>6</v>
      </c>
      <c r="L124" s="56">
        <f t="shared" si="4"/>
        <v>2025</v>
      </c>
      <c r="N124" s="50"/>
    </row>
    <row r="125" spans="1:14">
      <c r="A125" s="24" t="s">
        <v>2756</v>
      </c>
      <c r="B125" s="22">
        <v>376</v>
      </c>
      <c r="C125" s="51">
        <v>45836</v>
      </c>
      <c r="D125" s="13">
        <v>8045</v>
      </c>
      <c r="E125" s="23" t="s">
        <v>33</v>
      </c>
      <c r="F125" s="11" t="str">
        <f t="shared" si="5"/>
        <v>Accepted</v>
      </c>
      <c r="G125" s="19">
        <f>IF(ISERROR(VLOOKUP(A125,Report!A:D,3,FALSE)),"NOT FOUND",VLOOKUP(A125,Report!A:D,3,FALSE))</f>
        <v>8045.09</v>
      </c>
      <c r="H125" s="19">
        <f>IF(ISERROR(VLOOKUP(A125,Report!A:D,4,FALSE)),"NOT FOUND",VLOOKUP(A125,Report!A:D,4,FALSE))</f>
        <v>0</v>
      </c>
      <c r="I125" s="20" t="str">
        <f>IF(ISERROR(VLOOKUP(A125,Report!A:D,2,FALSE)),"NOT FOUND",VLOOKUP(A125,Report!A:D,2,FALSE))</f>
        <v>23-07-2025</v>
      </c>
      <c r="J125" s="53"/>
      <c r="K125" s="56">
        <f t="shared" si="3"/>
        <v>6</v>
      </c>
      <c r="L125" s="56">
        <f t="shared" si="4"/>
        <v>2025</v>
      </c>
      <c r="N125" s="50"/>
    </row>
    <row r="126" spans="1:14">
      <c r="A126" s="24" t="s">
        <v>2756</v>
      </c>
      <c r="B126" s="22">
        <v>376</v>
      </c>
      <c r="C126" s="51">
        <v>45836</v>
      </c>
      <c r="D126" s="13"/>
      <c r="E126" s="23" t="s">
        <v>33</v>
      </c>
      <c r="F126" s="11" t="str">
        <f t="shared" si="5"/>
        <v>Accepted</v>
      </c>
      <c r="G126" s="19">
        <f>IF(ISERROR(VLOOKUP(A126,Report!A:D,3,FALSE)),"NOT FOUND",VLOOKUP(A126,Report!A:D,3,FALSE))</f>
        <v>8045.09</v>
      </c>
      <c r="H126" s="19">
        <f>IF(ISERROR(VLOOKUP(A126,Report!A:D,4,FALSE)),"NOT FOUND",VLOOKUP(A126,Report!A:D,4,FALSE))</f>
        <v>0</v>
      </c>
      <c r="I126" s="20" t="str">
        <f>IF(ISERROR(VLOOKUP(A126,Report!A:D,2,FALSE)),"NOT FOUND",VLOOKUP(A126,Report!A:D,2,FALSE))</f>
        <v>23-07-2025</v>
      </c>
      <c r="J126" s="53"/>
      <c r="K126" s="56">
        <f t="shared" ref="K126:K189" si="6">MONTH(C126)</f>
        <v>6</v>
      </c>
      <c r="L126" s="56">
        <f t="shared" ref="L126:L189" si="7">YEAR(C126)</f>
        <v>2025</v>
      </c>
      <c r="N126" s="50"/>
    </row>
    <row r="127" spans="1:14">
      <c r="A127" s="24" t="s">
        <v>2588</v>
      </c>
      <c r="B127" s="22">
        <v>377</v>
      </c>
      <c r="C127" s="51">
        <v>45836</v>
      </c>
      <c r="D127" s="13">
        <v>396</v>
      </c>
      <c r="E127" s="23" t="s">
        <v>33</v>
      </c>
      <c r="F127" s="11" t="str">
        <f t="shared" si="5"/>
        <v>Accepted</v>
      </c>
      <c r="G127" s="19">
        <f>IF(ISERROR(VLOOKUP(A127,Report!A:D,3,FALSE)),"NOT FOUND",VLOOKUP(A127,Report!A:D,3,FALSE))</f>
        <v>396.47</v>
      </c>
      <c r="H127" s="19">
        <f>IF(ISERROR(VLOOKUP(A127,Report!A:D,4,FALSE)),"NOT FOUND",VLOOKUP(A127,Report!A:D,4,FALSE))</f>
        <v>0</v>
      </c>
      <c r="I127" s="20" t="str">
        <f>IF(ISERROR(VLOOKUP(A127,Report!A:D,2,FALSE)),"NOT FOUND",VLOOKUP(A127,Report!A:D,2,FALSE))</f>
        <v>23-07-2025</v>
      </c>
      <c r="J127" s="53"/>
      <c r="K127" s="56">
        <f t="shared" si="6"/>
        <v>6</v>
      </c>
      <c r="L127" s="56">
        <f t="shared" si="7"/>
        <v>2025</v>
      </c>
      <c r="N127" s="50"/>
    </row>
    <row r="128" spans="1:14">
      <c r="A128" s="24" t="s">
        <v>2335</v>
      </c>
      <c r="B128" s="22">
        <v>378</v>
      </c>
      <c r="C128" s="51">
        <v>45836</v>
      </c>
      <c r="D128" s="13">
        <v>7105</v>
      </c>
      <c r="E128" s="23" t="s">
        <v>33</v>
      </c>
      <c r="F128" s="11" t="str">
        <f t="shared" ref="F128:F191" si="8">IF((D128-G128)&lt;10,"Accepted","Partial/Rejected")</f>
        <v>Accepted</v>
      </c>
      <c r="G128" s="19">
        <f>IF(ISERROR(VLOOKUP(A128,Report!A:D,3,FALSE)),"NOT FOUND",VLOOKUP(A128,Report!A:D,3,FALSE))</f>
        <v>7104.77</v>
      </c>
      <c r="H128" s="19">
        <f>IF(ISERROR(VLOOKUP(A128,Report!A:D,4,FALSE)),"NOT FOUND",VLOOKUP(A128,Report!A:D,4,FALSE))</f>
        <v>0</v>
      </c>
      <c r="I128" s="20" t="str">
        <f>IF(ISERROR(VLOOKUP(A128,Report!A:D,2,FALSE)),"NOT FOUND",VLOOKUP(A128,Report!A:D,2,FALSE))</f>
        <v>23-07-2025</v>
      </c>
      <c r="J128" s="53"/>
      <c r="K128" s="56">
        <f t="shared" si="6"/>
        <v>6</v>
      </c>
      <c r="L128" s="56">
        <f t="shared" si="7"/>
        <v>2025</v>
      </c>
      <c r="N128" s="50"/>
    </row>
    <row r="129" spans="1:14">
      <c r="A129" s="24" t="s">
        <v>2814</v>
      </c>
      <c r="B129" s="22">
        <v>379</v>
      </c>
      <c r="C129" s="51">
        <v>45869</v>
      </c>
      <c r="D129" s="13">
        <v>2539</v>
      </c>
      <c r="E129" s="23" t="s">
        <v>33</v>
      </c>
      <c r="F129" s="11" t="str">
        <f t="shared" si="8"/>
        <v>Accepted</v>
      </c>
      <c r="G129" s="19">
        <f>IF(ISERROR(VLOOKUP(A129,Report!A:D,3,FALSE)),"NOT FOUND",VLOOKUP(A129,Report!A:D,3,FALSE))</f>
        <v>2538.69</v>
      </c>
      <c r="H129" s="19">
        <f>IF(ISERROR(VLOOKUP(A129,Report!A:D,4,FALSE)),"NOT FOUND",VLOOKUP(A129,Report!A:D,4,FALSE))</f>
        <v>0</v>
      </c>
      <c r="I129" s="20" t="str">
        <f>IF(ISERROR(VLOOKUP(A129,Report!A:D,2,FALSE)),"NOT FOUND",VLOOKUP(A129,Report!A:D,2,FALSE))</f>
        <v>30-09-2025</v>
      </c>
      <c r="J129" s="53"/>
      <c r="K129" s="56">
        <f t="shared" si="6"/>
        <v>7</v>
      </c>
      <c r="L129" s="56">
        <f t="shared" si="7"/>
        <v>2025</v>
      </c>
      <c r="N129" s="50"/>
    </row>
    <row r="130" spans="1:14">
      <c r="A130" s="24" t="s">
        <v>2694</v>
      </c>
      <c r="B130" s="22">
        <v>380</v>
      </c>
      <c r="C130" s="51">
        <v>45869</v>
      </c>
      <c r="D130" s="13">
        <v>14960</v>
      </c>
      <c r="E130" s="23" t="s">
        <v>33</v>
      </c>
      <c r="F130" s="11" t="str">
        <f t="shared" si="8"/>
        <v>Partial/Rejected</v>
      </c>
      <c r="G130" s="19">
        <f>IF(ISERROR(VLOOKUP(A130,Report!A:D,3,FALSE)),"NOT FOUND",VLOOKUP(A130,Report!A:D,3,FALSE))</f>
        <v>11164.7</v>
      </c>
      <c r="H130" s="19">
        <f>IF(ISERROR(VLOOKUP(A130,Report!A:D,4,FALSE)),"NOT FOUND",VLOOKUP(A130,Report!A:D,4,FALSE))</f>
        <v>3794.88</v>
      </c>
      <c r="I130" s="20" t="str">
        <f>IF(ISERROR(VLOOKUP(A130,Report!A:D,2,FALSE)),"NOT FOUND",VLOOKUP(A130,Report!A:D,2,FALSE))</f>
        <v>30-09-2025</v>
      </c>
      <c r="J130" s="53"/>
      <c r="K130" s="56">
        <f t="shared" si="6"/>
        <v>7</v>
      </c>
      <c r="L130" s="56">
        <f t="shared" si="7"/>
        <v>2025</v>
      </c>
      <c r="N130" s="50"/>
    </row>
    <row r="131" spans="1:14">
      <c r="A131" s="24" t="s">
        <v>2809</v>
      </c>
      <c r="B131" s="22">
        <v>381</v>
      </c>
      <c r="C131" s="51">
        <v>45869</v>
      </c>
      <c r="D131" s="13">
        <v>11795</v>
      </c>
      <c r="E131" s="23" t="s">
        <v>33</v>
      </c>
      <c r="F131" s="11" t="str">
        <f t="shared" si="8"/>
        <v>Accepted</v>
      </c>
      <c r="G131" s="19">
        <f>IF(ISERROR(VLOOKUP(A131,Report!A:D,3,FALSE)),"NOT FOUND",VLOOKUP(A131,Report!A:D,3,FALSE))</f>
        <v>11794.92</v>
      </c>
      <c r="H131" s="19">
        <f>IF(ISERROR(VLOOKUP(A131,Report!A:D,4,FALSE)),"NOT FOUND",VLOOKUP(A131,Report!A:D,4,FALSE))</f>
        <v>0</v>
      </c>
      <c r="I131" s="20" t="str">
        <f>IF(ISERROR(VLOOKUP(A131,Report!A:D,2,FALSE)),"NOT FOUND",VLOOKUP(A131,Report!A:D,2,FALSE))</f>
        <v>30-09-2025</v>
      </c>
      <c r="J131" s="53"/>
      <c r="K131" s="56">
        <f t="shared" si="6"/>
        <v>7</v>
      </c>
      <c r="L131" s="56">
        <f t="shared" si="7"/>
        <v>2025</v>
      </c>
      <c r="N131" s="50"/>
    </row>
    <row r="132" spans="1:14">
      <c r="A132" s="24" t="s">
        <v>2704</v>
      </c>
      <c r="B132" s="22">
        <v>382</v>
      </c>
      <c r="C132" s="51">
        <v>45869</v>
      </c>
      <c r="D132" s="13">
        <v>8539</v>
      </c>
      <c r="E132" s="23" t="s">
        <v>33</v>
      </c>
      <c r="F132" s="11" t="str">
        <f t="shared" si="8"/>
        <v>Accepted</v>
      </c>
      <c r="G132" s="19">
        <f>IF(ISERROR(VLOOKUP(A132,Report!A:D,3,FALSE)),"NOT FOUND",VLOOKUP(A132,Report!A:D,3,FALSE))</f>
        <v>8539.08</v>
      </c>
      <c r="H132" s="19">
        <f>IF(ISERROR(VLOOKUP(A132,Report!A:D,4,FALSE)),"NOT FOUND",VLOOKUP(A132,Report!A:D,4,FALSE))</f>
        <v>0</v>
      </c>
      <c r="I132" s="20" t="str">
        <f>IF(ISERROR(VLOOKUP(A132,Report!A:D,2,FALSE)),"NOT FOUND",VLOOKUP(A132,Report!A:D,2,FALSE))</f>
        <v>30-09-2025</v>
      </c>
      <c r="J132" s="53"/>
      <c r="K132" s="56">
        <f t="shared" si="6"/>
        <v>7</v>
      </c>
      <c r="L132" s="56">
        <f t="shared" si="7"/>
        <v>2025</v>
      </c>
      <c r="N132" s="50"/>
    </row>
    <row r="133" spans="1:14">
      <c r="A133" s="25" t="s">
        <v>151</v>
      </c>
      <c r="B133" s="22"/>
      <c r="C133" s="51">
        <v>45869</v>
      </c>
      <c r="D133" s="13">
        <v>45489</v>
      </c>
      <c r="E133" s="26" t="s">
        <v>153</v>
      </c>
      <c r="F133" s="11" t="str">
        <f t="shared" si="8"/>
        <v>Accepted</v>
      </c>
      <c r="G133" s="19">
        <f>IF(ISERROR(VLOOKUP(A133,Report!A:D,3,FALSE)),"NOT FOUND",VLOOKUP(A133,Report!A:D,3,FALSE))</f>
        <v>45489</v>
      </c>
      <c r="H133" s="19">
        <f>IF(ISERROR(VLOOKUP(A133,Report!A:D,4,FALSE)),"NOT FOUND",VLOOKUP(A133,Report!A:D,4,FALSE))</f>
        <v>0</v>
      </c>
      <c r="I133" s="20" t="str">
        <f>IF(ISERROR(VLOOKUP(A133,Report!A:D,2,FALSE)),"NOT FOUND",VLOOKUP(A133,Report!A:D,2,FALSE))</f>
        <v>12-Sep-25</v>
      </c>
      <c r="J133" s="53"/>
      <c r="K133" s="56">
        <f t="shared" si="6"/>
        <v>7</v>
      </c>
      <c r="L133" s="56">
        <f t="shared" si="7"/>
        <v>2025</v>
      </c>
      <c r="N133" s="50"/>
    </row>
    <row r="134" spans="1:14">
      <c r="A134" s="25" t="s">
        <v>152</v>
      </c>
      <c r="B134" s="22"/>
      <c r="C134" s="51">
        <v>45869</v>
      </c>
      <c r="D134" s="13">
        <v>118295</v>
      </c>
      <c r="E134" s="26" t="s">
        <v>154</v>
      </c>
      <c r="F134" s="11" t="str">
        <f t="shared" si="8"/>
        <v>Accepted</v>
      </c>
      <c r="G134" s="19">
        <f>IF(ISERROR(VLOOKUP(A134,Report!A:D,3,FALSE)),"NOT FOUND",VLOOKUP(A134,Report!A:D,3,FALSE))</f>
        <v>118295</v>
      </c>
      <c r="H134" s="19">
        <f>IF(ISERROR(VLOOKUP(A134,Report!A:D,4,FALSE)),"NOT FOUND",VLOOKUP(A134,Report!A:D,4,FALSE))</f>
        <v>5320</v>
      </c>
      <c r="I134" s="20" t="str">
        <f>IF(ISERROR(VLOOKUP(A134,Report!A:D,2,FALSE)),"NOT FOUND",VLOOKUP(A134,Report!A:D,2,FALSE))</f>
        <v>23-Sep-25</v>
      </c>
      <c r="J134" s="53"/>
      <c r="K134" s="56">
        <f t="shared" si="6"/>
        <v>7</v>
      </c>
      <c r="L134" s="56">
        <f t="shared" si="7"/>
        <v>2025</v>
      </c>
      <c r="N134" s="50"/>
    </row>
    <row r="135" spans="1:14">
      <c r="A135" s="22" t="s">
        <v>3633</v>
      </c>
      <c r="B135" s="22">
        <v>383</v>
      </c>
      <c r="C135" s="51">
        <v>45961</v>
      </c>
      <c r="D135" s="13">
        <v>31147</v>
      </c>
      <c r="E135" s="23" t="s">
        <v>33</v>
      </c>
      <c r="F135" s="11" t="str">
        <f t="shared" si="8"/>
        <v>Accepted</v>
      </c>
      <c r="G135" s="19">
        <f>IF(ISERROR(VLOOKUP(A135,Report!A:D,3,FALSE)),"NOT FOUND",VLOOKUP(A135,Report!A:D,3,FALSE))</f>
        <v>31147.129999999997</v>
      </c>
      <c r="H135" s="19">
        <f>IF(ISERROR(VLOOKUP(A135,Report!A:D,4,FALSE)),"NOT FOUND",VLOOKUP(A135,Report!A:D,4,FALSE))</f>
        <v>0</v>
      </c>
      <c r="I135" s="20" t="str">
        <f>IF(ISERROR(VLOOKUP(A135,Report!A:D,2,FALSE)),"NOT FOUND",VLOOKUP(A135,Report!A:D,2,FALSE))</f>
        <v>16-02-2026</v>
      </c>
      <c r="J135" s="53"/>
      <c r="K135" s="56">
        <f t="shared" si="6"/>
        <v>10</v>
      </c>
      <c r="L135" s="56">
        <f t="shared" si="7"/>
        <v>2025</v>
      </c>
      <c r="N135" s="50"/>
    </row>
    <row r="136" spans="1:14">
      <c r="A136" s="35" t="s">
        <v>2966</v>
      </c>
      <c r="B136" s="22">
        <v>384</v>
      </c>
      <c r="C136" s="51">
        <v>45894</v>
      </c>
      <c r="D136" s="13">
        <v>2539</v>
      </c>
      <c r="E136" s="23" t="s">
        <v>33</v>
      </c>
      <c r="F136" s="11" t="str">
        <f t="shared" si="8"/>
        <v>Accepted</v>
      </c>
      <c r="G136" s="19">
        <f>IF(ISERROR(VLOOKUP(A136,Report!A:D,3,FALSE)),"NOT FOUND",VLOOKUP(A136,Report!A:D,3,FALSE))</f>
        <v>2881.94</v>
      </c>
      <c r="H136" s="19">
        <f>IF(ISERROR(VLOOKUP(A136,Report!A:D,4,FALSE)),"NOT FOUND",VLOOKUP(A136,Report!A:D,4,FALSE))</f>
        <v>0</v>
      </c>
      <c r="I136" s="20" t="str">
        <f>IF(ISERROR(VLOOKUP(A136,Report!A:D,2,FALSE)),"NOT FOUND",VLOOKUP(A136,Report!A:D,2,FALSE))</f>
        <v>30-09-2025</v>
      </c>
      <c r="J136" s="53"/>
      <c r="K136" s="56">
        <f t="shared" si="6"/>
        <v>8</v>
      </c>
      <c r="L136" s="56">
        <f t="shared" si="7"/>
        <v>2025</v>
      </c>
      <c r="N136" s="50"/>
    </row>
    <row r="137" spans="1:14">
      <c r="A137" s="22"/>
      <c r="B137" s="22">
        <v>385</v>
      </c>
      <c r="C137" s="51"/>
      <c r="D137" s="13"/>
      <c r="E137" s="23" t="s">
        <v>33</v>
      </c>
      <c r="F137" s="11" t="e">
        <f t="shared" si="8"/>
        <v>#VALUE!</v>
      </c>
      <c r="G137" s="19" t="str">
        <f>IF(ISERROR(VLOOKUP(A137,Report!A:D,3,FALSE)),"NOT FOUND",VLOOKUP(A137,Report!A:D,3,FALSE))</f>
        <v>NOT FOUND</v>
      </c>
      <c r="H137" s="19" t="str">
        <f>IF(ISERROR(VLOOKUP(A137,Report!A:D,4,FALSE)),"NOT FOUND",VLOOKUP(A137,Report!A:D,4,FALSE))</f>
        <v>NOT FOUND</v>
      </c>
      <c r="I137" s="20" t="str">
        <f>IF(ISERROR(VLOOKUP(A137,Report!A:D,2,FALSE)),"NOT FOUND",VLOOKUP(A137,Report!A:D,2,FALSE))</f>
        <v>NOT FOUND</v>
      </c>
      <c r="J137" s="53" t="s">
        <v>39</v>
      </c>
      <c r="K137" s="56">
        <f t="shared" si="6"/>
        <v>1</v>
      </c>
      <c r="L137" s="56">
        <f t="shared" si="7"/>
        <v>1900</v>
      </c>
      <c r="N137" s="50"/>
    </row>
    <row r="138" spans="1:14">
      <c r="A138" s="35" t="s">
        <v>3073</v>
      </c>
      <c r="B138" s="22">
        <v>386</v>
      </c>
      <c r="C138" s="51">
        <v>45894</v>
      </c>
      <c r="D138" s="13">
        <v>29238</v>
      </c>
      <c r="E138" s="23" t="s">
        <v>33</v>
      </c>
      <c r="F138" s="11" t="str">
        <f t="shared" si="8"/>
        <v>Partial/Rejected</v>
      </c>
      <c r="G138" s="19">
        <f>IF(ISERROR(VLOOKUP(A138,Report!A:D,3,FALSE)),"NOT FOUND",VLOOKUP(A138,Report!A:D,3,FALSE))</f>
        <v>0</v>
      </c>
      <c r="H138" s="19">
        <f>IF(ISERROR(VLOOKUP(A138,Report!A:D,4,FALSE)),"NOT FOUND",VLOOKUP(A138,Report!A:D,4,FALSE))</f>
        <v>29237.72</v>
      </c>
      <c r="I138" s="20" t="str">
        <f>IF(ISERROR(VLOOKUP(A138,Report!A:D,2,FALSE)),"NOT FOUND",VLOOKUP(A138,Report!A:D,2,FALSE))</f>
        <v>30-09-2025</v>
      </c>
      <c r="J138" s="53"/>
      <c r="K138" s="56">
        <f t="shared" si="6"/>
        <v>8</v>
      </c>
      <c r="L138" s="56">
        <f t="shared" si="7"/>
        <v>2025</v>
      </c>
      <c r="N138" s="50"/>
    </row>
    <row r="139" spans="1:14">
      <c r="A139" s="35" t="s">
        <v>3063</v>
      </c>
      <c r="B139" s="22">
        <v>387</v>
      </c>
      <c r="C139" s="51">
        <v>45894</v>
      </c>
      <c r="D139" s="13">
        <v>5720</v>
      </c>
      <c r="E139" s="23" t="s">
        <v>33</v>
      </c>
      <c r="F139" s="11" t="str">
        <f t="shared" si="8"/>
        <v>Accepted</v>
      </c>
      <c r="G139" s="19">
        <f>IF(ISERROR(VLOOKUP(A139,Report!A:D,3,FALSE)),"NOT FOUND",VLOOKUP(A139,Report!A:D,3,FALSE))</f>
        <v>5719.86</v>
      </c>
      <c r="H139" s="19">
        <f>IF(ISERROR(VLOOKUP(A139,Report!A:D,4,FALSE)),"NOT FOUND",VLOOKUP(A139,Report!A:D,4,FALSE))</f>
        <v>0</v>
      </c>
      <c r="I139" s="20" t="str">
        <f>IF(ISERROR(VLOOKUP(A139,Report!A:D,2,FALSE)),"NOT FOUND",VLOOKUP(A139,Report!A:D,2,FALSE))</f>
        <v>30-09-2025</v>
      </c>
      <c r="J139" s="53"/>
      <c r="K139" s="56">
        <f t="shared" si="6"/>
        <v>8</v>
      </c>
      <c r="L139" s="56">
        <f t="shared" si="7"/>
        <v>2025</v>
      </c>
      <c r="N139" s="50"/>
    </row>
    <row r="140" spans="1:14">
      <c r="A140" s="36" t="s">
        <v>3311</v>
      </c>
      <c r="B140" s="22">
        <v>388</v>
      </c>
      <c r="C140" s="51">
        <v>45894</v>
      </c>
      <c r="D140" s="13">
        <v>2938</v>
      </c>
      <c r="E140" s="23" t="s">
        <v>33</v>
      </c>
      <c r="F140" s="11" t="str">
        <f t="shared" si="8"/>
        <v>Accepted</v>
      </c>
      <c r="G140" s="19">
        <f>IF(ISERROR(VLOOKUP(A140,Report!A:D,3,FALSE)),"NOT FOUND",VLOOKUP(A140,Report!A:D,3,FALSE))</f>
        <v>2937.7700000000004</v>
      </c>
      <c r="H140" s="19">
        <f>IF(ISERROR(VLOOKUP(A140,Report!A:D,4,FALSE)),"NOT FOUND",VLOOKUP(A140,Report!A:D,4,FALSE))</f>
        <v>0</v>
      </c>
      <c r="I140" s="20" t="str">
        <f>IF(ISERROR(VLOOKUP(A140,Report!A:D,2,FALSE)),"NOT FOUND",VLOOKUP(A140,Report!A:D,2,FALSE))</f>
        <v>11-11-2025</v>
      </c>
      <c r="J140" s="53"/>
      <c r="K140" s="56">
        <f t="shared" si="6"/>
        <v>8</v>
      </c>
      <c r="L140" s="56">
        <f t="shared" si="7"/>
        <v>2025</v>
      </c>
      <c r="N140" s="50"/>
    </row>
    <row r="141" spans="1:14">
      <c r="A141" s="36" t="s">
        <v>3294</v>
      </c>
      <c r="B141" s="22">
        <v>389</v>
      </c>
      <c r="C141" s="51">
        <v>45894</v>
      </c>
      <c r="D141" s="13">
        <v>300</v>
      </c>
      <c r="E141" s="23" t="s">
        <v>33</v>
      </c>
      <c r="F141" s="11" t="str">
        <f t="shared" si="8"/>
        <v>Accepted</v>
      </c>
      <c r="G141" s="19">
        <f>IF(ISERROR(VLOOKUP(A141,Report!A:D,3,FALSE)),"NOT FOUND",VLOOKUP(A141,Report!A:D,3,FALSE))</f>
        <v>299.79000000000002</v>
      </c>
      <c r="H141" s="19">
        <f>IF(ISERROR(VLOOKUP(A141,Report!A:D,4,FALSE)),"NOT FOUND",VLOOKUP(A141,Report!A:D,4,FALSE))</f>
        <v>0</v>
      </c>
      <c r="I141" s="20" t="str">
        <f>IF(ISERROR(VLOOKUP(A141,Report!A:D,2,FALSE)),"NOT FOUND",VLOOKUP(A141,Report!A:D,2,FALSE))</f>
        <v>11-11-2025</v>
      </c>
      <c r="J141" s="53"/>
      <c r="K141" s="56">
        <f t="shared" si="6"/>
        <v>8</v>
      </c>
      <c r="L141" s="56">
        <f t="shared" si="7"/>
        <v>2025</v>
      </c>
      <c r="N141" s="50"/>
    </row>
    <row r="142" spans="1:14">
      <c r="A142" s="36" t="s">
        <v>3287</v>
      </c>
      <c r="B142" s="22">
        <v>390</v>
      </c>
      <c r="C142" s="51">
        <v>45894</v>
      </c>
      <c r="D142" s="13">
        <v>669</v>
      </c>
      <c r="E142" s="23" t="s">
        <v>33</v>
      </c>
      <c r="F142" s="11" t="str">
        <f t="shared" si="8"/>
        <v>Accepted</v>
      </c>
      <c r="G142" s="19">
        <f>IF(ISERROR(VLOOKUP(A142,Report!A:D,3,FALSE)),"NOT FOUND",VLOOKUP(A142,Report!A:D,3,FALSE))</f>
        <v>669.04</v>
      </c>
      <c r="H142" s="19">
        <f>IF(ISERROR(VLOOKUP(A142,Report!A:D,4,FALSE)),"NOT FOUND",VLOOKUP(A142,Report!A:D,4,FALSE))</f>
        <v>0</v>
      </c>
      <c r="I142" s="20" t="str">
        <f>IF(ISERROR(VLOOKUP(A142,Report!A:D,2,FALSE)),"NOT FOUND",VLOOKUP(A142,Report!A:D,2,FALSE))</f>
        <v>11-11-2025</v>
      </c>
      <c r="J142" s="53"/>
      <c r="K142" s="56">
        <f t="shared" si="6"/>
        <v>8</v>
      </c>
      <c r="L142" s="56">
        <f t="shared" si="7"/>
        <v>2025</v>
      </c>
      <c r="N142" s="50"/>
    </row>
    <row r="143" spans="1:14">
      <c r="A143" s="22"/>
      <c r="B143" s="22">
        <v>391</v>
      </c>
      <c r="C143" s="51"/>
      <c r="D143" s="13"/>
      <c r="E143" s="23" t="s">
        <v>33</v>
      </c>
      <c r="F143" s="11" t="e">
        <f t="shared" si="8"/>
        <v>#VALUE!</v>
      </c>
      <c r="G143" s="19" t="str">
        <f>IF(ISERROR(VLOOKUP(A143,Report!A:D,3,FALSE)),"NOT FOUND",VLOOKUP(A143,Report!A:D,3,FALSE))</f>
        <v>NOT FOUND</v>
      </c>
      <c r="H143" s="19" t="str">
        <f>IF(ISERROR(VLOOKUP(A143,Report!A:D,4,FALSE)),"NOT FOUND",VLOOKUP(A143,Report!A:D,4,FALSE))</f>
        <v>NOT FOUND</v>
      </c>
      <c r="I143" s="20" t="str">
        <f>IF(ISERROR(VLOOKUP(A143,Report!A:D,2,FALSE)),"NOT FOUND",VLOOKUP(A143,Report!A:D,2,FALSE))</f>
        <v>NOT FOUND</v>
      </c>
      <c r="J143" s="53" t="s">
        <v>40</v>
      </c>
      <c r="K143" s="56">
        <f t="shared" si="6"/>
        <v>1</v>
      </c>
      <c r="L143" s="56">
        <f t="shared" si="7"/>
        <v>1900</v>
      </c>
      <c r="N143" s="50"/>
    </row>
    <row r="144" spans="1:14">
      <c r="A144" s="36" t="s">
        <v>3327</v>
      </c>
      <c r="B144" s="22">
        <v>392</v>
      </c>
      <c r="C144" s="51">
        <v>45895</v>
      </c>
      <c r="D144" s="13"/>
      <c r="E144" s="23" t="s">
        <v>33</v>
      </c>
      <c r="F144" s="11" t="str">
        <f t="shared" si="8"/>
        <v>Accepted</v>
      </c>
      <c r="G144" s="19">
        <f>IF(ISERROR(VLOOKUP(A144,Report!A:D,3,FALSE)),"NOT FOUND",VLOOKUP(A144,Report!A:D,3,FALSE))</f>
        <v>2588.42</v>
      </c>
      <c r="H144" s="19">
        <f>IF(ISERROR(VLOOKUP(A144,Report!A:D,4,FALSE)),"NOT FOUND",VLOOKUP(A144,Report!A:D,4,FALSE))</f>
        <v>0</v>
      </c>
      <c r="I144" s="20" t="str">
        <f>IF(ISERROR(VLOOKUP(A144,Report!A:D,2,FALSE)),"NOT FOUND",VLOOKUP(A144,Report!A:D,2,FALSE))</f>
        <v>01-12-2025</v>
      </c>
      <c r="J144" s="53"/>
      <c r="K144" s="56">
        <f t="shared" si="6"/>
        <v>8</v>
      </c>
      <c r="L144" s="56">
        <f t="shared" si="7"/>
        <v>2025</v>
      </c>
      <c r="N144" s="50"/>
    </row>
    <row r="145" spans="1:14">
      <c r="A145" s="36" t="s">
        <v>3299</v>
      </c>
      <c r="B145" s="22">
        <v>393</v>
      </c>
      <c r="C145" s="51">
        <v>45894</v>
      </c>
      <c r="D145" s="13">
        <v>1120</v>
      </c>
      <c r="E145" s="23" t="s">
        <v>33</v>
      </c>
      <c r="F145" s="11" t="str">
        <f t="shared" si="8"/>
        <v>Accepted</v>
      </c>
      <c r="G145" s="19">
        <f>IF(ISERROR(VLOOKUP(A145,Report!A:D,3,FALSE)),"NOT FOUND",VLOOKUP(A145,Report!A:D,3,FALSE))</f>
        <v>1120.1099999999999</v>
      </c>
      <c r="H145" s="19">
        <f>IF(ISERROR(VLOOKUP(A145,Report!A:D,4,FALSE)),"NOT FOUND",VLOOKUP(A145,Report!A:D,4,FALSE))</f>
        <v>0</v>
      </c>
      <c r="I145" s="20" t="str">
        <f>IF(ISERROR(VLOOKUP(A145,Report!A:D,2,FALSE)),"NOT FOUND",VLOOKUP(A145,Report!A:D,2,FALSE))</f>
        <v>11-11-2025</v>
      </c>
      <c r="J145" s="53"/>
      <c r="K145" s="56">
        <f t="shared" si="6"/>
        <v>8</v>
      </c>
      <c r="L145" s="56">
        <f t="shared" si="7"/>
        <v>2025</v>
      </c>
      <c r="N145" s="50"/>
    </row>
    <row r="146" spans="1:14">
      <c r="A146" s="36"/>
      <c r="B146" s="22">
        <v>393</v>
      </c>
      <c r="C146" s="51">
        <v>45894</v>
      </c>
      <c r="D146" s="13"/>
      <c r="E146" s="23" t="s">
        <v>33</v>
      </c>
      <c r="F146" s="11" t="e">
        <f t="shared" si="8"/>
        <v>#VALUE!</v>
      </c>
      <c r="G146" s="19" t="str">
        <f>IF(ISERROR(VLOOKUP(A146,Report!A:D,3,FALSE)),"NOT FOUND",VLOOKUP(A146,Report!A:D,3,FALSE))</f>
        <v>NOT FOUND</v>
      </c>
      <c r="H146" s="19" t="str">
        <f>IF(ISERROR(VLOOKUP(A146,Report!A:D,4,FALSE)),"NOT FOUND",VLOOKUP(A146,Report!A:D,4,FALSE))</f>
        <v>NOT FOUND</v>
      </c>
      <c r="I146" s="20" t="str">
        <f>IF(ISERROR(VLOOKUP(A146,Report!A:D,2,FALSE)),"NOT FOUND",VLOOKUP(A146,Report!A:D,2,FALSE))</f>
        <v>NOT FOUND</v>
      </c>
      <c r="J146" s="53"/>
      <c r="K146" s="56">
        <f t="shared" si="6"/>
        <v>8</v>
      </c>
      <c r="L146" s="56">
        <f t="shared" si="7"/>
        <v>2025</v>
      </c>
      <c r="N146" s="50"/>
    </row>
    <row r="147" spans="1:14">
      <c r="A147" s="22" t="s">
        <v>34</v>
      </c>
      <c r="B147" s="22">
        <v>394</v>
      </c>
      <c r="C147" s="51"/>
      <c r="D147" s="13"/>
      <c r="E147" s="23" t="s">
        <v>33</v>
      </c>
      <c r="F147" s="11" t="e">
        <f t="shared" si="8"/>
        <v>#VALUE!</v>
      </c>
      <c r="G147" s="19" t="str">
        <f>IF(ISERROR(VLOOKUP(A147,Report!A:D,3,FALSE)),"NOT FOUND",VLOOKUP(A147,Report!A:D,3,FALSE))</f>
        <v>NOT FOUND</v>
      </c>
      <c r="H147" s="19" t="str">
        <f>IF(ISERROR(VLOOKUP(A147,Report!A:D,4,FALSE)),"NOT FOUND",VLOOKUP(A147,Report!A:D,4,FALSE))</f>
        <v>NOT FOUND</v>
      </c>
      <c r="I147" s="20" t="str">
        <f>IF(ISERROR(VLOOKUP(A147,Report!A:D,2,FALSE)),"NOT FOUND",VLOOKUP(A147,Report!A:D,2,FALSE))</f>
        <v>NOT FOUND</v>
      </c>
      <c r="J147" s="53" t="s">
        <v>42</v>
      </c>
      <c r="K147" s="56">
        <f t="shared" si="6"/>
        <v>1</v>
      </c>
      <c r="L147" s="56">
        <f t="shared" si="7"/>
        <v>1900</v>
      </c>
      <c r="N147" s="50"/>
    </row>
    <row r="148" spans="1:14">
      <c r="A148" s="36" t="s">
        <v>3328</v>
      </c>
      <c r="B148" s="22">
        <v>395</v>
      </c>
      <c r="C148" s="51">
        <v>45894</v>
      </c>
      <c r="D148" s="13">
        <v>717</v>
      </c>
      <c r="E148" s="23" t="s">
        <v>33</v>
      </c>
      <c r="F148" s="11" t="str">
        <f t="shared" si="8"/>
        <v>Accepted</v>
      </c>
      <c r="G148" s="19">
        <f>IF(ISERROR(VLOOKUP(A148,Report!A:D,3,FALSE)),"NOT FOUND",VLOOKUP(A148,Report!A:D,3,FALSE))</f>
        <v>717.27</v>
      </c>
      <c r="H148" s="19">
        <f>IF(ISERROR(VLOOKUP(A148,Report!A:D,4,FALSE)),"NOT FOUND",VLOOKUP(A148,Report!A:D,4,FALSE))</f>
        <v>0</v>
      </c>
      <c r="I148" s="20" t="str">
        <f>IF(ISERROR(VLOOKUP(A148,Report!A:D,2,FALSE)),"NOT FOUND",VLOOKUP(A148,Report!A:D,2,FALSE))</f>
        <v>02-12-2025</v>
      </c>
      <c r="J148" s="53"/>
      <c r="K148" s="56">
        <f t="shared" si="6"/>
        <v>8</v>
      </c>
      <c r="L148" s="56">
        <f t="shared" si="7"/>
        <v>2025</v>
      </c>
      <c r="N148" s="50"/>
    </row>
    <row r="149" spans="1:14">
      <c r="A149" s="22"/>
      <c r="B149" s="22">
        <v>395</v>
      </c>
      <c r="C149" s="51">
        <v>45894</v>
      </c>
      <c r="D149" s="13"/>
      <c r="E149" s="23" t="s">
        <v>33</v>
      </c>
      <c r="F149" s="11" t="e">
        <f t="shared" si="8"/>
        <v>#VALUE!</v>
      </c>
      <c r="G149" s="19" t="str">
        <f>IF(ISERROR(VLOOKUP(A149,Report!A:D,3,FALSE)),"NOT FOUND",VLOOKUP(A149,Report!A:D,3,FALSE))</f>
        <v>NOT FOUND</v>
      </c>
      <c r="H149" s="19" t="str">
        <f>IF(ISERROR(VLOOKUP(A149,Report!A:D,4,FALSE)),"NOT FOUND",VLOOKUP(A149,Report!A:D,4,FALSE))</f>
        <v>NOT FOUND</v>
      </c>
      <c r="I149" s="20" t="str">
        <f>IF(ISERROR(VLOOKUP(A149,Report!A:D,2,FALSE)),"NOT FOUND",VLOOKUP(A149,Report!A:D,2,FALSE))</f>
        <v>NOT FOUND</v>
      </c>
      <c r="J149" s="53"/>
      <c r="K149" s="56">
        <f t="shared" si="6"/>
        <v>8</v>
      </c>
      <c r="L149" s="56">
        <f t="shared" si="7"/>
        <v>2025</v>
      </c>
      <c r="N149" s="50"/>
    </row>
    <row r="150" spans="1:14">
      <c r="A150" s="36" t="s">
        <v>3329</v>
      </c>
      <c r="B150" s="22">
        <v>396</v>
      </c>
      <c r="C150" s="51">
        <v>45959</v>
      </c>
      <c r="D150" s="13">
        <v>21166</v>
      </c>
      <c r="E150" s="23" t="s">
        <v>33</v>
      </c>
      <c r="F150" s="11" t="str">
        <f t="shared" si="8"/>
        <v>Partial/Rejected</v>
      </c>
      <c r="G150" s="19">
        <f>IF(ISERROR(VLOOKUP(A150,Report!A:D,3,FALSE)),"NOT FOUND",VLOOKUP(A150,Report!A:D,3,FALSE))</f>
        <v>0</v>
      </c>
      <c r="H150" s="19">
        <f>IF(ISERROR(VLOOKUP(A150,Report!A:D,4,FALSE)),"NOT FOUND",VLOOKUP(A150,Report!A:D,4,FALSE))</f>
        <v>21666.44</v>
      </c>
      <c r="I150" s="20" t="str">
        <f>IF(ISERROR(VLOOKUP(A150,Report!A:D,2,FALSE)),"NOT FOUND",VLOOKUP(A150,Report!A:D,2,FALSE))</f>
        <v>01-12-2025</v>
      </c>
      <c r="J150" s="53"/>
      <c r="K150" s="56">
        <f t="shared" si="6"/>
        <v>10</v>
      </c>
      <c r="L150" s="56">
        <f t="shared" si="7"/>
        <v>2025</v>
      </c>
      <c r="N150" s="50"/>
    </row>
    <row r="151" spans="1:14">
      <c r="A151" s="36" t="s">
        <v>2971</v>
      </c>
      <c r="B151" s="22">
        <v>397</v>
      </c>
      <c r="C151" s="51">
        <v>45894</v>
      </c>
      <c r="D151" s="13">
        <v>1447</v>
      </c>
      <c r="E151" s="23" t="s">
        <v>33</v>
      </c>
      <c r="F151" s="11" t="str">
        <f t="shared" si="8"/>
        <v>Accepted</v>
      </c>
      <c r="G151" s="19">
        <f>IF(ISERROR(VLOOKUP(A151,Report!A:D,3,FALSE)),"NOT FOUND",VLOOKUP(A151,Report!A:D,3,FALSE))</f>
        <v>1446.8600000000001</v>
      </c>
      <c r="H151" s="19">
        <f>IF(ISERROR(VLOOKUP(A151,Report!A:D,4,FALSE)),"NOT FOUND",VLOOKUP(A151,Report!A:D,4,FALSE))</f>
        <v>0</v>
      </c>
      <c r="I151" s="20" t="str">
        <f>IF(ISERROR(VLOOKUP(A151,Report!A:D,2,FALSE)),"NOT FOUND",VLOOKUP(A151,Report!A:D,2,FALSE))</f>
        <v>30-09-2025</v>
      </c>
      <c r="J151" s="53"/>
      <c r="K151" s="56">
        <f t="shared" si="6"/>
        <v>8</v>
      </c>
      <c r="L151" s="56">
        <f t="shared" si="7"/>
        <v>2025</v>
      </c>
      <c r="N151" s="50"/>
    </row>
    <row r="152" spans="1:14">
      <c r="A152" s="36" t="s">
        <v>3271</v>
      </c>
      <c r="B152" s="22">
        <v>398</v>
      </c>
      <c r="C152" s="51">
        <v>45894</v>
      </c>
      <c r="D152" s="13">
        <v>1990</v>
      </c>
      <c r="E152" s="23" t="s">
        <v>33</v>
      </c>
      <c r="F152" s="11" t="str">
        <f t="shared" si="8"/>
        <v>Accepted</v>
      </c>
      <c r="G152" s="19">
        <f>IF(ISERROR(VLOOKUP(A152,Report!A:D,3,FALSE)),"NOT FOUND",VLOOKUP(A152,Report!A:D,3,FALSE))</f>
        <v>1989.73</v>
      </c>
      <c r="H152" s="19">
        <f>IF(ISERROR(VLOOKUP(A152,Report!A:D,4,FALSE)),"NOT FOUND",VLOOKUP(A152,Report!A:D,4,FALSE))</f>
        <v>0</v>
      </c>
      <c r="I152" s="20" t="str">
        <f>IF(ISERROR(VLOOKUP(A152,Report!A:D,2,FALSE)),"NOT FOUND",VLOOKUP(A152,Report!A:D,2,FALSE))</f>
        <v>11-11-2025</v>
      </c>
      <c r="J152" s="53"/>
      <c r="K152" s="56">
        <f t="shared" si="6"/>
        <v>8</v>
      </c>
      <c r="L152" s="56">
        <f t="shared" si="7"/>
        <v>2025</v>
      </c>
      <c r="N152" s="50"/>
    </row>
    <row r="153" spans="1:14">
      <c r="A153" s="34" t="s">
        <v>2869</v>
      </c>
      <c r="B153" s="22"/>
      <c r="C153" s="51">
        <v>45900</v>
      </c>
      <c r="D153" s="27">
        <v>62</v>
      </c>
      <c r="E153" s="23" t="s">
        <v>33</v>
      </c>
      <c r="F153" s="11" t="str">
        <f t="shared" si="8"/>
        <v>Accepted</v>
      </c>
      <c r="G153" s="19">
        <f>IF(ISERROR(VLOOKUP(A153,Report!A:D,3,FALSE)),"NOT FOUND",VLOOKUP(A153,Report!A:D,3,FALSE))</f>
        <v>61.95</v>
      </c>
      <c r="H153" s="19">
        <f>IF(ISERROR(VLOOKUP(A153,Report!A:D,4,FALSE)),"NOT FOUND",VLOOKUP(A153,Report!A:D,4,FALSE))</f>
        <v>0</v>
      </c>
      <c r="I153" s="20" t="str">
        <f>IF(ISERROR(VLOOKUP(A153,Report!A:D,2,FALSE)),"NOT FOUND",VLOOKUP(A153,Report!A:D,2,FALSE))</f>
        <v>11-09-2025</v>
      </c>
      <c r="J153" s="53"/>
      <c r="K153" s="56">
        <f t="shared" si="6"/>
        <v>8</v>
      </c>
      <c r="L153" s="56">
        <f t="shared" si="7"/>
        <v>2025</v>
      </c>
      <c r="N153" s="50"/>
    </row>
    <row r="154" spans="1:14">
      <c r="A154" s="34" t="s">
        <v>2888</v>
      </c>
      <c r="B154" s="22"/>
      <c r="C154" s="51">
        <v>45900</v>
      </c>
      <c r="D154" s="27">
        <v>62</v>
      </c>
      <c r="E154" s="23" t="s">
        <v>33</v>
      </c>
      <c r="F154" s="11" t="str">
        <f t="shared" si="8"/>
        <v>Accepted</v>
      </c>
      <c r="G154" s="19">
        <f>IF(ISERROR(VLOOKUP(A154,Report!A:D,3,FALSE)),"NOT FOUND",VLOOKUP(A154,Report!A:D,3,FALSE))</f>
        <v>61.95</v>
      </c>
      <c r="H154" s="19">
        <f>IF(ISERROR(VLOOKUP(A154,Report!A:D,4,FALSE)),"NOT FOUND",VLOOKUP(A154,Report!A:D,4,FALSE))</f>
        <v>0</v>
      </c>
      <c r="I154" s="20" t="str">
        <f>IF(ISERROR(VLOOKUP(A154,Report!A:D,2,FALSE)),"NOT FOUND",VLOOKUP(A154,Report!A:D,2,FALSE))</f>
        <v>11-09-2025</v>
      </c>
      <c r="J154" s="53"/>
      <c r="K154" s="56">
        <f t="shared" si="6"/>
        <v>8</v>
      </c>
      <c r="L154" s="56">
        <f t="shared" si="7"/>
        <v>2025</v>
      </c>
      <c r="N154" s="50"/>
    </row>
    <row r="155" spans="1:14">
      <c r="A155" s="34" t="s">
        <v>2928</v>
      </c>
      <c r="B155" s="22"/>
      <c r="C155" s="51">
        <v>45900</v>
      </c>
      <c r="D155" s="27">
        <v>62</v>
      </c>
      <c r="E155" s="23" t="s">
        <v>33</v>
      </c>
      <c r="F155" s="11" t="str">
        <f t="shared" si="8"/>
        <v>Accepted</v>
      </c>
      <c r="G155" s="19">
        <f>IF(ISERROR(VLOOKUP(A155,Report!A:D,3,FALSE)),"NOT FOUND",VLOOKUP(A155,Report!A:D,3,FALSE))</f>
        <v>61.95</v>
      </c>
      <c r="H155" s="19">
        <f>IF(ISERROR(VLOOKUP(A155,Report!A:D,4,FALSE)),"NOT FOUND",VLOOKUP(A155,Report!A:D,4,FALSE))</f>
        <v>0</v>
      </c>
      <c r="I155" s="20" t="str">
        <f>IF(ISERROR(VLOOKUP(A155,Report!A:D,2,FALSE)),"NOT FOUND",VLOOKUP(A155,Report!A:D,2,FALSE))</f>
        <v>11-09-2025</v>
      </c>
      <c r="J155" s="53"/>
      <c r="K155" s="56">
        <f t="shared" si="6"/>
        <v>8</v>
      </c>
      <c r="L155" s="56">
        <f t="shared" si="7"/>
        <v>2025</v>
      </c>
      <c r="N155" s="50"/>
    </row>
    <row r="156" spans="1:14">
      <c r="A156" s="34" t="s">
        <v>2986</v>
      </c>
      <c r="B156" s="22"/>
      <c r="C156" s="51">
        <v>45900</v>
      </c>
      <c r="D156" s="27">
        <v>62</v>
      </c>
      <c r="E156" s="23" t="s">
        <v>33</v>
      </c>
      <c r="F156" s="11" t="str">
        <f t="shared" si="8"/>
        <v>Accepted</v>
      </c>
      <c r="G156" s="19">
        <f>IF(ISERROR(VLOOKUP(A156,Report!A:D,3,FALSE)),"NOT FOUND",VLOOKUP(A156,Report!A:D,3,FALSE))</f>
        <v>61.95</v>
      </c>
      <c r="H156" s="19">
        <f>IF(ISERROR(VLOOKUP(A156,Report!A:D,4,FALSE)),"NOT FOUND",VLOOKUP(A156,Report!A:D,4,FALSE))</f>
        <v>0</v>
      </c>
      <c r="I156" s="20" t="str">
        <f>IF(ISERROR(VLOOKUP(A156,Report!A:D,2,FALSE)),"NOT FOUND",VLOOKUP(A156,Report!A:D,2,FALSE))</f>
        <v>11-09-2025</v>
      </c>
      <c r="J156" s="53"/>
      <c r="K156" s="56">
        <f t="shared" si="6"/>
        <v>8</v>
      </c>
      <c r="L156" s="56">
        <f t="shared" si="7"/>
        <v>2025</v>
      </c>
      <c r="N156" s="50"/>
    </row>
    <row r="157" spans="1:14">
      <c r="A157" s="34" t="s">
        <v>2875</v>
      </c>
      <c r="B157" s="22"/>
      <c r="C157" s="51">
        <v>45900</v>
      </c>
      <c r="D157" s="27">
        <v>62</v>
      </c>
      <c r="E157" s="23" t="s">
        <v>33</v>
      </c>
      <c r="F157" s="11" t="str">
        <f t="shared" si="8"/>
        <v>Accepted</v>
      </c>
      <c r="G157" s="19">
        <f>IF(ISERROR(VLOOKUP(A157,Report!A:D,3,FALSE)),"NOT FOUND",VLOOKUP(A157,Report!A:D,3,FALSE))</f>
        <v>61.95</v>
      </c>
      <c r="H157" s="19">
        <f>IF(ISERROR(VLOOKUP(A157,Report!A:D,4,FALSE)),"NOT FOUND",VLOOKUP(A157,Report!A:D,4,FALSE))</f>
        <v>0</v>
      </c>
      <c r="I157" s="20" t="str">
        <f>IF(ISERROR(VLOOKUP(A157,Report!A:D,2,FALSE)),"NOT FOUND",VLOOKUP(A157,Report!A:D,2,FALSE))</f>
        <v>11-09-2025</v>
      </c>
      <c r="J157" s="53"/>
      <c r="K157" s="56">
        <f t="shared" si="6"/>
        <v>8</v>
      </c>
      <c r="L157" s="56">
        <f t="shared" si="7"/>
        <v>2025</v>
      </c>
      <c r="N157" s="50"/>
    </row>
    <row r="158" spans="1:14">
      <c r="A158" s="34" t="s">
        <v>2991</v>
      </c>
      <c r="B158" s="22"/>
      <c r="C158" s="51">
        <v>45900</v>
      </c>
      <c r="D158" s="27">
        <v>62</v>
      </c>
      <c r="E158" s="23" t="s">
        <v>33</v>
      </c>
      <c r="F158" s="11" t="str">
        <f t="shared" si="8"/>
        <v>Accepted</v>
      </c>
      <c r="G158" s="19">
        <f>IF(ISERROR(VLOOKUP(A158,Report!A:D,3,FALSE)),"NOT FOUND",VLOOKUP(A158,Report!A:D,3,FALSE))</f>
        <v>61.95</v>
      </c>
      <c r="H158" s="19">
        <f>IF(ISERROR(VLOOKUP(A158,Report!A:D,4,FALSE)),"NOT FOUND",VLOOKUP(A158,Report!A:D,4,FALSE))</f>
        <v>0</v>
      </c>
      <c r="I158" s="20" t="str">
        <f>IF(ISERROR(VLOOKUP(A158,Report!A:D,2,FALSE)),"NOT FOUND",VLOOKUP(A158,Report!A:D,2,FALSE))</f>
        <v>11-09-2025</v>
      </c>
      <c r="J158" s="53"/>
      <c r="K158" s="56">
        <f t="shared" si="6"/>
        <v>8</v>
      </c>
      <c r="L158" s="56">
        <f t="shared" si="7"/>
        <v>2025</v>
      </c>
      <c r="N158" s="50"/>
    </row>
    <row r="159" spans="1:14">
      <c r="A159" s="34" t="s">
        <v>3010</v>
      </c>
      <c r="B159" s="22"/>
      <c r="C159" s="51">
        <v>45900</v>
      </c>
      <c r="D159" s="27">
        <v>62</v>
      </c>
      <c r="E159" s="23" t="s">
        <v>33</v>
      </c>
      <c r="F159" s="11" t="str">
        <f t="shared" si="8"/>
        <v>Accepted</v>
      </c>
      <c r="G159" s="19">
        <f>IF(ISERROR(VLOOKUP(A159,Report!A:D,3,FALSE)),"NOT FOUND",VLOOKUP(A159,Report!A:D,3,FALSE))</f>
        <v>61.95</v>
      </c>
      <c r="H159" s="19">
        <f>IF(ISERROR(VLOOKUP(A159,Report!A:D,4,FALSE)),"NOT FOUND",VLOOKUP(A159,Report!A:D,4,FALSE))</f>
        <v>0</v>
      </c>
      <c r="I159" s="20" t="str">
        <f>IF(ISERROR(VLOOKUP(A159,Report!A:D,2,FALSE)),"NOT FOUND",VLOOKUP(A159,Report!A:D,2,FALSE))</f>
        <v>11-09-2025</v>
      </c>
      <c r="J159" s="53"/>
      <c r="K159" s="56">
        <f t="shared" si="6"/>
        <v>8</v>
      </c>
      <c r="L159" s="56">
        <f t="shared" si="7"/>
        <v>2025</v>
      </c>
      <c r="N159" s="50"/>
    </row>
    <row r="160" spans="1:14">
      <c r="A160" s="34" t="s">
        <v>3044</v>
      </c>
      <c r="B160" s="22"/>
      <c r="C160" s="51">
        <v>45900</v>
      </c>
      <c r="D160" s="27">
        <v>62</v>
      </c>
      <c r="E160" s="23" t="s">
        <v>33</v>
      </c>
      <c r="F160" s="11" t="str">
        <f t="shared" si="8"/>
        <v>Accepted</v>
      </c>
      <c r="G160" s="19">
        <f>IF(ISERROR(VLOOKUP(A160,Report!A:D,3,FALSE)),"NOT FOUND",VLOOKUP(A160,Report!A:D,3,FALSE))</f>
        <v>61.95</v>
      </c>
      <c r="H160" s="19">
        <f>IF(ISERROR(VLOOKUP(A160,Report!A:D,4,FALSE)),"NOT FOUND",VLOOKUP(A160,Report!A:D,4,FALSE))</f>
        <v>0</v>
      </c>
      <c r="I160" s="20" t="str">
        <f>IF(ISERROR(VLOOKUP(A160,Report!A:D,2,FALSE)),"NOT FOUND",VLOOKUP(A160,Report!A:D,2,FALSE))</f>
        <v>11-09-2025</v>
      </c>
      <c r="J160" s="53"/>
      <c r="K160" s="56">
        <f t="shared" si="6"/>
        <v>8</v>
      </c>
      <c r="L160" s="56">
        <f t="shared" si="7"/>
        <v>2025</v>
      </c>
      <c r="N160" s="50"/>
    </row>
    <row r="161" spans="1:14">
      <c r="A161" s="34" t="s">
        <v>3058</v>
      </c>
      <c r="B161" s="22"/>
      <c r="C161" s="51">
        <v>45900</v>
      </c>
      <c r="D161" s="27">
        <v>62</v>
      </c>
      <c r="E161" s="23" t="s">
        <v>33</v>
      </c>
      <c r="F161" s="11" t="str">
        <f t="shared" si="8"/>
        <v>Accepted</v>
      </c>
      <c r="G161" s="19">
        <f>IF(ISERROR(VLOOKUP(A161,Report!A:D,3,FALSE)),"NOT FOUND",VLOOKUP(A161,Report!A:D,3,FALSE))</f>
        <v>61.95</v>
      </c>
      <c r="H161" s="19">
        <f>IF(ISERROR(VLOOKUP(A161,Report!A:D,4,FALSE)),"NOT FOUND",VLOOKUP(A161,Report!A:D,4,FALSE))</f>
        <v>0</v>
      </c>
      <c r="I161" s="20" t="str">
        <f>IF(ISERROR(VLOOKUP(A161,Report!A:D,2,FALSE)),"NOT FOUND",VLOOKUP(A161,Report!A:D,2,FALSE))</f>
        <v>11-09-2025</v>
      </c>
      <c r="J161" s="53"/>
      <c r="K161" s="56">
        <f t="shared" si="6"/>
        <v>8</v>
      </c>
      <c r="L161" s="56">
        <f t="shared" si="7"/>
        <v>2025</v>
      </c>
      <c r="N161" s="50"/>
    </row>
    <row r="162" spans="1:14">
      <c r="A162" s="34" t="s">
        <v>2882</v>
      </c>
      <c r="B162" s="22"/>
      <c r="C162" s="51">
        <v>45900</v>
      </c>
      <c r="D162" s="27">
        <v>62</v>
      </c>
      <c r="E162" s="23" t="s">
        <v>33</v>
      </c>
      <c r="F162" s="11" t="str">
        <f t="shared" si="8"/>
        <v>Accepted</v>
      </c>
      <c r="G162" s="19">
        <f>IF(ISERROR(VLOOKUP(A162,Report!A:D,3,FALSE)),"NOT FOUND",VLOOKUP(A162,Report!A:D,3,FALSE))</f>
        <v>61.95</v>
      </c>
      <c r="H162" s="19">
        <f>IF(ISERROR(VLOOKUP(A162,Report!A:D,4,FALSE)),"NOT FOUND",VLOOKUP(A162,Report!A:D,4,FALSE))</f>
        <v>0</v>
      </c>
      <c r="I162" s="20" t="str">
        <f>IF(ISERROR(VLOOKUP(A162,Report!A:D,2,FALSE)),"NOT FOUND",VLOOKUP(A162,Report!A:D,2,FALSE))</f>
        <v>11-09-2025</v>
      </c>
      <c r="J162" s="53"/>
      <c r="K162" s="56">
        <f t="shared" si="6"/>
        <v>8</v>
      </c>
      <c r="L162" s="56">
        <f t="shared" si="7"/>
        <v>2025</v>
      </c>
      <c r="N162" s="50"/>
    </row>
    <row r="163" spans="1:14">
      <c r="A163" s="34" t="s">
        <v>2896</v>
      </c>
      <c r="B163" s="22"/>
      <c r="C163" s="51">
        <v>45900</v>
      </c>
      <c r="D163" s="27">
        <v>62</v>
      </c>
      <c r="E163" s="23" t="s">
        <v>33</v>
      </c>
      <c r="F163" s="11" t="str">
        <f t="shared" si="8"/>
        <v>Accepted</v>
      </c>
      <c r="G163" s="19">
        <f>IF(ISERROR(VLOOKUP(A163,Report!A:D,3,FALSE)),"NOT FOUND",VLOOKUP(A163,Report!A:D,3,FALSE))</f>
        <v>61.95</v>
      </c>
      <c r="H163" s="19">
        <f>IF(ISERROR(VLOOKUP(A163,Report!A:D,4,FALSE)),"NOT FOUND",VLOOKUP(A163,Report!A:D,4,FALSE))</f>
        <v>0</v>
      </c>
      <c r="I163" s="20" t="str">
        <f>IF(ISERROR(VLOOKUP(A163,Report!A:D,2,FALSE)),"NOT FOUND",VLOOKUP(A163,Report!A:D,2,FALSE))</f>
        <v>11-09-2025</v>
      </c>
      <c r="J163" s="53"/>
      <c r="K163" s="56">
        <f t="shared" si="6"/>
        <v>8</v>
      </c>
      <c r="L163" s="56">
        <f t="shared" si="7"/>
        <v>2025</v>
      </c>
      <c r="N163" s="50"/>
    </row>
    <row r="164" spans="1:14">
      <c r="A164" s="34" t="s">
        <v>2926</v>
      </c>
      <c r="B164" s="25"/>
      <c r="C164" s="51">
        <v>45900</v>
      </c>
      <c r="D164" s="27">
        <v>62</v>
      </c>
      <c r="E164" s="30" t="s">
        <v>33</v>
      </c>
      <c r="F164" s="11" t="str">
        <f t="shared" si="8"/>
        <v>Accepted</v>
      </c>
      <c r="G164" s="19">
        <f>IF(ISERROR(VLOOKUP(A164,Report!A:D,3,FALSE)),"NOT FOUND",VLOOKUP(A164,Report!A:D,3,FALSE))</f>
        <v>61.95</v>
      </c>
      <c r="H164" s="19">
        <f>IF(ISERROR(VLOOKUP(A164,Report!A:D,4,FALSE)),"NOT FOUND",VLOOKUP(A164,Report!A:D,4,FALSE))</f>
        <v>0</v>
      </c>
      <c r="I164" s="20" t="str">
        <f>IF(ISERROR(VLOOKUP(A164,Report!A:D,2,FALSE)),"NOT FOUND",VLOOKUP(A164,Report!A:D,2,FALSE))</f>
        <v>11-09-2025</v>
      </c>
      <c r="J164" s="55"/>
      <c r="K164" s="56">
        <f t="shared" si="6"/>
        <v>8</v>
      </c>
      <c r="L164" s="56">
        <f t="shared" si="7"/>
        <v>2025</v>
      </c>
      <c r="N164" s="50"/>
    </row>
    <row r="165" spans="1:14">
      <c r="A165" s="34" t="s">
        <v>2976</v>
      </c>
      <c r="B165" s="11"/>
      <c r="C165" s="51">
        <v>45900</v>
      </c>
      <c r="D165" s="13">
        <v>62</v>
      </c>
      <c r="E165" s="23" t="s">
        <v>33</v>
      </c>
      <c r="F165" s="11" t="str">
        <f t="shared" si="8"/>
        <v>Accepted</v>
      </c>
      <c r="G165" s="19">
        <f>IF(ISERROR(VLOOKUP(A165,Report!A:D,3,FALSE)),"NOT FOUND",VLOOKUP(A165,Report!A:D,3,FALSE))</f>
        <v>61.95</v>
      </c>
      <c r="H165" s="19">
        <f>IF(ISERROR(VLOOKUP(A165,Report!A:D,4,FALSE)),"NOT FOUND",VLOOKUP(A165,Report!A:D,4,FALSE))</f>
        <v>0</v>
      </c>
      <c r="I165" s="20" t="str">
        <f>IF(ISERROR(VLOOKUP(A165,Report!A:D,2,FALSE)),"NOT FOUND",VLOOKUP(A165,Report!A:D,2,FALSE))</f>
        <v>11-09-2025</v>
      </c>
      <c r="J165" s="53"/>
      <c r="K165" s="56">
        <f t="shared" si="6"/>
        <v>8</v>
      </c>
      <c r="L165" s="56">
        <f t="shared" si="7"/>
        <v>2025</v>
      </c>
      <c r="N165" s="50"/>
    </row>
    <row r="166" spans="1:14">
      <c r="A166" s="34" t="s">
        <v>2996</v>
      </c>
      <c r="B166" s="11"/>
      <c r="C166" s="51">
        <v>45900</v>
      </c>
      <c r="D166" s="13">
        <v>62</v>
      </c>
      <c r="E166" s="23" t="s">
        <v>33</v>
      </c>
      <c r="F166" s="11" t="str">
        <f t="shared" si="8"/>
        <v>Accepted</v>
      </c>
      <c r="G166" s="19">
        <f>IF(ISERROR(VLOOKUP(A166,Report!A:D,3,FALSE)),"NOT FOUND",VLOOKUP(A166,Report!A:D,3,FALSE))</f>
        <v>61.95</v>
      </c>
      <c r="H166" s="19">
        <f>IF(ISERROR(VLOOKUP(A166,Report!A:D,4,FALSE)),"NOT FOUND",VLOOKUP(A166,Report!A:D,4,FALSE))</f>
        <v>0</v>
      </c>
      <c r="I166" s="20" t="str">
        <f>IF(ISERROR(VLOOKUP(A166,Report!A:D,2,FALSE)),"NOT FOUND",VLOOKUP(A166,Report!A:D,2,FALSE))</f>
        <v>11-09-2025</v>
      </c>
      <c r="J166" s="53"/>
      <c r="K166" s="56">
        <f t="shared" si="6"/>
        <v>8</v>
      </c>
      <c r="L166" s="56">
        <f t="shared" si="7"/>
        <v>2025</v>
      </c>
      <c r="N166" s="50"/>
    </row>
    <row r="167" spans="1:14">
      <c r="A167" s="34" t="s">
        <v>2918</v>
      </c>
      <c r="B167" s="11"/>
      <c r="C167" s="51">
        <v>45900</v>
      </c>
      <c r="D167" s="13">
        <v>62</v>
      </c>
      <c r="E167" s="23" t="s">
        <v>33</v>
      </c>
      <c r="F167" s="11" t="str">
        <f t="shared" si="8"/>
        <v>Accepted</v>
      </c>
      <c r="G167" s="19">
        <f>IF(ISERROR(VLOOKUP(A167,Report!A:D,3,FALSE)),"NOT FOUND",VLOOKUP(A167,Report!A:D,3,FALSE))</f>
        <v>61.95</v>
      </c>
      <c r="H167" s="19">
        <f>IF(ISERROR(VLOOKUP(A167,Report!A:D,4,FALSE)),"NOT FOUND",VLOOKUP(A167,Report!A:D,4,FALSE))</f>
        <v>0</v>
      </c>
      <c r="I167" s="20" t="str">
        <f>IF(ISERROR(VLOOKUP(A167,Report!A:D,2,FALSE)),"NOT FOUND",VLOOKUP(A167,Report!A:D,2,FALSE))</f>
        <v>11-09-2025</v>
      </c>
      <c r="J167" s="53"/>
      <c r="K167" s="56">
        <f t="shared" si="6"/>
        <v>8</v>
      </c>
      <c r="L167" s="56">
        <f t="shared" si="7"/>
        <v>2025</v>
      </c>
      <c r="N167" s="50"/>
    </row>
    <row r="168" spans="1:14">
      <c r="A168" s="34" t="s">
        <v>2933</v>
      </c>
      <c r="B168" s="11"/>
      <c r="C168" s="51">
        <v>45900</v>
      </c>
      <c r="D168" s="13">
        <v>62</v>
      </c>
      <c r="E168" s="23" t="s">
        <v>33</v>
      </c>
      <c r="F168" s="11" t="str">
        <f t="shared" si="8"/>
        <v>Accepted</v>
      </c>
      <c r="G168" s="19">
        <f>IF(ISERROR(VLOOKUP(A168,Report!A:D,3,FALSE)),"NOT FOUND",VLOOKUP(A168,Report!A:D,3,FALSE))</f>
        <v>61.95</v>
      </c>
      <c r="H168" s="19">
        <f>IF(ISERROR(VLOOKUP(A168,Report!A:D,4,FALSE)),"NOT FOUND",VLOOKUP(A168,Report!A:D,4,FALSE))</f>
        <v>0</v>
      </c>
      <c r="I168" s="20" t="str">
        <f>IF(ISERROR(VLOOKUP(A168,Report!A:D,2,FALSE)),"NOT FOUND",VLOOKUP(A168,Report!A:D,2,FALSE))</f>
        <v>11-09-2025</v>
      </c>
      <c r="J168" s="53"/>
      <c r="K168" s="56">
        <f t="shared" si="6"/>
        <v>8</v>
      </c>
      <c r="L168" s="56">
        <f t="shared" si="7"/>
        <v>2025</v>
      </c>
      <c r="N168" s="50"/>
    </row>
    <row r="169" spans="1:14">
      <c r="A169" s="34" t="s">
        <v>2911</v>
      </c>
      <c r="B169" s="11"/>
      <c r="C169" s="51">
        <v>45900</v>
      </c>
      <c r="D169" s="13">
        <v>62</v>
      </c>
      <c r="E169" s="23" t="s">
        <v>33</v>
      </c>
      <c r="F169" s="11" t="str">
        <f t="shared" si="8"/>
        <v>Accepted</v>
      </c>
      <c r="G169" s="19">
        <f>IF(ISERROR(VLOOKUP(A169,Report!A:D,3,FALSE)),"NOT FOUND",VLOOKUP(A169,Report!A:D,3,FALSE))</f>
        <v>61.95</v>
      </c>
      <c r="H169" s="19">
        <f>IF(ISERROR(VLOOKUP(A169,Report!A:D,4,FALSE)),"NOT FOUND",VLOOKUP(A169,Report!A:D,4,FALSE))</f>
        <v>0</v>
      </c>
      <c r="I169" s="20" t="str">
        <f>IF(ISERROR(VLOOKUP(A169,Report!A:D,2,FALSE)),"NOT FOUND",VLOOKUP(A169,Report!A:D,2,FALSE))</f>
        <v>11-09-2025</v>
      </c>
      <c r="J169" s="53"/>
      <c r="K169" s="56">
        <f t="shared" si="6"/>
        <v>8</v>
      </c>
      <c r="L169" s="56">
        <f t="shared" si="7"/>
        <v>2025</v>
      </c>
      <c r="N169" s="50"/>
    </row>
    <row r="170" spans="1:14">
      <c r="A170" s="34" t="s">
        <v>2901</v>
      </c>
      <c r="B170" s="11"/>
      <c r="C170" s="51">
        <v>45900</v>
      </c>
      <c r="D170" s="13">
        <v>62</v>
      </c>
      <c r="E170" s="23" t="s">
        <v>33</v>
      </c>
      <c r="F170" s="11" t="str">
        <f t="shared" si="8"/>
        <v>Accepted</v>
      </c>
      <c r="G170" s="19">
        <f>IF(ISERROR(VLOOKUP(A170,Report!A:D,3,FALSE)),"NOT FOUND",VLOOKUP(A170,Report!A:D,3,FALSE))</f>
        <v>61.95</v>
      </c>
      <c r="H170" s="19">
        <f>IF(ISERROR(VLOOKUP(A170,Report!A:D,4,FALSE)),"NOT FOUND",VLOOKUP(A170,Report!A:D,4,FALSE))</f>
        <v>0</v>
      </c>
      <c r="I170" s="20" t="str">
        <f>IF(ISERROR(VLOOKUP(A170,Report!A:D,2,FALSE)),"NOT FOUND",VLOOKUP(A170,Report!A:D,2,FALSE))</f>
        <v>11-09-2025</v>
      </c>
      <c r="J170" s="53"/>
      <c r="K170" s="56">
        <f t="shared" si="6"/>
        <v>8</v>
      </c>
      <c r="L170" s="56">
        <f t="shared" si="7"/>
        <v>2025</v>
      </c>
      <c r="N170" s="50"/>
    </row>
    <row r="171" spans="1:14">
      <c r="A171" s="34" t="s">
        <v>3028</v>
      </c>
      <c r="B171" s="11"/>
      <c r="C171" s="51">
        <v>45900</v>
      </c>
      <c r="D171" s="13">
        <v>62</v>
      </c>
      <c r="E171" s="23" t="s">
        <v>33</v>
      </c>
      <c r="F171" s="11" t="str">
        <f t="shared" si="8"/>
        <v>Accepted</v>
      </c>
      <c r="G171" s="19">
        <f>IF(ISERROR(VLOOKUP(A171,Report!A:D,3,FALSE)),"NOT FOUND",VLOOKUP(A171,Report!A:D,3,FALSE))</f>
        <v>61.95</v>
      </c>
      <c r="H171" s="19">
        <f>IF(ISERROR(VLOOKUP(A171,Report!A:D,4,FALSE)),"NOT FOUND",VLOOKUP(A171,Report!A:D,4,FALSE))</f>
        <v>0</v>
      </c>
      <c r="I171" s="20" t="str">
        <f>IF(ISERROR(VLOOKUP(A171,Report!A:D,2,FALSE)),"NOT FOUND",VLOOKUP(A171,Report!A:D,2,FALSE))</f>
        <v>11-09-2025</v>
      </c>
      <c r="J171" s="53"/>
      <c r="K171" s="56">
        <f t="shared" si="6"/>
        <v>8</v>
      </c>
      <c r="L171" s="56">
        <f t="shared" si="7"/>
        <v>2025</v>
      </c>
      <c r="N171" s="50"/>
    </row>
    <row r="172" spans="1:14">
      <c r="A172" s="34" t="s">
        <v>3034</v>
      </c>
      <c r="B172" s="11"/>
      <c r="C172" s="51">
        <v>45900</v>
      </c>
      <c r="D172" s="13">
        <v>62</v>
      </c>
      <c r="E172" s="23" t="s">
        <v>33</v>
      </c>
      <c r="F172" s="11" t="str">
        <f t="shared" si="8"/>
        <v>Accepted</v>
      </c>
      <c r="G172" s="19">
        <f>IF(ISERROR(VLOOKUP(A172,Report!A:D,3,FALSE)),"NOT FOUND",VLOOKUP(A172,Report!A:D,3,FALSE))</f>
        <v>61.95</v>
      </c>
      <c r="H172" s="19">
        <f>IF(ISERROR(VLOOKUP(A172,Report!A:D,4,FALSE)),"NOT FOUND",VLOOKUP(A172,Report!A:D,4,FALSE))</f>
        <v>0</v>
      </c>
      <c r="I172" s="20" t="str">
        <f>IF(ISERROR(VLOOKUP(A172,Report!A:D,2,FALSE)),"NOT FOUND",VLOOKUP(A172,Report!A:D,2,FALSE))</f>
        <v>11-09-2025</v>
      </c>
      <c r="J172" s="53"/>
      <c r="K172" s="56">
        <f t="shared" si="6"/>
        <v>8</v>
      </c>
      <c r="L172" s="56">
        <f t="shared" si="7"/>
        <v>2025</v>
      </c>
      <c r="N172" s="50"/>
    </row>
    <row r="173" spans="1:14">
      <c r="A173" s="34" t="s">
        <v>3037</v>
      </c>
      <c r="B173" s="11"/>
      <c r="C173" s="51">
        <v>45900</v>
      </c>
      <c r="D173" s="13">
        <v>62</v>
      </c>
      <c r="E173" s="23" t="s">
        <v>33</v>
      </c>
      <c r="F173" s="11" t="str">
        <f t="shared" si="8"/>
        <v>Accepted</v>
      </c>
      <c r="G173" s="19">
        <f>IF(ISERROR(VLOOKUP(A173,Report!A:D,3,FALSE)),"NOT FOUND",VLOOKUP(A173,Report!A:D,3,FALSE))</f>
        <v>61.95</v>
      </c>
      <c r="H173" s="19">
        <f>IF(ISERROR(VLOOKUP(A173,Report!A:D,4,FALSE)),"NOT FOUND",VLOOKUP(A173,Report!A:D,4,FALSE))</f>
        <v>0</v>
      </c>
      <c r="I173" s="20" t="str">
        <f>IF(ISERROR(VLOOKUP(A173,Report!A:D,2,FALSE)),"NOT FOUND",VLOOKUP(A173,Report!A:D,2,FALSE))</f>
        <v>11-09-2025</v>
      </c>
      <c r="J173" s="53"/>
      <c r="K173" s="56">
        <f t="shared" si="6"/>
        <v>8</v>
      </c>
      <c r="L173" s="56">
        <f t="shared" si="7"/>
        <v>2025</v>
      </c>
      <c r="N173" s="50"/>
    </row>
    <row r="174" spans="1:14">
      <c r="A174" s="34" t="s">
        <v>3056</v>
      </c>
      <c r="B174" s="11"/>
      <c r="C174" s="51">
        <v>45900</v>
      </c>
      <c r="D174" s="13">
        <v>62</v>
      </c>
      <c r="E174" s="23" t="s">
        <v>33</v>
      </c>
      <c r="F174" s="11" t="str">
        <f t="shared" si="8"/>
        <v>Accepted</v>
      </c>
      <c r="G174" s="19">
        <f>IF(ISERROR(VLOOKUP(A174,Report!A:D,3,FALSE)),"NOT FOUND",VLOOKUP(A174,Report!A:D,3,FALSE))</f>
        <v>61.95</v>
      </c>
      <c r="H174" s="19">
        <f>IF(ISERROR(VLOOKUP(A174,Report!A:D,4,FALSE)),"NOT FOUND",VLOOKUP(A174,Report!A:D,4,FALSE))</f>
        <v>0</v>
      </c>
      <c r="I174" s="20" t="str">
        <f>IF(ISERROR(VLOOKUP(A174,Report!A:D,2,FALSE)),"NOT FOUND",VLOOKUP(A174,Report!A:D,2,FALSE))</f>
        <v>11-09-2025</v>
      </c>
      <c r="J174" s="53"/>
      <c r="K174" s="56">
        <f t="shared" si="6"/>
        <v>8</v>
      </c>
      <c r="L174" s="56">
        <f t="shared" si="7"/>
        <v>2025</v>
      </c>
      <c r="N174" s="50"/>
    </row>
    <row r="175" spans="1:14">
      <c r="A175" s="34" t="s">
        <v>3017</v>
      </c>
      <c r="B175" s="11"/>
      <c r="C175" s="51">
        <v>45900</v>
      </c>
      <c r="D175" s="13">
        <v>62</v>
      </c>
      <c r="E175" s="23" t="s">
        <v>33</v>
      </c>
      <c r="F175" s="11" t="str">
        <f t="shared" si="8"/>
        <v>Accepted</v>
      </c>
      <c r="G175" s="19">
        <f>IF(ISERROR(VLOOKUP(A175,Report!A:D,3,FALSE)),"NOT FOUND",VLOOKUP(A175,Report!A:D,3,FALSE))</f>
        <v>61.95</v>
      </c>
      <c r="H175" s="19">
        <f>IF(ISERROR(VLOOKUP(A175,Report!A:D,4,FALSE)),"NOT FOUND",VLOOKUP(A175,Report!A:D,4,FALSE))</f>
        <v>0</v>
      </c>
      <c r="I175" s="20" t="str">
        <f>IF(ISERROR(VLOOKUP(A175,Report!A:D,2,FALSE)),"NOT FOUND",VLOOKUP(A175,Report!A:D,2,FALSE))</f>
        <v>11-09-2025</v>
      </c>
      <c r="J175" s="53"/>
      <c r="K175" s="56">
        <f t="shared" si="6"/>
        <v>8</v>
      </c>
      <c r="L175" s="56">
        <f t="shared" si="7"/>
        <v>2025</v>
      </c>
      <c r="N175" s="50"/>
    </row>
    <row r="176" spans="1:14">
      <c r="A176" s="34" t="s">
        <v>2903</v>
      </c>
      <c r="B176" s="11"/>
      <c r="C176" s="51">
        <v>45900</v>
      </c>
      <c r="D176" s="13">
        <v>62</v>
      </c>
      <c r="E176" s="23" t="s">
        <v>33</v>
      </c>
      <c r="F176" s="11" t="str">
        <f t="shared" si="8"/>
        <v>Accepted</v>
      </c>
      <c r="G176" s="19">
        <f>IF(ISERROR(VLOOKUP(A176,Report!A:D,3,FALSE)),"NOT FOUND",VLOOKUP(A176,Report!A:D,3,FALSE))</f>
        <v>61.95</v>
      </c>
      <c r="H176" s="19">
        <f>IF(ISERROR(VLOOKUP(A176,Report!A:D,4,FALSE)),"NOT FOUND",VLOOKUP(A176,Report!A:D,4,FALSE))</f>
        <v>0</v>
      </c>
      <c r="I176" s="20" t="str">
        <f>IF(ISERROR(VLOOKUP(A176,Report!A:D,2,FALSE)),"NOT FOUND",VLOOKUP(A176,Report!A:D,2,FALSE))</f>
        <v>11-09-2025</v>
      </c>
      <c r="J176" s="53"/>
      <c r="K176" s="56">
        <f t="shared" si="6"/>
        <v>8</v>
      </c>
      <c r="L176" s="56">
        <f t="shared" si="7"/>
        <v>2025</v>
      </c>
      <c r="N176" s="50"/>
    </row>
    <row r="177" spans="1:14">
      <c r="A177" s="34" t="s">
        <v>2960</v>
      </c>
      <c r="B177" s="11"/>
      <c r="C177" s="51">
        <v>45900</v>
      </c>
      <c r="D177" s="13">
        <v>62</v>
      </c>
      <c r="E177" s="23" t="s">
        <v>33</v>
      </c>
      <c r="F177" s="11" t="str">
        <f t="shared" si="8"/>
        <v>Accepted</v>
      </c>
      <c r="G177" s="19">
        <f>IF(ISERROR(VLOOKUP(A177,Report!A:D,3,FALSE)),"NOT FOUND",VLOOKUP(A177,Report!A:D,3,FALSE))</f>
        <v>61.95</v>
      </c>
      <c r="H177" s="19">
        <f>IF(ISERROR(VLOOKUP(A177,Report!A:D,4,FALSE)),"NOT FOUND",VLOOKUP(A177,Report!A:D,4,FALSE))</f>
        <v>0</v>
      </c>
      <c r="I177" s="20" t="str">
        <f>IF(ISERROR(VLOOKUP(A177,Report!A:D,2,FALSE)),"NOT FOUND",VLOOKUP(A177,Report!A:D,2,FALSE))</f>
        <v>11-09-2025</v>
      </c>
      <c r="J177" s="53"/>
      <c r="K177" s="56">
        <f t="shared" si="6"/>
        <v>8</v>
      </c>
      <c r="L177" s="56">
        <f t="shared" si="7"/>
        <v>2025</v>
      </c>
      <c r="N177" s="50"/>
    </row>
    <row r="178" spans="1:14">
      <c r="A178" s="34" t="s">
        <v>2879</v>
      </c>
      <c r="B178" s="11"/>
      <c r="C178" s="51">
        <v>45900</v>
      </c>
      <c r="D178" s="13">
        <v>62</v>
      </c>
      <c r="E178" s="23" t="s">
        <v>33</v>
      </c>
      <c r="F178" s="11" t="str">
        <f t="shared" si="8"/>
        <v>Accepted</v>
      </c>
      <c r="G178" s="19">
        <f>IF(ISERROR(VLOOKUP(A178,Report!A:D,3,FALSE)),"NOT FOUND",VLOOKUP(A178,Report!A:D,3,FALSE))</f>
        <v>61.95</v>
      </c>
      <c r="H178" s="19">
        <f>IF(ISERROR(VLOOKUP(A178,Report!A:D,4,FALSE)),"NOT FOUND",VLOOKUP(A178,Report!A:D,4,FALSE))</f>
        <v>0</v>
      </c>
      <c r="I178" s="20" t="str">
        <f>IF(ISERROR(VLOOKUP(A178,Report!A:D,2,FALSE)),"NOT FOUND",VLOOKUP(A178,Report!A:D,2,FALSE))</f>
        <v>11-09-2025</v>
      </c>
      <c r="J178" s="53"/>
      <c r="K178" s="56">
        <f t="shared" si="6"/>
        <v>8</v>
      </c>
      <c r="L178" s="56">
        <f t="shared" si="7"/>
        <v>2025</v>
      </c>
      <c r="N178" s="50"/>
    </row>
    <row r="179" spans="1:14">
      <c r="A179" s="34" t="s">
        <v>2958</v>
      </c>
      <c r="B179" s="11"/>
      <c r="C179" s="51">
        <v>45900</v>
      </c>
      <c r="D179" s="13">
        <v>62</v>
      </c>
      <c r="E179" s="23" t="s">
        <v>33</v>
      </c>
      <c r="F179" s="11" t="str">
        <f t="shared" si="8"/>
        <v>Accepted</v>
      </c>
      <c r="G179" s="19">
        <f>IF(ISERROR(VLOOKUP(A179,Report!A:D,3,FALSE)),"NOT FOUND",VLOOKUP(A179,Report!A:D,3,FALSE))</f>
        <v>61.95</v>
      </c>
      <c r="H179" s="19">
        <f>IF(ISERROR(VLOOKUP(A179,Report!A:D,4,FALSE)),"NOT FOUND",VLOOKUP(A179,Report!A:D,4,FALSE))</f>
        <v>0</v>
      </c>
      <c r="I179" s="20" t="str">
        <f>IF(ISERROR(VLOOKUP(A179,Report!A:D,2,FALSE)),"NOT FOUND",VLOOKUP(A179,Report!A:D,2,FALSE))</f>
        <v>11-09-2025</v>
      </c>
      <c r="J179" s="53"/>
      <c r="K179" s="56">
        <f t="shared" si="6"/>
        <v>8</v>
      </c>
      <c r="L179" s="56">
        <f t="shared" si="7"/>
        <v>2025</v>
      </c>
      <c r="N179" s="50"/>
    </row>
    <row r="180" spans="1:14">
      <c r="A180" s="34" t="s">
        <v>2941</v>
      </c>
      <c r="B180" s="11"/>
      <c r="C180" s="51">
        <v>45900</v>
      </c>
      <c r="D180" s="13">
        <v>62</v>
      </c>
      <c r="E180" s="23" t="s">
        <v>33</v>
      </c>
      <c r="F180" s="11" t="str">
        <f t="shared" si="8"/>
        <v>Accepted</v>
      </c>
      <c r="G180" s="19">
        <f>IF(ISERROR(VLOOKUP(A180,Report!A:D,3,FALSE)),"NOT FOUND",VLOOKUP(A180,Report!A:D,3,FALSE))</f>
        <v>61.95</v>
      </c>
      <c r="H180" s="19">
        <f>IF(ISERROR(VLOOKUP(A180,Report!A:D,4,FALSE)),"NOT FOUND",VLOOKUP(A180,Report!A:D,4,FALSE))</f>
        <v>0</v>
      </c>
      <c r="I180" s="20" t="str">
        <f>IF(ISERROR(VLOOKUP(A180,Report!A:D,2,FALSE)),"NOT FOUND",VLOOKUP(A180,Report!A:D,2,FALSE))</f>
        <v>11-09-2025</v>
      </c>
      <c r="J180" s="53"/>
      <c r="K180" s="56">
        <f t="shared" si="6"/>
        <v>8</v>
      </c>
      <c r="L180" s="56">
        <f t="shared" si="7"/>
        <v>2025</v>
      </c>
      <c r="N180" s="50"/>
    </row>
    <row r="181" spans="1:14">
      <c r="A181" s="34" t="s">
        <v>2956</v>
      </c>
      <c r="B181" s="11"/>
      <c r="C181" s="51">
        <v>45900</v>
      </c>
      <c r="D181" s="13">
        <v>62</v>
      </c>
      <c r="E181" s="23" t="s">
        <v>33</v>
      </c>
      <c r="F181" s="11" t="str">
        <f t="shared" si="8"/>
        <v>Accepted</v>
      </c>
      <c r="G181" s="19">
        <f>IF(ISERROR(VLOOKUP(A181,Report!A:D,3,FALSE)),"NOT FOUND",VLOOKUP(A181,Report!A:D,3,FALSE))</f>
        <v>61.95</v>
      </c>
      <c r="H181" s="19">
        <f>IF(ISERROR(VLOOKUP(A181,Report!A:D,4,FALSE)),"NOT FOUND",VLOOKUP(A181,Report!A:D,4,FALSE))</f>
        <v>0</v>
      </c>
      <c r="I181" s="20" t="str">
        <f>IF(ISERROR(VLOOKUP(A181,Report!A:D,2,FALSE)),"NOT FOUND",VLOOKUP(A181,Report!A:D,2,FALSE))</f>
        <v>11-09-2025</v>
      </c>
      <c r="J181" s="53"/>
      <c r="K181" s="56">
        <f t="shared" si="6"/>
        <v>8</v>
      </c>
      <c r="L181" s="56">
        <f t="shared" si="7"/>
        <v>2025</v>
      </c>
      <c r="N181" s="50"/>
    </row>
    <row r="182" spans="1:14">
      <c r="A182" s="34" t="s">
        <v>3000</v>
      </c>
      <c r="B182" s="11"/>
      <c r="C182" s="51">
        <v>45900</v>
      </c>
      <c r="D182" s="13">
        <v>62</v>
      </c>
      <c r="E182" s="23" t="s">
        <v>33</v>
      </c>
      <c r="F182" s="11" t="str">
        <f t="shared" si="8"/>
        <v>Accepted</v>
      </c>
      <c r="G182" s="19">
        <f>IF(ISERROR(VLOOKUP(A182,Report!A:D,3,FALSE)),"NOT FOUND",VLOOKUP(A182,Report!A:D,3,FALSE))</f>
        <v>61.95</v>
      </c>
      <c r="H182" s="19">
        <f>IF(ISERROR(VLOOKUP(A182,Report!A:D,4,FALSE)),"NOT FOUND",VLOOKUP(A182,Report!A:D,4,FALSE))</f>
        <v>0</v>
      </c>
      <c r="I182" s="20" t="str">
        <f>IF(ISERROR(VLOOKUP(A182,Report!A:D,2,FALSE)),"NOT FOUND",VLOOKUP(A182,Report!A:D,2,FALSE))</f>
        <v>11-09-2025</v>
      </c>
      <c r="J182" s="53"/>
      <c r="K182" s="56">
        <f t="shared" si="6"/>
        <v>8</v>
      </c>
      <c r="L182" s="56">
        <f t="shared" si="7"/>
        <v>2025</v>
      </c>
      <c r="N182" s="50"/>
    </row>
    <row r="183" spans="1:14">
      <c r="A183" s="34" t="s">
        <v>2963</v>
      </c>
      <c r="B183" s="11"/>
      <c r="C183" s="51">
        <v>45900</v>
      </c>
      <c r="D183" s="13">
        <v>62</v>
      </c>
      <c r="E183" s="23" t="s">
        <v>33</v>
      </c>
      <c r="F183" s="11" t="str">
        <f t="shared" si="8"/>
        <v>Accepted</v>
      </c>
      <c r="G183" s="19">
        <f>IF(ISERROR(VLOOKUP(A183,Report!A:D,3,FALSE)),"NOT FOUND",VLOOKUP(A183,Report!A:D,3,FALSE))</f>
        <v>61.95</v>
      </c>
      <c r="H183" s="19">
        <f>IF(ISERROR(VLOOKUP(A183,Report!A:D,4,FALSE)),"NOT FOUND",VLOOKUP(A183,Report!A:D,4,FALSE))</f>
        <v>0</v>
      </c>
      <c r="I183" s="20" t="str">
        <f>IF(ISERROR(VLOOKUP(A183,Report!A:D,2,FALSE)),"NOT FOUND",VLOOKUP(A183,Report!A:D,2,FALSE))</f>
        <v>11-09-2025</v>
      </c>
      <c r="J183" s="53"/>
      <c r="K183" s="56">
        <f t="shared" si="6"/>
        <v>8</v>
      </c>
      <c r="L183" s="56">
        <f t="shared" si="7"/>
        <v>2025</v>
      </c>
      <c r="N183" s="50"/>
    </row>
    <row r="184" spans="1:14">
      <c r="A184" s="34" t="s">
        <v>2938</v>
      </c>
      <c r="B184" s="11"/>
      <c r="C184" s="51">
        <v>45900</v>
      </c>
      <c r="D184" s="13">
        <v>62</v>
      </c>
      <c r="E184" s="23" t="s">
        <v>33</v>
      </c>
      <c r="F184" s="11" t="str">
        <f t="shared" si="8"/>
        <v>Accepted</v>
      </c>
      <c r="G184" s="19">
        <f>IF(ISERROR(VLOOKUP(A184,Report!A:D,3,FALSE)),"NOT FOUND",VLOOKUP(A184,Report!A:D,3,FALSE))</f>
        <v>61.95</v>
      </c>
      <c r="H184" s="19">
        <f>IF(ISERROR(VLOOKUP(A184,Report!A:D,4,FALSE)),"NOT FOUND",VLOOKUP(A184,Report!A:D,4,FALSE))</f>
        <v>0</v>
      </c>
      <c r="I184" s="20" t="str">
        <f>IF(ISERROR(VLOOKUP(A184,Report!A:D,2,FALSE)),"NOT FOUND",VLOOKUP(A184,Report!A:D,2,FALSE))</f>
        <v>11-09-2025</v>
      </c>
      <c r="J184" s="53"/>
      <c r="K184" s="56">
        <f t="shared" si="6"/>
        <v>8</v>
      </c>
      <c r="L184" s="56">
        <f t="shared" si="7"/>
        <v>2025</v>
      </c>
      <c r="N184" s="50"/>
    </row>
    <row r="185" spans="1:14">
      <c r="A185" s="34" t="s">
        <v>2953</v>
      </c>
      <c r="B185" s="11"/>
      <c r="C185" s="51">
        <v>45900</v>
      </c>
      <c r="D185" s="13">
        <v>62</v>
      </c>
      <c r="E185" s="23" t="s">
        <v>33</v>
      </c>
      <c r="F185" s="11" t="str">
        <f t="shared" si="8"/>
        <v>Accepted</v>
      </c>
      <c r="G185" s="19">
        <f>IF(ISERROR(VLOOKUP(A185,Report!A:D,3,FALSE)),"NOT FOUND",VLOOKUP(A185,Report!A:D,3,FALSE))</f>
        <v>61.95</v>
      </c>
      <c r="H185" s="19">
        <f>IF(ISERROR(VLOOKUP(A185,Report!A:D,4,FALSE)),"NOT FOUND",VLOOKUP(A185,Report!A:D,4,FALSE))</f>
        <v>0</v>
      </c>
      <c r="I185" s="20" t="str">
        <f>IF(ISERROR(VLOOKUP(A185,Report!A:D,2,FALSE)),"NOT FOUND",VLOOKUP(A185,Report!A:D,2,FALSE))</f>
        <v>11-09-2025</v>
      </c>
      <c r="J185" s="53"/>
      <c r="K185" s="56">
        <f t="shared" si="6"/>
        <v>8</v>
      </c>
      <c r="L185" s="56">
        <f t="shared" si="7"/>
        <v>2025</v>
      </c>
      <c r="N185" s="50"/>
    </row>
    <row r="186" spans="1:14">
      <c r="A186" s="34" t="s">
        <v>2907</v>
      </c>
      <c r="B186" s="11"/>
      <c r="C186" s="51">
        <v>45900</v>
      </c>
      <c r="D186" s="13">
        <v>62</v>
      </c>
      <c r="E186" s="23" t="s">
        <v>33</v>
      </c>
      <c r="F186" s="11" t="str">
        <f t="shared" si="8"/>
        <v>Accepted</v>
      </c>
      <c r="G186" s="19">
        <f>IF(ISERROR(VLOOKUP(A186,Report!A:D,3,FALSE)),"NOT FOUND",VLOOKUP(A186,Report!A:D,3,FALSE))</f>
        <v>61.95</v>
      </c>
      <c r="H186" s="19">
        <f>IF(ISERROR(VLOOKUP(A186,Report!A:D,4,FALSE)),"NOT FOUND",VLOOKUP(A186,Report!A:D,4,FALSE))</f>
        <v>0</v>
      </c>
      <c r="I186" s="20" t="str">
        <f>IF(ISERROR(VLOOKUP(A186,Report!A:D,2,FALSE)),"NOT FOUND",VLOOKUP(A186,Report!A:D,2,FALSE))</f>
        <v>11-09-2025</v>
      </c>
      <c r="J186" s="53"/>
      <c r="K186" s="56">
        <f t="shared" si="6"/>
        <v>8</v>
      </c>
      <c r="L186" s="56">
        <f t="shared" si="7"/>
        <v>2025</v>
      </c>
      <c r="N186" s="50"/>
    </row>
    <row r="187" spans="1:14">
      <c r="A187" s="34" t="s">
        <v>3049</v>
      </c>
      <c r="B187" s="11"/>
      <c r="C187" s="51">
        <v>45900</v>
      </c>
      <c r="D187" s="13">
        <v>62</v>
      </c>
      <c r="E187" s="23" t="s">
        <v>33</v>
      </c>
      <c r="F187" s="11" t="str">
        <f t="shared" si="8"/>
        <v>Accepted</v>
      </c>
      <c r="G187" s="19">
        <f>IF(ISERROR(VLOOKUP(A187,Report!A:D,3,FALSE)),"NOT FOUND",VLOOKUP(A187,Report!A:D,3,FALSE))</f>
        <v>61.95</v>
      </c>
      <c r="H187" s="19">
        <f>IF(ISERROR(VLOOKUP(A187,Report!A:D,4,FALSE)),"NOT FOUND",VLOOKUP(A187,Report!A:D,4,FALSE))</f>
        <v>0</v>
      </c>
      <c r="I187" s="20" t="str">
        <f>IF(ISERROR(VLOOKUP(A187,Report!A:D,2,FALSE)),"NOT FOUND",VLOOKUP(A187,Report!A:D,2,FALSE))</f>
        <v>11-09-2025</v>
      </c>
      <c r="J187" s="53"/>
      <c r="K187" s="56">
        <f t="shared" si="6"/>
        <v>8</v>
      </c>
      <c r="L187" s="56">
        <f t="shared" si="7"/>
        <v>2025</v>
      </c>
      <c r="N187" s="50"/>
    </row>
    <row r="188" spans="1:14">
      <c r="A188" s="34" t="s">
        <v>3071</v>
      </c>
      <c r="B188" s="11"/>
      <c r="C188" s="51">
        <v>45900</v>
      </c>
      <c r="D188" s="13">
        <v>62</v>
      </c>
      <c r="E188" s="23" t="s">
        <v>33</v>
      </c>
      <c r="F188" s="11" t="str">
        <f t="shared" si="8"/>
        <v>Accepted</v>
      </c>
      <c r="G188" s="19">
        <f>IF(ISERROR(VLOOKUP(A188,Report!A:D,3,FALSE)),"NOT FOUND",VLOOKUP(A188,Report!A:D,3,FALSE))</f>
        <v>61.95</v>
      </c>
      <c r="H188" s="19">
        <f>IF(ISERROR(VLOOKUP(A188,Report!A:D,4,FALSE)),"NOT FOUND",VLOOKUP(A188,Report!A:D,4,FALSE))</f>
        <v>0</v>
      </c>
      <c r="I188" s="20" t="str">
        <f>IF(ISERROR(VLOOKUP(A188,Report!A:D,2,FALSE)),"NOT FOUND",VLOOKUP(A188,Report!A:D,2,FALSE))</f>
        <v>11-09-2025</v>
      </c>
      <c r="J188" s="53"/>
      <c r="K188" s="56">
        <f t="shared" si="6"/>
        <v>8</v>
      </c>
      <c r="L188" s="56">
        <f t="shared" si="7"/>
        <v>2025</v>
      </c>
      <c r="N188" s="50"/>
    </row>
    <row r="189" spans="1:14">
      <c r="A189" s="34" t="s">
        <v>3054</v>
      </c>
      <c r="B189" s="11"/>
      <c r="C189" s="51">
        <v>45900</v>
      </c>
      <c r="D189" s="13">
        <v>62</v>
      </c>
      <c r="E189" s="23" t="s">
        <v>33</v>
      </c>
      <c r="F189" s="11" t="str">
        <f t="shared" si="8"/>
        <v>Accepted</v>
      </c>
      <c r="G189" s="19">
        <f>IF(ISERROR(VLOOKUP(A189,Report!A:D,3,FALSE)),"NOT FOUND",VLOOKUP(A189,Report!A:D,3,FALSE))</f>
        <v>61.95</v>
      </c>
      <c r="H189" s="19">
        <f>IF(ISERROR(VLOOKUP(A189,Report!A:D,4,FALSE)),"NOT FOUND",VLOOKUP(A189,Report!A:D,4,FALSE))</f>
        <v>0</v>
      </c>
      <c r="I189" s="20" t="str">
        <f>IF(ISERROR(VLOOKUP(A189,Report!A:D,2,FALSE)),"NOT FOUND",VLOOKUP(A189,Report!A:D,2,FALSE))</f>
        <v>11-09-2025</v>
      </c>
      <c r="J189" s="53"/>
      <c r="K189" s="56">
        <f t="shared" si="6"/>
        <v>8</v>
      </c>
      <c r="L189" s="56">
        <f t="shared" si="7"/>
        <v>2025</v>
      </c>
      <c r="N189" s="50"/>
    </row>
    <row r="190" spans="1:14">
      <c r="A190" s="34" t="s">
        <v>2914</v>
      </c>
      <c r="B190" s="11"/>
      <c r="C190" s="51">
        <v>45900</v>
      </c>
      <c r="D190" s="13">
        <v>62</v>
      </c>
      <c r="E190" s="23" t="s">
        <v>33</v>
      </c>
      <c r="F190" s="11" t="str">
        <f t="shared" si="8"/>
        <v>Accepted</v>
      </c>
      <c r="G190" s="19">
        <f>IF(ISERROR(VLOOKUP(A190,Report!A:D,3,FALSE)),"NOT FOUND",VLOOKUP(A190,Report!A:D,3,FALSE))</f>
        <v>61.95</v>
      </c>
      <c r="H190" s="19">
        <f>IF(ISERROR(VLOOKUP(A190,Report!A:D,4,FALSE)),"NOT FOUND",VLOOKUP(A190,Report!A:D,4,FALSE))</f>
        <v>0</v>
      </c>
      <c r="I190" s="20" t="str">
        <f>IF(ISERROR(VLOOKUP(A190,Report!A:D,2,FALSE)),"NOT FOUND",VLOOKUP(A190,Report!A:D,2,FALSE))</f>
        <v>11-09-2025</v>
      </c>
      <c r="J190" s="53"/>
      <c r="K190" s="56">
        <f t="shared" ref="K190:K253" si="9">MONTH(C190)</f>
        <v>8</v>
      </c>
      <c r="L190" s="56">
        <f t="shared" ref="L190:L253" si="10">YEAR(C190)</f>
        <v>2025</v>
      </c>
      <c r="N190" s="50"/>
    </row>
    <row r="191" spans="1:14">
      <c r="A191" s="34" t="s">
        <v>3021</v>
      </c>
      <c r="B191" s="11"/>
      <c r="C191" s="51">
        <v>45900</v>
      </c>
      <c r="D191" s="13">
        <v>62</v>
      </c>
      <c r="E191" s="23" t="s">
        <v>33</v>
      </c>
      <c r="F191" s="11" t="str">
        <f t="shared" si="8"/>
        <v>Accepted</v>
      </c>
      <c r="G191" s="19">
        <f>IF(ISERROR(VLOOKUP(A191,Report!A:D,3,FALSE)),"NOT FOUND",VLOOKUP(A191,Report!A:D,3,FALSE))</f>
        <v>61.95</v>
      </c>
      <c r="H191" s="19">
        <f>IF(ISERROR(VLOOKUP(A191,Report!A:D,4,FALSE)),"NOT FOUND",VLOOKUP(A191,Report!A:D,4,FALSE))</f>
        <v>0</v>
      </c>
      <c r="I191" s="20" t="str">
        <f>IF(ISERROR(VLOOKUP(A191,Report!A:D,2,FALSE)),"NOT FOUND",VLOOKUP(A191,Report!A:D,2,FALSE))</f>
        <v>11-09-2025</v>
      </c>
      <c r="J191" s="53"/>
      <c r="K191" s="56">
        <f t="shared" si="9"/>
        <v>8</v>
      </c>
      <c r="L191" s="56">
        <f t="shared" si="10"/>
        <v>2025</v>
      </c>
      <c r="N191" s="50"/>
    </row>
    <row r="192" spans="1:14">
      <c r="A192" s="34" t="s">
        <v>3015</v>
      </c>
      <c r="B192" s="11"/>
      <c r="C192" s="51">
        <v>45900</v>
      </c>
      <c r="D192" s="13">
        <v>62</v>
      </c>
      <c r="E192" s="23" t="s">
        <v>33</v>
      </c>
      <c r="F192" s="11" t="str">
        <f t="shared" ref="F192:F255" si="11">IF((D192-G192)&lt;10,"Accepted","Partial/Rejected")</f>
        <v>Accepted</v>
      </c>
      <c r="G192" s="19">
        <f>IF(ISERROR(VLOOKUP(A192,Report!A:D,3,FALSE)),"NOT FOUND",VLOOKUP(A192,Report!A:D,3,FALSE))</f>
        <v>61.95</v>
      </c>
      <c r="H192" s="19">
        <f>IF(ISERROR(VLOOKUP(A192,Report!A:D,4,FALSE)),"NOT FOUND",VLOOKUP(A192,Report!A:D,4,FALSE))</f>
        <v>0</v>
      </c>
      <c r="I192" s="20" t="str">
        <f>IF(ISERROR(VLOOKUP(A192,Report!A:D,2,FALSE)),"NOT FOUND",VLOOKUP(A192,Report!A:D,2,FALSE))</f>
        <v>11-09-2025</v>
      </c>
      <c r="J192" s="53"/>
      <c r="K192" s="56">
        <f t="shared" si="9"/>
        <v>8</v>
      </c>
      <c r="L192" s="56">
        <f t="shared" si="10"/>
        <v>2025</v>
      </c>
      <c r="N192" s="50"/>
    </row>
    <row r="193" spans="1:14">
      <c r="A193" s="34" t="s">
        <v>2923</v>
      </c>
      <c r="B193" s="11"/>
      <c r="C193" s="51">
        <v>45900</v>
      </c>
      <c r="D193" s="13">
        <v>62</v>
      </c>
      <c r="E193" s="23" t="s">
        <v>33</v>
      </c>
      <c r="F193" s="11" t="str">
        <f t="shared" si="11"/>
        <v>Accepted</v>
      </c>
      <c r="G193" s="19">
        <f>IF(ISERROR(VLOOKUP(A193,Report!A:D,3,FALSE)),"NOT FOUND",VLOOKUP(A193,Report!A:D,3,FALSE))</f>
        <v>61.95</v>
      </c>
      <c r="H193" s="19">
        <f>IF(ISERROR(VLOOKUP(A193,Report!A:D,4,FALSE)),"NOT FOUND",VLOOKUP(A193,Report!A:D,4,FALSE))</f>
        <v>0</v>
      </c>
      <c r="I193" s="20" t="str">
        <f>IF(ISERROR(VLOOKUP(A193,Report!A:D,2,FALSE)),"NOT FOUND",VLOOKUP(A193,Report!A:D,2,FALSE))</f>
        <v>11-09-2025</v>
      </c>
      <c r="J193" s="53"/>
      <c r="K193" s="56">
        <f t="shared" si="9"/>
        <v>8</v>
      </c>
      <c r="L193" s="56">
        <f t="shared" si="10"/>
        <v>2025</v>
      </c>
      <c r="N193" s="50"/>
    </row>
    <row r="194" spans="1:14">
      <c r="A194" s="34" t="s">
        <v>2948</v>
      </c>
      <c r="B194" s="11"/>
      <c r="C194" s="51">
        <v>45900</v>
      </c>
      <c r="D194" s="13">
        <v>62</v>
      </c>
      <c r="E194" s="23" t="s">
        <v>33</v>
      </c>
      <c r="F194" s="11" t="str">
        <f t="shared" si="11"/>
        <v>Accepted</v>
      </c>
      <c r="G194" s="19">
        <f>IF(ISERROR(VLOOKUP(A194,Report!A:D,3,FALSE)),"NOT FOUND",VLOOKUP(A194,Report!A:D,3,FALSE))</f>
        <v>61.95</v>
      </c>
      <c r="H194" s="19">
        <f>IF(ISERROR(VLOOKUP(A194,Report!A:D,4,FALSE)),"NOT FOUND",VLOOKUP(A194,Report!A:D,4,FALSE))</f>
        <v>0</v>
      </c>
      <c r="I194" s="20" t="str">
        <f>IF(ISERROR(VLOOKUP(A194,Report!A:D,2,FALSE)),"NOT FOUND",VLOOKUP(A194,Report!A:D,2,FALSE))</f>
        <v>11-09-2025</v>
      </c>
      <c r="J194" s="53"/>
      <c r="K194" s="56">
        <f t="shared" si="9"/>
        <v>8</v>
      </c>
      <c r="L194" s="56">
        <f t="shared" si="10"/>
        <v>2025</v>
      </c>
      <c r="N194" s="50"/>
    </row>
    <row r="195" spans="1:14">
      <c r="A195" s="34" t="s">
        <v>3031</v>
      </c>
      <c r="B195" s="11"/>
      <c r="C195" s="51">
        <v>45900</v>
      </c>
      <c r="D195" s="13">
        <v>62</v>
      </c>
      <c r="E195" s="23" t="s">
        <v>33</v>
      </c>
      <c r="F195" s="11" t="str">
        <f t="shared" si="11"/>
        <v>Accepted</v>
      </c>
      <c r="G195" s="19">
        <f>IF(ISERROR(VLOOKUP(A195,Report!A:D,3,FALSE)),"NOT FOUND",VLOOKUP(A195,Report!A:D,3,FALSE))</f>
        <v>61.95</v>
      </c>
      <c r="H195" s="19">
        <f>IF(ISERROR(VLOOKUP(A195,Report!A:D,4,FALSE)),"NOT FOUND",VLOOKUP(A195,Report!A:D,4,FALSE))</f>
        <v>0</v>
      </c>
      <c r="I195" s="20" t="str">
        <f>IF(ISERROR(VLOOKUP(A195,Report!A:D,2,FALSE)),"NOT FOUND",VLOOKUP(A195,Report!A:D,2,FALSE))</f>
        <v>11-09-2025</v>
      </c>
      <c r="J195" s="53"/>
      <c r="K195" s="56">
        <f t="shared" si="9"/>
        <v>8</v>
      </c>
      <c r="L195" s="56">
        <f t="shared" si="10"/>
        <v>2025</v>
      </c>
      <c r="N195" s="50"/>
    </row>
    <row r="196" spans="1:14">
      <c r="A196" s="34" t="s">
        <v>3005</v>
      </c>
      <c r="B196" s="11"/>
      <c r="C196" s="51">
        <v>45900</v>
      </c>
      <c r="D196" s="13">
        <v>62</v>
      </c>
      <c r="E196" s="23" t="s">
        <v>33</v>
      </c>
      <c r="F196" s="11" t="str">
        <f t="shared" si="11"/>
        <v>Accepted</v>
      </c>
      <c r="G196" s="19">
        <f>IF(ISERROR(VLOOKUP(A196,Report!A:D,3,FALSE)),"NOT FOUND",VLOOKUP(A196,Report!A:D,3,FALSE))</f>
        <v>61.95</v>
      </c>
      <c r="H196" s="19">
        <f>IF(ISERROR(VLOOKUP(A196,Report!A:D,4,FALSE)),"NOT FOUND",VLOOKUP(A196,Report!A:D,4,FALSE))</f>
        <v>0</v>
      </c>
      <c r="I196" s="20" t="str">
        <f>IF(ISERROR(VLOOKUP(A196,Report!A:D,2,FALSE)),"NOT FOUND",VLOOKUP(A196,Report!A:D,2,FALSE))</f>
        <v>11-09-2025</v>
      </c>
      <c r="J196" s="53"/>
      <c r="K196" s="56">
        <f t="shared" si="9"/>
        <v>8</v>
      </c>
      <c r="L196" s="56">
        <f t="shared" si="10"/>
        <v>2025</v>
      </c>
      <c r="N196" s="50"/>
    </row>
    <row r="197" spans="1:14">
      <c r="A197" s="34" t="s">
        <v>2944</v>
      </c>
      <c r="B197" s="11"/>
      <c r="C197" s="51">
        <v>45900</v>
      </c>
      <c r="D197" s="13">
        <v>62</v>
      </c>
      <c r="E197" s="23" t="s">
        <v>33</v>
      </c>
      <c r="F197" s="11" t="str">
        <f t="shared" si="11"/>
        <v>Accepted</v>
      </c>
      <c r="G197" s="19">
        <f>IF(ISERROR(VLOOKUP(A197,Report!A:D,3,FALSE)),"NOT FOUND",VLOOKUP(A197,Report!A:D,3,FALSE))</f>
        <v>61.95</v>
      </c>
      <c r="H197" s="19">
        <f>IF(ISERROR(VLOOKUP(A197,Report!A:D,4,FALSE)),"NOT FOUND",VLOOKUP(A197,Report!A:D,4,FALSE))</f>
        <v>0</v>
      </c>
      <c r="I197" s="20" t="str">
        <f>IF(ISERROR(VLOOKUP(A197,Report!A:D,2,FALSE)),"NOT FOUND",VLOOKUP(A197,Report!A:D,2,FALSE))</f>
        <v>11-09-2025</v>
      </c>
      <c r="J197" s="53"/>
      <c r="K197" s="56">
        <f t="shared" si="9"/>
        <v>8</v>
      </c>
      <c r="L197" s="56">
        <f t="shared" si="10"/>
        <v>2025</v>
      </c>
      <c r="N197" s="50"/>
    </row>
    <row r="198" spans="1:14">
      <c r="A198" s="34" t="s">
        <v>3007</v>
      </c>
      <c r="B198" s="11"/>
      <c r="C198" s="51">
        <v>45900</v>
      </c>
      <c r="D198" s="13">
        <v>62</v>
      </c>
      <c r="E198" s="23" t="s">
        <v>33</v>
      </c>
      <c r="F198" s="11" t="str">
        <f t="shared" si="11"/>
        <v>Accepted</v>
      </c>
      <c r="G198" s="19">
        <f>IF(ISERROR(VLOOKUP(A198,Report!A:D,3,FALSE)),"NOT FOUND",VLOOKUP(A198,Report!A:D,3,FALSE))</f>
        <v>61.95</v>
      </c>
      <c r="H198" s="19">
        <f>IF(ISERROR(VLOOKUP(A198,Report!A:D,4,FALSE)),"NOT FOUND",VLOOKUP(A198,Report!A:D,4,FALSE))</f>
        <v>0</v>
      </c>
      <c r="I198" s="20" t="str">
        <f>IF(ISERROR(VLOOKUP(A198,Report!A:D,2,FALSE)),"NOT FOUND",VLOOKUP(A198,Report!A:D,2,FALSE))</f>
        <v>11-09-2025</v>
      </c>
      <c r="J198" s="53"/>
      <c r="K198" s="56">
        <f t="shared" si="9"/>
        <v>8</v>
      </c>
      <c r="L198" s="56">
        <f t="shared" si="10"/>
        <v>2025</v>
      </c>
      <c r="N198" s="50"/>
    </row>
    <row r="199" spans="1:14">
      <c r="A199" s="34" t="s">
        <v>2981</v>
      </c>
      <c r="B199" s="11"/>
      <c r="C199" s="51">
        <v>45900</v>
      </c>
      <c r="D199" s="13">
        <v>62</v>
      </c>
      <c r="E199" s="23" t="s">
        <v>33</v>
      </c>
      <c r="F199" s="11" t="str">
        <f t="shared" si="11"/>
        <v>Accepted</v>
      </c>
      <c r="G199" s="19">
        <f>IF(ISERROR(VLOOKUP(A199,Report!A:D,3,FALSE)),"NOT FOUND",VLOOKUP(A199,Report!A:D,3,FALSE))</f>
        <v>61.95</v>
      </c>
      <c r="H199" s="19">
        <f>IF(ISERROR(VLOOKUP(A199,Report!A:D,4,FALSE)),"NOT FOUND",VLOOKUP(A199,Report!A:D,4,FALSE))</f>
        <v>0</v>
      </c>
      <c r="I199" s="20" t="str">
        <f>IF(ISERROR(VLOOKUP(A199,Report!A:D,2,FALSE)),"NOT FOUND",VLOOKUP(A199,Report!A:D,2,FALSE))</f>
        <v>11-09-2025</v>
      </c>
      <c r="J199" s="53"/>
      <c r="K199" s="56">
        <f t="shared" si="9"/>
        <v>8</v>
      </c>
      <c r="L199" s="56">
        <f t="shared" si="10"/>
        <v>2025</v>
      </c>
      <c r="N199" s="50"/>
    </row>
    <row r="200" spans="1:14">
      <c r="A200" s="34" t="s">
        <v>3023</v>
      </c>
      <c r="B200" s="11"/>
      <c r="C200" s="51">
        <v>45900</v>
      </c>
      <c r="D200" s="13">
        <v>62</v>
      </c>
      <c r="E200" s="23" t="s">
        <v>33</v>
      </c>
      <c r="F200" s="11" t="str">
        <f t="shared" si="11"/>
        <v>Accepted</v>
      </c>
      <c r="G200" s="19">
        <f>IF(ISERROR(VLOOKUP(A200,Report!A:D,3,FALSE)),"NOT FOUND",VLOOKUP(A200,Report!A:D,3,FALSE))</f>
        <v>61.95</v>
      </c>
      <c r="H200" s="19">
        <f>IF(ISERROR(VLOOKUP(A200,Report!A:D,4,FALSE)),"NOT FOUND",VLOOKUP(A200,Report!A:D,4,FALSE))</f>
        <v>0</v>
      </c>
      <c r="I200" s="20" t="str">
        <f>IF(ISERROR(VLOOKUP(A200,Report!A:D,2,FALSE)),"NOT FOUND",VLOOKUP(A200,Report!A:D,2,FALSE))</f>
        <v>11-09-2025</v>
      </c>
      <c r="J200" s="53"/>
      <c r="K200" s="56">
        <f t="shared" si="9"/>
        <v>8</v>
      </c>
      <c r="L200" s="56">
        <f t="shared" si="10"/>
        <v>2025</v>
      </c>
      <c r="N200" s="50"/>
    </row>
    <row r="201" spans="1:14">
      <c r="A201" s="34" t="s">
        <v>2893</v>
      </c>
      <c r="B201" s="11"/>
      <c r="C201" s="51">
        <v>45900</v>
      </c>
      <c r="D201" s="13">
        <v>62</v>
      </c>
      <c r="E201" s="23" t="s">
        <v>33</v>
      </c>
      <c r="F201" s="11" t="str">
        <f t="shared" si="11"/>
        <v>Accepted</v>
      </c>
      <c r="G201" s="19">
        <f>IF(ISERROR(VLOOKUP(A201,Report!A:D,3,FALSE)),"NOT FOUND",VLOOKUP(A201,Report!A:D,3,FALSE))</f>
        <v>61.95</v>
      </c>
      <c r="H201" s="19">
        <f>IF(ISERROR(VLOOKUP(A201,Report!A:D,4,FALSE)),"NOT FOUND",VLOOKUP(A201,Report!A:D,4,FALSE))</f>
        <v>0</v>
      </c>
      <c r="I201" s="20" t="str">
        <f>IF(ISERROR(VLOOKUP(A201,Report!A:D,2,FALSE)),"NOT FOUND",VLOOKUP(A201,Report!A:D,2,FALSE))</f>
        <v>11-09-2025</v>
      </c>
      <c r="J201" s="53"/>
      <c r="K201" s="56">
        <f t="shared" si="9"/>
        <v>8</v>
      </c>
      <c r="L201" s="56">
        <f t="shared" si="10"/>
        <v>2025</v>
      </c>
      <c r="N201" s="50"/>
    </row>
    <row r="202" spans="1:14">
      <c r="A202" s="34" t="s">
        <v>3039</v>
      </c>
      <c r="B202" s="11"/>
      <c r="C202" s="51">
        <v>45900</v>
      </c>
      <c r="D202" s="13">
        <v>62</v>
      </c>
      <c r="E202" s="23" t="s">
        <v>33</v>
      </c>
      <c r="F202" s="11" t="str">
        <f t="shared" si="11"/>
        <v>Accepted</v>
      </c>
      <c r="G202" s="19">
        <f>IF(ISERROR(VLOOKUP(A202,Report!A:D,3,FALSE)),"NOT FOUND",VLOOKUP(A202,Report!A:D,3,FALSE))</f>
        <v>61.95</v>
      </c>
      <c r="H202" s="19">
        <f>IF(ISERROR(VLOOKUP(A202,Report!A:D,4,FALSE)),"NOT FOUND",VLOOKUP(A202,Report!A:D,4,FALSE))</f>
        <v>0</v>
      </c>
      <c r="I202" s="20" t="str">
        <f>IF(ISERROR(VLOOKUP(A202,Report!A:D,2,FALSE)),"NOT FOUND",VLOOKUP(A202,Report!A:D,2,FALSE))</f>
        <v>11-09-2025</v>
      </c>
      <c r="J202" s="53"/>
      <c r="K202" s="56">
        <f t="shared" si="9"/>
        <v>8</v>
      </c>
      <c r="L202" s="56">
        <f t="shared" si="10"/>
        <v>2025</v>
      </c>
      <c r="N202" s="50"/>
    </row>
    <row r="203" spans="1:14">
      <c r="A203" s="34" t="s">
        <v>3060</v>
      </c>
      <c r="B203" s="11"/>
      <c r="C203" s="51">
        <v>45900</v>
      </c>
      <c r="D203" s="13">
        <v>62</v>
      </c>
      <c r="E203" s="23" t="s">
        <v>33</v>
      </c>
      <c r="F203" s="11" t="str">
        <f t="shared" si="11"/>
        <v>Accepted</v>
      </c>
      <c r="G203" s="19">
        <f>IF(ISERROR(VLOOKUP(A203,Report!A:D,3,FALSE)),"NOT FOUND",VLOOKUP(A203,Report!A:D,3,FALSE))</f>
        <v>61.95</v>
      </c>
      <c r="H203" s="19">
        <f>IF(ISERROR(VLOOKUP(A203,Report!A:D,4,FALSE)),"NOT FOUND",VLOOKUP(A203,Report!A:D,4,FALSE))</f>
        <v>0</v>
      </c>
      <c r="I203" s="20" t="str">
        <f>IF(ISERROR(VLOOKUP(A203,Report!A:D,2,FALSE)),"NOT FOUND",VLOOKUP(A203,Report!A:D,2,FALSE))</f>
        <v>11-09-2025</v>
      </c>
      <c r="J203" s="53"/>
      <c r="K203" s="56">
        <f t="shared" si="9"/>
        <v>8</v>
      </c>
      <c r="L203" s="56">
        <f t="shared" si="10"/>
        <v>2025</v>
      </c>
      <c r="N203" s="50"/>
    </row>
    <row r="204" spans="1:14">
      <c r="A204" s="22" t="s">
        <v>208</v>
      </c>
      <c r="B204" s="11"/>
      <c r="C204" s="51">
        <v>45897</v>
      </c>
      <c r="D204" s="13">
        <v>9912</v>
      </c>
      <c r="E204" s="26" t="s">
        <v>153</v>
      </c>
      <c r="F204" s="11" t="str">
        <f t="shared" si="11"/>
        <v>Accepted</v>
      </c>
      <c r="G204" s="19">
        <f>IF(ISERROR(VLOOKUP(A204,Report!A:D,3,FALSE)),"NOT FOUND",VLOOKUP(A204,Report!A:D,3,FALSE))</f>
        <v>9912</v>
      </c>
      <c r="H204" s="19">
        <f>IF(ISERROR(VLOOKUP(A204,Report!A:D,4,FALSE)),"NOT FOUND",VLOOKUP(A204,Report!A:D,4,FALSE))</f>
        <v>0</v>
      </c>
      <c r="I204" s="20" t="str">
        <f>IF(ISERROR(VLOOKUP(A204,Report!A:D,2,FALSE)),"NOT FOUND",VLOOKUP(A204,Report!A:D,2,FALSE))</f>
        <v>07-Oct-25</v>
      </c>
      <c r="J204" s="53"/>
      <c r="K204" s="56">
        <f t="shared" si="9"/>
        <v>8</v>
      </c>
      <c r="L204" s="56">
        <f t="shared" si="10"/>
        <v>2025</v>
      </c>
      <c r="N204" s="50"/>
    </row>
    <row r="205" spans="1:14">
      <c r="A205" s="22" t="s">
        <v>209</v>
      </c>
      <c r="B205" s="11"/>
      <c r="C205" s="51">
        <v>45897</v>
      </c>
      <c r="D205" s="13">
        <v>36108</v>
      </c>
      <c r="E205" s="26" t="s">
        <v>153</v>
      </c>
      <c r="F205" s="11" t="str">
        <f t="shared" si="11"/>
        <v>Accepted</v>
      </c>
      <c r="G205" s="19">
        <f>IF(ISERROR(VLOOKUP(A205,Report!A:D,3,FALSE)),"NOT FOUND",VLOOKUP(A205,Report!A:D,3,FALSE))</f>
        <v>36108</v>
      </c>
      <c r="H205" s="19">
        <f>IF(ISERROR(VLOOKUP(A205,Report!A:D,4,FALSE)),"NOT FOUND",VLOOKUP(A205,Report!A:D,4,FALSE))</f>
        <v>0</v>
      </c>
      <c r="I205" s="20" t="str">
        <f>IF(ISERROR(VLOOKUP(A205,Report!A:D,2,FALSE)),"NOT FOUND",VLOOKUP(A205,Report!A:D,2,FALSE))</f>
        <v>07-Oct-25</v>
      </c>
      <c r="J205" s="53"/>
      <c r="K205" s="56">
        <f t="shared" si="9"/>
        <v>8</v>
      </c>
      <c r="L205" s="56">
        <f t="shared" si="10"/>
        <v>2025</v>
      </c>
      <c r="N205" s="50"/>
    </row>
    <row r="206" spans="1:14">
      <c r="A206" s="22" t="s">
        <v>210</v>
      </c>
      <c r="B206" s="11"/>
      <c r="C206" s="51">
        <v>45897</v>
      </c>
      <c r="D206" s="13">
        <v>4484</v>
      </c>
      <c r="E206" s="26" t="s">
        <v>153</v>
      </c>
      <c r="F206" s="11" t="str">
        <f t="shared" si="11"/>
        <v>Accepted</v>
      </c>
      <c r="G206" s="19">
        <f>IF(ISERROR(VLOOKUP(A206,Report!A:D,3,FALSE)),"NOT FOUND",VLOOKUP(A206,Report!A:D,3,FALSE))</f>
        <v>4484</v>
      </c>
      <c r="H206" s="19">
        <f>IF(ISERROR(VLOOKUP(A206,Report!A:D,4,FALSE)),"NOT FOUND",VLOOKUP(A206,Report!A:D,4,FALSE))</f>
        <v>0</v>
      </c>
      <c r="I206" s="20" t="str">
        <f>IF(ISERROR(VLOOKUP(A206,Report!A:D,2,FALSE)),"NOT FOUND",VLOOKUP(A206,Report!A:D,2,FALSE))</f>
        <v>07-Oct-25</v>
      </c>
      <c r="J206" s="53"/>
      <c r="K206" s="56">
        <f t="shared" si="9"/>
        <v>8</v>
      </c>
      <c r="L206" s="56">
        <f t="shared" si="10"/>
        <v>2025</v>
      </c>
      <c r="N206" s="50"/>
    </row>
    <row r="207" spans="1:14">
      <c r="A207" s="22" t="s">
        <v>211</v>
      </c>
      <c r="B207" s="11"/>
      <c r="C207" s="51">
        <v>45898</v>
      </c>
      <c r="D207" s="13">
        <v>141010</v>
      </c>
      <c r="E207" s="26" t="s">
        <v>154</v>
      </c>
      <c r="F207" s="11" t="str">
        <f t="shared" si="11"/>
        <v>Accepted</v>
      </c>
      <c r="G207" s="19">
        <f>IF(ISERROR(VLOOKUP(A207,Report!A:D,3,FALSE)),"NOT FOUND",VLOOKUP(A207,Report!A:D,3,FALSE))</f>
        <v>141010</v>
      </c>
      <c r="H207" s="19">
        <f>IF(ISERROR(VLOOKUP(A207,Report!A:D,4,FALSE)),"NOT FOUND",VLOOKUP(A207,Report!A:D,4,FALSE))</f>
        <v>8000</v>
      </c>
      <c r="I207" s="20" t="str">
        <f>IF(ISERROR(VLOOKUP(A207,Report!A:D,2,FALSE)),"NOT FOUND",VLOOKUP(A207,Report!A:D,2,FALSE))</f>
        <v>13-Oct-25</v>
      </c>
      <c r="J207" s="53"/>
      <c r="K207" s="56">
        <f t="shared" si="9"/>
        <v>8</v>
      </c>
      <c r="L207" s="56">
        <f t="shared" si="10"/>
        <v>2025</v>
      </c>
      <c r="N207" s="50"/>
    </row>
    <row r="208" spans="1:14">
      <c r="A208" s="22" t="s">
        <v>212</v>
      </c>
      <c r="B208" s="11"/>
      <c r="C208" s="51">
        <v>45898</v>
      </c>
      <c r="D208" s="13">
        <v>10325</v>
      </c>
      <c r="E208" s="26" t="s">
        <v>154</v>
      </c>
      <c r="F208" s="11" t="str">
        <f t="shared" si="11"/>
        <v>Accepted</v>
      </c>
      <c r="G208" s="19">
        <f>IF(ISERROR(VLOOKUP(A208,Report!A:D,3,FALSE)),"NOT FOUND",VLOOKUP(A208,Report!A:D,3,FALSE))</f>
        <v>10325</v>
      </c>
      <c r="H208" s="19">
        <f>IF(ISERROR(VLOOKUP(A208,Report!A:D,4,FALSE)),"NOT FOUND",VLOOKUP(A208,Report!A:D,4,FALSE))</f>
        <v>500</v>
      </c>
      <c r="I208" s="20" t="str">
        <f>IF(ISERROR(VLOOKUP(A208,Report!A:D,2,FALSE)),"NOT FOUND",VLOOKUP(A208,Report!A:D,2,FALSE))</f>
        <v>30-Oct-25</v>
      </c>
      <c r="J208" s="53"/>
      <c r="K208" s="56">
        <f t="shared" si="9"/>
        <v>8</v>
      </c>
      <c r="L208" s="56">
        <f t="shared" si="10"/>
        <v>2025</v>
      </c>
      <c r="N208" s="50"/>
    </row>
    <row r="209" spans="1:14">
      <c r="A209" s="36" t="s">
        <v>3311</v>
      </c>
      <c r="B209" s="22">
        <v>399</v>
      </c>
      <c r="C209" s="51">
        <v>45913</v>
      </c>
      <c r="D209" s="13">
        <v>2938</v>
      </c>
      <c r="E209" s="32" t="s">
        <v>33</v>
      </c>
      <c r="F209" s="11" t="str">
        <f t="shared" si="11"/>
        <v>Accepted</v>
      </c>
      <c r="G209" s="19">
        <f>IF(ISERROR(VLOOKUP(A209,Report!A:D,3,FALSE)),"NOT FOUND",VLOOKUP(A209,Report!A:D,3,FALSE))</f>
        <v>2937.7700000000004</v>
      </c>
      <c r="H209" s="19">
        <f>IF(ISERROR(VLOOKUP(A209,Report!A:D,4,FALSE)),"NOT FOUND",VLOOKUP(A209,Report!A:D,4,FALSE))</f>
        <v>0</v>
      </c>
      <c r="I209" s="20" t="str">
        <f>IF(ISERROR(VLOOKUP(A209,Report!A:D,2,FALSE)),"NOT FOUND",VLOOKUP(A209,Report!A:D,2,FALSE))</f>
        <v>11-11-2025</v>
      </c>
      <c r="J209" s="53"/>
      <c r="K209" s="56">
        <f t="shared" si="9"/>
        <v>9</v>
      </c>
      <c r="L209" s="56">
        <f t="shared" si="10"/>
        <v>2025</v>
      </c>
      <c r="N209" s="50"/>
    </row>
    <row r="210" spans="1:14">
      <c r="A210" s="36" t="s">
        <v>3330</v>
      </c>
      <c r="B210" s="22">
        <v>400</v>
      </c>
      <c r="C210" s="51">
        <v>45913</v>
      </c>
      <c r="D210" s="13">
        <v>1327</v>
      </c>
      <c r="E210" s="32" t="s">
        <v>33</v>
      </c>
      <c r="F210" s="11" t="str">
        <f t="shared" si="11"/>
        <v>Partial/Rejected</v>
      </c>
      <c r="G210" s="19">
        <f>IF(ISERROR(VLOOKUP(A210,Report!A:D,3,FALSE)),"NOT FOUND",VLOOKUP(A210,Report!A:D,3,FALSE))</f>
        <v>0</v>
      </c>
      <c r="H210" s="19">
        <f>IF(ISERROR(VLOOKUP(A210,Report!A:D,4,FALSE)),"NOT FOUND",VLOOKUP(A210,Report!A:D,4,FALSE))</f>
        <v>1327.45</v>
      </c>
      <c r="I210" s="20" t="str">
        <f>IF(ISERROR(VLOOKUP(A210,Report!A:D,2,FALSE)),"NOT FOUND",VLOOKUP(A210,Report!A:D,2,FALSE))</f>
        <v>01-12-2025</v>
      </c>
      <c r="J210" s="53"/>
      <c r="K210" s="56">
        <f t="shared" si="9"/>
        <v>9</v>
      </c>
      <c r="L210" s="56">
        <f t="shared" si="10"/>
        <v>2025</v>
      </c>
      <c r="N210" s="50"/>
    </row>
    <row r="211" spans="1:14">
      <c r="A211" s="36" t="s">
        <v>3318</v>
      </c>
      <c r="B211" s="22">
        <v>401</v>
      </c>
      <c r="C211" s="51">
        <v>45925</v>
      </c>
      <c r="D211" s="13">
        <v>11506</v>
      </c>
      <c r="E211" s="32" t="s">
        <v>33</v>
      </c>
      <c r="F211" s="11" t="str">
        <f t="shared" si="11"/>
        <v>Accepted</v>
      </c>
      <c r="G211" s="19">
        <f>IF(ISERROR(VLOOKUP(A211,Report!A:D,3,FALSE)),"NOT FOUND",VLOOKUP(A211,Report!A:D,3,FALSE))</f>
        <v>11505.64</v>
      </c>
      <c r="H211" s="19">
        <f>IF(ISERROR(VLOOKUP(A211,Report!A:D,4,FALSE)),"NOT FOUND",VLOOKUP(A211,Report!A:D,4,FALSE))</f>
        <v>0</v>
      </c>
      <c r="I211" s="20" t="str">
        <f>IF(ISERROR(VLOOKUP(A211,Report!A:D,2,FALSE)),"NOT FOUND",VLOOKUP(A211,Report!A:D,2,FALSE))</f>
        <v>11-11-2025</v>
      </c>
      <c r="J211" s="53"/>
      <c r="K211" s="56">
        <f t="shared" si="9"/>
        <v>9</v>
      </c>
      <c r="L211" s="56">
        <f t="shared" si="10"/>
        <v>2025</v>
      </c>
      <c r="N211" s="50"/>
    </row>
    <row r="212" spans="1:14">
      <c r="A212" s="36" t="s">
        <v>3278</v>
      </c>
      <c r="B212" s="22">
        <v>402</v>
      </c>
      <c r="C212" s="51">
        <v>45925</v>
      </c>
      <c r="D212" s="13">
        <v>13667</v>
      </c>
      <c r="E212" s="32" t="s">
        <v>33</v>
      </c>
      <c r="F212" s="11" t="str">
        <f t="shared" si="11"/>
        <v>Accepted</v>
      </c>
      <c r="G212" s="19">
        <f>IF(ISERROR(VLOOKUP(A212,Report!A:D,3,FALSE)),"NOT FOUND",VLOOKUP(A212,Report!A:D,3,FALSE))</f>
        <v>13666.75</v>
      </c>
      <c r="H212" s="19">
        <f>IF(ISERROR(VLOOKUP(A212,Report!A:D,4,FALSE)),"NOT FOUND",VLOOKUP(A212,Report!A:D,4,FALSE))</f>
        <v>0</v>
      </c>
      <c r="I212" s="20" t="str">
        <f>IF(ISERROR(VLOOKUP(A212,Report!A:D,2,FALSE)),"NOT FOUND",VLOOKUP(A212,Report!A:D,2,FALSE))</f>
        <v>11-11-2025</v>
      </c>
      <c r="J212" s="53"/>
      <c r="K212" s="56">
        <f t="shared" si="9"/>
        <v>9</v>
      </c>
      <c r="L212" s="56">
        <f t="shared" si="10"/>
        <v>2025</v>
      </c>
      <c r="N212" s="50"/>
    </row>
    <row r="213" spans="1:14">
      <c r="A213" s="36" t="s">
        <v>3331</v>
      </c>
      <c r="B213" s="22">
        <v>403</v>
      </c>
      <c r="C213" s="51">
        <v>45886</v>
      </c>
      <c r="D213" s="13">
        <v>1701</v>
      </c>
      <c r="E213" s="32" t="s">
        <v>33</v>
      </c>
      <c r="F213" s="11" t="str">
        <f t="shared" si="11"/>
        <v>Accepted</v>
      </c>
      <c r="G213" s="19">
        <f>IF(ISERROR(VLOOKUP(A213,Report!A:D,3,FALSE)),"NOT FOUND",VLOOKUP(A213,Report!A:D,3,FALSE))</f>
        <v>1700.53</v>
      </c>
      <c r="H213" s="19">
        <f>IF(ISERROR(VLOOKUP(A213,Report!A:D,4,FALSE)),"NOT FOUND",VLOOKUP(A213,Report!A:D,4,FALSE))</f>
        <v>0</v>
      </c>
      <c r="I213" s="20" t="str">
        <f>IF(ISERROR(VLOOKUP(A213,Report!A:D,2,FALSE)),"NOT FOUND",VLOOKUP(A213,Report!A:D,2,FALSE))</f>
        <v>01-12-2025</v>
      </c>
      <c r="J213" s="53"/>
      <c r="K213" s="56">
        <f t="shared" si="9"/>
        <v>8</v>
      </c>
      <c r="L213" s="56">
        <f t="shared" si="10"/>
        <v>2025</v>
      </c>
      <c r="N213" s="50"/>
    </row>
    <row r="214" spans="1:14">
      <c r="A214" s="22" t="s">
        <v>34</v>
      </c>
      <c r="B214" s="22">
        <v>404</v>
      </c>
      <c r="C214" s="51"/>
      <c r="D214" s="13"/>
      <c r="E214" s="32"/>
      <c r="F214" s="11" t="e">
        <f t="shared" si="11"/>
        <v>#VALUE!</v>
      </c>
      <c r="G214" s="19" t="str">
        <f>IF(ISERROR(VLOOKUP(A214,Report!A:D,3,FALSE)),"NOT FOUND",VLOOKUP(A214,Report!A:D,3,FALSE))</f>
        <v>NOT FOUND</v>
      </c>
      <c r="H214" s="19" t="str">
        <f>IF(ISERROR(VLOOKUP(A214,Report!A:D,4,FALSE)),"NOT FOUND",VLOOKUP(A214,Report!A:D,4,FALSE))</f>
        <v>NOT FOUND</v>
      </c>
      <c r="I214" s="20" t="str">
        <f>IF(ISERROR(VLOOKUP(A214,Report!A:D,2,FALSE)),"NOT FOUND",VLOOKUP(A214,Report!A:D,2,FALSE))</f>
        <v>NOT FOUND</v>
      </c>
      <c r="J214" s="53"/>
      <c r="K214" s="56">
        <f t="shared" si="9"/>
        <v>1</v>
      </c>
      <c r="L214" s="56">
        <f t="shared" si="10"/>
        <v>1900</v>
      </c>
      <c r="N214" s="50"/>
    </row>
    <row r="215" spans="1:14">
      <c r="A215" s="36" t="s">
        <v>3332</v>
      </c>
      <c r="B215" s="22">
        <v>405</v>
      </c>
      <c r="C215" s="51">
        <v>45895</v>
      </c>
      <c r="D215" s="13">
        <v>3985</v>
      </c>
      <c r="E215" s="32" t="s">
        <v>33</v>
      </c>
      <c r="F215" s="11" t="str">
        <f t="shared" si="11"/>
        <v>Accepted</v>
      </c>
      <c r="G215" s="19">
        <f>IF(ISERROR(VLOOKUP(A215,Report!A:D,3,FALSE)),"NOT FOUND",VLOOKUP(A215,Report!A:D,3,FALSE))</f>
        <v>3985.48</v>
      </c>
      <c r="H215" s="19">
        <f>IF(ISERROR(VLOOKUP(A215,Report!A:D,4,FALSE)),"NOT FOUND",VLOOKUP(A215,Report!A:D,4,FALSE))</f>
        <v>0</v>
      </c>
      <c r="I215" s="20" t="str">
        <f>IF(ISERROR(VLOOKUP(A215,Report!A:D,2,FALSE)),"NOT FOUND",VLOOKUP(A215,Report!A:D,2,FALSE))</f>
        <v>01-12-2025</v>
      </c>
      <c r="J215" s="53"/>
      <c r="K215" s="56">
        <f t="shared" si="9"/>
        <v>8</v>
      </c>
      <c r="L215" s="56">
        <f t="shared" si="10"/>
        <v>2025</v>
      </c>
      <c r="N215" s="50"/>
    </row>
    <row r="216" spans="1:14">
      <c r="A216" s="36" t="s">
        <v>3333</v>
      </c>
      <c r="B216" s="22">
        <v>406</v>
      </c>
      <c r="C216" s="51">
        <v>45961</v>
      </c>
      <c r="D216" s="13">
        <v>4048</v>
      </c>
      <c r="E216" s="32" t="s">
        <v>33</v>
      </c>
      <c r="F216" s="11" t="str">
        <f t="shared" si="11"/>
        <v>Accepted</v>
      </c>
      <c r="G216" s="19">
        <f>IF(ISERROR(VLOOKUP(A216,Report!A:D,3,FALSE)),"NOT FOUND",VLOOKUP(A216,Report!A:D,3,FALSE))</f>
        <v>4047.94</v>
      </c>
      <c r="H216" s="19">
        <f>IF(ISERROR(VLOOKUP(A216,Report!A:D,4,FALSE)),"NOT FOUND",VLOOKUP(A216,Report!A:D,4,FALSE))</f>
        <v>0</v>
      </c>
      <c r="I216" s="20" t="str">
        <f>IF(ISERROR(VLOOKUP(A216,Report!A:D,2,FALSE)),"NOT FOUND",VLOOKUP(A216,Report!A:D,2,FALSE))</f>
        <v>01-12-2025</v>
      </c>
      <c r="J216" s="53"/>
      <c r="K216" s="56">
        <f t="shared" si="9"/>
        <v>10</v>
      </c>
      <c r="L216" s="56">
        <f t="shared" si="10"/>
        <v>2025</v>
      </c>
      <c r="N216" s="50"/>
    </row>
    <row r="217" spans="1:14">
      <c r="A217" s="11" t="s">
        <v>4445</v>
      </c>
      <c r="B217" s="22">
        <v>407</v>
      </c>
      <c r="C217" s="51">
        <v>45961</v>
      </c>
      <c r="D217" s="13">
        <v>17700</v>
      </c>
      <c r="E217" s="32" t="s">
        <v>3326</v>
      </c>
      <c r="F217" s="11" t="e">
        <f t="shared" si="11"/>
        <v>#VALUE!</v>
      </c>
      <c r="G217" s="19" t="str">
        <f>IF(ISERROR(VLOOKUP(A217,Report!A:D,3,FALSE)),"NOT FOUND",VLOOKUP(A217,Report!A:D,3,FALSE))</f>
        <v>NOT FOUND</v>
      </c>
      <c r="H217" s="19" t="str">
        <f>IF(ISERROR(VLOOKUP(A217,Report!A:D,4,FALSE)),"NOT FOUND",VLOOKUP(A217,Report!A:D,4,FALSE))</f>
        <v>NOT FOUND</v>
      </c>
      <c r="I217" s="20" t="str">
        <f>IF(ISERROR(VLOOKUP(A217,Report!A:D,2,FALSE)),"NOT FOUND",VLOOKUP(A217,Report!A:D,2,FALSE))</f>
        <v>NOT FOUND</v>
      </c>
      <c r="J217" s="53"/>
      <c r="K217" s="56">
        <f t="shared" si="9"/>
        <v>10</v>
      </c>
      <c r="L217" s="56">
        <f t="shared" si="10"/>
        <v>2025</v>
      </c>
      <c r="N217" s="50"/>
    </row>
    <row r="218" spans="1:14">
      <c r="A218" s="11" t="s">
        <v>34</v>
      </c>
      <c r="B218" s="22">
        <v>408</v>
      </c>
      <c r="C218" s="51"/>
      <c r="D218" s="13"/>
      <c r="E218" s="32"/>
      <c r="F218" s="11" t="e">
        <f t="shared" si="11"/>
        <v>#VALUE!</v>
      </c>
      <c r="G218" s="19" t="str">
        <f>IF(ISERROR(VLOOKUP(A218,Report!A:D,3,FALSE)),"NOT FOUND",VLOOKUP(A218,Report!A:D,3,FALSE))</f>
        <v>NOT FOUND</v>
      </c>
      <c r="H218" s="19" t="str">
        <f>IF(ISERROR(VLOOKUP(A218,Report!A:D,4,FALSE)),"NOT FOUND",VLOOKUP(A218,Report!A:D,4,FALSE))</f>
        <v>NOT FOUND</v>
      </c>
      <c r="I218" s="20" t="str">
        <f>IF(ISERROR(VLOOKUP(A218,Report!A:D,2,FALSE)),"NOT FOUND",VLOOKUP(A218,Report!A:D,2,FALSE))</f>
        <v>NOT FOUND</v>
      </c>
      <c r="J218" s="53"/>
      <c r="K218" s="56">
        <f t="shared" si="9"/>
        <v>1</v>
      </c>
      <c r="L218" s="56">
        <f t="shared" si="10"/>
        <v>1900</v>
      </c>
      <c r="N218" s="50"/>
    </row>
    <row r="219" spans="1:14">
      <c r="A219" s="11"/>
      <c r="B219" s="22">
        <v>409</v>
      </c>
      <c r="C219" s="51">
        <v>45900</v>
      </c>
      <c r="D219" s="13"/>
      <c r="E219" s="32"/>
      <c r="F219" s="11" t="e">
        <f t="shared" si="11"/>
        <v>#VALUE!</v>
      </c>
      <c r="G219" s="19" t="str">
        <f>IF(ISERROR(VLOOKUP(A219,Report!A:D,3,FALSE)),"NOT FOUND",VLOOKUP(A219,Report!A:D,3,FALSE))</f>
        <v>NOT FOUND</v>
      </c>
      <c r="H219" s="19" t="str">
        <f>IF(ISERROR(VLOOKUP(A219,Report!A:D,4,FALSE)),"NOT FOUND",VLOOKUP(A219,Report!A:D,4,FALSE))</f>
        <v>NOT FOUND</v>
      </c>
      <c r="I219" s="20" t="str">
        <f>IF(ISERROR(VLOOKUP(A219,Report!A:D,2,FALSE)),"NOT FOUND",VLOOKUP(A219,Report!A:D,2,FALSE))</f>
        <v>NOT FOUND</v>
      </c>
      <c r="J219" s="53"/>
      <c r="K219" s="56">
        <f t="shared" si="9"/>
        <v>8</v>
      </c>
      <c r="L219" s="56">
        <f t="shared" si="10"/>
        <v>2025</v>
      </c>
      <c r="N219" s="50"/>
    </row>
    <row r="220" spans="1:14">
      <c r="A220" s="11"/>
      <c r="B220" s="22">
        <v>410</v>
      </c>
      <c r="C220" s="51"/>
      <c r="D220" s="13"/>
      <c r="E220" s="32"/>
      <c r="F220" s="11" t="e">
        <f t="shared" si="11"/>
        <v>#VALUE!</v>
      </c>
      <c r="G220" s="19" t="str">
        <f>IF(ISERROR(VLOOKUP(A220,Report!A:D,3,FALSE)),"NOT FOUND",VLOOKUP(A220,Report!A:D,3,FALSE))</f>
        <v>NOT FOUND</v>
      </c>
      <c r="H220" s="19" t="str">
        <f>IF(ISERROR(VLOOKUP(A220,Report!A:D,4,FALSE)),"NOT FOUND",VLOOKUP(A220,Report!A:D,4,FALSE))</f>
        <v>NOT FOUND</v>
      </c>
      <c r="I220" s="20" t="str">
        <f>IF(ISERROR(VLOOKUP(A220,Report!A:D,2,FALSE)),"NOT FOUND",VLOOKUP(A220,Report!A:D,2,FALSE))</f>
        <v>NOT FOUND</v>
      </c>
      <c r="J220" s="53"/>
      <c r="K220" s="56">
        <f t="shared" si="9"/>
        <v>1</v>
      </c>
      <c r="L220" s="56">
        <f t="shared" si="10"/>
        <v>1900</v>
      </c>
      <c r="N220" s="50"/>
    </row>
    <row r="221" spans="1:14">
      <c r="A221" s="36" t="s">
        <v>3334</v>
      </c>
      <c r="B221" s="22">
        <v>411</v>
      </c>
      <c r="C221" s="51">
        <v>45961</v>
      </c>
      <c r="D221" s="13">
        <v>3404</v>
      </c>
      <c r="E221" s="32" t="s">
        <v>33</v>
      </c>
      <c r="F221" s="11" t="str">
        <f t="shared" si="11"/>
        <v>Partial/Rejected</v>
      </c>
      <c r="G221" s="19">
        <f>IF(ISERROR(VLOOKUP(A221,Report!A:D,3,FALSE)),"NOT FOUND",VLOOKUP(A221,Report!A:D,3,FALSE))</f>
        <v>0</v>
      </c>
      <c r="H221" s="19">
        <f>IF(ISERROR(VLOOKUP(A221,Report!A:D,4,FALSE)),"NOT FOUND",VLOOKUP(A221,Report!A:D,4,FALSE))</f>
        <v>3404.01</v>
      </c>
      <c r="I221" s="20" t="str">
        <f>IF(ISERROR(VLOOKUP(A221,Report!A:D,2,FALSE)),"NOT FOUND",VLOOKUP(A221,Report!A:D,2,FALSE))</f>
        <v>01-12-2025</v>
      </c>
      <c r="J221" s="53"/>
      <c r="K221" s="56">
        <f t="shared" si="9"/>
        <v>10</v>
      </c>
      <c r="L221" s="56">
        <f t="shared" si="10"/>
        <v>2025</v>
      </c>
      <c r="N221" s="50"/>
    </row>
    <row r="222" spans="1:14">
      <c r="A222" s="36" t="s">
        <v>3335</v>
      </c>
      <c r="B222" s="22">
        <v>412</v>
      </c>
      <c r="C222" s="51">
        <v>45961</v>
      </c>
      <c r="D222" s="13">
        <v>10956</v>
      </c>
      <c r="E222" s="32" t="s">
        <v>33</v>
      </c>
      <c r="F222" s="11" t="str">
        <f t="shared" si="11"/>
        <v>Accepted</v>
      </c>
      <c r="G222" s="19">
        <f>IF(ISERROR(VLOOKUP(A222,Report!A:D,3,FALSE)),"NOT FOUND",VLOOKUP(A222,Report!A:D,3,FALSE))</f>
        <v>10956.32</v>
      </c>
      <c r="H222" s="19">
        <f>IF(ISERROR(VLOOKUP(A222,Report!A:D,4,FALSE)),"NOT FOUND",VLOOKUP(A222,Report!A:D,4,FALSE))</f>
        <v>0</v>
      </c>
      <c r="I222" s="20" t="str">
        <f>IF(ISERROR(VLOOKUP(A222,Report!A:D,2,FALSE)),"NOT FOUND",VLOOKUP(A222,Report!A:D,2,FALSE))</f>
        <v>01-12-2025</v>
      </c>
      <c r="J222" s="53"/>
      <c r="K222" s="56">
        <f t="shared" si="9"/>
        <v>10</v>
      </c>
      <c r="L222" s="56">
        <f t="shared" si="10"/>
        <v>2025</v>
      </c>
      <c r="N222" s="50"/>
    </row>
    <row r="223" spans="1:14">
      <c r="A223" s="11" t="s">
        <v>4446</v>
      </c>
      <c r="B223" s="22">
        <v>413</v>
      </c>
      <c r="C223" s="38">
        <v>46039</v>
      </c>
      <c r="D223" s="13">
        <v>9167</v>
      </c>
      <c r="E223" s="32" t="s">
        <v>3326</v>
      </c>
      <c r="F223" s="11" t="e">
        <f t="shared" si="11"/>
        <v>#VALUE!</v>
      </c>
      <c r="G223" s="19" t="str">
        <f>IF(ISERROR(VLOOKUP(A223,Report!A:D,3,FALSE)),"NOT FOUND",VLOOKUP(A223,Report!A:D,3,FALSE))</f>
        <v>NOT FOUND</v>
      </c>
      <c r="H223" s="19" t="str">
        <f>IF(ISERROR(VLOOKUP(A223,Report!A:D,4,FALSE)),"NOT FOUND",VLOOKUP(A223,Report!A:D,4,FALSE))</f>
        <v>NOT FOUND</v>
      </c>
      <c r="I223" s="20" t="str">
        <f>IF(ISERROR(VLOOKUP(A223,Report!A:D,2,FALSE)),"NOT FOUND",VLOOKUP(A223,Report!A:D,2,FALSE))</f>
        <v>NOT FOUND</v>
      </c>
      <c r="J223" s="53"/>
      <c r="K223" s="56">
        <f t="shared" si="9"/>
        <v>1</v>
      </c>
      <c r="L223" s="56">
        <f t="shared" si="10"/>
        <v>2026</v>
      </c>
      <c r="N223" s="50"/>
    </row>
    <row r="224" spans="1:14">
      <c r="A224" s="11" t="s">
        <v>4447</v>
      </c>
      <c r="B224" s="22">
        <v>414</v>
      </c>
      <c r="C224" s="38">
        <v>46039</v>
      </c>
      <c r="D224" s="13">
        <v>3940</v>
      </c>
      <c r="E224" s="32" t="s">
        <v>3326</v>
      </c>
      <c r="F224" s="11" t="e">
        <f t="shared" si="11"/>
        <v>#VALUE!</v>
      </c>
      <c r="G224" s="19" t="str">
        <f>IF(ISERROR(VLOOKUP(A224,Report!A:D,3,FALSE)),"NOT FOUND",VLOOKUP(A224,Report!A:D,3,FALSE))</f>
        <v>NOT FOUND</v>
      </c>
      <c r="H224" s="19" t="str">
        <f>IF(ISERROR(VLOOKUP(A224,Report!A:D,4,FALSE)),"NOT FOUND",VLOOKUP(A224,Report!A:D,4,FALSE))</f>
        <v>NOT FOUND</v>
      </c>
      <c r="I224" s="20" t="str">
        <f>IF(ISERROR(VLOOKUP(A224,Report!A:D,2,FALSE)),"NOT FOUND",VLOOKUP(A224,Report!A:D,2,FALSE))</f>
        <v>NOT FOUND</v>
      </c>
      <c r="J224" s="53"/>
      <c r="K224" s="56">
        <f t="shared" si="9"/>
        <v>1</v>
      </c>
      <c r="L224" s="56">
        <f t="shared" si="10"/>
        <v>2026</v>
      </c>
      <c r="N224" s="50"/>
    </row>
    <row r="225" spans="1:14">
      <c r="A225" s="36" t="s">
        <v>3336</v>
      </c>
      <c r="B225" s="22">
        <v>415</v>
      </c>
      <c r="C225" s="51">
        <v>45961</v>
      </c>
      <c r="D225" s="13">
        <v>3917</v>
      </c>
      <c r="E225" s="32" t="s">
        <v>33</v>
      </c>
      <c r="F225" s="11" t="str">
        <f t="shared" si="11"/>
        <v>Accepted</v>
      </c>
      <c r="G225" s="19">
        <f>IF(ISERROR(VLOOKUP(A225,Report!A:D,3,FALSE)),"NOT FOUND",VLOOKUP(A225,Report!A:D,3,FALSE))</f>
        <v>3917.43</v>
      </c>
      <c r="H225" s="19">
        <f>IF(ISERROR(VLOOKUP(A225,Report!A:D,4,FALSE)),"NOT FOUND",VLOOKUP(A225,Report!A:D,4,FALSE))</f>
        <v>0</v>
      </c>
      <c r="I225" s="20" t="str">
        <f>IF(ISERROR(VLOOKUP(A225,Report!A:D,2,FALSE)),"NOT FOUND",VLOOKUP(A225,Report!A:D,2,FALSE))</f>
        <v>01-12-2025</v>
      </c>
      <c r="J225" s="53"/>
      <c r="K225" s="56">
        <f t="shared" si="9"/>
        <v>10</v>
      </c>
      <c r="L225" s="56">
        <f t="shared" si="10"/>
        <v>2025</v>
      </c>
      <c r="N225" s="50"/>
    </row>
    <row r="226" spans="1:14">
      <c r="A226" s="11" t="s">
        <v>34</v>
      </c>
      <c r="B226" s="22">
        <v>416</v>
      </c>
      <c r="C226" s="51"/>
      <c r="D226" s="13"/>
      <c r="E226" s="32"/>
      <c r="F226" s="11" t="e">
        <f t="shared" si="11"/>
        <v>#VALUE!</v>
      </c>
      <c r="G226" s="19" t="str">
        <f>IF(ISERROR(VLOOKUP(A226,Report!A:D,3,FALSE)),"NOT FOUND",VLOOKUP(A226,Report!A:D,3,FALSE))</f>
        <v>NOT FOUND</v>
      </c>
      <c r="H226" s="19" t="str">
        <f>IF(ISERROR(VLOOKUP(A226,Report!A:D,4,FALSE)),"NOT FOUND",VLOOKUP(A226,Report!A:D,4,FALSE))</f>
        <v>NOT FOUND</v>
      </c>
      <c r="I226" s="20" t="str">
        <f>IF(ISERROR(VLOOKUP(A226,Report!A:D,2,FALSE)),"NOT FOUND",VLOOKUP(A226,Report!A:D,2,FALSE))</f>
        <v>NOT FOUND</v>
      </c>
      <c r="J226" s="53"/>
      <c r="K226" s="56">
        <f t="shared" si="9"/>
        <v>1</v>
      </c>
      <c r="L226" s="56">
        <f t="shared" si="10"/>
        <v>1900</v>
      </c>
      <c r="N226" s="50"/>
    </row>
    <row r="227" spans="1:14">
      <c r="A227" s="11"/>
      <c r="B227" s="22">
        <v>417</v>
      </c>
      <c r="C227" s="38">
        <v>46004</v>
      </c>
      <c r="D227" s="13"/>
      <c r="E227" s="32"/>
      <c r="F227" s="11" t="e">
        <f t="shared" si="11"/>
        <v>#VALUE!</v>
      </c>
      <c r="G227" s="19" t="str">
        <f>IF(ISERROR(VLOOKUP(A227,Report!A:D,3,FALSE)),"NOT FOUND",VLOOKUP(A227,Report!A:D,3,FALSE))</f>
        <v>NOT FOUND</v>
      </c>
      <c r="H227" s="19" t="str">
        <f>IF(ISERROR(VLOOKUP(A227,Report!A:D,4,FALSE)),"NOT FOUND",VLOOKUP(A227,Report!A:D,4,FALSE))</f>
        <v>NOT FOUND</v>
      </c>
      <c r="I227" s="20" t="str">
        <f>IF(ISERROR(VLOOKUP(A227,Report!A:D,2,FALSE)),"NOT FOUND",VLOOKUP(A227,Report!A:D,2,FALSE))</f>
        <v>NOT FOUND</v>
      </c>
      <c r="J227" s="39" t="s">
        <v>4444</v>
      </c>
      <c r="K227" s="56">
        <f t="shared" si="9"/>
        <v>12</v>
      </c>
      <c r="L227" s="56">
        <f t="shared" si="10"/>
        <v>2025</v>
      </c>
      <c r="N227" s="50"/>
    </row>
    <row r="228" spans="1:14">
      <c r="A228" s="36" t="s">
        <v>3337</v>
      </c>
      <c r="B228" s="22">
        <v>418</v>
      </c>
      <c r="C228" s="51">
        <v>45961</v>
      </c>
      <c r="D228" s="13">
        <v>1575</v>
      </c>
      <c r="E228" s="32" t="s">
        <v>33</v>
      </c>
      <c r="F228" s="11" t="str">
        <f t="shared" si="11"/>
        <v>Accepted</v>
      </c>
      <c r="G228" s="19">
        <f>IF(ISERROR(VLOOKUP(A228,Report!A:D,3,FALSE)),"NOT FOUND",VLOOKUP(A228,Report!A:D,3,FALSE))</f>
        <v>1574.92</v>
      </c>
      <c r="H228" s="19">
        <f>IF(ISERROR(VLOOKUP(A228,Report!A:D,4,FALSE)),"NOT FOUND",VLOOKUP(A228,Report!A:D,4,FALSE))</f>
        <v>0</v>
      </c>
      <c r="I228" s="20" t="str">
        <f>IF(ISERROR(VLOOKUP(A228,Report!A:D,2,FALSE)),"NOT FOUND",VLOOKUP(A228,Report!A:D,2,FALSE))</f>
        <v>01-12-2025</v>
      </c>
      <c r="J228" s="53"/>
      <c r="K228" s="56">
        <f t="shared" si="9"/>
        <v>10</v>
      </c>
      <c r="L228" s="56">
        <f t="shared" si="10"/>
        <v>2025</v>
      </c>
      <c r="N228" s="50"/>
    </row>
    <row r="229" spans="1:14">
      <c r="A229" s="11" t="s">
        <v>3906</v>
      </c>
      <c r="B229" s="22">
        <v>419</v>
      </c>
      <c r="C229" s="51">
        <v>45991</v>
      </c>
      <c r="D229" s="13">
        <v>717</v>
      </c>
      <c r="E229" s="32" t="s">
        <v>33</v>
      </c>
      <c r="F229" s="11" t="str">
        <f t="shared" si="11"/>
        <v>Accepted</v>
      </c>
      <c r="G229" s="19">
        <f>IF(ISERROR(VLOOKUP(A229,Report!A:D,3,FALSE)),"NOT FOUND",VLOOKUP(A229,Report!A:D,3,FALSE))</f>
        <v>717.27</v>
      </c>
      <c r="H229" s="19">
        <f>IF(ISERROR(VLOOKUP(A229,Report!A:D,4,FALSE)),"NOT FOUND",VLOOKUP(A229,Report!A:D,4,FALSE))</f>
        <v>0</v>
      </c>
      <c r="I229" s="20" t="str">
        <f>IF(ISERROR(VLOOKUP(A229,Report!A:D,2,FALSE)),"NOT FOUND",VLOOKUP(A229,Report!A:D,2,FALSE))</f>
        <v>31-01-2026</v>
      </c>
      <c r="J229" s="53"/>
      <c r="K229" s="56">
        <f t="shared" si="9"/>
        <v>11</v>
      </c>
      <c r="L229" s="56">
        <f t="shared" si="10"/>
        <v>2025</v>
      </c>
      <c r="N229" s="50"/>
    </row>
    <row r="230" spans="1:14">
      <c r="A230" s="36" t="s">
        <v>3338</v>
      </c>
      <c r="B230" s="22">
        <v>420</v>
      </c>
      <c r="C230" s="51">
        <v>45961</v>
      </c>
      <c r="D230" s="13">
        <v>14670</v>
      </c>
      <c r="E230" s="32" t="s">
        <v>33</v>
      </c>
      <c r="F230" s="11" t="str">
        <f t="shared" si="11"/>
        <v>Partial/Rejected</v>
      </c>
      <c r="G230" s="19">
        <f>IF(ISERROR(VLOOKUP(A230,Report!A:D,3,FALSE)),"NOT FOUND",VLOOKUP(A230,Report!A:D,3,FALSE))</f>
        <v>3485.93</v>
      </c>
      <c r="H230" s="19">
        <f>IF(ISERROR(VLOOKUP(A230,Report!A:D,4,FALSE)),"NOT FOUND",VLOOKUP(A230,Report!A:D,4,FALSE))</f>
        <v>11183.64</v>
      </c>
      <c r="I230" s="20" t="str">
        <f>IF(ISERROR(VLOOKUP(A230,Report!A:D,2,FALSE)),"NOT FOUND",VLOOKUP(A230,Report!A:D,2,FALSE))</f>
        <v>01-12-2025</v>
      </c>
      <c r="J230" s="53"/>
      <c r="K230" s="56">
        <f t="shared" si="9"/>
        <v>10</v>
      </c>
      <c r="L230" s="56">
        <f t="shared" si="10"/>
        <v>2025</v>
      </c>
      <c r="N230" s="50"/>
    </row>
    <row r="231" spans="1:14">
      <c r="A231" s="36" t="s">
        <v>3339</v>
      </c>
      <c r="B231" s="22">
        <v>421</v>
      </c>
      <c r="C231" s="51">
        <v>45962</v>
      </c>
      <c r="D231" s="13">
        <v>14674</v>
      </c>
      <c r="E231" s="32" t="s">
        <v>33</v>
      </c>
      <c r="F231" s="11" t="str">
        <f t="shared" si="11"/>
        <v>Accepted</v>
      </c>
      <c r="G231" s="19">
        <f>IF(ISERROR(VLOOKUP(A231,Report!A:D,3,FALSE)),"NOT FOUND",VLOOKUP(A231,Report!A:D,3,FALSE))</f>
        <v>14673.92</v>
      </c>
      <c r="H231" s="19">
        <f>IF(ISERROR(VLOOKUP(A231,Report!A:D,4,FALSE)),"NOT FOUND",VLOOKUP(A231,Report!A:D,4,FALSE))</f>
        <v>0</v>
      </c>
      <c r="I231" s="20" t="str">
        <f>IF(ISERROR(VLOOKUP(A231,Report!A:D,2,FALSE)),"NOT FOUND",VLOOKUP(A231,Report!A:D,2,FALSE))</f>
        <v>01-12-2025</v>
      </c>
      <c r="J231" s="53"/>
      <c r="K231" s="56">
        <f t="shared" si="9"/>
        <v>11</v>
      </c>
      <c r="L231" s="56">
        <f t="shared" si="10"/>
        <v>2025</v>
      </c>
      <c r="N231" s="50"/>
    </row>
    <row r="232" spans="1:14">
      <c r="A232" s="36" t="s">
        <v>3340</v>
      </c>
      <c r="B232" s="22">
        <v>422</v>
      </c>
      <c r="C232" s="51">
        <v>45962</v>
      </c>
      <c r="D232" s="13">
        <v>4956</v>
      </c>
      <c r="E232" s="32" t="s">
        <v>33</v>
      </c>
      <c r="F232" s="11" t="str">
        <f t="shared" si="11"/>
        <v>Accepted</v>
      </c>
      <c r="G232" s="19">
        <f>IF(ISERROR(VLOOKUP(A232,Report!A:D,3,FALSE)),"NOT FOUND",VLOOKUP(A232,Report!A:D,3,FALSE))</f>
        <v>4956</v>
      </c>
      <c r="H232" s="19">
        <f>IF(ISERROR(VLOOKUP(A232,Report!A:D,4,FALSE)),"NOT FOUND",VLOOKUP(A232,Report!A:D,4,FALSE))</f>
        <v>0</v>
      </c>
      <c r="I232" s="20" t="str">
        <f>IF(ISERROR(VLOOKUP(A232,Report!A:D,2,FALSE)),"NOT FOUND",VLOOKUP(A232,Report!A:D,2,FALSE))</f>
        <v>17-12-2025</v>
      </c>
      <c r="J232" s="53"/>
      <c r="K232" s="56">
        <f t="shared" si="9"/>
        <v>11</v>
      </c>
      <c r="L232" s="56">
        <f t="shared" si="10"/>
        <v>2025</v>
      </c>
      <c r="N232" s="50"/>
    </row>
    <row r="233" spans="1:14">
      <c r="A233" s="36" t="s">
        <v>3341</v>
      </c>
      <c r="B233" s="22">
        <v>423</v>
      </c>
      <c r="C233" s="51">
        <v>45962</v>
      </c>
      <c r="D233" s="13">
        <v>4956</v>
      </c>
      <c r="E233" s="32" t="s">
        <v>33</v>
      </c>
      <c r="F233" s="11" t="str">
        <f t="shared" si="11"/>
        <v>Accepted</v>
      </c>
      <c r="G233" s="19">
        <f>IF(ISERROR(VLOOKUP(A233,Report!A:D,3,FALSE)),"NOT FOUND",VLOOKUP(A233,Report!A:D,3,FALSE))</f>
        <v>4956</v>
      </c>
      <c r="H233" s="19">
        <f>IF(ISERROR(VLOOKUP(A233,Report!A:D,4,FALSE)),"NOT FOUND",VLOOKUP(A233,Report!A:D,4,FALSE))</f>
        <v>0</v>
      </c>
      <c r="I233" s="20" t="str">
        <f>IF(ISERROR(VLOOKUP(A233,Report!A:D,2,FALSE)),"NOT FOUND",VLOOKUP(A233,Report!A:D,2,FALSE))</f>
        <v>17-12-2025</v>
      </c>
      <c r="J233" s="53"/>
      <c r="K233" s="56">
        <f t="shared" si="9"/>
        <v>11</v>
      </c>
      <c r="L233" s="56">
        <f t="shared" si="10"/>
        <v>2025</v>
      </c>
      <c r="N233" s="50"/>
    </row>
    <row r="234" spans="1:14">
      <c r="A234" s="36" t="s">
        <v>3342</v>
      </c>
      <c r="B234" s="22">
        <v>424</v>
      </c>
      <c r="C234" s="51">
        <v>45962</v>
      </c>
      <c r="D234" s="13">
        <v>4956</v>
      </c>
      <c r="E234" s="32" t="s">
        <v>33</v>
      </c>
      <c r="F234" s="11" t="str">
        <f t="shared" si="11"/>
        <v>Accepted</v>
      </c>
      <c r="G234" s="19">
        <f>IF(ISERROR(VLOOKUP(A234,Report!A:D,3,FALSE)),"NOT FOUND",VLOOKUP(A234,Report!A:D,3,FALSE))</f>
        <v>4956</v>
      </c>
      <c r="H234" s="19">
        <f>IF(ISERROR(VLOOKUP(A234,Report!A:D,4,FALSE)),"NOT FOUND",VLOOKUP(A234,Report!A:D,4,FALSE))</f>
        <v>0</v>
      </c>
      <c r="I234" s="20" t="str">
        <f>IF(ISERROR(VLOOKUP(A234,Report!A:D,2,FALSE)),"NOT FOUND",VLOOKUP(A234,Report!A:D,2,FALSE))</f>
        <v>17-12-2025</v>
      </c>
      <c r="J234" s="53"/>
      <c r="K234" s="56">
        <f t="shared" si="9"/>
        <v>11</v>
      </c>
      <c r="L234" s="56">
        <f t="shared" si="10"/>
        <v>2025</v>
      </c>
      <c r="N234" s="50"/>
    </row>
    <row r="235" spans="1:14">
      <c r="A235" s="36" t="s">
        <v>3343</v>
      </c>
      <c r="B235" s="22">
        <v>425</v>
      </c>
      <c r="C235" s="51">
        <v>45962</v>
      </c>
      <c r="D235" s="13">
        <v>4956</v>
      </c>
      <c r="E235" s="32" t="s">
        <v>33</v>
      </c>
      <c r="F235" s="11" t="str">
        <f t="shared" si="11"/>
        <v>Accepted</v>
      </c>
      <c r="G235" s="19">
        <f>IF(ISERROR(VLOOKUP(A235,Report!A:D,3,FALSE)),"NOT FOUND",VLOOKUP(A235,Report!A:D,3,FALSE))</f>
        <v>4956</v>
      </c>
      <c r="H235" s="19">
        <f>IF(ISERROR(VLOOKUP(A235,Report!A:D,4,FALSE)),"NOT FOUND",VLOOKUP(A235,Report!A:D,4,FALSE))</f>
        <v>0</v>
      </c>
      <c r="I235" s="20" t="str">
        <f>IF(ISERROR(VLOOKUP(A235,Report!A:D,2,FALSE)),"NOT FOUND",VLOOKUP(A235,Report!A:D,2,FALSE))</f>
        <v>17-12-2025</v>
      </c>
      <c r="J235" s="53"/>
      <c r="K235" s="56">
        <f t="shared" si="9"/>
        <v>11</v>
      </c>
      <c r="L235" s="56">
        <f t="shared" si="10"/>
        <v>2025</v>
      </c>
      <c r="N235" s="50"/>
    </row>
    <row r="236" spans="1:14">
      <c r="A236" s="36" t="s">
        <v>3344</v>
      </c>
      <c r="B236" s="22">
        <v>426</v>
      </c>
      <c r="C236" s="51">
        <v>45962</v>
      </c>
      <c r="D236" s="13">
        <v>4956</v>
      </c>
      <c r="E236" s="32" t="s">
        <v>33</v>
      </c>
      <c r="F236" s="11" t="str">
        <f t="shared" si="11"/>
        <v>Accepted</v>
      </c>
      <c r="G236" s="19">
        <f>IF(ISERROR(VLOOKUP(A236,Report!A:D,3,FALSE)),"NOT FOUND",VLOOKUP(A236,Report!A:D,3,FALSE))</f>
        <v>4956</v>
      </c>
      <c r="H236" s="19">
        <f>IF(ISERROR(VLOOKUP(A236,Report!A:D,4,FALSE)),"NOT FOUND",VLOOKUP(A236,Report!A:D,4,FALSE))</f>
        <v>0</v>
      </c>
      <c r="I236" s="20" t="str">
        <f>IF(ISERROR(VLOOKUP(A236,Report!A:D,2,FALSE)),"NOT FOUND",VLOOKUP(A236,Report!A:D,2,FALSE))</f>
        <v>17-12-2025</v>
      </c>
      <c r="J236" s="53"/>
      <c r="K236" s="56">
        <f t="shared" si="9"/>
        <v>11</v>
      </c>
      <c r="L236" s="56">
        <f t="shared" si="10"/>
        <v>2025</v>
      </c>
      <c r="N236" s="50"/>
    </row>
    <row r="237" spans="1:14">
      <c r="A237" s="36" t="s">
        <v>3345</v>
      </c>
      <c r="B237" s="22">
        <v>427</v>
      </c>
      <c r="C237" s="51">
        <v>45962</v>
      </c>
      <c r="D237" s="13">
        <v>4956</v>
      </c>
      <c r="E237" s="32" t="s">
        <v>33</v>
      </c>
      <c r="F237" s="11" t="str">
        <f t="shared" si="11"/>
        <v>Accepted</v>
      </c>
      <c r="G237" s="19">
        <f>IF(ISERROR(VLOOKUP(A237,Report!A:D,3,FALSE)),"NOT FOUND",VLOOKUP(A237,Report!A:D,3,FALSE))</f>
        <v>4956</v>
      </c>
      <c r="H237" s="19">
        <f>IF(ISERROR(VLOOKUP(A237,Report!A:D,4,FALSE)),"NOT FOUND",VLOOKUP(A237,Report!A:D,4,FALSE))</f>
        <v>0</v>
      </c>
      <c r="I237" s="20" t="str">
        <f>IF(ISERROR(VLOOKUP(A237,Report!A:D,2,FALSE)),"NOT FOUND",VLOOKUP(A237,Report!A:D,2,FALSE))</f>
        <v>17-12-2025</v>
      </c>
      <c r="J237" s="53"/>
      <c r="K237" s="56">
        <f t="shared" si="9"/>
        <v>11</v>
      </c>
      <c r="L237" s="56">
        <f t="shared" si="10"/>
        <v>2025</v>
      </c>
      <c r="N237" s="50"/>
    </row>
    <row r="238" spans="1:14">
      <c r="A238" s="36" t="s">
        <v>3346</v>
      </c>
      <c r="B238" s="22">
        <v>428</v>
      </c>
      <c r="C238" s="51">
        <v>45962</v>
      </c>
      <c r="D238" s="13">
        <v>4956</v>
      </c>
      <c r="E238" s="32" t="s">
        <v>33</v>
      </c>
      <c r="F238" s="11" t="str">
        <f t="shared" si="11"/>
        <v>Accepted</v>
      </c>
      <c r="G238" s="19">
        <f>IF(ISERROR(VLOOKUP(A238,Report!A:D,3,FALSE)),"NOT FOUND",VLOOKUP(A238,Report!A:D,3,FALSE))</f>
        <v>4956</v>
      </c>
      <c r="H238" s="19">
        <f>IF(ISERROR(VLOOKUP(A238,Report!A:D,4,FALSE)),"NOT FOUND",VLOOKUP(A238,Report!A:D,4,FALSE))</f>
        <v>0</v>
      </c>
      <c r="I238" s="20" t="str">
        <f>IF(ISERROR(VLOOKUP(A238,Report!A:D,2,FALSE)),"NOT FOUND",VLOOKUP(A238,Report!A:D,2,FALSE))</f>
        <v>17-12-2025</v>
      </c>
      <c r="J238" s="53"/>
      <c r="K238" s="56">
        <f t="shared" si="9"/>
        <v>11</v>
      </c>
      <c r="L238" s="56">
        <f t="shared" si="10"/>
        <v>2025</v>
      </c>
      <c r="N238" s="50"/>
    </row>
    <row r="239" spans="1:14">
      <c r="A239" s="36" t="s">
        <v>3347</v>
      </c>
      <c r="B239" s="22">
        <v>429</v>
      </c>
      <c r="C239" s="51">
        <v>45962</v>
      </c>
      <c r="D239" s="13">
        <v>4956</v>
      </c>
      <c r="E239" s="32" t="s">
        <v>33</v>
      </c>
      <c r="F239" s="11" t="str">
        <f t="shared" si="11"/>
        <v>Accepted</v>
      </c>
      <c r="G239" s="19">
        <f>IF(ISERROR(VLOOKUP(A239,Report!A:D,3,FALSE)),"NOT FOUND",VLOOKUP(A239,Report!A:D,3,FALSE))</f>
        <v>4956</v>
      </c>
      <c r="H239" s="19">
        <f>IF(ISERROR(VLOOKUP(A239,Report!A:D,4,FALSE)),"NOT FOUND",VLOOKUP(A239,Report!A:D,4,FALSE))</f>
        <v>0</v>
      </c>
      <c r="I239" s="20" t="str">
        <f>IF(ISERROR(VLOOKUP(A239,Report!A:D,2,FALSE)),"NOT FOUND",VLOOKUP(A239,Report!A:D,2,FALSE))</f>
        <v>17-12-2025</v>
      </c>
      <c r="J239" s="53"/>
      <c r="K239" s="56">
        <f t="shared" si="9"/>
        <v>11</v>
      </c>
      <c r="L239" s="56">
        <f t="shared" si="10"/>
        <v>2025</v>
      </c>
      <c r="N239" s="50"/>
    </row>
    <row r="240" spans="1:14">
      <c r="A240" s="36" t="s">
        <v>3348</v>
      </c>
      <c r="B240" s="22">
        <v>430</v>
      </c>
      <c r="C240" s="51">
        <v>45962</v>
      </c>
      <c r="D240" s="13">
        <v>4956</v>
      </c>
      <c r="E240" s="32" t="s">
        <v>33</v>
      </c>
      <c r="F240" s="11" t="str">
        <f t="shared" si="11"/>
        <v>Accepted</v>
      </c>
      <c r="G240" s="19">
        <f>IF(ISERROR(VLOOKUP(A240,Report!A:D,3,FALSE)),"NOT FOUND",VLOOKUP(A240,Report!A:D,3,FALSE))</f>
        <v>4956</v>
      </c>
      <c r="H240" s="19">
        <f>IF(ISERROR(VLOOKUP(A240,Report!A:D,4,FALSE)),"NOT FOUND",VLOOKUP(A240,Report!A:D,4,FALSE))</f>
        <v>0</v>
      </c>
      <c r="I240" s="20" t="str">
        <f>IF(ISERROR(VLOOKUP(A240,Report!A:D,2,FALSE)),"NOT FOUND",VLOOKUP(A240,Report!A:D,2,FALSE))</f>
        <v>17-12-2025</v>
      </c>
      <c r="J240" s="53"/>
      <c r="K240" s="56">
        <f t="shared" si="9"/>
        <v>11</v>
      </c>
      <c r="L240" s="56">
        <f t="shared" si="10"/>
        <v>2025</v>
      </c>
      <c r="N240" s="50"/>
    </row>
    <row r="241" spans="1:14">
      <c r="A241" s="11" t="s">
        <v>3802</v>
      </c>
      <c r="B241" s="22">
        <v>431</v>
      </c>
      <c r="C241" s="51">
        <v>46018</v>
      </c>
      <c r="D241" s="13">
        <v>14674</v>
      </c>
      <c r="E241" s="32" t="s">
        <v>33</v>
      </c>
      <c r="F241" s="11" t="str">
        <f t="shared" si="11"/>
        <v>Accepted</v>
      </c>
      <c r="G241" s="19">
        <f>IF(ISERROR(VLOOKUP(A241,Report!A:D,3,FALSE)),"NOT FOUND",VLOOKUP(A241,Report!A:D,3,FALSE))</f>
        <v>14673.92</v>
      </c>
      <c r="H241" s="19">
        <f>IF(ISERROR(VLOOKUP(A241,Report!A:D,4,FALSE)),"NOT FOUND",VLOOKUP(A241,Report!A:D,4,FALSE))</f>
        <v>0</v>
      </c>
      <c r="I241" s="20" t="str">
        <f>IF(ISERROR(VLOOKUP(A241,Report!A:D,2,FALSE)),"NOT FOUND",VLOOKUP(A241,Report!A:D,2,FALSE))</f>
        <v>31-01-2026</v>
      </c>
      <c r="J241" s="53"/>
      <c r="K241" s="56">
        <f t="shared" si="9"/>
        <v>12</v>
      </c>
      <c r="L241" s="56">
        <f t="shared" si="10"/>
        <v>2025</v>
      </c>
      <c r="N241" s="50"/>
    </row>
    <row r="242" spans="1:14">
      <c r="A242" s="11" t="s">
        <v>3777</v>
      </c>
      <c r="B242" s="22">
        <v>432</v>
      </c>
      <c r="C242" s="51">
        <v>45991</v>
      </c>
      <c r="D242" s="13">
        <v>203</v>
      </c>
      <c r="E242" s="32" t="s">
        <v>33</v>
      </c>
      <c r="F242" s="11" t="str">
        <f t="shared" si="11"/>
        <v>Accepted</v>
      </c>
      <c r="G242" s="19">
        <f>IF(ISERROR(VLOOKUP(A242,Report!A:D,3,FALSE)),"NOT FOUND",VLOOKUP(A242,Report!A:D,3,FALSE))</f>
        <v>203</v>
      </c>
      <c r="H242" s="19">
        <f>IF(ISERROR(VLOOKUP(A242,Report!A:D,4,FALSE)),"NOT FOUND",VLOOKUP(A242,Report!A:D,4,FALSE))</f>
        <v>0</v>
      </c>
      <c r="I242" s="20" t="str">
        <f>IF(ISERROR(VLOOKUP(A242,Report!A:D,2,FALSE)),"NOT FOUND",VLOOKUP(A242,Report!A:D,2,FALSE))</f>
        <v>31-01-2026</v>
      </c>
      <c r="J242" s="53"/>
      <c r="K242" s="56">
        <f t="shared" si="9"/>
        <v>11</v>
      </c>
      <c r="L242" s="56">
        <f t="shared" si="10"/>
        <v>2025</v>
      </c>
      <c r="N242" s="50"/>
    </row>
    <row r="243" spans="1:14">
      <c r="A243" s="11" t="s">
        <v>3778</v>
      </c>
      <c r="B243" s="22">
        <v>433</v>
      </c>
      <c r="C243" s="51">
        <v>45991</v>
      </c>
      <c r="D243" s="13">
        <v>3466</v>
      </c>
      <c r="E243" s="32" t="s">
        <v>33</v>
      </c>
      <c r="F243" s="11" t="str">
        <f t="shared" si="11"/>
        <v>Accepted</v>
      </c>
      <c r="G243" s="19">
        <f>IF(ISERROR(VLOOKUP(A243,Report!A:D,3,FALSE)),"NOT FOUND",VLOOKUP(A243,Report!A:D,3,FALSE))</f>
        <v>3465.96</v>
      </c>
      <c r="H243" s="19">
        <f>IF(ISERROR(VLOOKUP(A243,Report!A:D,4,FALSE)),"NOT FOUND",VLOOKUP(A243,Report!A:D,4,FALSE))</f>
        <v>0</v>
      </c>
      <c r="I243" s="20" t="str">
        <f>IF(ISERROR(VLOOKUP(A243,Report!A:D,2,FALSE)),"NOT FOUND",VLOOKUP(A243,Report!A:D,2,FALSE))</f>
        <v>31-01-2026</v>
      </c>
      <c r="J243" s="53"/>
      <c r="K243" s="56">
        <f t="shared" si="9"/>
        <v>11</v>
      </c>
      <c r="L243" s="56">
        <f t="shared" si="10"/>
        <v>2025</v>
      </c>
      <c r="N243" s="50"/>
    </row>
    <row r="244" spans="1:14">
      <c r="A244" s="11" t="s">
        <v>3779</v>
      </c>
      <c r="B244" s="22">
        <v>434</v>
      </c>
      <c r="C244" s="51">
        <v>45991</v>
      </c>
      <c r="D244" s="13">
        <v>4956</v>
      </c>
      <c r="E244" s="32" t="s">
        <v>33</v>
      </c>
      <c r="F244" s="11" t="str">
        <f t="shared" si="11"/>
        <v>Accepted</v>
      </c>
      <c r="G244" s="19">
        <f>IF(ISERROR(VLOOKUP(A244,Report!A:D,3,FALSE)),"NOT FOUND",VLOOKUP(A244,Report!A:D,3,FALSE))</f>
        <v>4956</v>
      </c>
      <c r="H244" s="19">
        <f>IF(ISERROR(VLOOKUP(A244,Report!A:D,4,FALSE)),"NOT FOUND",VLOOKUP(A244,Report!A:D,4,FALSE))</f>
        <v>0</v>
      </c>
      <c r="I244" s="20" t="str">
        <f>IF(ISERROR(VLOOKUP(A244,Report!A:D,2,FALSE)),"NOT FOUND",VLOOKUP(A244,Report!A:D,2,FALSE))</f>
        <v>17-12-2025</v>
      </c>
      <c r="J244" s="53"/>
      <c r="K244" s="56">
        <f t="shared" si="9"/>
        <v>11</v>
      </c>
      <c r="L244" s="56">
        <f t="shared" si="10"/>
        <v>2025</v>
      </c>
      <c r="N244" s="50"/>
    </row>
    <row r="245" spans="1:14">
      <c r="A245" s="11" t="s">
        <v>3780</v>
      </c>
      <c r="B245" s="22">
        <v>435</v>
      </c>
      <c r="C245" s="51">
        <v>45991</v>
      </c>
      <c r="D245" s="13">
        <v>4956</v>
      </c>
      <c r="E245" s="32" t="s">
        <v>33</v>
      </c>
      <c r="F245" s="11" t="str">
        <f t="shared" si="11"/>
        <v>Accepted</v>
      </c>
      <c r="G245" s="19">
        <f>IF(ISERROR(VLOOKUP(A245,Report!A:D,3,FALSE)),"NOT FOUND",VLOOKUP(A245,Report!A:D,3,FALSE))</f>
        <v>4956</v>
      </c>
      <c r="H245" s="19">
        <f>IF(ISERROR(VLOOKUP(A245,Report!A:D,4,FALSE)),"NOT FOUND",VLOOKUP(A245,Report!A:D,4,FALSE))</f>
        <v>0</v>
      </c>
      <c r="I245" s="20" t="str">
        <f>IF(ISERROR(VLOOKUP(A245,Report!A:D,2,FALSE)),"NOT FOUND",VLOOKUP(A245,Report!A:D,2,FALSE))</f>
        <v>17-12-2025</v>
      </c>
      <c r="J245" s="53"/>
      <c r="K245" s="56">
        <f t="shared" si="9"/>
        <v>11</v>
      </c>
      <c r="L245" s="56">
        <f t="shared" si="10"/>
        <v>2025</v>
      </c>
      <c r="N245" s="50"/>
    </row>
    <row r="246" spans="1:14">
      <c r="A246" s="11" t="s">
        <v>3803</v>
      </c>
      <c r="B246" s="22">
        <v>436</v>
      </c>
      <c r="C246" s="51">
        <v>46018</v>
      </c>
      <c r="D246" s="13">
        <v>435</v>
      </c>
      <c r="E246" s="32" t="s">
        <v>33</v>
      </c>
      <c r="F246" s="11" t="str">
        <f t="shared" si="11"/>
        <v>Accepted</v>
      </c>
      <c r="G246" s="19">
        <f>IF(ISERROR(VLOOKUP(A246,Report!A:D,3,FALSE)),"NOT FOUND",VLOOKUP(A246,Report!A:D,3,FALSE))</f>
        <v>434.61</v>
      </c>
      <c r="H246" s="19">
        <f>IF(ISERROR(VLOOKUP(A246,Report!A:D,4,FALSE)),"NOT FOUND",VLOOKUP(A246,Report!A:D,4,FALSE))</f>
        <v>0</v>
      </c>
      <c r="I246" s="20" t="str">
        <f>IF(ISERROR(VLOOKUP(A246,Report!A:D,2,FALSE)),"NOT FOUND",VLOOKUP(A246,Report!A:D,2,FALSE))</f>
        <v>31-01-2026</v>
      </c>
      <c r="J246" s="53"/>
      <c r="K246" s="56">
        <f t="shared" si="9"/>
        <v>12</v>
      </c>
      <c r="L246" s="56">
        <f t="shared" si="10"/>
        <v>2025</v>
      </c>
      <c r="N246" s="50"/>
    </row>
    <row r="247" spans="1:14">
      <c r="A247" s="11" t="s">
        <v>3804</v>
      </c>
      <c r="B247" s="22">
        <v>437</v>
      </c>
      <c r="C247" s="51">
        <v>46018</v>
      </c>
      <c r="D247" s="13">
        <v>1537</v>
      </c>
      <c r="E247" s="32" t="s">
        <v>33</v>
      </c>
      <c r="F247" s="11" t="str">
        <f t="shared" si="11"/>
        <v>Accepted</v>
      </c>
      <c r="G247" s="19">
        <f>IF(ISERROR(VLOOKUP(A247,Report!A:D,3,FALSE)),"NOT FOUND",VLOOKUP(A247,Report!A:D,3,FALSE))</f>
        <v>1537.01</v>
      </c>
      <c r="H247" s="19">
        <f>IF(ISERROR(VLOOKUP(A247,Report!A:D,4,FALSE)),"NOT FOUND",VLOOKUP(A247,Report!A:D,4,FALSE))</f>
        <v>0</v>
      </c>
      <c r="I247" s="20" t="str">
        <f>IF(ISERROR(VLOOKUP(A247,Report!A:D,2,FALSE)),"NOT FOUND",VLOOKUP(A247,Report!A:D,2,FALSE))</f>
        <v>31-01-2026</v>
      </c>
      <c r="J247" s="53"/>
      <c r="K247" s="56">
        <f t="shared" si="9"/>
        <v>12</v>
      </c>
      <c r="L247" s="56">
        <f t="shared" si="10"/>
        <v>2025</v>
      </c>
      <c r="N247" s="50"/>
    </row>
    <row r="248" spans="1:14">
      <c r="A248" s="11"/>
      <c r="B248" s="22">
        <v>438</v>
      </c>
      <c r="C248" s="51"/>
      <c r="D248" s="13"/>
      <c r="E248" s="32"/>
      <c r="F248" s="11" t="e">
        <f t="shared" si="11"/>
        <v>#VALUE!</v>
      </c>
      <c r="G248" s="19" t="str">
        <f>IF(ISERROR(VLOOKUP(A248,Report!A:D,3,FALSE)),"NOT FOUND",VLOOKUP(A248,Report!A:D,3,FALSE))</f>
        <v>NOT FOUND</v>
      </c>
      <c r="H248" s="19" t="str">
        <f>IF(ISERROR(VLOOKUP(A248,Report!A:D,4,FALSE)),"NOT FOUND",VLOOKUP(A248,Report!A:D,4,FALSE))</f>
        <v>NOT FOUND</v>
      </c>
      <c r="I248" s="20" t="str">
        <f>IF(ISERROR(VLOOKUP(A248,Report!A:D,2,FALSE)),"NOT FOUND",VLOOKUP(A248,Report!A:D,2,FALSE))</f>
        <v>NOT FOUND</v>
      </c>
      <c r="J248" s="53" t="s">
        <v>38</v>
      </c>
      <c r="K248" s="56">
        <f t="shared" si="9"/>
        <v>1</v>
      </c>
      <c r="L248" s="56">
        <f t="shared" si="10"/>
        <v>1900</v>
      </c>
      <c r="N248" s="50"/>
    </row>
    <row r="249" spans="1:14">
      <c r="A249" s="11"/>
      <c r="B249" s="22">
        <v>439</v>
      </c>
      <c r="C249" s="51"/>
      <c r="D249" s="13"/>
      <c r="E249" s="32"/>
      <c r="F249" s="11" t="e">
        <f t="shared" si="11"/>
        <v>#VALUE!</v>
      </c>
      <c r="G249" s="19" t="str">
        <f>IF(ISERROR(VLOOKUP(A249,Report!A:D,3,FALSE)),"NOT FOUND",VLOOKUP(A249,Report!A:D,3,FALSE))</f>
        <v>NOT FOUND</v>
      </c>
      <c r="H249" s="19" t="str">
        <f>IF(ISERROR(VLOOKUP(A249,Report!A:D,4,FALSE)),"NOT FOUND",VLOOKUP(A249,Report!A:D,4,FALSE))</f>
        <v>NOT FOUND</v>
      </c>
      <c r="I249" s="20" t="str">
        <f>IF(ISERROR(VLOOKUP(A249,Report!A:D,2,FALSE)),"NOT FOUND",VLOOKUP(A249,Report!A:D,2,FALSE))</f>
        <v>NOT FOUND</v>
      </c>
      <c r="J249" s="53" t="s">
        <v>38</v>
      </c>
      <c r="K249" s="56">
        <f t="shared" si="9"/>
        <v>1</v>
      </c>
      <c r="L249" s="56">
        <f t="shared" si="10"/>
        <v>1900</v>
      </c>
      <c r="N249" s="50"/>
    </row>
    <row r="250" spans="1:14">
      <c r="A250" s="11"/>
      <c r="B250" s="22">
        <v>440</v>
      </c>
      <c r="C250" s="51"/>
      <c r="D250" s="13"/>
      <c r="E250" s="32"/>
      <c r="F250" s="11" t="e">
        <f t="shared" si="11"/>
        <v>#VALUE!</v>
      </c>
      <c r="G250" s="19" t="str">
        <f>IF(ISERROR(VLOOKUP(A250,Report!A:D,3,FALSE)),"NOT FOUND",VLOOKUP(A250,Report!A:D,3,FALSE))</f>
        <v>NOT FOUND</v>
      </c>
      <c r="H250" s="19" t="str">
        <f>IF(ISERROR(VLOOKUP(A250,Report!A:D,4,FALSE)),"NOT FOUND",VLOOKUP(A250,Report!A:D,4,FALSE))</f>
        <v>NOT FOUND</v>
      </c>
      <c r="I250" s="20" t="str">
        <f>IF(ISERROR(VLOOKUP(A250,Report!A:D,2,FALSE)),"NOT FOUND",VLOOKUP(A250,Report!A:D,2,FALSE))</f>
        <v>NOT FOUND</v>
      </c>
      <c r="J250" s="53" t="s">
        <v>38</v>
      </c>
      <c r="K250" s="56">
        <f t="shared" si="9"/>
        <v>1</v>
      </c>
      <c r="L250" s="56">
        <f t="shared" si="10"/>
        <v>1900</v>
      </c>
      <c r="N250" s="50"/>
    </row>
    <row r="251" spans="1:14">
      <c r="A251" s="11" t="s">
        <v>3781</v>
      </c>
      <c r="B251" s="22">
        <v>441</v>
      </c>
      <c r="C251" s="51">
        <v>45991</v>
      </c>
      <c r="D251" s="13">
        <v>4956</v>
      </c>
      <c r="E251" s="32" t="s">
        <v>33</v>
      </c>
      <c r="F251" s="11" t="str">
        <f t="shared" si="11"/>
        <v>Accepted</v>
      </c>
      <c r="G251" s="19">
        <f>IF(ISERROR(VLOOKUP(A251,Report!A:D,3,FALSE)),"NOT FOUND",VLOOKUP(A251,Report!A:D,3,FALSE))</f>
        <v>4956</v>
      </c>
      <c r="H251" s="19">
        <f>IF(ISERROR(VLOOKUP(A251,Report!A:D,4,FALSE)),"NOT FOUND",VLOOKUP(A251,Report!A:D,4,FALSE))</f>
        <v>0</v>
      </c>
      <c r="I251" s="20" t="str">
        <f>IF(ISERROR(VLOOKUP(A251,Report!A:D,2,FALSE)),"NOT FOUND",VLOOKUP(A251,Report!A:D,2,FALSE))</f>
        <v>17-12-2025</v>
      </c>
      <c r="J251" s="53"/>
      <c r="K251" s="56">
        <f t="shared" si="9"/>
        <v>11</v>
      </c>
      <c r="L251" s="56">
        <f t="shared" si="10"/>
        <v>2025</v>
      </c>
      <c r="N251" s="50"/>
    </row>
    <row r="252" spans="1:14">
      <c r="A252" s="11" t="s">
        <v>3782</v>
      </c>
      <c r="B252" s="22">
        <v>442</v>
      </c>
      <c r="C252" s="51">
        <v>45991</v>
      </c>
      <c r="D252" s="13">
        <v>4956</v>
      </c>
      <c r="E252" s="32" t="s">
        <v>33</v>
      </c>
      <c r="F252" s="11" t="str">
        <f t="shared" si="11"/>
        <v>Accepted</v>
      </c>
      <c r="G252" s="19">
        <f>IF(ISERROR(VLOOKUP(A252,Report!A:D,3,FALSE)),"NOT FOUND",VLOOKUP(A252,Report!A:D,3,FALSE))</f>
        <v>4956</v>
      </c>
      <c r="H252" s="19">
        <f>IF(ISERROR(VLOOKUP(A252,Report!A:D,4,FALSE)),"NOT FOUND",VLOOKUP(A252,Report!A:D,4,FALSE))</f>
        <v>0</v>
      </c>
      <c r="I252" s="20" t="str">
        <f>IF(ISERROR(VLOOKUP(A252,Report!A:D,2,FALSE)),"NOT FOUND",VLOOKUP(A252,Report!A:D,2,FALSE))</f>
        <v>02-02-2026</v>
      </c>
      <c r="J252" s="53"/>
      <c r="K252" s="56">
        <f t="shared" si="9"/>
        <v>11</v>
      </c>
      <c r="L252" s="56">
        <f t="shared" si="10"/>
        <v>2025</v>
      </c>
      <c r="N252" s="50"/>
    </row>
    <row r="253" spans="1:14">
      <c r="A253" s="31" t="s">
        <v>3832</v>
      </c>
      <c r="B253" s="11"/>
      <c r="C253" s="38">
        <v>45992</v>
      </c>
      <c r="D253" s="13">
        <v>4956</v>
      </c>
      <c r="E253" s="32" t="s">
        <v>33</v>
      </c>
      <c r="F253" s="11" t="str">
        <f t="shared" si="11"/>
        <v>Partial/Rejected</v>
      </c>
      <c r="G253" s="19">
        <f>IF(ISERROR(VLOOKUP(A253,Report!A:D,3,FALSE)),"NOT FOUND",VLOOKUP(A253,Report!A:D,3,FALSE))</f>
        <v>103.25</v>
      </c>
      <c r="H253" s="19">
        <f>IF(ISERROR(VLOOKUP(A253,Report!A:D,4,FALSE)),"NOT FOUND",VLOOKUP(A253,Report!A:D,4,FALSE))</f>
        <v>0</v>
      </c>
      <c r="I253" s="20" t="str">
        <f>IF(ISERROR(VLOOKUP(A253,Report!A:D,2,FALSE)),"NOT FOUND",VLOOKUP(A253,Report!A:D,2,FALSE))</f>
        <v>05-12-2025</v>
      </c>
      <c r="J253" s="53"/>
      <c r="K253" s="56">
        <f t="shared" si="9"/>
        <v>12</v>
      </c>
      <c r="L253" s="56">
        <f t="shared" si="10"/>
        <v>2025</v>
      </c>
      <c r="N253" s="50"/>
    </row>
    <row r="254" spans="1:14">
      <c r="A254" s="31" t="s">
        <v>3833</v>
      </c>
      <c r="B254" s="11"/>
      <c r="C254" s="38">
        <v>45992</v>
      </c>
      <c r="D254" s="37">
        <v>103</v>
      </c>
      <c r="E254" s="32" t="s">
        <v>33</v>
      </c>
      <c r="F254" s="11" t="str">
        <f t="shared" si="11"/>
        <v>Accepted</v>
      </c>
      <c r="G254" s="19">
        <f>IF(ISERROR(VLOOKUP(A254,Report!A:D,3,FALSE)),"NOT FOUND",VLOOKUP(A254,Report!A:D,3,FALSE))</f>
        <v>103.25</v>
      </c>
      <c r="H254" s="19">
        <f>IF(ISERROR(VLOOKUP(A254,Report!A:D,4,FALSE)),"NOT FOUND",VLOOKUP(A254,Report!A:D,4,FALSE))</f>
        <v>0</v>
      </c>
      <c r="I254" s="20" t="str">
        <f>IF(ISERROR(VLOOKUP(A254,Report!A:D,2,FALSE)),"NOT FOUND",VLOOKUP(A254,Report!A:D,2,FALSE))</f>
        <v>05-12-2025</v>
      </c>
      <c r="J254" s="53"/>
      <c r="K254" s="56">
        <f t="shared" ref="K254:K317" si="12">MONTH(C254)</f>
        <v>12</v>
      </c>
      <c r="L254" s="56">
        <f t="shared" ref="L254:L317" si="13">YEAR(C254)</f>
        <v>2025</v>
      </c>
      <c r="N254" s="50"/>
    </row>
    <row r="255" spans="1:14">
      <c r="A255" s="31" t="s">
        <v>3834</v>
      </c>
      <c r="B255" s="11"/>
      <c r="C255" s="38">
        <v>45992</v>
      </c>
      <c r="D255" s="37">
        <v>103</v>
      </c>
      <c r="E255" s="32" t="s">
        <v>33</v>
      </c>
      <c r="F255" s="11" t="str">
        <f t="shared" si="11"/>
        <v>Accepted</v>
      </c>
      <c r="G255" s="19">
        <f>IF(ISERROR(VLOOKUP(A255,Report!A:D,3,FALSE)),"NOT FOUND",VLOOKUP(A255,Report!A:D,3,FALSE))</f>
        <v>103.25</v>
      </c>
      <c r="H255" s="19">
        <f>IF(ISERROR(VLOOKUP(A255,Report!A:D,4,FALSE)),"NOT FOUND",VLOOKUP(A255,Report!A:D,4,FALSE))</f>
        <v>0</v>
      </c>
      <c r="I255" s="20" t="str">
        <f>IF(ISERROR(VLOOKUP(A255,Report!A:D,2,FALSE)),"NOT FOUND",VLOOKUP(A255,Report!A:D,2,FALSE))</f>
        <v>05-12-2025</v>
      </c>
      <c r="J255" s="53"/>
      <c r="K255" s="56">
        <f t="shared" si="12"/>
        <v>12</v>
      </c>
      <c r="L255" s="56">
        <f t="shared" si="13"/>
        <v>2025</v>
      </c>
      <c r="N255" s="50"/>
    </row>
    <row r="256" spans="1:14">
      <c r="A256" s="31" t="s">
        <v>3835</v>
      </c>
      <c r="B256" s="11"/>
      <c r="C256" s="38">
        <v>45992</v>
      </c>
      <c r="D256" s="37">
        <v>103</v>
      </c>
      <c r="E256" s="32" t="s">
        <v>33</v>
      </c>
      <c r="F256" s="11" t="str">
        <f t="shared" ref="F256:F319" si="14">IF((D256-G256)&lt;10,"Accepted","Partial/Rejected")</f>
        <v>Accepted</v>
      </c>
      <c r="G256" s="19">
        <f>IF(ISERROR(VLOOKUP(A256,Report!A:D,3,FALSE)),"NOT FOUND",VLOOKUP(A256,Report!A:D,3,FALSE))</f>
        <v>103.25</v>
      </c>
      <c r="H256" s="19">
        <f>IF(ISERROR(VLOOKUP(A256,Report!A:D,4,FALSE)),"NOT FOUND",VLOOKUP(A256,Report!A:D,4,FALSE))</f>
        <v>0</v>
      </c>
      <c r="I256" s="20" t="str">
        <f>IF(ISERROR(VLOOKUP(A256,Report!A:D,2,FALSE)),"NOT FOUND",VLOOKUP(A256,Report!A:D,2,FALSE))</f>
        <v>05-12-2025</v>
      </c>
      <c r="J256" s="53"/>
      <c r="K256" s="56">
        <f t="shared" si="12"/>
        <v>12</v>
      </c>
      <c r="L256" s="56">
        <f t="shared" si="13"/>
        <v>2025</v>
      </c>
      <c r="N256" s="50"/>
    </row>
    <row r="257" spans="1:14">
      <c r="A257" s="31" t="s">
        <v>3836</v>
      </c>
      <c r="B257" s="11"/>
      <c r="C257" s="38">
        <v>45992</v>
      </c>
      <c r="D257" s="37">
        <v>103</v>
      </c>
      <c r="E257" s="32" t="s">
        <v>33</v>
      </c>
      <c r="F257" s="11" t="str">
        <f t="shared" si="14"/>
        <v>Accepted</v>
      </c>
      <c r="G257" s="19">
        <f>IF(ISERROR(VLOOKUP(A257,Report!A:D,3,FALSE)),"NOT FOUND",VLOOKUP(A257,Report!A:D,3,FALSE))</f>
        <v>103.25</v>
      </c>
      <c r="H257" s="19">
        <f>IF(ISERROR(VLOOKUP(A257,Report!A:D,4,FALSE)),"NOT FOUND",VLOOKUP(A257,Report!A:D,4,FALSE))</f>
        <v>0</v>
      </c>
      <c r="I257" s="20" t="str">
        <f>IF(ISERROR(VLOOKUP(A257,Report!A:D,2,FALSE)),"NOT FOUND",VLOOKUP(A257,Report!A:D,2,FALSE))</f>
        <v>05-12-2025</v>
      </c>
      <c r="J257" s="53"/>
      <c r="K257" s="56">
        <f t="shared" si="12"/>
        <v>12</v>
      </c>
      <c r="L257" s="56">
        <f t="shared" si="13"/>
        <v>2025</v>
      </c>
      <c r="N257" s="50"/>
    </row>
    <row r="258" spans="1:14">
      <c r="A258" s="31" t="s">
        <v>3837</v>
      </c>
      <c r="B258" s="11"/>
      <c r="C258" s="38">
        <v>45992</v>
      </c>
      <c r="D258" s="37">
        <v>103</v>
      </c>
      <c r="E258" s="32" t="s">
        <v>33</v>
      </c>
      <c r="F258" s="11" t="str">
        <f t="shared" si="14"/>
        <v>Accepted</v>
      </c>
      <c r="G258" s="19">
        <f>IF(ISERROR(VLOOKUP(A258,Report!A:D,3,FALSE)),"NOT FOUND",VLOOKUP(A258,Report!A:D,3,FALSE))</f>
        <v>103.25</v>
      </c>
      <c r="H258" s="19">
        <f>IF(ISERROR(VLOOKUP(A258,Report!A:D,4,FALSE)),"NOT FOUND",VLOOKUP(A258,Report!A:D,4,FALSE))</f>
        <v>0</v>
      </c>
      <c r="I258" s="20" t="str">
        <f>IF(ISERROR(VLOOKUP(A258,Report!A:D,2,FALSE)),"NOT FOUND",VLOOKUP(A258,Report!A:D,2,FALSE))</f>
        <v>05-12-2025</v>
      </c>
      <c r="J258" s="53"/>
      <c r="K258" s="56">
        <f t="shared" si="12"/>
        <v>12</v>
      </c>
      <c r="L258" s="56">
        <f t="shared" si="13"/>
        <v>2025</v>
      </c>
      <c r="N258" s="50"/>
    </row>
    <row r="259" spans="1:14">
      <c r="A259" s="31" t="s">
        <v>3838</v>
      </c>
      <c r="B259" s="11"/>
      <c r="C259" s="38">
        <v>45992</v>
      </c>
      <c r="D259" s="37">
        <v>103</v>
      </c>
      <c r="E259" s="32" t="s">
        <v>33</v>
      </c>
      <c r="F259" s="11" t="str">
        <f t="shared" si="14"/>
        <v>Accepted</v>
      </c>
      <c r="G259" s="19">
        <f>IF(ISERROR(VLOOKUP(A259,Report!A:D,3,FALSE)),"NOT FOUND",VLOOKUP(A259,Report!A:D,3,FALSE))</f>
        <v>103.25</v>
      </c>
      <c r="H259" s="19">
        <f>IF(ISERROR(VLOOKUP(A259,Report!A:D,4,FALSE)),"NOT FOUND",VLOOKUP(A259,Report!A:D,4,FALSE))</f>
        <v>0</v>
      </c>
      <c r="I259" s="20" t="str">
        <f>IF(ISERROR(VLOOKUP(A259,Report!A:D,2,FALSE)),"NOT FOUND",VLOOKUP(A259,Report!A:D,2,FALSE))</f>
        <v>05-12-2025</v>
      </c>
      <c r="J259" s="53"/>
      <c r="K259" s="56">
        <f t="shared" si="12"/>
        <v>12</v>
      </c>
      <c r="L259" s="56">
        <f t="shared" si="13"/>
        <v>2025</v>
      </c>
      <c r="N259" s="50"/>
    </row>
    <row r="260" spans="1:14">
      <c r="A260" s="31" t="s">
        <v>3839</v>
      </c>
      <c r="B260" s="11"/>
      <c r="C260" s="38">
        <v>45992</v>
      </c>
      <c r="D260" s="37">
        <v>103</v>
      </c>
      <c r="E260" s="32" t="s">
        <v>33</v>
      </c>
      <c r="F260" s="11" t="str">
        <f t="shared" si="14"/>
        <v>Accepted</v>
      </c>
      <c r="G260" s="19">
        <f>IF(ISERROR(VLOOKUP(A260,Report!A:D,3,FALSE)),"NOT FOUND",VLOOKUP(A260,Report!A:D,3,FALSE))</f>
        <v>103.25</v>
      </c>
      <c r="H260" s="19">
        <f>IF(ISERROR(VLOOKUP(A260,Report!A:D,4,FALSE)),"NOT FOUND",VLOOKUP(A260,Report!A:D,4,FALSE))</f>
        <v>0</v>
      </c>
      <c r="I260" s="20" t="str">
        <f>IF(ISERROR(VLOOKUP(A260,Report!A:D,2,FALSE)),"NOT FOUND",VLOOKUP(A260,Report!A:D,2,FALSE))</f>
        <v>05-12-2025</v>
      </c>
      <c r="J260" s="53"/>
      <c r="K260" s="56">
        <f t="shared" si="12"/>
        <v>12</v>
      </c>
      <c r="L260" s="56">
        <f t="shared" si="13"/>
        <v>2025</v>
      </c>
      <c r="N260" s="50"/>
    </row>
    <row r="261" spans="1:14">
      <c r="A261" s="31" t="s">
        <v>3840</v>
      </c>
      <c r="B261" s="11"/>
      <c r="C261" s="38">
        <v>45992</v>
      </c>
      <c r="D261" s="37">
        <v>103</v>
      </c>
      <c r="E261" s="32" t="s">
        <v>33</v>
      </c>
      <c r="F261" s="11" t="str">
        <f t="shared" si="14"/>
        <v>Accepted</v>
      </c>
      <c r="G261" s="19">
        <f>IF(ISERROR(VLOOKUP(A261,Report!A:D,3,FALSE)),"NOT FOUND",VLOOKUP(A261,Report!A:D,3,FALSE))</f>
        <v>103.25</v>
      </c>
      <c r="H261" s="19">
        <f>IF(ISERROR(VLOOKUP(A261,Report!A:D,4,FALSE)),"NOT FOUND",VLOOKUP(A261,Report!A:D,4,FALSE))</f>
        <v>0</v>
      </c>
      <c r="I261" s="20" t="str">
        <f>IF(ISERROR(VLOOKUP(A261,Report!A:D,2,FALSE)),"NOT FOUND",VLOOKUP(A261,Report!A:D,2,FALSE))</f>
        <v>05-12-2025</v>
      </c>
      <c r="J261" s="53"/>
      <c r="K261" s="56">
        <f t="shared" si="12"/>
        <v>12</v>
      </c>
      <c r="L261" s="56">
        <f t="shared" si="13"/>
        <v>2025</v>
      </c>
      <c r="N261" s="50"/>
    </row>
    <row r="262" spans="1:14">
      <c r="A262" s="31" t="s">
        <v>3841</v>
      </c>
      <c r="B262" s="11"/>
      <c r="C262" s="38">
        <v>45992</v>
      </c>
      <c r="D262" s="37">
        <v>103</v>
      </c>
      <c r="E262" s="32" t="s">
        <v>33</v>
      </c>
      <c r="F262" s="11" t="str">
        <f t="shared" si="14"/>
        <v>Accepted</v>
      </c>
      <c r="G262" s="19">
        <f>IF(ISERROR(VLOOKUP(A262,Report!A:D,3,FALSE)),"NOT FOUND",VLOOKUP(A262,Report!A:D,3,FALSE))</f>
        <v>103.25</v>
      </c>
      <c r="H262" s="19">
        <f>IF(ISERROR(VLOOKUP(A262,Report!A:D,4,FALSE)),"NOT FOUND",VLOOKUP(A262,Report!A:D,4,FALSE))</f>
        <v>0</v>
      </c>
      <c r="I262" s="20" t="str">
        <f>IF(ISERROR(VLOOKUP(A262,Report!A:D,2,FALSE)),"NOT FOUND",VLOOKUP(A262,Report!A:D,2,FALSE))</f>
        <v>05-12-2025</v>
      </c>
      <c r="J262" s="53"/>
      <c r="K262" s="56">
        <f t="shared" si="12"/>
        <v>12</v>
      </c>
      <c r="L262" s="56">
        <f t="shared" si="13"/>
        <v>2025</v>
      </c>
      <c r="N262" s="50"/>
    </row>
    <row r="263" spans="1:14">
      <c r="A263" s="31" t="s">
        <v>3842</v>
      </c>
      <c r="B263" s="11"/>
      <c r="C263" s="38">
        <v>45992</v>
      </c>
      <c r="D263" s="37">
        <v>103</v>
      </c>
      <c r="E263" s="32" t="s">
        <v>33</v>
      </c>
      <c r="F263" s="11" t="str">
        <f t="shared" si="14"/>
        <v>Accepted</v>
      </c>
      <c r="G263" s="19">
        <f>IF(ISERROR(VLOOKUP(A263,Report!A:D,3,FALSE)),"NOT FOUND",VLOOKUP(A263,Report!A:D,3,FALSE))</f>
        <v>103.25</v>
      </c>
      <c r="H263" s="19">
        <f>IF(ISERROR(VLOOKUP(A263,Report!A:D,4,FALSE)),"NOT FOUND",VLOOKUP(A263,Report!A:D,4,FALSE))</f>
        <v>0</v>
      </c>
      <c r="I263" s="20" t="str">
        <f>IF(ISERROR(VLOOKUP(A263,Report!A:D,2,FALSE)),"NOT FOUND",VLOOKUP(A263,Report!A:D,2,FALSE))</f>
        <v>05-12-2025</v>
      </c>
      <c r="J263" s="53"/>
      <c r="K263" s="56">
        <f t="shared" si="12"/>
        <v>12</v>
      </c>
      <c r="L263" s="56">
        <f t="shared" si="13"/>
        <v>2025</v>
      </c>
      <c r="N263" s="50"/>
    </row>
    <row r="264" spans="1:14">
      <c r="A264" s="31" t="s">
        <v>3843</v>
      </c>
      <c r="B264" s="11"/>
      <c r="C264" s="38">
        <v>45992</v>
      </c>
      <c r="D264" s="37">
        <v>103</v>
      </c>
      <c r="E264" s="32" t="s">
        <v>33</v>
      </c>
      <c r="F264" s="11" t="str">
        <f t="shared" si="14"/>
        <v>Accepted</v>
      </c>
      <c r="G264" s="19">
        <f>IF(ISERROR(VLOOKUP(A264,Report!A:D,3,FALSE)),"NOT FOUND",VLOOKUP(A264,Report!A:D,3,FALSE))</f>
        <v>103.25</v>
      </c>
      <c r="H264" s="19">
        <f>IF(ISERROR(VLOOKUP(A264,Report!A:D,4,FALSE)),"NOT FOUND",VLOOKUP(A264,Report!A:D,4,FALSE))</f>
        <v>0</v>
      </c>
      <c r="I264" s="20" t="str">
        <f>IF(ISERROR(VLOOKUP(A264,Report!A:D,2,FALSE)),"NOT FOUND",VLOOKUP(A264,Report!A:D,2,FALSE))</f>
        <v>05-12-2025</v>
      </c>
      <c r="J264" s="53"/>
      <c r="K264" s="56">
        <f t="shared" si="12"/>
        <v>12</v>
      </c>
      <c r="L264" s="56">
        <f t="shared" si="13"/>
        <v>2025</v>
      </c>
      <c r="N264" s="50"/>
    </row>
    <row r="265" spans="1:14">
      <c r="A265" s="31" t="s">
        <v>3844</v>
      </c>
      <c r="B265" s="11"/>
      <c r="C265" s="38">
        <v>45992</v>
      </c>
      <c r="D265" s="37">
        <v>103</v>
      </c>
      <c r="E265" s="32" t="s">
        <v>33</v>
      </c>
      <c r="F265" s="11" t="str">
        <f t="shared" si="14"/>
        <v>Accepted</v>
      </c>
      <c r="G265" s="19">
        <f>IF(ISERROR(VLOOKUP(A265,Report!A:D,3,FALSE)),"NOT FOUND",VLOOKUP(A265,Report!A:D,3,FALSE))</f>
        <v>103.25</v>
      </c>
      <c r="H265" s="19">
        <f>IF(ISERROR(VLOOKUP(A265,Report!A:D,4,FALSE)),"NOT FOUND",VLOOKUP(A265,Report!A:D,4,FALSE))</f>
        <v>0</v>
      </c>
      <c r="I265" s="20" t="str">
        <f>IF(ISERROR(VLOOKUP(A265,Report!A:D,2,FALSE)),"NOT FOUND",VLOOKUP(A265,Report!A:D,2,FALSE))</f>
        <v>05-12-2025</v>
      </c>
      <c r="J265" s="53"/>
      <c r="K265" s="56">
        <f t="shared" si="12"/>
        <v>12</v>
      </c>
      <c r="L265" s="56">
        <f t="shared" si="13"/>
        <v>2025</v>
      </c>
      <c r="N265" s="50"/>
    </row>
    <row r="266" spans="1:14">
      <c r="A266" s="31" t="s">
        <v>3845</v>
      </c>
      <c r="B266" s="11"/>
      <c r="C266" s="38">
        <v>45992</v>
      </c>
      <c r="D266" s="37">
        <v>103</v>
      </c>
      <c r="E266" s="32" t="s">
        <v>33</v>
      </c>
      <c r="F266" s="11" t="str">
        <f t="shared" si="14"/>
        <v>Accepted</v>
      </c>
      <c r="G266" s="19">
        <f>IF(ISERROR(VLOOKUP(A266,Report!A:D,3,FALSE)),"NOT FOUND",VLOOKUP(A266,Report!A:D,3,FALSE))</f>
        <v>103.25</v>
      </c>
      <c r="H266" s="19">
        <f>IF(ISERROR(VLOOKUP(A266,Report!A:D,4,FALSE)),"NOT FOUND",VLOOKUP(A266,Report!A:D,4,FALSE))</f>
        <v>0</v>
      </c>
      <c r="I266" s="20" t="str">
        <f>IF(ISERROR(VLOOKUP(A266,Report!A:D,2,FALSE)),"NOT FOUND",VLOOKUP(A266,Report!A:D,2,FALSE))</f>
        <v>05-12-2025</v>
      </c>
      <c r="J266" s="53"/>
      <c r="K266" s="56">
        <f t="shared" si="12"/>
        <v>12</v>
      </c>
      <c r="L266" s="56">
        <f t="shared" si="13"/>
        <v>2025</v>
      </c>
      <c r="N266" s="50"/>
    </row>
    <row r="267" spans="1:14">
      <c r="A267" s="31" t="s">
        <v>3846</v>
      </c>
      <c r="B267" s="11"/>
      <c r="C267" s="38">
        <v>45992</v>
      </c>
      <c r="D267" s="37">
        <v>103</v>
      </c>
      <c r="E267" s="32" t="s">
        <v>33</v>
      </c>
      <c r="F267" s="11" t="str">
        <f t="shared" si="14"/>
        <v>Accepted</v>
      </c>
      <c r="G267" s="19">
        <f>IF(ISERROR(VLOOKUP(A267,Report!A:D,3,FALSE)),"NOT FOUND",VLOOKUP(A267,Report!A:D,3,FALSE))</f>
        <v>103.25</v>
      </c>
      <c r="H267" s="19">
        <f>IF(ISERROR(VLOOKUP(A267,Report!A:D,4,FALSE)),"NOT FOUND",VLOOKUP(A267,Report!A:D,4,FALSE))</f>
        <v>0</v>
      </c>
      <c r="I267" s="20" t="str">
        <f>IF(ISERROR(VLOOKUP(A267,Report!A:D,2,FALSE)),"NOT FOUND",VLOOKUP(A267,Report!A:D,2,FALSE))</f>
        <v>05-12-2025</v>
      </c>
      <c r="J267" s="53"/>
      <c r="K267" s="56">
        <f t="shared" si="12"/>
        <v>12</v>
      </c>
      <c r="L267" s="56">
        <f t="shared" si="13"/>
        <v>2025</v>
      </c>
      <c r="N267" s="50"/>
    </row>
    <row r="268" spans="1:14">
      <c r="A268" s="31" t="s">
        <v>3847</v>
      </c>
      <c r="B268" s="11"/>
      <c r="C268" s="38">
        <v>45992</v>
      </c>
      <c r="D268" s="37">
        <v>103</v>
      </c>
      <c r="E268" s="32" t="s">
        <v>33</v>
      </c>
      <c r="F268" s="11" t="str">
        <f t="shared" si="14"/>
        <v>Accepted</v>
      </c>
      <c r="G268" s="19">
        <f>IF(ISERROR(VLOOKUP(A268,Report!A:D,3,FALSE)),"NOT FOUND",VLOOKUP(A268,Report!A:D,3,FALSE))</f>
        <v>103.25</v>
      </c>
      <c r="H268" s="19">
        <f>IF(ISERROR(VLOOKUP(A268,Report!A:D,4,FALSE)),"NOT FOUND",VLOOKUP(A268,Report!A:D,4,FALSE))</f>
        <v>0</v>
      </c>
      <c r="I268" s="20" t="str">
        <f>IF(ISERROR(VLOOKUP(A268,Report!A:D,2,FALSE)),"NOT FOUND",VLOOKUP(A268,Report!A:D,2,FALSE))</f>
        <v>05-12-2025</v>
      </c>
      <c r="J268" s="53"/>
      <c r="K268" s="56">
        <f t="shared" si="12"/>
        <v>12</v>
      </c>
      <c r="L268" s="56">
        <f t="shared" si="13"/>
        <v>2025</v>
      </c>
      <c r="N268" s="50"/>
    </row>
    <row r="269" spans="1:14">
      <c r="A269" s="31" t="s">
        <v>3848</v>
      </c>
      <c r="B269" s="11"/>
      <c r="C269" s="38">
        <v>45992</v>
      </c>
      <c r="D269" s="37">
        <v>103</v>
      </c>
      <c r="E269" s="32" t="s">
        <v>33</v>
      </c>
      <c r="F269" s="11" t="str">
        <f t="shared" si="14"/>
        <v>Accepted</v>
      </c>
      <c r="G269" s="19">
        <f>IF(ISERROR(VLOOKUP(A269,Report!A:D,3,FALSE)),"NOT FOUND",VLOOKUP(A269,Report!A:D,3,FALSE))</f>
        <v>103.25</v>
      </c>
      <c r="H269" s="19">
        <f>IF(ISERROR(VLOOKUP(A269,Report!A:D,4,FALSE)),"NOT FOUND",VLOOKUP(A269,Report!A:D,4,FALSE))</f>
        <v>0</v>
      </c>
      <c r="I269" s="20" t="str">
        <f>IF(ISERROR(VLOOKUP(A269,Report!A:D,2,FALSE)),"NOT FOUND",VLOOKUP(A269,Report!A:D,2,FALSE))</f>
        <v>05-12-2025</v>
      </c>
      <c r="J269" s="53"/>
      <c r="K269" s="56">
        <f t="shared" si="12"/>
        <v>12</v>
      </c>
      <c r="L269" s="56">
        <f t="shared" si="13"/>
        <v>2025</v>
      </c>
      <c r="N269" s="50"/>
    </row>
    <row r="270" spans="1:14">
      <c r="A270" s="31" t="s">
        <v>3849</v>
      </c>
      <c r="B270" s="11"/>
      <c r="C270" s="38">
        <v>45992</v>
      </c>
      <c r="D270" s="37">
        <v>103</v>
      </c>
      <c r="E270" s="32" t="s">
        <v>33</v>
      </c>
      <c r="F270" s="11" t="str">
        <f t="shared" si="14"/>
        <v>Accepted</v>
      </c>
      <c r="G270" s="19">
        <f>IF(ISERROR(VLOOKUP(A270,Report!A:D,3,FALSE)),"NOT FOUND",VLOOKUP(A270,Report!A:D,3,FALSE))</f>
        <v>103.25</v>
      </c>
      <c r="H270" s="19">
        <f>IF(ISERROR(VLOOKUP(A270,Report!A:D,4,FALSE)),"NOT FOUND",VLOOKUP(A270,Report!A:D,4,FALSE))</f>
        <v>0</v>
      </c>
      <c r="I270" s="20" t="str">
        <f>IF(ISERROR(VLOOKUP(A270,Report!A:D,2,FALSE)),"NOT FOUND",VLOOKUP(A270,Report!A:D,2,FALSE))</f>
        <v>05-12-2025</v>
      </c>
      <c r="J270" s="53"/>
      <c r="K270" s="56">
        <f t="shared" si="12"/>
        <v>12</v>
      </c>
      <c r="L270" s="56">
        <f t="shared" si="13"/>
        <v>2025</v>
      </c>
      <c r="N270" s="50"/>
    </row>
    <row r="271" spans="1:14">
      <c r="A271" s="31" t="s">
        <v>3850</v>
      </c>
      <c r="B271" s="11"/>
      <c r="C271" s="38">
        <v>45992</v>
      </c>
      <c r="D271" s="37">
        <v>103</v>
      </c>
      <c r="E271" s="32" t="s">
        <v>33</v>
      </c>
      <c r="F271" s="11" t="str">
        <f t="shared" si="14"/>
        <v>Accepted</v>
      </c>
      <c r="G271" s="19">
        <f>IF(ISERROR(VLOOKUP(A271,Report!A:D,3,FALSE)),"NOT FOUND",VLOOKUP(A271,Report!A:D,3,FALSE))</f>
        <v>103.25</v>
      </c>
      <c r="H271" s="19">
        <f>IF(ISERROR(VLOOKUP(A271,Report!A:D,4,FALSE)),"NOT FOUND",VLOOKUP(A271,Report!A:D,4,FALSE))</f>
        <v>0</v>
      </c>
      <c r="I271" s="20" t="str">
        <f>IF(ISERROR(VLOOKUP(A271,Report!A:D,2,FALSE)),"NOT FOUND",VLOOKUP(A271,Report!A:D,2,FALSE))</f>
        <v>05-12-2025</v>
      </c>
      <c r="J271" s="53"/>
      <c r="K271" s="56">
        <f t="shared" si="12"/>
        <v>12</v>
      </c>
      <c r="L271" s="56">
        <f t="shared" si="13"/>
        <v>2025</v>
      </c>
      <c r="N271" s="50"/>
    </row>
    <row r="272" spans="1:14">
      <c r="A272" s="31" t="s">
        <v>3851</v>
      </c>
      <c r="B272" s="11"/>
      <c r="C272" s="38">
        <v>45992</v>
      </c>
      <c r="D272" s="37">
        <v>103</v>
      </c>
      <c r="E272" s="32" t="s">
        <v>33</v>
      </c>
      <c r="F272" s="11" t="str">
        <f t="shared" si="14"/>
        <v>Accepted</v>
      </c>
      <c r="G272" s="19">
        <f>IF(ISERROR(VLOOKUP(A272,Report!A:D,3,FALSE)),"NOT FOUND",VLOOKUP(A272,Report!A:D,3,FALSE))</f>
        <v>103.25</v>
      </c>
      <c r="H272" s="19">
        <f>IF(ISERROR(VLOOKUP(A272,Report!A:D,4,FALSE)),"NOT FOUND",VLOOKUP(A272,Report!A:D,4,FALSE))</f>
        <v>0</v>
      </c>
      <c r="I272" s="20" t="str">
        <f>IF(ISERROR(VLOOKUP(A272,Report!A:D,2,FALSE)),"NOT FOUND",VLOOKUP(A272,Report!A:D,2,FALSE))</f>
        <v>05-12-2025</v>
      </c>
      <c r="J272" s="53"/>
      <c r="K272" s="56">
        <f t="shared" si="12"/>
        <v>12</v>
      </c>
      <c r="L272" s="56">
        <f t="shared" si="13"/>
        <v>2025</v>
      </c>
      <c r="N272" s="50"/>
    </row>
    <row r="273" spans="1:14">
      <c r="A273" s="31" t="s">
        <v>3852</v>
      </c>
      <c r="B273" s="11"/>
      <c r="C273" s="38">
        <v>45992</v>
      </c>
      <c r="D273" s="37">
        <v>103</v>
      </c>
      <c r="E273" s="32" t="s">
        <v>33</v>
      </c>
      <c r="F273" s="11" t="str">
        <f t="shared" si="14"/>
        <v>Accepted</v>
      </c>
      <c r="G273" s="19">
        <f>IF(ISERROR(VLOOKUP(A273,Report!A:D,3,FALSE)),"NOT FOUND",VLOOKUP(A273,Report!A:D,3,FALSE))</f>
        <v>103.25</v>
      </c>
      <c r="H273" s="19">
        <f>IF(ISERROR(VLOOKUP(A273,Report!A:D,4,FALSE)),"NOT FOUND",VLOOKUP(A273,Report!A:D,4,FALSE))</f>
        <v>0</v>
      </c>
      <c r="I273" s="20" t="str">
        <f>IF(ISERROR(VLOOKUP(A273,Report!A:D,2,FALSE)),"NOT FOUND",VLOOKUP(A273,Report!A:D,2,FALSE))</f>
        <v>05-12-2025</v>
      </c>
      <c r="J273" s="53"/>
      <c r="K273" s="56">
        <f t="shared" si="12"/>
        <v>12</v>
      </c>
      <c r="L273" s="56">
        <f t="shared" si="13"/>
        <v>2025</v>
      </c>
      <c r="N273" s="50"/>
    </row>
    <row r="274" spans="1:14">
      <c r="A274" s="31" t="s">
        <v>3853</v>
      </c>
      <c r="B274" s="11"/>
      <c r="C274" s="38">
        <v>45992</v>
      </c>
      <c r="D274" s="37">
        <v>103</v>
      </c>
      <c r="E274" s="32" t="s">
        <v>33</v>
      </c>
      <c r="F274" s="11" t="str">
        <f t="shared" si="14"/>
        <v>Accepted</v>
      </c>
      <c r="G274" s="19">
        <f>IF(ISERROR(VLOOKUP(A274,Report!A:D,3,FALSE)),"NOT FOUND",VLOOKUP(A274,Report!A:D,3,FALSE))</f>
        <v>103.25</v>
      </c>
      <c r="H274" s="19">
        <f>IF(ISERROR(VLOOKUP(A274,Report!A:D,4,FALSE)),"NOT FOUND",VLOOKUP(A274,Report!A:D,4,FALSE))</f>
        <v>0</v>
      </c>
      <c r="I274" s="20" t="str">
        <f>IF(ISERROR(VLOOKUP(A274,Report!A:D,2,FALSE)),"NOT FOUND",VLOOKUP(A274,Report!A:D,2,FALSE))</f>
        <v>05-12-2025</v>
      </c>
      <c r="J274" s="53"/>
      <c r="K274" s="56">
        <f t="shared" si="12"/>
        <v>12</v>
      </c>
      <c r="L274" s="56">
        <f t="shared" si="13"/>
        <v>2025</v>
      </c>
      <c r="N274" s="50"/>
    </row>
    <row r="275" spans="1:14">
      <c r="A275" s="31" t="s">
        <v>3854</v>
      </c>
      <c r="B275" s="11"/>
      <c r="C275" s="38">
        <v>45992</v>
      </c>
      <c r="D275" s="37">
        <v>103</v>
      </c>
      <c r="E275" s="32" t="s">
        <v>33</v>
      </c>
      <c r="F275" s="11" t="str">
        <f t="shared" si="14"/>
        <v>Accepted</v>
      </c>
      <c r="G275" s="19">
        <f>IF(ISERROR(VLOOKUP(A275,Report!A:D,3,FALSE)),"NOT FOUND",VLOOKUP(A275,Report!A:D,3,FALSE))</f>
        <v>103.25</v>
      </c>
      <c r="H275" s="19">
        <f>IF(ISERROR(VLOOKUP(A275,Report!A:D,4,FALSE)),"NOT FOUND",VLOOKUP(A275,Report!A:D,4,FALSE))</f>
        <v>0</v>
      </c>
      <c r="I275" s="20" t="str">
        <f>IF(ISERROR(VLOOKUP(A275,Report!A:D,2,FALSE)),"NOT FOUND",VLOOKUP(A275,Report!A:D,2,FALSE))</f>
        <v>05-12-2025</v>
      </c>
      <c r="J275" s="53"/>
      <c r="K275" s="56">
        <f t="shared" si="12"/>
        <v>12</v>
      </c>
      <c r="L275" s="56">
        <f t="shared" si="13"/>
        <v>2025</v>
      </c>
      <c r="N275" s="50"/>
    </row>
    <row r="276" spans="1:14">
      <c r="A276" s="31" t="s">
        <v>3855</v>
      </c>
      <c r="B276" s="11"/>
      <c r="C276" s="38">
        <v>45992</v>
      </c>
      <c r="D276" s="37">
        <v>103</v>
      </c>
      <c r="E276" s="32" t="s">
        <v>33</v>
      </c>
      <c r="F276" s="11" t="str">
        <f t="shared" si="14"/>
        <v>Accepted</v>
      </c>
      <c r="G276" s="19">
        <f>IF(ISERROR(VLOOKUP(A276,Report!A:D,3,FALSE)),"NOT FOUND",VLOOKUP(A276,Report!A:D,3,FALSE))</f>
        <v>103.25</v>
      </c>
      <c r="H276" s="19">
        <f>IF(ISERROR(VLOOKUP(A276,Report!A:D,4,FALSE)),"NOT FOUND",VLOOKUP(A276,Report!A:D,4,FALSE))</f>
        <v>0</v>
      </c>
      <c r="I276" s="20" t="str">
        <f>IF(ISERROR(VLOOKUP(A276,Report!A:D,2,FALSE)),"NOT FOUND",VLOOKUP(A276,Report!A:D,2,FALSE))</f>
        <v>05-12-2025</v>
      </c>
      <c r="J276" s="53"/>
      <c r="K276" s="56">
        <f t="shared" si="12"/>
        <v>12</v>
      </c>
      <c r="L276" s="56">
        <f t="shared" si="13"/>
        <v>2025</v>
      </c>
      <c r="N276" s="50"/>
    </row>
    <row r="277" spans="1:14">
      <c r="A277" s="31" t="s">
        <v>3856</v>
      </c>
      <c r="B277" s="11"/>
      <c r="C277" s="38">
        <v>45992</v>
      </c>
      <c r="D277" s="37">
        <v>103</v>
      </c>
      <c r="E277" s="32" t="s">
        <v>33</v>
      </c>
      <c r="F277" s="11" t="str">
        <f t="shared" si="14"/>
        <v>Accepted</v>
      </c>
      <c r="G277" s="19">
        <f>IF(ISERROR(VLOOKUP(A277,Report!A:D,3,FALSE)),"NOT FOUND",VLOOKUP(A277,Report!A:D,3,FALSE))</f>
        <v>103.25</v>
      </c>
      <c r="H277" s="19">
        <f>IF(ISERROR(VLOOKUP(A277,Report!A:D,4,FALSE)),"NOT FOUND",VLOOKUP(A277,Report!A:D,4,FALSE))</f>
        <v>0</v>
      </c>
      <c r="I277" s="20" t="str">
        <f>IF(ISERROR(VLOOKUP(A277,Report!A:D,2,FALSE)),"NOT FOUND",VLOOKUP(A277,Report!A:D,2,FALSE))</f>
        <v>05-12-2025</v>
      </c>
      <c r="J277" s="53"/>
      <c r="K277" s="56">
        <f t="shared" si="12"/>
        <v>12</v>
      </c>
      <c r="L277" s="56">
        <f t="shared" si="13"/>
        <v>2025</v>
      </c>
      <c r="N277" s="50"/>
    </row>
    <row r="278" spans="1:14">
      <c r="A278" s="31" t="s">
        <v>3857</v>
      </c>
      <c r="B278" s="11"/>
      <c r="C278" s="38">
        <v>45992</v>
      </c>
      <c r="D278" s="37">
        <v>103</v>
      </c>
      <c r="E278" s="32" t="s">
        <v>33</v>
      </c>
      <c r="F278" s="11" t="str">
        <f t="shared" si="14"/>
        <v>Accepted</v>
      </c>
      <c r="G278" s="19">
        <f>IF(ISERROR(VLOOKUP(A278,Report!A:D,3,FALSE)),"NOT FOUND",VLOOKUP(A278,Report!A:D,3,FALSE))</f>
        <v>103.25</v>
      </c>
      <c r="H278" s="19">
        <f>IF(ISERROR(VLOOKUP(A278,Report!A:D,4,FALSE)),"NOT FOUND",VLOOKUP(A278,Report!A:D,4,FALSE))</f>
        <v>0</v>
      </c>
      <c r="I278" s="20" t="str">
        <f>IF(ISERROR(VLOOKUP(A278,Report!A:D,2,FALSE)),"NOT FOUND",VLOOKUP(A278,Report!A:D,2,FALSE))</f>
        <v>05-12-2025</v>
      </c>
      <c r="J278" s="53"/>
      <c r="K278" s="56">
        <f t="shared" si="12"/>
        <v>12</v>
      </c>
      <c r="L278" s="56">
        <f t="shared" si="13"/>
        <v>2025</v>
      </c>
      <c r="N278" s="50"/>
    </row>
    <row r="279" spans="1:14">
      <c r="A279" s="31" t="s">
        <v>3858</v>
      </c>
      <c r="B279" s="11"/>
      <c r="C279" s="38">
        <v>45992</v>
      </c>
      <c r="D279" s="37">
        <v>62</v>
      </c>
      <c r="E279" s="32" t="s">
        <v>33</v>
      </c>
      <c r="F279" s="11" t="str">
        <f t="shared" si="14"/>
        <v>Accepted</v>
      </c>
      <c r="G279" s="19">
        <f>IF(ISERROR(VLOOKUP(A279,Report!A:D,3,FALSE)),"NOT FOUND",VLOOKUP(A279,Report!A:D,3,FALSE))</f>
        <v>61.95</v>
      </c>
      <c r="H279" s="19">
        <f>IF(ISERROR(VLOOKUP(A279,Report!A:D,4,FALSE)),"NOT FOUND",VLOOKUP(A279,Report!A:D,4,FALSE))</f>
        <v>0</v>
      </c>
      <c r="I279" s="20" t="str">
        <f>IF(ISERROR(VLOOKUP(A279,Report!A:D,2,FALSE)),"NOT FOUND",VLOOKUP(A279,Report!A:D,2,FALSE))</f>
        <v>05-12-2025</v>
      </c>
      <c r="J279" s="53"/>
      <c r="K279" s="56">
        <f t="shared" si="12"/>
        <v>12</v>
      </c>
      <c r="L279" s="56">
        <f t="shared" si="13"/>
        <v>2025</v>
      </c>
      <c r="N279" s="50"/>
    </row>
    <row r="280" spans="1:14">
      <c r="A280" s="31" t="s">
        <v>3859</v>
      </c>
      <c r="B280" s="11"/>
      <c r="C280" s="38">
        <v>45992</v>
      </c>
      <c r="D280" s="37">
        <v>62</v>
      </c>
      <c r="E280" s="32" t="s">
        <v>33</v>
      </c>
      <c r="F280" s="11" t="str">
        <f t="shared" si="14"/>
        <v>Accepted</v>
      </c>
      <c r="G280" s="19">
        <f>IF(ISERROR(VLOOKUP(A280,Report!A:D,3,FALSE)),"NOT FOUND",VLOOKUP(A280,Report!A:D,3,FALSE))</f>
        <v>61.95</v>
      </c>
      <c r="H280" s="19">
        <f>IF(ISERROR(VLOOKUP(A280,Report!A:D,4,FALSE)),"NOT FOUND",VLOOKUP(A280,Report!A:D,4,FALSE))</f>
        <v>0</v>
      </c>
      <c r="I280" s="20" t="str">
        <f>IF(ISERROR(VLOOKUP(A280,Report!A:D,2,FALSE)),"NOT FOUND",VLOOKUP(A280,Report!A:D,2,FALSE))</f>
        <v>05-12-2025</v>
      </c>
      <c r="J280" s="53"/>
      <c r="K280" s="56">
        <f t="shared" si="12"/>
        <v>12</v>
      </c>
      <c r="L280" s="56">
        <f t="shared" si="13"/>
        <v>2025</v>
      </c>
      <c r="N280" s="50"/>
    </row>
    <row r="281" spans="1:14">
      <c r="A281" s="31" t="s">
        <v>3860</v>
      </c>
      <c r="B281" s="11"/>
      <c r="C281" s="38">
        <v>45992</v>
      </c>
      <c r="D281" s="37">
        <v>62</v>
      </c>
      <c r="E281" s="32" t="s">
        <v>33</v>
      </c>
      <c r="F281" s="11" t="str">
        <f t="shared" si="14"/>
        <v>Accepted</v>
      </c>
      <c r="G281" s="19">
        <f>IF(ISERROR(VLOOKUP(A281,Report!A:D,3,FALSE)),"NOT FOUND",VLOOKUP(A281,Report!A:D,3,FALSE))</f>
        <v>61.95</v>
      </c>
      <c r="H281" s="19">
        <f>IF(ISERROR(VLOOKUP(A281,Report!A:D,4,FALSE)),"NOT FOUND",VLOOKUP(A281,Report!A:D,4,FALSE))</f>
        <v>0</v>
      </c>
      <c r="I281" s="20" t="str">
        <f>IF(ISERROR(VLOOKUP(A281,Report!A:D,2,FALSE)),"NOT FOUND",VLOOKUP(A281,Report!A:D,2,FALSE))</f>
        <v>05-12-2025</v>
      </c>
      <c r="J281" s="53"/>
      <c r="K281" s="56">
        <f t="shared" si="12"/>
        <v>12</v>
      </c>
      <c r="L281" s="56">
        <f t="shared" si="13"/>
        <v>2025</v>
      </c>
      <c r="N281" s="50"/>
    </row>
    <row r="282" spans="1:14">
      <c r="A282" s="31" t="s">
        <v>3861</v>
      </c>
      <c r="B282" s="11"/>
      <c r="C282" s="38">
        <v>45992</v>
      </c>
      <c r="D282" s="37">
        <v>62</v>
      </c>
      <c r="E282" s="32" t="s">
        <v>33</v>
      </c>
      <c r="F282" s="11" t="str">
        <f t="shared" si="14"/>
        <v>Accepted</v>
      </c>
      <c r="G282" s="19">
        <f>IF(ISERROR(VLOOKUP(A282,Report!A:D,3,FALSE)),"NOT FOUND",VLOOKUP(A282,Report!A:D,3,FALSE))</f>
        <v>61.95</v>
      </c>
      <c r="H282" s="19">
        <f>IF(ISERROR(VLOOKUP(A282,Report!A:D,4,FALSE)),"NOT FOUND",VLOOKUP(A282,Report!A:D,4,FALSE))</f>
        <v>0</v>
      </c>
      <c r="I282" s="20" t="str">
        <f>IF(ISERROR(VLOOKUP(A282,Report!A:D,2,FALSE)),"NOT FOUND",VLOOKUP(A282,Report!A:D,2,FALSE))</f>
        <v>05-12-2025</v>
      </c>
      <c r="J282" s="53"/>
      <c r="K282" s="56">
        <f t="shared" si="12"/>
        <v>12</v>
      </c>
      <c r="L282" s="56">
        <f t="shared" si="13"/>
        <v>2025</v>
      </c>
      <c r="N282" s="50"/>
    </row>
    <row r="283" spans="1:14">
      <c r="A283" s="31" t="s">
        <v>3862</v>
      </c>
      <c r="B283" s="11"/>
      <c r="C283" s="38">
        <v>45992</v>
      </c>
      <c r="D283" s="37">
        <v>62</v>
      </c>
      <c r="E283" s="32" t="s">
        <v>33</v>
      </c>
      <c r="F283" s="11" t="str">
        <f t="shared" si="14"/>
        <v>Accepted</v>
      </c>
      <c r="G283" s="19">
        <f>IF(ISERROR(VLOOKUP(A283,Report!A:D,3,FALSE)),"NOT FOUND",VLOOKUP(A283,Report!A:D,3,FALSE))</f>
        <v>61.95</v>
      </c>
      <c r="H283" s="19">
        <f>IF(ISERROR(VLOOKUP(A283,Report!A:D,4,FALSE)),"NOT FOUND",VLOOKUP(A283,Report!A:D,4,FALSE))</f>
        <v>0</v>
      </c>
      <c r="I283" s="20" t="str">
        <f>IF(ISERROR(VLOOKUP(A283,Report!A:D,2,FALSE)),"NOT FOUND",VLOOKUP(A283,Report!A:D,2,FALSE))</f>
        <v>05-12-2025</v>
      </c>
      <c r="J283" s="53"/>
      <c r="K283" s="56">
        <f t="shared" si="12"/>
        <v>12</v>
      </c>
      <c r="L283" s="56">
        <f t="shared" si="13"/>
        <v>2025</v>
      </c>
      <c r="N283" s="50"/>
    </row>
    <row r="284" spans="1:14">
      <c r="A284" s="31" t="s">
        <v>3863</v>
      </c>
      <c r="B284" s="11"/>
      <c r="C284" s="38">
        <v>45992</v>
      </c>
      <c r="D284" s="37">
        <v>62</v>
      </c>
      <c r="E284" s="32" t="s">
        <v>33</v>
      </c>
      <c r="F284" s="11" t="str">
        <f t="shared" si="14"/>
        <v>Accepted</v>
      </c>
      <c r="G284" s="19">
        <f>IF(ISERROR(VLOOKUP(A284,Report!A:D,3,FALSE)),"NOT FOUND",VLOOKUP(A284,Report!A:D,3,FALSE))</f>
        <v>61.95</v>
      </c>
      <c r="H284" s="19">
        <f>IF(ISERROR(VLOOKUP(A284,Report!A:D,4,FALSE)),"NOT FOUND",VLOOKUP(A284,Report!A:D,4,FALSE))</f>
        <v>0</v>
      </c>
      <c r="I284" s="20" t="str">
        <f>IF(ISERROR(VLOOKUP(A284,Report!A:D,2,FALSE)),"NOT FOUND",VLOOKUP(A284,Report!A:D,2,FALSE))</f>
        <v>05-12-2025</v>
      </c>
      <c r="J284" s="53"/>
      <c r="K284" s="56">
        <f t="shared" si="12"/>
        <v>12</v>
      </c>
      <c r="L284" s="56">
        <f t="shared" si="13"/>
        <v>2025</v>
      </c>
      <c r="N284" s="50"/>
    </row>
    <row r="285" spans="1:14">
      <c r="A285" s="31" t="s">
        <v>3864</v>
      </c>
      <c r="B285" s="11"/>
      <c r="C285" s="38">
        <v>45992</v>
      </c>
      <c r="D285" s="37">
        <v>62</v>
      </c>
      <c r="E285" s="32" t="s">
        <v>33</v>
      </c>
      <c r="F285" s="11" t="str">
        <f t="shared" si="14"/>
        <v>Accepted</v>
      </c>
      <c r="G285" s="19">
        <f>IF(ISERROR(VLOOKUP(A285,Report!A:D,3,FALSE)),"NOT FOUND",VLOOKUP(A285,Report!A:D,3,FALSE))</f>
        <v>61.95</v>
      </c>
      <c r="H285" s="19">
        <f>IF(ISERROR(VLOOKUP(A285,Report!A:D,4,FALSE)),"NOT FOUND",VLOOKUP(A285,Report!A:D,4,FALSE))</f>
        <v>0</v>
      </c>
      <c r="I285" s="20" t="str">
        <f>IF(ISERROR(VLOOKUP(A285,Report!A:D,2,FALSE)),"NOT FOUND",VLOOKUP(A285,Report!A:D,2,FALSE))</f>
        <v>05-12-2025</v>
      </c>
      <c r="J285" s="53"/>
      <c r="K285" s="56">
        <f t="shared" si="12"/>
        <v>12</v>
      </c>
      <c r="L285" s="56">
        <f t="shared" si="13"/>
        <v>2025</v>
      </c>
      <c r="N285" s="50"/>
    </row>
    <row r="286" spans="1:14">
      <c r="A286" s="31" t="s">
        <v>3865</v>
      </c>
      <c r="B286" s="11"/>
      <c r="C286" s="38">
        <v>45992</v>
      </c>
      <c r="D286" s="37">
        <v>62</v>
      </c>
      <c r="E286" s="32" t="s">
        <v>33</v>
      </c>
      <c r="F286" s="11" t="str">
        <f t="shared" si="14"/>
        <v>Accepted</v>
      </c>
      <c r="G286" s="19">
        <f>IF(ISERROR(VLOOKUP(A286,Report!A:D,3,FALSE)),"NOT FOUND",VLOOKUP(A286,Report!A:D,3,FALSE))</f>
        <v>61.95</v>
      </c>
      <c r="H286" s="19">
        <f>IF(ISERROR(VLOOKUP(A286,Report!A:D,4,FALSE)),"NOT FOUND",VLOOKUP(A286,Report!A:D,4,FALSE))</f>
        <v>0</v>
      </c>
      <c r="I286" s="20" t="str">
        <f>IF(ISERROR(VLOOKUP(A286,Report!A:D,2,FALSE)),"NOT FOUND",VLOOKUP(A286,Report!A:D,2,FALSE))</f>
        <v>05-12-2025</v>
      </c>
      <c r="J286" s="53"/>
      <c r="K286" s="56">
        <f t="shared" si="12"/>
        <v>12</v>
      </c>
      <c r="L286" s="56">
        <f t="shared" si="13"/>
        <v>2025</v>
      </c>
      <c r="N286" s="50"/>
    </row>
    <row r="287" spans="1:14">
      <c r="A287" s="31" t="s">
        <v>3866</v>
      </c>
      <c r="B287" s="11"/>
      <c r="C287" s="38">
        <v>45992</v>
      </c>
      <c r="D287" s="37">
        <v>62</v>
      </c>
      <c r="E287" s="32" t="s">
        <v>33</v>
      </c>
      <c r="F287" s="11" t="str">
        <f t="shared" si="14"/>
        <v>Accepted</v>
      </c>
      <c r="G287" s="19">
        <f>IF(ISERROR(VLOOKUP(A287,Report!A:D,3,FALSE)),"NOT FOUND",VLOOKUP(A287,Report!A:D,3,FALSE))</f>
        <v>61.95</v>
      </c>
      <c r="H287" s="19">
        <f>IF(ISERROR(VLOOKUP(A287,Report!A:D,4,FALSE)),"NOT FOUND",VLOOKUP(A287,Report!A:D,4,FALSE))</f>
        <v>0</v>
      </c>
      <c r="I287" s="20" t="str">
        <f>IF(ISERROR(VLOOKUP(A287,Report!A:D,2,FALSE)),"NOT FOUND",VLOOKUP(A287,Report!A:D,2,FALSE))</f>
        <v>05-12-2025</v>
      </c>
      <c r="J287" s="53"/>
      <c r="K287" s="56">
        <f t="shared" si="12"/>
        <v>12</v>
      </c>
      <c r="L287" s="56">
        <f t="shared" si="13"/>
        <v>2025</v>
      </c>
      <c r="N287" s="50"/>
    </row>
    <row r="288" spans="1:14">
      <c r="A288" s="31" t="s">
        <v>3867</v>
      </c>
      <c r="B288" s="11"/>
      <c r="C288" s="38">
        <v>45992</v>
      </c>
      <c r="D288" s="37">
        <v>62</v>
      </c>
      <c r="E288" s="32" t="s">
        <v>33</v>
      </c>
      <c r="F288" s="11" t="str">
        <f t="shared" si="14"/>
        <v>Accepted</v>
      </c>
      <c r="G288" s="19">
        <f>IF(ISERROR(VLOOKUP(A288,Report!A:D,3,FALSE)),"NOT FOUND",VLOOKUP(A288,Report!A:D,3,FALSE))</f>
        <v>61.95</v>
      </c>
      <c r="H288" s="19">
        <f>IF(ISERROR(VLOOKUP(A288,Report!A:D,4,FALSE)),"NOT FOUND",VLOOKUP(A288,Report!A:D,4,FALSE))</f>
        <v>0</v>
      </c>
      <c r="I288" s="20" t="str">
        <f>IF(ISERROR(VLOOKUP(A288,Report!A:D,2,FALSE)),"NOT FOUND",VLOOKUP(A288,Report!A:D,2,FALSE))</f>
        <v>05-12-2025</v>
      </c>
      <c r="J288" s="53"/>
      <c r="K288" s="56">
        <f t="shared" si="12"/>
        <v>12</v>
      </c>
      <c r="L288" s="56">
        <f t="shared" si="13"/>
        <v>2025</v>
      </c>
      <c r="N288" s="50"/>
    </row>
    <row r="289" spans="1:14">
      <c r="A289" s="31" t="s">
        <v>3868</v>
      </c>
      <c r="B289" s="11"/>
      <c r="C289" s="38">
        <v>45992</v>
      </c>
      <c r="D289" s="37">
        <v>62</v>
      </c>
      <c r="E289" s="32" t="s">
        <v>33</v>
      </c>
      <c r="F289" s="11" t="str">
        <f t="shared" si="14"/>
        <v>Accepted</v>
      </c>
      <c r="G289" s="19">
        <f>IF(ISERROR(VLOOKUP(A289,Report!A:D,3,FALSE)),"NOT FOUND",VLOOKUP(A289,Report!A:D,3,FALSE))</f>
        <v>61.95</v>
      </c>
      <c r="H289" s="19">
        <f>IF(ISERROR(VLOOKUP(A289,Report!A:D,4,FALSE)),"NOT FOUND",VLOOKUP(A289,Report!A:D,4,FALSE))</f>
        <v>0</v>
      </c>
      <c r="I289" s="20" t="str">
        <f>IF(ISERROR(VLOOKUP(A289,Report!A:D,2,FALSE)),"NOT FOUND",VLOOKUP(A289,Report!A:D,2,FALSE))</f>
        <v>05-12-2025</v>
      </c>
      <c r="J289" s="53"/>
      <c r="K289" s="56">
        <f t="shared" si="12"/>
        <v>12</v>
      </c>
      <c r="L289" s="56">
        <f t="shared" si="13"/>
        <v>2025</v>
      </c>
      <c r="N289" s="50"/>
    </row>
    <row r="290" spans="1:14">
      <c r="A290" s="31" t="s">
        <v>3869</v>
      </c>
      <c r="B290" s="11"/>
      <c r="C290" s="38">
        <v>45992</v>
      </c>
      <c r="D290" s="37">
        <v>62</v>
      </c>
      <c r="E290" s="32" t="s">
        <v>33</v>
      </c>
      <c r="F290" s="11" t="str">
        <f t="shared" si="14"/>
        <v>Accepted</v>
      </c>
      <c r="G290" s="19">
        <f>IF(ISERROR(VLOOKUP(A290,Report!A:D,3,FALSE)),"NOT FOUND",VLOOKUP(A290,Report!A:D,3,FALSE))</f>
        <v>61.95</v>
      </c>
      <c r="H290" s="19">
        <f>IF(ISERROR(VLOOKUP(A290,Report!A:D,4,FALSE)),"NOT FOUND",VLOOKUP(A290,Report!A:D,4,FALSE))</f>
        <v>0</v>
      </c>
      <c r="I290" s="20" t="str">
        <f>IF(ISERROR(VLOOKUP(A290,Report!A:D,2,FALSE)),"NOT FOUND",VLOOKUP(A290,Report!A:D,2,FALSE))</f>
        <v>05-12-2025</v>
      </c>
      <c r="J290" s="53"/>
      <c r="K290" s="56">
        <f t="shared" si="12"/>
        <v>12</v>
      </c>
      <c r="L290" s="56">
        <f t="shared" si="13"/>
        <v>2025</v>
      </c>
      <c r="N290" s="50"/>
    </row>
    <row r="291" spans="1:14">
      <c r="A291" s="31" t="s">
        <v>3870</v>
      </c>
      <c r="B291" s="11"/>
      <c r="C291" s="38">
        <v>45992</v>
      </c>
      <c r="D291" s="37">
        <v>62</v>
      </c>
      <c r="E291" s="32" t="s">
        <v>33</v>
      </c>
      <c r="F291" s="11" t="str">
        <f t="shared" si="14"/>
        <v>Accepted</v>
      </c>
      <c r="G291" s="19">
        <f>IF(ISERROR(VLOOKUP(A291,Report!A:D,3,FALSE)),"NOT FOUND",VLOOKUP(A291,Report!A:D,3,FALSE))</f>
        <v>61.95</v>
      </c>
      <c r="H291" s="19">
        <f>IF(ISERROR(VLOOKUP(A291,Report!A:D,4,FALSE)),"NOT FOUND",VLOOKUP(A291,Report!A:D,4,FALSE))</f>
        <v>0</v>
      </c>
      <c r="I291" s="20" t="str">
        <f>IF(ISERROR(VLOOKUP(A291,Report!A:D,2,FALSE)),"NOT FOUND",VLOOKUP(A291,Report!A:D,2,FALSE))</f>
        <v>05-12-2025</v>
      </c>
      <c r="J291" s="53"/>
      <c r="K291" s="56">
        <f t="shared" si="12"/>
        <v>12</v>
      </c>
      <c r="L291" s="56">
        <f t="shared" si="13"/>
        <v>2025</v>
      </c>
      <c r="N291" s="50"/>
    </row>
    <row r="292" spans="1:14">
      <c r="A292" s="31" t="s">
        <v>3871</v>
      </c>
      <c r="B292" s="11"/>
      <c r="C292" s="38">
        <v>45992</v>
      </c>
      <c r="D292" s="37">
        <v>62</v>
      </c>
      <c r="E292" s="32" t="s">
        <v>33</v>
      </c>
      <c r="F292" s="11" t="str">
        <f t="shared" si="14"/>
        <v>Accepted</v>
      </c>
      <c r="G292" s="19">
        <f>IF(ISERROR(VLOOKUP(A292,Report!A:D,3,FALSE)),"NOT FOUND",VLOOKUP(A292,Report!A:D,3,FALSE))</f>
        <v>61.95</v>
      </c>
      <c r="H292" s="19">
        <f>IF(ISERROR(VLOOKUP(A292,Report!A:D,4,FALSE)),"NOT FOUND",VLOOKUP(A292,Report!A:D,4,FALSE))</f>
        <v>0</v>
      </c>
      <c r="I292" s="20" t="str">
        <f>IF(ISERROR(VLOOKUP(A292,Report!A:D,2,FALSE)),"NOT FOUND",VLOOKUP(A292,Report!A:D,2,FALSE))</f>
        <v>05-12-2025</v>
      </c>
      <c r="J292" s="53"/>
      <c r="K292" s="56">
        <f t="shared" si="12"/>
        <v>12</v>
      </c>
      <c r="L292" s="56">
        <f t="shared" si="13"/>
        <v>2025</v>
      </c>
      <c r="N292" s="50"/>
    </row>
    <row r="293" spans="1:14">
      <c r="A293" s="31" t="s">
        <v>3872</v>
      </c>
      <c r="B293" s="11"/>
      <c r="C293" s="38">
        <v>45992</v>
      </c>
      <c r="D293" s="37">
        <v>62</v>
      </c>
      <c r="E293" s="32" t="s">
        <v>33</v>
      </c>
      <c r="F293" s="11" t="str">
        <f t="shared" si="14"/>
        <v>Accepted</v>
      </c>
      <c r="G293" s="19">
        <f>IF(ISERROR(VLOOKUP(A293,Report!A:D,3,FALSE)),"NOT FOUND",VLOOKUP(A293,Report!A:D,3,FALSE))</f>
        <v>61.95</v>
      </c>
      <c r="H293" s="19">
        <f>IF(ISERROR(VLOOKUP(A293,Report!A:D,4,FALSE)),"NOT FOUND",VLOOKUP(A293,Report!A:D,4,FALSE))</f>
        <v>0</v>
      </c>
      <c r="I293" s="20" t="str">
        <f>IF(ISERROR(VLOOKUP(A293,Report!A:D,2,FALSE)),"NOT FOUND",VLOOKUP(A293,Report!A:D,2,FALSE))</f>
        <v>05-12-2025</v>
      </c>
      <c r="J293" s="53"/>
      <c r="K293" s="56">
        <f t="shared" si="12"/>
        <v>12</v>
      </c>
      <c r="L293" s="56">
        <f t="shared" si="13"/>
        <v>2025</v>
      </c>
      <c r="N293" s="50"/>
    </row>
    <row r="294" spans="1:14">
      <c r="A294" s="31" t="s">
        <v>3873</v>
      </c>
      <c r="B294" s="11"/>
      <c r="C294" s="38">
        <v>45992</v>
      </c>
      <c r="D294" s="37">
        <v>62</v>
      </c>
      <c r="E294" s="32" t="s">
        <v>33</v>
      </c>
      <c r="F294" s="11" t="str">
        <f t="shared" si="14"/>
        <v>Accepted</v>
      </c>
      <c r="G294" s="19">
        <f>IF(ISERROR(VLOOKUP(A294,Report!A:D,3,FALSE)),"NOT FOUND",VLOOKUP(A294,Report!A:D,3,FALSE))</f>
        <v>61.95</v>
      </c>
      <c r="H294" s="19">
        <f>IF(ISERROR(VLOOKUP(A294,Report!A:D,4,FALSE)),"NOT FOUND",VLOOKUP(A294,Report!A:D,4,FALSE))</f>
        <v>0</v>
      </c>
      <c r="I294" s="20" t="str">
        <f>IF(ISERROR(VLOOKUP(A294,Report!A:D,2,FALSE)),"NOT FOUND",VLOOKUP(A294,Report!A:D,2,FALSE))</f>
        <v>05-12-2025</v>
      </c>
      <c r="J294" s="53"/>
      <c r="K294" s="56">
        <f t="shared" si="12"/>
        <v>12</v>
      </c>
      <c r="L294" s="56">
        <f t="shared" si="13"/>
        <v>2025</v>
      </c>
      <c r="N294" s="50"/>
    </row>
    <row r="295" spans="1:14">
      <c r="A295" s="31" t="s">
        <v>3874</v>
      </c>
      <c r="B295" s="11"/>
      <c r="C295" s="38">
        <v>45992</v>
      </c>
      <c r="D295" s="37">
        <v>62</v>
      </c>
      <c r="E295" s="32" t="s">
        <v>33</v>
      </c>
      <c r="F295" s="11" t="str">
        <f t="shared" si="14"/>
        <v>Accepted</v>
      </c>
      <c r="G295" s="19">
        <f>IF(ISERROR(VLOOKUP(A295,Report!A:D,3,FALSE)),"NOT FOUND",VLOOKUP(A295,Report!A:D,3,FALSE))</f>
        <v>61.95</v>
      </c>
      <c r="H295" s="19">
        <f>IF(ISERROR(VLOOKUP(A295,Report!A:D,4,FALSE)),"NOT FOUND",VLOOKUP(A295,Report!A:D,4,FALSE))</f>
        <v>0</v>
      </c>
      <c r="I295" s="20" t="str">
        <f>IF(ISERROR(VLOOKUP(A295,Report!A:D,2,FALSE)),"NOT FOUND",VLOOKUP(A295,Report!A:D,2,FALSE))</f>
        <v>05-12-2025</v>
      </c>
      <c r="J295" s="53"/>
      <c r="K295" s="56">
        <f t="shared" si="12"/>
        <v>12</v>
      </c>
      <c r="L295" s="56">
        <f t="shared" si="13"/>
        <v>2025</v>
      </c>
      <c r="N295" s="50"/>
    </row>
    <row r="296" spans="1:14">
      <c r="A296" s="31" t="s">
        <v>3875</v>
      </c>
      <c r="B296" s="11"/>
      <c r="C296" s="38">
        <v>45992</v>
      </c>
      <c r="D296" s="37">
        <v>62</v>
      </c>
      <c r="E296" s="32" t="s">
        <v>33</v>
      </c>
      <c r="F296" s="11" t="str">
        <f t="shared" si="14"/>
        <v>Accepted</v>
      </c>
      <c r="G296" s="19">
        <f>IF(ISERROR(VLOOKUP(A296,Report!A:D,3,FALSE)),"NOT FOUND",VLOOKUP(A296,Report!A:D,3,FALSE))</f>
        <v>61.95</v>
      </c>
      <c r="H296" s="19">
        <f>IF(ISERROR(VLOOKUP(A296,Report!A:D,4,FALSE)),"NOT FOUND",VLOOKUP(A296,Report!A:D,4,FALSE))</f>
        <v>0</v>
      </c>
      <c r="I296" s="20" t="str">
        <f>IF(ISERROR(VLOOKUP(A296,Report!A:D,2,FALSE)),"NOT FOUND",VLOOKUP(A296,Report!A:D,2,FALSE))</f>
        <v>05-12-2025</v>
      </c>
      <c r="J296" s="53"/>
      <c r="K296" s="56">
        <f t="shared" si="12"/>
        <v>12</v>
      </c>
      <c r="L296" s="56">
        <f t="shared" si="13"/>
        <v>2025</v>
      </c>
      <c r="N296" s="50"/>
    </row>
    <row r="297" spans="1:14">
      <c r="A297" s="31" t="s">
        <v>3876</v>
      </c>
      <c r="B297" s="11"/>
      <c r="C297" s="38">
        <v>45992</v>
      </c>
      <c r="D297" s="37">
        <v>62</v>
      </c>
      <c r="E297" s="32" t="s">
        <v>33</v>
      </c>
      <c r="F297" s="11" t="str">
        <f t="shared" si="14"/>
        <v>Accepted</v>
      </c>
      <c r="G297" s="19">
        <f>IF(ISERROR(VLOOKUP(A297,Report!A:D,3,FALSE)),"NOT FOUND",VLOOKUP(A297,Report!A:D,3,FALSE))</f>
        <v>61.95</v>
      </c>
      <c r="H297" s="19">
        <f>IF(ISERROR(VLOOKUP(A297,Report!A:D,4,FALSE)),"NOT FOUND",VLOOKUP(A297,Report!A:D,4,FALSE))</f>
        <v>0</v>
      </c>
      <c r="I297" s="20" t="str">
        <f>IF(ISERROR(VLOOKUP(A297,Report!A:D,2,FALSE)),"NOT FOUND",VLOOKUP(A297,Report!A:D,2,FALSE))</f>
        <v>05-12-2025</v>
      </c>
      <c r="J297" s="53"/>
      <c r="K297" s="56">
        <f t="shared" si="12"/>
        <v>12</v>
      </c>
      <c r="L297" s="56">
        <f t="shared" si="13"/>
        <v>2025</v>
      </c>
      <c r="N297" s="50"/>
    </row>
    <row r="298" spans="1:14">
      <c r="A298" s="31" t="s">
        <v>3877</v>
      </c>
      <c r="B298" s="11"/>
      <c r="C298" s="38">
        <v>45992</v>
      </c>
      <c r="D298" s="37">
        <v>62</v>
      </c>
      <c r="E298" s="32" t="s">
        <v>33</v>
      </c>
      <c r="F298" s="11" t="str">
        <f t="shared" si="14"/>
        <v>Accepted</v>
      </c>
      <c r="G298" s="19">
        <f>IF(ISERROR(VLOOKUP(A298,Report!A:D,3,FALSE)),"NOT FOUND",VLOOKUP(A298,Report!A:D,3,FALSE))</f>
        <v>61.95</v>
      </c>
      <c r="H298" s="19">
        <f>IF(ISERROR(VLOOKUP(A298,Report!A:D,4,FALSE)),"NOT FOUND",VLOOKUP(A298,Report!A:D,4,FALSE))</f>
        <v>0</v>
      </c>
      <c r="I298" s="20" t="str">
        <f>IF(ISERROR(VLOOKUP(A298,Report!A:D,2,FALSE)),"NOT FOUND",VLOOKUP(A298,Report!A:D,2,FALSE))</f>
        <v>05-12-2025</v>
      </c>
      <c r="J298" s="53"/>
      <c r="K298" s="56">
        <f t="shared" si="12"/>
        <v>12</v>
      </c>
      <c r="L298" s="56">
        <f t="shared" si="13"/>
        <v>2025</v>
      </c>
      <c r="N298" s="50"/>
    </row>
    <row r="299" spans="1:14">
      <c r="A299" s="31" t="s">
        <v>3878</v>
      </c>
      <c r="B299" s="11"/>
      <c r="C299" s="38">
        <v>45992</v>
      </c>
      <c r="D299" s="37">
        <v>62</v>
      </c>
      <c r="E299" s="32" t="s">
        <v>33</v>
      </c>
      <c r="F299" s="11" t="str">
        <f t="shared" si="14"/>
        <v>Accepted</v>
      </c>
      <c r="G299" s="19">
        <f>IF(ISERROR(VLOOKUP(A299,Report!A:D,3,FALSE)),"NOT FOUND",VLOOKUP(A299,Report!A:D,3,FALSE))</f>
        <v>61.95</v>
      </c>
      <c r="H299" s="19">
        <f>IF(ISERROR(VLOOKUP(A299,Report!A:D,4,FALSE)),"NOT FOUND",VLOOKUP(A299,Report!A:D,4,FALSE))</f>
        <v>0</v>
      </c>
      <c r="I299" s="20" t="str">
        <f>IF(ISERROR(VLOOKUP(A299,Report!A:D,2,FALSE)),"NOT FOUND",VLOOKUP(A299,Report!A:D,2,FALSE))</f>
        <v>05-12-2025</v>
      </c>
      <c r="J299" s="53"/>
      <c r="K299" s="56">
        <f t="shared" si="12"/>
        <v>12</v>
      </c>
      <c r="L299" s="56">
        <f t="shared" si="13"/>
        <v>2025</v>
      </c>
      <c r="N299" s="50"/>
    </row>
    <row r="300" spans="1:14">
      <c r="A300" s="31" t="s">
        <v>3879</v>
      </c>
      <c r="B300" s="11"/>
      <c r="C300" s="38">
        <v>45992</v>
      </c>
      <c r="D300" s="37">
        <v>62</v>
      </c>
      <c r="E300" s="32" t="s">
        <v>33</v>
      </c>
      <c r="F300" s="11" t="str">
        <f t="shared" si="14"/>
        <v>Accepted</v>
      </c>
      <c r="G300" s="19">
        <f>IF(ISERROR(VLOOKUP(A300,Report!A:D,3,FALSE)),"NOT FOUND",VLOOKUP(A300,Report!A:D,3,FALSE))</f>
        <v>61.95</v>
      </c>
      <c r="H300" s="19">
        <f>IF(ISERROR(VLOOKUP(A300,Report!A:D,4,FALSE)),"NOT FOUND",VLOOKUP(A300,Report!A:D,4,FALSE))</f>
        <v>0</v>
      </c>
      <c r="I300" s="20" t="str">
        <f>IF(ISERROR(VLOOKUP(A300,Report!A:D,2,FALSE)),"NOT FOUND",VLOOKUP(A300,Report!A:D,2,FALSE))</f>
        <v>05-12-2025</v>
      </c>
      <c r="J300" s="53"/>
      <c r="K300" s="56">
        <f t="shared" si="12"/>
        <v>12</v>
      </c>
      <c r="L300" s="56">
        <f t="shared" si="13"/>
        <v>2025</v>
      </c>
      <c r="N300" s="50"/>
    </row>
    <row r="301" spans="1:14">
      <c r="A301" s="31" t="s">
        <v>3880</v>
      </c>
      <c r="B301" s="11"/>
      <c r="C301" s="38">
        <v>45992</v>
      </c>
      <c r="D301" s="37">
        <v>62</v>
      </c>
      <c r="E301" s="32" t="s">
        <v>33</v>
      </c>
      <c r="F301" s="11" t="str">
        <f t="shared" si="14"/>
        <v>Accepted</v>
      </c>
      <c r="G301" s="19">
        <f>IF(ISERROR(VLOOKUP(A301,Report!A:D,3,FALSE)),"NOT FOUND",VLOOKUP(A301,Report!A:D,3,FALSE))</f>
        <v>61.95</v>
      </c>
      <c r="H301" s="19">
        <f>IF(ISERROR(VLOOKUP(A301,Report!A:D,4,FALSE)),"NOT FOUND",VLOOKUP(A301,Report!A:D,4,FALSE))</f>
        <v>0</v>
      </c>
      <c r="I301" s="20" t="str">
        <f>IF(ISERROR(VLOOKUP(A301,Report!A:D,2,FALSE)),"NOT FOUND",VLOOKUP(A301,Report!A:D,2,FALSE))</f>
        <v>05-12-2025</v>
      </c>
      <c r="J301" s="53"/>
      <c r="K301" s="56">
        <f t="shared" si="12"/>
        <v>12</v>
      </c>
      <c r="L301" s="56">
        <f t="shared" si="13"/>
        <v>2025</v>
      </c>
      <c r="N301" s="50"/>
    </row>
    <row r="302" spans="1:14">
      <c r="A302" s="31" t="s">
        <v>3881</v>
      </c>
      <c r="B302" s="11"/>
      <c r="C302" s="38">
        <v>45992</v>
      </c>
      <c r="D302" s="37">
        <v>62</v>
      </c>
      <c r="E302" s="32" t="s">
        <v>33</v>
      </c>
      <c r="F302" s="11" t="str">
        <f t="shared" si="14"/>
        <v>Accepted</v>
      </c>
      <c r="G302" s="19">
        <f>IF(ISERROR(VLOOKUP(A302,Report!A:D,3,FALSE)),"NOT FOUND",VLOOKUP(A302,Report!A:D,3,FALSE))</f>
        <v>61.95</v>
      </c>
      <c r="H302" s="19">
        <f>IF(ISERROR(VLOOKUP(A302,Report!A:D,4,FALSE)),"NOT FOUND",VLOOKUP(A302,Report!A:D,4,FALSE))</f>
        <v>0</v>
      </c>
      <c r="I302" s="20" t="str">
        <f>IF(ISERROR(VLOOKUP(A302,Report!A:D,2,FALSE)),"NOT FOUND",VLOOKUP(A302,Report!A:D,2,FALSE))</f>
        <v>05-12-2025</v>
      </c>
      <c r="J302" s="53"/>
      <c r="K302" s="56">
        <f t="shared" si="12"/>
        <v>12</v>
      </c>
      <c r="L302" s="56">
        <f t="shared" si="13"/>
        <v>2025</v>
      </c>
      <c r="N302" s="50"/>
    </row>
    <row r="303" spans="1:14">
      <c r="A303" s="31" t="s">
        <v>3882</v>
      </c>
      <c r="B303" s="11"/>
      <c r="C303" s="38">
        <v>45992</v>
      </c>
      <c r="D303" s="37">
        <v>62</v>
      </c>
      <c r="E303" s="32" t="s">
        <v>33</v>
      </c>
      <c r="F303" s="11" t="str">
        <f t="shared" si="14"/>
        <v>Accepted</v>
      </c>
      <c r="G303" s="19">
        <f>IF(ISERROR(VLOOKUP(A303,Report!A:D,3,FALSE)),"NOT FOUND",VLOOKUP(A303,Report!A:D,3,FALSE))</f>
        <v>61.95</v>
      </c>
      <c r="H303" s="19">
        <f>IF(ISERROR(VLOOKUP(A303,Report!A:D,4,FALSE)),"NOT FOUND",VLOOKUP(A303,Report!A:D,4,FALSE))</f>
        <v>0</v>
      </c>
      <c r="I303" s="20" t="str">
        <f>IF(ISERROR(VLOOKUP(A303,Report!A:D,2,FALSE)),"NOT FOUND",VLOOKUP(A303,Report!A:D,2,FALSE))</f>
        <v>05-12-2025</v>
      </c>
      <c r="J303" s="53"/>
      <c r="K303" s="56">
        <f t="shared" si="12"/>
        <v>12</v>
      </c>
      <c r="L303" s="56">
        <f t="shared" si="13"/>
        <v>2025</v>
      </c>
      <c r="N303" s="50"/>
    </row>
    <row r="304" spans="1:14">
      <c r="A304" s="31" t="s">
        <v>3883</v>
      </c>
      <c r="B304" s="11"/>
      <c r="C304" s="38">
        <v>45992</v>
      </c>
      <c r="D304" s="37">
        <v>62</v>
      </c>
      <c r="E304" s="32" t="s">
        <v>33</v>
      </c>
      <c r="F304" s="11" t="str">
        <f t="shared" si="14"/>
        <v>Accepted</v>
      </c>
      <c r="G304" s="19">
        <f>IF(ISERROR(VLOOKUP(A304,Report!A:D,3,FALSE)),"NOT FOUND",VLOOKUP(A304,Report!A:D,3,FALSE))</f>
        <v>61.95</v>
      </c>
      <c r="H304" s="19">
        <f>IF(ISERROR(VLOOKUP(A304,Report!A:D,4,FALSE)),"NOT FOUND",VLOOKUP(A304,Report!A:D,4,FALSE))</f>
        <v>0</v>
      </c>
      <c r="I304" s="20" t="str">
        <f>IF(ISERROR(VLOOKUP(A304,Report!A:D,2,FALSE)),"NOT FOUND",VLOOKUP(A304,Report!A:D,2,FALSE))</f>
        <v>05-12-2025</v>
      </c>
      <c r="J304" s="53"/>
      <c r="K304" s="56">
        <f t="shared" si="12"/>
        <v>12</v>
      </c>
      <c r="L304" s="56">
        <f t="shared" si="13"/>
        <v>2025</v>
      </c>
      <c r="N304" s="50"/>
    </row>
    <row r="305" spans="1:14">
      <c r="A305" s="31" t="s">
        <v>3884</v>
      </c>
      <c r="B305" s="22"/>
      <c r="C305" s="38">
        <v>45992</v>
      </c>
      <c r="D305" s="37">
        <v>62</v>
      </c>
      <c r="E305" s="32" t="s">
        <v>33</v>
      </c>
      <c r="F305" s="11" t="str">
        <f t="shared" si="14"/>
        <v>Accepted</v>
      </c>
      <c r="G305" s="19">
        <f>IF(ISERROR(VLOOKUP(A305,Report!A:D,3,FALSE)),"NOT FOUND",VLOOKUP(A305,Report!A:D,3,FALSE))</f>
        <v>61.95</v>
      </c>
      <c r="H305" s="19">
        <f>IF(ISERROR(VLOOKUP(A305,Report!A:D,4,FALSE)),"NOT FOUND",VLOOKUP(A305,Report!A:D,4,FALSE))</f>
        <v>0</v>
      </c>
      <c r="I305" s="20" t="str">
        <f>IF(ISERROR(VLOOKUP(A305,Report!A:D,2,FALSE)),"NOT FOUND",VLOOKUP(A305,Report!A:D,2,FALSE))</f>
        <v>05-12-2025</v>
      </c>
      <c r="J305" s="53"/>
      <c r="K305" s="56">
        <f t="shared" si="12"/>
        <v>12</v>
      </c>
      <c r="L305" s="56">
        <f t="shared" si="13"/>
        <v>2025</v>
      </c>
      <c r="N305" s="50"/>
    </row>
    <row r="306" spans="1:14">
      <c r="A306" s="31" t="s">
        <v>3885</v>
      </c>
      <c r="B306" s="22"/>
      <c r="C306" s="38">
        <v>45992</v>
      </c>
      <c r="D306" s="37">
        <v>62</v>
      </c>
      <c r="E306" s="32" t="s">
        <v>33</v>
      </c>
      <c r="F306" s="11" t="str">
        <f t="shared" si="14"/>
        <v>Accepted</v>
      </c>
      <c r="G306" s="19">
        <f>IF(ISERROR(VLOOKUP(A306,Report!A:D,3,FALSE)),"NOT FOUND",VLOOKUP(A306,Report!A:D,3,FALSE))</f>
        <v>61.95</v>
      </c>
      <c r="H306" s="19">
        <f>IF(ISERROR(VLOOKUP(A306,Report!A:D,4,FALSE)),"NOT FOUND",VLOOKUP(A306,Report!A:D,4,FALSE))</f>
        <v>0</v>
      </c>
      <c r="I306" s="20" t="str">
        <f>IF(ISERROR(VLOOKUP(A306,Report!A:D,2,FALSE)),"NOT FOUND",VLOOKUP(A306,Report!A:D,2,FALSE))</f>
        <v>05-12-2025</v>
      </c>
      <c r="J306" s="53"/>
      <c r="K306" s="56">
        <f t="shared" si="12"/>
        <v>12</v>
      </c>
      <c r="L306" s="56">
        <f t="shared" si="13"/>
        <v>2025</v>
      </c>
      <c r="N306" s="50"/>
    </row>
    <row r="307" spans="1:14">
      <c r="A307" s="31" t="s">
        <v>3886</v>
      </c>
      <c r="B307" s="22"/>
      <c r="C307" s="38">
        <v>45992</v>
      </c>
      <c r="D307" s="37">
        <v>62</v>
      </c>
      <c r="E307" s="32" t="s">
        <v>33</v>
      </c>
      <c r="F307" s="11" t="str">
        <f t="shared" si="14"/>
        <v>Accepted</v>
      </c>
      <c r="G307" s="19">
        <f>IF(ISERROR(VLOOKUP(A307,Report!A:D,3,FALSE)),"NOT FOUND",VLOOKUP(A307,Report!A:D,3,FALSE))</f>
        <v>61.95</v>
      </c>
      <c r="H307" s="19">
        <f>IF(ISERROR(VLOOKUP(A307,Report!A:D,4,FALSE)),"NOT FOUND",VLOOKUP(A307,Report!A:D,4,FALSE))</f>
        <v>0</v>
      </c>
      <c r="I307" s="20" t="str">
        <f>IF(ISERROR(VLOOKUP(A307,Report!A:D,2,FALSE)),"NOT FOUND",VLOOKUP(A307,Report!A:D,2,FALSE))</f>
        <v>05-12-2025</v>
      </c>
      <c r="J307" s="53"/>
      <c r="K307" s="56">
        <f t="shared" si="12"/>
        <v>12</v>
      </c>
      <c r="L307" s="56">
        <f t="shared" si="13"/>
        <v>2025</v>
      </c>
      <c r="N307" s="50"/>
    </row>
    <row r="308" spans="1:14">
      <c r="A308" s="31" t="s">
        <v>3887</v>
      </c>
      <c r="B308" s="22"/>
      <c r="C308" s="38">
        <v>45992</v>
      </c>
      <c r="D308" s="37">
        <v>62</v>
      </c>
      <c r="E308" s="32" t="s">
        <v>33</v>
      </c>
      <c r="F308" s="11" t="str">
        <f t="shared" si="14"/>
        <v>Accepted</v>
      </c>
      <c r="G308" s="19">
        <f>IF(ISERROR(VLOOKUP(A308,Report!A:D,3,FALSE)),"NOT FOUND",VLOOKUP(A308,Report!A:D,3,FALSE))</f>
        <v>61.95</v>
      </c>
      <c r="H308" s="19">
        <f>IF(ISERROR(VLOOKUP(A308,Report!A:D,4,FALSE)),"NOT FOUND",VLOOKUP(A308,Report!A:D,4,FALSE))</f>
        <v>0</v>
      </c>
      <c r="I308" s="20" t="str">
        <f>IF(ISERROR(VLOOKUP(A308,Report!A:D,2,FALSE)),"NOT FOUND",VLOOKUP(A308,Report!A:D,2,FALSE))</f>
        <v>17-12-2025</v>
      </c>
      <c r="J308" s="53"/>
      <c r="K308" s="56">
        <f t="shared" si="12"/>
        <v>12</v>
      </c>
      <c r="L308" s="56">
        <f t="shared" si="13"/>
        <v>2025</v>
      </c>
      <c r="N308" s="50"/>
    </row>
    <row r="309" spans="1:14">
      <c r="A309" s="31" t="s">
        <v>3888</v>
      </c>
      <c r="B309" s="22"/>
      <c r="C309" s="38">
        <v>45992</v>
      </c>
      <c r="D309" s="37">
        <v>62</v>
      </c>
      <c r="E309" s="32" t="s">
        <v>33</v>
      </c>
      <c r="F309" s="11" t="str">
        <f t="shared" si="14"/>
        <v>Accepted</v>
      </c>
      <c r="G309" s="19">
        <f>IF(ISERROR(VLOOKUP(A309,Report!A:D,3,FALSE)),"NOT FOUND",VLOOKUP(A309,Report!A:D,3,FALSE))</f>
        <v>61.95</v>
      </c>
      <c r="H309" s="19">
        <f>IF(ISERROR(VLOOKUP(A309,Report!A:D,4,FALSE)),"NOT FOUND",VLOOKUP(A309,Report!A:D,4,FALSE))</f>
        <v>0</v>
      </c>
      <c r="I309" s="20" t="str">
        <f>IF(ISERROR(VLOOKUP(A309,Report!A:D,2,FALSE)),"NOT FOUND",VLOOKUP(A309,Report!A:D,2,FALSE))</f>
        <v>17-12-2025</v>
      </c>
      <c r="J309" s="53"/>
      <c r="K309" s="56">
        <f t="shared" si="12"/>
        <v>12</v>
      </c>
      <c r="L309" s="56">
        <f t="shared" si="13"/>
        <v>2025</v>
      </c>
      <c r="N309" s="50"/>
    </row>
    <row r="310" spans="1:14">
      <c r="A310" s="31" t="s">
        <v>3889</v>
      </c>
      <c r="B310" s="22"/>
      <c r="C310" s="38">
        <v>45992</v>
      </c>
      <c r="D310" s="37">
        <v>62</v>
      </c>
      <c r="E310" s="32" t="s">
        <v>33</v>
      </c>
      <c r="F310" s="11" t="str">
        <f t="shared" si="14"/>
        <v>Accepted</v>
      </c>
      <c r="G310" s="19">
        <f>IF(ISERROR(VLOOKUP(A310,Report!A:D,3,FALSE)),"NOT FOUND",VLOOKUP(A310,Report!A:D,3,FALSE))</f>
        <v>61.95</v>
      </c>
      <c r="H310" s="19">
        <f>IF(ISERROR(VLOOKUP(A310,Report!A:D,4,FALSE)),"NOT FOUND",VLOOKUP(A310,Report!A:D,4,FALSE))</f>
        <v>0</v>
      </c>
      <c r="I310" s="20" t="str">
        <f>IF(ISERROR(VLOOKUP(A310,Report!A:D,2,FALSE)),"NOT FOUND",VLOOKUP(A310,Report!A:D,2,FALSE))</f>
        <v>17-12-2025</v>
      </c>
      <c r="J310" s="53"/>
      <c r="K310" s="56">
        <f t="shared" si="12"/>
        <v>12</v>
      </c>
      <c r="L310" s="56">
        <f t="shared" si="13"/>
        <v>2025</v>
      </c>
      <c r="N310" s="50"/>
    </row>
    <row r="311" spans="1:14">
      <c r="A311" s="31" t="s">
        <v>3890</v>
      </c>
      <c r="B311" s="22"/>
      <c r="C311" s="38">
        <v>45992</v>
      </c>
      <c r="D311" s="37">
        <v>103</v>
      </c>
      <c r="E311" s="32" t="s">
        <v>33</v>
      </c>
      <c r="F311" s="11" t="str">
        <f t="shared" si="14"/>
        <v>Accepted</v>
      </c>
      <c r="G311" s="19">
        <f>IF(ISERROR(VLOOKUP(A311,Report!A:D,3,FALSE)),"NOT FOUND",VLOOKUP(A311,Report!A:D,3,FALSE))</f>
        <v>103.25</v>
      </c>
      <c r="H311" s="19">
        <f>IF(ISERROR(VLOOKUP(A311,Report!A:D,4,FALSE)),"NOT FOUND",VLOOKUP(A311,Report!A:D,4,FALSE))</f>
        <v>0</v>
      </c>
      <c r="I311" s="20" t="str">
        <f>IF(ISERROR(VLOOKUP(A311,Report!A:D,2,FALSE)),"NOT FOUND",VLOOKUP(A311,Report!A:D,2,FALSE))</f>
        <v>17-12-2025</v>
      </c>
      <c r="J311" s="53"/>
      <c r="K311" s="56">
        <f t="shared" si="12"/>
        <v>12</v>
      </c>
      <c r="L311" s="56">
        <f t="shared" si="13"/>
        <v>2025</v>
      </c>
      <c r="N311" s="50"/>
    </row>
    <row r="312" spans="1:14">
      <c r="A312" s="31" t="s">
        <v>3891</v>
      </c>
      <c r="B312" s="22"/>
      <c r="C312" s="38">
        <v>45992</v>
      </c>
      <c r="D312" s="37">
        <v>103</v>
      </c>
      <c r="E312" s="32" t="s">
        <v>33</v>
      </c>
      <c r="F312" s="11" t="str">
        <f t="shared" si="14"/>
        <v>Accepted</v>
      </c>
      <c r="G312" s="19">
        <f>IF(ISERROR(VLOOKUP(A312,Report!A:D,3,FALSE)),"NOT FOUND",VLOOKUP(A312,Report!A:D,3,FALSE))</f>
        <v>103.25</v>
      </c>
      <c r="H312" s="19">
        <f>IF(ISERROR(VLOOKUP(A312,Report!A:D,4,FALSE)),"NOT FOUND",VLOOKUP(A312,Report!A:D,4,FALSE))</f>
        <v>0</v>
      </c>
      <c r="I312" s="20" t="str">
        <f>IF(ISERROR(VLOOKUP(A312,Report!A:D,2,FALSE)),"NOT FOUND",VLOOKUP(A312,Report!A:D,2,FALSE))</f>
        <v>17-12-2025</v>
      </c>
      <c r="J312" s="53"/>
      <c r="K312" s="56">
        <f t="shared" si="12"/>
        <v>12</v>
      </c>
      <c r="L312" s="56">
        <f t="shared" si="13"/>
        <v>2025</v>
      </c>
      <c r="N312" s="50"/>
    </row>
    <row r="313" spans="1:14">
      <c r="A313" s="31" t="s">
        <v>3892</v>
      </c>
      <c r="B313" s="22"/>
      <c r="C313" s="38">
        <v>45992</v>
      </c>
      <c r="D313" s="37">
        <v>103</v>
      </c>
      <c r="E313" s="32" t="s">
        <v>33</v>
      </c>
      <c r="F313" s="11" t="str">
        <f t="shared" si="14"/>
        <v>Accepted</v>
      </c>
      <c r="G313" s="19">
        <f>IF(ISERROR(VLOOKUP(A313,Report!A:D,3,FALSE)),"NOT FOUND",VLOOKUP(A313,Report!A:D,3,FALSE))</f>
        <v>103.25</v>
      </c>
      <c r="H313" s="19">
        <f>IF(ISERROR(VLOOKUP(A313,Report!A:D,4,FALSE)),"NOT FOUND",VLOOKUP(A313,Report!A:D,4,FALSE))</f>
        <v>0</v>
      </c>
      <c r="I313" s="20" t="str">
        <f>IF(ISERROR(VLOOKUP(A313,Report!A:D,2,FALSE)),"NOT FOUND",VLOOKUP(A313,Report!A:D,2,FALSE))</f>
        <v>17-12-2025</v>
      </c>
      <c r="J313" s="53"/>
      <c r="K313" s="56">
        <f t="shared" si="12"/>
        <v>12</v>
      </c>
      <c r="L313" s="56">
        <f t="shared" si="13"/>
        <v>2025</v>
      </c>
      <c r="N313" s="50"/>
    </row>
    <row r="314" spans="1:14">
      <c r="A314" s="31" t="s">
        <v>3893</v>
      </c>
      <c r="B314" s="22"/>
      <c r="C314" s="38">
        <v>45992</v>
      </c>
      <c r="D314" s="37">
        <v>103</v>
      </c>
      <c r="E314" s="32" t="s">
        <v>33</v>
      </c>
      <c r="F314" s="11" t="str">
        <f t="shared" si="14"/>
        <v>Accepted</v>
      </c>
      <c r="G314" s="19">
        <f>IF(ISERROR(VLOOKUP(A314,Report!A:D,3,FALSE)),"NOT FOUND",VLOOKUP(A314,Report!A:D,3,FALSE))</f>
        <v>103.25</v>
      </c>
      <c r="H314" s="19">
        <f>IF(ISERROR(VLOOKUP(A314,Report!A:D,4,FALSE)),"NOT FOUND",VLOOKUP(A314,Report!A:D,4,FALSE))</f>
        <v>0</v>
      </c>
      <c r="I314" s="20" t="str">
        <f>IF(ISERROR(VLOOKUP(A314,Report!A:D,2,FALSE)),"NOT FOUND",VLOOKUP(A314,Report!A:D,2,FALSE))</f>
        <v>17-12-2025</v>
      </c>
      <c r="J314" s="53"/>
      <c r="K314" s="56">
        <f t="shared" si="12"/>
        <v>12</v>
      </c>
      <c r="L314" s="56">
        <f t="shared" si="13"/>
        <v>2025</v>
      </c>
      <c r="N314" s="50"/>
    </row>
    <row r="315" spans="1:14">
      <c r="A315" s="31" t="s">
        <v>3894</v>
      </c>
      <c r="B315" s="22"/>
      <c r="C315" s="38">
        <v>45992</v>
      </c>
      <c r="D315" s="37">
        <v>103</v>
      </c>
      <c r="E315" s="32" t="s">
        <v>33</v>
      </c>
      <c r="F315" s="11" t="str">
        <f t="shared" si="14"/>
        <v>Accepted</v>
      </c>
      <c r="G315" s="19">
        <f>IF(ISERROR(VLOOKUP(A315,Report!A:D,3,FALSE)),"NOT FOUND",VLOOKUP(A315,Report!A:D,3,FALSE))</f>
        <v>103.25</v>
      </c>
      <c r="H315" s="19">
        <f>IF(ISERROR(VLOOKUP(A315,Report!A:D,4,FALSE)),"NOT FOUND",VLOOKUP(A315,Report!A:D,4,FALSE))</f>
        <v>0</v>
      </c>
      <c r="I315" s="20" t="str">
        <f>IF(ISERROR(VLOOKUP(A315,Report!A:D,2,FALSE)),"NOT FOUND",VLOOKUP(A315,Report!A:D,2,FALSE))</f>
        <v>17-12-2025</v>
      </c>
      <c r="J315" s="53"/>
      <c r="K315" s="56">
        <f t="shared" si="12"/>
        <v>12</v>
      </c>
      <c r="L315" s="56">
        <f t="shared" si="13"/>
        <v>2025</v>
      </c>
      <c r="N315" s="50"/>
    </row>
    <row r="316" spans="1:14">
      <c r="A316" s="31" t="s">
        <v>3895</v>
      </c>
      <c r="B316" s="22"/>
      <c r="C316" s="38">
        <v>45992</v>
      </c>
      <c r="D316" s="37">
        <v>103</v>
      </c>
      <c r="E316" s="32" t="s">
        <v>33</v>
      </c>
      <c r="F316" s="11" t="str">
        <f t="shared" si="14"/>
        <v>Accepted</v>
      </c>
      <c r="G316" s="19">
        <f>IF(ISERROR(VLOOKUP(A316,Report!A:D,3,FALSE)),"NOT FOUND",VLOOKUP(A316,Report!A:D,3,FALSE))</f>
        <v>103.25</v>
      </c>
      <c r="H316" s="19">
        <f>IF(ISERROR(VLOOKUP(A316,Report!A:D,4,FALSE)),"NOT FOUND",VLOOKUP(A316,Report!A:D,4,FALSE))</f>
        <v>0</v>
      </c>
      <c r="I316" s="20" t="str">
        <f>IF(ISERROR(VLOOKUP(A316,Report!A:D,2,FALSE)),"NOT FOUND",VLOOKUP(A316,Report!A:D,2,FALSE))</f>
        <v>17-12-2025</v>
      </c>
      <c r="J316" s="53"/>
      <c r="K316" s="56">
        <f t="shared" si="12"/>
        <v>12</v>
      </c>
      <c r="L316" s="56">
        <f t="shared" si="13"/>
        <v>2025</v>
      </c>
      <c r="N316" s="50"/>
    </row>
    <row r="317" spans="1:14">
      <c r="A317" s="31" t="s">
        <v>3896</v>
      </c>
      <c r="B317" s="22"/>
      <c r="C317" s="38">
        <v>45992</v>
      </c>
      <c r="D317" s="37">
        <v>103</v>
      </c>
      <c r="E317" s="32" t="s">
        <v>33</v>
      </c>
      <c r="F317" s="11" t="str">
        <f t="shared" si="14"/>
        <v>Accepted</v>
      </c>
      <c r="G317" s="19">
        <f>IF(ISERROR(VLOOKUP(A317,Report!A:D,3,FALSE)),"NOT FOUND",VLOOKUP(A317,Report!A:D,3,FALSE))</f>
        <v>103.25</v>
      </c>
      <c r="H317" s="19">
        <f>IF(ISERROR(VLOOKUP(A317,Report!A:D,4,FALSE)),"NOT FOUND",VLOOKUP(A317,Report!A:D,4,FALSE))</f>
        <v>0</v>
      </c>
      <c r="I317" s="20" t="str">
        <f>IF(ISERROR(VLOOKUP(A317,Report!A:D,2,FALSE)),"NOT FOUND",VLOOKUP(A317,Report!A:D,2,FALSE))</f>
        <v>17-12-2025</v>
      </c>
      <c r="J317" s="53"/>
      <c r="K317" s="56">
        <f t="shared" si="12"/>
        <v>12</v>
      </c>
      <c r="L317" s="56">
        <f t="shared" si="13"/>
        <v>2025</v>
      </c>
      <c r="N317" s="50"/>
    </row>
    <row r="318" spans="1:14">
      <c r="A318" s="31" t="s">
        <v>3897</v>
      </c>
      <c r="B318" s="22"/>
      <c r="C318" s="38">
        <v>45992</v>
      </c>
      <c r="D318" s="37">
        <v>103</v>
      </c>
      <c r="E318" s="32" t="s">
        <v>33</v>
      </c>
      <c r="F318" s="11" t="str">
        <f t="shared" si="14"/>
        <v>Accepted</v>
      </c>
      <c r="G318" s="19">
        <f>IF(ISERROR(VLOOKUP(A318,Report!A:D,3,FALSE)),"NOT FOUND",VLOOKUP(A318,Report!A:D,3,FALSE))</f>
        <v>103.25</v>
      </c>
      <c r="H318" s="19">
        <f>IF(ISERROR(VLOOKUP(A318,Report!A:D,4,FALSE)),"NOT FOUND",VLOOKUP(A318,Report!A:D,4,FALSE))</f>
        <v>0</v>
      </c>
      <c r="I318" s="20" t="str">
        <f>IF(ISERROR(VLOOKUP(A318,Report!A:D,2,FALSE)),"NOT FOUND",VLOOKUP(A318,Report!A:D,2,FALSE))</f>
        <v>17-12-2025</v>
      </c>
      <c r="J318" s="53"/>
      <c r="K318" s="56">
        <f t="shared" ref="K318:K381" si="15">MONTH(C318)</f>
        <v>12</v>
      </c>
      <c r="L318" s="56">
        <f t="shared" ref="L318:L381" si="16">YEAR(C318)</f>
        <v>2025</v>
      </c>
      <c r="N318" s="50"/>
    </row>
    <row r="319" spans="1:14">
      <c r="A319" s="31" t="s">
        <v>3898</v>
      </c>
      <c r="B319" s="22"/>
      <c r="C319" s="38">
        <v>45992</v>
      </c>
      <c r="D319" s="37">
        <v>103</v>
      </c>
      <c r="E319" s="32" t="s">
        <v>33</v>
      </c>
      <c r="F319" s="11" t="str">
        <f t="shared" si="14"/>
        <v>Accepted</v>
      </c>
      <c r="G319" s="19">
        <f>IF(ISERROR(VLOOKUP(A319,Report!A:D,3,FALSE)),"NOT FOUND",VLOOKUP(A319,Report!A:D,3,FALSE))</f>
        <v>103.25</v>
      </c>
      <c r="H319" s="19">
        <f>IF(ISERROR(VLOOKUP(A319,Report!A:D,4,FALSE)),"NOT FOUND",VLOOKUP(A319,Report!A:D,4,FALSE))</f>
        <v>0</v>
      </c>
      <c r="I319" s="20" t="str">
        <f>IF(ISERROR(VLOOKUP(A319,Report!A:D,2,FALSE)),"NOT FOUND",VLOOKUP(A319,Report!A:D,2,FALSE))</f>
        <v>17-12-2025</v>
      </c>
      <c r="J319" s="53"/>
      <c r="K319" s="56">
        <f t="shared" si="15"/>
        <v>12</v>
      </c>
      <c r="L319" s="56">
        <f t="shared" si="16"/>
        <v>2025</v>
      </c>
      <c r="N319" s="50"/>
    </row>
    <row r="320" spans="1:14">
      <c r="A320" s="31" t="s">
        <v>3899</v>
      </c>
      <c r="B320" s="22"/>
      <c r="C320" s="38">
        <v>45992</v>
      </c>
      <c r="D320" s="37">
        <v>103</v>
      </c>
      <c r="E320" s="32" t="s">
        <v>33</v>
      </c>
      <c r="F320" s="11" t="str">
        <f t="shared" ref="F320:F383" si="17">IF((D320-G320)&lt;10,"Accepted","Partial/Rejected")</f>
        <v>Accepted</v>
      </c>
      <c r="G320" s="19">
        <f>IF(ISERROR(VLOOKUP(A320,Report!A:D,3,FALSE)),"NOT FOUND",VLOOKUP(A320,Report!A:D,3,FALSE))</f>
        <v>103.25</v>
      </c>
      <c r="H320" s="19">
        <f>IF(ISERROR(VLOOKUP(A320,Report!A:D,4,FALSE)),"NOT FOUND",VLOOKUP(A320,Report!A:D,4,FALSE))</f>
        <v>0</v>
      </c>
      <c r="I320" s="20" t="str">
        <f>IF(ISERROR(VLOOKUP(A320,Report!A:D,2,FALSE)),"NOT FOUND",VLOOKUP(A320,Report!A:D,2,FALSE))</f>
        <v>17-12-2025</v>
      </c>
      <c r="J320" s="53"/>
      <c r="K320" s="56">
        <f t="shared" si="15"/>
        <v>12</v>
      </c>
      <c r="L320" s="56">
        <f t="shared" si="16"/>
        <v>2025</v>
      </c>
      <c r="N320" s="50"/>
    </row>
    <row r="321" spans="1:14">
      <c r="A321" s="31" t="s">
        <v>3900</v>
      </c>
      <c r="B321" s="22"/>
      <c r="C321" s="38">
        <v>45992</v>
      </c>
      <c r="D321" s="37">
        <v>103</v>
      </c>
      <c r="E321" s="32" t="s">
        <v>33</v>
      </c>
      <c r="F321" s="11" t="str">
        <f t="shared" si="17"/>
        <v>Accepted</v>
      </c>
      <c r="G321" s="19">
        <f>IF(ISERROR(VLOOKUP(A321,Report!A:D,3,FALSE)),"NOT FOUND",VLOOKUP(A321,Report!A:D,3,FALSE))</f>
        <v>103.25</v>
      </c>
      <c r="H321" s="19">
        <f>IF(ISERROR(VLOOKUP(A321,Report!A:D,4,FALSE)),"NOT FOUND",VLOOKUP(A321,Report!A:D,4,FALSE))</f>
        <v>0</v>
      </c>
      <c r="I321" s="20" t="str">
        <f>IF(ISERROR(VLOOKUP(A321,Report!A:D,2,FALSE)),"NOT FOUND",VLOOKUP(A321,Report!A:D,2,FALSE))</f>
        <v>17-12-2025</v>
      </c>
      <c r="J321" s="53"/>
      <c r="K321" s="56">
        <f t="shared" si="15"/>
        <v>12</v>
      </c>
      <c r="L321" s="56">
        <f t="shared" si="16"/>
        <v>2025</v>
      </c>
      <c r="N321" s="50"/>
    </row>
    <row r="322" spans="1:14">
      <c r="A322" s="31" t="s">
        <v>3901</v>
      </c>
      <c r="B322" s="22"/>
      <c r="C322" s="38">
        <v>45992</v>
      </c>
      <c r="D322" s="37">
        <v>103</v>
      </c>
      <c r="E322" s="32" t="s">
        <v>33</v>
      </c>
      <c r="F322" s="11" t="str">
        <f t="shared" si="17"/>
        <v>Accepted</v>
      </c>
      <c r="G322" s="19">
        <f>IF(ISERROR(VLOOKUP(A322,Report!A:D,3,FALSE)),"NOT FOUND",VLOOKUP(A322,Report!A:D,3,FALSE))</f>
        <v>103.25</v>
      </c>
      <c r="H322" s="19">
        <f>IF(ISERROR(VLOOKUP(A322,Report!A:D,4,FALSE)),"NOT FOUND",VLOOKUP(A322,Report!A:D,4,FALSE))</f>
        <v>0</v>
      </c>
      <c r="I322" s="20" t="str">
        <f>IF(ISERROR(VLOOKUP(A322,Report!A:D,2,FALSE)),"NOT FOUND",VLOOKUP(A322,Report!A:D,2,FALSE))</f>
        <v>17-12-2025</v>
      </c>
      <c r="J322" s="53"/>
      <c r="K322" s="56">
        <f t="shared" si="15"/>
        <v>12</v>
      </c>
      <c r="L322" s="56">
        <f t="shared" si="16"/>
        <v>2025</v>
      </c>
      <c r="N322" s="50"/>
    </row>
    <row r="323" spans="1:14">
      <c r="A323" s="31" t="s">
        <v>3902</v>
      </c>
      <c r="B323" s="22"/>
      <c r="C323" s="38">
        <v>45992</v>
      </c>
      <c r="D323" s="37">
        <v>103</v>
      </c>
      <c r="E323" s="32" t="s">
        <v>33</v>
      </c>
      <c r="F323" s="11" t="str">
        <f t="shared" si="17"/>
        <v>Accepted</v>
      </c>
      <c r="G323" s="19">
        <f>IF(ISERROR(VLOOKUP(A323,Report!A:D,3,FALSE)),"NOT FOUND",VLOOKUP(A323,Report!A:D,3,FALSE))</f>
        <v>103.25</v>
      </c>
      <c r="H323" s="19">
        <f>IF(ISERROR(VLOOKUP(A323,Report!A:D,4,FALSE)),"NOT FOUND",VLOOKUP(A323,Report!A:D,4,FALSE))</f>
        <v>0</v>
      </c>
      <c r="I323" s="20" t="str">
        <f>IF(ISERROR(VLOOKUP(A323,Report!A:D,2,FALSE)),"NOT FOUND",VLOOKUP(A323,Report!A:D,2,FALSE))</f>
        <v>17-12-2025</v>
      </c>
      <c r="J323" s="53"/>
      <c r="K323" s="56">
        <f t="shared" si="15"/>
        <v>12</v>
      </c>
      <c r="L323" s="56">
        <f t="shared" si="16"/>
        <v>2025</v>
      </c>
      <c r="N323" s="50"/>
    </row>
    <row r="324" spans="1:14">
      <c r="A324" s="31" t="s">
        <v>3903</v>
      </c>
      <c r="B324" s="22"/>
      <c r="C324" s="38">
        <v>45992</v>
      </c>
      <c r="D324" s="37">
        <v>103</v>
      </c>
      <c r="E324" s="32" t="s">
        <v>33</v>
      </c>
      <c r="F324" s="11" t="str">
        <f t="shared" si="17"/>
        <v>Accepted</v>
      </c>
      <c r="G324" s="19">
        <f>IF(ISERROR(VLOOKUP(A324,Report!A:D,3,FALSE)),"NOT FOUND",VLOOKUP(A324,Report!A:D,3,FALSE))</f>
        <v>103.25</v>
      </c>
      <c r="H324" s="19">
        <f>IF(ISERROR(VLOOKUP(A324,Report!A:D,4,FALSE)),"NOT FOUND",VLOOKUP(A324,Report!A:D,4,FALSE))</f>
        <v>0</v>
      </c>
      <c r="I324" s="20" t="str">
        <f>IF(ISERROR(VLOOKUP(A324,Report!A:D,2,FALSE)),"NOT FOUND",VLOOKUP(A324,Report!A:D,2,FALSE))</f>
        <v>17-12-2025</v>
      </c>
      <c r="J324" s="53"/>
      <c r="K324" s="56">
        <f t="shared" si="15"/>
        <v>12</v>
      </c>
      <c r="L324" s="56">
        <f t="shared" si="16"/>
        <v>2025</v>
      </c>
      <c r="N324" s="50"/>
    </row>
    <row r="325" spans="1:14">
      <c r="A325" s="31" t="s">
        <v>3904</v>
      </c>
      <c r="B325" s="22"/>
      <c r="C325" s="38">
        <v>45992</v>
      </c>
      <c r="D325" s="37">
        <v>103</v>
      </c>
      <c r="E325" s="32" t="s">
        <v>33</v>
      </c>
      <c r="F325" s="11" t="str">
        <f t="shared" si="17"/>
        <v>Accepted</v>
      </c>
      <c r="G325" s="19">
        <f>IF(ISERROR(VLOOKUP(A325,Report!A:D,3,FALSE)),"NOT FOUND",VLOOKUP(A325,Report!A:D,3,FALSE))</f>
        <v>103.25</v>
      </c>
      <c r="H325" s="19">
        <f>IF(ISERROR(VLOOKUP(A325,Report!A:D,4,FALSE)),"NOT FOUND",VLOOKUP(A325,Report!A:D,4,FALSE))</f>
        <v>0</v>
      </c>
      <c r="I325" s="20" t="str">
        <f>IF(ISERROR(VLOOKUP(A325,Report!A:D,2,FALSE)),"NOT FOUND",VLOOKUP(A325,Report!A:D,2,FALSE))</f>
        <v>17-12-2025</v>
      </c>
      <c r="J325" s="53"/>
      <c r="K325" s="56">
        <f t="shared" si="15"/>
        <v>12</v>
      </c>
      <c r="L325" s="56">
        <f t="shared" si="16"/>
        <v>2025</v>
      </c>
      <c r="N325" s="50"/>
    </row>
    <row r="326" spans="1:14">
      <c r="A326" s="31" t="s">
        <v>3905</v>
      </c>
      <c r="B326" s="22"/>
      <c r="C326" s="38">
        <v>45992</v>
      </c>
      <c r="D326" s="37">
        <v>103</v>
      </c>
      <c r="E326" s="32" t="s">
        <v>33</v>
      </c>
      <c r="F326" s="11" t="str">
        <f t="shared" si="17"/>
        <v>Accepted</v>
      </c>
      <c r="G326" s="19">
        <f>IF(ISERROR(VLOOKUP(A326,Report!A:D,3,FALSE)),"NOT FOUND",VLOOKUP(A326,Report!A:D,3,FALSE))</f>
        <v>103.25</v>
      </c>
      <c r="H326" s="19">
        <f>IF(ISERROR(VLOOKUP(A326,Report!A:D,4,FALSE)),"NOT FOUND",VLOOKUP(A326,Report!A:D,4,FALSE))</f>
        <v>0</v>
      </c>
      <c r="I326" s="20" t="str">
        <f>IF(ISERROR(VLOOKUP(A326,Report!A:D,2,FALSE)),"NOT FOUND",VLOOKUP(A326,Report!A:D,2,FALSE))</f>
        <v>17-12-2025</v>
      </c>
      <c r="J326" s="53"/>
      <c r="K326" s="56">
        <f t="shared" si="15"/>
        <v>12</v>
      </c>
      <c r="L326" s="56">
        <f t="shared" si="16"/>
        <v>2025</v>
      </c>
      <c r="N326" s="50"/>
    </row>
    <row r="327" spans="1:14">
      <c r="A327" s="11" t="s">
        <v>3805</v>
      </c>
      <c r="B327" s="22">
        <v>443</v>
      </c>
      <c r="C327" s="51">
        <v>46018</v>
      </c>
      <c r="D327" s="13">
        <v>3819</v>
      </c>
      <c r="E327" s="32" t="s">
        <v>33</v>
      </c>
      <c r="F327" s="11" t="str">
        <f t="shared" si="17"/>
        <v>Accepted</v>
      </c>
      <c r="G327" s="19">
        <f>IF(ISERROR(VLOOKUP(A327,Report!A:D,3,FALSE)),"NOT FOUND",VLOOKUP(A327,Report!A:D,3,FALSE))</f>
        <v>3819.49</v>
      </c>
      <c r="H327" s="19">
        <f>IF(ISERROR(VLOOKUP(A327,Report!A:D,4,FALSE)),"NOT FOUND",VLOOKUP(A327,Report!A:D,4,FALSE))</f>
        <v>0</v>
      </c>
      <c r="I327" s="20" t="str">
        <f>IF(ISERROR(VLOOKUP(A327,Report!A:D,2,FALSE)),"NOT FOUND",VLOOKUP(A327,Report!A:D,2,FALSE))</f>
        <v>31-01-2026</v>
      </c>
      <c r="J327" s="53"/>
      <c r="K327" s="56">
        <f t="shared" si="15"/>
        <v>12</v>
      </c>
      <c r="L327" s="56">
        <f t="shared" si="16"/>
        <v>2025</v>
      </c>
      <c r="N327" s="50"/>
    </row>
    <row r="328" spans="1:14">
      <c r="A328" s="11" t="s">
        <v>3783</v>
      </c>
      <c r="B328" s="22">
        <v>444</v>
      </c>
      <c r="C328" s="51">
        <v>45991</v>
      </c>
      <c r="D328" s="13">
        <v>5452</v>
      </c>
      <c r="E328" s="32" t="s">
        <v>33</v>
      </c>
      <c r="F328" s="11" t="str">
        <f t="shared" si="17"/>
        <v>Accepted</v>
      </c>
      <c r="G328" s="19">
        <f>IF(ISERROR(VLOOKUP(A328,Report!A:D,3,FALSE)),"NOT FOUND",VLOOKUP(A328,Report!A:D,3,FALSE))</f>
        <v>5451.6</v>
      </c>
      <c r="H328" s="19">
        <f>IF(ISERROR(VLOOKUP(A328,Report!A:D,4,FALSE)),"NOT FOUND",VLOOKUP(A328,Report!A:D,4,FALSE))</f>
        <v>0</v>
      </c>
      <c r="I328" s="20" t="str">
        <f>IF(ISERROR(VLOOKUP(A328,Report!A:D,2,FALSE)),"NOT FOUND",VLOOKUP(A328,Report!A:D,2,FALSE))</f>
        <v>17-12-2025</v>
      </c>
      <c r="J328" s="53"/>
      <c r="K328" s="56">
        <f t="shared" si="15"/>
        <v>11</v>
      </c>
      <c r="L328" s="56">
        <f t="shared" si="16"/>
        <v>2025</v>
      </c>
      <c r="N328" s="50"/>
    </row>
    <row r="329" spans="1:14">
      <c r="A329" s="11" t="s">
        <v>3784</v>
      </c>
      <c r="B329" s="22">
        <v>445</v>
      </c>
      <c r="C329" s="51">
        <v>45991</v>
      </c>
      <c r="D329" s="13">
        <v>5452</v>
      </c>
      <c r="E329" s="32" t="s">
        <v>33</v>
      </c>
      <c r="F329" s="11" t="str">
        <f t="shared" si="17"/>
        <v>Accepted</v>
      </c>
      <c r="G329" s="19">
        <f>IF(ISERROR(VLOOKUP(A329,Report!A:D,3,FALSE)),"NOT FOUND",VLOOKUP(A329,Report!A:D,3,FALSE))</f>
        <v>5451.6</v>
      </c>
      <c r="H329" s="19">
        <f>IF(ISERROR(VLOOKUP(A329,Report!A:D,4,FALSE)),"NOT FOUND",VLOOKUP(A329,Report!A:D,4,FALSE))</f>
        <v>0</v>
      </c>
      <c r="I329" s="20" t="str">
        <f>IF(ISERROR(VLOOKUP(A329,Report!A:D,2,FALSE)),"NOT FOUND",VLOOKUP(A329,Report!A:D,2,FALSE))</f>
        <v>17-12-2025</v>
      </c>
      <c r="J329" s="53"/>
      <c r="K329" s="56">
        <f t="shared" si="15"/>
        <v>11</v>
      </c>
      <c r="L329" s="56">
        <f t="shared" si="16"/>
        <v>2025</v>
      </c>
      <c r="N329" s="50"/>
    </row>
    <row r="330" spans="1:14">
      <c r="A330" s="11" t="s">
        <v>3785</v>
      </c>
      <c r="B330" s="22">
        <v>446</v>
      </c>
      <c r="C330" s="51">
        <v>45991</v>
      </c>
      <c r="D330" s="13">
        <v>5452</v>
      </c>
      <c r="E330" s="32" t="s">
        <v>33</v>
      </c>
      <c r="F330" s="11" t="str">
        <f t="shared" si="17"/>
        <v>Accepted</v>
      </c>
      <c r="G330" s="19">
        <f>IF(ISERROR(VLOOKUP(A330,Report!A:D,3,FALSE)),"NOT FOUND",VLOOKUP(A330,Report!A:D,3,FALSE))</f>
        <v>5451.6</v>
      </c>
      <c r="H330" s="19">
        <f>IF(ISERROR(VLOOKUP(A330,Report!A:D,4,FALSE)),"NOT FOUND",VLOOKUP(A330,Report!A:D,4,FALSE))</f>
        <v>0</v>
      </c>
      <c r="I330" s="20" t="str">
        <f>IF(ISERROR(VLOOKUP(A330,Report!A:D,2,FALSE)),"NOT FOUND",VLOOKUP(A330,Report!A:D,2,FALSE))</f>
        <v>17-12-2025</v>
      </c>
      <c r="J330" s="53"/>
      <c r="K330" s="56">
        <f t="shared" si="15"/>
        <v>11</v>
      </c>
      <c r="L330" s="56">
        <f t="shared" si="16"/>
        <v>2025</v>
      </c>
      <c r="N330" s="50"/>
    </row>
    <row r="331" spans="1:14">
      <c r="A331" s="11" t="s">
        <v>3806</v>
      </c>
      <c r="B331" s="22">
        <v>447</v>
      </c>
      <c r="C331" s="51">
        <v>46018</v>
      </c>
      <c r="D331" s="13">
        <v>89</v>
      </c>
      <c r="E331" s="32" t="s">
        <v>33</v>
      </c>
      <c r="F331" s="11" t="str">
        <f t="shared" si="17"/>
        <v>Accepted</v>
      </c>
      <c r="G331" s="19">
        <f>IF(ISERROR(VLOOKUP(A331,Report!A:D,3,FALSE)),"NOT FOUND",VLOOKUP(A331,Report!A:D,3,FALSE))</f>
        <v>89.2</v>
      </c>
      <c r="H331" s="19">
        <f>IF(ISERROR(VLOOKUP(A331,Report!A:D,4,FALSE)),"NOT FOUND",VLOOKUP(A331,Report!A:D,4,FALSE))</f>
        <v>0</v>
      </c>
      <c r="I331" s="20" t="str">
        <f>IF(ISERROR(VLOOKUP(A331,Report!A:D,2,FALSE)),"NOT FOUND",VLOOKUP(A331,Report!A:D,2,FALSE))</f>
        <v>31-01-2026</v>
      </c>
      <c r="J331" s="53"/>
      <c r="K331" s="56">
        <f t="shared" si="15"/>
        <v>12</v>
      </c>
      <c r="L331" s="56">
        <f t="shared" si="16"/>
        <v>2025</v>
      </c>
      <c r="N331" s="50"/>
    </row>
    <row r="332" spans="1:14">
      <c r="A332" s="11" t="s">
        <v>3807</v>
      </c>
      <c r="B332" s="22">
        <v>448</v>
      </c>
      <c r="C332" s="51">
        <v>46018</v>
      </c>
      <c r="D332" s="13">
        <v>22192</v>
      </c>
      <c r="E332" s="32" t="s">
        <v>33</v>
      </c>
      <c r="F332" s="11" t="str">
        <f t="shared" si="17"/>
        <v>Accepted</v>
      </c>
      <c r="G332" s="19">
        <f>IF(ISERROR(VLOOKUP(A332,Report!A:D,3,FALSE)),"NOT FOUND",VLOOKUP(A332,Report!A:D,3,FALSE))</f>
        <v>22191.559999999998</v>
      </c>
      <c r="H332" s="19">
        <f>IF(ISERROR(VLOOKUP(A332,Report!A:D,4,FALSE)),"NOT FOUND",VLOOKUP(A332,Report!A:D,4,FALSE))</f>
        <v>0</v>
      </c>
      <c r="I332" s="20" t="str">
        <f>IF(ISERROR(VLOOKUP(A332,Report!A:D,2,FALSE)),"NOT FOUND",VLOOKUP(A332,Report!A:D,2,FALSE))</f>
        <v>31-01-2026</v>
      </c>
      <c r="J332" s="53"/>
      <c r="K332" s="56">
        <f t="shared" si="15"/>
        <v>12</v>
      </c>
      <c r="L332" s="56">
        <f t="shared" si="16"/>
        <v>2025</v>
      </c>
      <c r="N332" s="50"/>
    </row>
    <row r="333" spans="1:14">
      <c r="A333" s="11" t="s">
        <v>3786</v>
      </c>
      <c r="B333" s="22">
        <v>449</v>
      </c>
      <c r="C333" s="51">
        <v>45991</v>
      </c>
      <c r="D333" s="13">
        <v>4956</v>
      </c>
      <c r="E333" s="32" t="s">
        <v>33</v>
      </c>
      <c r="F333" s="11" t="str">
        <f t="shared" si="17"/>
        <v>Accepted</v>
      </c>
      <c r="G333" s="19">
        <f>IF(ISERROR(VLOOKUP(A333,Report!A:D,3,FALSE)),"NOT FOUND",VLOOKUP(A333,Report!A:D,3,FALSE))</f>
        <v>4956</v>
      </c>
      <c r="H333" s="19">
        <f>IF(ISERROR(VLOOKUP(A333,Report!A:D,4,FALSE)),"NOT FOUND",VLOOKUP(A333,Report!A:D,4,FALSE))</f>
        <v>0</v>
      </c>
      <c r="I333" s="20" t="str">
        <f>IF(ISERROR(VLOOKUP(A333,Report!A:D,2,FALSE)),"NOT FOUND",VLOOKUP(A333,Report!A:D,2,FALSE))</f>
        <v>17-12-2025</v>
      </c>
      <c r="J333" s="53"/>
      <c r="K333" s="56">
        <f t="shared" si="15"/>
        <v>11</v>
      </c>
      <c r="L333" s="56">
        <f t="shared" si="16"/>
        <v>2025</v>
      </c>
      <c r="N333" s="50"/>
    </row>
    <row r="334" spans="1:14">
      <c r="A334" s="11" t="s">
        <v>3787</v>
      </c>
      <c r="B334" s="22">
        <v>450</v>
      </c>
      <c r="C334" s="51">
        <v>45991</v>
      </c>
      <c r="D334" s="13">
        <v>4956</v>
      </c>
      <c r="E334" s="32" t="s">
        <v>33</v>
      </c>
      <c r="F334" s="11" t="str">
        <f t="shared" si="17"/>
        <v>Accepted</v>
      </c>
      <c r="G334" s="19">
        <f>IF(ISERROR(VLOOKUP(A334,Report!A:D,3,FALSE)),"NOT FOUND",VLOOKUP(A334,Report!A:D,3,FALSE))</f>
        <v>4956</v>
      </c>
      <c r="H334" s="19">
        <f>IF(ISERROR(VLOOKUP(A334,Report!A:D,4,FALSE)),"NOT FOUND",VLOOKUP(A334,Report!A:D,4,FALSE))</f>
        <v>0</v>
      </c>
      <c r="I334" s="20" t="str">
        <f>IF(ISERROR(VLOOKUP(A334,Report!A:D,2,FALSE)),"NOT FOUND",VLOOKUP(A334,Report!A:D,2,FALSE))</f>
        <v>17-12-2025</v>
      </c>
      <c r="J334" s="53"/>
      <c r="K334" s="56">
        <f t="shared" si="15"/>
        <v>11</v>
      </c>
      <c r="L334" s="56">
        <f t="shared" si="16"/>
        <v>2025</v>
      </c>
      <c r="N334" s="50"/>
    </row>
    <row r="335" spans="1:14">
      <c r="A335" s="11"/>
      <c r="B335" s="22">
        <v>451</v>
      </c>
      <c r="C335" s="51"/>
      <c r="D335" s="13"/>
      <c r="E335" s="32"/>
      <c r="F335" s="11" t="e">
        <f t="shared" si="17"/>
        <v>#VALUE!</v>
      </c>
      <c r="G335" s="19" t="str">
        <f>IF(ISERROR(VLOOKUP(A335,Report!A:D,3,FALSE)),"NOT FOUND",VLOOKUP(A335,Report!A:D,3,FALSE))</f>
        <v>NOT FOUND</v>
      </c>
      <c r="H335" s="19" t="str">
        <f>IF(ISERROR(VLOOKUP(A335,Report!A:D,4,FALSE)),"NOT FOUND",VLOOKUP(A335,Report!A:D,4,FALSE))</f>
        <v>NOT FOUND</v>
      </c>
      <c r="I335" s="20" t="str">
        <f>IF(ISERROR(VLOOKUP(A335,Report!A:D,2,FALSE)),"NOT FOUND",VLOOKUP(A335,Report!A:D,2,FALSE))</f>
        <v>NOT FOUND</v>
      </c>
      <c r="J335" s="53" t="s">
        <v>34</v>
      </c>
      <c r="K335" s="56">
        <f t="shared" si="15"/>
        <v>1</v>
      </c>
      <c r="L335" s="56">
        <f t="shared" si="16"/>
        <v>1900</v>
      </c>
      <c r="N335" s="50"/>
    </row>
    <row r="336" spans="1:14">
      <c r="A336" s="11" t="s">
        <v>3788</v>
      </c>
      <c r="B336" s="22">
        <v>452</v>
      </c>
      <c r="C336" s="51">
        <v>45991</v>
      </c>
      <c r="D336" s="13">
        <v>4956</v>
      </c>
      <c r="E336" s="32" t="s">
        <v>33</v>
      </c>
      <c r="F336" s="11" t="str">
        <f t="shared" si="17"/>
        <v>Accepted</v>
      </c>
      <c r="G336" s="19">
        <f>IF(ISERROR(VLOOKUP(A336,Report!A:D,3,FALSE)),"NOT FOUND",VLOOKUP(A336,Report!A:D,3,FALSE))</f>
        <v>4956</v>
      </c>
      <c r="H336" s="19">
        <f>IF(ISERROR(VLOOKUP(A336,Report!A:D,4,FALSE)),"NOT FOUND",VLOOKUP(A336,Report!A:D,4,FALSE))</f>
        <v>0</v>
      </c>
      <c r="I336" s="20" t="str">
        <f>IF(ISERROR(VLOOKUP(A336,Report!A:D,2,FALSE)),"NOT FOUND",VLOOKUP(A336,Report!A:D,2,FALSE))</f>
        <v>17-12-2025</v>
      </c>
      <c r="J336" s="53"/>
      <c r="K336" s="56">
        <f t="shared" si="15"/>
        <v>11</v>
      </c>
      <c r="L336" s="56">
        <f t="shared" si="16"/>
        <v>2025</v>
      </c>
      <c r="N336" s="50"/>
    </row>
    <row r="337" spans="1:14">
      <c r="A337" s="11" t="s">
        <v>3789</v>
      </c>
      <c r="B337" s="22">
        <v>453</v>
      </c>
      <c r="C337" s="51">
        <v>45991</v>
      </c>
      <c r="D337" s="13">
        <v>4956</v>
      </c>
      <c r="E337" s="32" t="s">
        <v>33</v>
      </c>
      <c r="F337" s="11" t="str">
        <f t="shared" si="17"/>
        <v>Accepted</v>
      </c>
      <c r="G337" s="19">
        <f>IF(ISERROR(VLOOKUP(A337,Report!A:D,3,FALSE)),"NOT FOUND",VLOOKUP(A337,Report!A:D,3,FALSE))</f>
        <v>4956</v>
      </c>
      <c r="H337" s="19">
        <f>IF(ISERROR(VLOOKUP(A337,Report!A:D,4,FALSE)),"NOT FOUND",VLOOKUP(A337,Report!A:D,4,FALSE))</f>
        <v>0</v>
      </c>
      <c r="I337" s="20" t="str">
        <f>IF(ISERROR(VLOOKUP(A337,Report!A:D,2,FALSE)),"NOT FOUND",VLOOKUP(A337,Report!A:D,2,FALSE))</f>
        <v>17-12-2025</v>
      </c>
      <c r="J337" s="53"/>
      <c r="K337" s="56">
        <f t="shared" si="15"/>
        <v>11</v>
      </c>
      <c r="L337" s="56">
        <f t="shared" si="16"/>
        <v>2025</v>
      </c>
      <c r="N337" s="50"/>
    </row>
    <row r="338" spans="1:14">
      <c r="A338" s="11" t="s">
        <v>3790</v>
      </c>
      <c r="B338" s="22">
        <v>454</v>
      </c>
      <c r="C338" s="51">
        <v>45991</v>
      </c>
      <c r="D338" s="13">
        <v>4956</v>
      </c>
      <c r="E338" s="32" t="s">
        <v>33</v>
      </c>
      <c r="F338" s="11" t="str">
        <f t="shared" si="17"/>
        <v>Accepted</v>
      </c>
      <c r="G338" s="19">
        <f>IF(ISERROR(VLOOKUP(A338,Report!A:D,3,FALSE)),"NOT FOUND",VLOOKUP(A338,Report!A:D,3,FALSE))</f>
        <v>4956</v>
      </c>
      <c r="H338" s="19">
        <f>IF(ISERROR(VLOOKUP(A338,Report!A:D,4,FALSE)),"NOT FOUND",VLOOKUP(A338,Report!A:D,4,FALSE))</f>
        <v>0</v>
      </c>
      <c r="I338" s="20" t="str">
        <f>IF(ISERROR(VLOOKUP(A338,Report!A:D,2,FALSE)),"NOT FOUND",VLOOKUP(A338,Report!A:D,2,FALSE))</f>
        <v>17-12-2025</v>
      </c>
      <c r="J338" s="53"/>
      <c r="K338" s="56">
        <f t="shared" si="15"/>
        <v>11</v>
      </c>
      <c r="L338" s="56">
        <f t="shared" si="16"/>
        <v>2025</v>
      </c>
      <c r="N338" s="50"/>
    </row>
    <row r="339" spans="1:14">
      <c r="A339" s="11" t="s">
        <v>3808</v>
      </c>
      <c r="B339" s="22">
        <v>455</v>
      </c>
      <c r="C339" s="51">
        <v>46018</v>
      </c>
      <c r="D339" s="13">
        <v>9691</v>
      </c>
      <c r="E339" s="32" t="s">
        <v>33</v>
      </c>
      <c r="F339" s="11" t="str">
        <f t="shared" si="17"/>
        <v>Accepted</v>
      </c>
      <c r="G339" s="19">
        <f>IF(ISERROR(VLOOKUP(A339,Report!A:D,3,FALSE)),"NOT FOUND",VLOOKUP(A339,Report!A:D,3,FALSE))</f>
        <v>9691.2200000000012</v>
      </c>
      <c r="H339" s="19">
        <f>IF(ISERROR(VLOOKUP(A339,Report!A:D,4,FALSE)),"NOT FOUND",VLOOKUP(A339,Report!A:D,4,FALSE))</f>
        <v>0</v>
      </c>
      <c r="I339" s="20" t="str">
        <f>IF(ISERROR(VLOOKUP(A339,Report!A:D,2,FALSE)),"NOT FOUND",VLOOKUP(A339,Report!A:D,2,FALSE))</f>
        <v>31-01-2026</v>
      </c>
      <c r="J339" s="53"/>
      <c r="K339" s="56">
        <f t="shared" si="15"/>
        <v>12</v>
      </c>
      <c r="L339" s="56">
        <f t="shared" si="16"/>
        <v>2025</v>
      </c>
      <c r="N339" s="50"/>
    </row>
    <row r="340" spans="1:14">
      <c r="A340" s="11" t="s">
        <v>3791</v>
      </c>
      <c r="B340" s="22">
        <v>456</v>
      </c>
      <c r="C340" s="51">
        <v>45991</v>
      </c>
      <c r="D340" s="13">
        <v>4956</v>
      </c>
      <c r="E340" s="32" t="s">
        <v>33</v>
      </c>
      <c r="F340" s="11" t="str">
        <f t="shared" si="17"/>
        <v>Accepted</v>
      </c>
      <c r="G340" s="19">
        <f>IF(ISERROR(VLOOKUP(A340,Report!A:D,3,FALSE)),"NOT FOUND",VLOOKUP(A340,Report!A:D,3,FALSE))</f>
        <v>4956</v>
      </c>
      <c r="H340" s="19">
        <f>IF(ISERROR(VLOOKUP(A340,Report!A:D,4,FALSE)),"NOT FOUND",VLOOKUP(A340,Report!A:D,4,FALSE))</f>
        <v>0</v>
      </c>
      <c r="I340" s="20" t="str">
        <f>IF(ISERROR(VLOOKUP(A340,Report!A:D,2,FALSE)),"NOT FOUND",VLOOKUP(A340,Report!A:D,2,FALSE))</f>
        <v>17-12-2025</v>
      </c>
      <c r="J340" s="53"/>
      <c r="K340" s="56">
        <f t="shared" si="15"/>
        <v>11</v>
      </c>
      <c r="L340" s="56">
        <f t="shared" si="16"/>
        <v>2025</v>
      </c>
      <c r="N340" s="50"/>
    </row>
    <row r="341" spans="1:14">
      <c r="A341" s="11" t="s">
        <v>3792</v>
      </c>
      <c r="B341" s="22">
        <v>457</v>
      </c>
      <c r="C341" s="51">
        <v>45991</v>
      </c>
      <c r="D341" s="13">
        <v>4956</v>
      </c>
      <c r="E341" s="32" t="s">
        <v>33</v>
      </c>
      <c r="F341" s="11" t="str">
        <f t="shared" si="17"/>
        <v>Accepted</v>
      </c>
      <c r="G341" s="19">
        <f>IF(ISERROR(VLOOKUP(A341,Report!A:D,3,FALSE)),"NOT FOUND",VLOOKUP(A341,Report!A:D,3,FALSE))</f>
        <v>4956</v>
      </c>
      <c r="H341" s="19">
        <f>IF(ISERROR(VLOOKUP(A341,Report!A:D,4,FALSE)),"NOT FOUND",VLOOKUP(A341,Report!A:D,4,FALSE))</f>
        <v>0</v>
      </c>
      <c r="I341" s="20" t="str">
        <f>IF(ISERROR(VLOOKUP(A341,Report!A:D,2,FALSE)),"NOT FOUND",VLOOKUP(A341,Report!A:D,2,FALSE))</f>
        <v>17-12-2025</v>
      </c>
      <c r="J341" s="53"/>
      <c r="K341" s="56">
        <f t="shared" si="15"/>
        <v>11</v>
      </c>
      <c r="L341" s="56">
        <f t="shared" si="16"/>
        <v>2025</v>
      </c>
      <c r="N341" s="50"/>
    </row>
    <row r="342" spans="1:14">
      <c r="A342" s="31" t="s">
        <v>3726</v>
      </c>
      <c r="B342" s="22"/>
      <c r="C342" s="51">
        <v>45991</v>
      </c>
      <c r="D342" s="37">
        <v>147146</v>
      </c>
      <c r="E342" s="32" t="s">
        <v>154</v>
      </c>
      <c r="F342" s="11" t="str">
        <f t="shared" si="17"/>
        <v>Accepted</v>
      </c>
      <c r="G342" s="19">
        <f>IF(ISERROR(VLOOKUP(A342,Report!A:D,3,FALSE)),"NOT FOUND",VLOOKUP(A342,Report!A:D,3,FALSE))</f>
        <v>147146</v>
      </c>
      <c r="H342" s="19">
        <f>IF(ISERROR(VLOOKUP(A342,Report!A:D,4,FALSE)),"NOT FOUND",VLOOKUP(A342,Report!A:D,4,FALSE))</f>
        <v>8910</v>
      </c>
      <c r="I342" s="20" t="str">
        <f>IF(ISERROR(VLOOKUP(A342,Report!A:D,2,FALSE)),"NOT FOUND",VLOOKUP(A342,Report!A:D,2,FALSE))</f>
        <v>28-Nov-25</v>
      </c>
      <c r="J342" s="53"/>
      <c r="K342" s="56">
        <f t="shared" si="15"/>
        <v>11</v>
      </c>
      <c r="L342" s="56">
        <f t="shared" si="16"/>
        <v>2025</v>
      </c>
      <c r="N342" s="50"/>
    </row>
    <row r="343" spans="1:14">
      <c r="A343" s="31" t="s">
        <v>3793</v>
      </c>
      <c r="B343" s="22"/>
      <c r="C343" s="51">
        <v>45991</v>
      </c>
      <c r="D343" s="37">
        <v>1357</v>
      </c>
      <c r="E343" s="32" t="s">
        <v>153</v>
      </c>
      <c r="F343" s="11" t="str">
        <f t="shared" si="17"/>
        <v>Accepted</v>
      </c>
      <c r="G343" s="19">
        <f>IF(ISERROR(VLOOKUP(A343,Report!A:D,3,FALSE)),"NOT FOUND",VLOOKUP(A343,Report!A:D,3,FALSE))</f>
        <v>1357</v>
      </c>
      <c r="H343" s="19">
        <f>IF(ISERROR(VLOOKUP(A343,Report!A:D,4,FALSE)),"NOT FOUND",VLOOKUP(A343,Report!A:D,4,FALSE))</f>
        <v>0</v>
      </c>
      <c r="I343" s="20" t="str">
        <f>IF(ISERROR(VLOOKUP(A343,Report!A:D,2,FALSE)),"NOT FOUND",VLOOKUP(A343,Report!A:D,2,FALSE))</f>
        <v>12-Dec-25</v>
      </c>
      <c r="J343" s="53"/>
      <c r="K343" s="56">
        <f t="shared" si="15"/>
        <v>11</v>
      </c>
      <c r="L343" s="56">
        <f t="shared" si="16"/>
        <v>2025</v>
      </c>
      <c r="N343" s="50"/>
    </row>
    <row r="344" spans="1:14">
      <c r="A344" s="31" t="s">
        <v>3794</v>
      </c>
      <c r="B344" s="22"/>
      <c r="C344" s="51">
        <v>45991</v>
      </c>
      <c r="D344" s="37">
        <v>45371</v>
      </c>
      <c r="E344" s="32" t="s">
        <v>153</v>
      </c>
      <c r="F344" s="11" t="str">
        <f t="shared" si="17"/>
        <v>Accepted</v>
      </c>
      <c r="G344" s="19">
        <f>IF(ISERROR(VLOOKUP(A344,Report!A:D,3,FALSE)),"NOT FOUND",VLOOKUP(A344,Report!A:D,3,FALSE))</f>
        <v>45371</v>
      </c>
      <c r="H344" s="19">
        <f>IF(ISERROR(VLOOKUP(A344,Report!A:D,4,FALSE)),"NOT FOUND",VLOOKUP(A344,Report!A:D,4,FALSE))</f>
        <v>0</v>
      </c>
      <c r="I344" s="20" t="str">
        <f>IF(ISERROR(VLOOKUP(A344,Report!A:D,2,FALSE)),"NOT FOUND",VLOOKUP(A344,Report!A:D,2,FALSE))</f>
        <v>12-Dec-25</v>
      </c>
      <c r="J344" s="53"/>
      <c r="K344" s="56">
        <f t="shared" si="15"/>
        <v>11</v>
      </c>
      <c r="L344" s="56">
        <f t="shared" si="16"/>
        <v>2025</v>
      </c>
      <c r="N344" s="50"/>
    </row>
    <row r="345" spans="1:14">
      <c r="A345" s="29" t="s">
        <v>3795</v>
      </c>
      <c r="B345" s="22"/>
      <c r="C345" s="51">
        <v>45991</v>
      </c>
      <c r="D345" s="37">
        <v>8684.7999999999993</v>
      </c>
      <c r="E345" s="32" t="s">
        <v>47</v>
      </c>
      <c r="F345" s="11" t="e">
        <f t="shared" si="17"/>
        <v>#VALUE!</v>
      </c>
      <c r="G345" s="19" t="str">
        <f>IF(ISERROR(VLOOKUP(A345,Report!A:D,3,FALSE)),"NOT FOUND",VLOOKUP(A345,Report!A:D,3,FALSE))</f>
        <v>NOT FOUND</v>
      </c>
      <c r="H345" s="19" t="str">
        <f>IF(ISERROR(VLOOKUP(A345,Report!A:D,4,FALSE)),"NOT FOUND",VLOOKUP(A345,Report!A:D,4,FALSE))</f>
        <v>NOT FOUND</v>
      </c>
      <c r="I345" s="20" t="str">
        <f>IF(ISERROR(VLOOKUP(A345,Report!A:D,2,FALSE)),"NOT FOUND",VLOOKUP(A345,Report!A:D,2,FALSE))</f>
        <v>NOT FOUND</v>
      </c>
      <c r="J345" s="53"/>
      <c r="K345" s="56">
        <f t="shared" si="15"/>
        <v>11</v>
      </c>
      <c r="L345" s="56">
        <f t="shared" si="16"/>
        <v>2025</v>
      </c>
      <c r="N345" s="50"/>
    </row>
    <row r="346" spans="1:14">
      <c r="A346" s="11" t="s">
        <v>3796</v>
      </c>
      <c r="B346" s="22"/>
      <c r="C346" s="51">
        <v>45991</v>
      </c>
      <c r="D346" s="37">
        <v>7434</v>
      </c>
      <c r="E346" s="32" t="s">
        <v>47</v>
      </c>
      <c r="F346" s="11" t="e">
        <f t="shared" si="17"/>
        <v>#VALUE!</v>
      </c>
      <c r="G346" s="19" t="str">
        <f>IF(ISERROR(VLOOKUP(A346,Report!A:D,3,FALSE)),"NOT FOUND",VLOOKUP(A346,Report!A:D,3,FALSE))</f>
        <v>NOT FOUND</v>
      </c>
      <c r="H346" s="19" t="str">
        <f>IF(ISERROR(VLOOKUP(A346,Report!A:D,4,FALSE)),"NOT FOUND",VLOOKUP(A346,Report!A:D,4,FALSE))</f>
        <v>NOT FOUND</v>
      </c>
      <c r="I346" s="20" t="str">
        <f>IF(ISERROR(VLOOKUP(A346,Report!A:D,2,FALSE)),"NOT FOUND",VLOOKUP(A346,Report!A:D,2,FALSE))</f>
        <v>NOT FOUND</v>
      </c>
      <c r="J346" s="53"/>
      <c r="K346" s="56">
        <f t="shared" si="15"/>
        <v>11</v>
      </c>
      <c r="L346" s="56">
        <f t="shared" si="16"/>
        <v>2025</v>
      </c>
      <c r="N346" s="50"/>
    </row>
    <row r="347" spans="1:14">
      <c r="A347" s="11" t="s">
        <v>3797</v>
      </c>
      <c r="B347" s="22"/>
      <c r="C347" s="51">
        <v>45991</v>
      </c>
      <c r="D347" s="37">
        <v>7434</v>
      </c>
      <c r="E347" s="32" t="s">
        <v>47</v>
      </c>
      <c r="F347" s="11" t="e">
        <f t="shared" si="17"/>
        <v>#VALUE!</v>
      </c>
      <c r="G347" s="19" t="str">
        <f>IF(ISERROR(VLOOKUP(A347,Report!A:D,3,FALSE)),"NOT FOUND",VLOOKUP(A347,Report!A:D,3,FALSE))</f>
        <v>NOT FOUND</v>
      </c>
      <c r="H347" s="19" t="str">
        <f>IF(ISERROR(VLOOKUP(A347,Report!A:D,4,FALSE)),"NOT FOUND",VLOOKUP(A347,Report!A:D,4,FALSE))</f>
        <v>NOT FOUND</v>
      </c>
      <c r="I347" s="20" t="str">
        <f>IF(ISERROR(VLOOKUP(A347,Report!A:D,2,FALSE)),"NOT FOUND",VLOOKUP(A347,Report!A:D,2,FALSE))</f>
        <v>NOT FOUND</v>
      </c>
      <c r="J347" s="53"/>
      <c r="K347" s="56">
        <f t="shared" si="15"/>
        <v>11</v>
      </c>
      <c r="L347" s="56">
        <f t="shared" si="16"/>
        <v>2025</v>
      </c>
      <c r="N347" s="50"/>
    </row>
    <row r="348" spans="1:14">
      <c r="A348" s="11" t="s">
        <v>3798</v>
      </c>
      <c r="B348" s="22"/>
      <c r="C348" s="51">
        <v>45991</v>
      </c>
      <c r="D348" s="37">
        <v>29205</v>
      </c>
      <c r="E348" s="32" t="s">
        <v>153</v>
      </c>
      <c r="F348" s="11" t="str">
        <f t="shared" si="17"/>
        <v>Accepted</v>
      </c>
      <c r="G348" s="19">
        <f>IF(ISERROR(VLOOKUP(A348,Report!A:D,3,FALSE)),"NOT FOUND",VLOOKUP(A348,Report!A:D,3,FALSE))</f>
        <v>29205</v>
      </c>
      <c r="H348" s="19">
        <f>IF(ISERROR(VLOOKUP(A348,Report!A:D,4,FALSE)),"NOT FOUND",VLOOKUP(A348,Report!A:D,4,FALSE))</f>
        <v>0</v>
      </c>
      <c r="I348" s="20" t="str">
        <f>IF(ISERROR(VLOOKUP(A348,Report!A:D,2,FALSE)),"NOT FOUND",VLOOKUP(A348,Report!A:D,2,FALSE))</f>
        <v>22-Jan-26</v>
      </c>
      <c r="J348" s="53"/>
      <c r="K348" s="56">
        <f t="shared" si="15"/>
        <v>11</v>
      </c>
      <c r="L348" s="56">
        <f t="shared" si="16"/>
        <v>2025</v>
      </c>
      <c r="N348" s="50"/>
    </row>
    <row r="349" spans="1:14">
      <c r="A349" s="11" t="s">
        <v>3799</v>
      </c>
      <c r="B349" s="22"/>
      <c r="C349" s="51">
        <v>45991</v>
      </c>
      <c r="D349" s="37">
        <v>118118</v>
      </c>
      <c r="E349" s="32" t="s">
        <v>154</v>
      </c>
      <c r="F349" s="11" t="str">
        <f t="shared" si="17"/>
        <v>Accepted</v>
      </c>
      <c r="G349" s="19">
        <f>IF(ISERROR(VLOOKUP(A349,Report!A:D,3,FALSE)),"NOT FOUND",VLOOKUP(A349,Report!A:D,3,FALSE))</f>
        <v>118118</v>
      </c>
      <c r="H349" s="19">
        <f>IF(ISERROR(VLOOKUP(A349,Report!A:D,4,FALSE)),"NOT FOUND",VLOOKUP(A349,Report!A:D,4,FALSE))</f>
        <v>6660</v>
      </c>
      <c r="I349" s="20" t="str">
        <f>IF(ISERROR(VLOOKUP(A349,Report!A:D,2,FALSE)),"NOT FOUND",VLOOKUP(A349,Report!A:D,2,FALSE))</f>
        <v>19-Jan-26</v>
      </c>
      <c r="J349" s="53"/>
      <c r="K349" s="56">
        <f t="shared" si="15"/>
        <v>11</v>
      </c>
      <c r="L349" s="56">
        <f t="shared" si="16"/>
        <v>2025</v>
      </c>
      <c r="N349" s="50"/>
    </row>
    <row r="350" spans="1:14">
      <c r="A350" s="11" t="s">
        <v>3800</v>
      </c>
      <c r="B350" s="22"/>
      <c r="C350" s="51">
        <v>45991</v>
      </c>
      <c r="D350" s="37">
        <v>175820</v>
      </c>
      <c r="E350" s="32" t="s">
        <v>154</v>
      </c>
      <c r="F350" s="11" t="str">
        <f t="shared" si="17"/>
        <v>Accepted</v>
      </c>
      <c r="G350" s="19">
        <f>IF(ISERROR(VLOOKUP(A350,Report!A:D,3,FALSE)),"NOT FOUND",VLOOKUP(A350,Report!A:D,3,FALSE))</f>
        <v>175820</v>
      </c>
      <c r="H350" s="19">
        <f>IF(ISERROR(VLOOKUP(A350,Report!A:D,4,FALSE)),"NOT FOUND",VLOOKUP(A350,Report!A:D,4,FALSE))</f>
        <v>14910</v>
      </c>
      <c r="I350" s="20" t="str">
        <f>IF(ISERROR(VLOOKUP(A350,Report!A:D,2,FALSE)),"NOT FOUND",VLOOKUP(A350,Report!A:D,2,FALSE))</f>
        <v>19-Jan-26</v>
      </c>
      <c r="J350" s="53"/>
      <c r="K350" s="56">
        <f t="shared" si="15"/>
        <v>11</v>
      </c>
      <c r="L350" s="56">
        <f t="shared" si="16"/>
        <v>2025</v>
      </c>
      <c r="N350" s="50"/>
    </row>
    <row r="351" spans="1:14">
      <c r="A351" s="31" t="s">
        <v>3801</v>
      </c>
      <c r="B351" s="22"/>
      <c r="C351" s="51">
        <v>45991</v>
      </c>
      <c r="D351" s="37">
        <v>11151</v>
      </c>
      <c r="E351" s="32" t="s">
        <v>153</v>
      </c>
      <c r="F351" s="11" t="str">
        <f t="shared" si="17"/>
        <v>Accepted</v>
      </c>
      <c r="G351" s="19">
        <f>IF(ISERROR(VLOOKUP(A351,Report!A:D,3,FALSE)),"NOT FOUND",VLOOKUP(A351,Report!A:D,3,FALSE))</f>
        <v>11151</v>
      </c>
      <c r="H351" s="19">
        <f>IF(ISERROR(VLOOKUP(A351,Report!A:D,4,FALSE)),"NOT FOUND",VLOOKUP(A351,Report!A:D,4,FALSE))</f>
        <v>0</v>
      </c>
      <c r="I351" s="20" t="str">
        <f>IF(ISERROR(VLOOKUP(A351,Report!A:D,2,FALSE)),"NOT FOUND",VLOOKUP(A351,Report!A:D,2,FALSE))</f>
        <v>22-Jan-26</v>
      </c>
      <c r="J351" s="53"/>
      <c r="K351" s="56">
        <f t="shared" si="15"/>
        <v>11</v>
      </c>
      <c r="L351" s="56">
        <f t="shared" si="16"/>
        <v>2025</v>
      </c>
      <c r="N351" s="50"/>
    </row>
    <row r="352" spans="1:14">
      <c r="A352" s="31" t="s">
        <v>3809</v>
      </c>
      <c r="B352" s="22">
        <v>458</v>
      </c>
      <c r="C352" s="38">
        <v>46018</v>
      </c>
      <c r="D352" s="13">
        <v>17236</v>
      </c>
      <c r="E352" s="32" t="s">
        <v>33</v>
      </c>
      <c r="F352" s="11" t="str">
        <f t="shared" si="17"/>
        <v>Accepted</v>
      </c>
      <c r="G352" s="19">
        <f>IF(ISERROR(VLOOKUP(A352,Report!A:D,3,FALSE)),"NOT FOUND",VLOOKUP(A352,Report!A:D,3,FALSE))</f>
        <v>17235.559999999998</v>
      </c>
      <c r="H352" s="19">
        <f>IF(ISERROR(VLOOKUP(A352,Report!A:D,4,FALSE)),"NOT FOUND",VLOOKUP(A352,Report!A:D,4,FALSE))</f>
        <v>0</v>
      </c>
      <c r="I352" s="20" t="str">
        <f>IF(ISERROR(VLOOKUP(A352,Report!A:D,2,FALSE)),"NOT FOUND",VLOOKUP(A352,Report!A:D,2,FALSE))</f>
        <v>31-01-2026</v>
      </c>
      <c r="J352" s="53"/>
      <c r="K352" s="56">
        <f t="shared" si="15"/>
        <v>12</v>
      </c>
      <c r="L352" s="56">
        <f t="shared" si="16"/>
        <v>2025</v>
      </c>
      <c r="N352" s="50"/>
    </row>
    <row r="353" spans="1:14">
      <c r="A353" s="31" t="s">
        <v>3810</v>
      </c>
      <c r="B353" s="22">
        <v>459</v>
      </c>
      <c r="C353" s="38">
        <v>46018</v>
      </c>
      <c r="D353" s="13">
        <v>14602</v>
      </c>
      <c r="E353" s="32" t="s">
        <v>33</v>
      </c>
      <c r="F353" s="11" t="str">
        <f t="shared" si="17"/>
        <v>Accepted</v>
      </c>
      <c r="G353" s="19">
        <f>IF(ISERROR(VLOOKUP(A353,Report!A:D,3,FALSE)),"NOT FOUND",VLOOKUP(A353,Report!A:D,3,FALSE))</f>
        <v>14601.64</v>
      </c>
      <c r="H353" s="19">
        <f>IF(ISERROR(VLOOKUP(A353,Report!A:D,4,FALSE)),"NOT FOUND",VLOOKUP(A353,Report!A:D,4,FALSE))</f>
        <v>0</v>
      </c>
      <c r="I353" s="20" t="str">
        <f>IF(ISERROR(VLOOKUP(A353,Report!A:D,2,FALSE)),"NOT FOUND",VLOOKUP(A353,Report!A:D,2,FALSE))</f>
        <v>31-01-2026</v>
      </c>
      <c r="J353" s="53"/>
      <c r="K353" s="56">
        <f t="shared" si="15"/>
        <v>12</v>
      </c>
      <c r="L353" s="56">
        <f t="shared" si="16"/>
        <v>2025</v>
      </c>
      <c r="N353" s="50"/>
    </row>
    <row r="354" spans="1:14">
      <c r="A354" s="31" t="s">
        <v>3811</v>
      </c>
      <c r="B354" s="22">
        <v>460</v>
      </c>
      <c r="C354" s="38">
        <v>46018</v>
      </c>
      <c r="D354" s="13">
        <v>435</v>
      </c>
      <c r="E354" s="32" t="s">
        <v>33</v>
      </c>
      <c r="F354" s="11" t="str">
        <f t="shared" si="17"/>
        <v>Accepted</v>
      </c>
      <c r="G354" s="19">
        <f>IF(ISERROR(VLOOKUP(A354,Report!A:D,3,FALSE)),"NOT FOUND",VLOOKUP(A354,Report!A:D,3,FALSE))</f>
        <v>434.61</v>
      </c>
      <c r="H354" s="19">
        <f>IF(ISERROR(VLOOKUP(A354,Report!A:D,4,FALSE)),"NOT FOUND",VLOOKUP(A354,Report!A:D,4,FALSE))</f>
        <v>0</v>
      </c>
      <c r="I354" s="20" t="str">
        <f>IF(ISERROR(VLOOKUP(A354,Report!A:D,2,FALSE)),"NOT FOUND",VLOOKUP(A354,Report!A:D,2,FALSE))</f>
        <v>31-01-2026</v>
      </c>
      <c r="J354" s="53"/>
      <c r="K354" s="56">
        <f t="shared" si="15"/>
        <v>12</v>
      </c>
      <c r="L354" s="56">
        <f t="shared" si="16"/>
        <v>2025</v>
      </c>
      <c r="N354" s="50"/>
    </row>
    <row r="355" spans="1:14">
      <c r="A355" s="31" t="s">
        <v>3812</v>
      </c>
      <c r="B355" s="22">
        <v>461</v>
      </c>
      <c r="C355" s="38">
        <v>46018</v>
      </c>
      <c r="D355" s="13">
        <v>435</v>
      </c>
      <c r="E355" s="32" t="s">
        <v>33</v>
      </c>
      <c r="F355" s="11" t="str">
        <f t="shared" si="17"/>
        <v>Accepted</v>
      </c>
      <c r="G355" s="19">
        <f>IF(ISERROR(VLOOKUP(A355,Report!A:D,3,FALSE)),"NOT FOUND",VLOOKUP(A355,Report!A:D,3,FALSE))</f>
        <v>434.61</v>
      </c>
      <c r="H355" s="19">
        <f>IF(ISERROR(VLOOKUP(A355,Report!A:D,4,FALSE)),"NOT FOUND",VLOOKUP(A355,Report!A:D,4,FALSE))</f>
        <v>0</v>
      </c>
      <c r="I355" s="20" t="str">
        <f>IF(ISERROR(VLOOKUP(A355,Report!A:D,2,FALSE)),"NOT FOUND",VLOOKUP(A355,Report!A:D,2,FALSE))</f>
        <v>31-01-2026</v>
      </c>
      <c r="J355" s="53"/>
      <c r="K355" s="56">
        <f t="shared" si="15"/>
        <v>12</v>
      </c>
      <c r="L355" s="56">
        <f t="shared" si="16"/>
        <v>2025</v>
      </c>
      <c r="N355" s="50"/>
    </row>
    <row r="356" spans="1:14">
      <c r="A356" s="31" t="s">
        <v>3813</v>
      </c>
      <c r="B356" s="22">
        <v>462</v>
      </c>
      <c r="C356" s="38">
        <v>46018</v>
      </c>
      <c r="D356" s="13">
        <v>30335</v>
      </c>
      <c r="E356" s="32" t="s">
        <v>33</v>
      </c>
      <c r="F356" s="11" t="str">
        <f t="shared" si="17"/>
        <v>Accepted</v>
      </c>
      <c r="G356" s="19">
        <f>IF(ISERROR(VLOOKUP(A356,Report!A:D,3,FALSE)),"NOT FOUND",VLOOKUP(A356,Report!A:D,3,FALSE))</f>
        <v>30334.84</v>
      </c>
      <c r="H356" s="19">
        <f>IF(ISERROR(VLOOKUP(A356,Report!A:D,4,FALSE)),"NOT FOUND",VLOOKUP(A356,Report!A:D,4,FALSE))</f>
        <v>0</v>
      </c>
      <c r="I356" s="20" t="str">
        <f>IF(ISERROR(VLOOKUP(A356,Report!A:D,2,FALSE)),"NOT FOUND",VLOOKUP(A356,Report!A:D,2,FALSE))</f>
        <v>31-01-2026</v>
      </c>
      <c r="J356" s="53"/>
      <c r="K356" s="56">
        <f t="shared" si="15"/>
        <v>12</v>
      </c>
      <c r="L356" s="56">
        <f t="shared" si="16"/>
        <v>2025</v>
      </c>
      <c r="N356" s="50"/>
    </row>
    <row r="357" spans="1:14">
      <c r="A357" s="31" t="s">
        <v>3814</v>
      </c>
      <c r="B357" s="22">
        <v>463</v>
      </c>
      <c r="C357" s="38">
        <v>46018</v>
      </c>
      <c r="D357" s="13">
        <v>4956</v>
      </c>
      <c r="E357" s="32" t="s">
        <v>33</v>
      </c>
      <c r="F357" s="11" t="str">
        <f t="shared" si="17"/>
        <v>Accepted</v>
      </c>
      <c r="G357" s="19">
        <f>IF(ISERROR(VLOOKUP(A357,Report!A:D,3,FALSE)),"NOT FOUND",VLOOKUP(A357,Report!A:D,3,FALSE))</f>
        <v>4956</v>
      </c>
      <c r="H357" s="19">
        <f>IF(ISERROR(VLOOKUP(A357,Report!A:D,4,FALSE)),"NOT FOUND",VLOOKUP(A357,Report!A:D,4,FALSE))</f>
        <v>0</v>
      </c>
      <c r="I357" s="20" t="str">
        <f>IF(ISERROR(VLOOKUP(A357,Report!A:D,2,FALSE)),"NOT FOUND",VLOOKUP(A357,Report!A:D,2,FALSE))</f>
        <v>31-01-2026</v>
      </c>
      <c r="J357" s="53"/>
      <c r="K357" s="56">
        <f t="shared" si="15"/>
        <v>12</v>
      </c>
      <c r="L357" s="56">
        <f t="shared" si="16"/>
        <v>2025</v>
      </c>
      <c r="N357" s="50"/>
    </row>
    <row r="358" spans="1:14">
      <c r="A358" s="31" t="s">
        <v>3815</v>
      </c>
      <c r="B358" s="22">
        <v>464</v>
      </c>
      <c r="C358" s="38">
        <v>46018</v>
      </c>
      <c r="D358" s="13">
        <v>4956</v>
      </c>
      <c r="E358" s="32" t="s">
        <v>33</v>
      </c>
      <c r="F358" s="11" t="str">
        <f t="shared" si="17"/>
        <v>Accepted</v>
      </c>
      <c r="G358" s="19">
        <f>IF(ISERROR(VLOOKUP(A358,Report!A:D,3,FALSE)),"NOT FOUND",VLOOKUP(A358,Report!A:D,3,FALSE))</f>
        <v>4956</v>
      </c>
      <c r="H358" s="19">
        <f>IF(ISERROR(VLOOKUP(A358,Report!A:D,4,FALSE)),"NOT FOUND",VLOOKUP(A358,Report!A:D,4,FALSE))</f>
        <v>0</v>
      </c>
      <c r="I358" s="20" t="str">
        <f>IF(ISERROR(VLOOKUP(A358,Report!A:D,2,FALSE)),"NOT FOUND",VLOOKUP(A358,Report!A:D,2,FALSE))</f>
        <v>31-01-2026</v>
      </c>
      <c r="J358" s="53"/>
      <c r="K358" s="56">
        <f t="shared" si="15"/>
        <v>12</v>
      </c>
      <c r="L358" s="56">
        <f t="shared" si="16"/>
        <v>2025</v>
      </c>
      <c r="N358" s="50"/>
    </row>
    <row r="359" spans="1:14">
      <c r="A359" s="31" t="s">
        <v>3809</v>
      </c>
      <c r="B359" s="22">
        <v>465</v>
      </c>
      <c r="C359" s="38">
        <v>46018</v>
      </c>
      <c r="D359" s="13">
        <v>4956</v>
      </c>
      <c r="E359" s="32" t="s">
        <v>33</v>
      </c>
      <c r="F359" s="11" t="str">
        <f t="shared" si="17"/>
        <v>Accepted</v>
      </c>
      <c r="G359" s="19">
        <f>IF(ISERROR(VLOOKUP(A359,Report!A:D,3,FALSE)),"NOT FOUND",VLOOKUP(A359,Report!A:D,3,FALSE))</f>
        <v>17235.559999999998</v>
      </c>
      <c r="H359" s="19">
        <f>IF(ISERROR(VLOOKUP(A359,Report!A:D,4,FALSE)),"NOT FOUND",VLOOKUP(A359,Report!A:D,4,FALSE))</f>
        <v>0</v>
      </c>
      <c r="I359" s="20" t="str">
        <f>IF(ISERROR(VLOOKUP(A359,Report!A:D,2,FALSE)),"NOT FOUND",VLOOKUP(A359,Report!A:D,2,FALSE))</f>
        <v>31-01-2026</v>
      </c>
      <c r="J359" s="53"/>
      <c r="K359" s="56">
        <f t="shared" si="15"/>
        <v>12</v>
      </c>
      <c r="L359" s="56">
        <f t="shared" si="16"/>
        <v>2025</v>
      </c>
      <c r="N359" s="50"/>
    </row>
    <row r="360" spans="1:14">
      <c r="A360" s="31" t="s">
        <v>3816</v>
      </c>
      <c r="B360" s="22">
        <v>466</v>
      </c>
      <c r="C360" s="38">
        <v>46018</v>
      </c>
      <c r="D360" s="13">
        <v>128686</v>
      </c>
      <c r="E360" s="32" t="s">
        <v>33</v>
      </c>
      <c r="F360" s="11" t="str">
        <f t="shared" si="17"/>
        <v>Accepted</v>
      </c>
      <c r="G360" s="19">
        <f>IF(ISERROR(VLOOKUP(A360,Report!A:D,3,FALSE)),"NOT FOUND",VLOOKUP(A360,Report!A:D,3,FALSE))</f>
        <v>128685.56999999999</v>
      </c>
      <c r="H360" s="19">
        <f>IF(ISERROR(VLOOKUP(A360,Report!A:D,4,FALSE)),"NOT FOUND",VLOOKUP(A360,Report!A:D,4,FALSE))</f>
        <v>0</v>
      </c>
      <c r="I360" s="20" t="str">
        <f>IF(ISERROR(VLOOKUP(A360,Report!A:D,2,FALSE)),"NOT FOUND",VLOOKUP(A360,Report!A:D,2,FALSE))</f>
        <v>31-01-2026</v>
      </c>
      <c r="J360" s="53"/>
      <c r="K360" s="56">
        <f t="shared" si="15"/>
        <v>12</v>
      </c>
      <c r="L360" s="56">
        <f t="shared" si="16"/>
        <v>2025</v>
      </c>
      <c r="N360" s="50"/>
    </row>
    <row r="361" spans="1:14">
      <c r="A361" s="31"/>
      <c r="B361" s="22">
        <v>467</v>
      </c>
      <c r="C361" s="38">
        <v>46024</v>
      </c>
      <c r="D361" s="13"/>
      <c r="E361" s="32"/>
      <c r="F361" s="11" t="e">
        <f t="shared" si="17"/>
        <v>#VALUE!</v>
      </c>
      <c r="G361" s="19" t="str">
        <f>IF(ISERROR(VLOOKUP(A361,Report!A:D,3,FALSE)),"NOT FOUND",VLOOKUP(A361,Report!A:D,3,FALSE))</f>
        <v>NOT FOUND</v>
      </c>
      <c r="H361" s="19" t="str">
        <f>IF(ISERROR(VLOOKUP(A361,Report!A:D,4,FALSE)),"NOT FOUND",VLOOKUP(A361,Report!A:D,4,FALSE))</f>
        <v>NOT FOUND</v>
      </c>
      <c r="I361" s="20" t="str">
        <f>IF(ISERROR(VLOOKUP(A361,Report!A:D,2,FALSE)),"NOT FOUND",VLOOKUP(A361,Report!A:D,2,FALSE))</f>
        <v>NOT FOUND</v>
      </c>
      <c r="J361" s="53" t="s">
        <v>43</v>
      </c>
      <c r="K361" s="56">
        <f t="shared" si="15"/>
        <v>1</v>
      </c>
      <c r="L361" s="56">
        <f t="shared" si="16"/>
        <v>2026</v>
      </c>
      <c r="N361" s="50"/>
    </row>
    <row r="362" spans="1:14">
      <c r="A362" s="31" t="s">
        <v>3817</v>
      </c>
      <c r="B362" s="22">
        <v>468</v>
      </c>
      <c r="C362" s="38">
        <v>46018</v>
      </c>
      <c r="D362" s="13">
        <v>4956</v>
      </c>
      <c r="E362" s="32" t="s">
        <v>33</v>
      </c>
      <c r="F362" s="11" t="str">
        <f t="shared" si="17"/>
        <v>Accepted</v>
      </c>
      <c r="G362" s="19">
        <f>IF(ISERROR(VLOOKUP(A362,Report!A:D,3,FALSE)),"NOT FOUND",VLOOKUP(A362,Report!A:D,3,FALSE))</f>
        <v>4956</v>
      </c>
      <c r="H362" s="19">
        <f>IF(ISERROR(VLOOKUP(A362,Report!A:D,4,FALSE)),"NOT FOUND",VLOOKUP(A362,Report!A:D,4,FALSE))</f>
        <v>0</v>
      </c>
      <c r="I362" s="20" t="str">
        <f>IF(ISERROR(VLOOKUP(A362,Report!A:D,2,FALSE)),"NOT FOUND",VLOOKUP(A362,Report!A:D,2,FALSE))</f>
        <v>31-01-2026</v>
      </c>
      <c r="J362" s="53"/>
      <c r="K362" s="56">
        <f t="shared" si="15"/>
        <v>12</v>
      </c>
      <c r="L362" s="56">
        <f t="shared" si="16"/>
        <v>2025</v>
      </c>
      <c r="N362" s="50"/>
    </row>
    <row r="363" spans="1:14">
      <c r="A363" s="31" t="s">
        <v>3818</v>
      </c>
      <c r="B363" s="22">
        <v>469</v>
      </c>
      <c r="C363" s="38">
        <v>46018</v>
      </c>
      <c r="D363" s="13">
        <v>4956</v>
      </c>
      <c r="E363" s="32" t="s">
        <v>33</v>
      </c>
      <c r="F363" s="11" t="str">
        <f t="shared" si="17"/>
        <v>Accepted</v>
      </c>
      <c r="G363" s="19">
        <f>IF(ISERROR(VLOOKUP(A363,Report!A:D,3,FALSE)),"NOT FOUND",VLOOKUP(A363,Report!A:D,3,FALSE))</f>
        <v>4956</v>
      </c>
      <c r="H363" s="19">
        <f>IF(ISERROR(VLOOKUP(A363,Report!A:D,4,FALSE)),"NOT FOUND",VLOOKUP(A363,Report!A:D,4,FALSE))</f>
        <v>0</v>
      </c>
      <c r="I363" s="20" t="str">
        <f>IF(ISERROR(VLOOKUP(A363,Report!A:D,2,FALSE)),"NOT FOUND",VLOOKUP(A363,Report!A:D,2,FALSE))</f>
        <v>31-01-2026</v>
      </c>
      <c r="J363" s="53"/>
      <c r="K363" s="56">
        <f t="shared" si="15"/>
        <v>12</v>
      </c>
      <c r="L363" s="56">
        <f t="shared" si="16"/>
        <v>2025</v>
      </c>
      <c r="N363" s="50"/>
    </row>
    <row r="364" spans="1:14">
      <c r="A364" s="31" t="s">
        <v>3819</v>
      </c>
      <c r="B364" s="22">
        <v>470</v>
      </c>
      <c r="C364" s="38">
        <v>46018</v>
      </c>
      <c r="D364" s="13">
        <v>4956</v>
      </c>
      <c r="E364" s="32" t="s">
        <v>33</v>
      </c>
      <c r="F364" s="11" t="str">
        <f t="shared" si="17"/>
        <v>Accepted</v>
      </c>
      <c r="G364" s="19">
        <f>IF(ISERROR(VLOOKUP(A364,Report!A:D,3,FALSE)),"NOT FOUND",VLOOKUP(A364,Report!A:D,3,FALSE))</f>
        <v>4956</v>
      </c>
      <c r="H364" s="19">
        <f>IF(ISERROR(VLOOKUP(A364,Report!A:D,4,FALSE)),"NOT FOUND",VLOOKUP(A364,Report!A:D,4,FALSE))</f>
        <v>0</v>
      </c>
      <c r="I364" s="20" t="str">
        <f>IF(ISERROR(VLOOKUP(A364,Report!A:D,2,FALSE)),"NOT FOUND",VLOOKUP(A364,Report!A:D,2,FALSE))</f>
        <v>31-01-2026</v>
      </c>
      <c r="J364" s="53"/>
      <c r="K364" s="56">
        <f t="shared" si="15"/>
        <v>12</v>
      </c>
      <c r="L364" s="56">
        <f t="shared" si="16"/>
        <v>2025</v>
      </c>
      <c r="N364" s="50"/>
    </row>
    <row r="365" spans="1:14">
      <c r="A365" s="31" t="s">
        <v>3820</v>
      </c>
      <c r="B365" s="22">
        <v>471</v>
      </c>
      <c r="C365" s="38">
        <v>46021</v>
      </c>
      <c r="D365" s="13">
        <v>2678</v>
      </c>
      <c r="E365" s="32" t="s">
        <v>33</v>
      </c>
      <c r="F365" s="11" t="str">
        <f t="shared" si="17"/>
        <v>Partial/Rejected</v>
      </c>
      <c r="G365" s="19">
        <f>IF(ISERROR(VLOOKUP(A365,Report!A:D,3,FALSE)),"NOT FOUND",VLOOKUP(A365,Report!A:D,3,FALSE))</f>
        <v>0</v>
      </c>
      <c r="H365" s="19">
        <f>IF(ISERROR(VLOOKUP(A365,Report!A:D,4,FALSE)),"NOT FOUND",VLOOKUP(A365,Report!A:D,4,FALSE))</f>
        <v>2677.94</v>
      </c>
      <c r="I365" s="20" t="str">
        <f>IF(ISERROR(VLOOKUP(A365,Report!A:D,2,FALSE)),"NOT FOUND",VLOOKUP(A365,Report!A:D,2,FALSE))</f>
        <v>31-01-2026</v>
      </c>
      <c r="J365" s="53"/>
      <c r="K365" s="56">
        <f t="shared" si="15"/>
        <v>12</v>
      </c>
      <c r="L365" s="56">
        <f t="shared" si="16"/>
        <v>2025</v>
      </c>
      <c r="N365" s="50"/>
    </row>
    <row r="366" spans="1:14">
      <c r="A366" s="31" t="s">
        <v>3821</v>
      </c>
      <c r="B366" s="22">
        <v>472</v>
      </c>
      <c r="C366" s="38">
        <v>46021</v>
      </c>
      <c r="D366" s="13">
        <v>496</v>
      </c>
      <c r="E366" s="32" t="s">
        <v>33</v>
      </c>
      <c r="F366" s="11" t="str">
        <f t="shared" si="17"/>
        <v>Accepted</v>
      </c>
      <c r="G366" s="19">
        <f>IF(ISERROR(VLOOKUP(A366,Report!A:D,3,FALSE)),"NOT FOUND",VLOOKUP(A366,Report!A:D,3,FALSE))</f>
        <v>495.6</v>
      </c>
      <c r="H366" s="19">
        <f>IF(ISERROR(VLOOKUP(A366,Report!A:D,4,FALSE)),"NOT FOUND",VLOOKUP(A366,Report!A:D,4,FALSE))</f>
        <v>0</v>
      </c>
      <c r="I366" s="20" t="str">
        <f>IF(ISERROR(VLOOKUP(A366,Report!A:D,2,FALSE)),"NOT FOUND",VLOOKUP(A366,Report!A:D,2,FALSE))</f>
        <v>31-01-2026</v>
      </c>
      <c r="J366" s="53"/>
      <c r="K366" s="56">
        <f t="shared" si="15"/>
        <v>12</v>
      </c>
      <c r="L366" s="56">
        <f t="shared" si="16"/>
        <v>2025</v>
      </c>
      <c r="N366" s="50"/>
    </row>
    <row r="367" spans="1:14">
      <c r="A367" s="31" t="s">
        <v>3822</v>
      </c>
      <c r="B367" s="22">
        <v>473</v>
      </c>
      <c r="C367" s="38">
        <v>46021</v>
      </c>
      <c r="D367" s="13">
        <v>22192</v>
      </c>
      <c r="E367" s="32" t="s">
        <v>33</v>
      </c>
      <c r="F367" s="11" t="str">
        <f t="shared" si="17"/>
        <v>Accepted</v>
      </c>
      <c r="G367" s="19">
        <f>IF(ISERROR(VLOOKUP(A367,Report!A:D,3,FALSE)),"NOT FOUND",VLOOKUP(A367,Report!A:D,3,FALSE))</f>
        <v>22191.559999999998</v>
      </c>
      <c r="H367" s="19">
        <f>IF(ISERROR(VLOOKUP(A367,Report!A:D,4,FALSE)),"NOT FOUND",VLOOKUP(A367,Report!A:D,4,FALSE))</f>
        <v>0</v>
      </c>
      <c r="I367" s="20" t="str">
        <f>IF(ISERROR(VLOOKUP(A367,Report!A:D,2,FALSE)),"NOT FOUND",VLOOKUP(A367,Report!A:D,2,FALSE))</f>
        <v>31-01-2026</v>
      </c>
      <c r="J367" s="53"/>
      <c r="K367" s="56">
        <f t="shared" si="15"/>
        <v>12</v>
      </c>
      <c r="L367" s="56">
        <f t="shared" si="16"/>
        <v>2025</v>
      </c>
      <c r="N367" s="50"/>
    </row>
    <row r="368" spans="1:14">
      <c r="A368" s="31" t="s">
        <v>3823</v>
      </c>
      <c r="B368" s="22">
        <v>474</v>
      </c>
      <c r="C368" s="38">
        <v>46021</v>
      </c>
      <c r="D368" s="13">
        <v>22192</v>
      </c>
      <c r="E368" s="32" t="s">
        <v>33</v>
      </c>
      <c r="F368" s="11" t="str">
        <f t="shared" si="17"/>
        <v>Accepted</v>
      </c>
      <c r="G368" s="19">
        <f>IF(ISERROR(VLOOKUP(A368,Report!A:D,3,FALSE)),"NOT FOUND",VLOOKUP(A368,Report!A:D,3,FALSE))</f>
        <v>22191.559999999998</v>
      </c>
      <c r="H368" s="19">
        <f>IF(ISERROR(VLOOKUP(A368,Report!A:D,4,FALSE)),"NOT FOUND",VLOOKUP(A368,Report!A:D,4,FALSE))</f>
        <v>0</v>
      </c>
      <c r="I368" s="20" t="str">
        <f>IF(ISERROR(VLOOKUP(A368,Report!A:D,2,FALSE)),"NOT FOUND",VLOOKUP(A368,Report!A:D,2,FALSE))</f>
        <v>31-01-2026</v>
      </c>
      <c r="J368" s="53"/>
      <c r="K368" s="56">
        <f t="shared" si="15"/>
        <v>12</v>
      </c>
      <c r="L368" s="56">
        <f t="shared" si="16"/>
        <v>2025</v>
      </c>
      <c r="N368" s="50"/>
    </row>
    <row r="369" spans="1:14">
      <c r="A369" s="31"/>
      <c r="B369" s="22">
        <v>475</v>
      </c>
      <c r="C369" s="11"/>
      <c r="D369" s="13"/>
      <c r="E369" s="32"/>
      <c r="F369" s="11" t="e">
        <f t="shared" si="17"/>
        <v>#VALUE!</v>
      </c>
      <c r="G369" s="19" t="str">
        <f>IF(ISERROR(VLOOKUP(A369,Report!A:D,3,FALSE)),"NOT FOUND",VLOOKUP(A369,Report!A:D,3,FALSE))</f>
        <v>NOT FOUND</v>
      </c>
      <c r="H369" s="19" t="str">
        <f>IF(ISERROR(VLOOKUP(A369,Report!A:D,4,FALSE)),"NOT FOUND",VLOOKUP(A369,Report!A:D,4,FALSE))</f>
        <v>NOT FOUND</v>
      </c>
      <c r="I369" s="20" t="str">
        <f>IF(ISERROR(VLOOKUP(A369,Report!A:D,2,FALSE)),"NOT FOUND",VLOOKUP(A369,Report!A:D,2,FALSE))</f>
        <v>NOT FOUND</v>
      </c>
      <c r="J369" s="53" t="s">
        <v>3909</v>
      </c>
      <c r="K369" s="56">
        <f t="shared" si="15"/>
        <v>1</v>
      </c>
      <c r="L369" s="56">
        <f t="shared" si="16"/>
        <v>1900</v>
      </c>
      <c r="N369" s="50"/>
    </row>
    <row r="370" spans="1:14">
      <c r="A370" s="31"/>
      <c r="B370" s="22">
        <v>476</v>
      </c>
      <c r="C370" s="11"/>
      <c r="D370" s="13"/>
      <c r="E370" s="32"/>
      <c r="F370" s="11" t="e">
        <f t="shared" si="17"/>
        <v>#VALUE!</v>
      </c>
      <c r="G370" s="19" t="str">
        <f>IF(ISERROR(VLOOKUP(A370,Report!A:D,3,FALSE)),"NOT FOUND",VLOOKUP(A370,Report!A:D,3,FALSE))</f>
        <v>NOT FOUND</v>
      </c>
      <c r="H370" s="19" t="str">
        <f>IF(ISERROR(VLOOKUP(A370,Report!A:D,4,FALSE)),"NOT FOUND",VLOOKUP(A370,Report!A:D,4,FALSE))</f>
        <v>NOT FOUND</v>
      </c>
      <c r="I370" s="20" t="str">
        <f>IF(ISERROR(VLOOKUP(A370,Report!A:D,2,FALSE)),"NOT FOUND",VLOOKUP(A370,Report!A:D,2,FALSE))</f>
        <v>NOT FOUND</v>
      </c>
      <c r="J370" s="53" t="s">
        <v>43</v>
      </c>
      <c r="K370" s="56">
        <f t="shared" si="15"/>
        <v>1</v>
      </c>
      <c r="L370" s="56">
        <f t="shared" si="16"/>
        <v>1900</v>
      </c>
      <c r="N370" s="50"/>
    </row>
    <row r="371" spans="1:14">
      <c r="A371" s="31" t="s">
        <v>3824</v>
      </c>
      <c r="B371" s="22">
        <v>477</v>
      </c>
      <c r="C371" s="38">
        <v>46021</v>
      </c>
      <c r="D371" s="13">
        <v>22192</v>
      </c>
      <c r="E371" s="32" t="s">
        <v>33</v>
      </c>
      <c r="F371" s="11" t="str">
        <f t="shared" si="17"/>
        <v>Accepted</v>
      </c>
      <c r="G371" s="19">
        <f>IF(ISERROR(VLOOKUP(A371,Report!A:D,3,FALSE)),"NOT FOUND",VLOOKUP(A371,Report!A:D,3,FALSE))</f>
        <v>22191.559999999998</v>
      </c>
      <c r="H371" s="19">
        <f>IF(ISERROR(VLOOKUP(A371,Report!A:D,4,FALSE)),"NOT FOUND",VLOOKUP(A371,Report!A:D,4,FALSE))</f>
        <v>0</v>
      </c>
      <c r="I371" s="20" t="str">
        <f>IF(ISERROR(VLOOKUP(A371,Report!A:D,2,FALSE)),"NOT FOUND",VLOOKUP(A371,Report!A:D,2,FALSE))</f>
        <v>31-01-2026</v>
      </c>
      <c r="J371" s="53"/>
      <c r="K371" s="56">
        <f t="shared" si="15"/>
        <v>12</v>
      </c>
      <c r="L371" s="56">
        <f t="shared" si="16"/>
        <v>2025</v>
      </c>
      <c r="N371" s="50"/>
    </row>
    <row r="372" spans="1:14">
      <c r="A372" s="31" t="s">
        <v>3825</v>
      </c>
      <c r="B372" s="22">
        <v>478</v>
      </c>
      <c r="C372" s="38">
        <v>46021</v>
      </c>
      <c r="D372" s="13">
        <v>4956</v>
      </c>
      <c r="E372" s="32" t="s">
        <v>33</v>
      </c>
      <c r="F372" s="11" t="str">
        <f t="shared" si="17"/>
        <v>Accepted</v>
      </c>
      <c r="G372" s="19">
        <f>IF(ISERROR(VLOOKUP(A372,Report!A:D,3,FALSE)),"NOT FOUND",VLOOKUP(A372,Report!A:D,3,FALSE))</f>
        <v>4956</v>
      </c>
      <c r="H372" s="19">
        <f>IF(ISERROR(VLOOKUP(A372,Report!A:D,4,FALSE)),"NOT FOUND",VLOOKUP(A372,Report!A:D,4,FALSE))</f>
        <v>0</v>
      </c>
      <c r="I372" s="20" t="str">
        <f>IF(ISERROR(VLOOKUP(A372,Report!A:D,2,FALSE)),"NOT FOUND",VLOOKUP(A372,Report!A:D,2,FALSE))</f>
        <v>31-01-2026</v>
      </c>
      <c r="J372" s="53"/>
      <c r="K372" s="56">
        <f t="shared" si="15"/>
        <v>12</v>
      </c>
      <c r="L372" s="56">
        <f t="shared" si="16"/>
        <v>2025</v>
      </c>
      <c r="N372" s="50"/>
    </row>
    <row r="373" spans="1:14">
      <c r="A373" s="31" t="s">
        <v>3826</v>
      </c>
      <c r="B373" s="22">
        <v>479</v>
      </c>
      <c r="C373" s="38">
        <v>46021</v>
      </c>
      <c r="D373" s="13">
        <v>4956</v>
      </c>
      <c r="E373" s="32" t="s">
        <v>33</v>
      </c>
      <c r="F373" s="11" t="str">
        <f t="shared" si="17"/>
        <v>Accepted</v>
      </c>
      <c r="G373" s="19">
        <f>IF(ISERROR(VLOOKUP(A373,Report!A:D,3,FALSE)),"NOT FOUND",VLOOKUP(A373,Report!A:D,3,FALSE))</f>
        <v>4956</v>
      </c>
      <c r="H373" s="19">
        <f>IF(ISERROR(VLOOKUP(A373,Report!A:D,4,FALSE)),"NOT FOUND",VLOOKUP(A373,Report!A:D,4,FALSE))</f>
        <v>0</v>
      </c>
      <c r="I373" s="20" t="str">
        <f>IF(ISERROR(VLOOKUP(A373,Report!A:D,2,FALSE)),"NOT FOUND",VLOOKUP(A373,Report!A:D,2,FALSE))</f>
        <v>31-01-2026</v>
      </c>
      <c r="J373" s="53"/>
      <c r="K373" s="56">
        <f t="shared" si="15"/>
        <v>12</v>
      </c>
      <c r="L373" s="56">
        <f t="shared" si="16"/>
        <v>2025</v>
      </c>
      <c r="N373" s="50"/>
    </row>
    <row r="374" spans="1:14">
      <c r="A374" s="31" t="s">
        <v>3827</v>
      </c>
      <c r="B374" s="22">
        <v>480</v>
      </c>
      <c r="C374" s="38">
        <v>46021</v>
      </c>
      <c r="D374" s="13">
        <v>4956</v>
      </c>
      <c r="E374" s="32" t="s">
        <v>33</v>
      </c>
      <c r="F374" s="11" t="str">
        <f t="shared" si="17"/>
        <v>Accepted</v>
      </c>
      <c r="G374" s="19">
        <f>IF(ISERROR(VLOOKUP(A374,Report!A:D,3,FALSE)),"NOT FOUND",VLOOKUP(A374,Report!A:D,3,FALSE))</f>
        <v>4956</v>
      </c>
      <c r="H374" s="19">
        <f>IF(ISERROR(VLOOKUP(A374,Report!A:D,4,FALSE)),"NOT FOUND",VLOOKUP(A374,Report!A:D,4,FALSE))</f>
        <v>0</v>
      </c>
      <c r="I374" s="20" t="str">
        <f>IF(ISERROR(VLOOKUP(A374,Report!A:D,2,FALSE)),"NOT FOUND",VLOOKUP(A374,Report!A:D,2,FALSE))</f>
        <v>31-01-2026</v>
      </c>
      <c r="J374" s="53"/>
      <c r="K374" s="56">
        <f t="shared" si="15"/>
        <v>12</v>
      </c>
      <c r="L374" s="56">
        <f t="shared" si="16"/>
        <v>2025</v>
      </c>
      <c r="N374" s="50"/>
    </row>
    <row r="375" spans="1:14">
      <c r="A375" s="31" t="s">
        <v>3828</v>
      </c>
      <c r="B375" s="22"/>
      <c r="C375" s="38">
        <v>46022</v>
      </c>
      <c r="D375" s="13">
        <v>4071</v>
      </c>
      <c r="E375" s="32" t="s">
        <v>153</v>
      </c>
      <c r="F375" s="11" t="str">
        <f t="shared" si="17"/>
        <v>Accepted</v>
      </c>
      <c r="G375" s="19">
        <f>IF(ISERROR(VLOOKUP(A375,Report!A:D,3,FALSE)),"NOT FOUND",VLOOKUP(A375,Report!A:D,3,FALSE))</f>
        <v>4071</v>
      </c>
      <c r="H375" s="19">
        <f>IF(ISERROR(VLOOKUP(A375,Report!A:D,4,FALSE)),"NOT FOUND",VLOOKUP(A375,Report!A:D,4,FALSE))</f>
        <v>0</v>
      </c>
      <c r="I375" s="20" t="str">
        <f>IF(ISERROR(VLOOKUP(A375,Report!A:D,2,FALSE)),"NOT FOUND",VLOOKUP(A375,Report!A:D,2,FALSE))</f>
        <v>13-Feb-26</v>
      </c>
      <c r="J375" s="53"/>
      <c r="K375" s="56">
        <f t="shared" si="15"/>
        <v>12</v>
      </c>
      <c r="L375" s="56">
        <f t="shared" si="16"/>
        <v>2025</v>
      </c>
      <c r="N375" s="50"/>
    </row>
    <row r="376" spans="1:14">
      <c r="A376" s="31" t="s">
        <v>3829</v>
      </c>
      <c r="B376" s="22"/>
      <c r="C376" s="38">
        <v>46022</v>
      </c>
      <c r="D376" s="13">
        <v>4071</v>
      </c>
      <c r="E376" s="32" t="s">
        <v>153</v>
      </c>
      <c r="F376" s="11" t="str">
        <f t="shared" si="17"/>
        <v>Accepted</v>
      </c>
      <c r="G376" s="19">
        <f>IF(ISERROR(VLOOKUP(A376,Report!A:D,3,FALSE)),"NOT FOUND",VLOOKUP(A376,Report!A:D,3,FALSE))</f>
        <v>4071</v>
      </c>
      <c r="H376" s="19">
        <f>IF(ISERROR(VLOOKUP(A376,Report!A:D,4,FALSE)),"NOT FOUND",VLOOKUP(A376,Report!A:D,4,FALSE))</f>
        <v>0</v>
      </c>
      <c r="I376" s="20" t="str">
        <f>IF(ISERROR(VLOOKUP(A376,Report!A:D,2,FALSE)),"NOT FOUND",VLOOKUP(A376,Report!A:D,2,FALSE))</f>
        <v>13-Feb-26</v>
      </c>
      <c r="J376" s="53"/>
      <c r="K376" s="56">
        <f t="shared" si="15"/>
        <v>12</v>
      </c>
      <c r="L376" s="56">
        <f t="shared" si="16"/>
        <v>2025</v>
      </c>
      <c r="N376" s="50"/>
    </row>
    <row r="377" spans="1:14">
      <c r="A377" s="31" t="s">
        <v>3830</v>
      </c>
      <c r="B377" s="22"/>
      <c r="C377" s="38">
        <v>46022</v>
      </c>
      <c r="D377" s="13">
        <v>20532</v>
      </c>
      <c r="E377" s="32" t="s">
        <v>153</v>
      </c>
      <c r="F377" s="11" t="str">
        <f t="shared" si="17"/>
        <v>Accepted</v>
      </c>
      <c r="G377" s="19">
        <f>IF(ISERROR(VLOOKUP(A377,Report!A:D,3,FALSE)),"NOT FOUND",VLOOKUP(A377,Report!A:D,3,FALSE))</f>
        <v>20532</v>
      </c>
      <c r="H377" s="19">
        <f>IF(ISERROR(VLOOKUP(A377,Report!A:D,4,FALSE)),"NOT FOUND",VLOOKUP(A377,Report!A:D,4,FALSE))</f>
        <v>0</v>
      </c>
      <c r="I377" s="20" t="str">
        <f>IF(ISERROR(VLOOKUP(A377,Report!A:D,2,FALSE)),"NOT FOUND",VLOOKUP(A377,Report!A:D,2,FALSE))</f>
        <v>13-Feb-26</v>
      </c>
      <c r="J377" s="53"/>
      <c r="K377" s="56">
        <f t="shared" si="15"/>
        <v>12</v>
      </c>
      <c r="L377" s="56">
        <f t="shared" si="16"/>
        <v>2025</v>
      </c>
      <c r="N377" s="50"/>
    </row>
    <row r="378" spans="1:14">
      <c r="A378" s="31" t="s">
        <v>3831</v>
      </c>
      <c r="B378" s="22"/>
      <c r="C378" s="38">
        <v>46022</v>
      </c>
      <c r="D378" s="13">
        <v>186794</v>
      </c>
      <c r="E378" s="32" t="s">
        <v>154</v>
      </c>
      <c r="F378" s="11" t="str">
        <f t="shared" si="17"/>
        <v>Accepted</v>
      </c>
      <c r="G378" s="19">
        <f>IF(ISERROR(VLOOKUP(A378,Report!A:D,3,FALSE)),"NOT FOUND",VLOOKUP(A378,Report!A:D,3,FALSE))</f>
        <v>186794</v>
      </c>
      <c r="H378" s="19">
        <f>IF(ISERROR(VLOOKUP(A378,Report!A:D,4,FALSE)),"NOT FOUND",VLOOKUP(A378,Report!A:D,4,FALSE))</f>
        <v>9390</v>
      </c>
      <c r="I378" s="20" t="str">
        <f>IF(ISERROR(VLOOKUP(A378,Report!A:D,2,FALSE)),"NOT FOUND",VLOOKUP(A378,Report!A:D,2,FALSE))</f>
        <v>12-Feb-26</v>
      </c>
      <c r="J378" s="53"/>
      <c r="K378" s="56">
        <f t="shared" si="15"/>
        <v>12</v>
      </c>
      <c r="L378" s="56">
        <f t="shared" si="16"/>
        <v>2025</v>
      </c>
      <c r="N378" s="50"/>
    </row>
    <row r="379" spans="1:14">
      <c r="A379" s="31" t="s">
        <v>3907</v>
      </c>
      <c r="B379" s="22"/>
      <c r="C379" s="38">
        <v>46022</v>
      </c>
      <c r="D379" s="13">
        <v>1475</v>
      </c>
      <c r="E379" s="32" t="s">
        <v>154</v>
      </c>
      <c r="F379" s="11" t="str">
        <f t="shared" si="17"/>
        <v>Accepted</v>
      </c>
      <c r="G379" s="19">
        <f>IF(ISERROR(VLOOKUP(A379,Report!A:D,3,FALSE)),"NOT FOUND",VLOOKUP(A379,Report!A:D,3,FALSE))</f>
        <v>1475</v>
      </c>
      <c r="H379" s="19">
        <f>IF(ISERROR(VLOOKUP(A379,Report!A:D,4,FALSE)),"NOT FOUND",VLOOKUP(A379,Report!A:D,4,FALSE))</f>
        <v>1250</v>
      </c>
      <c r="I379" s="20" t="str">
        <f>IF(ISERROR(VLOOKUP(A379,Report!A:D,2,FALSE)),"NOT FOUND",VLOOKUP(A379,Report!A:D,2,FALSE))</f>
        <v>12-Feb-26</v>
      </c>
      <c r="J379" s="53"/>
      <c r="K379" s="56">
        <f t="shared" si="15"/>
        <v>12</v>
      </c>
      <c r="L379" s="56">
        <f t="shared" si="16"/>
        <v>2025</v>
      </c>
      <c r="N379" s="50"/>
    </row>
    <row r="380" spans="1:14">
      <c r="A380" s="11" t="s">
        <v>3908</v>
      </c>
      <c r="B380" s="40"/>
      <c r="C380" s="38">
        <v>46022</v>
      </c>
      <c r="D380" s="13">
        <v>1475</v>
      </c>
      <c r="E380" s="32" t="s">
        <v>154</v>
      </c>
      <c r="F380" s="11" t="str">
        <f t="shared" si="17"/>
        <v>Accepted</v>
      </c>
      <c r="G380" s="19">
        <f>IF(ISERROR(VLOOKUP(A380,Report!A:D,3,FALSE)),"NOT FOUND",VLOOKUP(A380,Report!A:D,3,FALSE))</f>
        <v>1475</v>
      </c>
      <c r="H380" s="19">
        <f>IF(ISERROR(VLOOKUP(A380,Report!A:D,4,FALSE)),"NOT FOUND",VLOOKUP(A380,Report!A:D,4,FALSE))</f>
        <v>0</v>
      </c>
      <c r="I380" s="20" t="str">
        <f>IF(ISERROR(VLOOKUP(A380,Report!A:D,2,FALSE)),"NOT FOUND",VLOOKUP(A380,Report!A:D,2,FALSE))</f>
        <v>12-Feb-26</v>
      </c>
      <c r="J380" s="53"/>
      <c r="K380" s="56">
        <f t="shared" si="15"/>
        <v>12</v>
      </c>
      <c r="L380" s="56">
        <f t="shared" si="16"/>
        <v>2025</v>
      </c>
      <c r="N380" s="50"/>
    </row>
    <row r="381" spans="1:14">
      <c r="A381" s="34" t="s">
        <v>4517</v>
      </c>
      <c r="B381" s="40"/>
      <c r="C381" s="38">
        <v>46051</v>
      </c>
      <c r="D381" s="41">
        <v>103</v>
      </c>
      <c r="E381" s="32" t="s">
        <v>33</v>
      </c>
      <c r="F381" s="11" t="str">
        <f t="shared" si="17"/>
        <v>Accepted</v>
      </c>
      <c r="G381" s="19">
        <f>IF(ISERROR(VLOOKUP(A381,Report!A:D,3,FALSE)),"NOT FOUND",VLOOKUP(A381,Report!A:D,3,FALSE))</f>
        <v>103.25</v>
      </c>
      <c r="H381" s="19">
        <f>IF(ISERROR(VLOOKUP(A381,Report!A:D,4,FALSE)),"NOT FOUND",VLOOKUP(A381,Report!A:D,4,FALSE))</f>
        <v>0</v>
      </c>
      <c r="I381" s="20" t="str">
        <f>IF(ISERROR(VLOOKUP(A381,Report!A:D,2,FALSE)),"NOT FOUND",VLOOKUP(A381,Report!A:D,2,FALSE))</f>
        <v>27-02-2026</v>
      </c>
      <c r="J381" s="53"/>
      <c r="K381" s="56">
        <f t="shared" si="15"/>
        <v>1</v>
      </c>
      <c r="L381" s="56">
        <f t="shared" si="16"/>
        <v>2026</v>
      </c>
      <c r="N381" s="50"/>
    </row>
    <row r="382" spans="1:14">
      <c r="A382" s="34" t="s">
        <v>4510</v>
      </c>
      <c r="B382" s="40"/>
      <c r="C382" s="38">
        <v>46051</v>
      </c>
      <c r="D382" s="41">
        <v>103</v>
      </c>
      <c r="E382" s="32" t="s">
        <v>33</v>
      </c>
      <c r="F382" s="11" t="str">
        <f t="shared" si="17"/>
        <v>Accepted</v>
      </c>
      <c r="G382" s="19">
        <f>IF(ISERROR(VLOOKUP(A382,Report!A:D,3,FALSE)),"NOT FOUND",VLOOKUP(A382,Report!A:D,3,FALSE))</f>
        <v>103.25</v>
      </c>
      <c r="H382" s="19">
        <f>IF(ISERROR(VLOOKUP(A382,Report!A:D,4,FALSE)),"NOT FOUND",VLOOKUP(A382,Report!A:D,4,FALSE))</f>
        <v>0</v>
      </c>
      <c r="I382" s="20" t="str">
        <f>IF(ISERROR(VLOOKUP(A382,Report!A:D,2,FALSE)),"NOT FOUND",VLOOKUP(A382,Report!A:D,2,FALSE))</f>
        <v>27-02-2026</v>
      </c>
      <c r="J382" s="53"/>
      <c r="K382" s="56">
        <f t="shared" ref="K382:K445" si="18">MONTH(C382)</f>
        <v>1</v>
      </c>
      <c r="L382" s="56">
        <f t="shared" ref="L382:L445" si="19">YEAR(C382)</f>
        <v>2026</v>
      </c>
      <c r="N382" s="50"/>
    </row>
    <row r="383" spans="1:14">
      <c r="A383" s="34" t="s">
        <v>4733</v>
      </c>
      <c r="B383" s="40"/>
      <c r="C383" s="38">
        <v>46051</v>
      </c>
      <c r="D383" s="41">
        <v>103</v>
      </c>
      <c r="E383" s="32" t="s">
        <v>33</v>
      </c>
      <c r="F383" s="11" t="str">
        <f t="shared" si="17"/>
        <v>Accepted</v>
      </c>
      <c r="G383" s="19">
        <f>IF(ISERROR(VLOOKUP(A383,Report!A:D,3,FALSE)),"NOT FOUND",VLOOKUP(A383,Report!A:D,3,FALSE))</f>
        <v>103.25</v>
      </c>
      <c r="H383" s="19">
        <f>IF(ISERROR(VLOOKUP(A383,Report!A:D,4,FALSE)),"NOT FOUND",VLOOKUP(A383,Report!A:D,4,FALSE))</f>
        <v>0</v>
      </c>
      <c r="I383" s="20" t="str">
        <f>IF(ISERROR(VLOOKUP(A383,Report!A:D,2,FALSE)),"NOT FOUND",VLOOKUP(A383,Report!A:D,2,FALSE))</f>
        <v>27-02-2026</v>
      </c>
      <c r="J383" s="53"/>
      <c r="K383" s="56">
        <f t="shared" si="18"/>
        <v>1</v>
      </c>
      <c r="L383" s="56">
        <f t="shared" si="19"/>
        <v>2026</v>
      </c>
      <c r="N383" s="50"/>
    </row>
    <row r="384" spans="1:14">
      <c r="A384" s="34" t="s">
        <v>4673</v>
      </c>
      <c r="B384" s="40"/>
      <c r="C384" s="38">
        <v>46051</v>
      </c>
      <c r="D384" s="41">
        <v>103</v>
      </c>
      <c r="E384" s="32" t="s">
        <v>33</v>
      </c>
      <c r="F384" s="11" t="str">
        <f t="shared" ref="F384:F447" si="20">IF((D384-G384)&lt;10,"Accepted","Partial/Rejected")</f>
        <v>Accepted</v>
      </c>
      <c r="G384" s="19">
        <f>IF(ISERROR(VLOOKUP(A384,Report!A:D,3,FALSE)),"NOT FOUND",VLOOKUP(A384,Report!A:D,3,FALSE))</f>
        <v>103.25</v>
      </c>
      <c r="H384" s="19">
        <f>IF(ISERROR(VLOOKUP(A384,Report!A:D,4,FALSE)),"NOT FOUND",VLOOKUP(A384,Report!A:D,4,FALSE))</f>
        <v>0</v>
      </c>
      <c r="I384" s="20" t="str">
        <f>IF(ISERROR(VLOOKUP(A384,Report!A:D,2,FALSE)),"NOT FOUND",VLOOKUP(A384,Report!A:D,2,FALSE))</f>
        <v>27-02-2026</v>
      </c>
      <c r="J384" s="53"/>
      <c r="K384" s="56">
        <f t="shared" si="18"/>
        <v>1</v>
      </c>
      <c r="L384" s="56">
        <f t="shared" si="19"/>
        <v>2026</v>
      </c>
      <c r="N384" s="50"/>
    </row>
    <row r="385" spans="1:14">
      <c r="A385" s="34" t="s">
        <v>4476</v>
      </c>
      <c r="B385" s="40"/>
      <c r="C385" s="38">
        <v>46051</v>
      </c>
      <c r="D385" s="41">
        <v>103</v>
      </c>
      <c r="E385" s="32" t="s">
        <v>33</v>
      </c>
      <c r="F385" s="11" t="str">
        <f t="shared" si="20"/>
        <v>Accepted</v>
      </c>
      <c r="G385" s="19">
        <f>IF(ISERROR(VLOOKUP(A385,Report!A:D,3,FALSE)),"NOT FOUND",VLOOKUP(A385,Report!A:D,3,FALSE))</f>
        <v>103.25</v>
      </c>
      <c r="H385" s="19">
        <f>IF(ISERROR(VLOOKUP(A385,Report!A:D,4,FALSE)),"NOT FOUND",VLOOKUP(A385,Report!A:D,4,FALSE))</f>
        <v>0</v>
      </c>
      <c r="I385" s="20" t="str">
        <f>IF(ISERROR(VLOOKUP(A385,Report!A:D,2,FALSE)),"NOT FOUND",VLOOKUP(A385,Report!A:D,2,FALSE))</f>
        <v>27-02-2026</v>
      </c>
      <c r="J385" s="53"/>
      <c r="K385" s="56">
        <f t="shared" si="18"/>
        <v>1</v>
      </c>
      <c r="L385" s="56">
        <f t="shared" si="19"/>
        <v>2026</v>
      </c>
      <c r="N385" s="50"/>
    </row>
    <row r="386" spans="1:14">
      <c r="A386" s="34" t="s">
        <v>4484</v>
      </c>
      <c r="B386" s="40"/>
      <c r="C386" s="38">
        <v>46051</v>
      </c>
      <c r="D386" s="41">
        <v>103</v>
      </c>
      <c r="E386" s="32" t="s">
        <v>33</v>
      </c>
      <c r="F386" s="11" t="str">
        <f t="shared" si="20"/>
        <v>Accepted</v>
      </c>
      <c r="G386" s="19">
        <f>IF(ISERROR(VLOOKUP(A386,Report!A:D,3,FALSE)),"NOT FOUND",VLOOKUP(A386,Report!A:D,3,FALSE))</f>
        <v>103.25</v>
      </c>
      <c r="H386" s="19">
        <f>IF(ISERROR(VLOOKUP(A386,Report!A:D,4,FALSE)),"NOT FOUND",VLOOKUP(A386,Report!A:D,4,FALSE))</f>
        <v>0</v>
      </c>
      <c r="I386" s="20" t="str">
        <f>IF(ISERROR(VLOOKUP(A386,Report!A:D,2,FALSE)),"NOT FOUND",VLOOKUP(A386,Report!A:D,2,FALSE))</f>
        <v>27-02-2026</v>
      </c>
      <c r="K386" s="56">
        <f t="shared" si="18"/>
        <v>1</v>
      </c>
      <c r="L386" s="56">
        <f t="shared" si="19"/>
        <v>2026</v>
      </c>
      <c r="N386" s="50"/>
    </row>
    <row r="387" spans="1:14">
      <c r="A387" s="34" t="s">
        <v>4469</v>
      </c>
      <c r="B387" s="40"/>
      <c r="C387" s="38">
        <v>46051</v>
      </c>
      <c r="D387" s="41">
        <v>103</v>
      </c>
      <c r="E387" s="32" t="s">
        <v>33</v>
      </c>
      <c r="F387" s="11" t="str">
        <f t="shared" si="20"/>
        <v>Accepted</v>
      </c>
      <c r="G387" s="19">
        <f>IF(ISERROR(VLOOKUP(A387,Report!A:D,3,FALSE)),"NOT FOUND",VLOOKUP(A387,Report!A:D,3,FALSE))</f>
        <v>103.25</v>
      </c>
      <c r="H387" s="19">
        <f>IF(ISERROR(VLOOKUP(A387,Report!A:D,4,FALSE)),"NOT FOUND",VLOOKUP(A387,Report!A:D,4,FALSE))</f>
        <v>0</v>
      </c>
      <c r="I387" s="20" t="str">
        <f>IF(ISERROR(VLOOKUP(A387,Report!A:D,2,FALSE)),"NOT FOUND",VLOOKUP(A387,Report!A:D,2,FALSE))</f>
        <v>27-02-2026</v>
      </c>
      <c r="K387" s="56">
        <f t="shared" si="18"/>
        <v>1</v>
      </c>
      <c r="L387" s="56">
        <f t="shared" si="19"/>
        <v>2026</v>
      </c>
      <c r="N387" s="50"/>
    </row>
    <row r="388" spans="1:14">
      <c r="A388" s="34" t="s">
        <v>4730</v>
      </c>
      <c r="B388" s="40"/>
      <c r="C388" s="38">
        <v>46051</v>
      </c>
      <c r="D388" s="41">
        <v>103</v>
      </c>
      <c r="E388" s="32" t="s">
        <v>33</v>
      </c>
      <c r="F388" s="11" t="str">
        <f t="shared" si="20"/>
        <v>Accepted</v>
      </c>
      <c r="G388" s="19">
        <f>IF(ISERROR(VLOOKUP(A388,Report!A:D,3,FALSE)),"NOT FOUND",VLOOKUP(A388,Report!A:D,3,FALSE))</f>
        <v>103.25</v>
      </c>
      <c r="H388" s="19">
        <f>IF(ISERROR(VLOOKUP(A388,Report!A:D,4,FALSE)),"NOT FOUND",VLOOKUP(A388,Report!A:D,4,FALSE))</f>
        <v>0</v>
      </c>
      <c r="I388" s="20" t="str">
        <f>IF(ISERROR(VLOOKUP(A388,Report!A:D,2,FALSE)),"NOT FOUND",VLOOKUP(A388,Report!A:D,2,FALSE))</f>
        <v>27-02-2026</v>
      </c>
      <c r="K388" s="56">
        <f t="shared" si="18"/>
        <v>1</v>
      </c>
      <c r="L388" s="56">
        <f t="shared" si="19"/>
        <v>2026</v>
      </c>
      <c r="N388" s="50"/>
    </row>
    <row r="389" spans="1:14">
      <c r="A389" s="34" t="s">
        <v>5207</v>
      </c>
      <c r="B389" s="40"/>
      <c r="C389" s="38">
        <v>46051</v>
      </c>
      <c r="D389" s="41">
        <v>103</v>
      </c>
      <c r="E389" s="32" t="s">
        <v>33</v>
      </c>
      <c r="F389" s="11" t="e">
        <f t="shared" si="20"/>
        <v>#VALUE!</v>
      </c>
      <c r="G389" s="19" t="str">
        <f>IF(ISERROR(VLOOKUP(A389,Report!A:D,3,FALSE)),"NOT FOUND",VLOOKUP(A389,Report!A:D,3,FALSE))</f>
        <v>NOT FOUND</v>
      </c>
      <c r="H389" s="19" t="str">
        <f>IF(ISERROR(VLOOKUP(A389,Report!A:D,4,FALSE)),"NOT FOUND",VLOOKUP(A389,Report!A:D,4,FALSE))</f>
        <v>NOT FOUND</v>
      </c>
      <c r="I389" s="20" t="str">
        <f>IF(ISERROR(VLOOKUP(A389,Report!A:D,2,FALSE)),"NOT FOUND",VLOOKUP(A389,Report!A:D,2,FALSE))</f>
        <v>NOT FOUND</v>
      </c>
      <c r="K389" s="56">
        <f t="shared" si="18"/>
        <v>1</v>
      </c>
      <c r="L389" s="56">
        <f t="shared" si="19"/>
        <v>2026</v>
      </c>
      <c r="N389" s="50"/>
    </row>
    <row r="390" spans="1:14">
      <c r="A390" s="34" t="s">
        <v>5208</v>
      </c>
      <c r="B390" s="40"/>
      <c r="C390" s="38">
        <v>46051</v>
      </c>
      <c r="D390" s="41">
        <v>103</v>
      </c>
      <c r="E390" s="32" t="s">
        <v>33</v>
      </c>
      <c r="F390" s="11" t="e">
        <f t="shared" si="20"/>
        <v>#VALUE!</v>
      </c>
      <c r="G390" s="19" t="str">
        <f>IF(ISERROR(VLOOKUP(A390,Report!A:D,3,FALSE)),"NOT FOUND",VLOOKUP(A390,Report!A:D,3,FALSE))</f>
        <v>NOT FOUND</v>
      </c>
      <c r="H390" s="19" t="str">
        <f>IF(ISERROR(VLOOKUP(A390,Report!A:D,4,FALSE)),"NOT FOUND",VLOOKUP(A390,Report!A:D,4,FALSE))</f>
        <v>NOT FOUND</v>
      </c>
      <c r="I390" s="20" t="str">
        <f>IF(ISERROR(VLOOKUP(A390,Report!A:D,2,FALSE)),"NOT FOUND",VLOOKUP(A390,Report!A:D,2,FALSE))</f>
        <v>NOT FOUND</v>
      </c>
      <c r="K390" s="56">
        <f t="shared" si="18"/>
        <v>1</v>
      </c>
      <c r="L390" s="56">
        <f t="shared" si="19"/>
        <v>2026</v>
      </c>
      <c r="N390" s="50"/>
    </row>
    <row r="391" spans="1:14">
      <c r="A391" s="34" t="s">
        <v>5209</v>
      </c>
      <c r="B391" s="40"/>
      <c r="C391" s="38">
        <v>46051</v>
      </c>
      <c r="D391" s="41">
        <v>103</v>
      </c>
      <c r="E391" s="32" t="s">
        <v>33</v>
      </c>
      <c r="F391" s="11" t="e">
        <f t="shared" si="20"/>
        <v>#VALUE!</v>
      </c>
      <c r="G391" s="19" t="str">
        <f>IF(ISERROR(VLOOKUP(A391,Report!A:D,3,FALSE)),"NOT FOUND",VLOOKUP(A391,Report!A:D,3,FALSE))</f>
        <v>NOT FOUND</v>
      </c>
      <c r="H391" s="19" t="str">
        <f>IF(ISERROR(VLOOKUP(A391,Report!A:D,4,FALSE)),"NOT FOUND",VLOOKUP(A391,Report!A:D,4,FALSE))</f>
        <v>NOT FOUND</v>
      </c>
      <c r="I391" s="20" t="str">
        <f>IF(ISERROR(VLOOKUP(A391,Report!A:D,2,FALSE)),"NOT FOUND",VLOOKUP(A391,Report!A:D,2,FALSE))</f>
        <v>NOT FOUND</v>
      </c>
      <c r="K391" s="56">
        <f t="shared" si="18"/>
        <v>1</v>
      </c>
      <c r="L391" s="56">
        <f t="shared" si="19"/>
        <v>2026</v>
      </c>
      <c r="N391" s="50"/>
    </row>
    <row r="392" spans="1:14">
      <c r="A392" s="34" t="s">
        <v>5210</v>
      </c>
      <c r="B392" s="40"/>
      <c r="C392" s="38">
        <v>46051</v>
      </c>
      <c r="D392" s="41">
        <v>103</v>
      </c>
      <c r="E392" s="32" t="s">
        <v>33</v>
      </c>
      <c r="F392" s="11" t="e">
        <f t="shared" si="20"/>
        <v>#VALUE!</v>
      </c>
      <c r="G392" s="19" t="str">
        <f>IF(ISERROR(VLOOKUP(A392,Report!A:D,3,FALSE)),"NOT FOUND",VLOOKUP(A392,Report!A:D,3,FALSE))</f>
        <v>NOT FOUND</v>
      </c>
      <c r="H392" s="19" t="str">
        <f>IF(ISERROR(VLOOKUP(A392,Report!A:D,4,FALSE)),"NOT FOUND",VLOOKUP(A392,Report!A:D,4,FALSE))</f>
        <v>NOT FOUND</v>
      </c>
      <c r="I392" s="20" t="str">
        <f>IF(ISERROR(VLOOKUP(A392,Report!A:D,2,FALSE)),"NOT FOUND",VLOOKUP(A392,Report!A:D,2,FALSE))</f>
        <v>NOT FOUND</v>
      </c>
      <c r="K392" s="56">
        <f t="shared" si="18"/>
        <v>1</v>
      </c>
      <c r="L392" s="56">
        <f t="shared" si="19"/>
        <v>2026</v>
      </c>
      <c r="N392" s="50"/>
    </row>
    <row r="393" spans="1:14">
      <c r="A393" s="34" t="s">
        <v>4498</v>
      </c>
      <c r="B393" s="40"/>
      <c r="C393" s="38">
        <v>46051</v>
      </c>
      <c r="D393" s="41">
        <v>103</v>
      </c>
      <c r="E393" s="32" t="s">
        <v>33</v>
      </c>
      <c r="F393" s="11" t="str">
        <f t="shared" si="20"/>
        <v>Accepted</v>
      </c>
      <c r="G393" s="19">
        <f>IF(ISERROR(VLOOKUP(A393,Report!A:D,3,FALSE)),"NOT FOUND",VLOOKUP(A393,Report!A:D,3,FALSE))</f>
        <v>103.25</v>
      </c>
      <c r="H393" s="19">
        <f>IF(ISERROR(VLOOKUP(A393,Report!A:D,4,FALSE)),"NOT FOUND",VLOOKUP(A393,Report!A:D,4,FALSE))</f>
        <v>0</v>
      </c>
      <c r="I393" s="20" t="str">
        <f>IF(ISERROR(VLOOKUP(A393,Report!A:D,2,FALSE)),"NOT FOUND",VLOOKUP(A393,Report!A:D,2,FALSE))</f>
        <v>27-02-2026</v>
      </c>
      <c r="K393" s="56">
        <f t="shared" si="18"/>
        <v>1</v>
      </c>
      <c r="L393" s="56">
        <f t="shared" si="19"/>
        <v>2026</v>
      </c>
      <c r="N393" s="50"/>
    </row>
    <row r="394" spans="1:14">
      <c r="A394" s="34" t="s">
        <v>4721</v>
      </c>
      <c r="B394" s="40"/>
      <c r="C394" s="38">
        <v>46051</v>
      </c>
      <c r="D394" s="41">
        <v>103</v>
      </c>
      <c r="E394" s="32" t="s">
        <v>33</v>
      </c>
      <c r="F394" s="11" t="str">
        <f t="shared" si="20"/>
        <v>Accepted</v>
      </c>
      <c r="G394" s="19">
        <f>IF(ISERROR(VLOOKUP(A394,Report!A:D,3,FALSE)),"NOT FOUND",VLOOKUP(A394,Report!A:D,3,FALSE))</f>
        <v>103.25</v>
      </c>
      <c r="H394" s="19">
        <f>IF(ISERROR(VLOOKUP(A394,Report!A:D,4,FALSE)),"NOT FOUND",VLOOKUP(A394,Report!A:D,4,FALSE))</f>
        <v>0</v>
      </c>
      <c r="I394" s="20" t="str">
        <f>IF(ISERROR(VLOOKUP(A394,Report!A:D,2,FALSE)),"NOT FOUND",VLOOKUP(A394,Report!A:D,2,FALSE))</f>
        <v>27-02-2026</v>
      </c>
      <c r="K394" s="56">
        <f t="shared" si="18"/>
        <v>1</v>
      </c>
      <c r="L394" s="56">
        <f t="shared" si="19"/>
        <v>2026</v>
      </c>
      <c r="N394" s="50"/>
    </row>
    <row r="395" spans="1:14">
      <c r="A395" s="34" t="s">
        <v>4458</v>
      </c>
      <c r="B395" s="40"/>
      <c r="C395" s="38">
        <v>46051</v>
      </c>
      <c r="D395" s="41">
        <v>103</v>
      </c>
      <c r="E395" s="32" t="s">
        <v>33</v>
      </c>
      <c r="F395" s="11" t="str">
        <f t="shared" si="20"/>
        <v>Accepted</v>
      </c>
      <c r="G395" s="19">
        <f>IF(ISERROR(VLOOKUP(A395,Report!A:D,3,FALSE)),"NOT FOUND",VLOOKUP(A395,Report!A:D,3,FALSE))</f>
        <v>103.25</v>
      </c>
      <c r="H395" s="19">
        <f>IF(ISERROR(VLOOKUP(A395,Report!A:D,4,FALSE)),"NOT FOUND",VLOOKUP(A395,Report!A:D,4,FALSE))</f>
        <v>0</v>
      </c>
      <c r="I395" s="20" t="str">
        <f>IF(ISERROR(VLOOKUP(A395,Report!A:D,2,FALSE)),"NOT FOUND",VLOOKUP(A395,Report!A:D,2,FALSE))</f>
        <v>27-02-2026</v>
      </c>
      <c r="K395" s="56">
        <f t="shared" si="18"/>
        <v>1</v>
      </c>
      <c r="L395" s="56">
        <f t="shared" si="19"/>
        <v>2026</v>
      </c>
      <c r="N395" s="50"/>
    </row>
    <row r="396" spans="1:14">
      <c r="A396" s="34" t="s">
        <v>5211</v>
      </c>
      <c r="B396" s="40"/>
      <c r="C396" s="38">
        <v>46051</v>
      </c>
      <c r="D396" s="41">
        <v>103</v>
      </c>
      <c r="E396" s="32" t="s">
        <v>33</v>
      </c>
      <c r="F396" s="11" t="e">
        <f t="shared" si="20"/>
        <v>#VALUE!</v>
      </c>
      <c r="G396" s="19" t="str">
        <f>IF(ISERROR(VLOOKUP(A396,Report!A:D,3,FALSE)),"NOT FOUND",VLOOKUP(A396,Report!A:D,3,FALSE))</f>
        <v>NOT FOUND</v>
      </c>
      <c r="H396" s="19" t="str">
        <f>IF(ISERROR(VLOOKUP(A396,Report!A:D,4,FALSE)),"NOT FOUND",VLOOKUP(A396,Report!A:D,4,FALSE))</f>
        <v>NOT FOUND</v>
      </c>
      <c r="I396" s="20" t="str">
        <f>IF(ISERROR(VLOOKUP(A396,Report!A:D,2,FALSE)),"NOT FOUND",VLOOKUP(A396,Report!A:D,2,FALSE))</f>
        <v>NOT FOUND</v>
      </c>
      <c r="K396" s="56">
        <f t="shared" si="18"/>
        <v>1</v>
      </c>
      <c r="L396" s="56">
        <f t="shared" si="19"/>
        <v>2026</v>
      </c>
      <c r="N396" s="50"/>
    </row>
    <row r="397" spans="1:14">
      <c r="A397" s="34" t="s">
        <v>4513</v>
      </c>
      <c r="B397" s="40"/>
      <c r="C397" s="38">
        <v>46051</v>
      </c>
      <c r="D397" s="41">
        <v>103</v>
      </c>
      <c r="E397" s="32" t="s">
        <v>33</v>
      </c>
      <c r="F397" s="11" t="str">
        <f t="shared" si="20"/>
        <v>Accepted</v>
      </c>
      <c r="G397" s="19">
        <f>IF(ISERROR(VLOOKUP(A397,Report!A:D,3,FALSE)),"NOT FOUND",VLOOKUP(A397,Report!A:D,3,FALSE))</f>
        <v>103.25</v>
      </c>
      <c r="H397" s="19">
        <f>IF(ISERROR(VLOOKUP(A397,Report!A:D,4,FALSE)),"NOT FOUND",VLOOKUP(A397,Report!A:D,4,FALSE))</f>
        <v>0</v>
      </c>
      <c r="I397" s="20" t="str">
        <f>IF(ISERROR(VLOOKUP(A397,Report!A:D,2,FALSE)),"NOT FOUND",VLOOKUP(A397,Report!A:D,2,FALSE))</f>
        <v>27-02-2026</v>
      </c>
      <c r="K397" s="56">
        <f t="shared" si="18"/>
        <v>1</v>
      </c>
      <c r="L397" s="56">
        <f t="shared" si="19"/>
        <v>2026</v>
      </c>
      <c r="N397" s="50"/>
    </row>
    <row r="398" spans="1:14">
      <c r="A398" s="34" t="s">
        <v>4687</v>
      </c>
      <c r="B398" s="40"/>
      <c r="C398" s="38">
        <v>46051</v>
      </c>
      <c r="D398" s="41">
        <v>103</v>
      </c>
      <c r="E398" s="32" t="s">
        <v>33</v>
      </c>
      <c r="F398" s="11" t="str">
        <f t="shared" si="20"/>
        <v>Accepted</v>
      </c>
      <c r="G398" s="19">
        <f>IF(ISERROR(VLOOKUP(A398,Report!A:D,3,FALSE)),"NOT FOUND",VLOOKUP(A398,Report!A:D,3,FALSE))</f>
        <v>103.25</v>
      </c>
      <c r="H398" s="19">
        <f>IF(ISERROR(VLOOKUP(A398,Report!A:D,4,FALSE)),"NOT FOUND",VLOOKUP(A398,Report!A:D,4,FALSE))</f>
        <v>0</v>
      </c>
      <c r="I398" s="20" t="str">
        <f>IF(ISERROR(VLOOKUP(A398,Report!A:D,2,FALSE)),"NOT FOUND",VLOOKUP(A398,Report!A:D,2,FALSE))</f>
        <v>27-02-2026</v>
      </c>
      <c r="K398" s="56">
        <f t="shared" si="18"/>
        <v>1</v>
      </c>
      <c r="L398" s="56">
        <f t="shared" si="19"/>
        <v>2026</v>
      </c>
      <c r="N398" s="50"/>
    </row>
    <row r="399" spans="1:14">
      <c r="A399" s="34" t="s">
        <v>4506</v>
      </c>
      <c r="B399" s="40"/>
      <c r="C399" s="38">
        <v>46051</v>
      </c>
      <c r="D399" s="41">
        <v>103</v>
      </c>
      <c r="E399" s="32" t="s">
        <v>33</v>
      </c>
      <c r="F399" s="11" t="str">
        <f t="shared" si="20"/>
        <v>Accepted</v>
      </c>
      <c r="G399" s="19">
        <f>IF(ISERROR(VLOOKUP(A399,Report!A:D,3,FALSE)),"NOT FOUND",VLOOKUP(A399,Report!A:D,3,FALSE))</f>
        <v>103.25</v>
      </c>
      <c r="H399" s="19">
        <f>IF(ISERROR(VLOOKUP(A399,Report!A:D,4,FALSE)),"NOT FOUND",VLOOKUP(A399,Report!A:D,4,FALSE))</f>
        <v>0</v>
      </c>
      <c r="I399" s="20" t="str">
        <f>IF(ISERROR(VLOOKUP(A399,Report!A:D,2,FALSE)),"NOT FOUND",VLOOKUP(A399,Report!A:D,2,FALSE))</f>
        <v>27-02-2026</v>
      </c>
      <c r="K399" s="56">
        <f t="shared" si="18"/>
        <v>1</v>
      </c>
      <c r="L399" s="56">
        <f t="shared" si="19"/>
        <v>2026</v>
      </c>
      <c r="N399" s="50"/>
    </row>
    <row r="400" spans="1:14">
      <c r="A400" s="34" t="s">
        <v>4704</v>
      </c>
      <c r="B400" s="40"/>
      <c r="C400" s="38">
        <v>46051</v>
      </c>
      <c r="D400" s="41">
        <v>103</v>
      </c>
      <c r="E400" s="32" t="s">
        <v>33</v>
      </c>
      <c r="F400" s="11" t="str">
        <f t="shared" si="20"/>
        <v>Accepted</v>
      </c>
      <c r="G400" s="19">
        <f>IF(ISERROR(VLOOKUP(A400,Report!A:D,3,FALSE)),"NOT FOUND",VLOOKUP(A400,Report!A:D,3,FALSE))</f>
        <v>103.25</v>
      </c>
      <c r="H400" s="19">
        <f>IF(ISERROR(VLOOKUP(A400,Report!A:D,4,FALSE)),"NOT FOUND",VLOOKUP(A400,Report!A:D,4,FALSE))</f>
        <v>0</v>
      </c>
      <c r="I400" s="20" t="str">
        <f>IF(ISERROR(VLOOKUP(A400,Report!A:D,2,FALSE)),"NOT FOUND",VLOOKUP(A400,Report!A:D,2,FALSE))</f>
        <v>27-02-2026</v>
      </c>
      <c r="K400" s="56">
        <f t="shared" si="18"/>
        <v>1</v>
      </c>
      <c r="L400" s="56">
        <f t="shared" si="19"/>
        <v>2026</v>
      </c>
      <c r="N400" s="50"/>
    </row>
    <row r="401" spans="1:14">
      <c r="A401" s="34" t="s">
        <v>4547</v>
      </c>
      <c r="B401" s="40"/>
      <c r="C401" s="38">
        <v>46051</v>
      </c>
      <c r="D401" s="41">
        <v>103</v>
      </c>
      <c r="E401" s="32" t="s">
        <v>33</v>
      </c>
      <c r="F401" s="11" t="str">
        <f t="shared" si="20"/>
        <v>Accepted</v>
      </c>
      <c r="G401" s="19">
        <f>IF(ISERROR(VLOOKUP(A401,Report!A:D,3,FALSE)),"NOT FOUND",VLOOKUP(A401,Report!A:D,3,FALSE))</f>
        <v>103.25</v>
      </c>
      <c r="H401" s="19">
        <f>IF(ISERROR(VLOOKUP(A401,Report!A:D,4,FALSE)),"NOT FOUND",VLOOKUP(A401,Report!A:D,4,FALSE))</f>
        <v>0</v>
      </c>
      <c r="I401" s="20" t="str">
        <f>IF(ISERROR(VLOOKUP(A401,Report!A:D,2,FALSE)),"NOT FOUND",VLOOKUP(A401,Report!A:D,2,FALSE))</f>
        <v>27-02-2026</v>
      </c>
      <c r="K401" s="56">
        <f t="shared" si="18"/>
        <v>1</v>
      </c>
      <c r="L401" s="56">
        <f t="shared" si="19"/>
        <v>2026</v>
      </c>
      <c r="N401" s="50"/>
    </row>
    <row r="402" spans="1:14">
      <c r="A402" s="34" t="s">
        <v>4480</v>
      </c>
      <c r="B402" s="40"/>
      <c r="C402" s="38">
        <v>46051</v>
      </c>
      <c r="D402" s="41">
        <v>103</v>
      </c>
      <c r="E402" s="32" t="s">
        <v>33</v>
      </c>
      <c r="F402" s="11" t="str">
        <f t="shared" si="20"/>
        <v>Accepted</v>
      </c>
      <c r="G402" s="19">
        <f>IF(ISERROR(VLOOKUP(A402,Report!A:D,3,FALSE)),"NOT FOUND",VLOOKUP(A402,Report!A:D,3,FALSE))</f>
        <v>103.25</v>
      </c>
      <c r="H402" s="19">
        <f>IF(ISERROR(VLOOKUP(A402,Report!A:D,4,FALSE)),"NOT FOUND",VLOOKUP(A402,Report!A:D,4,FALSE))</f>
        <v>0</v>
      </c>
      <c r="I402" s="20" t="str">
        <f>IF(ISERROR(VLOOKUP(A402,Report!A:D,2,FALSE)),"NOT FOUND",VLOOKUP(A402,Report!A:D,2,FALSE))</f>
        <v>27-02-2026</v>
      </c>
      <c r="K402" s="56">
        <f t="shared" si="18"/>
        <v>1</v>
      </c>
      <c r="L402" s="56">
        <f t="shared" si="19"/>
        <v>2026</v>
      </c>
      <c r="N402" s="50"/>
    </row>
    <row r="403" spans="1:14">
      <c r="A403" s="34" t="s">
        <v>4551</v>
      </c>
      <c r="B403" s="40"/>
      <c r="C403" s="38">
        <v>46051</v>
      </c>
      <c r="D403" s="41">
        <v>103</v>
      </c>
      <c r="E403" s="32" t="s">
        <v>33</v>
      </c>
      <c r="F403" s="11" t="str">
        <f t="shared" si="20"/>
        <v>Accepted</v>
      </c>
      <c r="G403" s="19">
        <f>IF(ISERROR(VLOOKUP(A403,Report!A:D,3,FALSE)),"NOT FOUND",VLOOKUP(A403,Report!A:D,3,FALSE))</f>
        <v>103.25</v>
      </c>
      <c r="H403" s="19">
        <f>IF(ISERROR(VLOOKUP(A403,Report!A:D,4,FALSE)),"NOT FOUND",VLOOKUP(A403,Report!A:D,4,FALSE))</f>
        <v>0</v>
      </c>
      <c r="I403" s="20" t="str">
        <f>IF(ISERROR(VLOOKUP(A403,Report!A:D,2,FALSE)),"NOT FOUND",VLOOKUP(A403,Report!A:D,2,FALSE))</f>
        <v>27-02-2026</v>
      </c>
      <c r="K403" s="56">
        <f t="shared" si="18"/>
        <v>1</v>
      </c>
      <c r="L403" s="56">
        <f t="shared" si="19"/>
        <v>2026</v>
      </c>
      <c r="N403" s="50"/>
    </row>
    <row r="404" spans="1:14">
      <c r="A404" s="34" t="s">
        <v>4501</v>
      </c>
      <c r="B404" s="40"/>
      <c r="C404" s="38">
        <v>46051</v>
      </c>
      <c r="D404" s="41">
        <v>103</v>
      </c>
      <c r="E404" s="32" t="s">
        <v>33</v>
      </c>
      <c r="F404" s="11" t="str">
        <f t="shared" si="20"/>
        <v>Accepted</v>
      </c>
      <c r="G404" s="19">
        <f>IF(ISERROR(VLOOKUP(A404,Report!A:D,3,FALSE)),"NOT FOUND",VLOOKUP(A404,Report!A:D,3,FALSE))</f>
        <v>103.25</v>
      </c>
      <c r="H404" s="19">
        <f>IF(ISERROR(VLOOKUP(A404,Report!A:D,4,FALSE)),"NOT FOUND",VLOOKUP(A404,Report!A:D,4,FALSE))</f>
        <v>0</v>
      </c>
      <c r="I404" s="20" t="str">
        <f>IF(ISERROR(VLOOKUP(A404,Report!A:D,2,FALSE)),"NOT FOUND",VLOOKUP(A404,Report!A:D,2,FALSE))</f>
        <v>27-02-2026</v>
      </c>
      <c r="K404" s="56">
        <f t="shared" si="18"/>
        <v>1</v>
      </c>
      <c r="L404" s="56">
        <f t="shared" si="19"/>
        <v>2026</v>
      </c>
      <c r="N404" s="50"/>
    </row>
    <row r="405" spans="1:14">
      <c r="A405" s="34" t="s">
        <v>4488</v>
      </c>
      <c r="B405" s="40"/>
      <c r="C405" s="38">
        <v>46051</v>
      </c>
      <c r="D405" s="41">
        <v>103</v>
      </c>
      <c r="E405" s="32" t="s">
        <v>33</v>
      </c>
      <c r="F405" s="11" t="str">
        <f t="shared" si="20"/>
        <v>Accepted</v>
      </c>
      <c r="G405" s="19">
        <f>IF(ISERROR(VLOOKUP(A405,Report!A:D,3,FALSE)),"NOT FOUND",VLOOKUP(A405,Report!A:D,3,FALSE))</f>
        <v>103.25</v>
      </c>
      <c r="H405" s="19">
        <f>IF(ISERROR(VLOOKUP(A405,Report!A:D,4,FALSE)),"NOT FOUND",VLOOKUP(A405,Report!A:D,4,FALSE))</f>
        <v>0</v>
      </c>
      <c r="I405" s="20" t="str">
        <f>IF(ISERROR(VLOOKUP(A405,Report!A:D,2,FALSE)),"NOT FOUND",VLOOKUP(A405,Report!A:D,2,FALSE))</f>
        <v>27-02-2026</v>
      </c>
      <c r="K405" s="56">
        <f t="shared" si="18"/>
        <v>1</v>
      </c>
      <c r="L405" s="56">
        <f t="shared" si="19"/>
        <v>2026</v>
      </c>
      <c r="N405" s="50"/>
    </row>
    <row r="406" spans="1:14">
      <c r="A406" s="34" t="s">
        <v>4530</v>
      </c>
      <c r="B406" s="40"/>
      <c r="C406" s="38">
        <v>46051</v>
      </c>
      <c r="D406" s="41">
        <v>103</v>
      </c>
      <c r="E406" s="32" t="s">
        <v>33</v>
      </c>
      <c r="F406" s="11" t="str">
        <f t="shared" si="20"/>
        <v>Accepted</v>
      </c>
      <c r="G406" s="19">
        <f>IF(ISERROR(VLOOKUP(A406,Report!A:D,3,FALSE)),"NOT FOUND",VLOOKUP(A406,Report!A:D,3,FALSE))</f>
        <v>103.25</v>
      </c>
      <c r="H406" s="19">
        <f>IF(ISERROR(VLOOKUP(A406,Report!A:D,4,FALSE)),"NOT FOUND",VLOOKUP(A406,Report!A:D,4,FALSE))</f>
        <v>0</v>
      </c>
      <c r="I406" s="20" t="str">
        <f>IF(ISERROR(VLOOKUP(A406,Report!A:D,2,FALSE)),"NOT FOUND",VLOOKUP(A406,Report!A:D,2,FALSE))</f>
        <v>27-02-2026</v>
      </c>
      <c r="K406" s="56">
        <f t="shared" si="18"/>
        <v>1</v>
      </c>
      <c r="L406" s="56">
        <f t="shared" si="19"/>
        <v>2026</v>
      </c>
      <c r="N406" s="50"/>
    </row>
    <row r="407" spans="1:14">
      <c r="A407" s="34" t="s">
        <v>4465</v>
      </c>
      <c r="B407" s="40"/>
      <c r="C407" s="38">
        <v>46051</v>
      </c>
      <c r="D407" s="41">
        <v>103</v>
      </c>
      <c r="E407" s="32" t="s">
        <v>33</v>
      </c>
      <c r="F407" s="11" t="str">
        <f t="shared" si="20"/>
        <v>Accepted</v>
      </c>
      <c r="G407" s="19">
        <f>IF(ISERROR(VLOOKUP(A407,Report!A:D,3,FALSE)),"NOT FOUND",VLOOKUP(A407,Report!A:D,3,FALSE))</f>
        <v>103.25</v>
      </c>
      <c r="H407" s="19">
        <f>IF(ISERROR(VLOOKUP(A407,Report!A:D,4,FALSE)),"NOT FOUND",VLOOKUP(A407,Report!A:D,4,FALSE))</f>
        <v>0</v>
      </c>
      <c r="I407" s="20" t="str">
        <f>IF(ISERROR(VLOOKUP(A407,Report!A:D,2,FALSE)),"NOT FOUND",VLOOKUP(A407,Report!A:D,2,FALSE))</f>
        <v>27-02-2026</v>
      </c>
      <c r="K407" s="56">
        <f t="shared" si="18"/>
        <v>1</v>
      </c>
      <c r="L407" s="56">
        <f t="shared" si="19"/>
        <v>2026</v>
      </c>
      <c r="N407" s="50"/>
    </row>
    <row r="408" spans="1:14">
      <c r="A408" s="34" t="s">
        <v>4541</v>
      </c>
      <c r="B408" s="40"/>
      <c r="C408" s="38">
        <v>46051</v>
      </c>
      <c r="D408" s="41">
        <v>103</v>
      </c>
      <c r="E408" s="32" t="s">
        <v>33</v>
      </c>
      <c r="F408" s="11" t="str">
        <f t="shared" si="20"/>
        <v>Accepted</v>
      </c>
      <c r="G408" s="19">
        <f>IF(ISERROR(VLOOKUP(A408,Report!A:D,3,FALSE)),"NOT FOUND",VLOOKUP(A408,Report!A:D,3,FALSE))</f>
        <v>103.25</v>
      </c>
      <c r="H408" s="19">
        <f>IF(ISERROR(VLOOKUP(A408,Report!A:D,4,FALSE)),"NOT FOUND",VLOOKUP(A408,Report!A:D,4,FALSE))</f>
        <v>0</v>
      </c>
      <c r="I408" s="20" t="str">
        <f>IF(ISERROR(VLOOKUP(A408,Report!A:D,2,FALSE)),"NOT FOUND",VLOOKUP(A408,Report!A:D,2,FALSE))</f>
        <v>27-02-2026</v>
      </c>
      <c r="K408" s="56">
        <f t="shared" si="18"/>
        <v>1</v>
      </c>
      <c r="L408" s="56">
        <f t="shared" si="19"/>
        <v>2026</v>
      </c>
      <c r="N408" s="50"/>
    </row>
    <row r="409" spans="1:14">
      <c r="A409" s="34" t="s">
        <v>4695</v>
      </c>
      <c r="B409" s="40"/>
      <c r="C409" s="38">
        <v>46051</v>
      </c>
      <c r="D409" s="41">
        <v>103</v>
      </c>
      <c r="E409" s="32" t="s">
        <v>33</v>
      </c>
      <c r="F409" s="11" t="str">
        <f t="shared" si="20"/>
        <v>Accepted</v>
      </c>
      <c r="G409" s="19">
        <f>IF(ISERROR(VLOOKUP(A409,Report!A:D,3,FALSE)),"NOT FOUND",VLOOKUP(A409,Report!A:D,3,FALSE))</f>
        <v>103.25</v>
      </c>
      <c r="H409" s="19">
        <f>IF(ISERROR(VLOOKUP(A409,Report!A:D,4,FALSE)),"NOT FOUND",VLOOKUP(A409,Report!A:D,4,FALSE))</f>
        <v>0</v>
      </c>
      <c r="I409" s="20" t="str">
        <f>IF(ISERROR(VLOOKUP(A409,Report!A:D,2,FALSE)),"NOT FOUND",VLOOKUP(A409,Report!A:D,2,FALSE))</f>
        <v>27-02-2026</v>
      </c>
      <c r="K409" s="56">
        <f t="shared" si="18"/>
        <v>1</v>
      </c>
      <c r="L409" s="56">
        <f t="shared" si="19"/>
        <v>2026</v>
      </c>
      <c r="N409" s="50"/>
    </row>
    <row r="410" spans="1:14">
      <c r="A410" s="34" t="s">
        <v>4534</v>
      </c>
      <c r="B410" s="40"/>
      <c r="C410" s="38">
        <v>46051</v>
      </c>
      <c r="D410" s="41">
        <v>103</v>
      </c>
      <c r="E410" s="32" t="s">
        <v>33</v>
      </c>
      <c r="F410" s="11" t="str">
        <f t="shared" si="20"/>
        <v>Accepted</v>
      </c>
      <c r="G410" s="19">
        <f>IF(ISERROR(VLOOKUP(A410,Report!A:D,3,FALSE)),"NOT FOUND",VLOOKUP(A410,Report!A:D,3,FALSE))</f>
        <v>103.25</v>
      </c>
      <c r="H410" s="19">
        <f>IF(ISERROR(VLOOKUP(A410,Report!A:D,4,FALSE)),"NOT FOUND",VLOOKUP(A410,Report!A:D,4,FALSE))</f>
        <v>0</v>
      </c>
      <c r="I410" s="20" t="str">
        <f>IF(ISERROR(VLOOKUP(A410,Report!A:D,2,FALSE)),"NOT FOUND",VLOOKUP(A410,Report!A:D,2,FALSE))</f>
        <v>27-02-2026</v>
      </c>
      <c r="K410" s="56">
        <f t="shared" si="18"/>
        <v>1</v>
      </c>
      <c r="L410" s="56">
        <f t="shared" si="19"/>
        <v>2026</v>
      </c>
      <c r="N410" s="50"/>
    </row>
    <row r="411" spans="1:14">
      <c r="A411" s="34" t="s">
        <v>4684</v>
      </c>
      <c r="B411" s="40"/>
      <c r="C411" s="38">
        <v>46051</v>
      </c>
      <c r="D411" s="41">
        <v>103</v>
      </c>
      <c r="E411" s="32" t="s">
        <v>33</v>
      </c>
      <c r="F411" s="11" t="str">
        <f t="shared" si="20"/>
        <v>Accepted</v>
      </c>
      <c r="G411" s="19">
        <f>IF(ISERROR(VLOOKUP(A411,Report!A:D,3,FALSE)),"NOT FOUND",VLOOKUP(A411,Report!A:D,3,FALSE))</f>
        <v>103.25</v>
      </c>
      <c r="H411" s="19">
        <f>IF(ISERROR(VLOOKUP(A411,Report!A:D,4,FALSE)),"NOT FOUND",VLOOKUP(A411,Report!A:D,4,FALSE))</f>
        <v>0</v>
      </c>
      <c r="I411" s="20" t="str">
        <f>IF(ISERROR(VLOOKUP(A411,Report!A:D,2,FALSE)),"NOT FOUND",VLOOKUP(A411,Report!A:D,2,FALSE))</f>
        <v>27-02-2026</v>
      </c>
      <c r="K411" s="56">
        <f t="shared" si="18"/>
        <v>1</v>
      </c>
      <c r="L411" s="56">
        <f t="shared" si="19"/>
        <v>2026</v>
      </c>
      <c r="N411" s="50"/>
    </row>
    <row r="412" spans="1:14">
      <c r="A412" s="34" t="s">
        <v>5212</v>
      </c>
      <c r="B412" s="40"/>
      <c r="C412" s="38">
        <v>46051</v>
      </c>
      <c r="D412" s="41">
        <v>103</v>
      </c>
      <c r="E412" s="32" t="s">
        <v>33</v>
      </c>
      <c r="F412" s="11" t="e">
        <f t="shared" si="20"/>
        <v>#VALUE!</v>
      </c>
      <c r="G412" s="19" t="str">
        <f>IF(ISERROR(VLOOKUP(A412,Report!A:D,3,FALSE)),"NOT FOUND",VLOOKUP(A412,Report!A:D,3,FALSE))</f>
        <v>NOT FOUND</v>
      </c>
      <c r="H412" s="19" t="str">
        <f>IF(ISERROR(VLOOKUP(A412,Report!A:D,4,FALSE)),"NOT FOUND",VLOOKUP(A412,Report!A:D,4,FALSE))</f>
        <v>NOT FOUND</v>
      </c>
      <c r="I412" s="20" t="str">
        <f>IF(ISERROR(VLOOKUP(A412,Report!A:D,2,FALSE)),"NOT FOUND",VLOOKUP(A412,Report!A:D,2,FALSE))</f>
        <v>NOT FOUND</v>
      </c>
      <c r="K412" s="56">
        <f t="shared" si="18"/>
        <v>1</v>
      </c>
      <c r="L412" s="56">
        <f t="shared" si="19"/>
        <v>2026</v>
      </c>
      <c r="N412" s="50"/>
    </row>
    <row r="413" spans="1:14">
      <c r="A413" s="34" t="s">
        <v>5213</v>
      </c>
      <c r="B413" s="40"/>
      <c r="C413" s="38">
        <v>46051</v>
      </c>
      <c r="D413" s="41">
        <v>103</v>
      </c>
      <c r="E413" s="32" t="s">
        <v>33</v>
      </c>
      <c r="F413" s="11" t="e">
        <f t="shared" si="20"/>
        <v>#VALUE!</v>
      </c>
      <c r="G413" s="19" t="str">
        <f>IF(ISERROR(VLOOKUP(A413,Report!A:D,3,FALSE)),"NOT FOUND",VLOOKUP(A413,Report!A:D,3,FALSE))</f>
        <v>NOT FOUND</v>
      </c>
      <c r="H413" s="19" t="str">
        <f>IF(ISERROR(VLOOKUP(A413,Report!A:D,4,FALSE)),"NOT FOUND",VLOOKUP(A413,Report!A:D,4,FALSE))</f>
        <v>NOT FOUND</v>
      </c>
      <c r="I413" s="20" t="str">
        <f>IF(ISERROR(VLOOKUP(A413,Report!A:D,2,FALSE)),"NOT FOUND",VLOOKUP(A413,Report!A:D,2,FALSE))</f>
        <v>NOT FOUND</v>
      </c>
      <c r="K413" s="56">
        <f t="shared" si="18"/>
        <v>1</v>
      </c>
      <c r="L413" s="56">
        <f t="shared" si="19"/>
        <v>2026</v>
      </c>
      <c r="N413" s="50"/>
    </row>
    <row r="414" spans="1:14">
      <c r="A414" s="34" t="s">
        <v>4525</v>
      </c>
      <c r="B414" s="40"/>
      <c r="C414" s="38">
        <v>46051</v>
      </c>
      <c r="D414" s="41">
        <v>103</v>
      </c>
      <c r="E414" s="32" t="s">
        <v>33</v>
      </c>
      <c r="F414" s="11" t="str">
        <f t="shared" si="20"/>
        <v>Accepted</v>
      </c>
      <c r="G414" s="19">
        <f>IF(ISERROR(VLOOKUP(A414,Report!A:D,3,FALSE)),"NOT FOUND",VLOOKUP(A414,Report!A:D,3,FALSE))</f>
        <v>103.25</v>
      </c>
      <c r="H414" s="19">
        <f>IF(ISERROR(VLOOKUP(A414,Report!A:D,4,FALSE)),"NOT FOUND",VLOOKUP(A414,Report!A:D,4,FALSE))</f>
        <v>0</v>
      </c>
      <c r="I414" s="20" t="str">
        <f>IF(ISERROR(VLOOKUP(A414,Report!A:D,2,FALSE)),"NOT FOUND",VLOOKUP(A414,Report!A:D,2,FALSE))</f>
        <v>27-02-2026</v>
      </c>
      <c r="K414" s="56">
        <f t="shared" si="18"/>
        <v>1</v>
      </c>
      <c r="L414" s="56">
        <f t="shared" si="19"/>
        <v>2026</v>
      </c>
      <c r="N414" s="50"/>
    </row>
    <row r="415" spans="1:14">
      <c r="A415" s="34" t="s">
        <v>4462</v>
      </c>
      <c r="B415" s="40"/>
      <c r="C415" s="38">
        <v>46051</v>
      </c>
      <c r="D415" s="41">
        <v>103</v>
      </c>
      <c r="E415" s="32" t="s">
        <v>33</v>
      </c>
      <c r="F415" s="11" t="str">
        <f t="shared" si="20"/>
        <v>Accepted</v>
      </c>
      <c r="G415" s="19">
        <f>IF(ISERROR(VLOOKUP(A415,Report!A:D,3,FALSE)),"NOT FOUND",VLOOKUP(A415,Report!A:D,3,FALSE))</f>
        <v>103.25</v>
      </c>
      <c r="H415" s="19">
        <f>IF(ISERROR(VLOOKUP(A415,Report!A:D,4,FALSE)),"NOT FOUND",VLOOKUP(A415,Report!A:D,4,FALSE))</f>
        <v>0</v>
      </c>
      <c r="I415" s="20" t="str">
        <f>IF(ISERROR(VLOOKUP(A415,Report!A:D,2,FALSE)),"NOT FOUND",VLOOKUP(A415,Report!A:D,2,FALSE))</f>
        <v>27-02-2026</v>
      </c>
      <c r="K415" s="56">
        <f t="shared" si="18"/>
        <v>1</v>
      </c>
      <c r="L415" s="56">
        <f t="shared" si="19"/>
        <v>2026</v>
      </c>
      <c r="N415" s="50"/>
    </row>
    <row r="416" spans="1:14">
      <c r="A416" s="34" t="s">
        <v>4537</v>
      </c>
      <c r="B416" s="40"/>
      <c r="C416" s="38">
        <v>46051</v>
      </c>
      <c r="D416" s="41">
        <v>103</v>
      </c>
      <c r="E416" s="32" t="s">
        <v>33</v>
      </c>
      <c r="F416" s="11" t="str">
        <f t="shared" si="20"/>
        <v>Accepted</v>
      </c>
      <c r="G416" s="19">
        <f>IF(ISERROR(VLOOKUP(A416,Report!A:D,3,FALSE)),"NOT FOUND",VLOOKUP(A416,Report!A:D,3,FALSE))</f>
        <v>103.25</v>
      </c>
      <c r="H416" s="19">
        <f>IF(ISERROR(VLOOKUP(A416,Report!A:D,4,FALSE)),"NOT FOUND",VLOOKUP(A416,Report!A:D,4,FALSE))</f>
        <v>0</v>
      </c>
      <c r="I416" s="20" t="str">
        <f>IF(ISERROR(VLOOKUP(A416,Report!A:D,2,FALSE)),"NOT FOUND",VLOOKUP(A416,Report!A:D,2,FALSE))</f>
        <v>27-02-2026</v>
      </c>
      <c r="K416" s="56">
        <f t="shared" si="18"/>
        <v>1</v>
      </c>
      <c r="L416" s="56">
        <f t="shared" si="19"/>
        <v>2026</v>
      </c>
      <c r="N416" s="50"/>
    </row>
    <row r="417" spans="1:14">
      <c r="A417" s="34" t="s">
        <v>4717</v>
      </c>
      <c r="B417" s="40"/>
      <c r="C417" s="38">
        <v>46051</v>
      </c>
      <c r="D417" s="41">
        <v>103</v>
      </c>
      <c r="E417" s="32" t="s">
        <v>33</v>
      </c>
      <c r="F417" s="11" t="str">
        <f t="shared" si="20"/>
        <v>Accepted</v>
      </c>
      <c r="G417" s="19">
        <f>IF(ISERROR(VLOOKUP(A417,Report!A:D,3,FALSE)),"NOT FOUND",VLOOKUP(A417,Report!A:D,3,FALSE))</f>
        <v>103.25</v>
      </c>
      <c r="H417" s="19">
        <f>IF(ISERROR(VLOOKUP(A417,Report!A:D,4,FALSE)),"NOT FOUND",VLOOKUP(A417,Report!A:D,4,FALSE))</f>
        <v>0</v>
      </c>
      <c r="I417" s="20" t="str">
        <f>IF(ISERROR(VLOOKUP(A417,Report!A:D,2,FALSE)),"NOT FOUND",VLOOKUP(A417,Report!A:D,2,FALSE))</f>
        <v>27-02-2026</v>
      </c>
      <c r="K417" s="56">
        <f t="shared" si="18"/>
        <v>1</v>
      </c>
      <c r="L417" s="56">
        <f t="shared" si="19"/>
        <v>2026</v>
      </c>
      <c r="N417" s="50"/>
    </row>
    <row r="418" spans="1:14">
      <c r="A418" s="34" t="s">
        <v>4494</v>
      </c>
      <c r="B418" s="40"/>
      <c r="C418" s="38">
        <v>46051</v>
      </c>
      <c r="D418" s="41">
        <v>103</v>
      </c>
      <c r="E418" s="32" t="s">
        <v>33</v>
      </c>
      <c r="F418" s="11" t="str">
        <f t="shared" si="20"/>
        <v>Accepted</v>
      </c>
      <c r="G418" s="19">
        <f>IF(ISERROR(VLOOKUP(A418,Report!A:D,3,FALSE)),"NOT FOUND",VLOOKUP(A418,Report!A:D,3,FALSE))</f>
        <v>103.25</v>
      </c>
      <c r="H418" s="19">
        <f>IF(ISERROR(VLOOKUP(A418,Report!A:D,4,FALSE)),"NOT FOUND",VLOOKUP(A418,Report!A:D,4,FALSE))</f>
        <v>0</v>
      </c>
      <c r="I418" s="20" t="str">
        <f>IF(ISERROR(VLOOKUP(A418,Report!A:D,2,FALSE)),"NOT FOUND",VLOOKUP(A418,Report!A:D,2,FALSE))</f>
        <v>27-02-2026</v>
      </c>
      <c r="K418" s="56">
        <f t="shared" si="18"/>
        <v>1</v>
      </c>
      <c r="L418" s="56">
        <f t="shared" si="19"/>
        <v>2026</v>
      </c>
      <c r="N418" s="50"/>
    </row>
    <row r="419" spans="1:14">
      <c r="A419" s="34" t="s">
        <v>4521</v>
      </c>
      <c r="B419" s="40"/>
      <c r="C419" s="38">
        <v>46051</v>
      </c>
      <c r="D419" s="41">
        <v>103</v>
      </c>
      <c r="E419" s="32" t="s">
        <v>33</v>
      </c>
      <c r="F419" s="11" t="str">
        <f t="shared" si="20"/>
        <v>Accepted</v>
      </c>
      <c r="G419" s="19">
        <f>IF(ISERROR(VLOOKUP(A419,Report!A:D,3,FALSE)),"NOT FOUND",VLOOKUP(A419,Report!A:D,3,FALSE))</f>
        <v>103.25</v>
      </c>
      <c r="H419" s="19">
        <f>IF(ISERROR(VLOOKUP(A419,Report!A:D,4,FALSE)),"NOT FOUND",VLOOKUP(A419,Report!A:D,4,FALSE))</f>
        <v>0</v>
      </c>
      <c r="I419" s="20" t="str">
        <f>IF(ISERROR(VLOOKUP(A419,Report!A:D,2,FALSE)),"NOT FOUND",VLOOKUP(A419,Report!A:D,2,FALSE))</f>
        <v>27-02-2026</v>
      </c>
      <c r="K419" s="56">
        <f t="shared" si="18"/>
        <v>1</v>
      </c>
      <c r="L419" s="56">
        <f t="shared" si="19"/>
        <v>2026</v>
      </c>
      <c r="N419" s="50"/>
    </row>
    <row r="420" spans="1:14">
      <c r="A420" s="34" t="s">
        <v>4451</v>
      </c>
      <c r="B420" s="40"/>
      <c r="C420" s="38">
        <v>46051</v>
      </c>
      <c r="D420" s="41">
        <v>103</v>
      </c>
      <c r="E420" s="32" t="s">
        <v>33</v>
      </c>
      <c r="F420" s="11" t="str">
        <f t="shared" si="20"/>
        <v>Accepted</v>
      </c>
      <c r="G420" s="19">
        <f>IF(ISERROR(VLOOKUP(A420,Report!A:D,3,FALSE)),"NOT FOUND",VLOOKUP(A420,Report!A:D,3,FALSE))</f>
        <v>103.25</v>
      </c>
      <c r="H420" s="19">
        <f>IF(ISERROR(VLOOKUP(A420,Report!A:D,4,FALSE)),"NOT FOUND",VLOOKUP(A420,Report!A:D,4,FALSE))</f>
        <v>0</v>
      </c>
      <c r="I420" s="20" t="str">
        <f>IF(ISERROR(VLOOKUP(A420,Report!A:D,2,FALSE)),"NOT FOUND",VLOOKUP(A420,Report!A:D,2,FALSE))</f>
        <v>27-02-2026</v>
      </c>
      <c r="K420" s="56">
        <f t="shared" si="18"/>
        <v>1</v>
      </c>
      <c r="L420" s="56">
        <f t="shared" si="19"/>
        <v>2026</v>
      </c>
      <c r="N420" s="50"/>
    </row>
    <row r="421" spans="1:14">
      <c r="A421" s="34" t="s">
        <v>4554</v>
      </c>
      <c r="B421" s="40"/>
      <c r="C421" s="38">
        <v>46051</v>
      </c>
      <c r="D421" s="41">
        <v>103</v>
      </c>
      <c r="E421" s="32" t="s">
        <v>33</v>
      </c>
      <c r="F421" s="11" t="str">
        <f t="shared" si="20"/>
        <v>Accepted</v>
      </c>
      <c r="G421" s="19">
        <f>IF(ISERROR(VLOOKUP(A421,Report!A:D,3,FALSE)),"NOT FOUND",VLOOKUP(A421,Report!A:D,3,FALSE))</f>
        <v>103.25</v>
      </c>
      <c r="H421" s="19">
        <f>IF(ISERROR(VLOOKUP(A421,Report!A:D,4,FALSE)),"NOT FOUND",VLOOKUP(A421,Report!A:D,4,FALSE))</f>
        <v>0</v>
      </c>
      <c r="I421" s="20" t="str">
        <f>IF(ISERROR(VLOOKUP(A421,Report!A:D,2,FALSE)),"NOT FOUND",VLOOKUP(A421,Report!A:D,2,FALSE))</f>
        <v>27-02-2026</v>
      </c>
      <c r="K421" s="56">
        <f t="shared" si="18"/>
        <v>1</v>
      </c>
      <c r="L421" s="56">
        <f t="shared" si="19"/>
        <v>2026</v>
      </c>
      <c r="N421" s="50"/>
    </row>
    <row r="422" spans="1:14">
      <c r="A422" s="34" t="s">
        <v>4690</v>
      </c>
      <c r="B422" s="40"/>
      <c r="C422" s="38">
        <v>46051</v>
      </c>
      <c r="D422" s="41">
        <v>103</v>
      </c>
      <c r="E422" s="32" t="s">
        <v>33</v>
      </c>
      <c r="F422" s="11" t="str">
        <f t="shared" si="20"/>
        <v>Accepted</v>
      </c>
      <c r="G422" s="19">
        <f>IF(ISERROR(VLOOKUP(A422,Report!A:D,3,FALSE)),"NOT FOUND",VLOOKUP(A422,Report!A:D,3,FALSE))</f>
        <v>103.25</v>
      </c>
      <c r="H422" s="19">
        <f>IF(ISERROR(VLOOKUP(A422,Report!A:D,4,FALSE)),"NOT FOUND",VLOOKUP(A422,Report!A:D,4,FALSE))</f>
        <v>0</v>
      </c>
      <c r="I422" s="20" t="str">
        <f>IF(ISERROR(VLOOKUP(A422,Report!A:D,2,FALSE)),"NOT FOUND",VLOOKUP(A422,Report!A:D,2,FALSE))</f>
        <v>27-02-2026</v>
      </c>
      <c r="K422" s="56">
        <f t="shared" si="18"/>
        <v>1</v>
      </c>
      <c r="L422" s="56">
        <f t="shared" si="19"/>
        <v>2026</v>
      </c>
      <c r="N422" s="50"/>
    </row>
    <row r="423" spans="1:14">
      <c r="A423" s="34" t="s">
        <v>5214</v>
      </c>
      <c r="B423" s="40"/>
      <c r="C423" s="38">
        <v>46051</v>
      </c>
      <c r="D423" s="41">
        <v>103</v>
      </c>
      <c r="E423" s="32" t="s">
        <v>33</v>
      </c>
      <c r="F423" s="11" t="e">
        <f t="shared" si="20"/>
        <v>#VALUE!</v>
      </c>
      <c r="G423" s="19" t="str">
        <f>IF(ISERROR(VLOOKUP(A423,Report!A:D,3,FALSE)),"NOT FOUND",VLOOKUP(A423,Report!A:D,3,FALSE))</f>
        <v>NOT FOUND</v>
      </c>
      <c r="H423" s="19" t="str">
        <f>IF(ISERROR(VLOOKUP(A423,Report!A:D,4,FALSE)),"NOT FOUND",VLOOKUP(A423,Report!A:D,4,FALSE))</f>
        <v>NOT FOUND</v>
      </c>
      <c r="I423" s="20" t="str">
        <f>IF(ISERROR(VLOOKUP(A423,Report!A:D,2,FALSE)),"NOT FOUND",VLOOKUP(A423,Report!A:D,2,FALSE))</f>
        <v>NOT FOUND</v>
      </c>
      <c r="K423" s="56">
        <f t="shared" si="18"/>
        <v>1</v>
      </c>
      <c r="L423" s="56">
        <f t="shared" si="19"/>
        <v>2026</v>
      </c>
      <c r="N423" s="50"/>
    </row>
    <row r="424" spans="1:14">
      <c r="A424" s="34" t="s">
        <v>5215</v>
      </c>
      <c r="B424" s="40"/>
      <c r="C424" s="38">
        <v>46051</v>
      </c>
      <c r="D424" s="41">
        <v>103</v>
      </c>
      <c r="E424" s="32" t="s">
        <v>33</v>
      </c>
      <c r="F424" s="11" t="e">
        <f t="shared" si="20"/>
        <v>#VALUE!</v>
      </c>
      <c r="G424" s="19" t="str">
        <f>IF(ISERROR(VLOOKUP(A424,Report!A:D,3,FALSE)),"NOT FOUND",VLOOKUP(A424,Report!A:D,3,FALSE))</f>
        <v>NOT FOUND</v>
      </c>
      <c r="H424" s="19" t="str">
        <f>IF(ISERROR(VLOOKUP(A424,Report!A:D,4,FALSE)),"NOT FOUND",VLOOKUP(A424,Report!A:D,4,FALSE))</f>
        <v>NOT FOUND</v>
      </c>
      <c r="I424" s="20" t="str">
        <f>IF(ISERROR(VLOOKUP(A424,Report!A:D,2,FALSE)),"NOT FOUND",VLOOKUP(A424,Report!A:D,2,FALSE))</f>
        <v>NOT FOUND</v>
      </c>
      <c r="K424" s="56">
        <f t="shared" si="18"/>
        <v>1</v>
      </c>
      <c r="L424" s="56">
        <f t="shared" si="19"/>
        <v>2026</v>
      </c>
      <c r="N424" s="50"/>
    </row>
    <row r="425" spans="1:14">
      <c r="A425" s="34" t="s">
        <v>5216</v>
      </c>
      <c r="B425" s="40"/>
      <c r="C425" s="38">
        <v>46051</v>
      </c>
      <c r="D425" s="41">
        <v>103</v>
      </c>
      <c r="E425" s="32" t="s">
        <v>33</v>
      </c>
      <c r="F425" s="11" t="e">
        <f t="shared" si="20"/>
        <v>#VALUE!</v>
      </c>
      <c r="G425" s="19" t="str">
        <f>IF(ISERROR(VLOOKUP(A425,Report!A:D,3,FALSE)),"NOT FOUND",VLOOKUP(A425,Report!A:D,3,FALSE))</f>
        <v>NOT FOUND</v>
      </c>
      <c r="H425" s="19" t="str">
        <f>IF(ISERROR(VLOOKUP(A425,Report!A:D,4,FALSE)),"NOT FOUND",VLOOKUP(A425,Report!A:D,4,FALSE))</f>
        <v>NOT FOUND</v>
      </c>
      <c r="I425" s="20" t="str">
        <f>IF(ISERROR(VLOOKUP(A425,Report!A:D,2,FALSE)),"NOT FOUND",VLOOKUP(A425,Report!A:D,2,FALSE))</f>
        <v>NOT FOUND</v>
      </c>
      <c r="K425" s="56">
        <f t="shared" si="18"/>
        <v>1</v>
      </c>
      <c r="L425" s="56">
        <f t="shared" si="19"/>
        <v>2026</v>
      </c>
      <c r="N425" s="50"/>
    </row>
    <row r="426" spans="1:14">
      <c r="A426" s="34" t="s">
        <v>5217</v>
      </c>
      <c r="B426" s="40"/>
      <c r="C426" s="38">
        <v>46051</v>
      </c>
      <c r="D426" s="41">
        <v>103</v>
      </c>
      <c r="E426" s="32" t="s">
        <v>33</v>
      </c>
      <c r="F426" s="11" t="e">
        <f t="shared" si="20"/>
        <v>#VALUE!</v>
      </c>
      <c r="G426" s="19" t="str">
        <f>IF(ISERROR(VLOOKUP(A426,Report!A:D,3,FALSE)),"NOT FOUND",VLOOKUP(A426,Report!A:D,3,FALSE))</f>
        <v>NOT FOUND</v>
      </c>
      <c r="H426" s="19" t="str">
        <f>IF(ISERROR(VLOOKUP(A426,Report!A:D,4,FALSE)),"NOT FOUND",VLOOKUP(A426,Report!A:D,4,FALSE))</f>
        <v>NOT FOUND</v>
      </c>
      <c r="I426" s="20" t="str">
        <f>IF(ISERROR(VLOOKUP(A426,Report!A:D,2,FALSE)),"NOT FOUND",VLOOKUP(A426,Report!A:D,2,FALSE))</f>
        <v>NOT FOUND</v>
      </c>
      <c r="K426" s="56">
        <f t="shared" si="18"/>
        <v>1</v>
      </c>
      <c r="L426" s="56">
        <f t="shared" si="19"/>
        <v>2026</v>
      </c>
      <c r="N426" s="50"/>
    </row>
    <row r="427" spans="1:14">
      <c r="A427" s="34" t="s">
        <v>5218</v>
      </c>
      <c r="B427" s="40"/>
      <c r="C427" s="38">
        <v>46051</v>
      </c>
      <c r="D427" s="41">
        <v>103</v>
      </c>
      <c r="E427" s="32" t="s">
        <v>33</v>
      </c>
      <c r="F427" s="11" t="e">
        <f t="shared" si="20"/>
        <v>#VALUE!</v>
      </c>
      <c r="G427" s="19" t="str">
        <f>IF(ISERROR(VLOOKUP(A427,Report!A:D,3,FALSE)),"NOT FOUND",VLOOKUP(A427,Report!A:D,3,FALSE))</f>
        <v>NOT FOUND</v>
      </c>
      <c r="H427" s="19" t="str">
        <f>IF(ISERROR(VLOOKUP(A427,Report!A:D,4,FALSE)),"NOT FOUND",VLOOKUP(A427,Report!A:D,4,FALSE))</f>
        <v>NOT FOUND</v>
      </c>
      <c r="I427" s="20" t="str">
        <f>IF(ISERROR(VLOOKUP(A427,Report!A:D,2,FALSE)),"NOT FOUND",VLOOKUP(A427,Report!A:D,2,FALSE))</f>
        <v>NOT FOUND</v>
      </c>
      <c r="K427" s="56">
        <f t="shared" si="18"/>
        <v>1</v>
      </c>
      <c r="L427" s="56">
        <f t="shared" si="19"/>
        <v>2026</v>
      </c>
      <c r="N427" s="50"/>
    </row>
    <row r="428" spans="1:14">
      <c r="A428" s="34" t="s">
        <v>5219</v>
      </c>
      <c r="B428" s="40"/>
      <c r="C428" s="38">
        <v>46051</v>
      </c>
      <c r="D428" s="41">
        <v>103</v>
      </c>
      <c r="E428" s="32" t="s">
        <v>33</v>
      </c>
      <c r="F428" s="11" t="e">
        <f t="shared" si="20"/>
        <v>#VALUE!</v>
      </c>
      <c r="G428" s="19" t="str">
        <f>IF(ISERROR(VLOOKUP(A428,Report!A:D,3,FALSE)),"NOT FOUND",VLOOKUP(A428,Report!A:D,3,FALSE))</f>
        <v>NOT FOUND</v>
      </c>
      <c r="H428" s="19" t="str">
        <f>IF(ISERROR(VLOOKUP(A428,Report!A:D,4,FALSE)),"NOT FOUND",VLOOKUP(A428,Report!A:D,4,FALSE))</f>
        <v>NOT FOUND</v>
      </c>
      <c r="I428" s="20" t="str">
        <f>IF(ISERROR(VLOOKUP(A428,Report!A:D,2,FALSE)),"NOT FOUND",VLOOKUP(A428,Report!A:D,2,FALSE))</f>
        <v>NOT FOUND</v>
      </c>
      <c r="K428" s="56">
        <f t="shared" si="18"/>
        <v>1</v>
      </c>
      <c r="L428" s="56">
        <f t="shared" si="19"/>
        <v>2026</v>
      </c>
      <c r="N428" s="50"/>
    </row>
    <row r="429" spans="1:14">
      <c r="A429" s="34" t="s">
        <v>5220</v>
      </c>
      <c r="B429" s="40"/>
      <c r="C429" s="38">
        <v>46051</v>
      </c>
      <c r="D429" s="41">
        <v>103</v>
      </c>
      <c r="E429" s="32" t="s">
        <v>33</v>
      </c>
      <c r="F429" s="11" t="e">
        <f t="shared" si="20"/>
        <v>#VALUE!</v>
      </c>
      <c r="G429" s="19" t="str">
        <f>IF(ISERROR(VLOOKUP(A429,Report!A:D,3,FALSE)),"NOT FOUND",VLOOKUP(A429,Report!A:D,3,FALSE))</f>
        <v>NOT FOUND</v>
      </c>
      <c r="H429" s="19" t="str">
        <f>IF(ISERROR(VLOOKUP(A429,Report!A:D,4,FALSE)),"NOT FOUND",VLOOKUP(A429,Report!A:D,4,FALSE))</f>
        <v>NOT FOUND</v>
      </c>
      <c r="I429" s="20" t="str">
        <f>IF(ISERROR(VLOOKUP(A429,Report!A:D,2,FALSE)),"NOT FOUND",VLOOKUP(A429,Report!A:D,2,FALSE))</f>
        <v>NOT FOUND</v>
      </c>
      <c r="K429" s="56">
        <f t="shared" si="18"/>
        <v>1</v>
      </c>
      <c r="L429" s="56">
        <f t="shared" si="19"/>
        <v>2026</v>
      </c>
      <c r="N429" s="50"/>
    </row>
    <row r="430" spans="1:14">
      <c r="A430" s="34" t="s">
        <v>5221</v>
      </c>
      <c r="B430" s="40"/>
      <c r="C430" s="38">
        <v>46051</v>
      </c>
      <c r="D430" s="41">
        <v>103</v>
      </c>
      <c r="E430" s="32" t="s">
        <v>33</v>
      </c>
      <c r="F430" s="11" t="e">
        <f t="shared" si="20"/>
        <v>#VALUE!</v>
      </c>
      <c r="G430" s="19" t="str">
        <f>IF(ISERROR(VLOOKUP(A430,Report!A:D,3,FALSE)),"NOT FOUND",VLOOKUP(A430,Report!A:D,3,FALSE))</f>
        <v>NOT FOUND</v>
      </c>
      <c r="H430" s="19" t="str">
        <f>IF(ISERROR(VLOOKUP(A430,Report!A:D,4,FALSE)),"NOT FOUND",VLOOKUP(A430,Report!A:D,4,FALSE))</f>
        <v>NOT FOUND</v>
      </c>
      <c r="I430" s="20" t="str">
        <f>IF(ISERROR(VLOOKUP(A430,Report!A:D,2,FALSE)),"NOT FOUND",VLOOKUP(A430,Report!A:D,2,FALSE))</f>
        <v>NOT FOUND</v>
      </c>
      <c r="K430" s="56">
        <f t="shared" si="18"/>
        <v>1</v>
      </c>
      <c r="L430" s="56">
        <f t="shared" si="19"/>
        <v>2026</v>
      </c>
      <c r="N430" s="50"/>
    </row>
    <row r="431" spans="1:14">
      <c r="A431" s="34" t="s">
        <v>5222</v>
      </c>
      <c r="B431" s="40"/>
      <c r="C431" s="38">
        <v>46051</v>
      </c>
      <c r="D431" s="41">
        <v>103</v>
      </c>
      <c r="E431" s="32" t="s">
        <v>33</v>
      </c>
      <c r="F431" s="11" t="e">
        <f t="shared" si="20"/>
        <v>#VALUE!</v>
      </c>
      <c r="G431" s="19" t="str">
        <f>IF(ISERROR(VLOOKUP(A431,Report!A:D,3,FALSE)),"NOT FOUND",VLOOKUP(A431,Report!A:D,3,FALSE))</f>
        <v>NOT FOUND</v>
      </c>
      <c r="H431" s="19" t="str">
        <f>IF(ISERROR(VLOOKUP(A431,Report!A:D,4,FALSE)),"NOT FOUND",VLOOKUP(A431,Report!A:D,4,FALSE))</f>
        <v>NOT FOUND</v>
      </c>
      <c r="I431" s="20" t="str">
        <f>IF(ISERROR(VLOOKUP(A431,Report!A:D,2,FALSE)),"NOT FOUND",VLOOKUP(A431,Report!A:D,2,FALSE))</f>
        <v>NOT FOUND</v>
      </c>
      <c r="K431" s="56">
        <f t="shared" si="18"/>
        <v>1</v>
      </c>
      <c r="L431" s="56">
        <f t="shared" si="19"/>
        <v>2026</v>
      </c>
      <c r="N431" s="50"/>
    </row>
    <row r="432" spans="1:14">
      <c r="A432" s="34" t="s">
        <v>4724</v>
      </c>
      <c r="B432" s="40"/>
      <c r="C432" s="38">
        <v>46051</v>
      </c>
      <c r="D432" s="41">
        <v>103</v>
      </c>
      <c r="E432" s="32" t="s">
        <v>33</v>
      </c>
      <c r="F432" s="11" t="str">
        <f t="shared" si="20"/>
        <v>Accepted</v>
      </c>
      <c r="G432" s="19">
        <f>IF(ISERROR(VLOOKUP(A432,Report!A:D,3,FALSE)),"NOT FOUND",VLOOKUP(A432,Report!A:D,3,FALSE))</f>
        <v>103.25</v>
      </c>
      <c r="H432" s="19">
        <f>IF(ISERROR(VLOOKUP(A432,Report!A:D,4,FALSE)),"NOT FOUND",VLOOKUP(A432,Report!A:D,4,FALSE))</f>
        <v>0</v>
      </c>
      <c r="I432" s="20" t="str">
        <f>IF(ISERROR(VLOOKUP(A432,Report!A:D,2,FALSE)),"NOT FOUND",VLOOKUP(A432,Report!A:D,2,FALSE))</f>
        <v>27-02-2026</v>
      </c>
      <c r="K432" s="56">
        <f t="shared" si="18"/>
        <v>1</v>
      </c>
      <c r="L432" s="56">
        <f t="shared" si="19"/>
        <v>2026</v>
      </c>
      <c r="N432" s="50"/>
    </row>
    <row r="433" spans="1:14">
      <c r="A433" s="34" t="s">
        <v>4677</v>
      </c>
      <c r="B433" s="40"/>
      <c r="C433" s="38">
        <v>46051</v>
      </c>
      <c r="D433" s="41">
        <v>103</v>
      </c>
      <c r="E433" s="32" t="s">
        <v>33</v>
      </c>
      <c r="F433" s="11" t="str">
        <f t="shared" si="20"/>
        <v>Accepted</v>
      </c>
      <c r="G433" s="19">
        <f>IF(ISERROR(VLOOKUP(A433,Report!A:D,3,FALSE)),"NOT FOUND",VLOOKUP(A433,Report!A:D,3,FALSE))</f>
        <v>103.25</v>
      </c>
      <c r="H433" s="19">
        <f>IF(ISERROR(VLOOKUP(A433,Report!A:D,4,FALSE)),"NOT FOUND",VLOOKUP(A433,Report!A:D,4,FALSE))</f>
        <v>0</v>
      </c>
      <c r="I433" s="20" t="str">
        <f>IF(ISERROR(VLOOKUP(A433,Report!A:D,2,FALSE)),"NOT FOUND",VLOOKUP(A433,Report!A:D,2,FALSE))</f>
        <v>27-02-2026</v>
      </c>
      <c r="K433" s="56">
        <f t="shared" si="18"/>
        <v>1</v>
      </c>
      <c r="L433" s="56">
        <f t="shared" si="19"/>
        <v>2026</v>
      </c>
      <c r="N433" s="50"/>
    </row>
    <row r="434" spans="1:14">
      <c r="A434" s="34" t="s">
        <v>4736</v>
      </c>
      <c r="B434" s="40"/>
      <c r="C434" s="38">
        <v>46051</v>
      </c>
      <c r="D434" s="41">
        <v>103</v>
      </c>
      <c r="E434" s="32" t="s">
        <v>33</v>
      </c>
      <c r="F434" s="11" t="str">
        <f t="shared" si="20"/>
        <v>Accepted</v>
      </c>
      <c r="G434" s="19">
        <f>IF(ISERROR(VLOOKUP(A434,Report!A:D,3,FALSE)),"NOT FOUND",VLOOKUP(A434,Report!A:D,3,FALSE))</f>
        <v>103.25</v>
      </c>
      <c r="H434" s="19">
        <f>IF(ISERROR(VLOOKUP(A434,Report!A:D,4,FALSE)),"NOT FOUND",VLOOKUP(A434,Report!A:D,4,FALSE))</f>
        <v>0</v>
      </c>
      <c r="I434" s="20" t="str">
        <f>IF(ISERROR(VLOOKUP(A434,Report!A:D,2,FALSE)),"NOT FOUND",VLOOKUP(A434,Report!A:D,2,FALSE))</f>
        <v>27-02-2026</v>
      </c>
      <c r="K434" s="56">
        <f t="shared" si="18"/>
        <v>1</v>
      </c>
      <c r="L434" s="56">
        <f t="shared" si="19"/>
        <v>2026</v>
      </c>
      <c r="N434" s="50"/>
    </row>
    <row r="435" spans="1:14">
      <c r="A435" s="34" t="s">
        <v>4588</v>
      </c>
      <c r="B435" s="40"/>
      <c r="C435" s="38">
        <v>46051</v>
      </c>
      <c r="D435" s="41">
        <v>103</v>
      </c>
      <c r="E435" s="32" t="s">
        <v>33</v>
      </c>
      <c r="F435" s="11" t="str">
        <f t="shared" si="20"/>
        <v>Accepted</v>
      </c>
      <c r="G435" s="19">
        <f>IF(ISERROR(VLOOKUP(A435,Report!A:D,3,FALSE)),"NOT FOUND",VLOOKUP(A435,Report!A:D,3,FALSE))</f>
        <v>103.25</v>
      </c>
      <c r="H435" s="19">
        <f>IF(ISERROR(VLOOKUP(A435,Report!A:D,4,FALSE)),"NOT FOUND",VLOOKUP(A435,Report!A:D,4,FALSE))</f>
        <v>0</v>
      </c>
      <c r="I435" s="20" t="str">
        <f>IF(ISERROR(VLOOKUP(A435,Report!A:D,2,FALSE)),"NOT FOUND",VLOOKUP(A435,Report!A:D,2,FALSE))</f>
        <v>27-02-2026</v>
      </c>
      <c r="K435" s="56">
        <f t="shared" si="18"/>
        <v>1</v>
      </c>
      <c r="L435" s="56">
        <f t="shared" si="19"/>
        <v>2026</v>
      </c>
      <c r="N435" s="50"/>
    </row>
    <row r="436" spans="1:14">
      <c r="A436" s="34" t="s">
        <v>4617</v>
      </c>
      <c r="B436" s="40"/>
      <c r="C436" s="38">
        <v>46051</v>
      </c>
      <c r="D436" s="41">
        <v>103</v>
      </c>
      <c r="E436" s="32" t="s">
        <v>33</v>
      </c>
      <c r="F436" s="11" t="str">
        <f t="shared" si="20"/>
        <v>Accepted</v>
      </c>
      <c r="G436" s="19">
        <f>IF(ISERROR(VLOOKUP(A436,Report!A:D,3,FALSE)),"NOT FOUND",VLOOKUP(A436,Report!A:D,3,FALSE))</f>
        <v>103.25</v>
      </c>
      <c r="H436" s="19">
        <f>IF(ISERROR(VLOOKUP(A436,Report!A:D,4,FALSE)),"NOT FOUND",VLOOKUP(A436,Report!A:D,4,FALSE))</f>
        <v>0</v>
      </c>
      <c r="I436" s="20" t="str">
        <f>IF(ISERROR(VLOOKUP(A436,Report!A:D,2,FALSE)),"NOT FOUND",VLOOKUP(A436,Report!A:D,2,FALSE))</f>
        <v>27-02-2026</v>
      </c>
      <c r="K436" s="56">
        <f t="shared" si="18"/>
        <v>1</v>
      </c>
      <c r="L436" s="56">
        <f t="shared" si="19"/>
        <v>2026</v>
      </c>
      <c r="N436" s="50"/>
    </row>
    <row r="437" spans="1:14">
      <c r="A437" s="34" t="s">
        <v>4569</v>
      </c>
      <c r="B437" s="40"/>
      <c r="C437" s="38">
        <v>46051</v>
      </c>
      <c r="D437" s="41">
        <v>103</v>
      </c>
      <c r="E437" s="32" t="s">
        <v>33</v>
      </c>
      <c r="F437" s="11" t="str">
        <f t="shared" si="20"/>
        <v>Accepted</v>
      </c>
      <c r="G437" s="19">
        <f>IF(ISERROR(VLOOKUP(A437,Report!A:D,3,FALSE)),"NOT FOUND",VLOOKUP(A437,Report!A:D,3,FALSE))</f>
        <v>103.25</v>
      </c>
      <c r="H437" s="19">
        <f>IF(ISERROR(VLOOKUP(A437,Report!A:D,4,FALSE)),"NOT FOUND",VLOOKUP(A437,Report!A:D,4,FALSE))</f>
        <v>0</v>
      </c>
      <c r="I437" s="20" t="str">
        <f>IF(ISERROR(VLOOKUP(A437,Report!A:D,2,FALSE)),"NOT FOUND",VLOOKUP(A437,Report!A:D,2,FALSE))</f>
        <v>27-02-2026</v>
      </c>
      <c r="K437" s="56">
        <f t="shared" si="18"/>
        <v>1</v>
      </c>
      <c r="L437" s="56">
        <f t="shared" si="19"/>
        <v>2026</v>
      </c>
      <c r="N437" s="50"/>
    </row>
    <row r="438" spans="1:14">
      <c r="A438" s="34" t="s">
        <v>4559</v>
      </c>
      <c r="B438" s="40"/>
      <c r="C438" s="38">
        <v>46051</v>
      </c>
      <c r="D438" s="41">
        <v>103</v>
      </c>
      <c r="E438" s="32" t="s">
        <v>33</v>
      </c>
      <c r="F438" s="11" t="str">
        <f t="shared" si="20"/>
        <v>Accepted</v>
      </c>
      <c r="G438" s="19">
        <f>IF(ISERROR(VLOOKUP(A438,Report!A:D,3,FALSE)),"NOT FOUND",VLOOKUP(A438,Report!A:D,3,FALSE))</f>
        <v>103.25</v>
      </c>
      <c r="H438" s="19">
        <f>IF(ISERROR(VLOOKUP(A438,Report!A:D,4,FALSE)),"NOT FOUND",VLOOKUP(A438,Report!A:D,4,FALSE))</f>
        <v>0</v>
      </c>
      <c r="I438" s="20" t="str">
        <f>IF(ISERROR(VLOOKUP(A438,Report!A:D,2,FALSE)),"NOT FOUND",VLOOKUP(A438,Report!A:D,2,FALSE))</f>
        <v>27-02-2026</v>
      </c>
      <c r="K438" s="56">
        <f t="shared" si="18"/>
        <v>1</v>
      </c>
      <c r="L438" s="56">
        <f t="shared" si="19"/>
        <v>2026</v>
      </c>
      <c r="N438" s="50"/>
    </row>
    <row r="439" spans="1:14">
      <c r="A439" s="34" t="s">
        <v>5223</v>
      </c>
      <c r="B439" s="40"/>
      <c r="C439" s="38">
        <v>46051</v>
      </c>
      <c r="D439" s="41">
        <v>103</v>
      </c>
      <c r="E439" s="32" t="s">
        <v>33</v>
      </c>
      <c r="F439" s="11" t="e">
        <f t="shared" si="20"/>
        <v>#VALUE!</v>
      </c>
      <c r="G439" s="19" t="str">
        <f>IF(ISERROR(VLOOKUP(A439,Report!A:D,3,FALSE)),"NOT FOUND",VLOOKUP(A439,Report!A:D,3,FALSE))</f>
        <v>NOT FOUND</v>
      </c>
      <c r="H439" s="19" t="str">
        <f>IF(ISERROR(VLOOKUP(A439,Report!A:D,4,FALSE)),"NOT FOUND",VLOOKUP(A439,Report!A:D,4,FALSE))</f>
        <v>NOT FOUND</v>
      </c>
      <c r="I439" s="20" t="str">
        <f>IF(ISERROR(VLOOKUP(A439,Report!A:D,2,FALSE)),"NOT FOUND",VLOOKUP(A439,Report!A:D,2,FALSE))</f>
        <v>NOT FOUND</v>
      </c>
      <c r="K439" s="56">
        <f t="shared" si="18"/>
        <v>1</v>
      </c>
      <c r="L439" s="56">
        <f t="shared" si="19"/>
        <v>2026</v>
      </c>
      <c r="N439" s="50"/>
    </row>
    <row r="440" spans="1:14">
      <c r="A440" s="34" t="s">
        <v>4573</v>
      </c>
      <c r="B440" s="40"/>
      <c r="C440" s="38">
        <v>46051</v>
      </c>
      <c r="D440" s="41">
        <v>103</v>
      </c>
      <c r="E440" s="32" t="s">
        <v>33</v>
      </c>
      <c r="F440" s="11" t="str">
        <f t="shared" si="20"/>
        <v>Accepted</v>
      </c>
      <c r="G440" s="19">
        <f>IF(ISERROR(VLOOKUP(A440,Report!A:D,3,FALSE)),"NOT FOUND",VLOOKUP(A440,Report!A:D,3,FALSE))</f>
        <v>103.25</v>
      </c>
      <c r="H440" s="19">
        <f>IF(ISERROR(VLOOKUP(A440,Report!A:D,4,FALSE)),"NOT FOUND",VLOOKUP(A440,Report!A:D,4,FALSE))</f>
        <v>0</v>
      </c>
      <c r="I440" s="20" t="str">
        <f>IF(ISERROR(VLOOKUP(A440,Report!A:D,2,FALSE)),"NOT FOUND",VLOOKUP(A440,Report!A:D,2,FALSE))</f>
        <v>27-02-2026</v>
      </c>
      <c r="K440" s="56">
        <f t="shared" si="18"/>
        <v>1</v>
      </c>
      <c r="L440" s="56">
        <f t="shared" si="19"/>
        <v>2026</v>
      </c>
      <c r="N440" s="50"/>
    </row>
    <row r="441" spans="1:14">
      <c r="A441" s="34" t="s">
        <v>4611</v>
      </c>
      <c r="B441" s="40"/>
      <c r="C441" s="38">
        <v>46051</v>
      </c>
      <c r="D441" s="41">
        <v>103</v>
      </c>
      <c r="E441" s="32" t="s">
        <v>33</v>
      </c>
      <c r="F441" s="11" t="str">
        <f t="shared" si="20"/>
        <v>Accepted</v>
      </c>
      <c r="G441" s="19">
        <f>IF(ISERROR(VLOOKUP(A441,Report!A:D,3,FALSE)),"NOT FOUND",VLOOKUP(A441,Report!A:D,3,FALSE))</f>
        <v>103.25</v>
      </c>
      <c r="H441" s="19">
        <f>IF(ISERROR(VLOOKUP(A441,Report!A:D,4,FALSE)),"NOT FOUND",VLOOKUP(A441,Report!A:D,4,FALSE))</f>
        <v>0</v>
      </c>
      <c r="I441" s="20" t="str">
        <f>IF(ISERROR(VLOOKUP(A441,Report!A:D,2,FALSE)),"NOT FOUND",VLOOKUP(A441,Report!A:D,2,FALSE))</f>
        <v>27-02-2026</v>
      </c>
      <c r="K441" s="56">
        <f t="shared" si="18"/>
        <v>1</v>
      </c>
      <c r="L441" s="56">
        <f t="shared" si="19"/>
        <v>2026</v>
      </c>
      <c r="N441" s="50"/>
    </row>
    <row r="442" spans="1:14">
      <c r="A442" s="34" t="s">
        <v>4566</v>
      </c>
      <c r="B442" s="40"/>
      <c r="C442" s="38">
        <v>46051</v>
      </c>
      <c r="D442" s="41">
        <v>103</v>
      </c>
      <c r="E442" s="32" t="s">
        <v>33</v>
      </c>
      <c r="F442" s="11" t="str">
        <f t="shared" si="20"/>
        <v>Accepted</v>
      </c>
      <c r="G442" s="19">
        <f>IF(ISERROR(VLOOKUP(A442,Report!A:D,3,FALSE)),"NOT FOUND",VLOOKUP(A442,Report!A:D,3,FALSE))</f>
        <v>103.25</v>
      </c>
      <c r="H442" s="19">
        <f>IF(ISERROR(VLOOKUP(A442,Report!A:D,4,FALSE)),"NOT FOUND",VLOOKUP(A442,Report!A:D,4,FALSE))</f>
        <v>0</v>
      </c>
      <c r="I442" s="20" t="str">
        <f>IF(ISERROR(VLOOKUP(A442,Report!A:D,2,FALSE)),"NOT FOUND",VLOOKUP(A442,Report!A:D,2,FALSE))</f>
        <v>27-02-2026</v>
      </c>
      <c r="K442" s="56">
        <f t="shared" si="18"/>
        <v>1</v>
      </c>
      <c r="L442" s="56">
        <f t="shared" si="19"/>
        <v>2026</v>
      </c>
      <c r="N442" s="50"/>
    </row>
    <row r="443" spans="1:14">
      <c r="A443" s="34" t="s">
        <v>4658</v>
      </c>
      <c r="B443" s="40"/>
      <c r="C443" s="38">
        <v>46051</v>
      </c>
      <c r="D443" s="41">
        <v>103</v>
      </c>
      <c r="E443" s="32" t="s">
        <v>33</v>
      </c>
      <c r="F443" s="11" t="str">
        <f t="shared" si="20"/>
        <v>Accepted</v>
      </c>
      <c r="G443" s="19">
        <f>IF(ISERROR(VLOOKUP(A443,Report!A:D,3,FALSE)),"NOT FOUND",VLOOKUP(A443,Report!A:D,3,FALSE))</f>
        <v>103.25</v>
      </c>
      <c r="H443" s="19">
        <f>IF(ISERROR(VLOOKUP(A443,Report!A:D,4,FALSE)),"NOT FOUND",VLOOKUP(A443,Report!A:D,4,FALSE))</f>
        <v>0</v>
      </c>
      <c r="I443" s="20" t="str">
        <f>IF(ISERROR(VLOOKUP(A443,Report!A:D,2,FALSE)),"NOT FOUND",VLOOKUP(A443,Report!A:D,2,FALSE))</f>
        <v>27-02-2026</v>
      </c>
      <c r="K443" s="56">
        <f t="shared" si="18"/>
        <v>1</v>
      </c>
      <c r="L443" s="56">
        <f t="shared" si="19"/>
        <v>2026</v>
      </c>
      <c r="N443" s="50"/>
    </row>
    <row r="444" spans="1:14">
      <c r="A444" s="34" t="s">
        <v>4644</v>
      </c>
      <c r="B444" s="40"/>
      <c r="C444" s="38">
        <v>46051</v>
      </c>
      <c r="D444" s="41">
        <v>103</v>
      </c>
      <c r="E444" s="32" t="s">
        <v>33</v>
      </c>
      <c r="F444" s="11" t="str">
        <f t="shared" si="20"/>
        <v>Accepted</v>
      </c>
      <c r="G444" s="19">
        <f>IF(ISERROR(VLOOKUP(A444,Report!A:D,3,FALSE)),"NOT FOUND",VLOOKUP(A444,Report!A:D,3,FALSE))</f>
        <v>103.25</v>
      </c>
      <c r="H444" s="19">
        <f>IF(ISERROR(VLOOKUP(A444,Report!A:D,4,FALSE)),"NOT FOUND",VLOOKUP(A444,Report!A:D,4,FALSE))</f>
        <v>0</v>
      </c>
      <c r="I444" s="20" t="str">
        <f>IF(ISERROR(VLOOKUP(A444,Report!A:D,2,FALSE)),"NOT FOUND",VLOOKUP(A444,Report!A:D,2,FALSE))</f>
        <v>27-02-2026</v>
      </c>
      <c r="K444" s="56">
        <f t="shared" si="18"/>
        <v>1</v>
      </c>
      <c r="L444" s="56">
        <f t="shared" si="19"/>
        <v>2026</v>
      </c>
      <c r="N444" s="50"/>
    </row>
    <row r="445" spans="1:14">
      <c r="A445" s="34" t="s">
        <v>4654</v>
      </c>
      <c r="B445" s="40"/>
      <c r="C445" s="38">
        <v>46051</v>
      </c>
      <c r="D445" s="41">
        <v>103</v>
      </c>
      <c r="E445" s="32" t="s">
        <v>33</v>
      </c>
      <c r="F445" s="11" t="str">
        <f t="shared" si="20"/>
        <v>Accepted</v>
      </c>
      <c r="G445" s="19">
        <f>IF(ISERROR(VLOOKUP(A445,Report!A:D,3,FALSE)),"NOT FOUND",VLOOKUP(A445,Report!A:D,3,FALSE))</f>
        <v>103.25</v>
      </c>
      <c r="H445" s="19">
        <f>IF(ISERROR(VLOOKUP(A445,Report!A:D,4,FALSE)),"NOT FOUND",VLOOKUP(A445,Report!A:D,4,FALSE))</f>
        <v>0</v>
      </c>
      <c r="I445" s="20" t="str">
        <f>IF(ISERROR(VLOOKUP(A445,Report!A:D,2,FALSE)),"NOT FOUND",VLOOKUP(A445,Report!A:D,2,FALSE))</f>
        <v>27-02-2026</v>
      </c>
      <c r="K445" s="56">
        <f t="shared" si="18"/>
        <v>1</v>
      </c>
      <c r="L445" s="56">
        <f t="shared" si="19"/>
        <v>2026</v>
      </c>
      <c r="N445" s="50"/>
    </row>
    <row r="446" spans="1:14">
      <c r="A446" s="34" t="s">
        <v>4640</v>
      </c>
      <c r="B446" s="40"/>
      <c r="C446" s="38">
        <v>46051</v>
      </c>
      <c r="D446" s="41">
        <v>103</v>
      </c>
      <c r="E446" s="32" t="s">
        <v>33</v>
      </c>
      <c r="F446" s="11" t="str">
        <f t="shared" si="20"/>
        <v>Accepted</v>
      </c>
      <c r="G446" s="19">
        <f>IF(ISERROR(VLOOKUP(A446,Report!A:D,3,FALSE)),"NOT FOUND",VLOOKUP(A446,Report!A:D,3,FALSE))</f>
        <v>103.25</v>
      </c>
      <c r="H446" s="19">
        <f>IF(ISERROR(VLOOKUP(A446,Report!A:D,4,FALSE)),"NOT FOUND",VLOOKUP(A446,Report!A:D,4,FALSE))</f>
        <v>0</v>
      </c>
      <c r="I446" s="20" t="str">
        <f>IF(ISERROR(VLOOKUP(A446,Report!A:D,2,FALSE)),"NOT FOUND",VLOOKUP(A446,Report!A:D,2,FALSE))</f>
        <v>27-02-2026</v>
      </c>
      <c r="K446" s="56">
        <f t="shared" ref="K446:K458" si="21">MONTH(C446)</f>
        <v>1</v>
      </c>
      <c r="L446" s="56">
        <f t="shared" ref="L446:L458" si="22">YEAR(C446)</f>
        <v>2026</v>
      </c>
      <c r="N446" s="50"/>
    </row>
    <row r="447" spans="1:14">
      <c r="A447" s="34" t="s">
        <v>4631</v>
      </c>
      <c r="B447" s="40"/>
      <c r="C447" s="38">
        <v>46051</v>
      </c>
      <c r="D447" s="41">
        <v>103</v>
      </c>
      <c r="E447" s="32" t="s">
        <v>33</v>
      </c>
      <c r="F447" s="11" t="str">
        <f t="shared" si="20"/>
        <v>Accepted</v>
      </c>
      <c r="G447" s="19">
        <f>IF(ISERROR(VLOOKUP(A447,Report!A:D,3,FALSE)),"NOT FOUND",VLOOKUP(A447,Report!A:D,3,FALSE))</f>
        <v>103.25</v>
      </c>
      <c r="H447" s="19">
        <f>IF(ISERROR(VLOOKUP(A447,Report!A:D,4,FALSE)),"NOT FOUND",VLOOKUP(A447,Report!A:D,4,FALSE))</f>
        <v>0</v>
      </c>
      <c r="I447" s="20" t="str">
        <f>IF(ISERROR(VLOOKUP(A447,Report!A:D,2,FALSE)),"NOT FOUND",VLOOKUP(A447,Report!A:D,2,FALSE))</f>
        <v>27-02-2026</v>
      </c>
      <c r="K447" s="56">
        <f t="shared" si="21"/>
        <v>1</v>
      </c>
      <c r="L447" s="56">
        <f t="shared" si="22"/>
        <v>2026</v>
      </c>
      <c r="N447" s="50"/>
    </row>
    <row r="448" spans="1:14">
      <c r="A448" s="34" t="s">
        <v>4648</v>
      </c>
      <c r="B448" s="40"/>
      <c r="C448" s="38">
        <v>46051</v>
      </c>
      <c r="D448" s="41">
        <v>103</v>
      </c>
      <c r="E448" s="32" t="s">
        <v>33</v>
      </c>
      <c r="F448" s="11" t="str">
        <f t="shared" ref="F448:F500" si="23">IF((D448-G448)&lt;10,"Accepted","Partial/Rejected")</f>
        <v>Accepted</v>
      </c>
      <c r="G448" s="19">
        <f>IF(ISERROR(VLOOKUP(A448,Report!A:D,3,FALSE)),"NOT FOUND",VLOOKUP(A448,Report!A:D,3,FALSE))</f>
        <v>103.25</v>
      </c>
      <c r="H448" s="19">
        <f>IF(ISERROR(VLOOKUP(A448,Report!A:D,4,FALSE)),"NOT FOUND",VLOOKUP(A448,Report!A:D,4,FALSE))</f>
        <v>0</v>
      </c>
      <c r="I448" s="20" t="str">
        <f>IF(ISERROR(VLOOKUP(A448,Report!A:D,2,FALSE)),"NOT FOUND",VLOOKUP(A448,Report!A:D,2,FALSE))</f>
        <v>27-02-2026</v>
      </c>
      <c r="K448" s="56">
        <f t="shared" si="21"/>
        <v>1</v>
      </c>
      <c r="L448" s="56">
        <f t="shared" si="22"/>
        <v>2026</v>
      </c>
      <c r="N448" s="50"/>
    </row>
    <row r="449" spans="1:14">
      <c r="A449" s="34" t="s">
        <v>4700</v>
      </c>
      <c r="B449" s="40"/>
      <c r="C449" s="38">
        <v>46051</v>
      </c>
      <c r="D449" s="41">
        <v>103</v>
      </c>
      <c r="E449" s="32" t="s">
        <v>33</v>
      </c>
      <c r="F449" s="11" t="str">
        <f t="shared" si="23"/>
        <v>Accepted</v>
      </c>
      <c r="G449" s="19">
        <f>IF(ISERROR(VLOOKUP(A449,Report!A:D,3,FALSE)),"NOT FOUND",VLOOKUP(A449,Report!A:D,3,FALSE))</f>
        <v>103.25</v>
      </c>
      <c r="H449" s="19">
        <f>IF(ISERROR(VLOOKUP(A449,Report!A:D,4,FALSE)),"NOT FOUND",VLOOKUP(A449,Report!A:D,4,FALSE))</f>
        <v>0</v>
      </c>
      <c r="I449" s="20" t="str">
        <f>IF(ISERROR(VLOOKUP(A449,Report!A:D,2,FALSE)),"NOT FOUND",VLOOKUP(A449,Report!A:D,2,FALSE))</f>
        <v>27-02-2026</v>
      </c>
      <c r="K449" s="56">
        <f t="shared" si="21"/>
        <v>1</v>
      </c>
      <c r="L449" s="56">
        <f t="shared" si="22"/>
        <v>2026</v>
      </c>
      <c r="N449" s="50"/>
    </row>
    <row r="450" spans="1:14">
      <c r="A450" s="34" t="s">
        <v>4634</v>
      </c>
      <c r="B450" s="40"/>
      <c r="C450" s="38">
        <v>46051</v>
      </c>
      <c r="D450" s="41">
        <v>103</v>
      </c>
      <c r="E450" s="32" t="s">
        <v>33</v>
      </c>
      <c r="F450" s="11" t="str">
        <f t="shared" si="23"/>
        <v>Accepted</v>
      </c>
      <c r="G450" s="19">
        <f>IF(ISERROR(VLOOKUP(A450,Report!A:D,3,FALSE)),"NOT FOUND",VLOOKUP(A450,Report!A:D,3,FALSE))</f>
        <v>103.25</v>
      </c>
      <c r="H450" s="19">
        <f>IF(ISERROR(VLOOKUP(A450,Report!A:D,4,FALSE)),"NOT FOUND",VLOOKUP(A450,Report!A:D,4,FALSE))</f>
        <v>0</v>
      </c>
      <c r="I450" s="20" t="str">
        <f>IF(ISERROR(VLOOKUP(A450,Report!A:D,2,FALSE)),"NOT FOUND",VLOOKUP(A450,Report!A:D,2,FALSE))</f>
        <v>27-02-2026</v>
      </c>
      <c r="K450" s="56">
        <f t="shared" si="21"/>
        <v>1</v>
      </c>
      <c r="L450" s="56">
        <f t="shared" si="22"/>
        <v>2026</v>
      </c>
      <c r="N450" s="50"/>
    </row>
    <row r="451" spans="1:14">
      <c r="A451" s="34" t="s">
        <v>4637</v>
      </c>
      <c r="B451" s="40"/>
      <c r="C451" s="38">
        <v>46051</v>
      </c>
      <c r="D451" s="41">
        <v>103</v>
      </c>
      <c r="E451" s="32" t="s">
        <v>33</v>
      </c>
      <c r="F451" s="11" t="str">
        <f t="shared" si="23"/>
        <v>Accepted</v>
      </c>
      <c r="G451" s="19">
        <f>IF(ISERROR(VLOOKUP(A451,Report!A:D,3,FALSE)),"NOT FOUND",VLOOKUP(A451,Report!A:D,3,FALSE))</f>
        <v>103.25</v>
      </c>
      <c r="H451" s="19">
        <f>IF(ISERROR(VLOOKUP(A451,Report!A:D,4,FALSE)),"NOT FOUND",VLOOKUP(A451,Report!A:D,4,FALSE))</f>
        <v>0</v>
      </c>
      <c r="I451" s="20" t="str">
        <f>IF(ISERROR(VLOOKUP(A451,Report!A:D,2,FALSE)),"NOT FOUND",VLOOKUP(A451,Report!A:D,2,FALSE))</f>
        <v>27-02-2026</v>
      </c>
      <c r="K451" s="56">
        <f t="shared" si="21"/>
        <v>1</v>
      </c>
      <c r="L451" s="56">
        <f t="shared" si="22"/>
        <v>2026</v>
      </c>
      <c r="N451" s="50"/>
    </row>
    <row r="452" spans="1:14">
      <c r="A452" s="34" t="s">
        <v>4681</v>
      </c>
      <c r="B452" s="40"/>
      <c r="C452" s="38">
        <v>46051</v>
      </c>
      <c r="D452" s="41">
        <v>103</v>
      </c>
      <c r="E452" s="32" t="s">
        <v>33</v>
      </c>
      <c r="F452" s="11" t="str">
        <f t="shared" si="23"/>
        <v>Accepted</v>
      </c>
      <c r="G452" s="19">
        <f>IF(ISERROR(VLOOKUP(A452,Report!A:D,3,FALSE)),"NOT FOUND",VLOOKUP(A452,Report!A:D,3,FALSE))</f>
        <v>103.25</v>
      </c>
      <c r="H452" s="19">
        <f>IF(ISERROR(VLOOKUP(A452,Report!A:D,4,FALSE)),"NOT FOUND",VLOOKUP(A452,Report!A:D,4,FALSE))</f>
        <v>0</v>
      </c>
      <c r="I452" s="20" t="str">
        <f>IF(ISERROR(VLOOKUP(A452,Report!A:D,2,FALSE)),"NOT FOUND",VLOOKUP(A452,Report!A:D,2,FALSE))</f>
        <v>27-02-2026</v>
      </c>
      <c r="K452" s="56">
        <f t="shared" si="21"/>
        <v>1</v>
      </c>
      <c r="L452" s="56">
        <f t="shared" si="22"/>
        <v>2026</v>
      </c>
      <c r="N452" s="50"/>
    </row>
    <row r="453" spans="1:14">
      <c r="A453" s="34" t="s">
        <v>4670</v>
      </c>
      <c r="B453" s="40"/>
      <c r="C453" s="38">
        <v>46051</v>
      </c>
      <c r="D453" s="41">
        <v>103</v>
      </c>
      <c r="E453" s="32" t="s">
        <v>33</v>
      </c>
      <c r="F453" s="11" t="str">
        <f t="shared" si="23"/>
        <v>Accepted</v>
      </c>
      <c r="G453" s="19">
        <f>IF(ISERROR(VLOOKUP(A453,Report!A:D,3,FALSE)),"NOT FOUND",VLOOKUP(A453,Report!A:D,3,FALSE))</f>
        <v>103.25</v>
      </c>
      <c r="H453" s="19">
        <f>IF(ISERROR(VLOOKUP(A453,Report!A:D,4,FALSE)),"NOT FOUND",VLOOKUP(A453,Report!A:D,4,FALSE))</f>
        <v>0</v>
      </c>
      <c r="I453" s="20" t="str">
        <f>IF(ISERROR(VLOOKUP(A453,Report!A:D,2,FALSE)),"NOT FOUND",VLOOKUP(A453,Report!A:D,2,FALSE))</f>
        <v>27-02-2026</v>
      </c>
      <c r="K453" s="56">
        <f t="shared" si="21"/>
        <v>1</v>
      </c>
      <c r="L453" s="56">
        <f t="shared" si="22"/>
        <v>2026</v>
      </c>
      <c r="N453" s="50"/>
    </row>
    <row r="454" spans="1:14">
      <c r="A454" s="34" t="s">
        <v>4709</v>
      </c>
      <c r="B454" s="40"/>
      <c r="C454" s="38">
        <v>46051</v>
      </c>
      <c r="D454" s="41">
        <v>103</v>
      </c>
      <c r="E454" s="32" t="s">
        <v>33</v>
      </c>
      <c r="F454" s="11" t="str">
        <f t="shared" si="23"/>
        <v>Accepted</v>
      </c>
      <c r="G454" s="19">
        <f>IF(ISERROR(VLOOKUP(A454,Report!A:D,3,FALSE)),"NOT FOUND",VLOOKUP(A454,Report!A:D,3,FALSE))</f>
        <v>103.25</v>
      </c>
      <c r="H454" s="19">
        <f>IF(ISERROR(VLOOKUP(A454,Report!A:D,4,FALSE)),"NOT FOUND",VLOOKUP(A454,Report!A:D,4,FALSE))</f>
        <v>0</v>
      </c>
      <c r="I454" s="20" t="str">
        <f>IF(ISERROR(VLOOKUP(A454,Report!A:D,2,FALSE)),"NOT FOUND",VLOOKUP(A454,Report!A:D,2,FALSE))</f>
        <v>27-02-2026</v>
      </c>
      <c r="K454" s="56">
        <f t="shared" si="21"/>
        <v>1</v>
      </c>
      <c r="L454" s="56">
        <f t="shared" si="22"/>
        <v>2026</v>
      </c>
      <c r="N454" s="50"/>
    </row>
    <row r="455" spans="1:14">
      <c r="A455" s="34" t="s">
        <v>4727</v>
      </c>
      <c r="B455" s="40"/>
      <c r="C455" s="38">
        <v>46051</v>
      </c>
      <c r="D455" s="41">
        <v>103</v>
      </c>
      <c r="E455" s="32" t="s">
        <v>33</v>
      </c>
      <c r="F455" s="11" t="str">
        <f t="shared" si="23"/>
        <v>Accepted</v>
      </c>
      <c r="G455" s="19">
        <f>IF(ISERROR(VLOOKUP(A455,Report!A:D,3,FALSE)),"NOT FOUND",VLOOKUP(A455,Report!A:D,3,FALSE))</f>
        <v>103.25</v>
      </c>
      <c r="H455" s="19">
        <f>IF(ISERROR(VLOOKUP(A455,Report!A:D,4,FALSE)),"NOT FOUND",VLOOKUP(A455,Report!A:D,4,FALSE))</f>
        <v>0</v>
      </c>
      <c r="I455" s="20" t="str">
        <f>IF(ISERROR(VLOOKUP(A455,Report!A:D,2,FALSE)),"NOT FOUND",VLOOKUP(A455,Report!A:D,2,FALSE))</f>
        <v>27-02-2026</v>
      </c>
      <c r="K455" s="56">
        <f t="shared" si="21"/>
        <v>1</v>
      </c>
      <c r="L455" s="56">
        <f t="shared" si="22"/>
        <v>2026</v>
      </c>
      <c r="N455" s="50"/>
    </row>
    <row r="456" spans="1:14">
      <c r="A456" s="34" t="s">
        <v>4714</v>
      </c>
      <c r="B456" s="40"/>
      <c r="C456" s="38">
        <v>46051</v>
      </c>
      <c r="D456" s="41">
        <v>103</v>
      </c>
      <c r="E456" s="32" t="s">
        <v>33</v>
      </c>
      <c r="F456" s="11" t="str">
        <f t="shared" si="23"/>
        <v>Accepted</v>
      </c>
      <c r="G456" s="19">
        <f>IF(ISERROR(VLOOKUP(A456,Report!A:D,3,FALSE)),"NOT FOUND",VLOOKUP(A456,Report!A:D,3,FALSE))</f>
        <v>103.25</v>
      </c>
      <c r="H456" s="19">
        <f>IF(ISERROR(VLOOKUP(A456,Report!A:D,4,FALSE)),"NOT FOUND",VLOOKUP(A456,Report!A:D,4,FALSE))</f>
        <v>0</v>
      </c>
      <c r="I456" s="20" t="str">
        <f>IF(ISERROR(VLOOKUP(A456,Report!A:D,2,FALSE)),"NOT FOUND",VLOOKUP(A456,Report!A:D,2,FALSE))</f>
        <v>27-02-2026</v>
      </c>
      <c r="K456" s="56">
        <f t="shared" si="21"/>
        <v>1</v>
      </c>
      <c r="L456" s="56">
        <f t="shared" si="22"/>
        <v>2026</v>
      </c>
      <c r="N456" s="50"/>
    </row>
    <row r="457" spans="1:14">
      <c r="A457" s="34" t="s">
        <v>4605</v>
      </c>
      <c r="B457" s="40"/>
      <c r="C457" s="38">
        <v>46051</v>
      </c>
      <c r="D457" s="41">
        <v>103</v>
      </c>
      <c r="E457" s="32" t="s">
        <v>33</v>
      </c>
      <c r="F457" s="11" t="str">
        <f t="shared" si="23"/>
        <v>Accepted</v>
      </c>
      <c r="G457" s="19">
        <f>IF(ISERROR(VLOOKUP(A457,Report!A:D,3,FALSE)),"NOT FOUND",VLOOKUP(A457,Report!A:D,3,FALSE))</f>
        <v>103.25</v>
      </c>
      <c r="H457" s="19">
        <f>IF(ISERROR(VLOOKUP(A457,Report!A:D,4,FALSE)),"NOT FOUND",VLOOKUP(A457,Report!A:D,4,FALSE))</f>
        <v>0</v>
      </c>
      <c r="I457" s="20" t="str">
        <f>IF(ISERROR(VLOOKUP(A457,Report!A:D,2,FALSE)),"NOT FOUND",VLOOKUP(A457,Report!A:D,2,FALSE))</f>
        <v>27-02-2026</v>
      </c>
      <c r="K457" s="56">
        <f t="shared" si="21"/>
        <v>1</v>
      </c>
      <c r="L457" s="56">
        <f t="shared" si="22"/>
        <v>2026</v>
      </c>
      <c r="N457" s="50"/>
    </row>
    <row r="458" spans="1:14">
      <c r="A458" s="34" t="s">
        <v>4595</v>
      </c>
      <c r="B458" s="40"/>
      <c r="C458" s="38">
        <v>46051</v>
      </c>
      <c r="D458" s="41">
        <v>103</v>
      </c>
      <c r="E458" s="32" t="s">
        <v>33</v>
      </c>
      <c r="F458" s="11" t="str">
        <f t="shared" si="23"/>
        <v>Accepted</v>
      </c>
      <c r="G458" s="19">
        <f>IF(ISERROR(VLOOKUP(A458,Report!A:D,3,FALSE)),"NOT FOUND",VLOOKUP(A458,Report!A:D,3,FALSE))</f>
        <v>103.25</v>
      </c>
      <c r="H458" s="19">
        <f>IF(ISERROR(VLOOKUP(A458,Report!A:D,4,FALSE)),"NOT FOUND",VLOOKUP(A458,Report!A:D,4,FALSE))</f>
        <v>0</v>
      </c>
      <c r="I458" s="20" t="str">
        <f>IF(ISERROR(VLOOKUP(A458,Report!A:D,2,FALSE)),"NOT FOUND",VLOOKUP(A458,Report!A:D,2,FALSE))</f>
        <v>27-02-2026</v>
      </c>
      <c r="K458" s="56">
        <f t="shared" si="21"/>
        <v>1</v>
      </c>
      <c r="L458" s="56">
        <f t="shared" si="22"/>
        <v>2026</v>
      </c>
      <c r="N458" s="50"/>
    </row>
    <row r="459" spans="1:14">
      <c r="A459" s="34"/>
      <c r="B459" s="40">
        <v>481</v>
      </c>
      <c r="C459" s="38"/>
      <c r="D459" s="41"/>
      <c r="E459" s="32"/>
      <c r="F459" s="11" t="str">
        <f t="shared" si="23"/>
        <v>Accepted</v>
      </c>
      <c r="G459" s="19"/>
      <c r="H459" s="19"/>
      <c r="I459" s="20"/>
      <c r="J459" s="21" t="s">
        <v>43</v>
      </c>
      <c r="K459" s="56">
        <f t="shared" ref="K459:K522" si="24">MONTH(C459)</f>
        <v>1</v>
      </c>
      <c r="L459" s="56">
        <f t="shared" ref="L459:L522" si="25">YEAR(C459)</f>
        <v>1900</v>
      </c>
      <c r="N459" s="50"/>
    </row>
    <row r="460" spans="1:14">
      <c r="A460" s="34"/>
      <c r="B460" s="40">
        <v>482</v>
      </c>
      <c r="C460" s="38"/>
      <c r="D460" s="41"/>
      <c r="E460" s="32"/>
      <c r="F460" s="11" t="str">
        <f t="shared" si="23"/>
        <v>Accepted</v>
      </c>
      <c r="G460" s="19"/>
      <c r="H460" s="19"/>
      <c r="I460" s="20"/>
      <c r="J460" s="21" t="s">
        <v>43</v>
      </c>
      <c r="K460" s="56">
        <f t="shared" si="24"/>
        <v>1</v>
      </c>
      <c r="L460" s="56">
        <f t="shared" si="25"/>
        <v>1900</v>
      </c>
      <c r="N460" s="50"/>
    </row>
    <row r="461" spans="1:14">
      <c r="A461" s="34"/>
      <c r="B461" s="40">
        <v>483</v>
      </c>
      <c r="C461" s="38"/>
      <c r="D461" s="41"/>
      <c r="E461" s="32"/>
      <c r="F461" s="11" t="str">
        <f t="shared" si="23"/>
        <v>Accepted</v>
      </c>
      <c r="G461" s="19"/>
      <c r="H461" s="19"/>
      <c r="I461" s="20"/>
      <c r="J461" s="21" t="s">
        <v>43</v>
      </c>
      <c r="K461" s="56">
        <f t="shared" si="24"/>
        <v>1</v>
      </c>
      <c r="L461" s="56">
        <f t="shared" si="25"/>
        <v>1900</v>
      </c>
      <c r="N461" s="50"/>
    </row>
    <row r="462" spans="1:14">
      <c r="A462" s="34" t="s">
        <v>4752</v>
      </c>
      <c r="B462" s="40">
        <v>484</v>
      </c>
      <c r="C462" s="38">
        <v>46051</v>
      </c>
      <c r="D462" s="41">
        <v>4956</v>
      </c>
      <c r="E462" s="32" t="s">
        <v>33</v>
      </c>
      <c r="F462" s="11" t="str">
        <f t="shared" si="23"/>
        <v>Accepted</v>
      </c>
      <c r="G462" s="19">
        <f>IF(ISERROR(VLOOKUP(A462,Report!A:D,3,FALSE)),"NOT FOUND",VLOOKUP(A462,Report!A:D,3,FALSE))</f>
        <v>4956</v>
      </c>
      <c r="H462" s="19">
        <f>IF(ISERROR(VLOOKUP(A462,Report!A:D,4,FALSE)),"NOT FOUND",VLOOKUP(A462,Report!A:D,4,FALSE))</f>
        <v>0</v>
      </c>
      <c r="I462" s="20" t="str">
        <f>IF(ISERROR(VLOOKUP(A462,Report!A:D,2,FALSE)),"NOT FOUND",VLOOKUP(A462,Report!A:D,2,FALSE))</f>
        <v>27-02-2026</v>
      </c>
      <c r="K462" s="56">
        <f t="shared" si="24"/>
        <v>1</v>
      </c>
      <c r="L462" s="56">
        <f t="shared" si="25"/>
        <v>2026</v>
      </c>
      <c r="N462" s="50"/>
    </row>
    <row r="463" spans="1:14">
      <c r="A463" s="34"/>
      <c r="B463" s="40">
        <v>485</v>
      </c>
      <c r="C463" s="38"/>
      <c r="D463" s="41"/>
      <c r="E463" s="32"/>
      <c r="F463" s="11" t="str">
        <f t="shared" si="23"/>
        <v>Accepted</v>
      </c>
      <c r="G463" s="19"/>
      <c r="H463" s="19"/>
      <c r="I463" s="20"/>
      <c r="J463" s="21" t="s">
        <v>43</v>
      </c>
      <c r="K463" s="56">
        <f t="shared" si="24"/>
        <v>1</v>
      </c>
      <c r="L463" s="56">
        <f t="shared" si="25"/>
        <v>1900</v>
      </c>
      <c r="N463" s="50"/>
    </row>
    <row r="464" spans="1:14">
      <c r="A464" s="34"/>
      <c r="B464" s="40">
        <v>486</v>
      </c>
      <c r="C464" s="38"/>
      <c r="D464" s="41"/>
      <c r="E464" s="32"/>
      <c r="F464" s="11" t="str">
        <f t="shared" si="23"/>
        <v>Accepted</v>
      </c>
      <c r="G464" s="19"/>
      <c r="H464" s="19"/>
      <c r="I464" s="20"/>
      <c r="J464" s="21" t="s">
        <v>43</v>
      </c>
      <c r="K464" s="56">
        <f t="shared" si="24"/>
        <v>1</v>
      </c>
      <c r="L464" s="56">
        <f t="shared" si="25"/>
        <v>1900</v>
      </c>
      <c r="N464" s="50"/>
    </row>
    <row r="465" spans="1:14">
      <c r="A465" s="47" t="s">
        <v>34</v>
      </c>
      <c r="B465" s="42">
        <v>487</v>
      </c>
      <c r="C465" s="43"/>
      <c r="D465" s="44"/>
      <c r="E465" s="48" t="s">
        <v>34</v>
      </c>
      <c r="F465" s="11" t="str">
        <f t="shared" si="23"/>
        <v>Accepted</v>
      </c>
      <c r="G465" s="45"/>
      <c r="H465" s="45"/>
      <c r="I465" s="46"/>
      <c r="K465" s="56">
        <f t="shared" si="24"/>
        <v>1</v>
      </c>
      <c r="L465" s="56">
        <f t="shared" si="25"/>
        <v>1900</v>
      </c>
      <c r="N465" s="50"/>
    </row>
    <row r="466" spans="1:14">
      <c r="A466" s="34"/>
      <c r="B466" s="40">
        <v>488</v>
      </c>
      <c r="C466" s="38"/>
      <c r="D466" s="41"/>
      <c r="E466" s="32"/>
      <c r="F466" s="11" t="str">
        <f t="shared" si="23"/>
        <v>Accepted</v>
      </c>
      <c r="G466" s="19"/>
      <c r="H466" s="19"/>
      <c r="I466" s="20"/>
      <c r="J466" s="21" t="s">
        <v>43</v>
      </c>
      <c r="K466" s="56">
        <f t="shared" si="24"/>
        <v>1</v>
      </c>
      <c r="L466" s="56">
        <f t="shared" si="25"/>
        <v>1900</v>
      </c>
      <c r="N466" s="50"/>
    </row>
    <row r="467" spans="1:14">
      <c r="A467" s="34"/>
      <c r="B467" s="40">
        <v>489</v>
      </c>
      <c r="C467" s="38"/>
      <c r="D467" s="41"/>
      <c r="E467" s="32"/>
      <c r="F467" s="11" t="str">
        <f t="shared" si="23"/>
        <v>Accepted</v>
      </c>
      <c r="G467" s="19"/>
      <c r="H467" s="19"/>
      <c r="I467" s="20"/>
      <c r="J467" s="21" t="s">
        <v>43</v>
      </c>
      <c r="K467" s="56">
        <f t="shared" si="24"/>
        <v>1</v>
      </c>
      <c r="L467" s="56">
        <f t="shared" si="25"/>
        <v>1900</v>
      </c>
      <c r="N467" s="50"/>
    </row>
    <row r="468" spans="1:14">
      <c r="A468" s="34" t="s">
        <v>4709</v>
      </c>
      <c r="B468" s="40"/>
      <c r="C468" s="38">
        <v>46051</v>
      </c>
      <c r="D468" s="41">
        <v>103</v>
      </c>
      <c r="E468" s="32" t="s">
        <v>33</v>
      </c>
      <c r="F468" s="11" t="str">
        <f t="shared" si="23"/>
        <v>Accepted</v>
      </c>
      <c r="G468" s="19">
        <f>IF(ISERROR(VLOOKUP(A468,Report!A:D,3,FALSE)),"NOT FOUND",VLOOKUP(A468,Report!A:D,3,FALSE))</f>
        <v>103.25</v>
      </c>
      <c r="H468" s="19">
        <f>IF(ISERROR(VLOOKUP(A468,Report!A:D,4,FALSE)),"NOT FOUND",VLOOKUP(A468,Report!A:D,4,FALSE))</f>
        <v>0</v>
      </c>
      <c r="I468" s="20" t="str">
        <f>IF(ISERROR(VLOOKUP(A468,Report!A:D,2,FALSE)),"NOT FOUND",VLOOKUP(A468,Report!A:D,2,FALSE))</f>
        <v>27-02-2026</v>
      </c>
      <c r="K468" s="56">
        <f t="shared" si="24"/>
        <v>1</v>
      </c>
      <c r="L468" s="56">
        <f t="shared" si="25"/>
        <v>2026</v>
      </c>
      <c r="N468" s="50"/>
    </row>
    <row r="469" spans="1:14">
      <c r="A469" s="34" t="s">
        <v>4727</v>
      </c>
      <c r="B469" s="40"/>
      <c r="C469" s="38">
        <v>46051</v>
      </c>
      <c r="D469" s="41">
        <v>103</v>
      </c>
      <c r="E469" s="32" t="s">
        <v>33</v>
      </c>
      <c r="F469" s="11" t="str">
        <f t="shared" si="23"/>
        <v>Accepted</v>
      </c>
      <c r="G469" s="19">
        <f>IF(ISERROR(VLOOKUP(A469,Report!A:D,3,FALSE)),"NOT FOUND",VLOOKUP(A469,Report!A:D,3,FALSE))</f>
        <v>103.25</v>
      </c>
      <c r="H469" s="19">
        <f>IF(ISERROR(VLOOKUP(A469,Report!A:D,4,FALSE)),"NOT FOUND",VLOOKUP(A469,Report!A:D,4,FALSE))</f>
        <v>0</v>
      </c>
      <c r="I469" s="20" t="str">
        <f>IF(ISERROR(VLOOKUP(A469,Report!A:D,2,FALSE)),"NOT FOUND",VLOOKUP(A469,Report!A:D,2,FALSE))</f>
        <v>27-02-2026</v>
      </c>
      <c r="K469" s="56">
        <f t="shared" si="24"/>
        <v>1</v>
      </c>
      <c r="L469" s="56">
        <f t="shared" si="25"/>
        <v>2026</v>
      </c>
      <c r="N469" s="50"/>
    </row>
    <row r="470" spans="1:14">
      <c r="A470" s="34" t="s">
        <v>4714</v>
      </c>
      <c r="B470" s="40"/>
      <c r="C470" s="38">
        <v>46051</v>
      </c>
      <c r="D470" s="41">
        <v>103</v>
      </c>
      <c r="E470" s="32" t="s">
        <v>33</v>
      </c>
      <c r="F470" s="11" t="str">
        <f t="shared" si="23"/>
        <v>Accepted</v>
      </c>
      <c r="G470" s="19">
        <f>IF(ISERROR(VLOOKUP(A470,Report!A:D,3,FALSE)),"NOT FOUND",VLOOKUP(A470,Report!A:D,3,FALSE))</f>
        <v>103.25</v>
      </c>
      <c r="H470" s="19">
        <f>IF(ISERROR(VLOOKUP(A470,Report!A:D,4,FALSE)),"NOT FOUND",VLOOKUP(A470,Report!A:D,4,FALSE))</f>
        <v>0</v>
      </c>
      <c r="I470" s="20" t="str">
        <f>IF(ISERROR(VLOOKUP(A470,Report!A:D,2,FALSE)),"NOT FOUND",VLOOKUP(A470,Report!A:D,2,FALSE))</f>
        <v>27-02-2026</v>
      </c>
      <c r="K470" s="56">
        <f t="shared" si="24"/>
        <v>1</v>
      </c>
      <c r="L470" s="56">
        <f t="shared" si="25"/>
        <v>2026</v>
      </c>
      <c r="N470" s="50"/>
    </row>
    <row r="471" spans="1:14">
      <c r="A471" s="34" t="s">
        <v>4740</v>
      </c>
      <c r="B471" s="40">
        <v>490</v>
      </c>
      <c r="C471" s="38">
        <v>46051</v>
      </c>
      <c r="D471" s="41">
        <v>22192</v>
      </c>
      <c r="E471" s="32" t="s">
        <v>33</v>
      </c>
      <c r="F471" s="11" t="str">
        <f t="shared" si="23"/>
        <v>Accepted</v>
      </c>
      <c r="G471" s="19">
        <f>IF(ISERROR(VLOOKUP(A471,Report!A:D,3,FALSE)),"NOT FOUND",VLOOKUP(A471,Report!A:D,3,FALSE))</f>
        <v>22191.559999999998</v>
      </c>
      <c r="H471" s="19">
        <f>IF(ISERROR(VLOOKUP(A471,Report!A:D,4,FALSE)),"NOT FOUND",VLOOKUP(A471,Report!A:D,4,FALSE))</f>
        <v>0</v>
      </c>
      <c r="I471" s="20" t="str">
        <f>IF(ISERROR(VLOOKUP(A471,Report!A:D,2,FALSE)),"NOT FOUND",VLOOKUP(A471,Report!A:D,2,FALSE))</f>
        <v>(blank)</v>
      </c>
      <c r="K471" s="56">
        <f t="shared" si="24"/>
        <v>1</v>
      </c>
      <c r="L471" s="56">
        <f t="shared" si="25"/>
        <v>2026</v>
      </c>
      <c r="N471" s="50"/>
    </row>
    <row r="472" spans="1:14">
      <c r="A472" s="34" t="s">
        <v>4755</v>
      </c>
      <c r="B472" s="40">
        <v>491</v>
      </c>
      <c r="C472" s="38">
        <v>46051</v>
      </c>
      <c r="D472" s="41">
        <v>4956</v>
      </c>
      <c r="E472" s="32" t="s">
        <v>33</v>
      </c>
      <c r="F472" s="11" t="str">
        <f t="shared" si="23"/>
        <v>Accepted</v>
      </c>
      <c r="G472" s="19">
        <f>IF(ISERROR(VLOOKUP(A472,Report!A:D,3,FALSE)),"NOT FOUND",VLOOKUP(A472,Report!A:D,3,FALSE))</f>
        <v>4956</v>
      </c>
      <c r="H472" s="19">
        <f>IF(ISERROR(VLOOKUP(A472,Report!A:D,4,FALSE)),"NOT FOUND",VLOOKUP(A472,Report!A:D,4,FALSE))</f>
        <v>0</v>
      </c>
      <c r="I472" s="20" t="str">
        <f>IF(ISERROR(VLOOKUP(A472,Report!A:D,2,FALSE)),"NOT FOUND",VLOOKUP(A472,Report!A:D,2,FALSE))</f>
        <v>27-02-2026</v>
      </c>
      <c r="K472" s="56">
        <f t="shared" si="24"/>
        <v>1</v>
      </c>
      <c r="L472" s="56">
        <f t="shared" si="25"/>
        <v>2026</v>
      </c>
      <c r="N472" s="50"/>
    </row>
    <row r="473" spans="1:14">
      <c r="A473" s="34" t="s">
        <v>4747</v>
      </c>
      <c r="B473" s="40">
        <v>492</v>
      </c>
      <c r="C473" s="38">
        <v>46051</v>
      </c>
      <c r="D473" s="41">
        <v>4956</v>
      </c>
      <c r="E473" s="32" t="s">
        <v>33</v>
      </c>
      <c r="F473" s="11" t="str">
        <f t="shared" si="23"/>
        <v>Accepted</v>
      </c>
      <c r="G473" s="19">
        <f>IF(ISERROR(VLOOKUP(A473,Report!A:D,3,FALSE)),"NOT FOUND",VLOOKUP(A473,Report!A:D,3,FALSE))</f>
        <v>4956</v>
      </c>
      <c r="H473" s="19">
        <f>IF(ISERROR(VLOOKUP(A473,Report!A:D,4,FALSE)),"NOT FOUND",VLOOKUP(A473,Report!A:D,4,FALSE))</f>
        <v>0</v>
      </c>
      <c r="I473" s="20" t="str">
        <f>IF(ISERROR(VLOOKUP(A473,Report!A:D,2,FALSE)),"NOT FOUND",VLOOKUP(A473,Report!A:D,2,FALSE))</f>
        <v>27-02-2026</v>
      </c>
      <c r="K473" s="56">
        <f t="shared" si="24"/>
        <v>1</v>
      </c>
      <c r="L473" s="56">
        <f t="shared" si="25"/>
        <v>2026</v>
      </c>
      <c r="N473" s="50"/>
    </row>
    <row r="474" spans="1:14">
      <c r="A474" s="31" t="s">
        <v>5232</v>
      </c>
      <c r="B474" s="40">
        <v>493</v>
      </c>
      <c r="C474" s="38">
        <v>46044</v>
      </c>
      <c r="D474" s="41">
        <v>3500</v>
      </c>
      <c r="E474" s="32" t="s">
        <v>3326</v>
      </c>
      <c r="F474" s="11" t="e">
        <f t="shared" si="23"/>
        <v>#VALUE!</v>
      </c>
      <c r="G474" s="19" t="str">
        <f>IF(ISERROR(VLOOKUP(A474,Report!A:D,3,FALSE)),"NOT FOUND",VLOOKUP(A474,Report!A:D,3,FALSE))</f>
        <v>NOT FOUND</v>
      </c>
      <c r="H474" s="19" t="str">
        <f>IF(ISERROR(VLOOKUP(A474,Report!A:D,4,FALSE)),"NOT FOUND",VLOOKUP(A474,Report!A:D,4,FALSE))</f>
        <v>NOT FOUND</v>
      </c>
      <c r="I474" s="20" t="str">
        <f>IF(ISERROR(VLOOKUP(A474,Report!A:D,2,FALSE)),"NOT FOUND",VLOOKUP(A474,Report!A:D,2,FALSE))</f>
        <v>NOT FOUND</v>
      </c>
      <c r="K474" s="56">
        <f t="shared" si="24"/>
        <v>1</v>
      </c>
      <c r="L474" s="56">
        <f t="shared" si="25"/>
        <v>2026</v>
      </c>
      <c r="N474" s="50"/>
    </row>
    <row r="475" spans="1:14">
      <c r="A475" s="34"/>
      <c r="B475" s="40">
        <v>494</v>
      </c>
      <c r="C475" s="38"/>
      <c r="D475" s="41"/>
      <c r="E475" s="32"/>
      <c r="F475" s="11" t="str">
        <f t="shared" si="23"/>
        <v>Accepted</v>
      </c>
      <c r="G475" s="19"/>
      <c r="H475" s="19"/>
      <c r="I475" s="20"/>
      <c r="J475" s="21" t="s">
        <v>43</v>
      </c>
      <c r="K475" s="56">
        <f t="shared" si="24"/>
        <v>1</v>
      </c>
      <c r="L475" s="56">
        <f t="shared" si="25"/>
        <v>1900</v>
      </c>
      <c r="N475" s="50"/>
    </row>
    <row r="476" spans="1:14">
      <c r="A476" s="34"/>
      <c r="B476" s="40">
        <v>495</v>
      </c>
      <c r="C476" s="38"/>
      <c r="D476" s="41"/>
      <c r="E476" s="32"/>
      <c r="F476" s="11" t="str">
        <f t="shared" si="23"/>
        <v>Accepted</v>
      </c>
      <c r="G476" s="19"/>
      <c r="H476" s="19"/>
      <c r="I476" s="20"/>
      <c r="J476" s="21" t="s">
        <v>43</v>
      </c>
      <c r="K476" s="56">
        <f t="shared" si="24"/>
        <v>1</v>
      </c>
      <c r="L476" s="56">
        <f t="shared" si="25"/>
        <v>1900</v>
      </c>
      <c r="N476" s="50"/>
    </row>
    <row r="477" spans="1:14">
      <c r="A477" s="34"/>
      <c r="B477" s="40">
        <v>496</v>
      </c>
      <c r="C477" s="38"/>
      <c r="D477" s="41"/>
      <c r="E477" s="32"/>
      <c r="F477" s="11" t="str">
        <f t="shared" si="23"/>
        <v>Accepted</v>
      </c>
      <c r="G477" s="19"/>
      <c r="H477" s="19"/>
      <c r="I477" s="20"/>
      <c r="J477" s="21" t="s">
        <v>43</v>
      </c>
      <c r="K477" s="56">
        <f t="shared" si="24"/>
        <v>1</v>
      </c>
      <c r="L477" s="56">
        <f t="shared" si="25"/>
        <v>1900</v>
      </c>
      <c r="N477" s="50"/>
    </row>
    <row r="478" spans="1:14">
      <c r="A478" s="11" t="s">
        <v>5230</v>
      </c>
      <c r="B478" s="40">
        <v>497</v>
      </c>
      <c r="C478" s="38">
        <v>46053</v>
      </c>
      <c r="D478" s="13">
        <v>5000</v>
      </c>
      <c r="E478" s="32" t="s">
        <v>3326</v>
      </c>
      <c r="F478" s="11" t="e">
        <f t="shared" si="23"/>
        <v>#VALUE!</v>
      </c>
      <c r="G478" s="19" t="str">
        <f>IF(ISERROR(VLOOKUP(A478,Report!A:D,3,FALSE)),"NOT FOUND",VLOOKUP(A478,Report!A:D,3,FALSE))</f>
        <v>NOT FOUND</v>
      </c>
      <c r="H478" s="19" t="str">
        <f>IF(ISERROR(VLOOKUP(A478,Report!A:D,4,FALSE)),"NOT FOUND",VLOOKUP(A478,Report!A:D,4,FALSE))</f>
        <v>NOT FOUND</v>
      </c>
      <c r="I478" s="20" t="str">
        <f>IF(ISERROR(VLOOKUP(A478,Report!A:D,2,FALSE)),"NOT FOUND",VLOOKUP(A478,Report!A:D,2,FALSE))</f>
        <v>NOT FOUND</v>
      </c>
      <c r="K478" s="56">
        <f t="shared" si="24"/>
        <v>1</v>
      </c>
      <c r="L478" s="56">
        <f t="shared" si="25"/>
        <v>2026</v>
      </c>
      <c r="N478" s="50"/>
    </row>
    <row r="479" spans="1:14">
      <c r="A479" s="34"/>
      <c r="B479" s="40">
        <v>498</v>
      </c>
      <c r="C479" s="38"/>
      <c r="D479" s="41"/>
      <c r="E479" s="32"/>
      <c r="F479" s="11" t="str">
        <f t="shared" si="23"/>
        <v>Accepted</v>
      </c>
      <c r="G479" s="19"/>
      <c r="H479" s="19"/>
      <c r="I479" s="20"/>
      <c r="J479" s="21" t="s">
        <v>43</v>
      </c>
      <c r="K479" s="56">
        <f t="shared" si="24"/>
        <v>1</v>
      </c>
      <c r="L479" s="56">
        <f t="shared" si="25"/>
        <v>1900</v>
      </c>
      <c r="N479" s="50"/>
    </row>
    <row r="480" spans="1:14">
      <c r="A480" s="31" t="s">
        <v>5231</v>
      </c>
      <c r="B480" s="40">
        <v>499</v>
      </c>
      <c r="C480" s="38">
        <v>46053</v>
      </c>
      <c r="D480" s="13">
        <v>32429</v>
      </c>
      <c r="E480" s="32" t="s">
        <v>3326</v>
      </c>
      <c r="F480" s="11" t="e">
        <f t="shared" si="23"/>
        <v>#VALUE!</v>
      </c>
      <c r="G480" s="19" t="str">
        <f>IF(ISERROR(VLOOKUP(A480,Report!A:D,3,FALSE)),"NOT FOUND",VLOOKUP(A480,Report!A:D,3,FALSE))</f>
        <v>NOT FOUND</v>
      </c>
      <c r="H480" s="19" t="str">
        <f>IF(ISERROR(VLOOKUP(A480,Report!A:D,4,FALSE)),"NOT FOUND",VLOOKUP(A480,Report!A:D,4,FALSE))</f>
        <v>NOT FOUND</v>
      </c>
      <c r="I480" s="20" t="str">
        <f>IF(ISERROR(VLOOKUP(A480,Report!A:D,2,FALSE)),"NOT FOUND",VLOOKUP(A480,Report!A:D,2,FALSE))</f>
        <v>NOT FOUND</v>
      </c>
      <c r="K480" s="56">
        <f t="shared" si="24"/>
        <v>1</v>
      </c>
      <c r="L480" s="56">
        <f t="shared" si="25"/>
        <v>2026</v>
      </c>
      <c r="N480" s="50"/>
    </row>
    <row r="481" spans="1:14">
      <c r="A481" s="34"/>
      <c r="B481" s="40">
        <v>500</v>
      </c>
      <c r="C481" s="38"/>
      <c r="D481" s="41"/>
      <c r="E481" s="32"/>
      <c r="F481" s="11" t="str">
        <f t="shared" si="23"/>
        <v>Accepted</v>
      </c>
      <c r="G481" s="19"/>
      <c r="H481" s="19"/>
      <c r="I481" s="20"/>
      <c r="J481" s="21" t="s">
        <v>43</v>
      </c>
      <c r="K481" s="56">
        <f t="shared" si="24"/>
        <v>1</v>
      </c>
      <c r="L481" s="56">
        <f t="shared" si="25"/>
        <v>1900</v>
      </c>
      <c r="N481" s="50"/>
    </row>
    <row r="482" spans="1:14">
      <c r="A482" s="34" t="s">
        <v>4591</v>
      </c>
      <c r="B482" s="40"/>
      <c r="C482" s="38">
        <v>46051</v>
      </c>
      <c r="D482" s="41">
        <v>103</v>
      </c>
      <c r="E482" s="32" t="s">
        <v>33</v>
      </c>
      <c r="F482" s="11" t="str">
        <f t="shared" si="23"/>
        <v>Accepted</v>
      </c>
      <c r="G482" s="19">
        <f>IF(ISERROR(VLOOKUP(A482,Report!A:D,3,FALSE)),"NOT FOUND",VLOOKUP(A482,Report!A:D,3,FALSE))</f>
        <v>103.25</v>
      </c>
      <c r="H482" s="19">
        <f>IF(ISERROR(VLOOKUP(A482,Report!A:D,4,FALSE)),"NOT FOUND",VLOOKUP(A482,Report!A:D,4,FALSE))</f>
        <v>0</v>
      </c>
      <c r="I482" s="20" t="str">
        <f>IF(ISERROR(VLOOKUP(A482,Report!A:D,2,FALSE)),"NOT FOUND",VLOOKUP(A482,Report!A:D,2,FALSE))</f>
        <v>27-02-2026</v>
      </c>
      <c r="K482" s="56">
        <f t="shared" si="24"/>
        <v>1</v>
      </c>
      <c r="L482" s="56">
        <f t="shared" si="25"/>
        <v>2026</v>
      </c>
      <c r="N482" s="50"/>
    </row>
    <row r="483" spans="1:14">
      <c r="A483" s="34" t="s">
        <v>4599</v>
      </c>
      <c r="B483" s="40"/>
      <c r="C483" s="38">
        <v>46051</v>
      </c>
      <c r="D483" s="41">
        <v>103</v>
      </c>
      <c r="E483" s="32" t="s">
        <v>33</v>
      </c>
      <c r="F483" s="11" t="str">
        <f t="shared" si="23"/>
        <v>Accepted</v>
      </c>
      <c r="G483" s="19">
        <f>IF(ISERROR(VLOOKUP(A483,Report!A:D,3,FALSE)),"NOT FOUND",VLOOKUP(A483,Report!A:D,3,FALSE))</f>
        <v>103.25</v>
      </c>
      <c r="H483" s="19">
        <f>IF(ISERROR(VLOOKUP(A483,Report!A:D,4,FALSE)),"NOT FOUND",VLOOKUP(A483,Report!A:D,4,FALSE))</f>
        <v>0</v>
      </c>
      <c r="I483" s="20" t="str">
        <f>IF(ISERROR(VLOOKUP(A483,Report!A:D,2,FALSE)),"NOT FOUND",VLOOKUP(A483,Report!A:D,2,FALSE))</f>
        <v>27-02-2026</v>
      </c>
      <c r="K483" s="56">
        <f t="shared" si="24"/>
        <v>1</v>
      </c>
      <c r="L483" s="56">
        <f t="shared" si="25"/>
        <v>2026</v>
      </c>
      <c r="N483" s="50"/>
    </row>
    <row r="484" spans="1:14">
      <c r="A484" s="34" t="s">
        <v>4661</v>
      </c>
      <c r="B484" s="40"/>
      <c r="C484" s="38">
        <v>46051</v>
      </c>
      <c r="D484" s="41">
        <v>103</v>
      </c>
      <c r="E484" s="32" t="s">
        <v>33</v>
      </c>
      <c r="F484" s="11" t="str">
        <f t="shared" si="23"/>
        <v>Accepted</v>
      </c>
      <c r="G484" s="19">
        <f>IF(ISERROR(VLOOKUP(A484,Report!A:D,3,FALSE)),"NOT FOUND",VLOOKUP(A484,Report!A:D,3,FALSE))</f>
        <v>103.25</v>
      </c>
      <c r="H484" s="19">
        <f>IF(ISERROR(VLOOKUP(A484,Report!A:D,4,FALSE)),"NOT FOUND",VLOOKUP(A484,Report!A:D,4,FALSE))</f>
        <v>0</v>
      </c>
      <c r="I484" s="20" t="str">
        <f>IF(ISERROR(VLOOKUP(A484,Report!A:D,2,FALSE)),"NOT FOUND",VLOOKUP(A484,Report!A:D,2,FALSE))</f>
        <v>27-02-2026</v>
      </c>
      <c r="K484" s="56">
        <f t="shared" si="24"/>
        <v>1</v>
      </c>
      <c r="L484" s="56">
        <f t="shared" si="25"/>
        <v>2026</v>
      </c>
      <c r="N484" s="50"/>
    </row>
    <row r="485" spans="1:14">
      <c r="A485" s="34" t="s">
        <v>4621</v>
      </c>
      <c r="B485" s="40"/>
      <c r="C485" s="38">
        <v>46051</v>
      </c>
      <c r="D485" s="41">
        <v>103</v>
      </c>
      <c r="E485" s="32" t="s">
        <v>33</v>
      </c>
      <c r="F485" s="11" t="str">
        <f t="shared" si="23"/>
        <v>Accepted</v>
      </c>
      <c r="G485" s="19">
        <f>IF(ISERROR(VLOOKUP(A485,Report!A:D,3,FALSE)),"NOT FOUND",VLOOKUP(A485,Report!A:D,3,FALSE))</f>
        <v>103.25</v>
      </c>
      <c r="H485" s="19">
        <f>IF(ISERROR(VLOOKUP(A485,Report!A:D,4,FALSE)),"NOT FOUND",VLOOKUP(A485,Report!A:D,4,FALSE))</f>
        <v>0</v>
      </c>
      <c r="I485" s="20" t="str">
        <f>IF(ISERROR(VLOOKUP(A485,Report!A:D,2,FALSE)),"NOT FOUND",VLOOKUP(A485,Report!A:D,2,FALSE))</f>
        <v>27-02-2026</v>
      </c>
      <c r="K485" s="56">
        <f t="shared" si="24"/>
        <v>1</v>
      </c>
      <c r="L485" s="56">
        <f t="shared" si="25"/>
        <v>2026</v>
      </c>
      <c r="N485" s="50"/>
    </row>
    <row r="486" spans="1:14">
      <c r="A486" s="34" t="s">
        <v>4626</v>
      </c>
      <c r="B486" s="40"/>
      <c r="C486" s="38">
        <v>46051</v>
      </c>
      <c r="D486" s="41">
        <v>103</v>
      </c>
      <c r="E486" s="32" t="s">
        <v>33</v>
      </c>
      <c r="F486" s="11" t="str">
        <f t="shared" si="23"/>
        <v>Accepted</v>
      </c>
      <c r="G486" s="19">
        <f>IF(ISERROR(VLOOKUP(A486,Report!A:D,3,FALSE)),"NOT FOUND",VLOOKUP(A486,Report!A:D,3,FALSE))</f>
        <v>103.25</v>
      </c>
      <c r="H486" s="19">
        <f>IF(ISERROR(VLOOKUP(A486,Report!A:D,4,FALSE)),"NOT FOUND",VLOOKUP(A486,Report!A:D,4,FALSE))</f>
        <v>0</v>
      </c>
      <c r="I486" s="20" t="str">
        <f>IF(ISERROR(VLOOKUP(A486,Report!A:D,2,FALSE)),"NOT FOUND",VLOOKUP(A486,Report!A:D,2,FALSE))</f>
        <v>27-02-2026</v>
      </c>
      <c r="K486" s="56">
        <f t="shared" si="24"/>
        <v>1</v>
      </c>
      <c r="L486" s="56">
        <f t="shared" si="25"/>
        <v>2026</v>
      </c>
      <c r="N486" s="50"/>
    </row>
    <row r="487" spans="1:14">
      <c r="A487" s="34" t="s">
        <v>4665</v>
      </c>
      <c r="B487" s="40"/>
      <c r="C487" s="38">
        <v>46051</v>
      </c>
      <c r="D487" s="41">
        <v>103</v>
      </c>
      <c r="E487" s="32" t="s">
        <v>33</v>
      </c>
      <c r="F487" s="11" t="str">
        <f t="shared" si="23"/>
        <v>Accepted</v>
      </c>
      <c r="G487" s="19">
        <f>IF(ISERROR(VLOOKUP(A487,Report!A:D,3,FALSE)),"NOT FOUND",VLOOKUP(A487,Report!A:D,3,FALSE))</f>
        <v>103.25</v>
      </c>
      <c r="H487" s="19">
        <f>IF(ISERROR(VLOOKUP(A487,Report!A:D,4,FALSE)),"NOT FOUND",VLOOKUP(A487,Report!A:D,4,FALSE))</f>
        <v>0</v>
      </c>
      <c r="I487" s="20" t="str">
        <f>IF(ISERROR(VLOOKUP(A487,Report!A:D,2,FALSE)),"NOT FOUND",VLOOKUP(A487,Report!A:D,2,FALSE))</f>
        <v>27-02-2026</v>
      </c>
      <c r="K487" s="56">
        <f t="shared" si="24"/>
        <v>1</v>
      </c>
      <c r="L487" s="56">
        <f t="shared" si="25"/>
        <v>2026</v>
      </c>
      <c r="N487" s="50"/>
    </row>
    <row r="488" spans="1:14">
      <c r="A488" s="34" t="s">
        <v>4578</v>
      </c>
      <c r="B488" s="40"/>
      <c r="C488" s="38">
        <v>46051</v>
      </c>
      <c r="D488" s="41">
        <v>103</v>
      </c>
      <c r="E488" s="32" t="s">
        <v>33</v>
      </c>
      <c r="F488" s="11" t="str">
        <f t="shared" si="23"/>
        <v>Accepted</v>
      </c>
      <c r="G488" s="19">
        <f>IF(ISERROR(VLOOKUP(A488,Report!A:D,3,FALSE)),"NOT FOUND",VLOOKUP(A488,Report!A:D,3,FALSE))</f>
        <v>103.25</v>
      </c>
      <c r="H488" s="19">
        <f>IF(ISERROR(VLOOKUP(A488,Report!A:D,4,FALSE)),"NOT FOUND",VLOOKUP(A488,Report!A:D,4,FALSE))</f>
        <v>0</v>
      </c>
      <c r="I488" s="20" t="str">
        <f>IF(ISERROR(VLOOKUP(A488,Report!A:D,2,FALSE)),"NOT FOUND",VLOOKUP(A488,Report!A:D,2,FALSE))</f>
        <v>27-02-2026</v>
      </c>
      <c r="K488" s="56">
        <f t="shared" si="24"/>
        <v>1</v>
      </c>
      <c r="L488" s="56">
        <f t="shared" si="25"/>
        <v>2026</v>
      </c>
      <c r="N488" s="50"/>
    </row>
    <row r="489" spans="1:14">
      <c r="A489" s="34" t="s">
        <v>4582</v>
      </c>
      <c r="B489" s="40"/>
      <c r="C489" s="38">
        <v>46051</v>
      </c>
      <c r="D489" s="41">
        <v>103</v>
      </c>
      <c r="E489" s="32" t="s">
        <v>33</v>
      </c>
      <c r="F489" s="11" t="str">
        <f t="shared" si="23"/>
        <v>Accepted</v>
      </c>
      <c r="G489" s="19">
        <f>IF(ISERROR(VLOOKUP(A489,Report!A:D,3,FALSE)),"NOT FOUND",VLOOKUP(A489,Report!A:D,3,FALSE))</f>
        <v>103.25</v>
      </c>
      <c r="H489" s="19">
        <f>IF(ISERROR(VLOOKUP(A489,Report!A:D,4,FALSE)),"NOT FOUND",VLOOKUP(A489,Report!A:D,4,FALSE))</f>
        <v>0</v>
      </c>
      <c r="I489" s="20" t="str">
        <f>IF(ISERROR(VLOOKUP(A489,Report!A:D,2,FALSE)),"NOT FOUND",VLOOKUP(A489,Report!A:D,2,FALSE))</f>
        <v>27-02-2026</v>
      </c>
      <c r="K489" s="56">
        <f t="shared" si="24"/>
        <v>1</v>
      </c>
      <c r="L489" s="56">
        <f t="shared" si="25"/>
        <v>2026</v>
      </c>
      <c r="N489" s="50"/>
    </row>
    <row r="490" spans="1:14">
      <c r="A490" s="34" t="s">
        <v>4780</v>
      </c>
      <c r="B490" s="40"/>
      <c r="C490" s="38">
        <v>46051</v>
      </c>
      <c r="D490" s="41">
        <v>103</v>
      </c>
      <c r="E490" s="32" t="s">
        <v>33</v>
      </c>
      <c r="F490" s="11" t="str">
        <f t="shared" si="23"/>
        <v>Accepted</v>
      </c>
      <c r="G490" s="19">
        <f>IF(ISERROR(VLOOKUP(A490,Report!A:D,3,FALSE)),"NOT FOUND",VLOOKUP(A490,Report!A:D,3,FALSE))</f>
        <v>103.25</v>
      </c>
      <c r="H490" s="19">
        <f>IF(ISERROR(VLOOKUP(A490,Report!A:D,4,FALSE)),"NOT FOUND",VLOOKUP(A490,Report!A:D,4,FALSE))</f>
        <v>0</v>
      </c>
      <c r="I490" s="20" t="str">
        <f>IF(ISERROR(VLOOKUP(A490,Report!A:D,2,FALSE)),"NOT FOUND",VLOOKUP(A490,Report!A:D,2,FALSE))</f>
        <v>27-02-2026</v>
      </c>
      <c r="K490" s="56">
        <f t="shared" si="24"/>
        <v>1</v>
      </c>
      <c r="L490" s="56">
        <f t="shared" si="25"/>
        <v>2026</v>
      </c>
      <c r="N490" s="50"/>
    </row>
    <row r="491" spans="1:14">
      <c r="A491" s="34" t="s">
        <v>4765</v>
      </c>
      <c r="B491" s="40"/>
      <c r="C491" s="38">
        <v>46051</v>
      </c>
      <c r="D491" s="41">
        <v>103</v>
      </c>
      <c r="E491" s="32" t="s">
        <v>33</v>
      </c>
      <c r="F491" s="11" t="str">
        <f t="shared" si="23"/>
        <v>Accepted</v>
      </c>
      <c r="G491" s="19">
        <f>IF(ISERROR(VLOOKUP(A491,Report!A:D,3,FALSE)),"NOT FOUND",VLOOKUP(A491,Report!A:D,3,FALSE))</f>
        <v>103.25</v>
      </c>
      <c r="H491" s="19">
        <f>IF(ISERROR(VLOOKUP(A491,Report!A:D,4,FALSE)),"NOT FOUND",VLOOKUP(A491,Report!A:D,4,FALSE))</f>
        <v>0</v>
      </c>
      <c r="I491" s="20" t="str">
        <f>IF(ISERROR(VLOOKUP(A491,Report!A:D,2,FALSE)),"NOT FOUND",VLOOKUP(A491,Report!A:D,2,FALSE))</f>
        <v>27-02-2026</v>
      </c>
      <c r="K491" s="56">
        <f t="shared" si="24"/>
        <v>1</v>
      </c>
      <c r="L491" s="56">
        <f t="shared" si="25"/>
        <v>2026</v>
      </c>
      <c r="N491" s="50"/>
    </row>
    <row r="492" spans="1:14">
      <c r="A492" s="34" t="s">
        <v>4760</v>
      </c>
      <c r="B492" s="40"/>
      <c r="C492" s="38">
        <v>46051</v>
      </c>
      <c r="D492" s="41">
        <v>103</v>
      </c>
      <c r="E492" s="32" t="s">
        <v>33</v>
      </c>
      <c r="F492" s="11" t="str">
        <f t="shared" si="23"/>
        <v>Accepted</v>
      </c>
      <c r="G492" s="19">
        <f>IF(ISERROR(VLOOKUP(A492,Report!A:D,3,FALSE)),"NOT FOUND",VLOOKUP(A492,Report!A:D,3,FALSE))</f>
        <v>103.25</v>
      </c>
      <c r="H492" s="19">
        <f>IF(ISERROR(VLOOKUP(A492,Report!A:D,4,FALSE)),"NOT FOUND",VLOOKUP(A492,Report!A:D,4,FALSE))</f>
        <v>0</v>
      </c>
      <c r="I492" s="20" t="str">
        <f>IF(ISERROR(VLOOKUP(A492,Report!A:D,2,FALSE)),"NOT FOUND",VLOOKUP(A492,Report!A:D,2,FALSE))</f>
        <v>27-02-2026</v>
      </c>
      <c r="K492" s="56">
        <f t="shared" si="24"/>
        <v>1</v>
      </c>
      <c r="L492" s="56">
        <f t="shared" si="25"/>
        <v>2026</v>
      </c>
      <c r="N492" s="50"/>
    </row>
    <row r="493" spans="1:14">
      <c r="A493" s="34" t="s">
        <v>4770</v>
      </c>
      <c r="B493" s="40"/>
      <c r="C493" s="38">
        <v>46051</v>
      </c>
      <c r="D493" s="41">
        <v>103</v>
      </c>
      <c r="E493" s="32" t="s">
        <v>33</v>
      </c>
      <c r="F493" s="11" t="str">
        <f t="shared" si="23"/>
        <v>Accepted</v>
      </c>
      <c r="G493" s="19">
        <f>IF(ISERROR(VLOOKUP(A493,Report!A:D,3,FALSE)),"NOT FOUND",VLOOKUP(A493,Report!A:D,3,FALSE))</f>
        <v>103.25</v>
      </c>
      <c r="H493" s="19">
        <f>IF(ISERROR(VLOOKUP(A493,Report!A:D,4,FALSE)),"NOT FOUND",VLOOKUP(A493,Report!A:D,4,FALSE))</f>
        <v>0</v>
      </c>
      <c r="I493" s="20" t="str">
        <f>IF(ISERROR(VLOOKUP(A493,Report!A:D,2,FALSE)),"NOT FOUND",VLOOKUP(A493,Report!A:D,2,FALSE))</f>
        <v>27-02-2026</v>
      </c>
      <c r="K493" s="56">
        <f t="shared" si="24"/>
        <v>1</v>
      </c>
      <c r="L493" s="56">
        <f t="shared" si="25"/>
        <v>2026</v>
      </c>
      <c r="N493" s="50"/>
    </row>
    <row r="494" spans="1:14">
      <c r="A494" s="34" t="s">
        <v>4777</v>
      </c>
      <c r="B494" s="40"/>
      <c r="C494" s="38">
        <v>46051</v>
      </c>
      <c r="D494" s="41">
        <v>103</v>
      </c>
      <c r="E494" s="32" t="s">
        <v>33</v>
      </c>
      <c r="F494" s="11" t="str">
        <f t="shared" si="23"/>
        <v>Accepted</v>
      </c>
      <c r="G494" s="19">
        <f>IF(ISERROR(VLOOKUP(A494,Report!A:D,3,FALSE)),"NOT FOUND",VLOOKUP(A494,Report!A:D,3,FALSE))</f>
        <v>103.25</v>
      </c>
      <c r="H494" s="19">
        <f>IF(ISERROR(VLOOKUP(A494,Report!A:D,4,FALSE)),"NOT FOUND",VLOOKUP(A494,Report!A:D,4,FALSE))</f>
        <v>0</v>
      </c>
      <c r="I494" s="20" t="str">
        <f>IF(ISERROR(VLOOKUP(A494,Report!A:D,2,FALSE)),"NOT FOUND",VLOOKUP(A494,Report!A:D,2,FALSE))</f>
        <v>27-02-2026</v>
      </c>
      <c r="K494" s="56">
        <f t="shared" si="24"/>
        <v>1</v>
      </c>
      <c r="L494" s="56">
        <f t="shared" si="25"/>
        <v>2026</v>
      </c>
      <c r="N494" s="50"/>
    </row>
    <row r="495" spans="1:14">
      <c r="A495" s="34" t="s">
        <v>4774</v>
      </c>
      <c r="B495" s="40"/>
      <c r="C495" s="38">
        <v>46051</v>
      </c>
      <c r="D495" s="41">
        <v>103</v>
      </c>
      <c r="E495" s="32" t="s">
        <v>33</v>
      </c>
      <c r="F495" s="11" t="str">
        <f t="shared" si="23"/>
        <v>Accepted</v>
      </c>
      <c r="G495" s="19">
        <f>IF(ISERROR(VLOOKUP(A495,Report!A:D,3,FALSE)),"NOT FOUND",VLOOKUP(A495,Report!A:D,3,FALSE))</f>
        <v>103.25</v>
      </c>
      <c r="H495" s="19">
        <f>IF(ISERROR(VLOOKUP(A495,Report!A:D,4,FALSE)),"NOT FOUND",VLOOKUP(A495,Report!A:D,4,FALSE))</f>
        <v>0</v>
      </c>
      <c r="I495" s="20" t="str">
        <f>IF(ISERROR(VLOOKUP(A495,Report!A:D,2,FALSE)),"NOT FOUND",VLOOKUP(A495,Report!A:D,2,FALSE))</f>
        <v>27-02-2026</v>
      </c>
      <c r="K495" s="56">
        <f t="shared" si="24"/>
        <v>1</v>
      </c>
      <c r="L495" s="56">
        <f t="shared" si="25"/>
        <v>2026</v>
      </c>
      <c r="N495" s="50"/>
    </row>
    <row r="496" spans="1:14">
      <c r="A496" s="31" t="s">
        <v>4801</v>
      </c>
      <c r="B496" s="40"/>
      <c r="C496" s="38">
        <v>46051</v>
      </c>
      <c r="D496" s="13">
        <v>2838</v>
      </c>
      <c r="E496" s="32" t="s">
        <v>33</v>
      </c>
      <c r="F496" s="11" t="str">
        <f t="shared" si="23"/>
        <v>Accepted</v>
      </c>
      <c r="G496" s="19">
        <f>IF(ISERROR(VLOOKUP(A496,Report!A:D,3,FALSE)),"NOT FOUND",VLOOKUP(A496,Report!A:D,3,FALSE))</f>
        <v>2837.9</v>
      </c>
      <c r="H496" s="19">
        <f>IF(ISERROR(VLOOKUP(A496,Report!A:D,4,FALSE)),"NOT FOUND",VLOOKUP(A496,Report!A:D,4,FALSE))</f>
        <v>0</v>
      </c>
      <c r="I496" s="20" t="str">
        <f>IF(ISERROR(VLOOKUP(A496,Report!A:D,2,FALSE)),"NOT FOUND",VLOOKUP(A496,Report!A:D,2,FALSE))</f>
        <v>27-02-2026</v>
      </c>
      <c r="K496" s="56">
        <f t="shared" si="24"/>
        <v>1</v>
      </c>
      <c r="L496" s="56">
        <f t="shared" si="25"/>
        <v>2026</v>
      </c>
      <c r="N496" s="50"/>
    </row>
    <row r="497" spans="1:14">
      <c r="A497" s="31" t="s">
        <v>4788</v>
      </c>
      <c r="B497" s="40"/>
      <c r="C497" s="38">
        <v>46051</v>
      </c>
      <c r="D497" s="13">
        <v>2070</v>
      </c>
      <c r="E497" s="32" t="s">
        <v>33</v>
      </c>
      <c r="F497" s="11" t="str">
        <f t="shared" si="23"/>
        <v>Accepted</v>
      </c>
      <c r="G497" s="19">
        <f>IF(ISERROR(VLOOKUP(A497,Report!A:D,3,FALSE)),"NOT FOUND",VLOOKUP(A497,Report!A:D,3,FALSE))</f>
        <v>2070.4899999999998</v>
      </c>
      <c r="H497" s="19">
        <f>IF(ISERROR(VLOOKUP(A497,Report!A:D,4,FALSE)),"NOT FOUND",VLOOKUP(A497,Report!A:D,4,FALSE))</f>
        <v>0</v>
      </c>
      <c r="I497" s="20" t="str">
        <f>IF(ISERROR(VLOOKUP(A497,Report!A:D,2,FALSE)),"NOT FOUND",VLOOKUP(A497,Report!A:D,2,FALSE))</f>
        <v>27-02-2026</v>
      </c>
      <c r="K497" s="56">
        <f t="shared" si="24"/>
        <v>1</v>
      </c>
      <c r="L497" s="56">
        <f t="shared" si="25"/>
        <v>2026</v>
      </c>
      <c r="N497" s="50"/>
    </row>
    <row r="498" spans="1:14">
      <c r="A498" s="31" t="s">
        <v>5224</v>
      </c>
      <c r="B498" s="40"/>
      <c r="C498" s="38">
        <v>46053</v>
      </c>
      <c r="D498" s="41">
        <v>1357</v>
      </c>
      <c r="E498" s="32" t="s">
        <v>153</v>
      </c>
      <c r="F498" s="11" t="e">
        <f t="shared" si="23"/>
        <v>#VALUE!</v>
      </c>
      <c r="G498" s="19" t="str">
        <f>IF(ISERROR(VLOOKUP(A498,Report!A:D,3,FALSE)),"NOT FOUND",VLOOKUP(A498,Report!A:D,3,FALSE))</f>
        <v>NOT FOUND</v>
      </c>
      <c r="H498" s="19" t="str">
        <f>IF(ISERROR(VLOOKUP(A498,Report!A:D,4,FALSE)),"NOT FOUND",VLOOKUP(A498,Report!A:D,4,FALSE))</f>
        <v>NOT FOUND</v>
      </c>
      <c r="I498" s="20" t="str">
        <f>IF(ISERROR(VLOOKUP(A498,Report!A:D,2,FALSE)),"NOT FOUND",VLOOKUP(A498,Report!A:D,2,FALSE))</f>
        <v>NOT FOUND</v>
      </c>
      <c r="K498" s="56">
        <f t="shared" si="24"/>
        <v>1</v>
      </c>
      <c r="L498" s="56">
        <f t="shared" si="25"/>
        <v>2026</v>
      </c>
      <c r="N498" s="50"/>
    </row>
    <row r="499" spans="1:14">
      <c r="A499" s="31" t="s">
        <v>5225</v>
      </c>
      <c r="B499" s="40"/>
      <c r="C499" s="38">
        <v>46053</v>
      </c>
      <c r="D499" s="37">
        <v>5428</v>
      </c>
      <c r="E499" s="32" t="s">
        <v>153</v>
      </c>
      <c r="F499" s="11" t="e">
        <f t="shared" si="23"/>
        <v>#VALUE!</v>
      </c>
      <c r="G499" s="19" t="str">
        <f>IF(ISERROR(VLOOKUP(A499,Report!A:D,3,FALSE)),"NOT FOUND",VLOOKUP(A499,Report!A:D,3,FALSE))</f>
        <v>NOT FOUND</v>
      </c>
      <c r="H499" s="19" t="str">
        <f>IF(ISERROR(VLOOKUP(A499,Report!A:D,4,FALSE)),"NOT FOUND",VLOOKUP(A499,Report!A:D,4,FALSE))</f>
        <v>NOT FOUND</v>
      </c>
      <c r="I499" s="20" t="str">
        <f>IF(ISERROR(VLOOKUP(A499,Report!A:D,2,FALSE)),"NOT FOUND",VLOOKUP(A499,Report!A:D,2,FALSE))</f>
        <v>NOT FOUND</v>
      </c>
      <c r="K499" s="56">
        <f t="shared" si="24"/>
        <v>1</v>
      </c>
      <c r="L499" s="56">
        <f t="shared" si="25"/>
        <v>2026</v>
      </c>
      <c r="N499" s="50"/>
    </row>
    <row r="500" spans="1:14">
      <c r="A500" s="31" t="s">
        <v>5226</v>
      </c>
      <c r="B500" s="40"/>
      <c r="C500" s="38">
        <v>46053</v>
      </c>
      <c r="D500" s="37">
        <v>22420</v>
      </c>
      <c r="E500" s="32" t="s">
        <v>153</v>
      </c>
      <c r="F500" s="11" t="e">
        <f t="shared" si="23"/>
        <v>#VALUE!</v>
      </c>
      <c r="G500" s="19" t="str">
        <f>IF(ISERROR(VLOOKUP(A500,Report!A:D,3,FALSE)),"NOT FOUND",VLOOKUP(A500,Report!A:D,3,FALSE))</f>
        <v>NOT FOUND</v>
      </c>
      <c r="H500" s="19" t="str">
        <f>IF(ISERROR(VLOOKUP(A500,Report!A:D,4,FALSE)),"NOT FOUND",VLOOKUP(A500,Report!A:D,4,FALSE))</f>
        <v>NOT FOUND</v>
      </c>
      <c r="I500" s="20" t="str">
        <f>IF(ISERROR(VLOOKUP(A500,Report!A:D,2,FALSE)),"NOT FOUND",VLOOKUP(A500,Report!A:D,2,FALSE))</f>
        <v>NOT FOUND</v>
      </c>
      <c r="K500" s="56">
        <f t="shared" si="24"/>
        <v>1</v>
      </c>
      <c r="L500" s="56">
        <f t="shared" si="25"/>
        <v>2026</v>
      </c>
      <c r="N500" s="50"/>
    </row>
    <row r="501" spans="1:14">
      <c r="A501" s="31" t="s">
        <v>5021</v>
      </c>
      <c r="B501" s="40"/>
      <c r="C501" s="38">
        <v>46053</v>
      </c>
      <c r="D501" s="37">
        <v>131924</v>
      </c>
      <c r="E501" s="32" t="s">
        <v>154</v>
      </c>
      <c r="F501" s="11" t="str">
        <f t="shared" ref="F501:F504" si="26">IF((D501-G501)&lt;10,"Accepted","Partial/Rejected")</f>
        <v>Accepted</v>
      </c>
      <c r="G501" s="19">
        <f>IF(ISERROR(VLOOKUP(A501,Report!A:D,3,FALSE)),"NOT FOUND",VLOOKUP(A501,Report!A:D,3,FALSE))</f>
        <v>131924</v>
      </c>
      <c r="H501" s="19">
        <f>IF(ISERROR(VLOOKUP(A501,Report!A:D,4,FALSE)),"NOT FOUND",VLOOKUP(A501,Report!A:D,4,FALSE))</f>
        <v>16860</v>
      </c>
      <c r="I501" s="20" t="str">
        <f>IF(ISERROR(VLOOKUP(A501,Report!A:D,2,FALSE)),"NOT FOUND",VLOOKUP(A501,Report!A:D,2,FALSE))</f>
        <v>27-Feb-26</v>
      </c>
      <c r="K501" s="56">
        <f t="shared" si="24"/>
        <v>1</v>
      </c>
      <c r="L501" s="56">
        <f t="shared" si="25"/>
        <v>2026</v>
      </c>
      <c r="N501" s="50"/>
    </row>
    <row r="502" spans="1:14">
      <c r="A502" s="31" t="s">
        <v>5227</v>
      </c>
      <c r="B502" s="40"/>
      <c r="C502" s="38">
        <v>46053</v>
      </c>
      <c r="D502" s="37">
        <v>1239</v>
      </c>
      <c r="E502" s="32" t="s">
        <v>154</v>
      </c>
      <c r="F502" s="11" t="e">
        <f t="shared" si="26"/>
        <v>#VALUE!</v>
      </c>
      <c r="G502" s="19" t="str">
        <f>IF(ISERROR(VLOOKUP(A502,Report!A:D,3,FALSE)),"NOT FOUND",VLOOKUP(A502,Report!A:D,3,FALSE))</f>
        <v>NOT FOUND</v>
      </c>
      <c r="H502" s="19" t="str">
        <f>IF(ISERROR(VLOOKUP(A502,Report!A:D,4,FALSE)),"NOT FOUND",VLOOKUP(A502,Report!A:D,4,FALSE))</f>
        <v>NOT FOUND</v>
      </c>
      <c r="I502" s="20" t="str">
        <f>IF(ISERROR(VLOOKUP(A502,Report!A:D,2,FALSE)),"NOT FOUND",VLOOKUP(A502,Report!A:D,2,FALSE))</f>
        <v>NOT FOUND</v>
      </c>
      <c r="K502" s="56">
        <f t="shared" si="24"/>
        <v>1</v>
      </c>
      <c r="L502" s="56">
        <f t="shared" si="25"/>
        <v>2026</v>
      </c>
      <c r="N502" s="50"/>
    </row>
    <row r="503" spans="1:14">
      <c r="A503" s="31" t="s">
        <v>5228</v>
      </c>
      <c r="B503" s="40"/>
      <c r="C503" s="38">
        <v>46053</v>
      </c>
      <c r="D503" s="37">
        <v>1239</v>
      </c>
      <c r="E503" s="32" t="s">
        <v>154</v>
      </c>
      <c r="F503" s="11" t="e">
        <f t="shared" si="26"/>
        <v>#VALUE!</v>
      </c>
      <c r="G503" s="19" t="str">
        <f>IF(ISERROR(VLOOKUP(A503,Report!A:D,3,FALSE)),"NOT FOUND",VLOOKUP(A503,Report!A:D,3,FALSE))</f>
        <v>NOT FOUND</v>
      </c>
      <c r="H503" s="19" t="str">
        <f>IF(ISERROR(VLOOKUP(A503,Report!A:D,4,FALSE)),"NOT FOUND",VLOOKUP(A503,Report!A:D,4,FALSE))</f>
        <v>NOT FOUND</v>
      </c>
      <c r="I503" s="20" t="str">
        <f>IF(ISERROR(VLOOKUP(A503,Report!A:D,2,FALSE)),"NOT FOUND",VLOOKUP(A503,Report!A:D,2,FALSE))</f>
        <v>NOT FOUND</v>
      </c>
      <c r="K503" s="56">
        <f t="shared" si="24"/>
        <v>1</v>
      </c>
      <c r="L503" s="56">
        <f t="shared" si="25"/>
        <v>2026</v>
      </c>
      <c r="N503" s="50"/>
    </row>
    <row r="504" spans="1:14">
      <c r="A504" s="31" t="s">
        <v>5229</v>
      </c>
      <c r="B504" s="40"/>
      <c r="C504" s="38">
        <v>46053</v>
      </c>
      <c r="D504" s="41">
        <v>1475</v>
      </c>
      <c r="E504" s="32" t="s">
        <v>154</v>
      </c>
      <c r="F504" s="11" t="e">
        <f t="shared" si="26"/>
        <v>#VALUE!</v>
      </c>
      <c r="G504" s="19" t="str">
        <f>IF(ISERROR(VLOOKUP(A504,Report!A:D,3,FALSE)),"NOT FOUND",VLOOKUP(A504,Report!A:D,3,FALSE))</f>
        <v>NOT FOUND</v>
      </c>
      <c r="H504" s="19" t="str">
        <f>IF(ISERROR(VLOOKUP(A504,Report!A:D,4,FALSE)),"NOT FOUND",VLOOKUP(A504,Report!A:D,4,FALSE))</f>
        <v>NOT FOUND</v>
      </c>
      <c r="I504" s="20" t="str">
        <f>IF(ISERROR(VLOOKUP(A504,Report!A:D,2,FALSE)),"NOT FOUND",VLOOKUP(A504,Report!A:D,2,FALSE))</f>
        <v>NOT FOUND</v>
      </c>
      <c r="K504" s="56">
        <f t="shared" si="24"/>
        <v>1</v>
      </c>
      <c r="L504" s="56">
        <f t="shared" si="25"/>
        <v>2026</v>
      </c>
      <c r="N504" s="50"/>
    </row>
    <row r="505" spans="1:14">
      <c r="A505" s="31" t="s">
        <v>5233</v>
      </c>
      <c r="B505" s="49" t="s">
        <v>5235</v>
      </c>
      <c r="C505" s="38">
        <v>46044</v>
      </c>
      <c r="D505" s="41">
        <v>26997.31</v>
      </c>
      <c r="E505" s="32" t="s">
        <v>3326</v>
      </c>
      <c r="F505" s="11" t="e">
        <f>IF((D505-G505)&lt;10,"Accepted","Partial/Rejected")</f>
        <v>#VALUE!</v>
      </c>
      <c r="G505" s="19" t="str">
        <f>IF(ISERROR(VLOOKUP(A505,Report!A:D,3,FALSE)),"NOT FOUND",VLOOKUP(A505,Report!A:D,3,FALSE))</f>
        <v>NOT FOUND</v>
      </c>
      <c r="H505" s="19" t="str">
        <f>IF(ISERROR(VLOOKUP(A505,Report!A:D,4,FALSE)),"NOT FOUND",VLOOKUP(A505,Report!A:D,4,FALSE))</f>
        <v>NOT FOUND</v>
      </c>
      <c r="I505" s="20" t="str">
        <f>IF(ISERROR(VLOOKUP(A505,Report!A:D,2,FALSE)),"NOT FOUND",VLOOKUP(A505,Report!A:D,2,FALSE))</f>
        <v>NOT FOUND</v>
      </c>
      <c r="K505" s="56">
        <f t="shared" si="24"/>
        <v>1</v>
      </c>
      <c r="L505" s="56">
        <f t="shared" si="25"/>
        <v>2026</v>
      </c>
      <c r="N505" s="50"/>
    </row>
    <row r="506" spans="1:14">
      <c r="A506" s="31" t="s">
        <v>5234</v>
      </c>
      <c r="B506" s="11" t="s">
        <v>5235</v>
      </c>
      <c r="C506" s="38">
        <v>46044</v>
      </c>
      <c r="D506" s="37">
        <v>13444</v>
      </c>
      <c r="E506" s="32" t="s">
        <v>3326</v>
      </c>
      <c r="F506" s="11" t="e">
        <f>IF((D506-G506)&lt;10,"Accepted","Partial/Rejected")</f>
        <v>#VALUE!</v>
      </c>
      <c r="G506" s="19" t="str">
        <f>IF(ISERROR(VLOOKUP(A506,Report!A:D,3,FALSE)),"NOT FOUND",VLOOKUP(A506,Report!A:D,3,FALSE))</f>
        <v>NOT FOUND</v>
      </c>
      <c r="H506" s="19" t="str">
        <f>IF(ISERROR(VLOOKUP(A506,Report!A:D,4,FALSE)),"NOT FOUND",VLOOKUP(A506,Report!A:D,4,FALSE))</f>
        <v>NOT FOUND</v>
      </c>
      <c r="I506" s="20" t="str">
        <f>IF(ISERROR(VLOOKUP(A506,Report!A:D,2,FALSE)),"NOT FOUND",VLOOKUP(A506,Report!A:D,2,FALSE))</f>
        <v>NOT FOUND</v>
      </c>
      <c r="K506" s="56">
        <f t="shared" si="24"/>
        <v>1</v>
      </c>
      <c r="L506" s="56">
        <f t="shared" si="25"/>
        <v>2026</v>
      </c>
      <c r="N506" s="50"/>
    </row>
    <row r="507" spans="1:14">
      <c r="A507" s="31"/>
      <c r="B507" s="40"/>
      <c r="C507" s="38"/>
      <c r="D507" s="41"/>
      <c r="E507" s="32"/>
      <c r="F507" s="11" t="str">
        <f t="shared" ref="F507:F570" si="27">IF((D507-G507)&lt;10,"Accepted","Partial/Rejected")</f>
        <v>Accepted</v>
      </c>
      <c r="G507" s="19"/>
      <c r="H507" s="19"/>
      <c r="I507" s="20"/>
      <c r="K507" s="56">
        <f t="shared" si="24"/>
        <v>1</v>
      </c>
      <c r="L507" s="56">
        <f t="shared" si="25"/>
        <v>1900</v>
      </c>
      <c r="N507" s="50"/>
    </row>
    <row r="508" spans="1:14">
      <c r="A508" s="31"/>
      <c r="B508" s="40"/>
      <c r="C508" s="38"/>
      <c r="D508" s="41"/>
      <c r="E508" s="32"/>
      <c r="F508" s="11" t="str">
        <f t="shared" si="27"/>
        <v>Accepted</v>
      </c>
      <c r="G508" s="19"/>
      <c r="H508" s="19"/>
      <c r="I508" s="20"/>
      <c r="K508" s="56">
        <f t="shared" si="24"/>
        <v>1</v>
      </c>
      <c r="L508" s="56">
        <f t="shared" si="25"/>
        <v>1900</v>
      </c>
      <c r="N508" s="50"/>
    </row>
    <row r="509" spans="1:14">
      <c r="A509" s="31"/>
      <c r="B509" s="40"/>
      <c r="C509" s="38"/>
      <c r="D509" s="41"/>
      <c r="E509" s="32"/>
      <c r="F509" s="11" t="str">
        <f t="shared" si="27"/>
        <v>Accepted</v>
      </c>
      <c r="G509" s="19"/>
      <c r="H509" s="19"/>
      <c r="I509" s="20"/>
      <c r="K509" s="56">
        <f t="shared" si="24"/>
        <v>1</v>
      </c>
      <c r="L509" s="56">
        <f t="shared" si="25"/>
        <v>1900</v>
      </c>
      <c r="N509" s="50"/>
    </row>
    <row r="510" spans="1:14">
      <c r="A510" s="31"/>
      <c r="B510" s="40"/>
      <c r="C510" s="38"/>
      <c r="D510" s="41"/>
      <c r="E510" s="32"/>
      <c r="F510" s="11" t="str">
        <f t="shared" si="27"/>
        <v>Accepted</v>
      </c>
      <c r="G510" s="19"/>
      <c r="H510" s="19"/>
      <c r="I510" s="20"/>
      <c r="K510" s="56">
        <f t="shared" si="24"/>
        <v>1</v>
      </c>
      <c r="L510" s="56">
        <f t="shared" si="25"/>
        <v>1900</v>
      </c>
      <c r="N510" s="50"/>
    </row>
    <row r="511" spans="1:14">
      <c r="A511" s="31"/>
      <c r="B511" s="22"/>
      <c r="C511" s="38"/>
      <c r="D511" s="37"/>
      <c r="E511" s="32"/>
      <c r="F511" s="11" t="str">
        <f t="shared" si="27"/>
        <v>Accepted</v>
      </c>
      <c r="G511" s="19"/>
      <c r="H511" s="19"/>
      <c r="I511" s="20"/>
      <c r="K511" s="56">
        <f t="shared" si="24"/>
        <v>1</v>
      </c>
      <c r="L511" s="56">
        <f t="shared" si="25"/>
        <v>1900</v>
      </c>
      <c r="N511" s="50"/>
    </row>
    <row r="512" spans="1:14">
      <c r="F512" s="11" t="str">
        <f t="shared" si="27"/>
        <v>Accepted</v>
      </c>
      <c r="G512" s="19"/>
      <c r="H512" s="19"/>
      <c r="I512" s="20"/>
      <c r="K512" s="56">
        <f t="shared" si="24"/>
        <v>1</v>
      </c>
      <c r="L512" s="56">
        <f t="shared" si="25"/>
        <v>1900</v>
      </c>
      <c r="N512" s="50"/>
    </row>
    <row r="513" spans="6:14">
      <c r="F513" s="11" t="str">
        <f t="shared" si="27"/>
        <v>Accepted</v>
      </c>
      <c r="G513" s="19"/>
      <c r="H513" s="19"/>
      <c r="I513" s="20"/>
      <c r="K513" s="56">
        <f t="shared" si="24"/>
        <v>1</v>
      </c>
      <c r="L513" s="56">
        <f t="shared" si="25"/>
        <v>1900</v>
      </c>
      <c r="N513" s="50"/>
    </row>
    <row r="514" spans="6:14">
      <c r="F514" s="11" t="str">
        <f t="shared" si="27"/>
        <v>Accepted</v>
      </c>
      <c r="G514" s="19"/>
      <c r="H514" s="19"/>
      <c r="I514" s="20"/>
      <c r="K514" s="56">
        <f t="shared" si="24"/>
        <v>1</v>
      </c>
      <c r="L514" s="56">
        <f t="shared" si="25"/>
        <v>1900</v>
      </c>
      <c r="N514" s="50"/>
    </row>
    <row r="515" spans="6:14">
      <c r="F515" s="11" t="str">
        <f t="shared" si="27"/>
        <v>Accepted</v>
      </c>
      <c r="G515" s="19"/>
      <c r="H515" s="19"/>
      <c r="I515" s="20"/>
      <c r="K515" s="56">
        <f t="shared" si="24"/>
        <v>1</v>
      </c>
      <c r="L515" s="56">
        <f t="shared" si="25"/>
        <v>1900</v>
      </c>
      <c r="N515" s="50"/>
    </row>
    <row r="516" spans="6:14">
      <c r="F516" s="11" t="str">
        <f t="shared" si="27"/>
        <v>Accepted</v>
      </c>
      <c r="G516" s="19"/>
      <c r="H516" s="19"/>
      <c r="I516" s="20"/>
      <c r="K516" s="56">
        <f t="shared" si="24"/>
        <v>1</v>
      </c>
      <c r="L516" s="56">
        <f t="shared" si="25"/>
        <v>1900</v>
      </c>
      <c r="N516" s="50"/>
    </row>
    <row r="517" spans="6:14">
      <c r="F517" s="11" t="str">
        <f t="shared" si="27"/>
        <v>Accepted</v>
      </c>
      <c r="G517" s="19"/>
      <c r="H517" s="19"/>
      <c r="I517" s="20"/>
      <c r="K517" s="56">
        <f t="shared" si="24"/>
        <v>1</v>
      </c>
      <c r="L517" s="56">
        <f t="shared" si="25"/>
        <v>1900</v>
      </c>
      <c r="N517" s="50"/>
    </row>
    <row r="518" spans="6:14">
      <c r="F518" s="11" t="str">
        <f t="shared" si="27"/>
        <v>Accepted</v>
      </c>
      <c r="G518" s="19"/>
      <c r="H518" s="19"/>
      <c r="I518" s="20"/>
      <c r="K518" s="56">
        <f t="shared" si="24"/>
        <v>1</v>
      </c>
      <c r="L518" s="56">
        <f t="shared" si="25"/>
        <v>1900</v>
      </c>
      <c r="N518" s="50"/>
    </row>
    <row r="519" spans="6:14">
      <c r="F519" s="11" t="str">
        <f t="shared" si="27"/>
        <v>Accepted</v>
      </c>
      <c r="G519" s="19"/>
      <c r="H519" s="19"/>
      <c r="I519" s="20"/>
      <c r="K519" s="56">
        <f t="shared" si="24"/>
        <v>1</v>
      </c>
      <c r="L519" s="56">
        <f t="shared" si="25"/>
        <v>1900</v>
      </c>
      <c r="N519" s="50"/>
    </row>
    <row r="520" spans="6:14">
      <c r="F520" s="11" t="str">
        <f t="shared" si="27"/>
        <v>Accepted</v>
      </c>
      <c r="G520" s="19"/>
      <c r="H520" s="19"/>
      <c r="I520" s="20"/>
      <c r="K520" s="56">
        <f t="shared" si="24"/>
        <v>1</v>
      </c>
      <c r="L520" s="56">
        <f t="shared" si="25"/>
        <v>1900</v>
      </c>
      <c r="N520" s="50"/>
    </row>
    <row r="521" spans="6:14">
      <c r="F521" s="11" t="str">
        <f t="shared" si="27"/>
        <v>Accepted</v>
      </c>
      <c r="G521" s="19"/>
      <c r="H521" s="19"/>
      <c r="I521" s="20"/>
      <c r="K521" s="56">
        <f t="shared" si="24"/>
        <v>1</v>
      </c>
      <c r="L521" s="56">
        <f t="shared" si="25"/>
        <v>1900</v>
      </c>
      <c r="N521" s="50"/>
    </row>
    <row r="522" spans="6:14">
      <c r="F522" s="11" t="str">
        <f t="shared" si="27"/>
        <v>Accepted</v>
      </c>
      <c r="G522" s="19"/>
      <c r="H522" s="19"/>
      <c r="I522" s="20"/>
      <c r="K522" s="56">
        <f t="shared" si="24"/>
        <v>1</v>
      </c>
      <c r="L522" s="56">
        <f t="shared" si="25"/>
        <v>1900</v>
      </c>
      <c r="N522" s="50"/>
    </row>
    <row r="523" spans="6:14">
      <c r="F523" s="11" t="str">
        <f t="shared" si="27"/>
        <v>Accepted</v>
      </c>
      <c r="G523" s="19"/>
      <c r="H523" s="19"/>
      <c r="I523" s="20"/>
      <c r="K523" s="56">
        <f t="shared" ref="K523:K586" si="28">MONTH(C523)</f>
        <v>1</v>
      </c>
      <c r="L523" s="56">
        <f t="shared" ref="L523:L586" si="29">YEAR(C523)</f>
        <v>1900</v>
      </c>
      <c r="N523" s="50"/>
    </row>
    <row r="524" spans="6:14">
      <c r="F524" s="11" t="str">
        <f t="shared" si="27"/>
        <v>Accepted</v>
      </c>
      <c r="G524" s="19"/>
      <c r="H524" s="19"/>
      <c r="I524" s="20"/>
      <c r="K524" s="56">
        <f t="shared" si="28"/>
        <v>1</v>
      </c>
      <c r="L524" s="56">
        <f t="shared" si="29"/>
        <v>1900</v>
      </c>
      <c r="N524" s="50"/>
    </row>
    <row r="525" spans="6:14">
      <c r="F525" s="11" t="str">
        <f t="shared" si="27"/>
        <v>Accepted</v>
      </c>
      <c r="G525" s="19"/>
      <c r="H525" s="19"/>
      <c r="I525" s="20"/>
      <c r="K525" s="56">
        <f t="shared" si="28"/>
        <v>1</v>
      </c>
      <c r="L525" s="56">
        <f t="shared" si="29"/>
        <v>1900</v>
      </c>
      <c r="N525" s="50"/>
    </row>
    <row r="526" spans="6:14">
      <c r="F526" s="11" t="str">
        <f t="shared" si="27"/>
        <v>Accepted</v>
      </c>
      <c r="G526" s="19"/>
      <c r="H526" s="19"/>
      <c r="I526" s="20"/>
      <c r="K526" s="56">
        <f t="shared" si="28"/>
        <v>1</v>
      </c>
      <c r="L526" s="56">
        <f t="shared" si="29"/>
        <v>1900</v>
      </c>
      <c r="N526" s="50"/>
    </row>
    <row r="527" spans="6:14">
      <c r="F527" s="11" t="str">
        <f t="shared" si="27"/>
        <v>Accepted</v>
      </c>
      <c r="G527" s="19"/>
      <c r="H527" s="19"/>
      <c r="I527" s="20"/>
      <c r="K527" s="56">
        <f t="shared" si="28"/>
        <v>1</v>
      </c>
      <c r="L527" s="56">
        <f t="shared" si="29"/>
        <v>1900</v>
      </c>
      <c r="N527" s="50"/>
    </row>
    <row r="528" spans="6:14">
      <c r="F528" s="11" t="str">
        <f t="shared" si="27"/>
        <v>Accepted</v>
      </c>
      <c r="G528" s="19"/>
      <c r="H528" s="19"/>
      <c r="I528" s="20"/>
      <c r="K528" s="56">
        <f t="shared" si="28"/>
        <v>1</v>
      </c>
      <c r="L528" s="56">
        <f t="shared" si="29"/>
        <v>1900</v>
      </c>
      <c r="N528" s="50"/>
    </row>
    <row r="529" spans="6:14">
      <c r="F529" s="11" t="str">
        <f t="shared" si="27"/>
        <v>Accepted</v>
      </c>
      <c r="G529" s="19"/>
      <c r="H529" s="19"/>
      <c r="I529" s="20"/>
      <c r="K529" s="56">
        <f t="shared" si="28"/>
        <v>1</v>
      </c>
      <c r="L529" s="56">
        <f t="shared" si="29"/>
        <v>1900</v>
      </c>
      <c r="N529" s="50"/>
    </row>
    <row r="530" spans="6:14">
      <c r="F530" s="11" t="str">
        <f t="shared" si="27"/>
        <v>Accepted</v>
      </c>
      <c r="G530" s="19"/>
      <c r="H530" s="19"/>
      <c r="I530" s="20"/>
      <c r="K530" s="56">
        <f t="shared" si="28"/>
        <v>1</v>
      </c>
      <c r="L530" s="56">
        <f t="shared" si="29"/>
        <v>1900</v>
      </c>
      <c r="N530" s="50"/>
    </row>
    <row r="531" spans="6:14">
      <c r="F531" s="11" t="str">
        <f t="shared" si="27"/>
        <v>Accepted</v>
      </c>
      <c r="G531" s="19"/>
      <c r="H531" s="19"/>
      <c r="I531" s="20"/>
      <c r="K531" s="56">
        <f t="shared" si="28"/>
        <v>1</v>
      </c>
      <c r="L531" s="56">
        <f t="shared" si="29"/>
        <v>1900</v>
      </c>
      <c r="N531" s="50"/>
    </row>
    <row r="532" spans="6:14">
      <c r="F532" s="11" t="str">
        <f t="shared" si="27"/>
        <v>Accepted</v>
      </c>
      <c r="G532" s="19"/>
      <c r="H532" s="19"/>
      <c r="I532" s="20"/>
      <c r="K532" s="56">
        <f t="shared" si="28"/>
        <v>1</v>
      </c>
      <c r="L532" s="56">
        <f t="shared" si="29"/>
        <v>1900</v>
      </c>
      <c r="N532" s="50"/>
    </row>
    <row r="533" spans="6:14">
      <c r="F533" s="11" t="str">
        <f t="shared" si="27"/>
        <v>Accepted</v>
      </c>
      <c r="G533" s="19"/>
      <c r="H533" s="19"/>
      <c r="I533" s="20"/>
      <c r="K533" s="56">
        <f t="shared" si="28"/>
        <v>1</v>
      </c>
      <c r="L533" s="56">
        <f t="shared" si="29"/>
        <v>1900</v>
      </c>
      <c r="N533" s="50"/>
    </row>
    <row r="534" spans="6:14">
      <c r="F534" s="11" t="str">
        <f t="shared" si="27"/>
        <v>Accepted</v>
      </c>
      <c r="G534" s="19"/>
      <c r="H534" s="19"/>
      <c r="I534" s="20"/>
      <c r="K534" s="56">
        <f t="shared" si="28"/>
        <v>1</v>
      </c>
      <c r="L534" s="56">
        <f t="shared" si="29"/>
        <v>1900</v>
      </c>
      <c r="N534" s="50"/>
    </row>
    <row r="535" spans="6:14">
      <c r="F535" s="11" t="str">
        <f t="shared" si="27"/>
        <v>Accepted</v>
      </c>
      <c r="G535" s="19"/>
      <c r="H535" s="19"/>
      <c r="I535" s="20"/>
      <c r="K535" s="56">
        <f t="shared" si="28"/>
        <v>1</v>
      </c>
      <c r="L535" s="56">
        <f t="shared" si="29"/>
        <v>1900</v>
      </c>
      <c r="N535" s="50"/>
    </row>
    <row r="536" spans="6:14">
      <c r="F536" s="11" t="str">
        <f t="shared" si="27"/>
        <v>Accepted</v>
      </c>
      <c r="G536" s="19"/>
      <c r="H536" s="19"/>
      <c r="I536" s="20"/>
      <c r="K536" s="56">
        <f t="shared" si="28"/>
        <v>1</v>
      </c>
      <c r="L536" s="56">
        <f t="shared" si="29"/>
        <v>1900</v>
      </c>
      <c r="N536" s="50"/>
    </row>
    <row r="537" spans="6:14">
      <c r="F537" s="11" t="str">
        <f t="shared" si="27"/>
        <v>Accepted</v>
      </c>
      <c r="G537" s="19"/>
      <c r="H537" s="19"/>
      <c r="I537" s="20"/>
      <c r="K537" s="56">
        <f t="shared" si="28"/>
        <v>1</v>
      </c>
      <c r="L537" s="56">
        <f t="shared" si="29"/>
        <v>1900</v>
      </c>
      <c r="N537" s="50"/>
    </row>
    <row r="538" spans="6:14">
      <c r="F538" s="11" t="str">
        <f t="shared" si="27"/>
        <v>Accepted</v>
      </c>
      <c r="G538" s="19"/>
      <c r="H538" s="19"/>
      <c r="I538" s="20"/>
      <c r="K538" s="56">
        <f t="shared" si="28"/>
        <v>1</v>
      </c>
      <c r="L538" s="56">
        <f t="shared" si="29"/>
        <v>1900</v>
      </c>
      <c r="N538" s="50"/>
    </row>
    <row r="539" spans="6:14">
      <c r="F539" s="11" t="str">
        <f t="shared" si="27"/>
        <v>Accepted</v>
      </c>
      <c r="G539" s="19"/>
      <c r="H539" s="19"/>
      <c r="I539" s="20"/>
      <c r="K539" s="56">
        <f t="shared" si="28"/>
        <v>1</v>
      </c>
      <c r="L539" s="56">
        <f t="shared" si="29"/>
        <v>1900</v>
      </c>
      <c r="N539" s="50"/>
    </row>
    <row r="540" spans="6:14">
      <c r="F540" s="11" t="str">
        <f t="shared" si="27"/>
        <v>Accepted</v>
      </c>
      <c r="G540" s="19"/>
      <c r="H540" s="19"/>
      <c r="I540" s="20"/>
      <c r="K540" s="56">
        <f t="shared" si="28"/>
        <v>1</v>
      </c>
      <c r="L540" s="56">
        <f t="shared" si="29"/>
        <v>1900</v>
      </c>
      <c r="N540" s="50"/>
    </row>
    <row r="541" spans="6:14">
      <c r="F541" s="11" t="str">
        <f t="shared" si="27"/>
        <v>Accepted</v>
      </c>
      <c r="G541" s="19"/>
      <c r="H541" s="19"/>
      <c r="I541" s="20"/>
      <c r="K541" s="56">
        <f t="shared" si="28"/>
        <v>1</v>
      </c>
      <c r="L541" s="56">
        <f t="shared" si="29"/>
        <v>1900</v>
      </c>
      <c r="N541" s="50"/>
    </row>
    <row r="542" spans="6:14">
      <c r="F542" s="11" t="str">
        <f t="shared" si="27"/>
        <v>Accepted</v>
      </c>
      <c r="G542" s="19"/>
      <c r="H542" s="19"/>
      <c r="I542" s="20"/>
      <c r="K542" s="56">
        <f t="shared" si="28"/>
        <v>1</v>
      </c>
      <c r="L542" s="56">
        <f t="shared" si="29"/>
        <v>1900</v>
      </c>
      <c r="N542" s="50"/>
    </row>
    <row r="543" spans="6:14">
      <c r="F543" s="11" t="str">
        <f t="shared" si="27"/>
        <v>Accepted</v>
      </c>
      <c r="G543" s="19"/>
      <c r="H543" s="19"/>
      <c r="I543" s="20"/>
      <c r="K543" s="56">
        <f t="shared" si="28"/>
        <v>1</v>
      </c>
      <c r="L543" s="56">
        <f t="shared" si="29"/>
        <v>1900</v>
      </c>
      <c r="N543" s="50"/>
    </row>
    <row r="544" spans="6:14">
      <c r="F544" s="11" t="str">
        <f t="shared" si="27"/>
        <v>Accepted</v>
      </c>
      <c r="G544" s="19"/>
      <c r="H544" s="19"/>
      <c r="I544" s="20"/>
      <c r="K544" s="56">
        <f t="shared" si="28"/>
        <v>1</v>
      </c>
      <c r="L544" s="56">
        <f t="shared" si="29"/>
        <v>1900</v>
      </c>
      <c r="N544" s="50"/>
    </row>
    <row r="545" spans="6:14">
      <c r="F545" s="11" t="str">
        <f t="shared" si="27"/>
        <v>Accepted</v>
      </c>
      <c r="G545" s="19"/>
      <c r="H545" s="19"/>
      <c r="I545" s="20"/>
      <c r="K545" s="56">
        <f t="shared" si="28"/>
        <v>1</v>
      </c>
      <c r="L545" s="56">
        <f t="shared" si="29"/>
        <v>1900</v>
      </c>
      <c r="N545" s="50"/>
    </row>
    <row r="546" spans="6:14">
      <c r="F546" s="11" t="str">
        <f t="shared" si="27"/>
        <v>Accepted</v>
      </c>
      <c r="G546" s="19"/>
      <c r="H546" s="19"/>
      <c r="I546" s="20"/>
      <c r="K546" s="56">
        <f t="shared" si="28"/>
        <v>1</v>
      </c>
      <c r="L546" s="56">
        <f t="shared" si="29"/>
        <v>1900</v>
      </c>
      <c r="N546" s="50"/>
    </row>
    <row r="547" spans="6:14">
      <c r="F547" s="11" t="str">
        <f t="shared" si="27"/>
        <v>Accepted</v>
      </c>
      <c r="G547" s="19"/>
      <c r="H547" s="19"/>
      <c r="I547" s="20"/>
      <c r="K547" s="56">
        <f t="shared" si="28"/>
        <v>1</v>
      </c>
      <c r="L547" s="56">
        <f t="shared" si="29"/>
        <v>1900</v>
      </c>
      <c r="N547" s="50"/>
    </row>
    <row r="548" spans="6:14">
      <c r="F548" s="11" t="str">
        <f t="shared" si="27"/>
        <v>Accepted</v>
      </c>
      <c r="G548" s="19"/>
      <c r="H548" s="19"/>
      <c r="I548" s="20"/>
      <c r="K548" s="56">
        <f t="shared" si="28"/>
        <v>1</v>
      </c>
      <c r="L548" s="56">
        <f t="shared" si="29"/>
        <v>1900</v>
      </c>
      <c r="N548" s="50"/>
    </row>
    <row r="549" spans="6:14">
      <c r="F549" s="11" t="str">
        <f t="shared" si="27"/>
        <v>Accepted</v>
      </c>
      <c r="G549" s="19"/>
      <c r="H549" s="19"/>
      <c r="I549" s="20"/>
      <c r="K549" s="56">
        <f t="shared" si="28"/>
        <v>1</v>
      </c>
      <c r="L549" s="56">
        <f t="shared" si="29"/>
        <v>1900</v>
      </c>
      <c r="N549" s="50"/>
    </row>
    <row r="550" spans="6:14">
      <c r="F550" s="11" t="str">
        <f t="shared" si="27"/>
        <v>Accepted</v>
      </c>
      <c r="G550" s="19"/>
      <c r="H550" s="19"/>
      <c r="I550" s="20"/>
      <c r="K550" s="56">
        <f t="shared" si="28"/>
        <v>1</v>
      </c>
      <c r="L550" s="56">
        <f t="shared" si="29"/>
        <v>1900</v>
      </c>
      <c r="N550" s="50"/>
    </row>
    <row r="551" spans="6:14">
      <c r="F551" s="11" t="str">
        <f t="shared" si="27"/>
        <v>Accepted</v>
      </c>
      <c r="G551" s="19"/>
      <c r="H551" s="19"/>
      <c r="I551" s="20"/>
      <c r="K551" s="56">
        <f t="shared" si="28"/>
        <v>1</v>
      </c>
      <c r="L551" s="56">
        <f t="shared" si="29"/>
        <v>1900</v>
      </c>
      <c r="N551" s="50"/>
    </row>
    <row r="552" spans="6:14">
      <c r="F552" s="11" t="str">
        <f t="shared" si="27"/>
        <v>Accepted</v>
      </c>
      <c r="G552" s="19"/>
      <c r="H552" s="19"/>
      <c r="I552" s="20"/>
      <c r="K552" s="56">
        <f t="shared" si="28"/>
        <v>1</v>
      </c>
      <c r="L552" s="56">
        <f t="shared" si="29"/>
        <v>1900</v>
      </c>
      <c r="N552" s="50"/>
    </row>
    <row r="553" spans="6:14">
      <c r="F553" s="11" t="str">
        <f t="shared" si="27"/>
        <v>Accepted</v>
      </c>
      <c r="G553" s="19"/>
      <c r="H553" s="19"/>
      <c r="I553" s="20"/>
      <c r="K553" s="56">
        <f t="shared" si="28"/>
        <v>1</v>
      </c>
      <c r="L553" s="56">
        <f t="shared" si="29"/>
        <v>1900</v>
      </c>
      <c r="N553" s="50"/>
    </row>
    <row r="554" spans="6:14">
      <c r="F554" s="11" t="str">
        <f t="shared" si="27"/>
        <v>Accepted</v>
      </c>
      <c r="G554" s="19"/>
      <c r="H554" s="19"/>
      <c r="I554" s="20"/>
      <c r="K554" s="56">
        <f t="shared" si="28"/>
        <v>1</v>
      </c>
      <c r="L554" s="56">
        <f t="shared" si="29"/>
        <v>1900</v>
      </c>
      <c r="N554" s="50"/>
    </row>
    <row r="555" spans="6:14">
      <c r="F555" s="11" t="str">
        <f t="shared" si="27"/>
        <v>Accepted</v>
      </c>
      <c r="G555" s="19"/>
      <c r="H555" s="19"/>
      <c r="I555" s="20"/>
      <c r="K555" s="56">
        <f t="shared" si="28"/>
        <v>1</v>
      </c>
      <c r="L555" s="56">
        <f t="shared" si="29"/>
        <v>1900</v>
      </c>
      <c r="N555" s="50"/>
    </row>
    <row r="556" spans="6:14">
      <c r="F556" s="11" t="str">
        <f t="shared" si="27"/>
        <v>Accepted</v>
      </c>
      <c r="G556" s="19"/>
      <c r="H556" s="19"/>
      <c r="I556" s="20"/>
      <c r="K556" s="56">
        <f t="shared" si="28"/>
        <v>1</v>
      </c>
      <c r="L556" s="56">
        <f t="shared" si="29"/>
        <v>1900</v>
      </c>
      <c r="N556" s="50"/>
    </row>
    <row r="557" spans="6:14">
      <c r="F557" s="11" t="str">
        <f t="shared" si="27"/>
        <v>Accepted</v>
      </c>
      <c r="G557" s="19"/>
      <c r="H557" s="19"/>
      <c r="I557" s="20"/>
      <c r="K557" s="56">
        <f t="shared" si="28"/>
        <v>1</v>
      </c>
      <c r="L557" s="56">
        <f t="shared" si="29"/>
        <v>1900</v>
      </c>
      <c r="N557" s="50"/>
    </row>
    <row r="558" spans="6:14">
      <c r="F558" s="11" t="str">
        <f t="shared" si="27"/>
        <v>Accepted</v>
      </c>
      <c r="G558" s="19"/>
      <c r="H558" s="19"/>
      <c r="I558" s="20"/>
      <c r="K558" s="56">
        <f t="shared" si="28"/>
        <v>1</v>
      </c>
      <c r="L558" s="56">
        <f t="shared" si="29"/>
        <v>1900</v>
      </c>
      <c r="N558" s="50"/>
    </row>
    <row r="559" spans="6:14">
      <c r="F559" s="11" t="str">
        <f t="shared" si="27"/>
        <v>Accepted</v>
      </c>
      <c r="G559" s="19"/>
      <c r="H559" s="19"/>
      <c r="I559" s="20"/>
      <c r="K559" s="56">
        <f t="shared" si="28"/>
        <v>1</v>
      </c>
      <c r="L559" s="56">
        <f t="shared" si="29"/>
        <v>1900</v>
      </c>
      <c r="N559" s="50"/>
    </row>
    <row r="560" spans="6:14">
      <c r="F560" s="11" t="str">
        <f t="shared" si="27"/>
        <v>Accepted</v>
      </c>
      <c r="G560" s="19"/>
      <c r="H560" s="19"/>
      <c r="I560" s="20"/>
      <c r="K560" s="56">
        <f t="shared" si="28"/>
        <v>1</v>
      </c>
      <c r="L560" s="56">
        <f t="shared" si="29"/>
        <v>1900</v>
      </c>
      <c r="N560" s="50"/>
    </row>
    <row r="561" spans="6:14">
      <c r="F561" s="11" t="str">
        <f t="shared" si="27"/>
        <v>Accepted</v>
      </c>
      <c r="G561" s="19"/>
      <c r="H561" s="19"/>
      <c r="I561" s="20"/>
      <c r="K561" s="56">
        <f t="shared" si="28"/>
        <v>1</v>
      </c>
      <c r="L561" s="56">
        <f t="shared" si="29"/>
        <v>1900</v>
      </c>
      <c r="N561" s="50"/>
    </row>
    <row r="562" spans="6:14">
      <c r="F562" s="11" t="str">
        <f t="shared" si="27"/>
        <v>Accepted</v>
      </c>
      <c r="G562" s="19"/>
      <c r="H562" s="19"/>
      <c r="I562" s="20"/>
      <c r="K562" s="56">
        <f t="shared" si="28"/>
        <v>1</v>
      </c>
      <c r="L562" s="56">
        <f t="shared" si="29"/>
        <v>1900</v>
      </c>
      <c r="N562" s="50"/>
    </row>
    <row r="563" spans="6:14">
      <c r="F563" s="11" t="str">
        <f t="shared" si="27"/>
        <v>Accepted</v>
      </c>
      <c r="G563" s="19"/>
      <c r="H563" s="19"/>
      <c r="I563" s="20"/>
      <c r="K563" s="56">
        <f t="shared" si="28"/>
        <v>1</v>
      </c>
      <c r="L563" s="56">
        <f t="shared" si="29"/>
        <v>1900</v>
      </c>
      <c r="N563" s="50"/>
    </row>
    <row r="564" spans="6:14">
      <c r="F564" s="11" t="str">
        <f t="shared" si="27"/>
        <v>Accepted</v>
      </c>
      <c r="G564" s="19"/>
      <c r="H564" s="19"/>
      <c r="I564" s="20"/>
      <c r="K564" s="56">
        <f t="shared" si="28"/>
        <v>1</v>
      </c>
      <c r="L564" s="56">
        <f t="shared" si="29"/>
        <v>1900</v>
      </c>
      <c r="N564" s="50"/>
    </row>
    <row r="565" spans="6:14">
      <c r="F565" s="11" t="str">
        <f t="shared" si="27"/>
        <v>Accepted</v>
      </c>
      <c r="G565" s="19"/>
      <c r="H565" s="19"/>
      <c r="I565" s="20"/>
      <c r="K565" s="56">
        <f t="shared" si="28"/>
        <v>1</v>
      </c>
      <c r="L565" s="56">
        <f t="shared" si="29"/>
        <v>1900</v>
      </c>
      <c r="N565" s="50"/>
    </row>
    <row r="566" spans="6:14">
      <c r="F566" s="11" t="str">
        <f t="shared" si="27"/>
        <v>Accepted</v>
      </c>
      <c r="G566" s="19"/>
      <c r="H566" s="19"/>
      <c r="I566" s="20"/>
      <c r="K566" s="56">
        <f t="shared" si="28"/>
        <v>1</v>
      </c>
      <c r="L566" s="56">
        <f t="shared" si="29"/>
        <v>1900</v>
      </c>
      <c r="N566" s="50"/>
    </row>
    <row r="567" spans="6:14">
      <c r="F567" s="11" t="str">
        <f t="shared" si="27"/>
        <v>Accepted</v>
      </c>
      <c r="G567" s="19"/>
      <c r="H567" s="19"/>
      <c r="I567" s="20"/>
      <c r="K567" s="56">
        <f t="shared" si="28"/>
        <v>1</v>
      </c>
      <c r="L567" s="56">
        <f t="shared" si="29"/>
        <v>1900</v>
      </c>
      <c r="N567" s="50"/>
    </row>
    <row r="568" spans="6:14">
      <c r="F568" s="11" t="str">
        <f t="shared" si="27"/>
        <v>Accepted</v>
      </c>
      <c r="G568" s="19"/>
      <c r="H568" s="19"/>
      <c r="I568" s="20"/>
      <c r="K568" s="56">
        <f t="shared" si="28"/>
        <v>1</v>
      </c>
      <c r="L568" s="56">
        <f t="shared" si="29"/>
        <v>1900</v>
      </c>
      <c r="N568" s="50"/>
    </row>
    <row r="569" spans="6:14">
      <c r="F569" s="11" t="str">
        <f t="shared" si="27"/>
        <v>Accepted</v>
      </c>
      <c r="G569" s="19"/>
      <c r="H569" s="19"/>
      <c r="I569" s="20"/>
      <c r="K569" s="56">
        <f t="shared" si="28"/>
        <v>1</v>
      </c>
      <c r="L569" s="56">
        <f t="shared" si="29"/>
        <v>1900</v>
      </c>
      <c r="N569" s="50"/>
    </row>
    <row r="570" spans="6:14">
      <c r="F570" s="11" t="str">
        <f t="shared" si="27"/>
        <v>Accepted</v>
      </c>
      <c r="G570" s="19"/>
      <c r="H570" s="19"/>
      <c r="I570" s="20"/>
      <c r="K570" s="56">
        <f t="shared" si="28"/>
        <v>1</v>
      </c>
      <c r="L570" s="56">
        <f t="shared" si="29"/>
        <v>1900</v>
      </c>
      <c r="N570" s="50"/>
    </row>
    <row r="571" spans="6:14">
      <c r="F571" s="11" t="str">
        <f t="shared" ref="F571:F634" si="30">IF((D571-G571)&lt;10,"Accepted","Partial/Rejected")</f>
        <v>Accepted</v>
      </c>
      <c r="G571" s="19"/>
      <c r="H571" s="19"/>
      <c r="I571" s="20"/>
      <c r="K571" s="56">
        <f t="shared" si="28"/>
        <v>1</v>
      </c>
      <c r="L571" s="56">
        <f t="shared" si="29"/>
        <v>1900</v>
      </c>
      <c r="N571" s="50"/>
    </row>
    <row r="572" spans="6:14">
      <c r="F572" s="11" t="str">
        <f t="shared" si="30"/>
        <v>Accepted</v>
      </c>
      <c r="G572" s="19"/>
      <c r="H572" s="19"/>
      <c r="I572" s="20"/>
      <c r="K572" s="56">
        <f t="shared" si="28"/>
        <v>1</v>
      </c>
      <c r="L572" s="56">
        <f t="shared" si="29"/>
        <v>1900</v>
      </c>
      <c r="N572" s="50"/>
    </row>
    <row r="573" spans="6:14">
      <c r="F573" s="11" t="str">
        <f t="shared" si="30"/>
        <v>Accepted</v>
      </c>
      <c r="G573" s="19"/>
      <c r="H573" s="19"/>
      <c r="I573" s="20"/>
      <c r="K573" s="56">
        <f t="shared" si="28"/>
        <v>1</v>
      </c>
      <c r="L573" s="56">
        <f t="shared" si="29"/>
        <v>1900</v>
      </c>
      <c r="N573" s="50"/>
    </row>
    <row r="574" spans="6:14">
      <c r="F574" s="11" t="str">
        <f t="shared" si="30"/>
        <v>Accepted</v>
      </c>
      <c r="G574" s="19"/>
      <c r="H574" s="19"/>
      <c r="I574" s="20"/>
      <c r="K574" s="56">
        <f t="shared" si="28"/>
        <v>1</v>
      </c>
      <c r="L574" s="56">
        <f t="shared" si="29"/>
        <v>1900</v>
      </c>
      <c r="N574" s="50"/>
    </row>
    <row r="575" spans="6:14">
      <c r="F575" s="11" t="str">
        <f t="shared" si="30"/>
        <v>Accepted</v>
      </c>
      <c r="G575" s="19"/>
      <c r="H575" s="19"/>
      <c r="I575" s="20"/>
      <c r="K575" s="56">
        <f t="shared" si="28"/>
        <v>1</v>
      </c>
      <c r="L575" s="56">
        <f t="shared" si="29"/>
        <v>1900</v>
      </c>
      <c r="N575" s="50"/>
    </row>
    <row r="576" spans="6:14">
      <c r="F576" s="11" t="str">
        <f t="shared" si="30"/>
        <v>Accepted</v>
      </c>
      <c r="G576" s="19"/>
      <c r="H576" s="19"/>
      <c r="I576" s="20"/>
      <c r="K576" s="56">
        <f t="shared" si="28"/>
        <v>1</v>
      </c>
      <c r="L576" s="56">
        <f t="shared" si="29"/>
        <v>1900</v>
      </c>
      <c r="N576" s="50"/>
    </row>
    <row r="577" spans="6:14">
      <c r="F577" s="11" t="str">
        <f t="shared" si="30"/>
        <v>Accepted</v>
      </c>
      <c r="G577" s="19"/>
      <c r="H577" s="19"/>
      <c r="I577" s="20"/>
      <c r="K577" s="56">
        <f t="shared" si="28"/>
        <v>1</v>
      </c>
      <c r="L577" s="56">
        <f t="shared" si="29"/>
        <v>1900</v>
      </c>
      <c r="N577" s="50"/>
    </row>
    <row r="578" spans="6:14">
      <c r="F578" s="11" t="str">
        <f t="shared" si="30"/>
        <v>Accepted</v>
      </c>
      <c r="G578" s="19"/>
      <c r="H578" s="19"/>
      <c r="I578" s="20"/>
      <c r="K578" s="56">
        <f t="shared" si="28"/>
        <v>1</v>
      </c>
      <c r="L578" s="56">
        <f t="shared" si="29"/>
        <v>1900</v>
      </c>
      <c r="N578" s="50"/>
    </row>
    <row r="579" spans="6:14">
      <c r="F579" s="11" t="str">
        <f t="shared" si="30"/>
        <v>Accepted</v>
      </c>
      <c r="G579" s="19"/>
      <c r="H579" s="19"/>
      <c r="I579" s="20"/>
      <c r="K579" s="56">
        <f t="shared" si="28"/>
        <v>1</v>
      </c>
      <c r="L579" s="56">
        <f t="shared" si="29"/>
        <v>1900</v>
      </c>
      <c r="N579" s="50"/>
    </row>
    <row r="580" spans="6:14">
      <c r="F580" s="11" t="str">
        <f t="shared" si="30"/>
        <v>Accepted</v>
      </c>
      <c r="G580" s="19"/>
      <c r="H580" s="19"/>
      <c r="I580" s="20"/>
      <c r="K580" s="56">
        <f t="shared" si="28"/>
        <v>1</v>
      </c>
      <c r="L580" s="56">
        <f t="shared" si="29"/>
        <v>1900</v>
      </c>
      <c r="N580" s="50"/>
    </row>
    <row r="581" spans="6:14">
      <c r="F581" s="11" t="str">
        <f t="shared" si="30"/>
        <v>Accepted</v>
      </c>
      <c r="G581" s="19"/>
      <c r="H581" s="19"/>
      <c r="I581" s="20"/>
      <c r="K581" s="56">
        <f t="shared" si="28"/>
        <v>1</v>
      </c>
      <c r="L581" s="56">
        <f t="shared" si="29"/>
        <v>1900</v>
      </c>
      <c r="N581" s="50"/>
    </row>
    <row r="582" spans="6:14">
      <c r="F582" s="11" t="str">
        <f t="shared" si="30"/>
        <v>Accepted</v>
      </c>
      <c r="G582" s="19"/>
      <c r="H582" s="19"/>
      <c r="I582" s="20"/>
      <c r="K582" s="56">
        <f t="shared" si="28"/>
        <v>1</v>
      </c>
      <c r="L582" s="56">
        <f t="shared" si="29"/>
        <v>1900</v>
      </c>
      <c r="N582" s="50"/>
    </row>
    <row r="583" spans="6:14">
      <c r="F583" s="11" t="str">
        <f t="shared" si="30"/>
        <v>Accepted</v>
      </c>
      <c r="G583" s="19"/>
      <c r="H583" s="19"/>
      <c r="I583" s="20"/>
      <c r="K583" s="56">
        <f t="shared" si="28"/>
        <v>1</v>
      </c>
      <c r="L583" s="56">
        <f t="shared" si="29"/>
        <v>1900</v>
      </c>
      <c r="N583" s="50"/>
    </row>
    <row r="584" spans="6:14">
      <c r="F584" s="11" t="str">
        <f t="shared" si="30"/>
        <v>Accepted</v>
      </c>
      <c r="G584" s="19"/>
      <c r="H584" s="19"/>
      <c r="I584" s="20"/>
      <c r="K584" s="56">
        <f t="shared" si="28"/>
        <v>1</v>
      </c>
      <c r="L584" s="56">
        <f t="shared" si="29"/>
        <v>1900</v>
      </c>
      <c r="N584" s="50"/>
    </row>
    <row r="585" spans="6:14">
      <c r="F585" s="11" t="str">
        <f t="shared" si="30"/>
        <v>Accepted</v>
      </c>
      <c r="G585" s="19"/>
      <c r="H585" s="19"/>
      <c r="I585" s="20"/>
      <c r="K585" s="56">
        <f t="shared" si="28"/>
        <v>1</v>
      </c>
      <c r="L585" s="56">
        <f t="shared" si="29"/>
        <v>1900</v>
      </c>
      <c r="N585" s="50"/>
    </row>
    <row r="586" spans="6:14">
      <c r="F586" s="11" t="str">
        <f t="shared" si="30"/>
        <v>Accepted</v>
      </c>
      <c r="G586" s="19"/>
      <c r="H586" s="19"/>
      <c r="I586" s="20"/>
      <c r="K586" s="56">
        <f t="shared" si="28"/>
        <v>1</v>
      </c>
      <c r="L586" s="56">
        <f t="shared" si="29"/>
        <v>1900</v>
      </c>
      <c r="N586" s="50"/>
    </row>
    <row r="587" spans="6:14">
      <c r="F587" s="11" t="str">
        <f t="shared" si="30"/>
        <v>Accepted</v>
      </c>
      <c r="G587" s="19"/>
      <c r="H587" s="19"/>
      <c r="I587" s="20"/>
      <c r="K587" s="56">
        <f t="shared" ref="K587:K650" si="31">MONTH(C587)</f>
        <v>1</v>
      </c>
      <c r="L587" s="56">
        <f t="shared" ref="L587:L650" si="32">YEAR(C587)</f>
        <v>1900</v>
      </c>
      <c r="N587" s="50"/>
    </row>
    <row r="588" spans="6:14">
      <c r="F588" s="11" t="str">
        <f t="shared" si="30"/>
        <v>Accepted</v>
      </c>
      <c r="G588" s="19"/>
      <c r="H588" s="19"/>
      <c r="I588" s="20"/>
      <c r="K588" s="56">
        <f t="shared" si="31"/>
        <v>1</v>
      </c>
      <c r="L588" s="56">
        <f t="shared" si="32"/>
        <v>1900</v>
      </c>
      <c r="N588" s="50"/>
    </row>
    <row r="589" spans="6:14">
      <c r="F589" s="11" t="str">
        <f t="shared" si="30"/>
        <v>Accepted</v>
      </c>
      <c r="G589" s="19"/>
      <c r="H589" s="19"/>
      <c r="I589" s="20"/>
      <c r="K589" s="56">
        <f t="shared" si="31"/>
        <v>1</v>
      </c>
      <c r="L589" s="56">
        <f t="shared" si="32"/>
        <v>1900</v>
      </c>
      <c r="N589" s="50"/>
    </row>
    <row r="590" spans="6:14">
      <c r="F590" s="11" t="str">
        <f t="shared" si="30"/>
        <v>Accepted</v>
      </c>
      <c r="G590" s="19"/>
      <c r="H590" s="19"/>
      <c r="I590" s="20"/>
      <c r="K590" s="56">
        <f t="shared" si="31"/>
        <v>1</v>
      </c>
      <c r="L590" s="56">
        <f t="shared" si="32"/>
        <v>1900</v>
      </c>
      <c r="N590" s="50"/>
    </row>
    <row r="591" spans="6:14">
      <c r="F591" s="11" t="str">
        <f t="shared" si="30"/>
        <v>Accepted</v>
      </c>
      <c r="G591" s="19"/>
      <c r="H591" s="19"/>
      <c r="I591" s="20"/>
      <c r="K591" s="56">
        <f t="shared" si="31"/>
        <v>1</v>
      </c>
      <c r="L591" s="56">
        <f t="shared" si="32"/>
        <v>1900</v>
      </c>
      <c r="N591" s="50"/>
    </row>
    <row r="592" spans="6:14">
      <c r="F592" s="11" t="str">
        <f t="shared" si="30"/>
        <v>Accepted</v>
      </c>
      <c r="G592" s="19"/>
      <c r="H592" s="19"/>
      <c r="I592" s="20"/>
      <c r="K592" s="56">
        <f t="shared" si="31"/>
        <v>1</v>
      </c>
      <c r="L592" s="56">
        <f t="shared" si="32"/>
        <v>1900</v>
      </c>
      <c r="N592" s="50"/>
    </row>
    <row r="593" spans="6:14">
      <c r="F593" s="11" t="str">
        <f t="shared" si="30"/>
        <v>Accepted</v>
      </c>
      <c r="G593" s="19"/>
      <c r="H593" s="19"/>
      <c r="I593" s="20"/>
      <c r="K593" s="56">
        <f t="shared" si="31"/>
        <v>1</v>
      </c>
      <c r="L593" s="56">
        <f t="shared" si="32"/>
        <v>1900</v>
      </c>
      <c r="N593" s="50"/>
    </row>
    <row r="594" spans="6:14">
      <c r="F594" s="11" t="str">
        <f t="shared" si="30"/>
        <v>Accepted</v>
      </c>
      <c r="G594" s="19"/>
      <c r="H594" s="19"/>
      <c r="I594" s="20"/>
      <c r="K594" s="56">
        <f t="shared" si="31"/>
        <v>1</v>
      </c>
      <c r="L594" s="56">
        <f t="shared" si="32"/>
        <v>1900</v>
      </c>
      <c r="N594" s="50"/>
    </row>
    <row r="595" spans="6:14">
      <c r="F595" s="11" t="str">
        <f t="shared" si="30"/>
        <v>Accepted</v>
      </c>
      <c r="G595" s="19"/>
      <c r="H595" s="19"/>
      <c r="I595" s="20"/>
      <c r="K595" s="56">
        <f t="shared" si="31"/>
        <v>1</v>
      </c>
      <c r="L595" s="56">
        <f t="shared" si="32"/>
        <v>1900</v>
      </c>
      <c r="N595" s="50"/>
    </row>
    <row r="596" spans="6:14">
      <c r="F596" s="11" t="str">
        <f t="shared" si="30"/>
        <v>Accepted</v>
      </c>
      <c r="G596" s="19"/>
      <c r="H596" s="19"/>
      <c r="I596" s="20"/>
      <c r="K596" s="56">
        <f t="shared" si="31"/>
        <v>1</v>
      </c>
      <c r="L596" s="56">
        <f t="shared" si="32"/>
        <v>1900</v>
      </c>
      <c r="N596" s="50"/>
    </row>
    <row r="597" spans="6:14">
      <c r="F597" s="11" t="str">
        <f t="shared" si="30"/>
        <v>Accepted</v>
      </c>
      <c r="G597" s="19"/>
      <c r="H597" s="19"/>
      <c r="I597" s="20"/>
      <c r="K597" s="56">
        <f t="shared" si="31"/>
        <v>1</v>
      </c>
      <c r="L597" s="56">
        <f t="shared" si="32"/>
        <v>1900</v>
      </c>
      <c r="N597" s="50"/>
    </row>
    <row r="598" spans="6:14">
      <c r="F598" s="11" t="str">
        <f t="shared" si="30"/>
        <v>Accepted</v>
      </c>
      <c r="G598" s="19"/>
      <c r="H598" s="19"/>
      <c r="I598" s="20"/>
      <c r="K598" s="56">
        <f t="shared" si="31"/>
        <v>1</v>
      </c>
      <c r="L598" s="56">
        <f t="shared" si="32"/>
        <v>1900</v>
      </c>
      <c r="N598" s="50"/>
    </row>
    <row r="599" spans="6:14">
      <c r="F599" s="11" t="str">
        <f t="shared" si="30"/>
        <v>Accepted</v>
      </c>
      <c r="G599" s="19"/>
      <c r="H599" s="19"/>
      <c r="I599" s="20"/>
      <c r="K599" s="56">
        <f t="shared" si="31"/>
        <v>1</v>
      </c>
      <c r="L599" s="56">
        <f t="shared" si="32"/>
        <v>1900</v>
      </c>
      <c r="N599" s="50"/>
    </row>
    <row r="600" spans="6:14">
      <c r="F600" s="11" t="str">
        <f t="shared" si="30"/>
        <v>Accepted</v>
      </c>
      <c r="G600" s="19"/>
      <c r="H600" s="19"/>
      <c r="I600" s="20"/>
      <c r="K600" s="56">
        <f t="shared" si="31"/>
        <v>1</v>
      </c>
      <c r="L600" s="56">
        <f t="shared" si="32"/>
        <v>1900</v>
      </c>
      <c r="N600" s="50"/>
    </row>
    <row r="601" spans="6:14">
      <c r="F601" s="11" t="str">
        <f t="shared" si="30"/>
        <v>Accepted</v>
      </c>
      <c r="G601" s="19"/>
      <c r="H601" s="19"/>
      <c r="I601" s="20"/>
      <c r="K601" s="56">
        <f t="shared" si="31"/>
        <v>1</v>
      </c>
      <c r="L601" s="56">
        <f t="shared" si="32"/>
        <v>1900</v>
      </c>
      <c r="N601" s="50"/>
    </row>
    <row r="602" spans="6:14">
      <c r="F602" s="11" t="str">
        <f t="shared" si="30"/>
        <v>Accepted</v>
      </c>
      <c r="G602" s="19"/>
      <c r="H602" s="19"/>
      <c r="I602" s="20"/>
      <c r="K602" s="56">
        <f t="shared" si="31"/>
        <v>1</v>
      </c>
      <c r="L602" s="56">
        <f t="shared" si="32"/>
        <v>1900</v>
      </c>
      <c r="N602" s="50"/>
    </row>
    <row r="603" spans="6:14">
      <c r="F603" s="11" t="str">
        <f t="shared" si="30"/>
        <v>Accepted</v>
      </c>
      <c r="G603" s="19"/>
      <c r="H603" s="19"/>
      <c r="I603" s="20"/>
      <c r="K603" s="56">
        <f t="shared" si="31"/>
        <v>1</v>
      </c>
      <c r="L603" s="56">
        <f t="shared" si="32"/>
        <v>1900</v>
      </c>
      <c r="N603" s="50"/>
    </row>
    <row r="604" spans="6:14">
      <c r="F604" s="11" t="str">
        <f t="shared" si="30"/>
        <v>Accepted</v>
      </c>
      <c r="G604" s="19"/>
      <c r="H604" s="19"/>
      <c r="I604" s="20"/>
      <c r="K604" s="56">
        <f t="shared" si="31"/>
        <v>1</v>
      </c>
      <c r="L604" s="56">
        <f t="shared" si="32"/>
        <v>1900</v>
      </c>
      <c r="N604" s="50"/>
    </row>
    <row r="605" spans="6:14">
      <c r="F605" s="11" t="str">
        <f t="shared" si="30"/>
        <v>Accepted</v>
      </c>
      <c r="G605" s="19"/>
      <c r="H605" s="19"/>
      <c r="I605" s="20"/>
      <c r="K605" s="56">
        <f t="shared" si="31"/>
        <v>1</v>
      </c>
      <c r="L605" s="56">
        <f t="shared" si="32"/>
        <v>1900</v>
      </c>
      <c r="N605" s="50"/>
    </row>
    <row r="606" spans="6:14">
      <c r="F606" s="11" t="str">
        <f t="shared" si="30"/>
        <v>Accepted</v>
      </c>
      <c r="G606" s="19"/>
      <c r="H606" s="19"/>
      <c r="I606" s="20"/>
      <c r="K606" s="56">
        <f t="shared" si="31"/>
        <v>1</v>
      </c>
      <c r="L606" s="56">
        <f t="shared" si="32"/>
        <v>1900</v>
      </c>
      <c r="N606" s="50"/>
    </row>
    <row r="607" spans="6:14">
      <c r="F607" s="11" t="str">
        <f t="shared" si="30"/>
        <v>Accepted</v>
      </c>
      <c r="G607" s="19"/>
      <c r="H607" s="19"/>
      <c r="I607" s="20"/>
      <c r="K607" s="56">
        <f t="shared" si="31"/>
        <v>1</v>
      </c>
      <c r="L607" s="56">
        <f t="shared" si="32"/>
        <v>1900</v>
      </c>
      <c r="N607" s="50"/>
    </row>
    <row r="608" spans="6:14">
      <c r="F608" s="11" t="str">
        <f t="shared" si="30"/>
        <v>Accepted</v>
      </c>
      <c r="G608" s="19"/>
      <c r="H608" s="19"/>
      <c r="I608" s="20"/>
      <c r="K608" s="56">
        <f t="shared" si="31"/>
        <v>1</v>
      </c>
      <c r="L608" s="56">
        <f t="shared" si="32"/>
        <v>1900</v>
      </c>
      <c r="N608" s="50"/>
    </row>
    <row r="609" spans="6:14">
      <c r="F609" s="11" t="str">
        <f t="shared" si="30"/>
        <v>Accepted</v>
      </c>
      <c r="G609" s="19"/>
      <c r="H609" s="19"/>
      <c r="I609" s="20"/>
      <c r="K609" s="56">
        <f t="shared" si="31"/>
        <v>1</v>
      </c>
      <c r="L609" s="56">
        <f t="shared" si="32"/>
        <v>1900</v>
      </c>
      <c r="N609" s="50"/>
    </row>
    <row r="610" spans="6:14">
      <c r="F610" s="11" t="str">
        <f t="shared" si="30"/>
        <v>Accepted</v>
      </c>
      <c r="G610" s="19"/>
      <c r="H610" s="19"/>
      <c r="I610" s="20"/>
      <c r="K610" s="56">
        <f t="shared" si="31"/>
        <v>1</v>
      </c>
      <c r="L610" s="56">
        <f t="shared" si="32"/>
        <v>1900</v>
      </c>
      <c r="N610" s="50"/>
    </row>
    <row r="611" spans="6:14">
      <c r="F611" s="11" t="str">
        <f t="shared" si="30"/>
        <v>Accepted</v>
      </c>
      <c r="G611" s="19"/>
      <c r="H611" s="19"/>
      <c r="I611" s="20"/>
      <c r="K611" s="56">
        <f t="shared" si="31"/>
        <v>1</v>
      </c>
      <c r="L611" s="56">
        <f t="shared" si="32"/>
        <v>1900</v>
      </c>
      <c r="N611" s="50"/>
    </row>
    <row r="612" spans="6:14">
      <c r="F612" s="11" t="str">
        <f t="shared" si="30"/>
        <v>Accepted</v>
      </c>
      <c r="G612" s="19"/>
      <c r="H612" s="19"/>
      <c r="I612" s="20"/>
      <c r="K612" s="56">
        <f t="shared" si="31"/>
        <v>1</v>
      </c>
      <c r="L612" s="56">
        <f t="shared" si="32"/>
        <v>1900</v>
      </c>
      <c r="N612" s="50"/>
    </row>
    <row r="613" spans="6:14">
      <c r="F613" s="11" t="str">
        <f t="shared" si="30"/>
        <v>Accepted</v>
      </c>
      <c r="G613" s="19"/>
      <c r="H613" s="19"/>
      <c r="I613" s="20"/>
      <c r="K613" s="56">
        <f t="shared" si="31"/>
        <v>1</v>
      </c>
      <c r="L613" s="56">
        <f t="shared" si="32"/>
        <v>1900</v>
      </c>
      <c r="N613" s="50"/>
    </row>
    <row r="614" spans="6:14">
      <c r="F614" s="11" t="str">
        <f t="shared" si="30"/>
        <v>Accepted</v>
      </c>
      <c r="G614" s="19"/>
      <c r="H614" s="19"/>
      <c r="I614" s="20"/>
      <c r="K614" s="56">
        <f t="shared" si="31"/>
        <v>1</v>
      </c>
      <c r="L614" s="56">
        <f t="shared" si="32"/>
        <v>1900</v>
      </c>
      <c r="N614" s="50"/>
    </row>
    <row r="615" spans="6:14">
      <c r="F615" s="11" t="str">
        <f t="shared" si="30"/>
        <v>Accepted</v>
      </c>
      <c r="G615" s="19"/>
      <c r="H615" s="19"/>
      <c r="I615" s="20"/>
      <c r="K615" s="56">
        <f t="shared" si="31"/>
        <v>1</v>
      </c>
      <c r="L615" s="56">
        <f t="shared" si="32"/>
        <v>1900</v>
      </c>
      <c r="N615" s="50"/>
    </row>
    <row r="616" spans="6:14">
      <c r="F616" s="11" t="str">
        <f t="shared" si="30"/>
        <v>Accepted</v>
      </c>
      <c r="G616" s="19"/>
      <c r="H616" s="19"/>
      <c r="I616" s="20"/>
      <c r="K616" s="56">
        <f t="shared" si="31"/>
        <v>1</v>
      </c>
      <c r="L616" s="56">
        <f t="shared" si="32"/>
        <v>1900</v>
      </c>
      <c r="N616" s="50"/>
    </row>
    <row r="617" spans="6:14">
      <c r="F617" s="11" t="str">
        <f t="shared" si="30"/>
        <v>Accepted</v>
      </c>
      <c r="G617" s="19"/>
      <c r="H617" s="19"/>
      <c r="I617" s="20"/>
      <c r="K617" s="56">
        <f t="shared" si="31"/>
        <v>1</v>
      </c>
      <c r="L617" s="56">
        <f t="shared" si="32"/>
        <v>1900</v>
      </c>
      <c r="N617" s="50"/>
    </row>
    <row r="618" spans="6:14">
      <c r="F618" s="11" t="str">
        <f t="shared" si="30"/>
        <v>Accepted</v>
      </c>
      <c r="G618" s="19"/>
      <c r="H618" s="19"/>
      <c r="I618" s="20"/>
      <c r="K618" s="56">
        <f t="shared" si="31"/>
        <v>1</v>
      </c>
      <c r="L618" s="56">
        <f t="shared" si="32"/>
        <v>1900</v>
      </c>
      <c r="N618" s="50"/>
    </row>
    <row r="619" spans="6:14">
      <c r="F619" s="11" t="str">
        <f t="shared" si="30"/>
        <v>Accepted</v>
      </c>
      <c r="G619" s="19"/>
      <c r="H619" s="19"/>
      <c r="I619" s="20"/>
      <c r="K619" s="56">
        <f t="shared" si="31"/>
        <v>1</v>
      </c>
      <c r="L619" s="56">
        <f t="shared" si="32"/>
        <v>1900</v>
      </c>
      <c r="N619" s="50"/>
    </row>
    <row r="620" spans="6:14">
      <c r="F620" s="11" t="str">
        <f t="shared" si="30"/>
        <v>Accepted</v>
      </c>
      <c r="G620" s="19"/>
      <c r="H620" s="19"/>
      <c r="I620" s="20"/>
      <c r="K620" s="56">
        <f t="shared" si="31"/>
        <v>1</v>
      </c>
      <c r="L620" s="56">
        <f t="shared" si="32"/>
        <v>1900</v>
      </c>
      <c r="N620" s="50"/>
    </row>
    <row r="621" spans="6:14">
      <c r="F621" s="11" t="str">
        <f t="shared" si="30"/>
        <v>Accepted</v>
      </c>
      <c r="G621" s="19"/>
      <c r="H621" s="19"/>
      <c r="I621" s="20"/>
      <c r="K621" s="56">
        <f t="shared" si="31"/>
        <v>1</v>
      </c>
      <c r="L621" s="56">
        <f t="shared" si="32"/>
        <v>1900</v>
      </c>
      <c r="N621" s="50"/>
    </row>
    <row r="622" spans="6:14">
      <c r="F622" s="11" t="str">
        <f t="shared" si="30"/>
        <v>Accepted</v>
      </c>
      <c r="G622" s="19"/>
      <c r="H622" s="19"/>
      <c r="I622" s="20"/>
      <c r="K622" s="56">
        <f t="shared" si="31"/>
        <v>1</v>
      </c>
      <c r="L622" s="56">
        <f t="shared" si="32"/>
        <v>1900</v>
      </c>
      <c r="N622" s="50"/>
    </row>
    <row r="623" spans="6:14">
      <c r="F623" s="11" t="str">
        <f t="shared" si="30"/>
        <v>Accepted</v>
      </c>
      <c r="G623" s="19"/>
      <c r="H623" s="19"/>
      <c r="I623" s="20"/>
      <c r="K623" s="56">
        <f t="shared" si="31"/>
        <v>1</v>
      </c>
      <c r="L623" s="56">
        <f t="shared" si="32"/>
        <v>1900</v>
      </c>
      <c r="N623" s="50"/>
    </row>
    <row r="624" spans="6:14">
      <c r="F624" s="11" t="str">
        <f t="shared" si="30"/>
        <v>Accepted</v>
      </c>
      <c r="G624" s="19"/>
      <c r="H624" s="19"/>
      <c r="I624" s="20"/>
      <c r="K624" s="56">
        <f t="shared" si="31"/>
        <v>1</v>
      </c>
      <c r="L624" s="56">
        <f t="shared" si="32"/>
        <v>1900</v>
      </c>
      <c r="N624" s="50"/>
    </row>
    <row r="625" spans="6:14">
      <c r="F625" s="11" t="str">
        <f t="shared" si="30"/>
        <v>Accepted</v>
      </c>
      <c r="G625" s="19"/>
      <c r="H625" s="19"/>
      <c r="I625" s="20"/>
      <c r="K625" s="56">
        <f t="shared" si="31"/>
        <v>1</v>
      </c>
      <c r="L625" s="56">
        <f t="shared" si="32"/>
        <v>1900</v>
      </c>
      <c r="N625" s="50"/>
    </row>
    <row r="626" spans="6:14">
      <c r="F626" s="11" t="str">
        <f t="shared" si="30"/>
        <v>Accepted</v>
      </c>
      <c r="G626" s="19"/>
      <c r="H626" s="19"/>
      <c r="I626" s="20"/>
      <c r="K626" s="56">
        <f t="shared" si="31"/>
        <v>1</v>
      </c>
      <c r="L626" s="56">
        <f t="shared" si="32"/>
        <v>1900</v>
      </c>
      <c r="N626" s="50"/>
    </row>
    <row r="627" spans="6:14">
      <c r="F627" s="11" t="str">
        <f t="shared" si="30"/>
        <v>Accepted</v>
      </c>
      <c r="G627" s="19"/>
      <c r="H627" s="19"/>
      <c r="I627" s="20"/>
      <c r="K627" s="56">
        <f t="shared" si="31"/>
        <v>1</v>
      </c>
      <c r="L627" s="56">
        <f t="shared" si="32"/>
        <v>1900</v>
      </c>
      <c r="N627" s="50"/>
    </row>
    <row r="628" spans="6:14">
      <c r="F628" s="11" t="str">
        <f t="shared" si="30"/>
        <v>Accepted</v>
      </c>
      <c r="G628" s="19"/>
      <c r="H628" s="19"/>
      <c r="I628" s="20"/>
      <c r="K628" s="56">
        <f t="shared" si="31"/>
        <v>1</v>
      </c>
      <c r="L628" s="56">
        <f t="shared" si="32"/>
        <v>1900</v>
      </c>
      <c r="N628" s="50"/>
    </row>
    <row r="629" spans="6:14">
      <c r="F629" s="11" t="str">
        <f t="shared" si="30"/>
        <v>Accepted</v>
      </c>
      <c r="G629" s="19"/>
      <c r="H629" s="19"/>
      <c r="I629" s="20"/>
      <c r="K629" s="56">
        <f t="shared" si="31"/>
        <v>1</v>
      </c>
      <c r="L629" s="56">
        <f t="shared" si="32"/>
        <v>1900</v>
      </c>
      <c r="N629" s="50"/>
    </row>
    <row r="630" spans="6:14">
      <c r="F630" s="11" t="str">
        <f t="shared" si="30"/>
        <v>Accepted</v>
      </c>
      <c r="G630" s="19"/>
      <c r="H630" s="19"/>
      <c r="I630" s="20"/>
      <c r="K630" s="56">
        <f t="shared" si="31"/>
        <v>1</v>
      </c>
      <c r="L630" s="56">
        <f t="shared" si="32"/>
        <v>1900</v>
      </c>
      <c r="N630" s="50"/>
    </row>
    <row r="631" spans="6:14">
      <c r="F631" s="11" t="str">
        <f t="shared" si="30"/>
        <v>Accepted</v>
      </c>
      <c r="G631" s="19"/>
      <c r="H631" s="19"/>
      <c r="I631" s="20"/>
      <c r="K631" s="56">
        <f t="shared" si="31"/>
        <v>1</v>
      </c>
      <c r="L631" s="56">
        <f t="shared" si="32"/>
        <v>1900</v>
      </c>
      <c r="N631" s="50"/>
    </row>
    <row r="632" spans="6:14">
      <c r="F632" s="11" t="str">
        <f t="shared" si="30"/>
        <v>Accepted</v>
      </c>
      <c r="G632" s="19"/>
      <c r="H632" s="19"/>
      <c r="I632" s="20"/>
      <c r="K632" s="56">
        <f t="shared" si="31"/>
        <v>1</v>
      </c>
      <c r="L632" s="56">
        <f t="shared" si="32"/>
        <v>1900</v>
      </c>
      <c r="N632" s="50"/>
    </row>
    <row r="633" spans="6:14">
      <c r="F633" s="11" t="str">
        <f t="shared" si="30"/>
        <v>Accepted</v>
      </c>
      <c r="G633" s="19"/>
      <c r="H633" s="19"/>
      <c r="I633" s="20"/>
      <c r="K633" s="56">
        <f t="shared" si="31"/>
        <v>1</v>
      </c>
      <c r="L633" s="56">
        <f t="shared" si="32"/>
        <v>1900</v>
      </c>
      <c r="N633" s="50"/>
    </row>
    <row r="634" spans="6:14">
      <c r="F634" s="11" t="str">
        <f t="shared" si="30"/>
        <v>Accepted</v>
      </c>
      <c r="G634" s="19"/>
      <c r="H634" s="19"/>
      <c r="I634" s="20"/>
      <c r="K634" s="56">
        <f t="shared" si="31"/>
        <v>1</v>
      </c>
      <c r="L634" s="56">
        <f t="shared" si="32"/>
        <v>1900</v>
      </c>
      <c r="N634" s="50"/>
    </row>
    <row r="635" spans="6:14">
      <c r="F635" s="11" t="str">
        <f t="shared" ref="F635:F698" si="33">IF((D635-G635)&lt;10,"Accepted","Partial/Rejected")</f>
        <v>Accepted</v>
      </c>
      <c r="G635" s="19"/>
      <c r="H635" s="19"/>
      <c r="I635" s="20"/>
      <c r="K635" s="56">
        <f t="shared" si="31"/>
        <v>1</v>
      </c>
      <c r="L635" s="56">
        <f t="shared" si="32"/>
        <v>1900</v>
      </c>
      <c r="N635" s="50"/>
    </row>
    <row r="636" spans="6:14">
      <c r="F636" s="11" t="str">
        <f t="shared" si="33"/>
        <v>Accepted</v>
      </c>
      <c r="G636" s="19"/>
      <c r="H636" s="19"/>
      <c r="I636" s="20"/>
      <c r="K636" s="56">
        <f t="shared" si="31"/>
        <v>1</v>
      </c>
      <c r="L636" s="56">
        <f t="shared" si="32"/>
        <v>1900</v>
      </c>
      <c r="N636" s="50"/>
    </row>
    <row r="637" spans="6:14">
      <c r="F637" s="11" t="str">
        <f t="shared" si="33"/>
        <v>Accepted</v>
      </c>
      <c r="G637" s="19"/>
      <c r="H637" s="19"/>
      <c r="I637" s="20"/>
      <c r="K637" s="56">
        <f t="shared" si="31"/>
        <v>1</v>
      </c>
      <c r="L637" s="56">
        <f t="shared" si="32"/>
        <v>1900</v>
      </c>
      <c r="N637" s="50"/>
    </row>
    <row r="638" spans="6:14">
      <c r="F638" s="11" t="str">
        <f t="shared" si="33"/>
        <v>Accepted</v>
      </c>
      <c r="G638" s="19"/>
      <c r="H638" s="19"/>
      <c r="I638" s="20"/>
      <c r="K638" s="56">
        <f t="shared" si="31"/>
        <v>1</v>
      </c>
      <c r="L638" s="56">
        <f t="shared" si="32"/>
        <v>1900</v>
      </c>
      <c r="N638" s="50"/>
    </row>
    <row r="639" spans="6:14">
      <c r="F639" s="11" t="str">
        <f t="shared" si="33"/>
        <v>Accepted</v>
      </c>
      <c r="G639" s="19"/>
      <c r="H639" s="19"/>
      <c r="I639" s="20"/>
      <c r="K639" s="56">
        <f t="shared" si="31"/>
        <v>1</v>
      </c>
      <c r="L639" s="56">
        <f t="shared" si="32"/>
        <v>1900</v>
      </c>
      <c r="N639" s="50"/>
    </row>
    <row r="640" spans="6:14">
      <c r="F640" s="11" t="str">
        <f t="shared" si="33"/>
        <v>Accepted</v>
      </c>
      <c r="G640" s="19"/>
      <c r="H640" s="19"/>
      <c r="I640" s="20"/>
      <c r="K640" s="56">
        <f t="shared" si="31"/>
        <v>1</v>
      </c>
      <c r="L640" s="56">
        <f t="shared" si="32"/>
        <v>1900</v>
      </c>
      <c r="N640" s="50"/>
    </row>
    <row r="641" spans="6:14">
      <c r="F641" s="11" t="str">
        <f t="shared" si="33"/>
        <v>Accepted</v>
      </c>
      <c r="G641" s="19"/>
      <c r="H641" s="19"/>
      <c r="I641" s="20"/>
      <c r="K641" s="56">
        <f t="shared" si="31"/>
        <v>1</v>
      </c>
      <c r="L641" s="56">
        <f t="shared" si="32"/>
        <v>1900</v>
      </c>
      <c r="N641" s="50"/>
    </row>
    <row r="642" spans="6:14">
      <c r="F642" s="11" t="str">
        <f t="shared" si="33"/>
        <v>Accepted</v>
      </c>
      <c r="G642" s="19"/>
      <c r="H642" s="19"/>
      <c r="I642" s="20"/>
      <c r="K642" s="56">
        <f t="shared" si="31"/>
        <v>1</v>
      </c>
      <c r="L642" s="56">
        <f t="shared" si="32"/>
        <v>1900</v>
      </c>
      <c r="N642" s="50"/>
    </row>
    <row r="643" spans="6:14">
      <c r="F643" s="11" t="str">
        <f t="shared" si="33"/>
        <v>Accepted</v>
      </c>
      <c r="G643" s="19"/>
      <c r="H643" s="19"/>
      <c r="I643" s="20"/>
      <c r="K643" s="56">
        <f t="shared" si="31"/>
        <v>1</v>
      </c>
      <c r="L643" s="56">
        <f t="shared" si="32"/>
        <v>1900</v>
      </c>
      <c r="N643" s="50"/>
    </row>
    <row r="644" spans="6:14">
      <c r="F644" s="11" t="str">
        <f t="shared" si="33"/>
        <v>Accepted</v>
      </c>
      <c r="G644" s="19"/>
      <c r="H644" s="19"/>
      <c r="I644" s="20"/>
      <c r="K644" s="56">
        <f t="shared" si="31"/>
        <v>1</v>
      </c>
      <c r="L644" s="56">
        <f t="shared" si="32"/>
        <v>1900</v>
      </c>
      <c r="N644" s="50"/>
    </row>
    <row r="645" spans="6:14">
      <c r="F645" s="11" t="str">
        <f t="shared" si="33"/>
        <v>Accepted</v>
      </c>
      <c r="G645" s="19"/>
      <c r="H645" s="19"/>
      <c r="I645" s="20"/>
      <c r="K645" s="56">
        <f t="shared" si="31"/>
        <v>1</v>
      </c>
      <c r="L645" s="56">
        <f t="shared" si="32"/>
        <v>1900</v>
      </c>
      <c r="N645" s="50"/>
    </row>
    <row r="646" spans="6:14">
      <c r="F646" s="11" t="str">
        <f t="shared" si="33"/>
        <v>Accepted</v>
      </c>
      <c r="G646" s="19"/>
      <c r="H646" s="19"/>
      <c r="I646" s="20"/>
      <c r="K646" s="56">
        <f t="shared" si="31"/>
        <v>1</v>
      </c>
      <c r="L646" s="56">
        <f t="shared" si="32"/>
        <v>1900</v>
      </c>
      <c r="N646" s="50"/>
    </row>
    <row r="647" spans="6:14">
      <c r="F647" s="11" t="str">
        <f t="shared" si="33"/>
        <v>Accepted</v>
      </c>
      <c r="G647" s="19"/>
      <c r="H647" s="19"/>
      <c r="I647" s="20"/>
      <c r="K647" s="56">
        <f t="shared" si="31"/>
        <v>1</v>
      </c>
      <c r="L647" s="56">
        <f t="shared" si="32"/>
        <v>1900</v>
      </c>
      <c r="N647" s="50"/>
    </row>
    <row r="648" spans="6:14">
      <c r="F648" s="11" t="str">
        <f t="shared" si="33"/>
        <v>Accepted</v>
      </c>
      <c r="G648" s="19"/>
      <c r="H648" s="19"/>
      <c r="I648" s="20"/>
      <c r="K648" s="56">
        <f t="shared" si="31"/>
        <v>1</v>
      </c>
      <c r="L648" s="56">
        <f t="shared" si="32"/>
        <v>1900</v>
      </c>
      <c r="N648" s="50"/>
    </row>
    <row r="649" spans="6:14">
      <c r="F649" s="11" t="str">
        <f t="shared" si="33"/>
        <v>Accepted</v>
      </c>
      <c r="G649" s="19"/>
      <c r="H649" s="19"/>
      <c r="I649" s="20"/>
      <c r="K649" s="56">
        <f t="shared" si="31"/>
        <v>1</v>
      </c>
      <c r="L649" s="56">
        <f t="shared" si="32"/>
        <v>1900</v>
      </c>
      <c r="N649" s="50"/>
    </row>
    <row r="650" spans="6:14">
      <c r="F650" s="11" t="str">
        <f t="shared" si="33"/>
        <v>Accepted</v>
      </c>
      <c r="G650" s="19"/>
      <c r="H650" s="19"/>
      <c r="I650" s="20"/>
      <c r="K650" s="56">
        <f t="shared" si="31"/>
        <v>1</v>
      </c>
      <c r="L650" s="56">
        <f t="shared" si="32"/>
        <v>1900</v>
      </c>
      <c r="N650" s="50"/>
    </row>
    <row r="651" spans="6:14">
      <c r="F651" s="11" t="str">
        <f t="shared" si="33"/>
        <v>Accepted</v>
      </c>
      <c r="G651" s="19"/>
      <c r="H651" s="19"/>
      <c r="I651" s="20"/>
      <c r="K651" s="56">
        <f t="shared" ref="K651:K714" si="34">MONTH(C651)</f>
        <v>1</v>
      </c>
      <c r="L651" s="56">
        <f t="shared" ref="L651:L714" si="35">YEAR(C651)</f>
        <v>1900</v>
      </c>
      <c r="N651" s="50"/>
    </row>
    <row r="652" spans="6:14">
      <c r="F652" s="11" t="str">
        <f t="shared" si="33"/>
        <v>Accepted</v>
      </c>
      <c r="G652" s="19"/>
      <c r="H652" s="19"/>
      <c r="I652" s="20"/>
      <c r="K652" s="56">
        <f t="shared" si="34"/>
        <v>1</v>
      </c>
      <c r="L652" s="56">
        <f t="shared" si="35"/>
        <v>1900</v>
      </c>
      <c r="N652" s="50"/>
    </row>
    <row r="653" spans="6:14">
      <c r="F653" s="11" t="str">
        <f t="shared" si="33"/>
        <v>Accepted</v>
      </c>
      <c r="G653" s="19"/>
      <c r="H653" s="19"/>
      <c r="I653" s="20"/>
      <c r="K653" s="56">
        <f t="shared" si="34"/>
        <v>1</v>
      </c>
      <c r="L653" s="56">
        <f t="shared" si="35"/>
        <v>1900</v>
      </c>
      <c r="N653" s="50"/>
    </row>
    <row r="654" spans="6:14">
      <c r="F654" s="11" t="str">
        <f t="shared" si="33"/>
        <v>Accepted</v>
      </c>
      <c r="G654" s="19"/>
      <c r="H654" s="19"/>
      <c r="I654" s="20"/>
      <c r="K654" s="56">
        <f t="shared" si="34"/>
        <v>1</v>
      </c>
      <c r="L654" s="56">
        <f t="shared" si="35"/>
        <v>1900</v>
      </c>
      <c r="N654" s="50"/>
    </row>
    <row r="655" spans="6:14">
      <c r="F655" s="11" t="str">
        <f t="shared" si="33"/>
        <v>Accepted</v>
      </c>
      <c r="G655" s="19"/>
      <c r="H655" s="19"/>
      <c r="I655" s="20"/>
      <c r="K655" s="56">
        <f t="shared" si="34"/>
        <v>1</v>
      </c>
      <c r="L655" s="56">
        <f t="shared" si="35"/>
        <v>1900</v>
      </c>
      <c r="N655" s="50"/>
    </row>
    <row r="656" spans="6:14">
      <c r="F656" s="11" t="str">
        <f t="shared" si="33"/>
        <v>Accepted</v>
      </c>
      <c r="G656" s="19"/>
      <c r="H656" s="19"/>
      <c r="I656" s="20"/>
      <c r="K656" s="56">
        <f t="shared" si="34"/>
        <v>1</v>
      </c>
      <c r="L656" s="56">
        <f t="shared" si="35"/>
        <v>1900</v>
      </c>
      <c r="N656" s="50"/>
    </row>
    <row r="657" spans="6:14">
      <c r="F657" s="11" t="str">
        <f t="shared" si="33"/>
        <v>Accepted</v>
      </c>
      <c r="G657" s="19"/>
      <c r="H657" s="19"/>
      <c r="I657" s="20"/>
      <c r="K657" s="56">
        <f t="shared" si="34"/>
        <v>1</v>
      </c>
      <c r="L657" s="56">
        <f t="shared" si="35"/>
        <v>1900</v>
      </c>
      <c r="N657" s="50"/>
    </row>
    <row r="658" spans="6:14">
      <c r="F658" s="11" t="str">
        <f t="shared" si="33"/>
        <v>Accepted</v>
      </c>
      <c r="G658" s="19"/>
      <c r="H658" s="19"/>
      <c r="I658" s="20"/>
      <c r="K658" s="56">
        <f t="shared" si="34"/>
        <v>1</v>
      </c>
      <c r="L658" s="56">
        <f t="shared" si="35"/>
        <v>1900</v>
      </c>
      <c r="N658" s="50"/>
    </row>
    <row r="659" spans="6:14">
      <c r="F659" s="11" t="str">
        <f t="shared" si="33"/>
        <v>Accepted</v>
      </c>
      <c r="G659" s="19"/>
      <c r="H659" s="19"/>
      <c r="I659" s="20"/>
      <c r="K659" s="56">
        <f t="shared" si="34"/>
        <v>1</v>
      </c>
      <c r="L659" s="56">
        <f t="shared" si="35"/>
        <v>1900</v>
      </c>
      <c r="N659" s="50"/>
    </row>
    <row r="660" spans="6:14">
      <c r="F660" s="11" t="str">
        <f t="shared" si="33"/>
        <v>Accepted</v>
      </c>
      <c r="G660" s="19"/>
      <c r="H660" s="19"/>
      <c r="I660" s="20"/>
      <c r="K660" s="56">
        <f t="shared" si="34"/>
        <v>1</v>
      </c>
      <c r="L660" s="56">
        <f t="shared" si="35"/>
        <v>1900</v>
      </c>
      <c r="N660" s="50"/>
    </row>
    <row r="661" spans="6:14">
      <c r="F661" s="11" t="str">
        <f t="shared" si="33"/>
        <v>Accepted</v>
      </c>
      <c r="G661" s="19"/>
      <c r="H661" s="19"/>
      <c r="I661" s="20"/>
      <c r="K661" s="56">
        <f t="shared" si="34"/>
        <v>1</v>
      </c>
      <c r="L661" s="56">
        <f t="shared" si="35"/>
        <v>1900</v>
      </c>
      <c r="N661" s="50"/>
    </row>
    <row r="662" spans="6:14">
      <c r="F662" s="11" t="str">
        <f t="shared" si="33"/>
        <v>Accepted</v>
      </c>
      <c r="G662" s="19"/>
      <c r="H662" s="19"/>
      <c r="I662" s="20"/>
      <c r="K662" s="56">
        <f t="shared" si="34"/>
        <v>1</v>
      </c>
      <c r="L662" s="56">
        <f t="shared" si="35"/>
        <v>1900</v>
      </c>
      <c r="N662" s="50"/>
    </row>
    <row r="663" spans="6:14">
      <c r="F663" s="11" t="str">
        <f t="shared" si="33"/>
        <v>Accepted</v>
      </c>
      <c r="G663" s="19"/>
      <c r="H663" s="19"/>
      <c r="I663" s="20"/>
      <c r="K663" s="56">
        <f t="shared" si="34"/>
        <v>1</v>
      </c>
      <c r="L663" s="56">
        <f t="shared" si="35"/>
        <v>1900</v>
      </c>
      <c r="N663" s="50"/>
    </row>
    <row r="664" spans="6:14">
      <c r="F664" s="11" t="str">
        <f t="shared" si="33"/>
        <v>Accepted</v>
      </c>
      <c r="G664" s="19"/>
      <c r="H664" s="19"/>
      <c r="I664" s="20"/>
      <c r="K664" s="56">
        <f t="shared" si="34"/>
        <v>1</v>
      </c>
      <c r="L664" s="56">
        <f t="shared" si="35"/>
        <v>1900</v>
      </c>
      <c r="N664" s="50"/>
    </row>
    <row r="665" spans="6:14">
      <c r="F665" s="11" t="str">
        <f t="shared" si="33"/>
        <v>Accepted</v>
      </c>
      <c r="G665" s="19"/>
      <c r="H665" s="19"/>
      <c r="I665" s="20"/>
      <c r="K665" s="56">
        <f t="shared" si="34"/>
        <v>1</v>
      </c>
      <c r="L665" s="56">
        <f t="shared" si="35"/>
        <v>1900</v>
      </c>
      <c r="N665" s="50"/>
    </row>
    <row r="666" spans="6:14">
      <c r="F666" s="11" t="str">
        <f t="shared" si="33"/>
        <v>Accepted</v>
      </c>
      <c r="G666" s="19"/>
      <c r="H666" s="19"/>
      <c r="I666" s="20"/>
      <c r="K666" s="56">
        <f t="shared" si="34"/>
        <v>1</v>
      </c>
      <c r="L666" s="56">
        <f t="shared" si="35"/>
        <v>1900</v>
      </c>
      <c r="N666" s="50"/>
    </row>
    <row r="667" spans="6:14">
      <c r="F667" s="11" t="str">
        <f t="shared" si="33"/>
        <v>Accepted</v>
      </c>
      <c r="G667" s="19"/>
      <c r="H667" s="19"/>
      <c r="I667" s="20"/>
      <c r="K667" s="56">
        <f t="shared" si="34"/>
        <v>1</v>
      </c>
      <c r="L667" s="56">
        <f t="shared" si="35"/>
        <v>1900</v>
      </c>
      <c r="N667" s="50"/>
    </row>
    <row r="668" spans="6:14">
      <c r="F668" s="11" t="str">
        <f t="shared" si="33"/>
        <v>Accepted</v>
      </c>
      <c r="G668" s="19"/>
      <c r="H668" s="19"/>
      <c r="I668" s="20"/>
      <c r="K668" s="56">
        <f t="shared" si="34"/>
        <v>1</v>
      </c>
      <c r="L668" s="56">
        <f t="shared" si="35"/>
        <v>1900</v>
      </c>
      <c r="N668" s="50"/>
    </row>
    <row r="669" spans="6:14">
      <c r="F669" s="11" t="str">
        <f t="shared" si="33"/>
        <v>Accepted</v>
      </c>
      <c r="G669" s="19"/>
      <c r="H669" s="19"/>
      <c r="I669" s="20"/>
      <c r="K669" s="56">
        <f t="shared" si="34"/>
        <v>1</v>
      </c>
      <c r="L669" s="56">
        <f t="shared" si="35"/>
        <v>1900</v>
      </c>
      <c r="N669" s="50"/>
    </row>
    <row r="670" spans="6:14">
      <c r="F670" s="11" t="str">
        <f t="shared" si="33"/>
        <v>Accepted</v>
      </c>
      <c r="G670" s="19"/>
      <c r="H670" s="19"/>
      <c r="I670" s="20"/>
      <c r="K670" s="56">
        <f t="shared" si="34"/>
        <v>1</v>
      </c>
      <c r="L670" s="56">
        <f t="shared" si="35"/>
        <v>1900</v>
      </c>
      <c r="N670" s="50"/>
    </row>
    <row r="671" spans="6:14">
      <c r="F671" s="11" t="str">
        <f t="shared" si="33"/>
        <v>Accepted</v>
      </c>
      <c r="G671" s="19"/>
      <c r="H671" s="19"/>
      <c r="I671" s="20"/>
      <c r="K671" s="56">
        <f t="shared" si="34"/>
        <v>1</v>
      </c>
      <c r="L671" s="56">
        <f t="shared" si="35"/>
        <v>1900</v>
      </c>
      <c r="N671" s="50"/>
    </row>
    <row r="672" spans="6:14">
      <c r="F672" s="11" t="str">
        <f t="shared" si="33"/>
        <v>Accepted</v>
      </c>
      <c r="G672" s="19"/>
      <c r="H672" s="19"/>
      <c r="I672" s="20"/>
      <c r="K672" s="56">
        <f t="shared" si="34"/>
        <v>1</v>
      </c>
      <c r="L672" s="56">
        <f t="shared" si="35"/>
        <v>1900</v>
      </c>
      <c r="N672" s="50"/>
    </row>
    <row r="673" spans="6:14">
      <c r="F673" s="11" t="str">
        <f t="shared" si="33"/>
        <v>Accepted</v>
      </c>
      <c r="G673" s="19"/>
      <c r="H673" s="19"/>
      <c r="I673" s="20"/>
      <c r="K673" s="56">
        <f t="shared" si="34"/>
        <v>1</v>
      </c>
      <c r="L673" s="56">
        <f t="shared" si="35"/>
        <v>1900</v>
      </c>
      <c r="N673" s="50"/>
    </row>
    <row r="674" spans="6:14">
      <c r="F674" s="11" t="str">
        <f t="shared" si="33"/>
        <v>Accepted</v>
      </c>
      <c r="G674" s="19"/>
      <c r="H674" s="19"/>
      <c r="I674" s="20"/>
      <c r="K674" s="56">
        <f t="shared" si="34"/>
        <v>1</v>
      </c>
      <c r="L674" s="56">
        <f t="shared" si="35"/>
        <v>1900</v>
      </c>
      <c r="N674" s="50"/>
    </row>
    <row r="675" spans="6:14">
      <c r="F675" s="11" t="str">
        <f t="shared" si="33"/>
        <v>Accepted</v>
      </c>
      <c r="G675" s="19"/>
      <c r="H675" s="19"/>
      <c r="I675" s="20"/>
      <c r="K675" s="56">
        <f t="shared" si="34"/>
        <v>1</v>
      </c>
      <c r="L675" s="56">
        <f t="shared" si="35"/>
        <v>1900</v>
      </c>
      <c r="N675" s="50"/>
    </row>
    <row r="676" spans="6:14">
      <c r="F676" s="11" t="str">
        <f t="shared" si="33"/>
        <v>Accepted</v>
      </c>
      <c r="G676" s="19"/>
      <c r="H676" s="19"/>
      <c r="I676" s="20"/>
      <c r="K676" s="56">
        <f t="shared" si="34"/>
        <v>1</v>
      </c>
      <c r="L676" s="56">
        <f t="shared" si="35"/>
        <v>1900</v>
      </c>
      <c r="N676" s="50"/>
    </row>
    <row r="677" spans="6:14">
      <c r="F677" s="11" t="str">
        <f t="shared" si="33"/>
        <v>Accepted</v>
      </c>
      <c r="G677" s="19"/>
      <c r="H677" s="19"/>
      <c r="I677" s="20"/>
      <c r="K677" s="56">
        <f t="shared" si="34"/>
        <v>1</v>
      </c>
      <c r="L677" s="56">
        <f t="shared" si="35"/>
        <v>1900</v>
      </c>
      <c r="N677" s="50"/>
    </row>
    <row r="678" spans="6:14">
      <c r="F678" s="11" t="str">
        <f t="shared" si="33"/>
        <v>Accepted</v>
      </c>
      <c r="G678" s="19"/>
      <c r="H678" s="19"/>
      <c r="I678" s="20"/>
      <c r="K678" s="56">
        <f t="shared" si="34"/>
        <v>1</v>
      </c>
      <c r="L678" s="56">
        <f t="shared" si="35"/>
        <v>1900</v>
      </c>
      <c r="N678" s="50"/>
    </row>
    <row r="679" spans="6:14">
      <c r="F679" s="11" t="str">
        <f t="shared" si="33"/>
        <v>Accepted</v>
      </c>
      <c r="G679" s="19"/>
      <c r="H679" s="19"/>
      <c r="I679" s="20"/>
      <c r="K679" s="56">
        <f t="shared" si="34"/>
        <v>1</v>
      </c>
      <c r="L679" s="56">
        <f t="shared" si="35"/>
        <v>1900</v>
      </c>
      <c r="N679" s="50"/>
    </row>
    <row r="680" spans="6:14">
      <c r="F680" s="11" t="str">
        <f t="shared" si="33"/>
        <v>Accepted</v>
      </c>
      <c r="G680" s="19"/>
      <c r="H680" s="19"/>
      <c r="I680" s="20"/>
      <c r="K680" s="56">
        <f t="shared" si="34"/>
        <v>1</v>
      </c>
      <c r="L680" s="56">
        <f t="shared" si="35"/>
        <v>1900</v>
      </c>
      <c r="N680" s="50"/>
    </row>
    <row r="681" spans="6:14">
      <c r="F681" s="11" t="str">
        <f t="shared" si="33"/>
        <v>Accepted</v>
      </c>
      <c r="G681" s="19"/>
      <c r="H681" s="19"/>
      <c r="I681" s="20"/>
      <c r="K681" s="56">
        <f t="shared" si="34"/>
        <v>1</v>
      </c>
      <c r="L681" s="56">
        <f t="shared" si="35"/>
        <v>1900</v>
      </c>
      <c r="N681" s="50"/>
    </row>
    <row r="682" spans="6:14">
      <c r="F682" s="11" t="str">
        <f t="shared" si="33"/>
        <v>Accepted</v>
      </c>
      <c r="G682" s="19"/>
      <c r="H682" s="19"/>
      <c r="I682" s="20"/>
      <c r="K682" s="56">
        <f t="shared" si="34"/>
        <v>1</v>
      </c>
      <c r="L682" s="56">
        <f t="shared" si="35"/>
        <v>1900</v>
      </c>
      <c r="N682" s="50"/>
    </row>
    <row r="683" spans="6:14">
      <c r="F683" s="11" t="str">
        <f t="shared" si="33"/>
        <v>Accepted</v>
      </c>
      <c r="G683" s="19"/>
      <c r="H683" s="19"/>
      <c r="I683" s="20"/>
      <c r="K683" s="56">
        <f t="shared" si="34"/>
        <v>1</v>
      </c>
      <c r="L683" s="56">
        <f t="shared" si="35"/>
        <v>1900</v>
      </c>
      <c r="N683" s="50"/>
    </row>
    <row r="684" spans="6:14">
      <c r="F684" s="11" t="str">
        <f t="shared" si="33"/>
        <v>Accepted</v>
      </c>
      <c r="G684" s="19"/>
      <c r="H684" s="19"/>
      <c r="I684" s="20"/>
      <c r="K684" s="56">
        <f t="shared" si="34"/>
        <v>1</v>
      </c>
      <c r="L684" s="56">
        <f t="shared" si="35"/>
        <v>1900</v>
      </c>
      <c r="N684" s="50"/>
    </row>
    <row r="685" spans="6:14">
      <c r="F685" s="11" t="str">
        <f t="shared" si="33"/>
        <v>Accepted</v>
      </c>
      <c r="G685" s="19"/>
      <c r="H685" s="19"/>
      <c r="I685" s="20"/>
      <c r="K685" s="56">
        <f t="shared" si="34"/>
        <v>1</v>
      </c>
      <c r="L685" s="56">
        <f t="shared" si="35"/>
        <v>1900</v>
      </c>
      <c r="N685" s="50"/>
    </row>
    <row r="686" spans="6:14">
      <c r="F686" s="11" t="str">
        <f t="shared" si="33"/>
        <v>Accepted</v>
      </c>
      <c r="G686" s="19"/>
      <c r="H686" s="19"/>
      <c r="I686" s="20"/>
      <c r="K686" s="56">
        <f t="shared" si="34"/>
        <v>1</v>
      </c>
      <c r="L686" s="56">
        <f t="shared" si="35"/>
        <v>1900</v>
      </c>
      <c r="N686" s="50"/>
    </row>
    <row r="687" spans="6:14">
      <c r="F687" s="11" t="str">
        <f t="shared" si="33"/>
        <v>Accepted</v>
      </c>
      <c r="G687" s="19"/>
      <c r="H687" s="19"/>
      <c r="I687" s="20"/>
      <c r="K687" s="56">
        <f t="shared" si="34"/>
        <v>1</v>
      </c>
      <c r="L687" s="56">
        <f t="shared" si="35"/>
        <v>1900</v>
      </c>
      <c r="N687" s="50"/>
    </row>
    <row r="688" spans="6:14">
      <c r="F688" s="11" t="str">
        <f t="shared" si="33"/>
        <v>Accepted</v>
      </c>
      <c r="G688" s="19"/>
      <c r="H688" s="19"/>
      <c r="I688" s="20"/>
      <c r="K688" s="56">
        <f t="shared" si="34"/>
        <v>1</v>
      </c>
      <c r="L688" s="56">
        <f t="shared" si="35"/>
        <v>1900</v>
      </c>
      <c r="N688" s="50"/>
    </row>
    <row r="689" spans="6:14">
      <c r="F689" s="11" t="str">
        <f t="shared" si="33"/>
        <v>Accepted</v>
      </c>
      <c r="G689" s="19"/>
      <c r="H689" s="19"/>
      <c r="I689" s="20"/>
      <c r="K689" s="56">
        <f t="shared" si="34"/>
        <v>1</v>
      </c>
      <c r="L689" s="56">
        <f t="shared" si="35"/>
        <v>1900</v>
      </c>
      <c r="N689" s="50"/>
    </row>
    <row r="690" spans="6:14">
      <c r="F690" s="11" t="str">
        <f t="shared" si="33"/>
        <v>Accepted</v>
      </c>
      <c r="G690" s="19"/>
      <c r="H690" s="19"/>
      <c r="I690" s="20"/>
      <c r="K690" s="56">
        <f t="shared" si="34"/>
        <v>1</v>
      </c>
      <c r="L690" s="56">
        <f t="shared" si="35"/>
        <v>1900</v>
      </c>
      <c r="N690" s="50"/>
    </row>
    <row r="691" spans="6:14">
      <c r="F691" s="11" t="str">
        <f t="shared" si="33"/>
        <v>Accepted</v>
      </c>
      <c r="G691" s="19"/>
      <c r="H691" s="19"/>
      <c r="I691" s="20"/>
      <c r="K691" s="56">
        <f t="shared" si="34"/>
        <v>1</v>
      </c>
      <c r="L691" s="56">
        <f t="shared" si="35"/>
        <v>1900</v>
      </c>
      <c r="N691" s="50"/>
    </row>
    <row r="692" spans="6:14">
      <c r="F692" s="11" t="str">
        <f t="shared" si="33"/>
        <v>Accepted</v>
      </c>
      <c r="G692" s="19"/>
      <c r="H692" s="19"/>
      <c r="I692" s="20"/>
      <c r="K692" s="56">
        <f t="shared" si="34"/>
        <v>1</v>
      </c>
      <c r="L692" s="56">
        <f t="shared" si="35"/>
        <v>1900</v>
      </c>
      <c r="N692" s="50"/>
    </row>
    <row r="693" spans="6:14">
      <c r="F693" s="11" t="str">
        <f t="shared" si="33"/>
        <v>Accepted</v>
      </c>
      <c r="G693" s="19"/>
      <c r="H693" s="19"/>
      <c r="I693" s="20"/>
      <c r="K693" s="56">
        <f t="shared" si="34"/>
        <v>1</v>
      </c>
      <c r="L693" s="56">
        <f t="shared" si="35"/>
        <v>1900</v>
      </c>
      <c r="N693" s="50"/>
    </row>
    <row r="694" spans="6:14">
      <c r="F694" s="11" t="str">
        <f t="shared" si="33"/>
        <v>Accepted</v>
      </c>
      <c r="G694" s="19"/>
      <c r="H694" s="19"/>
      <c r="I694" s="20"/>
      <c r="K694" s="56">
        <f t="shared" si="34"/>
        <v>1</v>
      </c>
      <c r="L694" s="56">
        <f t="shared" si="35"/>
        <v>1900</v>
      </c>
      <c r="N694" s="50"/>
    </row>
    <row r="695" spans="6:14">
      <c r="F695" s="11" t="str">
        <f t="shared" si="33"/>
        <v>Accepted</v>
      </c>
      <c r="G695" s="19"/>
      <c r="H695" s="19"/>
      <c r="I695" s="20"/>
      <c r="K695" s="56">
        <f t="shared" si="34"/>
        <v>1</v>
      </c>
      <c r="L695" s="56">
        <f t="shared" si="35"/>
        <v>1900</v>
      </c>
      <c r="N695" s="50"/>
    </row>
    <row r="696" spans="6:14">
      <c r="F696" s="11" t="str">
        <f t="shared" si="33"/>
        <v>Accepted</v>
      </c>
      <c r="G696" s="19"/>
      <c r="H696" s="19"/>
      <c r="I696" s="20"/>
      <c r="K696" s="56">
        <f t="shared" si="34"/>
        <v>1</v>
      </c>
      <c r="L696" s="56">
        <f t="shared" si="35"/>
        <v>1900</v>
      </c>
      <c r="N696" s="50"/>
    </row>
    <row r="697" spans="6:14">
      <c r="F697" s="11" t="str">
        <f t="shared" si="33"/>
        <v>Accepted</v>
      </c>
      <c r="G697" s="19"/>
      <c r="H697" s="19"/>
      <c r="I697" s="20"/>
      <c r="K697" s="56">
        <f t="shared" si="34"/>
        <v>1</v>
      </c>
      <c r="L697" s="56">
        <f t="shared" si="35"/>
        <v>1900</v>
      </c>
      <c r="N697" s="50"/>
    </row>
    <row r="698" spans="6:14">
      <c r="F698" s="11" t="str">
        <f t="shared" si="33"/>
        <v>Accepted</v>
      </c>
      <c r="K698" s="56">
        <f t="shared" si="34"/>
        <v>1</v>
      </c>
      <c r="L698" s="56">
        <f t="shared" si="35"/>
        <v>1900</v>
      </c>
    </row>
    <row r="699" spans="6:14">
      <c r="F699" s="11" t="str">
        <f t="shared" ref="F699:F762" si="36">IF((D699-G699)&lt;10,"Accepted","Partial/Rejected")</f>
        <v>Accepted</v>
      </c>
      <c r="K699" s="56">
        <f t="shared" si="34"/>
        <v>1</v>
      </c>
      <c r="L699" s="56">
        <f t="shared" si="35"/>
        <v>1900</v>
      </c>
    </row>
    <row r="700" spans="6:14">
      <c r="F700" s="11" t="str">
        <f t="shared" si="36"/>
        <v>Accepted</v>
      </c>
      <c r="K700" s="56">
        <f t="shared" si="34"/>
        <v>1</v>
      </c>
      <c r="L700" s="56">
        <f t="shared" si="35"/>
        <v>1900</v>
      </c>
    </row>
    <row r="701" spans="6:14">
      <c r="F701" s="11" t="str">
        <f t="shared" si="36"/>
        <v>Accepted</v>
      </c>
      <c r="K701" s="56">
        <f t="shared" si="34"/>
        <v>1</v>
      </c>
      <c r="L701" s="56">
        <f t="shared" si="35"/>
        <v>1900</v>
      </c>
    </row>
    <row r="702" spans="6:14">
      <c r="F702" s="11" t="str">
        <f t="shared" si="36"/>
        <v>Accepted</v>
      </c>
      <c r="K702" s="56">
        <f t="shared" si="34"/>
        <v>1</v>
      </c>
      <c r="L702" s="56">
        <f t="shared" si="35"/>
        <v>1900</v>
      </c>
    </row>
    <row r="703" spans="6:14">
      <c r="F703" s="11" t="str">
        <f t="shared" si="36"/>
        <v>Accepted</v>
      </c>
      <c r="K703" s="56">
        <f t="shared" si="34"/>
        <v>1</v>
      </c>
      <c r="L703" s="56">
        <f t="shared" si="35"/>
        <v>1900</v>
      </c>
    </row>
    <row r="704" spans="6:14">
      <c r="F704" s="11" t="str">
        <f t="shared" si="36"/>
        <v>Accepted</v>
      </c>
      <c r="K704" s="56">
        <f t="shared" si="34"/>
        <v>1</v>
      </c>
      <c r="L704" s="56">
        <f t="shared" si="35"/>
        <v>1900</v>
      </c>
    </row>
    <row r="705" spans="6:12">
      <c r="F705" s="11" t="str">
        <f t="shared" si="36"/>
        <v>Accepted</v>
      </c>
      <c r="K705" s="56">
        <f t="shared" si="34"/>
        <v>1</v>
      </c>
      <c r="L705" s="56">
        <f t="shared" si="35"/>
        <v>1900</v>
      </c>
    </row>
    <row r="706" spans="6:12">
      <c r="F706" s="11" t="str">
        <f t="shared" si="36"/>
        <v>Accepted</v>
      </c>
      <c r="K706" s="56">
        <f t="shared" si="34"/>
        <v>1</v>
      </c>
      <c r="L706" s="56">
        <f t="shared" si="35"/>
        <v>1900</v>
      </c>
    </row>
    <row r="707" spans="6:12">
      <c r="F707" s="11" t="str">
        <f t="shared" si="36"/>
        <v>Accepted</v>
      </c>
      <c r="K707" s="56">
        <f t="shared" si="34"/>
        <v>1</v>
      </c>
      <c r="L707" s="56">
        <f t="shared" si="35"/>
        <v>1900</v>
      </c>
    </row>
    <row r="708" spans="6:12">
      <c r="F708" s="11" t="str">
        <f t="shared" si="36"/>
        <v>Accepted</v>
      </c>
      <c r="K708" s="56">
        <f t="shared" si="34"/>
        <v>1</v>
      </c>
      <c r="L708" s="56">
        <f t="shared" si="35"/>
        <v>1900</v>
      </c>
    </row>
    <row r="709" spans="6:12">
      <c r="F709" s="11" t="str">
        <f t="shared" si="36"/>
        <v>Accepted</v>
      </c>
      <c r="K709" s="56">
        <f t="shared" si="34"/>
        <v>1</v>
      </c>
      <c r="L709" s="56">
        <f t="shared" si="35"/>
        <v>1900</v>
      </c>
    </row>
    <row r="710" spans="6:12">
      <c r="F710" s="11" t="str">
        <f t="shared" si="36"/>
        <v>Accepted</v>
      </c>
      <c r="K710" s="56">
        <f t="shared" si="34"/>
        <v>1</v>
      </c>
      <c r="L710" s="56">
        <f t="shared" si="35"/>
        <v>1900</v>
      </c>
    </row>
    <row r="711" spans="6:12">
      <c r="F711" s="11" t="str">
        <f t="shared" si="36"/>
        <v>Accepted</v>
      </c>
      <c r="K711" s="56">
        <f t="shared" si="34"/>
        <v>1</v>
      </c>
      <c r="L711" s="56">
        <f t="shared" si="35"/>
        <v>1900</v>
      </c>
    </row>
    <row r="712" spans="6:12">
      <c r="F712" s="11" t="str">
        <f t="shared" si="36"/>
        <v>Accepted</v>
      </c>
      <c r="K712" s="56">
        <f t="shared" si="34"/>
        <v>1</v>
      </c>
      <c r="L712" s="56">
        <f t="shared" si="35"/>
        <v>1900</v>
      </c>
    </row>
    <row r="713" spans="6:12">
      <c r="F713" s="11" t="str">
        <f t="shared" si="36"/>
        <v>Accepted</v>
      </c>
      <c r="K713" s="56">
        <f t="shared" si="34"/>
        <v>1</v>
      </c>
      <c r="L713" s="56">
        <f t="shared" si="35"/>
        <v>1900</v>
      </c>
    </row>
    <row r="714" spans="6:12">
      <c r="F714" s="11" t="str">
        <f t="shared" si="36"/>
        <v>Accepted</v>
      </c>
      <c r="K714" s="56">
        <f t="shared" si="34"/>
        <v>1</v>
      </c>
      <c r="L714" s="56">
        <f t="shared" si="35"/>
        <v>1900</v>
      </c>
    </row>
    <row r="715" spans="6:12">
      <c r="F715" s="11" t="str">
        <f t="shared" si="36"/>
        <v>Accepted</v>
      </c>
      <c r="K715" s="56">
        <f t="shared" ref="K715:K778" si="37">MONTH(C715)</f>
        <v>1</v>
      </c>
      <c r="L715" s="56">
        <f t="shared" ref="L715:L778" si="38">YEAR(C715)</f>
        <v>1900</v>
      </c>
    </row>
    <row r="716" spans="6:12">
      <c r="F716" s="11" t="str">
        <f t="shared" si="36"/>
        <v>Accepted</v>
      </c>
      <c r="K716" s="56">
        <f t="shared" si="37"/>
        <v>1</v>
      </c>
      <c r="L716" s="56">
        <f t="shared" si="38"/>
        <v>1900</v>
      </c>
    </row>
    <row r="717" spans="6:12">
      <c r="F717" s="11" t="str">
        <f t="shared" si="36"/>
        <v>Accepted</v>
      </c>
      <c r="K717" s="56">
        <f t="shared" si="37"/>
        <v>1</v>
      </c>
      <c r="L717" s="56">
        <f t="shared" si="38"/>
        <v>1900</v>
      </c>
    </row>
    <row r="718" spans="6:12">
      <c r="F718" s="11" t="str">
        <f t="shared" si="36"/>
        <v>Accepted</v>
      </c>
      <c r="K718" s="56">
        <f t="shared" si="37"/>
        <v>1</v>
      </c>
      <c r="L718" s="56">
        <f t="shared" si="38"/>
        <v>1900</v>
      </c>
    </row>
    <row r="719" spans="6:12">
      <c r="F719" s="11" t="str">
        <f t="shared" si="36"/>
        <v>Accepted</v>
      </c>
      <c r="K719" s="56">
        <f t="shared" si="37"/>
        <v>1</v>
      </c>
      <c r="L719" s="56">
        <f t="shared" si="38"/>
        <v>1900</v>
      </c>
    </row>
    <row r="720" spans="6:12">
      <c r="F720" s="11" t="str">
        <f t="shared" si="36"/>
        <v>Accepted</v>
      </c>
      <c r="K720" s="56">
        <f t="shared" si="37"/>
        <v>1</v>
      </c>
      <c r="L720" s="56">
        <f t="shared" si="38"/>
        <v>1900</v>
      </c>
    </row>
    <row r="721" spans="6:12">
      <c r="F721" s="11" t="str">
        <f t="shared" si="36"/>
        <v>Accepted</v>
      </c>
      <c r="K721" s="56">
        <f t="shared" si="37"/>
        <v>1</v>
      </c>
      <c r="L721" s="56">
        <f t="shared" si="38"/>
        <v>1900</v>
      </c>
    </row>
    <row r="722" spans="6:12">
      <c r="F722" s="11" t="str">
        <f t="shared" si="36"/>
        <v>Accepted</v>
      </c>
      <c r="K722" s="56">
        <f t="shared" si="37"/>
        <v>1</v>
      </c>
      <c r="L722" s="56">
        <f t="shared" si="38"/>
        <v>1900</v>
      </c>
    </row>
    <row r="723" spans="6:12">
      <c r="F723" s="11" t="str">
        <f t="shared" si="36"/>
        <v>Accepted</v>
      </c>
      <c r="K723" s="56">
        <f t="shared" si="37"/>
        <v>1</v>
      </c>
      <c r="L723" s="56">
        <f t="shared" si="38"/>
        <v>1900</v>
      </c>
    </row>
    <row r="724" spans="6:12">
      <c r="F724" s="11" t="str">
        <f t="shared" si="36"/>
        <v>Accepted</v>
      </c>
      <c r="K724" s="56">
        <f t="shared" si="37"/>
        <v>1</v>
      </c>
      <c r="L724" s="56">
        <f t="shared" si="38"/>
        <v>1900</v>
      </c>
    </row>
    <row r="725" spans="6:12">
      <c r="F725" s="11" t="str">
        <f t="shared" si="36"/>
        <v>Accepted</v>
      </c>
      <c r="K725" s="56">
        <f t="shared" si="37"/>
        <v>1</v>
      </c>
      <c r="L725" s="56">
        <f t="shared" si="38"/>
        <v>1900</v>
      </c>
    </row>
    <row r="726" spans="6:12">
      <c r="F726" s="11" t="str">
        <f t="shared" si="36"/>
        <v>Accepted</v>
      </c>
      <c r="K726" s="56">
        <f t="shared" si="37"/>
        <v>1</v>
      </c>
      <c r="L726" s="56">
        <f t="shared" si="38"/>
        <v>1900</v>
      </c>
    </row>
    <row r="727" spans="6:12">
      <c r="F727" s="11" t="str">
        <f t="shared" si="36"/>
        <v>Accepted</v>
      </c>
      <c r="K727" s="56">
        <f t="shared" si="37"/>
        <v>1</v>
      </c>
      <c r="L727" s="56">
        <f t="shared" si="38"/>
        <v>1900</v>
      </c>
    </row>
    <row r="728" spans="6:12">
      <c r="F728" s="11" t="str">
        <f t="shared" si="36"/>
        <v>Accepted</v>
      </c>
      <c r="K728" s="56">
        <f t="shared" si="37"/>
        <v>1</v>
      </c>
      <c r="L728" s="56">
        <f t="shared" si="38"/>
        <v>1900</v>
      </c>
    </row>
    <row r="729" spans="6:12">
      <c r="F729" s="11" t="str">
        <f t="shared" si="36"/>
        <v>Accepted</v>
      </c>
      <c r="K729" s="56">
        <f t="shared" si="37"/>
        <v>1</v>
      </c>
      <c r="L729" s="56">
        <f t="shared" si="38"/>
        <v>1900</v>
      </c>
    </row>
    <row r="730" spans="6:12">
      <c r="F730" s="11" t="str">
        <f t="shared" si="36"/>
        <v>Accepted</v>
      </c>
      <c r="K730" s="56">
        <f t="shared" si="37"/>
        <v>1</v>
      </c>
      <c r="L730" s="56">
        <f t="shared" si="38"/>
        <v>1900</v>
      </c>
    </row>
    <row r="731" spans="6:12">
      <c r="F731" s="11" t="str">
        <f t="shared" si="36"/>
        <v>Accepted</v>
      </c>
      <c r="K731" s="56">
        <f t="shared" si="37"/>
        <v>1</v>
      </c>
      <c r="L731" s="56">
        <f t="shared" si="38"/>
        <v>1900</v>
      </c>
    </row>
    <row r="732" spans="6:12">
      <c r="F732" s="11" t="str">
        <f t="shared" si="36"/>
        <v>Accepted</v>
      </c>
      <c r="K732" s="56">
        <f t="shared" si="37"/>
        <v>1</v>
      </c>
      <c r="L732" s="56">
        <f t="shared" si="38"/>
        <v>1900</v>
      </c>
    </row>
    <row r="733" spans="6:12">
      <c r="F733" s="11" t="str">
        <f t="shared" si="36"/>
        <v>Accepted</v>
      </c>
      <c r="K733" s="56">
        <f t="shared" si="37"/>
        <v>1</v>
      </c>
      <c r="L733" s="56">
        <f t="shared" si="38"/>
        <v>1900</v>
      </c>
    </row>
    <row r="734" spans="6:12">
      <c r="F734" s="11" t="str">
        <f t="shared" si="36"/>
        <v>Accepted</v>
      </c>
      <c r="K734" s="56">
        <f t="shared" si="37"/>
        <v>1</v>
      </c>
      <c r="L734" s="56">
        <f t="shared" si="38"/>
        <v>1900</v>
      </c>
    </row>
    <row r="735" spans="6:12">
      <c r="F735" s="11" t="str">
        <f t="shared" si="36"/>
        <v>Accepted</v>
      </c>
      <c r="K735" s="56">
        <f t="shared" si="37"/>
        <v>1</v>
      </c>
      <c r="L735" s="56">
        <f t="shared" si="38"/>
        <v>1900</v>
      </c>
    </row>
    <row r="736" spans="6:12">
      <c r="F736" s="11" t="str">
        <f t="shared" si="36"/>
        <v>Accepted</v>
      </c>
      <c r="K736" s="56">
        <f t="shared" si="37"/>
        <v>1</v>
      </c>
      <c r="L736" s="56">
        <f t="shared" si="38"/>
        <v>1900</v>
      </c>
    </row>
    <row r="737" spans="6:12">
      <c r="F737" s="11" t="str">
        <f t="shared" si="36"/>
        <v>Accepted</v>
      </c>
      <c r="K737" s="56">
        <f t="shared" si="37"/>
        <v>1</v>
      </c>
      <c r="L737" s="56">
        <f t="shared" si="38"/>
        <v>1900</v>
      </c>
    </row>
    <row r="738" spans="6:12">
      <c r="F738" s="11" t="str">
        <f t="shared" si="36"/>
        <v>Accepted</v>
      </c>
      <c r="K738" s="56">
        <f t="shared" si="37"/>
        <v>1</v>
      </c>
      <c r="L738" s="56">
        <f t="shared" si="38"/>
        <v>1900</v>
      </c>
    </row>
    <row r="739" spans="6:12">
      <c r="F739" s="11" t="str">
        <f t="shared" si="36"/>
        <v>Accepted</v>
      </c>
      <c r="K739" s="56">
        <f t="shared" si="37"/>
        <v>1</v>
      </c>
      <c r="L739" s="56">
        <f t="shared" si="38"/>
        <v>1900</v>
      </c>
    </row>
    <row r="740" spans="6:12">
      <c r="F740" s="11" t="str">
        <f t="shared" si="36"/>
        <v>Accepted</v>
      </c>
      <c r="K740" s="56">
        <f t="shared" si="37"/>
        <v>1</v>
      </c>
      <c r="L740" s="56">
        <f t="shared" si="38"/>
        <v>1900</v>
      </c>
    </row>
    <row r="741" spans="6:12">
      <c r="F741" s="11" t="str">
        <f t="shared" si="36"/>
        <v>Accepted</v>
      </c>
      <c r="K741" s="56">
        <f t="shared" si="37"/>
        <v>1</v>
      </c>
      <c r="L741" s="56">
        <f t="shared" si="38"/>
        <v>1900</v>
      </c>
    </row>
    <row r="742" spans="6:12">
      <c r="F742" s="11" t="str">
        <f t="shared" si="36"/>
        <v>Accepted</v>
      </c>
      <c r="K742" s="56">
        <f t="shared" si="37"/>
        <v>1</v>
      </c>
      <c r="L742" s="56">
        <f t="shared" si="38"/>
        <v>1900</v>
      </c>
    </row>
    <row r="743" spans="6:12">
      <c r="F743" s="11" t="str">
        <f t="shared" si="36"/>
        <v>Accepted</v>
      </c>
      <c r="K743" s="56">
        <f t="shared" si="37"/>
        <v>1</v>
      </c>
      <c r="L743" s="56">
        <f t="shared" si="38"/>
        <v>1900</v>
      </c>
    </row>
    <row r="744" spans="6:12">
      <c r="F744" s="11" t="str">
        <f t="shared" si="36"/>
        <v>Accepted</v>
      </c>
      <c r="K744" s="56">
        <f t="shared" si="37"/>
        <v>1</v>
      </c>
      <c r="L744" s="56">
        <f t="shared" si="38"/>
        <v>1900</v>
      </c>
    </row>
    <row r="745" spans="6:12">
      <c r="F745" s="11" t="str">
        <f t="shared" si="36"/>
        <v>Accepted</v>
      </c>
      <c r="K745" s="56">
        <f t="shared" si="37"/>
        <v>1</v>
      </c>
      <c r="L745" s="56">
        <f t="shared" si="38"/>
        <v>1900</v>
      </c>
    </row>
    <row r="746" spans="6:12">
      <c r="F746" s="11" t="str">
        <f t="shared" si="36"/>
        <v>Accepted</v>
      </c>
      <c r="K746" s="56">
        <f t="shared" si="37"/>
        <v>1</v>
      </c>
      <c r="L746" s="56">
        <f t="shared" si="38"/>
        <v>1900</v>
      </c>
    </row>
    <row r="747" spans="6:12">
      <c r="F747" s="11" t="str">
        <f t="shared" si="36"/>
        <v>Accepted</v>
      </c>
      <c r="K747" s="56">
        <f t="shared" si="37"/>
        <v>1</v>
      </c>
      <c r="L747" s="56">
        <f t="shared" si="38"/>
        <v>1900</v>
      </c>
    </row>
    <row r="748" spans="6:12">
      <c r="F748" s="11" t="str">
        <f t="shared" si="36"/>
        <v>Accepted</v>
      </c>
      <c r="K748" s="56">
        <f t="shared" si="37"/>
        <v>1</v>
      </c>
      <c r="L748" s="56">
        <f t="shared" si="38"/>
        <v>1900</v>
      </c>
    </row>
    <row r="749" spans="6:12">
      <c r="F749" s="11" t="str">
        <f t="shared" si="36"/>
        <v>Accepted</v>
      </c>
      <c r="K749" s="56">
        <f t="shared" si="37"/>
        <v>1</v>
      </c>
      <c r="L749" s="56">
        <f t="shared" si="38"/>
        <v>1900</v>
      </c>
    </row>
    <row r="750" spans="6:12">
      <c r="F750" s="11" t="str">
        <f t="shared" si="36"/>
        <v>Accepted</v>
      </c>
      <c r="K750" s="56">
        <f t="shared" si="37"/>
        <v>1</v>
      </c>
      <c r="L750" s="56">
        <f t="shared" si="38"/>
        <v>1900</v>
      </c>
    </row>
    <row r="751" spans="6:12">
      <c r="F751" s="11" t="str">
        <f t="shared" si="36"/>
        <v>Accepted</v>
      </c>
      <c r="K751" s="56">
        <f t="shared" si="37"/>
        <v>1</v>
      </c>
      <c r="L751" s="56">
        <f t="shared" si="38"/>
        <v>1900</v>
      </c>
    </row>
    <row r="752" spans="6:12">
      <c r="F752" s="11" t="str">
        <f t="shared" si="36"/>
        <v>Accepted</v>
      </c>
      <c r="K752" s="56">
        <f t="shared" si="37"/>
        <v>1</v>
      </c>
      <c r="L752" s="56">
        <f t="shared" si="38"/>
        <v>1900</v>
      </c>
    </row>
    <row r="753" spans="6:12">
      <c r="F753" s="11" t="str">
        <f t="shared" si="36"/>
        <v>Accepted</v>
      </c>
      <c r="K753" s="56">
        <f t="shared" si="37"/>
        <v>1</v>
      </c>
      <c r="L753" s="56">
        <f t="shared" si="38"/>
        <v>1900</v>
      </c>
    </row>
    <row r="754" spans="6:12">
      <c r="F754" s="11" t="str">
        <f t="shared" si="36"/>
        <v>Accepted</v>
      </c>
      <c r="K754" s="56">
        <f t="shared" si="37"/>
        <v>1</v>
      </c>
      <c r="L754" s="56">
        <f t="shared" si="38"/>
        <v>1900</v>
      </c>
    </row>
    <row r="755" spans="6:12">
      <c r="F755" s="11" t="str">
        <f t="shared" si="36"/>
        <v>Accepted</v>
      </c>
      <c r="K755" s="56">
        <f t="shared" si="37"/>
        <v>1</v>
      </c>
      <c r="L755" s="56">
        <f t="shared" si="38"/>
        <v>1900</v>
      </c>
    </row>
    <row r="756" spans="6:12">
      <c r="F756" s="11" t="str">
        <f t="shared" si="36"/>
        <v>Accepted</v>
      </c>
      <c r="K756" s="56">
        <f t="shared" si="37"/>
        <v>1</v>
      </c>
      <c r="L756" s="56">
        <f t="shared" si="38"/>
        <v>1900</v>
      </c>
    </row>
    <row r="757" spans="6:12">
      <c r="F757" s="11" t="str">
        <f t="shared" si="36"/>
        <v>Accepted</v>
      </c>
      <c r="K757" s="56">
        <f t="shared" si="37"/>
        <v>1</v>
      </c>
      <c r="L757" s="56">
        <f t="shared" si="38"/>
        <v>1900</v>
      </c>
    </row>
    <row r="758" spans="6:12">
      <c r="F758" s="11" t="str">
        <f t="shared" si="36"/>
        <v>Accepted</v>
      </c>
      <c r="K758" s="56">
        <f t="shared" si="37"/>
        <v>1</v>
      </c>
      <c r="L758" s="56">
        <f t="shared" si="38"/>
        <v>1900</v>
      </c>
    </row>
    <row r="759" spans="6:12">
      <c r="F759" s="11" t="str">
        <f t="shared" si="36"/>
        <v>Accepted</v>
      </c>
      <c r="K759" s="56">
        <f t="shared" si="37"/>
        <v>1</v>
      </c>
      <c r="L759" s="56">
        <f t="shared" si="38"/>
        <v>1900</v>
      </c>
    </row>
    <row r="760" spans="6:12">
      <c r="F760" s="11" t="str">
        <f t="shared" si="36"/>
        <v>Accepted</v>
      </c>
      <c r="K760" s="56">
        <f t="shared" si="37"/>
        <v>1</v>
      </c>
      <c r="L760" s="56">
        <f t="shared" si="38"/>
        <v>1900</v>
      </c>
    </row>
    <row r="761" spans="6:12">
      <c r="F761" s="11" t="str">
        <f t="shared" si="36"/>
        <v>Accepted</v>
      </c>
      <c r="K761" s="56">
        <f t="shared" si="37"/>
        <v>1</v>
      </c>
      <c r="L761" s="56">
        <f t="shared" si="38"/>
        <v>1900</v>
      </c>
    </row>
    <row r="762" spans="6:12">
      <c r="F762" s="11" t="str">
        <f t="shared" si="36"/>
        <v>Accepted</v>
      </c>
      <c r="K762" s="56">
        <f t="shared" si="37"/>
        <v>1</v>
      </c>
      <c r="L762" s="56">
        <f t="shared" si="38"/>
        <v>1900</v>
      </c>
    </row>
    <row r="763" spans="6:12">
      <c r="F763" s="11" t="str">
        <f t="shared" ref="F763:F826" si="39">IF((D763-G763)&lt;10,"Accepted","Partial/Rejected")</f>
        <v>Accepted</v>
      </c>
      <c r="K763" s="56">
        <f t="shared" si="37"/>
        <v>1</v>
      </c>
      <c r="L763" s="56">
        <f t="shared" si="38"/>
        <v>1900</v>
      </c>
    </row>
    <row r="764" spans="6:12">
      <c r="F764" s="11" t="str">
        <f t="shared" si="39"/>
        <v>Accepted</v>
      </c>
      <c r="K764" s="56">
        <f t="shared" si="37"/>
        <v>1</v>
      </c>
      <c r="L764" s="56">
        <f t="shared" si="38"/>
        <v>1900</v>
      </c>
    </row>
    <row r="765" spans="6:12">
      <c r="F765" s="11" t="str">
        <f t="shared" si="39"/>
        <v>Accepted</v>
      </c>
      <c r="K765" s="56">
        <f t="shared" si="37"/>
        <v>1</v>
      </c>
      <c r="L765" s="56">
        <f t="shared" si="38"/>
        <v>1900</v>
      </c>
    </row>
    <row r="766" spans="6:12">
      <c r="F766" s="11" t="str">
        <f t="shared" si="39"/>
        <v>Accepted</v>
      </c>
      <c r="K766" s="56">
        <f t="shared" si="37"/>
        <v>1</v>
      </c>
      <c r="L766" s="56">
        <f t="shared" si="38"/>
        <v>1900</v>
      </c>
    </row>
    <row r="767" spans="6:12">
      <c r="F767" s="11" t="str">
        <f t="shared" si="39"/>
        <v>Accepted</v>
      </c>
      <c r="K767" s="56">
        <f t="shared" si="37"/>
        <v>1</v>
      </c>
      <c r="L767" s="56">
        <f t="shared" si="38"/>
        <v>1900</v>
      </c>
    </row>
    <row r="768" spans="6:12">
      <c r="F768" s="11" t="str">
        <f t="shared" si="39"/>
        <v>Accepted</v>
      </c>
      <c r="K768" s="56">
        <f t="shared" si="37"/>
        <v>1</v>
      </c>
      <c r="L768" s="56">
        <f t="shared" si="38"/>
        <v>1900</v>
      </c>
    </row>
    <row r="769" spans="6:12">
      <c r="F769" s="11" t="str">
        <f t="shared" si="39"/>
        <v>Accepted</v>
      </c>
      <c r="K769" s="56">
        <f t="shared" si="37"/>
        <v>1</v>
      </c>
      <c r="L769" s="56">
        <f t="shared" si="38"/>
        <v>1900</v>
      </c>
    </row>
    <row r="770" spans="6:12">
      <c r="F770" s="11" t="str">
        <f t="shared" si="39"/>
        <v>Accepted</v>
      </c>
      <c r="K770" s="56">
        <f t="shared" si="37"/>
        <v>1</v>
      </c>
      <c r="L770" s="56">
        <f t="shared" si="38"/>
        <v>1900</v>
      </c>
    </row>
    <row r="771" spans="6:12">
      <c r="F771" s="11" t="str">
        <f t="shared" si="39"/>
        <v>Accepted</v>
      </c>
      <c r="K771" s="56">
        <f t="shared" si="37"/>
        <v>1</v>
      </c>
      <c r="L771" s="56">
        <f t="shared" si="38"/>
        <v>1900</v>
      </c>
    </row>
    <row r="772" spans="6:12">
      <c r="F772" s="11" t="str">
        <f t="shared" si="39"/>
        <v>Accepted</v>
      </c>
      <c r="K772" s="56">
        <f t="shared" si="37"/>
        <v>1</v>
      </c>
      <c r="L772" s="56">
        <f t="shared" si="38"/>
        <v>1900</v>
      </c>
    </row>
    <row r="773" spans="6:12">
      <c r="F773" s="11" t="str">
        <f t="shared" si="39"/>
        <v>Accepted</v>
      </c>
      <c r="K773" s="56">
        <f t="shared" si="37"/>
        <v>1</v>
      </c>
      <c r="L773" s="56">
        <f t="shared" si="38"/>
        <v>1900</v>
      </c>
    </row>
    <row r="774" spans="6:12">
      <c r="F774" s="11" t="str">
        <f t="shared" si="39"/>
        <v>Accepted</v>
      </c>
      <c r="K774" s="56">
        <f t="shared" si="37"/>
        <v>1</v>
      </c>
      <c r="L774" s="56">
        <f t="shared" si="38"/>
        <v>1900</v>
      </c>
    </row>
    <row r="775" spans="6:12">
      <c r="F775" s="11" t="str">
        <f t="shared" si="39"/>
        <v>Accepted</v>
      </c>
      <c r="K775" s="56">
        <f t="shared" si="37"/>
        <v>1</v>
      </c>
      <c r="L775" s="56">
        <f t="shared" si="38"/>
        <v>1900</v>
      </c>
    </row>
    <row r="776" spans="6:12">
      <c r="F776" s="11" t="str">
        <f t="shared" si="39"/>
        <v>Accepted</v>
      </c>
      <c r="K776" s="56">
        <f t="shared" si="37"/>
        <v>1</v>
      </c>
      <c r="L776" s="56">
        <f t="shared" si="38"/>
        <v>1900</v>
      </c>
    </row>
    <row r="777" spans="6:12">
      <c r="F777" s="11" t="str">
        <f t="shared" si="39"/>
        <v>Accepted</v>
      </c>
      <c r="K777" s="56">
        <f t="shared" si="37"/>
        <v>1</v>
      </c>
      <c r="L777" s="56">
        <f t="shared" si="38"/>
        <v>1900</v>
      </c>
    </row>
    <row r="778" spans="6:12">
      <c r="F778" s="11" t="str">
        <f t="shared" si="39"/>
        <v>Accepted</v>
      </c>
      <c r="K778" s="56">
        <f t="shared" si="37"/>
        <v>1</v>
      </c>
      <c r="L778" s="56">
        <f t="shared" si="38"/>
        <v>1900</v>
      </c>
    </row>
    <row r="779" spans="6:12">
      <c r="F779" s="11" t="str">
        <f t="shared" si="39"/>
        <v>Accepted</v>
      </c>
      <c r="K779" s="56">
        <f t="shared" ref="K779:K842" si="40">MONTH(C779)</f>
        <v>1</v>
      </c>
      <c r="L779" s="56">
        <f t="shared" ref="L779:L842" si="41">YEAR(C779)</f>
        <v>1900</v>
      </c>
    </row>
    <row r="780" spans="6:12">
      <c r="F780" s="11" t="str">
        <f t="shared" si="39"/>
        <v>Accepted</v>
      </c>
      <c r="K780" s="56">
        <f t="shared" si="40"/>
        <v>1</v>
      </c>
      <c r="L780" s="56">
        <f t="shared" si="41"/>
        <v>1900</v>
      </c>
    </row>
    <row r="781" spans="6:12">
      <c r="F781" s="11" t="str">
        <f t="shared" si="39"/>
        <v>Accepted</v>
      </c>
      <c r="K781" s="56">
        <f t="shared" si="40"/>
        <v>1</v>
      </c>
      <c r="L781" s="56">
        <f t="shared" si="41"/>
        <v>1900</v>
      </c>
    </row>
    <row r="782" spans="6:12">
      <c r="F782" s="11" t="str">
        <f t="shared" si="39"/>
        <v>Accepted</v>
      </c>
      <c r="K782" s="56">
        <f t="shared" si="40"/>
        <v>1</v>
      </c>
      <c r="L782" s="56">
        <f t="shared" si="41"/>
        <v>1900</v>
      </c>
    </row>
    <row r="783" spans="6:12">
      <c r="F783" s="11" t="str">
        <f t="shared" si="39"/>
        <v>Accepted</v>
      </c>
      <c r="K783" s="56">
        <f t="shared" si="40"/>
        <v>1</v>
      </c>
      <c r="L783" s="56">
        <f t="shared" si="41"/>
        <v>1900</v>
      </c>
    </row>
    <row r="784" spans="6:12">
      <c r="F784" s="11" t="str">
        <f t="shared" si="39"/>
        <v>Accepted</v>
      </c>
      <c r="K784" s="56">
        <f t="shared" si="40"/>
        <v>1</v>
      </c>
      <c r="L784" s="56">
        <f t="shared" si="41"/>
        <v>1900</v>
      </c>
    </row>
    <row r="785" spans="6:12">
      <c r="F785" s="11" t="str">
        <f t="shared" si="39"/>
        <v>Accepted</v>
      </c>
      <c r="K785" s="56">
        <f t="shared" si="40"/>
        <v>1</v>
      </c>
      <c r="L785" s="56">
        <f t="shared" si="41"/>
        <v>1900</v>
      </c>
    </row>
    <row r="786" spans="6:12">
      <c r="F786" s="11" t="str">
        <f t="shared" si="39"/>
        <v>Accepted</v>
      </c>
      <c r="K786" s="56">
        <f t="shared" si="40"/>
        <v>1</v>
      </c>
      <c r="L786" s="56">
        <f t="shared" si="41"/>
        <v>1900</v>
      </c>
    </row>
    <row r="787" spans="6:12">
      <c r="F787" s="11" t="str">
        <f t="shared" si="39"/>
        <v>Accepted</v>
      </c>
      <c r="K787" s="56">
        <f t="shared" si="40"/>
        <v>1</v>
      </c>
      <c r="L787" s="56">
        <f t="shared" si="41"/>
        <v>1900</v>
      </c>
    </row>
    <row r="788" spans="6:12">
      <c r="F788" s="11" t="str">
        <f t="shared" si="39"/>
        <v>Accepted</v>
      </c>
      <c r="K788" s="56">
        <f t="shared" si="40"/>
        <v>1</v>
      </c>
      <c r="L788" s="56">
        <f t="shared" si="41"/>
        <v>1900</v>
      </c>
    </row>
    <row r="789" spans="6:12">
      <c r="F789" s="11" t="str">
        <f t="shared" si="39"/>
        <v>Accepted</v>
      </c>
      <c r="K789" s="56">
        <f t="shared" si="40"/>
        <v>1</v>
      </c>
      <c r="L789" s="56">
        <f t="shared" si="41"/>
        <v>1900</v>
      </c>
    </row>
    <row r="790" spans="6:12">
      <c r="F790" s="11" t="str">
        <f t="shared" si="39"/>
        <v>Accepted</v>
      </c>
      <c r="K790" s="56">
        <f t="shared" si="40"/>
        <v>1</v>
      </c>
      <c r="L790" s="56">
        <f t="shared" si="41"/>
        <v>1900</v>
      </c>
    </row>
    <row r="791" spans="6:12">
      <c r="F791" s="11" t="str">
        <f t="shared" si="39"/>
        <v>Accepted</v>
      </c>
      <c r="K791" s="56">
        <f t="shared" si="40"/>
        <v>1</v>
      </c>
      <c r="L791" s="56">
        <f t="shared" si="41"/>
        <v>1900</v>
      </c>
    </row>
    <row r="792" spans="6:12">
      <c r="F792" s="11" t="str">
        <f t="shared" si="39"/>
        <v>Accepted</v>
      </c>
      <c r="K792" s="56">
        <f t="shared" si="40"/>
        <v>1</v>
      </c>
      <c r="L792" s="56">
        <f t="shared" si="41"/>
        <v>1900</v>
      </c>
    </row>
    <row r="793" spans="6:12">
      <c r="F793" s="11" t="str">
        <f t="shared" si="39"/>
        <v>Accepted</v>
      </c>
      <c r="K793" s="56">
        <f t="shared" si="40"/>
        <v>1</v>
      </c>
      <c r="L793" s="56">
        <f t="shared" si="41"/>
        <v>1900</v>
      </c>
    </row>
    <row r="794" spans="6:12">
      <c r="F794" s="11" t="str">
        <f t="shared" si="39"/>
        <v>Accepted</v>
      </c>
      <c r="K794" s="56">
        <f t="shared" si="40"/>
        <v>1</v>
      </c>
      <c r="L794" s="56">
        <f t="shared" si="41"/>
        <v>1900</v>
      </c>
    </row>
    <row r="795" spans="6:12">
      <c r="F795" s="11" t="str">
        <f t="shared" si="39"/>
        <v>Accepted</v>
      </c>
      <c r="K795" s="56">
        <f t="shared" si="40"/>
        <v>1</v>
      </c>
      <c r="L795" s="56">
        <f t="shared" si="41"/>
        <v>1900</v>
      </c>
    </row>
    <row r="796" spans="6:12">
      <c r="F796" s="11" t="str">
        <f t="shared" si="39"/>
        <v>Accepted</v>
      </c>
      <c r="K796" s="56">
        <f t="shared" si="40"/>
        <v>1</v>
      </c>
      <c r="L796" s="56">
        <f t="shared" si="41"/>
        <v>1900</v>
      </c>
    </row>
    <row r="797" spans="6:12">
      <c r="F797" s="11" t="str">
        <f t="shared" si="39"/>
        <v>Accepted</v>
      </c>
      <c r="K797" s="56">
        <f t="shared" si="40"/>
        <v>1</v>
      </c>
      <c r="L797" s="56">
        <f t="shared" si="41"/>
        <v>1900</v>
      </c>
    </row>
    <row r="798" spans="6:12">
      <c r="F798" s="11" t="str">
        <f t="shared" si="39"/>
        <v>Accepted</v>
      </c>
      <c r="K798" s="56">
        <f t="shared" si="40"/>
        <v>1</v>
      </c>
      <c r="L798" s="56">
        <f t="shared" si="41"/>
        <v>1900</v>
      </c>
    </row>
    <row r="799" spans="6:12">
      <c r="F799" s="11" t="str">
        <f t="shared" si="39"/>
        <v>Accepted</v>
      </c>
      <c r="K799" s="56">
        <f t="shared" si="40"/>
        <v>1</v>
      </c>
      <c r="L799" s="56">
        <f t="shared" si="41"/>
        <v>1900</v>
      </c>
    </row>
    <row r="800" spans="6:12">
      <c r="F800" s="11" t="str">
        <f t="shared" si="39"/>
        <v>Accepted</v>
      </c>
      <c r="K800" s="56">
        <f t="shared" si="40"/>
        <v>1</v>
      </c>
      <c r="L800" s="56">
        <f t="shared" si="41"/>
        <v>1900</v>
      </c>
    </row>
    <row r="801" spans="6:12">
      <c r="F801" s="11" t="str">
        <f t="shared" si="39"/>
        <v>Accepted</v>
      </c>
      <c r="K801" s="56">
        <f t="shared" si="40"/>
        <v>1</v>
      </c>
      <c r="L801" s="56">
        <f t="shared" si="41"/>
        <v>1900</v>
      </c>
    </row>
    <row r="802" spans="6:12">
      <c r="F802" s="11" t="str">
        <f t="shared" si="39"/>
        <v>Accepted</v>
      </c>
      <c r="K802" s="56">
        <f t="shared" si="40"/>
        <v>1</v>
      </c>
      <c r="L802" s="56">
        <f t="shared" si="41"/>
        <v>1900</v>
      </c>
    </row>
    <row r="803" spans="6:12">
      <c r="F803" s="11" t="str">
        <f t="shared" si="39"/>
        <v>Accepted</v>
      </c>
      <c r="K803" s="56">
        <f t="shared" si="40"/>
        <v>1</v>
      </c>
      <c r="L803" s="56">
        <f t="shared" si="41"/>
        <v>1900</v>
      </c>
    </row>
    <row r="804" spans="6:12">
      <c r="F804" s="11" t="str">
        <f t="shared" si="39"/>
        <v>Accepted</v>
      </c>
      <c r="K804" s="56">
        <f t="shared" si="40"/>
        <v>1</v>
      </c>
      <c r="L804" s="56">
        <f t="shared" si="41"/>
        <v>1900</v>
      </c>
    </row>
    <row r="805" spans="6:12">
      <c r="F805" s="11" t="str">
        <f t="shared" si="39"/>
        <v>Accepted</v>
      </c>
      <c r="K805" s="56">
        <f t="shared" si="40"/>
        <v>1</v>
      </c>
      <c r="L805" s="56">
        <f t="shared" si="41"/>
        <v>1900</v>
      </c>
    </row>
    <row r="806" spans="6:12">
      <c r="F806" s="11" t="str">
        <f t="shared" si="39"/>
        <v>Accepted</v>
      </c>
      <c r="K806" s="56">
        <f t="shared" si="40"/>
        <v>1</v>
      </c>
      <c r="L806" s="56">
        <f t="shared" si="41"/>
        <v>1900</v>
      </c>
    </row>
    <row r="807" spans="6:12">
      <c r="F807" s="11" t="str">
        <f t="shared" si="39"/>
        <v>Accepted</v>
      </c>
      <c r="K807" s="56">
        <f t="shared" si="40"/>
        <v>1</v>
      </c>
      <c r="L807" s="56">
        <f t="shared" si="41"/>
        <v>1900</v>
      </c>
    </row>
    <row r="808" spans="6:12">
      <c r="F808" s="11" t="str">
        <f t="shared" si="39"/>
        <v>Accepted</v>
      </c>
      <c r="K808" s="56">
        <f t="shared" si="40"/>
        <v>1</v>
      </c>
      <c r="L808" s="56">
        <f t="shared" si="41"/>
        <v>1900</v>
      </c>
    </row>
    <row r="809" spans="6:12">
      <c r="F809" s="11" t="str">
        <f t="shared" si="39"/>
        <v>Accepted</v>
      </c>
      <c r="K809" s="56">
        <f t="shared" si="40"/>
        <v>1</v>
      </c>
      <c r="L809" s="56">
        <f t="shared" si="41"/>
        <v>1900</v>
      </c>
    </row>
    <row r="810" spans="6:12">
      <c r="F810" s="11" t="str">
        <f t="shared" si="39"/>
        <v>Accepted</v>
      </c>
      <c r="K810" s="56">
        <f t="shared" si="40"/>
        <v>1</v>
      </c>
      <c r="L810" s="56">
        <f t="shared" si="41"/>
        <v>1900</v>
      </c>
    </row>
    <row r="811" spans="6:12">
      <c r="F811" s="11" t="str">
        <f t="shared" si="39"/>
        <v>Accepted</v>
      </c>
      <c r="K811" s="56">
        <f t="shared" si="40"/>
        <v>1</v>
      </c>
      <c r="L811" s="56">
        <f t="shared" si="41"/>
        <v>1900</v>
      </c>
    </row>
    <row r="812" spans="6:12">
      <c r="F812" s="11" t="str">
        <f t="shared" si="39"/>
        <v>Accepted</v>
      </c>
      <c r="K812" s="56">
        <f t="shared" si="40"/>
        <v>1</v>
      </c>
      <c r="L812" s="56">
        <f t="shared" si="41"/>
        <v>1900</v>
      </c>
    </row>
    <row r="813" spans="6:12">
      <c r="F813" s="11" t="str">
        <f t="shared" si="39"/>
        <v>Accepted</v>
      </c>
      <c r="K813" s="56">
        <f t="shared" si="40"/>
        <v>1</v>
      </c>
      <c r="L813" s="56">
        <f t="shared" si="41"/>
        <v>1900</v>
      </c>
    </row>
    <row r="814" spans="6:12">
      <c r="F814" s="11" t="str">
        <f t="shared" si="39"/>
        <v>Accepted</v>
      </c>
      <c r="K814" s="56">
        <f t="shared" si="40"/>
        <v>1</v>
      </c>
      <c r="L814" s="56">
        <f t="shared" si="41"/>
        <v>1900</v>
      </c>
    </row>
    <row r="815" spans="6:12">
      <c r="F815" s="11" t="str">
        <f t="shared" si="39"/>
        <v>Accepted</v>
      </c>
      <c r="K815" s="56">
        <f t="shared" si="40"/>
        <v>1</v>
      </c>
      <c r="L815" s="56">
        <f t="shared" si="41"/>
        <v>1900</v>
      </c>
    </row>
    <row r="816" spans="6:12">
      <c r="F816" s="11" t="str">
        <f t="shared" si="39"/>
        <v>Accepted</v>
      </c>
      <c r="K816" s="56">
        <f t="shared" si="40"/>
        <v>1</v>
      </c>
      <c r="L816" s="56">
        <f t="shared" si="41"/>
        <v>1900</v>
      </c>
    </row>
    <row r="817" spans="6:12">
      <c r="F817" s="11" t="str">
        <f t="shared" si="39"/>
        <v>Accepted</v>
      </c>
      <c r="K817" s="56">
        <f t="shared" si="40"/>
        <v>1</v>
      </c>
      <c r="L817" s="56">
        <f t="shared" si="41"/>
        <v>1900</v>
      </c>
    </row>
    <row r="818" spans="6:12">
      <c r="F818" s="11" t="str">
        <f t="shared" si="39"/>
        <v>Accepted</v>
      </c>
      <c r="K818" s="56">
        <f t="shared" si="40"/>
        <v>1</v>
      </c>
      <c r="L818" s="56">
        <f t="shared" si="41"/>
        <v>1900</v>
      </c>
    </row>
    <row r="819" spans="6:12">
      <c r="F819" s="11" t="str">
        <f t="shared" si="39"/>
        <v>Accepted</v>
      </c>
      <c r="K819" s="56">
        <f t="shared" si="40"/>
        <v>1</v>
      </c>
      <c r="L819" s="56">
        <f t="shared" si="41"/>
        <v>1900</v>
      </c>
    </row>
    <row r="820" spans="6:12">
      <c r="F820" s="11" t="str">
        <f t="shared" si="39"/>
        <v>Accepted</v>
      </c>
      <c r="K820" s="56">
        <f t="shared" si="40"/>
        <v>1</v>
      </c>
      <c r="L820" s="56">
        <f t="shared" si="41"/>
        <v>1900</v>
      </c>
    </row>
    <row r="821" spans="6:12">
      <c r="F821" s="11" t="str">
        <f t="shared" si="39"/>
        <v>Accepted</v>
      </c>
      <c r="K821" s="56">
        <f t="shared" si="40"/>
        <v>1</v>
      </c>
      <c r="L821" s="56">
        <f t="shared" si="41"/>
        <v>1900</v>
      </c>
    </row>
    <row r="822" spans="6:12">
      <c r="F822" s="11" t="str">
        <f t="shared" si="39"/>
        <v>Accepted</v>
      </c>
      <c r="K822" s="56">
        <f t="shared" si="40"/>
        <v>1</v>
      </c>
      <c r="L822" s="56">
        <f t="shared" si="41"/>
        <v>1900</v>
      </c>
    </row>
    <row r="823" spans="6:12">
      <c r="F823" s="11" t="str">
        <f t="shared" si="39"/>
        <v>Accepted</v>
      </c>
      <c r="K823" s="56">
        <f t="shared" si="40"/>
        <v>1</v>
      </c>
      <c r="L823" s="56">
        <f t="shared" si="41"/>
        <v>1900</v>
      </c>
    </row>
    <row r="824" spans="6:12">
      <c r="F824" s="11" t="str">
        <f t="shared" si="39"/>
        <v>Accepted</v>
      </c>
      <c r="K824" s="56">
        <f t="shared" si="40"/>
        <v>1</v>
      </c>
      <c r="L824" s="56">
        <f t="shared" si="41"/>
        <v>1900</v>
      </c>
    </row>
    <row r="825" spans="6:12">
      <c r="F825" s="11" t="str">
        <f t="shared" si="39"/>
        <v>Accepted</v>
      </c>
      <c r="K825" s="56">
        <f t="shared" si="40"/>
        <v>1</v>
      </c>
      <c r="L825" s="56">
        <f t="shared" si="41"/>
        <v>1900</v>
      </c>
    </row>
    <row r="826" spans="6:12">
      <c r="F826" s="11" t="str">
        <f t="shared" si="39"/>
        <v>Accepted</v>
      </c>
      <c r="K826" s="56">
        <f t="shared" si="40"/>
        <v>1</v>
      </c>
      <c r="L826" s="56">
        <f t="shared" si="41"/>
        <v>1900</v>
      </c>
    </row>
    <row r="827" spans="6:12">
      <c r="F827" s="11" t="str">
        <f t="shared" ref="F827:F890" si="42">IF((D827-G827)&lt;10,"Accepted","Partial/Rejected")</f>
        <v>Accepted</v>
      </c>
      <c r="K827" s="56">
        <f t="shared" si="40"/>
        <v>1</v>
      </c>
      <c r="L827" s="56">
        <f t="shared" si="41"/>
        <v>1900</v>
      </c>
    </row>
    <row r="828" spans="6:12">
      <c r="F828" s="11" t="str">
        <f t="shared" si="42"/>
        <v>Accepted</v>
      </c>
      <c r="K828" s="56">
        <f t="shared" si="40"/>
        <v>1</v>
      </c>
      <c r="L828" s="56">
        <f t="shared" si="41"/>
        <v>1900</v>
      </c>
    </row>
    <row r="829" spans="6:12">
      <c r="F829" s="11" t="str">
        <f t="shared" si="42"/>
        <v>Accepted</v>
      </c>
      <c r="K829" s="56">
        <f t="shared" si="40"/>
        <v>1</v>
      </c>
      <c r="L829" s="56">
        <f t="shared" si="41"/>
        <v>1900</v>
      </c>
    </row>
    <row r="830" spans="6:12">
      <c r="F830" s="11" t="str">
        <f t="shared" si="42"/>
        <v>Accepted</v>
      </c>
      <c r="K830" s="56">
        <f t="shared" si="40"/>
        <v>1</v>
      </c>
      <c r="L830" s="56">
        <f t="shared" si="41"/>
        <v>1900</v>
      </c>
    </row>
    <row r="831" spans="6:12">
      <c r="F831" s="11" t="str">
        <f t="shared" si="42"/>
        <v>Accepted</v>
      </c>
      <c r="K831" s="56">
        <f t="shared" si="40"/>
        <v>1</v>
      </c>
      <c r="L831" s="56">
        <f t="shared" si="41"/>
        <v>1900</v>
      </c>
    </row>
    <row r="832" spans="6:12">
      <c r="F832" s="11" t="str">
        <f t="shared" si="42"/>
        <v>Accepted</v>
      </c>
      <c r="K832" s="56">
        <f t="shared" si="40"/>
        <v>1</v>
      </c>
      <c r="L832" s="56">
        <f t="shared" si="41"/>
        <v>1900</v>
      </c>
    </row>
    <row r="833" spans="6:12">
      <c r="F833" s="11" t="str">
        <f t="shared" si="42"/>
        <v>Accepted</v>
      </c>
      <c r="K833" s="56">
        <f t="shared" si="40"/>
        <v>1</v>
      </c>
      <c r="L833" s="56">
        <f t="shared" si="41"/>
        <v>1900</v>
      </c>
    </row>
    <row r="834" spans="6:12">
      <c r="F834" s="11" t="str">
        <f t="shared" si="42"/>
        <v>Accepted</v>
      </c>
      <c r="K834" s="56">
        <f t="shared" si="40"/>
        <v>1</v>
      </c>
      <c r="L834" s="56">
        <f t="shared" si="41"/>
        <v>1900</v>
      </c>
    </row>
    <row r="835" spans="6:12">
      <c r="F835" s="11" t="str">
        <f t="shared" si="42"/>
        <v>Accepted</v>
      </c>
      <c r="K835" s="56">
        <f t="shared" si="40"/>
        <v>1</v>
      </c>
      <c r="L835" s="56">
        <f t="shared" si="41"/>
        <v>1900</v>
      </c>
    </row>
    <row r="836" spans="6:12">
      <c r="F836" s="11" t="str">
        <f t="shared" si="42"/>
        <v>Accepted</v>
      </c>
      <c r="K836" s="56">
        <f t="shared" si="40"/>
        <v>1</v>
      </c>
      <c r="L836" s="56">
        <f t="shared" si="41"/>
        <v>1900</v>
      </c>
    </row>
    <row r="837" spans="6:12">
      <c r="F837" s="11" t="str">
        <f t="shared" si="42"/>
        <v>Accepted</v>
      </c>
      <c r="K837" s="56">
        <f t="shared" si="40"/>
        <v>1</v>
      </c>
      <c r="L837" s="56">
        <f t="shared" si="41"/>
        <v>1900</v>
      </c>
    </row>
    <row r="838" spans="6:12">
      <c r="F838" s="11" t="str">
        <f t="shared" si="42"/>
        <v>Accepted</v>
      </c>
      <c r="K838" s="56">
        <f t="shared" si="40"/>
        <v>1</v>
      </c>
      <c r="L838" s="56">
        <f t="shared" si="41"/>
        <v>1900</v>
      </c>
    </row>
    <row r="839" spans="6:12">
      <c r="F839" s="11" t="str">
        <f t="shared" si="42"/>
        <v>Accepted</v>
      </c>
      <c r="K839" s="56">
        <f t="shared" si="40"/>
        <v>1</v>
      </c>
      <c r="L839" s="56">
        <f t="shared" si="41"/>
        <v>1900</v>
      </c>
    </row>
    <row r="840" spans="6:12">
      <c r="F840" s="11" t="str">
        <f t="shared" si="42"/>
        <v>Accepted</v>
      </c>
      <c r="K840" s="56">
        <f t="shared" si="40"/>
        <v>1</v>
      </c>
      <c r="L840" s="56">
        <f t="shared" si="41"/>
        <v>1900</v>
      </c>
    </row>
    <row r="841" spans="6:12">
      <c r="F841" s="11" t="str">
        <f t="shared" si="42"/>
        <v>Accepted</v>
      </c>
      <c r="K841" s="56">
        <f t="shared" si="40"/>
        <v>1</v>
      </c>
      <c r="L841" s="56">
        <f t="shared" si="41"/>
        <v>1900</v>
      </c>
    </row>
    <row r="842" spans="6:12">
      <c r="F842" s="11" t="str">
        <f t="shared" si="42"/>
        <v>Accepted</v>
      </c>
      <c r="K842" s="56">
        <f t="shared" si="40"/>
        <v>1</v>
      </c>
      <c r="L842" s="56">
        <f t="shared" si="41"/>
        <v>1900</v>
      </c>
    </row>
    <row r="843" spans="6:12">
      <c r="F843" s="11" t="str">
        <f t="shared" si="42"/>
        <v>Accepted</v>
      </c>
      <c r="K843" s="56">
        <f t="shared" ref="K843:K906" si="43">MONTH(C843)</f>
        <v>1</v>
      </c>
      <c r="L843" s="56">
        <f t="shared" ref="L843:L906" si="44">YEAR(C843)</f>
        <v>1900</v>
      </c>
    </row>
    <row r="844" spans="6:12">
      <c r="F844" s="11" t="str">
        <f t="shared" si="42"/>
        <v>Accepted</v>
      </c>
      <c r="K844" s="56">
        <f t="shared" si="43"/>
        <v>1</v>
      </c>
      <c r="L844" s="56">
        <f t="shared" si="44"/>
        <v>1900</v>
      </c>
    </row>
    <row r="845" spans="6:12">
      <c r="F845" s="11" t="str">
        <f t="shared" si="42"/>
        <v>Accepted</v>
      </c>
      <c r="K845" s="56">
        <f t="shared" si="43"/>
        <v>1</v>
      </c>
      <c r="L845" s="56">
        <f t="shared" si="44"/>
        <v>1900</v>
      </c>
    </row>
    <row r="846" spans="6:12">
      <c r="F846" s="11" t="str">
        <f t="shared" si="42"/>
        <v>Accepted</v>
      </c>
      <c r="K846" s="56">
        <f t="shared" si="43"/>
        <v>1</v>
      </c>
      <c r="L846" s="56">
        <f t="shared" si="44"/>
        <v>1900</v>
      </c>
    </row>
    <row r="847" spans="6:12">
      <c r="F847" s="11" t="str">
        <f t="shared" si="42"/>
        <v>Accepted</v>
      </c>
      <c r="K847" s="56">
        <f t="shared" si="43"/>
        <v>1</v>
      </c>
      <c r="L847" s="56">
        <f t="shared" si="44"/>
        <v>1900</v>
      </c>
    </row>
    <row r="848" spans="6:12">
      <c r="F848" s="11" t="str">
        <f t="shared" si="42"/>
        <v>Accepted</v>
      </c>
      <c r="K848" s="56">
        <f t="shared" si="43"/>
        <v>1</v>
      </c>
      <c r="L848" s="56">
        <f t="shared" si="44"/>
        <v>1900</v>
      </c>
    </row>
    <row r="849" spans="6:12">
      <c r="F849" s="11" t="str">
        <f t="shared" si="42"/>
        <v>Accepted</v>
      </c>
      <c r="K849" s="56">
        <f t="shared" si="43"/>
        <v>1</v>
      </c>
      <c r="L849" s="56">
        <f t="shared" si="44"/>
        <v>1900</v>
      </c>
    </row>
    <row r="850" spans="6:12">
      <c r="F850" s="11" t="str">
        <f t="shared" si="42"/>
        <v>Accepted</v>
      </c>
      <c r="K850" s="56">
        <f t="shared" si="43"/>
        <v>1</v>
      </c>
      <c r="L850" s="56">
        <f t="shared" si="44"/>
        <v>1900</v>
      </c>
    </row>
    <row r="851" spans="6:12">
      <c r="F851" s="11" t="str">
        <f t="shared" si="42"/>
        <v>Accepted</v>
      </c>
      <c r="K851" s="56">
        <f t="shared" si="43"/>
        <v>1</v>
      </c>
      <c r="L851" s="56">
        <f t="shared" si="44"/>
        <v>1900</v>
      </c>
    </row>
    <row r="852" spans="6:12">
      <c r="F852" s="11" t="str">
        <f t="shared" si="42"/>
        <v>Accepted</v>
      </c>
      <c r="K852" s="56">
        <f t="shared" si="43"/>
        <v>1</v>
      </c>
      <c r="L852" s="56">
        <f t="shared" si="44"/>
        <v>1900</v>
      </c>
    </row>
    <row r="853" spans="6:12">
      <c r="F853" s="11" t="str">
        <f t="shared" si="42"/>
        <v>Accepted</v>
      </c>
      <c r="K853" s="56">
        <f t="shared" si="43"/>
        <v>1</v>
      </c>
      <c r="L853" s="56">
        <f t="shared" si="44"/>
        <v>1900</v>
      </c>
    </row>
    <row r="854" spans="6:12">
      <c r="F854" s="11" t="str">
        <f t="shared" si="42"/>
        <v>Accepted</v>
      </c>
      <c r="K854" s="56">
        <f t="shared" si="43"/>
        <v>1</v>
      </c>
      <c r="L854" s="56">
        <f t="shared" si="44"/>
        <v>1900</v>
      </c>
    </row>
    <row r="855" spans="6:12">
      <c r="F855" s="11" t="str">
        <f t="shared" si="42"/>
        <v>Accepted</v>
      </c>
      <c r="K855" s="56">
        <f t="shared" si="43"/>
        <v>1</v>
      </c>
      <c r="L855" s="56">
        <f t="shared" si="44"/>
        <v>1900</v>
      </c>
    </row>
    <row r="856" spans="6:12">
      <c r="F856" s="11" t="str">
        <f t="shared" si="42"/>
        <v>Accepted</v>
      </c>
      <c r="K856" s="56">
        <f t="shared" si="43"/>
        <v>1</v>
      </c>
      <c r="L856" s="56">
        <f t="shared" si="44"/>
        <v>1900</v>
      </c>
    </row>
    <row r="857" spans="6:12">
      <c r="F857" s="11" t="str">
        <f t="shared" si="42"/>
        <v>Accepted</v>
      </c>
      <c r="K857" s="56">
        <f t="shared" si="43"/>
        <v>1</v>
      </c>
      <c r="L857" s="56">
        <f t="shared" si="44"/>
        <v>1900</v>
      </c>
    </row>
    <row r="858" spans="6:12">
      <c r="F858" s="11" t="str">
        <f t="shared" si="42"/>
        <v>Accepted</v>
      </c>
      <c r="K858" s="56">
        <f t="shared" si="43"/>
        <v>1</v>
      </c>
      <c r="L858" s="56">
        <f t="shared" si="44"/>
        <v>1900</v>
      </c>
    </row>
    <row r="859" spans="6:12">
      <c r="F859" s="11" t="str">
        <f t="shared" si="42"/>
        <v>Accepted</v>
      </c>
      <c r="K859" s="56">
        <f t="shared" si="43"/>
        <v>1</v>
      </c>
      <c r="L859" s="56">
        <f t="shared" si="44"/>
        <v>1900</v>
      </c>
    </row>
    <row r="860" spans="6:12">
      <c r="F860" s="11" t="str">
        <f t="shared" si="42"/>
        <v>Accepted</v>
      </c>
      <c r="K860" s="56">
        <f t="shared" si="43"/>
        <v>1</v>
      </c>
      <c r="L860" s="56">
        <f t="shared" si="44"/>
        <v>1900</v>
      </c>
    </row>
    <row r="861" spans="6:12">
      <c r="F861" s="11" t="str">
        <f t="shared" si="42"/>
        <v>Accepted</v>
      </c>
      <c r="K861" s="56">
        <f t="shared" si="43"/>
        <v>1</v>
      </c>
      <c r="L861" s="56">
        <f t="shared" si="44"/>
        <v>1900</v>
      </c>
    </row>
    <row r="862" spans="6:12">
      <c r="F862" s="11" t="str">
        <f t="shared" si="42"/>
        <v>Accepted</v>
      </c>
      <c r="K862" s="56">
        <f t="shared" si="43"/>
        <v>1</v>
      </c>
      <c r="L862" s="56">
        <f t="shared" si="44"/>
        <v>1900</v>
      </c>
    </row>
    <row r="863" spans="6:12">
      <c r="F863" s="11" t="str">
        <f t="shared" si="42"/>
        <v>Accepted</v>
      </c>
      <c r="K863" s="56">
        <f t="shared" si="43"/>
        <v>1</v>
      </c>
      <c r="L863" s="56">
        <f t="shared" si="44"/>
        <v>1900</v>
      </c>
    </row>
    <row r="864" spans="6:12">
      <c r="F864" s="11" t="str">
        <f t="shared" si="42"/>
        <v>Accepted</v>
      </c>
      <c r="K864" s="56">
        <f t="shared" si="43"/>
        <v>1</v>
      </c>
      <c r="L864" s="56">
        <f t="shared" si="44"/>
        <v>1900</v>
      </c>
    </row>
    <row r="865" spans="6:12">
      <c r="F865" s="11" t="str">
        <f t="shared" si="42"/>
        <v>Accepted</v>
      </c>
      <c r="K865" s="56">
        <f t="shared" si="43"/>
        <v>1</v>
      </c>
      <c r="L865" s="56">
        <f t="shared" si="44"/>
        <v>1900</v>
      </c>
    </row>
    <row r="866" spans="6:12">
      <c r="F866" s="11" t="str">
        <f t="shared" si="42"/>
        <v>Accepted</v>
      </c>
      <c r="K866" s="56">
        <f t="shared" si="43"/>
        <v>1</v>
      </c>
      <c r="L866" s="56">
        <f t="shared" si="44"/>
        <v>1900</v>
      </c>
    </row>
    <row r="867" spans="6:12">
      <c r="F867" s="11" t="str">
        <f t="shared" si="42"/>
        <v>Accepted</v>
      </c>
      <c r="K867" s="56">
        <f t="shared" si="43"/>
        <v>1</v>
      </c>
      <c r="L867" s="56">
        <f t="shared" si="44"/>
        <v>1900</v>
      </c>
    </row>
    <row r="868" spans="6:12">
      <c r="F868" s="11" t="str">
        <f t="shared" si="42"/>
        <v>Accepted</v>
      </c>
      <c r="K868" s="56">
        <f t="shared" si="43"/>
        <v>1</v>
      </c>
      <c r="L868" s="56">
        <f t="shared" si="44"/>
        <v>1900</v>
      </c>
    </row>
    <row r="869" spans="6:12">
      <c r="F869" s="11" t="str">
        <f t="shared" si="42"/>
        <v>Accepted</v>
      </c>
      <c r="K869" s="56">
        <f t="shared" si="43"/>
        <v>1</v>
      </c>
      <c r="L869" s="56">
        <f t="shared" si="44"/>
        <v>1900</v>
      </c>
    </row>
    <row r="870" spans="6:12">
      <c r="F870" s="11" t="str">
        <f t="shared" si="42"/>
        <v>Accepted</v>
      </c>
      <c r="K870" s="56">
        <f t="shared" si="43"/>
        <v>1</v>
      </c>
      <c r="L870" s="56">
        <f t="shared" si="44"/>
        <v>1900</v>
      </c>
    </row>
    <row r="871" spans="6:12">
      <c r="F871" s="11" t="str">
        <f t="shared" si="42"/>
        <v>Accepted</v>
      </c>
      <c r="K871" s="56">
        <f t="shared" si="43"/>
        <v>1</v>
      </c>
      <c r="L871" s="56">
        <f t="shared" si="44"/>
        <v>1900</v>
      </c>
    </row>
    <row r="872" spans="6:12">
      <c r="F872" s="11" t="str">
        <f t="shared" si="42"/>
        <v>Accepted</v>
      </c>
      <c r="K872" s="56">
        <f t="shared" si="43"/>
        <v>1</v>
      </c>
      <c r="L872" s="56">
        <f t="shared" si="44"/>
        <v>1900</v>
      </c>
    </row>
    <row r="873" spans="6:12">
      <c r="F873" s="11" t="str">
        <f t="shared" si="42"/>
        <v>Accepted</v>
      </c>
      <c r="K873" s="56">
        <f t="shared" si="43"/>
        <v>1</v>
      </c>
      <c r="L873" s="56">
        <f t="shared" si="44"/>
        <v>1900</v>
      </c>
    </row>
    <row r="874" spans="6:12">
      <c r="F874" s="11" t="str">
        <f t="shared" si="42"/>
        <v>Accepted</v>
      </c>
      <c r="K874" s="56">
        <f t="shared" si="43"/>
        <v>1</v>
      </c>
      <c r="L874" s="56">
        <f t="shared" si="44"/>
        <v>1900</v>
      </c>
    </row>
    <row r="875" spans="6:12">
      <c r="F875" s="11" t="str">
        <f t="shared" si="42"/>
        <v>Accepted</v>
      </c>
      <c r="K875" s="56">
        <f t="shared" si="43"/>
        <v>1</v>
      </c>
      <c r="L875" s="56">
        <f t="shared" si="44"/>
        <v>1900</v>
      </c>
    </row>
    <row r="876" spans="6:12">
      <c r="F876" s="11" t="str">
        <f t="shared" si="42"/>
        <v>Accepted</v>
      </c>
      <c r="K876" s="56">
        <f t="shared" si="43"/>
        <v>1</v>
      </c>
      <c r="L876" s="56">
        <f t="shared" si="44"/>
        <v>1900</v>
      </c>
    </row>
    <row r="877" spans="6:12">
      <c r="F877" s="11" t="str">
        <f t="shared" si="42"/>
        <v>Accepted</v>
      </c>
      <c r="K877" s="56">
        <f t="shared" si="43"/>
        <v>1</v>
      </c>
      <c r="L877" s="56">
        <f t="shared" si="44"/>
        <v>1900</v>
      </c>
    </row>
    <row r="878" spans="6:12">
      <c r="F878" s="11" t="str">
        <f t="shared" si="42"/>
        <v>Accepted</v>
      </c>
      <c r="K878" s="56">
        <f t="shared" si="43"/>
        <v>1</v>
      </c>
      <c r="L878" s="56">
        <f t="shared" si="44"/>
        <v>1900</v>
      </c>
    </row>
    <row r="879" spans="6:12">
      <c r="F879" s="11" t="str">
        <f t="shared" si="42"/>
        <v>Accepted</v>
      </c>
      <c r="K879" s="56">
        <f t="shared" si="43"/>
        <v>1</v>
      </c>
      <c r="L879" s="56">
        <f t="shared" si="44"/>
        <v>1900</v>
      </c>
    </row>
    <row r="880" spans="6:12">
      <c r="F880" s="11" t="str">
        <f t="shared" si="42"/>
        <v>Accepted</v>
      </c>
      <c r="K880" s="56">
        <f t="shared" si="43"/>
        <v>1</v>
      </c>
      <c r="L880" s="56">
        <f t="shared" si="44"/>
        <v>1900</v>
      </c>
    </row>
    <row r="881" spans="6:12">
      <c r="F881" s="11" t="str">
        <f t="shared" si="42"/>
        <v>Accepted</v>
      </c>
      <c r="K881" s="56">
        <f t="shared" si="43"/>
        <v>1</v>
      </c>
      <c r="L881" s="56">
        <f t="shared" si="44"/>
        <v>1900</v>
      </c>
    </row>
    <row r="882" spans="6:12">
      <c r="F882" s="11" t="str">
        <f t="shared" si="42"/>
        <v>Accepted</v>
      </c>
      <c r="K882" s="56">
        <f t="shared" si="43"/>
        <v>1</v>
      </c>
      <c r="L882" s="56">
        <f t="shared" si="44"/>
        <v>1900</v>
      </c>
    </row>
    <row r="883" spans="6:12">
      <c r="F883" s="11" t="str">
        <f t="shared" si="42"/>
        <v>Accepted</v>
      </c>
      <c r="K883" s="56">
        <f t="shared" si="43"/>
        <v>1</v>
      </c>
      <c r="L883" s="56">
        <f t="shared" si="44"/>
        <v>1900</v>
      </c>
    </row>
    <row r="884" spans="6:12">
      <c r="F884" s="11" t="str">
        <f t="shared" si="42"/>
        <v>Accepted</v>
      </c>
      <c r="K884" s="56">
        <f t="shared" si="43"/>
        <v>1</v>
      </c>
      <c r="L884" s="56">
        <f t="shared" si="44"/>
        <v>1900</v>
      </c>
    </row>
    <row r="885" spans="6:12">
      <c r="F885" s="11" t="str">
        <f t="shared" si="42"/>
        <v>Accepted</v>
      </c>
      <c r="K885" s="56">
        <f t="shared" si="43"/>
        <v>1</v>
      </c>
      <c r="L885" s="56">
        <f t="shared" si="44"/>
        <v>1900</v>
      </c>
    </row>
    <row r="886" spans="6:12">
      <c r="F886" s="11" t="str">
        <f t="shared" si="42"/>
        <v>Accepted</v>
      </c>
      <c r="K886" s="56">
        <f t="shared" si="43"/>
        <v>1</v>
      </c>
      <c r="L886" s="56">
        <f t="shared" si="44"/>
        <v>1900</v>
      </c>
    </row>
    <row r="887" spans="6:12">
      <c r="F887" s="11" t="str">
        <f t="shared" si="42"/>
        <v>Accepted</v>
      </c>
      <c r="K887" s="56">
        <f t="shared" si="43"/>
        <v>1</v>
      </c>
      <c r="L887" s="56">
        <f t="shared" si="44"/>
        <v>1900</v>
      </c>
    </row>
    <row r="888" spans="6:12">
      <c r="F888" s="11" t="str">
        <f t="shared" si="42"/>
        <v>Accepted</v>
      </c>
      <c r="K888" s="56">
        <f t="shared" si="43"/>
        <v>1</v>
      </c>
      <c r="L888" s="56">
        <f t="shared" si="44"/>
        <v>1900</v>
      </c>
    </row>
    <row r="889" spans="6:12">
      <c r="F889" s="11" t="str">
        <f t="shared" si="42"/>
        <v>Accepted</v>
      </c>
      <c r="K889" s="56">
        <f t="shared" si="43"/>
        <v>1</v>
      </c>
      <c r="L889" s="56">
        <f t="shared" si="44"/>
        <v>1900</v>
      </c>
    </row>
    <row r="890" spans="6:12">
      <c r="F890" s="11" t="str">
        <f t="shared" si="42"/>
        <v>Accepted</v>
      </c>
      <c r="K890" s="56">
        <f t="shared" si="43"/>
        <v>1</v>
      </c>
      <c r="L890" s="56">
        <f t="shared" si="44"/>
        <v>1900</v>
      </c>
    </row>
    <row r="891" spans="6:12">
      <c r="F891" s="11" t="str">
        <f t="shared" ref="F891:F954" si="45">IF((D891-G891)&lt;10,"Accepted","Partial/Rejected")</f>
        <v>Accepted</v>
      </c>
      <c r="K891" s="56">
        <f t="shared" si="43"/>
        <v>1</v>
      </c>
      <c r="L891" s="56">
        <f t="shared" si="44"/>
        <v>1900</v>
      </c>
    </row>
    <row r="892" spans="6:12">
      <c r="F892" s="11" t="str">
        <f t="shared" si="45"/>
        <v>Accepted</v>
      </c>
      <c r="K892" s="56">
        <f t="shared" si="43"/>
        <v>1</v>
      </c>
      <c r="L892" s="56">
        <f t="shared" si="44"/>
        <v>1900</v>
      </c>
    </row>
    <row r="893" spans="6:12">
      <c r="F893" s="11" t="str">
        <f t="shared" si="45"/>
        <v>Accepted</v>
      </c>
      <c r="K893" s="56">
        <f t="shared" si="43"/>
        <v>1</v>
      </c>
      <c r="L893" s="56">
        <f t="shared" si="44"/>
        <v>1900</v>
      </c>
    </row>
    <row r="894" spans="6:12">
      <c r="F894" s="11" t="str">
        <f t="shared" si="45"/>
        <v>Accepted</v>
      </c>
      <c r="K894" s="56">
        <f t="shared" si="43"/>
        <v>1</v>
      </c>
      <c r="L894" s="56">
        <f t="shared" si="44"/>
        <v>1900</v>
      </c>
    </row>
    <row r="895" spans="6:12">
      <c r="F895" s="11" t="str">
        <f t="shared" si="45"/>
        <v>Accepted</v>
      </c>
      <c r="K895" s="56">
        <f t="shared" si="43"/>
        <v>1</v>
      </c>
      <c r="L895" s="56">
        <f t="shared" si="44"/>
        <v>1900</v>
      </c>
    </row>
    <row r="896" spans="6:12">
      <c r="F896" s="11" t="str">
        <f t="shared" si="45"/>
        <v>Accepted</v>
      </c>
      <c r="K896" s="56">
        <f t="shared" si="43"/>
        <v>1</v>
      </c>
      <c r="L896" s="56">
        <f t="shared" si="44"/>
        <v>1900</v>
      </c>
    </row>
    <row r="897" spans="6:12">
      <c r="F897" s="11" t="str">
        <f t="shared" si="45"/>
        <v>Accepted</v>
      </c>
      <c r="K897" s="56">
        <f t="shared" si="43"/>
        <v>1</v>
      </c>
      <c r="L897" s="56">
        <f t="shared" si="44"/>
        <v>1900</v>
      </c>
    </row>
    <row r="898" spans="6:12">
      <c r="F898" s="11" t="str">
        <f t="shared" si="45"/>
        <v>Accepted</v>
      </c>
      <c r="K898" s="56">
        <f t="shared" si="43"/>
        <v>1</v>
      </c>
      <c r="L898" s="56">
        <f t="shared" si="44"/>
        <v>1900</v>
      </c>
    </row>
    <row r="899" spans="6:12">
      <c r="F899" s="11" t="str">
        <f t="shared" si="45"/>
        <v>Accepted</v>
      </c>
      <c r="K899" s="56">
        <f t="shared" si="43"/>
        <v>1</v>
      </c>
      <c r="L899" s="56">
        <f t="shared" si="44"/>
        <v>1900</v>
      </c>
    </row>
    <row r="900" spans="6:12">
      <c r="F900" s="11" t="str">
        <f t="shared" si="45"/>
        <v>Accepted</v>
      </c>
      <c r="K900" s="56">
        <f t="shared" si="43"/>
        <v>1</v>
      </c>
      <c r="L900" s="56">
        <f t="shared" si="44"/>
        <v>1900</v>
      </c>
    </row>
    <row r="901" spans="6:12">
      <c r="F901" s="11" t="str">
        <f t="shared" si="45"/>
        <v>Accepted</v>
      </c>
      <c r="K901" s="56">
        <f t="shared" si="43"/>
        <v>1</v>
      </c>
      <c r="L901" s="56">
        <f t="shared" si="44"/>
        <v>1900</v>
      </c>
    </row>
    <row r="902" spans="6:12">
      <c r="F902" s="11" t="str">
        <f t="shared" si="45"/>
        <v>Accepted</v>
      </c>
      <c r="K902" s="56">
        <f t="shared" si="43"/>
        <v>1</v>
      </c>
      <c r="L902" s="56">
        <f t="shared" si="44"/>
        <v>1900</v>
      </c>
    </row>
    <row r="903" spans="6:12">
      <c r="F903" s="11" t="str">
        <f t="shared" si="45"/>
        <v>Accepted</v>
      </c>
      <c r="K903" s="56">
        <f t="shared" si="43"/>
        <v>1</v>
      </c>
      <c r="L903" s="56">
        <f t="shared" si="44"/>
        <v>1900</v>
      </c>
    </row>
    <row r="904" spans="6:12">
      <c r="F904" s="11" t="str">
        <f t="shared" si="45"/>
        <v>Accepted</v>
      </c>
      <c r="K904" s="56">
        <f t="shared" si="43"/>
        <v>1</v>
      </c>
      <c r="L904" s="56">
        <f t="shared" si="44"/>
        <v>1900</v>
      </c>
    </row>
    <row r="905" spans="6:12">
      <c r="F905" s="11" t="str">
        <f t="shared" si="45"/>
        <v>Accepted</v>
      </c>
      <c r="K905" s="56">
        <f t="shared" si="43"/>
        <v>1</v>
      </c>
      <c r="L905" s="56">
        <f t="shared" si="44"/>
        <v>1900</v>
      </c>
    </row>
    <row r="906" spans="6:12">
      <c r="F906" s="11" t="str">
        <f t="shared" si="45"/>
        <v>Accepted</v>
      </c>
      <c r="K906" s="56">
        <f t="shared" si="43"/>
        <v>1</v>
      </c>
      <c r="L906" s="56">
        <f t="shared" si="44"/>
        <v>1900</v>
      </c>
    </row>
    <row r="907" spans="6:12">
      <c r="F907" s="11" t="str">
        <f t="shared" si="45"/>
        <v>Accepted</v>
      </c>
      <c r="K907" s="56">
        <f t="shared" ref="K907:K970" si="46">MONTH(C907)</f>
        <v>1</v>
      </c>
      <c r="L907" s="56">
        <f t="shared" ref="L907:L970" si="47">YEAR(C907)</f>
        <v>1900</v>
      </c>
    </row>
    <row r="908" spans="6:12">
      <c r="F908" s="11" t="str">
        <f t="shared" si="45"/>
        <v>Accepted</v>
      </c>
      <c r="K908" s="56">
        <f t="shared" si="46"/>
        <v>1</v>
      </c>
      <c r="L908" s="56">
        <f t="shared" si="47"/>
        <v>1900</v>
      </c>
    </row>
    <row r="909" spans="6:12">
      <c r="F909" s="11" t="str">
        <f t="shared" si="45"/>
        <v>Accepted</v>
      </c>
      <c r="K909" s="56">
        <f t="shared" si="46"/>
        <v>1</v>
      </c>
      <c r="L909" s="56">
        <f t="shared" si="47"/>
        <v>1900</v>
      </c>
    </row>
    <row r="910" spans="6:12">
      <c r="F910" s="11" t="str">
        <f t="shared" si="45"/>
        <v>Accepted</v>
      </c>
      <c r="K910" s="56">
        <f t="shared" si="46"/>
        <v>1</v>
      </c>
      <c r="L910" s="56">
        <f t="shared" si="47"/>
        <v>1900</v>
      </c>
    </row>
    <row r="911" spans="6:12">
      <c r="F911" s="11" t="str">
        <f t="shared" si="45"/>
        <v>Accepted</v>
      </c>
      <c r="K911" s="56">
        <f t="shared" si="46"/>
        <v>1</v>
      </c>
      <c r="L911" s="56">
        <f t="shared" si="47"/>
        <v>1900</v>
      </c>
    </row>
    <row r="912" spans="6:12">
      <c r="F912" s="11" t="str">
        <f t="shared" si="45"/>
        <v>Accepted</v>
      </c>
      <c r="K912" s="56">
        <f t="shared" si="46"/>
        <v>1</v>
      </c>
      <c r="L912" s="56">
        <f t="shared" si="47"/>
        <v>1900</v>
      </c>
    </row>
    <row r="913" spans="6:12">
      <c r="F913" s="11" t="str">
        <f t="shared" si="45"/>
        <v>Accepted</v>
      </c>
      <c r="K913" s="56">
        <f t="shared" si="46"/>
        <v>1</v>
      </c>
      <c r="L913" s="56">
        <f t="shared" si="47"/>
        <v>1900</v>
      </c>
    </row>
    <row r="914" spans="6:12">
      <c r="F914" s="11" t="str">
        <f t="shared" si="45"/>
        <v>Accepted</v>
      </c>
      <c r="K914" s="56">
        <f t="shared" si="46"/>
        <v>1</v>
      </c>
      <c r="L914" s="56">
        <f t="shared" si="47"/>
        <v>1900</v>
      </c>
    </row>
    <row r="915" spans="6:12">
      <c r="F915" s="11" t="str">
        <f t="shared" si="45"/>
        <v>Accepted</v>
      </c>
      <c r="K915" s="56">
        <f t="shared" si="46"/>
        <v>1</v>
      </c>
      <c r="L915" s="56">
        <f t="shared" si="47"/>
        <v>1900</v>
      </c>
    </row>
    <row r="916" spans="6:12">
      <c r="F916" s="11" t="str">
        <f t="shared" si="45"/>
        <v>Accepted</v>
      </c>
      <c r="K916" s="56">
        <f t="shared" si="46"/>
        <v>1</v>
      </c>
      <c r="L916" s="56">
        <f t="shared" si="47"/>
        <v>1900</v>
      </c>
    </row>
    <row r="917" spans="6:12">
      <c r="F917" s="11" t="str">
        <f t="shared" si="45"/>
        <v>Accepted</v>
      </c>
      <c r="K917" s="56">
        <f t="shared" si="46"/>
        <v>1</v>
      </c>
      <c r="L917" s="56">
        <f t="shared" si="47"/>
        <v>1900</v>
      </c>
    </row>
    <row r="918" spans="6:12">
      <c r="F918" s="11" t="str">
        <f t="shared" si="45"/>
        <v>Accepted</v>
      </c>
      <c r="K918" s="56">
        <f t="shared" si="46"/>
        <v>1</v>
      </c>
      <c r="L918" s="56">
        <f t="shared" si="47"/>
        <v>1900</v>
      </c>
    </row>
    <row r="919" spans="6:12">
      <c r="F919" s="11" t="str">
        <f t="shared" si="45"/>
        <v>Accepted</v>
      </c>
      <c r="K919" s="56">
        <f t="shared" si="46"/>
        <v>1</v>
      </c>
      <c r="L919" s="56">
        <f t="shared" si="47"/>
        <v>1900</v>
      </c>
    </row>
    <row r="920" spans="6:12">
      <c r="F920" s="11" t="str">
        <f t="shared" si="45"/>
        <v>Accepted</v>
      </c>
      <c r="K920" s="56">
        <f t="shared" si="46"/>
        <v>1</v>
      </c>
      <c r="L920" s="56">
        <f t="shared" si="47"/>
        <v>1900</v>
      </c>
    </row>
    <row r="921" spans="6:12">
      <c r="F921" s="11" t="str">
        <f t="shared" si="45"/>
        <v>Accepted</v>
      </c>
      <c r="K921" s="56">
        <f t="shared" si="46"/>
        <v>1</v>
      </c>
      <c r="L921" s="56">
        <f t="shared" si="47"/>
        <v>1900</v>
      </c>
    </row>
    <row r="922" spans="6:12">
      <c r="F922" s="11" t="str">
        <f t="shared" si="45"/>
        <v>Accepted</v>
      </c>
      <c r="K922" s="56">
        <f t="shared" si="46"/>
        <v>1</v>
      </c>
      <c r="L922" s="56">
        <f t="shared" si="47"/>
        <v>1900</v>
      </c>
    </row>
    <row r="923" spans="6:12">
      <c r="F923" s="11" t="str">
        <f t="shared" si="45"/>
        <v>Accepted</v>
      </c>
      <c r="K923" s="56">
        <f t="shared" si="46"/>
        <v>1</v>
      </c>
      <c r="L923" s="56">
        <f t="shared" si="47"/>
        <v>1900</v>
      </c>
    </row>
    <row r="924" spans="6:12">
      <c r="F924" s="11" t="str">
        <f t="shared" si="45"/>
        <v>Accepted</v>
      </c>
      <c r="K924" s="56">
        <f t="shared" si="46"/>
        <v>1</v>
      </c>
      <c r="L924" s="56">
        <f t="shared" si="47"/>
        <v>1900</v>
      </c>
    </row>
    <row r="925" spans="6:12">
      <c r="F925" s="11" t="str">
        <f t="shared" si="45"/>
        <v>Accepted</v>
      </c>
      <c r="K925" s="56">
        <f t="shared" si="46"/>
        <v>1</v>
      </c>
      <c r="L925" s="56">
        <f t="shared" si="47"/>
        <v>1900</v>
      </c>
    </row>
    <row r="926" spans="6:12">
      <c r="F926" s="11" t="str">
        <f t="shared" si="45"/>
        <v>Accepted</v>
      </c>
      <c r="K926" s="56">
        <f t="shared" si="46"/>
        <v>1</v>
      </c>
      <c r="L926" s="56">
        <f t="shared" si="47"/>
        <v>1900</v>
      </c>
    </row>
    <row r="927" spans="6:12">
      <c r="F927" s="11" t="str">
        <f t="shared" si="45"/>
        <v>Accepted</v>
      </c>
      <c r="K927" s="56">
        <f t="shared" si="46"/>
        <v>1</v>
      </c>
      <c r="L927" s="56">
        <f t="shared" si="47"/>
        <v>1900</v>
      </c>
    </row>
    <row r="928" spans="6:12">
      <c r="F928" s="11" t="str">
        <f t="shared" si="45"/>
        <v>Accepted</v>
      </c>
      <c r="K928" s="56">
        <f t="shared" si="46"/>
        <v>1</v>
      </c>
      <c r="L928" s="56">
        <f t="shared" si="47"/>
        <v>1900</v>
      </c>
    </row>
    <row r="929" spans="6:12">
      <c r="F929" s="11" t="str">
        <f t="shared" si="45"/>
        <v>Accepted</v>
      </c>
      <c r="K929" s="56">
        <f t="shared" si="46"/>
        <v>1</v>
      </c>
      <c r="L929" s="56">
        <f t="shared" si="47"/>
        <v>1900</v>
      </c>
    </row>
    <row r="930" spans="6:12">
      <c r="F930" s="11" t="str">
        <f t="shared" si="45"/>
        <v>Accepted</v>
      </c>
      <c r="K930" s="56">
        <f t="shared" si="46"/>
        <v>1</v>
      </c>
      <c r="L930" s="56">
        <f t="shared" si="47"/>
        <v>1900</v>
      </c>
    </row>
    <row r="931" spans="6:12">
      <c r="F931" s="11" t="str">
        <f t="shared" si="45"/>
        <v>Accepted</v>
      </c>
      <c r="K931" s="56">
        <f t="shared" si="46"/>
        <v>1</v>
      </c>
      <c r="L931" s="56">
        <f t="shared" si="47"/>
        <v>1900</v>
      </c>
    </row>
    <row r="932" spans="6:12">
      <c r="F932" s="11" t="str">
        <f t="shared" si="45"/>
        <v>Accepted</v>
      </c>
      <c r="K932" s="56">
        <f t="shared" si="46"/>
        <v>1</v>
      </c>
      <c r="L932" s="56">
        <f t="shared" si="47"/>
        <v>1900</v>
      </c>
    </row>
    <row r="933" spans="6:12">
      <c r="F933" s="11" t="str">
        <f t="shared" si="45"/>
        <v>Accepted</v>
      </c>
      <c r="K933" s="56">
        <f t="shared" si="46"/>
        <v>1</v>
      </c>
      <c r="L933" s="56">
        <f t="shared" si="47"/>
        <v>1900</v>
      </c>
    </row>
    <row r="934" spans="6:12">
      <c r="F934" s="11" t="str">
        <f t="shared" si="45"/>
        <v>Accepted</v>
      </c>
      <c r="K934" s="56">
        <f t="shared" si="46"/>
        <v>1</v>
      </c>
      <c r="L934" s="56">
        <f t="shared" si="47"/>
        <v>1900</v>
      </c>
    </row>
    <row r="935" spans="6:12">
      <c r="F935" s="11" t="str">
        <f t="shared" si="45"/>
        <v>Accepted</v>
      </c>
      <c r="K935" s="56">
        <f t="shared" si="46"/>
        <v>1</v>
      </c>
      <c r="L935" s="56">
        <f t="shared" si="47"/>
        <v>1900</v>
      </c>
    </row>
    <row r="936" spans="6:12">
      <c r="F936" s="11" t="str">
        <f t="shared" si="45"/>
        <v>Accepted</v>
      </c>
      <c r="K936" s="56">
        <f t="shared" si="46"/>
        <v>1</v>
      </c>
      <c r="L936" s="56">
        <f t="shared" si="47"/>
        <v>1900</v>
      </c>
    </row>
    <row r="937" spans="6:12">
      <c r="F937" s="11" t="str">
        <f t="shared" si="45"/>
        <v>Accepted</v>
      </c>
      <c r="K937" s="56">
        <f t="shared" si="46"/>
        <v>1</v>
      </c>
      <c r="L937" s="56">
        <f t="shared" si="47"/>
        <v>1900</v>
      </c>
    </row>
    <row r="938" spans="6:12">
      <c r="F938" s="11" t="str">
        <f t="shared" si="45"/>
        <v>Accepted</v>
      </c>
      <c r="K938" s="56">
        <f t="shared" si="46"/>
        <v>1</v>
      </c>
      <c r="L938" s="56">
        <f t="shared" si="47"/>
        <v>1900</v>
      </c>
    </row>
    <row r="939" spans="6:12">
      <c r="F939" s="11" t="str">
        <f t="shared" si="45"/>
        <v>Accepted</v>
      </c>
      <c r="K939" s="56">
        <f t="shared" si="46"/>
        <v>1</v>
      </c>
      <c r="L939" s="56">
        <f t="shared" si="47"/>
        <v>1900</v>
      </c>
    </row>
    <row r="940" spans="6:12">
      <c r="F940" s="11" t="str">
        <f t="shared" si="45"/>
        <v>Accepted</v>
      </c>
      <c r="K940" s="56">
        <f t="shared" si="46"/>
        <v>1</v>
      </c>
      <c r="L940" s="56">
        <f t="shared" si="47"/>
        <v>1900</v>
      </c>
    </row>
    <row r="941" spans="6:12">
      <c r="F941" s="11" t="str">
        <f t="shared" si="45"/>
        <v>Accepted</v>
      </c>
      <c r="K941" s="56">
        <f t="shared" si="46"/>
        <v>1</v>
      </c>
      <c r="L941" s="56">
        <f t="shared" si="47"/>
        <v>1900</v>
      </c>
    </row>
    <row r="942" spans="6:12">
      <c r="F942" s="11" t="str">
        <f t="shared" si="45"/>
        <v>Accepted</v>
      </c>
      <c r="K942" s="56">
        <f t="shared" si="46"/>
        <v>1</v>
      </c>
      <c r="L942" s="56">
        <f t="shared" si="47"/>
        <v>1900</v>
      </c>
    </row>
    <row r="943" spans="6:12">
      <c r="F943" s="11" t="str">
        <f t="shared" si="45"/>
        <v>Accepted</v>
      </c>
      <c r="K943" s="56">
        <f t="shared" si="46"/>
        <v>1</v>
      </c>
      <c r="L943" s="56">
        <f t="shared" si="47"/>
        <v>1900</v>
      </c>
    </row>
    <row r="944" spans="6:12">
      <c r="F944" s="11" t="str">
        <f t="shared" si="45"/>
        <v>Accepted</v>
      </c>
      <c r="K944" s="56">
        <f t="shared" si="46"/>
        <v>1</v>
      </c>
      <c r="L944" s="56">
        <f t="shared" si="47"/>
        <v>1900</v>
      </c>
    </row>
    <row r="945" spans="6:12">
      <c r="F945" s="11" t="str">
        <f t="shared" si="45"/>
        <v>Accepted</v>
      </c>
      <c r="K945" s="56">
        <f t="shared" si="46"/>
        <v>1</v>
      </c>
      <c r="L945" s="56">
        <f t="shared" si="47"/>
        <v>1900</v>
      </c>
    </row>
    <row r="946" spans="6:12">
      <c r="F946" s="11" t="str">
        <f t="shared" si="45"/>
        <v>Accepted</v>
      </c>
      <c r="K946" s="56">
        <f t="shared" si="46"/>
        <v>1</v>
      </c>
      <c r="L946" s="56">
        <f t="shared" si="47"/>
        <v>1900</v>
      </c>
    </row>
    <row r="947" spans="6:12">
      <c r="F947" s="11" t="str">
        <f t="shared" si="45"/>
        <v>Accepted</v>
      </c>
      <c r="K947" s="56">
        <f t="shared" si="46"/>
        <v>1</v>
      </c>
      <c r="L947" s="56">
        <f t="shared" si="47"/>
        <v>1900</v>
      </c>
    </row>
    <row r="948" spans="6:12">
      <c r="F948" s="11" t="str">
        <f t="shared" si="45"/>
        <v>Accepted</v>
      </c>
      <c r="K948" s="56">
        <f t="shared" si="46"/>
        <v>1</v>
      </c>
      <c r="L948" s="56">
        <f t="shared" si="47"/>
        <v>1900</v>
      </c>
    </row>
    <row r="949" spans="6:12">
      <c r="F949" s="11" t="str">
        <f t="shared" si="45"/>
        <v>Accepted</v>
      </c>
      <c r="K949" s="56">
        <f t="shared" si="46"/>
        <v>1</v>
      </c>
      <c r="L949" s="56">
        <f t="shared" si="47"/>
        <v>1900</v>
      </c>
    </row>
    <row r="950" spans="6:12">
      <c r="F950" s="11" t="str">
        <f t="shared" si="45"/>
        <v>Accepted</v>
      </c>
      <c r="K950" s="56">
        <f t="shared" si="46"/>
        <v>1</v>
      </c>
      <c r="L950" s="56">
        <f t="shared" si="47"/>
        <v>1900</v>
      </c>
    </row>
    <row r="951" spans="6:12">
      <c r="F951" s="11" t="str">
        <f t="shared" si="45"/>
        <v>Accepted</v>
      </c>
      <c r="K951" s="56">
        <f t="shared" si="46"/>
        <v>1</v>
      </c>
      <c r="L951" s="56">
        <f t="shared" si="47"/>
        <v>1900</v>
      </c>
    </row>
    <row r="952" spans="6:12">
      <c r="F952" s="11" t="str">
        <f t="shared" si="45"/>
        <v>Accepted</v>
      </c>
      <c r="K952" s="56">
        <f t="shared" si="46"/>
        <v>1</v>
      </c>
      <c r="L952" s="56">
        <f t="shared" si="47"/>
        <v>1900</v>
      </c>
    </row>
    <row r="953" spans="6:12">
      <c r="F953" s="11" t="str">
        <f t="shared" si="45"/>
        <v>Accepted</v>
      </c>
      <c r="K953" s="56">
        <f t="shared" si="46"/>
        <v>1</v>
      </c>
      <c r="L953" s="56">
        <f t="shared" si="47"/>
        <v>1900</v>
      </c>
    </row>
    <row r="954" spans="6:12">
      <c r="F954" s="11" t="str">
        <f t="shared" si="45"/>
        <v>Accepted</v>
      </c>
      <c r="K954" s="56">
        <f t="shared" si="46"/>
        <v>1</v>
      </c>
      <c r="L954" s="56">
        <f t="shared" si="47"/>
        <v>1900</v>
      </c>
    </row>
    <row r="955" spans="6:12">
      <c r="F955" s="11" t="str">
        <f t="shared" ref="F955:F1018" si="48">IF((D955-G955)&lt;10,"Accepted","Partial/Rejected")</f>
        <v>Accepted</v>
      </c>
      <c r="K955" s="56">
        <f t="shared" si="46"/>
        <v>1</v>
      </c>
      <c r="L955" s="56">
        <f t="shared" si="47"/>
        <v>1900</v>
      </c>
    </row>
    <row r="956" spans="6:12">
      <c r="F956" s="11" t="str">
        <f t="shared" si="48"/>
        <v>Accepted</v>
      </c>
      <c r="K956" s="56">
        <f t="shared" si="46"/>
        <v>1</v>
      </c>
      <c r="L956" s="56">
        <f t="shared" si="47"/>
        <v>1900</v>
      </c>
    </row>
    <row r="957" spans="6:12">
      <c r="F957" s="11" t="str">
        <f t="shared" si="48"/>
        <v>Accepted</v>
      </c>
      <c r="K957" s="56">
        <f t="shared" si="46"/>
        <v>1</v>
      </c>
      <c r="L957" s="56">
        <f t="shared" si="47"/>
        <v>1900</v>
      </c>
    </row>
    <row r="958" spans="6:12">
      <c r="F958" s="11" t="str">
        <f t="shared" si="48"/>
        <v>Accepted</v>
      </c>
      <c r="K958" s="56">
        <f t="shared" si="46"/>
        <v>1</v>
      </c>
      <c r="L958" s="56">
        <f t="shared" si="47"/>
        <v>1900</v>
      </c>
    </row>
    <row r="959" spans="6:12">
      <c r="F959" s="11" t="str">
        <f t="shared" si="48"/>
        <v>Accepted</v>
      </c>
      <c r="K959" s="56">
        <f t="shared" si="46"/>
        <v>1</v>
      </c>
      <c r="L959" s="56">
        <f t="shared" si="47"/>
        <v>1900</v>
      </c>
    </row>
    <row r="960" spans="6:12">
      <c r="F960" s="11" t="str">
        <f t="shared" si="48"/>
        <v>Accepted</v>
      </c>
      <c r="K960" s="56">
        <f t="shared" si="46"/>
        <v>1</v>
      </c>
      <c r="L960" s="56">
        <f t="shared" si="47"/>
        <v>1900</v>
      </c>
    </row>
    <row r="961" spans="6:12">
      <c r="F961" s="11" t="str">
        <f t="shared" si="48"/>
        <v>Accepted</v>
      </c>
      <c r="K961" s="56">
        <f t="shared" si="46"/>
        <v>1</v>
      </c>
      <c r="L961" s="56">
        <f t="shared" si="47"/>
        <v>1900</v>
      </c>
    </row>
    <row r="962" spans="6:12">
      <c r="F962" s="11" t="str">
        <f t="shared" si="48"/>
        <v>Accepted</v>
      </c>
      <c r="K962" s="56">
        <f t="shared" si="46"/>
        <v>1</v>
      </c>
      <c r="L962" s="56">
        <f t="shared" si="47"/>
        <v>1900</v>
      </c>
    </row>
    <row r="963" spans="6:12">
      <c r="F963" s="11" t="str">
        <f t="shared" si="48"/>
        <v>Accepted</v>
      </c>
      <c r="K963" s="56">
        <f t="shared" si="46"/>
        <v>1</v>
      </c>
      <c r="L963" s="56">
        <f t="shared" si="47"/>
        <v>1900</v>
      </c>
    </row>
    <row r="964" spans="6:12">
      <c r="F964" s="11" t="str">
        <f t="shared" si="48"/>
        <v>Accepted</v>
      </c>
      <c r="K964" s="56">
        <f t="shared" si="46"/>
        <v>1</v>
      </c>
      <c r="L964" s="56">
        <f t="shared" si="47"/>
        <v>1900</v>
      </c>
    </row>
    <row r="965" spans="6:12">
      <c r="F965" s="11" t="str">
        <f t="shared" si="48"/>
        <v>Accepted</v>
      </c>
      <c r="K965" s="56">
        <f t="shared" si="46"/>
        <v>1</v>
      </c>
      <c r="L965" s="56">
        <f t="shared" si="47"/>
        <v>1900</v>
      </c>
    </row>
    <row r="966" spans="6:12">
      <c r="F966" s="11" t="str">
        <f t="shared" si="48"/>
        <v>Accepted</v>
      </c>
      <c r="K966" s="56">
        <f t="shared" si="46"/>
        <v>1</v>
      </c>
      <c r="L966" s="56">
        <f t="shared" si="47"/>
        <v>1900</v>
      </c>
    </row>
    <row r="967" spans="6:12">
      <c r="F967" s="11" t="str">
        <f t="shared" si="48"/>
        <v>Accepted</v>
      </c>
      <c r="K967" s="56">
        <f t="shared" si="46"/>
        <v>1</v>
      </c>
      <c r="L967" s="56">
        <f t="shared" si="47"/>
        <v>1900</v>
      </c>
    </row>
    <row r="968" spans="6:12">
      <c r="F968" s="11" t="str">
        <f t="shared" si="48"/>
        <v>Accepted</v>
      </c>
      <c r="K968" s="56">
        <f t="shared" si="46"/>
        <v>1</v>
      </c>
      <c r="L968" s="56">
        <f t="shared" si="47"/>
        <v>1900</v>
      </c>
    </row>
    <row r="969" spans="6:12">
      <c r="F969" s="11" t="str">
        <f t="shared" si="48"/>
        <v>Accepted</v>
      </c>
      <c r="K969" s="56">
        <f t="shared" si="46"/>
        <v>1</v>
      </c>
      <c r="L969" s="56">
        <f t="shared" si="47"/>
        <v>1900</v>
      </c>
    </row>
    <row r="970" spans="6:12">
      <c r="F970" s="11" t="str">
        <f t="shared" si="48"/>
        <v>Accepted</v>
      </c>
      <c r="K970" s="56">
        <f t="shared" si="46"/>
        <v>1</v>
      </c>
      <c r="L970" s="56">
        <f t="shared" si="47"/>
        <v>1900</v>
      </c>
    </row>
    <row r="971" spans="6:12">
      <c r="F971" s="11" t="str">
        <f t="shared" si="48"/>
        <v>Accepted</v>
      </c>
      <c r="K971" s="56">
        <f t="shared" ref="K971:K1034" si="49">MONTH(C971)</f>
        <v>1</v>
      </c>
      <c r="L971" s="56">
        <f t="shared" ref="L971:L1034" si="50">YEAR(C971)</f>
        <v>1900</v>
      </c>
    </row>
    <row r="972" spans="6:12">
      <c r="F972" s="11" t="str">
        <f t="shared" si="48"/>
        <v>Accepted</v>
      </c>
      <c r="K972" s="56">
        <f t="shared" si="49"/>
        <v>1</v>
      </c>
      <c r="L972" s="56">
        <f t="shared" si="50"/>
        <v>1900</v>
      </c>
    </row>
    <row r="973" spans="6:12">
      <c r="F973" s="11" t="str">
        <f t="shared" si="48"/>
        <v>Accepted</v>
      </c>
      <c r="K973" s="56">
        <f t="shared" si="49"/>
        <v>1</v>
      </c>
      <c r="L973" s="56">
        <f t="shared" si="50"/>
        <v>1900</v>
      </c>
    </row>
    <row r="974" spans="6:12">
      <c r="F974" s="11" t="str">
        <f t="shared" si="48"/>
        <v>Accepted</v>
      </c>
      <c r="K974" s="56">
        <f t="shared" si="49"/>
        <v>1</v>
      </c>
      <c r="L974" s="56">
        <f t="shared" si="50"/>
        <v>1900</v>
      </c>
    </row>
    <row r="975" spans="6:12">
      <c r="F975" s="11" t="str">
        <f t="shared" si="48"/>
        <v>Accepted</v>
      </c>
      <c r="K975" s="56">
        <f t="shared" si="49"/>
        <v>1</v>
      </c>
      <c r="L975" s="56">
        <f t="shared" si="50"/>
        <v>1900</v>
      </c>
    </row>
    <row r="976" spans="6:12">
      <c r="F976" s="11" t="str">
        <f t="shared" si="48"/>
        <v>Accepted</v>
      </c>
      <c r="K976" s="56">
        <f t="shared" si="49"/>
        <v>1</v>
      </c>
      <c r="L976" s="56">
        <f t="shared" si="50"/>
        <v>1900</v>
      </c>
    </row>
    <row r="977" spans="6:12">
      <c r="F977" s="11" t="str">
        <f t="shared" si="48"/>
        <v>Accepted</v>
      </c>
      <c r="K977" s="56">
        <f t="shared" si="49"/>
        <v>1</v>
      </c>
      <c r="L977" s="56">
        <f t="shared" si="50"/>
        <v>1900</v>
      </c>
    </row>
    <row r="978" spans="6:12">
      <c r="F978" s="11" t="str">
        <f t="shared" si="48"/>
        <v>Accepted</v>
      </c>
      <c r="K978" s="56">
        <f t="shared" si="49"/>
        <v>1</v>
      </c>
      <c r="L978" s="56">
        <f t="shared" si="50"/>
        <v>1900</v>
      </c>
    </row>
    <row r="979" spans="6:12">
      <c r="F979" s="11" t="str">
        <f t="shared" si="48"/>
        <v>Accepted</v>
      </c>
      <c r="K979" s="56">
        <f t="shared" si="49"/>
        <v>1</v>
      </c>
      <c r="L979" s="56">
        <f t="shared" si="50"/>
        <v>1900</v>
      </c>
    </row>
    <row r="980" spans="6:12">
      <c r="F980" s="11" t="str">
        <f t="shared" si="48"/>
        <v>Accepted</v>
      </c>
      <c r="K980" s="56">
        <f t="shared" si="49"/>
        <v>1</v>
      </c>
      <c r="L980" s="56">
        <f t="shared" si="50"/>
        <v>1900</v>
      </c>
    </row>
    <row r="981" spans="6:12">
      <c r="F981" s="11" t="str">
        <f t="shared" si="48"/>
        <v>Accepted</v>
      </c>
      <c r="K981" s="56">
        <f t="shared" si="49"/>
        <v>1</v>
      </c>
      <c r="L981" s="56">
        <f t="shared" si="50"/>
        <v>1900</v>
      </c>
    </row>
    <row r="982" spans="6:12">
      <c r="F982" s="11" t="str">
        <f t="shared" si="48"/>
        <v>Accepted</v>
      </c>
      <c r="K982" s="56">
        <f t="shared" si="49"/>
        <v>1</v>
      </c>
      <c r="L982" s="56">
        <f t="shared" si="50"/>
        <v>1900</v>
      </c>
    </row>
    <row r="983" spans="6:12">
      <c r="F983" s="11" t="str">
        <f t="shared" si="48"/>
        <v>Accepted</v>
      </c>
      <c r="K983" s="56">
        <f t="shared" si="49"/>
        <v>1</v>
      </c>
      <c r="L983" s="56">
        <f t="shared" si="50"/>
        <v>1900</v>
      </c>
    </row>
    <row r="984" spans="6:12">
      <c r="F984" s="11" t="str">
        <f t="shared" si="48"/>
        <v>Accepted</v>
      </c>
      <c r="K984" s="56">
        <f t="shared" si="49"/>
        <v>1</v>
      </c>
      <c r="L984" s="56">
        <f t="shared" si="50"/>
        <v>1900</v>
      </c>
    </row>
    <row r="985" spans="6:12">
      <c r="F985" s="11" t="str">
        <f t="shared" si="48"/>
        <v>Accepted</v>
      </c>
      <c r="K985" s="56">
        <f t="shared" si="49"/>
        <v>1</v>
      </c>
      <c r="L985" s="56">
        <f t="shared" si="50"/>
        <v>1900</v>
      </c>
    </row>
    <row r="986" spans="6:12">
      <c r="F986" s="11" t="str">
        <f t="shared" si="48"/>
        <v>Accepted</v>
      </c>
      <c r="K986" s="56">
        <f t="shared" si="49"/>
        <v>1</v>
      </c>
      <c r="L986" s="56">
        <f t="shared" si="50"/>
        <v>1900</v>
      </c>
    </row>
    <row r="987" spans="6:12">
      <c r="F987" s="11" t="str">
        <f t="shared" si="48"/>
        <v>Accepted</v>
      </c>
      <c r="K987" s="56">
        <f t="shared" si="49"/>
        <v>1</v>
      </c>
      <c r="L987" s="56">
        <f t="shared" si="50"/>
        <v>1900</v>
      </c>
    </row>
    <row r="988" spans="6:12">
      <c r="F988" s="11" t="str">
        <f t="shared" si="48"/>
        <v>Accepted</v>
      </c>
      <c r="K988" s="56">
        <f t="shared" si="49"/>
        <v>1</v>
      </c>
      <c r="L988" s="56">
        <f t="shared" si="50"/>
        <v>1900</v>
      </c>
    </row>
    <row r="989" spans="6:12">
      <c r="F989" s="11" t="str">
        <f t="shared" si="48"/>
        <v>Accepted</v>
      </c>
      <c r="K989" s="56">
        <f t="shared" si="49"/>
        <v>1</v>
      </c>
      <c r="L989" s="56">
        <f t="shared" si="50"/>
        <v>1900</v>
      </c>
    </row>
    <row r="990" spans="6:12">
      <c r="F990" s="11" t="str">
        <f t="shared" si="48"/>
        <v>Accepted</v>
      </c>
      <c r="K990" s="56">
        <f t="shared" si="49"/>
        <v>1</v>
      </c>
      <c r="L990" s="56">
        <f t="shared" si="50"/>
        <v>1900</v>
      </c>
    </row>
    <row r="991" spans="6:12">
      <c r="F991" s="11" t="str">
        <f t="shared" si="48"/>
        <v>Accepted</v>
      </c>
      <c r="K991" s="56">
        <f t="shared" si="49"/>
        <v>1</v>
      </c>
      <c r="L991" s="56">
        <f t="shared" si="50"/>
        <v>1900</v>
      </c>
    </row>
    <row r="992" spans="6:12">
      <c r="F992" s="11" t="str">
        <f t="shared" si="48"/>
        <v>Accepted</v>
      </c>
      <c r="K992" s="56">
        <f t="shared" si="49"/>
        <v>1</v>
      </c>
      <c r="L992" s="56">
        <f t="shared" si="50"/>
        <v>1900</v>
      </c>
    </row>
    <row r="993" spans="6:12">
      <c r="F993" s="11" t="str">
        <f t="shared" si="48"/>
        <v>Accepted</v>
      </c>
      <c r="K993" s="56">
        <f t="shared" si="49"/>
        <v>1</v>
      </c>
      <c r="L993" s="56">
        <f t="shared" si="50"/>
        <v>1900</v>
      </c>
    </row>
    <row r="994" spans="6:12">
      <c r="F994" s="11" t="str">
        <f t="shared" si="48"/>
        <v>Accepted</v>
      </c>
      <c r="K994" s="56">
        <f t="shared" si="49"/>
        <v>1</v>
      </c>
      <c r="L994" s="56">
        <f t="shared" si="50"/>
        <v>1900</v>
      </c>
    </row>
    <row r="995" spans="6:12">
      <c r="F995" s="11" t="str">
        <f t="shared" si="48"/>
        <v>Accepted</v>
      </c>
      <c r="K995" s="56">
        <f t="shared" si="49"/>
        <v>1</v>
      </c>
      <c r="L995" s="56">
        <f t="shared" si="50"/>
        <v>1900</v>
      </c>
    </row>
    <row r="996" spans="6:12">
      <c r="F996" s="11" t="str">
        <f t="shared" si="48"/>
        <v>Accepted</v>
      </c>
      <c r="K996" s="56">
        <f t="shared" si="49"/>
        <v>1</v>
      </c>
      <c r="L996" s="56">
        <f t="shared" si="50"/>
        <v>1900</v>
      </c>
    </row>
    <row r="997" spans="6:12">
      <c r="F997" s="11" t="str">
        <f t="shared" si="48"/>
        <v>Accepted</v>
      </c>
      <c r="K997" s="56">
        <f t="shared" si="49"/>
        <v>1</v>
      </c>
      <c r="L997" s="56">
        <f t="shared" si="50"/>
        <v>1900</v>
      </c>
    </row>
    <row r="998" spans="6:12">
      <c r="F998" s="11" t="str">
        <f t="shared" si="48"/>
        <v>Accepted</v>
      </c>
      <c r="K998" s="56">
        <f t="shared" si="49"/>
        <v>1</v>
      </c>
      <c r="L998" s="56">
        <f t="shared" si="50"/>
        <v>1900</v>
      </c>
    </row>
    <row r="999" spans="6:12">
      <c r="F999" s="11" t="str">
        <f t="shared" si="48"/>
        <v>Accepted</v>
      </c>
      <c r="K999" s="56">
        <f t="shared" si="49"/>
        <v>1</v>
      </c>
      <c r="L999" s="56">
        <f t="shared" si="50"/>
        <v>1900</v>
      </c>
    </row>
    <row r="1000" spans="6:12">
      <c r="F1000" s="11" t="str">
        <f t="shared" si="48"/>
        <v>Accepted</v>
      </c>
      <c r="K1000" s="56">
        <f t="shared" si="49"/>
        <v>1</v>
      </c>
      <c r="L1000" s="56">
        <f t="shared" si="50"/>
        <v>1900</v>
      </c>
    </row>
    <row r="1001" spans="6:12">
      <c r="F1001" s="11" t="str">
        <f t="shared" si="48"/>
        <v>Accepted</v>
      </c>
      <c r="K1001" s="56">
        <f t="shared" si="49"/>
        <v>1</v>
      </c>
      <c r="L1001" s="56">
        <f t="shared" si="50"/>
        <v>1900</v>
      </c>
    </row>
    <row r="1002" spans="6:12">
      <c r="F1002" s="11" t="str">
        <f t="shared" si="48"/>
        <v>Accepted</v>
      </c>
      <c r="K1002" s="56">
        <f t="shared" si="49"/>
        <v>1</v>
      </c>
      <c r="L1002" s="56">
        <f t="shared" si="50"/>
        <v>1900</v>
      </c>
    </row>
    <row r="1003" spans="6:12">
      <c r="F1003" s="11" t="str">
        <f t="shared" si="48"/>
        <v>Accepted</v>
      </c>
      <c r="K1003" s="56">
        <f t="shared" si="49"/>
        <v>1</v>
      </c>
      <c r="L1003" s="56">
        <f t="shared" si="50"/>
        <v>1900</v>
      </c>
    </row>
    <row r="1004" spans="6:12">
      <c r="F1004" s="11" t="str">
        <f t="shared" si="48"/>
        <v>Accepted</v>
      </c>
      <c r="K1004" s="56">
        <f t="shared" si="49"/>
        <v>1</v>
      </c>
      <c r="L1004" s="56">
        <f t="shared" si="50"/>
        <v>1900</v>
      </c>
    </row>
    <row r="1005" spans="6:12">
      <c r="F1005" s="11" t="str">
        <f t="shared" si="48"/>
        <v>Accepted</v>
      </c>
      <c r="K1005" s="56">
        <f t="shared" si="49"/>
        <v>1</v>
      </c>
      <c r="L1005" s="56">
        <f t="shared" si="50"/>
        <v>1900</v>
      </c>
    </row>
    <row r="1006" spans="6:12">
      <c r="F1006" s="11" t="str">
        <f t="shared" si="48"/>
        <v>Accepted</v>
      </c>
      <c r="K1006" s="56">
        <f t="shared" si="49"/>
        <v>1</v>
      </c>
      <c r="L1006" s="56">
        <f t="shared" si="50"/>
        <v>1900</v>
      </c>
    </row>
    <row r="1007" spans="6:12">
      <c r="F1007" s="11" t="str">
        <f t="shared" si="48"/>
        <v>Accepted</v>
      </c>
      <c r="K1007" s="56">
        <f t="shared" si="49"/>
        <v>1</v>
      </c>
      <c r="L1007" s="56">
        <f t="shared" si="50"/>
        <v>1900</v>
      </c>
    </row>
    <row r="1008" spans="6:12">
      <c r="F1008" s="11" t="str">
        <f t="shared" si="48"/>
        <v>Accepted</v>
      </c>
      <c r="K1008" s="56">
        <f t="shared" si="49"/>
        <v>1</v>
      </c>
      <c r="L1008" s="56">
        <f t="shared" si="50"/>
        <v>1900</v>
      </c>
    </row>
    <row r="1009" spans="6:12">
      <c r="F1009" s="11" t="str">
        <f t="shared" si="48"/>
        <v>Accepted</v>
      </c>
      <c r="K1009" s="56">
        <f t="shared" si="49"/>
        <v>1</v>
      </c>
      <c r="L1009" s="56">
        <f t="shared" si="50"/>
        <v>1900</v>
      </c>
    </row>
    <row r="1010" spans="6:12">
      <c r="F1010" s="11" t="str">
        <f t="shared" si="48"/>
        <v>Accepted</v>
      </c>
      <c r="K1010" s="56">
        <f t="shared" si="49"/>
        <v>1</v>
      </c>
      <c r="L1010" s="56">
        <f t="shared" si="50"/>
        <v>1900</v>
      </c>
    </row>
    <row r="1011" spans="6:12">
      <c r="F1011" s="11" t="str">
        <f t="shared" si="48"/>
        <v>Accepted</v>
      </c>
      <c r="K1011" s="56">
        <f t="shared" si="49"/>
        <v>1</v>
      </c>
      <c r="L1011" s="56">
        <f t="shared" si="50"/>
        <v>1900</v>
      </c>
    </row>
    <row r="1012" spans="6:12">
      <c r="F1012" s="11" t="str">
        <f t="shared" si="48"/>
        <v>Accepted</v>
      </c>
      <c r="K1012" s="56">
        <f t="shared" si="49"/>
        <v>1</v>
      </c>
      <c r="L1012" s="56">
        <f t="shared" si="50"/>
        <v>1900</v>
      </c>
    </row>
    <row r="1013" spans="6:12">
      <c r="F1013" s="11" t="str">
        <f t="shared" si="48"/>
        <v>Accepted</v>
      </c>
      <c r="K1013" s="56">
        <f t="shared" si="49"/>
        <v>1</v>
      </c>
      <c r="L1013" s="56">
        <f t="shared" si="50"/>
        <v>1900</v>
      </c>
    </row>
    <row r="1014" spans="6:12">
      <c r="F1014" s="11" t="str">
        <f t="shared" si="48"/>
        <v>Accepted</v>
      </c>
      <c r="K1014" s="56">
        <f t="shared" si="49"/>
        <v>1</v>
      </c>
      <c r="L1014" s="56">
        <f t="shared" si="50"/>
        <v>1900</v>
      </c>
    </row>
    <row r="1015" spans="6:12">
      <c r="F1015" s="11" t="str">
        <f t="shared" si="48"/>
        <v>Accepted</v>
      </c>
      <c r="K1015" s="56">
        <f t="shared" si="49"/>
        <v>1</v>
      </c>
      <c r="L1015" s="56">
        <f t="shared" si="50"/>
        <v>1900</v>
      </c>
    </row>
    <row r="1016" spans="6:12">
      <c r="F1016" s="11" t="str">
        <f t="shared" si="48"/>
        <v>Accepted</v>
      </c>
      <c r="K1016" s="56">
        <f t="shared" si="49"/>
        <v>1</v>
      </c>
      <c r="L1016" s="56">
        <f t="shared" si="50"/>
        <v>1900</v>
      </c>
    </row>
    <row r="1017" spans="6:12">
      <c r="F1017" s="11" t="str">
        <f t="shared" si="48"/>
        <v>Accepted</v>
      </c>
      <c r="K1017" s="56">
        <f t="shared" si="49"/>
        <v>1</v>
      </c>
      <c r="L1017" s="56">
        <f t="shared" si="50"/>
        <v>1900</v>
      </c>
    </row>
    <row r="1018" spans="6:12">
      <c r="F1018" s="11" t="str">
        <f t="shared" si="48"/>
        <v>Accepted</v>
      </c>
      <c r="K1018" s="56">
        <f t="shared" si="49"/>
        <v>1</v>
      </c>
      <c r="L1018" s="56">
        <f t="shared" si="50"/>
        <v>1900</v>
      </c>
    </row>
    <row r="1019" spans="6:12">
      <c r="F1019" s="11" t="str">
        <f t="shared" ref="F1019:F1082" si="51">IF((D1019-G1019)&lt;10,"Accepted","Partial/Rejected")</f>
        <v>Accepted</v>
      </c>
      <c r="K1019" s="56">
        <f t="shared" si="49"/>
        <v>1</v>
      </c>
      <c r="L1019" s="56">
        <f t="shared" si="50"/>
        <v>1900</v>
      </c>
    </row>
    <row r="1020" spans="6:12">
      <c r="F1020" s="11" t="str">
        <f t="shared" si="51"/>
        <v>Accepted</v>
      </c>
      <c r="K1020" s="56">
        <f t="shared" si="49"/>
        <v>1</v>
      </c>
      <c r="L1020" s="56">
        <f t="shared" si="50"/>
        <v>1900</v>
      </c>
    </row>
    <row r="1021" spans="6:12">
      <c r="F1021" s="11" t="str">
        <f t="shared" si="51"/>
        <v>Accepted</v>
      </c>
      <c r="K1021" s="56">
        <f t="shared" si="49"/>
        <v>1</v>
      </c>
      <c r="L1021" s="56">
        <f t="shared" si="50"/>
        <v>1900</v>
      </c>
    </row>
    <row r="1022" spans="6:12">
      <c r="F1022" s="11" t="str">
        <f t="shared" si="51"/>
        <v>Accepted</v>
      </c>
      <c r="K1022" s="56">
        <f t="shared" si="49"/>
        <v>1</v>
      </c>
      <c r="L1022" s="56">
        <f t="shared" si="50"/>
        <v>1900</v>
      </c>
    </row>
    <row r="1023" spans="6:12">
      <c r="F1023" s="11" t="str">
        <f t="shared" si="51"/>
        <v>Accepted</v>
      </c>
      <c r="K1023" s="56">
        <f t="shared" si="49"/>
        <v>1</v>
      </c>
      <c r="L1023" s="56">
        <f t="shared" si="50"/>
        <v>1900</v>
      </c>
    </row>
    <row r="1024" spans="6:12">
      <c r="F1024" s="11" t="str">
        <f t="shared" si="51"/>
        <v>Accepted</v>
      </c>
      <c r="K1024" s="56">
        <f t="shared" si="49"/>
        <v>1</v>
      </c>
      <c r="L1024" s="56">
        <f t="shared" si="50"/>
        <v>1900</v>
      </c>
    </row>
    <row r="1025" spans="6:12">
      <c r="F1025" s="11" t="str">
        <f t="shared" si="51"/>
        <v>Accepted</v>
      </c>
      <c r="K1025" s="56">
        <f t="shared" si="49"/>
        <v>1</v>
      </c>
      <c r="L1025" s="56">
        <f t="shared" si="50"/>
        <v>1900</v>
      </c>
    </row>
    <row r="1026" spans="6:12">
      <c r="F1026" s="11" t="str">
        <f t="shared" si="51"/>
        <v>Accepted</v>
      </c>
      <c r="K1026" s="56">
        <f t="shared" si="49"/>
        <v>1</v>
      </c>
      <c r="L1026" s="56">
        <f t="shared" si="50"/>
        <v>1900</v>
      </c>
    </row>
    <row r="1027" spans="6:12">
      <c r="F1027" s="11" t="str">
        <f t="shared" si="51"/>
        <v>Accepted</v>
      </c>
      <c r="K1027" s="56">
        <f t="shared" si="49"/>
        <v>1</v>
      </c>
      <c r="L1027" s="56">
        <f t="shared" si="50"/>
        <v>1900</v>
      </c>
    </row>
    <row r="1028" spans="6:12">
      <c r="F1028" s="11" t="str">
        <f t="shared" si="51"/>
        <v>Accepted</v>
      </c>
      <c r="K1028" s="56">
        <f t="shared" si="49"/>
        <v>1</v>
      </c>
      <c r="L1028" s="56">
        <f t="shared" si="50"/>
        <v>1900</v>
      </c>
    </row>
    <row r="1029" spans="6:12">
      <c r="F1029" s="11" t="str">
        <f t="shared" si="51"/>
        <v>Accepted</v>
      </c>
      <c r="K1029" s="56">
        <f t="shared" si="49"/>
        <v>1</v>
      </c>
      <c r="L1029" s="56">
        <f t="shared" si="50"/>
        <v>1900</v>
      </c>
    </row>
    <row r="1030" spans="6:12">
      <c r="F1030" s="11" t="str">
        <f t="shared" si="51"/>
        <v>Accepted</v>
      </c>
      <c r="K1030" s="56">
        <f t="shared" si="49"/>
        <v>1</v>
      </c>
      <c r="L1030" s="56">
        <f t="shared" si="50"/>
        <v>1900</v>
      </c>
    </row>
    <row r="1031" spans="6:12">
      <c r="F1031" s="11" t="str">
        <f t="shared" si="51"/>
        <v>Accepted</v>
      </c>
      <c r="K1031" s="56">
        <f t="shared" si="49"/>
        <v>1</v>
      </c>
      <c r="L1031" s="56">
        <f t="shared" si="50"/>
        <v>1900</v>
      </c>
    </row>
    <row r="1032" spans="6:12">
      <c r="F1032" s="11" t="str">
        <f t="shared" si="51"/>
        <v>Accepted</v>
      </c>
      <c r="K1032" s="56">
        <f t="shared" si="49"/>
        <v>1</v>
      </c>
      <c r="L1032" s="56">
        <f t="shared" si="50"/>
        <v>1900</v>
      </c>
    </row>
    <row r="1033" spans="6:12">
      <c r="F1033" s="11" t="str">
        <f t="shared" si="51"/>
        <v>Accepted</v>
      </c>
      <c r="K1033" s="56">
        <f t="shared" si="49"/>
        <v>1</v>
      </c>
      <c r="L1033" s="56">
        <f t="shared" si="50"/>
        <v>1900</v>
      </c>
    </row>
    <row r="1034" spans="6:12">
      <c r="F1034" s="11" t="str">
        <f t="shared" si="51"/>
        <v>Accepted</v>
      </c>
      <c r="K1034" s="56">
        <f t="shared" si="49"/>
        <v>1</v>
      </c>
      <c r="L1034" s="56">
        <f t="shared" si="50"/>
        <v>1900</v>
      </c>
    </row>
    <row r="1035" spans="6:12">
      <c r="F1035" s="11" t="str">
        <f t="shared" si="51"/>
        <v>Accepted</v>
      </c>
      <c r="K1035" s="56">
        <f t="shared" ref="K1035:K1098" si="52">MONTH(C1035)</f>
        <v>1</v>
      </c>
      <c r="L1035" s="56">
        <f t="shared" ref="L1035:L1098" si="53">YEAR(C1035)</f>
        <v>1900</v>
      </c>
    </row>
    <row r="1036" spans="6:12">
      <c r="F1036" s="11" t="str">
        <f t="shared" si="51"/>
        <v>Accepted</v>
      </c>
      <c r="K1036" s="56">
        <f t="shared" si="52"/>
        <v>1</v>
      </c>
      <c r="L1036" s="56">
        <f t="shared" si="53"/>
        <v>1900</v>
      </c>
    </row>
    <row r="1037" spans="6:12">
      <c r="F1037" s="11" t="str">
        <f t="shared" si="51"/>
        <v>Accepted</v>
      </c>
      <c r="K1037" s="56">
        <f t="shared" si="52"/>
        <v>1</v>
      </c>
      <c r="L1037" s="56">
        <f t="shared" si="53"/>
        <v>1900</v>
      </c>
    </row>
    <row r="1038" spans="6:12">
      <c r="F1038" s="11" t="str">
        <f t="shared" si="51"/>
        <v>Accepted</v>
      </c>
      <c r="K1038" s="56">
        <f t="shared" si="52"/>
        <v>1</v>
      </c>
      <c r="L1038" s="56">
        <f t="shared" si="53"/>
        <v>1900</v>
      </c>
    </row>
    <row r="1039" spans="6:12">
      <c r="F1039" s="11" t="str">
        <f t="shared" si="51"/>
        <v>Accepted</v>
      </c>
      <c r="K1039" s="56">
        <f t="shared" si="52"/>
        <v>1</v>
      </c>
      <c r="L1039" s="56">
        <f t="shared" si="53"/>
        <v>1900</v>
      </c>
    </row>
    <row r="1040" spans="6:12">
      <c r="F1040" s="11" t="str">
        <f t="shared" si="51"/>
        <v>Accepted</v>
      </c>
      <c r="K1040" s="56">
        <f t="shared" si="52"/>
        <v>1</v>
      </c>
      <c r="L1040" s="56">
        <f t="shared" si="53"/>
        <v>1900</v>
      </c>
    </row>
    <row r="1041" spans="6:12">
      <c r="F1041" s="11" t="str">
        <f t="shared" si="51"/>
        <v>Accepted</v>
      </c>
      <c r="K1041" s="56">
        <f t="shared" si="52"/>
        <v>1</v>
      </c>
      <c r="L1041" s="56">
        <f t="shared" si="53"/>
        <v>1900</v>
      </c>
    </row>
    <row r="1042" spans="6:12">
      <c r="F1042" s="11" t="str">
        <f t="shared" si="51"/>
        <v>Accepted</v>
      </c>
      <c r="K1042" s="56">
        <f t="shared" si="52"/>
        <v>1</v>
      </c>
      <c r="L1042" s="56">
        <f t="shared" si="53"/>
        <v>1900</v>
      </c>
    </row>
    <row r="1043" spans="6:12">
      <c r="F1043" s="11" t="str">
        <f t="shared" si="51"/>
        <v>Accepted</v>
      </c>
      <c r="K1043" s="56">
        <f t="shared" si="52"/>
        <v>1</v>
      </c>
      <c r="L1043" s="56">
        <f t="shared" si="53"/>
        <v>1900</v>
      </c>
    </row>
    <row r="1044" spans="6:12">
      <c r="F1044" s="11" t="str">
        <f t="shared" si="51"/>
        <v>Accepted</v>
      </c>
      <c r="K1044" s="56">
        <f t="shared" si="52"/>
        <v>1</v>
      </c>
      <c r="L1044" s="56">
        <f t="shared" si="53"/>
        <v>1900</v>
      </c>
    </row>
    <row r="1045" spans="6:12">
      <c r="F1045" s="11" t="str">
        <f t="shared" si="51"/>
        <v>Accepted</v>
      </c>
      <c r="K1045" s="56">
        <f t="shared" si="52"/>
        <v>1</v>
      </c>
      <c r="L1045" s="56">
        <f t="shared" si="53"/>
        <v>1900</v>
      </c>
    </row>
    <row r="1046" spans="6:12">
      <c r="F1046" s="11" t="str">
        <f t="shared" si="51"/>
        <v>Accepted</v>
      </c>
      <c r="K1046" s="56">
        <f t="shared" si="52"/>
        <v>1</v>
      </c>
      <c r="L1046" s="56">
        <f t="shared" si="53"/>
        <v>1900</v>
      </c>
    </row>
    <row r="1047" spans="6:12">
      <c r="F1047" s="11" t="str">
        <f t="shared" si="51"/>
        <v>Accepted</v>
      </c>
      <c r="K1047" s="56">
        <f t="shared" si="52"/>
        <v>1</v>
      </c>
      <c r="L1047" s="56">
        <f t="shared" si="53"/>
        <v>1900</v>
      </c>
    </row>
    <row r="1048" spans="6:12">
      <c r="F1048" s="11" t="str">
        <f t="shared" si="51"/>
        <v>Accepted</v>
      </c>
      <c r="K1048" s="56">
        <f t="shared" si="52"/>
        <v>1</v>
      </c>
      <c r="L1048" s="56">
        <f t="shared" si="53"/>
        <v>1900</v>
      </c>
    </row>
    <row r="1049" spans="6:12">
      <c r="F1049" s="11" t="str">
        <f t="shared" si="51"/>
        <v>Accepted</v>
      </c>
      <c r="K1049" s="56">
        <f t="shared" si="52"/>
        <v>1</v>
      </c>
      <c r="L1049" s="56">
        <f t="shared" si="53"/>
        <v>1900</v>
      </c>
    </row>
    <row r="1050" spans="6:12">
      <c r="F1050" s="11" t="str">
        <f t="shared" si="51"/>
        <v>Accepted</v>
      </c>
      <c r="K1050" s="56">
        <f t="shared" si="52"/>
        <v>1</v>
      </c>
      <c r="L1050" s="56">
        <f t="shared" si="53"/>
        <v>1900</v>
      </c>
    </row>
    <row r="1051" spans="6:12">
      <c r="F1051" s="11" t="str">
        <f t="shared" si="51"/>
        <v>Accepted</v>
      </c>
      <c r="K1051" s="56">
        <f t="shared" si="52"/>
        <v>1</v>
      </c>
      <c r="L1051" s="56">
        <f t="shared" si="53"/>
        <v>1900</v>
      </c>
    </row>
    <row r="1052" spans="6:12">
      <c r="F1052" s="11" t="str">
        <f t="shared" si="51"/>
        <v>Accepted</v>
      </c>
      <c r="K1052" s="56">
        <f t="shared" si="52"/>
        <v>1</v>
      </c>
      <c r="L1052" s="56">
        <f t="shared" si="53"/>
        <v>1900</v>
      </c>
    </row>
    <row r="1053" spans="6:12">
      <c r="F1053" s="11" t="str">
        <f t="shared" si="51"/>
        <v>Accepted</v>
      </c>
      <c r="K1053" s="56">
        <f t="shared" si="52"/>
        <v>1</v>
      </c>
      <c r="L1053" s="56">
        <f t="shared" si="53"/>
        <v>1900</v>
      </c>
    </row>
    <row r="1054" spans="6:12">
      <c r="F1054" s="11" t="str">
        <f t="shared" si="51"/>
        <v>Accepted</v>
      </c>
      <c r="K1054" s="56">
        <f t="shared" si="52"/>
        <v>1</v>
      </c>
      <c r="L1054" s="56">
        <f t="shared" si="53"/>
        <v>1900</v>
      </c>
    </row>
    <row r="1055" spans="6:12">
      <c r="F1055" s="11" t="str">
        <f t="shared" si="51"/>
        <v>Accepted</v>
      </c>
      <c r="K1055" s="56">
        <f t="shared" si="52"/>
        <v>1</v>
      </c>
      <c r="L1055" s="56">
        <f t="shared" si="53"/>
        <v>1900</v>
      </c>
    </row>
    <row r="1056" spans="6:12">
      <c r="F1056" s="11" t="str">
        <f t="shared" si="51"/>
        <v>Accepted</v>
      </c>
      <c r="K1056" s="56">
        <f t="shared" si="52"/>
        <v>1</v>
      </c>
      <c r="L1056" s="56">
        <f t="shared" si="53"/>
        <v>1900</v>
      </c>
    </row>
    <row r="1057" spans="6:12">
      <c r="F1057" s="11" t="str">
        <f t="shared" si="51"/>
        <v>Accepted</v>
      </c>
      <c r="K1057" s="56">
        <f t="shared" si="52"/>
        <v>1</v>
      </c>
      <c r="L1057" s="56">
        <f t="shared" si="53"/>
        <v>1900</v>
      </c>
    </row>
    <row r="1058" spans="6:12">
      <c r="F1058" s="11" t="str">
        <f t="shared" si="51"/>
        <v>Accepted</v>
      </c>
      <c r="K1058" s="56">
        <f t="shared" si="52"/>
        <v>1</v>
      </c>
      <c r="L1058" s="56">
        <f t="shared" si="53"/>
        <v>1900</v>
      </c>
    </row>
    <row r="1059" spans="6:12">
      <c r="F1059" s="11" t="str">
        <f t="shared" si="51"/>
        <v>Accepted</v>
      </c>
      <c r="K1059" s="56">
        <f t="shared" si="52"/>
        <v>1</v>
      </c>
      <c r="L1059" s="56">
        <f t="shared" si="53"/>
        <v>1900</v>
      </c>
    </row>
    <row r="1060" spans="6:12">
      <c r="F1060" s="11" t="str">
        <f t="shared" si="51"/>
        <v>Accepted</v>
      </c>
      <c r="K1060" s="56">
        <f t="shared" si="52"/>
        <v>1</v>
      </c>
      <c r="L1060" s="56">
        <f t="shared" si="53"/>
        <v>1900</v>
      </c>
    </row>
    <row r="1061" spans="6:12">
      <c r="F1061" s="11" t="str">
        <f t="shared" si="51"/>
        <v>Accepted</v>
      </c>
      <c r="K1061" s="56">
        <f t="shared" si="52"/>
        <v>1</v>
      </c>
      <c r="L1061" s="56">
        <f t="shared" si="53"/>
        <v>1900</v>
      </c>
    </row>
    <row r="1062" spans="6:12">
      <c r="F1062" s="11" t="str">
        <f t="shared" si="51"/>
        <v>Accepted</v>
      </c>
      <c r="K1062" s="56">
        <f t="shared" si="52"/>
        <v>1</v>
      </c>
      <c r="L1062" s="56">
        <f t="shared" si="53"/>
        <v>1900</v>
      </c>
    </row>
    <row r="1063" spans="6:12">
      <c r="F1063" s="11" t="str">
        <f t="shared" si="51"/>
        <v>Accepted</v>
      </c>
      <c r="K1063" s="56">
        <f t="shared" si="52"/>
        <v>1</v>
      </c>
      <c r="L1063" s="56">
        <f t="shared" si="53"/>
        <v>1900</v>
      </c>
    </row>
    <row r="1064" spans="6:12">
      <c r="F1064" s="11" t="str">
        <f t="shared" si="51"/>
        <v>Accepted</v>
      </c>
      <c r="K1064" s="56">
        <f t="shared" si="52"/>
        <v>1</v>
      </c>
      <c r="L1064" s="56">
        <f t="shared" si="53"/>
        <v>1900</v>
      </c>
    </row>
    <row r="1065" spans="6:12">
      <c r="F1065" s="11" t="str">
        <f t="shared" si="51"/>
        <v>Accepted</v>
      </c>
      <c r="K1065" s="56">
        <f t="shared" si="52"/>
        <v>1</v>
      </c>
      <c r="L1065" s="56">
        <f t="shared" si="53"/>
        <v>1900</v>
      </c>
    </row>
    <row r="1066" spans="6:12">
      <c r="F1066" s="11" t="str">
        <f t="shared" si="51"/>
        <v>Accepted</v>
      </c>
      <c r="K1066" s="56">
        <f t="shared" si="52"/>
        <v>1</v>
      </c>
      <c r="L1066" s="56">
        <f t="shared" si="53"/>
        <v>1900</v>
      </c>
    </row>
    <row r="1067" spans="6:12">
      <c r="F1067" s="11" t="str">
        <f t="shared" si="51"/>
        <v>Accepted</v>
      </c>
      <c r="K1067" s="56">
        <f t="shared" si="52"/>
        <v>1</v>
      </c>
      <c r="L1067" s="56">
        <f t="shared" si="53"/>
        <v>1900</v>
      </c>
    </row>
    <row r="1068" spans="6:12">
      <c r="F1068" s="11" t="str">
        <f t="shared" si="51"/>
        <v>Accepted</v>
      </c>
      <c r="K1068" s="56">
        <f t="shared" si="52"/>
        <v>1</v>
      </c>
      <c r="L1068" s="56">
        <f t="shared" si="53"/>
        <v>1900</v>
      </c>
    </row>
    <row r="1069" spans="6:12">
      <c r="F1069" s="11" t="str">
        <f t="shared" si="51"/>
        <v>Accepted</v>
      </c>
      <c r="K1069" s="56">
        <f t="shared" si="52"/>
        <v>1</v>
      </c>
      <c r="L1069" s="56">
        <f t="shared" si="53"/>
        <v>1900</v>
      </c>
    </row>
    <row r="1070" spans="6:12">
      <c r="F1070" s="11" t="str">
        <f t="shared" si="51"/>
        <v>Accepted</v>
      </c>
      <c r="K1070" s="56">
        <f t="shared" si="52"/>
        <v>1</v>
      </c>
      <c r="L1070" s="56">
        <f t="shared" si="53"/>
        <v>1900</v>
      </c>
    </row>
    <row r="1071" spans="6:12">
      <c r="F1071" s="11" t="str">
        <f t="shared" si="51"/>
        <v>Accepted</v>
      </c>
      <c r="K1071" s="56">
        <f t="shared" si="52"/>
        <v>1</v>
      </c>
      <c r="L1071" s="56">
        <f t="shared" si="53"/>
        <v>1900</v>
      </c>
    </row>
    <row r="1072" spans="6:12">
      <c r="F1072" s="11" t="str">
        <f t="shared" si="51"/>
        <v>Accepted</v>
      </c>
      <c r="K1072" s="56">
        <f t="shared" si="52"/>
        <v>1</v>
      </c>
      <c r="L1072" s="56">
        <f t="shared" si="53"/>
        <v>1900</v>
      </c>
    </row>
    <row r="1073" spans="6:12">
      <c r="F1073" s="11" t="str">
        <f t="shared" si="51"/>
        <v>Accepted</v>
      </c>
      <c r="K1073" s="56">
        <f t="shared" si="52"/>
        <v>1</v>
      </c>
      <c r="L1073" s="56">
        <f t="shared" si="53"/>
        <v>1900</v>
      </c>
    </row>
    <row r="1074" spans="6:12">
      <c r="F1074" s="11" t="str">
        <f t="shared" si="51"/>
        <v>Accepted</v>
      </c>
      <c r="K1074" s="56">
        <f t="shared" si="52"/>
        <v>1</v>
      </c>
      <c r="L1074" s="56">
        <f t="shared" si="53"/>
        <v>1900</v>
      </c>
    </row>
    <row r="1075" spans="6:12">
      <c r="F1075" s="11" t="str">
        <f t="shared" si="51"/>
        <v>Accepted</v>
      </c>
      <c r="K1075" s="56">
        <f t="shared" si="52"/>
        <v>1</v>
      </c>
      <c r="L1075" s="56">
        <f t="shared" si="53"/>
        <v>1900</v>
      </c>
    </row>
    <row r="1076" spans="6:12">
      <c r="F1076" s="11" t="str">
        <f t="shared" si="51"/>
        <v>Accepted</v>
      </c>
      <c r="K1076" s="56">
        <f t="shared" si="52"/>
        <v>1</v>
      </c>
      <c r="L1076" s="56">
        <f t="shared" si="53"/>
        <v>1900</v>
      </c>
    </row>
    <row r="1077" spans="6:12">
      <c r="F1077" s="11" t="str">
        <f t="shared" si="51"/>
        <v>Accepted</v>
      </c>
      <c r="K1077" s="56">
        <f t="shared" si="52"/>
        <v>1</v>
      </c>
      <c r="L1077" s="56">
        <f t="shared" si="53"/>
        <v>1900</v>
      </c>
    </row>
    <row r="1078" spans="6:12">
      <c r="F1078" s="11" t="str">
        <f t="shared" si="51"/>
        <v>Accepted</v>
      </c>
      <c r="K1078" s="56">
        <f t="shared" si="52"/>
        <v>1</v>
      </c>
      <c r="L1078" s="56">
        <f t="shared" si="53"/>
        <v>1900</v>
      </c>
    </row>
    <row r="1079" spans="6:12">
      <c r="F1079" s="11" t="str">
        <f t="shared" si="51"/>
        <v>Accepted</v>
      </c>
      <c r="K1079" s="56">
        <f t="shared" si="52"/>
        <v>1</v>
      </c>
      <c r="L1079" s="56">
        <f t="shared" si="53"/>
        <v>1900</v>
      </c>
    </row>
    <row r="1080" spans="6:12">
      <c r="F1080" s="11" t="str">
        <f t="shared" si="51"/>
        <v>Accepted</v>
      </c>
      <c r="K1080" s="56">
        <f t="shared" si="52"/>
        <v>1</v>
      </c>
      <c r="L1080" s="56">
        <f t="shared" si="53"/>
        <v>1900</v>
      </c>
    </row>
    <row r="1081" spans="6:12">
      <c r="F1081" s="11" t="str">
        <f t="shared" si="51"/>
        <v>Accepted</v>
      </c>
      <c r="K1081" s="56">
        <f t="shared" si="52"/>
        <v>1</v>
      </c>
      <c r="L1081" s="56">
        <f t="shared" si="53"/>
        <v>1900</v>
      </c>
    </row>
    <row r="1082" spans="6:12">
      <c r="F1082" s="11" t="str">
        <f t="shared" si="51"/>
        <v>Accepted</v>
      </c>
      <c r="K1082" s="56">
        <f t="shared" si="52"/>
        <v>1</v>
      </c>
      <c r="L1082" s="56">
        <f t="shared" si="53"/>
        <v>1900</v>
      </c>
    </row>
    <row r="1083" spans="6:12">
      <c r="F1083" s="11" t="str">
        <f t="shared" ref="F1083:F1146" si="54">IF((D1083-G1083)&lt;10,"Accepted","Partial/Rejected")</f>
        <v>Accepted</v>
      </c>
      <c r="K1083" s="56">
        <f t="shared" si="52"/>
        <v>1</v>
      </c>
      <c r="L1083" s="56">
        <f t="shared" si="53"/>
        <v>1900</v>
      </c>
    </row>
    <row r="1084" spans="6:12">
      <c r="F1084" s="11" t="str">
        <f t="shared" si="54"/>
        <v>Accepted</v>
      </c>
      <c r="K1084" s="56">
        <f t="shared" si="52"/>
        <v>1</v>
      </c>
      <c r="L1084" s="56">
        <f t="shared" si="53"/>
        <v>1900</v>
      </c>
    </row>
    <row r="1085" spans="6:12">
      <c r="F1085" s="11" t="str">
        <f t="shared" si="54"/>
        <v>Accepted</v>
      </c>
      <c r="K1085" s="56">
        <f t="shared" si="52"/>
        <v>1</v>
      </c>
      <c r="L1085" s="56">
        <f t="shared" si="53"/>
        <v>1900</v>
      </c>
    </row>
    <row r="1086" spans="6:12">
      <c r="F1086" s="11" t="str">
        <f t="shared" si="54"/>
        <v>Accepted</v>
      </c>
      <c r="K1086" s="56">
        <f t="shared" si="52"/>
        <v>1</v>
      </c>
      <c r="L1086" s="56">
        <f t="shared" si="53"/>
        <v>1900</v>
      </c>
    </row>
    <row r="1087" spans="6:12">
      <c r="F1087" s="11" t="str">
        <f t="shared" si="54"/>
        <v>Accepted</v>
      </c>
      <c r="K1087" s="56">
        <f t="shared" si="52"/>
        <v>1</v>
      </c>
      <c r="L1087" s="56">
        <f t="shared" si="53"/>
        <v>1900</v>
      </c>
    </row>
    <row r="1088" spans="6:12">
      <c r="F1088" s="11" t="str">
        <f t="shared" si="54"/>
        <v>Accepted</v>
      </c>
      <c r="K1088" s="56">
        <f t="shared" si="52"/>
        <v>1</v>
      </c>
      <c r="L1088" s="56">
        <f t="shared" si="53"/>
        <v>1900</v>
      </c>
    </row>
    <row r="1089" spans="6:12">
      <c r="F1089" s="11" t="str">
        <f t="shared" si="54"/>
        <v>Accepted</v>
      </c>
      <c r="K1089" s="56">
        <f t="shared" si="52"/>
        <v>1</v>
      </c>
      <c r="L1089" s="56">
        <f t="shared" si="53"/>
        <v>1900</v>
      </c>
    </row>
    <row r="1090" spans="6:12">
      <c r="F1090" s="11" t="str">
        <f t="shared" si="54"/>
        <v>Accepted</v>
      </c>
      <c r="K1090" s="56">
        <f t="shared" si="52"/>
        <v>1</v>
      </c>
      <c r="L1090" s="56">
        <f t="shared" si="53"/>
        <v>1900</v>
      </c>
    </row>
    <row r="1091" spans="6:12">
      <c r="F1091" s="11" t="str">
        <f t="shared" si="54"/>
        <v>Accepted</v>
      </c>
      <c r="K1091" s="56">
        <f t="shared" si="52"/>
        <v>1</v>
      </c>
      <c r="L1091" s="56">
        <f t="shared" si="53"/>
        <v>1900</v>
      </c>
    </row>
    <row r="1092" spans="6:12">
      <c r="F1092" s="11" t="str">
        <f t="shared" si="54"/>
        <v>Accepted</v>
      </c>
      <c r="K1092" s="56">
        <f t="shared" si="52"/>
        <v>1</v>
      </c>
      <c r="L1092" s="56">
        <f t="shared" si="53"/>
        <v>1900</v>
      </c>
    </row>
    <row r="1093" spans="6:12">
      <c r="F1093" s="11" t="str">
        <f t="shared" si="54"/>
        <v>Accepted</v>
      </c>
      <c r="K1093" s="56">
        <f t="shared" si="52"/>
        <v>1</v>
      </c>
      <c r="L1093" s="56">
        <f t="shared" si="53"/>
        <v>1900</v>
      </c>
    </row>
    <row r="1094" spans="6:12">
      <c r="F1094" s="11" t="str">
        <f t="shared" si="54"/>
        <v>Accepted</v>
      </c>
      <c r="K1094" s="56">
        <f t="shared" si="52"/>
        <v>1</v>
      </c>
      <c r="L1094" s="56">
        <f t="shared" si="53"/>
        <v>1900</v>
      </c>
    </row>
    <row r="1095" spans="6:12">
      <c r="F1095" s="11" t="str">
        <f t="shared" si="54"/>
        <v>Accepted</v>
      </c>
      <c r="K1095" s="56">
        <f t="shared" si="52"/>
        <v>1</v>
      </c>
      <c r="L1095" s="56">
        <f t="shared" si="53"/>
        <v>1900</v>
      </c>
    </row>
    <row r="1096" spans="6:12">
      <c r="F1096" s="11" t="str">
        <f t="shared" si="54"/>
        <v>Accepted</v>
      </c>
      <c r="K1096" s="56">
        <f t="shared" si="52"/>
        <v>1</v>
      </c>
      <c r="L1096" s="56">
        <f t="shared" si="53"/>
        <v>1900</v>
      </c>
    </row>
    <row r="1097" spans="6:12">
      <c r="F1097" s="11" t="str">
        <f t="shared" si="54"/>
        <v>Accepted</v>
      </c>
      <c r="K1097" s="56">
        <f t="shared" si="52"/>
        <v>1</v>
      </c>
      <c r="L1097" s="56">
        <f t="shared" si="53"/>
        <v>1900</v>
      </c>
    </row>
    <row r="1098" spans="6:12">
      <c r="F1098" s="11" t="str">
        <f t="shared" si="54"/>
        <v>Accepted</v>
      </c>
      <c r="K1098" s="56">
        <f t="shared" si="52"/>
        <v>1</v>
      </c>
      <c r="L1098" s="56">
        <f t="shared" si="53"/>
        <v>1900</v>
      </c>
    </row>
    <row r="1099" spans="6:12">
      <c r="F1099" s="11" t="str">
        <f t="shared" si="54"/>
        <v>Accepted</v>
      </c>
      <c r="K1099" s="56">
        <f t="shared" ref="K1099:K1162" si="55">MONTH(C1099)</f>
        <v>1</v>
      </c>
      <c r="L1099" s="56">
        <f t="shared" ref="L1099:L1162" si="56">YEAR(C1099)</f>
        <v>1900</v>
      </c>
    </row>
    <row r="1100" spans="6:12">
      <c r="F1100" s="11" t="str">
        <f t="shared" si="54"/>
        <v>Accepted</v>
      </c>
      <c r="K1100" s="56">
        <f t="shared" si="55"/>
        <v>1</v>
      </c>
      <c r="L1100" s="56">
        <f t="shared" si="56"/>
        <v>1900</v>
      </c>
    </row>
    <row r="1101" spans="6:12">
      <c r="F1101" s="11" t="str">
        <f t="shared" si="54"/>
        <v>Accepted</v>
      </c>
      <c r="K1101" s="56">
        <f t="shared" si="55"/>
        <v>1</v>
      </c>
      <c r="L1101" s="56">
        <f t="shared" si="56"/>
        <v>1900</v>
      </c>
    </row>
    <row r="1102" spans="6:12">
      <c r="F1102" s="11" t="str">
        <f t="shared" si="54"/>
        <v>Accepted</v>
      </c>
      <c r="K1102" s="56">
        <f t="shared" si="55"/>
        <v>1</v>
      </c>
      <c r="L1102" s="56">
        <f t="shared" si="56"/>
        <v>1900</v>
      </c>
    </row>
    <row r="1103" spans="6:12">
      <c r="F1103" s="11" t="str">
        <f t="shared" si="54"/>
        <v>Accepted</v>
      </c>
      <c r="K1103" s="56">
        <f t="shared" si="55"/>
        <v>1</v>
      </c>
      <c r="L1103" s="56">
        <f t="shared" si="56"/>
        <v>1900</v>
      </c>
    </row>
    <row r="1104" spans="6:12">
      <c r="F1104" s="11" t="str">
        <f t="shared" si="54"/>
        <v>Accepted</v>
      </c>
      <c r="K1104" s="56">
        <f t="shared" si="55"/>
        <v>1</v>
      </c>
      <c r="L1104" s="56">
        <f t="shared" si="56"/>
        <v>1900</v>
      </c>
    </row>
    <row r="1105" spans="6:12">
      <c r="F1105" s="11" t="str">
        <f t="shared" si="54"/>
        <v>Accepted</v>
      </c>
      <c r="K1105" s="56">
        <f t="shared" si="55"/>
        <v>1</v>
      </c>
      <c r="L1105" s="56">
        <f t="shared" si="56"/>
        <v>1900</v>
      </c>
    </row>
    <row r="1106" spans="6:12">
      <c r="F1106" s="11" t="str">
        <f t="shared" si="54"/>
        <v>Accepted</v>
      </c>
      <c r="K1106" s="56">
        <f t="shared" si="55"/>
        <v>1</v>
      </c>
      <c r="L1106" s="56">
        <f t="shared" si="56"/>
        <v>1900</v>
      </c>
    </row>
    <row r="1107" spans="6:12">
      <c r="F1107" s="11" t="str">
        <f t="shared" si="54"/>
        <v>Accepted</v>
      </c>
      <c r="K1107" s="56">
        <f t="shared" si="55"/>
        <v>1</v>
      </c>
      <c r="L1107" s="56">
        <f t="shared" si="56"/>
        <v>1900</v>
      </c>
    </row>
    <row r="1108" spans="6:12">
      <c r="F1108" s="11" t="str">
        <f t="shared" si="54"/>
        <v>Accepted</v>
      </c>
      <c r="K1108" s="56">
        <f t="shared" si="55"/>
        <v>1</v>
      </c>
      <c r="L1108" s="56">
        <f t="shared" si="56"/>
        <v>1900</v>
      </c>
    </row>
    <row r="1109" spans="6:12">
      <c r="F1109" s="11" t="str">
        <f t="shared" si="54"/>
        <v>Accepted</v>
      </c>
      <c r="K1109" s="56">
        <f t="shared" si="55"/>
        <v>1</v>
      </c>
      <c r="L1109" s="56">
        <f t="shared" si="56"/>
        <v>1900</v>
      </c>
    </row>
    <row r="1110" spans="6:12">
      <c r="F1110" s="11" t="str">
        <f t="shared" si="54"/>
        <v>Accepted</v>
      </c>
      <c r="K1110" s="56">
        <f t="shared" si="55"/>
        <v>1</v>
      </c>
      <c r="L1110" s="56">
        <f t="shared" si="56"/>
        <v>1900</v>
      </c>
    </row>
    <row r="1111" spans="6:12">
      <c r="F1111" s="11" t="str">
        <f t="shared" si="54"/>
        <v>Accepted</v>
      </c>
      <c r="K1111" s="56">
        <f t="shared" si="55"/>
        <v>1</v>
      </c>
      <c r="L1111" s="56">
        <f t="shared" si="56"/>
        <v>1900</v>
      </c>
    </row>
    <row r="1112" spans="6:12">
      <c r="F1112" s="11" t="str">
        <f t="shared" si="54"/>
        <v>Accepted</v>
      </c>
      <c r="K1112" s="56">
        <f t="shared" si="55"/>
        <v>1</v>
      </c>
      <c r="L1112" s="56">
        <f t="shared" si="56"/>
        <v>1900</v>
      </c>
    </row>
    <row r="1113" spans="6:12">
      <c r="F1113" s="11" t="str">
        <f t="shared" si="54"/>
        <v>Accepted</v>
      </c>
      <c r="K1113" s="56">
        <f t="shared" si="55"/>
        <v>1</v>
      </c>
      <c r="L1113" s="56">
        <f t="shared" si="56"/>
        <v>1900</v>
      </c>
    </row>
    <row r="1114" spans="6:12">
      <c r="F1114" s="11" t="str">
        <f t="shared" si="54"/>
        <v>Accepted</v>
      </c>
      <c r="K1114" s="56">
        <f t="shared" si="55"/>
        <v>1</v>
      </c>
      <c r="L1114" s="56">
        <f t="shared" si="56"/>
        <v>1900</v>
      </c>
    </row>
    <row r="1115" spans="6:12">
      <c r="F1115" s="11" t="str">
        <f t="shared" si="54"/>
        <v>Accepted</v>
      </c>
      <c r="K1115" s="56">
        <f t="shared" si="55"/>
        <v>1</v>
      </c>
      <c r="L1115" s="56">
        <f t="shared" si="56"/>
        <v>1900</v>
      </c>
    </row>
    <row r="1116" spans="6:12">
      <c r="F1116" s="11" t="str">
        <f t="shared" si="54"/>
        <v>Accepted</v>
      </c>
      <c r="K1116" s="56">
        <f t="shared" si="55"/>
        <v>1</v>
      </c>
      <c r="L1116" s="56">
        <f t="shared" si="56"/>
        <v>1900</v>
      </c>
    </row>
    <row r="1117" spans="6:12">
      <c r="F1117" s="11" t="str">
        <f t="shared" si="54"/>
        <v>Accepted</v>
      </c>
      <c r="K1117" s="56">
        <f t="shared" si="55"/>
        <v>1</v>
      </c>
      <c r="L1117" s="56">
        <f t="shared" si="56"/>
        <v>1900</v>
      </c>
    </row>
    <row r="1118" spans="6:12">
      <c r="F1118" s="11" t="str">
        <f t="shared" si="54"/>
        <v>Accepted</v>
      </c>
      <c r="K1118" s="56">
        <f t="shared" si="55"/>
        <v>1</v>
      </c>
      <c r="L1118" s="56">
        <f t="shared" si="56"/>
        <v>1900</v>
      </c>
    </row>
    <row r="1119" spans="6:12">
      <c r="F1119" s="11" t="str">
        <f t="shared" si="54"/>
        <v>Accepted</v>
      </c>
      <c r="K1119" s="56">
        <f t="shared" si="55"/>
        <v>1</v>
      </c>
      <c r="L1119" s="56">
        <f t="shared" si="56"/>
        <v>1900</v>
      </c>
    </row>
    <row r="1120" spans="6:12">
      <c r="F1120" s="11" t="str">
        <f t="shared" si="54"/>
        <v>Accepted</v>
      </c>
      <c r="K1120" s="56">
        <f t="shared" si="55"/>
        <v>1</v>
      </c>
      <c r="L1120" s="56">
        <f t="shared" si="56"/>
        <v>1900</v>
      </c>
    </row>
    <row r="1121" spans="6:12">
      <c r="F1121" s="11" t="str">
        <f t="shared" si="54"/>
        <v>Accepted</v>
      </c>
      <c r="K1121" s="56">
        <f t="shared" si="55"/>
        <v>1</v>
      </c>
      <c r="L1121" s="56">
        <f t="shared" si="56"/>
        <v>1900</v>
      </c>
    </row>
    <row r="1122" spans="6:12">
      <c r="F1122" s="11" t="str">
        <f t="shared" si="54"/>
        <v>Accepted</v>
      </c>
      <c r="K1122" s="56">
        <f t="shared" si="55"/>
        <v>1</v>
      </c>
      <c r="L1122" s="56">
        <f t="shared" si="56"/>
        <v>1900</v>
      </c>
    </row>
    <row r="1123" spans="6:12">
      <c r="F1123" s="11" t="str">
        <f t="shared" si="54"/>
        <v>Accepted</v>
      </c>
      <c r="K1123" s="56">
        <f t="shared" si="55"/>
        <v>1</v>
      </c>
      <c r="L1123" s="56">
        <f t="shared" si="56"/>
        <v>1900</v>
      </c>
    </row>
    <row r="1124" spans="6:12">
      <c r="F1124" s="11" t="str">
        <f t="shared" si="54"/>
        <v>Accepted</v>
      </c>
      <c r="K1124" s="56">
        <f t="shared" si="55"/>
        <v>1</v>
      </c>
      <c r="L1124" s="56">
        <f t="shared" si="56"/>
        <v>1900</v>
      </c>
    </row>
    <row r="1125" spans="6:12">
      <c r="F1125" s="11" t="str">
        <f t="shared" si="54"/>
        <v>Accepted</v>
      </c>
      <c r="K1125" s="56">
        <f t="shared" si="55"/>
        <v>1</v>
      </c>
      <c r="L1125" s="56">
        <f t="shared" si="56"/>
        <v>1900</v>
      </c>
    </row>
    <row r="1126" spans="6:12">
      <c r="F1126" s="11" t="str">
        <f t="shared" si="54"/>
        <v>Accepted</v>
      </c>
      <c r="K1126" s="56">
        <f t="shared" si="55"/>
        <v>1</v>
      </c>
      <c r="L1126" s="56">
        <f t="shared" si="56"/>
        <v>1900</v>
      </c>
    </row>
    <row r="1127" spans="6:12">
      <c r="F1127" s="11" t="str">
        <f t="shared" si="54"/>
        <v>Accepted</v>
      </c>
      <c r="K1127" s="56">
        <f t="shared" si="55"/>
        <v>1</v>
      </c>
      <c r="L1127" s="56">
        <f t="shared" si="56"/>
        <v>1900</v>
      </c>
    </row>
    <row r="1128" spans="6:12">
      <c r="F1128" s="11" t="str">
        <f t="shared" si="54"/>
        <v>Accepted</v>
      </c>
      <c r="K1128" s="56">
        <f t="shared" si="55"/>
        <v>1</v>
      </c>
      <c r="L1128" s="56">
        <f t="shared" si="56"/>
        <v>1900</v>
      </c>
    </row>
    <row r="1129" spans="6:12">
      <c r="F1129" s="11" t="str">
        <f t="shared" si="54"/>
        <v>Accepted</v>
      </c>
      <c r="K1129" s="56">
        <f t="shared" si="55"/>
        <v>1</v>
      </c>
      <c r="L1129" s="56">
        <f t="shared" si="56"/>
        <v>1900</v>
      </c>
    </row>
    <row r="1130" spans="6:12">
      <c r="F1130" s="11" t="str">
        <f t="shared" si="54"/>
        <v>Accepted</v>
      </c>
      <c r="K1130" s="56">
        <f t="shared" si="55"/>
        <v>1</v>
      </c>
      <c r="L1130" s="56">
        <f t="shared" si="56"/>
        <v>1900</v>
      </c>
    </row>
    <row r="1131" spans="6:12">
      <c r="F1131" s="11" t="str">
        <f t="shared" si="54"/>
        <v>Accepted</v>
      </c>
      <c r="K1131" s="56">
        <f t="shared" si="55"/>
        <v>1</v>
      </c>
      <c r="L1131" s="56">
        <f t="shared" si="56"/>
        <v>1900</v>
      </c>
    </row>
    <row r="1132" spans="6:12">
      <c r="F1132" s="11" t="str">
        <f t="shared" si="54"/>
        <v>Accepted</v>
      </c>
      <c r="K1132" s="56">
        <f t="shared" si="55"/>
        <v>1</v>
      </c>
      <c r="L1132" s="56">
        <f t="shared" si="56"/>
        <v>1900</v>
      </c>
    </row>
    <row r="1133" spans="6:12">
      <c r="F1133" s="11" t="str">
        <f t="shared" si="54"/>
        <v>Accepted</v>
      </c>
      <c r="K1133" s="56">
        <f t="shared" si="55"/>
        <v>1</v>
      </c>
      <c r="L1133" s="56">
        <f t="shared" si="56"/>
        <v>1900</v>
      </c>
    </row>
    <row r="1134" spans="6:12">
      <c r="F1134" s="11" t="str">
        <f t="shared" si="54"/>
        <v>Accepted</v>
      </c>
      <c r="K1134" s="56">
        <f t="shared" si="55"/>
        <v>1</v>
      </c>
      <c r="L1134" s="56">
        <f t="shared" si="56"/>
        <v>1900</v>
      </c>
    </row>
    <row r="1135" spans="6:12">
      <c r="F1135" s="11" t="str">
        <f t="shared" si="54"/>
        <v>Accepted</v>
      </c>
      <c r="K1135" s="56">
        <f t="shared" si="55"/>
        <v>1</v>
      </c>
      <c r="L1135" s="56">
        <f t="shared" si="56"/>
        <v>1900</v>
      </c>
    </row>
    <row r="1136" spans="6:12">
      <c r="F1136" s="11" t="str">
        <f t="shared" si="54"/>
        <v>Accepted</v>
      </c>
      <c r="K1136" s="56">
        <f t="shared" si="55"/>
        <v>1</v>
      </c>
      <c r="L1136" s="56">
        <f t="shared" si="56"/>
        <v>1900</v>
      </c>
    </row>
    <row r="1137" spans="6:12">
      <c r="F1137" s="11" t="str">
        <f t="shared" si="54"/>
        <v>Accepted</v>
      </c>
      <c r="K1137" s="56">
        <f t="shared" si="55"/>
        <v>1</v>
      </c>
      <c r="L1137" s="56">
        <f t="shared" si="56"/>
        <v>1900</v>
      </c>
    </row>
    <row r="1138" spans="6:12">
      <c r="F1138" s="11" t="str">
        <f t="shared" si="54"/>
        <v>Accepted</v>
      </c>
      <c r="K1138" s="56">
        <f t="shared" si="55"/>
        <v>1</v>
      </c>
      <c r="L1138" s="56">
        <f t="shared" si="56"/>
        <v>1900</v>
      </c>
    </row>
    <row r="1139" spans="6:12">
      <c r="F1139" s="11" t="str">
        <f t="shared" si="54"/>
        <v>Accepted</v>
      </c>
      <c r="K1139" s="56">
        <f t="shared" si="55"/>
        <v>1</v>
      </c>
      <c r="L1139" s="56">
        <f t="shared" si="56"/>
        <v>1900</v>
      </c>
    </row>
    <row r="1140" spans="6:12">
      <c r="F1140" s="11" t="str">
        <f t="shared" si="54"/>
        <v>Accepted</v>
      </c>
      <c r="K1140" s="56">
        <f t="shared" si="55"/>
        <v>1</v>
      </c>
      <c r="L1140" s="56">
        <f t="shared" si="56"/>
        <v>1900</v>
      </c>
    </row>
    <row r="1141" spans="6:12">
      <c r="F1141" s="11" t="str">
        <f t="shared" si="54"/>
        <v>Accepted</v>
      </c>
      <c r="K1141" s="56">
        <f t="shared" si="55"/>
        <v>1</v>
      </c>
      <c r="L1141" s="56">
        <f t="shared" si="56"/>
        <v>1900</v>
      </c>
    </row>
    <row r="1142" spans="6:12">
      <c r="F1142" s="11" t="str">
        <f t="shared" si="54"/>
        <v>Accepted</v>
      </c>
      <c r="K1142" s="56">
        <f t="shared" si="55"/>
        <v>1</v>
      </c>
      <c r="L1142" s="56">
        <f t="shared" si="56"/>
        <v>1900</v>
      </c>
    </row>
    <row r="1143" spans="6:12">
      <c r="F1143" s="11" t="str">
        <f t="shared" si="54"/>
        <v>Accepted</v>
      </c>
      <c r="K1143" s="56">
        <f t="shared" si="55"/>
        <v>1</v>
      </c>
      <c r="L1143" s="56">
        <f t="shared" si="56"/>
        <v>1900</v>
      </c>
    </row>
    <row r="1144" spans="6:12">
      <c r="F1144" s="11" t="str">
        <f t="shared" si="54"/>
        <v>Accepted</v>
      </c>
      <c r="K1144" s="56">
        <f t="shared" si="55"/>
        <v>1</v>
      </c>
      <c r="L1144" s="56">
        <f t="shared" si="56"/>
        <v>1900</v>
      </c>
    </row>
    <row r="1145" spans="6:12">
      <c r="F1145" s="11" t="str">
        <f t="shared" si="54"/>
        <v>Accepted</v>
      </c>
      <c r="K1145" s="56">
        <f t="shared" si="55"/>
        <v>1</v>
      </c>
      <c r="L1145" s="56">
        <f t="shared" si="56"/>
        <v>1900</v>
      </c>
    </row>
    <row r="1146" spans="6:12">
      <c r="F1146" s="11" t="str">
        <f t="shared" si="54"/>
        <v>Accepted</v>
      </c>
      <c r="K1146" s="56">
        <f t="shared" si="55"/>
        <v>1</v>
      </c>
      <c r="L1146" s="56">
        <f t="shared" si="56"/>
        <v>1900</v>
      </c>
    </row>
    <row r="1147" spans="6:12">
      <c r="F1147" s="11" t="str">
        <f t="shared" ref="F1147:F1210" si="57">IF((D1147-G1147)&lt;10,"Accepted","Partial/Rejected")</f>
        <v>Accepted</v>
      </c>
      <c r="K1147" s="56">
        <f t="shared" si="55"/>
        <v>1</v>
      </c>
      <c r="L1147" s="56">
        <f t="shared" si="56"/>
        <v>1900</v>
      </c>
    </row>
    <row r="1148" spans="6:12">
      <c r="F1148" s="11" t="str">
        <f t="shared" si="57"/>
        <v>Accepted</v>
      </c>
      <c r="K1148" s="56">
        <f t="shared" si="55"/>
        <v>1</v>
      </c>
      <c r="L1148" s="56">
        <f t="shared" si="56"/>
        <v>1900</v>
      </c>
    </row>
    <row r="1149" spans="6:12">
      <c r="F1149" s="11" t="str">
        <f t="shared" si="57"/>
        <v>Accepted</v>
      </c>
      <c r="K1149" s="56">
        <f t="shared" si="55"/>
        <v>1</v>
      </c>
      <c r="L1149" s="56">
        <f t="shared" si="56"/>
        <v>1900</v>
      </c>
    </row>
    <row r="1150" spans="6:12">
      <c r="F1150" s="11" t="str">
        <f t="shared" si="57"/>
        <v>Accepted</v>
      </c>
      <c r="K1150" s="56">
        <f t="shared" si="55"/>
        <v>1</v>
      </c>
      <c r="L1150" s="56">
        <f t="shared" si="56"/>
        <v>1900</v>
      </c>
    </row>
    <row r="1151" spans="6:12">
      <c r="F1151" s="11" t="str">
        <f t="shared" si="57"/>
        <v>Accepted</v>
      </c>
      <c r="K1151" s="56">
        <f t="shared" si="55"/>
        <v>1</v>
      </c>
      <c r="L1151" s="56">
        <f t="shared" si="56"/>
        <v>1900</v>
      </c>
    </row>
    <row r="1152" spans="6:12">
      <c r="F1152" s="11" t="str">
        <f t="shared" si="57"/>
        <v>Accepted</v>
      </c>
      <c r="K1152" s="56">
        <f t="shared" si="55"/>
        <v>1</v>
      </c>
      <c r="L1152" s="56">
        <f t="shared" si="56"/>
        <v>1900</v>
      </c>
    </row>
    <row r="1153" spans="6:12">
      <c r="F1153" s="11" t="str">
        <f t="shared" si="57"/>
        <v>Accepted</v>
      </c>
      <c r="K1153" s="56">
        <f t="shared" si="55"/>
        <v>1</v>
      </c>
      <c r="L1153" s="56">
        <f t="shared" si="56"/>
        <v>1900</v>
      </c>
    </row>
    <row r="1154" spans="6:12">
      <c r="F1154" s="11" t="str">
        <f t="shared" si="57"/>
        <v>Accepted</v>
      </c>
      <c r="K1154" s="56">
        <f t="shared" si="55"/>
        <v>1</v>
      </c>
      <c r="L1154" s="56">
        <f t="shared" si="56"/>
        <v>1900</v>
      </c>
    </row>
    <row r="1155" spans="6:12">
      <c r="F1155" s="11" t="str">
        <f t="shared" si="57"/>
        <v>Accepted</v>
      </c>
      <c r="K1155" s="56">
        <f t="shared" si="55"/>
        <v>1</v>
      </c>
      <c r="L1155" s="56">
        <f t="shared" si="56"/>
        <v>1900</v>
      </c>
    </row>
    <row r="1156" spans="6:12">
      <c r="F1156" s="11" t="str">
        <f t="shared" si="57"/>
        <v>Accepted</v>
      </c>
      <c r="K1156" s="56">
        <f t="shared" si="55"/>
        <v>1</v>
      </c>
      <c r="L1156" s="56">
        <f t="shared" si="56"/>
        <v>1900</v>
      </c>
    </row>
    <row r="1157" spans="6:12">
      <c r="F1157" s="11" t="str">
        <f t="shared" si="57"/>
        <v>Accepted</v>
      </c>
      <c r="K1157" s="56">
        <f t="shared" si="55"/>
        <v>1</v>
      </c>
      <c r="L1157" s="56">
        <f t="shared" si="56"/>
        <v>1900</v>
      </c>
    </row>
    <row r="1158" spans="6:12">
      <c r="F1158" s="11" t="str">
        <f t="shared" si="57"/>
        <v>Accepted</v>
      </c>
      <c r="K1158" s="56">
        <f t="shared" si="55"/>
        <v>1</v>
      </c>
      <c r="L1158" s="56">
        <f t="shared" si="56"/>
        <v>1900</v>
      </c>
    </row>
    <row r="1159" spans="6:12">
      <c r="F1159" s="11" t="str">
        <f t="shared" si="57"/>
        <v>Accepted</v>
      </c>
      <c r="K1159" s="56">
        <f t="shared" si="55"/>
        <v>1</v>
      </c>
      <c r="L1159" s="56">
        <f t="shared" si="56"/>
        <v>1900</v>
      </c>
    </row>
    <row r="1160" spans="6:12">
      <c r="F1160" s="11" t="str">
        <f t="shared" si="57"/>
        <v>Accepted</v>
      </c>
      <c r="K1160" s="56">
        <f t="shared" si="55"/>
        <v>1</v>
      </c>
      <c r="L1160" s="56">
        <f t="shared" si="56"/>
        <v>1900</v>
      </c>
    </row>
    <row r="1161" spans="6:12">
      <c r="F1161" s="11" t="str">
        <f t="shared" si="57"/>
        <v>Accepted</v>
      </c>
      <c r="K1161" s="56">
        <f t="shared" si="55"/>
        <v>1</v>
      </c>
      <c r="L1161" s="56">
        <f t="shared" si="56"/>
        <v>1900</v>
      </c>
    </row>
    <row r="1162" spans="6:12">
      <c r="F1162" s="11" t="str">
        <f t="shared" si="57"/>
        <v>Accepted</v>
      </c>
      <c r="K1162" s="56">
        <f t="shared" si="55"/>
        <v>1</v>
      </c>
      <c r="L1162" s="56">
        <f t="shared" si="56"/>
        <v>1900</v>
      </c>
    </row>
    <row r="1163" spans="6:12">
      <c r="F1163" s="11" t="str">
        <f t="shared" si="57"/>
        <v>Accepted</v>
      </c>
      <c r="K1163" s="56">
        <f t="shared" ref="K1163:K1226" si="58">MONTH(C1163)</f>
        <v>1</v>
      </c>
      <c r="L1163" s="56">
        <f t="shared" ref="L1163:L1226" si="59">YEAR(C1163)</f>
        <v>1900</v>
      </c>
    </row>
    <row r="1164" spans="6:12">
      <c r="F1164" s="11" t="str">
        <f t="shared" si="57"/>
        <v>Accepted</v>
      </c>
      <c r="K1164" s="56">
        <f t="shared" si="58"/>
        <v>1</v>
      </c>
      <c r="L1164" s="56">
        <f t="shared" si="59"/>
        <v>1900</v>
      </c>
    </row>
    <row r="1165" spans="6:12">
      <c r="F1165" s="11" t="str">
        <f t="shared" si="57"/>
        <v>Accepted</v>
      </c>
      <c r="K1165" s="56">
        <f t="shared" si="58"/>
        <v>1</v>
      </c>
      <c r="L1165" s="56">
        <f t="shared" si="59"/>
        <v>1900</v>
      </c>
    </row>
    <row r="1166" spans="6:12">
      <c r="F1166" s="11" t="str">
        <f t="shared" si="57"/>
        <v>Accepted</v>
      </c>
      <c r="K1166" s="56">
        <f t="shared" si="58"/>
        <v>1</v>
      </c>
      <c r="L1166" s="56">
        <f t="shared" si="59"/>
        <v>1900</v>
      </c>
    </row>
    <row r="1167" spans="6:12">
      <c r="F1167" s="11" t="str">
        <f t="shared" si="57"/>
        <v>Accepted</v>
      </c>
      <c r="K1167" s="56">
        <f t="shared" si="58"/>
        <v>1</v>
      </c>
      <c r="L1167" s="56">
        <f t="shared" si="59"/>
        <v>1900</v>
      </c>
    </row>
    <row r="1168" spans="6:12">
      <c r="F1168" s="11" t="str">
        <f t="shared" si="57"/>
        <v>Accepted</v>
      </c>
      <c r="K1168" s="56">
        <f t="shared" si="58"/>
        <v>1</v>
      </c>
      <c r="L1168" s="56">
        <f t="shared" si="59"/>
        <v>1900</v>
      </c>
    </row>
    <row r="1169" spans="6:12">
      <c r="F1169" s="11" t="str">
        <f t="shared" si="57"/>
        <v>Accepted</v>
      </c>
      <c r="K1169" s="56">
        <f t="shared" si="58"/>
        <v>1</v>
      </c>
      <c r="L1169" s="56">
        <f t="shared" si="59"/>
        <v>1900</v>
      </c>
    </row>
    <row r="1170" spans="6:12">
      <c r="F1170" s="11" t="str">
        <f t="shared" si="57"/>
        <v>Accepted</v>
      </c>
      <c r="K1170" s="56">
        <f t="shared" si="58"/>
        <v>1</v>
      </c>
      <c r="L1170" s="56">
        <f t="shared" si="59"/>
        <v>1900</v>
      </c>
    </row>
    <row r="1171" spans="6:12">
      <c r="F1171" s="11" t="str">
        <f t="shared" si="57"/>
        <v>Accepted</v>
      </c>
      <c r="K1171" s="56">
        <f t="shared" si="58"/>
        <v>1</v>
      </c>
      <c r="L1171" s="56">
        <f t="shared" si="59"/>
        <v>1900</v>
      </c>
    </row>
    <row r="1172" spans="6:12">
      <c r="F1172" s="11" t="str">
        <f t="shared" si="57"/>
        <v>Accepted</v>
      </c>
      <c r="K1172" s="56">
        <f t="shared" si="58"/>
        <v>1</v>
      </c>
      <c r="L1172" s="56">
        <f t="shared" si="59"/>
        <v>1900</v>
      </c>
    </row>
    <row r="1173" spans="6:12">
      <c r="F1173" s="11" t="str">
        <f t="shared" si="57"/>
        <v>Accepted</v>
      </c>
      <c r="K1173" s="56">
        <f t="shared" si="58"/>
        <v>1</v>
      </c>
      <c r="L1173" s="56">
        <f t="shared" si="59"/>
        <v>1900</v>
      </c>
    </row>
    <row r="1174" spans="6:12">
      <c r="F1174" s="11" t="str">
        <f t="shared" si="57"/>
        <v>Accepted</v>
      </c>
      <c r="K1174" s="56">
        <f t="shared" si="58"/>
        <v>1</v>
      </c>
      <c r="L1174" s="56">
        <f t="shared" si="59"/>
        <v>1900</v>
      </c>
    </row>
    <row r="1175" spans="6:12">
      <c r="F1175" s="11" t="str">
        <f t="shared" si="57"/>
        <v>Accepted</v>
      </c>
      <c r="K1175" s="56">
        <f t="shared" si="58"/>
        <v>1</v>
      </c>
      <c r="L1175" s="56">
        <f t="shared" si="59"/>
        <v>1900</v>
      </c>
    </row>
    <row r="1176" spans="6:12">
      <c r="F1176" s="11" t="str">
        <f t="shared" si="57"/>
        <v>Accepted</v>
      </c>
      <c r="K1176" s="56">
        <f t="shared" si="58"/>
        <v>1</v>
      </c>
      <c r="L1176" s="56">
        <f t="shared" si="59"/>
        <v>1900</v>
      </c>
    </row>
    <row r="1177" spans="6:12">
      <c r="F1177" s="11" t="str">
        <f t="shared" si="57"/>
        <v>Accepted</v>
      </c>
      <c r="K1177" s="56">
        <f t="shared" si="58"/>
        <v>1</v>
      </c>
      <c r="L1177" s="56">
        <f t="shared" si="59"/>
        <v>1900</v>
      </c>
    </row>
    <row r="1178" spans="6:12">
      <c r="F1178" s="11" t="str">
        <f t="shared" si="57"/>
        <v>Accepted</v>
      </c>
      <c r="K1178" s="56">
        <f t="shared" si="58"/>
        <v>1</v>
      </c>
      <c r="L1178" s="56">
        <f t="shared" si="59"/>
        <v>1900</v>
      </c>
    </row>
    <row r="1179" spans="6:12">
      <c r="F1179" s="11" t="str">
        <f t="shared" si="57"/>
        <v>Accepted</v>
      </c>
      <c r="K1179" s="56">
        <f t="shared" si="58"/>
        <v>1</v>
      </c>
      <c r="L1179" s="56">
        <f t="shared" si="59"/>
        <v>1900</v>
      </c>
    </row>
    <row r="1180" spans="6:12">
      <c r="F1180" s="11" t="str">
        <f t="shared" si="57"/>
        <v>Accepted</v>
      </c>
      <c r="K1180" s="56">
        <f t="shared" si="58"/>
        <v>1</v>
      </c>
      <c r="L1180" s="56">
        <f t="shared" si="59"/>
        <v>1900</v>
      </c>
    </row>
    <row r="1181" spans="6:12">
      <c r="F1181" s="11" t="str">
        <f t="shared" si="57"/>
        <v>Accepted</v>
      </c>
      <c r="K1181" s="56">
        <f t="shared" si="58"/>
        <v>1</v>
      </c>
      <c r="L1181" s="56">
        <f t="shared" si="59"/>
        <v>1900</v>
      </c>
    </row>
    <row r="1182" spans="6:12">
      <c r="F1182" s="11" t="str">
        <f t="shared" si="57"/>
        <v>Accepted</v>
      </c>
      <c r="K1182" s="56">
        <f t="shared" si="58"/>
        <v>1</v>
      </c>
      <c r="L1182" s="56">
        <f t="shared" si="59"/>
        <v>1900</v>
      </c>
    </row>
    <row r="1183" spans="6:12">
      <c r="F1183" s="11" t="str">
        <f t="shared" si="57"/>
        <v>Accepted</v>
      </c>
      <c r="K1183" s="56">
        <f t="shared" si="58"/>
        <v>1</v>
      </c>
      <c r="L1183" s="56">
        <f t="shared" si="59"/>
        <v>1900</v>
      </c>
    </row>
    <row r="1184" spans="6:12">
      <c r="F1184" s="11" t="str">
        <f t="shared" si="57"/>
        <v>Accepted</v>
      </c>
      <c r="K1184" s="56">
        <f t="shared" si="58"/>
        <v>1</v>
      </c>
      <c r="L1184" s="56">
        <f t="shared" si="59"/>
        <v>1900</v>
      </c>
    </row>
    <row r="1185" spans="6:12">
      <c r="F1185" s="11" t="str">
        <f t="shared" si="57"/>
        <v>Accepted</v>
      </c>
      <c r="K1185" s="56">
        <f t="shared" si="58"/>
        <v>1</v>
      </c>
      <c r="L1185" s="56">
        <f t="shared" si="59"/>
        <v>1900</v>
      </c>
    </row>
    <row r="1186" spans="6:12">
      <c r="F1186" s="11" t="str">
        <f t="shared" si="57"/>
        <v>Accepted</v>
      </c>
      <c r="K1186" s="56">
        <f t="shared" si="58"/>
        <v>1</v>
      </c>
      <c r="L1186" s="56">
        <f t="shared" si="59"/>
        <v>1900</v>
      </c>
    </row>
    <row r="1187" spans="6:12">
      <c r="F1187" s="11" t="str">
        <f t="shared" si="57"/>
        <v>Accepted</v>
      </c>
      <c r="K1187" s="56">
        <f t="shared" si="58"/>
        <v>1</v>
      </c>
      <c r="L1187" s="56">
        <f t="shared" si="59"/>
        <v>1900</v>
      </c>
    </row>
    <row r="1188" spans="6:12">
      <c r="F1188" s="11" t="str">
        <f t="shared" si="57"/>
        <v>Accepted</v>
      </c>
      <c r="K1188" s="56">
        <f t="shared" si="58"/>
        <v>1</v>
      </c>
      <c r="L1188" s="56">
        <f t="shared" si="59"/>
        <v>1900</v>
      </c>
    </row>
    <row r="1189" spans="6:12">
      <c r="F1189" s="11" t="str">
        <f t="shared" si="57"/>
        <v>Accepted</v>
      </c>
      <c r="K1189" s="56">
        <f t="shared" si="58"/>
        <v>1</v>
      </c>
      <c r="L1189" s="56">
        <f t="shared" si="59"/>
        <v>1900</v>
      </c>
    </row>
    <row r="1190" spans="6:12">
      <c r="F1190" s="11" t="str">
        <f t="shared" si="57"/>
        <v>Accepted</v>
      </c>
      <c r="K1190" s="56">
        <f t="shared" si="58"/>
        <v>1</v>
      </c>
      <c r="L1190" s="56">
        <f t="shared" si="59"/>
        <v>1900</v>
      </c>
    </row>
    <row r="1191" spans="6:12">
      <c r="F1191" s="11" t="str">
        <f t="shared" si="57"/>
        <v>Accepted</v>
      </c>
      <c r="K1191" s="56">
        <f t="shared" si="58"/>
        <v>1</v>
      </c>
      <c r="L1191" s="56">
        <f t="shared" si="59"/>
        <v>1900</v>
      </c>
    </row>
    <row r="1192" spans="6:12">
      <c r="F1192" s="11" t="str">
        <f t="shared" si="57"/>
        <v>Accepted</v>
      </c>
      <c r="K1192" s="56">
        <f t="shared" si="58"/>
        <v>1</v>
      </c>
      <c r="L1192" s="56">
        <f t="shared" si="59"/>
        <v>1900</v>
      </c>
    </row>
    <row r="1193" spans="6:12">
      <c r="F1193" s="11" t="str">
        <f t="shared" si="57"/>
        <v>Accepted</v>
      </c>
      <c r="K1193" s="56">
        <f t="shared" si="58"/>
        <v>1</v>
      </c>
      <c r="L1193" s="56">
        <f t="shared" si="59"/>
        <v>1900</v>
      </c>
    </row>
    <row r="1194" spans="6:12">
      <c r="F1194" s="11" t="str">
        <f t="shared" si="57"/>
        <v>Accepted</v>
      </c>
      <c r="K1194" s="56">
        <f t="shared" si="58"/>
        <v>1</v>
      </c>
      <c r="L1194" s="56">
        <f t="shared" si="59"/>
        <v>1900</v>
      </c>
    </row>
    <row r="1195" spans="6:12">
      <c r="F1195" s="11" t="str">
        <f t="shared" si="57"/>
        <v>Accepted</v>
      </c>
      <c r="K1195" s="56">
        <f t="shared" si="58"/>
        <v>1</v>
      </c>
      <c r="L1195" s="56">
        <f t="shared" si="59"/>
        <v>1900</v>
      </c>
    </row>
    <row r="1196" spans="6:12">
      <c r="F1196" s="11" t="str">
        <f t="shared" si="57"/>
        <v>Accepted</v>
      </c>
      <c r="K1196" s="56">
        <f t="shared" si="58"/>
        <v>1</v>
      </c>
      <c r="L1196" s="56">
        <f t="shared" si="59"/>
        <v>1900</v>
      </c>
    </row>
    <row r="1197" spans="6:12">
      <c r="F1197" s="11" t="str">
        <f t="shared" si="57"/>
        <v>Accepted</v>
      </c>
      <c r="K1197" s="56">
        <f t="shared" si="58"/>
        <v>1</v>
      </c>
      <c r="L1197" s="56">
        <f t="shared" si="59"/>
        <v>1900</v>
      </c>
    </row>
    <row r="1198" spans="6:12">
      <c r="F1198" s="11" t="str">
        <f t="shared" si="57"/>
        <v>Accepted</v>
      </c>
      <c r="K1198" s="56">
        <f t="shared" si="58"/>
        <v>1</v>
      </c>
      <c r="L1198" s="56">
        <f t="shared" si="59"/>
        <v>1900</v>
      </c>
    </row>
    <row r="1199" spans="6:12">
      <c r="F1199" s="11" t="str">
        <f t="shared" si="57"/>
        <v>Accepted</v>
      </c>
      <c r="K1199" s="56">
        <f t="shared" si="58"/>
        <v>1</v>
      </c>
      <c r="L1199" s="56">
        <f t="shared" si="59"/>
        <v>1900</v>
      </c>
    </row>
    <row r="1200" spans="6:12">
      <c r="F1200" s="11" t="str">
        <f t="shared" si="57"/>
        <v>Accepted</v>
      </c>
      <c r="K1200" s="56">
        <f t="shared" si="58"/>
        <v>1</v>
      </c>
      <c r="L1200" s="56">
        <f t="shared" si="59"/>
        <v>1900</v>
      </c>
    </row>
    <row r="1201" spans="6:12">
      <c r="F1201" s="11" t="str">
        <f t="shared" si="57"/>
        <v>Accepted</v>
      </c>
      <c r="K1201" s="56">
        <f t="shared" si="58"/>
        <v>1</v>
      </c>
      <c r="L1201" s="56">
        <f t="shared" si="59"/>
        <v>1900</v>
      </c>
    </row>
    <row r="1202" spans="6:12">
      <c r="F1202" s="11" t="str">
        <f t="shared" si="57"/>
        <v>Accepted</v>
      </c>
      <c r="K1202" s="56">
        <f t="shared" si="58"/>
        <v>1</v>
      </c>
      <c r="L1202" s="56">
        <f t="shared" si="59"/>
        <v>1900</v>
      </c>
    </row>
    <row r="1203" spans="6:12">
      <c r="F1203" s="11" t="str">
        <f t="shared" si="57"/>
        <v>Accepted</v>
      </c>
      <c r="K1203" s="56">
        <f t="shared" si="58"/>
        <v>1</v>
      </c>
      <c r="L1203" s="56">
        <f t="shared" si="59"/>
        <v>1900</v>
      </c>
    </row>
    <row r="1204" spans="6:12">
      <c r="F1204" s="11" t="str">
        <f t="shared" si="57"/>
        <v>Accepted</v>
      </c>
      <c r="K1204" s="56">
        <f t="shared" si="58"/>
        <v>1</v>
      </c>
      <c r="L1204" s="56">
        <f t="shared" si="59"/>
        <v>1900</v>
      </c>
    </row>
    <row r="1205" spans="6:12">
      <c r="F1205" s="11" t="str">
        <f t="shared" si="57"/>
        <v>Accepted</v>
      </c>
      <c r="K1205" s="56">
        <f t="shared" si="58"/>
        <v>1</v>
      </c>
      <c r="L1205" s="56">
        <f t="shared" si="59"/>
        <v>1900</v>
      </c>
    </row>
    <row r="1206" spans="6:12">
      <c r="F1206" s="11" t="str">
        <f t="shared" si="57"/>
        <v>Accepted</v>
      </c>
      <c r="K1206" s="56">
        <f t="shared" si="58"/>
        <v>1</v>
      </c>
      <c r="L1206" s="56">
        <f t="shared" si="59"/>
        <v>1900</v>
      </c>
    </row>
    <row r="1207" spans="6:12">
      <c r="F1207" s="11" t="str">
        <f t="shared" si="57"/>
        <v>Accepted</v>
      </c>
      <c r="K1207" s="56">
        <f t="shared" si="58"/>
        <v>1</v>
      </c>
      <c r="L1207" s="56">
        <f t="shared" si="59"/>
        <v>1900</v>
      </c>
    </row>
    <row r="1208" spans="6:12">
      <c r="F1208" s="11" t="str">
        <f t="shared" si="57"/>
        <v>Accepted</v>
      </c>
      <c r="K1208" s="56">
        <f t="shared" si="58"/>
        <v>1</v>
      </c>
      <c r="L1208" s="56">
        <f t="shared" si="59"/>
        <v>1900</v>
      </c>
    </row>
    <row r="1209" spans="6:12">
      <c r="F1209" s="11" t="str">
        <f t="shared" si="57"/>
        <v>Accepted</v>
      </c>
      <c r="K1209" s="56">
        <f t="shared" si="58"/>
        <v>1</v>
      </c>
      <c r="L1209" s="56">
        <f t="shared" si="59"/>
        <v>1900</v>
      </c>
    </row>
    <row r="1210" spans="6:12">
      <c r="F1210" s="11" t="str">
        <f t="shared" si="57"/>
        <v>Accepted</v>
      </c>
      <c r="K1210" s="56">
        <f t="shared" si="58"/>
        <v>1</v>
      </c>
      <c r="L1210" s="56">
        <f t="shared" si="59"/>
        <v>1900</v>
      </c>
    </row>
    <row r="1211" spans="6:12">
      <c r="F1211" s="11" t="str">
        <f t="shared" ref="F1211:F1274" si="60">IF((D1211-G1211)&lt;10,"Accepted","Partial/Rejected")</f>
        <v>Accepted</v>
      </c>
      <c r="K1211" s="56">
        <f t="shared" si="58"/>
        <v>1</v>
      </c>
      <c r="L1211" s="56">
        <f t="shared" si="59"/>
        <v>1900</v>
      </c>
    </row>
    <row r="1212" spans="6:12">
      <c r="F1212" s="11" t="str">
        <f t="shared" si="60"/>
        <v>Accepted</v>
      </c>
      <c r="K1212" s="56">
        <f t="shared" si="58"/>
        <v>1</v>
      </c>
      <c r="L1212" s="56">
        <f t="shared" si="59"/>
        <v>1900</v>
      </c>
    </row>
    <row r="1213" spans="6:12">
      <c r="F1213" s="11" t="str">
        <f t="shared" si="60"/>
        <v>Accepted</v>
      </c>
      <c r="K1213" s="56">
        <f t="shared" si="58"/>
        <v>1</v>
      </c>
      <c r="L1213" s="56">
        <f t="shared" si="59"/>
        <v>1900</v>
      </c>
    </row>
    <row r="1214" spans="6:12">
      <c r="F1214" s="11" t="str">
        <f t="shared" si="60"/>
        <v>Accepted</v>
      </c>
      <c r="K1214" s="56">
        <f t="shared" si="58"/>
        <v>1</v>
      </c>
      <c r="L1214" s="56">
        <f t="shared" si="59"/>
        <v>1900</v>
      </c>
    </row>
    <row r="1215" spans="6:12">
      <c r="F1215" s="11" t="str">
        <f t="shared" si="60"/>
        <v>Accepted</v>
      </c>
      <c r="K1215" s="56">
        <f t="shared" si="58"/>
        <v>1</v>
      </c>
      <c r="L1215" s="56">
        <f t="shared" si="59"/>
        <v>1900</v>
      </c>
    </row>
    <row r="1216" spans="6:12">
      <c r="F1216" s="11" t="str">
        <f t="shared" si="60"/>
        <v>Accepted</v>
      </c>
      <c r="K1216" s="56">
        <f t="shared" si="58"/>
        <v>1</v>
      </c>
      <c r="L1216" s="56">
        <f t="shared" si="59"/>
        <v>1900</v>
      </c>
    </row>
    <row r="1217" spans="6:12">
      <c r="F1217" s="11" t="str">
        <f t="shared" si="60"/>
        <v>Accepted</v>
      </c>
      <c r="K1217" s="56">
        <f t="shared" si="58"/>
        <v>1</v>
      </c>
      <c r="L1217" s="56">
        <f t="shared" si="59"/>
        <v>1900</v>
      </c>
    </row>
    <row r="1218" spans="6:12">
      <c r="F1218" s="11" t="str">
        <f t="shared" si="60"/>
        <v>Accepted</v>
      </c>
      <c r="K1218" s="56">
        <f t="shared" si="58"/>
        <v>1</v>
      </c>
      <c r="L1218" s="56">
        <f t="shared" si="59"/>
        <v>1900</v>
      </c>
    </row>
    <row r="1219" spans="6:12">
      <c r="F1219" s="11" t="str">
        <f t="shared" si="60"/>
        <v>Accepted</v>
      </c>
      <c r="K1219" s="56">
        <f t="shared" si="58"/>
        <v>1</v>
      </c>
      <c r="L1219" s="56">
        <f t="shared" si="59"/>
        <v>1900</v>
      </c>
    </row>
    <row r="1220" spans="6:12">
      <c r="F1220" s="11" t="str">
        <f t="shared" si="60"/>
        <v>Accepted</v>
      </c>
      <c r="K1220" s="56">
        <f t="shared" si="58"/>
        <v>1</v>
      </c>
      <c r="L1220" s="56">
        <f t="shared" si="59"/>
        <v>1900</v>
      </c>
    </row>
    <row r="1221" spans="6:12">
      <c r="F1221" s="11" t="str">
        <f t="shared" si="60"/>
        <v>Accepted</v>
      </c>
      <c r="K1221" s="56">
        <f t="shared" si="58"/>
        <v>1</v>
      </c>
      <c r="L1221" s="56">
        <f t="shared" si="59"/>
        <v>1900</v>
      </c>
    </row>
    <row r="1222" spans="6:12">
      <c r="F1222" s="11" t="str">
        <f t="shared" si="60"/>
        <v>Accepted</v>
      </c>
      <c r="K1222" s="56">
        <f t="shared" si="58"/>
        <v>1</v>
      </c>
      <c r="L1222" s="56">
        <f t="shared" si="59"/>
        <v>1900</v>
      </c>
    </row>
    <row r="1223" spans="6:12">
      <c r="F1223" s="11" t="str">
        <f t="shared" si="60"/>
        <v>Accepted</v>
      </c>
      <c r="K1223" s="56">
        <f t="shared" si="58"/>
        <v>1</v>
      </c>
      <c r="L1223" s="56">
        <f t="shared" si="59"/>
        <v>1900</v>
      </c>
    </row>
    <row r="1224" spans="6:12">
      <c r="F1224" s="11" t="str">
        <f t="shared" si="60"/>
        <v>Accepted</v>
      </c>
      <c r="K1224" s="56">
        <f t="shared" si="58"/>
        <v>1</v>
      </c>
      <c r="L1224" s="56">
        <f t="shared" si="59"/>
        <v>1900</v>
      </c>
    </row>
    <row r="1225" spans="6:12">
      <c r="F1225" s="11" t="str">
        <f t="shared" si="60"/>
        <v>Accepted</v>
      </c>
      <c r="K1225" s="56">
        <f t="shared" si="58"/>
        <v>1</v>
      </c>
      <c r="L1225" s="56">
        <f t="shared" si="59"/>
        <v>1900</v>
      </c>
    </row>
    <row r="1226" spans="6:12">
      <c r="F1226" s="11" t="str">
        <f t="shared" si="60"/>
        <v>Accepted</v>
      </c>
      <c r="K1226" s="56">
        <f t="shared" si="58"/>
        <v>1</v>
      </c>
      <c r="L1226" s="56">
        <f t="shared" si="59"/>
        <v>1900</v>
      </c>
    </row>
    <row r="1227" spans="6:12">
      <c r="F1227" s="11" t="str">
        <f t="shared" si="60"/>
        <v>Accepted</v>
      </c>
      <c r="K1227" s="56">
        <f t="shared" ref="K1227:K1290" si="61">MONTH(C1227)</f>
        <v>1</v>
      </c>
      <c r="L1227" s="56">
        <f t="shared" ref="L1227:L1290" si="62">YEAR(C1227)</f>
        <v>1900</v>
      </c>
    </row>
    <row r="1228" spans="6:12">
      <c r="F1228" s="11" t="str">
        <f t="shared" si="60"/>
        <v>Accepted</v>
      </c>
      <c r="K1228" s="56">
        <f t="shared" si="61"/>
        <v>1</v>
      </c>
      <c r="L1228" s="56">
        <f t="shared" si="62"/>
        <v>1900</v>
      </c>
    </row>
    <row r="1229" spans="6:12">
      <c r="F1229" s="11" t="str">
        <f t="shared" si="60"/>
        <v>Accepted</v>
      </c>
      <c r="K1229" s="56">
        <f t="shared" si="61"/>
        <v>1</v>
      </c>
      <c r="L1229" s="56">
        <f t="shared" si="62"/>
        <v>1900</v>
      </c>
    </row>
    <row r="1230" spans="6:12">
      <c r="F1230" s="11" t="str">
        <f t="shared" si="60"/>
        <v>Accepted</v>
      </c>
      <c r="K1230" s="56">
        <f t="shared" si="61"/>
        <v>1</v>
      </c>
      <c r="L1230" s="56">
        <f t="shared" si="62"/>
        <v>1900</v>
      </c>
    </row>
    <row r="1231" spans="6:12">
      <c r="F1231" s="11" t="str">
        <f t="shared" si="60"/>
        <v>Accepted</v>
      </c>
      <c r="K1231" s="56">
        <f t="shared" si="61"/>
        <v>1</v>
      </c>
      <c r="L1231" s="56">
        <f t="shared" si="62"/>
        <v>1900</v>
      </c>
    </row>
    <row r="1232" spans="6:12">
      <c r="F1232" s="11" t="str">
        <f t="shared" si="60"/>
        <v>Accepted</v>
      </c>
      <c r="K1232" s="56">
        <f t="shared" si="61"/>
        <v>1</v>
      </c>
      <c r="L1232" s="56">
        <f t="shared" si="62"/>
        <v>1900</v>
      </c>
    </row>
    <row r="1233" spans="6:12">
      <c r="F1233" s="11" t="str">
        <f t="shared" si="60"/>
        <v>Accepted</v>
      </c>
      <c r="K1233" s="56">
        <f t="shared" si="61"/>
        <v>1</v>
      </c>
      <c r="L1233" s="56">
        <f t="shared" si="62"/>
        <v>1900</v>
      </c>
    </row>
    <row r="1234" spans="6:12">
      <c r="F1234" s="11" t="str">
        <f t="shared" si="60"/>
        <v>Accepted</v>
      </c>
      <c r="K1234" s="56">
        <f t="shared" si="61"/>
        <v>1</v>
      </c>
      <c r="L1234" s="56">
        <f t="shared" si="62"/>
        <v>1900</v>
      </c>
    </row>
    <row r="1235" spans="6:12">
      <c r="F1235" s="11" t="str">
        <f t="shared" si="60"/>
        <v>Accepted</v>
      </c>
      <c r="K1235" s="56">
        <f t="shared" si="61"/>
        <v>1</v>
      </c>
      <c r="L1235" s="56">
        <f t="shared" si="62"/>
        <v>1900</v>
      </c>
    </row>
    <row r="1236" spans="6:12">
      <c r="F1236" s="11" t="str">
        <f t="shared" si="60"/>
        <v>Accepted</v>
      </c>
      <c r="K1236" s="56">
        <f t="shared" si="61"/>
        <v>1</v>
      </c>
      <c r="L1236" s="56">
        <f t="shared" si="62"/>
        <v>1900</v>
      </c>
    </row>
    <row r="1237" spans="6:12">
      <c r="F1237" s="11" t="str">
        <f t="shared" si="60"/>
        <v>Accepted</v>
      </c>
      <c r="K1237" s="56">
        <f t="shared" si="61"/>
        <v>1</v>
      </c>
      <c r="L1237" s="56">
        <f t="shared" si="62"/>
        <v>1900</v>
      </c>
    </row>
    <row r="1238" spans="6:12">
      <c r="F1238" s="11" t="str">
        <f t="shared" si="60"/>
        <v>Accepted</v>
      </c>
      <c r="K1238" s="56">
        <f t="shared" si="61"/>
        <v>1</v>
      </c>
      <c r="L1238" s="56">
        <f t="shared" si="62"/>
        <v>1900</v>
      </c>
    </row>
    <row r="1239" spans="6:12">
      <c r="F1239" s="11" t="str">
        <f t="shared" si="60"/>
        <v>Accepted</v>
      </c>
      <c r="K1239" s="56">
        <f t="shared" si="61"/>
        <v>1</v>
      </c>
      <c r="L1239" s="56">
        <f t="shared" si="62"/>
        <v>1900</v>
      </c>
    </row>
    <row r="1240" spans="6:12">
      <c r="F1240" s="11" t="str">
        <f t="shared" si="60"/>
        <v>Accepted</v>
      </c>
      <c r="K1240" s="56">
        <f t="shared" si="61"/>
        <v>1</v>
      </c>
      <c r="L1240" s="56">
        <f t="shared" si="62"/>
        <v>1900</v>
      </c>
    </row>
    <row r="1241" spans="6:12">
      <c r="F1241" s="11" t="str">
        <f t="shared" si="60"/>
        <v>Accepted</v>
      </c>
      <c r="K1241" s="56">
        <f t="shared" si="61"/>
        <v>1</v>
      </c>
      <c r="L1241" s="56">
        <f t="shared" si="62"/>
        <v>1900</v>
      </c>
    </row>
    <row r="1242" spans="6:12">
      <c r="F1242" s="11" t="str">
        <f t="shared" si="60"/>
        <v>Accepted</v>
      </c>
      <c r="K1242" s="56">
        <f t="shared" si="61"/>
        <v>1</v>
      </c>
      <c r="L1242" s="56">
        <f t="shared" si="62"/>
        <v>1900</v>
      </c>
    </row>
    <row r="1243" spans="6:12">
      <c r="F1243" s="11" t="str">
        <f t="shared" si="60"/>
        <v>Accepted</v>
      </c>
      <c r="K1243" s="56">
        <f t="shared" si="61"/>
        <v>1</v>
      </c>
      <c r="L1243" s="56">
        <f t="shared" si="62"/>
        <v>1900</v>
      </c>
    </row>
    <row r="1244" spans="6:12">
      <c r="F1244" s="11" t="str">
        <f t="shared" si="60"/>
        <v>Accepted</v>
      </c>
      <c r="K1244" s="56">
        <f t="shared" si="61"/>
        <v>1</v>
      </c>
      <c r="L1244" s="56">
        <f t="shared" si="62"/>
        <v>1900</v>
      </c>
    </row>
    <row r="1245" spans="6:12">
      <c r="F1245" s="11" t="str">
        <f t="shared" si="60"/>
        <v>Accepted</v>
      </c>
      <c r="K1245" s="56">
        <f t="shared" si="61"/>
        <v>1</v>
      </c>
      <c r="L1245" s="56">
        <f t="shared" si="62"/>
        <v>1900</v>
      </c>
    </row>
    <row r="1246" spans="6:12">
      <c r="F1246" s="11" t="str">
        <f t="shared" si="60"/>
        <v>Accepted</v>
      </c>
      <c r="K1246" s="56">
        <f t="shared" si="61"/>
        <v>1</v>
      </c>
      <c r="L1246" s="56">
        <f t="shared" si="62"/>
        <v>1900</v>
      </c>
    </row>
    <row r="1247" spans="6:12">
      <c r="F1247" s="11" t="str">
        <f t="shared" si="60"/>
        <v>Accepted</v>
      </c>
      <c r="K1247" s="56">
        <f t="shared" si="61"/>
        <v>1</v>
      </c>
      <c r="L1247" s="56">
        <f t="shared" si="62"/>
        <v>1900</v>
      </c>
    </row>
    <row r="1248" spans="6:12">
      <c r="F1248" s="11" t="str">
        <f t="shared" si="60"/>
        <v>Accepted</v>
      </c>
      <c r="K1248" s="56">
        <f t="shared" si="61"/>
        <v>1</v>
      </c>
      <c r="L1248" s="56">
        <f t="shared" si="62"/>
        <v>1900</v>
      </c>
    </row>
    <row r="1249" spans="6:12">
      <c r="F1249" s="11" t="str">
        <f t="shared" si="60"/>
        <v>Accepted</v>
      </c>
      <c r="K1249" s="56">
        <f t="shared" si="61"/>
        <v>1</v>
      </c>
      <c r="L1249" s="56">
        <f t="shared" si="62"/>
        <v>1900</v>
      </c>
    </row>
    <row r="1250" spans="6:12">
      <c r="F1250" s="11" t="str">
        <f t="shared" si="60"/>
        <v>Accepted</v>
      </c>
      <c r="K1250" s="56">
        <f t="shared" si="61"/>
        <v>1</v>
      </c>
      <c r="L1250" s="56">
        <f t="shared" si="62"/>
        <v>1900</v>
      </c>
    </row>
    <row r="1251" spans="6:12">
      <c r="F1251" s="11" t="str">
        <f t="shared" si="60"/>
        <v>Accepted</v>
      </c>
      <c r="K1251" s="56">
        <f t="shared" si="61"/>
        <v>1</v>
      </c>
      <c r="L1251" s="56">
        <f t="shared" si="62"/>
        <v>1900</v>
      </c>
    </row>
    <row r="1252" spans="6:12">
      <c r="F1252" s="11" t="str">
        <f t="shared" si="60"/>
        <v>Accepted</v>
      </c>
      <c r="K1252" s="56">
        <f t="shared" si="61"/>
        <v>1</v>
      </c>
      <c r="L1252" s="56">
        <f t="shared" si="62"/>
        <v>1900</v>
      </c>
    </row>
    <row r="1253" spans="6:12">
      <c r="F1253" s="11" t="str">
        <f t="shared" si="60"/>
        <v>Accepted</v>
      </c>
      <c r="K1253" s="56">
        <f t="shared" si="61"/>
        <v>1</v>
      </c>
      <c r="L1253" s="56">
        <f t="shared" si="62"/>
        <v>1900</v>
      </c>
    </row>
    <row r="1254" spans="6:12">
      <c r="F1254" s="11" t="str">
        <f t="shared" si="60"/>
        <v>Accepted</v>
      </c>
      <c r="K1254" s="56">
        <f t="shared" si="61"/>
        <v>1</v>
      </c>
      <c r="L1254" s="56">
        <f t="shared" si="62"/>
        <v>1900</v>
      </c>
    </row>
    <row r="1255" spans="6:12">
      <c r="F1255" s="11" t="str">
        <f t="shared" si="60"/>
        <v>Accepted</v>
      </c>
      <c r="K1255" s="56">
        <f t="shared" si="61"/>
        <v>1</v>
      </c>
      <c r="L1255" s="56">
        <f t="shared" si="62"/>
        <v>1900</v>
      </c>
    </row>
    <row r="1256" spans="6:12">
      <c r="F1256" s="11" t="str">
        <f t="shared" si="60"/>
        <v>Accepted</v>
      </c>
      <c r="K1256" s="56">
        <f t="shared" si="61"/>
        <v>1</v>
      </c>
      <c r="L1256" s="56">
        <f t="shared" si="62"/>
        <v>1900</v>
      </c>
    </row>
    <row r="1257" spans="6:12">
      <c r="F1257" s="11" t="str">
        <f t="shared" si="60"/>
        <v>Accepted</v>
      </c>
      <c r="K1257" s="56">
        <f t="shared" si="61"/>
        <v>1</v>
      </c>
      <c r="L1257" s="56">
        <f t="shared" si="62"/>
        <v>1900</v>
      </c>
    </row>
    <row r="1258" spans="6:12">
      <c r="F1258" s="11" t="str">
        <f t="shared" si="60"/>
        <v>Accepted</v>
      </c>
      <c r="K1258" s="56">
        <f t="shared" si="61"/>
        <v>1</v>
      </c>
      <c r="L1258" s="56">
        <f t="shared" si="62"/>
        <v>1900</v>
      </c>
    </row>
    <row r="1259" spans="6:12">
      <c r="F1259" s="11" t="str">
        <f t="shared" si="60"/>
        <v>Accepted</v>
      </c>
      <c r="K1259" s="56">
        <f t="shared" si="61"/>
        <v>1</v>
      </c>
      <c r="L1259" s="56">
        <f t="shared" si="62"/>
        <v>1900</v>
      </c>
    </row>
    <row r="1260" spans="6:12">
      <c r="F1260" s="11" t="str">
        <f t="shared" si="60"/>
        <v>Accepted</v>
      </c>
      <c r="K1260" s="56">
        <f t="shared" si="61"/>
        <v>1</v>
      </c>
      <c r="L1260" s="56">
        <f t="shared" si="62"/>
        <v>1900</v>
      </c>
    </row>
    <row r="1261" spans="6:12">
      <c r="F1261" s="11" t="str">
        <f t="shared" si="60"/>
        <v>Accepted</v>
      </c>
      <c r="K1261" s="56">
        <f t="shared" si="61"/>
        <v>1</v>
      </c>
      <c r="L1261" s="56">
        <f t="shared" si="62"/>
        <v>1900</v>
      </c>
    </row>
    <row r="1262" spans="6:12">
      <c r="F1262" s="11" t="str">
        <f t="shared" si="60"/>
        <v>Accepted</v>
      </c>
      <c r="K1262" s="56">
        <f t="shared" si="61"/>
        <v>1</v>
      </c>
      <c r="L1262" s="56">
        <f t="shared" si="62"/>
        <v>1900</v>
      </c>
    </row>
    <row r="1263" spans="6:12">
      <c r="F1263" s="11" t="str">
        <f t="shared" si="60"/>
        <v>Accepted</v>
      </c>
      <c r="K1263" s="56">
        <f t="shared" si="61"/>
        <v>1</v>
      </c>
      <c r="L1263" s="56">
        <f t="shared" si="62"/>
        <v>1900</v>
      </c>
    </row>
    <row r="1264" spans="6:12">
      <c r="F1264" s="11" t="str">
        <f t="shared" si="60"/>
        <v>Accepted</v>
      </c>
      <c r="K1264" s="56">
        <f t="shared" si="61"/>
        <v>1</v>
      </c>
      <c r="L1264" s="56">
        <f t="shared" si="62"/>
        <v>1900</v>
      </c>
    </row>
    <row r="1265" spans="6:12">
      <c r="F1265" s="11" t="str">
        <f t="shared" si="60"/>
        <v>Accepted</v>
      </c>
      <c r="K1265" s="56">
        <f t="shared" si="61"/>
        <v>1</v>
      </c>
      <c r="L1265" s="56">
        <f t="shared" si="62"/>
        <v>1900</v>
      </c>
    </row>
    <row r="1266" spans="6:12">
      <c r="F1266" s="11" t="str">
        <f t="shared" si="60"/>
        <v>Accepted</v>
      </c>
      <c r="K1266" s="56">
        <f t="shared" si="61"/>
        <v>1</v>
      </c>
      <c r="L1266" s="56">
        <f t="shared" si="62"/>
        <v>1900</v>
      </c>
    </row>
    <row r="1267" spans="6:12">
      <c r="F1267" s="11" t="str">
        <f t="shared" si="60"/>
        <v>Accepted</v>
      </c>
      <c r="K1267" s="56">
        <f t="shared" si="61"/>
        <v>1</v>
      </c>
      <c r="L1267" s="56">
        <f t="shared" si="62"/>
        <v>1900</v>
      </c>
    </row>
    <row r="1268" spans="6:12">
      <c r="F1268" s="11" t="str">
        <f t="shared" si="60"/>
        <v>Accepted</v>
      </c>
      <c r="K1268" s="56">
        <f t="shared" si="61"/>
        <v>1</v>
      </c>
      <c r="L1268" s="56">
        <f t="shared" si="62"/>
        <v>1900</v>
      </c>
    </row>
    <row r="1269" spans="6:12">
      <c r="F1269" s="11" t="str">
        <f t="shared" si="60"/>
        <v>Accepted</v>
      </c>
      <c r="K1269" s="56">
        <f t="shared" si="61"/>
        <v>1</v>
      </c>
      <c r="L1269" s="56">
        <f t="shared" si="62"/>
        <v>1900</v>
      </c>
    </row>
    <row r="1270" spans="6:12">
      <c r="F1270" s="11" t="str">
        <f t="shared" si="60"/>
        <v>Accepted</v>
      </c>
      <c r="K1270" s="56">
        <f t="shared" si="61"/>
        <v>1</v>
      </c>
      <c r="L1270" s="56">
        <f t="shared" si="62"/>
        <v>1900</v>
      </c>
    </row>
    <row r="1271" spans="6:12">
      <c r="F1271" s="11" t="str">
        <f t="shared" si="60"/>
        <v>Accepted</v>
      </c>
      <c r="K1271" s="56">
        <f t="shared" si="61"/>
        <v>1</v>
      </c>
      <c r="L1271" s="56">
        <f t="shared" si="62"/>
        <v>1900</v>
      </c>
    </row>
    <row r="1272" spans="6:12">
      <c r="F1272" s="11" t="str">
        <f t="shared" si="60"/>
        <v>Accepted</v>
      </c>
      <c r="K1272" s="56">
        <f t="shared" si="61"/>
        <v>1</v>
      </c>
      <c r="L1272" s="56">
        <f t="shared" si="62"/>
        <v>1900</v>
      </c>
    </row>
    <row r="1273" spans="6:12">
      <c r="F1273" s="11" t="str">
        <f t="shared" si="60"/>
        <v>Accepted</v>
      </c>
      <c r="K1273" s="56">
        <f t="shared" si="61"/>
        <v>1</v>
      </c>
      <c r="L1273" s="56">
        <f t="shared" si="62"/>
        <v>1900</v>
      </c>
    </row>
    <row r="1274" spans="6:12">
      <c r="F1274" s="11" t="str">
        <f t="shared" si="60"/>
        <v>Accepted</v>
      </c>
      <c r="K1274" s="56">
        <f t="shared" si="61"/>
        <v>1</v>
      </c>
      <c r="L1274" s="56">
        <f t="shared" si="62"/>
        <v>1900</v>
      </c>
    </row>
    <row r="1275" spans="6:12">
      <c r="F1275" s="11" t="str">
        <f t="shared" ref="F1275:F1338" si="63">IF((D1275-G1275)&lt;10,"Accepted","Partial/Rejected")</f>
        <v>Accepted</v>
      </c>
      <c r="K1275" s="56">
        <f t="shared" si="61"/>
        <v>1</v>
      </c>
      <c r="L1275" s="56">
        <f t="shared" si="62"/>
        <v>1900</v>
      </c>
    </row>
    <row r="1276" spans="6:12">
      <c r="F1276" s="11" t="str">
        <f t="shared" si="63"/>
        <v>Accepted</v>
      </c>
      <c r="K1276" s="56">
        <f t="shared" si="61"/>
        <v>1</v>
      </c>
      <c r="L1276" s="56">
        <f t="shared" si="62"/>
        <v>1900</v>
      </c>
    </row>
    <row r="1277" spans="6:12">
      <c r="F1277" s="11" t="str">
        <f t="shared" si="63"/>
        <v>Accepted</v>
      </c>
      <c r="K1277" s="56">
        <f t="shared" si="61"/>
        <v>1</v>
      </c>
      <c r="L1277" s="56">
        <f t="shared" si="62"/>
        <v>1900</v>
      </c>
    </row>
    <row r="1278" spans="6:12">
      <c r="F1278" s="11" t="str">
        <f t="shared" si="63"/>
        <v>Accepted</v>
      </c>
      <c r="K1278" s="56">
        <f t="shared" si="61"/>
        <v>1</v>
      </c>
      <c r="L1278" s="56">
        <f t="shared" si="62"/>
        <v>1900</v>
      </c>
    </row>
    <row r="1279" spans="6:12">
      <c r="F1279" s="11" t="str">
        <f t="shared" si="63"/>
        <v>Accepted</v>
      </c>
      <c r="K1279" s="56">
        <f t="shared" si="61"/>
        <v>1</v>
      </c>
      <c r="L1279" s="56">
        <f t="shared" si="62"/>
        <v>1900</v>
      </c>
    </row>
    <row r="1280" spans="6:12">
      <c r="F1280" s="11" t="str">
        <f t="shared" si="63"/>
        <v>Accepted</v>
      </c>
      <c r="K1280" s="56">
        <f t="shared" si="61"/>
        <v>1</v>
      </c>
      <c r="L1280" s="56">
        <f t="shared" si="62"/>
        <v>1900</v>
      </c>
    </row>
    <row r="1281" spans="6:12">
      <c r="F1281" s="11" t="str">
        <f t="shared" si="63"/>
        <v>Accepted</v>
      </c>
      <c r="K1281" s="56">
        <f t="shared" si="61"/>
        <v>1</v>
      </c>
      <c r="L1281" s="56">
        <f t="shared" si="62"/>
        <v>1900</v>
      </c>
    </row>
    <row r="1282" spans="6:12">
      <c r="F1282" s="11" t="str">
        <f t="shared" si="63"/>
        <v>Accepted</v>
      </c>
      <c r="K1282" s="56">
        <f t="shared" si="61"/>
        <v>1</v>
      </c>
      <c r="L1282" s="56">
        <f t="shared" si="62"/>
        <v>1900</v>
      </c>
    </row>
    <row r="1283" spans="6:12">
      <c r="F1283" s="11" t="str">
        <f t="shared" si="63"/>
        <v>Accepted</v>
      </c>
      <c r="K1283" s="56">
        <f t="shared" si="61"/>
        <v>1</v>
      </c>
      <c r="L1283" s="56">
        <f t="shared" si="62"/>
        <v>1900</v>
      </c>
    </row>
    <row r="1284" spans="6:12">
      <c r="F1284" s="11" t="str">
        <f t="shared" si="63"/>
        <v>Accepted</v>
      </c>
      <c r="K1284" s="56">
        <f t="shared" si="61"/>
        <v>1</v>
      </c>
      <c r="L1284" s="56">
        <f t="shared" si="62"/>
        <v>1900</v>
      </c>
    </row>
    <row r="1285" spans="6:12">
      <c r="F1285" s="11" t="str">
        <f t="shared" si="63"/>
        <v>Accepted</v>
      </c>
      <c r="K1285" s="56">
        <f t="shared" si="61"/>
        <v>1</v>
      </c>
      <c r="L1285" s="56">
        <f t="shared" si="62"/>
        <v>1900</v>
      </c>
    </row>
    <row r="1286" spans="6:12">
      <c r="F1286" s="11" t="str">
        <f t="shared" si="63"/>
        <v>Accepted</v>
      </c>
      <c r="K1286" s="56">
        <f t="shared" si="61"/>
        <v>1</v>
      </c>
      <c r="L1286" s="56">
        <f t="shared" si="62"/>
        <v>1900</v>
      </c>
    </row>
    <row r="1287" spans="6:12">
      <c r="F1287" s="11" t="str">
        <f t="shared" si="63"/>
        <v>Accepted</v>
      </c>
      <c r="K1287" s="56">
        <f t="shared" si="61"/>
        <v>1</v>
      </c>
      <c r="L1287" s="56">
        <f t="shared" si="62"/>
        <v>1900</v>
      </c>
    </row>
    <row r="1288" spans="6:12">
      <c r="F1288" s="11" t="str">
        <f t="shared" si="63"/>
        <v>Accepted</v>
      </c>
      <c r="K1288" s="56">
        <f t="shared" si="61"/>
        <v>1</v>
      </c>
      <c r="L1288" s="56">
        <f t="shared" si="62"/>
        <v>1900</v>
      </c>
    </row>
    <row r="1289" spans="6:12">
      <c r="F1289" s="11" t="str">
        <f t="shared" si="63"/>
        <v>Accepted</v>
      </c>
      <c r="K1289" s="56">
        <f t="shared" si="61"/>
        <v>1</v>
      </c>
      <c r="L1289" s="56">
        <f t="shared" si="62"/>
        <v>1900</v>
      </c>
    </row>
    <row r="1290" spans="6:12">
      <c r="F1290" s="11" t="str">
        <f t="shared" si="63"/>
        <v>Accepted</v>
      </c>
      <c r="K1290" s="56">
        <f t="shared" si="61"/>
        <v>1</v>
      </c>
      <c r="L1290" s="56">
        <f t="shared" si="62"/>
        <v>1900</v>
      </c>
    </row>
    <row r="1291" spans="6:12">
      <c r="F1291" s="11" t="str">
        <f t="shared" si="63"/>
        <v>Accepted</v>
      </c>
      <c r="K1291" s="56">
        <f t="shared" ref="K1291:K1354" si="64">MONTH(C1291)</f>
        <v>1</v>
      </c>
      <c r="L1291" s="56">
        <f t="shared" ref="L1291:L1354" si="65">YEAR(C1291)</f>
        <v>1900</v>
      </c>
    </row>
    <row r="1292" spans="6:12">
      <c r="F1292" s="11" t="str">
        <f t="shared" si="63"/>
        <v>Accepted</v>
      </c>
      <c r="K1292" s="56">
        <f t="shared" si="64"/>
        <v>1</v>
      </c>
      <c r="L1292" s="56">
        <f t="shared" si="65"/>
        <v>1900</v>
      </c>
    </row>
    <row r="1293" spans="6:12">
      <c r="F1293" s="11" t="str">
        <f t="shared" si="63"/>
        <v>Accepted</v>
      </c>
      <c r="K1293" s="56">
        <f t="shared" si="64"/>
        <v>1</v>
      </c>
      <c r="L1293" s="56">
        <f t="shared" si="65"/>
        <v>1900</v>
      </c>
    </row>
    <row r="1294" spans="6:12">
      <c r="F1294" s="11" t="str">
        <f t="shared" si="63"/>
        <v>Accepted</v>
      </c>
      <c r="K1294" s="56">
        <f t="shared" si="64"/>
        <v>1</v>
      </c>
      <c r="L1294" s="56">
        <f t="shared" si="65"/>
        <v>1900</v>
      </c>
    </row>
    <row r="1295" spans="6:12">
      <c r="F1295" s="11" t="str">
        <f t="shared" si="63"/>
        <v>Accepted</v>
      </c>
      <c r="K1295" s="56">
        <f t="shared" si="64"/>
        <v>1</v>
      </c>
      <c r="L1295" s="56">
        <f t="shared" si="65"/>
        <v>1900</v>
      </c>
    </row>
    <row r="1296" spans="6:12">
      <c r="F1296" s="11" t="str">
        <f t="shared" si="63"/>
        <v>Accepted</v>
      </c>
      <c r="K1296" s="56">
        <f t="shared" si="64"/>
        <v>1</v>
      </c>
      <c r="L1296" s="56">
        <f t="shared" si="65"/>
        <v>1900</v>
      </c>
    </row>
    <row r="1297" spans="6:12">
      <c r="F1297" s="11" t="str">
        <f t="shared" si="63"/>
        <v>Accepted</v>
      </c>
      <c r="K1297" s="56">
        <f t="shared" si="64"/>
        <v>1</v>
      </c>
      <c r="L1297" s="56">
        <f t="shared" si="65"/>
        <v>1900</v>
      </c>
    </row>
    <row r="1298" spans="6:12">
      <c r="F1298" s="11" t="str">
        <f t="shared" si="63"/>
        <v>Accepted</v>
      </c>
      <c r="K1298" s="56">
        <f t="shared" si="64"/>
        <v>1</v>
      </c>
      <c r="L1298" s="56">
        <f t="shared" si="65"/>
        <v>1900</v>
      </c>
    </row>
    <row r="1299" spans="6:12">
      <c r="F1299" s="11" t="str">
        <f t="shared" si="63"/>
        <v>Accepted</v>
      </c>
      <c r="K1299" s="56">
        <f t="shared" si="64"/>
        <v>1</v>
      </c>
      <c r="L1299" s="56">
        <f t="shared" si="65"/>
        <v>1900</v>
      </c>
    </row>
    <row r="1300" spans="6:12">
      <c r="F1300" s="11" t="str">
        <f t="shared" si="63"/>
        <v>Accepted</v>
      </c>
      <c r="K1300" s="56">
        <f t="shared" si="64"/>
        <v>1</v>
      </c>
      <c r="L1300" s="56">
        <f t="shared" si="65"/>
        <v>1900</v>
      </c>
    </row>
    <row r="1301" spans="6:12">
      <c r="F1301" s="11" t="str">
        <f t="shared" si="63"/>
        <v>Accepted</v>
      </c>
      <c r="K1301" s="56">
        <f t="shared" si="64"/>
        <v>1</v>
      </c>
      <c r="L1301" s="56">
        <f t="shared" si="65"/>
        <v>1900</v>
      </c>
    </row>
    <row r="1302" spans="6:12">
      <c r="F1302" s="11" t="str">
        <f t="shared" si="63"/>
        <v>Accepted</v>
      </c>
      <c r="K1302" s="56">
        <f t="shared" si="64"/>
        <v>1</v>
      </c>
      <c r="L1302" s="56">
        <f t="shared" si="65"/>
        <v>1900</v>
      </c>
    </row>
    <row r="1303" spans="6:12">
      <c r="F1303" s="11" t="str">
        <f t="shared" si="63"/>
        <v>Accepted</v>
      </c>
      <c r="K1303" s="56">
        <f t="shared" si="64"/>
        <v>1</v>
      </c>
      <c r="L1303" s="56">
        <f t="shared" si="65"/>
        <v>1900</v>
      </c>
    </row>
    <row r="1304" spans="6:12">
      <c r="F1304" s="11" t="str">
        <f t="shared" si="63"/>
        <v>Accepted</v>
      </c>
      <c r="K1304" s="56">
        <f t="shared" si="64"/>
        <v>1</v>
      </c>
      <c r="L1304" s="56">
        <f t="shared" si="65"/>
        <v>1900</v>
      </c>
    </row>
    <row r="1305" spans="6:12">
      <c r="F1305" s="11" t="str">
        <f t="shared" si="63"/>
        <v>Accepted</v>
      </c>
      <c r="K1305" s="56">
        <f t="shared" si="64"/>
        <v>1</v>
      </c>
      <c r="L1305" s="56">
        <f t="shared" si="65"/>
        <v>1900</v>
      </c>
    </row>
    <row r="1306" spans="6:12">
      <c r="F1306" s="11" t="str">
        <f t="shared" si="63"/>
        <v>Accepted</v>
      </c>
      <c r="K1306" s="56">
        <f t="shared" si="64"/>
        <v>1</v>
      </c>
      <c r="L1306" s="56">
        <f t="shared" si="65"/>
        <v>1900</v>
      </c>
    </row>
    <row r="1307" spans="6:12">
      <c r="F1307" s="11" t="str">
        <f t="shared" si="63"/>
        <v>Accepted</v>
      </c>
      <c r="K1307" s="56">
        <f t="shared" si="64"/>
        <v>1</v>
      </c>
      <c r="L1307" s="56">
        <f t="shared" si="65"/>
        <v>1900</v>
      </c>
    </row>
    <row r="1308" spans="6:12">
      <c r="F1308" s="11" t="str">
        <f t="shared" si="63"/>
        <v>Accepted</v>
      </c>
      <c r="K1308" s="56">
        <f t="shared" si="64"/>
        <v>1</v>
      </c>
      <c r="L1308" s="56">
        <f t="shared" si="65"/>
        <v>1900</v>
      </c>
    </row>
    <row r="1309" spans="6:12">
      <c r="F1309" s="11" t="str">
        <f t="shared" si="63"/>
        <v>Accepted</v>
      </c>
      <c r="K1309" s="56">
        <f t="shared" si="64"/>
        <v>1</v>
      </c>
      <c r="L1309" s="56">
        <f t="shared" si="65"/>
        <v>1900</v>
      </c>
    </row>
    <row r="1310" spans="6:12">
      <c r="F1310" s="11" t="str">
        <f t="shared" si="63"/>
        <v>Accepted</v>
      </c>
      <c r="K1310" s="56">
        <f t="shared" si="64"/>
        <v>1</v>
      </c>
      <c r="L1310" s="56">
        <f t="shared" si="65"/>
        <v>1900</v>
      </c>
    </row>
    <row r="1311" spans="6:12">
      <c r="F1311" s="11" t="str">
        <f t="shared" si="63"/>
        <v>Accepted</v>
      </c>
      <c r="K1311" s="56">
        <f t="shared" si="64"/>
        <v>1</v>
      </c>
      <c r="L1311" s="56">
        <f t="shared" si="65"/>
        <v>1900</v>
      </c>
    </row>
    <row r="1312" spans="6:12">
      <c r="F1312" s="11" t="str">
        <f t="shared" si="63"/>
        <v>Accepted</v>
      </c>
      <c r="K1312" s="56">
        <f t="shared" si="64"/>
        <v>1</v>
      </c>
      <c r="L1312" s="56">
        <f t="shared" si="65"/>
        <v>1900</v>
      </c>
    </row>
    <row r="1313" spans="6:12">
      <c r="F1313" s="11" t="str">
        <f t="shared" si="63"/>
        <v>Accepted</v>
      </c>
      <c r="K1313" s="56">
        <f t="shared" si="64"/>
        <v>1</v>
      </c>
      <c r="L1313" s="56">
        <f t="shared" si="65"/>
        <v>1900</v>
      </c>
    </row>
    <row r="1314" spans="6:12">
      <c r="F1314" s="11" t="str">
        <f t="shared" si="63"/>
        <v>Accepted</v>
      </c>
      <c r="K1314" s="56">
        <f t="shared" si="64"/>
        <v>1</v>
      </c>
      <c r="L1314" s="56">
        <f t="shared" si="65"/>
        <v>1900</v>
      </c>
    </row>
    <row r="1315" spans="6:12">
      <c r="F1315" s="11" t="str">
        <f t="shared" si="63"/>
        <v>Accepted</v>
      </c>
      <c r="K1315" s="56">
        <f t="shared" si="64"/>
        <v>1</v>
      </c>
      <c r="L1315" s="56">
        <f t="shared" si="65"/>
        <v>1900</v>
      </c>
    </row>
    <row r="1316" spans="6:12">
      <c r="F1316" s="11" t="str">
        <f t="shared" si="63"/>
        <v>Accepted</v>
      </c>
      <c r="K1316" s="56">
        <f t="shared" si="64"/>
        <v>1</v>
      </c>
      <c r="L1316" s="56">
        <f t="shared" si="65"/>
        <v>1900</v>
      </c>
    </row>
    <row r="1317" spans="6:12">
      <c r="F1317" s="11" t="str">
        <f t="shared" si="63"/>
        <v>Accepted</v>
      </c>
      <c r="K1317" s="56">
        <f t="shared" si="64"/>
        <v>1</v>
      </c>
      <c r="L1317" s="56">
        <f t="shared" si="65"/>
        <v>1900</v>
      </c>
    </row>
    <row r="1318" spans="6:12">
      <c r="F1318" s="11" t="str">
        <f t="shared" si="63"/>
        <v>Accepted</v>
      </c>
      <c r="K1318" s="56">
        <f t="shared" si="64"/>
        <v>1</v>
      </c>
      <c r="L1318" s="56">
        <f t="shared" si="65"/>
        <v>1900</v>
      </c>
    </row>
    <row r="1319" spans="6:12">
      <c r="F1319" s="11" t="str">
        <f t="shared" si="63"/>
        <v>Accepted</v>
      </c>
      <c r="K1319" s="56">
        <f t="shared" si="64"/>
        <v>1</v>
      </c>
      <c r="L1319" s="56">
        <f t="shared" si="65"/>
        <v>1900</v>
      </c>
    </row>
    <row r="1320" spans="6:12">
      <c r="F1320" s="11" t="str">
        <f t="shared" si="63"/>
        <v>Accepted</v>
      </c>
      <c r="K1320" s="56">
        <f t="shared" si="64"/>
        <v>1</v>
      </c>
      <c r="L1320" s="56">
        <f t="shared" si="65"/>
        <v>1900</v>
      </c>
    </row>
    <row r="1321" spans="6:12">
      <c r="F1321" s="11" t="str">
        <f t="shared" si="63"/>
        <v>Accepted</v>
      </c>
      <c r="K1321" s="56">
        <f t="shared" si="64"/>
        <v>1</v>
      </c>
      <c r="L1321" s="56">
        <f t="shared" si="65"/>
        <v>1900</v>
      </c>
    </row>
    <row r="1322" spans="6:12">
      <c r="F1322" s="11" t="str">
        <f t="shared" si="63"/>
        <v>Accepted</v>
      </c>
      <c r="K1322" s="56">
        <f t="shared" si="64"/>
        <v>1</v>
      </c>
      <c r="L1322" s="56">
        <f t="shared" si="65"/>
        <v>1900</v>
      </c>
    </row>
    <row r="1323" spans="6:12">
      <c r="F1323" s="11" t="str">
        <f t="shared" si="63"/>
        <v>Accepted</v>
      </c>
      <c r="K1323" s="56">
        <f t="shared" si="64"/>
        <v>1</v>
      </c>
      <c r="L1323" s="56">
        <f t="shared" si="65"/>
        <v>1900</v>
      </c>
    </row>
    <row r="1324" spans="6:12">
      <c r="F1324" s="11" t="str">
        <f t="shared" si="63"/>
        <v>Accepted</v>
      </c>
      <c r="K1324" s="56">
        <f t="shared" si="64"/>
        <v>1</v>
      </c>
      <c r="L1324" s="56">
        <f t="shared" si="65"/>
        <v>1900</v>
      </c>
    </row>
    <row r="1325" spans="6:12">
      <c r="F1325" s="11" t="str">
        <f t="shared" si="63"/>
        <v>Accepted</v>
      </c>
      <c r="K1325" s="56">
        <f t="shared" si="64"/>
        <v>1</v>
      </c>
      <c r="L1325" s="56">
        <f t="shared" si="65"/>
        <v>1900</v>
      </c>
    </row>
    <row r="1326" spans="6:12">
      <c r="F1326" s="11" t="str">
        <f t="shared" si="63"/>
        <v>Accepted</v>
      </c>
      <c r="K1326" s="56">
        <f t="shared" si="64"/>
        <v>1</v>
      </c>
      <c r="L1326" s="56">
        <f t="shared" si="65"/>
        <v>1900</v>
      </c>
    </row>
    <row r="1327" spans="6:12">
      <c r="F1327" s="11" t="str">
        <f t="shared" si="63"/>
        <v>Accepted</v>
      </c>
      <c r="K1327" s="56">
        <f t="shared" si="64"/>
        <v>1</v>
      </c>
      <c r="L1327" s="56">
        <f t="shared" si="65"/>
        <v>1900</v>
      </c>
    </row>
    <row r="1328" spans="6:12">
      <c r="F1328" s="11" t="str">
        <f t="shared" si="63"/>
        <v>Accepted</v>
      </c>
      <c r="K1328" s="56">
        <f t="shared" si="64"/>
        <v>1</v>
      </c>
      <c r="L1328" s="56">
        <f t="shared" si="65"/>
        <v>1900</v>
      </c>
    </row>
    <row r="1329" spans="6:12">
      <c r="F1329" s="11" t="str">
        <f t="shared" si="63"/>
        <v>Accepted</v>
      </c>
      <c r="K1329" s="56">
        <f t="shared" si="64"/>
        <v>1</v>
      </c>
      <c r="L1329" s="56">
        <f t="shared" si="65"/>
        <v>1900</v>
      </c>
    </row>
    <row r="1330" spans="6:12">
      <c r="F1330" s="11" t="str">
        <f t="shared" si="63"/>
        <v>Accepted</v>
      </c>
      <c r="K1330" s="56">
        <f t="shared" si="64"/>
        <v>1</v>
      </c>
      <c r="L1330" s="56">
        <f t="shared" si="65"/>
        <v>1900</v>
      </c>
    </row>
    <row r="1331" spans="6:12">
      <c r="F1331" s="11" t="str">
        <f t="shared" si="63"/>
        <v>Accepted</v>
      </c>
      <c r="K1331" s="56">
        <f t="shared" si="64"/>
        <v>1</v>
      </c>
      <c r="L1331" s="56">
        <f t="shared" si="65"/>
        <v>1900</v>
      </c>
    </row>
    <row r="1332" spans="6:12">
      <c r="F1332" s="11" t="str">
        <f t="shared" si="63"/>
        <v>Accepted</v>
      </c>
      <c r="K1332" s="56">
        <f t="shared" si="64"/>
        <v>1</v>
      </c>
      <c r="L1332" s="56">
        <f t="shared" si="65"/>
        <v>1900</v>
      </c>
    </row>
    <row r="1333" spans="6:12">
      <c r="F1333" s="11" t="str">
        <f t="shared" si="63"/>
        <v>Accepted</v>
      </c>
      <c r="K1333" s="56">
        <f t="shared" si="64"/>
        <v>1</v>
      </c>
      <c r="L1333" s="56">
        <f t="shared" si="65"/>
        <v>1900</v>
      </c>
    </row>
    <row r="1334" spans="6:12">
      <c r="F1334" s="11" t="str">
        <f t="shared" si="63"/>
        <v>Accepted</v>
      </c>
      <c r="K1334" s="56">
        <f t="shared" si="64"/>
        <v>1</v>
      </c>
      <c r="L1334" s="56">
        <f t="shared" si="65"/>
        <v>1900</v>
      </c>
    </row>
    <row r="1335" spans="6:12">
      <c r="F1335" s="11" t="str">
        <f t="shared" si="63"/>
        <v>Accepted</v>
      </c>
      <c r="K1335" s="56">
        <f t="shared" si="64"/>
        <v>1</v>
      </c>
      <c r="L1335" s="56">
        <f t="shared" si="65"/>
        <v>1900</v>
      </c>
    </row>
    <row r="1336" spans="6:12">
      <c r="F1336" s="11" t="str">
        <f t="shared" si="63"/>
        <v>Accepted</v>
      </c>
      <c r="K1336" s="56">
        <f t="shared" si="64"/>
        <v>1</v>
      </c>
      <c r="L1336" s="56">
        <f t="shared" si="65"/>
        <v>1900</v>
      </c>
    </row>
    <row r="1337" spans="6:12">
      <c r="F1337" s="11" t="str">
        <f t="shared" si="63"/>
        <v>Accepted</v>
      </c>
      <c r="K1337" s="56">
        <f t="shared" si="64"/>
        <v>1</v>
      </c>
      <c r="L1337" s="56">
        <f t="shared" si="65"/>
        <v>1900</v>
      </c>
    </row>
    <row r="1338" spans="6:12">
      <c r="F1338" s="11" t="str">
        <f t="shared" si="63"/>
        <v>Accepted</v>
      </c>
      <c r="K1338" s="56">
        <f t="shared" si="64"/>
        <v>1</v>
      </c>
      <c r="L1338" s="56">
        <f t="shared" si="65"/>
        <v>1900</v>
      </c>
    </row>
    <row r="1339" spans="6:12">
      <c r="F1339" s="11" t="str">
        <f t="shared" ref="F1339:F1402" si="66">IF((D1339-G1339)&lt;10,"Accepted","Partial/Rejected")</f>
        <v>Accepted</v>
      </c>
      <c r="K1339" s="56">
        <f t="shared" si="64"/>
        <v>1</v>
      </c>
      <c r="L1339" s="56">
        <f t="shared" si="65"/>
        <v>1900</v>
      </c>
    </row>
    <row r="1340" spans="6:12">
      <c r="F1340" s="11" t="str">
        <f t="shared" si="66"/>
        <v>Accepted</v>
      </c>
      <c r="K1340" s="56">
        <f t="shared" si="64"/>
        <v>1</v>
      </c>
      <c r="L1340" s="56">
        <f t="shared" si="65"/>
        <v>1900</v>
      </c>
    </row>
    <row r="1341" spans="6:12">
      <c r="F1341" s="11" t="str">
        <f t="shared" si="66"/>
        <v>Accepted</v>
      </c>
      <c r="K1341" s="56">
        <f t="shared" si="64"/>
        <v>1</v>
      </c>
      <c r="L1341" s="56">
        <f t="shared" si="65"/>
        <v>1900</v>
      </c>
    </row>
    <row r="1342" spans="6:12">
      <c r="F1342" s="11" t="str">
        <f t="shared" si="66"/>
        <v>Accepted</v>
      </c>
      <c r="K1342" s="56">
        <f t="shared" si="64"/>
        <v>1</v>
      </c>
      <c r="L1342" s="56">
        <f t="shared" si="65"/>
        <v>1900</v>
      </c>
    </row>
    <row r="1343" spans="6:12">
      <c r="F1343" s="11" t="str">
        <f t="shared" si="66"/>
        <v>Accepted</v>
      </c>
      <c r="K1343" s="56">
        <f t="shared" si="64"/>
        <v>1</v>
      </c>
      <c r="L1343" s="56">
        <f t="shared" si="65"/>
        <v>1900</v>
      </c>
    </row>
    <row r="1344" spans="6:12">
      <c r="F1344" s="11" t="str">
        <f t="shared" si="66"/>
        <v>Accepted</v>
      </c>
      <c r="K1344" s="56">
        <f t="shared" si="64"/>
        <v>1</v>
      </c>
      <c r="L1344" s="56">
        <f t="shared" si="65"/>
        <v>1900</v>
      </c>
    </row>
    <row r="1345" spans="6:12">
      <c r="F1345" s="11" t="str">
        <f t="shared" si="66"/>
        <v>Accepted</v>
      </c>
      <c r="K1345" s="56">
        <f t="shared" si="64"/>
        <v>1</v>
      </c>
      <c r="L1345" s="56">
        <f t="shared" si="65"/>
        <v>1900</v>
      </c>
    </row>
    <row r="1346" spans="6:12">
      <c r="F1346" s="11" t="str">
        <f t="shared" si="66"/>
        <v>Accepted</v>
      </c>
      <c r="K1346" s="56">
        <f t="shared" si="64"/>
        <v>1</v>
      </c>
      <c r="L1346" s="56">
        <f t="shared" si="65"/>
        <v>1900</v>
      </c>
    </row>
    <row r="1347" spans="6:12">
      <c r="F1347" s="11" t="str">
        <f t="shared" si="66"/>
        <v>Accepted</v>
      </c>
      <c r="K1347" s="56">
        <f t="shared" si="64"/>
        <v>1</v>
      </c>
      <c r="L1347" s="56">
        <f t="shared" si="65"/>
        <v>1900</v>
      </c>
    </row>
    <row r="1348" spans="6:12">
      <c r="F1348" s="11" t="str">
        <f t="shared" si="66"/>
        <v>Accepted</v>
      </c>
      <c r="K1348" s="56">
        <f t="shared" si="64"/>
        <v>1</v>
      </c>
      <c r="L1348" s="56">
        <f t="shared" si="65"/>
        <v>1900</v>
      </c>
    </row>
    <row r="1349" spans="6:12">
      <c r="F1349" s="11" t="str">
        <f t="shared" si="66"/>
        <v>Accepted</v>
      </c>
      <c r="K1349" s="56">
        <f t="shared" si="64"/>
        <v>1</v>
      </c>
      <c r="L1349" s="56">
        <f t="shared" si="65"/>
        <v>1900</v>
      </c>
    </row>
    <row r="1350" spans="6:12">
      <c r="F1350" s="11" t="str">
        <f t="shared" si="66"/>
        <v>Accepted</v>
      </c>
      <c r="K1350" s="56">
        <f t="shared" si="64"/>
        <v>1</v>
      </c>
      <c r="L1350" s="56">
        <f t="shared" si="65"/>
        <v>1900</v>
      </c>
    </row>
    <row r="1351" spans="6:12">
      <c r="F1351" s="11" t="str">
        <f t="shared" si="66"/>
        <v>Accepted</v>
      </c>
      <c r="K1351" s="56">
        <f t="shared" si="64"/>
        <v>1</v>
      </c>
      <c r="L1351" s="56">
        <f t="shared" si="65"/>
        <v>1900</v>
      </c>
    </row>
    <row r="1352" spans="6:12">
      <c r="F1352" s="11" t="str">
        <f t="shared" si="66"/>
        <v>Accepted</v>
      </c>
      <c r="K1352" s="56">
        <f t="shared" si="64"/>
        <v>1</v>
      </c>
      <c r="L1352" s="56">
        <f t="shared" si="65"/>
        <v>1900</v>
      </c>
    </row>
    <row r="1353" spans="6:12">
      <c r="F1353" s="11" t="str">
        <f t="shared" si="66"/>
        <v>Accepted</v>
      </c>
      <c r="K1353" s="56">
        <f t="shared" si="64"/>
        <v>1</v>
      </c>
      <c r="L1353" s="56">
        <f t="shared" si="65"/>
        <v>1900</v>
      </c>
    </row>
    <row r="1354" spans="6:12">
      <c r="F1354" s="11" t="str">
        <f t="shared" si="66"/>
        <v>Accepted</v>
      </c>
      <c r="K1354" s="56">
        <f t="shared" si="64"/>
        <v>1</v>
      </c>
      <c r="L1354" s="56">
        <f t="shared" si="65"/>
        <v>1900</v>
      </c>
    </row>
    <row r="1355" spans="6:12">
      <c r="F1355" s="11" t="str">
        <f t="shared" si="66"/>
        <v>Accepted</v>
      </c>
      <c r="K1355" s="56">
        <f t="shared" ref="K1355:K1418" si="67">MONTH(C1355)</f>
        <v>1</v>
      </c>
      <c r="L1355" s="56">
        <f t="shared" ref="L1355:L1418" si="68">YEAR(C1355)</f>
        <v>1900</v>
      </c>
    </row>
    <row r="1356" spans="6:12">
      <c r="F1356" s="11" t="str">
        <f t="shared" si="66"/>
        <v>Accepted</v>
      </c>
      <c r="K1356" s="56">
        <f t="shared" si="67"/>
        <v>1</v>
      </c>
      <c r="L1356" s="56">
        <f t="shared" si="68"/>
        <v>1900</v>
      </c>
    </row>
    <row r="1357" spans="6:12">
      <c r="F1357" s="11" t="str">
        <f t="shared" si="66"/>
        <v>Accepted</v>
      </c>
      <c r="K1357" s="56">
        <f t="shared" si="67"/>
        <v>1</v>
      </c>
      <c r="L1357" s="56">
        <f t="shared" si="68"/>
        <v>1900</v>
      </c>
    </row>
    <row r="1358" spans="6:12">
      <c r="F1358" s="11" t="str">
        <f t="shared" si="66"/>
        <v>Accepted</v>
      </c>
      <c r="K1358" s="56">
        <f t="shared" si="67"/>
        <v>1</v>
      </c>
      <c r="L1358" s="56">
        <f t="shared" si="68"/>
        <v>1900</v>
      </c>
    </row>
    <row r="1359" spans="6:12">
      <c r="F1359" s="11" t="str">
        <f t="shared" si="66"/>
        <v>Accepted</v>
      </c>
      <c r="K1359" s="56">
        <f t="shared" si="67"/>
        <v>1</v>
      </c>
      <c r="L1359" s="56">
        <f t="shared" si="68"/>
        <v>1900</v>
      </c>
    </row>
    <row r="1360" spans="6:12">
      <c r="F1360" s="11" t="str">
        <f t="shared" si="66"/>
        <v>Accepted</v>
      </c>
      <c r="K1360" s="56">
        <f t="shared" si="67"/>
        <v>1</v>
      </c>
      <c r="L1360" s="56">
        <f t="shared" si="68"/>
        <v>1900</v>
      </c>
    </row>
    <row r="1361" spans="6:12">
      <c r="F1361" s="11" t="str">
        <f t="shared" si="66"/>
        <v>Accepted</v>
      </c>
      <c r="K1361" s="56">
        <f t="shared" si="67"/>
        <v>1</v>
      </c>
      <c r="L1361" s="56">
        <f t="shared" si="68"/>
        <v>1900</v>
      </c>
    </row>
    <row r="1362" spans="6:12">
      <c r="F1362" s="11" t="str">
        <f t="shared" si="66"/>
        <v>Accepted</v>
      </c>
      <c r="K1362" s="56">
        <f t="shared" si="67"/>
        <v>1</v>
      </c>
      <c r="L1362" s="56">
        <f t="shared" si="68"/>
        <v>1900</v>
      </c>
    </row>
    <row r="1363" spans="6:12">
      <c r="F1363" s="11" t="str">
        <f t="shared" si="66"/>
        <v>Accepted</v>
      </c>
      <c r="K1363" s="56">
        <f t="shared" si="67"/>
        <v>1</v>
      </c>
      <c r="L1363" s="56">
        <f t="shared" si="68"/>
        <v>1900</v>
      </c>
    </row>
    <row r="1364" spans="6:12">
      <c r="F1364" s="11" t="str">
        <f t="shared" si="66"/>
        <v>Accepted</v>
      </c>
      <c r="K1364" s="56">
        <f t="shared" si="67"/>
        <v>1</v>
      </c>
      <c r="L1364" s="56">
        <f t="shared" si="68"/>
        <v>1900</v>
      </c>
    </row>
    <row r="1365" spans="6:12">
      <c r="F1365" s="11" t="str">
        <f t="shared" si="66"/>
        <v>Accepted</v>
      </c>
      <c r="K1365" s="56">
        <f t="shared" si="67"/>
        <v>1</v>
      </c>
      <c r="L1365" s="56">
        <f t="shared" si="68"/>
        <v>1900</v>
      </c>
    </row>
    <row r="1366" spans="6:12">
      <c r="F1366" s="11" t="str">
        <f t="shared" si="66"/>
        <v>Accepted</v>
      </c>
      <c r="K1366" s="56">
        <f t="shared" si="67"/>
        <v>1</v>
      </c>
      <c r="L1366" s="56">
        <f t="shared" si="68"/>
        <v>1900</v>
      </c>
    </row>
    <row r="1367" spans="6:12">
      <c r="F1367" s="11" t="str">
        <f t="shared" si="66"/>
        <v>Accepted</v>
      </c>
      <c r="K1367" s="56">
        <f t="shared" si="67"/>
        <v>1</v>
      </c>
      <c r="L1367" s="56">
        <f t="shared" si="68"/>
        <v>1900</v>
      </c>
    </row>
    <row r="1368" spans="6:12">
      <c r="F1368" s="11" t="str">
        <f t="shared" si="66"/>
        <v>Accepted</v>
      </c>
      <c r="K1368" s="56">
        <f t="shared" si="67"/>
        <v>1</v>
      </c>
      <c r="L1368" s="56">
        <f t="shared" si="68"/>
        <v>1900</v>
      </c>
    </row>
    <row r="1369" spans="6:12">
      <c r="F1369" s="11" t="str">
        <f t="shared" si="66"/>
        <v>Accepted</v>
      </c>
      <c r="K1369" s="56">
        <f t="shared" si="67"/>
        <v>1</v>
      </c>
      <c r="L1369" s="56">
        <f t="shared" si="68"/>
        <v>1900</v>
      </c>
    </row>
    <row r="1370" spans="6:12">
      <c r="F1370" s="11" t="str">
        <f t="shared" si="66"/>
        <v>Accepted</v>
      </c>
      <c r="K1370" s="56">
        <f t="shared" si="67"/>
        <v>1</v>
      </c>
      <c r="L1370" s="56">
        <f t="shared" si="68"/>
        <v>1900</v>
      </c>
    </row>
    <row r="1371" spans="6:12">
      <c r="F1371" s="11" t="str">
        <f t="shared" si="66"/>
        <v>Accepted</v>
      </c>
      <c r="K1371" s="56">
        <f t="shared" si="67"/>
        <v>1</v>
      </c>
      <c r="L1371" s="56">
        <f t="shared" si="68"/>
        <v>1900</v>
      </c>
    </row>
    <row r="1372" spans="6:12">
      <c r="F1372" s="11" t="str">
        <f t="shared" si="66"/>
        <v>Accepted</v>
      </c>
      <c r="K1372" s="56">
        <f t="shared" si="67"/>
        <v>1</v>
      </c>
      <c r="L1372" s="56">
        <f t="shared" si="68"/>
        <v>1900</v>
      </c>
    </row>
    <row r="1373" spans="6:12">
      <c r="F1373" s="11" t="str">
        <f t="shared" si="66"/>
        <v>Accepted</v>
      </c>
      <c r="K1373" s="56">
        <f t="shared" si="67"/>
        <v>1</v>
      </c>
      <c r="L1373" s="56">
        <f t="shared" si="68"/>
        <v>1900</v>
      </c>
    </row>
    <row r="1374" spans="6:12">
      <c r="F1374" s="11" t="str">
        <f t="shared" si="66"/>
        <v>Accepted</v>
      </c>
      <c r="K1374" s="56">
        <f t="shared" si="67"/>
        <v>1</v>
      </c>
      <c r="L1374" s="56">
        <f t="shared" si="68"/>
        <v>1900</v>
      </c>
    </row>
    <row r="1375" spans="6:12">
      <c r="F1375" s="11" t="str">
        <f t="shared" si="66"/>
        <v>Accepted</v>
      </c>
      <c r="K1375" s="56">
        <f t="shared" si="67"/>
        <v>1</v>
      </c>
      <c r="L1375" s="56">
        <f t="shared" si="68"/>
        <v>1900</v>
      </c>
    </row>
    <row r="1376" spans="6:12">
      <c r="F1376" s="11" t="str">
        <f t="shared" si="66"/>
        <v>Accepted</v>
      </c>
      <c r="K1376" s="56">
        <f t="shared" si="67"/>
        <v>1</v>
      </c>
      <c r="L1376" s="56">
        <f t="shared" si="68"/>
        <v>1900</v>
      </c>
    </row>
    <row r="1377" spans="6:12">
      <c r="F1377" s="11" t="str">
        <f t="shared" si="66"/>
        <v>Accepted</v>
      </c>
      <c r="K1377" s="56">
        <f t="shared" si="67"/>
        <v>1</v>
      </c>
      <c r="L1377" s="56">
        <f t="shared" si="68"/>
        <v>1900</v>
      </c>
    </row>
    <row r="1378" spans="6:12">
      <c r="F1378" s="11" t="str">
        <f t="shared" si="66"/>
        <v>Accepted</v>
      </c>
      <c r="K1378" s="56">
        <f t="shared" si="67"/>
        <v>1</v>
      </c>
      <c r="L1378" s="56">
        <f t="shared" si="68"/>
        <v>1900</v>
      </c>
    </row>
    <row r="1379" spans="6:12">
      <c r="F1379" s="11" t="str">
        <f t="shared" si="66"/>
        <v>Accepted</v>
      </c>
      <c r="K1379" s="56">
        <f t="shared" si="67"/>
        <v>1</v>
      </c>
      <c r="L1379" s="56">
        <f t="shared" si="68"/>
        <v>1900</v>
      </c>
    </row>
    <row r="1380" spans="6:12">
      <c r="F1380" s="11" t="str">
        <f t="shared" si="66"/>
        <v>Accepted</v>
      </c>
      <c r="K1380" s="56">
        <f t="shared" si="67"/>
        <v>1</v>
      </c>
      <c r="L1380" s="56">
        <f t="shared" si="68"/>
        <v>1900</v>
      </c>
    </row>
    <row r="1381" spans="6:12">
      <c r="F1381" s="11" t="str">
        <f t="shared" si="66"/>
        <v>Accepted</v>
      </c>
      <c r="K1381" s="56">
        <f t="shared" si="67"/>
        <v>1</v>
      </c>
      <c r="L1381" s="56">
        <f t="shared" si="68"/>
        <v>1900</v>
      </c>
    </row>
    <row r="1382" spans="6:12">
      <c r="F1382" s="11" t="str">
        <f t="shared" si="66"/>
        <v>Accepted</v>
      </c>
      <c r="K1382" s="56">
        <f t="shared" si="67"/>
        <v>1</v>
      </c>
      <c r="L1382" s="56">
        <f t="shared" si="68"/>
        <v>1900</v>
      </c>
    </row>
    <row r="1383" spans="6:12">
      <c r="F1383" s="11" t="str">
        <f t="shared" si="66"/>
        <v>Accepted</v>
      </c>
      <c r="K1383" s="56">
        <f t="shared" si="67"/>
        <v>1</v>
      </c>
      <c r="L1383" s="56">
        <f t="shared" si="68"/>
        <v>1900</v>
      </c>
    </row>
    <row r="1384" spans="6:12">
      <c r="F1384" s="11" t="str">
        <f t="shared" si="66"/>
        <v>Accepted</v>
      </c>
      <c r="K1384" s="56">
        <f t="shared" si="67"/>
        <v>1</v>
      </c>
      <c r="L1384" s="56">
        <f t="shared" si="68"/>
        <v>1900</v>
      </c>
    </row>
    <row r="1385" spans="6:12">
      <c r="F1385" s="11" t="str">
        <f t="shared" si="66"/>
        <v>Accepted</v>
      </c>
      <c r="K1385" s="56">
        <f t="shared" si="67"/>
        <v>1</v>
      </c>
      <c r="L1385" s="56">
        <f t="shared" si="68"/>
        <v>1900</v>
      </c>
    </row>
    <row r="1386" spans="6:12">
      <c r="F1386" s="11" t="str">
        <f t="shared" si="66"/>
        <v>Accepted</v>
      </c>
      <c r="K1386" s="56">
        <f t="shared" si="67"/>
        <v>1</v>
      </c>
      <c r="L1386" s="56">
        <f t="shared" si="68"/>
        <v>1900</v>
      </c>
    </row>
    <row r="1387" spans="6:12">
      <c r="F1387" s="11" t="str">
        <f t="shared" si="66"/>
        <v>Accepted</v>
      </c>
      <c r="K1387" s="56">
        <f t="shared" si="67"/>
        <v>1</v>
      </c>
      <c r="L1387" s="56">
        <f t="shared" si="68"/>
        <v>1900</v>
      </c>
    </row>
    <row r="1388" spans="6:12">
      <c r="F1388" s="11" t="str">
        <f t="shared" si="66"/>
        <v>Accepted</v>
      </c>
      <c r="K1388" s="56">
        <f t="shared" si="67"/>
        <v>1</v>
      </c>
      <c r="L1388" s="56">
        <f t="shared" si="68"/>
        <v>1900</v>
      </c>
    </row>
    <row r="1389" spans="6:12">
      <c r="F1389" s="11" t="str">
        <f t="shared" si="66"/>
        <v>Accepted</v>
      </c>
      <c r="K1389" s="56">
        <f t="shared" si="67"/>
        <v>1</v>
      </c>
      <c r="L1389" s="56">
        <f t="shared" si="68"/>
        <v>1900</v>
      </c>
    </row>
    <row r="1390" spans="6:12">
      <c r="F1390" s="11" t="str">
        <f t="shared" si="66"/>
        <v>Accepted</v>
      </c>
      <c r="K1390" s="56">
        <f t="shared" si="67"/>
        <v>1</v>
      </c>
      <c r="L1390" s="56">
        <f t="shared" si="68"/>
        <v>1900</v>
      </c>
    </row>
    <row r="1391" spans="6:12">
      <c r="F1391" s="11" t="str">
        <f t="shared" si="66"/>
        <v>Accepted</v>
      </c>
      <c r="K1391" s="56">
        <f t="shared" si="67"/>
        <v>1</v>
      </c>
      <c r="L1391" s="56">
        <f t="shared" si="68"/>
        <v>1900</v>
      </c>
    </row>
    <row r="1392" spans="6:12">
      <c r="F1392" s="11" t="str">
        <f t="shared" si="66"/>
        <v>Accepted</v>
      </c>
      <c r="K1392" s="56">
        <f t="shared" si="67"/>
        <v>1</v>
      </c>
      <c r="L1392" s="56">
        <f t="shared" si="68"/>
        <v>1900</v>
      </c>
    </row>
    <row r="1393" spans="6:12">
      <c r="F1393" s="11" t="str">
        <f t="shared" si="66"/>
        <v>Accepted</v>
      </c>
      <c r="K1393" s="56">
        <f t="shared" si="67"/>
        <v>1</v>
      </c>
      <c r="L1393" s="56">
        <f t="shared" si="68"/>
        <v>1900</v>
      </c>
    </row>
    <row r="1394" spans="6:12">
      <c r="F1394" s="11" t="str">
        <f t="shared" si="66"/>
        <v>Accepted</v>
      </c>
      <c r="K1394" s="56">
        <f t="shared" si="67"/>
        <v>1</v>
      </c>
      <c r="L1394" s="56">
        <f t="shared" si="68"/>
        <v>1900</v>
      </c>
    </row>
    <row r="1395" spans="6:12">
      <c r="F1395" s="11" t="str">
        <f t="shared" si="66"/>
        <v>Accepted</v>
      </c>
      <c r="K1395" s="56">
        <f t="shared" si="67"/>
        <v>1</v>
      </c>
      <c r="L1395" s="56">
        <f t="shared" si="68"/>
        <v>1900</v>
      </c>
    </row>
    <row r="1396" spans="6:12">
      <c r="F1396" s="11" t="str">
        <f t="shared" si="66"/>
        <v>Accepted</v>
      </c>
      <c r="K1396" s="56">
        <f t="shared" si="67"/>
        <v>1</v>
      </c>
      <c r="L1396" s="56">
        <f t="shared" si="68"/>
        <v>1900</v>
      </c>
    </row>
    <row r="1397" spans="6:12">
      <c r="F1397" s="11" t="str">
        <f t="shared" si="66"/>
        <v>Accepted</v>
      </c>
      <c r="K1397" s="56">
        <f t="shared" si="67"/>
        <v>1</v>
      </c>
      <c r="L1397" s="56">
        <f t="shared" si="68"/>
        <v>1900</v>
      </c>
    </row>
    <row r="1398" spans="6:12">
      <c r="F1398" s="11" t="str">
        <f t="shared" si="66"/>
        <v>Accepted</v>
      </c>
      <c r="K1398" s="56">
        <f t="shared" si="67"/>
        <v>1</v>
      </c>
      <c r="L1398" s="56">
        <f t="shared" si="68"/>
        <v>1900</v>
      </c>
    </row>
    <row r="1399" spans="6:12">
      <c r="F1399" s="11" t="str">
        <f t="shared" si="66"/>
        <v>Accepted</v>
      </c>
      <c r="K1399" s="56">
        <f t="shared" si="67"/>
        <v>1</v>
      </c>
      <c r="L1399" s="56">
        <f t="shared" si="68"/>
        <v>1900</v>
      </c>
    </row>
    <row r="1400" spans="6:12">
      <c r="F1400" s="11" t="str">
        <f t="shared" si="66"/>
        <v>Accepted</v>
      </c>
      <c r="K1400" s="56">
        <f t="shared" si="67"/>
        <v>1</v>
      </c>
      <c r="L1400" s="56">
        <f t="shared" si="68"/>
        <v>1900</v>
      </c>
    </row>
    <row r="1401" spans="6:12">
      <c r="F1401" s="11" t="str">
        <f t="shared" si="66"/>
        <v>Accepted</v>
      </c>
      <c r="K1401" s="56">
        <f t="shared" si="67"/>
        <v>1</v>
      </c>
      <c r="L1401" s="56">
        <f t="shared" si="68"/>
        <v>1900</v>
      </c>
    </row>
    <row r="1402" spans="6:12">
      <c r="F1402" s="11" t="str">
        <f t="shared" si="66"/>
        <v>Accepted</v>
      </c>
      <c r="K1402" s="56">
        <f t="shared" si="67"/>
        <v>1</v>
      </c>
      <c r="L1402" s="56">
        <f t="shared" si="68"/>
        <v>1900</v>
      </c>
    </row>
    <row r="1403" spans="6:12">
      <c r="F1403" s="11" t="str">
        <f t="shared" ref="F1403:F1466" si="69">IF((D1403-G1403)&lt;10,"Accepted","Partial/Rejected")</f>
        <v>Accepted</v>
      </c>
      <c r="K1403" s="56">
        <f t="shared" si="67"/>
        <v>1</v>
      </c>
      <c r="L1403" s="56">
        <f t="shared" si="68"/>
        <v>1900</v>
      </c>
    </row>
    <row r="1404" spans="6:12">
      <c r="F1404" s="11" t="str">
        <f t="shared" si="69"/>
        <v>Accepted</v>
      </c>
      <c r="K1404" s="56">
        <f t="shared" si="67"/>
        <v>1</v>
      </c>
      <c r="L1404" s="56">
        <f t="shared" si="68"/>
        <v>1900</v>
      </c>
    </row>
    <row r="1405" spans="6:12">
      <c r="F1405" s="11" t="str">
        <f t="shared" si="69"/>
        <v>Accepted</v>
      </c>
      <c r="K1405" s="56">
        <f t="shared" si="67"/>
        <v>1</v>
      </c>
      <c r="L1405" s="56">
        <f t="shared" si="68"/>
        <v>1900</v>
      </c>
    </row>
    <row r="1406" spans="6:12">
      <c r="F1406" s="11" t="str">
        <f t="shared" si="69"/>
        <v>Accepted</v>
      </c>
      <c r="K1406" s="56">
        <f t="shared" si="67"/>
        <v>1</v>
      </c>
      <c r="L1406" s="56">
        <f t="shared" si="68"/>
        <v>1900</v>
      </c>
    </row>
    <row r="1407" spans="6:12">
      <c r="F1407" s="11" t="str">
        <f t="shared" si="69"/>
        <v>Accepted</v>
      </c>
      <c r="K1407" s="56">
        <f t="shared" si="67"/>
        <v>1</v>
      </c>
      <c r="L1407" s="56">
        <f t="shared" si="68"/>
        <v>1900</v>
      </c>
    </row>
    <row r="1408" spans="6:12">
      <c r="F1408" s="11" t="str">
        <f t="shared" si="69"/>
        <v>Accepted</v>
      </c>
      <c r="K1408" s="56">
        <f t="shared" si="67"/>
        <v>1</v>
      </c>
      <c r="L1408" s="56">
        <f t="shared" si="68"/>
        <v>1900</v>
      </c>
    </row>
    <row r="1409" spans="6:12">
      <c r="F1409" s="11" t="str">
        <f t="shared" si="69"/>
        <v>Accepted</v>
      </c>
      <c r="K1409" s="56">
        <f t="shared" si="67"/>
        <v>1</v>
      </c>
      <c r="L1409" s="56">
        <f t="shared" si="68"/>
        <v>1900</v>
      </c>
    </row>
    <row r="1410" spans="6:12">
      <c r="F1410" s="11" t="str">
        <f t="shared" si="69"/>
        <v>Accepted</v>
      </c>
      <c r="K1410" s="56">
        <f t="shared" si="67"/>
        <v>1</v>
      </c>
      <c r="L1410" s="56">
        <f t="shared" si="68"/>
        <v>1900</v>
      </c>
    </row>
    <row r="1411" spans="6:12">
      <c r="F1411" s="11" t="str">
        <f t="shared" si="69"/>
        <v>Accepted</v>
      </c>
      <c r="K1411" s="56">
        <f t="shared" si="67"/>
        <v>1</v>
      </c>
      <c r="L1411" s="56">
        <f t="shared" si="68"/>
        <v>1900</v>
      </c>
    </row>
    <row r="1412" spans="6:12">
      <c r="F1412" s="11" t="str">
        <f t="shared" si="69"/>
        <v>Accepted</v>
      </c>
      <c r="K1412" s="56">
        <f t="shared" si="67"/>
        <v>1</v>
      </c>
      <c r="L1412" s="56">
        <f t="shared" si="68"/>
        <v>1900</v>
      </c>
    </row>
    <row r="1413" spans="6:12">
      <c r="F1413" s="11" t="str">
        <f t="shared" si="69"/>
        <v>Accepted</v>
      </c>
      <c r="K1413" s="56">
        <f t="shared" si="67"/>
        <v>1</v>
      </c>
      <c r="L1413" s="56">
        <f t="shared" si="68"/>
        <v>1900</v>
      </c>
    </row>
    <row r="1414" spans="6:12">
      <c r="F1414" s="11" t="str">
        <f t="shared" si="69"/>
        <v>Accepted</v>
      </c>
      <c r="K1414" s="56">
        <f t="shared" si="67"/>
        <v>1</v>
      </c>
      <c r="L1414" s="56">
        <f t="shared" si="68"/>
        <v>1900</v>
      </c>
    </row>
    <row r="1415" spans="6:12">
      <c r="F1415" s="11" t="str">
        <f t="shared" si="69"/>
        <v>Accepted</v>
      </c>
      <c r="K1415" s="56">
        <f t="shared" si="67"/>
        <v>1</v>
      </c>
      <c r="L1415" s="56">
        <f t="shared" si="68"/>
        <v>1900</v>
      </c>
    </row>
    <row r="1416" spans="6:12">
      <c r="F1416" s="11" t="str">
        <f t="shared" si="69"/>
        <v>Accepted</v>
      </c>
      <c r="K1416" s="56">
        <f t="shared" si="67"/>
        <v>1</v>
      </c>
      <c r="L1416" s="56">
        <f t="shared" si="68"/>
        <v>1900</v>
      </c>
    </row>
    <row r="1417" spans="6:12">
      <c r="F1417" s="11" t="str">
        <f t="shared" si="69"/>
        <v>Accepted</v>
      </c>
      <c r="K1417" s="56">
        <f t="shared" si="67"/>
        <v>1</v>
      </c>
      <c r="L1417" s="56">
        <f t="shared" si="68"/>
        <v>1900</v>
      </c>
    </row>
    <row r="1418" spans="6:12">
      <c r="F1418" s="11" t="str">
        <f t="shared" si="69"/>
        <v>Accepted</v>
      </c>
      <c r="K1418" s="56">
        <f t="shared" si="67"/>
        <v>1</v>
      </c>
      <c r="L1418" s="56">
        <f t="shared" si="68"/>
        <v>1900</v>
      </c>
    </row>
    <row r="1419" spans="6:12">
      <c r="F1419" s="11" t="str">
        <f t="shared" si="69"/>
        <v>Accepted</v>
      </c>
      <c r="K1419" s="56">
        <f t="shared" ref="K1419:K1482" si="70">MONTH(C1419)</f>
        <v>1</v>
      </c>
      <c r="L1419" s="56">
        <f t="shared" ref="L1419:L1482" si="71">YEAR(C1419)</f>
        <v>1900</v>
      </c>
    </row>
    <row r="1420" spans="6:12">
      <c r="F1420" s="11" t="str">
        <f t="shared" si="69"/>
        <v>Accepted</v>
      </c>
      <c r="K1420" s="56">
        <f t="shared" si="70"/>
        <v>1</v>
      </c>
      <c r="L1420" s="56">
        <f t="shared" si="71"/>
        <v>1900</v>
      </c>
    </row>
    <row r="1421" spans="6:12">
      <c r="F1421" s="11" t="str">
        <f t="shared" si="69"/>
        <v>Accepted</v>
      </c>
      <c r="K1421" s="56">
        <f t="shared" si="70"/>
        <v>1</v>
      </c>
      <c r="L1421" s="56">
        <f t="shared" si="71"/>
        <v>1900</v>
      </c>
    </row>
    <row r="1422" spans="6:12">
      <c r="F1422" s="11" t="str">
        <f t="shared" si="69"/>
        <v>Accepted</v>
      </c>
      <c r="K1422" s="56">
        <f t="shared" si="70"/>
        <v>1</v>
      </c>
      <c r="L1422" s="56">
        <f t="shared" si="71"/>
        <v>1900</v>
      </c>
    </row>
    <row r="1423" spans="6:12">
      <c r="F1423" s="11" t="str">
        <f t="shared" si="69"/>
        <v>Accepted</v>
      </c>
      <c r="K1423" s="56">
        <f t="shared" si="70"/>
        <v>1</v>
      </c>
      <c r="L1423" s="56">
        <f t="shared" si="71"/>
        <v>1900</v>
      </c>
    </row>
    <row r="1424" spans="6:12">
      <c r="F1424" s="11" t="str">
        <f t="shared" si="69"/>
        <v>Accepted</v>
      </c>
      <c r="K1424" s="56">
        <f t="shared" si="70"/>
        <v>1</v>
      </c>
      <c r="L1424" s="56">
        <f t="shared" si="71"/>
        <v>1900</v>
      </c>
    </row>
    <row r="1425" spans="6:12">
      <c r="F1425" s="11" t="str">
        <f t="shared" si="69"/>
        <v>Accepted</v>
      </c>
      <c r="K1425" s="56">
        <f t="shared" si="70"/>
        <v>1</v>
      </c>
      <c r="L1425" s="56">
        <f t="shared" si="71"/>
        <v>1900</v>
      </c>
    </row>
    <row r="1426" spans="6:12">
      <c r="F1426" s="11" t="str">
        <f t="shared" si="69"/>
        <v>Accepted</v>
      </c>
      <c r="K1426" s="56">
        <f t="shared" si="70"/>
        <v>1</v>
      </c>
      <c r="L1426" s="56">
        <f t="shared" si="71"/>
        <v>1900</v>
      </c>
    </row>
    <row r="1427" spans="6:12">
      <c r="F1427" s="11" t="str">
        <f t="shared" si="69"/>
        <v>Accepted</v>
      </c>
      <c r="K1427" s="56">
        <f t="shared" si="70"/>
        <v>1</v>
      </c>
      <c r="L1427" s="56">
        <f t="shared" si="71"/>
        <v>1900</v>
      </c>
    </row>
    <row r="1428" spans="6:12">
      <c r="F1428" s="11" t="str">
        <f t="shared" si="69"/>
        <v>Accepted</v>
      </c>
      <c r="K1428" s="56">
        <f t="shared" si="70"/>
        <v>1</v>
      </c>
      <c r="L1428" s="56">
        <f t="shared" si="71"/>
        <v>1900</v>
      </c>
    </row>
    <row r="1429" spans="6:12">
      <c r="F1429" s="11" t="str">
        <f t="shared" si="69"/>
        <v>Accepted</v>
      </c>
      <c r="K1429" s="56">
        <f t="shared" si="70"/>
        <v>1</v>
      </c>
      <c r="L1429" s="56">
        <f t="shared" si="71"/>
        <v>1900</v>
      </c>
    </row>
    <row r="1430" spans="6:12">
      <c r="F1430" s="11" t="str">
        <f t="shared" si="69"/>
        <v>Accepted</v>
      </c>
      <c r="K1430" s="56">
        <f t="shared" si="70"/>
        <v>1</v>
      </c>
      <c r="L1430" s="56">
        <f t="shared" si="71"/>
        <v>1900</v>
      </c>
    </row>
    <row r="1431" spans="6:12">
      <c r="F1431" s="11" t="str">
        <f t="shared" si="69"/>
        <v>Accepted</v>
      </c>
      <c r="K1431" s="56">
        <f t="shared" si="70"/>
        <v>1</v>
      </c>
      <c r="L1431" s="56">
        <f t="shared" si="71"/>
        <v>1900</v>
      </c>
    </row>
    <row r="1432" spans="6:12">
      <c r="F1432" s="11" t="str">
        <f t="shared" si="69"/>
        <v>Accepted</v>
      </c>
      <c r="K1432" s="56">
        <f t="shared" si="70"/>
        <v>1</v>
      </c>
      <c r="L1432" s="56">
        <f t="shared" si="71"/>
        <v>1900</v>
      </c>
    </row>
    <row r="1433" spans="6:12">
      <c r="F1433" s="11" t="str">
        <f t="shared" si="69"/>
        <v>Accepted</v>
      </c>
      <c r="K1433" s="56">
        <f t="shared" si="70"/>
        <v>1</v>
      </c>
      <c r="L1433" s="56">
        <f t="shared" si="71"/>
        <v>1900</v>
      </c>
    </row>
    <row r="1434" spans="6:12">
      <c r="F1434" s="11" t="str">
        <f t="shared" si="69"/>
        <v>Accepted</v>
      </c>
      <c r="K1434" s="56">
        <f t="shared" si="70"/>
        <v>1</v>
      </c>
      <c r="L1434" s="56">
        <f t="shared" si="71"/>
        <v>1900</v>
      </c>
    </row>
    <row r="1435" spans="6:12">
      <c r="F1435" s="11" t="str">
        <f t="shared" si="69"/>
        <v>Accepted</v>
      </c>
      <c r="K1435" s="56">
        <f t="shared" si="70"/>
        <v>1</v>
      </c>
      <c r="L1435" s="56">
        <f t="shared" si="71"/>
        <v>1900</v>
      </c>
    </row>
    <row r="1436" spans="6:12">
      <c r="F1436" s="11" t="str">
        <f t="shared" si="69"/>
        <v>Accepted</v>
      </c>
      <c r="K1436" s="56">
        <f t="shared" si="70"/>
        <v>1</v>
      </c>
      <c r="L1436" s="56">
        <f t="shared" si="71"/>
        <v>1900</v>
      </c>
    </row>
    <row r="1437" spans="6:12">
      <c r="F1437" s="11" t="str">
        <f t="shared" si="69"/>
        <v>Accepted</v>
      </c>
      <c r="K1437" s="56">
        <f t="shared" si="70"/>
        <v>1</v>
      </c>
      <c r="L1437" s="56">
        <f t="shared" si="71"/>
        <v>1900</v>
      </c>
    </row>
    <row r="1438" spans="6:12">
      <c r="F1438" s="11" t="str">
        <f t="shared" si="69"/>
        <v>Accepted</v>
      </c>
      <c r="K1438" s="56">
        <f t="shared" si="70"/>
        <v>1</v>
      </c>
      <c r="L1438" s="56">
        <f t="shared" si="71"/>
        <v>1900</v>
      </c>
    </row>
    <row r="1439" spans="6:12">
      <c r="F1439" s="11" t="str">
        <f t="shared" si="69"/>
        <v>Accepted</v>
      </c>
      <c r="K1439" s="56">
        <f t="shared" si="70"/>
        <v>1</v>
      </c>
      <c r="L1439" s="56">
        <f t="shared" si="71"/>
        <v>1900</v>
      </c>
    </row>
    <row r="1440" spans="6:12">
      <c r="F1440" s="11" t="str">
        <f t="shared" si="69"/>
        <v>Accepted</v>
      </c>
      <c r="K1440" s="56">
        <f t="shared" si="70"/>
        <v>1</v>
      </c>
      <c r="L1440" s="56">
        <f t="shared" si="71"/>
        <v>1900</v>
      </c>
    </row>
    <row r="1441" spans="6:12">
      <c r="F1441" s="11" t="str">
        <f t="shared" si="69"/>
        <v>Accepted</v>
      </c>
      <c r="K1441" s="56">
        <f t="shared" si="70"/>
        <v>1</v>
      </c>
      <c r="L1441" s="56">
        <f t="shared" si="71"/>
        <v>1900</v>
      </c>
    </row>
    <row r="1442" spans="6:12">
      <c r="F1442" s="11" t="str">
        <f t="shared" si="69"/>
        <v>Accepted</v>
      </c>
      <c r="K1442" s="56">
        <f t="shared" si="70"/>
        <v>1</v>
      </c>
      <c r="L1442" s="56">
        <f t="shared" si="71"/>
        <v>1900</v>
      </c>
    </row>
    <row r="1443" spans="6:12">
      <c r="F1443" s="11" t="str">
        <f t="shared" si="69"/>
        <v>Accepted</v>
      </c>
      <c r="K1443" s="56">
        <f t="shared" si="70"/>
        <v>1</v>
      </c>
      <c r="L1443" s="56">
        <f t="shared" si="71"/>
        <v>1900</v>
      </c>
    </row>
    <row r="1444" spans="6:12">
      <c r="F1444" s="11" t="str">
        <f t="shared" si="69"/>
        <v>Accepted</v>
      </c>
      <c r="K1444" s="56">
        <f t="shared" si="70"/>
        <v>1</v>
      </c>
      <c r="L1444" s="56">
        <f t="shared" si="71"/>
        <v>1900</v>
      </c>
    </row>
    <row r="1445" spans="6:12">
      <c r="F1445" s="11" t="str">
        <f t="shared" si="69"/>
        <v>Accepted</v>
      </c>
      <c r="K1445" s="56">
        <f t="shared" si="70"/>
        <v>1</v>
      </c>
      <c r="L1445" s="56">
        <f t="shared" si="71"/>
        <v>1900</v>
      </c>
    </row>
    <row r="1446" spans="6:12">
      <c r="F1446" s="11" t="str">
        <f t="shared" si="69"/>
        <v>Accepted</v>
      </c>
      <c r="K1446" s="56">
        <f t="shared" si="70"/>
        <v>1</v>
      </c>
      <c r="L1446" s="56">
        <f t="shared" si="71"/>
        <v>1900</v>
      </c>
    </row>
    <row r="1447" spans="6:12">
      <c r="F1447" s="11" t="str">
        <f t="shared" si="69"/>
        <v>Accepted</v>
      </c>
      <c r="K1447" s="56">
        <f t="shared" si="70"/>
        <v>1</v>
      </c>
      <c r="L1447" s="56">
        <f t="shared" si="71"/>
        <v>1900</v>
      </c>
    </row>
    <row r="1448" spans="6:12">
      <c r="F1448" s="11" t="str">
        <f t="shared" si="69"/>
        <v>Accepted</v>
      </c>
      <c r="K1448" s="56">
        <f t="shared" si="70"/>
        <v>1</v>
      </c>
      <c r="L1448" s="56">
        <f t="shared" si="71"/>
        <v>1900</v>
      </c>
    </row>
    <row r="1449" spans="6:12">
      <c r="F1449" s="11" t="str">
        <f t="shared" si="69"/>
        <v>Accepted</v>
      </c>
      <c r="K1449" s="56">
        <f t="shared" si="70"/>
        <v>1</v>
      </c>
      <c r="L1449" s="56">
        <f t="shared" si="71"/>
        <v>1900</v>
      </c>
    </row>
    <row r="1450" spans="6:12">
      <c r="F1450" s="11" t="str">
        <f t="shared" si="69"/>
        <v>Accepted</v>
      </c>
      <c r="K1450" s="56">
        <f t="shared" si="70"/>
        <v>1</v>
      </c>
      <c r="L1450" s="56">
        <f t="shared" si="71"/>
        <v>1900</v>
      </c>
    </row>
    <row r="1451" spans="6:12">
      <c r="F1451" s="11" t="str">
        <f t="shared" si="69"/>
        <v>Accepted</v>
      </c>
      <c r="K1451" s="56">
        <f t="shared" si="70"/>
        <v>1</v>
      </c>
      <c r="L1451" s="56">
        <f t="shared" si="71"/>
        <v>1900</v>
      </c>
    </row>
    <row r="1452" spans="6:12">
      <c r="F1452" s="11" t="str">
        <f t="shared" si="69"/>
        <v>Accepted</v>
      </c>
      <c r="K1452" s="56">
        <f t="shared" si="70"/>
        <v>1</v>
      </c>
      <c r="L1452" s="56">
        <f t="shared" si="71"/>
        <v>1900</v>
      </c>
    </row>
    <row r="1453" spans="6:12">
      <c r="F1453" s="11" t="str">
        <f t="shared" si="69"/>
        <v>Accepted</v>
      </c>
      <c r="K1453" s="56">
        <f t="shared" si="70"/>
        <v>1</v>
      </c>
      <c r="L1453" s="56">
        <f t="shared" si="71"/>
        <v>1900</v>
      </c>
    </row>
    <row r="1454" spans="6:12">
      <c r="F1454" s="11" t="str">
        <f t="shared" si="69"/>
        <v>Accepted</v>
      </c>
      <c r="K1454" s="56">
        <f t="shared" si="70"/>
        <v>1</v>
      </c>
      <c r="L1454" s="56">
        <f t="shared" si="71"/>
        <v>1900</v>
      </c>
    </row>
    <row r="1455" spans="6:12">
      <c r="F1455" s="11" t="str">
        <f t="shared" si="69"/>
        <v>Accepted</v>
      </c>
      <c r="K1455" s="56">
        <f t="shared" si="70"/>
        <v>1</v>
      </c>
      <c r="L1455" s="56">
        <f t="shared" si="71"/>
        <v>1900</v>
      </c>
    </row>
    <row r="1456" spans="6:12">
      <c r="F1456" s="11" t="str">
        <f t="shared" si="69"/>
        <v>Accepted</v>
      </c>
      <c r="K1456" s="56">
        <f t="shared" si="70"/>
        <v>1</v>
      </c>
      <c r="L1456" s="56">
        <f t="shared" si="71"/>
        <v>1900</v>
      </c>
    </row>
    <row r="1457" spans="6:12">
      <c r="F1457" s="11" t="str">
        <f t="shared" si="69"/>
        <v>Accepted</v>
      </c>
      <c r="K1457" s="56">
        <f t="shared" si="70"/>
        <v>1</v>
      </c>
      <c r="L1457" s="56">
        <f t="shared" si="71"/>
        <v>1900</v>
      </c>
    </row>
    <row r="1458" spans="6:12">
      <c r="F1458" s="11" t="str">
        <f t="shared" si="69"/>
        <v>Accepted</v>
      </c>
      <c r="K1458" s="56">
        <f t="shared" si="70"/>
        <v>1</v>
      </c>
      <c r="L1458" s="56">
        <f t="shared" si="71"/>
        <v>1900</v>
      </c>
    </row>
    <row r="1459" spans="6:12">
      <c r="F1459" s="11" t="str">
        <f t="shared" si="69"/>
        <v>Accepted</v>
      </c>
      <c r="K1459" s="56">
        <f t="shared" si="70"/>
        <v>1</v>
      </c>
      <c r="L1459" s="56">
        <f t="shared" si="71"/>
        <v>1900</v>
      </c>
    </row>
    <row r="1460" spans="6:12">
      <c r="F1460" s="11" t="str">
        <f t="shared" si="69"/>
        <v>Accepted</v>
      </c>
      <c r="K1460" s="56">
        <f t="shared" si="70"/>
        <v>1</v>
      </c>
      <c r="L1460" s="56">
        <f t="shared" si="71"/>
        <v>1900</v>
      </c>
    </row>
    <row r="1461" spans="6:12">
      <c r="F1461" s="11" t="str">
        <f t="shared" si="69"/>
        <v>Accepted</v>
      </c>
      <c r="K1461" s="56">
        <f t="shared" si="70"/>
        <v>1</v>
      </c>
      <c r="L1461" s="56">
        <f t="shared" si="71"/>
        <v>1900</v>
      </c>
    </row>
    <row r="1462" spans="6:12">
      <c r="F1462" s="11" t="str">
        <f t="shared" si="69"/>
        <v>Accepted</v>
      </c>
      <c r="K1462" s="56">
        <f t="shared" si="70"/>
        <v>1</v>
      </c>
      <c r="L1462" s="56">
        <f t="shared" si="71"/>
        <v>1900</v>
      </c>
    </row>
    <row r="1463" spans="6:12">
      <c r="F1463" s="11" t="str">
        <f t="shared" si="69"/>
        <v>Accepted</v>
      </c>
      <c r="K1463" s="56">
        <f t="shared" si="70"/>
        <v>1</v>
      </c>
      <c r="L1463" s="56">
        <f t="shared" si="71"/>
        <v>1900</v>
      </c>
    </row>
    <row r="1464" spans="6:12">
      <c r="F1464" s="11" t="str">
        <f t="shared" si="69"/>
        <v>Accepted</v>
      </c>
      <c r="K1464" s="56">
        <f t="shared" si="70"/>
        <v>1</v>
      </c>
      <c r="L1464" s="56">
        <f t="shared" si="71"/>
        <v>1900</v>
      </c>
    </row>
    <row r="1465" spans="6:12">
      <c r="F1465" s="11" t="str">
        <f t="shared" si="69"/>
        <v>Accepted</v>
      </c>
      <c r="K1465" s="56">
        <f t="shared" si="70"/>
        <v>1</v>
      </c>
      <c r="L1465" s="56">
        <f t="shared" si="71"/>
        <v>1900</v>
      </c>
    </row>
    <row r="1466" spans="6:12">
      <c r="F1466" s="11" t="str">
        <f t="shared" si="69"/>
        <v>Accepted</v>
      </c>
      <c r="K1466" s="56">
        <f t="shared" si="70"/>
        <v>1</v>
      </c>
      <c r="L1466" s="56">
        <f t="shared" si="71"/>
        <v>1900</v>
      </c>
    </row>
    <row r="1467" spans="6:12">
      <c r="F1467" s="11" t="str">
        <f t="shared" ref="F1467:F1469" si="72">IF((D1467-G1467)&lt;10,"Accepted","Partial/Rejected")</f>
        <v>Accepted</v>
      </c>
      <c r="K1467" s="56">
        <f t="shared" si="70"/>
        <v>1</v>
      </c>
      <c r="L1467" s="56">
        <f t="shared" si="71"/>
        <v>1900</v>
      </c>
    </row>
    <row r="1468" spans="6:12">
      <c r="F1468" s="11" t="str">
        <f t="shared" si="72"/>
        <v>Accepted</v>
      </c>
      <c r="K1468" s="56">
        <f t="shared" si="70"/>
        <v>1</v>
      </c>
      <c r="L1468" s="56">
        <f t="shared" si="71"/>
        <v>1900</v>
      </c>
    </row>
    <row r="1469" spans="6:12">
      <c r="F1469" s="11" t="str">
        <f t="shared" si="72"/>
        <v>Accepted</v>
      </c>
      <c r="K1469" s="56">
        <f t="shared" si="70"/>
        <v>1</v>
      </c>
      <c r="L1469" s="56">
        <f t="shared" si="71"/>
        <v>1900</v>
      </c>
    </row>
    <row r="1470" spans="6:12">
      <c r="K1470" s="56">
        <f t="shared" si="70"/>
        <v>1</v>
      </c>
      <c r="L1470" s="56">
        <f t="shared" si="71"/>
        <v>1900</v>
      </c>
    </row>
    <row r="1471" spans="6:12">
      <c r="K1471" s="56">
        <f t="shared" si="70"/>
        <v>1</v>
      </c>
      <c r="L1471" s="56">
        <f t="shared" si="71"/>
        <v>1900</v>
      </c>
    </row>
    <row r="1472" spans="6:12">
      <c r="K1472" s="56">
        <f t="shared" si="70"/>
        <v>1</v>
      </c>
      <c r="L1472" s="56">
        <f t="shared" si="71"/>
        <v>1900</v>
      </c>
    </row>
    <row r="1473" spans="11:12">
      <c r="K1473" s="56">
        <f t="shared" si="70"/>
        <v>1</v>
      </c>
      <c r="L1473" s="56">
        <f t="shared" si="71"/>
        <v>1900</v>
      </c>
    </row>
    <row r="1474" spans="11:12">
      <c r="K1474" s="56">
        <f t="shared" si="70"/>
        <v>1</v>
      </c>
      <c r="L1474" s="56">
        <f t="shared" si="71"/>
        <v>1900</v>
      </c>
    </row>
    <row r="1475" spans="11:12">
      <c r="K1475" s="56">
        <f t="shared" si="70"/>
        <v>1</v>
      </c>
      <c r="L1475" s="56">
        <f t="shared" si="71"/>
        <v>1900</v>
      </c>
    </row>
    <row r="1476" spans="11:12">
      <c r="K1476" s="56">
        <f t="shared" si="70"/>
        <v>1</v>
      </c>
      <c r="L1476" s="56">
        <f t="shared" si="71"/>
        <v>1900</v>
      </c>
    </row>
    <row r="1477" spans="11:12">
      <c r="K1477" s="56">
        <f t="shared" si="70"/>
        <v>1</v>
      </c>
      <c r="L1477" s="56">
        <f t="shared" si="71"/>
        <v>1900</v>
      </c>
    </row>
    <row r="1478" spans="11:12">
      <c r="K1478" s="56">
        <f t="shared" si="70"/>
        <v>1</v>
      </c>
      <c r="L1478" s="56">
        <f t="shared" si="71"/>
        <v>1900</v>
      </c>
    </row>
    <row r="1479" spans="11:12">
      <c r="K1479" s="56">
        <f t="shared" si="70"/>
        <v>1</v>
      </c>
      <c r="L1479" s="56">
        <f t="shared" si="71"/>
        <v>1900</v>
      </c>
    </row>
    <row r="1480" spans="11:12">
      <c r="K1480" s="56">
        <f t="shared" si="70"/>
        <v>1</v>
      </c>
      <c r="L1480" s="56">
        <f t="shared" si="71"/>
        <v>1900</v>
      </c>
    </row>
    <row r="1481" spans="11:12">
      <c r="K1481" s="56">
        <f t="shared" si="70"/>
        <v>1</v>
      </c>
      <c r="L1481" s="56">
        <f t="shared" si="71"/>
        <v>1900</v>
      </c>
    </row>
    <row r="1482" spans="11:12">
      <c r="K1482" s="56">
        <f t="shared" si="70"/>
        <v>1</v>
      </c>
      <c r="L1482" s="56">
        <f t="shared" si="71"/>
        <v>1900</v>
      </c>
    </row>
    <row r="1483" spans="11:12">
      <c r="K1483" s="56">
        <f t="shared" ref="K1483:K1546" si="73">MONTH(C1483)</f>
        <v>1</v>
      </c>
      <c r="L1483" s="56">
        <f t="shared" ref="L1483:L1546" si="74">YEAR(C1483)</f>
        <v>1900</v>
      </c>
    </row>
    <row r="1484" spans="11:12">
      <c r="K1484" s="56">
        <f t="shared" si="73"/>
        <v>1</v>
      </c>
      <c r="L1484" s="56">
        <f t="shared" si="74"/>
        <v>1900</v>
      </c>
    </row>
    <row r="1485" spans="11:12">
      <c r="K1485" s="56">
        <f t="shared" si="73"/>
        <v>1</v>
      </c>
      <c r="L1485" s="56">
        <f t="shared" si="74"/>
        <v>1900</v>
      </c>
    </row>
    <row r="1486" spans="11:12">
      <c r="K1486" s="56">
        <f t="shared" si="73"/>
        <v>1</v>
      </c>
      <c r="L1486" s="56">
        <f t="shared" si="74"/>
        <v>1900</v>
      </c>
    </row>
    <row r="1487" spans="11:12">
      <c r="K1487" s="56">
        <f t="shared" si="73"/>
        <v>1</v>
      </c>
      <c r="L1487" s="56">
        <f t="shared" si="74"/>
        <v>1900</v>
      </c>
    </row>
    <row r="1488" spans="11:12">
      <c r="K1488" s="56">
        <f t="shared" si="73"/>
        <v>1</v>
      </c>
      <c r="L1488" s="56">
        <f t="shared" si="74"/>
        <v>1900</v>
      </c>
    </row>
    <row r="1489" spans="11:12">
      <c r="K1489" s="56">
        <f t="shared" si="73"/>
        <v>1</v>
      </c>
      <c r="L1489" s="56">
        <f t="shared" si="74"/>
        <v>1900</v>
      </c>
    </row>
    <row r="1490" spans="11:12">
      <c r="K1490" s="56">
        <f t="shared" si="73"/>
        <v>1</v>
      </c>
      <c r="L1490" s="56">
        <f t="shared" si="74"/>
        <v>1900</v>
      </c>
    </row>
    <row r="1491" spans="11:12">
      <c r="K1491" s="56">
        <f t="shared" si="73"/>
        <v>1</v>
      </c>
      <c r="L1491" s="56">
        <f t="shared" si="74"/>
        <v>1900</v>
      </c>
    </row>
    <row r="1492" spans="11:12">
      <c r="K1492" s="56">
        <f t="shared" si="73"/>
        <v>1</v>
      </c>
      <c r="L1492" s="56">
        <f t="shared" si="74"/>
        <v>1900</v>
      </c>
    </row>
    <row r="1493" spans="11:12">
      <c r="K1493" s="56">
        <f t="shared" si="73"/>
        <v>1</v>
      </c>
      <c r="L1493" s="56">
        <f t="shared" si="74"/>
        <v>1900</v>
      </c>
    </row>
    <row r="1494" spans="11:12">
      <c r="K1494" s="56">
        <f t="shared" si="73"/>
        <v>1</v>
      </c>
      <c r="L1494" s="56">
        <f t="shared" si="74"/>
        <v>1900</v>
      </c>
    </row>
    <row r="1495" spans="11:12">
      <c r="K1495" s="56">
        <f t="shared" si="73"/>
        <v>1</v>
      </c>
      <c r="L1495" s="56">
        <f t="shared" si="74"/>
        <v>1900</v>
      </c>
    </row>
    <row r="1496" spans="11:12">
      <c r="K1496" s="56">
        <f t="shared" si="73"/>
        <v>1</v>
      </c>
      <c r="L1496" s="56">
        <f t="shared" si="74"/>
        <v>1900</v>
      </c>
    </row>
    <row r="1497" spans="11:12">
      <c r="K1497" s="56">
        <f t="shared" si="73"/>
        <v>1</v>
      </c>
      <c r="L1497" s="56">
        <f t="shared" si="74"/>
        <v>1900</v>
      </c>
    </row>
    <row r="1498" spans="11:12">
      <c r="K1498" s="56">
        <f t="shared" si="73"/>
        <v>1</v>
      </c>
      <c r="L1498" s="56">
        <f t="shared" si="74"/>
        <v>1900</v>
      </c>
    </row>
    <row r="1499" spans="11:12">
      <c r="K1499" s="56">
        <f t="shared" si="73"/>
        <v>1</v>
      </c>
      <c r="L1499" s="56">
        <f t="shared" si="74"/>
        <v>1900</v>
      </c>
    </row>
    <row r="1500" spans="11:12">
      <c r="K1500" s="56">
        <f t="shared" si="73"/>
        <v>1</v>
      </c>
      <c r="L1500" s="56">
        <f t="shared" si="74"/>
        <v>1900</v>
      </c>
    </row>
    <row r="1501" spans="11:12">
      <c r="K1501" s="56">
        <f t="shared" si="73"/>
        <v>1</v>
      </c>
      <c r="L1501" s="56">
        <f t="shared" si="74"/>
        <v>1900</v>
      </c>
    </row>
    <row r="1502" spans="11:12">
      <c r="K1502" s="56">
        <f t="shared" si="73"/>
        <v>1</v>
      </c>
      <c r="L1502" s="56">
        <f t="shared" si="74"/>
        <v>1900</v>
      </c>
    </row>
    <row r="1503" spans="11:12">
      <c r="K1503" s="56">
        <f t="shared" si="73"/>
        <v>1</v>
      </c>
      <c r="L1503" s="56">
        <f t="shared" si="74"/>
        <v>1900</v>
      </c>
    </row>
    <row r="1504" spans="11:12">
      <c r="K1504" s="56">
        <f t="shared" si="73"/>
        <v>1</v>
      </c>
      <c r="L1504" s="56">
        <f t="shared" si="74"/>
        <v>1900</v>
      </c>
    </row>
    <row r="1505" spans="11:12">
      <c r="K1505" s="56">
        <f t="shared" si="73"/>
        <v>1</v>
      </c>
      <c r="L1505" s="56">
        <f t="shared" si="74"/>
        <v>1900</v>
      </c>
    </row>
    <row r="1506" spans="11:12">
      <c r="K1506" s="56">
        <f t="shared" si="73"/>
        <v>1</v>
      </c>
      <c r="L1506" s="56">
        <f t="shared" si="74"/>
        <v>1900</v>
      </c>
    </row>
    <row r="1507" spans="11:12">
      <c r="K1507" s="56">
        <f t="shared" si="73"/>
        <v>1</v>
      </c>
      <c r="L1507" s="56">
        <f t="shared" si="74"/>
        <v>1900</v>
      </c>
    </row>
    <row r="1508" spans="11:12">
      <c r="K1508" s="56">
        <f t="shared" si="73"/>
        <v>1</v>
      </c>
      <c r="L1508" s="56">
        <f t="shared" si="74"/>
        <v>1900</v>
      </c>
    </row>
    <row r="1509" spans="11:12">
      <c r="K1509" s="56">
        <f t="shared" si="73"/>
        <v>1</v>
      </c>
      <c r="L1509" s="56">
        <f t="shared" si="74"/>
        <v>1900</v>
      </c>
    </row>
    <row r="1510" spans="11:12">
      <c r="K1510" s="56">
        <f t="shared" si="73"/>
        <v>1</v>
      </c>
      <c r="L1510" s="56">
        <f t="shared" si="74"/>
        <v>1900</v>
      </c>
    </row>
    <row r="1511" spans="11:12">
      <c r="K1511" s="56">
        <f t="shared" si="73"/>
        <v>1</v>
      </c>
      <c r="L1511" s="56">
        <f t="shared" si="74"/>
        <v>1900</v>
      </c>
    </row>
    <row r="1512" spans="11:12">
      <c r="K1512" s="56">
        <f t="shared" si="73"/>
        <v>1</v>
      </c>
      <c r="L1512" s="56">
        <f t="shared" si="74"/>
        <v>1900</v>
      </c>
    </row>
    <row r="1513" spans="11:12">
      <c r="K1513" s="56">
        <f t="shared" si="73"/>
        <v>1</v>
      </c>
      <c r="L1513" s="56">
        <f t="shared" si="74"/>
        <v>1900</v>
      </c>
    </row>
    <row r="1514" spans="11:12">
      <c r="K1514" s="56">
        <f t="shared" si="73"/>
        <v>1</v>
      </c>
      <c r="L1514" s="56">
        <f t="shared" si="74"/>
        <v>1900</v>
      </c>
    </row>
    <row r="1515" spans="11:12">
      <c r="K1515" s="56">
        <f t="shared" si="73"/>
        <v>1</v>
      </c>
      <c r="L1515" s="56">
        <f t="shared" si="74"/>
        <v>1900</v>
      </c>
    </row>
    <row r="1516" spans="11:12">
      <c r="K1516" s="56">
        <f t="shared" si="73"/>
        <v>1</v>
      </c>
      <c r="L1516" s="56">
        <f t="shared" si="74"/>
        <v>1900</v>
      </c>
    </row>
    <row r="1517" spans="11:12">
      <c r="K1517" s="56">
        <f t="shared" si="73"/>
        <v>1</v>
      </c>
      <c r="L1517" s="56">
        <f t="shared" si="74"/>
        <v>1900</v>
      </c>
    </row>
    <row r="1518" spans="11:12">
      <c r="K1518" s="56">
        <f t="shared" si="73"/>
        <v>1</v>
      </c>
      <c r="L1518" s="56">
        <f t="shared" si="74"/>
        <v>1900</v>
      </c>
    </row>
    <row r="1519" spans="11:12">
      <c r="K1519" s="56">
        <f t="shared" si="73"/>
        <v>1</v>
      </c>
      <c r="L1519" s="56">
        <f t="shared" si="74"/>
        <v>1900</v>
      </c>
    </row>
    <row r="1520" spans="11:12">
      <c r="K1520" s="56">
        <f t="shared" si="73"/>
        <v>1</v>
      </c>
      <c r="L1520" s="56">
        <f t="shared" si="74"/>
        <v>1900</v>
      </c>
    </row>
    <row r="1521" spans="11:12">
      <c r="K1521" s="56">
        <f t="shared" si="73"/>
        <v>1</v>
      </c>
      <c r="L1521" s="56">
        <f t="shared" si="74"/>
        <v>1900</v>
      </c>
    </row>
    <row r="1522" spans="11:12">
      <c r="K1522" s="56">
        <f t="shared" si="73"/>
        <v>1</v>
      </c>
      <c r="L1522" s="56">
        <f t="shared" si="74"/>
        <v>1900</v>
      </c>
    </row>
    <row r="1523" spans="11:12">
      <c r="K1523" s="56">
        <f t="shared" si="73"/>
        <v>1</v>
      </c>
      <c r="L1523" s="56">
        <f t="shared" si="74"/>
        <v>1900</v>
      </c>
    </row>
    <row r="1524" spans="11:12">
      <c r="K1524" s="56">
        <f t="shared" si="73"/>
        <v>1</v>
      </c>
      <c r="L1524" s="56">
        <f t="shared" si="74"/>
        <v>1900</v>
      </c>
    </row>
    <row r="1525" spans="11:12">
      <c r="K1525" s="56">
        <f t="shared" si="73"/>
        <v>1</v>
      </c>
      <c r="L1525" s="56">
        <f t="shared" si="74"/>
        <v>1900</v>
      </c>
    </row>
    <row r="1526" spans="11:12">
      <c r="K1526" s="56">
        <f t="shared" si="73"/>
        <v>1</v>
      </c>
      <c r="L1526" s="56">
        <f t="shared" si="74"/>
        <v>1900</v>
      </c>
    </row>
    <row r="1527" spans="11:12">
      <c r="K1527" s="56">
        <f t="shared" si="73"/>
        <v>1</v>
      </c>
      <c r="L1527" s="56">
        <f t="shared" si="74"/>
        <v>1900</v>
      </c>
    </row>
    <row r="1528" spans="11:12">
      <c r="K1528" s="56">
        <f t="shared" si="73"/>
        <v>1</v>
      </c>
      <c r="L1528" s="56">
        <f t="shared" si="74"/>
        <v>1900</v>
      </c>
    </row>
    <row r="1529" spans="11:12">
      <c r="K1529" s="56">
        <f t="shared" si="73"/>
        <v>1</v>
      </c>
      <c r="L1529" s="56">
        <f t="shared" si="74"/>
        <v>1900</v>
      </c>
    </row>
    <row r="1530" spans="11:12">
      <c r="K1530" s="56">
        <f t="shared" si="73"/>
        <v>1</v>
      </c>
      <c r="L1530" s="56">
        <f t="shared" si="74"/>
        <v>1900</v>
      </c>
    </row>
    <row r="1531" spans="11:12">
      <c r="K1531" s="56">
        <f t="shared" si="73"/>
        <v>1</v>
      </c>
      <c r="L1531" s="56">
        <f t="shared" si="74"/>
        <v>1900</v>
      </c>
    </row>
    <row r="1532" spans="11:12">
      <c r="K1532" s="56">
        <f t="shared" si="73"/>
        <v>1</v>
      </c>
      <c r="L1532" s="56">
        <f t="shared" si="74"/>
        <v>1900</v>
      </c>
    </row>
    <row r="1533" spans="11:12">
      <c r="K1533" s="56">
        <f t="shared" si="73"/>
        <v>1</v>
      </c>
      <c r="L1533" s="56">
        <f t="shared" si="74"/>
        <v>1900</v>
      </c>
    </row>
    <row r="1534" spans="11:12">
      <c r="K1534" s="56">
        <f t="shared" si="73"/>
        <v>1</v>
      </c>
      <c r="L1534" s="56">
        <f t="shared" si="74"/>
        <v>1900</v>
      </c>
    </row>
    <row r="1535" spans="11:12">
      <c r="K1535" s="56">
        <f t="shared" si="73"/>
        <v>1</v>
      </c>
      <c r="L1535" s="56">
        <f t="shared" si="74"/>
        <v>1900</v>
      </c>
    </row>
    <row r="1536" spans="11:12">
      <c r="K1536" s="56">
        <f t="shared" si="73"/>
        <v>1</v>
      </c>
      <c r="L1536" s="56">
        <f t="shared" si="74"/>
        <v>1900</v>
      </c>
    </row>
    <row r="1537" spans="11:12">
      <c r="K1537" s="56">
        <f t="shared" si="73"/>
        <v>1</v>
      </c>
      <c r="L1537" s="56">
        <f t="shared" si="74"/>
        <v>1900</v>
      </c>
    </row>
    <row r="1538" spans="11:12">
      <c r="K1538" s="56">
        <f t="shared" si="73"/>
        <v>1</v>
      </c>
      <c r="L1538" s="56">
        <f t="shared" si="74"/>
        <v>1900</v>
      </c>
    </row>
    <row r="1539" spans="11:12">
      <c r="K1539" s="56">
        <f t="shared" si="73"/>
        <v>1</v>
      </c>
      <c r="L1539" s="56">
        <f t="shared" si="74"/>
        <v>1900</v>
      </c>
    </row>
    <row r="1540" spans="11:12">
      <c r="K1540" s="56">
        <f t="shared" si="73"/>
        <v>1</v>
      </c>
      <c r="L1540" s="56">
        <f t="shared" si="74"/>
        <v>1900</v>
      </c>
    </row>
    <row r="1541" spans="11:12">
      <c r="K1541" s="56">
        <f t="shared" si="73"/>
        <v>1</v>
      </c>
      <c r="L1541" s="56">
        <f t="shared" si="74"/>
        <v>1900</v>
      </c>
    </row>
    <row r="1542" spans="11:12">
      <c r="K1542" s="56">
        <f t="shared" si="73"/>
        <v>1</v>
      </c>
      <c r="L1542" s="56">
        <f t="shared" si="74"/>
        <v>1900</v>
      </c>
    </row>
    <row r="1543" spans="11:12">
      <c r="K1543" s="56">
        <f t="shared" si="73"/>
        <v>1</v>
      </c>
      <c r="L1543" s="56">
        <f t="shared" si="74"/>
        <v>1900</v>
      </c>
    </row>
    <row r="1544" spans="11:12">
      <c r="K1544" s="56">
        <f t="shared" si="73"/>
        <v>1</v>
      </c>
      <c r="L1544" s="56">
        <f t="shared" si="74"/>
        <v>1900</v>
      </c>
    </row>
    <row r="1545" spans="11:12">
      <c r="K1545" s="56">
        <f t="shared" si="73"/>
        <v>1</v>
      </c>
      <c r="L1545" s="56">
        <f t="shared" si="74"/>
        <v>1900</v>
      </c>
    </row>
    <row r="1546" spans="11:12">
      <c r="K1546" s="56">
        <f t="shared" si="73"/>
        <v>1</v>
      </c>
      <c r="L1546" s="56">
        <f t="shared" si="74"/>
        <v>1900</v>
      </c>
    </row>
    <row r="1547" spans="11:12">
      <c r="K1547" s="56">
        <f t="shared" ref="K1547:K1610" si="75">MONTH(C1547)</f>
        <v>1</v>
      </c>
      <c r="L1547" s="56">
        <f t="shared" ref="L1547:L1610" si="76">YEAR(C1547)</f>
        <v>1900</v>
      </c>
    </row>
    <row r="1548" spans="11:12">
      <c r="K1548" s="56">
        <f t="shared" si="75"/>
        <v>1</v>
      </c>
      <c r="L1548" s="56">
        <f t="shared" si="76"/>
        <v>1900</v>
      </c>
    </row>
    <row r="1549" spans="11:12">
      <c r="K1549" s="56">
        <f t="shared" si="75"/>
        <v>1</v>
      </c>
      <c r="L1549" s="56">
        <f t="shared" si="76"/>
        <v>1900</v>
      </c>
    </row>
    <row r="1550" spans="11:12">
      <c r="K1550" s="56">
        <f t="shared" si="75"/>
        <v>1</v>
      </c>
      <c r="L1550" s="56">
        <f t="shared" si="76"/>
        <v>1900</v>
      </c>
    </row>
    <row r="1551" spans="11:12">
      <c r="K1551" s="56">
        <f t="shared" si="75"/>
        <v>1</v>
      </c>
      <c r="L1551" s="56">
        <f t="shared" si="76"/>
        <v>1900</v>
      </c>
    </row>
    <row r="1552" spans="11:12">
      <c r="K1552" s="56">
        <f t="shared" si="75"/>
        <v>1</v>
      </c>
      <c r="L1552" s="56">
        <f t="shared" si="76"/>
        <v>1900</v>
      </c>
    </row>
    <row r="1553" spans="11:12">
      <c r="K1553" s="56">
        <f t="shared" si="75"/>
        <v>1</v>
      </c>
      <c r="L1553" s="56">
        <f t="shared" si="76"/>
        <v>1900</v>
      </c>
    </row>
    <row r="1554" spans="11:12">
      <c r="K1554" s="56">
        <f t="shared" si="75"/>
        <v>1</v>
      </c>
      <c r="L1554" s="56">
        <f t="shared" si="76"/>
        <v>1900</v>
      </c>
    </row>
    <row r="1555" spans="11:12">
      <c r="K1555" s="56">
        <f t="shared" si="75"/>
        <v>1</v>
      </c>
      <c r="L1555" s="56">
        <f t="shared" si="76"/>
        <v>1900</v>
      </c>
    </row>
    <row r="1556" spans="11:12">
      <c r="K1556" s="56">
        <f t="shared" si="75"/>
        <v>1</v>
      </c>
      <c r="L1556" s="56">
        <f t="shared" si="76"/>
        <v>1900</v>
      </c>
    </row>
    <row r="1557" spans="11:12">
      <c r="K1557" s="56">
        <f t="shared" si="75"/>
        <v>1</v>
      </c>
      <c r="L1557" s="56">
        <f t="shared" si="76"/>
        <v>1900</v>
      </c>
    </row>
    <row r="1558" spans="11:12">
      <c r="K1558" s="56">
        <f t="shared" si="75"/>
        <v>1</v>
      </c>
      <c r="L1558" s="56">
        <f t="shared" si="76"/>
        <v>1900</v>
      </c>
    </row>
    <row r="1559" spans="11:12">
      <c r="K1559" s="56">
        <f t="shared" si="75"/>
        <v>1</v>
      </c>
      <c r="L1559" s="56">
        <f t="shared" si="76"/>
        <v>1900</v>
      </c>
    </row>
    <row r="1560" spans="11:12">
      <c r="K1560" s="56">
        <f t="shared" si="75"/>
        <v>1</v>
      </c>
      <c r="L1560" s="56">
        <f t="shared" si="76"/>
        <v>1900</v>
      </c>
    </row>
    <row r="1561" spans="11:12">
      <c r="K1561" s="56">
        <f t="shared" si="75"/>
        <v>1</v>
      </c>
      <c r="L1561" s="56">
        <f t="shared" si="76"/>
        <v>1900</v>
      </c>
    </row>
    <row r="1562" spans="11:12">
      <c r="K1562" s="56">
        <f t="shared" si="75"/>
        <v>1</v>
      </c>
      <c r="L1562" s="56">
        <f t="shared" si="76"/>
        <v>1900</v>
      </c>
    </row>
    <row r="1563" spans="11:12">
      <c r="K1563" s="56">
        <f t="shared" si="75"/>
        <v>1</v>
      </c>
      <c r="L1563" s="56">
        <f t="shared" si="76"/>
        <v>1900</v>
      </c>
    </row>
    <row r="1564" spans="11:12">
      <c r="K1564" s="56">
        <f t="shared" si="75"/>
        <v>1</v>
      </c>
      <c r="L1564" s="56">
        <f t="shared" si="76"/>
        <v>1900</v>
      </c>
    </row>
    <row r="1565" spans="11:12">
      <c r="K1565" s="56">
        <f t="shared" si="75"/>
        <v>1</v>
      </c>
      <c r="L1565" s="56">
        <f t="shared" si="76"/>
        <v>1900</v>
      </c>
    </row>
    <row r="1566" spans="11:12">
      <c r="K1566" s="56">
        <f t="shared" si="75"/>
        <v>1</v>
      </c>
      <c r="L1566" s="56">
        <f t="shared" si="76"/>
        <v>1900</v>
      </c>
    </row>
    <row r="1567" spans="11:12">
      <c r="K1567" s="56">
        <f t="shared" si="75"/>
        <v>1</v>
      </c>
      <c r="L1567" s="56">
        <f t="shared" si="76"/>
        <v>1900</v>
      </c>
    </row>
    <row r="1568" spans="11:12">
      <c r="K1568" s="56">
        <f t="shared" si="75"/>
        <v>1</v>
      </c>
      <c r="L1568" s="56">
        <f t="shared" si="76"/>
        <v>1900</v>
      </c>
    </row>
    <row r="1569" spans="11:12">
      <c r="K1569" s="56">
        <f t="shared" si="75"/>
        <v>1</v>
      </c>
      <c r="L1569" s="56">
        <f t="shared" si="76"/>
        <v>1900</v>
      </c>
    </row>
    <row r="1570" spans="11:12">
      <c r="K1570" s="56">
        <f t="shared" si="75"/>
        <v>1</v>
      </c>
      <c r="L1570" s="56">
        <f t="shared" si="76"/>
        <v>1900</v>
      </c>
    </row>
    <row r="1571" spans="11:12">
      <c r="K1571" s="56">
        <f t="shared" si="75"/>
        <v>1</v>
      </c>
      <c r="L1571" s="56">
        <f t="shared" si="76"/>
        <v>1900</v>
      </c>
    </row>
    <row r="1572" spans="11:12">
      <c r="K1572" s="56">
        <f t="shared" si="75"/>
        <v>1</v>
      </c>
      <c r="L1572" s="56">
        <f t="shared" si="76"/>
        <v>1900</v>
      </c>
    </row>
    <row r="1573" spans="11:12">
      <c r="K1573" s="56">
        <f t="shared" si="75"/>
        <v>1</v>
      </c>
      <c r="L1573" s="56">
        <f t="shared" si="76"/>
        <v>1900</v>
      </c>
    </row>
    <row r="1574" spans="11:12">
      <c r="K1574" s="56">
        <f t="shared" si="75"/>
        <v>1</v>
      </c>
      <c r="L1574" s="56">
        <f t="shared" si="76"/>
        <v>1900</v>
      </c>
    </row>
    <row r="1575" spans="11:12">
      <c r="K1575" s="56">
        <f t="shared" si="75"/>
        <v>1</v>
      </c>
      <c r="L1575" s="56">
        <f t="shared" si="76"/>
        <v>1900</v>
      </c>
    </row>
    <row r="1576" spans="11:12">
      <c r="K1576" s="56">
        <f t="shared" si="75"/>
        <v>1</v>
      </c>
      <c r="L1576" s="56">
        <f t="shared" si="76"/>
        <v>1900</v>
      </c>
    </row>
    <row r="1577" spans="11:12">
      <c r="K1577" s="56">
        <f t="shared" si="75"/>
        <v>1</v>
      </c>
      <c r="L1577" s="56">
        <f t="shared" si="76"/>
        <v>1900</v>
      </c>
    </row>
    <row r="1578" spans="11:12">
      <c r="K1578" s="56">
        <f t="shared" si="75"/>
        <v>1</v>
      </c>
      <c r="L1578" s="56">
        <f t="shared" si="76"/>
        <v>1900</v>
      </c>
    </row>
    <row r="1579" spans="11:12">
      <c r="K1579" s="56">
        <f t="shared" si="75"/>
        <v>1</v>
      </c>
      <c r="L1579" s="56">
        <f t="shared" si="76"/>
        <v>1900</v>
      </c>
    </row>
    <row r="1580" spans="11:12">
      <c r="K1580" s="56">
        <f t="shared" si="75"/>
        <v>1</v>
      </c>
      <c r="L1580" s="56">
        <f t="shared" si="76"/>
        <v>1900</v>
      </c>
    </row>
    <row r="1581" spans="11:12">
      <c r="K1581" s="56">
        <f t="shared" si="75"/>
        <v>1</v>
      </c>
      <c r="L1581" s="56">
        <f t="shared" si="76"/>
        <v>1900</v>
      </c>
    </row>
    <row r="1582" spans="11:12">
      <c r="K1582" s="56">
        <f t="shared" si="75"/>
        <v>1</v>
      </c>
      <c r="L1582" s="56">
        <f t="shared" si="76"/>
        <v>1900</v>
      </c>
    </row>
    <row r="1583" spans="11:12">
      <c r="K1583" s="56">
        <f t="shared" si="75"/>
        <v>1</v>
      </c>
      <c r="L1583" s="56">
        <f t="shared" si="76"/>
        <v>1900</v>
      </c>
    </row>
    <row r="1584" spans="11:12">
      <c r="K1584" s="56">
        <f t="shared" si="75"/>
        <v>1</v>
      </c>
      <c r="L1584" s="56">
        <f t="shared" si="76"/>
        <v>1900</v>
      </c>
    </row>
    <row r="1585" spans="11:12">
      <c r="K1585" s="56">
        <f t="shared" si="75"/>
        <v>1</v>
      </c>
      <c r="L1585" s="56">
        <f t="shared" si="76"/>
        <v>1900</v>
      </c>
    </row>
    <row r="1586" spans="11:12">
      <c r="K1586" s="56">
        <f t="shared" si="75"/>
        <v>1</v>
      </c>
      <c r="L1586" s="56">
        <f t="shared" si="76"/>
        <v>1900</v>
      </c>
    </row>
    <row r="1587" spans="11:12">
      <c r="K1587" s="56">
        <f t="shared" si="75"/>
        <v>1</v>
      </c>
      <c r="L1587" s="56">
        <f t="shared" si="76"/>
        <v>1900</v>
      </c>
    </row>
    <row r="1588" spans="11:12">
      <c r="K1588" s="56">
        <f t="shared" si="75"/>
        <v>1</v>
      </c>
      <c r="L1588" s="56">
        <f t="shared" si="76"/>
        <v>1900</v>
      </c>
    </row>
    <row r="1589" spans="11:12">
      <c r="K1589" s="56">
        <f t="shared" si="75"/>
        <v>1</v>
      </c>
      <c r="L1589" s="56">
        <f t="shared" si="76"/>
        <v>1900</v>
      </c>
    </row>
    <row r="1590" spans="11:12">
      <c r="K1590" s="56">
        <f t="shared" si="75"/>
        <v>1</v>
      </c>
      <c r="L1590" s="56">
        <f t="shared" si="76"/>
        <v>1900</v>
      </c>
    </row>
    <row r="1591" spans="11:12">
      <c r="K1591" s="56">
        <f t="shared" si="75"/>
        <v>1</v>
      </c>
      <c r="L1591" s="56">
        <f t="shared" si="76"/>
        <v>1900</v>
      </c>
    </row>
    <row r="1592" spans="11:12">
      <c r="K1592" s="56">
        <f t="shared" si="75"/>
        <v>1</v>
      </c>
      <c r="L1592" s="56">
        <f t="shared" si="76"/>
        <v>1900</v>
      </c>
    </row>
    <row r="1593" spans="11:12">
      <c r="K1593" s="56">
        <f t="shared" si="75"/>
        <v>1</v>
      </c>
      <c r="L1593" s="56">
        <f t="shared" si="76"/>
        <v>1900</v>
      </c>
    </row>
    <row r="1594" spans="11:12">
      <c r="K1594" s="56">
        <f t="shared" si="75"/>
        <v>1</v>
      </c>
      <c r="L1594" s="56">
        <f t="shared" si="76"/>
        <v>1900</v>
      </c>
    </row>
    <row r="1595" spans="11:12">
      <c r="K1595" s="56">
        <f t="shared" si="75"/>
        <v>1</v>
      </c>
      <c r="L1595" s="56">
        <f t="shared" si="76"/>
        <v>1900</v>
      </c>
    </row>
    <row r="1596" spans="11:12">
      <c r="K1596" s="56">
        <f t="shared" si="75"/>
        <v>1</v>
      </c>
      <c r="L1596" s="56">
        <f t="shared" si="76"/>
        <v>1900</v>
      </c>
    </row>
    <row r="1597" spans="11:12">
      <c r="K1597" s="56">
        <f t="shared" si="75"/>
        <v>1</v>
      </c>
      <c r="L1597" s="56">
        <f t="shared" si="76"/>
        <v>1900</v>
      </c>
    </row>
    <row r="1598" spans="11:12">
      <c r="K1598" s="56">
        <f t="shared" si="75"/>
        <v>1</v>
      </c>
      <c r="L1598" s="56">
        <f t="shared" si="76"/>
        <v>1900</v>
      </c>
    </row>
    <row r="1599" spans="11:12">
      <c r="K1599" s="56">
        <f t="shared" si="75"/>
        <v>1</v>
      </c>
      <c r="L1599" s="56">
        <f t="shared" si="76"/>
        <v>1900</v>
      </c>
    </row>
    <row r="1600" spans="11:12">
      <c r="K1600" s="56">
        <f t="shared" si="75"/>
        <v>1</v>
      </c>
      <c r="L1600" s="56">
        <f t="shared" si="76"/>
        <v>1900</v>
      </c>
    </row>
    <row r="1601" spans="11:12">
      <c r="K1601" s="56">
        <f t="shared" si="75"/>
        <v>1</v>
      </c>
      <c r="L1601" s="56">
        <f t="shared" si="76"/>
        <v>1900</v>
      </c>
    </row>
    <row r="1602" spans="11:12">
      <c r="K1602" s="56">
        <f t="shared" si="75"/>
        <v>1</v>
      </c>
      <c r="L1602" s="56">
        <f t="shared" si="76"/>
        <v>1900</v>
      </c>
    </row>
    <row r="1603" spans="11:12">
      <c r="K1603" s="56">
        <f t="shared" si="75"/>
        <v>1</v>
      </c>
      <c r="L1603" s="56">
        <f t="shared" si="76"/>
        <v>1900</v>
      </c>
    </row>
    <row r="1604" spans="11:12">
      <c r="K1604" s="56">
        <f t="shared" si="75"/>
        <v>1</v>
      </c>
      <c r="L1604" s="56">
        <f t="shared" si="76"/>
        <v>1900</v>
      </c>
    </row>
    <row r="1605" spans="11:12">
      <c r="K1605" s="56">
        <f t="shared" si="75"/>
        <v>1</v>
      </c>
      <c r="L1605" s="56">
        <f t="shared" si="76"/>
        <v>1900</v>
      </c>
    </row>
    <row r="1606" spans="11:12">
      <c r="K1606" s="56">
        <f t="shared" si="75"/>
        <v>1</v>
      </c>
      <c r="L1606" s="56">
        <f t="shared" si="76"/>
        <v>1900</v>
      </c>
    </row>
    <row r="1607" spans="11:12">
      <c r="K1607" s="56">
        <f t="shared" si="75"/>
        <v>1</v>
      </c>
      <c r="L1607" s="56">
        <f t="shared" si="76"/>
        <v>1900</v>
      </c>
    </row>
    <row r="1608" spans="11:12">
      <c r="K1608" s="56">
        <f t="shared" si="75"/>
        <v>1</v>
      </c>
      <c r="L1608" s="56">
        <f t="shared" si="76"/>
        <v>1900</v>
      </c>
    </row>
    <row r="1609" spans="11:12">
      <c r="K1609" s="56">
        <f t="shared" si="75"/>
        <v>1</v>
      </c>
      <c r="L1609" s="56">
        <f t="shared" si="76"/>
        <v>1900</v>
      </c>
    </row>
    <row r="1610" spans="11:12">
      <c r="K1610" s="56">
        <f t="shared" si="75"/>
        <v>1</v>
      </c>
      <c r="L1610" s="56">
        <f t="shared" si="76"/>
        <v>1900</v>
      </c>
    </row>
    <row r="1611" spans="11:12">
      <c r="K1611" s="56">
        <f t="shared" ref="K1611:K1674" si="77">MONTH(C1611)</f>
        <v>1</v>
      </c>
      <c r="L1611" s="56">
        <f t="shared" ref="L1611:L1674" si="78">YEAR(C1611)</f>
        <v>1900</v>
      </c>
    </row>
    <row r="1612" spans="11:12">
      <c r="K1612" s="56">
        <f t="shared" si="77"/>
        <v>1</v>
      </c>
      <c r="L1612" s="56">
        <f t="shared" si="78"/>
        <v>1900</v>
      </c>
    </row>
    <row r="1613" spans="11:12">
      <c r="K1613" s="56">
        <f t="shared" si="77"/>
        <v>1</v>
      </c>
      <c r="L1613" s="56">
        <f t="shared" si="78"/>
        <v>1900</v>
      </c>
    </row>
    <row r="1614" spans="11:12">
      <c r="K1614" s="56">
        <f t="shared" si="77"/>
        <v>1</v>
      </c>
      <c r="L1614" s="56">
        <f t="shared" si="78"/>
        <v>1900</v>
      </c>
    </row>
    <row r="1615" spans="11:12">
      <c r="K1615" s="56">
        <f t="shared" si="77"/>
        <v>1</v>
      </c>
      <c r="L1615" s="56">
        <f t="shared" si="78"/>
        <v>1900</v>
      </c>
    </row>
    <row r="1616" spans="11:12">
      <c r="K1616" s="56">
        <f t="shared" si="77"/>
        <v>1</v>
      </c>
      <c r="L1616" s="56">
        <f t="shared" si="78"/>
        <v>1900</v>
      </c>
    </row>
    <row r="1617" spans="11:12">
      <c r="K1617" s="56">
        <f t="shared" si="77"/>
        <v>1</v>
      </c>
      <c r="L1617" s="56">
        <f t="shared" si="78"/>
        <v>1900</v>
      </c>
    </row>
    <row r="1618" spans="11:12">
      <c r="K1618" s="56">
        <f t="shared" si="77"/>
        <v>1</v>
      </c>
      <c r="L1618" s="56">
        <f t="shared" si="78"/>
        <v>1900</v>
      </c>
    </row>
    <row r="1619" spans="11:12">
      <c r="K1619" s="56">
        <f t="shared" si="77"/>
        <v>1</v>
      </c>
      <c r="L1619" s="56">
        <f t="shared" si="78"/>
        <v>1900</v>
      </c>
    </row>
    <row r="1620" spans="11:12">
      <c r="K1620" s="56">
        <f t="shared" si="77"/>
        <v>1</v>
      </c>
      <c r="L1620" s="56">
        <f t="shared" si="78"/>
        <v>1900</v>
      </c>
    </row>
    <row r="1621" spans="11:12">
      <c r="K1621" s="56">
        <f t="shared" si="77"/>
        <v>1</v>
      </c>
      <c r="L1621" s="56">
        <f t="shared" si="78"/>
        <v>1900</v>
      </c>
    </row>
    <row r="1622" spans="11:12">
      <c r="K1622" s="56">
        <f t="shared" si="77"/>
        <v>1</v>
      </c>
      <c r="L1622" s="56">
        <f t="shared" si="78"/>
        <v>1900</v>
      </c>
    </row>
    <row r="1623" spans="11:12">
      <c r="K1623" s="56">
        <f t="shared" si="77"/>
        <v>1</v>
      </c>
      <c r="L1623" s="56">
        <f t="shared" si="78"/>
        <v>1900</v>
      </c>
    </row>
    <row r="1624" spans="11:12">
      <c r="K1624" s="56">
        <f t="shared" si="77"/>
        <v>1</v>
      </c>
      <c r="L1624" s="56">
        <f t="shared" si="78"/>
        <v>1900</v>
      </c>
    </row>
    <row r="1625" spans="11:12">
      <c r="K1625" s="56">
        <f t="shared" si="77"/>
        <v>1</v>
      </c>
      <c r="L1625" s="56">
        <f t="shared" si="78"/>
        <v>1900</v>
      </c>
    </row>
    <row r="1626" spans="11:12">
      <c r="K1626" s="56">
        <f t="shared" si="77"/>
        <v>1</v>
      </c>
      <c r="L1626" s="56">
        <f t="shared" si="78"/>
        <v>1900</v>
      </c>
    </row>
    <row r="1627" spans="11:12">
      <c r="K1627" s="56">
        <f t="shared" si="77"/>
        <v>1</v>
      </c>
      <c r="L1627" s="56">
        <f t="shared" si="78"/>
        <v>1900</v>
      </c>
    </row>
    <row r="1628" spans="11:12">
      <c r="K1628" s="56">
        <f t="shared" si="77"/>
        <v>1</v>
      </c>
      <c r="L1628" s="56">
        <f t="shared" si="78"/>
        <v>1900</v>
      </c>
    </row>
    <row r="1629" spans="11:12">
      <c r="K1629" s="56">
        <f t="shared" si="77"/>
        <v>1</v>
      </c>
      <c r="L1629" s="56">
        <f t="shared" si="78"/>
        <v>1900</v>
      </c>
    </row>
    <row r="1630" spans="11:12">
      <c r="K1630" s="56">
        <f t="shared" si="77"/>
        <v>1</v>
      </c>
      <c r="L1630" s="56">
        <f t="shared" si="78"/>
        <v>1900</v>
      </c>
    </row>
    <row r="1631" spans="11:12">
      <c r="K1631" s="56">
        <f t="shared" si="77"/>
        <v>1</v>
      </c>
      <c r="L1631" s="56">
        <f t="shared" si="78"/>
        <v>1900</v>
      </c>
    </row>
    <row r="1632" spans="11:12">
      <c r="K1632" s="56">
        <f t="shared" si="77"/>
        <v>1</v>
      </c>
      <c r="L1632" s="56">
        <f t="shared" si="78"/>
        <v>1900</v>
      </c>
    </row>
    <row r="1633" spans="11:12">
      <c r="K1633" s="56">
        <f t="shared" si="77"/>
        <v>1</v>
      </c>
      <c r="L1633" s="56">
        <f t="shared" si="78"/>
        <v>1900</v>
      </c>
    </row>
    <row r="1634" spans="11:12">
      <c r="K1634" s="56">
        <f t="shared" si="77"/>
        <v>1</v>
      </c>
      <c r="L1634" s="56">
        <f t="shared" si="78"/>
        <v>1900</v>
      </c>
    </row>
    <row r="1635" spans="11:12">
      <c r="K1635" s="56">
        <f t="shared" si="77"/>
        <v>1</v>
      </c>
      <c r="L1635" s="56">
        <f t="shared" si="78"/>
        <v>1900</v>
      </c>
    </row>
    <row r="1636" spans="11:12">
      <c r="K1636" s="56">
        <f t="shared" si="77"/>
        <v>1</v>
      </c>
      <c r="L1636" s="56">
        <f t="shared" si="78"/>
        <v>1900</v>
      </c>
    </row>
    <row r="1637" spans="11:12">
      <c r="K1637" s="56">
        <f t="shared" si="77"/>
        <v>1</v>
      </c>
      <c r="L1637" s="56">
        <f t="shared" si="78"/>
        <v>1900</v>
      </c>
    </row>
    <row r="1638" spans="11:12">
      <c r="K1638" s="56">
        <f t="shared" si="77"/>
        <v>1</v>
      </c>
      <c r="L1638" s="56">
        <f t="shared" si="78"/>
        <v>1900</v>
      </c>
    </row>
    <row r="1639" spans="11:12">
      <c r="K1639" s="56">
        <f t="shared" si="77"/>
        <v>1</v>
      </c>
      <c r="L1639" s="56">
        <f t="shared" si="78"/>
        <v>1900</v>
      </c>
    </row>
    <row r="1640" spans="11:12">
      <c r="K1640" s="56">
        <f t="shared" si="77"/>
        <v>1</v>
      </c>
      <c r="L1640" s="56">
        <f t="shared" si="78"/>
        <v>1900</v>
      </c>
    </row>
    <row r="1641" spans="11:12">
      <c r="K1641" s="56">
        <f t="shared" si="77"/>
        <v>1</v>
      </c>
      <c r="L1641" s="56">
        <f t="shared" si="78"/>
        <v>1900</v>
      </c>
    </row>
    <row r="1642" spans="11:12">
      <c r="K1642" s="56">
        <f t="shared" si="77"/>
        <v>1</v>
      </c>
      <c r="L1642" s="56">
        <f t="shared" si="78"/>
        <v>1900</v>
      </c>
    </row>
    <row r="1643" spans="11:12">
      <c r="K1643" s="56">
        <f t="shared" si="77"/>
        <v>1</v>
      </c>
      <c r="L1643" s="56">
        <f t="shared" si="78"/>
        <v>1900</v>
      </c>
    </row>
    <row r="1644" spans="11:12">
      <c r="K1644" s="56">
        <f t="shared" si="77"/>
        <v>1</v>
      </c>
      <c r="L1644" s="56">
        <f t="shared" si="78"/>
        <v>1900</v>
      </c>
    </row>
    <row r="1645" spans="11:12">
      <c r="K1645" s="56">
        <f t="shared" si="77"/>
        <v>1</v>
      </c>
      <c r="L1645" s="56">
        <f t="shared" si="78"/>
        <v>1900</v>
      </c>
    </row>
    <row r="1646" spans="11:12">
      <c r="K1646" s="56">
        <f t="shared" si="77"/>
        <v>1</v>
      </c>
      <c r="L1646" s="56">
        <f t="shared" si="78"/>
        <v>1900</v>
      </c>
    </row>
    <row r="1647" spans="11:12">
      <c r="K1647" s="56">
        <f t="shared" si="77"/>
        <v>1</v>
      </c>
      <c r="L1647" s="56">
        <f t="shared" si="78"/>
        <v>1900</v>
      </c>
    </row>
    <row r="1648" spans="11:12">
      <c r="K1648" s="56">
        <f t="shared" si="77"/>
        <v>1</v>
      </c>
      <c r="L1648" s="56">
        <f t="shared" si="78"/>
        <v>1900</v>
      </c>
    </row>
    <row r="1649" spans="11:12">
      <c r="K1649" s="56">
        <f t="shared" si="77"/>
        <v>1</v>
      </c>
      <c r="L1649" s="56">
        <f t="shared" si="78"/>
        <v>1900</v>
      </c>
    </row>
    <row r="1650" spans="11:12">
      <c r="K1650" s="56">
        <f t="shared" si="77"/>
        <v>1</v>
      </c>
      <c r="L1650" s="56">
        <f t="shared" si="78"/>
        <v>1900</v>
      </c>
    </row>
    <row r="1651" spans="11:12">
      <c r="K1651" s="56">
        <f t="shared" si="77"/>
        <v>1</v>
      </c>
      <c r="L1651" s="56">
        <f t="shared" si="78"/>
        <v>1900</v>
      </c>
    </row>
    <row r="1652" spans="11:12">
      <c r="K1652" s="56">
        <f t="shared" si="77"/>
        <v>1</v>
      </c>
      <c r="L1652" s="56">
        <f t="shared" si="78"/>
        <v>1900</v>
      </c>
    </row>
    <row r="1653" spans="11:12">
      <c r="K1653" s="56">
        <f t="shared" si="77"/>
        <v>1</v>
      </c>
      <c r="L1653" s="56">
        <f t="shared" si="78"/>
        <v>1900</v>
      </c>
    </row>
    <row r="1654" spans="11:12">
      <c r="K1654" s="56">
        <f t="shared" si="77"/>
        <v>1</v>
      </c>
      <c r="L1654" s="56">
        <f t="shared" si="78"/>
        <v>1900</v>
      </c>
    </row>
    <row r="1655" spans="11:12">
      <c r="K1655" s="56">
        <f t="shared" si="77"/>
        <v>1</v>
      </c>
      <c r="L1655" s="56">
        <f t="shared" si="78"/>
        <v>1900</v>
      </c>
    </row>
    <row r="1656" spans="11:12">
      <c r="K1656" s="56">
        <f t="shared" si="77"/>
        <v>1</v>
      </c>
      <c r="L1656" s="56">
        <f t="shared" si="78"/>
        <v>1900</v>
      </c>
    </row>
    <row r="1657" spans="11:12">
      <c r="K1657" s="56">
        <f t="shared" si="77"/>
        <v>1</v>
      </c>
      <c r="L1657" s="56">
        <f t="shared" si="78"/>
        <v>1900</v>
      </c>
    </row>
    <row r="1658" spans="11:12">
      <c r="K1658" s="56">
        <f t="shared" si="77"/>
        <v>1</v>
      </c>
      <c r="L1658" s="56">
        <f t="shared" si="78"/>
        <v>1900</v>
      </c>
    </row>
    <row r="1659" spans="11:12">
      <c r="K1659" s="56">
        <f t="shared" si="77"/>
        <v>1</v>
      </c>
      <c r="L1659" s="56">
        <f t="shared" si="78"/>
        <v>1900</v>
      </c>
    </row>
    <row r="1660" spans="11:12">
      <c r="K1660" s="56">
        <f t="shared" si="77"/>
        <v>1</v>
      </c>
      <c r="L1660" s="56">
        <f t="shared" si="78"/>
        <v>1900</v>
      </c>
    </row>
    <row r="1661" spans="11:12">
      <c r="K1661" s="56">
        <f t="shared" si="77"/>
        <v>1</v>
      </c>
      <c r="L1661" s="56">
        <f t="shared" si="78"/>
        <v>1900</v>
      </c>
    </row>
    <row r="1662" spans="11:12">
      <c r="K1662" s="56">
        <f t="shared" si="77"/>
        <v>1</v>
      </c>
      <c r="L1662" s="56">
        <f t="shared" si="78"/>
        <v>1900</v>
      </c>
    </row>
    <row r="1663" spans="11:12">
      <c r="K1663" s="56">
        <f t="shared" si="77"/>
        <v>1</v>
      </c>
      <c r="L1663" s="56">
        <f t="shared" si="78"/>
        <v>1900</v>
      </c>
    </row>
    <row r="1664" spans="11:12">
      <c r="K1664" s="56">
        <f t="shared" si="77"/>
        <v>1</v>
      </c>
      <c r="L1664" s="56">
        <f t="shared" si="78"/>
        <v>1900</v>
      </c>
    </row>
    <row r="1665" spans="11:12">
      <c r="K1665" s="56">
        <f t="shared" si="77"/>
        <v>1</v>
      </c>
      <c r="L1665" s="56">
        <f t="shared" si="78"/>
        <v>1900</v>
      </c>
    </row>
    <row r="1666" spans="11:12">
      <c r="K1666" s="56">
        <f t="shared" si="77"/>
        <v>1</v>
      </c>
      <c r="L1666" s="56">
        <f t="shared" si="78"/>
        <v>1900</v>
      </c>
    </row>
    <row r="1667" spans="11:12">
      <c r="K1667" s="56">
        <f t="shared" si="77"/>
        <v>1</v>
      </c>
      <c r="L1667" s="56">
        <f t="shared" si="78"/>
        <v>1900</v>
      </c>
    </row>
    <row r="1668" spans="11:12">
      <c r="K1668" s="56">
        <f t="shared" si="77"/>
        <v>1</v>
      </c>
      <c r="L1668" s="56">
        <f t="shared" si="78"/>
        <v>1900</v>
      </c>
    </row>
    <row r="1669" spans="11:12">
      <c r="K1669" s="56">
        <f t="shared" si="77"/>
        <v>1</v>
      </c>
      <c r="L1669" s="56">
        <f t="shared" si="78"/>
        <v>1900</v>
      </c>
    </row>
    <row r="1670" spans="11:12">
      <c r="K1670" s="56">
        <f t="shared" si="77"/>
        <v>1</v>
      </c>
      <c r="L1670" s="56">
        <f t="shared" si="78"/>
        <v>1900</v>
      </c>
    </row>
    <row r="1671" spans="11:12">
      <c r="K1671" s="56">
        <f t="shared" si="77"/>
        <v>1</v>
      </c>
      <c r="L1671" s="56">
        <f t="shared" si="78"/>
        <v>1900</v>
      </c>
    </row>
    <row r="1672" spans="11:12">
      <c r="K1672" s="56">
        <f t="shared" si="77"/>
        <v>1</v>
      </c>
      <c r="L1672" s="56">
        <f t="shared" si="78"/>
        <v>1900</v>
      </c>
    </row>
    <row r="1673" spans="11:12">
      <c r="K1673" s="56">
        <f t="shared" si="77"/>
        <v>1</v>
      </c>
      <c r="L1673" s="56">
        <f t="shared" si="78"/>
        <v>1900</v>
      </c>
    </row>
    <row r="1674" spans="11:12">
      <c r="K1674" s="56">
        <f t="shared" si="77"/>
        <v>1</v>
      </c>
      <c r="L1674" s="56">
        <f t="shared" si="78"/>
        <v>1900</v>
      </c>
    </row>
    <row r="1675" spans="11:12">
      <c r="K1675" s="56">
        <f t="shared" ref="K1675:K1738" si="79">MONTH(C1675)</f>
        <v>1</v>
      </c>
      <c r="L1675" s="56">
        <f t="shared" ref="L1675:L1738" si="80">YEAR(C1675)</f>
        <v>1900</v>
      </c>
    </row>
    <row r="1676" spans="11:12">
      <c r="K1676" s="56">
        <f t="shared" si="79"/>
        <v>1</v>
      </c>
      <c r="L1676" s="56">
        <f t="shared" si="80"/>
        <v>1900</v>
      </c>
    </row>
    <row r="1677" spans="11:12">
      <c r="K1677" s="56">
        <f t="shared" si="79"/>
        <v>1</v>
      </c>
      <c r="L1677" s="56">
        <f t="shared" si="80"/>
        <v>1900</v>
      </c>
    </row>
    <row r="1678" spans="11:12">
      <c r="K1678" s="56">
        <f t="shared" si="79"/>
        <v>1</v>
      </c>
      <c r="L1678" s="56">
        <f t="shared" si="80"/>
        <v>1900</v>
      </c>
    </row>
    <row r="1679" spans="11:12">
      <c r="K1679" s="56">
        <f t="shared" si="79"/>
        <v>1</v>
      </c>
      <c r="L1679" s="56">
        <f t="shared" si="80"/>
        <v>1900</v>
      </c>
    </row>
    <row r="1680" spans="11:12">
      <c r="K1680" s="56">
        <f t="shared" si="79"/>
        <v>1</v>
      </c>
      <c r="L1680" s="56">
        <f t="shared" si="80"/>
        <v>1900</v>
      </c>
    </row>
    <row r="1681" spans="11:12">
      <c r="K1681" s="56">
        <f t="shared" si="79"/>
        <v>1</v>
      </c>
      <c r="L1681" s="56">
        <f t="shared" si="80"/>
        <v>1900</v>
      </c>
    </row>
    <row r="1682" spans="11:12">
      <c r="K1682" s="56">
        <f t="shared" si="79"/>
        <v>1</v>
      </c>
      <c r="L1682" s="56">
        <f t="shared" si="80"/>
        <v>1900</v>
      </c>
    </row>
    <row r="1683" spans="11:12">
      <c r="K1683" s="56">
        <f t="shared" si="79"/>
        <v>1</v>
      </c>
      <c r="L1683" s="56">
        <f t="shared" si="80"/>
        <v>1900</v>
      </c>
    </row>
    <row r="1684" spans="11:12">
      <c r="K1684" s="56">
        <f t="shared" si="79"/>
        <v>1</v>
      </c>
      <c r="L1684" s="56">
        <f t="shared" si="80"/>
        <v>1900</v>
      </c>
    </row>
    <row r="1685" spans="11:12">
      <c r="K1685" s="56">
        <f t="shared" si="79"/>
        <v>1</v>
      </c>
      <c r="L1685" s="56">
        <f t="shared" si="80"/>
        <v>1900</v>
      </c>
    </row>
    <row r="1686" spans="11:12">
      <c r="K1686" s="56">
        <f t="shared" si="79"/>
        <v>1</v>
      </c>
      <c r="L1686" s="56">
        <f t="shared" si="80"/>
        <v>1900</v>
      </c>
    </row>
    <row r="1687" spans="11:12">
      <c r="K1687" s="56">
        <f t="shared" si="79"/>
        <v>1</v>
      </c>
      <c r="L1687" s="56">
        <f t="shared" si="80"/>
        <v>1900</v>
      </c>
    </row>
    <row r="1688" spans="11:12">
      <c r="K1688" s="56">
        <f t="shared" si="79"/>
        <v>1</v>
      </c>
      <c r="L1688" s="56">
        <f t="shared" si="80"/>
        <v>1900</v>
      </c>
    </row>
    <row r="1689" spans="11:12">
      <c r="K1689" s="56">
        <f t="shared" si="79"/>
        <v>1</v>
      </c>
      <c r="L1689" s="56">
        <f t="shared" si="80"/>
        <v>1900</v>
      </c>
    </row>
    <row r="1690" spans="11:12">
      <c r="K1690" s="56">
        <f t="shared" si="79"/>
        <v>1</v>
      </c>
      <c r="L1690" s="56">
        <f t="shared" si="80"/>
        <v>1900</v>
      </c>
    </row>
    <row r="1691" spans="11:12">
      <c r="K1691" s="56">
        <f t="shared" si="79"/>
        <v>1</v>
      </c>
      <c r="L1691" s="56">
        <f t="shared" si="80"/>
        <v>1900</v>
      </c>
    </row>
    <row r="1692" spans="11:12">
      <c r="K1692" s="56">
        <f t="shared" si="79"/>
        <v>1</v>
      </c>
      <c r="L1692" s="56">
        <f t="shared" si="80"/>
        <v>1900</v>
      </c>
    </row>
    <row r="1693" spans="11:12">
      <c r="K1693" s="56">
        <f t="shared" si="79"/>
        <v>1</v>
      </c>
      <c r="L1693" s="56">
        <f t="shared" si="80"/>
        <v>1900</v>
      </c>
    </row>
    <row r="1694" spans="11:12">
      <c r="K1694" s="56">
        <f t="shared" si="79"/>
        <v>1</v>
      </c>
      <c r="L1694" s="56">
        <f t="shared" si="80"/>
        <v>1900</v>
      </c>
    </row>
    <row r="1695" spans="11:12">
      <c r="K1695" s="56">
        <f t="shared" si="79"/>
        <v>1</v>
      </c>
      <c r="L1695" s="56">
        <f t="shared" si="80"/>
        <v>1900</v>
      </c>
    </row>
    <row r="1696" spans="11:12">
      <c r="K1696" s="56">
        <f t="shared" si="79"/>
        <v>1</v>
      </c>
      <c r="L1696" s="56">
        <f t="shared" si="80"/>
        <v>1900</v>
      </c>
    </row>
    <row r="1697" spans="11:12">
      <c r="K1697" s="56">
        <f t="shared" si="79"/>
        <v>1</v>
      </c>
      <c r="L1697" s="56">
        <f t="shared" si="80"/>
        <v>1900</v>
      </c>
    </row>
    <row r="1698" spans="11:12">
      <c r="K1698" s="56">
        <f t="shared" si="79"/>
        <v>1</v>
      </c>
      <c r="L1698" s="56">
        <f t="shared" si="80"/>
        <v>1900</v>
      </c>
    </row>
    <row r="1699" spans="11:12">
      <c r="K1699" s="56">
        <f t="shared" si="79"/>
        <v>1</v>
      </c>
      <c r="L1699" s="56">
        <f t="shared" si="80"/>
        <v>1900</v>
      </c>
    </row>
    <row r="1700" spans="11:12">
      <c r="K1700" s="56">
        <f t="shared" si="79"/>
        <v>1</v>
      </c>
      <c r="L1700" s="56">
        <f t="shared" si="80"/>
        <v>1900</v>
      </c>
    </row>
    <row r="1701" spans="11:12">
      <c r="K1701" s="56">
        <f t="shared" si="79"/>
        <v>1</v>
      </c>
      <c r="L1701" s="56">
        <f t="shared" si="80"/>
        <v>1900</v>
      </c>
    </row>
    <row r="1702" spans="11:12">
      <c r="K1702" s="56">
        <f t="shared" si="79"/>
        <v>1</v>
      </c>
      <c r="L1702" s="56">
        <f t="shared" si="80"/>
        <v>1900</v>
      </c>
    </row>
    <row r="1703" spans="11:12">
      <c r="K1703" s="56">
        <f t="shared" si="79"/>
        <v>1</v>
      </c>
      <c r="L1703" s="56">
        <f t="shared" si="80"/>
        <v>1900</v>
      </c>
    </row>
    <row r="1704" spans="11:12">
      <c r="K1704" s="56">
        <f t="shared" si="79"/>
        <v>1</v>
      </c>
      <c r="L1704" s="56">
        <f t="shared" si="80"/>
        <v>1900</v>
      </c>
    </row>
    <row r="1705" spans="11:12">
      <c r="K1705" s="56">
        <f t="shared" si="79"/>
        <v>1</v>
      </c>
      <c r="L1705" s="56">
        <f t="shared" si="80"/>
        <v>1900</v>
      </c>
    </row>
    <row r="1706" spans="11:12">
      <c r="K1706" s="56">
        <f t="shared" si="79"/>
        <v>1</v>
      </c>
      <c r="L1706" s="56">
        <f t="shared" si="80"/>
        <v>1900</v>
      </c>
    </row>
    <row r="1707" spans="11:12">
      <c r="K1707" s="56">
        <f t="shared" si="79"/>
        <v>1</v>
      </c>
      <c r="L1707" s="56">
        <f t="shared" si="80"/>
        <v>1900</v>
      </c>
    </row>
    <row r="1708" spans="11:12">
      <c r="K1708" s="56">
        <f t="shared" si="79"/>
        <v>1</v>
      </c>
      <c r="L1708" s="56">
        <f t="shared" si="80"/>
        <v>1900</v>
      </c>
    </row>
    <row r="1709" spans="11:12">
      <c r="K1709" s="56">
        <f t="shared" si="79"/>
        <v>1</v>
      </c>
      <c r="L1709" s="56">
        <f t="shared" si="80"/>
        <v>1900</v>
      </c>
    </row>
    <row r="1710" spans="11:12">
      <c r="K1710" s="56">
        <f t="shared" si="79"/>
        <v>1</v>
      </c>
      <c r="L1710" s="56">
        <f t="shared" si="80"/>
        <v>1900</v>
      </c>
    </row>
    <row r="1711" spans="11:12">
      <c r="K1711" s="56">
        <f t="shared" si="79"/>
        <v>1</v>
      </c>
      <c r="L1711" s="56">
        <f t="shared" si="80"/>
        <v>1900</v>
      </c>
    </row>
    <row r="1712" spans="11:12">
      <c r="K1712" s="56">
        <f t="shared" si="79"/>
        <v>1</v>
      </c>
      <c r="L1712" s="56">
        <f t="shared" si="80"/>
        <v>1900</v>
      </c>
    </row>
    <row r="1713" spans="11:12">
      <c r="K1713" s="56">
        <f t="shared" si="79"/>
        <v>1</v>
      </c>
      <c r="L1713" s="56">
        <f t="shared" si="80"/>
        <v>1900</v>
      </c>
    </row>
    <row r="1714" spans="11:12">
      <c r="K1714" s="56">
        <f t="shared" si="79"/>
        <v>1</v>
      </c>
      <c r="L1714" s="56">
        <f t="shared" si="80"/>
        <v>1900</v>
      </c>
    </row>
    <row r="1715" spans="11:12">
      <c r="K1715" s="56">
        <f t="shared" si="79"/>
        <v>1</v>
      </c>
      <c r="L1715" s="56">
        <f t="shared" si="80"/>
        <v>1900</v>
      </c>
    </row>
    <row r="1716" spans="11:12">
      <c r="K1716" s="56">
        <f t="shared" si="79"/>
        <v>1</v>
      </c>
      <c r="L1716" s="56">
        <f t="shared" si="80"/>
        <v>1900</v>
      </c>
    </row>
    <row r="1717" spans="11:12">
      <c r="K1717" s="56">
        <f t="shared" si="79"/>
        <v>1</v>
      </c>
      <c r="L1717" s="56">
        <f t="shared" si="80"/>
        <v>1900</v>
      </c>
    </row>
    <row r="1718" spans="11:12">
      <c r="K1718" s="56">
        <f t="shared" si="79"/>
        <v>1</v>
      </c>
      <c r="L1718" s="56">
        <f t="shared" si="80"/>
        <v>1900</v>
      </c>
    </row>
    <row r="1719" spans="11:12">
      <c r="K1719" s="56">
        <f t="shared" si="79"/>
        <v>1</v>
      </c>
      <c r="L1719" s="56">
        <f t="shared" si="80"/>
        <v>1900</v>
      </c>
    </row>
    <row r="1720" spans="11:12">
      <c r="K1720" s="56">
        <f t="shared" si="79"/>
        <v>1</v>
      </c>
      <c r="L1720" s="56">
        <f t="shared" si="80"/>
        <v>1900</v>
      </c>
    </row>
    <row r="1721" spans="11:12">
      <c r="K1721" s="56">
        <f t="shared" si="79"/>
        <v>1</v>
      </c>
      <c r="L1721" s="56">
        <f t="shared" si="80"/>
        <v>1900</v>
      </c>
    </row>
    <row r="1722" spans="11:12">
      <c r="K1722" s="56">
        <f t="shared" si="79"/>
        <v>1</v>
      </c>
      <c r="L1722" s="56">
        <f t="shared" si="80"/>
        <v>1900</v>
      </c>
    </row>
    <row r="1723" spans="11:12">
      <c r="K1723" s="56">
        <f t="shared" si="79"/>
        <v>1</v>
      </c>
      <c r="L1723" s="56">
        <f t="shared" si="80"/>
        <v>1900</v>
      </c>
    </row>
    <row r="1724" spans="11:12">
      <c r="K1724" s="56">
        <f t="shared" si="79"/>
        <v>1</v>
      </c>
      <c r="L1724" s="56">
        <f t="shared" si="80"/>
        <v>1900</v>
      </c>
    </row>
    <row r="1725" spans="11:12">
      <c r="K1725" s="56">
        <f t="shared" si="79"/>
        <v>1</v>
      </c>
      <c r="L1725" s="56">
        <f t="shared" si="80"/>
        <v>1900</v>
      </c>
    </row>
    <row r="1726" spans="11:12">
      <c r="K1726" s="56">
        <f t="shared" si="79"/>
        <v>1</v>
      </c>
      <c r="L1726" s="56">
        <f t="shared" si="80"/>
        <v>1900</v>
      </c>
    </row>
    <row r="1727" spans="11:12">
      <c r="K1727" s="56">
        <f t="shared" si="79"/>
        <v>1</v>
      </c>
      <c r="L1727" s="56">
        <f t="shared" si="80"/>
        <v>1900</v>
      </c>
    </row>
    <row r="1728" spans="11:12">
      <c r="K1728" s="56">
        <f t="shared" si="79"/>
        <v>1</v>
      </c>
      <c r="L1728" s="56">
        <f t="shared" si="80"/>
        <v>1900</v>
      </c>
    </row>
    <row r="1729" spans="11:12">
      <c r="K1729" s="56">
        <f t="shared" si="79"/>
        <v>1</v>
      </c>
      <c r="L1729" s="56">
        <f t="shared" si="80"/>
        <v>1900</v>
      </c>
    </row>
    <row r="1730" spans="11:12">
      <c r="K1730" s="56">
        <f t="shared" si="79"/>
        <v>1</v>
      </c>
      <c r="L1730" s="56">
        <f t="shared" si="80"/>
        <v>1900</v>
      </c>
    </row>
    <row r="1731" spans="11:12">
      <c r="K1731" s="56">
        <f t="shared" si="79"/>
        <v>1</v>
      </c>
      <c r="L1731" s="56">
        <f t="shared" si="80"/>
        <v>1900</v>
      </c>
    </row>
    <row r="1732" spans="11:12">
      <c r="K1732" s="56">
        <f t="shared" si="79"/>
        <v>1</v>
      </c>
      <c r="L1732" s="56">
        <f t="shared" si="80"/>
        <v>1900</v>
      </c>
    </row>
    <row r="1733" spans="11:12">
      <c r="K1733" s="56">
        <f t="shared" si="79"/>
        <v>1</v>
      </c>
      <c r="L1733" s="56">
        <f t="shared" si="80"/>
        <v>1900</v>
      </c>
    </row>
    <row r="1734" spans="11:12">
      <c r="K1734" s="56">
        <f t="shared" si="79"/>
        <v>1</v>
      </c>
      <c r="L1734" s="56">
        <f t="shared" si="80"/>
        <v>1900</v>
      </c>
    </row>
    <row r="1735" spans="11:12">
      <c r="K1735" s="56">
        <f t="shared" si="79"/>
        <v>1</v>
      </c>
      <c r="L1735" s="56">
        <f t="shared" si="80"/>
        <v>1900</v>
      </c>
    </row>
    <row r="1736" spans="11:12">
      <c r="K1736" s="56">
        <f t="shared" si="79"/>
        <v>1</v>
      </c>
      <c r="L1736" s="56">
        <f t="shared" si="80"/>
        <v>1900</v>
      </c>
    </row>
    <row r="1737" spans="11:12">
      <c r="K1737" s="56">
        <f t="shared" si="79"/>
        <v>1</v>
      </c>
      <c r="L1737" s="56">
        <f t="shared" si="80"/>
        <v>1900</v>
      </c>
    </row>
    <row r="1738" spans="11:12">
      <c r="K1738" s="56">
        <f t="shared" si="79"/>
        <v>1</v>
      </c>
      <c r="L1738" s="56">
        <f t="shared" si="80"/>
        <v>1900</v>
      </c>
    </row>
    <row r="1739" spans="11:12">
      <c r="K1739" s="56">
        <f t="shared" ref="K1739:K1802" si="81">MONTH(C1739)</f>
        <v>1</v>
      </c>
      <c r="L1739" s="56">
        <f t="shared" ref="L1739:L1802" si="82">YEAR(C1739)</f>
        <v>1900</v>
      </c>
    </row>
    <row r="1740" spans="11:12">
      <c r="K1740" s="56">
        <f t="shared" si="81"/>
        <v>1</v>
      </c>
      <c r="L1740" s="56">
        <f t="shared" si="82"/>
        <v>1900</v>
      </c>
    </row>
    <row r="1741" spans="11:12">
      <c r="K1741" s="56">
        <f t="shared" si="81"/>
        <v>1</v>
      </c>
      <c r="L1741" s="56">
        <f t="shared" si="82"/>
        <v>1900</v>
      </c>
    </row>
    <row r="1742" spans="11:12">
      <c r="K1742" s="56">
        <f t="shared" si="81"/>
        <v>1</v>
      </c>
      <c r="L1742" s="56">
        <f t="shared" si="82"/>
        <v>1900</v>
      </c>
    </row>
    <row r="1743" spans="11:12">
      <c r="K1743" s="56">
        <f t="shared" si="81"/>
        <v>1</v>
      </c>
      <c r="L1743" s="56">
        <f t="shared" si="82"/>
        <v>1900</v>
      </c>
    </row>
    <row r="1744" spans="11:12">
      <c r="K1744" s="56">
        <f t="shared" si="81"/>
        <v>1</v>
      </c>
      <c r="L1744" s="56">
        <f t="shared" si="82"/>
        <v>1900</v>
      </c>
    </row>
    <row r="1745" spans="11:12">
      <c r="K1745" s="56">
        <f t="shared" si="81"/>
        <v>1</v>
      </c>
      <c r="L1745" s="56">
        <f t="shared" si="82"/>
        <v>1900</v>
      </c>
    </row>
    <row r="1746" spans="11:12">
      <c r="K1746" s="56">
        <f t="shared" si="81"/>
        <v>1</v>
      </c>
      <c r="L1746" s="56">
        <f t="shared" si="82"/>
        <v>1900</v>
      </c>
    </row>
    <row r="1747" spans="11:12">
      <c r="K1747" s="56">
        <f t="shared" si="81"/>
        <v>1</v>
      </c>
      <c r="L1747" s="56">
        <f t="shared" si="82"/>
        <v>1900</v>
      </c>
    </row>
    <row r="1748" spans="11:12">
      <c r="K1748" s="56">
        <f t="shared" si="81"/>
        <v>1</v>
      </c>
      <c r="L1748" s="56">
        <f t="shared" si="82"/>
        <v>1900</v>
      </c>
    </row>
    <row r="1749" spans="11:12">
      <c r="K1749" s="56">
        <f t="shared" si="81"/>
        <v>1</v>
      </c>
      <c r="L1749" s="56">
        <f t="shared" si="82"/>
        <v>1900</v>
      </c>
    </row>
    <row r="1750" spans="11:12">
      <c r="K1750" s="56">
        <f t="shared" si="81"/>
        <v>1</v>
      </c>
      <c r="L1750" s="56">
        <f t="shared" si="82"/>
        <v>1900</v>
      </c>
    </row>
    <row r="1751" spans="11:12">
      <c r="K1751" s="56">
        <f t="shared" si="81"/>
        <v>1</v>
      </c>
      <c r="L1751" s="56">
        <f t="shared" si="82"/>
        <v>1900</v>
      </c>
    </row>
    <row r="1752" spans="11:12">
      <c r="K1752" s="56">
        <f t="shared" si="81"/>
        <v>1</v>
      </c>
      <c r="L1752" s="56">
        <f t="shared" si="82"/>
        <v>1900</v>
      </c>
    </row>
    <row r="1753" spans="11:12">
      <c r="K1753" s="56">
        <f t="shared" si="81"/>
        <v>1</v>
      </c>
      <c r="L1753" s="56">
        <f t="shared" si="82"/>
        <v>1900</v>
      </c>
    </row>
    <row r="1754" spans="11:12">
      <c r="K1754" s="56">
        <f t="shared" si="81"/>
        <v>1</v>
      </c>
      <c r="L1754" s="56">
        <f t="shared" si="82"/>
        <v>1900</v>
      </c>
    </row>
    <row r="1755" spans="11:12">
      <c r="K1755" s="56">
        <f t="shared" si="81"/>
        <v>1</v>
      </c>
      <c r="L1755" s="56">
        <f t="shared" si="82"/>
        <v>1900</v>
      </c>
    </row>
    <row r="1756" spans="11:12">
      <c r="K1756" s="56">
        <f t="shared" si="81"/>
        <v>1</v>
      </c>
      <c r="L1756" s="56">
        <f t="shared" si="82"/>
        <v>1900</v>
      </c>
    </row>
    <row r="1757" spans="11:12">
      <c r="K1757" s="56">
        <f t="shared" si="81"/>
        <v>1</v>
      </c>
      <c r="L1757" s="56">
        <f t="shared" si="82"/>
        <v>1900</v>
      </c>
    </row>
    <row r="1758" spans="11:12">
      <c r="K1758" s="56">
        <f t="shared" si="81"/>
        <v>1</v>
      </c>
      <c r="L1758" s="56">
        <f t="shared" si="82"/>
        <v>1900</v>
      </c>
    </row>
    <row r="1759" spans="11:12">
      <c r="K1759" s="56">
        <f t="shared" si="81"/>
        <v>1</v>
      </c>
      <c r="L1759" s="56">
        <f t="shared" si="82"/>
        <v>1900</v>
      </c>
    </row>
    <row r="1760" spans="11:12">
      <c r="K1760" s="56">
        <f t="shared" si="81"/>
        <v>1</v>
      </c>
      <c r="L1760" s="56">
        <f t="shared" si="82"/>
        <v>1900</v>
      </c>
    </row>
    <row r="1761" spans="11:12">
      <c r="K1761" s="56">
        <f t="shared" si="81"/>
        <v>1</v>
      </c>
      <c r="L1761" s="56">
        <f t="shared" si="82"/>
        <v>1900</v>
      </c>
    </row>
    <row r="1762" spans="11:12">
      <c r="K1762" s="56">
        <f t="shared" si="81"/>
        <v>1</v>
      </c>
      <c r="L1762" s="56">
        <f t="shared" si="82"/>
        <v>1900</v>
      </c>
    </row>
    <row r="1763" spans="11:12">
      <c r="K1763" s="56">
        <f t="shared" si="81"/>
        <v>1</v>
      </c>
      <c r="L1763" s="56">
        <f t="shared" si="82"/>
        <v>1900</v>
      </c>
    </row>
    <row r="1764" spans="11:12">
      <c r="K1764" s="56">
        <f t="shared" si="81"/>
        <v>1</v>
      </c>
      <c r="L1764" s="56">
        <f t="shared" si="82"/>
        <v>1900</v>
      </c>
    </row>
    <row r="1765" spans="11:12">
      <c r="K1765" s="56">
        <f t="shared" si="81"/>
        <v>1</v>
      </c>
      <c r="L1765" s="56">
        <f t="shared" si="82"/>
        <v>1900</v>
      </c>
    </row>
    <row r="1766" spans="11:12">
      <c r="K1766" s="56">
        <f t="shared" si="81"/>
        <v>1</v>
      </c>
      <c r="L1766" s="56">
        <f t="shared" si="82"/>
        <v>1900</v>
      </c>
    </row>
    <row r="1767" spans="11:12">
      <c r="K1767" s="56">
        <f t="shared" si="81"/>
        <v>1</v>
      </c>
      <c r="L1767" s="56">
        <f t="shared" si="82"/>
        <v>1900</v>
      </c>
    </row>
    <row r="1768" spans="11:12">
      <c r="K1768" s="56">
        <f t="shared" si="81"/>
        <v>1</v>
      </c>
      <c r="L1768" s="56">
        <f t="shared" si="82"/>
        <v>1900</v>
      </c>
    </row>
    <row r="1769" spans="11:12">
      <c r="K1769" s="56">
        <f t="shared" si="81"/>
        <v>1</v>
      </c>
      <c r="L1769" s="56">
        <f t="shared" si="82"/>
        <v>1900</v>
      </c>
    </row>
    <row r="1770" spans="11:12">
      <c r="K1770" s="56">
        <f t="shared" si="81"/>
        <v>1</v>
      </c>
      <c r="L1770" s="56">
        <f t="shared" si="82"/>
        <v>1900</v>
      </c>
    </row>
    <row r="1771" spans="11:12">
      <c r="K1771" s="56">
        <f t="shared" si="81"/>
        <v>1</v>
      </c>
      <c r="L1771" s="56">
        <f t="shared" si="82"/>
        <v>1900</v>
      </c>
    </row>
    <row r="1772" spans="11:12">
      <c r="K1772" s="56">
        <f t="shared" si="81"/>
        <v>1</v>
      </c>
      <c r="L1772" s="56">
        <f t="shared" si="82"/>
        <v>1900</v>
      </c>
    </row>
    <row r="1773" spans="11:12">
      <c r="K1773" s="56">
        <f t="shared" si="81"/>
        <v>1</v>
      </c>
      <c r="L1773" s="56">
        <f t="shared" si="82"/>
        <v>1900</v>
      </c>
    </row>
    <row r="1774" spans="11:12">
      <c r="K1774" s="56">
        <f t="shared" si="81"/>
        <v>1</v>
      </c>
      <c r="L1774" s="56">
        <f t="shared" si="82"/>
        <v>1900</v>
      </c>
    </row>
    <row r="1775" spans="11:12">
      <c r="K1775" s="56">
        <f t="shared" si="81"/>
        <v>1</v>
      </c>
      <c r="L1775" s="56">
        <f t="shared" si="82"/>
        <v>1900</v>
      </c>
    </row>
    <row r="1776" spans="11:12">
      <c r="K1776" s="56">
        <f t="shared" si="81"/>
        <v>1</v>
      </c>
      <c r="L1776" s="56">
        <f t="shared" si="82"/>
        <v>1900</v>
      </c>
    </row>
    <row r="1777" spans="11:12">
      <c r="K1777" s="56">
        <f t="shared" si="81"/>
        <v>1</v>
      </c>
      <c r="L1777" s="56">
        <f t="shared" si="82"/>
        <v>1900</v>
      </c>
    </row>
    <row r="1778" spans="11:12">
      <c r="K1778" s="56">
        <f t="shared" si="81"/>
        <v>1</v>
      </c>
      <c r="L1778" s="56">
        <f t="shared" si="82"/>
        <v>1900</v>
      </c>
    </row>
    <row r="1779" spans="11:12">
      <c r="K1779" s="56">
        <f t="shared" si="81"/>
        <v>1</v>
      </c>
      <c r="L1779" s="56">
        <f t="shared" si="82"/>
        <v>1900</v>
      </c>
    </row>
    <row r="1780" spans="11:12">
      <c r="K1780" s="56">
        <f t="shared" si="81"/>
        <v>1</v>
      </c>
      <c r="L1780" s="56">
        <f t="shared" si="82"/>
        <v>1900</v>
      </c>
    </row>
    <row r="1781" spans="11:12">
      <c r="K1781" s="56">
        <f t="shared" si="81"/>
        <v>1</v>
      </c>
      <c r="L1781" s="56">
        <f t="shared" si="82"/>
        <v>1900</v>
      </c>
    </row>
    <row r="1782" spans="11:12">
      <c r="K1782" s="56">
        <f t="shared" si="81"/>
        <v>1</v>
      </c>
      <c r="L1782" s="56">
        <f t="shared" si="82"/>
        <v>1900</v>
      </c>
    </row>
    <row r="1783" spans="11:12">
      <c r="K1783" s="56">
        <f t="shared" si="81"/>
        <v>1</v>
      </c>
      <c r="L1783" s="56">
        <f t="shared" si="82"/>
        <v>1900</v>
      </c>
    </row>
    <row r="1784" spans="11:12">
      <c r="K1784" s="56">
        <f t="shared" si="81"/>
        <v>1</v>
      </c>
      <c r="L1784" s="56">
        <f t="shared" si="82"/>
        <v>1900</v>
      </c>
    </row>
    <row r="1785" spans="11:12">
      <c r="K1785" s="56">
        <f t="shared" si="81"/>
        <v>1</v>
      </c>
      <c r="L1785" s="56">
        <f t="shared" si="82"/>
        <v>1900</v>
      </c>
    </row>
    <row r="1786" spans="11:12">
      <c r="K1786" s="56">
        <f t="shared" si="81"/>
        <v>1</v>
      </c>
      <c r="L1786" s="56">
        <f t="shared" si="82"/>
        <v>1900</v>
      </c>
    </row>
    <row r="1787" spans="11:12">
      <c r="K1787" s="56">
        <f t="shared" si="81"/>
        <v>1</v>
      </c>
      <c r="L1787" s="56">
        <f t="shared" si="82"/>
        <v>1900</v>
      </c>
    </row>
    <row r="1788" spans="11:12">
      <c r="K1788" s="56">
        <f t="shared" si="81"/>
        <v>1</v>
      </c>
      <c r="L1788" s="56">
        <f t="shared" si="82"/>
        <v>1900</v>
      </c>
    </row>
    <row r="1789" spans="11:12">
      <c r="K1789" s="56">
        <f t="shared" si="81"/>
        <v>1</v>
      </c>
      <c r="L1789" s="56">
        <f t="shared" si="82"/>
        <v>1900</v>
      </c>
    </row>
    <row r="1790" spans="11:12">
      <c r="K1790" s="56">
        <f t="shared" si="81"/>
        <v>1</v>
      </c>
      <c r="L1790" s="56">
        <f t="shared" si="82"/>
        <v>1900</v>
      </c>
    </row>
    <row r="1791" spans="11:12">
      <c r="K1791" s="56">
        <f t="shared" si="81"/>
        <v>1</v>
      </c>
      <c r="L1791" s="56">
        <f t="shared" si="82"/>
        <v>1900</v>
      </c>
    </row>
    <row r="1792" spans="11:12">
      <c r="K1792" s="56">
        <f t="shared" si="81"/>
        <v>1</v>
      </c>
      <c r="L1792" s="56">
        <f t="shared" si="82"/>
        <v>1900</v>
      </c>
    </row>
    <row r="1793" spans="11:12">
      <c r="K1793" s="56">
        <f t="shared" si="81"/>
        <v>1</v>
      </c>
      <c r="L1793" s="56">
        <f t="shared" si="82"/>
        <v>1900</v>
      </c>
    </row>
    <row r="1794" spans="11:12">
      <c r="K1794" s="56">
        <f t="shared" si="81"/>
        <v>1</v>
      </c>
      <c r="L1794" s="56">
        <f t="shared" si="82"/>
        <v>1900</v>
      </c>
    </row>
    <row r="1795" spans="11:12">
      <c r="K1795" s="56">
        <f t="shared" si="81"/>
        <v>1</v>
      </c>
      <c r="L1795" s="56">
        <f t="shared" si="82"/>
        <v>1900</v>
      </c>
    </row>
    <row r="1796" spans="11:12">
      <c r="K1796" s="56">
        <f t="shared" si="81"/>
        <v>1</v>
      </c>
      <c r="L1796" s="56">
        <f t="shared" si="82"/>
        <v>1900</v>
      </c>
    </row>
    <row r="1797" spans="11:12">
      <c r="K1797" s="56">
        <f t="shared" si="81"/>
        <v>1</v>
      </c>
      <c r="L1797" s="56">
        <f t="shared" si="82"/>
        <v>1900</v>
      </c>
    </row>
    <row r="1798" spans="11:12">
      <c r="K1798" s="56">
        <f t="shared" si="81"/>
        <v>1</v>
      </c>
      <c r="L1798" s="56">
        <f t="shared" si="82"/>
        <v>1900</v>
      </c>
    </row>
    <row r="1799" spans="11:12">
      <c r="K1799" s="56">
        <f t="shared" si="81"/>
        <v>1</v>
      </c>
      <c r="L1799" s="56">
        <f t="shared" si="82"/>
        <v>1900</v>
      </c>
    </row>
    <row r="1800" spans="11:12">
      <c r="K1800" s="56">
        <f t="shared" si="81"/>
        <v>1</v>
      </c>
      <c r="L1800" s="56">
        <f t="shared" si="82"/>
        <v>1900</v>
      </c>
    </row>
    <row r="1801" spans="11:12">
      <c r="K1801" s="56">
        <f t="shared" si="81"/>
        <v>1</v>
      </c>
      <c r="L1801" s="56">
        <f t="shared" si="82"/>
        <v>1900</v>
      </c>
    </row>
    <row r="1802" spans="11:12">
      <c r="K1802" s="56">
        <f t="shared" si="81"/>
        <v>1</v>
      </c>
      <c r="L1802" s="56">
        <f t="shared" si="82"/>
        <v>1900</v>
      </c>
    </row>
    <row r="1803" spans="11:12">
      <c r="K1803" s="56">
        <f t="shared" ref="K1803:K1866" si="83">MONTH(C1803)</f>
        <v>1</v>
      </c>
      <c r="L1803" s="56">
        <f t="shared" ref="L1803:L1866" si="84">YEAR(C1803)</f>
        <v>1900</v>
      </c>
    </row>
    <row r="1804" spans="11:12">
      <c r="K1804" s="56">
        <f t="shared" si="83"/>
        <v>1</v>
      </c>
      <c r="L1804" s="56">
        <f t="shared" si="84"/>
        <v>1900</v>
      </c>
    </row>
    <row r="1805" spans="11:12">
      <c r="K1805" s="56">
        <f t="shared" si="83"/>
        <v>1</v>
      </c>
      <c r="L1805" s="56">
        <f t="shared" si="84"/>
        <v>1900</v>
      </c>
    </row>
    <row r="1806" spans="11:12">
      <c r="K1806" s="56">
        <f t="shared" si="83"/>
        <v>1</v>
      </c>
      <c r="L1806" s="56">
        <f t="shared" si="84"/>
        <v>1900</v>
      </c>
    </row>
    <row r="1807" spans="11:12">
      <c r="K1807" s="56">
        <f t="shared" si="83"/>
        <v>1</v>
      </c>
      <c r="L1807" s="56">
        <f t="shared" si="84"/>
        <v>1900</v>
      </c>
    </row>
    <row r="1808" spans="11:12">
      <c r="K1808" s="56">
        <f t="shared" si="83"/>
        <v>1</v>
      </c>
      <c r="L1808" s="56">
        <f t="shared" si="84"/>
        <v>1900</v>
      </c>
    </row>
    <row r="1809" spans="11:12">
      <c r="K1809" s="56">
        <f t="shared" si="83"/>
        <v>1</v>
      </c>
      <c r="L1809" s="56">
        <f t="shared" si="84"/>
        <v>1900</v>
      </c>
    </row>
    <row r="1810" spans="11:12">
      <c r="K1810" s="56">
        <f t="shared" si="83"/>
        <v>1</v>
      </c>
      <c r="L1810" s="56">
        <f t="shared" si="84"/>
        <v>1900</v>
      </c>
    </row>
    <row r="1811" spans="11:12">
      <c r="K1811" s="56">
        <f t="shared" si="83"/>
        <v>1</v>
      </c>
      <c r="L1811" s="56">
        <f t="shared" si="84"/>
        <v>1900</v>
      </c>
    </row>
    <row r="1812" spans="11:12">
      <c r="K1812" s="56">
        <f t="shared" si="83"/>
        <v>1</v>
      </c>
      <c r="L1812" s="56">
        <f t="shared" si="84"/>
        <v>1900</v>
      </c>
    </row>
    <row r="1813" spans="11:12">
      <c r="K1813" s="56">
        <f t="shared" si="83"/>
        <v>1</v>
      </c>
      <c r="L1813" s="56">
        <f t="shared" si="84"/>
        <v>1900</v>
      </c>
    </row>
    <row r="1814" spans="11:12">
      <c r="K1814" s="56">
        <f t="shared" si="83"/>
        <v>1</v>
      </c>
      <c r="L1814" s="56">
        <f t="shared" si="84"/>
        <v>1900</v>
      </c>
    </row>
    <row r="1815" spans="11:12">
      <c r="K1815" s="56">
        <f t="shared" si="83"/>
        <v>1</v>
      </c>
      <c r="L1815" s="56">
        <f t="shared" si="84"/>
        <v>1900</v>
      </c>
    </row>
    <row r="1816" spans="11:12">
      <c r="K1816" s="56">
        <f t="shared" si="83"/>
        <v>1</v>
      </c>
      <c r="L1816" s="56">
        <f t="shared" si="84"/>
        <v>1900</v>
      </c>
    </row>
    <row r="1817" spans="11:12">
      <c r="K1817" s="56">
        <f t="shared" si="83"/>
        <v>1</v>
      </c>
      <c r="L1817" s="56">
        <f t="shared" si="84"/>
        <v>1900</v>
      </c>
    </row>
    <row r="1818" spans="11:12">
      <c r="K1818" s="56">
        <f t="shared" si="83"/>
        <v>1</v>
      </c>
      <c r="L1818" s="56">
        <f t="shared" si="84"/>
        <v>1900</v>
      </c>
    </row>
    <row r="1819" spans="11:12">
      <c r="K1819" s="56">
        <f t="shared" si="83"/>
        <v>1</v>
      </c>
      <c r="L1819" s="56">
        <f t="shared" si="84"/>
        <v>1900</v>
      </c>
    </row>
    <row r="1820" spans="11:12">
      <c r="K1820" s="56">
        <f t="shared" si="83"/>
        <v>1</v>
      </c>
      <c r="L1820" s="56">
        <f t="shared" si="84"/>
        <v>1900</v>
      </c>
    </row>
    <row r="1821" spans="11:12">
      <c r="K1821" s="56">
        <f t="shared" si="83"/>
        <v>1</v>
      </c>
      <c r="L1821" s="56">
        <f t="shared" si="84"/>
        <v>1900</v>
      </c>
    </row>
    <row r="1822" spans="11:12">
      <c r="K1822" s="56">
        <f t="shared" si="83"/>
        <v>1</v>
      </c>
      <c r="L1822" s="56">
        <f t="shared" si="84"/>
        <v>1900</v>
      </c>
    </row>
    <row r="1823" spans="11:12">
      <c r="K1823" s="56">
        <f t="shared" si="83"/>
        <v>1</v>
      </c>
      <c r="L1823" s="56">
        <f t="shared" si="84"/>
        <v>1900</v>
      </c>
    </row>
    <row r="1824" spans="11:12">
      <c r="K1824" s="56">
        <f t="shared" si="83"/>
        <v>1</v>
      </c>
      <c r="L1824" s="56">
        <f t="shared" si="84"/>
        <v>1900</v>
      </c>
    </row>
    <row r="1825" spans="11:12">
      <c r="K1825" s="56">
        <f t="shared" si="83"/>
        <v>1</v>
      </c>
      <c r="L1825" s="56">
        <f t="shared" si="84"/>
        <v>1900</v>
      </c>
    </row>
    <row r="1826" spans="11:12">
      <c r="K1826" s="56">
        <f t="shared" si="83"/>
        <v>1</v>
      </c>
      <c r="L1826" s="56">
        <f t="shared" si="84"/>
        <v>1900</v>
      </c>
    </row>
    <row r="1827" spans="11:12">
      <c r="K1827" s="56">
        <f t="shared" si="83"/>
        <v>1</v>
      </c>
      <c r="L1827" s="56">
        <f t="shared" si="84"/>
        <v>1900</v>
      </c>
    </row>
    <row r="1828" spans="11:12">
      <c r="K1828" s="56">
        <f t="shared" si="83"/>
        <v>1</v>
      </c>
      <c r="L1828" s="56">
        <f t="shared" si="84"/>
        <v>1900</v>
      </c>
    </row>
    <row r="1829" spans="11:12">
      <c r="K1829" s="56">
        <f t="shared" si="83"/>
        <v>1</v>
      </c>
      <c r="L1829" s="56">
        <f t="shared" si="84"/>
        <v>1900</v>
      </c>
    </row>
    <row r="1830" spans="11:12">
      <c r="K1830" s="56">
        <f t="shared" si="83"/>
        <v>1</v>
      </c>
      <c r="L1830" s="56">
        <f t="shared" si="84"/>
        <v>1900</v>
      </c>
    </row>
    <row r="1831" spans="11:12">
      <c r="K1831" s="56">
        <f t="shared" si="83"/>
        <v>1</v>
      </c>
      <c r="L1831" s="56">
        <f t="shared" si="84"/>
        <v>1900</v>
      </c>
    </row>
    <row r="1832" spans="11:12">
      <c r="K1832" s="56">
        <f t="shared" si="83"/>
        <v>1</v>
      </c>
      <c r="L1832" s="56">
        <f t="shared" si="84"/>
        <v>1900</v>
      </c>
    </row>
    <row r="1833" spans="11:12">
      <c r="K1833" s="56">
        <f t="shared" si="83"/>
        <v>1</v>
      </c>
      <c r="L1833" s="56">
        <f t="shared" si="84"/>
        <v>1900</v>
      </c>
    </row>
    <row r="1834" spans="11:12">
      <c r="K1834" s="56">
        <f t="shared" si="83"/>
        <v>1</v>
      </c>
      <c r="L1834" s="56">
        <f t="shared" si="84"/>
        <v>1900</v>
      </c>
    </row>
    <row r="1835" spans="11:12">
      <c r="K1835" s="56">
        <f t="shared" si="83"/>
        <v>1</v>
      </c>
      <c r="L1835" s="56">
        <f t="shared" si="84"/>
        <v>1900</v>
      </c>
    </row>
    <row r="1836" spans="11:12">
      <c r="K1836" s="56">
        <f t="shared" si="83"/>
        <v>1</v>
      </c>
      <c r="L1836" s="56">
        <f t="shared" si="84"/>
        <v>1900</v>
      </c>
    </row>
    <row r="1837" spans="11:12">
      <c r="K1837" s="56">
        <f t="shared" si="83"/>
        <v>1</v>
      </c>
      <c r="L1837" s="56">
        <f t="shared" si="84"/>
        <v>1900</v>
      </c>
    </row>
    <row r="1838" spans="11:12">
      <c r="K1838" s="56">
        <f t="shared" si="83"/>
        <v>1</v>
      </c>
      <c r="L1838" s="56">
        <f t="shared" si="84"/>
        <v>1900</v>
      </c>
    </row>
    <row r="1839" spans="11:12">
      <c r="K1839" s="56">
        <f t="shared" si="83"/>
        <v>1</v>
      </c>
      <c r="L1839" s="56">
        <f t="shared" si="84"/>
        <v>1900</v>
      </c>
    </row>
    <row r="1840" spans="11:12">
      <c r="K1840" s="56">
        <f t="shared" si="83"/>
        <v>1</v>
      </c>
      <c r="L1840" s="56">
        <f t="shared" si="84"/>
        <v>1900</v>
      </c>
    </row>
    <row r="1841" spans="11:12">
      <c r="K1841" s="56">
        <f t="shared" si="83"/>
        <v>1</v>
      </c>
      <c r="L1841" s="56">
        <f t="shared" si="84"/>
        <v>1900</v>
      </c>
    </row>
    <row r="1842" spans="11:12">
      <c r="K1842" s="56">
        <f t="shared" si="83"/>
        <v>1</v>
      </c>
      <c r="L1842" s="56">
        <f t="shared" si="84"/>
        <v>1900</v>
      </c>
    </row>
    <row r="1843" spans="11:12">
      <c r="K1843" s="56">
        <f t="shared" si="83"/>
        <v>1</v>
      </c>
      <c r="L1843" s="56">
        <f t="shared" si="84"/>
        <v>1900</v>
      </c>
    </row>
    <row r="1844" spans="11:12">
      <c r="K1844" s="56">
        <f t="shared" si="83"/>
        <v>1</v>
      </c>
      <c r="L1844" s="56">
        <f t="shared" si="84"/>
        <v>1900</v>
      </c>
    </row>
    <row r="1845" spans="11:12">
      <c r="K1845" s="56">
        <f t="shared" si="83"/>
        <v>1</v>
      </c>
      <c r="L1845" s="56">
        <f t="shared" si="84"/>
        <v>1900</v>
      </c>
    </row>
    <row r="1846" spans="11:12">
      <c r="K1846" s="56">
        <f t="shared" si="83"/>
        <v>1</v>
      </c>
      <c r="L1846" s="56">
        <f t="shared" si="84"/>
        <v>1900</v>
      </c>
    </row>
    <row r="1847" spans="11:12">
      <c r="K1847" s="56">
        <f t="shared" si="83"/>
        <v>1</v>
      </c>
      <c r="L1847" s="56">
        <f t="shared" si="84"/>
        <v>1900</v>
      </c>
    </row>
    <row r="1848" spans="11:12">
      <c r="K1848" s="56">
        <f t="shared" si="83"/>
        <v>1</v>
      </c>
      <c r="L1848" s="56">
        <f t="shared" si="84"/>
        <v>1900</v>
      </c>
    </row>
    <row r="1849" spans="11:12">
      <c r="K1849" s="56">
        <f t="shared" si="83"/>
        <v>1</v>
      </c>
      <c r="L1849" s="56">
        <f t="shared" si="84"/>
        <v>1900</v>
      </c>
    </row>
    <row r="1850" spans="11:12">
      <c r="K1850" s="56">
        <f t="shared" si="83"/>
        <v>1</v>
      </c>
      <c r="L1850" s="56">
        <f t="shared" si="84"/>
        <v>1900</v>
      </c>
    </row>
    <row r="1851" spans="11:12">
      <c r="K1851" s="56">
        <f t="shared" si="83"/>
        <v>1</v>
      </c>
      <c r="L1851" s="56">
        <f t="shared" si="84"/>
        <v>1900</v>
      </c>
    </row>
    <row r="1852" spans="11:12">
      <c r="K1852" s="56">
        <f t="shared" si="83"/>
        <v>1</v>
      </c>
      <c r="L1852" s="56">
        <f t="shared" si="84"/>
        <v>1900</v>
      </c>
    </row>
    <row r="1853" spans="11:12">
      <c r="K1853" s="56">
        <f t="shared" si="83"/>
        <v>1</v>
      </c>
      <c r="L1853" s="56">
        <f t="shared" si="84"/>
        <v>1900</v>
      </c>
    </row>
    <row r="1854" spans="11:12">
      <c r="K1854" s="56">
        <f t="shared" si="83"/>
        <v>1</v>
      </c>
      <c r="L1854" s="56">
        <f t="shared" si="84"/>
        <v>1900</v>
      </c>
    </row>
    <row r="1855" spans="11:12">
      <c r="K1855" s="56">
        <f t="shared" si="83"/>
        <v>1</v>
      </c>
      <c r="L1855" s="56">
        <f t="shared" si="84"/>
        <v>1900</v>
      </c>
    </row>
    <row r="1856" spans="11:12">
      <c r="K1856" s="56">
        <f t="shared" si="83"/>
        <v>1</v>
      </c>
      <c r="L1856" s="56">
        <f t="shared" si="84"/>
        <v>1900</v>
      </c>
    </row>
    <row r="1857" spans="11:12">
      <c r="K1857" s="56">
        <f t="shared" si="83"/>
        <v>1</v>
      </c>
      <c r="L1857" s="56">
        <f t="shared" si="84"/>
        <v>1900</v>
      </c>
    </row>
    <row r="1858" spans="11:12">
      <c r="K1858" s="56">
        <f t="shared" si="83"/>
        <v>1</v>
      </c>
      <c r="L1858" s="56">
        <f t="shared" si="84"/>
        <v>1900</v>
      </c>
    </row>
    <row r="1859" spans="11:12">
      <c r="K1859" s="56">
        <f t="shared" si="83"/>
        <v>1</v>
      </c>
      <c r="L1859" s="56">
        <f t="shared" si="84"/>
        <v>1900</v>
      </c>
    </row>
    <row r="1860" spans="11:12">
      <c r="K1860" s="56">
        <f t="shared" si="83"/>
        <v>1</v>
      </c>
      <c r="L1860" s="56">
        <f t="shared" si="84"/>
        <v>1900</v>
      </c>
    </row>
    <row r="1861" spans="11:12">
      <c r="K1861" s="56">
        <f t="shared" si="83"/>
        <v>1</v>
      </c>
      <c r="L1861" s="56">
        <f t="shared" si="84"/>
        <v>1900</v>
      </c>
    </row>
    <row r="1862" spans="11:12">
      <c r="K1862" s="56">
        <f t="shared" si="83"/>
        <v>1</v>
      </c>
      <c r="L1862" s="56">
        <f t="shared" si="84"/>
        <v>1900</v>
      </c>
    </row>
    <row r="1863" spans="11:12">
      <c r="K1863" s="56">
        <f t="shared" si="83"/>
        <v>1</v>
      </c>
      <c r="L1863" s="56">
        <f t="shared" si="84"/>
        <v>1900</v>
      </c>
    </row>
    <row r="1864" spans="11:12">
      <c r="K1864" s="56">
        <f t="shared" si="83"/>
        <v>1</v>
      </c>
      <c r="L1864" s="56">
        <f t="shared" si="84"/>
        <v>1900</v>
      </c>
    </row>
    <row r="1865" spans="11:12">
      <c r="K1865" s="56">
        <f t="shared" si="83"/>
        <v>1</v>
      </c>
      <c r="L1865" s="56">
        <f t="shared" si="84"/>
        <v>1900</v>
      </c>
    </row>
    <row r="1866" spans="11:12">
      <c r="K1866" s="56">
        <f t="shared" si="83"/>
        <v>1</v>
      </c>
      <c r="L1866" s="56">
        <f t="shared" si="84"/>
        <v>1900</v>
      </c>
    </row>
    <row r="1867" spans="11:12">
      <c r="K1867" s="56">
        <f t="shared" ref="K1867:K1930" si="85">MONTH(C1867)</f>
        <v>1</v>
      </c>
      <c r="L1867" s="56">
        <f t="shared" ref="L1867:L1930" si="86">YEAR(C1867)</f>
        <v>1900</v>
      </c>
    </row>
    <row r="1868" spans="11:12">
      <c r="K1868" s="56">
        <f t="shared" si="85"/>
        <v>1</v>
      </c>
      <c r="L1868" s="56">
        <f t="shared" si="86"/>
        <v>1900</v>
      </c>
    </row>
    <row r="1869" spans="11:12">
      <c r="K1869" s="56">
        <f t="shared" si="85"/>
        <v>1</v>
      </c>
      <c r="L1869" s="56">
        <f t="shared" si="86"/>
        <v>1900</v>
      </c>
    </row>
    <row r="1870" spans="11:12">
      <c r="K1870" s="56">
        <f t="shared" si="85"/>
        <v>1</v>
      </c>
      <c r="L1870" s="56">
        <f t="shared" si="86"/>
        <v>1900</v>
      </c>
    </row>
    <row r="1871" spans="11:12">
      <c r="K1871" s="56">
        <f t="shared" si="85"/>
        <v>1</v>
      </c>
      <c r="L1871" s="56">
        <f t="shared" si="86"/>
        <v>1900</v>
      </c>
    </row>
    <row r="1872" spans="11:12">
      <c r="K1872" s="56">
        <f t="shared" si="85"/>
        <v>1</v>
      </c>
      <c r="L1872" s="56">
        <f t="shared" si="86"/>
        <v>1900</v>
      </c>
    </row>
    <row r="1873" spans="11:12">
      <c r="K1873" s="56">
        <f t="shared" si="85"/>
        <v>1</v>
      </c>
      <c r="L1873" s="56">
        <f t="shared" si="86"/>
        <v>1900</v>
      </c>
    </row>
    <row r="1874" spans="11:12">
      <c r="K1874" s="56">
        <f t="shared" si="85"/>
        <v>1</v>
      </c>
      <c r="L1874" s="56">
        <f t="shared" si="86"/>
        <v>1900</v>
      </c>
    </row>
    <row r="1875" spans="11:12">
      <c r="K1875" s="56">
        <f t="shared" si="85"/>
        <v>1</v>
      </c>
      <c r="L1875" s="56">
        <f t="shared" si="86"/>
        <v>1900</v>
      </c>
    </row>
    <row r="1876" spans="11:12">
      <c r="K1876" s="56">
        <f t="shared" si="85"/>
        <v>1</v>
      </c>
      <c r="L1876" s="56">
        <f t="shared" si="86"/>
        <v>1900</v>
      </c>
    </row>
    <row r="1877" spans="11:12">
      <c r="K1877" s="56">
        <f t="shared" si="85"/>
        <v>1</v>
      </c>
      <c r="L1877" s="56">
        <f t="shared" si="86"/>
        <v>1900</v>
      </c>
    </row>
    <row r="1878" spans="11:12">
      <c r="K1878" s="56">
        <f t="shared" si="85"/>
        <v>1</v>
      </c>
      <c r="L1878" s="56">
        <f t="shared" si="86"/>
        <v>1900</v>
      </c>
    </row>
    <row r="1879" spans="11:12">
      <c r="K1879" s="56">
        <f t="shared" si="85"/>
        <v>1</v>
      </c>
      <c r="L1879" s="56">
        <f t="shared" si="86"/>
        <v>1900</v>
      </c>
    </row>
    <row r="1880" spans="11:12">
      <c r="K1880" s="56">
        <f t="shared" si="85"/>
        <v>1</v>
      </c>
      <c r="L1880" s="56">
        <f t="shared" si="86"/>
        <v>1900</v>
      </c>
    </row>
    <row r="1881" spans="11:12">
      <c r="K1881" s="56">
        <f t="shared" si="85"/>
        <v>1</v>
      </c>
      <c r="L1881" s="56">
        <f t="shared" si="86"/>
        <v>1900</v>
      </c>
    </row>
    <row r="1882" spans="11:12">
      <c r="K1882" s="56">
        <f t="shared" si="85"/>
        <v>1</v>
      </c>
      <c r="L1882" s="56">
        <f t="shared" si="86"/>
        <v>1900</v>
      </c>
    </row>
    <row r="1883" spans="11:12">
      <c r="K1883" s="56">
        <f t="shared" si="85"/>
        <v>1</v>
      </c>
      <c r="L1883" s="56">
        <f t="shared" si="86"/>
        <v>1900</v>
      </c>
    </row>
    <row r="1884" spans="11:12">
      <c r="K1884" s="56">
        <f t="shared" si="85"/>
        <v>1</v>
      </c>
      <c r="L1884" s="56">
        <f t="shared" si="86"/>
        <v>1900</v>
      </c>
    </row>
    <row r="1885" spans="11:12">
      <c r="K1885" s="56">
        <f t="shared" si="85"/>
        <v>1</v>
      </c>
      <c r="L1885" s="56">
        <f t="shared" si="86"/>
        <v>1900</v>
      </c>
    </row>
    <row r="1886" spans="11:12">
      <c r="K1886" s="56">
        <f t="shared" si="85"/>
        <v>1</v>
      </c>
      <c r="L1886" s="56">
        <f t="shared" si="86"/>
        <v>1900</v>
      </c>
    </row>
    <row r="1887" spans="11:12">
      <c r="K1887" s="56">
        <f t="shared" si="85"/>
        <v>1</v>
      </c>
      <c r="L1887" s="56">
        <f t="shared" si="86"/>
        <v>1900</v>
      </c>
    </row>
    <row r="1888" spans="11:12">
      <c r="K1888" s="56">
        <f t="shared" si="85"/>
        <v>1</v>
      </c>
      <c r="L1888" s="56">
        <f t="shared" si="86"/>
        <v>1900</v>
      </c>
    </row>
    <row r="1889" spans="11:12">
      <c r="K1889" s="56">
        <f t="shared" si="85"/>
        <v>1</v>
      </c>
      <c r="L1889" s="56">
        <f t="shared" si="86"/>
        <v>1900</v>
      </c>
    </row>
    <row r="1890" spans="11:12">
      <c r="K1890" s="56">
        <f t="shared" si="85"/>
        <v>1</v>
      </c>
      <c r="L1890" s="56">
        <f t="shared" si="86"/>
        <v>1900</v>
      </c>
    </row>
    <row r="1891" spans="11:12">
      <c r="K1891" s="56">
        <f t="shared" si="85"/>
        <v>1</v>
      </c>
      <c r="L1891" s="56">
        <f t="shared" si="86"/>
        <v>1900</v>
      </c>
    </row>
    <row r="1892" spans="11:12">
      <c r="K1892" s="56">
        <f t="shared" si="85"/>
        <v>1</v>
      </c>
      <c r="L1892" s="56">
        <f t="shared" si="86"/>
        <v>1900</v>
      </c>
    </row>
    <row r="1893" spans="11:12">
      <c r="K1893" s="56">
        <f t="shared" si="85"/>
        <v>1</v>
      </c>
      <c r="L1893" s="56">
        <f t="shared" si="86"/>
        <v>1900</v>
      </c>
    </row>
    <row r="1894" spans="11:12">
      <c r="K1894" s="56">
        <f t="shared" si="85"/>
        <v>1</v>
      </c>
      <c r="L1894" s="56">
        <f t="shared" si="86"/>
        <v>1900</v>
      </c>
    </row>
    <row r="1895" spans="11:12">
      <c r="K1895" s="56">
        <f t="shared" si="85"/>
        <v>1</v>
      </c>
      <c r="L1895" s="56">
        <f t="shared" si="86"/>
        <v>1900</v>
      </c>
    </row>
    <row r="1896" spans="11:12">
      <c r="K1896" s="56">
        <f t="shared" si="85"/>
        <v>1</v>
      </c>
      <c r="L1896" s="56">
        <f t="shared" si="86"/>
        <v>1900</v>
      </c>
    </row>
    <row r="1897" spans="11:12">
      <c r="K1897" s="56">
        <f t="shared" si="85"/>
        <v>1</v>
      </c>
      <c r="L1897" s="56">
        <f t="shared" si="86"/>
        <v>1900</v>
      </c>
    </row>
    <row r="1898" spans="11:12">
      <c r="K1898" s="56">
        <f t="shared" si="85"/>
        <v>1</v>
      </c>
      <c r="L1898" s="56">
        <f t="shared" si="86"/>
        <v>1900</v>
      </c>
    </row>
    <row r="1899" spans="11:12">
      <c r="K1899" s="56">
        <f t="shared" si="85"/>
        <v>1</v>
      </c>
      <c r="L1899" s="56">
        <f t="shared" si="86"/>
        <v>1900</v>
      </c>
    </row>
    <row r="1900" spans="11:12">
      <c r="K1900" s="56">
        <f t="shared" si="85"/>
        <v>1</v>
      </c>
      <c r="L1900" s="56">
        <f t="shared" si="86"/>
        <v>1900</v>
      </c>
    </row>
    <row r="1901" spans="11:12">
      <c r="K1901" s="56">
        <f t="shared" si="85"/>
        <v>1</v>
      </c>
      <c r="L1901" s="56">
        <f t="shared" si="86"/>
        <v>1900</v>
      </c>
    </row>
    <row r="1902" spans="11:12">
      <c r="K1902" s="56">
        <f t="shared" si="85"/>
        <v>1</v>
      </c>
      <c r="L1902" s="56">
        <f t="shared" si="86"/>
        <v>1900</v>
      </c>
    </row>
    <row r="1903" spans="11:12">
      <c r="K1903" s="56">
        <f t="shared" si="85"/>
        <v>1</v>
      </c>
      <c r="L1903" s="56">
        <f t="shared" si="86"/>
        <v>1900</v>
      </c>
    </row>
    <row r="1904" spans="11:12">
      <c r="K1904" s="56">
        <f t="shared" si="85"/>
        <v>1</v>
      </c>
      <c r="L1904" s="56">
        <f t="shared" si="86"/>
        <v>1900</v>
      </c>
    </row>
    <row r="1905" spans="11:12">
      <c r="K1905" s="56">
        <f t="shared" si="85"/>
        <v>1</v>
      </c>
      <c r="L1905" s="56">
        <f t="shared" si="86"/>
        <v>1900</v>
      </c>
    </row>
    <row r="1906" spans="11:12">
      <c r="K1906" s="56">
        <f t="shared" si="85"/>
        <v>1</v>
      </c>
      <c r="L1906" s="56">
        <f t="shared" si="86"/>
        <v>1900</v>
      </c>
    </row>
    <row r="1907" spans="11:12">
      <c r="K1907" s="56">
        <f t="shared" si="85"/>
        <v>1</v>
      </c>
      <c r="L1907" s="56">
        <f t="shared" si="86"/>
        <v>1900</v>
      </c>
    </row>
    <row r="1908" spans="11:12">
      <c r="K1908" s="56">
        <f t="shared" si="85"/>
        <v>1</v>
      </c>
      <c r="L1908" s="56">
        <f t="shared" si="86"/>
        <v>1900</v>
      </c>
    </row>
    <row r="1909" spans="11:12">
      <c r="K1909" s="56">
        <f t="shared" si="85"/>
        <v>1</v>
      </c>
      <c r="L1909" s="56">
        <f t="shared" si="86"/>
        <v>1900</v>
      </c>
    </row>
    <row r="1910" spans="11:12">
      <c r="K1910" s="56">
        <f t="shared" si="85"/>
        <v>1</v>
      </c>
      <c r="L1910" s="56">
        <f t="shared" si="86"/>
        <v>1900</v>
      </c>
    </row>
    <row r="1911" spans="11:12">
      <c r="K1911" s="56">
        <f t="shared" si="85"/>
        <v>1</v>
      </c>
      <c r="L1911" s="56">
        <f t="shared" si="86"/>
        <v>1900</v>
      </c>
    </row>
    <row r="1912" spans="11:12">
      <c r="K1912" s="56">
        <f t="shared" si="85"/>
        <v>1</v>
      </c>
      <c r="L1912" s="56">
        <f t="shared" si="86"/>
        <v>1900</v>
      </c>
    </row>
    <row r="1913" spans="11:12">
      <c r="K1913" s="56">
        <f t="shared" si="85"/>
        <v>1</v>
      </c>
      <c r="L1913" s="56">
        <f t="shared" si="86"/>
        <v>1900</v>
      </c>
    </row>
    <row r="1914" spans="11:12">
      <c r="K1914" s="56">
        <f t="shared" si="85"/>
        <v>1</v>
      </c>
      <c r="L1914" s="56">
        <f t="shared" si="86"/>
        <v>1900</v>
      </c>
    </row>
    <row r="1915" spans="11:12">
      <c r="K1915" s="56">
        <f t="shared" si="85"/>
        <v>1</v>
      </c>
      <c r="L1915" s="56">
        <f t="shared" si="86"/>
        <v>1900</v>
      </c>
    </row>
    <row r="1916" spans="11:12">
      <c r="K1916" s="56">
        <f t="shared" si="85"/>
        <v>1</v>
      </c>
      <c r="L1916" s="56">
        <f t="shared" si="86"/>
        <v>1900</v>
      </c>
    </row>
    <row r="1917" spans="11:12">
      <c r="K1917" s="56">
        <f t="shared" si="85"/>
        <v>1</v>
      </c>
      <c r="L1917" s="56">
        <f t="shared" si="86"/>
        <v>1900</v>
      </c>
    </row>
    <row r="1918" spans="11:12">
      <c r="K1918" s="56">
        <f t="shared" si="85"/>
        <v>1</v>
      </c>
      <c r="L1918" s="56">
        <f t="shared" si="86"/>
        <v>1900</v>
      </c>
    </row>
    <row r="1919" spans="11:12">
      <c r="K1919" s="56">
        <f t="shared" si="85"/>
        <v>1</v>
      </c>
      <c r="L1919" s="56">
        <f t="shared" si="86"/>
        <v>1900</v>
      </c>
    </row>
    <row r="1920" spans="11:12">
      <c r="K1920" s="56">
        <f t="shared" si="85"/>
        <v>1</v>
      </c>
      <c r="L1920" s="56">
        <f t="shared" si="86"/>
        <v>1900</v>
      </c>
    </row>
    <row r="1921" spans="11:12">
      <c r="K1921" s="56">
        <f t="shared" si="85"/>
        <v>1</v>
      </c>
      <c r="L1921" s="56">
        <f t="shared" si="86"/>
        <v>1900</v>
      </c>
    </row>
    <row r="1922" spans="11:12">
      <c r="K1922" s="56">
        <f t="shared" si="85"/>
        <v>1</v>
      </c>
      <c r="L1922" s="56">
        <f t="shared" si="86"/>
        <v>1900</v>
      </c>
    </row>
    <row r="1923" spans="11:12">
      <c r="K1923" s="56">
        <f t="shared" si="85"/>
        <v>1</v>
      </c>
      <c r="L1923" s="56">
        <f t="shared" si="86"/>
        <v>1900</v>
      </c>
    </row>
    <row r="1924" spans="11:12">
      <c r="K1924" s="56">
        <f t="shared" si="85"/>
        <v>1</v>
      </c>
      <c r="L1924" s="56">
        <f t="shared" si="86"/>
        <v>1900</v>
      </c>
    </row>
    <row r="1925" spans="11:12">
      <c r="K1925" s="56">
        <f t="shared" si="85"/>
        <v>1</v>
      </c>
      <c r="L1925" s="56">
        <f t="shared" si="86"/>
        <v>1900</v>
      </c>
    </row>
    <row r="1926" spans="11:12">
      <c r="K1926" s="56">
        <f t="shared" si="85"/>
        <v>1</v>
      </c>
      <c r="L1926" s="56">
        <f t="shared" si="86"/>
        <v>1900</v>
      </c>
    </row>
    <row r="1927" spans="11:12">
      <c r="K1927" s="56">
        <f t="shared" si="85"/>
        <v>1</v>
      </c>
      <c r="L1927" s="56">
        <f t="shared" si="86"/>
        <v>1900</v>
      </c>
    </row>
    <row r="1928" spans="11:12">
      <c r="K1928" s="56">
        <f t="shared" si="85"/>
        <v>1</v>
      </c>
      <c r="L1928" s="56">
        <f t="shared" si="86"/>
        <v>1900</v>
      </c>
    </row>
    <row r="1929" spans="11:12">
      <c r="K1929" s="56">
        <f t="shared" si="85"/>
        <v>1</v>
      </c>
      <c r="L1929" s="56">
        <f t="shared" si="86"/>
        <v>1900</v>
      </c>
    </row>
    <row r="1930" spans="11:12">
      <c r="K1930" s="56">
        <f t="shared" si="85"/>
        <v>1</v>
      </c>
      <c r="L1930" s="56">
        <f t="shared" si="86"/>
        <v>1900</v>
      </c>
    </row>
    <row r="1931" spans="11:12">
      <c r="K1931" s="56">
        <f t="shared" ref="K1931:K1994" si="87">MONTH(C1931)</f>
        <v>1</v>
      </c>
      <c r="L1931" s="56">
        <f t="shared" ref="L1931:L1994" si="88">YEAR(C1931)</f>
        <v>1900</v>
      </c>
    </row>
    <row r="1932" spans="11:12">
      <c r="K1932" s="56">
        <f t="shared" si="87"/>
        <v>1</v>
      </c>
      <c r="L1932" s="56">
        <f t="shared" si="88"/>
        <v>1900</v>
      </c>
    </row>
    <row r="1933" spans="11:12">
      <c r="K1933" s="56">
        <f t="shared" si="87"/>
        <v>1</v>
      </c>
      <c r="L1933" s="56">
        <f t="shared" si="88"/>
        <v>1900</v>
      </c>
    </row>
    <row r="1934" spans="11:12">
      <c r="K1934" s="56">
        <f t="shared" si="87"/>
        <v>1</v>
      </c>
      <c r="L1934" s="56">
        <f t="shared" si="88"/>
        <v>1900</v>
      </c>
    </row>
    <row r="1935" spans="11:12">
      <c r="K1935" s="56">
        <f t="shared" si="87"/>
        <v>1</v>
      </c>
      <c r="L1935" s="56">
        <f t="shared" si="88"/>
        <v>1900</v>
      </c>
    </row>
    <row r="1936" spans="11:12">
      <c r="K1936" s="56">
        <f t="shared" si="87"/>
        <v>1</v>
      </c>
      <c r="L1936" s="56">
        <f t="shared" si="88"/>
        <v>1900</v>
      </c>
    </row>
    <row r="1937" spans="11:12">
      <c r="K1937" s="56">
        <f t="shared" si="87"/>
        <v>1</v>
      </c>
      <c r="L1937" s="56">
        <f t="shared" si="88"/>
        <v>1900</v>
      </c>
    </row>
    <row r="1938" spans="11:12">
      <c r="K1938" s="56">
        <f t="shared" si="87"/>
        <v>1</v>
      </c>
      <c r="L1938" s="56">
        <f t="shared" si="88"/>
        <v>1900</v>
      </c>
    </row>
    <row r="1939" spans="11:12">
      <c r="K1939" s="56">
        <f t="shared" si="87"/>
        <v>1</v>
      </c>
      <c r="L1939" s="56">
        <f t="shared" si="88"/>
        <v>1900</v>
      </c>
    </row>
    <row r="1940" spans="11:12">
      <c r="K1940" s="56">
        <f t="shared" si="87"/>
        <v>1</v>
      </c>
      <c r="L1940" s="56">
        <f t="shared" si="88"/>
        <v>1900</v>
      </c>
    </row>
    <row r="1941" spans="11:12">
      <c r="K1941" s="56">
        <f t="shared" si="87"/>
        <v>1</v>
      </c>
      <c r="L1941" s="56">
        <f t="shared" si="88"/>
        <v>1900</v>
      </c>
    </row>
    <row r="1942" spans="11:12">
      <c r="K1942" s="56">
        <f t="shared" si="87"/>
        <v>1</v>
      </c>
      <c r="L1942" s="56">
        <f t="shared" si="88"/>
        <v>1900</v>
      </c>
    </row>
    <row r="1943" spans="11:12">
      <c r="K1943" s="56">
        <f t="shared" si="87"/>
        <v>1</v>
      </c>
      <c r="L1943" s="56">
        <f t="shared" si="88"/>
        <v>1900</v>
      </c>
    </row>
    <row r="1944" spans="11:12">
      <c r="K1944" s="56">
        <f t="shared" si="87"/>
        <v>1</v>
      </c>
      <c r="L1944" s="56">
        <f t="shared" si="88"/>
        <v>1900</v>
      </c>
    </row>
    <row r="1945" spans="11:12">
      <c r="K1945" s="56">
        <f t="shared" si="87"/>
        <v>1</v>
      </c>
      <c r="L1945" s="56">
        <f t="shared" si="88"/>
        <v>1900</v>
      </c>
    </row>
    <row r="1946" spans="11:12">
      <c r="K1946" s="56">
        <f t="shared" si="87"/>
        <v>1</v>
      </c>
      <c r="L1946" s="56">
        <f t="shared" si="88"/>
        <v>1900</v>
      </c>
    </row>
    <row r="1947" spans="11:12">
      <c r="K1947" s="56">
        <f t="shared" si="87"/>
        <v>1</v>
      </c>
      <c r="L1947" s="56">
        <f t="shared" si="88"/>
        <v>1900</v>
      </c>
    </row>
    <row r="1948" spans="11:12">
      <c r="K1948" s="56">
        <f t="shared" si="87"/>
        <v>1</v>
      </c>
      <c r="L1948" s="56">
        <f t="shared" si="88"/>
        <v>1900</v>
      </c>
    </row>
    <row r="1949" spans="11:12">
      <c r="K1949" s="56">
        <f t="shared" si="87"/>
        <v>1</v>
      </c>
      <c r="L1949" s="56">
        <f t="shared" si="88"/>
        <v>1900</v>
      </c>
    </row>
    <row r="1950" spans="11:12">
      <c r="K1950" s="56">
        <f t="shared" si="87"/>
        <v>1</v>
      </c>
      <c r="L1950" s="56">
        <f t="shared" si="88"/>
        <v>1900</v>
      </c>
    </row>
    <row r="1951" spans="11:12">
      <c r="K1951" s="56">
        <f t="shared" si="87"/>
        <v>1</v>
      </c>
      <c r="L1951" s="56">
        <f t="shared" si="88"/>
        <v>1900</v>
      </c>
    </row>
    <row r="1952" spans="11:12">
      <c r="K1952" s="56">
        <f t="shared" si="87"/>
        <v>1</v>
      </c>
      <c r="L1952" s="56">
        <f t="shared" si="88"/>
        <v>1900</v>
      </c>
    </row>
    <row r="1953" spans="11:12">
      <c r="K1953" s="56">
        <f t="shared" si="87"/>
        <v>1</v>
      </c>
      <c r="L1953" s="56">
        <f t="shared" si="88"/>
        <v>1900</v>
      </c>
    </row>
    <row r="1954" spans="11:12">
      <c r="K1954" s="56">
        <f t="shared" si="87"/>
        <v>1</v>
      </c>
      <c r="L1954" s="56">
        <f t="shared" si="88"/>
        <v>1900</v>
      </c>
    </row>
    <row r="1955" spans="11:12">
      <c r="K1955" s="56">
        <f t="shared" si="87"/>
        <v>1</v>
      </c>
      <c r="L1955" s="56">
        <f t="shared" si="88"/>
        <v>1900</v>
      </c>
    </row>
    <row r="1956" spans="11:12">
      <c r="K1956" s="56">
        <f t="shared" si="87"/>
        <v>1</v>
      </c>
      <c r="L1956" s="56">
        <f t="shared" si="88"/>
        <v>1900</v>
      </c>
    </row>
    <row r="1957" spans="11:12">
      <c r="K1957" s="56">
        <f t="shared" si="87"/>
        <v>1</v>
      </c>
      <c r="L1957" s="56">
        <f t="shared" si="88"/>
        <v>1900</v>
      </c>
    </row>
    <row r="1958" spans="11:12">
      <c r="K1958" s="56">
        <f t="shared" si="87"/>
        <v>1</v>
      </c>
      <c r="L1958" s="56">
        <f t="shared" si="88"/>
        <v>1900</v>
      </c>
    </row>
    <row r="1959" spans="11:12">
      <c r="K1959" s="56">
        <f t="shared" si="87"/>
        <v>1</v>
      </c>
      <c r="L1959" s="56">
        <f t="shared" si="88"/>
        <v>1900</v>
      </c>
    </row>
    <row r="1960" spans="11:12">
      <c r="K1960" s="56">
        <f t="shared" si="87"/>
        <v>1</v>
      </c>
      <c r="L1960" s="56">
        <f t="shared" si="88"/>
        <v>1900</v>
      </c>
    </row>
    <row r="1961" spans="11:12">
      <c r="K1961" s="56">
        <f t="shared" si="87"/>
        <v>1</v>
      </c>
      <c r="L1961" s="56">
        <f t="shared" si="88"/>
        <v>1900</v>
      </c>
    </row>
    <row r="1962" spans="11:12">
      <c r="K1962" s="56">
        <f t="shared" si="87"/>
        <v>1</v>
      </c>
      <c r="L1962" s="56">
        <f t="shared" si="88"/>
        <v>1900</v>
      </c>
    </row>
    <row r="1963" spans="11:12">
      <c r="K1963" s="56">
        <f t="shared" si="87"/>
        <v>1</v>
      </c>
      <c r="L1963" s="56">
        <f t="shared" si="88"/>
        <v>1900</v>
      </c>
    </row>
    <row r="1964" spans="11:12">
      <c r="K1964" s="56">
        <f t="shared" si="87"/>
        <v>1</v>
      </c>
      <c r="L1964" s="56">
        <f t="shared" si="88"/>
        <v>1900</v>
      </c>
    </row>
    <row r="1965" spans="11:12">
      <c r="K1965" s="56">
        <f t="shared" si="87"/>
        <v>1</v>
      </c>
      <c r="L1965" s="56">
        <f t="shared" si="88"/>
        <v>1900</v>
      </c>
    </row>
    <row r="1966" spans="11:12">
      <c r="K1966" s="56">
        <f t="shared" si="87"/>
        <v>1</v>
      </c>
      <c r="L1966" s="56">
        <f t="shared" si="88"/>
        <v>1900</v>
      </c>
    </row>
    <row r="1967" spans="11:12">
      <c r="K1967" s="56">
        <f t="shared" si="87"/>
        <v>1</v>
      </c>
      <c r="L1967" s="56">
        <f t="shared" si="88"/>
        <v>1900</v>
      </c>
    </row>
    <row r="1968" spans="11:12">
      <c r="K1968" s="56">
        <f t="shared" si="87"/>
        <v>1</v>
      </c>
      <c r="L1968" s="56">
        <f t="shared" si="88"/>
        <v>1900</v>
      </c>
    </row>
    <row r="1969" spans="11:12">
      <c r="K1969" s="56">
        <f t="shared" si="87"/>
        <v>1</v>
      </c>
      <c r="L1969" s="56">
        <f t="shared" si="88"/>
        <v>1900</v>
      </c>
    </row>
    <row r="1970" spans="11:12">
      <c r="K1970" s="56">
        <f t="shared" si="87"/>
        <v>1</v>
      </c>
      <c r="L1970" s="56">
        <f t="shared" si="88"/>
        <v>1900</v>
      </c>
    </row>
    <row r="1971" spans="11:12">
      <c r="K1971" s="56">
        <f t="shared" si="87"/>
        <v>1</v>
      </c>
      <c r="L1971" s="56">
        <f t="shared" si="88"/>
        <v>1900</v>
      </c>
    </row>
    <row r="1972" spans="11:12">
      <c r="K1972" s="56">
        <f t="shared" si="87"/>
        <v>1</v>
      </c>
      <c r="L1972" s="56">
        <f t="shared" si="88"/>
        <v>1900</v>
      </c>
    </row>
    <row r="1973" spans="11:12">
      <c r="K1973" s="56">
        <f t="shared" si="87"/>
        <v>1</v>
      </c>
      <c r="L1973" s="56">
        <f t="shared" si="88"/>
        <v>1900</v>
      </c>
    </row>
    <row r="1974" spans="11:12">
      <c r="K1974" s="56">
        <f t="shared" si="87"/>
        <v>1</v>
      </c>
      <c r="L1974" s="56">
        <f t="shared" si="88"/>
        <v>1900</v>
      </c>
    </row>
    <row r="1975" spans="11:12">
      <c r="K1975" s="56">
        <f t="shared" si="87"/>
        <v>1</v>
      </c>
      <c r="L1975" s="56">
        <f t="shared" si="88"/>
        <v>1900</v>
      </c>
    </row>
    <row r="1976" spans="11:12">
      <c r="K1976" s="56">
        <f t="shared" si="87"/>
        <v>1</v>
      </c>
      <c r="L1976" s="56">
        <f t="shared" si="88"/>
        <v>1900</v>
      </c>
    </row>
    <row r="1977" spans="11:12">
      <c r="K1977" s="56">
        <f t="shared" si="87"/>
        <v>1</v>
      </c>
      <c r="L1977" s="56">
        <f t="shared" si="88"/>
        <v>1900</v>
      </c>
    </row>
    <row r="1978" spans="11:12">
      <c r="K1978" s="56">
        <f t="shared" si="87"/>
        <v>1</v>
      </c>
      <c r="L1978" s="56">
        <f t="shared" si="88"/>
        <v>1900</v>
      </c>
    </row>
    <row r="1979" spans="11:12">
      <c r="K1979" s="56">
        <f t="shared" si="87"/>
        <v>1</v>
      </c>
      <c r="L1979" s="56">
        <f t="shared" si="88"/>
        <v>1900</v>
      </c>
    </row>
    <row r="1980" spans="11:12">
      <c r="K1980" s="56">
        <f t="shared" si="87"/>
        <v>1</v>
      </c>
      <c r="L1980" s="56">
        <f t="shared" si="88"/>
        <v>1900</v>
      </c>
    </row>
    <row r="1981" spans="11:12">
      <c r="K1981" s="56">
        <f t="shared" si="87"/>
        <v>1</v>
      </c>
      <c r="L1981" s="56">
        <f t="shared" si="88"/>
        <v>1900</v>
      </c>
    </row>
    <row r="1982" spans="11:12">
      <c r="K1982" s="56">
        <f t="shared" si="87"/>
        <v>1</v>
      </c>
      <c r="L1982" s="56">
        <f t="shared" si="88"/>
        <v>1900</v>
      </c>
    </row>
    <row r="1983" spans="11:12">
      <c r="K1983" s="56">
        <f t="shared" si="87"/>
        <v>1</v>
      </c>
      <c r="L1983" s="56">
        <f t="shared" si="88"/>
        <v>1900</v>
      </c>
    </row>
    <row r="1984" spans="11:12">
      <c r="K1984" s="56">
        <f t="shared" si="87"/>
        <v>1</v>
      </c>
      <c r="L1984" s="56">
        <f t="shared" si="88"/>
        <v>1900</v>
      </c>
    </row>
    <row r="1985" spans="11:12">
      <c r="K1985" s="56">
        <f t="shared" si="87"/>
        <v>1</v>
      </c>
      <c r="L1985" s="56">
        <f t="shared" si="88"/>
        <v>1900</v>
      </c>
    </row>
    <row r="1986" spans="11:12">
      <c r="K1986" s="56">
        <f t="shared" si="87"/>
        <v>1</v>
      </c>
      <c r="L1986" s="56">
        <f t="shared" si="88"/>
        <v>1900</v>
      </c>
    </row>
    <row r="1987" spans="11:12">
      <c r="K1987" s="56">
        <f t="shared" si="87"/>
        <v>1</v>
      </c>
      <c r="L1987" s="56">
        <f t="shared" si="88"/>
        <v>1900</v>
      </c>
    </row>
    <row r="1988" spans="11:12">
      <c r="K1988" s="56">
        <f t="shared" si="87"/>
        <v>1</v>
      </c>
      <c r="L1988" s="56">
        <f t="shared" si="88"/>
        <v>1900</v>
      </c>
    </row>
    <row r="1989" spans="11:12">
      <c r="K1989" s="56">
        <f t="shared" si="87"/>
        <v>1</v>
      </c>
      <c r="L1989" s="56">
        <f t="shared" si="88"/>
        <v>1900</v>
      </c>
    </row>
    <row r="1990" spans="11:12">
      <c r="K1990" s="56">
        <f t="shared" si="87"/>
        <v>1</v>
      </c>
      <c r="L1990" s="56">
        <f t="shared" si="88"/>
        <v>1900</v>
      </c>
    </row>
    <row r="1991" spans="11:12">
      <c r="K1991" s="56">
        <f t="shared" si="87"/>
        <v>1</v>
      </c>
      <c r="L1991" s="56">
        <f t="shared" si="88"/>
        <v>1900</v>
      </c>
    </row>
    <row r="1992" spans="11:12">
      <c r="K1992" s="56">
        <f t="shared" si="87"/>
        <v>1</v>
      </c>
      <c r="L1992" s="56">
        <f t="shared" si="88"/>
        <v>1900</v>
      </c>
    </row>
    <row r="1993" spans="11:12">
      <c r="K1993" s="56">
        <f t="shared" si="87"/>
        <v>1</v>
      </c>
      <c r="L1993" s="56">
        <f t="shared" si="88"/>
        <v>1900</v>
      </c>
    </row>
    <row r="1994" spans="11:12">
      <c r="K1994" s="56">
        <f t="shared" si="87"/>
        <v>1</v>
      </c>
      <c r="L1994" s="56">
        <f t="shared" si="88"/>
        <v>1900</v>
      </c>
    </row>
    <row r="1995" spans="11:12">
      <c r="K1995" s="56">
        <f t="shared" ref="K1995:K2058" si="89">MONTH(C1995)</f>
        <v>1</v>
      </c>
      <c r="L1995" s="56">
        <f t="shared" ref="L1995:L2058" si="90">YEAR(C1995)</f>
        <v>1900</v>
      </c>
    </row>
    <row r="1996" spans="11:12">
      <c r="K1996" s="56">
        <f t="shared" si="89"/>
        <v>1</v>
      </c>
      <c r="L1996" s="56">
        <f t="shared" si="90"/>
        <v>1900</v>
      </c>
    </row>
    <row r="1997" spans="11:12">
      <c r="K1997" s="56">
        <f t="shared" si="89"/>
        <v>1</v>
      </c>
      <c r="L1997" s="56">
        <f t="shared" si="90"/>
        <v>1900</v>
      </c>
    </row>
    <row r="1998" spans="11:12">
      <c r="K1998" s="56">
        <f t="shared" si="89"/>
        <v>1</v>
      </c>
      <c r="L1998" s="56">
        <f t="shared" si="90"/>
        <v>1900</v>
      </c>
    </row>
    <row r="1999" spans="11:12">
      <c r="K1999" s="56">
        <f t="shared" si="89"/>
        <v>1</v>
      </c>
      <c r="L1999" s="56">
        <f t="shared" si="90"/>
        <v>1900</v>
      </c>
    </row>
    <row r="2000" spans="11:12">
      <c r="K2000" s="56">
        <f t="shared" si="89"/>
        <v>1</v>
      </c>
      <c r="L2000" s="56">
        <f t="shared" si="90"/>
        <v>1900</v>
      </c>
    </row>
    <row r="2001" spans="11:12">
      <c r="K2001" s="56">
        <f t="shared" si="89"/>
        <v>1</v>
      </c>
      <c r="L2001" s="56">
        <f t="shared" si="90"/>
        <v>1900</v>
      </c>
    </row>
    <row r="2002" spans="11:12">
      <c r="K2002" s="56">
        <f t="shared" si="89"/>
        <v>1</v>
      </c>
      <c r="L2002" s="56">
        <f t="shared" si="90"/>
        <v>1900</v>
      </c>
    </row>
    <row r="2003" spans="11:12">
      <c r="K2003" s="56">
        <f t="shared" si="89"/>
        <v>1</v>
      </c>
      <c r="L2003" s="56">
        <f t="shared" si="90"/>
        <v>1900</v>
      </c>
    </row>
    <row r="2004" spans="11:12">
      <c r="K2004" s="56">
        <f t="shared" si="89"/>
        <v>1</v>
      </c>
      <c r="L2004" s="56">
        <f t="shared" si="90"/>
        <v>1900</v>
      </c>
    </row>
    <row r="2005" spans="11:12">
      <c r="K2005" s="56">
        <f t="shared" si="89"/>
        <v>1</v>
      </c>
      <c r="L2005" s="56">
        <f t="shared" si="90"/>
        <v>1900</v>
      </c>
    </row>
    <row r="2006" spans="11:12">
      <c r="K2006" s="56">
        <f t="shared" si="89"/>
        <v>1</v>
      </c>
      <c r="L2006" s="56">
        <f t="shared" si="90"/>
        <v>1900</v>
      </c>
    </row>
    <row r="2007" spans="11:12">
      <c r="K2007" s="56">
        <f t="shared" si="89"/>
        <v>1</v>
      </c>
      <c r="L2007" s="56">
        <f t="shared" si="90"/>
        <v>1900</v>
      </c>
    </row>
    <row r="2008" spans="11:12">
      <c r="K2008" s="56">
        <f t="shared" si="89"/>
        <v>1</v>
      </c>
      <c r="L2008" s="56">
        <f t="shared" si="90"/>
        <v>1900</v>
      </c>
    </row>
    <row r="2009" spans="11:12">
      <c r="K2009" s="56">
        <f t="shared" si="89"/>
        <v>1</v>
      </c>
      <c r="L2009" s="56">
        <f t="shared" si="90"/>
        <v>1900</v>
      </c>
    </row>
    <row r="2010" spans="11:12">
      <c r="K2010" s="56">
        <f t="shared" si="89"/>
        <v>1</v>
      </c>
      <c r="L2010" s="56">
        <f t="shared" si="90"/>
        <v>1900</v>
      </c>
    </row>
    <row r="2011" spans="11:12">
      <c r="K2011" s="56">
        <f t="shared" si="89"/>
        <v>1</v>
      </c>
      <c r="L2011" s="56">
        <f t="shared" si="90"/>
        <v>1900</v>
      </c>
    </row>
    <row r="2012" spans="11:12">
      <c r="K2012" s="56">
        <f t="shared" si="89"/>
        <v>1</v>
      </c>
      <c r="L2012" s="56">
        <f t="shared" si="90"/>
        <v>1900</v>
      </c>
    </row>
    <row r="2013" spans="11:12">
      <c r="K2013" s="56">
        <f t="shared" si="89"/>
        <v>1</v>
      </c>
      <c r="L2013" s="56">
        <f t="shared" si="90"/>
        <v>1900</v>
      </c>
    </row>
    <row r="2014" spans="11:12">
      <c r="K2014" s="56">
        <f t="shared" si="89"/>
        <v>1</v>
      </c>
      <c r="L2014" s="56">
        <f t="shared" si="90"/>
        <v>1900</v>
      </c>
    </row>
    <row r="2015" spans="11:12">
      <c r="K2015" s="56">
        <f t="shared" si="89"/>
        <v>1</v>
      </c>
      <c r="L2015" s="56">
        <f t="shared" si="90"/>
        <v>1900</v>
      </c>
    </row>
    <row r="2016" spans="11:12">
      <c r="K2016" s="56">
        <f t="shared" si="89"/>
        <v>1</v>
      </c>
      <c r="L2016" s="56">
        <f t="shared" si="90"/>
        <v>1900</v>
      </c>
    </row>
    <row r="2017" spans="11:12">
      <c r="K2017" s="56">
        <f t="shared" si="89"/>
        <v>1</v>
      </c>
      <c r="L2017" s="56">
        <f t="shared" si="90"/>
        <v>1900</v>
      </c>
    </row>
    <row r="2018" spans="11:12">
      <c r="K2018" s="56">
        <f t="shared" si="89"/>
        <v>1</v>
      </c>
      <c r="L2018" s="56">
        <f t="shared" si="90"/>
        <v>1900</v>
      </c>
    </row>
    <row r="2019" spans="11:12">
      <c r="K2019" s="56">
        <f t="shared" si="89"/>
        <v>1</v>
      </c>
      <c r="L2019" s="56">
        <f t="shared" si="90"/>
        <v>1900</v>
      </c>
    </row>
    <row r="2020" spans="11:12">
      <c r="K2020" s="56">
        <f t="shared" si="89"/>
        <v>1</v>
      </c>
      <c r="L2020" s="56">
        <f t="shared" si="90"/>
        <v>1900</v>
      </c>
    </row>
    <row r="2021" spans="11:12">
      <c r="K2021" s="56">
        <f t="shared" si="89"/>
        <v>1</v>
      </c>
      <c r="L2021" s="56">
        <f t="shared" si="90"/>
        <v>1900</v>
      </c>
    </row>
    <row r="2022" spans="11:12">
      <c r="K2022" s="56">
        <f t="shared" si="89"/>
        <v>1</v>
      </c>
      <c r="L2022" s="56">
        <f t="shared" si="90"/>
        <v>1900</v>
      </c>
    </row>
    <row r="2023" spans="11:12">
      <c r="K2023" s="56">
        <f t="shared" si="89"/>
        <v>1</v>
      </c>
      <c r="L2023" s="56">
        <f t="shared" si="90"/>
        <v>1900</v>
      </c>
    </row>
    <row r="2024" spans="11:12">
      <c r="K2024" s="56">
        <f t="shared" si="89"/>
        <v>1</v>
      </c>
      <c r="L2024" s="56">
        <f t="shared" si="90"/>
        <v>1900</v>
      </c>
    </row>
    <row r="2025" spans="11:12">
      <c r="K2025" s="56">
        <f t="shared" si="89"/>
        <v>1</v>
      </c>
      <c r="L2025" s="56">
        <f t="shared" si="90"/>
        <v>1900</v>
      </c>
    </row>
    <row r="2026" spans="11:12">
      <c r="K2026" s="56">
        <f t="shared" si="89"/>
        <v>1</v>
      </c>
      <c r="L2026" s="56">
        <f t="shared" si="90"/>
        <v>1900</v>
      </c>
    </row>
    <row r="2027" spans="11:12">
      <c r="K2027" s="56">
        <f t="shared" si="89"/>
        <v>1</v>
      </c>
      <c r="L2027" s="56">
        <f t="shared" si="90"/>
        <v>1900</v>
      </c>
    </row>
    <row r="2028" spans="11:12">
      <c r="K2028" s="56">
        <f t="shared" si="89"/>
        <v>1</v>
      </c>
      <c r="L2028" s="56">
        <f t="shared" si="90"/>
        <v>1900</v>
      </c>
    </row>
    <row r="2029" spans="11:12">
      <c r="K2029" s="56">
        <f t="shared" si="89"/>
        <v>1</v>
      </c>
      <c r="L2029" s="56">
        <f t="shared" si="90"/>
        <v>1900</v>
      </c>
    </row>
    <row r="2030" spans="11:12">
      <c r="K2030" s="56">
        <f t="shared" si="89"/>
        <v>1</v>
      </c>
      <c r="L2030" s="56">
        <f t="shared" si="90"/>
        <v>1900</v>
      </c>
    </row>
    <row r="2031" spans="11:12">
      <c r="K2031" s="56">
        <f t="shared" si="89"/>
        <v>1</v>
      </c>
      <c r="L2031" s="56">
        <f t="shared" si="90"/>
        <v>1900</v>
      </c>
    </row>
    <row r="2032" spans="11:12">
      <c r="K2032" s="56">
        <f t="shared" si="89"/>
        <v>1</v>
      </c>
      <c r="L2032" s="56">
        <f t="shared" si="90"/>
        <v>1900</v>
      </c>
    </row>
    <row r="2033" spans="11:12">
      <c r="K2033" s="56">
        <f t="shared" si="89"/>
        <v>1</v>
      </c>
      <c r="L2033" s="56">
        <f t="shared" si="90"/>
        <v>1900</v>
      </c>
    </row>
    <row r="2034" spans="11:12">
      <c r="K2034" s="56">
        <f t="shared" si="89"/>
        <v>1</v>
      </c>
      <c r="L2034" s="56">
        <f t="shared" si="90"/>
        <v>1900</v>
      </c>
    </row>
    <row r="2035" spans="11:12">
      <c r="K2035" s="56">
        <f t="shared" si="89"/>
        <v>1</v>
      </c>
      <c r="L2035" s="56">
        <f t="shared" si="90"/>
        <v>1900</v>
      </c>
    </row>
    <row r="2036" spans="11:12">
      <c r="K2036" s="56">
        <f t="shared" si="89"/>
        <v>1</v>
      </c>
      <c r="L2036" s="56">
        <f t="shared" si="90"/>
        <v>1900</v>
      </c>
    </row>
    <row r="2037" spans="11:12">
      <c r="K2037" s="56">
        <f t="shared" si="89"/>
        <v>1</v>
      </c>
      <c r="L2037" s="56">
        <f t="shared" si="90"/>
        <v>1900</v>
      </c>
    </row>
    <row r="2038" spans="11:12">
      <c r="K2038" s="56">
        <f t="shared" si="89"/>
        <v>1</v>
      </c>
      <c r="L2038" s="56">
        <f t="shared" si="90"/>
        <v>1900</v>
      </c>
    </row>
    <row r="2039" spans="11:12">
      <c r="K2039" s="56">
        <f t="shared" si="89"/>
        <v>1</v>
      </c>
      <c r="L2039" s="56">
        <f t="shared" si="90"/>
        <v>1900</v>
      </c>
    </row>
    <row r="2040" spans="11:12">
      <c r="K2040" s="56">
        <f t="shared" si="89"/>
        <v>1</v>
      </c>
      <c r="L2040" s="56">
        <f t="shared" si="90"/>
        <v>1900</v>
      </c>
    </row>
    <row r="2041" spans="11:12">
      <c r="K2041" s="56">
        <f t="shared" si="89"/>
        <v>1</v>
      </c>
      <c r="L2041" s="56">
        <f t="shared" si="90"/>
        <v>1900</v>
      </c>
    </row>
    <row r="2042" spans="11:12">
      <c r="K2042" s="56">
        <f t="shared" si="89"/>
        <v>1</v>
      </c>
      <c r="L2042" s="56">
        <f t="shared" si="90"/>
        <v>1900</v>
      </c>
    </row>
    <row r="2043" spans="11:12">
      <c r="K2043" s="56">
        <f t="shared" si="89"/>
        <v>1</v>
      </c>
      <c r="L2043" s="56">
        <f t="shared" si="90"/>
        <v>1900</v>
      </c>
    </row>
    <row r="2044" spans="11:12">
      <c r="K2044" s="56">
        <f t="shared" si="89"/>
        <v>1</v>
      </c>
      <c r="L2044" s="56">
        <f t="shared" si="90"/>
        <v>1900</v>
      </c>
    </row>
    <row r="2045" spans="11:12">
      <c r="K2045" s="56">
        <f t="shared" si="89"/>
        <v>1</v>
      </c>
      <c r="L2045" s="56">
        <f t="shared" si="90"/>
        <v>1900</v>
      </c>
    </row>
    <row r="2046" spans="11:12">
      <c r="K2046" s="56">
        <f t="shared" si="89"/>
        <v>1</v>
      </c>
      <c r="L2046" s="56">
        <f t="shared" si="90"/>
        <v>1900</v>
      </c>
    </row>
    <row r="2047" spans="11:12">
      <c r="K2047" s="56">
        <f t="shared" si="89"/>
        <v>1</v>
      </c>
      <c r="L2047" s="56">
        <f t="shared" si="90"/>
        <v>1900</v>
      </c>
    </row>
    <row r="2048" spans="11:12">
      <c r="K2048" s="56">
        <f t="shared" si="89"/>
        <v>1</v>
      </c>
      <c r="L2048" s="56">
        <f t="shared" si="90"/>
        <v>1900</v>
      </c>
    </row>
    <row r="2049" spans="11:12">
      <c r="K2049" s="56">
        <f t="shared" si="89"/>
        <v>1</v>
      </c>
      <c r="L2049" s="56">
        <f t="shared" si="90"/>
        <v>1900</v>
      </c>
    </row>
    <row r="2050" spans="11:12">
      <c r="K2050" s="56">
        <f t="shared" si="89"/>
        <v>1</v>
      </c>
      <c r="L2050" s="56">
        <f t="shared" si="90"/>
        <v>1900</v>
      </c>
    </row>
    <row r="2051" spans="11:12">
      <c r="K2051" s="56">
        <f t="shared" si="89"/>
        <v>1</v>
      </c>
      <c r="L2051" s="56">
        <f t="shared" si="90"/>
        <v>1900</v>
      </c>
    </row>
    <row r="2052" spans="11:12">
      <c r="K2052" s="56">
        <f t="shared" si="89"/>
        <v>1</v>
      </c>
      <c r="L2052" s="56">
        <f t="shared" si="90"/>
        <v>1900</v>
      </c>
    </row>
    <row r="2053" spans="11:12">
      <c r="K2053" s="56">
        <f t="shared" si="89"/>
        <v>1</v>
      </c>
      <c r="L2053" s="56">
        <f t="shared" si="90"/>
        <v>1900</v>
      </c>
    </row>
    <row r="2054" spans="11:12">
      <c r="K2054" s="56">
        <f t="shared" si="89"/>
        <v>1</v>
      </c>
      <c r="L2054" s="56">
        <f t="shared" si="90"/>
        <v>1900</v>
      </c>
    </row>
    <row r="2055" spans="11:12">
      <c r="K2055" s="56">
        <f t="shared" si="89"/>
        <v>1</v>
      </c>
      <c r="L2055" s="56">
        <f t="shared" si="90"/>
        <v>1900</v>
      </c>
    </row>
    <row r="2056" spans="11:12">
      <c r="K2056" s="56">
        <f t="shared" si="89"/>
        <v>1</v>
      </c>
      <c r="L2056" s="56">
        <f t="shared" si="90"/>
        <v>1900</v>
      </c>
    </row>
    <row r="2057" spans="11:12">
      <c r="K2057" s="56">
        <f t="shared" si="89"/>
        <v>1</v>
      </c>
      <c r="L2057" s="56">
        <f t="shared" si="90"/>
        <v>1900</v>
      </c>
    </row>
    <row r="2058" spans="11:12">
      <c r="K2058" s="56">
        <f t="shared" si="89"/>
        <v>1</v>
      </c>
      <c r="L2058" s="56">
        <f t="shared" si="90"/>
        <v>1900</v>
      </c>
    </row>
    <row r="2059" spans="11:12">
      <c r="K2059" s="56">
        <f t="shared" ref="K2059:K2122" si="91">MONTH(C2059)</f>
        <v>1</v>
      </c>
      <c r="L2059" s="56">
        <f t="shared" ref="L2059:L2122" si="92">YEAR(C2059)</f>
        <v>1900</v>
      </c>
    </row>
    <row r="2060" spans="11:12">
      <c r="K2060" s="56">
        <f t="shared" si="91"/>
        <v>1</v>
      </c>
      <c r="L2060" s="56">
        <f t="shared" si="92"/>
        <v>1900</v>
      </c>
    </row>
    <row r="2061" spans="11:12">
      <c r="K2061" s="56">
        <f t="shared" si="91"/>
        <v>1</v>
      </c>
      <c r="L2061" s="56">
        <f t="shared" si="92"/>
        <v>1900</v>
      </c>
    </row>
    <row r="2062" spans="11:12">
      <c r="K2062" s="56">
        <f t="shared" si="91"/>
        <v>1</v>
      </c>
      <c r="L2062" s="56">
        <f t="shared" si="92"/>
        <v>1900</v>
      </c>
    </row>
    <row r="2063" spans="11:12">
      <c r="K2063" s="56">
        <f t="shared" si="91"/>
        <v>1</v>
      </c>
      <c r="L2063" s="56">
        <f t="shared" si="92"/>
        <v>1900</v>
      </c>
    </row>
    <row r="2064" spans="11:12">
      <c r="K2064" s="56">
        <f t="shared" si="91"/>
        <v>1</v>
      </c>
      <c r="L2064" s="56">
        <f t="shared" si="92"/>
        <v>1900</v>
      </c>
    </row>
    <row r="2065" spans="11:12">
      <c r="K2065" s="56">
        <f t="shared" si="91"/>
        <v>1</v>
      </c>
      <c r="L2065" s="56">
        <f t="shared" si="92"/>
        <v>1900</v>
      </c>
    </row>
    <row r="2066" spans="11:12">
      <c r="K2066" s="56">
        <f t="shared" si="91"/>
        <v>1</v>
      </c>
      <c r="L2066" s="56">
        <f t="shared" si="92"/>
        <v>1900</v>
      </c>
    </row>
    <row r="2067" spans="11:12">
      <c r="K2067" s="56">
        <f t="shared" si="91"/>
        <v>1</v>
      </c>
      <c r="L2067" s="56">
        <f t="shared" si="92"/>
        <v>1900</v>
      </c>
    </row>
    <row r="2068" spans="11:12">
      <c r="K2068" s="56">
        <f t="shared" si="91"/>
        <v>1</v>
      </c>
      <c r="L2068" s="56">
        <f t="shared" si="92"/>
        <v>1900</v>
      </c>
    </row>
    <row r="2069" spans="11:12">
      <c r="K2069" s="56">
        <f t="shared" si="91"/>
        <v>1</v>
      </c>
      <c r="L2069" s="56">
        <f t="shared" si="92"/>
        <v>1900</v>
      </c>
    </row>
    <row r="2070" spans="11:12">
      <c r="K2070" s="56">
        <f t="shared" si="91"/>
        <v>1</v>
      </c>
      <c r="L2070" s="56">
        <f t="shared" si="92"/>
        <v>1900</v>
      </c>
    </row>
    <row r="2071" spans="11:12">
      <c r="K2071" s="56">
        <f t="shared" si="91"/>
        <v>1</v>
      </c>
      <c r="L2071" s="56">
        <f t="shared" si="92"/>
        <v>1900</v>
      </c>
    </row>
    <row r="2072" spans="11:12">
      <c r="K2072" s="56">
        <f t="shared" si="91"/>
        <v>1</v>
      </c>
      <c r="L2072" s="56">
        <f t="shared" si="92"/>
        <v>1900</v>
      </c>
    </row>
    <row r="2073" spans="11:12">
      <c r="K2073" s="56">
        <f t="shared" si="91"/>
        <v>1</v>
      </c>
      <c r="L2073" s="56">
        <f t="shared" si="92"/>
        <v>1900</v>
      </c>
    </row>
    <row r="2074" spans="11:12">
      <c r="K2074" s="56">
        <f t="shared" si="91"/>
        <v>1</v>
      </c>
      <c r="L2074" s="56">
        <f t="shared" si="92"/>
        <v>1900</v>
      </c>
    </row>
    <row r="2075" spans="11:12">
      <c r="K2075" s="56">
        <f t="shared" si="91"/>
        <v>1</v>
      </c>
      <c r="L2075" s="56">
        <f t="shared" si="92"/>
        <v>1900</v>
      </c>
    </row>
    <row r="2076" spans="11:12">
      <c r="K2076" s="56">
        <f t="shared" si="91"/>
        <v>1</v>
      </c>
      <c r="L2076" s="56">
        <f t="shared" si="92"/>
        <v>1900</v>
      </c>
    </row>
    <row r="2077" spans="11:12">
      <c r="K2077" s="56">
        <f t="shared" si="91"/>
        <v>1</v>
      </c>
      <c r="L2077" s="56">
        <f t="shared" si="92"/>
        <v>1900</v>
      </c>
    </row>
    <row r="2078" spans="11:12">
      <c r="K2078" s="56">
        <f t="shared" si="91"/>
        <v>1</v>
      </c>
      <c r="L2078" s="56">
        <f t="shared" si="92"/>
        <v>1900</v>
      </c>
    </row>
    <row r="2079" spans="11:12">
      <c r="K2079" s="56">
        <f t="shared" si="91"/>
        <v>1</v>
      </c>
      <c r="L2079" s="56">
        <f t="shared" si="92"/>
        <v>1900</v>
      </c>
    </row>
    <row r="2080" spans="11:12">
      <c r="K2080" s="56">
        <f t="shared" si="91"/>
        <v>1</v>
      </c>
      <c r="L2080" s="56">
        <f t="shared" si="92"/>
        <v>1900</v>
      </c>
    </row>
    <row r="2081" spans="11:12">
      <c r="K2081" s="56">
        <f t="shared" si="91"/>
        <v>1</v>
      </c>
      <c r="L2081" s="56">
        <f t="shared" si="92"/>
        <v>1900</v>
      </c>
    </row>
    <row r="2082" spans="11:12">
      <c r="K2082" s="56">
        <f t="shared" si="91"/>
        <v>1</v>
      </c>
      <c r="L2082" s="56">
        <f t="shared" si="92"/>
        <v>1900</v>
      </c>
    </row>
    <row r="2083" spans="11:12">
      <c r="K2083" s="56">
        <f t="shared" si="91"/>
        <v>1</v>
      </c>
      <c r="L2083" s="56">
        <f t="shared" si="92"/>
        <v>1900</v>
      </c>
    </row>
    <row r="2084" spans="11:12">
      <c r="K2084" s="56">
        <f t="shared" si="91"/>
        <v>1</v>
      </c>
      <c r="L2084" s="56">
        <f t="shared" si="92"/>
        <v>1900</v>
      </c>
    </row>
    <row r="2085" spans="11:12">
      <c r="K2085" s="56">
        <f t="shared" si="91"/>
        <v>1</v>
      </c>
      <c r="L2085" s="56">
        <f t="shared" si="92"/>
        <v>1900</v>
      </c>
    </row>
    <row r="2086" spans="11:12">
      <c r="K2086" s="56">
        <f t="shared" si="91"/>
        <v>1</v>
      </c>
      <c r="L2086" s="56">
        <f t="shared" si="92"/>
        <v>1900</v>
      </c>
    </row>
    <row r="2087" spans="11:12">
      <c r="K2087" s="56">
        <f t="shared" si="91"/>
        <v>1</v>
      </c>
      <c r="L2087" s="56">
        <f t="shared" si="92"/>
        <v>1900</v>
      </c>
    </row>
    <row r="2088" spans="11:12">
      <c r="K2088" s="56">
        <f t="shared" si="91"/>
        <v>1</v>
      </c>
      <c r="L2088" s="56">
        <f t="shared" si="92"/>
        <v>1900</v>
      </c>
    </row>
    <row r="2089" spans="11:12">
      <c r="K2089" s="56">
        <f t="shared" si="91"/>
        <v>1</v>
      </c>
      <c r="L2089" s="56">
        <f t="shared" si="92"/>
        <v>1900</v>
      </c>
    </row>
    <row r="2090" spans="11:12">
      <c r="K2090" s="56">
        <f t="shared" si="91"/>
        <v>1</v>
      </c>
      <c r="L2090" s="56">
        <f t="shared" si="92"/>
        <v>1900</v>
      </c>
    </row>
    <row r="2091" spans="11:12">
      <c r="K2091" s="56">
        <f t="shared" si="91"/>
        <v>1</v>
      </c>
      <c r="L2091" s="56">
        <f t="shared" si="92"/>
        <v>1900</v>
      </c>
    </row>
    <row r="2092" spans="11:12">
      <c r="K2092" s="56">
        <f t="shared" si="91"/>
        <v>1</v>
      </c>
      <c r="L2092" s="56">
        <f t="shared" si="92"/>
        <v>1900</v>
      </c>
    </row>
    <row r="2093" spans="11:12">
      <c r="K2093" s="56">
        <f t="shared" si="91"/>
        <v>1</v>
      </c>
      <c r="L2093" s="56">
        <f t="shared" si="92"/>
        <v>1900</v>
      </c>
    </row>
    <row r="2094" spans="11:12">
      <c r="K2094" s="56">
        <f t="shared" si="91"/>
        <v>1</v>
      </c>
      <c r="L2094" s="56">
        <f t="shared" si="92"/>
        <v>1900</v>
      </c>
    </row>
    <row r="2095" spans="11:12">
      <c r="K2095" s="56">
        <f t="shared" si="91"/>
        <v>1</v>
      </c>
      <c r="L2095" s="56">
        <f t="shared" si="92"/>
        <v>1900</v>
      </c>
    </row>
    <row r="2096" spans="11:12">
      <c r="K2096" s="56">
        <f t="shared" si="91"/>
        <v>1</v>
      </c>
      <c r="L2096" s="56">
        <f t="shared" si="92"/>
        <v>1900</v>
      </c>
    </row>
    <row r="2097" spans="11:12">
      <c r="K2097" s="56">
        <f t="shared" si="91"/>
        <v>1</v>
      </c>
      <c r="L2097" s="56">
        <f t="shared" si="92"/>
        <v>1900</v>
      </c>
    </row>
    <row r="2098" spans="11:12">
      <c r="K2098" s="56">
        <f t="shared" si="91"/>
        <v>1</v>
      </c>
      <c r="L2098" s="56">
        <f t="shared" si="92"/>
        <v>1900</v>
      </c>
    </row>
    <row r="2099" spans="11:12">
      <c r="K2099" s="56">
        <f t="shared" si="91"/>
        <v>1</v>
      </c>
      <c r="L2099" s="56">
        <f t="shared" si="92"/>
        <v>1900</v>
      </c>
    </row>
    <row r="2100" spans="11:12">
      <c r="K2100" s="56">
        <f t="shared" si="91"/>
        <v>1</v>
      </c>
      <c r="L2100" s="56">
        <f t="shared" si="92"/>
        <v>1900</v>
      </c>
    </row>
    <row r="2101" spans="11:12">
      <c r="K2101" s="56">
        <f t="shared" si="91"/>
        <v>1</v>
      </c>
      <c r="L2101" s="56">
        <f t="shared" si="92"/>
        <v>1900</v>
      </c>
    </row>
    <row r="2102" spans="11:12">
      <c r="K2102" s="56">
        <f t="shared" si="91"/>
        <v>1</v>
      </c>
      <c r="L2102" s="56">
        <f t="shared" si="92"/>
        <v>1900</v>
      </c>
    </row>
    <row r="2103" spans="11:12">
      <c r="K2103" s="56">
        <f t="shared" si="91"/>
        <v>1</v>
      </c>
      <c r="L2103" s="56">
        <f t="shared" si="92"/>
        <v>1900</v>
      </c>
    </row>
    <row r="2104" spans="11:12">
      <c r="K2104" s="56">
        <f t="shared" si="91"/>
        <v>1</v>
      </c>
      <c r="L2104" s="56">
        <f t="shared" si="92"/>
        <v>1900</v>
      </c>
    </row>
    <row r="2105" spans="11:12">
      <c r="K2105" s="56">
        <f t="shared" si="91"/>
        <v>1</v>
      </c>
      <c r="L2105" s="56">
        <f t="shared" si="92"/>
        <v>1900</v>
      </c>
    </row>
    <row r="2106" spans="11:12">
      <c r="K2106" s="56">
        <f t="shared" si="91"/>
        <v>1</v>
      </c>
      <c r="L2106" s="56">
        <f t="shared" si="92"/>
        <v>1900</v>
      </c>
    </row>
    <row r="2107" spans="11:12">
      <c r="K2107" s="56">
        <f t="shared" si="91"/>
        <v>1</v>
      </c>
      <c r="L2107" s="56">
        <f t="shared" si="92"/>
        <v>1900</v>
      </c>
    </row>
    <row r="2108" spans="11:12">
      <c r="K2108" s="56">
        <f t="shared" si="91"/>
        <v>1</v>
      </c>
      <c r="L2108" s="56">
        <f t="shared" si="92"/>
        <v>1900</v>
      </c>
    </row>
    <row r="2109" spans="11:12">
      <c r="K2109" s="56">
        <f t="shared" si="91"/>
        <v>1</v>
      </c>
      <c r="L2109" s="56">
        <f t="shared" si="92"/>
        <v>1900</v>
      </c>
    </row>
    <row r="2110" spans="11:12">
      <c r="K2110" s="56">
        <f t="shared" si="91"/>
        <v>1</v>
      </c>
      <c r="L2110" s="56">
        <f t="shared" si="92"/>
        <v>1900</v>
      </c>
    </row>
    <row r="2111" spans="11:12">
      <c r="K2111" s="56">
        <f t="shared" si="91"/>
        <v>1</v>
      </c>
      <c r="L2111" s="56">
        <f t="shared" si="92"/>
        <v>1900</v>
      </c>
    </row>
    <row r="2112" spans="11:12">
      <c r="K2112" s="56">
        <f t="shared" si="91"/>
        <v>1</v>
      </c>
      <c r="L2112" s="56">
        <f t="shared" si="92"/>
        <v>1900</v>
      </c>
    </row>
    <row r="2113" spans="11:12">
      <c r="K2113" s="56">
        <f t="shared" si="91"/>
        <v>1</v>
      </c>
      <c r="L2113" s="56">
        <f t="shared" si="92"/>
        <v>1900</v>
      </c>
    </row>
    <row r="2114" spans="11:12">
      <c r="K2114" s="56">
        <f t="shared" si="91"/>
        <v>1</v>
      </c>
      <c r="L2114" s="56">
        <f t="shared" si="92"/>
        <v>1900</v>
      </c>
    </row>
    <row r="2115" spans="11:12">
      <c r="K2115" s="56">
        <f t="shared" si="91"/>
        <v>1</v>
      </c>
      <c r="L2115" s="56">
        <f t="shared" si="92"/>
        <v>1900</v>
      </c>
    </row>
    <row r="2116" spans="11:12">
      <c r="K2116" s="56">
        <f t="shared" si="91"/>
        <v>1</v>
      </c>
      <c r="L2116" s="56">
        <f t="shared" si="92"/>
        <v>1900</v>
      </c>
    </row>
    <row r="2117" spans="11:12">
      <c r="K2117" s="56">
        <f t="shared" si="91"/>
        <v>1</v>
      </c>
      <c r="L2117" s="56">
        <f t="shared" si="92"/>
        <v>1900</v>
      </c>
    </row>
    <row r="2118" spans="11:12">
      <c r="K2118" s="56">
        <f t="shared" si="91"/>
        <v>1</v>
      </c>
      <c r="L2118" s="56">
        <f t="shared" si="92"/>
        <v>1900</v>
      </c>
    </row>
    <row r="2119" spans="11:12">
      <c r="K2119" s="56">
        <f t="shared" si="91"/>
        <v>1</v>
      </c>
      <c r="L2119" s="56">
        <f t="shared" si="92"/>
        <v>1900</v>
      </c>
    </row>
    <row r="2120" spans="11:12">
      <c r="K2120" s="56">
        <f t="shared" si="91"/>
        <v>1</v>
      </c>
      <c r="L2120" s="56">
        <f t="shared" si="92"/>
        <v>1900</v>
      </c>
    </row>
    <row r="2121" spans="11:12">
      <c r="K2121" s="56">
        <f t="shared" si="91"/>
        <v>1</v>
      </c>
      <c r="L2121" s="56">
        <f t="shared" si="92"/>
        <v>1900</v>
      </c>
    </row>
    <row r="2122" spans="11:12">
      <c r="K2122" s="56">
        <f t="shared" si="91"/>
        <v>1</v>
      </c>
      <c r="L2122" s="56">
        <f t="shared" si="92"/>
        <v>1900</v>
      </c>
    </row>
    <row r="2123" spans="11:12">
      <c r="K2123" s="56">
        <f t="shared" ref="K2123:K2186" si="93">MONTH(C2123)</f>
        <v>1</v>
      </c>
      <c r="L2123" s="56">
        <f t="shared" ref="L2123:L2186" si="94">YEAR(C2123)</f>
        <v>1900</v>
      </c>
    </row>
    <row r="2124" spans="11:12">
      <c r="K2124" s="56">
        <f t="shared" si="93"/>
        <v>1</v>
      </c>
      <c r="L2124" s="56">
        <f t="shared" si="94"/>
        <v>1900</v>
      </c>
    </row>
    <row r="2125" spans="11:12">
      <c r="K2125" s="56">
        <f t="shared" si="93"/>
        <v>1</v>
      </c>
      <c r="L2125" s="56">
        <f t="shared" si="94"/>
        <v>1900</v>
      </c>
    </row>
    <row r="2126" spans="11:12">
      <c r="K2126" s="56">
        <f t="shared" si="93"/>
        <v>1</v>
      </c>
      <c r="L2126" s="56">
        <f t="shared" si="94"/>
        <v>1900</v>
      </c>
    </row>
    <row r="2127" spans="11:12">
      <c r="K2127" s="56">
        <f t="shared" si="93"/>
        <v>1</v>
      </c>
      <c r="L2127" s="56">
        <f t="shared" si="94"/>
        <v>1900</v>
      </c>
    </row>
    <row r="2128" spans="11:12">
      <c r="K2128" s="56">
        <f t="shared" si="93"/>
        <v>1</v>
      </c>
      <c r="L2128" s="56">
        <f t="shared" si="94"/>
        <v>1900</v>
      </c>
    </row>
    <row r="2129" spans="11:12">
      <c r="K2129" s="56">
        <f t="shared" si="93"/>
        <v>1</v>
      </c>
      <c r="L2129" s="56">
        <f t="shared" si="94"/>
        <v>1900</v>
      </c>
    </row>
    <row r="2130" spans="11:12">
      <c r="K2130" s="56">
        <f t="shared" si="93"/>
        <v>1</v>
      </c>
      <c r="L2130" s="56">
        <f t="shared" si="94"/>
        <v>1900</v>
      </c>
    </row>
    <row r="2131" spans="11:12">
      <c r="K2131" s="56">
        <f t="shared" si="93"/>
        <v>1</v>
      </c>
      <c r="L2131" s="56">
        <f t="shared" si="94"/>
        <v>1900</v>
      </c>
    </row>
    <row r="2132" spans="11:12">
      <c r="K2132" s="56">
        <f t="shared" si="93"/>
        <v>1</v>
      </c>
      <c r="L2132" s="56">
        <f t="shared" si="94"/>
        <v>1900</v>
      </c>
    </row>
    <row r="2133" spans="11:12">
      <c r="K2133" s="56">
        <f t="shared" si="93"/>
        <v>1</v>
      </c>
      <c r="L2133" s="56">
        <f t="shared" si="94"/>
        <v>1900</v>
      </c>
    </row>
    <row r="2134" spans="11:12">
      <c r="K2134" s="56">
        <f t="shared" si="93"/>
        <v>1</v>
      </c>
      <c r="L2134" s="56">
        <f t="shared" si="94"/>
        <v>1900</v>
      </c>
    </row>
    <row r="2135" spans="11:12">
      <c r="K2135" s="56">
        <f t="shared" si="93"/>
        <v>1</v>
      </c>
      <c r="L2135" s="56">
        <f t="shared" si="94"/>
        <v>1900</v>
      </c>
    </row>
    <row r="2136" spans="11:12">
      <c r="K2136" s="56">
        <f t="shared" si="93"/>
        <v>1</v>
      </c>
      <c r="L2136" s="56">
        <f t="shared" si="94"/>
        <v>1900</v>
      </c>
    </row>
    <row r="2137" spans="11:12">
      <c r="K2137" s="56">
        <f t="shared" si="93"/>
        <v>1</v>
      </c>
      <c r="L2137" s="56">
        <f t="shared" si="94"/>
        <v>1900</v>
      </c>
    </row>
    <row r="2138" spans="11:12">
      <c r="K2138" s="56">
        <f t="shared" si="93"/>
        <v>1</v>
      </c>
      <c r="L2138" s="56">
        <f t="shared" si="94"/>
        <v>1900</v>
      </c>
    </row>
    <row r="2139" spans="11:12">
      <c r="K2139" s="56">
        <f t="shared" si="93"/>
        <v>1</v>
      </c>
      <c r="L2139" s="56">
        <f t="shared" si="94"/>
        <v>1900</v>
      </c>
    </row>
    <row r="2140" spans="11:12">
      <c r="K2140" s="56">
        <f t="shared" si="93"/>
        <v>1</v>
      </c>
      <c r="L2140" s="56">
        <f t="shared" si="94"/>
        <v>1900</v>
      </c>
    </row>
    <row r="2141" spans="11:12">
      <c r="K2141" s="56">
        <f t="shared" si="93"/>
        <v>1</v>
      </c>
      <c r="L2141" s="56">
        <f t="shared" si="94"/>
        <v>1900</v>
      </c>
    </row>
    <row r="2142" spans="11:12">
      <c r="K2142" s="56">
        <f t="shared" si="93"/>
        <v>1</v>
      </c>
      <c r="L2142" s="56">
        <f t="shared" si="94"/>
        <v>1900</v>
      </c>
    </row>
    <row r="2143" spans="11:12">
      <c r="K2143" s="56">
        <f t="shared" si="93"/>
        <v>1</v>
      </c>
      <c r="L2143" s="56">
        <f t="shared" si="94"/>
        <v>1900</v>
      </c>
    </row>
    <row r="2144" spans="11:12">
      <c r="K2144" s="56">
        <f t="shared" si="93"/>
        <v>1</v>
      </c>
      <c r="L2144" s="56">
        <f t="shared" si="94"/>
        <v>1900</v>
      </c>
    </row>
    <row r="2145" spans="11:12">
      <c r="K2145" s="56">
        <f t="shared" si="93"/>
        <v>1</v>
      </c>
      <c r="L2145" s="56">
        <f t="shared" si="94"/>
        <v>1900</v>
      </c>
    </row>
    <row r="2146" spans="11:12">
      <c r="K2146" s="56">
        <f t="shared" si="93"/>
        <v>1</v>
      </c>
      <c r="L2146" s="56">
        <f t="shared" si="94"/>
        <v>1900</v>
      </c>
    </row>
    <row r="2147" spans="11:12">
      <c r="K2147" s="56">
        <f t="shared" si="93"/>
        <v>1</v>
      </c>
      <c r="L2147" s="56">
        <f t="shared" si="94"/>
        <v>1900</v>
      </c>
    </row>
    <row r="2148" spans="11:12">
      <c r="K2148" s="56">
        <f t="shared" si="93"/>
        <v>1</v>
      </c>
      <c r="L2148" s="56">
        <f t="shared" si="94"/>
        <v>1900</v>
      </c>
    </row>
    <row r="2149" spans="11:12">
      <c r="K2149" s="56">
        <f t="shared" si="93"/>
        <v>1</v>
      </c>
      <c r="L2149" s="56">
        <f t="shared" si="94"/>
        <v>1900</v>
      </c>
    </row>
    <row r="2150" spans="11:12">
      <c r="K2150" s="56">
        <f t="shared" si="93"/>
        <v>1</v>
      </c>
      <c r="L2150" s="56">
        <f t="shared" si="94"/>
        <v>1900</v>
      </c>
    </row>
    <row r="2151" spans="11:12">
      <c r="K2151" s="56">
        <f t="shared" si="93"/>
        <v>1</v>
      </c>
      <c r="L2151" s="56">
        <f t="shared" si="94"/>
        <v>1900</v>
      </c>
    </row>
    <row r="2152" spans="11:12">
      <c r="K2152" s="56">
        <f t="shared" si="93"/>
        <v>1</v>
      </c>
      <c r="L2152" s="56">
        <f t="shared" si="94"/>
        <v>1900</v>
      </c>
    </row>
    <row r="2153" spans="11:12">
      <c r="K2153" s="56">
        <f t="shared" si="93"/>
        <v>1</v>
      </c>
      <c r="L2153" s="56">
        <f t="shared" si="94"/>
        <v>1900</v>
      </c>
    </row>
    <row r="2154" spans="11:12">
      <c r="K2154" s="56">
        <f t="shared" si="93"/>
        <v>1</v>
      </c>
      <c r="L2154" s="56">
        <f t="shared" si="94"/>
        <v>1900</v>
      </c>
    </row>
    <row r="2155" spans="11:12">
      <c r="K2155" s="56">
        <f t="shared" si="93"/>
        <v>1</v>
      </c>
      <c r="L2155" s="56">
        <f t="shared" si="94"/>
        <v>1900</v>
      </c>
    </row>
    <row r="2156" spans="11:12">
      <c r="K2156" s="56">
        <f t="shared" si="93"/>
        <v>1</v>
      </c>
      <c r="L2156" s="56">
        <f t="shared" si="94"/>
        <v>1900</v>
      </c>
    </row>
    <row r="2157" spans="11:12">
      <c r="K2157" s="56">
        <f t="shared" si="93"/>
        <v>1</v>
      </c>
      <c r="L2157" s="56">
        <f t="shared" si="94"/>
        <v>1900</v>
      </c>
    </row>
    <row r="2158" spans="11:12">
      <c r="K2158" s="56">
        <f t="shared" si="93"/>
        <v>1</v>
      </c>
      <c r="L2158" s="56">
        <f t="shared" si="94"/>
        <v>1900</v>
      </c>
    </row>
    <row r="2159" spans="11:12">
      <c r="K2159" s="56">
        <f t="shared" si="93"/>
        <v>1</v>
      </c>
      <c r="L2159" s="56">
        <f t="shared" si="94"/>
        <v>1900</v>
      </c>
    </row>
    <row r="2160" spans="11:12">
      <c r="K2160" s="56">
        <f t="shared" si="93"/>
        <v>1</v>
      </c>
      <c r="L2160" s="56">
        <f t="shared" si="94"/>
        <v>1900</v>
      </c>
    </row>
    <row r="2161" spans="11:12">
      <c r="K2161" s="56">
        <f t="shared" si="93"/>
        <v>1</v>
      </c>
      <c r="L2161" s="56">
        <f t="shared" si="94"/>
        <v>1900</v>
      </c>
    </row>
    <row r="2162" spans="11:12">
      <c r="K2162" s="56">
        <f t="shared" si="93"/>
        <v>1</v>
      </c>
      <c r="L2162" s="56">
        <f t="shared" si="94"/>
        <v>1900</v>
      </c>
    </row>
    <row r="2163" spans="11:12">
      <c r="K2163" s="56">
        <f t="shared" si="93"/>
        <v>1</v>
      </c>
      <c r="L2163" s="56">
        <f t="shared" si="94"/>
        <v>1900</v>
      </c>
    </row>
    <row r="2164" spans="11:12">
      <c r="K2164" s="56">
        <f t="shared" si="93"/>
        <v>1</v>
      </c>
      <c r="L2164" s="56">
        <f t="shared" si="94"/>
        <v>1900</v>
      </c>
    </row>
    <row r="2165" spans="11:12">
      <c r="K2165" s="56">
        <f t="shared" si="93"/>
        <v>1</v>
      </c>
      <c r="L2165" s="56">
        <f t="shared" si="94"/>
        <v>1900</v>
      </c>
    </row>
    <row r="2166" spans="11:12">
      <c r="K2166" s="56">
        <f t="shared" si="93"/>
        <v>1</v>
      </c>
      <c r="L2166" s="56">
        <f t="shared" si="94"/>
        <v>1900</v>
      </c>
    </row>
    <row r="2167" spans="11:12">
      <c r="K2167" s="56">
        <f t="shared" si="93"/>
        <v>1</v>
      </c>
      <c r="L2167" s="56">
        <f t="shared" si="94"/>
        <v>1900</v>
      </c>
    </row>
    <row r="2168" spans="11:12">
      <c r="K2168" s="56">
        <f t="shared" si="93"/>
        <v>1</v>
      </c>
      <c r="L2168" s="56">
        <f t="shared" si="94"/>
        <v>1900</v>
      </c>
    </row>
    <row r="2169" spans="11:12">
      <c r="K2169" s="56">
        <f t="shared" si="93"/>
        <v>1</v>
      </c>
      <c r="L2169" s="56">
        <f t="shared" si="94"/>
        <v>1900</v>
      </c>
    </row>
    <row r="2170" spans="11:12">
      <c r="K2170" s="56">
        <f t="shared" si="93"/>
        <v>1</v>
      </c>
      <c r="L2170" s="56">
        <f t="shared" si="94"/>
        <v>1900</v>
      </c>
    </row>
    <row r="2171" spans="11:12">
      <c r="K2171" s="56">
        <f t="shared" si="93"/>
        <v>1</v>
      </c>
      <c r="L2171" s="56">
        <f t="shared" si="94"/>
        <v>1900</v>
      </c>
    </row>
    <row r="2172" spans="11:12">
      <c r="K2172" s="56">
        <f t="shared" si="93"/>
        <v>1</v>
      </c>
      <c r="L2172" s="56">
        <f t="shared" si="94"/>
        <v>1900</v>
      </c>
    </row>
    <row r="2173" spans="11:12">
      <c r="K2173" s="56">
        <f t="shared" si="93"/>
        <v>1</v>
      </c>
      <c r="L2173" s="56">
        <f t="shared" si="94"/>
        <v>1900</v>
      </c>
    </row>
    <row r="2174" spans="11:12">
      <c r="K2174" s="56">
        <f t="shared" si="93"/>
        <v>1</v>
      </c>
      <c r="L2174" s="56">
        <f t="shared" si="94"/>
        <v>1900</v>
      </c>
    </row>
    <row r="2175" spans="11:12">
      <c r="K2175" s="56">
        <f t="shared" si="93"/>
        <v>1</v>
      </c>
      <c r="L2175" s="56">
        <f t="shared" si="94"/>
        <v>1900</v>
      </c>
    </row>
    <row r="2176" spans="11:12">
      <c r="K2176" s="56">
        <f t="shared" si="93"/>
        <v>1</v>
      </c>
      <c r="L2176" s="56">
        <f t="shared" si="94"/>
        <v>1900</v>
      </c>
    </row>
    <row r="2177" spans="11:12">
      <c r="K2177" s="56">
        <f t="shared" si="93"/>
        <v>1</v>
      </c>
      <c r="L2177" s="56">
        <f t="shared" si="94"/>
        <v>1900</v>
      </c>
    </row>
    <row r="2178" spans="11:12">
      <c r="K2178" s="56">
        <f t="shared" si="93"/>
        <v>1</v>
      </c>
      <c r="L2178" s="56">
        <f t="shared" si="94"/>
        <v>1900</v>
      </c>
    </row>
    <row r="2179" spans="11:12">
      <c r="K2179" s="56">
        <f t="shared" si="93"/>
        <v>1</v>
      </c>
      <c r="L2179" s="56">
        <f t="shared" si="94"/>
        <v>1900</v>
      </c>
    </row>
    <row r="2180" spans="11:12">
      <c r="K2180" s="56">
        <f t="shared" si="93"/>
        <v>1</v>
      </c>
      <c r="L2180" s="56">
        <f t="shared" si="94"/>
        <v>1900</v>
      </c>
    </row>
    <row r="2181" spans="11:12">
      <c r="K2181" s="56">
        <f t="shared" si="93"/>
        <v>1</v>
      </c>
      <c r="L2181" s="56">
        <f t="shared" si="94"/>
        <v>1900</v>
      </c>
    </row>
    <row r="2182" spans="11:12">
      <c r="K2182" s="56">
        <f t="shared" si="93"/>
        <v>1</v>
      </c>
      <c r="L2182" s="56">
        <f t="shared" si="94"/>
        <v>1900</v>
      </c>
    </row>
    <row r="2183" spans="11:12">
      <c r="K2183" s="56">
        <f t="shared" si="93"/>
        <v>1</v>
      </c>
      <c r="L2183" s="56">
        <f t="shared" si="94"/>
        <v>1900</v>
      </c>
    </row>
    <row r="2184" spans="11:12">
      <c r="K2184" s="56">
        <f t="shared" si="93"/>
        <v>1</v>
      </c>
      <c r="L2184" s="56">
        <f t="shared" si="94"/>
        <v>1900</v>
      </c>
    </row>
    <row r="2185" spans="11:12">
      <c r="K2185" s="56">
        <f t="shared" si="93"/>
        <v>1</v>
      </c>
      <c r="L2185" s="56">
        <f t="shared" si="94"/>
        <v>1900</v>
      </c>
    </row>
    <row r="2186" spans="11:12">
      <c r="K2186" s="56">
        <f t="shared" si="93"/>
        <v>1</v>
      </c>
      <c r="L2186" s="56">
        <f t="shared" si="94"/>
        <v>1900</v>
      </c>
    </row>
    <row r="2187" spans="11:12">
      <c r="K2187" s="56">
        <f t="shared" ref="K2187:K2250" si="95">MONTH(C2187)</f>
        <v>1</v>
      </c>
      <c r="L2187" s="56">
        <f t="shared" ref="L2187:L2250" si="96">YEAR(C2187)</f>
        <v>1900</v>
      </c>
    </row>
    <row r="2188" spans="11:12">
      <c r="K2188" s="56">
        <f t="shared" si="95"/>
        <v>1</v>
      </c>
      <c r="L2188" s="56">
        <f t="shared" si="96"/>
        <v>1900</v>
      </c>
    </row>
    <row r="2189" spans="11:12">
      <c r="K2189" s="56">
        <f t="shared" si="95"/>
        <v>1</v>
      </c>
      <c r="L2189" s="56">
        <f t="shared" si="96"/>
        <v>1900</v>
      </c>
    </row>
    <row r="2190" spans="11:12">
      <c r="K2190" s="56">
        <f t="shared" si="95"/>
        <v>1</v>
      </c>
      <c r="L2190" s="56">
        <f t="shared" si="96"/>
        <v>1900</v>
      </c>
    </row>
    <row r="2191" spans="11:12">
      <c r="K2191" s="56">
        <f t="shared" si="95"/>
        <v>1</v>
      </c>
      <c r="L2191" s="56">
        <f t="shared" si="96"/>
        <v>1900</v>
      </c>
    </row>
    <row r="2192" spans="11:12">
      <c r="K2192" s="56">
        <f t="shared" si="95"/>
        <v>1</v>
      </c>
      <c r="L2192" s="56">
        <f t="shared" si="96"/>
        <v>1900</v>
      </c>
    </row>
    <row r="2193" spans="11:12">
      <c r="K2193" s="56">
        <f t="shared" si="95"/>
        <v>1</v>
      </c>
      <c r="L2193" s="56">
        <f t="shared" si="96"/>
        <v>1900</v>
      </c>
    </row>
    <row r="2194" spans="11:12">
      <c r="K2194" s="56">
        <f t="shared" si="95"/>
        <v>1</v>
      </c>
      <c r="L2194" s="56">
        <f t="shared" si="96"/>
        <v>1900</v>
      </c>
    </row>
    <row r="2195" spans="11:12">
      <c r="K2195" s="56">
        <f t="shared" si="95"/>
        <v>1</v>
      </c>
      <c r="L2195" s="56">
        <f t="shared" si="96"/>
        <v>1900</v>
      </c>
    </row>
    <row r="2196" spans="11:12">
      <c r="K2196" s="56">
        <f t="shared" si="95"/>
        <v>1</v>
      </c>
      <c r="L2196" s="56">
        <f t="shared" si="96"/>
        <v>1900</v>
      </c>
    </row>
    <row r="2197" spans="11:12">
      <c r="K2197" s="56">
        <f t="shared" si="95"/>
        <v>1</v>
      </c>
      <c r="L2197" s="56">
        <f t="shared" si="96"/>
        <v>1900</v>
      </c>
    </row>
    <row r="2198" spans="11:12">
      <c r="K2198" s="56">
        <f t="shared" si="95"/>
        <v>1</v>
      </c>
      <c r="L2198" s="56">
        <f t="shared" si="96"/>
        <v>1900</v>
      </c>
    </row>
    <row r="2199" spans="11:12">
      <c r="K2199" s="56">
        <f t="shared" si="95"/>
        <v>1</v>
      </c>
      <c r="L2199" s="56">
        <f t="shared" si="96"/>
        <v>1900</v>
      </c>
    </row>
    <row r="2200" spans="11:12">
      <c r="K2200" s="56">
        <f t="shared" si="95"/>
        <v>1</v>
      </c>
      <c r="L2200" s="56">
        <f t="shared" si="96"/>
        <v>1900</v>
      </c>
    </row>
    <row r="2201" spans="11:12">
      <c r="K2201" s="56">
        <f t="shared" si="95"/>
        <v>1</v>
      </c>
      <c r="L2201" s="56">
        <f t="shared" si="96"/>
        <v>1900</v>
      </c>
    </row>
    <row r="2202" spans="11:12">
      <c r="K2202" s="56">
        <f t="shared" si="95"/>
        <v>1</v>
      </c>
      <c r="L2202" s="56">
        <f t="shared" si="96"/>
        <v>1900</v>
      </c>
    </row>
    <row r="2203" spans="11:12">
      <c r="K2203" s="56">
        <f t="shared" si="95"/>
        <v>1</v>
      </c>
      <c r="L2203" s="56">
        <f t="shared" si="96"/>
        <v>1900</v>
      </c>
    </row>
    <row r="2204" spans="11:12">
      <c r="K2204" s="56">
        <f t="shared" si="95"/>
        <v>1</v>
      </c>
      <c r="L2204" s="56">
        <f t="shared" si="96"/>
        <v>1900</v>
      </c>
    </row>
    <row r="2205" spans="11:12">
      <c r="K2205" s="56">
        <f t="shared" si="95"/>
        <v>1</v>
      </c>
      <c r="L2205" s="56">
        <f t="shared" si="96"/>
        <v>1900</v>
      </c>
    </row>
    <row r="2206" spans="11:12">
      <c r="K2206" s="56">
        <f t="shared" si="95"/>
        <v>1</v>
      </c>
      <c r="L2206" s="56">
        <f t="shared" si="96"/>
        <v>1900</v>
      </c>
    </row>
    <row r="2207" spans="11:12">
      <c r="K2207" s="56">
        <f t="shared" si="95"/>
        <v>1</v>
      </c>
      <c r="L2207" s="56">
        <f t="shared" si="96"/>
        <v>1900</v>
      </c>
    </row>
    <row r="2208" spans="11:12">
      <c r="K2208" s="56">
        <f t="shared" si="95"/>
        <v>1</v>
      </c>
      <c r="L2208" s="56">
        <f t="shared" si="96"/>
        <v>1900</v>
      </c>
    </row>
    <row r="2209" spans="11:12">
      <c r="K2209" s="56">
        <f t="shared" si="95"/>
        <v>1</v>
      </c>
      <c r="L2209" s="56">
        <f t="shared" si="96"/>
        <v>1900</v>
      </c>
    </row>
    <row r="2210" spans="11:12">
      <c r="K2210" s="56">
        <f t="shared" si="95"/>
        <v>1</v>
      </c>
      <c r="L2210" s="56">
        <f t="shared" si="96"/>
        <v>1900</v>
      </c>
    </row>
    <row r="2211" spans="11:12">
      <c r="K2211" s="56">
        <f t="shared" si="95"/>
        <v>1</v>
      </c>
      <c r="L2211" s="56">
        <f t="shared" si="96"/>
        <v>1900</v>
      </c>
    </row>
    <row r="2212" spans="11:12">
      <c r="K2212" s="56">
        <f t="shared" si="95"/>
        <v>1</v>
      </c>
      <c r="L2212" s="56">
        <f t="shared" si="96"/>
        <v>1900</v>
      </c>
    </row>
    <row r="2213" spans="11:12">
      <c r="K2213" s="56">
        <f t="shared" si="95"/>
        <v>1</v>
      </c>
      <c r="L2213" s="56">
        <f t="shared" si="96"/>
        <v>1900</v>
      </c>
    </row>
    <row r="2214" spans="11:12">
      <c r="K2214" s="56">
        <f t="shared" si="95"/>
        <v>1</v>
      </c>
      <c r="L2214" s="56">
        <f t="shared" si="96"/>
        <v>1900</v>
      </c>
    </row>
    <row r="2215" spans="11:12">
      <c r="K2215" s="56">
        <f t="shared" si="95"/>
        <v>1</v>
      </c>
      <c r="L2215" s="56">
        <f t="shared" si="96"/>
        <v>1900</v>
      </c>
    </row>
    <row r="2216" spans="11:12">
      <c r="K2216" s="56">
        <f t="shared" si="95"/>
        <v>1</v>
      </c>
      <c r="L2216" s="56">
        <f t="shared" si="96"/>
        <v>1900</v>
      </c>
    </row>
    <row r="2217" spans="11:12">
      <c r="K2217" s="56">
        <f t="shared" si="95"/>
        <v>1</v>
      </c>
      <c r="L2217" s="56">
        <f t="shared" si="96"/>
        <v>1900</v>
      </c>
    </row>
    <row r="2218" spans="11:12">
      <c r="K2218" s="56">
        <f t="shared" si="95"/>
        <v>1</v>
      </c>
      <c r="L2218" s="56">
        <f t="shared" si="96"/>
        <v>1900</v>
      </c>
    </row>
    <row r="2219" spans="11:12">
      <c r="K2219" s="56">
        <f t="shared" si="95"/>
        <v>1</v>
      </c>
      <c r="L2219" s="56">
        <f t="shared" si="96"/>
        <v>1900</v>
      </c>
    </row>
    <row r="2220" spans="11:12">
      <c r="K2220" s="56">
        <f t="shared" si="95"/>
        <v>1</v>
      </c>
      <c r="L2220" s="56">
        <f t="shared" si="96"/>
        <v>1900</v>
      </c>
    </row>
    <row r="2221" spans="11:12">
      <c r="K2221" s="56">
        <f t="shared" si="95"/>
        <v>1</v>
      </c>
      <c r="L2221" s="56">
        <f t="shared" si="96"/>
        <v>1900</v>
      </c>
    </row>
    <row r="2222" spans="11:12">
      <c r="K2222" s="56">
        <f t="shared" si="95"/>
        <v>1</v>
      </c>
      <c r="L2222" s="56">
        <f t="shared" si="96"/>
        <v>1900</v>
      </c>
    </row>
    <row r="2223" spans="11:12">
      <c r="K2223" s="56">
        <f t="shared" si="95"/>
        <v>1</v>
      </c>
      <c r="L2223" s="56">
        <f t="shared" si="96"/>
        <v>1900</v>
      </c>
    </row>
    <row r="2224" spans="11:12">
      <c r="K2224" s="56">
        <f t="shared" si="95"/>
        <v>1</v>
      </c>
      <c r="L2224" s="56">
        <f t="shared" si="96"/>
        <v>1900</v>
      </c>
    </row>
    <row r="2225" spans="11:12">
      <c r="K2225" s="56">
        <f t="shared" si="95"/>
        <v>1</v>
      </c>
      <c r="L2225" s="56">
        <f t="shared" si="96"/>
        <v>1900</v>
      </c>
    </row>
    <row r="2226" spans="11:12">
      <c r="K2226" s="56">
        <f t="shared" si="95"/>
        <v>1</v>
      </c>
      <c r="L2226" s="56">
        <f t="shared" si="96"/>
        <v>1900</v>
      </c>
    </row>
    <row r="2227" spans="11:12">
      <c r="K2227" s="56">
        <f t="shared" si="95"/>
        <v>1</v>
      </c>
      <c r="L2227" s="56">
        <f t="shared" si="96"/>
        <v>1900</v>
      </c>
    </row>
    <row r="2228" spans="11:12">
      <c r="K2228" s="56">
        <f t="shared" si="95"/>
        <v>1</v>
      </c>
      <c r="L2228" s="56">
        <f t="shared" si="96"/>
        <v>1900</v>
      </c>
    </row>
    <row r="2229" spans="11:12">
      <c r="K2229" s="56">
        <f t="shared" si="95"/>
        <v>1</v>
      </c>
      <c r="L2229" s="56">
        <f t="shared" si="96"/>
        <v>1900</v>
      </c>
    </row>
    <row r="2230" spans="11:12">
      <c r="K2230" s="56">
        <f t="shared" si="95"/>
        <v>1</v>
      </c>
      <c r="L2230" s="56">
        <f t="shared" si="96"/>
        <v>1900</v>
      </c>
    </row>
    <row r="2231" spans="11:12">
      <c r="K2231" s="56">
        <f t="shared" si="95"/>
        <v>1</v>
      </c>
      <c r="L2231" s="56">
        <f t="shared" si="96"/>
        <v>1900</v>
      </c>
    </row>
    <row r="2232" spans="11:12">
      <c r="K2232" s="56">
        <f t="shared" si="95"/>
        <v>1</v>
      </c>
      <c r="L2232" s="56">
        <f t="shared" si="96"/>
        <v>1900</v>
      </c>
    </row>
    <row r="2233" spans="11:12">
      <c r="K2233" s="56">
        <f t="shared" si="95"/>
        <v>1</v>
      </c>
      <c r="L2233" s="56">
        <f t="shared" si="96"/>
        <v>1900</v>
      </c>
    </row>
    <row r="2234" spans="11:12">
      <c r="K2234" s="56">
        <f t="shared" si="95"/>
        <v>1</v>
      </c>
      <c r="L2234" s="56">
        <f t="shared" si="96"/>
        <v>1900</v>
      </c>
    </row>
    <row r="2235" spans="11:12">
      <c r="K2235" s="56">
        <f t="shared" si="95"/>
        <v>1</v>
      </c>
      <c r="L2235" s="56">
        <f t="shared" si="96"/>
        <v>1900</v>
      </c>
    </row>
    <row r="2236" spans="11:12">
      <c r="K2236" s="56">
        <f t="shared" si="95"/>
        <v>1</v>
      </c>
      <c r="L2236" s="56">
        <f t="shared" si="96"/>
        <v>1900</v>
      </c>
    </row>
    <row r="2237" spans="11:12">
      <c r="K2237" s="56">
        <f t="shared" si="95"/>
        <v>1</v>
      </c>
      <c r="L2237" s="56">
        <f t="shared" si="96"/>
        <v>1900</v>
      </c>
    </row>
    <row r="2238" spans="11:12">
      <c r="K2238" s="56">
        <f t="shared" si="95"/>
        <v>1</v>
      </c>
      <c r="L2238" s="56">
        <f t="shared" si="96"/>
        <v>1900</v>
      </c>
    </row>
    <row r="2239" spans="11:12">
      <c r="K2239" s="56">
        <f t="shared" si="95"/>
        <v>1</v>
      </c>
      <c r="L2239" s="56">
        <f t="shared" si="96"/>
        <v>1900</v>
      </c>
    </row>
    <row r="2240" spans="11:12">
      <c r="K2240" s="56">
        <f t="shared" si="95"/>
        <v>1</v>
      </c>
      <c r="L2240" s="56">
        <f t="shared" si="96"/>
        <v>1900</v>
      </c>
    </row>
    <row r="2241" spans="11:12">
      <c r="K2241" s="56">
        <f t="shared" si="95"/>
        <v>1</v>
      </c>
      <c r="L2241" s="56">
        <f t="shared" si="96"/>
        <v>1900</v>
      </c>
    </row>
    <row r="2242" spans="11:12">
      <c r="K2242" s="56">
        <f t="shared" si="95"/>
        <v>1</v>
      </c>
      <c r="L2242" s="56">
        <f t="shared" si="96"/>
        <v>1900</v>
      </c>
    </row>
    <row r="2243" spans="11:12">
      <c r="K2243" s="56">
        <f t="shared" si="95"/>
        <v>1</v>
      </c>
      <c r="L2243" s="56">
        <f t="shared" si="96"/>
        <v>1900</v>
      </c>
    </row>
    <row r="2244" spans="11:12">
      <c r="K2244" s="56">
        <f t="shared" si="95"/>
        <v>1</v>
      </c>
      <c r="L2244" s="56">
        <f t="shared" si="96"/>
        <v>1900</v>
      </c>
    </row>
    <row r="2245" spans="11:12">
      <c r="K2245" s="56">
        <f t="shared" si="95"/>
        <v>1</v>
      </c>
      <c r="L2245" s="56">
        <f t="shared" si="96"/>
        <v>1900</v>
      </c>
    </row>
    <row r="2246" spans="11:12">
      <c r="K2246" s="56">
        <f t="shared" si="95"/>
        <v>1</v>
      </c>
      <c r="L2246" s="56">
        <f t="shared" si="96"/>
        <v>1900</v>
      </c>
    </row>
    <row r="2247" spans="11:12">
      <c r="K2247" s="56">
        <f t="shared" si="95"/>
        <v>1</v>
      </c>
      <c r="L2247" s="56">
        <f t="shared" si="96"/>
        <v>1900</v>
      </c>
    </row>
    <row r="2248" spans="11:12">
      <c r="K2248" s="56">
        <f t="shared" si="95"/>
        <v>1</v>
      </c>
      <c r="L2248" s="56">
        <f t="shared" si="96"/>
        <v>1900</v>
      </c>
    </row>
    <row r="2249" spans="11:12">
      <c r="K2249" s="56">
        <f t="shared" si="95"/>
        <v>1</v>
      </c>
      <c r="L2249" s="56">
        <f t="shared" si="96"/>
        <v>1900</v>
      </c>
    </row>
    <row r="2250" spans="11:12">
      <c r="K2250" s="56">
        <f t="shared" si="95"/>
        <v>1</v>
      </c>
      <c r="L2250" s="56">
        <f t="shared" si="96"/>
        <v>1900</v>
      </c>
    </row>
    <row r="2251" spans="11:12">
      <c r="K2251" s="56">
        <f t="shared" ref="K2251:K2314" si="97">MONTH(C2251)</f>
        <v>1</v>
      </c>
      <c r="L2251" s="56">
        <f t="shared" ref="L2251:L2314" si="98">YEAR(C2251)</f>
        <v>1900</v>
      </c>
    </row>
    <row r="2252" spans="11:12">
      <c r="K2252" s="56">
        <f t="shared" si="97"/>
        <v>1</v>
      </c>
      <c r="L2252" s="56">
        <f t="shared" si="98"/>
        <v>1900</v>
      </c>
    </row>
    <row r="2253" spans="11:12">
      <c r="K2253" s="56">
        <f t="shared" si="97"/>
        <v>1</v>
      </c>
      <c r="L2253" s="56">
        <f t="shared" si="98"/>
        <v>1900</v>
      </c>
    </row>
    <row r="2254" spans="11:12">
      <c r="K2254" s="56">
        <f t="shared" si="97"/>
        <v>1</v>
      </c>
      <c r="L2254" s="56">
        <f t="shared" si="98"/>
        <v>1900</v>
      </c>
    </row>
    <row r="2255" spans="11:12">
      <c r="K2255" s="56">
        <f t="shared" si="97"/>
        <v>1</v>
      </c>
      <c r="L2255" s="56">
        <f t="shared" si="98"/>
        <v>1900</v>
      </c>
    </row>
    <row r="2256" spans="11:12">
      <c r="K2256" s="56">
        <f t="shared" si="97"/>
        <v>1</v>
      </c>
      <c r="L2256" s="56">
        <f t="shared" si="98"/>
        <v>1900</v>
      </c>
    </row>
    <row r="2257" spans="11:12">
      <c r="K2257" s="56">
        <f t="shared" si="97"/>
        <v>1</v>
      </c>
      <c r="L2257" s="56">
        <f t="shared" si="98"/>
        <v>1900</v>
      </c>
    </row>
    <row r="2258" spans="11:12">
      <c r="K2258" s="56">
        <f t="shared" si="97"/>
        <v>1</v>
      </c>
      <c r="L2258" s="56">
        <f t="shared" si="98"/>
        <v>1900</v>
      </c>
    </row>
    <row r="2259" spans="11:12">
      <c r="K2259" s="56">
        <f t="shared" si="97"/>
        <v>1</v>
      </c>
      <c r="L2259" s="56">
        <f t="shared" si="98"/>
        <v>1900</v>
      </c>
    </row>
    <row r="2260" spans="11:12">
      <c r="K2260" s="56">
        <f t="shared" si="97"/>
        <v>1</v>
      </c>
      <c r="L2260" s="56">
        <f t="shared" si="98"/>
        <v>1900</v>
      </c>
    </row>
    <row r="2261" spans="11:12">
      <c r="K2261" s="56">
        <f t="shared" si="97"/>
        <v>1</v>
      </c>
      <c r="L2261" s="56">
        <f t="shared" si="98"/>
        <v>1900</v>
      </c>
    </row>
    <row r="2262" spans="11:12">
      <c r="K2262" s="56">
        <f t="shared" si="97"/>
        <v>1</v>
      </c>
      <c r="L2262" s="56">
        <f t="shared" si="98"/>
        <v>1900</v>
      </c>
    </row>
    <row r="2263" spans="11:12">
      <c r="K2263" s="56">
        <f t="shared" si="97"/>
        <v>1</v>
      </c>
      <c r="L2263" s="56">
        <f t="shared" si="98"/>
        <v>1900</v>
      </c>
    </row>
    <row r="2264" spans="11:12">
      <c r="K2264" s="56">
        <f t="shared" si="97"/>
        <v>1</v>
      </c>
      <c r="L2264" s="56">
        <f t="shared" si="98"/>
        <v>1900</v>
      </c>
    </row>
    <row r="2265" spans="11:12">
      <c r="K2265" s="56">
        <f t="shared" si="97"/>
        <v>1</v>
      </c>
      <c r="L2265" s="56">
        <f t="shared" si="98"/>
        <v>1900</v>
      </c>
    </row>
    <row r="2266" spans="11:12">
      <c r="K2266" s="56">
        <f t="shared" si="97"/>
        <v>1</v>
      </c>
      <c r="L2266" s="56">
        <f t="shared" si="98"/>
        <v>1900</v>
      </c>
    </row>
    <row r="2267" spans="11:12">
      <c r="K2267" s="56">
        <f t="shared" si="97"/>
        <v>1</v>
      </c>
      <c r="L2267" s="56">
        <f t="shared" si="98"/>
        <v>1900</v>
      </c>
    </row>
    <row r="2268" spans="11:12">
      <c r="K2268" s="56">
        <f t="shared" si="97"/>
        <v>1</v>
      </c>
      <c r="L2268" s="56">
        <f t="shared" si="98"/>
        <v>1900</v>
      </c>
    </row>
    <row r="2269" spans="11:12">
      <c r="K2269" s="56">
        <f t="shared" si="97"/>
        <v>1</v>
      </c>
      <c r="L2269" s="56">
        <f t="shared" si="98"/>
        <v>1900</v>
      </c>
    </row>
    <row r="2270" spans="11:12">
      <c r="K2270" s="56">
        <f t="shared" si="97"/>
        <v>1</v>
      </c>
      <c r="L2270" s="56">
        <f t="shared" si="98"/>
        <v>1900</v>
      </c>
    </row>
    <row r="2271" spans="11:12">
      <c r="K2271" s="56">
        <f t="shared" si="97"/>
        <v>1</v>
      </c>
      <c r="L2271" s="56">
        <f t="shared" si="98"/>
        <v>1900</v>
      </c>
    </row>
    <row r="2272" spans="11:12">
      <c r="K2272" s="56">
        <f t="shared" si="97"/>
        <v>1</v>
      </c>
      <c r="L2272" s="56">
        <f t="shared" si="98"/>
        <v>1900</v>
      </c>
    </row>
    <row r="2273" spans="11:12">
      <c r="K2273" s="56">
        <f t="shared" si="97"/>
        <v>1</v>
      </c>
      <c r="L2273" s="56">
        <f t="shared" si="98"/>
        <v>1900</v>
      </c>
    </row>
    <row r="2274" spans="11:12">
      <c r="K2274" s="56">
        <f t="shared" si="97"/>
        <v>1</v>
      </c>
      <c r="L2274" s="56">
        <f t="shared" si="98"/>
        <v>1900</v>
      </c>
    </row>
    <row r="2275" spans="11:12">
      <c r="K2275" s="56">
        <f t="shared" si="97"/>
        <v>1</v>
      </c>
      <c r="L2275" s="56">
        <f t="shared" si="98"/>
        <v>1900</v>
      </c>
    </row>
    <row r="2276" spans="11:12">
      <c r="K2276" s="56">
        <f t="shared" si="97"/>
        <v>1</v>
      </c>
      <c r="L2276" s="56">
        <f t="shared" si="98"/>
        <v>1900</v>
      </c>
    </row>
    <row r="2277" spans="11:12">
      <c r="K2277" s="56">
        <f t="shared" si="97"/>
        <v>1</v>
      </c>
      <c r="L2277" s="56">
        <f t="shared" si="98"/>
        <v>1900</v>
      </c>
    </row>
    <row r="2278" spans="11:12">
      <c r="K2278" s="56">
        <f t="shared" si="97"/>
        <v>1</v>
      </c>
      <c r="L2278" s="56">
        <f t="shared" si="98"/>
        <v>1900</v>
      </c>
    </row>
    <row r="2279" spans="11:12">
      <c r="K2279" s="56">
        <f t="shared" si="97"/>
        <v>1</v>
      </c>
      <c r="L2279" s="56">
        <f t="shared" si="98"/>
        <v>1900</v>
      </c>
    </row>
    <row r="2280" spans="11:12">
      <c r="K2280" s="56">
        <f t="shared" si="97"/>
        <v>1</v>
      </c>
      <c r="L2280" s="56">
        <f t="shared" si="98"/>
        <v>1900</v>
      </c>
    </row>
    <row r="2281" spans="11:12">
      <c r="K2281" s="56">
        <f t="shared" si="97"/>
        <v>1</v>
      </c>
      <c r="L2281" s="56">
        <f t="shared" si="98"/>
        <v>1900</v>
      </c>
    </row>
    <row r="2282" spans="11:12">
      <c r="K2282" s="56">
        <f t="shared" si="97"/>
        <v>1</v>
      </c>
      <c r="L2282" s="56">
        <f t="shared" si="98"/>
        <v>1900</v>
      </c>
    </row>
    <row r="2283" spans="11:12">
      <c r="K2283" s="56">
        <f t="shared" si="97"/>
        <v>1</v>
      </c>
      <c r="L2283" s="56">
        <f t="shared" si="98"/>
        <v>1900</v>
      </c>
    </row>
    <row r="2284" spans="11:12">
      <c r="K2284" s="56">
        <f t="shared" si="97"/>
        <v>1</v>
      </c>
      <c r="L2284" s="56">
        <f t="shared" si="98"/>
        <v>1900</v>
      </c>
    </row>
    <row r="2285" spans="11:12">
      <c r="K2285" s="56">
        <f t="shared" si="97"/>
        <v>1</v>
      </c>
      <c r="L2285" s="56">
        <f t="shared" si="98"/>
        <v>1900</v>
      </c>
    </row>
    <row r="2286" spans="11:12">
      <c r="K2286" s="56">
        <f t="shared" si="97"/>
        <v>1</v>
      </c>
      <c r="L2286" s="56">
        <f t="shared" si="98"/>
        <v>1900</v>
      </c>
    </row>
    <row r="2287" spans="11:12">
      <c r="K2287" s="56">
        <f t="shared" si="97"/>
        <v>1</v>
      </c>
      <c r="L2287" s="56">
        <f t="shared" si="98"/>
        <v>1900</v>
      </c>
    </row>
    <row r="2288" spans="11:12">
      <c r="K2288" s="56">
        <f t="shared" si="97"/>
        <v>1</v>
      </c>
      <c r="L2288" s="56">
        <f t="shared" si="98"/>
        <v>1900</v>
      </c>
    </row>
    <row r="2289" spans="11:12">
      <c r="K2289" s="56">
        <f t="shared" si="97"/>
        <v>1</v>
      </c>
      <c r="L2289" s="56">
        <f t="shared" si="98"/>
        <v>1900</v>
      </c>
    </row>
    <row r="2290" spans="11:12">
      <c r="K2290" s="56">
        <f t="shared" si="97"/>
        <v>1</v>
      </c>
      <c r="L2290" s="56">
        <f t="shared" si="98"/>
        <v>1900</v>
      </c>
    </row>
    <row r="2291" spans="11:12">
      <c r="K2291" s="56">
        <f t="shared" si="97"/>
        <v>1</v>
      </c>
      <c r="L2291" s="56">
        <f t="shared" si="98"/>
        <v>1900</v>
      </c>
    </row>
    <row r="2292" spans="11:12">
      <c r="K2292" s="56">
        <f t="shared" si="97"/>
        <v>1</v>
      </c>
      <c r="L2292" s="56">
        <f t="shared" si="98"/>
        <v>1900</v>
      </c>
    </row>
    <row r="2293" spans="11:12">
      <c r="K2293" s="56">
        <f t="shared" si="97"/>
        <v>1</v>
      </c>
      <c r="L2293" s="56">
        <f t="shared" si="98"/>
        <v>1900</v>
      </c>
    </row>
    <row r="2294" spans="11:12">
      <c r="K2294" s="56">
        <f t="shared" si="97"/>
        <v>1</v>
      </c>
      <c r="L2294" s="56">
        <f t="shared" si="98"/>
        <v>1900</v>
      </c>
    </row>
    <row r="2295" spans="11:12">
      <c r="K2295" s="56">
        <f t="shared" si="97"/>
        <v>1</v>
      </c>
      <c r="L2295" s="56">
        <f t="shared" si="98"/>
        <v>1900</v>
      </c>
    </row>
    <row r="2296" spans="11:12">
      <c r="K2296" s="56">
        <f t="shared" si="97"/>
        <v>1</v>
      </c>
      <c r="L2296" s="56">
        <f t="shared" si="98"/>
        <v>1900</v>
      </c>
    </row>
    <row r="2297" spans="11:12">
      <c r="K2297" s="56">
        <f t="shared" si="97"/>
        <v>1</v>
      </c>
      <c r="L2297" s="56">
        <f t="shared" si="98"/>
        <v>1900</v>
      </c>
    </row>
    <row r="2298" spans="11:12">
      <c r="K2298" s="56">
        <f t="shared" si="97"/>
        <v>1</v>
      </c>
      <c r="L2298" s="56">
        <f t="shared" si="98"/>
        <v>1900</v>
      </c>
    </row>
    <row r="2299" spans="11:12">
      <c r="K2299" s="56">
        <f t="shared" si="97"/>
        <v>1</v>
      </c>
      <c r="L2299" s="56">
        <f t="shared" si="98"/>
        <v>1900</v>
      </c>
    </row>
    <row r="2300" spans="11:12">
      <c r="K2300" s="56">
        <f t="shared" si="97"/>
        <v>1</v>
      </c>
      <c r="L2300" s="56">
        <f t="shared" si="98"/>
        <v>1900</v>
      </c>
    </row>
    <row r="2301" spans="11:12">
      <c r="K2301" s="56">
        <f t="shared" si="97"/>
        <v>1</v>
      </c>
      <c r="L2301" s="56">
        <f t="shared" si="98"/>
        <v>1900</v>
      </c>
    </row>
    <row r="2302" spans="11:12">
      <c r="K2302" s="56">
        <f t="shared" si="97"/>
        <v>1</v>
      </c>
      <c r="L2302" s="56">
        <f t="shared" si="98"/>
        <v>1900</v>
      </c>
    </row>
    <row r="2303" spans="11:12">
      <c r="K2303" s="56">
        <f t="shared" si="97"/>
        <v>1</v>
      </c>
      <c r="L2303" s="56">
        <f t="shared" si="98"/>
        <v>1900</v>
      </c>
    </row>
    <row r="2304" spans="11:12">
      <c r="K2304" s="56">
        <f t="shared" si="97"/>
        <v>1</v>
      </c>
      <c r="L2304" s="56">
        <f t="shared" si="98"/>
        <v>1900</v>
      </c>
    </row>
    <row r="2305" spans="11:12">
      <c r="K2305" s="56">
        <f t="shared" si="97"/>
        <v>1</v>
      </c>
      <c r="L2305" s="56">
        <f t="shared" si="98"/>
        <v>1900</v>
      </c>
    </row>
    <row r="2306" spans="11:12">
      <c r="K2306" s="56">
        <f t="shared" si="97"/>
        <v>1</v>
      </c>
      <c r="L2306" s="56">
        <f t="shared" si="98"/>
        <v>1900</v>
      </c>
    </row>
    <row r="2307" spans="11:12">
      <c r="K2307" s="56">
        <f t="shared" si="97"/>
        <v>1</v>
      </c>
      <c r="L2307" s="56">
        <f t="shared" si="98"/>
        <v>1900</v>
      </c>
    </row>
    <row r="2308" spans="11:12">
      <c r="K2308" s="56">
        <f t="shared" si="97"/>
        <v>1</v>
      </c>
      <c r="L2308" s="56">
        <f t="shared" si="98"/>
        <v>1900</v>
      </c>
    </row>
    <row r="2309" spans="11:12">
      <c r="K2309" s="56">
        <f t="shared" si="97"/>
        <v>1</v>
      </c>
      <c r="L2309" s="56">
        <f t="shared" si="98"/>
        <v>1900</v>
      </c>
    </row>
    <row r="2310" spans="11:12">
      <c r="K2310" s="56">
        <f t="shared" si="97"/>
        <v>1</v>
      </c>
      <c r="L2310" s="56">
        <f t="shared" si="98"/>
        <v>1900</v>
      </c>
    </row>
    <row r="2311" spans="11:12">
      <c r="K2311" s="56">
        <f t="shared" si="97"/>
        <v>1</v>
      </c>
      <c r="L2311" s="56">
        <f t="shared" si="98"/>
        <v>1900</v>
      </c>
    </row>
    <row r="2312" spans="11:12">
      <c r="K2312" s="56">
        <f t="shared" si="97"/>
        <v>1</v>
      </c>
      <c r="L2312" s="56">
        <f t="shared" si="98"/>
        <v>1900</v>
      </c>
    </row>
    <row r="2313" spans="11:12">
      <c r="K2313" s="56">
        <f t="shared" si="97"/>
        <v>1</v>
      </c>
      <c r="L2313" s="56">
        <f t="shared" si="98"/>
        <v>1900</v>
      </c>
    </row>
    <row r="2314" spans="11:12">
      <c r="K2314" s="56">
        <f t="shared" si="97"/>
        <v>1</v>
      </c>
      <c r="L2314" s="56">
        <f t="shared" si="98"/>
        <v>1900</v>
      </c>
    </row>
    <row r="2315" spans="11:12">
      <c r="K2315" s="56">
        <f t="shared" ref="K2315:K2378" si="99">MONTH(C2315)</f>
        <v>1</v>
      </c>
      <c r="L2315" s="56">
        <f t="shared" ref="L2315:L2378" si="100">YEAR(C2315)</f>
        <v>1900</v>
      </c>
    </row>
    <row r="2316" spans="11:12">
      <c r="K2316" s="56">
        <f t="shared" si="99"/>
        <v>1</v>
      </c>
      <c r="L2316" s="56">
        <f t="shared" si="100"/>
        <v>1900</v>
      </c>
    </row>
    <row r="2317" spans="11:12">
      <c r="K2317" s="56">
        <f t="shared" si="99"/>
        <v>1</v>
      </c>
      <c r="L2317" s="56">
        <f t="shared" si="100"/>
        <v>1900</v>
      </c>
    </row>
    <row r="2318" spans="11:12">
      <c r="K2318" s="56">
        <f t="shared" si="99"/>
        <v>1</v>
      </c>
      <c r="L2318" s="56">
        <f t="shared" si="100"/>
        <v>1900</v>
      </c>
    </row>
    <row r="2319" spans="11:12">
      <c r="K2319" s="56">
        <f t="shared" si="99"/>
        <v>1</v>
      </c>
      <c r="L2319" s="56">
        <f t="shared" si="100"/>
        <v>1900</v>
      </c>
    </row>
    <row r="2320" spans="11:12">
      <c r="K2320" s="56">
        <f t="shared" si="99"/>
        <v>1</v>
      </c>
      <c r="L2320" s="56">
        <f t="shared" si="100"/>
        <v>1900</v>
      </c>
    </row>
    <row r="2321" spans="11:12">
      <c r="K2321" s="56">
        <f t="shared" si="99"/>
        <v>1</v>
      </c>
      <c r="L2321" s="56">
        <f t="shared" si="100"/>
        <v>1900</v>
      </c>
    </row>
    <row r="2322" spans="11:12">
      <c r="K2322" s="56">
        <f t="shared" si="99"/>
        <v>1</v>
      </c>
      <c r="L2322" s="56">
        <f t="shared" si="100"/>
        <v>1900</v>
      </c>
    </row>
    <row r="2323" spans="11:12">
      <c r="K2323" s="56">
        <f t="shared" si="99"/>
        <v>1</v>
      </c>
      <c r="L2323" s="56">
        <f t="shared" si="100"/>
        <v>1900</v>
      </c>
    </row>
    <row r="2324" spans="11:12">
      <c r="K2324" s="56">
        <f t="shared" si="99"/>
        <v>1</v>
      </c>
      <c r="L2324" s="56">
        <f t="shared" si="100"/>
        <v>1900</v>
      </c>
    </row>
    <row r="2325" spans="11:12">
      <c r="K2325" s="56">
        <f t="shared" si="99"/>
        <v>1</v>
      </c>
      <c r="L2325" s="56">
        <f t="shared" si="100"/>
        <v>1900</v>
      </c>
    </row>
    <row r="2326" spans="11:12">
      <c r="K2326" s="56">
        <f t="shared" si="99"/>
        <v>1</v>
      </c>
      <c r="L2326" s="56">
        <f t="shared" si="100"/>
        <v>1900</v>
      </c>
    </row>
    <row r="2327" spans="11:12">
      <c r="K2327" s="56">
        <f t="shared" si="99"/>
        <v>1</v>
      </c>
      <c r="L2327" s="56">
        <f t="shared" si="100"/>
        <v>1900</v>
      </c>
    </row>
    <row r="2328" spans="11:12">
      <c r="K2328" s="56">
        <f t="shared" si="99"/>
        <v>1</v>
      </c>
      <c r="L2328" s="56">
        <f t="shared" si="100"/>
        <v>1900</v>
      </c>
    </row>
    <row r="2329" spans="11:12">
      <c r="K2329" s="56">
        <f t="shared" si="99"/>
        <v>1</v>
      </c>
      <c r="L2329" s="56">
        <f t="shared" si="100"/>
        <v>1900</v>
      </c>
    </row>
    <row r="2330" spans="11:12">
      <c r="K2330" s="56">
        <f t="shared" si="99"/>
        <v>1</v>
      </c>
      <c r="L2330" s="56">
        <f t="shared" si="100"/>
        <v>1900</v>
      </c>
    </row>
    <row r="2331" spans="11:12">
      <c r="K2331" s="56">
        <f t="shared" si="99"/>
        <v>1</v>
      </c>
      <c r="L2331" s="56">
        <f t="shared" si="100"/>
        <v>1900</v>
      </c>
    </row>
    <row r="2332" spans="11:12">
      <c r="K2332" s="56">
        <f t="shared" si="99"/>
        <v>1</v>
      </c>
      <c r="L2332" s="56">
        <f t="shared" si="100"/>
        <v>1900</v>
      </c>
    </row>
    <row r="2333" spans="11:12">
      <c r="K2333" s="56">
        <f t="shared" si="99"/>
        <v>1</v>
      </c>
      <c r="L2333" s="56">
        <f t="shared" si="100"/>
        <v>1900</v>
      </c>
    </row>
    <row r="2334" spans="11:12">
      <c r="K2334" s="56">
        <f t="shared" si="99"/>
        <v>1</v>
      </c>
      <c r="L2334" s="56">
        <f t="shared" si="100"/>
        <v>1900</v>
      </c>
    </row>
    <row r="2335" spans="11:12">
      <c r="K2335" s="56">
        <f t="shared" si="99"/>
        <v>1</v>
      </c>
      <c r="L2335" s="56">
        <f t="shared" si="100"/>
        <v>1900</v>
      </c>
    </row>
    <row r="2336" spans="11:12">
      <c r="K2336" s="56">
        <f t="shared" si="99"/>
        <v>1</v>
      </c>
      <c r="L2336" s="56">
        <f t="shared" si="100"/>
        <v>1900</v>
      </c>
    </row>
    <row r="2337" spans="11:12">
      <c r="K2337" s="56">
        <f t="shared" si="99"/>
        <v>1</v>
      </c>
      <c r="L2337" s="56">
        <f t="shared" si="100"/>
        <v>1900</v>
      </c>
    </row>
    <row r="2338" spans="11:12">
      <c r="K2338" s="56">
        <f t="shared" si="99"/>
        <v>1</v>
      </c>
      <c r="L2338" s="56">
        <f t="shared" si="100"/>
        <v>1900</v>
      </c>
    </row>
    <row r="2339" spans="11:12">
      <c r="K2339" s="56">
        <f t="shared" si="99"/>
        <v>1</v>
      </c>
      <c r="L2339" s="56">
        <f t="shared" si="100"/>
        <v>1900</v>
      </c>
    </row>
    <row r="2340" spans="11:12">
      <c r="K2340" s="56">
        <f t="shared" si="99"/>
        <v>1</v>
      </c>
      <c r="L2340" s="56">
        <f t="shared" si="100"/>
        <v>1900</v>
      </c>
    </row>
    <row r="2341" spans="11:12">
      <c r="K2341" s="56">
        <f t="shared" si="99"/>
        <v>1</v>
      </c>
      <c r="L2341" s="56">
        <f t="shared" si="100"/>
        <v>1900</v>
      </c>
    </row>
    <row r="2342" spans="11:12">
      <c r="K2342" s="56">
        <f t="shared" si="99"/>
        <v>1</v>
      </c>
      <c r="L2342" s="56">
        <f t="shared" si="100"/>
        <v>1900</v>
      </c>
    </row>
    <row r="2343" spans="11:12">
      <c r="K2343" s="56">
        <f t="shared" si="99"/>
        <v>1</v>
      </c>
      <c r="L2343" s="56">
        <f t="shared" si="100"/>
        <v>1900</v>
      </c>
    </row>
    <row r="2344" spans="11:12">
      <c r="K2344" s="56">
        <f t="shared" si="99"/>
        <v>1</v>
      </c>
      <c r="L2344" s="56">
        <f t="shared" si="100"/>
        <v>1900</v>
      </c>
    </row>
    <row r="2345" spans="11:12">
      <c r="K2345" s="56">
        <f t="shared" si="99"/>
        <v>1</v>
      </c>
      <c r="L2345" s="56">
        <f t="shared" si="100"/>
        <v>1900</v>
      </c>
    </row>
    <row r="2346" spans="11:12">
      <c r="K2346" s="56">
        <f t="shared" si="99"/>
        <v>1</v>
      </c>
      <c r="L2346" s="56">
        <f t="shared" si="100"/>
        <v>1900</v>
      </c>
    </row>
    <row r="2347" spans="11:12">
      <c r="K2347" s="56">
        <f t="shared" si="99"/>
        <v>1</v>
      </c>
      <c r="L2347" s="56">
        <f t="shared" si="100"/>
        <v>1900</v>
      </c>
    </row>
    <row r="2348" spans="11:12">
      <c r="K2348" s="56">
        <f t="shared" si="99"/>
        <v>1</v>
      </c>
      <c r="L2348" s="56">
        <f t="shared" si="100"/>
        <v>1900</v>
      </c>
    </row>
    <row r="2349" spans="11:12">
      <c r="K2349" s="56">
        <f t="shared" si="99"/>
        <v>1</v>
      </c>
      <c r="L2349" s="56">
        <f t="shared" si="100"/>
        <v>1900</v>
      </c>
    </row>
    <row r="2350" spans="11:12">
      <c r="K2350" s="56">
        <f t="shared" si="99"/>
        <v>1</v>
      </c>
      <c r="L2350" s="56">
        <f t="shared" si="100"/>
        <v>1900</v>
      </c>
    </row>
    <row r="2351" spans="11:12">
      <c r="K2351" s="56">
        <f t="shared" si="99"/>
        <v>1</v>
      </c>
      <c r="L2351" s="56">
        <f t="shared" si="100"/>
        <v>1900</v>
      </c>
    </row>
    <row r="2352" spans="11:12">
      <c r="K2352" s="56">
        <f t="shared" si="99"/>
        <v>1</v>
      </c>
      <c r="L2352" s="56">
        <f t="shared" si="100"/>
        <v>1900</v>
      </c>
    </row>
    <row r="2353" spans="11:12">
      <c r="K2353" s="56">
        <f t="shared" si="99"/>
        <v>1</v>
      </c>
      <c r="L2353" s="56">
        <f t="shared" si="100"/>
        <v>1900</v>
      </c>
    </row>
    <row r="2354" spans="11:12">
      <c r="K2354" s="56">
        <f t="shared" si="99"/>
        <v>1</v>
      </c>
      <c r="L2354" s="56">
        <f t="shared" si="100"/>
        <v>1900</v>
      </c>
    </row>
    <row r="2355" spans="11:12">
      <c r="K2355" s="56">
        <f t="shared" si="99"/>
        <v>1</v>
      </c>
      <c r="L2355" s="56">
        <f t="shared" si="100"/>
        <v>1900</v>
      </c>
    </row>
    <row r="2356" spans="11:12">
      <c r="K2356" s="56">
        <f t="shared" si="99"/>
        <v>1</v>
      </c>
      <c r="L2356" s="56">
        <f t="shared" si="100"/>
        <v>1900</v>
      </c>
    </row>
    <row r="2357" spans="11:12">
      <c r="K2357" s="56">
        <f t="shared" si="99"/>
        <v>1</v>
      </c>
      <c r="L2357" s="56">
        <f t="shared" si="100"/>
        <v>1900</v>
      </c>
    </row>
    <row r="2358" spans="11:12">
      <c r="K2358" s="56">
        <f t="shared" si="99"/>
        <v>1</v>
      </c>
      <c r="L2358" s="56">
        <f t="shared" si="100"/>
        <v>1900</v>
      </c>
    </row>
    <row r="2359" spans="11:12">
      <c r="K2359" s="56">
        <f t="shared" si="99"/>
        <v>1</v>
      </c>
      <c r="L2359" s="56">
        <f t="shared" si="100"/>
        <v>1900</v>
      </c>
    </row>
    <row r="2360" spans="11:12">
      <c r="K2360" s="56">
        <f t="shared" si="99"/>
        <v>1</v>
      </c>
      <c r="L2360" s="56">
        <f t="shared" si="100"/>
        <v>1900</v>
      </c>
    </row>
    <row r="2361" spans="11:12">
      <c r="K2361" s="56">
        <f t="shared" si="99"/>
        <v>1</v>
      </c>
      <c r="L2361" s="56">
        <f t="shared" si="100"/>
        <v>1900</v>
      </c>
    </row>
    <row r="2362" spans="11:12">
      <c r="K2362" s="56">
        <f t="shared" si="99"/>
        <v>1</v>
      </c>
      <c r="L2362" s="56">
        <f t="shared" si="100"/>
        <v>1900</v>
      </c>
    </row>
    <row r="2363" spans="11:12">
      <c r="K2363" s="56">
        <f t="shared" si="99"/>
        <v>1</v>
      </c>
      <c r="L2363" s="56">
        <f t="shared" si="100"/>
        <v>1900</v>
      </c>
    </row>
    <row r="2364" spans="11:12">
      <c r="K2364" s="56">
        <f t="shared" si="99"/>
        <v>1</v>
      </c>
      <c r="L2364" s="56">
        <f t="shared" si="100"/>
        <v>1900</v>
      </c>
    </row>
    <row r="2365" spans="11:12">
      <c r="K2365" s="56">
        <f t="shared" si="99"/>
        <v>1</v>
      </c>
      <c r="L2365" s="56">
        <f t="shared" si="100"/>
        <v>1900</v>
      </c>
    </row>
    <row r="2366" spans="11:12">
      <c r="K2366" s="56">
        <f t="shared" si="99"/>
        <v>1</v>
      </c>
      <c r="L2366" s="56">
        <f t="shared" si="100"/>
        <v>1900</v>
      </c>
    </row>
    <row r="2367" spans="11:12">
      <c r="K2367" s="56">
        <f t="shared" si="99"/>
        <v>1</v>
      </c>
      <c r="L2367" s="56">
        <f t="shared" si="100"/>
        <v>1900</v>
      </c>
    </row>
    <row r="2368" spans="11:12">
      <c r="K2368" s="56">
        <f t="shared" si="99"/>
        <v>1</v>
      </c>
      <c r="L2368" s="56">
        <f t="shared" si="100"/>
        <v>1900</v>
      </c>
    </row>
    <row r="2369" spans="11:12">
      <c r="K2369" s="56">
        <f t="shared" si="99"/>
        <v>1</v>
      </c>
      <c r="L2369" s="56">
        <f t="shared" si="100"/>
        <v>1900</v>
      </c>
    </row>
    <row r="2370" spans="11:12">
      <c r="K2370" s="56">
        <f t="shared" si="99"/>
        <v>1</v>
      </c>
      <c r="L2370" s="56">
        <f t="shared" si="100"/>
        <v>1900</v>
      </c>
    </row>
    <row r="2371" spans="11:12">
      <c r="K2371" s="56">
        <f t="shared" si="99"/>
        <v>1</v>
      </c>
      <c r="L2371" s="56">
        <f t="shared" si="100"/>
        <v>1900</v>
      </c>
    </row>
    <row r="2372" spans="11:12">
      <c r="K2372" s="56">
        <f t="shared" si="99"/>
        <v>1</v>
      </c>
      <c r="L2372" s="56">
        <f t="shared" si="100"/>
        <v>1900</v>
      </c>
    </row>
    <row r="2373" spans="11:12">
      <c r="K2373" s="56">
        <f t="shared" si="99"/>
        <v>1</v>
      </c>
      <c r="L2373" s="56">
        <f t="shared" si="100"/>
        <v>1900</v>
      </c>
    </row>
    <row r="2374" spans="11:12">
      <c r="K2374" s="56">
        <f t="shared" si="99"/>
        <v>1</v>
      </c>
      <c r="L2374" s="56">
        <f t="shared" si="100"/>
        <v>1900</v>
      </c>
    </row>
    <row r="2375" spans="11:12">
      <c r="K2375" s="56">
        <f t="shared" si="99"/>
        <v>1</v>
      </c>
      <c r="L2375" s="56">
        <f t="shared" si="100"/>
        <v>1900</v>
      </c>
    </row>
    <row r="2376" spans="11:12">
      <c r="K2376" s="56">
        <f t="shared" si="99"/>
        <v>1</v>
      </c>
      <c r="L2376" s="56">
        <f t="shared" si="100"/>
        <v>1900</v>
      </c>
    </row>
    <row r="2377" spans="11:12">
      <c r="K2377" s="56">
        <f t="shared" si="99"/>
        <v>1</v>
      </c>
      <c r="L2377" s="56">
        <f t="shared" si="100"/>
        <v>1900</v>
      </c>
    </row>
    <row r="2378" spans="11:12">
      <c r="K2378" s="56">
        <f t="shared" si="99"/>
        <v>1</v>
      </c>
      <c r="L2378" s="56">
        <f t="shared" si="100"/>
        <v>1900</v>
      </c>
    </row>
    <row r="2379" spans="11:12">
      <c r="K2379" s="56">
        <f t="shared" ref="K2379:K2442" si="101">MONTH(C2379)</f>
        <v>1</v>
      </c>
      <c r="L2379" s="56">
        <f t="shared" ref="L2379:L2442" si="102">YEAR(C2379)</f>
        <v>1900</v>
      </c>
    </row>
    <row r="2380" spans="11:12">
      <c r="K2380" s="56">
        <f t="shared" si="101"/>
        <v>1</v>
      </c>
      <c r="L2380" s="56">
        <f t="shared" si="102"/>
        <v>1900</v>
      </c>
    </row>
    <row r="2381" spans="11:12">
      <c r="K2381" s="56">
        <f t="shared" si="101"/>
        <v>1</v>
      </c>
      <c r="L2381" s="56">
        <f t="shared" si="102"/>
        <v>1900</v>
      </c>
    </row>
    <row r="2382" spans="11:12">
      <c r="K2382" s="56">
        <f t="shared" si="101"/>
        <v>1</v>
      </c>
      <c r="L2382" s="56">
        <f t="shared" si="102"/>
        <v>1900</v>
      </c>
    </row>
    <row r="2383" spans="11:12">
      <c r="K2383" s="56">
        <f t="shared" si="101"/>
        <v>1</v>
      </c>
      <c r="L2383" s="56">
        <f t="shared" si="102"/>
        <v>1900</v>
      </c>
    </row>
    <row r="2384" spans="11:12">
      <c r="K2384" s="56">
        <f t="shared" si="101"/>
        <v>1</v>
      </c>
      <c r="L2384" s="56">
        <f t="shared" si="102"/>
        <v>1900</v>
      </c>
    </row>
    <row r="2385" spans="11:12">
      <c r="K2385" s="56">
        <f t="shared" si="101"/>
        <v>1</v>
      </c>
      <c r="L2385" s="56">
        <f t="shared" si="102"/>
        <v>1900</v>
      </c>
    </row>
    <row r="2386" spans="11:12">
      <c r="K2386" s="56">
        <f t="shared" si="101"/>
        <v>1</v>
      </c>
      <c r="L2386" s="56">
        <f t="shared" si="102"/>
        <v>1900</v>
      </c>
    </row>
    <row r="2387" spans="11:12">
      <c r="K2387" s="56">
        <f t="shared" si="101"/>
        <v>1</v>
      </c>
      <c r="L2387" s="56">
        <f t="shared" si="102"/>
        <v>1900</v>
      </c>
    </row>
    <row r="2388" spans="11:12">
      <c r="K2388" s="56">
        <f t="shared" si="101"/>
        <v>1</v>
      </c>
      <c r="L2388" s="56">
        <f t="shared" si="102"/>
        <v>1900</v>
      </c>
    </row>
    <row r="2389" spans="11:12">
      <c r="K2389" s="56">
        <f t="shared" si="101"/>
        <v>1</v>
      </c>
      <c r="L2389" s="56">
        <f t="shared" si="102"/>
        <v>1900</v>
      </c>
    </row>
    <row r="2390" spans="11:12">
      <c r="K2390" s="56">
        <f t="shared" si="101"/>
        <v>1</v>
      </c>
      <c r="L2390" s="56">
        <f t="shared" si="102"/>
        <v>1900</v>
      </c>
    </row>
    <row r="2391" spans="11:12">
      <c r="K2391" s="56">
        <f t="shared" si="101"/>
        <v>1</v>
      </c>
      <c r="L2391" s="56">
        <f t="shared" si="102"/>
        <v>1900</v>
      </c>
    </row>
    <row r="2392" spans="11:12">
      <c r="K2392" s="56">
        <f t="shared" si="101"/>
        <v>1</v>
      </c>
      <c r="L2392" s="56">
        <f t="shared" si="102"/>
        <v>1900</v>
      </c>
    </row>
    <row r="2393" spans="11:12">
      <c r="K2393" s="56">
        <f t="shared" si="101"/>
        <v>1</v>
      </c>
      <c r="L2393" s="56">
        <f t="shared" si="102"/>
        <v>1900</v>
      </c>
    </row>
    <row r="2394" spans="11:12">
      <c r="K2394" s="56">
        <f t="shared" si="101"/>
        <v>1</v>
      </c>
      <c r="L2394" s="56">
        <f t="shared" si="102"/>
        <v>1900</v>
      </c>
    </row>
    <row r="2395" spans="11:12">
      <c r="K2395" s="56">
        <f t="shared" si="101"/>
        <v>1</v>
      </c>
      <c r="L2395" s="56">
        <f t="shared" si="102"/>
        <v>1900</v>
      </c>
    </row>
    <row r="2396" spans="11:12">
      <c r="K2396" s="56">
        <f t="shared" si="101"/>
        <v>1</v>
      </c>
      <c r="L2396" s="56">
        <f t="shared" si="102"/>
        <v>1900</v>
      </c>
    </row>
    <row r="2397" spans="11:12">
      <c r="K2397" s="56">
        <f t="shared" si="101"/>
        <v>1</v>
      </c>
      <c r="L2397" s="56">
        <f t="shared" si="102"/>
        <v>1900</v>
      </c>
    </row>
    <row r="2398" spans="11:12">
      <c r="K2398" s="56">
        <f t="shared" si="101"/>
        <v>1</v>
      </c>
      <c r="L2398" s="56">
        <f t="shared" si="102"/>
        <v>1900</v>
      </c>
    </row>
    <row r="2399" spans="11:12">
      <c r="K2399" s="56">
        <f t="shared" si="101"/>
        <v>1</v>
      </c>
      <c r="L2399" s="56">
        <f t="shared" si="102"/>
        <v>1900</v>
      </c>
    </row>
    <row r="2400" spans="11:12">
      <c r="K2400" s="56">
        <f t="shared" si="101"/>
        <v>1</v>
      </c>
      <c r="L2400" s="56">
        <f t="shared" si="102"/>
        <v>1900</v>
      </c>
    </row>
    <row r="2401" spans="11:12">
      <c r="K2401" s="56">
        <f t="shared" si="101"/>
        <v>1</v>
      </c>
      <c r="L2401" s="56">
        <f t="shared" si="102"/>
        <v>1900</v>
      </c>
    </row>
    <row r="2402" spans="11:12">
      <c r="K2402" s="56">
        <f t="shared" si="101"/>
        <v>1</v>
      </c>
      <c r="L2402" s="56">
        <f t="shared" si="102"/>
        <v>1900</v>
      </c>
    </row>
    <row r="2403" spans="11:12">
      <c r="K2403" s="56">
        <f t="shared" si="101"/>
        <v>1</v>
      </c>
      <c r="L2403" s="56">
        <f t="shared" si="102"/>
        <v>1900</v>
      </c>
    </row>
    <row r="2404" spans="11:12">
      <c r="K2404" s="56">
        <f t="shared" si="101"/>
        <v>1</v>
      </c>
      <c r="L2404" s="56">
        <f t="shared" si="102"/>
        <v>1900</v>
      </c>
    </row>
    <row r="2405" spans="11:12">
      <c r="K2405" s="56">
        <f t="shared" si="101"/>
        <v>1</v>
      </c>
      <c r="L2405" s="56">
        <f t="shared" si="102"/>
        <v>1900</v>
      </c>
    </row>
    <row r="2406" spans="11:12">
      <c r="K2406" s="56">
        <f t="shared" si="101"/>
        <v>1</v>
      </c>
      <c r="L2406" s="56">
        <f t="shared" si="102"/>
        <v>1900</v>
      </c>
    </row>
    <row r="2407" spans="11:12">
      <c r="K2407" s="56">
        <f t="shared" si="101"/>
        <v>1</v>
      </c>
      <c r="L2407" s="56">
        <f t="shared" si="102"/>
        <v>1900</v>
      </c>
    </row>
    <row r="2408" spans="11:12">
      <c r="K2408" s="56">
        <f t="shared" si="101"/>
        <v>1</v>
      </c>
      <c r="L2408" s="56">
        <f t="shared" si="102"/>
        <v>1900</v>
      </c>
    </row>
    <row r="2409" spans="11:12">
      <c r="K2409" s="56">
        <f t="shared" si="101"/>
        <v>1</v>
      </c>
      <c r="L2409" s="56">
        <f t="shared" si="102"/>
        <v>1900</v>
      </c>
    </row>
    <row r="2410" spans="11:12">
      <c r="K2410" s="56">
        <f t="shared" si="101"/>
        <v>1</v>
      </c>
      <c r="L2410" s="56">
        <f t="shared" si="102"/>
        <v>1900</v>
      </c>
    </row>
    <row r="2411" spans="11:12">
      <c r="K2411" s="56">
        <f t="shared" si="101"/>
        <v>1</v>
      </c>
      <c r="L2411" s="56">
        <f t="shared" si="102"/>
        <v>1900</v>
      </c>
    </row>
    <row r="2412" spans="11:12">
      <c r="K2412" s="56">
        <f t="shared" si="101"/>
        <v>1</v>
      </c>
      <c r="L2412" s="56">
        <f t="shared" si="102"/>
        <v>1900</v>
      </c>
    </row>
    <row r="2413" spans="11:12">
      <c r="K2413" s="56">
        <f t="shared" si="101"/>
        <v>1</v>
      </c>
      <c r="L2413" s="56">
        <f t="shared" si="102"/>
        <v>1900</v>
      </c>
    </row>
    <row r="2414" spans="11:12">
      <c r="K2414" s="56">
        <f t="shared" si="101"/>
        <v>1</v>
      </c>
      <c r="L2414" s="56">
        <f t="shared" si="102"/>
        <v>1900</v>
      </c>
    </row>
    <row r="2415" spans="11:12">
      <c r="K2415" s="56">
        <f t="shared" si="101"/>
        <v>1</v>
      </c>
      <c r="L2415" s="56">
        <f t="shared" si="102"/>
        <v>1900</v>
      </c>
    </row>
    <row r="2416" spans="11:12">
      <c r="K2416" s="56">
        <f t="shared" si="101"/>
        <v>1</v>
      </c>
      <c r="L2416" s="56">
        <f t="shared" si="102"/>
        <v>1900</v>
      </c>
    </row>
    <row r="2417" spans="11:12">
      <c r="K2417" s="56">
        <f t="shared" si="101"/>
        <v>1</v>
      </c>
      <c r="L2417" s="56">
        <f t="shared" si="102"/>
        <v>1900</v>
      </c>
    </row>
    <row r="2418" spans="11:12">
      <c r="K2418" s="56">
        <f t="shared" si="101"/>
        <v>1</v>
      </c>
      <c r="L2418" s="56">
        <f t="shared" si="102"/>
        <v>1900</v>
      </c>
    </row>
    <row r="2419" spans="11:12">
      <c r="K2419" s="56">
        <f t="shared" si="101"/>
        <v>1</v>
      </c>
      <c r="L2419" s="56">
        <f t="shared" si="102"/>
        <v>1900</v>
      </c>
    </row>
    <row r="2420" spans="11:12">
      <c r="K2420" s="56">
        <f t="shared" si="101"/>
        <v>1</v>
      </c>
      <c r="L2420" s="56">
        <f t="shared" si="102"/>
        <v>1900</v>
      </c>
    </row>
    <row r="2421" spans="11:12">
      <c r="K2421" s="56">
        <f t="shared" si="101"/>
        <v>1</v>
      </c>
      <c r="L2421" s="56">
        <f t="shared" si="102"/>
        <v>1900</v>
      </c>
    </row>
    <row r="2422" spans="11:12">
      <c r="K2422" s="56">
        <f t="shared" si="101"/>
        <v>1</v>
      </c>
      <c r="L2422" s="56">
        <f t="shared" si="102"/>
        <v>1900</v>
      </c>
    </row>
    <row r="2423" spans="11:12">
      <c r="K2423" s="56">
        <f t="shared" si="101"/>
        <v>1</v>
      </c>
      <c r="L2423" s="56">
        <f t="shared" si="102"/>
        <v>1900</v>
      </c>
    </row>
    <row r="2424" spans="11:12">
      <c r="K2424" s="56">
        <f t="shared" si="101"/>
        <v>1</v>
      </c>
      <c r="L2424" s="56">
        <f t="shared" si="102"/>
        <v>1900</v>
      </c>
    </row>
    <row r="2425" spans="11:12">
      <c r="K2425" s="56">
        <f t="shared" si="101"/>
        <v>1</v>
      </c>
      <c r="L2425" s="56">
        <f t="shared" si="102"/>
        <v>1900</v>
      </c>
    </row>
    <row r="2426" spans="11:12">
      <c r="K2426" s="56">
        <f t="shared" si="101"/>
        <v>1</v>
      </c>
      <c r="L2426" s="56">
        <f t="shared" si="102"/>
        <v>1900</v>
      </c>
    </row>
    <row r="2427" spans="11:12">
      <c r="K2427" s="56">
        <f t="shared" si="101"/>
        <v>1</v>
      </c>
      <c r="L2427" s="56">
        <f t="shared" si="102"/>
        <v>1900</v>
      </c>
    </row>
    <row r="2428" spans="11:12">
      <c r="K2428" s="56">
        <f t="shared" si="101"/>
        <v>1</v>
      </c>
      <c r="L2428" s="56">
        <f t="shared" si="102"/>
        <v>1900</v>
      </c>
    </row>
    <row r="2429" spans="11:12">
      <c r="K2429" s="56">
        <f t="shared" si="101"/>
        <v>1</v>
      </c>
      <c r="L2429" s="56">
        <f t="shared" si="102"/>
        <v>1900</v>
      </c>
    </row>
    <row r="2430" spans="11:12">
      <c r="K2430" s="56">
        <f t="shared" si="101"/>
        <v>1</v>
      </c>
      <c r="L2430" s="56">
        <f t="shared" si="102"/>
        <v>1900</v>
      </c>
    </row>
    <row r="2431" spans="11:12">
      <c r="K2431" s="56">
        <f t="shared" si="101"/>
        <v>1</v>
      </c>
      <c r="L2431" s="56">
        <f t="shared" si="102"/>
        <v>1900</v>
      </c>
    </row>
    <row r="2432" spans="11:12">
      <c r="K2432" s="56">
        <f t="shared" si="101"/>
        <v>1</v>
      </c>
      <c r="L2432" s="56">
        <f t="shared" si="102"/>
        <v>1900</v>
      </c>
    </row>
    <row r="2433" spans="11:12">
      <c r="K2433" s="56">
        <f t="shared" si="101"/>
        <v>1</v>
      </c>
      <c r="L2433" s="56">
        <f t="shared" si="102"/>
        <v>1900</v>
      </c>
    </row>
    <row r="2434" spans="11:12">
      <c r="K2434" s="56">
        <f t="shared" si="101"/>
        <v>1</v>
      </c>
      <c r="L2434" s="56">
        <f t="shared" si="102"/>
        <v>1900</v>
      </c>
    </row>
    <row r="2435" spans="11:12">
      <c r="K2435" s="56">
        <f t="shared" si="101"/>
        <v>1</v>
      </c>
      <c r="L2435" s="56">
        <f t="shared" si="102"/>
        <v>1900</v>
      </c>
    </row>
    <row r="2436" spans="11:12">
      <c r="K2436" s="56">
        <f t="shared" si="101"/>
        <v>1</v>
      </c>
      <c r="L2436" s="56">
        <f t="shared" si="102"/>
        <v>1900</v>
      </c>
    </row>
    <row r="2437" spans="11:12">
      <c r="K2437" s="56">
        <f t="shared" si="101"/>
        <v>1</v>
      </c>
      <c r="L2437" s="56">
        <f t="shared" si="102"/>
        <v>1900</v>
      </c>
    </row>
    <row r="2438" spans="11:12">
      <c r="K2438" s="56">
        <f t="shared" si="101"/>
        <v>1</v>
      </c>
      <c r="L2438" s="56">
        <f t="shared" si="102"/>
        <v>1900</v>
      </c>
    </row>
    <row r="2439" spans="11:12">
      <c r="K2439" s="56">
        <f t="shared" si="101"/>
        <v>1</v>
      </c>
      <c r="L2439" s="56">
        <f t="shared" si="102"/>
        <v>1900</v>
      </c>
    </row>
    <row r="2440" spans="11:12">
      <c r="K2440" s="56">
        <f t="shared" si="101"/>
        <v>1</v>
      </c>
      <c r="L2440" s="56">
        <f t="shared" si="102"/>
        <v>1900</v>
      </c>
    </row>
    <row r="2441" spans="11:12">
      <c r="K2441" s="56">
        <f t="shared" si="101"/>
        <v>1</v>
      </c>
      <c r="L2441" s="56">
        <f t="shared" si="102"/>
        <v>1900</v>
      </c>
    </row>
    <row r="2442" spans="11:12">
      <c r="K2442" s="56">
        <f t="shared" si="101"/>
        <v>1</v>
      </c>
      <c r="L2442" s="56">
        <f t="shared" si="102"/>
        <v>1900</v>
      </c>
    </row>
    <row r="2443" spans="11:12">
      <c r="K2443" s="56">
        <f t="shared" ref="K2443:K2506" si="103">MONTH(C2443)</f>
        <v>1</v>
      </c>
      <c r="L2443" s="56">
        <f t="shared" ref="L2443:L2506" si="104">YEAR(C2443)</f>
        <v>1900</v>
      </c>
    </row>
    <row r="2444" spans="11:12">
      <c r="K2444" s="56">
        <f t="shared" si="103"/>
        <v>1</v>
      </c>
      <c r="L2444" s="56">
        <f t="shared" si="104"/>
        <v>1900</v>
      </c>
    </row>
    <row r="2445" spans="11:12">
      <c r="K2445" s="56">
        <f t="shared" si="103"/>
        <v>1</v>
      </c>
      <c r="L2445" s="56">
        <f t="shared" si="104"/>
        <v>1900</v>
      </c>
    </row>
    <row r="2446" spans="11:12">
      <c r="K2446" s="56">
        <f t="shared" si="103"/>
        <v>1</v>
      </c>
      <c r="L2446" s="56">
        <f t="shared" si="104"/>
        <v>1900</v>
      </c>
    </row>
    <row r="2447" spans="11:12">
      <c r="K2447" s="56">
        <f t="shared" si="103"/>
        <v>1</v>
      </c>
      <c r="L2447" s="56">
        <f t="shared" si="104"/>
        <v>1900</v>
      </c>
    </row>
    <row r="2448" spans="11:12">
      <c r="K2448" s="56">
        <f t="shared" si="103"/>
        <v>1</v>
      </c>
      <c r="L2448" s="56">
        <f t="shared" si="104"/>
        <v>1900</v>
      </c>
    </row>
    <row r="2449" spans="11:12">
      <c r="K2449" s="56">
        <f t="shared" si="103"/>
        <v>1</v>
      </c>
      <c r="L2449" s="56">
        <f t="shared" si="104"/>
        <v>1900</v>
      </c>
    </row>
    <row r="2450" spans="11:12">
      <c r="K2450" s="56">
        <f t="shared" si="103"/>
        <v>1</v>
      </c>
      <c r="L2450" s="56">
        <f t="shared" si="104"/>
        <v>1900</v>
      </c>
    </row>
    <row r="2451" spans="11:12">
      <c r="K2451" s="56">
        <f t="shared" si="103"/>
        <v>1</v>
      </c>
      <c r="L2451" s="56">
        <f t="shared" si="104"/>
        <v>1900</v>
      </c>
    </row>
    <row r="2452" spans="11:12">
      <c r="K2452" s="56">
        <f t="shared" si="103"/>
        <v>1</v>
      </c>
      <c r="L2452" s="56">
        <f t="shared" si="104"/>
        <v>1900</v>
      </c>
    </row>
    <row r="2453" spans="11:12">
      <c r="K2453" s="56">
        <f t="shared" si="103"/>
        <v>1</v>
      </c>
      <c r="L2453" s="56">
        <f t="shared" si="104"/>
        <v>1900</v>
      </c>
    </row>
    <row r="2454" spans="11:12">
      <c r="K2454" s="56">
        <f t="shared" si="103"/>
        <v>1</v>
      </c>
      <c r="L2454" s="56">
        <f t="shared" si="104"/>
        <v>1900</v>
      </c>
    </row>
    <row r="2455" spans="11:12">
      <c r="K2455" s="56">
        <f t="shared" si="103"/>
        <v>1</v>
      </c>
      <c r="L2455" s="56">
        <f t="shared" si="104"/>
        <v>1900</v>
      </c>
    </row>
    <row r="2456" spans="11:12">
      <c r="K2456" s="56">
        <f t="shared" si="103"/>
        <v>1</v>
      </c>
      <c r="L2456" s="56">
        <f t="shared" si="104"/>
        <v>1900</v>
      </c>
    </row>
    <row r="2457" spans="11:12">
      <c r="K2457" s="56">
        <f t="shared" si="103"/>
        <v>1</v>
      </c>
      <c r="L2457" s="56">
        <f t="shared" si="104"/>
        <v>1900</v>
      </c>
    </row>
    <row r="2458" spans="11:12">
      <c r="K2458" s="56">
        <f t="shared" si="103"/>
        <v>1</v>
      </c>
      <c r="L2458" s="56">
        <f t="shared" si="104"/>
        <v>1900</v>
      </c>
    </row>
    <row r="2459" spans="11:12">
      <c r="K2459" s="56">
        <f t="shared" si="103"/>
        <v>1</v>
      </c>
      <c r="L2459" s="56">
        <f t="shared" si="104"/>
        <v>1900</v>
      </c>
    </row>
    <row r="2460" spans="11:12">
      <c r="K2460" s="56">
        <f t="shared" si="103"/>
        <v>1</v>
      </c>
      <c r="L2460" s="56">
        <f t="shared" si="104"/>
        <v>1900</v>
      </c>
    </row>
    <row r="2461" spans="11:12">
      <c r="K2461" s="56">
        <f t="shared" si="103"/>
        <v>1</v>
      </c>
      <c r="L2461" s="56">
        <f t="shared" si="104"/>
        <v>1900</v>
      </c>
    </row>
    <row r="2462" spans="11:12">
      <c r="K2462" s="56">
        <f t="shared" si="103"/>
        <v>1</v>
      </c>
      <c r="L2462" s="56">
        <f t="shared" si="104"/>
        <v>1900</v>
      </c>
    </row>
    <row r="2463" spans="11:12">
      <c r="K2463" s="56">
        <f t="shared" si="103"/>
        <v>1</v>
      </c>
      <c r="L2463" s="56">
        <f t="shared" si="104"/>
        <v>1900</v>
      </c>
    </row>
    <row r="2464" spans="11:12">
      <c r="K2464" s="56">
        <f t="shared" si="103"/>
        <v>1</v>
      </c>
      <c r="L2464" s="56">
        <f t="shared" si="104"/>
        <v>1900</v>
      </c>
    </row>
    <row r="2465" spans="11:12">
      <c r="K2465" s="56">
        <f t="shared" si="103"/>
        <v>1</v>
      </c>
      <c r="L2465" s="56">
        <f t="shared" si="104"/>
        <v>1900</v>
      </c>
    </row>
    <row r="2466" spans="11:12">
      <c r="K2466" s="56">
        <f t="shared" si="103"/>
        <v>1</v>
      </c>
      <c r="L2466" s="56">
        <f t="shared" si="104"/>
        <v>1900</v>
      </c>
    </row>
    <row r="2467" spans="11:12">
      <c r="K2467" s="56">
        <f t="shared" si="103"/>
        <v>1</v>
      </c>
      <c r="L2467" s="56">
        <f t="shared" si="104"/>
        <v>1900</v>
      </c>
    </row>
    <row r="2468" spans="11:12">
      <c r="K2468" s="56">
        <f t="shared" si="103"/>
        <v>1</v>
      </c>
      <c r="L2468" s="56">
        <f t="shared" si="104"/>
        <v>1900</v>
      </c>
    </row>
    <row r="2469" spans="11:12">
      <c r="K2469" s="56">
        <f t="shared" si="103"/>
        <v>1</v>
      </c>
      <c r="L2469" s="56">
        <f t="shared" si="104"/>
        <v>1900</v>
      </c>
    </row>
    <row r="2470" spans="11:12">
      <c r="K2470" s="56">
        <f t="shared" si="103"/>
        <v>1</v>
      </c>
      <c r="L2470" s="56">
        <f t="shared" si="104"/>
        <v>1900</v>
      </c>
    </row>
    <row r="2471" spans="11:12">
      <c r="K2471" s="56">
        <f t="shared" si="103"/>
        <v>1</v>
      </c>
      <c r="L2471" s="56">
        <f t="shared" si="104"/>
        <v>1900</v>
      </c>
    </row>
    <row r="2472" spans="11:12">
      <c r="K2472" s="56">
        <f t="shared" si="103"/>
        <v>1</v>
      </c>
      <c r="L2472" s="56">
        <f t="shared" si="104"/>
        <v>1900</v>
      </c>
    </row>
    <row r="2473" spans="11:12">
      <c r="K2473" s="56">
        <f t="shared" si="103"/>
        <v>1</v>
      </c>
      <c r="L2473" s="56">
        <f t="shared" si="104"/>
        <v>1900</v>
      </c>
    </row>
    <row r="2474" spans="11:12">
      <c r="K2474" s="56">
        <f t="shared" si="103"/>
        <v>1</v>
      </c>
      <c r="L2474" s="56">
        <f t="shared" si="104"/>
        <v>1900</v>
      </c>
    </row>
    <row r="2475" spans="11:12">
      <c r="K2475" s="56">
        <f t="shared" si="103"/>
        <v>1</v>
      </c>
      <c r="L2475" s="56">
        <f t="shared" si="104"/>
        <v>1900</v>
      </c>
    </row>
    <row r="2476" spans="11:12">
      <c r="K2476" s="56">
        <f t="shared" si="103"/>
        <v>1</v>
      </c>
      <c r="L2476" s="56">
        <f t="shared" si="104"/>
        <v>1900</v>
      </c>
    </row>
    <row r="2477" spans="11:12">
      <c r="K2477" s="56">
        <f t="shared" si="103"/>
        <v>1</v>
      </c>
      <c r="L2477" s="56">
        <f t="shared" si="104"/>
        <v>1900</v>
      </c>
    </row>
    <row r="2478" spans="11:12">
      <c r="K2478" s="56">
        <f t="shared" si="103"/>
        <v>1</v>
      </c>
      <c r="L2478" s="56">
        <f t="shared" si="104"/>
        <v>1900</v>
      </c>
    </row>
    <row r="2479" spans="11:12">
      <c r="K2479" s="56">
        <f t="shared" si="103"/>
        <v>1</v>
      </c>
      <c r="L2479" s="56">
        <f t="shared" si="104"/>
        <v>1900</v>
      </c>
    </row>
    <row r="2480" spans="11:12">
      <c r="K2480" s="56">
        <f t="shared" si="103"/>
        <v>1</v>
      </c>
      <c r="L2480" s="56">
        <f t="shared" si="104"/>
        <v>1900</v>
      </c>
    </row>
    <row r="2481" spans="11:12">
      <c r="K2481" s="56">
        <f t="shared" si="103"/>
        <v>1</v>
      </c>
      <c r="L2481" s="56">
        <f t="shared" si="104"/>
        <v>1900</v>
      </c>
    </row>
    <row r="2482" spans="11:12">
      <c r="K2482" s="56">
        <f t="shared" si="103"/>
        <v>1</v>
      </c>
      <c r="L2482" s="56">
        <f t="shared" si="104"/>
        <v>1900</v>
      </c>
    </row>
    <row r="2483" spans="11:12">
      <c r="K2483" s="56">
        <f t="shared" si="103"/>
        <v>1</v>
      </c>
      <c r="L2483" s="56">
        <f t="shared" si="104"/>
        <v>1900</v>
      </c>
    </row>
    <row r="2484" spans="11:12">
      <c r="K2484" s="56">
        <f t="shared" si="103"/>
        <v>1</v>
      </c>
      <c r="L2484" s="56">
        <f t="shared" si="104"/>
        <v>1900</v>
      </c>
    </row>
    <row r="2485" spans="11:12">
      <c r="K2485" s="56">
        <f t="shared" si="103"/>
        <v>1</v>
      </c>
      <c r="L2485" s="56">
        <f t="shared" si="104"/>
        <v>1900</v>
      </c>
    </row>
    <row r="2486" spans="11:12">
      <c r="K2486" s="56">
        <f t="shared" si="103"/>
        <v>1</v>
      </c>
      <c r="L2486" s="56">
        <f t="shared" si="104"/>
        <v>1900</v>
      </c>
    </row>
    <row r="2487" spans="11:12">
      <c r="K2487" s="56">
        <f t="shared" si="103"/>
        <v>1</v>
      </c>
      <c r="L2487" s="56">
        <f t="shared" si="104"/>
        <v>1900</v>
      </c>
    </row>
    <row r="2488" spans="11:12">
      <c r="K2488" s="56">
        <f t="shared" si="103"/>
        <v>1</v>
      </c>
      <c r="L2488" s="56">
        <f t="shared" si="104"/>
        <v>1900</v>
      </c>
    </row>
    <row r="2489" spans="11:12">
      <c r="K2489" s="56">
        <f t="shared" si="103"/>
        <v>1</v>
      </c>
      <c r="L2489" s="56">
        <f t="shared" si="104"/>
        <v>1900</v>
      </c>
    </row>
    <row r="2490" spans="11:12">
      <c r="K2490" s="56">
        <f t="shared" si="103"/>
        <v>1</v>
      </c>
      <c r="L2490" s="56">
        <f t="shared" si="104"/>
        <v>1900</v>
      </c>
    </row>
    <row r="2491" spans="11:12">
      <c r="K2491" s="56">
        <f t="shared" si="103"/>
        <v>1</v>
      </c>
      <c r="L2491" s="56">
        <f t="shared" si="104"/>
        <v>1900</v>
      </c>
    </row>
    <row r="2492" spans="11:12">
      <c r="K2492" s="56">
        <f t="shared" si="103"/>
        <v>1</v>
      </c>
      <c r="L2492" s="56">
        <f t="shared" si="104"/>
        <v>1900</v>
      </c>
    </row>
    <row r="2493" spans="11:12">
      <c r="K2493" s="56">
        <f t="shared" si="103"/>
        <v>1</v>
      </c>
      <c r="L2493" s="56">
        <f t="shared" si="104"/>
        <v>1900</v>
      </c>
    </row>
    <row r="2494" spans="11:12">
      <c r="K2494" s="56">
        <f t="shared" si="103"/>
        <v>1</v>
      </c>
      <c r="L2494" s="56">
        <f t="shared" si="104"/>
        <v>1900</v>
      </c>
    </row>
    <row r="2495" spans="11:12">
      <c r="K2495" s="56">
        <f t="shared" si="103"/>
        <v>1</v>
      </c>
      <c r="L2495" s="56">
        <f t="shared" si="104"/>
        <v>1900</v>
      </c>
    </row>
    <row r="2496" spans="11:12">
      <c r="K2496" s="56">
        <f t="shared" si="103"/>
        <v>1</v>
      </c>
      <c r="L2496" s="56">
        <f t="shared" si="104"/>
        <v>1900</v>
      </c>
    </row>
    <row r="2497" spans="11:12">
      <c r="K2497" s="56">
        <f t="shared" si="103"/>
        <v>1</v>
      </c>
      <c r="L2497" s="56">
        <f t="shared" si="104"/>
        <v>1900</v>
      </c>
    </row>
    <row r="2498" spans="11:12">
      <c r="K2498" s="56">
        <f t="shared" si="103"/>
        <v>1</v>
      </c>
      <c r="L2498" s="56">
        <f t="shared" si="104"/>
        <v>1900</v>
      </c>
    </row>
    <row r="2499" spans="11:12">
      <c r="K2499" s="56">
        <f t="shared" si="103"/>
        <v>1</v>
      </c>
      <c r="L2499" s="56">
        <f t="shared" si="104"/>
        <v>1900</v>
      </c>
    </row>
    <row r="2500" spans="11:12">
      <c r="K2500" s="56">
        <f t="shared" si="103"/>
        <v>1</v>
      </c>
      <c r="L2500" s="56">
        <f t="shared" si="104"/>
        <v>1900</v>
      </c>
    </row>
    <row r="2501" spans="11:12">
      <c r="K2501" s="56">
        <f t="shared" si="103"/>
        <v>1</v>
      </c>
      <c r="L2501" s="56">
        <f t="shared" si="104"/>
        <v>1900</v>
      </c>
    </row>
    <row r="2502" spans="11:12">
      <c r="K2502" s="56">
        <f t="shared" si="103"/>
        <v>1</v>
      </c>
      <c r="L2502" s="56">
        <f t="shared" si="104"/>
        <v>1900</v>
      </c>
    </row>
    <row r="2503" spans="11:12">
      <c r="K2503" s="56">
        <f t="shared" si="103"/>
        <v>1</v>
      </c>
      <c r="L2503" s="56">
        <f t="shared" si="104"/>
        <v>1900</v>
      </c>
    </row>
    <row r="2504" spans="11:12">
      <c r="K2504" s="56">
        <f t="shared" si="103"/>
        <v>1</v>
      </c>
      <c r="L2504" s="56">
        <f t="shared" si="104"/>
        <v>1900</v>
      </c>
    </row>
    <row r="2505" spans="11:12">
      <c r="K2505" s="56">
        <f t="shared" si="103"/>
        <v>1</v>
      </c>
      <c r="L2505" s="56">
        <f t="shared" si="104"/>
        <v>1900</v>
      </c>
    </row>
    <row r="2506" spans="11:12">
      <c r="K2506" s="56">
        <f t="shared" si="103"/>
        <v>1</v>
      </c>
      <c r="L2506" s="56">
        <f t="shared" si="104"/>
        <v>1900</v>
      </c>
    </row>
    <row r="2507" spans="11:12">
      <c r="K2507" s="56">
        <f t="shared" ref="K2507:K2570" si="105">MONTH(C2507)</f>
        <v>1</v>
      </c>
      <c r="L2507" s="56">
        <f t="shared" ref="L2507:L2570" si="106">YEAR(C2507)</f>
        <v>1900</v>
      </c>
    </row>
    <row r="2508" spans="11:12">
      <c r="K2508" s="56">
        <f t="shared" si="105"/>
        <v>1</v>
      </c>
      <c r="L2508" s="56">
        <f t="shared" si="106"/>
        <v>1900</v>
      </c>
    </row>
    <row r="2509" spans="11:12">
      <c r="K2509" s="56">
        <f t="shared" si="105"/>
        <v>1</v>
      </c>
      <c r="L2509" s="56">
        <f t="shared" si="106"/>
        <v>1900</v>
      </c>
    </row>
    <row r="2510" spans="11:12">
      <c r="K2510" s="56">
        <f t="shared" si="105"/>
        <v>1</v>
      </c>
      <c r="L2510" s="56">
        <f t="shared" si="106"/>
        <v>1900</v>
      </c>
    </row>
    <row r="2511" spans="11:12">
      <c r="K2511" s="56">
        <f t="shared" si="105"/>
        <v>1</v>
      </c>
      <c r="L2511" s="56">
        <f t="shared" si="106"/>
        <v>1900</v>
      </c>
    </row>
    <row r="2512" spans="11:12">
      <c r="K2512" s="56">
        <f t="shared" si="105"/>
        <v>1</v>
      </c>
      <c r="L2512" s="56">
        <f t="shared" si="106"/>
        <v>1900</v>
      </c>
    </row>
    <row r="2513" spans="11:12">
      <c r="K2513" s="56">
        <f t="shared" si="105"/>
        <v>1</v>
      </c>
      <c r="L2513" s="56">
        <f t="shared" si="106"/>
        <v>1900</v>
      </c>
    </row>
    <row r="2514" spans="11:12">
      <c r="K2514" s="56">
        <f t="shared" si="105"/>
        <v>1</v>
      </c>
      <c r="L2514" s="56">
        <f t="shared" si="106"/>
        <v>1900</v>
      </c>
    </row>
    <row r="2515" spans="11:12">
      <c r="K2515" s="56">
        <f t="shared" si="105"/>
        <v>1</v>
      </c>
      <c r="L2515" s="56">
        <f t="shared" si="106"/>
        <v>1900</v>
      </c>
    </row>
    <row r="2516" spans="11:12">
      <c r="K2516" s="56">
        <f t="shared" si="105"/>
        <v>1</v>
      </c>
      <c r="L2516" s="56">
        <f t="shared" si="106"/>
        <v>1900</v>
      </c>
    </row>
    <row r="2517" spans="11:12">
      <c r="K2517" s="56">
        <f t="shared" si="105"/>
        <v>1</v>
      </c>
      <c r="L2517" s="56">
        <f t="shared" si="106"/>
        <v>1900</v>
      </c>
    </row>
    <row r="2518" spans="11:12">
      <c r="K2518" s="56">
        <f t="shared" si="105"/>
        <v>1</v>
      </c>
      <c r="L2518" s="56">
        <f t="shared" si="106"/>
        <v>1900</v>
      </c>
    </row>
    <row r="2519" spans="11:12">
      <c r="K2519" s="56">
        <f t="shared" si="105"/>
        <v>1</v>
      </c>
      <c r="L2519" s="56">
        <f t="shared" si="106"/>
        <v>1900</v>
      </c>
    </row>
    <row r="2520" spans="11:12">
      <c r="K2520" s="56">
        <f t="shared" si="105"/>
        <v>1</v>
      </c>
      <c r="L2520" s="56">
        <f t="shared" si="106"/>
        <v>1900</v>
      </c>
    </row>
    <row r="2521" spans="11:12">
      <c r="K2521" s="56">
        <f t="shared" si="105"/>
        <v>1</v>
      </c>
      <c r="L2521" s="56">
        <f t="shared" si="106"/>
        <v>1900</v>
      </c>
    </row>
    <row r="2522" spans="11:12">
      <c r="K2522" s="56">
        <f t="shared" si="105"/>
        <v>1</v>
      </c>
      <c r="L2522" s="56">
        <f t="shared" si="106"/>
        <v>1900</v>
      </c>
    </row>
    <row r="2523" spans="11:12">
      <c r="K2523" s="56">
        <f t="shared" si="105"/>
        <v>1</v>
      </c>
      <c r="L2523" s="56">
        <f t="shared" si="106"/>
        <v>1900</v>
      </c>
    </row>
    <row r="2524" spans="11:12">
      <c r="K2524" s="56">
        <f t="shared" si="105"/>
        <v>1</v>
      </c>
      <c r="L2524" s="56">
        <f t="shared" si="106"/>
        <v>1900</v>
      </c>
    </row>
    <row r="2525" spans="11:12">
      <c r="K2525" s="56">
        <f t="shared" si="105"/>
        <v>1</v>
      </c>
      <c r="L2525" s="56">
        <f t="shared" si="106"/>
        <v>1900</v>
      </c>
    </row>
    <row r="2526" spans="11:12">
      <c r="K2526" s="56">
        <f t="shared" si="105"/>
        <v>1</v>
      </c>
      <c r="L2526" s="56">
        <f t="shared" si="106"/>
        <v>1900</v>
      </c>
    </row>
    <row r="2527" spans="11:12">
      <c r="K2527" s="56">
        <f t="shared" si="105"/>
        <v>1</v>
      </c>
      <c r="L2527" s="56">
        <f t="shared" si="106"/>
        <v>1900</v>
      </c>
    </row>
    <row r="2528" spans="11:12">
      <c r="K2528" s="56">
        <f t="shared" si="105"/>
        <v>1</v>
      </c>
      <c r="L2528" s="56">
        <f t="shared" si="106"/>
        <v>1900</v>
      </c>
    </row>
    <row r="2529" spans="11:12">
      <c r="K2529" s="56">
        <f t="shared" si="105"/>
        <v>1</v>
      </c>
      <c r="L2529" s="56">
        <f t="shared" si="106"/>
        <v>1900</v>
      </c>
    </row>
    <row r="2530" spans="11:12">
      <c r="K2530" s="56">
        <f t="shared" si="105"/>
        <v>1</v>
      </c>
      <c r="L2530" s="56">
        <f t="shared" si="106"/>
        <v>1900</v>
      </c>
    </row>
    <row r="2531" spans="11:12">
      <c r="K2531" s="56">
        <f t="shared" si="105"/>
        <v>1</v>
      </c>
      <c r="L2531" s="56">
        <f t="shared" si="106"/>
        <v>1900</v>
      </c>
    </row>
    <row r="2532" spans="11:12">
      <c r="K2532" s="56">
        <f t="shared" si="105"/>
        <v>1</v>
      </c>
      <c r="L2532" s="56">
        <f t="shared" si="106"/>
        <v>1900</v>
      </c>
    </row>
    <row r="2533" spans="11:12">
      <c r="K2533" s="56">
        <f t="shared" si="105"/>
        <v>1</v>
      </c>
      <c r="L2533" s="56">
        <f t="shared" si="106"/>
        <v>1900</v>
      </c>
    </row>
    <row r="2534" spans="11:12">
      <c r="K2534" s="56">
        <f t="shared" si="105"/>
        <v>1</v>
      </c>
      <c r="L2534" s="56">
        <f t="shared" si="106"/>
        <v>1900</v>
      </c>
    </row>
    <row r="2535" spans="11:12">
      <c r="K2535" s="56">
        <f t="shared" si="105"/>
        <v>1</v>
      </c>
      <c r="L2535" s="56">
        <f t="shared" si="106"/>
        <v>1900</v>
      </c>
    </row>
    <row r="2536" spans="11:12">
      <c r="K2536" s="56">
        <f t="shared" si="105"/>
        <v>1</v>
      </c>
      <c r="L2536" s="56">
        <f t="shared" si="106"/>
        <v>1900</v>
      </c>
    </row>
    <row r="2537" spans="11:12">
      <c r="K2537" s="56">
        <f t="shared" si="105"/>
        <v>1</v>
      </c>
      <c r="L2537" s="56">
        <f t="shared" si="106"/>
        <v>1900</v>
      </c>
    </row>
    <row r="2538" spans="11:12">
      <c r="K2538" s="56">
        <f t="shared" si="105"/>
        <v>1</v>
      </c>
      <c r="L2538" s="56">
        <f t="shared" si="106"/>
        <v>1900</v>
      </c>
    </row>
    <row r="2539" spans="11:12">
      <c r="K2539" s="56">
        <f t="shared" si="105"/>
        <v>1</v>
      </c>
      <c r="L2539" s="56">
        <f t="shared" si="106"/>
        <v>1900</v>
      </c>
    </row>
    <row r="2540" spans="11:12">
      <c r="K2540" s="56">
        <f t="shared" si="105"/>
        <v>1</v>
      </c>
      <c r="L2540" s="56">
        <f t="shared" si="106"/>
        <v>1900</v>
      </c>
    </row>
    <row r="2541" spans="11:12">
      <c r="K2541" s="56">
        <f t="shared" si="105"/>
        <v>1</v>
      </c>
      <c r="L2541" s="56">
        <f t="shared" si="106"/>
        <v>1900</v>
      </c>
    </row>
    <row r="2542" spans="11:12">
      <c r="K2542" s="56">
        <f t="shared" si="105"/>
        <v>1</v>
      </c>
      <c r="L2542" s="56">
        <f t="shared" si="106"/>
        <v>1900</v>
      </c>
    </row>
    <row r="2543" spans="11:12">
      <c r="K2543" s="56">
        <f t="shared" si="105"/>
        <v>1</v>
      </c>
      <c r="L2543" s="56">
        <f t="shared" si="106"/>
        <v>1900</v>
      </c>
    </row>
    <row r="2544" spans="11:12">
      <c r="K2544" s="56">
        <f t="shared" si="105"/>
        <v>1</v>
      </c>
      <c r="L2544" s="56">
        <f t="shared" si="106"/>
        <v>1900</v>
      </c>
    </row>
    <row r="2545" spans="11:12">
      <c r="K2545" s="56">
        <f t="shared" si="105"/>
        <v>1</v>
      </c>
      <c r="L2545" s="56">
        <f t="shared" si="106"/>
        <v>1900</v>
      </c>
    </row>
    <row r="2546" spans="11:12">
      <c r="K2546" s="56">
        <f t="shared" si="105"/>
        <v>1</v>
      </c>
      <c r="L2546" s="56">
        <f t="shared" si="106"/>
        <v>1900</v>
      </c>
    </row>
    <row r="2547" spans="11:12">
      <c r="K2547" s="56">
        <f t="shared" si="105"/>
        <v>1</v>
      </c>
      <c r="L2547" s="56">
        <f t="shared" si="106"/>
        <v>1900</v>
      </c>
    </row>
    <row r="2548" spans="11:12">
      <c r="K2548" s="56">
        <f t="shared" si="105"/>
        <v>1</v>
      </c>
      <c r="L2548" s="56">
        <f t="shared" si="106"/>
        <v>1900</v>
      </c>
    </row>
    <row r="2549" spans="11:12">
      <c r="K2549" s="56">
        <f t="shared" si="105"/>
        <v>1</v>
      </c>
      <c r="L2549" s="56">
        <f t="shared" si="106"/>
        <v>1900</v>
      </c>
    </row>
    <row r="2550" spans="11:12">
      <c r="K2550" s="56">
        <f t="shared" si="105"/>
        <v>1</v>
      </c>
      <c r="L2550" s="56">
        <f t="shared" si="106"/>
        <v>1900</v>
      </c>
    </row>
    <row r="2551" spans="11:12">
      <c r="K2551" s="56">
        <f t="shared" si="105"/>
        <v>1</v>
      </c>
      <c r="L2551" s="56">
        <f t="shared" si="106"/>
        <v>1900</v>
      </c>
    </row>
    <row r="2552" spans="11:12">
      <c r="K2552" s="56">
        <f t="shared" si="105"/>
        <v>1</v>
      </c>
      <c r="L2552" s="56">
        <f t="shared" si="106"/>
        <v>1900</v>
      </c>
    </row>
    <row r="2553" spans="11:12">
      <c r="K2553" s="56">
        <f t="shared" si="105"/>
        <v>1</v>
      </c>
      <c r="L2553" s="56">
        <f t="shared" si="106"/>
        <v>1900</v>
      </c>
    </row>
    <row r="2554" spans="11:12">
      <c r="K2554" s="56">
        <f t="shared" si="105"/>
        <v>1</v>
      </c>
      <c r="L2554" s="56">
        <f t="shared" si="106"/>
        <v>1900</v>
      </c>
    </row>
    <row r="2555" spans="11:12">
      <c r="K2555" s="56">
        <f t="shared" si="105"/>
        <v>1</v>
      </c>
      <c r="L2555" s="56">
        <f t="shared" si="106"/>
        <v>1900</v>
      </c>
    </row>
    <row r="2556" spans="11:12">
      <c r="K2556" s="56">
        <f t="shared" si="105"/>
        <v>1</v>
      </c>
      <c r="L2556" s="56">
        <f t="shared" si="106"/>
        <v>1900</v>
      </c>
    </row>
    <row r="2557" spans="11:12">
      <c r="K2557" s="56">
        <f t="shared" si="105"/>
        <v>1</v>
      </c>
      <c r="L2557" s="56">
        <f t="shared" si="106"/>
        <v>1900</v>
      </c>
    </row>
    <row r="2558" spans="11:12">
      <c r="K2558" s="56">
        <f t="shared" si="105"/>
        <v>1</v>
      </c>
      <c r="L2558" s="56">
        <f t="shared" si="106"/>
        <v>1900</v>
      </c>
    </row>
    <row r="2559" spans="11:12">
      <c r="K2559" s="56">
        <f t="shared" si="105"/>
        <v>1</v>
      </c>
      <c r="L2559" s="56">
        <f t="shared" si="106"/>
        <v>1900</v>
      </c>
    </row>
    <row r="2560" spans="11:12">
      <c r="K2560" s="56">
        <f t="shared" si="105"/>
        <v>1</v>
      </c>
      <c r="L2560" s="56">
        <f t="shared" si="106"/>
        <v>1900</v>
      </c>
    </row>
    <row r="2561" spans="11:12">
      <c r="K2561" s="56">
        <f t="shared" si="105"/>
        <v>1</v>
      </c>
      <c r="L2561" s="56">
        <f t="shared" si="106"/>
        <v>1900</v>
      </c>
    </row>
    <row r="2562" spans="11:12">
      <c r="K2562" s="56">
        <f t="shared" si="105"/>
        <v>1</v>
      </c>
      <c r="L2562" s="56">
        <f t="shared" si="106"/>
        <v>1900</v>
      </c>
    </row>
    <row r="2563" spans="11:12">
      <c r="K2563" s="56">
        <f t="shared" si="105"/>
        <v>1</v>
      </c>
      <c r="L2563" s="56">
        <f t="shared" si="106"/>
        <v>1900</v>
      </c>
    </row>
    <row r="2564" spans="11:12">
      <c r="K2564" s="56">
        <f t="shared" si="105"/>
        <v>1</v>
      </c>
      <c r="L2564" s="56">
        <f t="shared" si="106"/>
        <v>1900</v>
      </c>
    </row>
    <row r="2565" spans="11:12">
      <c r="K2565" s="56">
        <f t="shared" si="105"/>
        <v>1</v>
      </c>
      <c r="L2565" s="56">
        <f t="shared" si="106"/>
        <v>1900</v>
      </c>
    </row>
    <row r="2566" spans="11:12">
      <c r="K2566" s="56">
        <f t="shared" si="105"/>
        <v>1</v>
      </c>
      <c r="L2566" s="56">
        <f t="shared" si="106"/>
        <v>1900</v>
      </c>
    </row>
    <row r="2567" spans="11:12">
      <c r="K2567" s="56">
        <f t="shared" si="105"/>
        <v>1</v>
      </c>
      <c r="L2567" s="56">
        <f t="shared" si="106"/>
        <v>1900</v>
      </c>
    </row>
    <row r="2568" spans="11:12">
      <c r="K2568" s="56">
        <f t="shared" si="105"/>
        <v>1</v>
      </c>
      <c r="L2568" s="56">
        <f t="shared" si="106"/>
        <v>1900</v>
      </c>
    </row>
    <row r="2569" spans="11:12">
      <c r="K2569" s="56">
        <f t="shared" si="105"/>
        <v>1</v>
      </c>
      <c r="L2569" s="56">
        <f t="shared" si="106"/>
        <v>1900</v>
      </c>
    </row>
    <row r="2570" spans="11:12">
      <c r="K2570" s="56">
        <f t="shared" si="105"/>
        <v>1</v>
      </c>
      <c r="L2570" s="56">
        <f t="shared" si="106"/>
        <v>1900</v>
      </c>
    </row>
    <row r="2571" spans="11:12">
      <c r="K2571" s="56">
        <f t="shared" ref="K2571:K2627" si="107">MONTH(C2571)</f>
        <v>1</v>
      </c>
      <c r="L2571" s="56">
        <f t="shared" ref="L2571:L2627" si="108">YEAR(C2571)</f>
        <v>1900</v>
      </c>
    </row>
    <row r="2572" spans="11:12">
      <c r="K2572" s="56">
        <f t="shared" si="107"/>
        <v>1</v>
      </c>
      <c r="L2572" s="56">
        <f t="shared" si="108"/>
        <v>1900</v>
      </c>
    </row>
    <row r="2573" spans="11:12">
      <c r="K2573" s="56">
        <f t="shared" si="107"/>
        <v>1</v>
      </c>
      <c r="L2573" s="56">
        <f t="shared" si="108"/>
        <v>1900</v>
      </c>
    </row>
    <row r="2574" spans="11:12">
      <c r="K2574" s="56">
        <f t="shared" si="107"/>
        <v>1</v>
      </c>
      <c r="L2574" s="56">
        <f t="shared" si="108"/>
        <v>1900</v>
      </c>
    </row>
    <row r="2575" spans="11:12">
      <c r="K2575" s="56">
        <f t="shared" si="107"/>
        <v>1</v>
      </c>
      <c r="L2575" s="56">
        <f t="shared" si="108"/>
        <v>1900</v>
      </c>
    </row>
    <row r="2576" spans="11:12">
      <c r="K2576" s="56">
        <f t="shared" si="107"/>
        <v>1</v>
      </c>
      <c r="L2576" s="56">
        <f t="shared" si="108"/>
        <v>1900</v>
      </c>
    </row>
    <row r="2577" spans="11:12">
      <c r="K2577" s="56">
        <f t="shared" si="107"/>
        <v>1</v>
      </c>
      <c r="L2577" s="56">
        <f t="shared" si="108"/>
        <v>1900</v>
      </c>
    </row>
    <row r="2578" spans="11:12">
      <c r="K2578" s="56">
        <f t="shared" si="107"/>
        <v>1</v>
      </c>
      <c r="L2578" s="56">
        <f t="shared" si="108"/>
        <v>1900</v>
      </c>
    </row>
    <row r="2579" spans="11:12">
      <c r="K2579" s="56">
        <f t="shared" si="107"/>
        <v>1</v>
      </c>
      <c r="L2579" s="56">
        <f t="shared" si="108"/>
        <v>1900</v>
      </c>
    </row>
    <row r="2580" spans="11:12">
      <c r="K2580" s="56">
        <f t="shared" si="107"/>
        <v>1</v>
      </c>
      <c r="L2580" s="56">
        <f t="shared" si="108"/>
        <v>1900</v>
      </c>
    </row>
    <row r="2581" spans="11:12">
      <c r="K2581" s="56">
        <f t="shared" si="107"/>
        <v>1</v>
      </c>
      <c r="L2581" s="56">
        <f t="shared" si="108"/>
        <v>1900</v>
      </c>
    </row>
    <row r="2582" spans="11:12">
      <c r="K2582" s="56">
        <f t="shared" si="107"/>
        <v>1</v>
      </c>
      <c r="L2582" s="56">
        <f t="shared" si="108"/>
        <v>1900</v>
      </c>
    </row>
    <row r="2583" spans="11:12">
      <c r="K2583" s="56">
        <f t="shared" si="107"/>
        <v>1</v>
      </c>
      <c r="L2583" s="56">
        <f t="shared" si="108"/>
        <v>1900</v>
      </c>
    </row>
    <row r="2584" spans="11:12">
      <c r="K2584" s="56">
        <f t="shared" si="107"/>
        <v>1</v>
      </c>
      <c r="L2584" s="56">
        <f t="shared" si="108"/>
        <v>1900</v>
      </c>
    </row>
    <row r="2585" spans="11:12">
      <c r="K2585" s="56">
        <f t="shared" si="107"/>
        <v>1</v>
      </c>
      <c r="L2585" s="56">
        <f t="shared" si="108"/>
        <v>1900</v>
      </c>
    </row>
    <row r="2586" spans="11:12">
      <c r="K2586" s="56">
        <f t="shared" si="107"/>
        <v>1</v>
      </c>
      <c r="L2586" s="56">
        <f t="shared" si="108"/>
        <v>1900</v>
      </c>
    </row>
    <row r="2587" spans="11:12">
      <c r="K2587" s="56">
        <f t="shared" si="107"/>
        <v>1</v>
      </c>
      <c r="L2587" s="56">
        <f t="shared" si="108"/>
        <v>1900</v>
      </c>
    </row>
    <row r="2588" spans="11:12">
      <c r="K2588" s="56">
        <f t="shared" si="107"/>
        <v>1</v>
      </c>
      <c r="L2588" s="56">
        <f t="shared" si="108"/>
        <v>1900</v>
      </c>
    </row>
    <row r="2589" spans="11:12">
      <c r="K2589" s="56">
        <f t="shared" si="107"/>
        <v>1</v>
      </c>
      <c r="L2589" s="56">
        <f t="shared" si="108"/>
        <v>1900</v>
      </c>
    </row>
    <row r="2590" spans="11:12">
      <c r="K2590" s="56">
        <f t="shared" si="107"/>
        <v>1</v>
      </c>
      <c r="L2590" s="56">
        <f t="shared" si="108"/>
        <v>1900</v>
      </c>
    </row>
    <row r="2591" spans="11:12">
      <c r="K2591" s="56">
        <f t="shared" si="107"/>
        <v>1</v>
      </c>
      <c r="L2591" s="56">
        <f t="shared" si="108"/>
        <v>1900</v>
      </c>
    </row>
    <row r="2592" spans="11:12">
      <c r="K2592" s="56">
        <f t="shared" si="107"/>
        <v>1</v>
      </c>
      <c r="L2592" s="56">
        <f t="shared" si="108"/>
        <v>1900</v>
      </c>
    </row>
    <row r="2593" spans="11:12">
      <c r="K2593" s="56">
        <f t="shared" si="107"/>
        <v>1</v>
      </c>
      <c r="L2593" s="56">
        <f t="shared" si="108"/>
        <v>1900</v>
      </c>
    </row>
    <row r="2594" spans="11:12">
      <c r="K2594" s="56">
        <f t="shared" si="107"/>
        <v>1</v>
      </c>
      <c r="L2594" s="56">
        <f t="shared" si="108"/>
        <v>1900</v>
      </c>
    </row>
    <row r="2595" spans="11:12">
      <c r="K2595" s="56">
        <f t="shared" si="107"/>
        <v>1</v>
      </c>
      <c r="L2595" s="56">
        <f t="shared" si="108"/>
        <v>1900</v>
      </c>
    </row>
    <row r="2596" spans="11:12">
      <c r="K2596" s="56">
        <f t="shared" si="107"/>
        <v>1</v>
      </c>
      <c r="L2596" s="56">
        <f t="shared" si="108"/>
        <v>1900</v>
      </c>
    </row>
    <row r="2597" spans="11:12">
      <c r="K2597" s="56">
        <f t="shared" si="107"/>
        <v>1</v>
      </c>
      <c r="L2597" s="56">
        <f t="shared" si="108"/>
        <v>1900</v>
      </c>
    </row>
    <row r="2598" spans="11:12">
      <c r="K2598" s="56">
        <f t="shared" si="107"/>
        <v>1</v>
      </c>
      <c r="L2598" s="56">
        <f t="shared" si="108"/>
        <v>1900</v>
      </c>
    </row>
    <row r="2599" spans="11:12">
      <c r="K2599" s="56">
        <f t="shared" si="107"/>
        <v>1</v>
      </c>
      <c r="L2599" s="56">
        <f t="shared" si="108"/>
        <v>1900</v>
      </c>
    </row>
    <row r="2600" spans="11:12">
      <c r="K2600" s="56">
        <f t="shared" si="107"/>
        <v>1</v>
      </c>
      <c r="L2600" s="56">
        <f t="shared" si="108"/>
        <v>1900</v>
      </c>
    </row>
    <row r="2601" spans="11:12">
      <c r="K2601" s="56">
        <f t="shared" si="107"/>
        <v>1</v>
      </c>
      <c r="L2601" s="56">
        <f t="shared" si="108"/>
        <v>1900</v>
      </c>
    </row>
    <row r="2602" spans="11:12">
      <c r="K2602" s="56">
        <f t="shared" si="107"/>
        <v>1</v>
      </c>
      <c r="L2602" s="56">
        <f t="shared" si="108"/>
        <v>1900</v>
      </c>
    </row>
    <row r="2603" spans="11:12">
      <c r="K2603" s="56">
        <f t="shared" si="107"/>
        <v>1</v>
      </c>
      <c r="L2603" s="56">
        <f t="shared" si="108"/>
        <v>1900</v>
      </c>
    </row>
    <row r="2604" spans="11:12">
      <c r="K2604" s="56">
        <f t="shared" si="107"/>
        <v>1</v>
      </c>
      <c r="L2604" s="56">
        <f t="shared" si="108"/>
        <v>1900</v>
      </c>
    </row>
    <row r="2605" spans="11:12">
      <c r="K2605" s="56">
        <f t="shared" si="107"/>
        <v>1</v>
      </c>
      <c r="L2605" s="56">
        <f t="shared" si="108"/>
        <v>1900</v>
      </c>
    </row>
    <row r="2606" spans="11:12">
      <c r="K2606" s="56">
        <f t="shared" si="107"/>
        <v>1</v>
      </c>
      <c r="L2606" s="56">
        <f t="shared" si="108"/>
        <v>1900</v>
      </c>
    </row>
    <row r="2607" spans="11:12">
      <c r="K2607" s="56">
        <f t="shared" si="107"/>
        <v>1</v>
      </c>
      <c r="L2607" s="56">
        <f t="shared" si="108"/>
        <v>1900</v>
      </c>
    </row>
    <row r="2608" spans="11:12">
      <c r="K2608" s="56">
        <f t="shared" si="107"/>
        <v>1</v>
      </c>
      <c r="L2608" s="56">
        <f t="shared" si="108"/>
        <v>1900</v>
      </c>
    </row>
    <row r="2609" spans="11:12">
      <c r="K2609" s="56">
        <f t="shared" si="107"/>
        <v>1</v>
      </c>
      <c r="L2609" s="56">
        <f t="shared" si="108"/>
        <v>1900</v>
      </c>
    </row>
    <row r="2610" spans="11:12">
      <c r="K2610" s="56">
        <f t="shared" si="107"/>
        <v>1</v>
      </c>
      <c r="L2610" s="56">
        <f t="shared" si="108"/>
        <v>1900</v>
      </c>
    </row>
    <row r="2611" spans="11:12">
      <c r="K2611" s="56">
        <f t="shared" si="107"/>
        <v>1</v>
      </c>
      <c r="L2611" s="56">
        <f t="shared" si="108"/>
        <v>1900</v>
      </c>
    </row>
    <row r="2612" spans="11:12">
      <c r="K2612" s="56">
        <f t="shared" si="107"/>
        <v>1</v>
      </c>
      <c r="L2612" s="56">
        <f t="shared" si="108"/>
        <v>1900</v>
      </c>
    </row>
    <row r="2613" spans="11:12">
      <c r="K2613" s="56">
        <f t="shared" si="107"/>
        <v>1</v>
      </c>
      <c r="L2613" s="56">
        <f t="shared" si="108"/>
        <v>1900</v>
      </c>
    </row>
    <row r="2614" spans="11:12">
      <c r="K2614" s="56">
        <f t="shared" si="107"/>
        <v>1</v>
      </c>
      <c r="L2614" s="56">
        <f t="shared" si="108"/>
        <v>1900</v>
      </c>
    </row>
    <row r="2615" spans="11:12">
      <c r="K2615" s="56">
        <f t="shared" si="107"/>
        <v>1</v>
      </c>
      <c r="L2615" s="56">
        <f t="shared" si="108"/>
        <v>1900</v>
      </c>
    </row>
    <row r="2616" spans="11:12">
      <c r="K2616" s="56">
        <f t="shared" si="107"/>
        <v>1</v>
      </c>
      <c r="L2616" s="56">
        <f t="shared" si="108"/>
        <v>1900</v>
      </c>
    </row>
    <row r="2617" spans="11:12">
      <c r="K2617" s="56">
        <f t="shared" si="107"/>
        <v>1</v>
      </c>
      <c r="L2617" s="56">
        <f t="shared" si="108"/>
        <v>1900</v>
      </c>
    </row>
    <row r="2618" spans="11:12">
      <c r="K2618" s="56">
        <f t="shared" si="107"/>
        <v>1</v>
      </c>
      <c r="L2618" s="56">
        <f t="shared" si="108"/>
        <v>1900</v>
      </c>
    </row>
    <row r="2619" spans="11:12">
      <c r="K2619" s="56">
        <f t="shared" si="107"/>
        <v>1</v>
      </c>
      <c r="L2619" s="56">
        <f t="shared" si="108"/>
        <v>1900</v>
      </c>
    </row>
    <row r="2620" spans="11:12">
      <c r="K2620" s="56">
        <f t="shared" si="107"/>
        <v>1</v>
      </c>
      <c r="L2620" s="56">
        <f t="shared" si="108"/>
        <v>1900</v>
      </c>
    </row>
    <row r="2621" spans="11:12">
      <c r="K2621" s="56">
        <f t="shared" si="107"/>
        <v>1</v>
      </c>
      <c r="L2621" s="56">
        <f t="shared" si="108"/>
        <v>1900</v>
      </c>
    </row>
    <row r="2622" spans="11:12">
      <c r="K2622" s="56">
        <f t="shared" si="107"/>
        <v>1</v>
      </c>
      <c r="L2622" s="56">
        <f t="shared" si="108"/>
        <v>1900</v>
      </c>
    </row>
    <row r="2623" spans="11:12">
      <c r="K2623" s="56">
        <f t="shared" si="107"/>
        <v>1</v>
      </c>
      <c r="L2623" s="56">
        <f t="shared" si="108"/>
        <v>1900</v>
      </c>
    </row>
    <row r="2624" spans="11:12">
      <c r="K2624" s="56">
        <f t="shared" si="107"/>
        <v>1</v>
      </c>
      <c r="L2624" s="56">
        <f t="shared" si="108"/>
        <v>1900</v>
      </c>
    </row>
    <row r="2625" spans="11:12">
      <c r="K2625" s="56">
        <f t="shared" si="107"/>
        <v>1</v>
      </c>
      <c r="L2625" s="56">
        <f t="shared" si="108"/>
        <v>1900</v>
      </c>
    </row>
    <row r="2626" spans="11:12">
      <c r="K2626" s="56">
        <f t="shared" si="107"/>
        <v>1</v>
      </c>
      <c r="L2626" s="56">
        <f t="shared" si="108"/>
        <v>1900</v>
      </c>
    </row>
    <row r="2627" spans="11:12">
      <c r="K2627" s="56">
        <f t="shared" si="107"/>
        <v>1</v>
      </c>
      <c r="L2627" s="56">
        <f t="shared" si="108"/>
        <v>1900</v>
      </c>
    </row>
  </sheetData>
  <autoFilter ref="A1:N697" xr:uid="{60E9ACEA-87DA-4DAA-8A01-62408526DA42}"/>
  <phoneticPr fontId="10" type="noConversion"/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63973-F3B3-4E4B-876D-6972C56EC375}">
  <sheetPr>
    <tabColor rgb="FFFFFF00"/>
  </sheetPr>
  <dimension ref="A2:F17"/>
  <sheetViews>
    <sheetView workbookViewId="0">
      <selection activeCell="H10" sqref="H10"/>
    </sheetView>
  </sheetViews>
  <sheetFormatPr defaultRowHeight="14.5"/>
  <cols>
    <col min="1" max="1" width="11.90625" bestFit="1" customWidth="1"/>
    <col min="2" max="2" width="27" bestFit="1" customWidth="1"/>
    <col min="3" max="4" width="9.81640625" bestFit="1" customWidth="1"/>
    <col min="5" max="5" width="8.81640625" bestFit="1" customWidth="1"/>
    <col min="6" max="26" width="12" customWidth="1"/>
    <col min="27" max="33" width="25.6328125" bestFit="1" customWidth="1"/>
    <col min="34" max="34" width="43.08984375" bestFit="1" customWidth="1"/>
    <col min="35" max="35" width="39.36328125" bestFit="1" customWidth="1"/>
    <col min="36" max="41" width="11.7265625" bestFit="1" customWidth="1"/>
    <col min="42" max="42" width="46.54296875" bestFit="1" customWidth="1"/>
    <col min="43" max="43" width="42.81640625" bestFit="1" customWidth="1"/>
    <col min="44" max="65" width="9.81640625" bestFit="1" customWidth="1"/>
    <col min="66" max="66" width="34.26953125" bestFit="1" customWidth="1"/>
    <col min="67" max="67" width="30.54296875" bestFit="1" customWidth="1"/>
    <col min="68" max="68" width="10.81640625" bestFit="1" customWidth="1"/>
    <col min="69" max="69" width="9.81640625" bestFit="1" customWidth="1"/>
  </cols>
  <sheetData>
    <row r="2" spans="1:6">
      <c r="A2" s="61" t="s">
        <v>5236</v>
      </c>
      <c r="B2" t="s">
        <v>5243</v>
      </c>
    </row>
    <row r="4" spans="1:6" ht="58">
      <c r="A4" s="58" t="s">
        <v>5237</v>
      </c>
      <c r="B4" s="58" t="s">
        <v>5240</v>
      </c>
      <c r="C4" s="60" t="s">
        <v>5245</v>
      </c>
      <c r="D4" s="60" t="s">
        <v>5238</v>
      </c>
      <c r="E4" s="60" t="s">
        <v>5239</v>
      </c>
      <c r="F4" s="64" t="s">
        <v>5244</v>
      </c>
    </row>
    <row r="5" spans="1:6">
      <c r="A5" s="57">
        <v>2025</v>
      </c>
      <c r="B5" s="59" t="s">
        <v>3326</v>
      </c>
      <c r="C5" s="62">
        <v>17700</v>
      </c>
      <c r="D5" s="62">
        <v>0</v>
      </c>
      <c r="E5" s="62">
        <v>0</v>
      </c>
      <c r="F5" s="56"/>
    </row>
    <row r="6" spans="1:6">
      <c r="A6" s="57"/>
      <c r="B6" s="59" t="s">
        <v>154</v>
      </c>
      <c r="C6" s="62">
        <v>1059522</v>
      </c>
      <c r="D6" s="62">
        <v>1059522</v>
      </c>
      <c r="E6" s="62">
        <v>58690</v>
      </c>
      <c r="F6" s="65">
        <f>E6/D6</f>
        <v>5.5392903592374677E-2</v>
      </c>
    </row>
    <row r="7" spans="1:6">
      <c r="A7" s="57"/>
      <c r="B7" s="59" t="s">
        <v>48</v>
      </c>
      <c r="C7" s="62">
        <v>142876</v>
      </c>
      <c r="D7" s="62">
        <v>142875.57999999999</v>
      </c>
      <c r="E7" s="62">
        <v>0</v>
      </c>
      <c r="F7" s="65">
        <f t="shared" ref="F7:F16" si="0">E7/D7</f>
        <v>0</v>
      </c>
    </row>
    <row r="8" spans="1:6">
      <c r="A8" s="57"/>
      <c r="B8" s="59" t="s">
        <v>153</v>
      </c>
      <c r="C8" s="62">
        <v>247741</v>
      </c>
      <c r="D8" s="62">
        <v>247741</v>
      </c>
      <c r="E8" s="62">
        <v>0</v>
      </c>
      <c r="F8" s="65">
        <f t="shared" si="0"/>
        <v>0</v>
      </c>
    </row>
    <row r="9" spans="1:6">
      <c r="A9" s="57"/>
      <c r="B9" s="59" t="s">
        <v>47</v>
      </c>
      <c r="C9" s="62">
        <v>82203.8</v>
      </c>
      <c r="D9" s="62">
        <v>58075.899999999994</v>
      </c>
      <c r="E9" s="62">
        <v>0</v>
      </c>
      <c r="F9" s="65">
        <f t="shared" si="0"/>
        <v>0</v>
      </c>
    </row>
    <row r="10" spans="1:6">
      <c r="A10" s="57"/>
      <c r="B10" s="59" t="s">
        <v>33</v>
      </c>
      <c r="C10" s="62">
        <v>899680</v>
      </c>
      <c r="D10" s="62">
        <v>843824.70000000088</v>
      </c>
      <c r="E10" s="62">
        <v>74756.989999999991</v>
      </c>
      <c r="F10" s="65">
        <f t="shared" si="0"/>
        <v>8.8593033600462168E-2</v>
      </c>
    </row>
    <row r="11" spans="1:6">
      <c r="A11" s="57" t="s">
        <v>5241</v>
      </c>
      <c r="B11" s="57"/>
      <c r="C11" s="62">
        <v>2449722.7999999998</v>
      </c>
      <c r="D11" s="62">
        <v>2352039.1800000006</v>
      </c>
      <c r="E11" s="62">
        <v>133446.99</v>
      </c>
      <c r="F11" s="65">
        <f t="shared" si="0"/>
        <v>5.6736720686770173E-2</v>
      </c>
    </row>
    <row r="12" spans="1:6">
      <c r="A12" s="57">
        <v>2026</v>
      </c>
      <c r="B12" s="59" t="s">
        <v>3326</v>
      </c>
      <c r="C12" s="62">
        <v>94477.31</v>
      </c>
      <c r="D12" s="62">
        <v>0</v>
      </c>
      <c r="E12" s="62">
        <v>0</v>
      </c>
      <c r="F12" s="65" t="e">
        <f t="shared" si="0"/>
        <v>#DIV/0!</v>
      </c>
    </row>
    <row r="13" spans="1:6">
      <c r="A13" s="57"/>
      <c r="B13" s="59" t="s">
        <v>154</v>
      </c>
      <c r="C13" s="62">
        <v>135877</v>
      </c>
      <c r="D13" s="62">
        <v>131924</v>
      </c>
      <c r="E13" s="62">
        <v>16860</v>
      </c>
      <c r="F13" s="65">
        <f t="shared" si="0"/>
        <v>0.12780085503774902</v>
      </c>
    </row>
    <row r="14" spans="1:6">
      <c r="A14" s="57"/>
      <c r="B14" s="59" t="s">
        <v>153</v>
      </c>
      <c r="C14" s="62">
        <v>29205</v>
      </c>
      <c r="D14" s="62">
        <v>0</v>
      </c>
      <c r="E14" s="62">
        <v>0</v>
      </c>
      <c r="F14" s="65" t="e">
        <f t="shared" si="0"/>
        <v>#DIV/0!</v>
      </c>
    </row>
    <row r="15" spans="1:6">
      <c r="A15" s="57"/>
      <c r="B15" s="59" t="s">
        <v>33</v>
      </c>
      <c r="C15" s="62">
        <v>51753</v>
      </c>
      <c r="D15" s="62">
        <v>50021.45</v>
      </c>
      <c r="E15" s="62">
        <v>0</v>
      </c>
      <c r="F15" s="65">
        <f t="shared" si="0"/>
        <v>0</v>
      </c>
    </row>
    <row r="16" spans="1:6">
      <c r="A16" s="57" t="s">
        <v>5242</v>
      </c>
      <c r="B16" s="57"/>
      <c r="C16" s="62">
        <v>311312.31</v>
      </c>
      <c r="D16" s="62">
        <v>181945.45</v>
      </c>
      <c r="E16" s="62">
        <v>16860</v>
      </c>
      <c r="F16" s="65">
        <f t="shared" si="0"/>
        <v>9.266513672092376E-2</v>
      </c>
    </row>
    <row r="17" spans="1:6">
      <c r="A17" s="59" t="s">
        <v>2856</v>
      </c>
      <c r="B17" s="59"/>
      <c r="C17" s="62">
        <v>2761035.11</v>
      </c>
      <c r="D17" s="62">
        <v>2533984.6300000008</v>
      </c>
      <c r="E17" s="62">
        <v>150306.99</v>
      </c>
      <c r="F17" s="6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33497-6F62-443E-B718-7D47F0696F92}">
  <sheetPr>
    <tabColor rgb="FFFFC000"/>
  </sheetPr>
  <dimension ref="A1:AD1604"/>
  <sheetViews>
    <sheetView workbookViewId="0">
      <pane xSplit="5" ySplit="1" topLeftCell="F260" activePane="bottomRight" state="frozen"/>
      <selection pane="topRight" activeCell="F1" sqref="F1"/>
      <selection pane="bottomLeft" activeCell="A2" sqref="A2"/>
      <selection pane="bottomRight" activeCell="H270" sqref="H270"/>
    </sheetView>
  </sheetViews>
  <sheetFormatPr defaultRowHeight="14.5"/>
  <cols>
    <col min="3" max="3" width="14.6328125" bestFit="1" customWidth="1"/>
    <col min="5" max="5" width="32.81640625" bestFit="1" customWidth="1"/>
    <col min="6" max="6" width="13.90625" bestFit="1" customWidth="1"/>
    <col min="8" max="8" width="9.7265625" bestFit="1" customWidth="1"/>
    <col min="11" max="11" width="20.08984375" bestFit="1" customWidth="1"/>
    <col min="12" max="12" width="10.08984375" bestFit="1" customWidth="1"/>
    <col min="14" max="14" width="12.453125" bestFit="1" customWidth="1"/>
    <col min="15" max="15" width="13.36328125" bestFit="1" customWidth="1"/>
    <col min="16" max="16" width="14.6328125" bestFit="1" customWidth="1"/>
    <col min="17" max="17" width="14.08984375" bestFit="1" customWidth="1"/>
    <col min="18" max="18" width="13.26953125" bestFit="1" customWidth="1"/>
    <col min="19" max="19" width="11.26953125" bestFit="1" customWidth="1"/>
    <col min="20" max="20" width="11.08984375" bestFit="1" customWidth="1"/>
    <col min="21" max="21" width="13.90625" bestFit="1" customWidth="1"/>
    <col min="22" max="22" width="15" bestFit="1" customWidth="1"/>
    <col min="25" max="25" width="14.453125" bestFit="1" customWidth="1"/>
    <col min="29" max="29" width="34.81640625" bestFit="1" customWidth="1"/>
    <col min="30" max="30" width="15.6328125" bestFit="1" customWidth="1"/>
  </cols>
  <sheetData>
    <row r="1" spans="1:30">
      <c r="A1" s="3" t="s">
        <v>213</v>
      </c>
      <c r="B1" s="3" t="s">
        <v>214</v>
      </c>
      <c r="C1" s="3" t="s">
        <v>215</v>
      </c>
      <c r="D1" s="3" t="s">
        <v>216</v>
      </c>
      <c r="E1" s="3" t="s">
        <v>217</v>
      </c>
      <c r="F1" s="3" t="s">
        <v>218</v>
      </c>
      <c r="G1" s="3" t="s">
        <v>219</v>
      </c>
      <c r="H1" s="3" t="s">
        <v>220</v>
      </c>
      <c r="I1" s="3" t="s">
        <v>221</v>
      </c>
      <c r="J1" s="3" t="s">
        <v>222</v>
      </c>
      <c r="K1" s="3" t="s">
        <v>223</v>
      </c>
      <c r="L1" s="3" t="s">
        <v>224</v>
      </c>
      <c r="M1" s="3" t="s">
        <v>225</v>
      </c>
      <c r="N1" s="3" t="s">
        <v>226</v>
      </c>
      <c r="O1" s="3" t="s">
        <v>227</v>
      </c>
      <c r="P1" s="3" t="s">
        <v>228</v>
      </c>
      <c r="Q1" s="3" t="s">
        <v>229</v>
      </c>
      <c r="R1" s="3" t="s">
        <v>230</v>
      </c>
      <c r="S1" s="3" t="s">
        <v>231</v>
      </c>
      <c r="T1" s="3" t="s">
        <v>232</v>
      </c>
      <c r="U1" s="3" t="s">
        <v>233</v>
      </c>
      <c r="V1" s="3" t="s">
        <v>234</v>
      </c>
      <c r="W1" s="3" t="s">
        <v>235</v>
      </c>
      <c r="X1" s="3" t="s">
        <v>236</v>
      </c>
      <c r="Y1" s="3" t="s">
        <v>237</v>
      </c>
      <c r="Z1" s="3" t="s">
        <v>238</v>
      </c>
      <c r="AA1" s="3" t="s">
        <v>239</v>
      </c>
      <c r="AB1" s="3" t="s">
        <v>240</v>
      </c>
      <c r="AC1" s="3" t="s">
        <v>241</v>
      </c>
      <c r="AD1" s="3" t="s">
        <v>242</v>
      </c>
    </row>
    <row r="2" spans="1:30">
      <c r="A2" s="7">
        <v>1</v>
      </c>
      <c r="B2" t="s">
        <v>243</v>
      </c>
      <c r="C2" t="s">
        <v>244</v>
      </c>
      <c r="D2" s="7">
        <v>7134</v>
      </c>
      <c r="E2" t="s">
        <v>245</v>
      </c>
      <c r="F2" t="s">
        <v>246</v>
      </c>
      <c r="G2" t="s">
        <v>247</v>
      </c>
      <c r="H2" t="s">
        <v>273</v>
      </c>
      <c r="I2" s="7">
        <v>1165</v>
      </c>
      <c r="J2" t="s">
        <v>298</v>
      </c>
      <c r="K2" t="s">
        <v>299</v>
      </c>
      <c r="L2" t="s">
        <v>300</v>
      </c>
      <c r="M2" t="s">
        <v>252</v>
      </c>
      <c r="N2" t="s">
        <v>253</v>
      </c>
      <c r="O2" t="s">
        <v>277</v>
      </c>
      <c r="P2" t="s">
        <v>255</v>
      </c>
      <c r="Q2" s="8">
        <v>1150</v>
      </c>
      <c r="R2" s="8">
        <v>1150</v>
      </c>
      <c r="S2" s="8">
        <v>207</v>
      </c>
      <c r="T2" s="8">
        <v>1357</v>
      </c>
      <c r="U2" s="7">
        <v>620984</v>
      </c>
      <c r="V2" t="s">
        <v>256</v>
      </c>
      <c r="W2" s="8">
        <v>0</v>
      </c>
      <c r="X2" s="7">
        <v>32237</v>
      </c>
      <c r="Y2" t="s">
        <v>256</v>
      </c>
    </row>
    <row r="3" spans="1:30">
      <c r="A3" s="7">
        <v>2</v>
      </c>
      <c r="B3" t="s">
        <v>243</v>
      </c>
      <c r="C3" t="s">
        <v>244</v>
      </c>
      <c r="D3" s="7">
        <v>7134</v>
      </c>
      <c r="E3" t="s">
        <v>245</v>
      </c>
      <c r="F3" t="s">
        <v>246</v>
      </c>
      <c r="G3" t="s">
        <v>247</v>
      </c>
      <c r="H3" t="s">
        <v>293</v>
      </c>
      <c r="I3" s="7">
        <v>1165</v>
      </c>
      <c r="J3" t="s">
        <v>318</v>
      </c>
      <c r="K3" t="s">
        <v>319</v>
      </c>
      <c r="L3" t="s">
        <v>320</v>
      </c>
      <c r="M3" t="s">
        <v>261</v>
      </c>
      <c r="N3" t="s">
        <v>253</v>
      </c>
      <c r="O3" t="s">
        <v>321</v>
      </c>
      <c r="P3" t="s">
        <v>255</v>
      </c>
      <c r="Q3" s="8">
        <v>1150</v>
      </c>
      <c r="R3" s="8">
        <v>1150</v>
      </c>
      <c r="S3" s="8">
        <v>207</v>
      </c>
      <c r="T3" s="8">
        <v>1357</v>
      </c>
      <c r="U3" s="7">
        <v>620984</v>
      </c>
      <c r="V3" t="s">
        <v>256</v>
      </c>
      <c r="W3" s="8">
        <v>0</v>
      </c>
      <c r="X3" s="7">
        <v>32237</v>
      </c>
      <c r="Y3" t="s">
        <v>256</v>
      </c>
    </row>
    <row r="4" spans="1:30">
      <c r="A4" s="7">
        <v>3</v>
      </c>
      <c r="B4" t="s">
        <v>243</v>
      </c>
      <c r="C4" t="s">
        <v>244</v>
      </c>
      <c r="D4" s="7">
        <v>7134</v>
      </c>
      <c r="E4" t="s">
        <v>245</v>
      </c>
      <c r="F4" t="s">
        <v>246</v>
      </c>
      <c r="G4" t="s">
        <v>247</v>
      </c>
      <c r="H4" t="s">
        <v>273</v>
      </c>
      <c r="I4" s="7">
        <v>1165</v>
      </c>
      <c r="J4" t="s">
        <v>322</v>
      </c>
      <c r="K4" t="s">
        <v>323</v>
      </c>
      <c r="L4" t="s">
        <v>324</v>
      </c>
      <c r="M4" t="s">
        <v>252</v>
      </c>
      <c r="N4" t="s">
        <v>253</v>
      </c>
      <c r="O4" t="s">
        <v>277</v>
      </c>
      <c r="P4" t="s">
        <v>255</v>
      </c>
      <c r="Q4" s="8">
        <v>1150</v>
      </c>
      <c r="R4" s="8">
        <v>1150</v>
      </c>
      <c r="S4" s="8">
        <v>207</v>
      </c>
      <c r="T4" s="8">
        <v>1357</v>
      </c>
      <c r="U4" s="7">
        <v>620984</v>
      </c>
      <c r="V4" t="s">
        <v>256</v>
      </c>
      <c r="W4" s="8">
        <v>0</v>
      </c>
      <c r="X4" s="7">
        <v>32237</v>
      </c>
      <c r="Y4" t="s">
        <v>256</v>
      </c>
    </row>
    <row r="5" spans="1:30">
      <c r="A5" s="7">
        <v>4</v>
      </c>
      <c r="B5" t="s">
        <v>243</v>
      </c>
      <c r="C5" t="s">
        <v>244</v>
      </c>
      <c r="D5" s="7">
        <v>7134</v>
      </c>
      <c r="E5" t="s">
        <v>245</v>
      </c>
      <c r="F5" t="s">
        <v>246</v>
      </c>
      <c r="G5" t="s">
        <v>247</v>
      </c>
      <c r="H5" t="s">
        <v>313</v>
      </c>
      <c r="I5" s="7">
        <v>1165</v>
      </c>
      <c r="J5" t="s">
        <v>314</v>
      </c>
      <c r="K5" t="s">
        <v>315</v>
      </c>
      <c r="L5" t="s">
        <v>316</v>
      </c>
      <c r="M5" t="s">
        <v>261</v>
      </c>
      <c r="N5" t="s">
        <v>253</v>
      </c>
      <c r="O5" t="s">
        <v>317</v>
      </c>
      <c r="P5" t="s">
        <v>255</v>
      </c>
      <c r="Q5" s="8">
        <v>1150</v>
      </c>
      <c r="R5" s="8">
        <v>1150</v>
      </c>
      <c r="S5" s="8">
        <v>207</v>
      </c>
      <c r="T5" s="8">
        <v>1357</v>
      </c>
      <c r="U5" s="7">
        <v>620984</v>
      </c>
      <c r="V5" t="s">
        <v>256</v>
      </c>
      <c r="W5" s="8">
        <v>0</v>
      </c>
      <c r="X5" s="7">
        <v>32237</v>
      </c>
      <c r="Y5" t="s">
        <v>256</v>
      </c>
    </row>
    <row r="6" spans="1:30">
      <c r="A6" s="7">
        <v>5</v>
      </c>
      <c r="B6" t="s">
        <v>243</v>
      </c>
      <c r="C6" t="s">
        <v>244</v>
      </c>
      <c r="D6" s="7">
        <v>7134</v>
      </c>
      <c r="E6" t="s">
        <v>245</v>
      </c>
      <c r="F6" t="s">
        <v>246</v>
      </c>
      <c r="G6" t="s">
        <v>247</v>
      </c>
      <c r="H6" t="s">
        <v>273</v>
      </c>
      <c r="I6" s="7">
        <v>1165</v>
      </c>
      <c r="J6" t="s">
        <v>338</v>
      </c>
      <c r="K6" t="s">
        <v>339</v>
      </c>
      <c r="L6" t="s">
        <v>340</v>
      </c>
      <c r="M6" t="s">
        <v>252</v>
      </c>
      <c r="N6" t="s">
        <v>253</v>
      </c>
      <c r="O6" t="s">
        <v>277</v>
      </c>
      <c r="P6" t="s">
        <v>255</v>
      </c>
      <c r="Q6" s="8">
        <v>1150</v>
      </c>
      <c r="R6" s="8">
        <v>1150</v>
      </c>
      <c r="S6" s="8">
        <v>207</v>
      </c>
      <c r="T6" s="8">
        <v>1357</v>
      </c>
      <c r="U6" s="7">
        <v>620984</v>
      </c>
      <c r="V6" t="s">
        <v>256</v>
      </c>
      <c r="W6" s="8">
        <v>0</v>
      </c>
      <c r="X6" s="7">
        <v>32237</v>
      </c>
      <c r="Y6" t="s">
        <v>256</v>
      </c>
    </row>
    <row r="7" spans="1:30">
      <c r="A7" s="7">
        <v>6</v>
      </c>
      <c r="B7" t="s">
        <v>243</v>
      </c>
      <c r="C7" t="s">
        <v>244</v>
      </c>
      <c r="D7" s="7">
        <v>7134</v>
      </c>
      <c r="E7" t="s">
        <v>245</v>
      </c>
      <c r="F7" t="s">
        <v>246</v>
      </c>
      <c r="G7" t="s">
        <v>247</v>
      </c>
      <c r="H7" t="s">
        <v>293</v>
      </c>
      <c r="I7" s="7">
        <v>1165</v>
      </c>
      <c r="J7" t="s">
        <v>358</v>
      </c>
      <c r="K7" t="s">
        <v>359</v>
      </c>
      <c r="L7" t="s">
        <v>360</v>
      </c>
      <c r="M7" t="s">
        <v>361</v>
      </c>
      <c r="N7" t="s">
        <v>253</v>
      </c>
      <c r="O7" t="s">
        <v>362</v>
      </c>
      <c r="P7" t="s">
        <v>255</v>
      </c>
      <c r="Q7" s="8">
        <v>1500</v>
      </c>
      <c r="R7" s="8">
        <v>1500</v>
      </c>
      <c r="S7" s="8">
        <v>270</v>
      </c>
      <c r="T7" s="8">
        <v>1770</v>
      </c>
      <c r="U7" s="7">
        <v>620984</v>
      </c>
      <c r="V7" t="s">
        <v>256</v>
      </c>
      <c r="W7" s="8">
        <v>0</v>
      </c>
      <c r="X7" s="7">
        <v>32237</v>
      </c>
      <c r="Y7" t="s">
        <v>256</v>
      </c>
    </row>
    <row r="8" spans="1:30">
      <c r="A8" s="7">
        <v>7</v>
      </c>
      <c r="B8" t="s">
        <v>243</v>
      </c>
      <c r="C8" t="s">
        <v>244</v>
      </c>
      <c r="D8" s="7">
        <v>7134</v>
      </c>
      <c r="E8" t="s">
        <v>245</v>
      </c>
      <c r="F8" t="s">
        <v>246</v>
      </c>
      <c r="G8" t="s">
        <v>247</v>
      </c>
      <c r="H8" t="s">
        <v>308</v>
      </c>
      <c r="I8" s="7">
        <v>1165</v>
      </c>
      <c r="J8" t="s">
        <v>309</v>
      </c>
      <c r="K8" t="s">
        <v>310</v>
      </c>
      <c r="L8" t="s">
        <v>311</v>
      </c>
      <c r="M8" t="s">
        <v>252</v>
      </c>
      <c r="N8" t="s">
        <v>253</v>
      </c>
      <c r="O8" t="s">
        <v>312</v>
      </c>
      <c r="P8" t="s">
        <v>255</v>
      </c>
      <c r="Q8" s="8">
        <v>1150</v>
      </c>
      <c r="R8" s="8">
        <v>1150</v>
      </c>
      <c r="S8" s="8">
        <v>207</v>
      </c>
      <c r="T8" s="8">
        <v>1357</v>
      </c>
      <c r="U8" s="7">
        <v>620984</v>
      </c>
      <c r="V8" t="s">
        <v>256</v>
      </c>
      <c r="W8" s="8">
        <v>0</v>
      </c>
      <c r="X8" s="7">
        <v>32237</v>
      </c>
      <c r="Y8" t="s">
        <v>256</v>
      </c>
    </row>
    <row r="9" spans="1:30">
      <c r="A9" s="7">
        <v>8</v>
      </c>
      <c r="B9" t="s">
        <v>243</v>
      </c>
      <c r="C9" t="s">
        <v>244</v>
      </c>
      <c r="D9" s="7">
        <v>7134</v>
      </c>
      <c r="E9" t="s">
        <v>245</v>
      </c>
      <c r="F9" t="s">
        <v>246</v>
      </c>
      <c r="G9" t="s">
        <v>247</v>
      </c>
      <c r="H9" t="s">
        <v>328</v>
      </c>
      <c r="I9" s="7">
        <v>1165</v>
      </c>
      <c r="J9" t="s">
        <v>329</v>
      </c>
      <c r="K9" t="s">
        <v>330</v>
      </c>
      <c r="L9" t="s">
        <v>331</v>
      </c>
      <c r="M9" t="s">
        <v>267</v>
      </c>
      <c r="N9" t="s">
        <v>253</v>
      </c>
      <c r="O9" t="s">
        <v>332</v>
      </c>
      <c r="P9" t="s">
        <v>255</v>
      </c>
      <c r="Q9" s="8">
        <v>1150</v>
      </c>
      <c r="R9" s="8">
        <v>1150</v>
      </c>
      <c r="S9" s="8">
        <v>207</v>
      </c>
      <c r="T9" s="8">
        <v>1357</v>
      </c>
      <c r="U9" s="7">
        <v>620984</v>
      </c>
      <c r="V9" t="s">
        <v>256</v>
      </c>
      <c r="W9" s="8">
        <v>0</v>
      </c>
      <c r="X9" s="7">
        <v>32237</v>
      </c>
      <c r="Y9" t="s">
        <v>256</v>
      </c>
    </row>
    <row r="10" spans="1:30">
      <c r="A10" s="7">
        <v>9</v>
      </c>
      <c r="B10" t="s">
        <v>243</v>
      </c>
      <c r="C10" t="s">
        <v>244</v>
      </c>
      <c r="D10" s="7">
        <v>7134</v>
      </c>
      <c r="E10" t="s">
        <v>245</v>
      </c>
      <c r="F10" t="s">
        <v>246</v>
      </c>
      <c r="G10" t="s">
        <v>247</v>
      </c>
      <c r="H10" t="s">
        <v>293</v>
      </c>
      <c r="I10" s="7">
        <v>1160</v>
      </c>
      <c r="J10" t="s">
        <v>305</v>
      </c>
      <c r="K10" t="s">
        <v>306</v>
      </c>
      <c r="L10" t="s">
        <v>307</v>
      </c>
      <c r="M10" t="s">
        <v>267</v>
      </c>
      <c r="N10" t="s">
        <v>253</v>
      </c>
      <c r="O10" t="s">
        <v>268</v>
      </c>
      <c r="P10" t="s">
        <v>255</v>
      </c>
      <c r="Q10" s="8">
        <v>1150</v>
      </c>
      <c r="R10" s="8">
        <v>1150</v>
      </c>
      <c r="S10" s="8">
        <v>207</v>
      </c>
      <c r="T10" s="8">
        <v>1357</v>
      </c>
      <c r="U10" s="7">
        <v>620984</v>
      </c>
      <c r="V10" t="s">
        <v>256</v>
      </c>
      <c r="W10" s="8">
        <v>0</v>
      </c>
      <c r="X10" s="7">
        <v>32237</v>
      </c>
      <c r="Y10" t="s">
        <v>256</v>
      </c>
    </row>
    <row r="11" spans="1:30">
      <c r="A11" s="7">
        <v>10</v>
      </c>
      <c r="B11" t="s">
        <v>243</v>
      </c>
      <c r="C11" t="s">
        <v>244</v>
      </c>
      <c r="D11" s="7">
        <v>7134</v>
      </c>
      <c r="E11" t="s">
        <v>245</v>
      </c>
      <c r="F11" t="s">
        <v>246</v>
      </c>
      <c r="G11" t="s">
        <v>247</v>
      </c>
      <c r="H11" t="s">
        <v>257</v>
      </c>
      <c r="I11" s="7">
        <v>1165</v>
      </c>
      <c r="J11" t="s">
        <v>408</v>
      </c>
      <c r="K11" t="s">
        <v>409</v>
      </c>
      <c r="L11" t="s">
        <v>410</v>
      </c>
      <c r="M11" t="s">
        <v>267</v>
      </c>
      <c r="N11" t="s">
        <v>253</v>
      </c>
      <c r="O11" t="s">
        <v>411</v>
      </c>
      <c r="P11" t="s">
        <v>255</v>
      </c>
      <c r="Q11" s="8">
        <v>1150</v>
      </c>
      <c r="R11" s="8">
        <v>1150</v>
      </c>
      <c r="S11" s="8">
        <v>207</v>
      </c>
      <c r="T11" s="8">
        <v>1357</v>
      </c>
      <c r="U11" s="7">
        <v>620984</v>
      </c>
      <c r="V11" t="s">
        <v>256</v>
      </c>
      <c r="W11" s="8">
        <v>0</v>
      </c>
      <c r="X11" s="7">
        <v>32237</v>
      </c>
      <c r="Y11" t="s">
        <v>256</v>
      </c>
    </row>
    <row r="12" spans="1:30">
      <c r="A12" s="7">
        <v>11</v>
      </c>
      <c r="B12" t="s">
        <v>243</v>
      </c>
      <c r="C12" t="s">
        <v>244</v>
      </c>
      <c r="D12" s="7">
        <v>7134</v>
      </c>
      <c r="E12" t="s">
        <v>245</v>
      </c>
      <c r="F12" t="s">
        <v>246</v>
      </c>
      <c r="G12" t="s">
        <v>247</v>
      </c>
      <c r="H12" t="s">
        <v>263</v>
      </c>
      <c r="I12" s="7">
        <v>1165</v>
      </c>
      <c r="J12" t="s">
        <v>301</v>
      </c>
      <c r="K12" t="s">
        <v>302</v>
      </c>
      <c r="L12" t="s">
        <v>303</v>
      </c>
      <c r="M12" t="s">
        <v>261</v>
      </c>
      <c r="N12" t="s">
        <v>253</v>
      </c>
      <c r="O12" t="s">
        <v>304</v>
      </c>
      <c r="P12" t="s">
        <v>255</v>
      </c>
      <c r="Q12" s="8">
        <v>1150</v>
      </c>
      <c r="R12" s="8">
        <v>1150</v>
      </c>
      <c r="S12" s="8">
        <v>207</v>
      </c>
      <c r="T12" s="8">
        <v>1357</v>
      </c>
      <c r="U12" s="7">
        <v>620984</v>
      </c>
      <c r="V12" t="s">
        <v>256</v>
      </c>
      <c r="W12" s="8">
        <v>0</v>
      </c>
      <c r="X12" s="7">
        <v>32237</v>
      </c>
      <c r="Y12" t="s">
        <v>256</v>
      </c>
    </row>
    <row r="13" spans="1:30">
      <c r="A13" s="7">
        <v>12</v>
      </c>
      <c r="B13" t="s">
        <v>243</v>
      </c>
      <c r="C13" t="s">
        <v>244</v>
      </c>
      <c r="D13" s="7">
        <v>7134</v>
      </c>
      <c r="E13" t="s">
        <v>245</v>
      </c>
      <c r="F13" t="s">
        <v>246</v>
      </c>
      <c r="G13" t="s">
        <v>247</v>
      </c>
      <c r="H13" t="s">
        <v>269</v>
      </c>
      <c r="I13" s="7">
        <v>1165</v>
      </c>
      <c r="J13" t="s">
        <v>270</v>
      </c>
      <c r="K13" t="s">
        <v>271</v>
      </c>
      <c r="L13" t="s">
        <v>272</v>
      </c>
      <c r="M13" t="s">
        <v>252</v>
      </c>
      <c r="N13" t="s">
        <v>253</v>
      </c>
      <c r="O13" t="s">
        <v>254</v>
      </c>
      <c r="P13" t="s">
        <v>255</v>
      </c>
      <c r="Q13" s="8">
        <v>1150</v>
      </c>
      <c r="R13" s="8">
        <v>1150</v>
      </c>
      <c r="S13" s="8">
        <v>207</v>
      </c>
      <c r="T13" s="8">
        <v>1357</v>
      </c>
      <c r="U13" s="7">
        <v>620984</v>
      </c>
      <c r="V13" t="s">
        <v>256</v>
      </c>
      <c r="W13" s="8">
        <v>0</v>
      </c>
      <c r="X13" s="7">
        <v>32237</v>
      </c>
      <c r="Y13" t="s">
        <v>256</v>
      </c>
    </row>
    <row r="14" spans="1:30">
      <c r="A14" s="7">
        <v>13</v>
      </c>
      <c r="B14" t="s">
        <v>243</v>
      </c>
      <c r="C14" t="s">
        <v>244</v>
      </c>
      <c r="D14" s="7">
        <v>7134</v>
      </c>
      <c r="E14" t="s">
        <v>245</v>
      </c>
      <c r="F14" t="s">
        <v>246</v>
      </c>
      <c r="G14" t="s">
        <v>247</v>
      </c>
      <c r="H14" t="s">
        <v>284</v>
      </c>
      <c r="I14" s="7">
        <v>1165</v>
      </c>
      <c r="J14" t="s">
        <v>285</v>
      </c>
      <c r="K14" t="s">
        <v>286</v>
      </c>
      <c r="L14" t="s">
        <v>287</v>
      </c>
      <c r="M14" t="s">
        <v>252</v>
      </c>
      <c r="N14" t="s">
        <v>253</v>
      </c>
      <c r="O14" t="s">
        <v>288</v>
      </c>
      <c r="P14" t="s">
        <v>255</v>
      </c>
      <c r="Q14" s="8">
        <v>1150</v>
      </c>
      <c r="R14" s="8">
        <v>1150</v>
      </c>
      <c r="S14" s="8">
        <v>207</v>
      </c>
      <c r="T14" s="8">
        <v>1357</v>
      </c>
      <c r="U14" s="7">
        <v>620984</v>
      </c>
      <c r="V14" t="s">
        <v>256</v>
      </c>
      <c r="W14" s="8">
        <v>0</v>
      </c>
      <c r="X14" s="7">
        <v>32237</v>
      </c>
      <c r="Y14" t="s">
        <v>256</v>
      </c>
    </row>
    <row r="15" spans="1:30">
      <c r="A15" s="7">
        <v>14</v>
      </c>
      <c r="B15" t="s">
        <v>243</v>
      </c>
      <c r="C15" t="s">
        <v>244</v>
      </c>
      <c r="D15" s="7">
        <v>7134</v>
      </c>
      <c r="E15" t="s">
        <v>245</v>
      </c>
      <c r="F15" t="s">
        <v>246</v>
      </c>
      <c r="G15" t="s">
        <v>247</v>
      </c>
      <c r="H15" t="s">
        <v>308</v>
      </c>
      <c r="I15" s="7">
        <v>1165</v>
      </c>
      <c r="J15" t="s">
        <v>354</v>
      </c>
      <c r="K15" t="s">
        <v>355</v>
      </c>
      <c r="L15" t="s">
        <v>356</v>
      </c>
      <c r="M15" t="s">
        <v>261</v>
      </c>
      <c r="N15" t="s">
        <v>253</v>
      </c>
      <c r="O15" t="s">
        <v>357</v>
      </c>
      <c r="P15" t="s">
        <v>255</v>
      </c>
      <c r="Q15" s="8">
        <v>1150</v>
      </c>
      <c r="R15" s="8">
        <v>1150</v>
      </c>
      <c r="S15" s="8">
        <v>207</v>
      </c>
      <c r="T15" s="8">
        <v>1357</v>
      </c>
      <c r="U15" s="7">
        <v>620984</v>
      </c>
      <c r="V15" t="s">
        <v>256</v>
      </c>
      <c r="W15" s="8">
        <v>0</v>
      </c>
      <c r="X15" s="7">
        <v>32237</v>
      </c>
      <c r="Y15" t="s">
        <v>256</v>
      </c>
    </row>
    <row r="16" spans="1:30">
      <c r="A16" s="7">
        <v>15</v>
      </c>
      <c r="B16" t="s">
        <v>243</v>
      </c>
      <c r="C16" t="s">
        <v>244</v>
      </c>
      <c r="D16" s="7">
        <v>7134</v>
      </c>
      <c r="E16" t="s">
        <v>245</v>
      </c>
      <c r="F16" t="s">
        <v>246</v>
      </c>
      <c r="G16" t="s">
        <v>247</v>
      </c>
      <c r="H16" t="s">
        <v>313</v>
      </c>
      <c r="I16" s="7">
        <v>1165</v>
      </c>
      <c r="J16" t="s">
        <v>372</v>
      </c>
      <c r="K16" t="s">
        <v>373</v>
      </c>
      <c r="L16" t="s">
        <v>374</v>
      </c>
      <c r="M16" t="s">
        <v>261</v>
      </c>
      <c r="N16" t="s">
        <v>253</v>
      </c>
      <c r="O16" t="s">
        <v>375</v>
      </c>
      <c r="P16" t="s">
        <v>255</v>
      </c>
      <c r="Q16" s="8">
        <v>1150</v>
      </c>
      <c r="R16" s="8">
        <v>1150</v>
      </c>
      <c r="S16" s="8">
        <v>207</v>
      </c>
      <c r="T16" s="8">
        <v>1357</v>
      </c>
      <c r="U16" s="7">
        <v>620984</v>
      </c>
      <c r="V16" t="s">
        <v>256</v>
      </c>
      <c r="W16" s="8">
        <v>0</v>
      </c>
      <c r="X16" s="7">
        <v>32237</v>
      </c>
      <c r="Y16" t="s">
        <v>256</v>
      </c>
    </row>
    <row r="17" spans="1:30">
      <c r="A17" s="7">
        <v>16</v>
      </c>
      <c r="B17" t="s">
        <v>243</v>
      </c>
      <c r="C17" t="s">
        <v>244</v>
      </c>
      <c r="D17" s="7">
        <v>7134</v>
      </c>
      <c r="E17" t="s">
        <v>245</v>
      </c>
      <c r="F17" t="s">
        <v>246</v>
      </c>
      <c r="G17" t="s">
        <v>247</v>
      </c>
      <c r="H17" t="s">
        <v>293</v>
      </c>
      <c r="I17" s="7">
        <v>1165</v>
      </c>
      <c r="J17" t="s">
        <v>389</v>
      </c>
      <c r="K17" t="s">
        <v>390</v>
      </c>
      <c r="L17" t="s">
        <v>391</v>
      </c>
      <c r="M17" t="s">
        <v>252</v>
      </c>
      <c r="N17" t="s">
        <v>253</v>
      </c>
      <c r="O17" t="s">
        <v>277</v>
      </c>
      <c r="P17" t="s">
        <v>255</v>
      </c>
      <c r="Q17" s="8">
        <v>1150</v>
      </c>
      <c r="R17" s="8">
        <v>1150</v>
      </c>
      <c r="S17" s="8">
        <v>207</v>
      </c>
      <c r="T17" s="8">
        <v>1357</v>
      </c>
      <c r="U17" s="7">
        <v>620984</v>
      </c>
      <c r="V17" t="s">
        <v>256</v>
      </c>
      <c r="W17" s="8">
        <v>0</v>
      </c>
      <c r="X17" s="7">
        <v>32237</v>
      </c>
      <c r="Y17" t="s">
        <v>256</v>
      </c>
    </row>
    <row r="18" spans="1:30">
      <c r="A18" s="7">
        <v>17</v>
      </c>
      <c r="B18" t="s">
        <v>243</v>
      </c>
      <c r="C18" t="s">
        <v>244</v>
      </c>
      <c r="D18" s="7">
        <v>7134</v>
      </c>
      <c r="E18" t="s">
        <v>245</v>
      </c>
      <c r="F18" t="s">
        <v>246</v>
      </c>
      <c r="G18" t="s">
        <v>247</v>
      </c>
      <c r="H18" t="s">
        <v>278</v>
      </c>
      <c r="I18" s="7">
        <v>1165</v>
      </c>
      <c r="J18" t="s">
        <v>392</v>
      </c>
      <c r="K18" t="s">
        <v>393</v>
      </c>
      <c r="L18" t="s">
        <v>394</v>
      </c>
      <c r="M18" t="s">
        <v>261</v>
      </c>
      <c r="N18" t="s">
        <v>253</v>
      </c>
      <c r="O18" t="s">
        <v>277</v>
      </c>
      <c r="P18" t="s">
        <v>255</v>
      </c>
      <c r="Q18" s="8">
        <v>1150</v>
      </c>
      <c r="R18" s="8">
        <v>1150</v>
      </c>
      <c r="S18" s="8">
        <v>207</v>
      </c>
      <c r="T18" s="8">
        <v>1357</v>
      </c>
      <c r="U18" s="7">
        <v>620984</v>
      </c>
      <c r="V18" t="s">
        <v>256</v>
      </c>
      <c r="W18" s="8">
        <v>0</v>
      </c>
      <c r="X18" s="7">
        <v>32237</v>
      </c>
      <c r="Y18" t="s">
        <v>256</v>
      </c>
    </row>
    <row r="19" spans="1:30">
      <c r="A19" s="7">
        <v>18</v>
      </c>
      <c r="B19" t="s">
        <v>243</v>
      </c>
      <c r="C19" t="s">
        <v>244</v>
      </c>
      <c r="D19" s="7">
        <v>7134</v>
      </c>
      <c r="E19" t="s">
        <v>245</v>
      </c>
      <c r="F19" t="s">
        <v>246</v>
      </c>
      <c r="G19" t="s">
        <v>247</v>
      </c>
      <c r="H19" t="s">
        <v>293</v>
      </c>
      <c r="I19" s="7">
        <v>1165</v>
      </c>
      <c r="J19" t="s">
        <v>395</v>
      </c>
      <c r="K19" t="s">
        <v>396</v>
      </c>
      <c r="L19" t="s">
        <v>397</v>
      </c>
      <c r="M19" t="s">
        <v>398</v>
      </c>
      <c r="N19" t="s">
        <v>253</v>
      </c>
      <c r="O19" t="s">
        <v>399</v>
      </c>
      <c r="P19" t="s">
        <v>255</v>
      </c>
      <c r="Q19" s="8">
        <v>1150</v>
      </c>
      <c r="R19" s="8">
        <v>1150</v>
      </c>
      <c r="S19" s="8">
        <v>207</v>
      </c>
      <c r="T19" s="8">
        <v>1357</v>
      </c>
      <c r="U19" s="7">
        <v>620984</v>
      </c>
      <c r="V19" t="s">
        <v>256</v>
      </c>
      <c r="W19" s="8">
        <v>0</v>
      </c>
      <c r="X19" s="7">
        <v>32237</v>
      </c>
      <c r="Y19" t="s">
        <v>256</v>
      </c>
    </row>
    <row r="20" spans="1:30">
      <c r="A20" s="7">
        <v>19</v>
      </c>
      <c r="B20" t="s">
        <v>243</v>
      </c>
      <c r="C20" t="s">
        <v>244</v>
      </c>
      <c r="D20" s="7">
        <v>7134</v>
      </c>
      <c r="E20" t="s">
        <v>245</v>
      </c>
      <c r="F20" t="s">
        <v>246</v>
      </c>
      <c r="G20" t="s">
        <v>247</v>
      </c>
      <c r="H20" t="s">
        <v>278</v>
      </c>
      <c r="I20" s="7">
        <v>1165</v>
      </c>
      <c r="J20" t="s">
        <v>279</v>
      </c>
      <c r="K20" t="s">
        <v>280</v>
      </c>
      <c r="L20" t="s">
        <v>281</v>
      </c>
      <c r="M20" t="s">
        <v>267</v>
      </c>
      <c r="N20" t="s">
        <v>253</v>
      </c>
      <c r="O20" t="s">
        <v>282</v>
      </c>
      <c r="P20" t="s">
        <v>255</v>
      </c>
      <c r="Q20" s="8">
        <v>1150</v>
      </c>
      <c r="R20" s="8">
        <v>0</v>
      </c>
      <c r="S20" s="8">
        <v>207</v>
      </c>
      <c r="T20" s="8">
        <v>1357</v>
      </c>
      <c r="U20" s="7">
        <v>620984</v>
      </c>
      <c r="V20" t="s">
        <v>256</v>
      </c>
      <c r="W20" s="8">
        <v>1150</v>
      </c>
      <c r="X20" s="7">
        <v>32237</v>
      </c>
      <c r="Y20" t="s">
        <v>256</v>
      </c>
      <c r="AB20" t="s">
        <v>283</v>
      </c>
      <c r="AC20" t="s">
        <v>3770</v>
      </c>
      <c r="AD20" s="8">
        <v>100</v>
      </c>
    </row>
    <row r="21" spans="1:30">
      <c r="A21" s="7">
        <v>20</v>
      </c>
      <c r="B21" t="s">
        <v>243</v>
      </c>
      <c r="C21" t="s">
        <v>244</v>
      </c>
      <c r="D21" s="7">
        <v>7134</v>
      </c>
      <c r="E21" t="s">
        <v>245</v>
      </c>
      <c r="F21" t="s">
        <v>246</v>
      </c>
      <c r="G21" t="s">
        <v>247</v>
      </c>
      <c r="H21" t="s">
        <v>278</v>
      </c>
      <c r="I21" s="7">
        <v>1165</v>
      </c>
      <c r="J21" t="s">
        <v>344</v>
      </c>
      <c r="K21" t="s">
        <v>345</v>
      </c>
      <c r="L21" t="s">
        <v>346</v>
      </c>
      <c r="M21" t="s">
        <v>261</v>
      </c>
      <c r="N21" t="s">
        <v>253</v>
      </c>
      <c r="O21" t="s">
        <v>347</v>
      </c>
      <c r="P21" t="s">
        <v>255</v>
      </c>
      <c r="Q21" s="8">
        <v>1150</v>
      </c>
      <c r="R21" s="8">
        <v>0</v>
      </c>
      <c r="S21" s="8">
        <v>207</v>
      </c>
      <c r="T21" s="8">
        <v>1357</v>
      </c>
      <c r="U21" s="7">
        <v>620984</v>
      </c>
      <c r="V21" t="s">
        <v>256</v>
      </c>
      <c r="W21" s="8">
        <v>1150</v>
      </c>
      <c r="X21" s="7">
        <v>32237</v>
      </c>
      <c r="Y21" t="s">
        <v>256</v>
      </c>
      <c r="AB21" t="s">
        <v>283</v>
      </c>
      <c r="AC21" t="s">
        <v>3770</v>
      </c>
      <c r="AD21" s="8">
        <v>100</v>
      </c>
    </row>
    <row r="22" spans="1:30">
      <c r="A22" s="7">
        <v>21</v>
      </c>
      <c r="B22" t="s">
        <v>243</v>
      </c>
      <c r="C22" t="s">
        <v>244</v>
      </c>
      <c r="D22" s="7">
        <v>7134</v>
      </c>
      <c r="E22" t="s">
        <v>245</v>
      </c>
      <c r="F22" t="s">
        <v>246</v>
      </c>
      <c r="G22" t="s">
        <v>247</v>
      </c>
      <c r="H22" t="s">
        <v>293</v>
      </c>
      <c r="I22" s="7">
        <v>1165</v>
      </c>
      <c r="J22" t="s">
        <v>379</v>
      </c>
      <c r="K22" t="s">
        <v>380</v>
      </c>
      <c r="L22" t="s">
        <v>381</v>
      </c>
      <c r="M22" t="s">
        <v>252</v>
      </c>
      <c r="N22" t="s">
        <v>253</v>
      </c>
      <c r="O22" t="s">
        <v>262</v>
      </c>
      <c r="P22" t="s">
        <v>255</v>
      </c>
      <c r="Q22" s="8">
        <v>1150</v>
      </c>
      <c r="R22" s="8">
        <v>1150</v>
      </c>
      <c r="S22" s="8">
        <v>207</v>
      </c>
      <c r="T22" s="8">
        <v>1357</v>
      </c>
      <c r="U22" s="7">
        <v>620984</v>
      </c>
      <c r="V22" t="s">
        <v>256</v>
      </c>
      <c r="W22" s="8">
        <v>0</v>
      </c>
      <c r="X22" s="7">
        <v>32237</v>
      </c>
      <c r="Y22" t="s">
        <v>256</v>
      </c>
    </row>
    <row r="23" spans="1:30">
      <c r="A23" s="7">
        <v>22</v>
      </c>
      <c r="B23" t="s">
        <v>243</v>
      </c>
      <c r="C23" t="s">
        <v>244</v>
      </c>
      <c r="D23" s="7">
        <v>7134</v>
      </c>
      <c r="E23" t="s">
        <v>245</v>
      </c>
      <c r="F23" t="s">
        <v>246</v>
      </c>
      <c r="G23" t="s">
        <v>247</v>
      </c>
      <c r="H23" t="s">
        <v>257</v>
      </c>
      <c r="I23" s="7">
        <v>1165</v>
      </c>
      <c r="J23" t="s">
        <v>376</v>
      </c>
      <c r="K23" t="s">
        <v>377</v>
      </c>
      <c r="L23" t="s">
        <v>378</v>
      </c>
      <c r="M23" t="s">
        <v>252</v>
      </c>
      <c r="N23" t="s">
        <v>253</v>
      </c>
      <c r="O23" t="s">
        <v>367</v>
      </c>
      <c r="P23" t="s">
        <v>255</v>
      </c>
      <c r="Q23" s="8">
        <v>1150</v>
      </c>
      <c r="R23" s="8">
        <v>1150</v>
      </c>
      <c r="S23" s="8">
        <v>207</v>
      </c>
      <c r="T23" s="8">
        <v>1357</v>
      </c>
      <c r="U23" s="7">
        <v>620984</v>
      </c>
      <c r="V23" t="s">
        <v>256</v>
      </c>
      <c r="W23" s="8">
        <v>0</v>
      </c>
      <c r="X23" s="7">
        <v>32237</v>
      </c>
      <c r="Y23" t="s">
        <v>256</v>
      </c>
    </row>
    <row r="24" spans="1:30">
      <c r="A24" s="7">
        <v>23</v>
      </c>
      <c r="B24" t="s">
        <v>243</v>
      </c>
      <c r="C24" t="s">
        <v>244</v>
      </c>
      <c r="D24" s="7">
        <v>7134</v>
      </c>
      <c r="E24" t="s">
        <v>245</v>
      </c>
      <c r="F24" t="s">
        <v>246</v>
      </c>
      <c r="G24" t="s">
        <v>247</v>
      </c>
      <c r="H24" t="s">
        <v>363</v>
      </c>
      <c r="I24" s="7">
        <v>1165</v>
      </c>
      <c r="J24" t="s">
        <v>364</v>
      </c>
      <c r="K24" t="s">
        <v>365</v>
      </c>
      <c r="L24" t="s">
        <v>366</v>
      </c>
      <c r="M24" t="s">
        <v>252</v>
      </c>
      <c r="N24" t="s">
        <v>253</v>
      </c>
      <c r="O24" t="s">
        <v>367</v>
      </c>
      <c r="P24" t="s">
        <v>255</v>
      </c>
      <c r="Q24" s="8">
        <v>1150</v>
      </c>
      <c r="R24" s="8">
        <v>1150</v>
      </c>
      <c r="S24" s="8">
        <v>207</v>
      </c>
      <c r="T24" s="8">
        <v>1357</v>
      </c>
      <c r="U24" s="7">
        <v>620984</v>
      </c>
      <c r="V24" t="s">
        <v>256</v>
      </c>
      <c r="W24" s="8">
        <v>0</v>
      </c>
      <c r="X24" s="7">
        <v>32237</v>
      </c>
      <c r="Y24" t="s">
        <v>256</v>
      </c>
    </row>
    <row r="25" spans="1:30">
      <c r="A25" s="7">
        <v>24</v>
      </c>
      <c r="B25" t="s">
        <v>243</v>
      </c>
      <c r="C25" t="s">
        <v>244</v>
      </c>
      <c r="D25" s="7">
        <v>7134</v>
      </c>
      <c r="E25" t="s">
        <v>245</v>
      </c>
      <c r="F25" t="s">
        <v>246</v>
      </c>
      <c r="G25" t="s">
        <v>247</v>
      </c>
      <c r="H25" t="s">
        <v>333</v>
      </c>
      <c r="I25" s="7">
        <v>1165</v>
      </c>
      <c r="J25" t="s">
        <v>334</v>
      </c>
      <c r="K25" t="s">
        <v>335</v>
      </c>
      <c r="L25" t="s">
        <v>336</v>
      </c>
      <c r="M25" t="s">
        <v>252</v>
      </c>
      <c r="N25" t="s">
        <v>253</v>
      </c>
      <c r="O25" t="s">
        <v>337</v>
      </c>
      <c r="P25" t="s">
        <v>255</v>
      </c>
      <c r="Q25" s="8">
        <v>1150</v>
      </c>
      <c r="R25" s="8">
        <v>1150</v>
      </c>
      <c r="S25" s="8">
        <v>207</v>
      </c>
      <c r="T25" s="8">
        <v>1357</v>
      </c>
      <c r="U25" s="7">
        <v>620984</v>
      </c>
      <c r="V25" t="s">
        <v>256</v>
      </c>
      <c r="W25" s="8">
        <v>0</v>
      </c>
      <c r="X25" s="7">
        <v>32237</v>
      </c>
      <c r="Y25" t="s">
        <v>256</v>
      </c>
    </row>
    <row r="26" spans="1:30">
      <c r="A26" s="7">
        <v>25</v>
      </c>
      <c r="B26" t="s">
        <v>243</v>
      </c>
      <c r="C26" t="s">
        <v>244</v>
      </c>
      <c r="D26" s="7">
        <v>7134</v>
      </c>
      <c r="E26" t="s">
        <v>245</v>
      </c>
      <c r="F26" t="s">
        <v>246</v>
      </c>
      <c r="G26" t="s">
        <v>247</v>
      </c>
      <c r="H26" t="s">
        <v>257</v>
      </c>
      <c r="I26" s="7">
        <v>1165</v>
      </c>
      <c r="J26" t="s">
        <v>258</v>
      </c>
      <c r="K26" t="s">
        <v>259</v>
      </c>
      <c r="L26" t="s">
        <v>260</v>
      </c>
      <c r="M26" t="s">
        <v>261</v>
      </c>
      <c r="N26" t="s">
        <v>253</v>
      </c>
      <c r="O26" t="s">
        <v>262</v>
      </c>
      <c r="P26" t="s">
        <v>255</v>
      </c>
      <c r="Q26" s="8">
        <v>1150</v>
      </c>
      <c r="R26" s="8">
        <v>1150</v>
      </c>
      <c r="S26" s="8">
        <v>207</v>
      </c>
      <c r="T26" s="8">
        <v>1357</v>
      </c>
      <c r="U26" s="7">
        <v>620984</v>
      </c>
      <c r="V26" t="s">
        <v>256</v>
      </c>
      <c r="W26" s="8">
        <v>0</v>
      </c>
      <c r="X26" s="7">
        <v>32237</v>
      </c>
      <c r="Y26" t="s">
        <v>256</v>
      </c>
    </row>
    <row r="27" spans="1:30">
      <c r="A27" s="7">
        <v>26</v>
      </c>
      <c r="B27" t="s">
        <v>243</v>
      </c>
      <c r="C27" t="s">
        <v>244</v>
      </c>
      <c r="D27" s="7">
        <v>7134</v>
      </c>
      <c r="E27" t="s">
        <v>245</v>
      </c>
      <c r="F27" t="s">
        <v>246</v>
      </c>
      <c r="G27" t="s">
        <v>247</v>
      </c>
      <c r="H27" t="s">
        <v>363</v>
      </c>
      <c r="I27" s="7">
        <v>1165</v>
      </c>
      <c r="J27" t="s">
        <v>382</v>
      </c>
      <c r="K27" t="s">
        <v>383</v>
      </c>
      <c r="L27" t="s">
        <v>384</v>
      </c>
      <c r="M27" t="s">
        <v>261</v>
      </c>
      <c r="N27" t="s">
        <v>253</v>
      </c>
      <c r="O27" t="s">
        <v>375</v>
      </c>
      <c r="P27" t="s">
        <v>255</v>
      </c>
      <c r="Q27" s="8">
        <v>1150</v>
      </c>
      <c r="R27" s="8">
        <v>1150</v>
      </c>
      <c r="S27" s="8">
        <v>207</v>
      </c>
      <c r="T27" s="8">
        <v>1357</v>
      </c>
      <c r="U27" s="7">
        <v>620984</v>
      </c>
      <c r="V27" t="s">
        <v>256</v>
      </c>
      <c r="W27" s="8">
        <v>0</v>
      </c>
      <c r="X27" s="7">
        <v>32237</v>
      </c>
      <c r="Y27" t="s">
        <v>256</v>
      </c>
    </row>
    <row r="28" spans="1:30">
      <c r="A28" s="7">
        <v>27</v>
      </c>
      <c r="B28" t="s">
        <v>243</v>
      </c>
      <c r="C28" t="s">
        <v>244</v>
      </c>
      <c r="D28" s="7">
        <v>7134</v>
      </c>
      <c r="E28" t="s">
        <v>245</v>
      </c>
      <c r="F28" t="s">
        <v>246</v>
      </c>
      <c r="G28" t="s">
        <v>247</v>
      </c>
      <c r="H28" t="s">
        <v>273</v>
      </c>
      <c r="I28" s="7">
        <v>1165</v>
      </c>
      <c r="J28" t="s">
        <v>274</v>
      </c>
      <c r="K28" t="s">
        <v>275</v>
      </c>
      <c r="L28" t="s">
        <v>276</v>
      </c>
      <c r="M28" t="s">
        <v>261</v>
      </c>
      <c r="N28" t="s">
        <v>253</v>
      </c>
      <c r="O28" t="s">
        <v>277</v>
      </c>
      <c r="P28" t="s">
        <v>255</v>
      </c>
      <c r="Q28" s="8">
        <v>1150</v>
      </c>
      <c r="R28" s="8">
        <v>1150</v>
      </c>
      <c r="S28" s="8">
        <v>207</v>
      </c>
      <c r="T28" s="8">
        <v>1357</v>
      </c>
      <c r="U28" s="7">
        <v>620984</v>
      </c>
      <c r="V28" t="s">
        <v>256</v>
      </c>
      <c r="W28" s="8">
        <v>0</v>
      </c>
      <c r="X28" s="7">
        <v>32237</v>
      </c>
      <c r="Y28" t="s">
        <v>256</v>
      </c>
    </row>
    <row r="29" spans="1:30">
      <c r="A29" s="7">
        <v>28</v>
      </c>
      <c r="B29" t="s">
        <v>243</v>
      </c>
      <c r="C29" t="s">
        <v>244</v>
      </c>
      <c r="D29" s="7">
        <v>7134</v>
      </c>
      <c r="E29" t="s">
        <v>245</v>
      </c>
      <c r="F29" t="s">
        <v>246</v>
      </c>
      <c r="G29" t="s">
        <v>247</v>
      </c>
      <c r="H29" t="s">
        <v>278</v>
      </c>
      <c r="I29" s="7">
        <v>1165</v>
      </c>
      <c r="J29" t="s">
        <v>351</v>
      </c>
      <c r="K29" t="s">
        <v>352</v>
      </c>
      <c r="L29" t="s">
        <v>353</v>
      </c>
      <c r="M29" t="s">
        <v>252</v>
      </c>
      <c r="N29" t="s">
        <v>253</v>
      </c>
      <c r="O29" t="s">
        <v>277</v>
      </c>
      <c r="P29" t="s">
        <v>255</v>
      </c>
      <c r="Q29" s="8">
        <v>1150</v>
      </c>
      <c r="R29" s="8">
        <v>1150</v>
      </c>
      <c r="S29" s="8">
        <v>207</v>
      </c>
      <c r="T29" s="8">
        <v>1357</v>
      </c>
      <c r="U29" s="7">
        <v>620984</v>
      </c>
      <c r="V29" t="s">
        <v>256</v>
      </c>
      <c r="W29" s="8">
        <v>0</v>
      </c>
      <c r="X29" s="7">
        <v>32237</v>
      </c>
      <c r="Y29" t="s">
        <v>256</v>
      </c>
    </row>
    <row r="30" spans="1:30">
      <c r="A30" s="7">
        <v>29</v>
      </c>
      <c r="B30" t="s">
        <v>243</v>
      </c>
      <c r="C30" t="s">
        <v>244</v>
      </c>
      <c r="D30" s="7">
        <v>7134</v>
      </c>
      <c r="E30" t="s">
        <v>245</v>
      </c>
      <c r="F30" t="s">
        <v>246</v>
      </c>
      <c r="G30" t="s">
        <v>247</v>
      </c>
      <c r="H30" t="s">
        <v>284</v>
      </c>
      <c r="I30" s="7">
        <v>1165</v>
      </c>
      <c r="J30" t="s">
        <v>348</v>
      </c>
      <c r="K30" t="s">
        <v>349</v>
      </c>
      <c r="L30" t="s">
        <v>350</v>
      </c>
      <c r="M30" t="s">
        <v>252</v>
      </c>
      <c r="N30" t="s">
        <v>253</v>
      </c>
      <c r="O30" t="s">
        <v>312</v>
      </c>
      <c r="P30" t="s">
        <v>255</v>
      </c>
      <c r="Q30" s="8">
        <v>1150</v>
      </c>
      <c r="R30" s="8">
        <v>1150</v>
      </c>
      <c r="S30" s="8">
        <v>207</v>
      </c>
      <c r="T30" s="8">
        <v>1357</v>
      </c>
      <c r="U30" s="7">
        <v>620984</v>
      </c>
      <c r="V30" t="s">
        <v>256</v>
      </c>
      <c r="W30" s="8">
        <v>0</v>
      </c>
      <c r="X30" s="7">
        <v>32237</v>
      </c>
      <c r="Y30" t="s">
        <v>256</v>
      </c>
    </row>
    <row r="31" spans="1:30">
      <c r="A31" s="7">
        <v>30</v>
      </c>
      <c r="B31" t="s">
        <v>243</v>
      </c>
      <c r="C31" t="s">
        <v>244</v>
      </c>
      <c r="D31" s="7">
        <v>7134</v>
      </c>
      <c r="E31" t="s">
        <v>245</v>
      </c>
      <c r="F31" t="s">
        <v>246</v>
      </c>
      <c r="G31" t="s">
        <v>247</v>
      </c>
      <c r="H31" t="s">
        <v>273</v>
      </c>
      <c r="I31" s="7">
        <v>1165</v>
      </c>
      <c r="J31" t="s">
        <v>341</v>
      </c>
      <c r="K31" t="s">
        <v>342</v>
      </c>
      <c r="L31" t="s">
        <v>343</v>
      </c>
      <c r="M31" t="s">
        <v>261</v>
      </c>
      <c r="N31" t="s">
        <v>253</v>
      </c>
      <c r="O31" t="s">
        <v>277</v>
      </c>
      <c r="P31" t="s">
        <v>255</v>
      </c>
      <c r="Q31" s="8">
        <v>1150</v>
      </c>
      <c r="R31" s="8">
        <v>1150</v>
      </c>
      <c r="S31" s="8">
        <v>207</v>
      </c>
      <c r="T31" s="8">
        <v>1357</v>
      </c>
      <c r="U31" s="7">
        <v>620984</v>
      </c>
      <c r="V31" t="s">
        <v>256</v>
      </c>
      <c r="W31" s="8">
        <v>0</v>
      </c>
      <c r="X31" s="7">
        <v>32237</v>
      </c>
      <c r="Y31" t="s">
        <v>256</v>
      </c>
    </row>
    <row r="32" spans="1:30">
      <c r="A32" s="7">
        <v>31</v>
      </c>
      <c r="B32" t="s">
        <v>243</v>
      </c>
      <c r="C32" t="s">
        <v>244</v>
      </c>
      <c r="D32" s="7">
        <v>7134</v>
      </c>
      <c r="E32" t="s">
        <v>245</v>
      </c>
      <c r="F32" t="s">
        <v>246</v>
      </c>
      <c r="G32" t="s">
        <v>247</v>
      </c>
      <c r="H32" t="s">
        <v>248</v>
      </c>
      <c r="I32" s="7">
        <v>1165</v>
      </c>
      <c r="J32" t="s">
        <v>289</v>
      </c>
      <c r="K32" t="s">
        <v>290</v>
      </c>
      <c r="L32" t="s">
        <v>291</v>
      </c>
      <c r="M32" t="s">
        <v>261</v>
      </c>
      <c r="N32" t="s">
        <v>253</v>
      </c>
      <c r="O32" t="s">
        <v>292</v>
      </c>
      <c r="P32" t="s">
        <v>255</v>
      </c>
      <c r="Q32" s="8">
        <v>1150</v>
      </c>
      <c r="R32" s="8">
        <v>1150</v>
      </c>
      <c r="S32" s="8">
        <v>207</v>
      </c>
      <c r="T32" s="8">
        <v>1357</v>
      </c>
      <c r="U32" s="7">
        <v>620984</v>
      </c>
      <c r="V32" t="s">
        <v>256</v>
      </c>
      <c r="W32" s="8">
        <v>0</v>
      </c>
      <c r="X32" s="7">
        <v>32237</v>
      </c>
      <c r="Y32" t="s">
        <v>256</v>
      </c>
    </row>
    <row r="33" spans="1:30">
      <c r="A33" s="7">
        <v>32</v>
      </c>
      <c r="B33" t="s">
        <v>243</v>
      </c>
      <c r="C33" t="s">
        <v>244</v>
      </c>
      <c r="D33" s="7">
        <v>7134</v>
      </c>
      <c r="E33" t="s">
        <v>245</v>
      </c>
      <c r="F33" t="s">
        <v>246</v>
      </c>
      <c r="G33" t="s">
        <v>247</v>
      </c>
      <c r="H33" t="s">
        <v>404</v>
      </c>
      <c r="I33" s="7">
        <v>1165</v>
      </c>
      <c r="J33" t="s">
        <v>405</v>
      </c>
      <c r="K33" t="s">
        <v>406</v>
      </c>
      <c r="L33" t="s">
        <v>407</v>
      </c>
      <c r="M33" t="s">
        <v>261</v>
      </c>
      <c r="N33" t="s">
        <v>253</v>
      </c>
      <c r="O33" t="s">
        <v>367</v>
      </c>
      <c r="P33" t="s">
        <v>255</v>
      </c>
      <c r="Q33" s="8">
        <v>1150</v>
      </c>
      <c r="R33" s="8">
        <v>1150</v>
      </c>
      <c r="S33" s="8">
        <v>207</v>
      </c>
      <c r="T33" s="8">
        <v>1357</v>
      </c>
      <c r="U33" s="7">
        <v>620984</v>
      </c>
      <c r="V33" t="s">
        <v>256</v>
      </c>
      <c r="W33" s="8">
        <v>0</v>
      </c>
      <c r="X33" s="7">
        <v>32237</v>
      </c>
      <c r="Y33" t="s">
        <v>256</v>
      </c>
    </row>
    <row r="34" spans="1:30">
      <c r="A34" s="7">
        <v>33</v>
      </c>
      <c r="B34" t="s">
        <v>243</v>
      </c>
      <c r="C34" t="s">
        <v>244</v>
      </c>
      <c r="D34" s="7">
        <v>7134</v>
      </c>
      <c r="E34" t="s">
        <v>245</v>
      </c>
      <c r="F34" t="s">
        <v>246</v>
      </c>
      <c r="G34" t="s">
        <v>247</v>
      </c>
      <c r="H34" t="s">
        <v>293</v>
      </c>
      <c r="I34" s="7">
        <v>1165</v>
      </c>
      <c r="J34" t="s">
        <v>294</v>
      </c>
      <c r="K34" t="s">
        <v>295</v>
      </c>
      <c r="L34" t="s">
        <v>296</v>
      </c>
      <c r="M34" t="s">
        <v>267</v>
      </c>
      <c r="N34" t="s">
        <v>253</v>
      </c>
      <c r="O34" t="s">
        <v>297</v>
      </c>
      <c r="P34" t="s">
        <v>255</v>
      </c>
      <c r="Q34" s="8">
        <v>1150</v>
      </c>
      <c r="R34" s="8">
        <v>1150</v>
      </c>
      <c r="S34" s="8">
        <v>207</v>
      </c>
      <c r="T34" s="8">
        <v>1357</v>
      </c>
      <c r="U34" s="7">
        <v>620984</v>
      </c>
      <c r="V34" t="s">
        <v>256</v>
      </c>
      <c r="W34" s="8">
        <v>0</v>
      </c>
      <c r="X34" s="7">
        <v>32237</v>
      </c>
      <c r="Y34" t="s">
        <v>256</v>
      </c>
    </row>
    <row r="35" spans="1:30">
      <c r="A35" s="7">
        <v>34</v>
      </c>
      <c r="B35" t="s">
        <v>243</v>
      </c>
      <c r="C35" t="s">
        <v>244</v>
      </c>
      <c r="D35" s="7">
        <v>7134</v>
      </c>
      <c r="E35" t="s">
        <v>245</v>
      </c>
      <c r="F35" t="s">
        <v>246</v>
      </c>
      <c r="G35" t="s">
        <v>247</v>
      </c>
      <c r="H35" t="s">
        <v>248</v>
      </c>
      <c r="I35" s="7">
        <v>1165</v>
      </c>
      <c r="J35" t="s">
        <v>249</v>
      </c>
      <c r="K35" t="s">
        <v>250</v>
      </c>
      <c r="L35" t="s">
        <v>251</v>
      </c>
      <c r="M35" t="s">
        <v>252</v>
      </c>
      <c r="N35" t="s">
        <v>253</v>
      </c>
      <c r="O35" t="s">
        <v>254</v>
      </c>
      <c r="P35" t="s">
        <v>255</v>
      </c>
      <c r="Q35" s="8">
        <v>1150</v>
      </c>
      <c r="R35" s="8">
        <v>1150</v>
      </c>
      <c r="S35" s="8">
        <v>207</v>
      </c>
      <c r="T35" s="8">
        <v>1357</v>
      </c>
      <c r="U35" s="7">
        <v>620984</v>
      </c>
      <c r="V35" t="s">
        <v>256</v>
      </c>
      <c r="W35" s="8">
        <v>0</v>
      </c>
      <c r="X35" s="7">
        <v>32237</v>
      </c>
      <c r="Y35" t="s">
        <v>256</v>
      </c>
    </row>
    <row r="36" spans="1:30">
      <c r="A36" s="7">
        <v>35</v>
      </c>
      <c r="B36" t="s">
        <v>243</v>
      </c>
      <c r="C36" t="s">
        <v>244</v>
      </c>
      <c r="D36" s="7">
        <v>7134</v>
      </c>
      <c r="E36" t="s">
        <v>245</v>
      </c>
      <c r="F36" t="s">
        <v>246</v>
      </c>
      <c r="G36" t="s">
        <v>247</v>
      </c>
      <c r="H36" t="s">
        <v>400</v>
      </c>
      <c r="I36" s="7">
        <v>1165</v>
      </c>
      <c r="J36" t="s">
        <v>401</v>
      </c>
      <c r="K36" t="s">
        <v>402</v>
      </c>
      <c r="L36" t="s">
        <v>403</v>
      </c>
      <c r="M36" t="s">
        <v>252</v>
      </c>
      <c r="N36" t="s">
        <v>253</v>
      </c>
      <c r="O36" t="s">
        <v>317</v>
      </c>
      <c r="P36" t="s">
        <v>255</v>
      </c>
      <c r="Q36" s="8">
        <v>1150</v>
      </c>
      <c r="R36" s="8">
        <v>1150</v>
      </c>
      <c r="S36" s="8">
        <v>207</v>
      </c>
      <c r="T36" s="8">
        <v>1357</v>
      </c>
      <c r="U36" s="7">
        <v>620984</v>
      </c>
      <c r="V36" t="s">
        <v>256</v>
      </c>
      <c r="W36" s="8">
        <v>0</v>
      </c>
      <c r="X36" s="7">
        <v>32237</v>
      </c>
      <c r="Y36" t="s">
        <v>256</v>
      </c>
    </row>
    <row r="37" spans="1:30">
      <c r="A37" s="7">
        <v>36</v>
      </c>
      <c r="B37" t="s">
        <v>243</v>
      </c>
      <c r="C37" t="s">
        <v>244</v>
      </c>
      <c r="D37" s="7">
        <v>7134</v>
      </c>
      <c r="E37" t="s">
        <v>245</v>
      </c>
      <c r="F37" t="s">
        <v>246</v>
      </c>
      <c r="G37" t="s">
        <v>247</v>
      </c>
      <c r="H37" t="s">
        <v>263</v>
      </c>
      <c r="I37" s="7">
        <v>1165</v>
      </c>
      <c r="J37" t="s">
        <v>264</v>
      </c>
      <c r="K37" t="s">
        <v>265</v>
      </c>
      <c r="L37" t="s">
        <v>266</v>
      </c>
      <c r="M37" t="s">
        <v>267</v>
      </c>
      <c r="N37" t="s">
        <v>253</v>
      </c>
      <c r="O37" t="s">
        <v>268</v>
      </c>
      <c r="P37" t="s">
        <v>255</v>
      </c>
      <c r="Q37" s="8">
        <v>1150</v>
      </c>
      <c r="R37" s="8">
        <v>1150</v>
      </c>
      <c r="S37" s="8">
        <v>207</v>
      </c>
      <c r="T37" s="8">
        <v>1357</v>
      </c>
      <c r="U37" s="7">
        <v>620984</v>
      </c>
      <c r="V37" t="s">
        <v>256</v>
      </c>
      <c r="W37" s="8">
        <v>0</v>
      </c>
      <c r="X37" s="7">
        <v>32237</v>
      </c>
      <c r="Y37" t="s">
        <v>256</v>
      </c>
    </row>
    <row r="38" spans="1:30">
      <c r="A38" s="7">
        <v>37</v>
      </c>
      <c r="B38" t="s">
        <v>243</v>
      </c>
      <c r="C38" t="s">
        <v>244</v>
      </c>
      <c r="D38" s="7">
        <v>7134</v>
      </c>
      <c r="E38" t="s">
        <v>245</v>
      </c>
      <c r="F38" t="s">
        <v>246</v>
      </c>
      <c r="G38" t="s">
        <v>247</v>
      </c>
      <c r="H38" t="s">
        <v>278</v>
      </c>
      <c r="I38" s="7">
        <v>1165</v>
      </c>
      <c r="J38" t="s">
        <v>368</v>
      </c>
      <c r="K38" t="s">
        <v>369</v>
      </c>
      <c r="L38" t="s">
        <v>370</v>
      </c>
      <c r="M38" t="s">
        <v>261</v>
      </c>
      <c r="N38" t="s">
        <v>253</v>
      </c>
      <c r="O38" t="s">
        <v>371</v>
      </c>
      <c r="P38" t="s">
        <v>255</v>
      </c>
      <c r="Q38" s="8">
        <v>1150</v>
      </c>
      <c r="R38" s="8">
        <v>1150</v>
      </c>
      <c r="S38" s="8">
        <v>207</v>
      </c>
      <c r="T38" s="8">
        <v>1357</v>
      </c>
      <c r="U38" s="7">
        <v>620984</v>
      </c>
      <c r="V38" t="s">
        <v>256</v>
      </c>
      <c r="W38" s="8">
        <v>0</v>
      </c>
      <c r="X38" s="7">
        <v>32237</v>
      </c>
      <c r="Y38" t="s">
        <v>256</v>
      </c>
    </row>
    <row r="39" spans="1:30">
      <c r="A39" s="7">
        <v>38</v>
      </c>
      <c r="B39" t="s">
        <v>243</v>
      </c>
      <c r="C39" t="s">
        <v>244</v>
      </c>
      <c r="D39" s="7">
        <v>7134</v>
      </c>
      <c r="E39" t="s">
        <v>245</v>
      </c>
      <c r="F39" t="s">
        <v>246</v>
      </c>
      <c r="G39" t="s">
        <v>247</v>
      </c>
      <c r="H39" t="s">
        <v>333</v>
      </c>
      <c r="I39" s="7">
        <v>1165</v>
      </c>
      <c r="J39" t="s">
        <v>385</v>
      </c>
      <c r="K39" t="s">
        <v>386</v>
      </c>
      <c r="L39" t="s">
        <v>387</v>
      </c>
      <c r="M39" t="s">
        <v>252</v>
      </c>
      <c r="N39" t="s">
        <v>253</v>
      </c>
      <c r="O39" t="s">
        <v>388</v>
      </c>
      <c r="P39" t="s">
        <v>255</v>
      </c>
      <c r="Q39" s="8">
        <v>1150</v>
      </c>
      <c r="R39" s="8">
        <v>1150</v>
      </c>
      <c r="S39" s="8">
        <v>207</v>
      </c>
      <c r="T39" s="8">
        <v>1357</v>
      </c>
      <c r="U39" s="7">
        <v>620984</v>
      </c>
      <c r="V39" t="s">
        <v>256</v>
      </c>
      <c r="W39" s="8">
        <v>0</v>
      </c>
      <c r="X39" s="7">
        <v>32237</v>
      </c>
      <c r="Y39" t="s">
        <v>256</v>
      </c>
    </row>
    <row r="40" spans="1:30">
      <c r="A40" s="7">
        <v>39</v>
      </c>
      <c r="B40" t="s">
        <v>243</v>
      </c>
      <c r="C40" t="s">
        <v>244</v>
      </c>
      <c r="D40" s="7">
        <v>7134</v>
      </c>
      <c r="E40" t="s">
        <v>245</v>
      </c>
      <c r="F40" t="s">
        <v>246</v>
      </c>
      <c r="G40" t="s">
        <v>247</v>
      </c>
      <c r="H40" t="s">
        <v>257</v>
      </c>
      <c r="I40" s="7">
        <v>1165</v>
      </c>
      <c r="J40" t="s">
        <v>325</v>
      </c>
      <c r="K40" t="s">
        <v>326</v>
      </c>
      <c r="L40" t="s">
        <v>327</v>
      </c>
      <c r="M40" t="s">
        <v>261</v>
      </c>
      <c r="N40" t="s">
        <v>253</v>
      </c>
      <c r="O40" t="s">
        <v>254</v>
      </c>
      <c r="P40" t="s">
        <v>255</v>
      </c>
      <c r="Q40" s="8">
        <v>1150</v>
      </c>
      <c r="R40" s="8">
        <v>1150</v>
      </c>
      <c r="S40" s="8">
        <v>207</v>
      </c>
      <c r="T40" s="8">
        <v>1357</v>
      </c>
      <c r="U40" s="7">
        <v>620984</v>
      </c>
      <c r="V40" t="s">
        <v>256</v>
      </c>
      <c r="W40" s="8">
        <v>0</v>
      </c>
      <c r="X40" s="7">
        <v>32237</v>
      </c>
      <c r="Y40" t="s">
        <v>256</v>
      </c>
    </row>
    <row r="41" spans="1:30">
      <c r="A41" s="7">
        <v>40</v>
      </c>
      <c r="B41" t="s">
        <v>243</v>
      </c>
      <c r="C41" t="s">
        <v>244</v>
      </c>
      <c r="D41" s="7">
        <v>7134</v>
      </c>
      <c r="E41" t="s">
        <v>245</v>
      </c>
      <c r="F41" t="s">
        <v>246</v>
      </c>
      <c r="G41" t="s">
        <v>247</v>
      </c>
      <c r="H41" t="s">
        <v>412</v>
      </c>
      <c r="I41" s="7">
        <v>1165</v>
      </c>
      <c r="J41" t="s">
        <v>428</v>
      </c>
      <c r="K41" t="s">
        <v>429</v>
      </c>
      <c r="L41" t="s">
        <v>430</v>
      </c>
      <c r="M41" t="s">
        <v>261</v>
      </c>
      <c r="N41" t="s">
        <v>416</v>
      </c>
      <c r="O41" t="s">
        <v>357</v>
      </c>
      <c r="P41" t="s">
        <v>417</v>
      </c>
      <c r="Q41" s="8">
        <v>1150</v>
      </c>
      <c r="R41" s="8">
        <v>0</v>
      </c>
      <c r="S41" s="8">
        <v>207</v>
      </c>
      <c r="T41" s="8">
        <v>1357</v>
      </c>
      <c r="U41" s="7">
        <v>621504</v>
      </c>
      <c r="V41" t="s">
        <v>418</v>
      </c>
      <c r="W41" s="8">
        <v>1150</v>
      </c>
      <c r="X41" s="7">
        <v>32757</v>
      </c>
      <c r="Y41" t="s">
        <v>418</v>
      </c>
      <c r="AB41" t="s">
        <v>3771</v>
      </c>
      <c r="AC41" t="s">
        <v>3772</v>
      </c>
      <c r="AD41" s="8">
        <v>100</v>
      </c>
    </row>
    <row r="42" spans="1:30">
      <c r="A42" s="7">
        <v>41</v>
      </c>
      <c r="B42" t="s">
        <v>243</v>
      </c>
      <c r="C42" t="s">
        <v>244</v>
      </c>
      <c r="D42" s="7">
        <v>7134</v>
      </c>
      <c r="E42" t="s">
        <v>245</v>
      </c>
      <c r="F42" t="s">
        <v>246</v>
      </c>
      <c r="G42" t="s">
        <v>247</v>
      </c>
      <c r="H42" t="s">
        <v>419</v>
      </c>
      <c r="I42" s="7">
        <v>1165</v>
      </c>
      <c r="J42" t="s">
        <v>420</v>
      </c>
      <c r="K42" t="s">
        <v>421</v>
      </c>
      <c r="L42" t="s">
        <v>422</v>
      </c>
      <c r="M42" t="s">
        <v>261</v>
      </c>
      <c r="N42" t="s">
        <v>416</v>
      </c>
      <c r="O42" t="s">
        <v>423</v>
      </c>
      <c r="P42" t="s">
        <v>417</v>
      </c>
      <c r="Q42" s="8">
        <v>1150</v>
      </c>
      <c r="R42" s="8">
        <v>0</v>
      </c>
      <c r="S42" s="8">
        <v>207</v>
      </c>
      <c r="T42" s="8">
        <v>1357</v>
      </c>
      <c r="U42" s="7">
        <v>621504</v>
      </c>
      <c r="V42" t="s">
        <v>418</v>
      </c>
      <c r="W42" s="8">
        <v>1150</v>
      </c>
      <c r="X42" s="7">
        <v>32757</v>
      </c>
      <c r="Y42" t="s">
        <v>418</v>
      </c>
      <c r="AB42" t="s">
        <v>3771</v>
      </c>
      <c r="AC42" t="s">
        <v>3772</v>
      </c>
      <c r="AD42" s="8">
        <v>100</v>
      </c>
    </row>
    <row r="43" spans="1:30">
      <c r="A43" s="7">
        <v>42</v>
      </c>
      <c r="B43" t="s">
        <v>243</v>
      </c>
      <c r="C43" t="s">
        <v>244</v>
      </c>
      <c r="D43" s="7">
        <v>7134</v>
      </c>
      <c r="E43" t="s">
        <v>245</v>
      </c>
      <c r="F43" t="s">
        <v>246</v>
      </c>
      <c r="G43" t="s">
        <v>247</v>
      </c>
      <c r="H43" t="s">
        <v>400</v>
      </c>
      <c r="I43" s="7">
        <v>1165</v>
      </c>
      <c r="J43" t="s">
        <v>424</v>
      </c>
      <c r="K43" t="s">
        <v>425</v>
      </c>
      <c r="L43" t="s">
        <v>426</v>
      </c>
      <c r="M43" t="s">
        <v>267</v>
      </c>
      <c r="N43" t="s">
        <v>416</v>
      </c>
      <c r="O43" t="s">
        <v>427</v>
      </c>
      <c r="P43" t="s">
        <v>417</v>
      </c>
      <c r="Q43" s="8">
        <v>1150</v>
      </c>
      <c r="R43" s="8">
        <v>0</v>
      </c>
      <c r="S43" s="8">
        <v>207</v>
      </c>
      <c r="T43" s="8">
        <v>1357</v>
      </c>
      <c r="U43" s="7">
        <v>621504</v>
      </c>
      <c r="V43" t="s">
        <v>418</v>
      </c>
      <c r="W43" s="8">
        <v>1150</v>
      </c>
      <c r="X43" s="7">
        <v>32757</v>
      </c>
      <c r="Y43" t="s">
        <v>418</v>
      </c>
      <c r="AB43" t="s">
        <v>3771</v>
      </c>
      <c r="AC43" t="s">
        <v>3772</v>
      </c>
      <c r="AD43" s="8">
        <v>100</v>
      </c>
    </row>
    <row r="44" spans="1:30">
      <c r="A44" s="7">
        <v>43</v>
      </c>
      <c r="B44" t="s">
        <v>243</v>
      </c>
      <c r="C44" t="s">
        <v>244</v>
      </c>
      <c r="D44" s="7">
        <v>7134</v>
      </c>
      <c r="E44" t="s">
        <v>245</v>
      </c>
      <c r="F44" t="s">
        <v>246</v>
      </c>
      <c r="G44" t="s">
        <v>247</v>
      </c>
      <c r="H44" t="s">
        <v>313</v>
      </c>
      <c r="I44" s="7">
        <v>1165</v>
      </c>
      <c r="J44" t="s">
        <v>436</v>
      </c>
      <c r="K44" t="s">
        <v>437</v>
      </c>
      <c r="L44" t="s">
        <v>438</v>
      </c>
      <c r="M44" t="s">
        <v>361</v>
      </c>
      <c r="N44" t="s">
        <v>416</v>
      </c>
      <c r="O44" t="s">
        <v>439</v>
      </c>
      <c r="P44" t="s">
        <v>417</v>
      </c>
      <c r="Q44" s="8">
        <v>1500</v>
      </c>
      <c r="R44" s="8">
        <v>0</v>
      </c>
      <c r="S44" s="8">
        <v>270</v>
      </c>
      <c r="T44" s="8">
        <v>1770</v>
      </c>
      <c r="U44" s="7">
        <v>621504</v>
      </c>
      <c r="V44" t="s">
        <v>418</v>
      </c>
      <c r="W44" s="8">
        <v>1500</v>
      </c>
      <c r="X44" s="7">
        <v>32757</v>
      </c>
      <c r="Y44" t="s">
        <v>418</v>
      </c>
      <c r="AB44" t="s">
        <v>3771</v>
      </c>
      <c r="AC44" t="s">
        <v>3772</v>
      </c>
      <c r="AD44" s="8">
        <v>100</v>
      </c>
    </row>
    <row r="45" spans="1:30">
      <c r="A45" s="7">
        <v>44</v>
      </c>
      <c r="B45" t="s">
        <v>243</v>
      </c>
      <c r="C45" t="s">
        <v>244</v>
      </c>
      <c r="D45" s="7">
        <v>7134</v>
      </c>
      <c r="E45" t="s">
        <v>245</v>
      </c>
      <c r="F45" t="s">
        <v>246</v>
      </c>
      <c r="G45" t="s">
        <v>247</v>
      </c>
      <c r="H45" t="s">
        <v>412</v>
      </c>
      <c r="I45" s="7">
        <v>1165</v>
      </c>
      <c r="J45" t="s">
        <v>413</v>
      </c>
      <c r="K45" t="s">
        <v>414</v>
      </c>
      <c r="L45" t="s">
        <v>415</v>
      </c>
      <c r="M45" t="s">
        <v>261</v>
      </c>
      <c r="N45" t="s">
        <v>416</v>
      </c>
      <c r="O45" t="s">
        <v>357</v>
      </c>
      <c r="P45" t="s">
        <v>417</v>
      </c>
      <c r="Q45" s="8">
        <v>1150</v>
      </c>
      <c r="R45" s="8">
        <v>0</v>
      </c>
      <c r="S45" s="8">
        <v>207</v>
      </c>
      <c r="T45" s="8">
        <v>1357</v>
      </c>
      <c r="U45" s="7">
        <v>621504</v>
      </c>
      <c r="V45" t="s">
        <v>418</v>
      </c>
      <c r="W45" s="8">
        <v>1150</v>
      </c>
      <c r="X45" s="7">
        <v>32757</v>
      </c>
      <c r="Y45" t="s">
        <v>418</v>
      </c>
      <c r="AB45" t="s">
        <v>3771</v>
      </c>
      <c r="AC45" t="s">
        <v>3772</v>
      </c>
      <c r="AD45" s="8">
        <v>100</v>
      </c>
    </row>
    <row r="46" spans="1:30">
      <c r="A46" s="7">
        <v>45</v>
      </c>
      <c r="B46" t="s">
        <v>243</v>
      </c>
      <c r="C46" t="s">
        <v>244</v>
      </c>
      <c r="D46" s="7">
        <v>7134</v>
      </c>
      <c r="E46" t="s">
        <v>245</v>
      </c>
      <c r="F46" t="s">
        <v>246</v>
      </c>
      <c r="G46" t="s">
        <v>247</v>
      </c>
      <c r="H46" t="s">
        <v>431</v>
      </c>
      <c r="I46" s="7">
        <v>1165</v>
      </c>
      <c r="J46" t="s">
        <v>432</v>
      </c>
      <c r="K46" t="s">
        <v>433</v>
      </c>
      <c r="L46" t="s">
        <v>434</v>
      </c>
      <c r="M46" t="s">
        <v>252</v>
      </c>
      <c r="N46" t="s">
        <v>416</v>
      </c>
      <c r="O46" t="s">
        <v>435</v>
      </c>
      <c r="P46" t="s">
        <v>417</v>
      </c>
      <c r="Q46" s="8">
        <v>1150</v>
      </c>
      <c r="R46" s="8">
        <v>0</v>
      </c>
      <c r="S46" s="8">
        <v>207</v>
      </c>
      <c r="T46" s="8">
        <v>1357</v>
      </c>
      <c r="U46" s="7">
        <v>621504</v>
      </c>
      <c r="V46" t="s">
        <v>418</v>
      </c>
      <c r="W46" s="8">
        <v>1150</v>
      </c>
      <c r="X46" s="7">
        <v>32757</v>
      </c>
      <c r="Y46" t="s">
        <v>418</v>
      </c>
      <c r="AB46" t="s">
        <v>3771</v>
      </c>
      <c r="AC46" t="s">
        <v>3772</v>
      </c>
      <c r="AD46" s="8">
        <v>100</v>
      </c>
    </row>
    <row r="47" spans="1:30">
      <c r="A47" s="7">
        <v>46</v>
      </c>
      <c r="B47" t="s">
        <v>243</v>
      </c>
      <c r="C47" t="s">
        <v>244</v>
      </c>
      <c r="D47" s="7">
        <v>7134</v>
      </c>
      <c r="E47" t="s">
        <v>245</v>
      </c>
      <c r="F47" t="s">
        <v>246</v>
      </c>
      <c r="G47" t="s">
        <v>247</v>
      </c>
      <c r="H47" t="s">
        <v>273</v>
      </c>
      <c r="I47" s="7">
        <v>1165</v>
      </c>
      <c r="J47" t="s">
        <v>457</v>
      </c>
      <c r="K47" t="s">
        <v>458</v>
      </c>
      <c r="L47" t="s">
        <v>459</v>
      </c>
      <c r="M47" t="s">
        <v>267</v>
      </c>
      <c r="N47" t="s">
        <v>443</v>
      </c>
      <c r="O47" t="s">
        <v>453</v>
      </c>
      <c r="P47" t="s">
        <v>417</v>
      </c>
      <c r="Q47" s="8">
        <v>1150</v>
      </c>
      <c r="R47" s="8">
        <v>1150</v>
      </c>
      <c r="S47" s="8">
        <v>207</v>
      </c>
      <c r="T47" s="8">
        <v>1357</v>
      </c>
      <c r="U47" s="7">
        <v>621505</v>
      </c>
      <c r="V47" t="s">
        <v>418</v>
      </c>
      <c r="W47" s="8">
        <v>0</v>
      </c>
      <c r="X47" s="7">
        <v>32758</v>
      </c>
      <c r="Y47" t="s">
        <v>418</v>
      </c>
    </row>
    <row r="48" spans="1:30">
      <c r="A48" s="7">
        <v>47</v>
      </c>
      <c r="B48" t="s">
        <v>243</v>
      </c>
      <c r="C48" t="s">
        <v>244</v>
      </c>
      <c r="D48" s="7">
        <v>7134</v>
      </c>
      <c r="E48" t="s">
        <v>245</v>
      </c>
      <c r="F48" t="s">
        <v>246</v>
      </c>
      <c r="G48" t="s">
        <v>247</v>
      </c>
      <c r="H48" t="s">
        <v>333</v>
      </c>
      <c r="I48" s="7">
        <v>1160</v>
      </c>
      <c r="J48" t="s">
        <v>495</v>
      </c>
      <c r="K48" t="s">
        <v>496</v>
      </c>
      <c r="L48" t="s">
        <v>497</v>
      </c>
      <c r="M48" t="s">
        <v>261</v>
      </c>
      <c r="N48" t="s">
        <v>443</v>
      </c>
      <c r="O48" t="s">
        <v>277</v>
      </c>
      <c r="P48" t="s">
        <v>417</v>
      </c>
      <c r="Q48" s="8">
        <v>1150</v>
      </c>
      <c r="R48" s="8">
        <v>1150</v>
      </c>
      <c r="S48" s="8">
        <v>207</v>
      </c>
      <c r="T48" s="8">
        <v>1357</v>
      </c>
      <c r="U48" s="7">
        <v>621505</v>
      </c>
      <c r="V48" t="s">
        <v>418</v>
      </c>
      <c r="W48" s="8">
        <v>0</v>
      </c>
      <c r="X48" s="7">
        <v>32758</v>
      </c>
      <c r="Y48" t="s">
        <v>418</v>
      </c>
    </row>
    <row r="49" spans="1:25">
      <c r="A49" s="7">
        <v>48</v>
      </c>
      <c r="B49" t="s">
        <v>243</v>
      </c>
      <c r="C49" t="s">
        <v>244</v>
      </c>
      <c r="D49" s="7">
        <v>7134</v>
      </c>
      <c r="E49" t="s">
        <v>245</v>
      </c>
      <c r="F49" t="s">
        <v>246</v>
      </c>
      <c r="G49" t="s">
        <v>247</v>
      </c>
      <c r="H49" t="s">
        <v>269</v>
      </c>
      <c r="I49" s="7">
        <v>1165</v>
      </c>
      <c r="J49" t="s">
        <v>466</v>
      </c>
      <c r="K49" t="s">
        <v>467</v>
      </c>
      <c r="L49" t="s">
        <v>468</v>
      </c>
      <c r="M49" t="s">
        <v>267</v>
      </c>
      <c r="N49" t="s">
        <v>443</v>
      </c>
      <c r="O49" t="s">
        <v>268</v>
      </c>
      <c r="P49" t="s">
        <v>417</v>
      </c>
      <c r="Q49" s="8">
        <v>1150</v>
      </c>
      <c r="R49" s="8">
        <v>1150</v>
      </c>
      <c r="S49" s="8">
        <v>207</v>
      </c>
      <c r="T49" s="8">
        <v>1357</v>
      </c>
      <c r="U49" s="7">
        <v>621505</v>
      </c>
      <c r="V49" t="s">
        <v>418</v>
      </c>
      <c r="W49" s="8">
        <v>0</v>
      </c>
      <c r="X49" s="7">
        <v>32758</v>
      </c>
      <c r="Y49" t="s">
        <v>418</v>
      </c>
    </row>
    <row r="50" spans="1:25">
      <c r="A50" s="7">
        <v>49</v>
      </c>
      <c r="B50" t="s">
        <v>243</v>
      </c>
      <c r="C50" t="s">
        <v>244</v>
      </c>
      <c r="D50" s="7">
        <v>7134</v>
      </c>
      <c r="E50" t="s">
        <v>245</v>
      </c>
      <c r="F50" t="s">
        <v>246</v>
      </c>
      <c r="G50" t="s">
        <v>247</v>
      </c>
      <c r="H50" t="s">
        <v>273</v>
      </c>
      <c r="I50" s="7">
        <v>1165</v>
      </c>
      <c r="J50" t="s">
        <v>475</v>
      </c>
      <c r="K50" t="s">
        <v>476</v>
      </c>
      <c r="L50" t="s">
        <v>477</v>
      </c>
      <c r="M50" t="s">
        <v>267</v>
      </c>
      <c r="N50" t="s">
        <v>443</v>
      </c>
      <c r="O50" t="s">
        <v>453</v>
      </c>
      <c r="P50" t="s">
        <v>417</v>
      </c>
      <c r="Q50" s="8">
        <v>1150</v>
      </c>
      <c r="R50" s="8">
        <v>1150</v>
      </c>
      <c r="S50" s="8">
        <v>207</v>
      </c>
      <c r="T50" s="8">
        <v>1357</v>
      </c>
      <c r="U50" s="7">
        <v>621505</v>
      </c>
      <c r="V50" t="s">
        <v>418</v>
      </c>
      <c r="W50" s="8">
        <v>0</v>
      </c>
      <c r="X50" s="7">
        <v>32758</v>
      </c>
      <c r="Y50" t="s">
        <v>418</v>
      </c>
    </row>
    <row r="51" spans="1:25">
      <c r="A51" s="7">
        <v>50</v>
      </c>
      <c r="B51" t="s">
        <v>243</v>
      </c>
      <c r="C51" t="s">
        <v>244</v>
      </c>
      <c r="D51" s="7">
        <v>7134</v>
      </c>
      <c r="E51" t="s">
        <v>245</v>
      </c>
      <c r="F51" t="s">
        <v>246</v>
      </c>
      <c r="G51" t="s">
        <v>247</v>
      </c>
      <c r="H51" t="s">
        <v>273</v>
      </c>
      <c r="I51" s="7">
        <v>1165</v>
      </c>
      <c r="J51" t="s">
        <v>444</v>
      </c>
      <c r="K51" t="s">
        <v>445</v>
      </c>
      <c r="L51" t="s">
        <v>446</v>
      </c>
      <c r="M51" t="s">
        <v>261</v>
      </c>
      <c r="N51" t="s">
        <v>443</v>
      </c>
      <c r="O51" t="s">
        <v>254</v>
      </c>
      <c r="P51" t="s">
        <v>417</v>
      </c>
      <c r="Q51" s="8">
        <v>1150</v>
      </c>
      <c r="R51" s="8">
        <v>1150</v>
      </c>
      <c r="S51" s="8">
        <v>207</v>
      </c>
      <c r="T51" s="8">
        <v>1357</v>
      </c>
      <c r="U51" s="7">
        <v>621505</v>
      </c>
      <c r="V51" t="s">
        <v>418</v>
      </c>
      <c r="W51" s="8">
        <v>0</v>
      </c>
      <c r="X51" s="7">
        <v>32758</v>
      </c>
      <c r="Y51" t="s">
        <v>418</v>
      </c>
    </row>
    <row r="52" spans="1:25">
      <c r="A52" s="7">
        <v>51</v>
      </c>
      <c r="B52" t="s">
        <v>243</v>
      </c>
      <c r="C52" t="s">
        <v>244</v>
      </c>
      <c r="D52" s="7">
        <v>7134</v>
      </c>
      <c r="E52" t="s">
        <v>245</v>
      </c>
      <c r="F52" t="s">
        <v>246</v>
      </c>
      <c r="G52" t="s">
        <v>247</v>
      </c>
      <c r="H52" t="s">
        <v>293</v>
      </c>
      <c r="I52" s="7">
        <v>1165</v>
      </c>
      <c r="J52" t="s">
        <v>460</v>
      </c>
      <c r="K52" t="s">
        <v>461</v>
      </c>
      <c r="L52" t="s">
        <v>462</v>
      </c>
      <c r="M52" t="s">
        <v>267</v>
      </c>
      <c r="N52" t="s">
        <v>443</v>
      </c>
      <c r="O52" t="s">
        <v>453</v>
      </c>
      <c r="P52" t="s">
        <v>417</v>
      </c>
      <c r="Q52" s="8">
        <v>1150</v>
      </c>
      <c r="R52" s="8">
        <v>1150</v>
      </c>
      <c r="S52" s="8">
        <v>207</v>
      </c>
      <c r="T52" s="8">
        <v>1357</v>
      </c>
      <c r="U52" s="7">
        <v>621505</v>
      </c>
      <c r="V52" t="s">
        <v>418</v>
      </c>
      <c r="W52" s="8">
        <v>0</v>
      </c>
      <c r="X52" s="7">
        <v>32758</v>
      </c>
      <c r="Y52" t="s">
        <v>418</v>
      </c>
    </row>
    <row r="53" spans="1:25">
      <c r="A53" s="7">
        <v>52</v>
      </c>
      <c r="B53" t="s">
        <v>243</v>
      </c>
      <c r="C53" t="s">
        <v>244</v>
      </c>
      <c r="D53" s="7">
        <v>7134</v>
      </c>
      <c r="E53" t="s">
        <v>245</v>
      </c>
      <c r="F53" t="s">
        <v>246</v>
      </c>
      <c r="G53" t="s">
        <v>247</v>
      </c>
      <c r="H53" t="s">
        <v>293</v>
      </c>
      <c r="I53" s="7">
        <v>1165</v>
      </c>
      <c r="J53" t="s">
        <v>463</v>
      </c>
      <c r="K53" t="s">
        <v>464</v>
      </c>
      <c r="L53" t="s">
        <v>465</v>
      </c>
      <c r="M53" t="s">
        <v>267</v>
      </c>
      <c r="N53" t="s">
        <v>443</v>
      </c>
      <c r="O53" t="s">
        <v>453</v>
      </c>
      <c r="P53" t="s">
        <v>417</v>
      </c>
      <c r="Q53" s="8">
        <v>1150</v>
      </c>
      <c r="R53" s="8">
        <v>1150</v>
      </c>
      <c r="S53" s="8">
        <v>207</v>
      </c>
      <c r="T53" s="8">
        <v>1357</v>
      </c>
      <c r="U53" s="7">
        <v>621505</v>
      </c>
      <c r="V53" t="s">
        <v>418</v>
      </c>
      <c r="W53" s="8">
        <v>0</v>
      </c>
      <c r="X53" s="7">
        <v>32758</v>
      </c>
      <c r="Y53" t="s">
        <v>418</v>
      </c>
    </row>
    <row r="54" spans="1:25">
      <c r="A54" s="7">
        <v>53</v>
      </c>
      <c r="B54" t="s">
        <v>243</v>
      </c>
      <c r="C54" t="s">
        <v>244</v>
      </c>
      <c r="D54" s="7">
        <v>7134</v>
      </c>
      <c r="E54" t="s">
        <v>245</v>
      </c>
      <c r="F54" t="s">
        <v>246</v>
      </c>
      <c r="G54" t="s">
        <v>247</v>
      </c>
      <c r="H54" t="s">
        <v>278</v>
      </c>
      <c r="I54" s="7">
        <v>1165</v>
      </c>
      <c r="J54" t="s">
        <v>440</v>
      </c>
      <c r="K54" t="s">
        <v>441</v>
      </c>
      <c r="L54" t="s">
        <v>442</v>
      </c>
      <c r="M54" t="s">
        <v>267</v>
      </c>
      <c r="N54" t="s">
        <v>443</v>
      </c>
      <c r="O54" t="s">
        <v>282</v>
      </c>
      <c r="P54" t="s">
        <v>417</v>
      </c>
      <c r="Q54" s="8">
        <v>1150</v>
      </c>
      <c r="R54" s="8">
        <v>1150</v>
      </c>
      <c r="S54" s="8">
        <v>207</v>
      </c>
      <c r="T54" s="8">
        <v>1357</v>
      </c>
      <c r="U54" s="7">
        <v>621505</v>
      </c>
      <c r="V54" t="s">
        <v>418</v>
      </c>
      <c r="W54" s="8">
        <v>0</v>
      </c>
      <c r="X54" s="7">
        <v>32758</v>
      </c>
      <c r="Y54" t="s">
        <v>418</v>
      </c>
    </row>
    <row r="55" spans="1:25">
      <c r="A55" s="7">
        <v>54</v>
      </c>
      <c r="B55" t="s">
        <v>243</v>
      </c>
      <c r="C55" t="s">
        <v>244</v>
      </c>
      <c r="D55" s="7">
        <v>7134</v>
      </c>
      <c r="E55" t="s">
        <v>245</v>
      </c>
      <c r="F55" t="s">
        <v>246</v>
      </c>
      <c r="G55" t="s">
        <v>247</v>
      </c>
      <c r="H55" t="s">
        <v>293</v>
      </c>
      <c r="I55" s="7">
        <v>1165</v>
      </c>
      <c r="J55" t="s">
        <v>498</v>
      </c>
      <c r="K55" t="s">
        <v>499</v>
      </c>
      <c r="L55" t="s">
        <v>500</v>
      </c>
      <c r="M55" t="s">
        <v>267</v>
      </c>
      <c r="N55" t="s">
        <v>443</v>
      </c>
      <c r="O55" t="s">
        <v>453</v>
      </c>
      <c r="P55" t="s">
        <v>417</v>
      </c>
      <c r="Q55" s="8">
        <v>1150</v>
      </c>
      <c r="R55" s="8">
        <v>1150</v>
      </c>
      <c r="S55" s="8">
        <v>207</v>
      </c>
      <c r="T55" s="8">
        <v>1357</v>
      </c>
      <c r="U55" s="7">
        <v>621505</v>
      </c>
      <c r="V55" t="s">
        <v>418</v>
      </c>
      <c r="W55" s="8">
        <v>0</v>
      </c>
      <c r="X55" s="7">
        <v>32758</v>
      </c>
      <c r="Y55" t="s">
        <v>418</v>
      </c>
    </row>
    <row r="56" spans="1:25">
      <c r="A56" s="7">
        <v>55</v>
      </c>
      <c r="B56" t="s">
        <v>243</v>
      </c>
      <c r="C56" t="s">
        <v>244</v>
      </c>
      <c r="D56" s="7">
        <v>7134</v>
      </c>
      <c r="E56" t="s">
        <v>245</v>
      </c>
      <c r="F56" t="s">
        <v>246</v>
      </c>
      <c r="G56" t="s">
        <v>247</v>
      </c>
      <c r="H56" t="s">
        <v>333</v>
      </c>
      <c r="I56" s="7">
        <v>1165</v>
      </c>
      <c r="J56" t="s">
        <v>484</v>
      </c>
      <c r="K56" t="s">
        <v>485</v>
      </c>
      <c r="L56" t="s">
        <v>486</v>
      </c>
      <c r="M56" t="s">
        <v>267</v>
      </c>
      <c r="N56" t="s">
        <v>443</v>
      </c>
      <c r="O56" t="s">
        <v>388</v>
      </c>
      <c r="P56" t="s">
        <v>417</v>
      </c>
      <c r="Q56" s="8">
        <v>1150</v>
      </c>
      <c r="R56" s="8">
        <v>1150</v>
      </c>
      <c r="S56" s="8">
        <v>207</v>
      </c>
      <c r="T56" s="8">
        <v>1357</v>
      </c>
      <c r="U56" s="7">
        <v>621505</v>
      </c>
      <c r="V56" t="s">
        <v>418</v>
      </c>
      <c r="W56" s="8">
        <v>0</v>
      </c>
      <c r="X56" s="7">
        <v>32758</v>
      </c>
      <c r="Y56" t="s">
        <v>418</v>
      </c>
    </row>
    <row r="57" spans="1:25">
      <c r="A57" s="7">
        <v>56</v>
      </c>
      <c r="B57" t="s">
        <v>243</v>
      </c>
      <c r="C57" t="s">
        <v>244</v>
      </c>
      <c r="D57" s="7">
        <v>7134</v>
      </c>
      <c r="E57" t="s">
        <v>245</v>
      </c>
      <c r="F57" t="s">
        <v>246</v>
      </c>
      <c r="G57" t="s">
        <v>247</v>
      </c>
      <c r="H57" t="s">
        <v>248</v>
      </c>
      <c r="I57" s="7">
        <v>1165</v>
      </c>
      <c r="J57" t="s">
        <v>487</v>
      </c>
      <c r="K57" t="s">
        <v>488</v>
      </c>
      <c r="L57" t="s">
        <v>489</v>
      </c>
      <c r="M57" t="s">
        <v>261</v>
      </c>
      <c r="N57" t="s">
        <v>443</v>
      </c>
      <c r="O57" t="s">
        <v>490</v>
      </c>
      <c r="P57" t="s">
        <v>417</v>
      </c>
      <c r="Q57" s="8">
        <v>1150</v>
      </c>
      <c r="R57" s="8">
        <v>1150</v>
      </c>
      <c r="S57" s="8">
        <v>207</v>
      </c>
      <c r="T57" s="8">
        <v>1357</v>
      </c>
      <c r="U57" s="7">
        <v>621505</v>
      </c>
      <c r="V57" t="s">
        <v>418</v>
      </c>
      <c r="W57" s="8">
        <v>0</v>
      </c>
      <c r="X57" s="7">
        <v>32758</v>
      </c>
      <c r="Y57" t="s">
        <v>418</v>
      </c>
    </row>
    <row r="58" spans="1:25">
      <c r="A58" s="7">
        <v>57</v>
      </c>
      <c r="B58" t="s">
        <v>243</v>
      </c>
      <c r="C58" t="s">
        <v>244</v>
      </c>
      <c r="D58" s="7">
        <v>7134</v>
      </c>
      <c r="E58" t="s">
        <v>245</v>
      </c>
      <c r="F58" t="s">
        <v>246</v>
      </c>
      <c r="G58" t="s">
        <v>247</v>
      </c>
      <c r="H58" t="s">
        <v>248</v>
      </c>
      <c r="I58" s="7">
        <v>1165</v>
      </c>
      <c r="J58" s="7">
        <v>91005790</v>
      </c>
      <c r="K58" t="s">
        <v>469</v>
      </c>
      <c r="L58" t="s">
        <v>470</v>
      </c>
      <c r="M58" t="s">
        <v>361</v>
      </c>
      <c r="N58" t="s">
        <v>443</v>
      </c>
      <c r="O58" t="s">
        <v>357</v>
      </c>
      <c r="P58" t="s">
        <v>417</v>
      </c>
      <c r="Q58" s="8">
        <v>1500</v>
      </c>
      <c r="R58" s="8">
        <v>1500</v>
      </c>
      <c r="S58" s="8">
        <v>270</v>
      </c>
      <c r="T58" s="8">
        <v>1770</v>
      </c>
      <c r="U58" s="7">
        <v>621505</v>
      </c>
      <c r="V58" t="s">
        <v>418</v>
      </c>
      <c r="W58" s="8">
        <v>0</v>
      </c>
      <c r="X58" s="7">
        <v>32758</v>
      </c>
      <c r="Y58" t="s">
        <v>418</v>
      </c>
    </row>
    <row r="59" spans="1:25">
      <c r="A59" s="7">
        <v>58</v>
      </c>
      <c r="B59" t="s">
        <v>243</v>
      </c>
      <c r="C59" t="s">
        <v>244</v>
      </c>
      <c r="D59" s="7">
        <v>7134</v>
      </c>
      <c r="E59" t="s">
        <v>245</v>
      </c>
      <c r="F59" t="s">
        <v>246</v>
      </c>
      <c r="G59" t="s">
        <v>247</v>
      </c>
      <c r="H59" t="s">
        <v>263</v>
      </c>
      <c r="I59" s="7">
        <v>1165</v>
      </c>
      <c r="J59" t="s">
        <v>471</v>
      </c>
      <c r="K59" t="s">
        <v>472</v>
      </c>
      <c r="L59" t="s">
        <v>473</v>
      </c>
      <c r="M59" t="s">
        <v>267</v>
      </c>
      <c r="N59" t="s">
        <v>443</v>
      </c>
      <c r="O59" t="s">
        <v>474</v>
      </c>
      <c r="P59" t="s">
        <v>417</v>
      </c>
      <c r="Q59" s="8">
        <v>1150</v>
      </c>
      <c r="R59" s="8">
        <v>1150</v>
      </c>
      <c r="S59" s="8">
        <v>207</v>
      </c>
      <c r="T59" s="8">
        <v>1357</v>
      </c>
      <c r="U59" s="7">
        <v>621505</v>
      </c>
      <c r="V59" t="s">
        <v>418</v>
      </c>
      <c r="W59" s="8">
        <v>0</v>
      </c>
      <c r="X59" s="7">
        <v>32758</v>
      </c>
      <c r="Y59" t="s">
        <v>418</v>
      </c>
    </row>
    <row r="60" spans="1:25">
      <c r="A60" s="7">
        <v>59</v>
      </c>
      <c r="B60" t="s">
        <v>243</v>
      </c>
      <c r="C60" t="s">
        <v>244</v>
      </c>
      <c r="D60" s="7">
        <v>7134</v>
      </c>
      <c r="E60" t="s">
        <v>245</v>
      </c>
      <c r="F60" t="s">
        <v>246</v>
      </c>
      <c r="G60" t="s">
        <v>247</v>
      </c>
      <c r="H60" t="s">
        <v>293</v>
      </c>
      <c r="I60" s="7">
        <v>1165</v>
      </c>
      <c r="J60" t="s">
        <v>481</v>
      </c>
      <c r="K60" t="s">
        <v>482</v>
      </c>
      <c r="L60" t="s">
        <v>483</v>
      </c>
      <c r="M60" t="s">
        <v>267</v>
      </c>
      <c r="N60" t="s">
        <v>443</v>
      </c>
      <c r="O60" t="s">
        <v>453</v>
      </c>
      <c r="P60" t="s">
        <v>417</v>
      </c>
      <c r="Q60" s="8">
        <v>1150</v>
      </c>
      <c r="R60" s="8">
        <v>1150</v>
      </c>
      <c r="S60" s="8">
        <v>207</v>
      </c>
      <c r="T60" s="8">
        <v>1357</v>
      </c>
      <c r="U60" s="7">
        <v>621505</v>
      </c>
      <c r="V60" t="s">
        <v>418</v>
      </c>
      <c r="W60" s="8">
        <v>0</v>
      </c>
      <c r="X60" s="7">
        <v>32758</v>
      </c>
      <c r="Y60" t="s">
        <v>418</v>
      </c>
    </row>
    <row r="61" spans="1:25">
      <c r="A61" s="7">
        <v>60</v>
      </c>
      <c r="B61" t="s">
        <v>243</v>
      </c>
      <c r="C61" t="s">
        <v>244</v>
      </c>
      <c r="D61" s="7">
        <v>7134</v>
      </c>
      <c r="E61" t="s">
        <v>245</v>
      </c>
      <c r="F61" t="s">
        <v>246</v>
      </c>
      <c r="G61" t="s">
        <v>247</v>
      </c>
      <c r="H61" t="s">
        <v>333</v>
      </c>
      <c r="I61" s="7">
        <v>1165</v>
      </c>
      <c r="J61" t="s">
        <v>447</v>
      </c>
      <c r="K61" t="s">
        <v>448</v>
      </c>
      <c r="L61" t="s">
        <v>449</v>
      </c>
      <c r="M61" t="s">
        <v>261</v>
      </c>
      <c r="N61" t="s">
        <v>443</v>
      </c>
      <c r="O61" t="s">
        <v>297</v>
      </c>
      <c r="P61" t="s">
        <v>417</v>
      </c>
      <c r="Q61" s="8">
        <v>1150</v>
      </c>
      <c r="R61" s="8">
        <v>1150</v>
      </c>
      <c r="S61" s="8">
        <v>207</v>
      </c>
      <c r="T61" s="8">
        <v>1357</v>
      </c>
      <c r="U61" s="7">
        <v>621505</v>
      </c>
      <c r="V61" t="s">
        <v>418</v>
      </c>
      <c r="W61" s="8">
        <v>0</v>
      </c>
      <c r="X61" s="7">
        <v>32758</v>
      </c>
      <c r="Y61" t="s">
        <v>418</v>
      </c>
    </row>
    <row r="62" spans="1:25">
      <c r="A62" s="7">
        <v>61</v>
      </c>
      <c r="B62" t="s">
        <v>243</v>
      </c>
      <c r="C62" t="s">
        <v>244</v>
      </c>
      <c r="D62" s="7">
        <v>7134</v>
      </c>
      <c r="E62" t="s">
        <v>245</v>
      </c>
      <c r="F62" t="s">
        <v>246</v>
      </c>
      <c r="G62" t="s">
        <v>247</v>
      </c>
      <c r="H62" t="s">
        <v>491</v>
      </c>
      <c r="I62" s="7">
        <v>1165</v>
      </c>
      <c r="J62" t="s">
        <v>492</v>
      </c>
      <c r="K62" t="s">
        <v>493</v>
      </c>
      <c r="L62" t="s">
        <v>494</v>
      </c>
      <c r="M62" t="s">
        <v>252</v>
      </c>
      <c r="N62" t="s">
        <v>443</v>
      </c>
      <c r="O62" t="s">
        <v>347</v>
      </c>
      <c r="P62" t="s">
        <v>417</v>
      </c>
      <c r="Q62" s="8">
        <v>1150</v>
      </c>
      <c r="R62" s="8">
        <v>1150</v>
      </c>
      <c r="S62" s="8">
        <v>207</v>
      </c>
      <c r="T62" s="8">
        <v>1357</v>
      </c>
      <c r="U62" s="7">
        <v>621505</v>
      </c>
      <c r="V62" t="s">
        <v>418</v>
      </c>
      <c r="W62" s="8">
        <v>0</v>
      </c>
      <c r="X62" s="7">
        <v>32758</v>
      </c>
      <c r="Y62" t="s">
        <v>418</v>
      </c>
    </row>
    <row r="63" spans="1:25">
      <c r="A63" s="7">
        <v>62</v>
      </c>
      <c r="B63" t="s">
        <v>243</v>
      </c>
      <c r="C63" t="s">
        <v>244</v>
      </c>
      <c r="D63" s="7">
        <v>7134</v>
      </c>
      <c r="E63" t="s">
        <v>245</v>
      </c>
      <c r="F63" t="s">
        <v>246</v>
      </c>
      <c r="G63" t="s">
        <v>247</v>
      </c>
      <c r="H63" t="s">
        <v>278</v>
      </c>
      <c r="I63" s="7">
        <v>1165</v>
      </c>
      <c r="J63" t="s">
        <v>450</v>
      </c>
      <c r="K63" t="s">
        <v>451</v>
      </c>
      <c r="L63" t="s">
        <v>452</v>
      </c>
      <c r="M63" t="s">
        <v>267</v>
      </c>
      <c r="N63" t="s">
        <v>443</v>
      </c>
      <c r="O63" t="s">
        <v>453</v>
      </c>
      <c r="P63" t="s">
        <v>417</v>
      </c>
      <c r="Q63" s="8">
        <v>1150</v>
      </c>
      <c r="R63" s="8">
        <v>1150</v>
      </c>
      <c r="S63" s="8">
        <v>207</v>
      </c>
      <c r="T63" s="8">
        <v>1357</v>
      </c>
      <c r="U63" s="7">
        <v>621505</v>
      </c>
      <c r="V63" t="s">
        <v>418</v>
      </c>
      <c r="W63" s="8">
        <v>0</v>
      </c>
      <c r="X63" s="7">
        <v>32758</v>
      </c>
      <c r="Y63" t="s">
        <v>418</v>
      </c>
    </row>
    <row r="64" spans="1:25">
      <c r="A64" s="7">
        <v>63</v>
      </c>
      <c r="B64" t="s">
        <v>243</v>
      </c>
      <c r="C64" t="s">
        <v>244</v>
      </c>
      <c r="D64" s="7">
        <v>7134</v>
      </c>
      <c r="E64" t="s">
        <v>245</v>
      </c>
      <c r="F64" t="s">
        <v>246</v>
      </c>
      <c r="G64" t="s">
        <v>247</v>
      </c>
      <c r="H64" t="s">
        <v>293</v>
      </c>
      <c r="I64" s="7">
        <v>1165</v>
      </c>
      <c r="J64" t="s">
        <v>454</v>
      </c>
      <c r="K64" t="s">
        <v>455</v>
      </c>
      <c r="L64" t="s">
        <v>456</v>
      </c>
      <c r="M64" t="s">
        <v>261</v>
      </c>
      <c r="N64" t="s">
        <v>443</v>
      </c>
      <c r="O64" t="s">
        <v>362</v>
      </c>
      <c r="P64" t="s">
        <v>417</v>
      </c>
      <c r="Q64" s="8">
        <v>1150</v>
      </c>
      <c r="R64" s="8">
        <v>1150</v>
      </c>
      <c r="S64" s="8">
        <v>207</v>
      </c>
      <c r="T64" s="8">
        <v>1357</v>
      </c>
      <c r="U64" s="7">
        <v>621505</v>
      </c>
      <c r="V64" t="s">
        <v>418</v>
      </c>
      <c r="W64" s="8">
        <v>0</v>
      </c>
      <c r="X64" s="7">
        <v>32758</v>
      </c>
      <c r="Y64" t="s">
        <v>418</v>
      </c>
    </row>
    <row r="65" spans="1:25">
      <c r="A65" s="7">
        <v>64</v>
      </c>
      <c r="B65" t="s">
        <v>243</v>
      </c>
      <c r="C65" t="s">
        <v>244</v>
      </c>
      <c r="D65" s="7">
        <v>7134</v>
      </c>
      <c r="E65" t="s">
        <v>245</v>
      </c>
      <c r="F65" t="s">
        <v>246</v>
      </c>
      <c r="G65" t="s">
        <v>247</v>
      </c>
      <c r="H65" t="s">
        <v>263</v>
      </c>
      <c r="I65" s="7">
        <v>1165</v>
      </c>
      <c r="J65" t="s">
        <v>478</v>
      </c>
      <c r="K65" t="s">
        <v>479</v>
      </c>
      <c r="L65" t="s">
        <v>480</v>
      </c>
      <c r="M65" t="s">
        <v>267</v>
      </c>
      <c r="N65" t="s">
        <v>443</v>
      </c>
      <c r="O65" t="s">
        <v>474</v>
      </c>
      <c r="P65" t="s">
        <v>417</v>
      </c>
      <c r="Q65" s="8">
        <v>1150</v>
      </c>
      <c r="R65" s="8">
        <v>1150</v>
      </c>
      <c r="S65" s="8">
        <v>207</v>
      </c>
      <c r="T65" s="8">
        <v>1357</v>
      </c>
      <c r="U65" s="7">
        <v>621505</v>
      </c>
      <c r="V65" t="s">
        <v>418</v>
      </c>
      <c r="W65" s="8">
        <v>0</v>
      </c>
      <c r="X65" s="7">
        <v>32758</v>
      </c>
      <c r="Y65" t="s">
        <v>418</v>
      </c>
    </row>
    <row r="66" spans="1:25">
      <c r="A66" s="7">
        <v>65</v>
      </c>
      <c r="B66" t="s">
        <v>243</v>
      </c>
      <c r="C66" t="s">
        <v>244</v>
      </c>
      <c r="D66" s="7">
        <v>7134</v>
      </c>
      <c r="E66" t="s">
        <v>245</v>
      </c>
      <c r="F66" t="s">
        <v>246</v>
      </c>
      <c r="G66" t="s">
        <v>247</v>
      </c>
      <c r="H66" t="s">
        <v>539</v>
      </c>
      <c r="I66" s="7">
        <v>1165</v>
      </c>
      <c r="J66" t="s">
        <v>565</v>
      </c>
      <c r="K66" t="s">
        <v>566</v>
      </c>
      <c r="L66" t="s">
        <v>567</v>
      </c>
      <c r="M66" t="s">
        <v>261</v>
      </c>
      <c r="N66" t="s">
        <v>505</v>
      </c>
      <c r="O66" t="s">
        <v>511</v>
      </c>
      <c r="P66" t="s">
        <v>417</v>
      </c>
      <c r="Q66" s="8">
        <v>1150</v>
      </c>
      <c r="R66" s="8">
        <v>1150</v>
      </c>
      <c r="S66" s="8">
        <v>207</v>
      </c>
      <c r="T66" s="8">
        <v>1357</v>
      </c>
      <c r="U66" s="7">
        <v>621506</v>
      </c>
      <c r="V66" t="s">
        <v>418</v>
      </c>
      <c r="W66" s="8">
        <v>0</v>
      </c>
      <c r="X66" s="7">
        <v>32759</v>
      </c>
      <c r="Y66" t="s">
        <v>418</v>
      </c>
    </row>
    <row r="67" spans="1:25">
      <c r="A67" s="7">
        <v>66</v>
      </c>
      <c r="B67" t="s">
        <v>243</v>
      </c>
      <c r="C67" t="s">
        <v>244</v>
      </c>
      <c r="D67" s="7">
        <v>7134</v>
      </c>
      <c r="E67" t="s">
        <v>245</v>
      </c>
      <c r="F67" t="s">
        <v>246</v>
      </c>
      <c r="G67" t="s">
        <v>247</v>
      </c>
      <c r="H67" t="s">
        <v>507</v>
      </c>
      <c r="I67" s="7">
        <v>1165</v>
      </c>
      <c r="J67" t="s">
        <v>508</v>
      </c>
      <c r="K67" t="s">
        <v>509</v>
      </c>
      <c r="L67" t="s">
        <v>510</v>
      </c>
      <c r="M67" t="s">
        <v>261</v>
      </c>
      <c r="N67" t="s">
        <v>505</v>
      </c>
      <c r="O67" t="s">
        <v>511</v>
      </c>
      <c r="P67" t="s">
        <v>417</v>
      </c>
      <c r="Q67" s="8">
        <v>1150</v>
      </c>
      <c r="R67" s="8">
        <v>1150</v>
      </c>
      <c r="S67" s="8">
        <v>207</v>
      </c>
      <c r="T67" s="8">
        <v>1357</v>
      </c>
      <c r="U67" s="7">
        <v>621506</v>
      </c>
      <c r="V67" t="s">
        <v>418</v>
      </c>
      <c r="W67" s="8">
        <v>0</v>
      </c>
      <c r="X67" s="7">
        <v>32759</v>
      </c>
      <c r="Y67" t="s">
        <v>418</v>
      </c>
    </row>
    <row r="68" spans="1:25">
      <c r="A68" s="7">
        <v>67</v>
      </c>
      <c r="B68" t="s">
        <v>243</v>
      </c>
      <c r="C68" t="s">
        <v>244</v>
      </c>
      <c r="D68" s="7">
        <v>7134</v>
      </c>
      <c r="E68" t="s">
        <v>245</v>
      </c>
      <c r="F68" t="s">
        <v>246</v>
      </c>
      <c r="G68" t="s">
        <v>247</v>
      </c>
      <c r="H68" t="s">
        <v>543</v>
      </c>
      <c r="I68" s="7">
        <v>1165</v>
      </c>
      <c r="J68" t="s">
        <v>568</v>
      </c>
      <c r="K68" t="s">
        <v>569</v>
      </c>
      <c r="L68" t="s">
        <v>570</v>
      </c>
      <c r="M68" t="s">
        <v>261</v>
      </c>
      <c r="N68" t="s">
        <v>505</v>
      </c>
      <c r="O68" t="s">
        <v>506</v>
      </c>
      <c r="P68" t="s">
        <v>417</v>
      </c>
      <c r="Q68" s="8">
        <v>1150</v>
      </c>
      <c r="R68" s="8">
        <v>1150</v>
      </c>
      <c r="S68" s="8">
        <v>207</v>
      </c>
      <c r="T68" s="8">
        <v>1357</v>
      </c>
      <c r="U68" s="7">
        <v>621506</v>
      </c>
      <c r="V68" t="s">
        <v>418</v>
      </c>
      <c r="W68" s="8">
        <v>0</v>
      </c>
      <c r="X68" s="7">
        <v>32759</v>
      </c>
      <c r="Y68" t="s">
        <v>418</v>
      </c>
    </row>
    <row r="69" spans="1:25">
      <c r="A69" s="7">
        <v>68</v>
      </c>
      <c r="B69" t="s">
        <v>243</v>
      </c>
      <c r="C69" t="s">
        <v>244</v>
      </c>
      <c r="D69" s="7">
        <v>7134</v>
      </c>
      <c r="E69" t="s">
        <v>245</v>
      </c>
      <c r="F69" t="s">
        <v>246</v>
      </c>
      <c r="G69" t="s">
        <v>247</v>
      </c>
      <c r="H69" t="s">
        <v>512</v>
      </c>
      <c r="I69" s="7">
        <v>1165</v>
      </c>
      <c r="J69" t="s">
        <v>559</v>
      </c>
      <c r="K69" t="s">
        <v>560</v>
      </c>
      <c r="L69" t="s">
        <v>561</v>
      </c>
      <c r="M69" t="s">
        <v>252</v>
      </c>
      <c r="N69" t="s">
        <v>505</v>
      </c>
      <c r="O69" t="s">
        <v>277</v>
      </c>
      <c r="P69" t="s">
        <v>417</v>
      </c>
      <c r="Q69" s="8">
        <v>1150</v>
      </c>
      <c r="R69" s="8">
        <v>1150</v>
      </c>
      <c r="S69" s="8">
        <v>207</v>
      </c>
      <c r="T69" s="8">
        <v>1357</v>
      </c>
      <c r="U69" s="7">
        <v>621506</v>
      </c>
      <c r="V69" t="s">
        <v>418</v>
      </c>
      <c r="W69" s="8">
        <v>0</v>
      </c>
      <c r="X69" s="7">
        <v>32759</v>
      </c>
      <c r="Y69" t="s">
        <v>418</v>
      </c>
    </row>
    <row r="70" spans="1:25">
      <c r="A70" s="7">
        <v>69</v>
      </c>
      <c r="B70" t="s">
        <v>243</v>
      </c>
      <c r="C70" t="s">
        <v>244</v>
      </c>
      <c r="D70" s="7">
        <v>7134</v>
      </c>
      <c r="E70" t="s">
        <v>245</v>
      </c>
      <c r="F70" t="s">
        <v>246</v>
      </c>
      <c r="G70" t="s">
        <v>247</v>
      </c>
      <c r="H70" t="s">
        <v>516</v>
      </c>
      <c r="I70" s="7">
        <v>1165</v>
      </c>
      <c r="J70" t="s">
        <v>517</v>
      </c>
      <c r="K70" t="s">
        <v>518</v>
      </c>
      <c r="L70" t="s">
        <v>519</v>
      </c>
      <c r="M70" t="s">
        <v>261</v>
      </c>
      <c r="N70" t="s">
        <v>505</v>
      </c>
      <c r="O70" t="s">
        <v>277</v>
      </c>
      <c r="P70" t="s">
        <v>417</v>
      </c>
      <c r="Q70" s="8">
        <v>1150</v>
      </c>
      <c r="R70" s="8">
        <v>1150</v>
      </c>
      <c r="S70" s="8">
        <v>207</v>
      </c>
      <c r="T70" s="8">
        <v>1357</v>
      </c>
      <c r="U70" s="7">
        <v>621506</v>
      </c>
      <c r="V70" t="s">
        <v>418</v>
      </c>
      <c r="W70" s="8">
        <v>0</v>
      </c>
      <c r="X70" s="7">
        <v>32759</v>
      </c>
      <c r="Y70" t="s">
        <v>418</v>
      </c>
    </row>
    <row r="71" spans="1:25">
      <c r="A71" s="7">
        <v>70</v>
      </c>
      <c r="B71" t="s">
        <v>243</v>
      </c>
      <c r="C71" t="s">
        <v>244</v>
      </c>
      <c r="D71" s="7">
        <v>7134</v>
      </c>
      <c r="E71" t="s">
        <v>245</v>
      </c>
      <c r="F71" t="s">
        <v>246</v>
      </c>
      <c r="G71" t="s">
        <v>247</v>
      </c>
      <c r="H71" t="s">
        <v>507</v>
      </c>
      <c r="I71" s="7">
        <v>1165</v>
      </c>
      <c r="J71" t="s">
        <v>520</v>
      </c>
      <c r="K71" t="s">
        <v>521</v>
      </c>
      <c r="L71" t="s">
        <v>522</v>
      </c>
      <c r="M71" t="s">
        <v>361</v>
      </c>
      <c r="N71" t="s">
        <v>505</v>
      </c>
      <c r="O71" t="s">
        <v>523</v>
      </c>
      <c r="P71" t="s">
        <v>417</v>
      </c>
      <c r="Q71" s="8">
        <v>1500</v>
      </c>
      <c r="R71" s="8">
        <v>1500</v>
      </c>
      <c r="S71" s="8">
        <v>270</v>
      </c>
      <c r="T71" s="8">
        <v>1770</v>
      </c>
      <c r="U71" s="7">
        <v>621506</v>
      </c>
      <c r="V71" t="s">
        <v>418</v>
      </c>
      <c r="W71" s="8">
        <v>0</v>
      </c>
      <c r="X71" s="7">
        <v>32759</v>
      </c>
      <c r="Y71" t="s">
        <v>418</v>
      </c>
    </row>
    <row r="72" spans="1:25">
      <c r="A72" s="7">
        <v>71</v>
      </c>
      <c r="B72" t="s">
        <v>243</v>
      </c>
      <c r="C72" t="s">
        <v>244</v>
      </c>
      <c r="D72" s="7">
        <v>7134</v>
      </c>
      <c r="E72" t="s">
        <v>245</v>
      </c>
      <c r="F72" t="s">
        <v>246</v>
      </c>
      <c r="G72" t="s">
        <v>247</v>
      </c>
      <c r="H72" t="s">
        <v>550</v>
      </c>
      <c r="I72" s="7">
        <v>1165</v>
      </c>
      <c r="J72" t="s">
        <v>551</v>
      </c>
      <c r="K72" t="s">
        <v>552</v>
      </c>
      <c r="L72" t="s">
        <v>553</v>
      </c>
      <c r="M72" t="s">
        <v>252</v>
      </c>
      <c r="N72" t="s">
        <v>505</v>
      </c>
      <c r="O72" t="s">
        <v>554</v>
      </c>
      <c r="P72" t="s">
        <v>417</v>
      </c>
      <c r="Q72" s="8">
        <v>1150</v>
      </c>
      <c r="R72" s="8">
        <v>1150</v>
      </c>
      <c r="S72" s="8">
        <v>207</v>
      </c>
      <c r="T72" s="8">
        <v>1357</v>
      </c>
      <c r="U72" s="7">
        <v>621506</v>
      </c>
      <c r="V72" t="s">
        <v>418</v>
      </c>
      <c r="W72" s="8">
        <v>0</v>
      </c>
      <c r="X72" s="7">
        <v>32759</v>
      </c>
      <c r="Y72" t="s">
        <v>418</v>
      </c>
    </row>
    <row r="73" spans="1:25">
      <c r="A73" s="7">
        <v>72</v>
      </c>
      <c r="B73" t="s">
        <v>243</v>
      </c>
      <c r="C73" t="s">
        <v>244</v>
      </c>
      <c r="D73" s="7">
        <v>7134</v>
      </c>
      <c r="E73" t="s">
        <v>245</v>
      </c>
      <c r="F73" t="s">
        <v>246</v>
      </c>
      <c r="G73" t="s">
        <v>247</v>
      </c>
      <c r="H73" t="s">
        <v>543</v>
      </c>
      <c r="I73" s="7">
        <v>1165</v>
      </c>
      <c r="J73" t="s">
        <v>544</v>
      </c>
      <c r="K73" t="s">
        <v>545</v>
      </c>
      <c r="L73" t="s">
        <v>546</v>
      </c>
      <c r="M73" t="s">
        <v>261</v>
      </c>
      <c r="N73" t="s">
        <v>505</v>
      </c>
      <c r="O73" t="s">
        <v>277</v>
      </c>
      <c r="P73" t="s">
        <v>417</v>
      </c>
      <c r="Q73" s="8">
        <v>1150</v>
      </c>
      <c r="R73" s="8">
        <v>1150</v>
      </c>
      <c r="S73" s="8">
        <v>207</v>
      </c>
      <c r="T73" s="8">
        <v>1357</v>
      </c>
      <c r="U73" s="7">
        <v>621506</v>
      </c>
      <c r="V73" t="s">
        <v>418</v>
      </c>
      <c r="W73" s="8">
        <v>0</v>
      </c>
      <c r="X73" s="7">
        <v>32759</v>
      </c>
      <c r="Y73" t="s">
        <v>418</v>
      </c>
    </row>
    <row r="74" spans="1:25">
      <c r="A74" s="7">
        <v>73</v>
      </c>
      <c r="B74" t="s">
        <v>243</v>
      </c>
      <c r="C74" t="s">
        <v>244</v>
      </c>
      <c r="D74" s="7">
        <v>7134</v>
      </c>
      <c r="E74" t="s">
        <v>245</v>
      </c>
      <c r="F74" t="s">
        <v>246</v>
      </c>
      <c r="G74" t="s">
        <v>247</v>
      </c>
      <c r="H74" t="s">
        <v>571</v>
      </c>
      <c r="I74" s="7">
        <v>1165</v>
      </c>
      <c r="J74" t="s">
        <v>572</v>
      </c>
      <c r="K74" t="s">
        <v>573</v>
      </c>
      <c r="L74" t="s">
        <v>574</v>
      </c>
      <c r="M74" t="s">
        <v>361</v>
      </c>
      <c r="N74" t="s">
        <v>505</v>
      </c>
      <c r="O74" t="s">
        <v>506</v>
      </c>
      <c r="P74" t="s">
        <v>417</v>
      </c>
      <c r="Q74" s="8">
        <v>1500</v>
      </c>
      <c r="R74" s="8">
        <v>1500</v>
      </c>
      <c r="S74" s="8">
        <v>270</v>
      </c>
      <c r="T74" s="8">
        <v>1770</v>
      </c>
      <c r="U74" s="7">
        <v>621506</v>
      </c>
      <c r="V74" t="s">
        <v>418</v>
      </c>
      <c r="W74" s="8">
        <v>0</v>
      </c>
      <c r="X74" s="7">
        <v>32759</v>
      </c>
      <c r="Y74" t="s">
        <v>418</v>
      </c>
    </row>
    <row r="75" spans="1:25">
      <c r="A75" s="7">
        <v>74</v>
      </c>
      <c r="B75" t="s">
        <v>243</v>
      </c>
      <c r="C75" t="s">
        <v>244</v>
      </c>
      <c r="D75" s="7">
        <v>7134</v>
      </c>
      <c r="E75" t="s">
        <v>245</v>
      </c>
      <c r="F75" t="s">
        <v>246</v>
      </c>
      <c r="G75" t="s">
        <v>247</v>
      </c>
      <c r="H75" t="s">
        <v>527</v>
      </c>
      <c r="I75" s="7">
        <v>1165</v>
      </c>
      <c r="J75" t="s">
        <v>528</v>
      </c>
      <c r="K75" t="s">
        <v>529</v>
      </c>
      <c r="L75" t="s">
        <v>530</v>
      </c>
      <c r="M75" t="s">
        <v>252</v>
      </c>
      <c r="N75" t="s">
        <v>505</v>
      </c>
      <c r="O75" t="s">
        <v>511</v>
      </c>
      <c r="P75" t="s">
        <v>417</v>
      </c>
      <c r="Q75" s="8">
        <v>1150</v>
      </c>
      <c r="R75" s="8">
        <v>1150</v>
      </c>
      <c r="S75" s="8">
        <v>207</v>
      </c>
      <c r="T75" s="8">
        <v>1357</v>
      </c>
      <c r="U75" s="7">
        <v>621506</v>
      </c>
      <c r="V75" t="s">
        <v>418</v>
      </c>
      <c r="W75" s="8">
        <v>0</v>
      </c>
      <c r="X75" s="7">
        <v>32759</v>
      </c>
      <c r="Y75" t="s">
        <v>418</v>
      </c>
    </row>
    <row r="76" spans="1:25">
      <c r="A76" s="7">
        <v>75</v>
      </c>
      <c r="B76" t="s">
        <v>243</v>
      </c>
      <c r="C76" t="s">
        <v>244</v>
      </c>
      <c r="D76" s="7">
        <v>7134</v>
      </c>
      <c r="E76" t="s">
        <v>245</v>
      </c>
      <c r="F76" t="s">
        <v>246</v>
      </c>
      <c r="G76" t="s">
        <v>247</v>
      </c>
      <c r="H76" t="s">
        <v>516</v>
      </c>
      <c r="I76" s="7">
        <v>1165</v>
      </c>
      <c r="J76" t="s">
        <v>575</v>
      </c>
      <c r="K76" t="s">
        <v>576</v>
      </c>
      <c r="L76" t="s">
        <v>577</v>
      </c>
      <c r="M76" t="s">
        <v>261</v>
      </c>
      <c r="N76" t="s">
        <v>505</v>
      </c>
      <c r="O76" t="s">
        <v>277</v>
      </c>
      <c r="P76" t="s">
        <v>417</v>
      </c>
      <c r="Q76" s="8">
        <v>1150</v>
      </c>
      <c r="R76" s="8">
        <v>1150</v>
      </c>
      <c r="S76" s="8">
        <v>207</v>
      </c>
      <c r="T76" s="8">
        <v>1357</v>
      </c>
      <c r="U76" s="7">
        <v>621506</v>
      </c>
      <c r="V76" t="s">
        <v>418</v>
      </c>
      <c r="W76" s="8">
        <v>0</v>
      </c>
      <c r="X76" s="7">
        <v>32759</v>
      </c>
      <c r="Y76" t="s">
        <v>418</v>
      </c>
    </row>
    <row r="77" spans="1:25">
      <c r="A77" s="7">
        <v>76</v>
      </c>
      <c r="B77" t="s">
        <v>243</v>
      </c>
      <c r="C77" t="s">
        <v>244</v>
      </c>
      <c r="D77" s="7">
        <v>7134</v>
      </c>
      <c r="E77" t="s">
        <v>245</v>
      </c>
      <c r="F77" t="s">
        <v>246</v>
      </c>
      <c r="G77" t="s">
        <v>247</v>
      </c>
      <c r="H77" t="s">
        <v>539</v>
      </c>
      <c r="I77" s="7">
        <v>1165</v>
      </c>
      <c r="J77" t="s">
        <v>540</v>
      </c>
      <c r="K77" t="s">
        <v>541</v>
      </c>
      <c r="L77" t="s">
        <v>542</v>
      </c>
      <c r="M77" t="s">
        <v>267</v>
      </c>
      <c r="N77" t="s">
        <v>505</v>
      </c>
      <c r="O77" t="s">
        <v>297</v>
      </c>
      <c r="P77" t="s">
        <v>417</v>
      </c>
      <c r="Q77" s="8">
        <v>1150</v>
      </c>
      <c r="R77" s="8">
        <v>1150</v>
      </c>
      <c r="S77" s="8">
        <v>207</v>
      </c>
      <c r="T77" s="8">
        <v>1357</v>
      </c>
      <c r="U77" s="7">
        <v>621506</v>
      </c>
      <c r="V77" t="s">
        <v>418</v>
      </c>
      <c r="W77" s="8">
        <v>0</v>
      </c>
      <c r="X77" s="7">
        <v>32759</v>
      </c>
      <c r="Y77" t="s">
        <v>418</v>
      </c>
    </row>
    <row r="78" spans="1:25">
      <c r="A78" s="7">
        <v>77</v>
      </c>
      <c r="B78" t="s">
        <v>243</v>
      </c>
      <c r="C78" t="s">
        <v>244</v>
      </c>
      <c r="D78" s="7">
        <v>7134</v>
      </c>
      <c r="E78" t="s">
        <v>245</v>
      </c>
      <c r="F78" t="s">
        <v>246</v>
      </c>
      <c r="G78" t="s">
        <v>247</v>
      </c>
      <c r="H78" t="s">
        <v>555</v>
      </c>
      <c r="I78" s="7">
        <v>1165</v>
      </c>
      <c r="J78" t="s">
        <v>556</v>
      </c>
      <c r="K78" t="s">
        <v>557</v>
      </c>
      <c r="L78" t="s">
        <v>558</v>
      </c>
      <c r="M78" t="s">
        <v>261</v>
      </c>
      <c r="N78" t="s">
        <v>505</v>
      </c>
      <c r="O78" t="s">
        <v>535</v>
      </c>
      <c r="P78" t="s">
        <v>417</v>
      </c>
      <c r="Q78" s="8">
        <v>1150</v>
      </c>
      <c r="R78" s="8">
        <v>1150</v>
      </c>
      <c r="S78" s="8">
        <v>207</v>
      </c>
      <c r="T78" s="8">
        <v>1357</v>
      </c>
      <c r="U78" s="7">
        <v>621506</v>
      </c>
      <c r="V78" t="s">
        <v>418</v>
      </c>
      <c r="W78" s="8">
        <v>0</v>
      </c>
      <c r="X78" s="7">
        <v>32759</v>
      </c>
      <c r="Y78" t="s">
        <v>418</v>
      </c>
    </row>
    <row r="79" spans="1:25">
      <c r="A79" s="7">
        <v>78</v>
      </c>
      <c r="B79" t="s">
        <v>243</v>
      </c>
      <c r="C79" t="s">
        <v>244</v>
      </c>
      <c r="D79" s="7">
        <v>7134</v>
      </c>
      <c r="E79" t="s">
        <v>245</v>
      </c>
      <c r="F79" t="s">
        <v>246</v>
      </c>
      <c r="G79" t="s">
        <v>247</v>
      </c>
      <c r="H79" t="s">
        <v>555</v>
      </c>
      <c r="I79" s="7">
        <v>1165</v>
      </c>
      <c r="J79" t="s">
        <v>562</v>
      </c>
      <c r="K79" t="s">
        <v>563</v>
      </c>
      <c r="L79" t="s">
        <v>564</v>
      </c>
      <c r="M79" t="s">
        <v>261</v>
      </c>
      <c r="N79" t="s">
        <v>505</v>
      </c>
      <c r="O79" t="s">
        <v>375</v>
      </c>
      <c r="P79" t="s">
        <v>417</v>
      </c>
      <c r="Q79" s="8">
        <v>1150</v>
      </c>
      <c r="R79" s="8">
        <v>1150</v>
      </c>
      <c r="S79" s="8">
        <v>207</v>
      </c>
      <c r="T79" s="8">
        <v>1357</v>
      </c>
      <c r="U79" s="7">
        <v>621506</v>
      </c>
      <c r="V79" t="s">
        <v>418</v>
      </c>
      <c r="W79" s="8">
        <v>0</v>
      </c>
      <c r="X79" s="7">
        <v>32759</v>
      </c>
      <c r="Y79" t="s">
        <v>418</v>
      </c>
    </row>
    <row r="80" spans="1:25">
      <c r="A80" s="7">
        <v>79</v>
      </c>
      <c r="B80" t="s">
        <v>243</v>
      </c>
      <c r="C80" t="s">
        <v>244</v>
      </c>
      <c r="D80" s="7">
        <v>7134</v>
      </c>
      <c r="E80" t="s">
        <v>245</v>
      </c>
      <c r="F80" t="s">
        <v>246</v>
      </c>
      <c r="G80" t="s">
        <v>247</v>
      </c>
      <c r="H80" t="s">
        <v>507</v>
      </c>
      <c r="I80" s="7">
        <v>1165</v>
      </c>
      <c r="J80" t="s">
        <v>547</v>
      </c>
      <c r="K80" t="s">
        <v>548</v>
      </c>
      <c r="L80" t="s">
        <v>549</v>
      </c>
      <c r="M80" t="s">
        <v>267</v>
      </c>
      <c r="N80" t="s">
        <v>505</v>
      </c>
      <c r="O80" t="s">
        <v>297</v>
      </c>
      <c r="P80" t="s">
        <v>417</v>
      </c>
      <c r="Q80" s="8">
        <v>1150</v>
      </c>
      <c r="R80" s="8">
        <v>1150</v>
      </c>
      <c r="S80" s="8">
        <v>207</v>
      </c>
      <c r="T80" s="8">
        <v>1357</v>
      </c>
      <c r="U80" s="7">
        <v>621506</v>
      </c>
      <c r="V80" t="s">
        <v>418</v>
      </c>
      <c r="W80" s="8">
        <v>0</v>
      </c>
      <c r="X80" s="7">
        <v>32759</v>
      </c>
      <c r="Y80" t="s">
        <v>418</v>
      </c>
    </row>
    <row r="81" spans="1:25">
      <c r="A81" s="7">
        <v>80</v>
      </c>
      <c r="B81" t="s">
        <v>243</v>
      </c>
      <c r="C81" t="s">
        <v>244</v>
      </c>
      <c r="D81" s="7">
        <v>7134</v>
      </c>
      <c r="E81" t="s">
        <v>245</v>
      </c>
      <c r="F81" t="s">
        <v>246</v>
      </c>
      <c r="G81" t="s">
        <v>247</v>
      </c>
      <c r="H81" t="s">
        <v>531</v>
      </c>
      <c r="I81" s="7">
        <v>1165</v>
      </c>
      <c r="J81" t="s">
        <v>532</v>
      </c>
      <c r="K81" t="s">
        <v>533</v>
      </c>
      <c r="L81" t="s">
        <v>534</v>
      </c>
      <c r="M81" t="s">
        <v>261</v>
      </c>
      <c r="N81" t="s">
        <v>505</v>
      </c>
      <c r="O81" t="s">
        <v>535</v>
      </c>
      <c r="P81" t="s">
        <v>417</v>
      </c>
      <c r="Q81" s="8">
        <v>1150</v>
      </c>
      <c r="R81" s="8">
        <v>1150</v>
      </c>
      <c r="S81" s="8">
        <v>207</v>
      </c>
      <c r="T81" s="8">
        <v>1357</v>
      </c>
      <c r="U81" s="7">
        <v>621506</v>
      </c>
      <c r="V81" t="s">
        <v>418</v>
      </c>
      <c r="W81" s="8">
        <v>0</v>
      </c>
      <c r="X81" s="7">
        <v>32759</v>
      </c>
      <c r="Y81" t="s">
        <v>418</v>
      </c>
    </row>
    <row r="82" spans="1:25">
      <c r="A82" s="7">
        <v>81</v>
      </c>
      <c r="B82" t="s">
        <v>243</v>
      </c>
      <c r="C82" t="s">
        <v>244</v>
      </c>
      <c r="D82" s="7">
        <v>7134</v>
      </c>
      <c r="E82" t="s">
        <v>245</v>
      </c>
      <c r="F82" t="s">
        <v>246</v>
      </c>
      <c r="G82" t="s">
        <v>247</v>
      </c>
      <c r="H82" t="s">
        <v>527</v>
      </c>
      <c r="I82" s="7">
        <v>1165</v>
      </c>
      <c r="J82" t="s">
        <v>536</v>
      </c>
      <c r="K82" t="s">
        <v>537</v>
      </c>
      <c r="L82" t="s">
        <v>538</v>
      </c>
      <c r="M82" t="s">
        <v>261</v>
      </c>
      <c r="N82" t="s">
        <v>505</v>
      </c>
      <c r="O82" t="s">
        <v>277</v>
      </c>
      <c r="P82" t="s">
        <v>417</v>
      </c>
      <c r="Q82" s="8">
        <v>1150</v>
      </c>
      <c r="R82" s="8">
        <v>1150</v>
      </c>
      <c r="S82" s="8">
        <v>207</v>
      </c>
      <c r="T82" s="8">
        <v>1357</v>
      </c>
      <c r="U82" s="7">
        <v>621506</v>
      </c>
      <c r="V82" t="s">
        <v>418</v>
      </c>
      <c r="W82" s="8">
        <v>0</v>
      </c>
      <c r="X82" s="7">
        <v>32759</v>
      </c>
      <c r="Y82" t="s">
        <v>418</v>
      </c>
    </row>
    <row r="83" spans="1:25">
      <c r="A83" s="7">
        <v>82</v>
      </c>
      <c r="B83" t="s">
        <v>243</v>
      </c>
      <c r="C83" t="s">
        <v>244</v>
      </c>
      <c r="D83" s="7">
        <v>7134</v>
      </c>
      <c r="E83" t="s">
        <v>245</v>
      </c>
      <c r="F83" t="s">
        <v>246</v>
      </c>
      <c r="G83" t="s">
        <v>247</v>
      </c>
      <c r="H83" t="s">
        <v>501</v>
      </c>
      <c r="I83" s="7">
        <v>1165</v>
      </c>
      <c r="J83" t="s">
        <v>502</v>
      </c>
      <c r="K83" t="s">
        <v>503</v>
      </c>
      <c r="L83" t="s">
        <v>504</v>
      </c>
      <c r="M83" t="s">
        <v>252</v>
      </c>
      <c r="N83" t="s">
        <v>505</v>
      </c>
      <c r="O83" t="s">
        <v>506</v>
      </c>
      <c r="P83" t="s">
        <v>417</v>
      </c>
      <c r="Q83" s="8">
        <v>1150</v>
      </c>
      <c r="R83" s="8">
        <v>1150</v>
      </c>
      <c r="S83" s="8">
        <v>207</v>
      </c>
      <c r="T83" s="8">
        <v>1357</v>
      </c>
      <c r="U83" s="7">
        <v>621506</v>
      </c>
      <c r="V83" t="s">
        <v>418</v>
      </c>
      <c r="W83" s="8">
        <v>0</v>
      </c>
      <c r="X83" s="7">
        <v>32759</v>
      </c>
      <c r="Y83" t="s">
        <v>418</v>
      </c>
    </row>
    <row r="84" spans="1:25">
      <c r="A84" s="7">
        <v>83</v>
      </c>
      <c r="B84" t="s">
        <v>243</v>
      </c>
      <c r="C84" t="s">
        <v>244</v>
      </c>
      <c r="D84" s="7">
        <v>7134</v>
      </c>
      <c r="E84" t="s">
        <v>245</v>
      </c>
      <c r="F84" t="s">
        <v>246</v>
      </c>
      <c r="G84" t="s">
        <v>247</v>
      </c>
      <c r="H84" t="s">
        <v>255</v>
      </c>
      <c r="I84" s="7">
        <v>1165</v>
      </c>
      <c r="J84" t="s">
        <v>524</v>
      </c>
      <c r="K84" t="s">
        <v>525</v>
      </c>
      <c r="L84" t="s">
        <v>526</v>
      </c>
      <c r="M84" t="s">
        <v>261</v>
      </c>
      <c r="N84" t="s">
        <v>505</v>
      </c>
      <c r="O84" t="s">
        <v>297</v>
      </c>
      <c r="P84" t="s">
        <v>417</v>
      </c>
      <c r="Q84" s="8">
        <v>1150</v>
      </c>
      <c r="R84" s="8">
        <v>1150</v>
      </c>
      <c r="S84" s="8">
        <v>207</v>
      </c>
      <c r="T84" s="8">
        <v>1357</v>
      </c>
      <c r="U84" s="7">
        <v>621506</v>
      </c>
      <c r="V84" t="s">
        <v>418</v>
      </c>
      <c r="W84" s="8">
        <v>0</v>
      </c>
      <c r="X84" s="7">
        <v>32759</v>
      </c>
      <c r="Y84" t="s">
        <v>418</v>
      </c>
    </row>
    <row r="85" spans="1:25">
      <c r="A85" s="7">
        <v>84</v>
      </c>
      <c r="B85" t="s">
        <v>243</v>
      </c>
      <c r="C85" t="s">
        <v>244</v>
      </c>
      <c r="D85" s="7">
        <v>7134</v>
      </c>
      <c r="E85" t="s">
        <v>245</v>
      </c>
      <c r="F85" t="s">
        <v>246</v>
      </c>
      <c r="G85" t="s">
        <v>247</v>
      </c>
      <c r="H85" t="s">
        <v>512</v>
      </c>
      <c r="I85" s="7">
        <v>1165</v>
      </c>
      <c r="J85" t="s">
        <v>513</v>
      </c>
      <c r="K85" t="s">
        <v>514</v>
      </c>
      <c r="L85" t="s">
        <v>515</v>
      </c>
      <c r="M85" t="s">
        <v>261</v>
      </c>
      <c r="N85" t="s">
        <v>505</v>
      </c>
      <c r="O85" t="s">
        <v>277</v>
      </c>
      <c r="P85" t="s">
        <v>417</v>
      </c>
      <c r="Q85" s="8">
        <v>1150</v>
      </c>
      <c r="R85" s="8">
        <v>1150</v>
      </c>
      <c r="S85" s="8">
        <v>207</v>
      </c>
      <c r="T85" s="8">
        <v>1357</v>
      </c>
      <c r="U85" s="7">
        <v>621506</v>
      </c>
      <c r="V85" t="s">
        <v>418</v>
      </c>
      <c r="W85" s="8">
        <v>0</v>
      </c>
      <c r="X85" s="7">
        <v>32759</v>
      </c>
      <c r="Y85" t="s">
        <v>418</v>
      </c>
    </row>
    <row r="86" spans="1:25">
      <c r="A86" s="7">
        <v>85</v>
      </c>
      <c r="B86" t="s">
        <v>243</v>
      </c>
      <c r="C86" t="s">
        <v>244</v>
      </c>
      <c r="D86" s="7">
        <v>7134</v>
      </c>
      <c r="E86" t="s">
        <v>245</v>
      </c>
      <c r="F86" t="s">
        <v>246</v>
      </c>
      <c r="G86" t="s">
        <v>247</v>
      </c>
      <c r="H86" t="s">
        <v>649</v>
      </c>
      <c r="I86" s="7">
        <v>1165</v>
      </c>
      <c r="J86" t="s">
        <v>650</v>
      </c>
      <c r="K86" t="s">
        <v>651</v>
      </c>
      <c r="L86" t="s">
        <v>652</v>
      </c>
      <c r="M86" t="s">
        <v>261</v>
      </c>
      <c r="N86" t="s">
        <v>582</v>
      </c>
      <c r="O86" t="s">
        <v>653</v>
      </c>
      <c r="P86" t="s">
        <v>417</v>
      </c>
      <c r="Q86" s="8">
        <v>1150</v>
      </c>
      <c r="R86" s="8">
        <v>1150</v>
      </c>
      <c r="S86" s="8">
        <v>207</v>
      </c>
      <c r="T86" s="8">
        <v>1357</v>
      </c>
      <c r="U86" s="7">
        <v>621507</v>
      </c>
      <c r="V86" t="s">
        <v>418</v>
      </c>
      <c r="W86" s="8">
        <v>0</v>
      </c>
      <c r="X86" s="7">
        <v>32760</v>
      </c>
      <c r="Y86" t="s">
        <v>418</v>
      </c>
    </row>
    <row r="87" spans="1:25">
      <c r="A87" s="7">
        <v>86</v>
      </c>
      <c r="B87" t="s">
        <v>243</v>
      </c>
      <c r="C87" t="s">
        <v>244</v>
      </c>
      <c r="D87" s="7">
        <v>7134</v>
      </c>
      <c r="E87" t="s">
        <v>245</v>
      </c>
      <c r="F87" t="s">
        <v>246</v>
      </c>
      <c r="G87" t="s">
        <v>247</v>
      </c>
      <c r="H87" t="s">
        <v>598</v>
      </c>
      <c r="I87" s="7">
        <v>1165</v>
      </c>
      <c r="J87" t="s">
        <v>677</v>
      </c>
      <c r="K87" t="s">
        <v>678</v>
      </c>
      <c r="L87" t="s">
        <v>679</v>
      </c>
      <c r="M87" t="s">
        <v>267</v>
      </c>
      <c r="N87" t="s">
        <v>582</v>
      </c>
      <c r="O87" t="s">
        <v>606</v>
      </c>
      <c r="P87" t="s">
        <v>417</v>
      </c>
      <c r="Q87" s="8">
        <v>1150</v>
      </c>
      <c r="R87" s="8">
        <v>1150</v>
      </c>
      <c r="S87" s="8">
        <v>207</v>
      </c>
      <c r="T87" s="8">
        <v>1357</v>
      </c>
      <c r="U87" s="7">
        <v>621507</v>
      </c>
      <c r="V87" t="s">
        <v>418</v>
      </c>
      <c r="W87" s="8">
        <v>0</v>
      </c>
      <c r="X87" s="7">
        <v>32760</v>
      </c>
      <c r="Y87" t="s">
        <v>418</v>
      </c>
    </row>
    <row r="88" spans="1:25">
      <c r="A88" s="7">
        <v>87</v>
      </c>
      <c r="B88" t="s">
        <v>243</v>
      </c>
      <c r="C88" t="s">
        <v>244</v>
      </c>
      <c r="D88" s="7">
        <v>7134</v>
      </c>
      <c r="E88" t="s">
        <v>245</v>
      </c>
      <c r="F88" t="s">
        <v>246</v>
      </c>
      <c r="G88" t="s">
        <v>247</v>
      </c>
      <c r="H88" t="s">
        <v>612</v>
      </c>
      <c r="I88" s="7">
        <v>1165</v>
      </c>
      <c r="J88" t="s">
        <v>613</v>
      </c>
      <c r="K88" t="s">
        <v>614</v>
      </c>
      <c r="L88" t="s">
        <v>615</v>
      </c>
      <c r="M88" t="s">
        <v>261</v>
      </c>
      <c r="N88" t="s">
        <v>582</v>
      </c>
      <c r="O88" t="s">
        <v>616</v>
      </c>
      <c r="P88" t="s">
        <v>417</v>
      </c>
      <c r="Q88" s="8">
        <v>1150</v>
      </c>
      <c r="R88" s="8">
        <v>1150</v>
      </c>
      <c r="S88" s="8">
        <v>207</v>
      </c>
      <c r="T88" s="8">
        <v>1357</v>
      </c>
      <c r="U88" s="7">
        <v>621507</v>
      </c>
      <c r="V88" t="s">
        <v>418</v>
      </c>
      <c r="W88" s="8">
        <v>0</v>
      </c>
      <c r="X88" s="7">
        <v>32760</v>
      </c>
      <c r="Y88" t="s">
        <v>418</v>
      </c>
    </row>
    <row r="89" spans="1:25">
      <c r="A89" s="7">
        <v>88</v>
      </c>
      <c r="B89" t="s">
        <v>243</v>
      </c>
      <c r="C89" t="s">
        <v>244</v>
      </c>
      <c r="D89" s="7">
        <v>7134</v>
      </c>
      <c r="E89" t="s">
        <v>245</v>
      </c>
      <c r="F89" t="s">
        <v>246</v>
      </c>
      <c r="G89" t="s">
        <v>247</v>
      </c>
      <c r="H89" t="s">
        <v>633</v>
      </c>
      <c r="I89" s="7">
        <v>1165</v>
      </c>
      <c r="J89" t="s">
        <v>634</v>
      </c>
      <c r="K89" t="s">
        <v>635</v>
      </c>
      <c r="L89" t="s">
        <v>636</v>
      </c>
      <c r="M89" t="s">
        <v>261</v>
      </c>
      <c r="N89" t="s">
        <v>582</v>
      </c>
      <c r="O89" t="s">
        <v>637</v>
      </c>
      <c r="P89" t="s">
        <v>417</v>
      </c>
      <c r="Q89" s="8">
        <v>1150</v>
      </c>
      <c r="R89" s="8">
        <v>1150</v>
      </c>
      <c r="S89" s="8">
        <v>207</v>
      </c>
      <c r="T89" s="8">
        <v>1357</v>
      </c>
      <c r="U89" s="7">
        <v>621507</v>
      </c>
      <c r="V89" t="s">
        <v>418</v>
      </c>
      <c r="W89" s="8">
        <v>0</v>
      </c>
      <c r="X89" s="7">
        <v>32760</v>
      </c>
      <c r="Y89" t="s">
        <v>418</v>
      </c>
    </row>
    <row r="90" spans="1:25">
      <c r="A90" s="7">
        <v>89</v>
      </c>
      <c r="B90" t="s">
        <v>243</v>
      </c>
      <c r="C90" t="s">
        <v>244</v>
      </c>
      <c r="D90" s="7">
        <v>7134</v>
      </c>
      <c r="E90" t="s">
        <v>245</v>
      </c>
      <c r="F90" t="s">
        <v>246</v>
      </c>
      <c r="G90" t="s">
        <v>247</v>
      </c>
      <c r="H90" t="s">
        <v>657</v>
      </c>
      <c r="I90" s="7">
        <v>1165</v>
      </c>
      <c r="J90" t="s">
        <v>665</v>
      </c>
      <c r="K90" t="s">
        <v>666</v>
      </c>
      <c r="L90" t="s">
        <v>667</v>
      </c>
      <c r="M90" t="s">
        <v>261</v>
      </c>
      <c r="N90" t="s">
        <v>582</v>
      </c>
      <c r="O90" t="s">
        <v>668</v>
      </c>
      <c r="P90" t="s">
        <v>417</v>
      </c>
      <c r="Q90" s="8">
        <v>1150</v>
      </c>
      <c r="R90" s="8">
        <v>1150</v>
      </c>
      <c r="S90" s="8">
        <v>207</v>
      </c>
      <c r="T90" s="8">
        <v>1357</v>
      </c>
      <c r="U90" s="7">
        <v>621507</v>
      </c>
      <c r="V90" t="s">
        <v>418</v>
      </c>
      <c r="W90" s="8">
        <v>0</v>
      </c>
      <c r="X90" s="7">
        <v>32760</v>
      </c>
      <c r="Y90" t="s">
        <v>418</v>
      </c>
    </row>
    <row r="91" spans="1:25">
      <c r="A91" s="7">
        <v>90</v>
      </c>
      <c r="B91" t="s">
        <v>243</v>
      </c>
      <c r="C91" t="s">
        <v>244</v>
      </c>
      <c r="D91" s="7">
        <v>7134</v>
      </c>
      <c r="E91" t="s">
        <v>245</v>
      </c>
      <c r="F91" t="s">
        <v>246</v>
      </c>
      <c r="G91" t="s">
        <v>247</v>
      </c>
      <c r="H91" t="s">
        <v>584</v>
      </c>
      <c r="I91" s="7">
        <v>1165</v>
      </c>
      <c r="J91" t="s">
        <v>641</v>
      </c>
      <c r="K91" t="s">
        <v>642</v>
      </c>
      <c r="L91" t="s">
        <v>643</v>
      </c>
      <c r="M91" t="s">
        <v>261</v>
      </c>
      <c r="N91" t="s">
        <v>582</v>
      </c>
      <c r="O91" t="s">
        <v>644</v>
      </c>
      <c r="P91" t="s">
        <v>417</v>
      </c>
      <c r="Q91" s="8">
        <v>1150</v>
      </c>
      <c r="R91" s="8">
        <v>1150</v>
      </c>
      <c r="S91" s="8">
        <v>207</v>
      </c>
      <c r="T91" s="8">
        <v>1357</v>
      </c>
      <c r="U91" s="7">
        <v>621507</v>
      </c>
      <c r="V91" t="s">
        <v>418</v>
      </c>
      <c r="W91" s="8">
        <v>0</v>
      </c>
      <c r="X91" s="7">
        <v>32760</v>
      </c>
      <c r="Y91" t="s">
        <v>418</v>
      </c>
    </row>
    <row r="92" spans="1:25">
      <c r="A92" s="7">
        <v>91</v>
      </c>
      <c r="B92" t="s">
        <v>243</v>
      </c>
      <c r="C92" t="s">
        <v>244</v>
      </c>
      <c r="D92" s="7">
        <v>7134</v>
      </c>
      <c r="E92" t="s">
        <v>245</v>
      </c>
      <c r="F92" t="s">
        <v>246</v>
      </c>
      <c r="G92" t="s">
        <v>247</v>
      </c>
      <c r="H92" t="s">
        <v>633</v>
      </c>
      <c r="I92" s="7">
        <v>1165</v>
      </c>
      <c r="J92" t="s">
        <v>638</v>
      </c>
      <c r="K92" t="s">
        <v>639</v>
      </c>
      <c r="L92" t="s">
        <v>640</v>
      </c>
      <c r="M92" t="s">
        <v>252</v>
      </c>
      <c r="N92" t="s">
        <v>582</v>
      </c>
      <c r="O92" t="s">
        <v>297</v>
      </c>
      <c r="P92" t="s">
        <v>417</v>
      </c>
      <c r="Q92" s="8">
        <v>1150</v>
      </c>
      <c r="R92" s="8">
        <v>1150</v>
      </c>
      <c r="S92" s="8">
        <v>207</v>
      </c>
      <c r="T92" s="8">
        <v>1357</v>
      </c>
      <c r="U92" s="7">
        <v>621507</v>
      </c>
      <c r="V92" t="s">
        <v>418</v>
      </c>
      <c r="W92" s="8">
        <v>0</v>
      </c>
      <c r="X92" s="7">
        <v>32760</v>
      </c>
      <c r="Y92" t="s">
        <v>418</v>
      </c>
    </row>
    <row r="93" spans="1:25">
      <c r="A93" s="7">
        <v>92</v>
      </c>
      <c r="B93" t="s">
        <v>243</v>
      </c>
      <c r="C93" t="s">
        <v>244</v>
      </c>
      <c r="D93" s="7">
        <v>7134</v>
      </c>
      <c r="E93" t="s">
        <v>245</v>
      </c>
      <c r="F93" t="s">
        <v>246</v>
      </c>
      <c r="G93" t="s">
        <v>247</v>
      </c>
      <c r="H93" t="s">
        <v>598</v>
      </c>
      <c r="I93" s="7">
        <v>1165</v>
      </c>
      <c r="J93" t="s">
        <v>599</v>
      </c>
      <c r="K93" t="s">
        <v>600</v>
      </c>
      <c r="L93" t="s">
        <v>601</v>
      </c>
      <c r="M93" t="s">
        <v>267</v>
      </c>
      <c r="N93" t="s">
        <v>582</v>
      </c>
      <c r="O93" t="s">
        <v>297</v>
      </c>
      <c r="P93" t="s">
        <v>417</v>
      </c>
      <c r="Q93" s="8">
        <v>1150</v>
      </c>
      <c r="R93" s="8">
        <v>1150</v>
      </c>
      <c r="S93" s="8">
        <v>207</v>
      </c>
      <c r="T93" s="8">
        <v>1357</v>
      </c>
      <c r="U93" s="7">
        <v>621507</v>
      </c>
      <c r="V93" t="s">
        <v>418</v>
      </c>
      <c r="W93" s="8">
        <v>0</v>
      </c>
      <c r="X93" s="7">
        <v>32760</v>
      </c>
      <c r="Y93" t="s">
        <v>418</v>
      </c>
    </row>
    <row r="94" spans="1:25">
      <c r="A94" s="7">
        <v>93</v>
      </c>
      <c r="B94" t="s">
        <v>243</v>
      </c>
      <c r="C94" t="s">
        <v>244</v>
      </c>
      <c r="D94" s="7">
        <v>7134</v>
      </c>
      <c r="E94" t="s">
        <v>245</v>
      </c>
      <c r="F94" t="s">
        <v>246</v>
      </c>
      <c r="G94" t="s">
        <v>247</v>
      </c>
      <c r="H94" t="s">
        <v>578</v>
      </c>
      <c r="I94" s="7">
        <v>1165</v>
      </c>
      <c r="J94" t="s">
        <v>579</v>
      </c>
      <c r="K94" t="s">
        <v>580</v>
      </c>
      <c r="L94" t="s">
        <v>581</v>
      </c>
      <c r="M94" t="s">
        <v>252</v>
      </c>
      <c r="N94" t="s">
        <v>582</v>
      </c>
      <c r="O94" t="s">
        <v>583</v>
      </c>
      <c r="P94" t="s">
        <v>417</v>
      </c>
      <c r="Q94" s="8">
        <v>1150</v>
      </c>
      <c r="R94" s="8">
        <v>1150</v>
      </c>
      <c r="S94" s="8">
        <v>207</v>
      </c>
      <c r="T94" s="8">
        <v>1357</v>
      </c>
      <c r="U94" s="7">
        <v>621507</v>
      </c>
      <c r="V94" t="s">
        <v>418</v>
      </c>
      <c r="W94" s="8">
        <v>0</v>
      </c>
      <c r="X94" s="7">
        <v>32760</v>
      </c>
      <c r="Y94" t="s">
        <v>418</v>
      </c>
    </row>
    <row r="95" spans="1:25">
      <c r="A95" s="7">
        <v>94</v>
      </c>
      <c r="B95" t="s">
        <v>243</v>
      </c>
      <c r="C95" t="s">
        <v>244</v>
      </c>
      <c r="D95" s="7">
        <v>7134</v>
      </c>
      <c r="E95" t="s">
        <v>245</v>
      </c>
      <c r="F95" t="s">
        <v>246</v>
      </c>
      <c r="G95" t="s">
        <v>247</v>
      </c>
      <c r="H95" t="s">
        <v>584</v>
      </c>
      <c r="I95" s="7">
        <v>1165</v>
      </c>
      <c r="J95" t="s">
        <v>585</v>
      </c>
      <c r="K95" t="s">
        <v>586</v>
      </c>
      <c r="L95" t="s">
        <v>587</v>
      </c>
      <c r="M95" t="s">
        <v>261</v>
      </c>
      <c r="N95" t="s">
        <v>582</v>
      </c>
      <c r="O95" t="s">
        <v>588</v>
      </c>
      <c r="P95" t="s">
        <v>417</v>
      </c>
      <c r="Q95" s="8">
        <v>1150</v>
      </c>
      <c r="R95" s="8">
        <v>1150</v>
      </c>
      <c r="S95" s="8">
        <v>207</v>
      </c>
      <c r="T95" s="8">
        <v>1357</v>
      </c>
      <c r="U95" s="7">
        <v>621507</v>
      </c>
      <c r="V95" t="s">
        <v>418</v>
      </c>
      <c r="W95" s="8">
        <v>0</v>
      </c>
      <c r="X95" s="7">
        <v>32760</v>
      </c>
      <c r="Y95" t="s">
        <v>418</v>
      </c>
    </row>
    <row r="96" spans="1:25">
      <c r="A96" s="7">
        <v>95</v>
      </c>
      <c r="B96" t="s">
        <v>243</v>
      </c>
      <c r="C96" t="s">
        <v>244</v>
      </c>
      <c r="D96" s="7">
        <v>7134</v>
      </c>
      <c r="E96" t="s">
        <v>245</v>
      </c>
      <c r="F96" t="s">
        <v>246</v>
      </c>
      <c r="G96" t="s">
        <v>247</v>
      </c>
      <c r="H96" t="s">
        <v>645</v>
      </c>
      <c r="I96" s="7">
        <v>1165</v>
      </c>
      <c r="J96" t="s">
        <v>646</v>
      </c>
      <c r="K96" t="s">
        <v>647</v>
      </c>
      <c r="L96" t="s">
        <v>648</v>
      </c>
      <c r="M96" t="s">
        <v>361</v>
      </c>
      <c r="N96" t="s">
        <v>582</v>
      </c>
      <c r="O96" t="s">
        <v>588</v>
      </c>
      <c r="P96" t="s">
        <v>417</v>
      </c>
      <c r="Q96" s="8">
        <v>1500</v>
      </c>
      <c r="R96" s="8">
        <v>1500</v>
      </c>
      <c r="S96" s="8">
        <v>270</v>
      </c>
      <c r="T96" s="8">
        <v>1770</v>
      </c>
      <c r="U96" s="7">
        <v>621507</v>
      </c>
      <c r="V96" t="s">
        <v>418</v>
      </c>
      <c r="W96" s="8">
        <v>0</v>
      </c>
      <c r="X96" s="7">
        <v>32760</v>
      </c>
      <c r="Y96" t="s">
        <v>418</v>
      </c>
    </row>
    <row r="97" spans="1:25">
      <c r="A97" s="7">
        <v>96</v>
      </c>
      <c r="B97" t="s">
        <v>243</v>
      </c>
      <c r="C97" t="s">
        <v>244</v>
      </c>
      <c r="D97" s="7">
        <v>7134</v>
      </c>
      <c r="E97" t="s">
        <v>245</v>
      </c>
      <c r="F97" t="s">
        <v>246</v>
      </c>
      <c r="G97" t="s">
        <v>247</v>
      </c>
      <c r="H97" t="s">
        <v>657</v>
      </c>
      <c r="I97" s="7">
        <v>1165</v>
      </c>
      <c r="J97" t="s">
        <v>658</v>
      </c>
      <c r="K97" t="s">
        <v>659</v>
      </c>
      <c r="L97" t="s">
        <v>660</v>
      </c>
      <c r="M97" t="s">
        <v>261</v>
      </c>
      <c r="N97" t="s">
        <v>582</v>
      </c>
      <c r="O97" t="s">
        <v>661</v>
      </c>
      <c r="P97" t="s">
        <v>417</v>
      </c>
      <c r="Q97" s="8">
        <v>1150</v>
      </c>
      <c r="R97" s="8">
        <v>1150</v>
      </c>
      <c r="S97" s="8">
        <v>207</v>
      </c>
      <c r="T97" s="8">
        <v>1357</v>
      </c>
      <c r="U97" s="7">
        <v>621507</v>
      </c>
      <c r="V97" t="s">
        <v>418</v>
      </c>
      <c r="W97" s="8">
        <v>0</v>
      </c>
      <c r="X97" s="7">
        <v>32760</v>
      </c>
      <c r="Y97" t="s">
        <v>418</v>
      </c>
    </row>
    <row r="98" spans="1:25">
      <c r="A98" s="7">
        <v>97</v>
      </c>
      <c r="B98" t="s">
        <v>243</v>
      </c>
      <c r="C98" t="s">
        <v>244</v>
      </c>
      <c r="D98" s="7">
        <v>7134</v>
      </c>
      <c r="E98" t="s">
        <v>245</v>
      </c>
      <c r="F98" t="s">
        <v>246</v>
      </c>
      <c r="G98" t="s">
        <v>247</v>
      </c>
      <c r="H98" t="s">
        <v>602</v>
      </c>
      <c r="I98" s="7">
        <v>1165</v>
      </c>
      <c r="J98" t="s">
        <v>603</v>
      </c>
      <c r="K98" t="s">
        <v>604</v>
      </c>
      <c r="L98" t="s">
        <v>605</v>
      </c>
      <c r="M98" t="s">
        <v>261</v>
      </c>
      <c r="N98" t="s">
        <v>582</v>
      </c>
      <c r="O98" t="s">
        <v>606</v>
      </c>
      <c r="P98" t="s">
        <v>417</v>
      </c>
      <c r="Q98" s="8">
        <v>1150</v>
      </c>
      <c r="R98" s="8">
        <v>1150</v>
      </c>
      <c r="S98" s="8">
        <v>207</v>
      </c>
      <c r="T98" s="8">
        <v>1357</v>
      </c>
      <c r="U98" s="7">
        <v>621507</v>
      </c>
      <c r="V98" t="s">
        <v>418</v>
      </c>
      <c r="W98" s="8">
        <v>0</v>
      </c>
      <c r="X98" s="7">
        <v>32760</v>
      </c>
      <c r="Y98" t="s">
        <v>418</v>
      </c>
    </row>
    <row r="99" spans="1:25">
      <c r="A99" s="7">
        <v>98</v>
      </c>
      <c r="B99" t="s">
        <v>243</v>
      </c>
      <c r="C99" t="s">
        <v>244</v>
      </c>
      <c r="D99" s="7">
        <v>7134</v>
      </c>
      <c r="E99" t="s">
        <v>245</v>
      </c>
      <c r="F99" t="s">
        <v>246</v>
      </c>
      <c r="G99" t="s">
        <v>247</v>
      </c>
      <c r="H99" t="s">
        <v>629</v>
      </c>
      <c r="I99" s="7">
        <v>1165</v>
      </c>
      <c r="J99" t="s">
        <v>654</v>
      </c>
      <c r="K99" t="s">
        <v>655</v>
      </c>
      <c r="L99" t="s">
        <v>656</v>
      </c>
      <c r="M99" t="s">
        <v>261</v>
      </c>
      <c r="N99" t="s">
        <v>582</v>
      </c>
      <c r="O99" t="s">
        <v>623</v>
      </c>
      <c r="P99" t="s">
        <v>417</v>
      </c>
      <c r="Q99" s="8">
        <v>1150</v>
      </c>
      <c r="R99" s="8">
        <v>1150</v>
      </c>
      <c r="S99" s="8">
        <v>207</v>
      </c>
      <c r="T99" s="8">
        <v>1357</v>
      </c>
      <c r="U99" s="7">
        <v>621507</v>
      </c>
      <c r="V99" t="s">
        <v>418</v>
      </c>
      <c r="W99" s="8">
        <v>0</v>
      </c>
      <c r="X99" s="7">
        <v>32760</v>
      </c>
      <c r="Y99" t="s">
        <v>418</v>
      </c>
    </row>
    <row r="100" spans="1:25">
      <c r="A100" s="7">
        <v>99</v>
      </c>
      <c r="B100" t="s">
        <v>243</v>
      </c>
      <c r="C100" t="s">
        <v>244</v>
      </c>
      <c r="D100" s="7">
        <v>7134</v>
      </c>
      <c r="E100" t="s">
        <v>245</v>
      </c>
      <c r="F100" t="s">
        <v>246</v>
      </c>
      <c r="G100" t="s">
        <v>247</v>
      </c>
      <c r="H100" t="s">
        <v>589</v>
      </c>
      <c r="I100" s="7">
        <v>1165</v>
      </c>
      <c r="J100" t="s">
        <v>590</v>
      </c>
      <c r="K100" t="s">
        <v>591</v>
      </c>
      <c r="L100" t="s">
        <v>592</v>
      </c>
      <c r="M100" t="s">
        <v>261</v>
      </c>
      <c r="N100" t="s">
        <v>582</v>
      </c>
      <c r="O100" t="s">
        <v>593</v>
      </c>
      <c r="P100" t="s">
        <v>417</v>
      </c>
      <c r="Q100" s="8">
        <v>1150</v>
      </c>
      <c r="R100" s="8">
        <v>1150</v>
      </c>
      <c r="S100" s="8">
        <v>207</v>
      </c>
      <c r="T100" s="8">
        <v>1357</v>
      </c>
      <c r="U100" s="7">
        <v>621507</v>
      </c>
      <c r="V100" t="s">
        <v>418</v>
      </c>
      <c r="W100" s="8">
        <v>0</v>
      </c>
      <c r="X100" s="7">
        <v>32760</v>
      </c>
      <c r="Y100" t="s">
        <v>418</v>
      </c>
    </row>
    <row r="101" spans="1:25">
      <c r="A101" s="7">
        <v>100</v>
      </c>
      <c r="B101" t="s">
        <v>243</v>
      </c>
      <c r="C101" t="s">
        <v>244</v>
      </c>
      <c r="D101" s="7">
        <v>7134</v>
      </c>
      <c r="E101" t="s">
        <v>245</v>
      </c>
      <c r="F101" t="s">
        <v>246</v>
      </c>
      <c r="G101" t="s">
        <v>247</v>
      </c>
      <c r="H101" t="s">
        <v>673</v>
      </c>
      <c r="I101" s="7">
        <v>1165</v>
      </c>
      <c r="J101" t="s">
        <v>674</v>
      </c>
      <c r="K101" t="s">
        <v>675</v>
      </c>
      <c r="L101" t="s">
        <v>676</v>
      </c>
      <c r="M101" t="s">
        <v>261</v>
      </c>
      <c r="N101" t="s">
        <v>582</v>
      </c>
      <c r="O101" t="s">
        <v>623</v>
      </c>
      <c r="P101" t="s">
        <v>417</v>
      </c>
      <c r="Q101" s="8">
        <v>1150</v>
      </c>
      <c r="R101" s="8">
        <v>1150</v>
      </c>
      <c r="S101" s="8">
        <v>207</v>
      </c>
      <c r="T101" s="8">
        <v>1357</v>
      </c>
      <c r="U101" s="7">
        <v>621507</v>
      </c>
      <c r="V101" t="s">
        <v>418</v>
      </c>
      <c r="W101" s="8">
        <v>0</v>
      </c>
      <c r="X101" s="7">
        <v>32760</v>
      </c>
      <c r="Y101" t="s">
        <v>418</v>
      </c>
    </row>
    <row r="102" spans="1:25">
      <c r="A102" s="7">
        <v>101</v>
      </c>
      <c r="B102" t="s">
        <v>243</v>
      </c>
      <c r="C102" t="s">
        <v>244</v>
      </c>
      <c r="D102" s="7">
        <v>7134</v>
      </c>
      <c r="E102" t="s">
        <v>245</v>
      </c>
      <c r="F102" t="s">
        <v>246</v>
      </c>
      <c r="G102" t="s">
        <v>247</v>
      </c>
      <c r="H102" t="s">
        <v>607</v>
      </c>
      <c r="I102" s="7">
        <v>1165</v>
      </c>
      <c r="J102" t="s">
        <v>620</v>
      </c>
      <c r="K102" t="s">
        <v>621</v>
      </c>
      <c r="L102" t="s">
        <v>622</v>
      </c>
      <c r="M102" t="s">
        <v>261</v>
      </c>
      <c r="N102" t="s">
        <v>582</v>
      </c>
      <c r="O102" t="s">
        <v>623</v>
      </c>
      <c r="P102" t="s">
        <v>417</v>
      </c>
      <c r="Q102" s="8">
        <v>1150</v>
      </c>
      <c r="R102" s="8">
        <v>1150</v>
      </c>
      <c r="S102" s="8">
        <v>207</v>
      </c>
      <c r="T102" s="8">
        <v>1357</v>
      </c>
      <c r="U102" s="7">
        <v>621507</v>
      </c>
      <c r="V102" t="s">
        <v>418</v>
      </c>
      <c r="W102" s="8">
        <v>0</v>
      </c>
      <c r="X102" s="7">
        <v>32760</v>
      </c>
      <c r="Y102" t="s">
        <v>418</v>
      </c>
    </row>
    <row r="103" spans="1:25">
      <c r="A103" s="7">
        <v>102</v>
      </c>
      <c r="B103" t="s">
        <v>243</v>
      </c>
      <c r="C103" t="s">
        <v>244</v>
      </c>
      <c r="D103" s="7">
        <v>7134</v>
      </c>
      <c r="E103" t="s">
        <v>245</v>
      </c>
      <c r="F103" t="s">
        <v>246</v>
      </c>
      <c r="G103" t="s">
        <v>247</v>
      </c>
      <c r="H103" t="s">
        <v>594</v>
      </c>
      <c r="I103" s="7">
        <v>1165</v>
      </c>
      <c r="J103" t="s">
        <v>595</v>
      </c>
      <c r="K103" t="s">
        <v>596</v>
      </c>
      <c r="L103" t="s">
        <v>597</v>
      </c>
      <c r="M103" t="s">
        <v>252</v>
      </c>
      <c r="N103" t="s">
        <v>582</v>
      </c>
      <c r="O103" t="s">
        <v>435</v>
      </c>
      <c r="P103" t="s">
        <v>417</v>
      </c>
      <c r="Q103" s="8">
        <v>1150</v>
      </c>
      <c r="R103" s="8">
        <v>1150</v>
      </c>
      <c r="S103" s="8">
        <v>207</v>
      </c>
      <c r="T103" s="8">
        <v>1357</v>
      </c>
      <c r="U103" s="7">
        <v>621507</v>
      </c>
      <c r="V103" t="s">
        <v>418</v>
      </c>
      <c r="W103" s="8">
        <v>0</v>
      </c>
      <c r="X103" s="7">
        <v>32760</v>
      </c>
      <c r="Y103" t="s">
        <v>418</v>
      </c>
    </row>
    <row r="104" spans="1:25">
      <c r="A104" s="7">
        <v>103</v>
      </c>
      <c r="B104" t="s">
        <v>243</v>
      </c>
      <c r="C104" t="s">
        <v>244</v>
      </c>
      <c r="D104" s="7">
        <v>7134</v>
      </c>
      <c r="E104" t="s">
        <v>245</v>
      </c>
      <c r="F104" t="s">
        <v>246</v>
      </c>
      <c r="G104" t="s">
        <v>247</v>
      </c>
      <c r="H104" t="s">
        <v>629</v>
      </c>
      <c r="I104" s="7">
        <v>1165</v>
      </c>
      <c r="J104" t="s">
        <v>630</v>
      </c>
      <c r="K104" t="s">
        <v>631</v>
      </c>
      <c r="L104" t="s">
        <v>632</v>
      </c>
      <c r="M104" t="s">
        <v>261</v>
      </c>
      <c r="N104" t="s">
        <v>582</v>
      </c>
      <c r="O104" t="s">
        <v>623</v>
      </c>
      <c r="P104" t="s">
        <v>417</v>
      </c>
      <c r="Q104" s="8">
        <v>1150</v>
      </c>
      <c r="R104" s="8">
        <v>1150</v>
      </c>
      <c r="S104" s="8">
        <v>207</v>
      </c>
      <c r="T104" s="8">
        <v>1357</v>
      </c>
      <c r="U104" s="7">
        <v>621507</v>
      </c>
      <c r="V104" t="s">
        <v>418</v>
      </c>
      <c r="W104" s="8">
        <v>0</v>
      </c>
      <c r="X104" s="7">
        <v>32760</v>
      </c>
      <c r="Y104" t="s">
        <v>418</v>
      </c>
    </row>
    <row r="105" spans="1:25">
      <c r="A105" s="7">
        <v>104</v>
      </c>
      <c r="B105" t="s">
        <v>243</v>
      </c>
      <c r="C105" t="s">
        <v>244</v>
      </c>
      <c r="D105" s="7">
        <v>7134</v>
      </c>
      <c r="E105" t="s">
        <v>245</v>
      </c>
      <c r="F105" t="s">
        <v>246</v>
      </c>
      <c r="G105" t="s">
        <v>247</v>
      </c>
      <c r="H105" t="s">
        <v>612</v>
      </c>
      <c r="I105" s="7">
        <v>1165</v>
      </c>
      <c r="J105" t="s">
        <v>662</v>
      </c>
      <c r="K105" t="s">
        <v>663</v>
      </c>
      <c r="L105" t="s">
        <v>664</v>
      </c>
      <c r="M105" t="s">
        <v>252</v>
      </c>
      <c r="N105" t="s">
        <v>582</v>
      </c>
      <c r="O105" t="s">
        <v>277</v>
      </c>
      <c r="P105" t="s">
        <v>417</v>
      </c>
      <c r="Q105" s="8">
        <v>1150</v>
      </c>
      <c r="R105" s="8">
        <v>1150</v>
      </c>
      <c r="S105" s="8">
        <v>207</v>
      </c>
      <c r="T105" s="8">
        <v>1357</v>
      </c>
      <c r="U105" s="7">
        <v>621507</v>
      </c>
      <c r="V105" t="s">
        <v>418</v>
      </c>
      <c r="W105" s="8">
        <v>0</v>
      </c>
      <c r="X105" s="7">
        <v>32760</v>
      </c>
      <c r="Y105" t="s">
        <v>418</v>
      </c>
    </row>
    <row r="106" spans="1:25">
      <c r="A106" s="7">
        <v>105</v>
      </c>
      <c r="B106" t="s">
        <v>243</v>
      </c>
      <c r="C106" t="s">
        <v>244</v>
      </c>
      <c r="D106" s="7">
        <v>7134</v>
      </c>
      <c r="E106" t="s">
        <v>245</v>
      </c>
      <c r="F106" t="s">
        <v>246</v>
      </c>
      <c r="G106" t="s">
        <v>247</v>
      </c>
      <c r="H106" t="s">
        <v>602</v>
      </c>
      <c r="I106" s="7">
        <v>1165</v>
      </c>
      <c r="J106" t="s">
        <v>617</v>
      </c>
      <c r="K106" t="s">
        <v>618</v>
      </c>
      <c r="L106" t="s">
        <v>619</v>
      </c>
      <c r="M106" t="s">
        <v>261</v>
      </c>
      <c r="N106" t="s">
        <v>582</v>
      </c>
      <c r="O106" t="s">
        <v>583</v>
      </c>
      <c r="P106" t="s">
        <v>417</v>
      </c>
      <c r="Q106" s="8">
        <v>1150</v>
      </c>
      <c r="R106" s="8">
        <v>1150</v>
      </c>
      <c r="S106" s="8">
        <v>207</v>
      </c>
      <c r="T106" s="8">
        <v>1357</v>
      </c>
      <c r="U106" s="7">
        <v>621507</v>
      </c>
      <c r="V106" t="s">
        <v>418</v>
      </c>
      <c r="W106" s="8">
        <v>0</v>
      </c>
      <c r="X106" s="7">
        <v>32760</v>
      </c>
      <c r="Y106" t="s">
        <v>418</v>
      </c>
    </row>
    <row r="107" spans="1:25">
      <c r="A107" s="7">
        <v>106</v>
      </c>
      <c r="B107" t="s">
        <v>243</v>
      </c>
      <c r="C107" t="s">
        <v>244</v>
      </c>
      <c r="D107" s="7">
        <v>7134</v>
      </c>
      <c r="E107" t="s">
        <v>245</v>
      </c>
      <c r="F107" t="s">
        <v>246</v>
      </c>
      <c r="G107" t="s">
        <v>247</v>
      </c>
      <c r="H107" t="s">
        <v>624</v>
      </c>
      <c r="I107" s="7">
        <v>1165</v>
      </c>
      <c r="J107" t="s">
        <v>625</v>
      </c>
      <c r="K107" t="s">
        <v>626</v>
      </c>
      <c r="L107" t="s">
        <v>627</v>
      </c>
      <c r="M107" t="s">
        <v>261</v>
      </c>
      <c r="N107" t="s">
        <v>582</v>
      </c>
      <c r="O107" t="s">
        <v>628</v>
      </c>
      <c r="P107" t="s">
        <v>417</v>
      </c>
      <c r="Q107" s="8">
        <v>1150</v>
      </c>
      <c r="R107" s="8">
        <v>1150</v>
      </c>
      <c r="S107" s="8">
        <v>207</v>
      </c>
      <c r="T107" s="8">
        <v>1357</v>
      </c>
      <c r="U107" s="7">
        <v>621507</v>
      </c>
      <c r="V107" t="s">
        <v>418</v>
      </c>
      <c r="W107" s="8">
        <v>0</v>
      </c>
      <c r="X107" s="7">
        <v>32760</v>
      </c>
      <c r="Y107" t="s">
        <v>418</v>
      </c>
    </row>
    <row r="108" spans="1:25">
      <c r="A108" s="7">
        <v>107</v>
      </c>
      <c r="B108" t="s">
        <v>243</v>
      </c>
      <c r="C108" t="s">
        <v>244</v>
      </c>
      <c r="D108" s="7">
        <v>7134</v>
      </c>
      <c r="E108" t="s">
        <v>245</v>
      </c>
      <c r="F108" t="s">
        <v>246</v>
      </c>
      <c r="G108" t="s">
        <v>247</v>
      </c>
      <c r="H108" t="s">
        <v>594</v>
      </c>
      <c r="I108" s="7">
        <v>1165</v>
      </c>
      <c r="J108" t="s">
        <v>669</v>
      </c>
      <c r="K108" t="s">
        <v>670</v>
      </c>
      <c r="L108" t="s">
        <v>671</v>
      </c>
      <c r="M108" t="s">
        <v>361</v>
      </c>
      <c r="N108" t="s">
        <v>582</v>
      </c>
      <c r="O108" t="s">
        <v>672</v>
      </c>
      <c r="P108" t="s">
        <v>417</v>
      </c>
      <c r="Q108" s="8">
        <v>1500</v>
      </c>
      <c r="R108" s="8">
        <v>1500</v>
      </c>
      <c r="S108" s="8">
        <v>270</v>
      </c>
      <c r="T108" s="8">
        <v>1770</v>
      </c>
      <c r="U108" s="7">
        <v>621507</v>
      </c>
      <c r="V108" t="s">
        <v>418</v>
      </c>
      <c r="W108" s="8">
        <v>0</v>
      </c>
      <c r="X108" s="7">
        <v>32760</v>
      </c>
      <c r="Y108" t="s">
        <v>418</v>
      </c>
    </row>
    <row r="109" spans="1:25">
      <c r="A109" s="7">
        <v>108</v>
      </c>
      <c r="B109" t="s">
        <v>243</v>
      </c>
      <c r="C109" t="s">
        <v>244</v>
      </c>
      <c r="D109" s="7">
        <v>7134</v>
      </c>
      <c r="E109" t="s">
        <v>245</v>
      </c>
      <c r="F109" t="s">
        <v>246</v>
      </c>
      <c r="G109" t="s">
        <v>247</v>
      </c>
      <c r="H109" t="s">
        <v>607</v>
      </c>
      <c r="I109" s="7">
        <v>1165</v>
      </c>
      <c r="J109" t="s">
        <v>608</v>
      </c>
      <c r="K109" t="s">
        <v>609</v>
      </c>
      <c r="L109" t="s">
        <v>610</v>
      </c>
      <c r="M109" t="s">
        <v>261</v>
      </c>
      <c r="N109" t="s">
        <v>582</v>
      </c>
      <c r="O109" t="s">
        <v>611</v>
      </c>
      <c r="P109" t="s">
        <v>417</v>
      </c>
      <c r="Q109" s="8">
        <v>1150</v>
      </c>
      <c r="R109" s="8">
        <v>1150</v>
      </c>
      <c r="S109" s="8">
        <v>207</v>
      </c>
      <c r="T109" s="8">
        <v>1357</v>
      </c>
      <c r="U109" s="7">
        <v>621507</v>
      </c>
      <c r="V109" t="s">
        <v>418</v>
      </c>
      <c r="W109" s="8">
        <v>0</v>
      </c>
      <c r="X109" s="7">
        <v>32760</v>
      </c>
      <c r="Y109" t="s">
        <v>418</v>
      </c>
    </row>
    <row r="110" spans="1:25">
      <c r="A110" s="7">
        <v>109</v>
      </c>
      <c r="B110" t="s">
        <v>243</v>
      </c>
      <c r="C110" t="s">
        <v>244</v>
      </c>
      <c r="D110" s="7">
        <v>7134</v>
      </c>
      <c r="E110" t="s">
        <v>245</v>
      </c>
      <c r="F110" t="s">
        <v>246</v>
      </c>
      <c r="G110" t="s">
        <v>247</v>
      </c>
      <c r="H110" t="s">
        <v>649</v>
      </c>
      <c r="I110" s="7">
        <v>1165</v>
      </c>
      <c r="J110" t="s">
        <v>680</v>
      </c>
      <c r="K110" t="s">
        <v>681</v>
      </c>
      <c r="L110" t="s">
        <v>682</v>
      </c>
      <c r="M110" t="s">
        <v>261</v>
      </c>
      <c r="N110" t="s">
        <v>582</v>
      </c>
      <c r="O110" t="s">
        <v>637</v>
      </c>
      <c r="P110" t="s">
        <v>417</v>
      </c>
      <c r="Q110" s="8">
        <v>1150</v>
      </c>
      <c r="R110" s="8">
        <v>1150</v>
      </c>
      <c r="S110" s="8">
        <v>207</v>
      </c>
      <c r="T110" s="8">
        <v>1357</v>
      </c>
      <c r="U110" s="7">
        <v>621507</v>
      </c>
      <c r="V110" t="s">
        <v>418</v>
      </c>
      <c r="W110" s="8">
        <v>0</v>
      </c>
      <c r="X110" s="7">
        <v>32760</v>
      </c>
      <c r="Y110" t="s">
        <v>418</v>
      </c>
    </row>
    <row r="111" spans="1:25">
      <c r="A111" s="7">
        <v>110</v>
      </c>
      <c r="B111" t="s">
        <v>243</v>
      </c>
      <c r="C111" t="s">
        <v>244</v>
      </c>
      <c r="D111" s="7">
        <v>7134</v>
      </c>
      <c r="E111" t="s">
        <v>245</v>
      </c>
      <c r="F111" t="s">
        <v>246</v>
      </c>
      <c r="G111" t="s">
        <v>247</v>
      </c>
      <c r="H111" t="s">
        <v>770</v>
      </c>
      <c r="I111" s="7">
        <v>1165</v>
      </c>
      <c r="J111" t="s">
        <v>771</v>
      </c>
      <c r="K111" t="s">
        <v>772</v>
      </c>
      <c r="L111" t="s">
        <v>773</v>
      </c>
      <c r="M111" t="s">
        <v>252</v>
      </c>
      <c r="N111" t="s">
        <v>58</v>
      </c>
      <c r="O111" t="s">
        <v>774</v>
      </c>
      <c r="P111" t="s">
        <v>688</v>
      </c>
      <c r="Q111" s="8">
        <v>1150</v>
      </c>
      <c r="R111" s="8">
        <v>1150</v>
      </c>
      <c r="S111" s="8">
        <v>207</v>
      </c>
      <c r="T111" s="8">
        <v>1357</v>
      </c>
      <c r="U111" s="7">
        <v>621735</v>
      </c>
      <c r="V111" t="s">
        <v>3351</v>
      </c>
      <c r="W111" s="8">
        <v>0</v>
      </c>
      <c r="X111" s="7">
        <v>32988</v>
      </c>
      <c r="Y111" t="s">
        <v>3351</v>
      </c>
    </row>
    <row r="112" spans="1:25">
      <c r="A112" s="7">
        <v>111</v>
      </c>
      <c r="B112" t="s">
        <v>243</v>
      </c>
      <c r="C112" t="s">
        <v>244</v>
      </c>
      <c r="D112" s="7">
        <v>7134</v>
      </c>
      <c r="E112" t="s">
        <v>245</v>
      </c>
      <c r="F112" t="s">
        <v>246</v>
      </c>
      <c r="G112" t="s">
        <v>247</v>
      </c>
      <c r="H112" t="s">
        <v>732</v>
      </c>
      <c r="I112" s="7">
        <v>1165</v>
      </c>
      <c r="J112" t="s">
        <v>747</v>
      </c>
      <c r="K112" t="s">
        <v>748</v>
      </c>
      <c r="L112" t="s">
        <v>749</v>
      </c>
      <c r="M112" t="s">
        <v>252</v>
      </c>
      <c r="N112" t="s">
        <v>58</v>
      </c>
      <c r="O112" t="s">
        <v>726</v>
      </c>
      <c r="P112" t="s">
        <v>688</v>
      </c>
      <c r="Q112" s="8">
        <v>1150</v>
      </c>
      <c r="R112" s="8">
        <v>1150</v>
      </c>
      <c r="S112" s="8">
        <v>207</v>
      </c>
      <c r="T112" s="8">
        <v>1357</v>
      </c>
      <c r="U112" s="7">
        <v>621735</v>
      </c>
      <c r="V112" t="s">
        <v>3351</v>
      </c>
      <c r="W112" s="8">
        <v>0</v>
      </c>
      <c r="X112" s="7">
        <v>32988</v>
      </c>
      <c r="Y112" t="s">
        <v>3351</v>
      </c>
    </row>
    <row r="113" spans="1:25">
      <c r="A113" s="7">
        <v>112</v>
      </c>
      <c r="B113" t="s">
        <v>243</v>
      </c>
      <c r="C113" t="s">
        <v>244</v>
      </c>
      <c r="D113" s="7">
        <v>7134</v>
      </c>
      <c r="E113" t="s">
        <v>245</v>
      </c>
      <c r="F113" t="s">
        <v>246</v>
      </c>
      <c r="G113" t="s">
        <v>247</v>
      </c>
      <c r="H113" t="s">
        <v>697</v>
      </c>
      <c r="I113" s="7">
        <v>1165</v>
      </c>
      <c r="J113" t="s">
        <v>698</v>
      </c>
      <c r="K113" t="s">
        <v>699</v>
      </c>
      <c r="L113" t="s">
        <v>700</v>
      </c>
      <c r="M113" t="s">
        <v>398</v>
      </c>
      <c r="N113" t="s">
        <v>58</v>
      </c>
      <c r="O113" t="s">
        <v>701</v>
      </c>
      <c r="P113" t="s">
        <v>688</v>
      </c>
      <c r="Q113" s="8">
        <v>1150</v>
      </c>
      <c r="R113" s="8">
        <v>1150</v>
      </c>
      <c r="S113" s="8">
        <v>207</v>
      </c>
      <c r="T113" s="8">
        <v>1357</v>
      </c>
      <c r="U113" s="7">
        <v>621735</v>
      </c>
      <c r="V113" t="s">
        <v>3351</v>
      </c>
      <c r="W113" s="8">
        <v>0</v>
      </c>
      <c r="X113" s="7">
        <v>32988</v>
      </c>
      <c r="Y113" t="s">
        <v>3351</v>
      </c>
    </row>
    <row r="114" spans="1:25">
      <c r="A114" s="7">
        <v>113</v>
      </c>
      <c r="B114" t="s">
        <v>243</v>
      </c>
      <c r="C114" t="s">
        <v>244</v>
      </c>
      <c r="D114" s="7">
        <v>7134</v>
      </c>
      <c r="E114" t="s">
        <v>245</v>
      </c>
      <c r="F114" t="s">
        <v>246</v>
      </c>
      <c r="G114" t="s">
        <v>247</v>
      </c>
      <c r="H114" t="s">
        <v>722</v>
      </c>
      <c r="I114" s="7">
        <v>1165</v>
      </c>
      <c r="J114" t="s">
        <v>779</v>
      </c>
      <c r="K114" t="s">
        <v>780</v>
      </c>
      <c r="L114" t="s">
        <v>781</v>
      </c>
      <c r="M114" t="s">
        <v>252</v>
      </c>
      <c r="N114" t="s">
        <v>58</v>
      </c>
      <c r="O114" t="s">
        <v>726</v>
      </c>
      <c r="P114" t="s">
        <v>688</v>
      </c>
      <c r="Q114" s="8">
        <v>1150</v>
      </c>
      <c r="R114" s="8">
        <v>1150</v>
      </c>
      <c r="S114" s="8">
        <v>207</v>
      </c>
      <c r="T114" s="8">
        <v>1357</v>
      </c>
      <c r="U114" s="7">
        <v>621735</v>
      </c>
      <c r="V114" t="s">
        <v>3351</v>
      </c>
      <c r="W114" s="8">
        <v>0</v>
      </c>
      <c r="X114" s="7">
        <v>32988</v>
      </c>
      <c r="Y114" t="s">
        <v>3351</v>
      </c>
    </row>
    <row r="115" spans="1:25">
      <c r="A115" s="7">
        <v>114</v>
      </c>
      <c r="B115" t="s">
        <v>243</v>
      </c>
      <c r="C115" t="s">
        <v>244</v>
      </c>
      <c r="D115" s="7">
        <v>7134</v>
      </c>
      <c r="E115" t="s">
        <v>245</v>
      </c>
      <c r="F115" t="s">
        <v>246</v>
      </c>
      <c r="G115" t="s">
        <v>247</v>
      </c>
      <c r="H115" t="s">
        <v>693</v>
      </c>
      <c r="I115" s="7">
        <v>1165</v>
      </c>
      <c r="J115" t="s">
        <v>694</v>
      </c>
      <c r="K115" t="s">
        <v>695</v>
      </c>
      <c r="L115" t="s">
        <v>696</v>
      </c>
      <c r="M115" t="s">
        <v>261</v>
      </c>
      <c r="N115" t="s">
        <v>58</v>
      </c>
      <c r="O115" t="s">
        <v>583</v>
      </c>
      <c r="P115" t="s">
        <v>688</v>
      </c>
      <c r="Q115" s="8">
        <v>1150</v>
      </c>
      <c r="R115" s="8">
        <v>1150</v>
      </c>
      <c r="S115" s="8">
        <v>207</v>
      </c>
      <c r="T115" s="8">
        <v>1357</v>
      </c>
      <c r="U115" s="7">
        <v>621735</v>
      </c>
      <c r="V115" t="s">
        <v>3351</v>
      </c>
      <c r="W115" s="8">
        <v>0</v>
      </c>
      <c r="X115" s="7">
        <v>32988</v>
      </c>
      <c r="Y115" t="s">
        <v>3351</v>
      </c>
    </row>
    <row r="116" spans="1:25">
      <c r="A116" s="7">
        <v>115</v>
      </c>
      <c r="B116" t="s">
        <v>243</v>
      </c>
      <c r="C116" t="s">
        <v>244</v>
      </c>
      <c r="D116" s="7">
        <v>7134</v>
      </c>
      <c r="E116" t="s">
        <v>245</v>
      </c>
      <c r="F116" t="s">
        <v>246</v>
      </c>
      <c r="G116" t="s">
        <v>247</v>
      </c>
      <c r="H116" t="s">
        <v>739</v>
      </c>
      <c r="I116" s="7">
        <v>1165</v>
      </c>
      <c r="J116" t="s">
        <v>740</v>
      </c>
      <c r="K116" t="s">
        <v>741</v>
      </c>
      <c r="L116" t="s">
        <v>742</v>
      </c>
      <c r="M116" t="s">
        <v>261</v>
      </c>
      <c r="N116" t="s">
        <v>58</v>
      </c>
      <c r="O116" t="s">
        <v>743</v>
      </c>
      <c r="P116" t="s">
        <v>688</v>
      </c>
      <c r="Q116" s="8">
        <v>1150</v>
      </c>
      <c r="R116" s="8">
        <v>1150</v>
      </c>
      <c r="S116" s="8">
        <v>207</v>
      </c>
      <c r="T116" s="8">
        <v>1357</v>
      </c>
      <c r="U116" s="7">
        <v>621735</v>
      </c>
      <c r="V116" t="s">
        <v>3351</v>
      </c>
      <c r="W116" s="8">
        <v>0</v>
      </c>
      <c r="X116" s="7">
        <v>32988</v>
      </c>
      <c r="Y116" t="s">
        <v>3351</v>
      </c>
    </row>
    <row r="117" spans="1:25">
      <c r="A117" s="7">
        <v>116</v>
      </c>
      <c r="B117" t="s">
        <v>243</v>
      </c>
      <c r="C117" t="s">
        <v>244</v>
      </c>
      <c r="D117" s="7">
        <v>7134</v>
      </c>
      <c r="E117" t="s">
        <v>245</v>
      </c>
      <c r="F117" t="s">
        <v>246</v>
      </c>
      <c r="G117" t="s">
        <v>247</v>
      </c>
      <c r="H117" t="s">
        <v>707</v>
      </c>
      <c r="I117" s="7">
        <v>1165</v>
      </c>
      <c r="J117" t="s">
        <v>719</v>
      </c>
      <c r="K117" t="s">
        <v>720</v>
      </c>
      <c r="L117" t="s">
        <v>721</v>
      </c>
      <c r="M117" t="s">
        <v>252</v>
      </c>
      <c r="N117" t="s">
        <v>58</v>
      </c>
      <c r="O117" t="s">
        <v>583</v>
      </c>
      <c r="P117" t="s">
        <v>688</v>
      </c>
      <c r="Q117" s="8">
        <v>1150</v>
      </c>
      <c r="R117" s="8">
        <v>1150</v>
      </c>
      <c r="S117" s="8">
        <v>207</v>
      </c>
      <c r="T117" s="8">
        <v>1357</v>
      </c>
      <c r="U117" s="7">
        <v>621735</v>
      </c>
      <c r="V117" t="s">
        <v>3351</v>
      </c>
      <c r="W117" s="8">
        <v>0</v>
      </c>
      <c r="X117" s="7">
        <v>32988</v>
      </c>
      <c r="Y117" t="s">
        <v>3351</v>
      </c>
    </row>
    <row r="118" spans="1:25">
      <c r="A118" s="7">
        <v>117</v>
      </c>
      <c r="B118" t="s">
        <v>243</v>
      </c>
      <c r="C118" t="s">
        <v>244</v>
      </c>
      <c r="D118" s="7">
        <v>7134</v>
      </c>
      <c r="E118" t="s">
        <v>245</v>
      </c>
      <c r="F118" t="s">
        <v>246</v>
      </c>
      <c r="G118" t="s">
        <v>247</v>
      </c>
      <c r="H118" t="s">
        <v>727</v>
      </c>
      <c r="I118" s="7">
        <v>1165</v>
      </c>
      <c r="J118" t="s">
        <v>782</v>
      </c>
      <c r="K118" t="s">
        <v>783</v>
      </c>
      <c r="L118" t="s">
        <v>784</v>
      </c>
      <c r="M118" t="s">
        <v>261</v>
      </c>
      <c r="N118" t="s">
        <v>58</v>
      </c>
      <c r="O118" t="s">
        <v>785</v>
      </c>
      <c r="P118" t="s">
        <v>688</v>
      </c>
      <c r="Q118" s="8">
        <v>1150</v>
      </c>
      <c r="R118" s="8">
        <v>1150</v>
      </c>
      <c r="S118" s="8">
        <v>207</v>
      </c>
      <c r="T118" s="8">
        <v>1357</v>
      </c>
      <c r="U118" s="7">
        <v>621735</v>
      </c>
      <c r="V118" t="s">
        <v>3351</v>
      </c>
      <c r="W118" s="8">
        <v>0</v>
      </c>
      <c r="X118" s="7">
        <v>32988</v>
      </c>
      <c r="Y118" t="s">
        <v>3351</v>
      </c>
    </row>
    <row r="119" spans="1:25">
      <c r="A119" s="7">
        <v>118</v>
      </c>
      <c r="B119" t="s">
        <v>243</v>
      </c>
      <c r="C119" t="s">
        <v>244</v>
      </c>
      <c r="D119" s="7">
        <v>7134</v>
      </c>
      <c r="E119" t="s">
        <v>245</v>
      </c>
      <c r="F119" t="s">
        <v>246</v>
      </c>
      <c r="G119" t="s">
        <v>247</v>
      </c>
      <c r="H119" t="s">
        <v>732</v>
      </c>
      <c r="I119" s="7">
        <v>1165</v>
      </c>
      <c r="J119" t="s">
        <v>733</v>
      </c>
      <c r="K119" t="s">
        <v>734</v>
      </c>
      <c r="L119" t="s">
        <v>735</v>
      </c>
      <c r="M119" t="s">
        <v>252</v>
      </c>
      <c r="N119" t="s">
        <v>58</v>
      </c>
      <c r="O119" t="s">
        <v>435</v>
      </c>
      <c r="P119" t="s">
        <v>688</v>
      </c>
      <c r="Q119" s="8">
        <v>1150</v>
      </c>
      <c r="R119" s="8">
        <v>1150</v>
      </c>
      <c r="S119" s="8">
        <v>207</v>
      </c>
      <c r="T119" s="8">
        <v>1357</v>
      </c>
      <c r="U119" s="7">
        <v>621735</v>
      </c>
      <c r="V119" t="s">
        <v>3351</v>
      </c>
      <c r="W119" s="8">
        <v>0</v>
      </c>
      <c r="X119" s="7">
        <v>32988</v>
      </c>
      <c r="Y119" t="s">
        <v>3351</v>
      </c>
    </row>
    <row r="120" spans="1:25">
      <c r="A120" s="7">
        <v>119</v>
      </c>
      <c r="B120" t="s">
        <v>243</v>
      </c>
      <c r="C120" t="s">
        <v>244</v>
      </c>
      <c r="D120" s="7">
        <v>7134</v>
      </c>
      <c r="E120" t="s">
        <v>245</v>
      </c>
      <c r="F120" t="s">
        <v>246</v>
      </c>
      <c r="G120" t="s">
        <v>247</v>
      </c>
      <c r="H120" t="s">
        <v>707</v>
      </c>
      <c r="I120" s="7">
        <v>1165</v>
      </c>
      <c r="J120" t="s">
        <v>754</v>
      </c>
      <c r="K120" t="s">
        <v>755</v>
      </c>
      <c r="L120" t="s">
        <v>756</v>
      </c>
      <c r="M120" t="s">
        <v>252</v>
      </c>
      <c r="N120" t="s">
        <v>58</v>
      </c>
      <c r="O120" t="s">
        <v>554</v>
      </c>
      <c r="P120" t="s">
        <v>688</v>
      </c>
      <c r="Q120" s="8">
        <v>1150</v>
      </c>
      <c r="R120" s="8">
        <v>1150</v>
      </c>
      <c r="S120" s="8">
        <v>207</v>
      </c>
      <c r="T120" s="8">
        <v>1357</v>
      </c>
      <c r="U120" s="7">
        <v>621735</v>
      </c>
      <c r="V120" t="s">
        <v>3351</v>
      </c>
      <c r="W120" s="8">
        <v>0</v>
      </c>
      <c r="X120" s="7">
        <v>32988</v>
      </c>
      <c r="Y120" t="s">
        <v>3351</v>
      </c>
    </row>
    <row r="121" spans="1:25">
      <c r="A121" s="7">
        <v>120</v>
      </c>
      <c r="B121" t="s">
        <v>243</v>
      </c>
      <c r="C121" t="s">
        <v>244</v>
      </c>
      <c r="D121" s="7">
        <v>7134</v>
      </c>
      <c r="E121" t="s">
        <v>245</v>
      </c>
      <c r="F121" t="s">
        <v>246</v>
      </c>
      <c r="G121" t="s">
        <v>247</v>
      </c>
      <c r="H121" t="s">
        <v>702</v>
      </c>
      <c r="I121" s="7">
        <v>1165</v>
      </c>
      <c r="J121" t="s">
        <v>703</v>
      </c>
      <c r="K121" t="s">
        <v>704</v>
      </c>
      <c r="L121" t="s">
        <v>705</v>
      </c>
      <c r="M121" t="s">
        <v>261</v>
      </c>
      <c r="N121" t="s">
        <v>58</v>
      </c>
      <c r="O121" t="s">
        <v>706</v>
      </c>
      <c r="P121" t="s">
        <v>688</v>
      </c>
      <c r="Q121" s="8">
        <v>1150</v>
      </c>
      <c r="R121" s="8">
        <v>1150</v>
      </c>
      <c r="S121" s="8">
        <v>207</v>
      </c>
      <c r="T121" s="8">
        <v>1357</v>
      </c>
      <c r="U121" s="7">
        <v>621735</v>
      </c>
      <c r="V121" t="s">
        <v>3351</v>
      </c>
      <c r="W121" s="8">
        <v>0</v>
      </c>
      <c r="X121" s="7">
        <v>32988</v>
      </c>
      <c r="Y121" t="s">
        <v>3351</v>
      </c>
    </row>
    <row r="122" spans="1:25">
      <c r="A122" s="7">
        <v>121</v>
      </c>
      <c r="B122" t="s">
        <v>243</v>
      </c>
      <c r="C122" t="s">
        <v>244</v>
      </c>
      <c r="D122" s="7">
        <v>7134</v>
      </c>
      <c r="E122" t="s">
        <v>245</v>
      </c>
      <c r="F122" t="s">
        <v>246</v>
      </c>
      <c r="G122" t="s">
        <v>247</v>
      </c>
      <c r="H122" t="s">
        <v>722</v>
      </c>
      <c r="I122" s="7">
        <v>1175</v>
      </c>
      <c r="J122" t="s">
        <v>723</v>
      </c>
      <c r="K122" t="s">
        <v>724</v>
      </c>
      <c r="L122" t="s">
        <v>725</v>
      </c>
      <c r="M122" t="s">
        <v>261</v>
      </c>
      <c r="N122" t="s">
        <v>58</v>
      </c>
      <c r="O122" t="s">
        <v>726</v>
      </c>
      <c r="P122" t="s">
        <v>688</v>
      </c>
      <c r="Q122" s="8">
        <v>1150</v>
      </c>
      <c r="R122" s="8">
        <v>1150</v>
      </c>
      <c r="S122" s="8">
        <v>207</v>
      </c>
      <c r="T122" s="8">
        <v>1357</v>
      </c>
      <c r="U122" s="7">
        <v>621735</v>
      </c>
      <c r="V122" t="s">
        <v>3351</v>
      </c>
      <c r="W122" s="8">
        <v>0</v>
      </c>
      <c r="X122" s="7">
        <v>32988</v>
      </c>
      <c r="Y122" t="s">
        <v>3351</v>
      </c>
    </row>
    <row r="123" spans="1:25">
      <c r="A123" s="7">
        <v>122</v>
      </c>
      <c r="B123" t="s">
        <v>243</v>
      </c>
      <c r="C123" t="s">
        <v>244</v>
      </c>
      <c r="D123" s="7">
        <v>7134</v>
      </c>
      <c r="E123" t="s">
        <v>245</v>
      </c>
      <c r="F123" t="s">
        <v>246</v>
      </c>
      <c r="G123" t="s">
        <v>247</v>
      </c>
      <c r="H123" t="s">
        <v>683</v>
      </c>
      <c r="I123" s="7">
        <v>1165</v>
      </c>
      <c r="J123" t="s">
        <v>684</v>
      </c>
      <c r="K123" t="s">
        <v>685</v>
      </c>
      <c r="L123" t="s">
        <v>686</v>
      </c>
      <c r="M123" t="s">
        <v>252</v>
      </c>
      <c r="N123" t="s">
        <v>58</v>
      </c>
      <c r="O123" t="s">
        <v>687</v>
      </c>
      <c r="P123" t="s">
        <v>688</v>
      </c>
      <c r="Q123" s="8">
        <v>1150</v>
      </c>
      <c r="R123" s="8">
        <v>1150</v>
      </c>
      <c r="S123" s="8">
        <v>207</v>
      </c>
      <c r="T123" s="8">
        <v>1357</v>
      </c>
      <c r="U123" s="7">
        <v>621735</v>
      </c>
      <c r="V123" t="s">
        <v>3351</v>
      </c>
      <c r="W123" s="8">
        <v>0</v>
      </c>
      <c r="X123" s="7">
        <v>32988</v>
      </c>
      <c r="Y123" t="s">
        <v>3351</v>
      </c>
    </row>
    <row r="124" spans="1:25">
      <c r="A124" s="7">
        <v>123</v>
      </c>
      <c r="B124" t="s">
        <v>243</v>
      </c>
      <c r="C124" t="s">
        <v>244</v>
      </c>
      <c r="D124" s="7">
        <v>7134</v>
      </c>
      <c r="E124" t="s">
        <v>245</v>
      </c>
      <c r="F124" t="s">
        <v>246</v>
      </c>
      <c r="G124" t="s">
        <v>247</v>
      </c>
      <c r="H124" t="s">
        <v>697</v>
      </c>
      <c r="I124" s="7">
        <v>1165</v>
      </c>
      <c r="J124" t="s">
        <v>766</v>
      </c>
      <c r="K124" t="s">
        <v>767</v>
      </c>
      <c r="L124" t="s">
        <v>768</v>
      </c>
      <c r="M124" t="s">
        <v>398</v>
      </c>
      <c r="N124" t="s">
        <v>58</v>
      </c>
      <c r="O124" t="s">
        <v>769</v>
      </c>
      <c r="P124" t="s">
        <v>688</v>
      </c>
      <c r="Q124" s="8">
        <v>1150</v>
      </c>
      <c r="R124" s="8">
        <v>1150</v>
      </c>
      <c r="S124" s="8">
        <v>207</v>
      </c>
      <c r="T124" s="8">
        <v>1357</v>
      </c>
      <c r="U124" s="7">
        <v>621735</v>
      </c>
      <c r="V124" t="s">
        <v>3351</v>
      </c>
      <c r="W124" s="8">
        <v>0</v>
      </c>
      <c r="X124" s="7">
        <v>32988</v>
      </c>
      <c r="Y124" t="s">
        <v>3351</v>
      </c>
    </row>
    <row r="125" spans="1:25">
      <c r="A125" s="7">
        <v>124</v>
      </c>
      <c r="B125" t="s">
        <v>243</v>
      </c>
      <c r="C125" t="s">
        <v>244</v>
      </c>
      <c r="D125" s="7">
        <v>7134</v>
      </c>
      <c r="E125" t="s">
        <v>245</v>
      </c>
      <c r="F125" t="s">
        <v>246</v>
      </c>
      <c r="G125" t="s">
        <v>247</v>
      </c>
      <c r="H125" t="s">
        <v>757</v>
      </c>
      <c r="I125" s="7">
        <v>1165</v>
      </c>
      <c r="J125" t="s">
        <v>758</v>
      </c>
      <c r="K125" t="s">
        <v>759</v>
      </c>
      <c r="L125" t="s">
        <v>760</v>
      </c>
      <c r="M125" t="s">
        <v>261</v>
      </c>
      <c r="N125" t="s">
        <v>58</v>
      </c>
      <c r="O125" t="s">
        <v>761</v>
      </c>
      <c r="P125" t="s">
        <v>688</v>
      </c>
      <c r="Q125" s="8">
        <v>1150</v>
      </c>
      <c r="R125" s="8">
        <v>1150</v>
      </c>
      <c r="S125" s="8">
        <v>207</v>
      </c>
      <c r="T125" s="8">
        <v>1357</v>
      </c>
      <c r="U125" s="7">
        <v>621735</v>
      </c>
      <c r="V125" t="s">
        <v>3351</v>
      </c>
      <c r="W125" s="8">
        <v>0</v>
      </c>
      <c r="X125" s="7">
        <v>32988</v>
      </c>
      <c r="Y125" t="s">
        <v>3351</v>
      </c>
    </row>
    <row r="126" spans="1:25">
      <c r="A126" s="7">
        <v>125</v>
      </c>
      <c r="B126" t="s">
        <v>243</v>
      </c>
      <c r="C126" t="s">
        <v>244</v>
      </c>
      <c r="D126" s="7">
        <v>7134</v>
      </c>
      <c r="E126" t="s">
        <v>245</v>
      </c>
      <c r="F126" t="s">
        <v>246</v>
      </c>
      <c r="G126" t="s">
        <v>247</v>
      </c>
      <c r="H126" t="s">
        <v>689</v>
      </c>
      <c r="I126" s="7">
        <v>1165</v>
      </c>
      <c r="J126" t="s">
        <v>715</v>
      </c>
      <c r="K126" t="s">
        <v>716</v>
      </c>
      <c r="L126" t="s">
        <v>717</v>
      </c>
      <c r="M126" t="s">
        <v>261</v>
      </c>
      <c r="N126" t="s">
        <v>58</v>
      </c>
      <c r="O126" t="s">
        <v>718</v>
      </c>
      <c r="P126" t="s">
        <v>688</v>
      </c>
      <c r="Q126" s="8">
        <v>1150</v>
      </c>
      <c r="R126" s="8">
        <v>1150</v>
      </c>
      <c r="S126" s="8">
        <v>207</v>
      </c>
      <c r="T126" s="8">
        <v>1357</v>
      </c>
      <c r="U126" s="7">
        <v>621735</v>
      </c>
      <c r="V126" t="s">
        <v>3351</v>
      </c>
      <c r="W126" s="8">
        <v>0</v>
      </c>
      <c r="X126" s="7">
        <v>32988</v>
      </c>
      <c r="Y126" t="s">
        <v>3351</v>
      </c>
    </row>
    <row r="127" spans="1:25">
      <c r="A127" s="7">
        <v>126</v>
      </c>
      <c r="B127" t="s">
        <v>243</v>
      </c>
      <c r="C127" t="s">
        <v>244</v>
      </c>
      <c r="D127" s="7">
        <v>7134</v>
      </c>
      <c r="E127" t="s">
        <v>245</v>
      </c>
      <c r="F127" t="s">
        <v>246</v>
      </c>
      <c r="G127" t="s">
        <v>247</v>
      </c>
      <c r="H127" t="s">
        <v>727</v>
      </c>
      <c r="I127" s="7">
        <v>1165</v>
      </c>
      <c r="J127" t="s">
        <v>736</v>
      </c>
      <c r="K127" t="s">
        <v>737</v>
      </c>
      <c r="L127" t="s">
        <v>738</v>
      </c>
      <c r="M127" t="s">
        <v>261</v>
      </c>
      <c r="N127" t="s">
        <v>58</v>
      </c>
      <c r="O127" t="s">
        <v>637</v>
      </c>
      <c r="P127" t="s">
        <v>688</v>
      </c>
      <c r="Q127" s="8">
        <v>1150</v>
      </c>
      <c r="R127" s="8">
        <v>1150</v>
      </c>
      <c r="S127" s="8">
        <v>207</v>
      </c>
      <c r="T127" s="8">
        <v>1357</v>
      </c>
      <c r="U127" s="7">
        <v>621735</v>
      </c>
      <c r="V127" t="s">
        <v>3351</v>
      </c>
      <c r="W127" s="8">
        <v>0</v>
      </c>
      <c r="X127" s="7">
        <v>32988</v>
      </c>
      <c r="Y127" t="s">
        <v>3351</v>
      </c>
    </row>
    <row r="128" spans="1:25">
      <c r="A128" s="7">
        <v>127</v>
      </c>
      <c r="B128" t="s">
        <v>243</v>
      </c>
      <c r="C128" t="s">
        <v>244</v>
      </c>
      <c r="D128" s="7">
        <v>7134</v>
      </c>
      <c r="E128" t="s">
        <v>245</v>
      </c>
      <c r="F128" t="s">
        <v>246</v>
      </c>
      <c r="G128" t="s">
        <v>247</v>
      </c>
      <c r="H128" t="s">
        <v>727</v>
      </c>
      <c r="I128" s="7">
        <v>1165</v>
      </c>
      <c r="J128" t="s">
        <v>750</v>
      </c>
      <c r="K128" t="s">
        <v>751</v>
      </c>
      <c r="L128" t="s">
        <v>752</v>
      </c>
      <c r="M128" t="s">
        <v>261</v>
      </c>
      <c r="N128" t="s">
        <v>58</v>
      </c>
      <c r="O128" t="s">
        <v>753</v>
      </c>
      <c r="P128" t="s">
        <v>688</v>
      </c>
      <c r="Q128" s="8">
        <v>1150</v>
      </c>
      <c r="R128" s="8">
        <v>1150</v>
      </c>
      <c r="S128" s="8">
        <v>207</v>
      </c>
      <c r="T128" s="8">
        <v>1357</v>
      </c>
      <c r="U128" s="7">
        <v>621735</v>
      </c>
      <c r="V128" t="s">
        <v>3351</v>
      </c>
      <c r="W128" s="8">
        <v>0</v>
      </c>
      <c r="X128" s="7">
        <v>32988</v>
      </c>
      <c r="Y128" t="s">
        <v>3351</v>
      </c>
    </row>
    <row r="129" spans="1:25">
      <c r="A129" s="7">
        <v>128</v>
      </c>
      <c r="B129" t="s">
        <v>243</v>
      </c>
      <c r="C129" t="s">
        <v>244</v>
      </c>
      <c r="D129" s="7">
        <v>7134</v>
      </c>
      <c r="E129" t="s">
        <v>245</v>
      </c>
      <c r="F129" t="s">
        <v>246</v>
      </c>
      <c r="G129" t="s">
        <v>247</v>
      </c>
      <c r="H129" t="s">
        <v>727</v>
      </c>
      <c r="I129" s="7">
        <v>1165</v>
      </c>
      <c r="J129" t="s">
        <v>744</v>
      </c>
      <c r="K129" t="s">
        <v>745</v>
      </c>
      <c r="L129" t="s">
        <v>746</v>
      </c>
      <c r="M129" t="s">
        <v>261</v>
      </c>
      <c r="N129" t="s">
        <v>58</v>
      </c>
      <c r="O129" t="s">
        <v>637</v>
      </c>
      <c r="P129" t="s">
        <v>688</v>
      </c>
      <c r="Q129" s="8">
        <v>1150</v>
      </c>
      <c r="R129" s="8">
        <v>1150</v>
      </c>
      <c r="S129" s="8">
        <v>207</v>
      </c>
      <c r="T129" s="8">
        <v>1357</v>
      </c>
      <c r="U129" s="7">
        <v>621735</v>
      </c>
      <c r="V129" t="s">
        <v>3351</v>
      </c>
      <c r="W129" s="8">
        <v>0</v>
      </c>
      <c r="X129" s="7">
        <v>32988</v>
      </c>
      <c r="Y129" t="s">
        <v>3351</v>
      </c>
    </row>
    <row r="130" spans="1:25">
      <c r="A130" s="7">
        <v>129</v>
      </c>
      <c r="B130" t="s">
        <v>243</v>
      </c>
      <c r="C130" t="s">
        <v>244</v>
      </c>
      <c r="D130" s="7">
        <v>7134</v>
      </c>
      <c r="E130" t="s">
        <v>245</v>
      </c>
      <c r="F130" t="s">
        <v>246</v>
      </c>
      <c r="G130" t="s">
        <v>247</v>
      </c>
      <c r="H130" t="s">
        <v>727</v>
      </c>
      <c r="I130" s="7">
        <v>1165</v>
      </c>
      <c r="J130" t="s">
        <v>775</v>
      </c>
      <c r="K130" t="s">
        <v>776</v>
      </c>
      <c r="L130" t="s">
        <v>777</v>
      </c>
      <c r="M130" t="s">
        <v>267</v>
      </c>
      <c r="N130" t="s">
        <v>58</v>
      </c>
      <c r="O130" t="s">
        <v>778</v>
      </c>
      <c r="P130" t="s">
        <v>688</v>
      </c>
      <c r="Q130" s="8">
        <v>1150</v>
      </c>
      <c r="R130" s="8">
        <v>1150</v>
      </c>
      <c r="S130" s="8">
        <v>207</v>
      </c>
      <c r="T130" s="8">
        <v>1357</v>
      </c>
      <c r="U130" s="7">
        <v>621735</v>
      </c>
      <c r="V130" t="s">
        <v>3351</v>
      </c>
      <c r="W130" s="8">
        <v>0</v>
      </c>
      <c r="X130" s="7">
        <v>32988</v>
      </c>
      <c r="Y130" t="s">
        <v>3351</v>
      </c>
    </row>
    <row r="131" spans="1:25">
      <c r="A131" s="7">
        <v>130</v>
      </c>
      <c r="B131" t="s">
        <v>243</v>
      </c>
      <c r="C131" t="s">
        <v>244</v>
      </c>
      <c r="D131" s="7">
        <v>7134</v>
      </c>
      <c r="E131" t="s">
        <v>245</v>
      </c>
      <c r="F131" t="s">
        <v>246</v>
      </c>
      <c r="G131" t="s">
        <v>247</v>
      </c>
      <c r="H131" t="s">
        <v>689</v>
      </c>
      <c r="I131" s="7">
        <v>1165</v>
      </c>
      <c r="J131" t="s">
        <v>690</v>
      </c>
      <c r="K131" t="s">
        <v>691</v>
      </c>
      <c r="L131" t="s">
        <v>692</v>
      </c>
      <c r="M131" t="s">
        <v>261</v>
      </c>
      <c r="N131" t="s">
        <v>58</v>
      </c>
      <c r="O131" t="s">
        <v>644</v>
      </c>
      <c r="P131" t="s">
        <v>688</v>
      </c>
      <c r="Q131" s="8">
        <v>1150</v>
      </c>
      <c r="R131" s="8">
        <v>1150</v>
      </c>
      <c r="S131" s="8">
        <v>207</v>
      </c>
      <c r="T131" s="8">
        <v>1357</v>
      </c>
      <c r="U131" s="7">
        <v>621735</v>
      </c>
      <c r="V131" t="s">
        <v>3351</v>
      </c>
      <c r="W131" s="8">
        <v>0</v>
      </c>
      <c r="X131" s="7">
        <v>32988</v>
      </c>
      <c r="Y131" t="s">
        <v>3351</v>
      </c>
    </row>
    <row r="132" spans="1:25">
      <c r="A132" s="7">
        <v>131</v>
      </c>
      <c r="B132" t="s">
        <v>243</v>
      </c>
      <c r="C132" t="s">
        <v>244</v>
      </c>
      <c r="D132" s="7">
        <v>7134</v>
      </c>
      <c r="E132" t="s">
        <v>245</v>
      </c>
      <c r="F132" t="s">
        <v>246</v>
      </c>
      <c r="G132" t="s">
        <v>247</v>
      </c>
      <c r="H132" t="s">
        <v>683</v>
      </c>
      <c r="I132" s="7">
        <v>221001</v>
      </c>
      <c r="J132" t="s">
        <v>712</v>
      </c>
      <c r="K132" t="s">
        <v>713</v>
      </c>
      <c r="L132" t="s">
        <v>714</v>
      </c>
      <c r="M132" t="s">
        <v>252</v>
      </c>
      <c r="N132" t="s">
        <v>58</v>
      </c>
      <c r="O132" t="s">
        <v>282</v>
      </c>
      <c r="P132" t="s">
        <v>688</v>
      </c>
      <c r="Q132" s="8">
        <v>1150</v>
      </c>
      <c r="R132" s="8">
        <v>1150</v>
      </c>
      <c r="S132" s="8">
        <v>207</v>
      </c>
      <c r="T132" s="8">
        <v>1357</v>
      </c>
      <c r="U132" s="7">
        <v>621735</v>
      </c>
      <c r="V132" t="s">
        <v>3351</v>
      </c>
      <c r="W132" s="8">
        <v>0</v>
      </c>
      <c r="X132" s="7">
        <v>32988</v>
      </c>
      <c r="Y132" t="s">
        <v>3351</v>
      </c>
    </row>
    <row r="133" spans="1:25">
      <c r="A133" s="7">
        <v>132</v>
      </c>
      <c r="B133" t="s">
        <v>243</v>
      </c>
      <c r="C133" t="s">
        <v>244</v>
      </c>
      <c r="D133" s="7">
        <v>7134</v>
      </c>
      <c r="E133" t="s">
        <v>245</v>
      </c>
      <c r="F133" t="s">
        <v>246</v>
      </c>
      <c r="G133" t="s">
        <v>247</v>
      </c>
      <c r="H133" t="s">
        <v>727</v>
      </c>
      <c r="I133" s="7">
        <v>1165</v>
      </c>
      <c r="J133" t="s">
        <v>728</v>
      </c>
      <c r="K133" t="s">
        <v>729</v>
      </c>
      <c r="L133" t="s">
        <v>730</v>
      </c>
      <c r="M133" t="s">
        <v>361</v>
      </c>
      <c r="N133" t="s">
        <v>58</v>
      </c>
      <c r="O133" t="s">
        <v>731</v>
      </c>
      <c r="P133" t="s">
        <v>688</v>
      </c>
      <c r="Q133" s="8">
        <v>1500</v>
      </c>
      <c r="R133" s="8">
        <v>1500</v>
      </c>
      <c r="S133" s="8">
        <v>270</v>
      </c>
      <c r="T133" s="8">
        <v>1770</v>
      </c>
      <c r="U133" s="7">
        <v>621735</v>
      </c>
      <c r="V133" t="s">
        <v>3351</v>
      </c>
      <c r="W133" s="8">
        <v>0</v>
      </c>
      <c r="X133" s="7">
        <v>32988</v>
      </c>
      <c r="Y133" t="s">
        <v>3351</v>
      </c>
    </row>
    <row r="134" spans="1:25">
      <c r="A134" s="7">
        <v>133</v>
      </c>
      <c r="B134" t="s">
        <v>243</v>
      </c>
      <c r="C134" t="s">
        <v>244</v>
      </c>
      <c r="D134" s="7">
        <v>7134</v>
      </c>
      <c r="E134" t="s">
        <v>245</v>
      </c>
      <c r="F134" t="s">
        <v>246</v>
      </c>
      <c r="G134" t="s">
        <v>247</v>
      </c>
      <c r="H134" t="s">
        <v>707</v>
      </c>
      <c r="I134" s="7">
        <v>1165</v>
      </c>
      <c r="J134" t="s">
        <v>708</v>
      </c>
      <c r="K134" t="s">
        <v>709</v>
      </c>
      <c r="L134" t="s">
        <v>710</v>
      </c>
      <c r="M134" t="s">
        <v>361</v>
      </c>
      <c r="N134" t="s">
        <v>58</v>
      </c>
      <c r="O134" t="s">
        <v>711</v>
      </c>
      <c r="P134" t="s">
        <v>688</v>
      </c>
      <c r="Q134" s="8">
        <v>1500</v>
      </c>
      <c r="R134" s="8">
        <v>1500</v>
      </c>
      <c r="S134" s="8">
        <v>270</v>
      </c>
      <c r="T134" s="8">
        <v>1770</v>
      </c>
      <c r="U134" s="7">
        <v>621735</v>
      </c>
      <c r="V134" t="s">
        <v>3351</v>
      </c>
      <c r="W134" s="8">
        <v>0</v>
      </c>
      <c r="X134" s="7">
        <v>32988</v>
      </c>
      <c r="Y134" t="s">
        <v>3351</v>
      </c>
    </row>
    <row r="135" spans="1:25">
      <c r="A135" s="7">
        <v>134</v>
      </c>
      <c r="B135" t="s">
        <v>243</v>
      </c>
      <c r="C135" t="s">
        <v>244</v>
      </c>
      <c r="D135" s="7">
        <v>7134</v>
      </c>
      <c r="E135" t="s">
        <v>245</v>
      </c>
      <c r="F135" t="s">
        <v>246</v>
      </c>
      <c r="G135" t="s">
        <v>247</v>
      </c>
      <c r="H135" t="s">
        <v>762</v>
      </c>
      <c r="I135" s="7">
        <v>1165</v>
      </c>
      <c r="J135" t="s">
        <v>763</v>
      </c>
      <c r="K135" t="s">
        <v>764</v>
      </c>
      <c r="L135" t="s">
        <v>765</v>
      </c>
      <c r="M135" t="s">
        <v>261</v>
      </c>
      <c r="N135" t="s">
        <v>58</v>
      </c>
      <c r="O135" t="s">
        <v>583</v>
      </c>
      <c r="P135" t="s">
        <v>688</v>
      </c>
      <c r="Q135" s="8">
        <v>1150</v>
      </c>
      <c r="R135" s="8">
        <v>1150</v>
      </c>
      <c r="S135" s="8">
        <v>207</v>
      </c>
      <c r="T135" s="8">
        <v>1357</v>
      </c>
      <c r="U135" s="7">
        <v>621735</v>
      </c>
      <c r="V135" t="s">
        <v>3351</v>
      </c>
      <c r="W135" s="8">
        <v>0</v>
      </c>
      <c r="X135" s="7">
        <v>32988</v>
      </c>
      <c r="Y135" t="s">
        <v>3351</v>
      </c>
    </row>
    <row r="136" spans="1:25">
      <c r="A136" s="7">
        <v>135</v>
      </c>
      <c r="B136" t="s">
        <v>243</v>
      </c>
      <c r="C136" t="s">
        <v>244</v>
      </c>
      <c r="D136" s="7">
        <v>7134</v>
      </c>
      <c r="E136" t="s">
        <v>245</v>
      </c>
      <c r="F136" t="s">
        <v>246</v>
      </c>
      <c r="G136" t="s">
        <v>247</v>
      </c>
      <c r="H136" t="s">
        <v>3097</v>
      </c>
      <c r="I136" s="7">
        <v>1165</v>
      </c>
      <c r="J136" t="s">
        <v>3155</v>
      </c>
      <c r="K136" t="s">
        <v>3156</v>
      </c>
      <c r="L136" t="s">
        <v>3157</v>
      </c>
      <c r="M136" t="s">
        <v>252</v>
      </c>
      <c r="N136" t="s">
        <v>151</v>
      </c>
      <c r="O136" t="s">
        <v>672</v>
      </c>
      <c r="P136" t="s">
        <v>3158</v>
      </c>
      <c r="Q136" s="8">
        <v>1150</v>
      </c>
      <c r="R136" s="8">
        <v>1150</v>
      </c>
      <c r="S136" s="8">
        <v>207</v>
      </c>
      <c r="T136" s="8">
        <v>1357</v>
      </c>
      <c r="U136" s="7">
        <v>621961</v>
      </c>
      <c r="V136" t="s">
        <v>3352</v>
      </c>
      <c r="W136" s="8">
        <v>0</v>
      </c>
      <c r="X136" s="7">
        <v>33214</v>
      </c>
      <c r="Y136" t="s">
        <v>3352</v>
      </c>
    </row>
    <row r="137" spans="1:25">
      <c r="A137" s="7">
        <v>136</v>
      </c>
      <c r="B137" t="s">
        <v>243</v>
      </c>
      <c r="C137" t="s">
        <v>244</v>
      </c>
      <c r="D137" s="7">
        <v>7134</v>
      </c>
      <c r="E137" t="s">
        <v>245</v>
      </c>
      <c r="F137" t="s">
        <v>246</v>
      </c>
      <c r="G137" t="s">
        <v>247</v>
      </c>
      <c r="H137" t="s">
        <v>3216</v>
      </c>
      <c r="I137" s="7">
        <v>1165</v>
      </c>
      <c r="J137" t="s">
        <v>3217</v>
      </c>
      <c r="K137" t="s">
        <v>3218</v>
      </c>
      <c r="L137" t="s">
        <v>3219</v>
      </c>
      <c r="M137" t="s">
        <v>267</v>
      </c>
      <c r="N137" t="s">
        <v>151</v>
      </c>
      <c r="O137" t="s">
        <v>3220</v>
      </c>
      <c r="P137" t="s">
        <v>3158</v>
      </c>
      <c r="Q137" s="8">
        <v>1150</v>
      </c>
      <c r="R137" s="8">
        <v>1150</v>
      </c>
      <c r="S137" s="8">
        <v>207</v>
      </c>
      <c r="T137" s="8">
        <v>1357</v>
      </c>
      <c r="U137" s="7">
        <v>621961</v>
      </c>
      <c r="V137" t="s">
        <v>3352</v>
      </c>
      <c r="W137" s="8">
        <v>0</v>
      </c>
      <c r="X137" s="7">
        <v>33214</v>
      </c>
      <c r="Y137" t="s">
        <v>3352</v>
      </c>
    </row>
    <row r="138" spans="1:25">
      <c r="A138" s="7">
        <v>137</v>
      </c>
      <c r="B138" t="s">
        <v>243</v>
      </c>
      <c r="C138" t="s">
        <v>244</v>
      </c>
      <c r="D138" s="7">
        <v>7134</v>
      </c>
      <c r="E138" t="s">
        <v>245</v>
      </c>
      <c r="F138" t="s">
        <v>246</v>
      </c>
      <c r="G138" t="s">
        <v>247</v>
      </c>
      <c r="H138" t="s">
        <v>3106</v>
      </c>
      <c r="I138" s="7">
        <v>1165</v>
      </c>
      <c r="J138" t="s">
        <v>3172</v>
      </c>
      <c r="K138" t="s">
        <v>3173</v>
      </c>
      <c r="L138" t="s">
        <v>3174</v>
      </c>
      <c r="M138" t="s">
        <v>261</v>
      </c>
      <c r="N138" t="s">
        <v>151</v>
      </c>
      <c r="O138" t="s">
        <v>726</v>
      </c>
      <c r="P138" t="s">
        <v>3158</v>
      </c>
      <c r="Q138" s="8">
        <v>1150</v>
      </c>
      <c r="R138" s="8">
        <v>1150</v>
      </c>
      <c r="S138" s="8">
        <v>207</v>
      </c>
      <c r="T138" s="8">
        <v>1357</v>
      </c>
      <c r="U138" s="7">
        <v>621961</v>
      </c>
      <c r="V138" t="s">
        <v>3352</v>
      </c>
      <c r="W138" s="8">
        <v>0</v>
      </c>
      <c r="X138" s="7">
        <v>33214</v>
      </c>
      <c r="Y138" t="s">
        <v>3352</v>
      </c>
    </row>
    <row r="139" spans="1:25">
      <c r="A139" s="7">
        <v>138</v>
      </c>
      <c r="B139" t="s">
        <v>243</v>
      </c>
      <c r="C139" t="s">
        <v>244</v>
      </c>
      <c r="D139" s="7">
        <v>7134</v>
      </c>
      <c r="E139" t="s">
        <v>245</v>
      </c>
      <c r="F139" t="s">
        <v>246</v>
      </c>
      <c r="G139" t="s">
        <v>247</v>
      </c>
      <c r="H139" t="s">
        <v>3074</v>
      </c>
      <c r="I139" s="7">
        <v>1165</v>
      </c>
      <c r="J139" t="s">
        <v>3235</v>
      </c>
      <c r="K139" t="s">
        <v>3236</v>
      </c>
      <c r="L139" t="s">
        <v>3237</v>
      </c>
      <c r="M139" t="s">
        <v>261</v>
      </c>
      <c r="N139" t="s">
        <v>151</v>
      </c>
      <c r="O139" t="s">
        <v>3161</v>
      </c>
      <c r="P139" t="s">
        <v>3158</v>
      </c>
      <c r="Q139" s="8">
        <v>1150</v>
      </c>
      <c r="R139" s="8">
        <v>1150</v>
      </c>
      <c r="S139" s="8">
        <v>207</v>
      </c>
      <c r="T139" s="8">
        <v>1357</v>
      </c>
      <c r="U139" s="7">
        <v>621961</v>
      </c>
      <c r="V139" t="s">
        <v>3352</v>
      </c>
      <c r="W139" s="8">
        <v>0</v>
      </c>
      <c r="X139" s="7">
        <v>33214</v>
      </c>
      <c r="Y139" t="s">
        <v>3352</v>
      </c>
    </row>
    <row r="140" spans="1:25">
      <c r="A140" s="7">
        <v>139</v>
      </c>
      <c r="B140" t="s">
        <v>243</v>
      </c>
      <c r="C140" t="s">
        <v>244</v>
      </c>
      <c r="D140" s="7">
        <v>7134</v>
      </c>
      <c r="E140" t="s">
        <v>245</v>
      </c>
      <c r="F140" t="s">
        <v>246</v>
      </c>
      <c r="G140" t="s">
        <v>247</v>
      </c>
      <c r="H140" t="s">
        <v>3086</v>
      </c>
      <c r="I140" s="7">
        <v>1165</v>
      </c>
      <c r="J140" t="s">
        <v>3224</v>
      </c>
      <c r="K140" t="s">
        <v>3225</v>
      </c>
      <c r="L140" t="s">
        <v>3226</v>
      </c>
      <c r="M140" t="s">
        <v>267</v>
      </c>
      <c r="N140" t="s">
        <v>151</v>
      </c>
      <c r="O140" t="s">
        <v>3227</v>
      </c>
      <c r="P140" t="s">
        <v>3158</v>
      </c>
      <c r="Q140" s="8">
        <v>1150</v>
      </c>
      <c r="R140" s="8">
        <v>1150</v>
      </c>
      <c r="S140" s="8">
        <v>207</v>
      </c>
      <c r="T140" s="8">
        <v>1357</v>
      </c>
      <c r="U140" s="7">
        <v>621961</v>
      </c>
      <c r="V140" t="s">
        <v>3352</v>
      </c>
      <c r="W140" s="8">
        <v>0</v>
      </c>
      <c r="X140" s="7">
        <v>33214</v>
      </c>
      <c r="Y140" t="s">
        <v>3352</v>
      </c>
    </row>
    <row r="141" spans="1:25">
      <c r="A141" s="7">
        <v>140</v>
      </c>
      <c r="B141" t="s">
        <v>243</v>
      </c>
      <c r="C141" t="s">
        <v>244</v>
      </c>
      <c r="D141" s="7">
        <v>7134</v>
      </c>
      <c r="E141" t="s">
        <v>245</v>
      </c>
      <c r="F141" t="s">
        <v>246</v>
      </c>
      <c r="G141" t="s">
        <v>247</v>
      </c>
      <c r="H141" t="s">
        <v>3120</v>
      </c>
      <c r="I141" s="7">
        <v>1165</v>
      </c>
      <c r="J141" t="s">
        <v>492</v>
      </c>
      <c r="K141" t="s">
        <v>3159</v>
      </c>
      <c r="L141" t="s">
        <v>3160</v>
      </c>
      <c r="M141" t="s">
        <v>252</v>
      </c>
      <c r="N141" t="s">
        <v>151</v>
      </c>
      <c r="O141" t="s">
        <v>3161</v>
      </c>
      <c r="P141" t="s">
        <v>3158</v>
      </c>
      <c r="Q141" s="8">
        <v>1150</v>
      </c>
      <c r="R141" s="8">
        <v>1150</v>
      </c>
      <c r="S141" s="8">
        <v>207</v>
      </c>
      <c r="T141" s="8">
        <v>1357</v>
      </c>
      <c r="U141" s="7">
        <v>621961</v>
      </c>
      <c r="V141" t="s">
        <v>3352</v>
      </c>
      <c r="W141" s="8">
        <v>0</v>
      </c>
      <c r="X141" s="7">
        <v>33214</v>
      </c>
      <c r="Y141" t="s">
        <v>3352</v>
      </c>
    </row>
    <row r="142" spans="1:25">
      <c r="A142" s="7">
        <v>141</v>
      </c>
      <c r="B142" t="s">
        <v>243</v>
      </c>
      <c r="C142" t="s">
        <v>244</v>
      </c>
      <c r="D142" s="7">
        <v>7134</v>
      </c>
      <c r="E142" t="s">
        <v>245</v>
      </c>
      <c r="F142" t="s">
        <v>246</v>
      </c>
      <c r="G142" t="s">
        <v>247</v>
      </c>
      <c r="H142" t="s">
        <v>3092</v>
      </c>
      <c r="I142" s="7">
        <v>1165</v>
      </c>
      <c r="J142" t="s">
        <v>3212</v>
      </c>
      <c r="K142" t="s">
        <v>3213</v>
      </c>
      <c r="L142" t="s">
        <v>3214</v>
      </c>
      <c r="M142" t="s">
        <v>261</v>
      </c>
      <c r="N142" t="s">
        <v>151</v>
      </c>
      <c r="O142" t="s">
        <v>3215</v>
      </c>
      <c r="P142" t="s">
        <v>3158</v>
      </c>
      <c r="Q142" s="8">
        <v>1150</v>
      </c>
      <c r="R142" s="8">
        <v>1150</v>
      </c>
      <c r="S142" s="8">
        <v>207</v>
      </c>
      <c r="T142" s="8">
        <v>1357</v>
      </c>
      <c r="U142" s="7">
        <v>621961</v>
      </c>
      <c r="V142" t="s">
        <v>3352</v>
      </c>
      <c r="W142" s="8">
        <v>0</v>
      </c>
      <c r="X142" s="7">
        <v>33214</v>
      </c>
      <c r="Y142" t="s">
        <v>3352</v>
      </c>
    </row>
    <row r="143" spans="1:25">
      <c r="A143" s="7">
        <v>142</v>
      </c>
      <c r="B143" t="s">
        <v>243</v>
      </c>
      <c r="C143" t="s">
        <v>244</v>
      </c>
      <c r="D143" s="7">
        <v>7134</v>
      </c>
      <c r="E143" t="s">
        <v>245</v>
      </c>
      <c r="F143" t="s">
        <v>246</v>
      </c>
      <c r="G143" t="s">
        <v>247</v>
      </c>
      <c r="H143" t="s">
        <v>3111</v>
      </c>
      <c r="I143" s="7">
        <v>1165</v>
      </c>
      <c r="J143" t="s">
        <v>3169</v>
      </c>
      <c r="K143" t="s">
        <v>3170</v>
      </c>
      <c r="L143" t="s">
        <v>3171</v>
      </c>
      <c r="M143" t="s">
        <v>261</v>
      </c>
      <c r="N143" t="s">
        <v>151</v>
      </c>
      <c r="O143" t="s">
        <v>711</v>
      </c>
      <c r="P143" t="s">
        <v>3158</v>
      </c>
      <c r="Q143" s="8">
        <v>1150</v>
      </c>
      <c r="R143" s="8">
        <v>1150</v>
      </c>
      <c r="S143" s="8">
        <v>207</v>
      </c>
      <c r="T143" s="8">
        <v>1357</v>
      </c>
      <c r="U143" s="7">
        <v>621961</v>
      </c>
      <c r="V143" t="s">
        <v>3352</v>
      </c>
      <c r="W143" s="8">
        <v>0</v>
      </c>
      <c r="X143" s="7">
        <v>33214</v>
      </c>
      <c r="Y143" t="s">
        <v>3352</v>
      </c>
    </row>
    <row r="144" spans="1:25">
      <c r="A144" s="7">
        <v>143</v>
      </c>
      <c r="B144" t="s">
        <v>243</v>
      </c>
      <c r="C144" t="s">
        <v>244</v>
      </c>
      <c r="D144" s="7">
        <v>7134</v>
      </c>
      <c r="E144" t="s">
        <v>245</v>
      </c>
      <c r="F144" t="s">
        <v>246</v>
      </c>
      <c r="G144" t="s">
        <v>247</v>
      </c>
      <c r="H144" t="s">
        <v>3178</v>
      </c>
      <c r="I144" s="7">
        <v>1165</v>
      </c>
      <c r="J144" t="s">
        <v>3179</v>
      </c>
      <c r="K144" t="s">
        <v>3180</v>
      </c>
      <c r="L144" t="s">
        <v>3181</v>
      </c>
      <c r="M144" t="s">
        <v>261</v>
      </c>
      <c r="N144" t="s">
        <v>151</v>
      </c>
      <c r="O144" t="s">
        <v>726</v>
      </c>
      <c r="P144" t="s">
        <v>3158</v>
      </c>
      <c r="Q144" s="8">
        <v>1150</v>
      </c>
      <c r="R144" s="8">
        <v>1150</v>
      </c>
      <c r="S144" s="8">
        <v>207</v>
      </c>
      <c r="T144" s="8">
        <v>1357</v>
      </c>
      <c r="U144" s="7">
        <v>621961</v>
      </c>
      <c r="V144" t="s">
        <v>3352</v>
      </c>
      <c r="W144" s="8">
        <v>0</v>
      </c>
      <c r="X144" s="7">
        <v>33214</v>
      </c>
      <c r="Y144" t="s">
        <v>3352</v>
      </c>
    </row>
    <row r="145" spans="1:25">
      <c r="A145" s="7">
        <v>144</v>
      </c>
      <c r="B145" t="s">
        <v>243</v>
      </c>
      <c r="C145" t="s">
        <v>244</v>
      </c>
      <c r="D145" s="7">
        <v>7134</v>
      </c>
      <c r="E145" t="s">
        <v>245</v>
      </c>
      <c r="F145" t="s">
        <v>246</v>
      </c>
      <c r="G145" t="s">
        <v>247</v>
      </c>
      <c r="H145" t="s">
        <v>417</v>
      </c>
      <c r="I145" s="7">
        <v>1165</v>
      </c>
      <c r="J145" t="s">
        <v>3228</v>
      </c>
      <c r="K145" t="s">
        <v>3229</v>
      </c>
      <c r="L145" t="s">
        <v>3230</v>
      </c>
      <c r="M145" t="s">
        <v>267</v>
      </c>
      <c r="N145" t="s">
        <v>151</v>
      </c>
      <c r="O145" t="s">
        <v>743</v>
      </c>
      <c r="P145" t="s">
        <v>3158</v>
      </c>
      <c r="Q145" s="8">
        <v>1150</v>
      </c>
      <c r="R145" s="8">
        <v>1150</v>
      </c>
      <c r="S145" s="8">
        <v>207</v>
      </c>
      <c r="T145" s="8">
        <v>1357</v>
      </c>
      <c r="U145" s="7">
        <v>621961</v>
      </c>
      <c r="V145" t="s">
        <v>3352</v>
      </c>
      <c r="W145" s="8">
        <v>0</v>
      </c>
      <c r="X145" s="7">
        <v>33214</v>
      </c>
      <c r="Y145" t="s">
        <v>3352</v>
      </c>
    </row>
    <row r="146" spans="1:25">
      <c r="A146" s="7">
        <v>145</v>
      </c>
      <c r="B146" t="s">
        <v>243</v>
      </c>
      <c r="C146" t="s">
        <v>244</v>
      </c>
      <c r="D146" s="7">
        <v>7134</v>
      </c>
      <c r="E146" t="s">
        <v>245</v>
      </c>
      <c r="F146" t="s">
        <v>246</v>
      </c>
      <c r="G146" t="s">
        <v>247</v>
      </c>
      <c r="H146" t="s">
        <v>3111</v>
      </c>
      <c r="I146" s="7">
        <v>1165</v>
      </c>
      <c r="J146" t="s">
        <v>3191</v>
      </c>
      <c r="K146" t="s">
        <v>3192</v>
      </c>
      <c r="L146" t="s">
        <v>3193</v>
      </c>
      <c r="M146" t="s">
        <v>261</v>
      </c>
      <c r="N146" t="s">
        <v>151</v>
      </c>
      <c r="O146" t="s">
        <v>3194</v>
      </c>
      <c r="P146" t="s">
        <v>3158</v>
      </c>
      <c r="Q146" s="8">
        <v>1150</v>
      </c>
      <c r="R146" s="8">
        <v>1150</v>
      </c>
      <c r="S146" s="8">
        <v>207</v>
      </c>
      <c r="T146" s="8">
        <v>1357</v>
      </c>
      <c r="U146" s="7">
        <v>621961</v>
      </c>
      <c r="V146" t="s">
        <v>3352</v>
      </c>
      <c r="W146" s="8">
        <v>0</v>
      </c>
      <c r="X146" s="7">
        <v>33214</v>
      </c>
      <c r="Y146" t="s">
        <v>3352</v>
      </c>
    </row>
    <row r="147" spans="1:25">
      <c r="A147" s="7">
        <v>146</v>
      </c>
      <c r="B147" t="s">
        <v>243</v>
      </c>
      <c r="C147" t="s">
        <v>244</v>
      </c>
      <c r="D147" s="7">
        <v>7134</v>
      </c>
      <c r="E147" t="s">
        <v>245</v>
      </c>
      <c r="F147" t="s">
        <v>246</v>
      </c>
      <c r="G147" t="s">
        <v>247</v>
      </c>
      <c r="H147" t="s">
        <v>3108</v>
      </c>
      <c r="I147" s="7">
        <v>1165</v>
      </c>
      <c r="J147" t="s">
        <v>3259</v>
      </c>
      <c r="K147" t="s">
        <v>3260</v>
      </c>
      <c r="L147" t="s">
        <v>3261</v>
      </c>
      <c r="M147" t="s">
        <v>361</v>
      </c>
      <c r="N147" t="s">
        <v>151</v>
      </c>
      <c r="O147" t="s">
        <v>3161</v>
      </c>
      <c r="P147" t="s">
        <v>3158</v>
      </c>
      <c r="Q147" s="8">
        <v>1500</v>
      </c>
      <c r="R147" s="8">
        <v>1500</v>
      </c>
      <c r="S147" s="8">
        <v>270</v>
      </c>
      <c r="T147" s="8">
        <v>1770</v>
      </c>
      <c r="U147" s="7">
        <v>621961</v>
      </c>
      <c r="V147" t="s">
        <v>3352</v>
      </c>
      <c r="W147" s="8">
        <v>0</v>
      </c>
      <c r="X147" s="7">
        <v>33214</v>
      </c>
      <c r="Y147" t="s">
        <v>3352</v>
      </c>
    </row>
    <row r="148" spans="1:25">
      <c r="A148" s="7">
        <v>147</v>
      </c>
      <c r="B148" t="s">
        <v>243</v>
      </c>
      <c r="C148" t="s">
        <v>244</v>
      </c>
      <c r="D148" s="7">
        <v>7134</v>
      </c>
      <c r="E148" t="s">
        <v>245</v>
      </c>
      <c r="F148" t="s">
        <v>246</v>
      </c>
      <c r="G148" t="s">
        <v>247</v>
      </c>
      <c r="H148" t="s">
        <v>3136</v>
      </c>
      <c r="I148" s="7">
        <v>1165</v>
      </c>
      <c r="J148" t="s">
        <v>3188</v>
      </c>
      <c r="K148" t="s">
        <v>3189</v>
      </c>
      <c r="L148" t="s">
        <v>3190</v>
      </c>
      <c r="M148" t="s">
        <v>261</v>
      </c>
      <c r="N148" t="s">
        <v>151</v>
      </c>
      <c r="O148" t="s">
        <v>778</v>
      </c>
      <c r="P148" t="s">
        <v>3158</v>
      </c>
      <c r="Q148" s="8">
        <v>1150</v>
      </c>
      <c r="R148" s="8">
        <v>1150</v>
      </c>
      <c r="S148" s="8">
        <v>207</v>
      </c>
      <c r="T148" s="8">
        <v>1357</v>
      </c>
      <c r="U148" s="7">
        <v>621961</v>
      </c>
      <c r="V148" t="s">
        <v>3352</v>
      </c>
      <c r="W148" s="8">
        <v>0</v>
      </c>
      <c r="X148" s="7">
        <v>33214</v>
      </c>
      <c r="Y148" t="s">
        <v>3352</v>
      </c>
    </row>
    <row r="149" spans="1:25">
      <c r="A149" s="7">
        <v>148</v>
      </c>
      <c r="B149" t="s">
        <v>243</v>
      </c>
      <c r="C149" t="s">
        <v>244</v>
      </c>
      <c r="D149" s="7">
        <v>7134</v>
      </c>
      <c r="E149" t="s">
        <v>245</v>
      </c>
      <c r="F149" t="s">
        <v>246</v>
      </c>
      <c r="G149" t="s">
        <v>247</v>
      </c>
      <c r="H149" t="s">
        <v>3086</v>
      </c>
      <c r="I149" s="7">
        <v>1165</v>
      </c>
      <c r="J149" t="s">
        <v>3221</v>
      </c>
      <c r="K149" t="s">
        <v>3222</v>
      </c>
      <c r="L149" t="s">
        <v>3223</v>
      </c>
      <c r="M149" t="s">
        <v>267</v>
      </c>
      <c r="N149" t="s">
        <v>151</v>
      </c>
      <c r="O149" t="s">
        <v>3161</v>
      </c>
      <c r="P149" t="s">
        <v>3158</v>
      </c>
      <c r="Q149" s="8">
        <v>1150</v>
      </c>
      <c r="R149" s="8">
        <v>1150</v>
      </c>
      <c r="S149" s="8">
        <v>207</v>
      </c>
      <c r="T149" s="8">
        <v>1357</v>
      </c>
      <c r="U149" s="7">
        <v>621961</v>
      </c>
      <c r="V149" t="s">
        <v>3352</v>
      </c>
      <c r="W149" s="8">
        <v>0</v>
      </c>
      <c r="X149" s="7">
        <v>33214</v>
      </c>
      <c r="Y149" t="s">
        <v>3352</v>
      </c>
    </row>
    <row r="150" spans="1:25">
      <c r="A150" s="7">
        <v>149</v>
      </c>
      <c r="B150" t="s">
        <v>243</v>
      </c>
      <c r="C150" t="s">
        <v>244</v>
      </c>
      <c r="D150" s="7">
        <v>7134</v>
      </c>
      <c r="E150" t="s">
        <v>245</v>
      </c>
      <c r="F150" t="s">
        <v>246</v>
      </c>
      <c r="G150" t="s">
        <v>247</v>
      </c>
      <c r="H150" t="s">
        <v>3097</v>
      </c>
      <c r="I150" s="7">
        <v>1165</v>
      </c>
      <c r="J150" t="s">
        <v>3175</v>
      </c>
      <c r="K150" t="s">
        <v>3176</v>
      </c>
      <c r="L150" t="s">
        <v>3177</v>
      </c>
      <c r="M150" t="s">
        <v>261</v>
      </c>
      <c r="N150" t="s">
        <v>151</v>
      </c>
      <c r="O150" t="s">
        <v>726</v>
      </c>
      <c r="P150" t="s">
        <v>3158</v>
      </c>
      <c r="Q150" s="8">
        <v>1150</v>
      </c>
      <c r="R150" s="8">
        <v>1150</v>
      </c>
      <c r="S150" s="8">
        <v>207</v>
      </c>
      <c r="T150" s="8">
        <v>1357</v>
      </c>
      <c r="U150" s="7">
        <v>621961</v>
      </c>
      <c r="V150" t="s">
        <v>3352</v>
      </c>
      <c r="W150" s="8">
        <v>0</v>
      </c>
      <c r="X150" s="7">
        <v>33214</v>
      </c>
      <c r="Y150" t="s">
        <v>3352</v>
      </c>
    </row>
    <row r="151" spans="1:25">
      <c r="A151" s="7">
        <v>150</v>
      </c>
      <c r="B151" t="s">
        <v>243</v>
      </c>
      <c r="C151" t="s">
        <v>244</v>
      </c>
      <c r="D151" s="7">
        <v>7134</v>
      </c>
      <c r="E151" t="s">
        <v>245</v>
      </c>
      <c r="F151" t="s">
        <v>246</v>
      </c>
      <c r="G151" t="s">
        <v>247</v>
      </c>
      <c r="H151" t="s">
        <v>3090</v>
      </c>
      <c r="I151" s="7">
        <v>1165</v>
      </c>
      <c r="J151" t="s">
        <v>3162</v>
      </c>
      <c r="K151" t="s">
        <v>3163</v>
      </c>
      <c r="L151" t="s">
        <v>3164</v>
      </c>
      <c r="M151" t="s">
        <v>261</v>
      </c>
      <c r="N151" t="s">
        <v>151</v>
      </c>
      <c r="O151" t="s">
        <v>411</v>
      </c>
      <c r="P151" t="s">
        <v>3158</v>
      </c>
      <c r="Q151" s="8">
        <v>1150</v>
      </c>
      <c r="R151" s="8">
        <v>1150</v>
      </c>
      <c r="S151" s="8">
        <v>207</v>
      </c>
      <c r="T151" s="8">
        <v>1357</v>
      </c>
      <c r="U151" s="7">
        <v>621961</v>
      </c>
      <c r="V151" t="s">
        <v>3352</v>
      </c>
      <c r="W151" s="8">
        <v>0</v>
      </c>
      <c r="X151" s="7">
        <v>33214</v>
      </c>
      <c r="Y151" t="s">
        <v>3352</v>
      </c>
    </row>
    <row r="152" spans="1:25">
      <c r="A152" s="7">
        <v>151</v>
      </c>
      <c r="B152" t="s">
        <v>243</v>
      </c>
      <c r="C152" t="s">
        <v>244</v>
      </c>
      <c r="D152" s="7">
        <v>7134</v>
      </c>
      <c r="E152" t="s">
        <v>245</v>
      </c>
      <c r="F152" t="s">
        <v>246</v>
      </c>
      <c r="G152" t="s">
        <v>247</v>
      </c>
      <c r="H152" t="s">
        <v>3122</v>
      </c>
      <c r="I152" s="7">
        <v>1165</v>
      </c>
      <c r="J152" t="s">
        <v>3198</v>
      </c>
      <c r="K152" t="s">
        <v>3199</v>
      </c>
      <c r="L152" t="s">
        <v>3200</v>
      </c>
      <c r="M152" t="s">
        <v>261</v>
      </c>
      <c r="N152" t="s">
        <v>151</v>
      </c>
      <c r="O152" t="s">
        <v>3201</v>
      </c>
      <c r="P152" t="s">
        <v>3158</v>
      </c>
      <c r="Q152" s="8">
        <v>1150</v>
      </c>
      <c r="R152" s="8">
        <v>1150</v>
      </c>
      <c r="S152" s="8">
        <v>207</v>
      </c>
      <c r="T152" s="8">
        <v>1357</v>
      </c>
      <c r="U152" s="7">
        <v>621961</v>
      </c>
      <c r="V152" t="s">
        <v>3352</v>
      </c>
      <c r="W152" s="8">
        <v>0</v>
      </c>
      <c r="X152" s="7">
        <v>33214</v>
      </c>
      <c r="Y152" t="s">
        <v>3352</v>
      </c>
    </row>
    <row r="153" spans="1:25">
      <c r="A153" s="7">
        <v>152</v>
      </c>
      <c r="B153" t="s">
        <v>243</v>
      </c>
      <c r="C153" t="s">
        <v>244</v>
      </c>
      <c r="D153" s="7">
        <v>7134</v>
      </c>
      <c r="E153" t="s">
        <v>245</v>
      </c>
      <c r="F153" t="s">
        <v>246</v>
      </c>
      <c r="G153" t="s">
        <v>247</v>
      </c>
      <c r="H153" t="s">
        <v>3078</v>
      </c>
      <c r="I153" s="7">
        <v>1165</v>
      </c>
      <c r="J153" t="s">
        <v>3262</v>
      </c>
      <c r="K153" t="s">
        <v>3263</v>
      </c>
      <c r="L153" t="s">
        <v>3264</v>
      </c>
      <c r="M153" t="s">
        <v>361</v>
      </c>
      <c r="N153" t="s">
        <v>151</v>
      </c>
      <c r="O153" t="s">
        <v>3265</v>
      </c>
      <c r="P153" t="s">
        <v>3158</v>
      </c>
      <c r="Q153" s="8">
        <v>1500</v>
      </c>
      <c r="R153" s="8">
        <v>1500</v>
      </c>
      <c r="S153" s="8">
        <v>270</v>
      </c>
      <c r="T153" s="8">
        <v>1770</v>
      </c>
      <c r="U153" s="7">
        <v>621961</v>
      </c>
      <c r="V153" t="s">
        <v>3352</v>
      </c>
      <c r="W153" s="8">
        <v>0</v>
      </c>
      <c r="X153" s="7">
        <v>33214</v>
      </c>
      <c r="Y153" t="s">
        <v>3352</v>
      </c>
    </row>
    <row r="154" spans="1:25">
      <c r="A154" s="7">
        <v>153</v>
      </c>
      <c r="B154" t="s">
        <v>243</v>
      </c>
      <c r="C154" t="s">
        <v>244</v>
      </c>
      <c r="D154" s="7">
        <v>7134</v>
      </c>
      <c r="E154" t="s">
        <v>245</v>
      </c>
      <c r="F154" t="s">
        <v>246</v>
      </c>
      <c r="G154" t="s">
        <v>247</v>
      </c>
      <c r="H154" t="s">
        <v>3102</v>
      </c>
      <c r="I154" s="7">
        <v>1165</v>
      </c>
      <c r="J154" t="s">
        <v>3209</v>
      </c>
      <c r="K154" t="s">
        <v>3210</v>
      </c>
      <c r="L154" t="s">
        <v>3211</v>
      </c>
      <c r="M154" t="s">
        <v>261</v>
      </c>
      <c r="N154" t="s">
        <v>151</v>
      </c>
      <c r="O154" t="s">
        <v>726</v>
      </c>
      <c r="P154" t="s">
        <v>3158</v>
      </c>
      <c r="Q154" s="8">
        <v>1150</v>
      </c>
      <c r="R154" s="8">
        <v>1150</v>
      </c>
      <c r="S154" s="8">
        <v>207</v>
      </c>
      <c r="T154" s="8">
        <v>1357</v>
      </c>
      <c r="U154" s="7">
        <v>621961</v>
      </c>
      <c r="V154" t="s">
        <v>3352</v>
      </c>
      <c r="W154" s="8">
        <v>0</v>
      </c>
      <c r="X154" s="7">
        <v>33214</v>
      </c>
      <c r="Y154" t="s">
        <v>3352</v>
      </c>
    </row>
    <row r="155" spans="1:25">
      <c r="A155" s="7">
        <v>154</v>
      </c>
      <c r="B155" t="s">
        <v>243</v>
      </c>
      <c r="C155" t="s">
        <v>244</v>
      </c>
      <c r="D155" s="7">
        <v>7134</v>
      </c>
      <c r="E155" t="s">
        <v>245</v>
      </c>
      <c r="F155" t="s">
        <v>246</v>
      </c>
      <c r="G155" t="s">
        <v>247</v>
      </c>
      <c r="H155" t="s">
        <v>3136</v>
      </c>
      <c r="I155" s="7">
        <v>1165</v>
      </c>
      <c r="J155" t="s">
        <v>3195</v>
      </c>
      <c r="K155" t="s">
        <v>3196</v>
      </c>
      <c r="L155" t="s">
        <v>3197</v>
      </c>
      <c r="M155" t="s">
        <v>261</v>
      </c>
      <c r="N155" t="s">
        <v>151</v>
      </c>
      <c r="O155" t="s">
        <v>731</v>
      </c>
      <c r="P155" t="s">
        <v>3158</v>
      </c>
      <c r="Q155" s="8">
        <v>1150</v>
      </c>
      <c r="R155" s="8">
        <v>1150</v>
      </c>
      <c r="S155" s="8">
        <v>207</v>
      </c>
      <c r="T155" s="8">
        <v>1357</v>
      </c>
      <c r="U155" s="7">
        <v>621961</v>
      </c>
      <c r="V155" t="s">
        <v>3352</v>
      </c>
      <c r="W155" s="8">
        <v>0</v>
      </c>
      <c r="X155" s="7">
        <v>33214</v>
      </c>
      <c r="Y155" t="s">
        <v>3352</v>
      </c>
    </row>
    <row r="156" spans="1:25">
      <c r="A156" s="7">
        <v>155</v>
      </c>
      <c r="B156" t="s">
        <v>243</v>
      </c>
      <c r="C156" t="s">
        <v>244</v>
      </c>
      <c r="D156" s="7">
        <v>7134</v>
      </c>
      <c r="E156" t="s">
        <v>245</v>
      </c>
      <c r="F156" t="s">
        <v>246</v>
      </c>
      <c r="G156" t="s">
        <v>247</v>
      </c>
      <c r="H156" t="s">
        <v>3098</v>
      </c>
      <c r="I156" s="7">
        <v>1165</v>
      </c>
      <c r="J156" t="s">
        <v>3249</v>
      </c>
      <c r="K156" t="s">
        <v>3250</v>
      </c>
      <c r="L156" t="s">
        <v>3251</v>
      </c>
      <c r="M156" t="s">
        <v>361</v>
      </c>
      <c r="N156" t="s">
        <v>151</v>
      </c>
      <c r="O156" t="s">
        <v>3161</v>
      </c>
      <c r="P156" t="s">
        <v>3158</v>
      </c>
      <c r="Q156" s="8">
        <v>1500</v>
      </c>
      <c r="R156" s="8">
        <v>1500</v>
      </c>
      <c r="S156" s="8">
        <v>270</v>
      </c>
      <c r="T156" s="8">
        <v>1770</v>
      </c>
      <c r="U156" s="7">
        <v>621961</v>
      </c>
      <c r="V156" t="s">
        <v>3352</v>
      </c>
      <c r="W156" s="8">
        <v>0</v>
      </c>
      <c r="X156" s="7">
        <v>33214</v>
      </c>
      <c r="Y156" t="s">
        <v>3352</v>
      </c>
    </row>
    <row r="157" spans="1:25">
      <c r="A157" s="7">
        <v>156</v>
      </c>
      <c r="B157" t="s">
        <v>243</v>
      </c>
      <c r="C157" t="s">
        <v>244</v>
      </c>
      <c r="D157" s="7">
        <v>7134</v>
      </c>
      <c r="E157" t="s">
        <v>245</v>
      </c>
      <c r="F157" t="s">
        <v>246</v>
      </c>
      <c r="G157" t="s">
        <v>247</v>
      </c>
      <c r="H157" t="s">
        <v>3098</v>
      </c>
      <c r="I157" s="7">
        <v>1092</v>
      </c>
      <c r="J157" t="s">
        <v>3182</v>
      </c>
      <c r="K157" t="s">
        <v>3183</v>
      </c>
      <c r="L157" t="s">
        <v>3184</v>
      </c>
      <c r="M157" t="s">
        <v>261</v>
      </c>
      <c r="N157" t="s">
        <v>151</v>
      </c>
      <c r="O157" t="s">
        <v>726</v>
      </c>
      <c r="P157" t="s">
        <v>3158</v>
      </c>
      <c r="Q157" s="8">
        <v>1150</v>
      </c>
      <c r="R157" s="8">
        <v>1150</v>
      </c>
      <c r="S157" s="8">
        <v>207</v>
      </c>
      <c r="T157" s="8">
        <v>1357</v>
      </c>
      <c r="U157" s="7">
        <v>621961</v>
      </c>
      <c r="V157" t="s">
        <v>3352</v>
      </c>
      <c r="W157" s="8">
        <v>0</v>
      </c>
      <c r="X157" s="7">
        <v>33214</v>
      </c>
      <c r="Y157" t="s">
        <v>3352</v>
      </c>
    </row>
    <row r="158" spans="1:25">
      <c r="A158" s="7">
        <v>157</v>
      </c>
      <c r="B158" t="s">
        <v>243</v>
      </c>
      <c r="C158" t="s">
        <v>244</v>
      </c>
      <c r="D158" s="7">
        <v>7134</v>
      </c>
      <c r="E158" t="s">
        <v>245</v>
      </c>
      <c r="F158" t="s">
        <v>246</v>
      </c>
      <c r="G158" t="s">
        <v>247</v>
      </c>
      <c r="H158" t="s">
        <v>3078</v>
      </c>
      <c r="I158" s="7">
        <v>1165</v>
      </c>
      <c r="J158" t="s">
        <v>3165</v>
      </c>
      <c r="K158" t="s">
        <v>3166</v>
      </c>
      <c r="L158" t="s">
        <v>3167</v>
      </c>
      <c r="M158" t="s">
        <v>261</v>
      </c>
      <c r="N158" t="s">
        <v>151</v>
      </c>
      <c r="O158" t="s">
        <v>3168</v>
      </c>
      <c r="P158" t="s">
        <v>3158</v>
      </c>
      <c r="Q158" s="8">
        <v>1150</v>
      </c>
      <c r="R158" s="8">
        <v>1150</v>
      </c>
      <c r="S158" s="8">
        <v>207</v>
      </c>
      <c r="T158" s="8">
        <v>1357</v>
      </c>
      <c r="U158" s="7">
        <v>621961</v>
      </c>
      <c r="V158" t="s">
        <v>3352</v>
      </c>
      <c r="W158" s="8">
        <v>0</v>
      </c>
      <c r="X158" s="7">
        <v>33214</v>
      </c>
      <c r="Y158" t="s">
        <v>3352</v>
      </c>
    </row>
    <row r="159" spans="1:25">
      <c r="A159" s="7">
        <v>158</v>
      </c>
      <c r="B159" t="s">
        <v>243</v>
      </c>
      <c r="C159" t="s">
        <v>244</v>
      </c>
      <c r="D159" s="7">
        <v>7134</v>
      </c>
      <c r="E159" t="s">
        <v>245</v>
      </c>
      <c r="F159" t="s">
        <v>246</v>
      </c>
      <c r="G159" t="s">
        <v>247</v>
      </c>
      <c r="H159" t="s">
        <v>3122</v>
      </c>
      <c r="I159" s="7">
        <v>1165</v>
      </c>
      <c r="J159" t="s">
        <v>3245</v>
      </c>
      <c r="K159" t="s">
        <v>3246</v>
      </c>
      <c r="L159" t="s">
        <v>3247</v>
      </c>
      <c r="M159" t="s">
        <v>261</v>
      </c>
      <c r="N159" t="s">
        <v>151</v>
      </c>
      <c r="O159" t="s">
        <v>3248</v>
      </c>
      <c r="P159" t="s">
        <v>3158</v>
      </c>
      <c r="Q159" s="8">
        <v>1150</v>
      </c>
      <c r="R159" s="8">
        <v>1150</v>
      </c>
      <c r="S159" s="8">
        <v>207</v>
      </c>
      <c r="T159" s="8">
        <v>1357</v>
      </c>
      <c r="U159" s="7">
        <v>621961</v>
      </c>
      <c r="V159" t="s">
        <v>3352</v>
      </c>
      <c r="W159" s="8">
        <v>0</v>
      </c>
      <c r="X159" s="7">
        <v>33214</v>
      </c>
      <c r="Y159" t="s">
        <v>3352</v>
      </c>
    </row>
    <row r="160" spans="1:25">
      <c r="A160" s="7">
        <v>159</v>
      </c>
      <c r="B160" t="s">
        <v>243</v>
      </c>
      <c r="C160" t="s">
        <v>244</v>
      </c>
      <c r="D160" s="7">
        <v>7134</v>
      </c>
      <c r="E160" t="s">
        <v>245</v>
      </c>
      <c r="F160" t="s">
        <v>246</v>
      </c>
      <c r="G160" t="s">
        <v>247</v>
      </c>
      <c r="H160" t="s">
        <v>3097</v>
      </c>
      <c r="I160" s="7">
        <v>1165</v>
      </c>
      <c r="J160" t="s">
        <v>3205</v>
      </c>
      <c r="K160" t="s">
        <v>3206</v>
      </c>
      <c r="L160" t="s">
        <v>3207</v>
      </c>
      <c r="M160" t="s">
        <v>261</v>
      </c>
      <c r="N160" t="s">
        <v>151</v>
      </c>
      <c r="O160" t="s">
        <v>3208</v>
      </c>
      <c r="P160" t="s">
        <v>3158</v>
      </c>
      <c r="Q160" s="8">
        <v>1150</v>
      </c>
      <c r="R160" s="8">
        <v>1150</v>
      </c>
      <c r="S160" s="8">
        <v>207</v>
      </c>
      <c r="T160" s="8">
        <v>1357</v>
      </c>
      <c r="U160" s="7">
        <v>621961</v>
      </c>
      <c r="V160" t="s">
        <v>3352</v>
      </c>
      <c r="W160" s="8">
        <v>0</v>
      </c>
      <c r="X160" s="7">
        <v>33214</v>
      </c>
      <c r="Y160" t="s">
        <v>3352</v>
      </c>
    </row>
    <row r="161" spans="1:25">
      <c r="A161" s="7">
        <v>160</v>
      </c>
      <c r="B161" t="s">
        <v>243</v>
      </c>
      <c r="C161" t="s">
        <v>244</v>
      </c>
      <c r="D161" s="7">
        <v>7134</v>
      </c>
      <c r="E161" t="s">
        <v>245</v>
      </c>
      <c r="F161" t="s">
        <v>246</v>
      </c>
      <c r="G161" t="s">
        <v>247</v>
      </c>
      <c r="H161" t="s">
        <v>3090</v>
      </c>
      <c r="I161" s="7">
        <v>1165</v>
      </c>
      <c r="J161" t="s">
        <v>3238</v>
      </c>
      <c r="K161" t="s">
        <v>3239</v>
      </c>
      <c r="L161" t="s">
        <v>3240</v>
      </c>
      <c r="M161" t="s">
        <v>261</v>
      </c>
      <c r="N161" t="s">
        <v>151</v>
      </c>
      <c r="O161" t="s">
        <v>3241</v>
      </c>
      <c r="P161" t="s">
        <v>3158</v>
      </c>
      <c r="Q161" s="8">
        <v>1150</v>
      </c>
      <c r="R161" s="8">
        <v>1150</v>
      </c>
      <c r="S161" s="8">
        <v>207</v>
      </c>
      <c r="T161" s="8">
        <v>1357</v>
      </c>
      <c r="U161" s="7">
        <v>621961</v>
      </c>
      <c r="V161" t="s">
        <v>3352</v>
      </c>
      <c r="W161" s="8">
        <v>0</v>
      </c>
      <c r="X161" s="7">
        <v>33214</v>
      </c>
      <c r="Y161" t="s">
        <v>3352</v>
      </c>
    </row>
    <row r="162" spans="1:25">
      <c r="A162" s="7">
        <v>161</v>
      </c>
      <c r="B162" t="s">
        <v>243</v>
      </c>
      <c r="C162" t="s">
        <v>244</v>
      </c>
      <c r="D162" s="7">
        <v>7134</v>
      </c>
      <c r="E162" t="s">
        <v>245</v>
      </c>
      <c r="F162" t="s">
        <v>246</v>
      </c>
      <c r="G162" t="s">
        <v>247</v>
      </c>
      <c r="H162" t="s">
        <v>1803</v>
      </c>
      <c r="I162" s="7">
        <v>1165</v>
      </c>
      <c r="J162" t="s">
        <v>3242</v>
      </c>
      <c r="K162" t="s">
        <v>3243</v>
      </c>
      <c r="L162" t="s">
        <v>3244</v>
      </c>
      <c r="M162" t="s">
        <v>261</v>
      </c>
      <c r="N162" t="s">
        <v>151</v>
      </c>
      <c r="O162" t="s">
        <v>637</v>
      </c>
      <c r="P162" t="s">
        <v>3158</v>
      </c>
      <c r="Q162" s="8">
        <v>1150</v>
      </c>
      <c r="R162" s="8">
        <v>1150</v>
      </c>
      <c r="S162" s="8">
        <v>207</v>
      </c>
      <c r="T162" s="8">
        <v>1357</v>
      </c>
      <c r="U162" s="7">
        <v>621961</v>
      </c>
      <c r="V162" t="s">
        <v>3352</v>
      </c>
      <c r="W162" s="8">
        <v>0</v>
      </c>
      <c r="X162" s="7">
        <v>33214</v>
      </c>
      <c r="Y162" t="s">
        <v>3352</v>
      </c>
    </row>
    <row r="163" spans="1:25">
      <c r="A163" s="7">
        <v>162</v>
      </c>
      <c r="B163" t="s">
        <v>243</v>
      </c>
      <c r="C163" t="s">
        <v>244</v>
      </c>
      <c r="D163" s="7">
        <v>7134</v>
      </c>
      <c r="E163" t="s">
        <v>245</v>
      </c>
      <c r="F163" t="s">
        <v>246</v>
      </c>
      <c r="G163" t="s">
        <v>247</v>
      </c>
      <c r="H163" t="s">
        <v>3074</v>
      </c>
      <c r="I163" s="7">
        <v>1165</v>
      </c>
      <c r="J163" t="s">
        <v>3231</v>
      </c>
      <c r="K163" t="s">
        <v>3232</v>
      </c>
      <c r="L163" t="s">
        <v>3233</v>
      </c>
      <c r="M163" t="s">
        <v>261</v>
      </c>
      <c r="N163" t="s">
        <v>151</v>
      </c>
      <c r="O163" t="s">
        <v>3234</v>
      </c>
      <c r="P163" t="s">
        <v>3158</v>
      </c>
      <c r="Q163" s="8">
        <v>1150</v>
      </c>
      <c r="R163" s="8">
        <v>1150</v>
      </c>
      <c r="S163" s="8">
        <v>207</v>
      </c>
      <c r="T163" s="8">
        <v>1357</v>
      </c>
      <c r="U163" s="7">
        <v>621961</v>
      </c>
      <c r="V163" t="s">
        <v>3352</v>
      </c>
      <c r="W163" s="8">
        <v>0</v>
      </c>
      <c r="X163" s="7">
        <v>33214</v>
      </c>
      <c r="Y163" t="s">
        <v>3352</v>
      </c>
    </row>
    <row r="164" spans="1:25">
      <c r="A164" s="7">
        <v>163</v>
      </c>
      <c r="B164" t="s">
        <v>243</v>
      </c>
      <c r="C164" t="s">
        <v>244</v>
      </c>
      <c r="D164" s="7">
        <v>7134</v>
      </c>
      <c r="E164" t="s">
        <v>245</v>
      </c>
      <c r="F164" t="s">
        <v>246</v>
      </c>
      <c r="G164" t="s">
        <v>247</v>
      </c>
      <c r="H164" t="s">
        <v>3111</v>
      </c>
      <c r="I164" s="7">
        <v>1165</v>
      </c>
      <c r="J164" t="s">
        <v>3185</v>
      </c>
      <c r="K164" t="s">
        <v>3186</v>
      </c>
      <c r="L164" t="s">
        <v>3187</v>
      </c>
      <c r="M164" t="s">
        <v>261</v>
      </c>
      <c r="N164" t="s">
        <v>151</v>
      </c>
      <c r="O164" t="s">
        <v>711</v>
      </c>
      <c r="P164" t="s">
        <v>3158</v>
      </c>
      <c r="Q164" s="8">
        <v>1150</v>
      </c>
      <c r="R164" s="8">
        <v>1150</v>
      </c>
      <c r="S164" s="8">
        <v>207</v>
      </c>
      <c r="T164" s="8">
        <v>1357</v>
      </c>
      <c r="U164" s="7">
        <v>621961</v>
      </c>
      <c r="V164" t="s">
        <v>3352</v>
      </c>
      <c r="W164" s="8">
        <v>0</v>
      </c>
      <c r="X164" s="7">
        <v>33214</v>
      </c>
      <c r="Y164" t="s">
        <v>3352</v>
      </c>
    </row>
    <row r="165" spans="1:25">
      <c r="A165" s="7">
        <v>164</v>
      </c>
      <c r="B165" t="s">
        <v>243</v>
      </c>
      <c r="C165" t="s">
        <v>244</v>
      </c>
      <c r="D165" s="7">
        <v>7134</v>
      </c>
      <c r="E165" t="s">
        <v>245</v>
      </c>
      <c r="F165" t="s">
        <v>246</v>
      </c>
      <c r="G165" t="s">
        <v>247</v>
      </c>
      <c r="H165" t="s">
        <v>3077</v>
      </c>
      <c r="I165" s="7">
        <v>1165</v>
      </c>
      <c r="J165" t="s">
        <v>3252</v>
      </c>
      <c r="K165" t="s">
        <v>3253</v>
      </c>
      <c r="L165" t="s">
        <v>3254</v>
      </c>
      <c r="M165" t="s">
        <v>361</v>
      </c>
      <c r="N165" t="s">
        <v>151</v>
      </c>
      <c r="O165" t="s">
        <v>3255</v>
      </c>
      <c r="P165" t="s">
        <v>3158</v>
      </c>
      <c r="Q165" s="8">
        <v>1500</v>
      </c>
      <c r="R165" s="8">
        <v>1500</v>
      </c>
      <c r="S165" s="8">
        <v>270</v>
      </c>
      <c r="T165" s="8">
        <v>1770</v>
      </c>
      <c r="U165" s="7">
        <v>621961</v>
      </c>
      <c r="V165" t="s">
        <v>3352</v>
      </c>
      <c r="W165" s="8">
        <v>0</v>
      </c>
      <c r="X165" s="7">
        <v>33214</v>
      </c>
      <c r="Y165" t="s">
        <v>3352</v>
      </c>
    </row>
    <row r="166" spans="1:25">
      <c r="A166" s="7">
        <v>165</v>
      </c>
      <c r="B166" t="s">
        <v>243</v>
      </c>
      <c r="C166" t="s">
        <v>244</v>
      </c>
      <c r="D166" s="7">
        <v>7134</v>
      </c>
      <c r="E166" t="s">
        <v>245</v>
      </c>
      <c r="F166" t="s">
        <v>246</v>
      </c>
      <c r="G166" t="s">
        <v>247</v>
      </c>
      <c r="H166" t="s">
        <v>3098</v>
      </c>
      <c r="I166" s="7">
        <v>1165</v>
      </c>
      <c r="J166" t="s">
        <v>3256</v>
      </c>
      <c r="K166" t="s">
        <v>3257</v>
      </c>
      <c r="L166" t="s">
        <v>3258</v>
      </c>
      <c r="M166" t="s">
        <v>361</v>
      </c>
      <c r="N166" t="s">
        <v>151</v>
      </c>
      <c r="O166" t="s">
        <v>785</v>
      </c>
      <c r="P166" t="s">
        <v>3158</v>
      </c>
      <c r="Q166" s="8">
        <v>1500</v>
      </c>
      <c r="R166" s="8">
        <v>1500</v>
      </c>
      <c r="S166" s="8">
        <v>270</v>
      </c>
      <c r="T166" s="8">
        <v>1770</v>
      </c>
      <c r="U166" s="7">
        <v>621961</v>
      </c>
      <c r="V166" t="s">
        <v>3352</v>
      </c>
      <c r="W166" s="8">
        <v>0</v>
      </c>
      <c r="X166" s="7">
        <v>33214</v>
      </c>
      <c r="Y166" t="s">
        <v>3352</v>
      </c>
    </row>
    <row r="167" spans="1:25">
      <c r="A167" s="7">
        <v>166</v>
      </c>
      <c r="B167" t="s">
        <v>243</v>
      </c>
      <c r="C167" t="s">
        <v>244</v>
      </c>
      <c r="D167" s="7">
        <v>7134</v>
      </c>
      <c r="E167" t="s">
        <v>245</v>
      </c>
      <c r="F167" t="s">
        <v>246</v>
      </c>
      <c r="G167" t="s">
        <v>247</v>
      </c>
      <c r="H167" t="s">
        <v>3078</v>
      </c>
      <c r="I167" s="7">
        <v>1165</v>
      </c>
      <c r="J167" t="s">
        <v>3202</v>
      </c>
      <c r="K167" t="s">
        <v>3203</v>
      </c>
      <c r="L167" t="s">
        <v>3204</v>
      </c>
      <c r="M167" t="s">
        <v>261</v>
      </c>
      <c r="N167" t="s">
        <v>151</v>
      </c>
      <c r="O167" t="s">
        <v>3201</v>
      </c>
      <c r="P167" t="s">
        <v>3158</v>
      </c>
      <c r="Q167" s="8">
        <v>1150</v>
      </c>
      <c r="R167" s="8">
        <v>1150</v>
      </c>
      <c r="S167" s="8">
        <v>207</v>
      </c>
      <c r="T167" s="8">
        <v>1357</v>
      </c>
      <c r="U167" s="7">
        <v>621961</v>
      </c>
      <c r="V167" t="s">
        <v>3352</v>
      </c>
      <c r="W167" s="8">
        <v>0</v>
      </c>
      <c r="X167" s="7">
        <v>33214</v>
      </c>
      <c r="Y167" t="s">
        <v>3352</v>
      </c>
    </row>
    <row r="168" spans="1:25">
      <c r="A168" s="7">
        <v>167</v>
      </c>
      <c r="B168" t="s">
        <v>243</v>
      </c>
      <c r="C168" t="s">
        <v>244</v>
      </c>
      <c r="D168" s="7">
        <v>7134</v>
      </c>
      <c r="E168" t="s">
        <v>245</v>
      </c>
      <c r="F168" t="s">
        <v>246</v>
      </c>
      <c r="G168" t="s">
        <v>247</v>
      </c>
      <c r="H168" t="s">
        <v>3078</v>
      </c>
      <c r="I168" s="7">
        <v>1165</v>
      </c>
      <c r="J168" t="s">
        <v>3442</v>
      </c>
      <c r="K168" t="s">
        <v>3443</v>
      </c>
      <c r="L168" t="s">
        <v>3444</v>
      </c>
      <c r="M168" t="s">
        <v>398</v>
      </c>
      <c r="N168" t="s">
        <v>208</v>
      </c>
      <c r="O168" t="s">
        <v>3445</v>
      </c>
      <c r="P168" t="s">
        <v>3432</v>
      </c>
      <c r="Q168" s="8">
        <v>1150</v>
      </c>
      <c r="R168" s="8">
        <v>1150</v>
      </c>
      <c r="S168" s="8">
        <v>207</v>
      </c>
      <c r="T168" s="8">
        <v>1357</v>
      </c>
      <c r="U168" s="7">
        <v>622281</v>
      </c>
      <c r="V168" t="s">
        <v>3725</v>
      </c>
      <c r="W168" s="8">
        <v>0</v>
      </c>
      <c r="X168" s="7">
        <v>33534</v>
      </c>
      <c r="Y168" t="s">
        <v>3725</v>
      </c>
    </row>
    <row r="169" spans="1:25">
      <c r="A169" s="7">
        <v>168</v>
      </c>
      <c r="B169" t="s">
        <v>243</v>
      </c>
      <c r="C169" t="s">
        <v>244</v>
      </c>
      <c r="D169" s="7">
        <v>7134</v>
      </c>
      <c r="E169" t="s">
        <v>245</v>
      </c>
      <c r="F169" t="s">
        <v>246</v>
      </c>
      <c r="G169" t="s">
        <v>247</v>
      </c>
      <c r="H169" t="s">
        <v>3108</v>
      </c>
      <c r="I169" s="7">
        <v>1165</v>
      </c>
      <c r="J169" t="s">
        <v>3450</v>
      </c>
      <c r="K169" t="s">
        <v>3451</v>
      </c>
      <c r="L169" t="s">
        <v>3452</v>
      </c>
      <c r="M169" t="s">
        <v>361</v>
      </c>
      <c r="N169" t="s">
        <v>208</v>
      </c>
      <c r="O169" t="s">
        <v>753</v>
      </c>
      <c r="P169" t="s">
        <v>3432</v>
      </c>
      <c r="Q169" s="8">
        <v>1500</v>
      </c>
      <c r="R169" s="8">
        <v>1500</v>
      </c>
      <c r="S169" s="8">
        <v>270</v>
      </c>
      <c r="T169" s="8">
        <v>1770</v>
      </c>
      <c r="U169" s="7">
        <v>622281</v>
      </c>
      <c r="V169" t="s">
        <v>3725</v>
      </c>
      <c r="W169" s="8">
        <v>0</v>
      </c>
      <c r="X169" s="7">
        <v>33534</v>
      </c>
      <c r="Y169" t="s">
        <v>3725</v>
      </c>
    </row>
    <row r="170" spans="1:25">
      <c r="A170" s="7">
        <v>169</v>
      </c>
      <c r="B170" t="s">
        <v>243</v>
      </c>
      <c r="C170" t="s">
        <v>244</v>
      </c>
      <c r="D170" s="7">
        <v>7134</v>
      </c>
      <c r="E170" t="s">
        <v>245</v>
      </c>
      <c r="F170" t="s">
        <v>246</v>
      </c>
      <c r="G170" t="s">
        <v>247</v>
      </c>
      <c r="H170" t="s">
        <v>3078</v>
      </c>
      <c r="I170" s="7">
        <v>1165</v>
      </c>
      <c r="J170" t="s">
        <v>3436</v>
      </c>
      <c r="K170" t="s">
        <v>3437</v>
      </c>
      <c r="L170" t="s">
        <v>3438</v>
      </c>
      <c r="M170" t="s">
        <v>261</v>
      </c>
      <c r="N170" t="s">
        <v>208</v>
      </c>
      <c r="O170" t="s">
        <v>3431</v>
      </c>
      <c r="P170" t="s">
        <v>3432</v>
      </c>
      <c r="Q170" s="8">
        <v>1150</v>
      </c>
      <c r="R170" s="8">
        <v>1150</v>
      </c>
      <c r="S170" s="8">
        <v>207</v>
      </c>
      <c r="T170" s="8">
        <v>1357</v>
      </c>
      <c r="U170" s="7">
        <v>622281</v>
      </c>
      <c r="V170" t="s">
        <v>3725</v>
      </c>
      <c r="W170" s="8">
        <v>0</v>
      </c>
      <c r="X170" s="7">
        <v>33534</v>
      </c>
      <c r="Y170" t="s">
        <v>3725</v>
      </c>
    </row>
    <row r="171" spans="1:25">
      <c r="A171" s="7">
        <v>170</v>
      </c>
      <c r="B171" t="s">
        <v>243</v>
      </c>
      <c r="C171" t="s">
        <v>244</v>
      </c>
      <c r="D171" s="7">
        <v>7134</v>
      </c>
      <c r="E171" t="s">
        <v>245</v>
      </c>
      <c r="F171" t="s">
        <v>246</v>
      </c>
      <c r="G171" t="s">
        <v>247</v>
      </c>
      <c r="H171" t="s">
        <v>3078</v>
      </c>
      <c r="I171" s="7">
        <v>1165</v>
      </c>
      <c r="J171" t="s">
        <v>3446</v>
      </c>
      <c r="K171" t="s">
        <v>3447</v>
      </c>
      <c r="L171" t="s">
        <v>3448</v>
      </c>
      <c r="M171" t="s">
        <v>3449</v>
      </c>
      <c r="N171" t="s">
        <v>208</v>
      </c>
      <c r="O171" t="s">
        <v>3265</v>
      </c>
      <c r="P171" t="s">
        <v>3432</v>
      </c>
      <c r="Q171" s="8">
        <v>1150</v>
      </c>
      <c r="R171" s="8">
        <v>1150</v>
      </c>
      <c r="S171" s="8">
        <v>207</v>
      </c>
      <c r="T171" s="8">
        <v>1357</v>
      </c>
      <c r="U171" s="7">
        <v>622281</v>
      </c>
      <c r="V171" t="s">
        <v>3725</v>
      </c>
      <c r="W171" s="8">
        <v>0</v>
      </c>
      <c r="X171" s="7">
        <v>33534</v>
      </c>
      <c r="Y171" t="s">
        <v>3725</v>
      </c>
    </row>
    <row r="172" spans="1:25">
      <c r="A172" s="7">
        <v>171</v>
      </c>
      <c r="B172" t="s">
        <v>243</v>
      </c>
      <c r="C172" t="s">
        <v>244</v>
      </c>
      <c r="D172" s="7">
        <v>7134</v>
      </c>
      <c r="E172" t="s">
        <v>245</v>
      </c>
      <c r="F172" t="s">
        <v>246</v>
      </c>
      <c r="G172" t="s">
        <v>247</v>
      </c>
      <c r="H172" t="s">
        <v>3092</v>
      </c>
      <c r="I172" s="7">
        <v>1165</v>
      </c>
      <c r="J172" t="s">
        <v>492</v>
      </c>
      <c r="K172" t="s">
        <v>3429</v>
      </c>
      <c r="L172" t="s">
        <v>3430</v>
      </c>
      <c r="M172" t="s">
        <v>252</v>
      </c>
      <c r="N172" t="s">
        <v>208</v>
      </c>
      <c r="O172" t="s">
        <v>3431</v>
      </c>
      <c r="P172" t="s">
        <v>3432</v>
      </c>
      <c r="Q172" s="8">
        <v>1150</v>
      </c>
      <c r="R172" s="8">
        <v>1150</v>
      </c>
      <c r="S172" s="8">
        <v>207</v>
      </c>
      <c r="T172" s="8">
        <v>1357</v>
      </c>
      <c r="U172" s="7">
        <v>622281</v>
      </c>
      <c r="V172" t="s">
        <v>3725</v>
      </c>
      <c r="W172" s="8">
        <v>0</v>
      </c>
      <c r="X172" s="7">
        <v>33534</v>
      </c>
      <c r="Y172" t="s">
        <v>3725</v>
      </c>
    </row>
    <row r="173" spans="1:25">
      <c r="A173" s="7">
        <v>172</v>
      </c>
      <c r="B173" t="s">
        <v>243</v>
      </c>
      <c r="C173" t="s">
        <v>244</v>
      </c>
      <c r="D173" s="7">
        <v>7134</v>
      </c>
      <c r="E173" t="s">
        <v>245</v>
      </c>
      <c r="F173" t="s">
        <v>246</v>
      </c>
      <c r="G173" t="s">
        <v>247</v>
      </c>
      <c r="H173" t="s">
        <v>3078</v>
      </c>
      <c r="I173" s="7">
        <v>1165</v>
      </c>
      <c r="J173" t="s">
        <v>3439</v>
      </c>
      <c r="K173" t="s">
        <v>3440</v>
      </c>
      <c r="L173" t="s">
        <v>3441</v>
      </c>
      <c r="M173" t="s">
        <v>261</v>
      </c>
      <c r="N173" t="s">
        <v>208</v>
      </c>
      <c r="O173" t="s">
        <v>3161</v>
      </c>
      <c r="P173" t="s">
        <v>3432</v>
      </c>
      <c r="Q173" s="8">
        <v>1150</v>
      </c>
      <c r="R173" s="8">
        <v>1150</v>
      </c>
      <c r="S173" s="8">
        <v>207</v>
      </c>
      <c r="T173" s="8">
        <v>1357</v>
      </c>
      <c r="U173" s="7">
        <v>622281</v>
      </c>
      <c r="V173" t="s">
        <v>3725</v>
      </c>
      <c r="W173" s="8">
        <v>0</v>
      </c>
      <c r="X173" s="7">
        <v>33534</v>
      </c>
      <c r="Y173" t="s">
        <v>3725</v>
      </c>
    </row>
    <row r="174" spans="1:25">
      <c r="A174" s="7">
        <v>173</v>
      </c>
      <c r="B174" t="s">
        <v>243</v>
      </c>
      <c r="C174" t="s">
        <v>244</v>
      </c>
      <c r="D174" s="7">
        <v>7134</v>
      </c>
      <c r="E174" t="s">
        <v>245</v>
      </c>
      <c r="F174" t="s">
        <v>246</v>
      </c>
      <c r="G174" t="s">
        <v>247</v>
      </c>
      <c r="H174" t="s">
        <v>3078</v>
      </c>
      <c r="I174" s="7">
        <v>1165</v>
      </c>
      <c r="J174" t="s">
        <v>3433</v>
      </c>
      <c r="K174" t="s">
        <v>3434</v>
      </c>
      <c r="L174" t="s">
        <v>3435</v>
      </c>
      <c r="M174" t="s">
        <v>261</v>
      </c>
      <c r="N174" t="s">
        <v>208</v>
      </c>
      <c r="O174" t="s">
        <v>3265</v>
      </c>
      <c r="P174" t="s">
        <v>3432</v>
      </c>
      <c r="Q174" s="8">
        <v>1150</v>
      </c>
      <c r="R174" s="8">
        <v>1150</v>
      </c>
      <c r="S174" s="8">
        <v>207</v>
      </c>
      <c r="T174" s="8">
        <v>1357</v>
      </c>
      <c r="U174" s="7">
        <v>622281</v>
      </c>
      <c r="V174" t="s">
        <v>3725</v>
      </c>
      <c r="W174" s="8">
        <v>0</v>
      </c>
      <c r="X174" s="7">
        <v>33534</v>
      </c>
      <c r="Y174" t="s">
        <v>3725</v>
      </c>
    </row>
    <row r="175" spans="1:25">
      <c r="A175" s="7">
        <v>174</v>
      </c>
      <c r="B175" t="s">
        <v>243</v>
      </c>
      <c r="C175" t="s">
        <v>244</v>
      </c>
      <c r="D175" s="7">
        <v>7134</v>
      </c>
      <c r="E175" t="s">
        <v>245</v>
      </c>
      <c r="F175" t="s">
        <v>246</v>
      </c>
      <c r="G175" t="s">
        <v>247</v>
      </c>
      <c r="H175" t="s">
        <v>3370</v>
      </c>
      <c r="I175" s="7">
        <v>1165</v>
      </c>
      <c r="J175" t="s">
        <v>3508</v>
      </c>
      <c r="K175" t="s">
        <v>3509</v>
      </c>
      <c r="L175" t="s">
        <v>3510</v>
      </c>
      <c r="M175" t="s">
        <v>261</v>
      </c>
      <c r="N175" t="s">
        <v>209</v>
      </c>
      <c r="O175" t="s">
        <v>3511</v>
      </c>
      <c r="P175" t="s">
        <v>3432</v>
      </c>
      <c r="Q175" s="8">
        <v>1150</v>
      </c>
      <c r="R175" s="8">
        <v>1150</v>
      </c>
      <c r="S175" s="8">
        <v>207</v>
      </c>
      <c r="T175" s="8">
        <v>1357</v>
      </c>
      <c r="U175" s="7">
        <v>622282</v>
      </c>
      <c r="V175" t="s">
        <v>3725</v>
      </c>
      <c r="W175" s="8">
        <v>0</v>
      </c>
      <c r="X175" s="7">
        <v>33535</v>
      </c>
      <c r="Y175" t="s">
        <v>3725</v>
      </c>
    </row>
    <row r="176" spans="1:25">
      <c r="A176" s="7">
        <v>175</v>
      </c>
      <c r="B176" t="s">
        <v>243</v>
      </c>
      <c r="C176" t="s">
        <v>244</v>
      </c>
      <c r="D176" s="7">
        <v>7134</v>
      </c>
      <c r="E176" t="s">
        <v>245</v>
      </c>
      <c r="F176" t="s">
        <v>246</v>
      </c>
      <c r="G176" t="s">
        <v>247</v>
      </c>
      <c r="H176" t="s">
        <v>3371</v>
      </c>
      <c r="I176" s="7">
        <v>1165</v>
      </c>
      <c r="J176" t="s">
        <v>3526</v>
      </c>
      <c r="K176" t="s">
        <v>3527</v>
      </c>
      <c r="L176" t="s">
        <v>3528</v>
      </c>
      <c r="M176" t="s">
        <v>267</v>
      </c>
      <c r="N176" t="s">
        <v>209</v>
      </c>
      <c r="O176" t="s">
        <v>3529</v>
      </c>
      <c r="P176" t="s">
        <v>3432</v>
      </c>
      <c r="Q176" s="8">
        <v>1150</v>
      </c>
      <c r="R176" s="8">
        <v>1150</v>
      </c>
      <c r="S176" s="8">
        <v>207</v>
      </c>
      <c r="T176" s="8">
        <v>1357</v>
      </c>
      <c r="U176" s="7">
        <v>622282</v>
      </c>
      <c r="V176" t="s">
        <v>3725</v>
      </c>
      <c r="W176" s="8">
        <v>0</v>
      </c>
      <c r="X176" s="7">
        <v>33535</v>
      </c>
      <c r="Y176" t="s">
        <v>3725</v>
      </c>
    </row>
    <row r="177" spans="1:25">
      <c r="A177" s="7">
        <v>176</v>
      </c>
      <c r="B177" t="s">
        <v>243</v>
      </c>
      <c r="C177" t="s">
        <v>244</v>
      </c>
      <c r="D177" s="7">
        <v>7134</v>
      </c>
      <c r="E177" t="s">
        <v>245</v>
      </c>
      <c r="F177" t="s">
        <v>246</v>
      </c>
      <c r="G177" t="s">
        <v>247</v>
      </c>
      <c r="H177" t="s">
        <v>3371</v>
      </c>
      <c r="I177" s="7">
        <v>1165</v>
      </c>
      <c r="J177" t="s">
        <v>3515</v>
      </c>
      <c r="K177" t="s">
        <v>3516</v>
      </c>
      <c r="L177" t="s">
        <v>3517</v>
      </c>
      <c r="M177" t="s">
        <v>261</v>
      </c>
      <c r="N177" t="s">
        <v>209</v>
      </c>
      <c r="O177" t="s">
        <v>3518</v>
      </c>
      <c r="P177" t="s">
        <v>3432</v>
      </c>
      <c r="Q177" s="8">
        <v>1150</v>
      </c>
      <c r="R177" s="8">
        <v>1150</v>
      </c>
      <c r="S177" s="8">
        <v>207</v>
      </c>
      <c r="T177" s="8">
        <v>1357</v>
      </c>
      <c r="U177" s="7">
        <v>622282</v>
      </c>
      <c r="V177" t="s">
        <v>3725</v>
      </c>
      <c r="W177" s="8">
        <v>0</v>
      </c>
      <c r="X177" s="7">
        <v>33535</v>
      </c>
      <c r="Y177" t="s">
        <v>3725</v>
      </c>
    </row>
    <row r="178" spans="1:25">
      <c r="A178" s="7">
        <v>177</v>
      </c>
      <c r="B178" t="s">
        <v>243</v>
      </c>
      <c r="C178" t="s">
        <v>244</v>
      </c>
      <c r="D178" s="7">
        <v>7134</v>
      </c>
      <c r="E178" t="s">
        <v>245</v>
      </c>
      <c r="F178" t="s">
        <v>246</v>
      </c>
      <c r="G178" t="s">
        <v>247</v>
      </c>
      <c r="H178" t="s">
        <v>3371</v>
      </c>
      <c r="I178" s="7">
        <v>1165</v>
      </c>
      <c r="J178" t="s">
        <v>3512</v>
      </c>
      <c r="K178" t="s">
        <v>3513</v>
      </c>
      <c r="L178" t="s">
        <v>3514</v>
      </c>
      <c r="M178" t="s">
        <v>261</v>
      </c>
      <c r="N178" t="s">
        <v>209</v>
      </c>
      <c r="O178" t="s">
        <v>3248</v>
      </c>
      <c r="P178" t="s">
        <v>3432</v>
      </c>
      <c r="Q178" s="8">
        <v>1150</v>
      </c>
      <c r="R178" s="8">
        <v>1150</v>
      </c>
      <c r="S178" s="8">
        <v>207</v>
      </c>
      <c r="T178" s="8">
        <v>1357</v>
      </c>
      <c r="U178" s="7">
        <v>622282</v>
      </c>
      <c r="V178" t="s">
        <v>3725</v>
      </c>
      <c r="W178" s="8">
        <v>0</v>
      </c>
      <c r="X178" s="7">
        <v>33535</v>
      </c>
      <c r="Y178" t="s">
        <v>3725</v>
      </c>
    </row>
    <row r="179" spans="1:25">
      <c r="A179" s="7">
        <v>178</v>
      </c>
      <c r="B179" t="s">
        <v>243</v>
      </c>
      <c r="C179" t="s">
        <v>244</v>
      </c>
      <c r="D179" s="7">
        <v>7134</v>
      </c>
      <c r="E179" t="s">
        <v>245</v>
      </c>
      <c r="F179" t="s">
        <v>246</v>
      </c>
      <c r="G179" t="s">
        <v>247</v>
      </c>
      <c r="H179" t="s">
        <v>418</v>
      </c>
      <c r="I179" s="7">
        <v>1165</v>
      </c>
      <c r="J179" t="s">
        <v>3463</v>
      </c>
      <c r="K179" t="s">
        <v>3464</v>
      </c>
      <c r="L179" t="s">
        <v>3465</v>
      </c>
      <c r="M179" t="s">
        <v>261</v>
      </c>
      <c r="N179" t="s">
        <v>209</v>
      </c>
      <c r="O179" t="s">
        <v>3466</v>
      </c>
      <c r="P179" t="s">
        <v>3432</v>
      </c>
      <c r="Q179" s="8">
        <v>1150</v>
      </c>
      <c r="R179" s="8">
        <v>1150</v>
      </c>
      <c r="S179" s="8">
        <v>207</v>
      </c>
      <c r="T179" s="8">
        <v>1357</v>
      </c>
      <c r="U179" s="7">
        <v>622282</v>
      </c>
      <c r="V179" t="s">
        <v>3725</v>
      </c>
      <c r="W179" s="8">
        <v>0</v>
      </c>
      <c r="X179" s="7">
        <v>33535</v>
      </c>
      <c r="Y179" t="s">
        <v>3725</v>
      </c>
    </row>
    <row r="180" spans="1:25">
      <c r="A180" s="7">
        <v>179</v>
      </c>
      <c r="B180" t="s">
        <v>243</v>
      </c>
      <c r="C180" t="s">
        <v>244</v>
      </c>
      <c r="D180" s="7">
        <v>7134</v>
      </c>
      <c r="E180" t="s">
        <v>245</v>
      </c>
      <c r="F180" t="s">
        <v>246</v>
      </c>
      <c r="G180" t="s">
        <v>247</v>
      </c>
      <c r="H180" t="s">
        <v>3413</v>
      </c>
      <c r="I180" s="7">
        <v>1165</v>
      </c>
      <c r="J180" t="s">
        <v>3502</v>
      </c>
      <c r="K180" t="s">
        <v>3503</v>
      </c>
      <c r="L180" t="s">
        <v>3504</v>
      </c>
      <c r="M180" t="s">
        <v>261</v>
      </c>
      <c r="N180" t="s">
        <v>209</v>
      </c>
      <c r="O180" t="s">
        <v>3488</v>
      </c>
      <c r="P180" t="s">
        <v>3432</v>
      </c>
      <c r="Q180" s="8">
        <v>1150</v>
      </c>
      <c r="R180" s="8">
        <v>1150</v>
      </c>
      <c r="S180" s="8">
        <v>207</v>
      </c>
      <c r="T180" s="8">
        <v>1357</v>
      </c>
      <c r="U180" s="7">
        <v>622282</v>
      </c>
      <c r="V180" t="s">
        <v>3725</v>
      </c>
      <c r="W180" s="8">
        <v>0</v>
      </c>
      <c r="X180" s="7">
        <v>33535</v>
      </c>
      <c r="Y180" t="s">
        <v>3725</v>
      </c>
    </row>
    <row r="181" spans="1:25">
      <c r="A181" s="7">
        <v>180</v>
      </c>
      <c r="B181" t="s">
        <v>243</v>
      </c>
      <c r="C181" t="s">
        <v>244</v>
      </c>
      <c r="D181" s="7">
        <v>7134</v>
      </c>
      <c r="E181" t="s">
        <v>245</v>
      </c>
      <c r="F181" t="s">
        <v>246</v>
      </c>
      <c r="G181" t="s">
        <v>247</v>
      </c>
      <c r="H181" t="s">
        <v>2853</v>
      </c>
      <c r="I181" s="7">
        <v>1165</v>
      </c>
      <c r="J181" t="s">
        <v>3478</v>
      </c>
      <c r="K181" t="s">
        <v>3479</v>
      </c>
      <c r="L181" t="s">
        <v>3480</v>
      </c>
      <c r="M181" t="s">
        <v>261</v>
      </c>
      <c r="N181" t="s">
        <v>209</v>
      </c>
      <c r="O181" t="s">
        <v>3248</v>
      </c>
      <c r="P181" t="s">
        <v>3432</v>
      </c>
      <c r="Q181" s="8">
        <v>1150</v>
      </c>
      <c r="R181" s="8">
        <v>1150</v>
      </c>
      <c r="S181" s="8">
        <v>207</v>
      </c>
      <c r="T181" s="8">
        <v>1357</v>
      </c>
      <c r="U181" s="7">
        <v>622282</v>
      </c>
      <c r="V181" t="s">
        <v>3725</v>
      </c>
      <c r="W181" s="8">
        <v>0</v>
      </c>
      <c r="X181" s="7">
        <v>33535</v>
      </c>
      <c r="Y181" t="s">
        <v>3725</v>
      </c>
    </row>
    <row r="182" spans="1:25">
      <c r="A182" s="7">
        <v>181</v>
      </c>
      <c r="B182" t="s">
        <v>243</v>
      </c>
      <c r="C182" t="s">
        <v>244</v>
      </c>
      <c r="D182" s="7">
        <v>7134</v>
      </c>
      <c r="E182" t="s">
        <v>245</v>
      </c>
      <c r="F182" t="s">
        <v>246</v>
      </c>
      <c r="G182" t="s">
        <v>247</v>
      </c>
      <c r="H182" t="s">
        <v>3366</v>
      </c>
      <c r="I182" s="7">
        <v>1165</v>
      </c>
      <c r="J182" t="s">
        <v>3453</v>
      </c>
      <c r="K182" t="s">
        <v>3454</v>
      </c>
      <c r="L182" t="s">
        <v>3455</v>
      </c>
      <c r="M182" t="s">
        <v>252</v>
      </c>
      <c r="N182" t="s">
        <v>209</v>
      </c>
      <c r="O182" t="s">
        <v>3456</v>
      </c>
      <c r="P182" t="s">
        <v>3432</v>
      </c>
      <c r="Q182" s="8">
        <v>1150</v>
      </c>
      <c r="R182" s="8">
        <v>1150</v>
      </c>
      <c r="S182" s="8">
        <v>207</v>
      </c>
      <c r="T182" s="8">
        <v>1357</v>
      </c>
      <c r="U182" s="7">
        <v>622282</v>
      </c>
      <c r="V182" t="s">
        <v>3725</v>
      </c>
      <c r="W182" s="8">
        <v>0</v>
      </c>
      <c r="X182" s="7">
        <v>33535</v>
      </c>
      <c r="Y182" t="s">
        <v>3725</v>
      </c>
    </row>
    <row r="183" spans="1:25">
      <c r="A183" s="7">
        <v>182</v>
      </c>
      <c r="B183" t="s">
        <v>243</v>
      </c>
      <c r="C183" t="s">
        <v>244</v>
      </c>
      <c r="D183" s="7">
        <v>7134</v>
      </c>
      <c r="E183" t="s">
        <v>245</v>
      </c>
      <c r="F183" t="s">
        <v>246</v>
      </c>
      <c r="G183" t="s">
        <v>247</v>
      </c>
      <c r="H183" t="s">
        <v>3386</v>
      </c>
      <c r="I183" s="7">
        <v>1165</v>
      </c>
      <c r="J183" t="s">
        <v>3542</v>
      </c>
      <c r="K183" t="s">
        <v>3543</v>
      </c>
      <c r="L183" t="s">
        <v>3544</v>
      </c>
      <c r="M183" t="s">
        <v>361</v>
      </c>
      <c r="N183" t="s">
        <v>209</v>
      </c>
      <c r="O183" t="s">
        <v>3545</v>
      </c>
      <c r="P183" t="s">
        <v>3432</v>
      </c>
      <c r="Q183" s="8">
        <v>1500</v>
      </c>
      <c r="R183" s="8">
        <v>1500</v>
      </c>
      <c r="S183" s="8">
        <v>270</v>
      </c>
      <c r="T183" s="8">
        <v>1770</v>
      </c>
      <c r="U183" s="7">
        <v>622282</v>
      </c>
      <c r="V183" t="s">
        <v>3725</v>
      </c>
      <c r="W183" s="8">
        <v>0</v>
      </c>
      <c r="X183" s="7">
        <v>33535</v>
      </c>
      <c r="Y183" t="s">
        <v>3725</v>
      </c>
    </row>
    <row r="184" spans="1:25">
      <c r="A184" s="7">
        <v>183</v>
      </c>
      <c r="B184" t="s">
        <v>243</v>
      </c>
      <c r="C184" t="s">
        <v>244</v>
      </c>
      <c r="D184" s="7">
        <v>7134</v>
      </c>
      <c r="E184" t="s">
        <v>245</v>
      </c>
      <c r="F184" t="s">
        <v>246</v>
      </c>
      <c r="G184" t="s">
        <v>247</v>
      </c>
      <c r="H184" t="s">
        <v>2853</v>
      </c>
      <c r="I184" s="7">
        <v>1165</v>
      </c>
      <c r="J184" t="s">
        <v>3534</v>
      </c>
      <c r="K184" t="s">
        <v>3535</v>
      </c>
      <c r="L184" t="s">
        <v>3536</v>
      </c>
      <c r="M184" t="s">
        <v>398</v>
      </c>
      <c r="N184" t="s">
        <v>209</v>
      </c>
      <c r="O184" t="s">
        <v>3537</v>
      </c>
      <c r="P184" t="s">
        <v>3432</v>
      </c>
      <c r="Q184" s="8">
        <v>1150</v>
      </c>
      <c r="R184" s="8">
        <v>1150</v>
      </c>
      <c r="S184" s="8">
        <v>207</v>
      </c>
      <c r="T184" s="8">
        <v>1357</v>
      </c>
      <c r="U184" s="7">
        <v>622282</v>
      </c>
      <c r="V184" t="s">
        <v>3725</v>
      </c>
      <c r="W184" s="8">
        <v>0</v>
      </c>
      <c r="X184" s="7">
        <v>33535</v>
      </c>
      <c r="Y184" t="s">
        <v>3725</v>
      </c>
    </row>
    <row r="185" spans="1:25">
      <c r="A185" s="7">
        <v>184</v>
      </c>
      <c r="B185" t="s">
        <v>243</v>
      </c>
      <c r="C185" t="s">
        <v>244</v>
      </c>
      <c r="D185" s="7">
        <v>7134</v>
      </c>
      <c r="E185" t="s">
        <v>245</v>
      </c>
      <c r="F185" t="s">
        <v>246</v>
      </c>
      <c r="G185" t="s">
        <v>247</v>
      </c>
      <c r="H185" t="s">
        <v>3467</v>
      </c>
      <c r="I185" s="7">
        <v>1165</v>
      </c>
      <c r="J185" t="s">
        <v>3468</v>
      </c>
      <c r="K185" t="s">
        <v>3469</v>
      </c>
      <c r="L185" t="s">
        <v>3470</v>
      </c>
      <c r="M185" t="s">
        <v>261</v>
      </c>
      <c r="N185" t="s">
        <v>209</v>
      </c>
      <c r="O185" t="s">
        <v>726</v>
      </c>
      <c r="P185" t="s">
        <v>3432</v>
      </c>
      <c r="Q185" s="8">
        <v>1150</v>
      </c>
      <c r="R185" s="8">
        <v>1150</v>
      </c>
      <c r="S185" s="8">
        <v>207</v>
      </c>
      <c r="T185" s="8">
        <v>1357</v>
      </c>
      <c r="U185" s="7">
        <v>622282</v>
      </c>
      <c r="V185" t="s">
        <v>3725</v>
      </c>
      <c r="W185" s="8">
        <v>0</v>
      </c>
      <c r="X185" s="7">
        <v>33535</v>
      </c>
      <c r="Y185" t="s">
        <v>3725</v>
      </c>
    </row>
    <row r="186" spans="1:25">
      <c r="A186" s="7">
        <v>185</v>
      </c>
      <c r="B186" t="s">
        <v>243</v>
      </c>
      <c r="C186" t="s">
        <v>244</v>
      </c>
      <c r="D186" s="7">
        <v>7134</v>
      </c>
      <c r="E186" t="s">
        <v>245</v>
      </c>
      <c r="F186" t="s">
        <v>246</v>
      </c>
      <c r="G186" t="s">
        <v>247</v>
      </c>
      <c r="H186" t="s">
        <v>3457</v>
      </c>
      <c r="I186" s="7">
        <v>1165</v>
      </c>
      <c r="J186" t="s">
        <v>3458</v>
      </c>
      <c r="K186" t="s">
        <v>3459</v>
      </c>
      <c r="L186" t="s">
        <v>3460</v>
      </c>
      <c r="M186" t="s">
        <v>252</v>
      </c>
      <c r="N186" t="s">
        <v>209</v>
      </c>
      <c r="O186" t="s">
        <v>3456</v>
      </c>
      <c r="P186" t="s">
        <v>3432</v>
      </c>
      <c r="Q186" s="8">
        <v>1150</v>
      </c>
      <c r="R186" s="8">
        <v>1150</v>
      </c>
      <c r="S186" s="8">
        <v>207</v>
      </c>
      <c r="T186" s="8">
        <v>1357</v>
      </c>
      <c r="U186" s="7">
        <v>622282</v>
      </c>
      <c r="V186" t="s">
        <v>3725</v>
      </c>
      <c r="W186" s="8">
        <v>0</v>
      </c>
      <c r="X186" s="7">
        <v>33535</v>
      </c>
      <c r="Y186" t="s">
        <v>3725</v>
      </c>
    </row>
    <row r="187" spans="1:25">
      <c r="A187" s="7">
        <v>186</v>
      </c>
      <c r="B187" t="s">
        <v>243</v>
      </c>
      <c r="C187" t="s">
        <v>244</v>
      </c>
      <c r="D187" s="7">
        <v>7134</v>
      </c>
      <c r="E187" t="s">
        <v>245</v>
      </c>
      <c r="F187" t="s">
        <v>246</v>
      </c>
      <c r="G187" t="s">
        <v>247</v>
      </c>
      <c r="H187" t="s">
        <v>3386</v>
      </c>
      <c r="I187" s="7">
        <v>1165</v>
      </c>
      <c r="J187" t="s">
        <v>3496</v>
      </c>
      <c r="K187" t="s">
        <v>3497</v>
      </c>
      <c r="L187" t="s">
        <v>3498</v>
      </c>
      <c r="M187" t="s">
        <v>261</v>
      </c>
      <c r="N187" t="s">
        <v>209</v>
      </c>
      <c r="O187" t="s">
        <v>3484</v>
      </c>
      <c r="P187" t="s">
        <v>3432</v>
      </c>
      <c r="Q187" s="8">
        <v>1150</v>
      </c>
      <c r="R187" s="8">
        <v>1150</v>
      </c>
      <c r="S187" s="8">
        <v>207</v>
      </c>
      <c r="T187" s="8">
        <v>1357</v>
      </c>
      <c r="U187" s="7">
        <v>622282</v>
      </c>
      <c r="V187" t="s">
        <v>3725</v>
      </c>
      <c r="W187" s="8">
        <v>0</v>
      </c>
      <c r="X187" s="7">
        <v>33535</v>
      </c>
      <c r="Y187" t="s">
        <v>3725</v>
      </c>
    </row>
    <row r="188" spans="1:25">
      <c r="A188" s="7">
        <v>187</v>
      </c>
      <c r="B188" t="s">
        <v>243</v>
      </c>
      <c r="C188" t="s">
        <v>244</v>
      </c>
      <c r="D188" s="7">
        <v>7134</v>
      </c>
      <c r="E188" t="s">
        <v>245</v>
      </c>
      <c r="F188" t="s">
        <v>246</v>
      </c>
      <c r="G188" t="s">
        <v>247</v>
      </c>
      <c r="H188" t="s">
        <v>3395</v>
      </c>
      <c r="I188" s="7">
        <v>1165</v>
      </c>
      <c r="J188" t="s">
        <v>3519</v>
      </c>
      <c r="K188" t="s">
        <v>3520</v>
      </c>
      <c r="L188" t="s">
        <v>3521</v>
      </c>
      <c r="M188" t="s">
        <v>261</v>
      </c>
      <c r="N188" t="s">
        <v>209</v>
      </c>
      <c r="O188" t="s">
        <v>3431</v>
      </c>
      <c r="P188" t="s">
        <v>3432</v>
      </c>
      <c r="Q188" s="8">
        <v>1150</v>
      </c>
      <c r="R188" s="8">
        <v>1150</v>
      </c>
      <c r="S188" s="8">
        <v>207</v>
      </c>
      <c r="T188" s="8">
        <v>1357</v>
      </c>
      <c r="U188" s="7">
        <v>622282</v>
      </c>
      <c r="V188" t="s">
        <v>3725</v>
      </c>
      <c r="W188" s="8">
        <v>0</v>
      </c>
      <c r="X188" s="7">
        <v>33535</v>
      </c>
      <c r="Y188" t="s">
        <v>3725</v>
      </c>
    </row>
    <row r="189" spans="1:25">
      <c r="A189" s="7">
        <v>188</v>
      </c>
      <c r="B189" t="s">
        <v>243</v>
      </c>
      <c r="C189" t="s">
        <v>244</v>
      </c>
      <c r="D189" s="7">
        <v>7134</v>
      </c>
      <c r="E189" t="s">
        <v>245</v>
      </c>
      <c r="F189" t="s">
        <v>246</v>
      </c>
      <c r="G189" t="s">
        <v>247</v>
      </c>
      <c r="H189" t="s">
        <v>3457</v>
      </c>
      <c r="I189" s="7">
        <v>1165</v>
      </c>
      <c r="J189" t="s">
        <v>3538</v>
      </c>
      <c r="K189" t="s">
        <v>3539</v>
      </c>
      <c r="L189" t="s">
        <v>3540</v>
      </c>
      <c r="M189" t="s">
        <v>361</v>
      </c>
      <c r="N189" t="s">
        <v>209</v>
      </c>
      <c r="O189" t="s">
        <v>3541</v>
      </c>
      <c r="P189" t="s">
        <v>3432</v>
      </c>
      <c r="Q189" s="8">
        <v>1500</v>
      </c>
      <c r="R189" s="8">
        <v>1500</v>
      </c>
      <c r="S189" s="8">
        <v>270</v>
      </c>
      <c r="T189" s="8">
        <v>1770</v>
      </c>
      <c r="U189" s="7">
        <v>622282</v>
      </c>
      <c r="V189" t="s">
        <v>3725</v>
      </c>
      <c r="W189" s="8">
        <v>0</v>
      </c>
      <c r="X189" s="7">
        <v>33535</v>
      </c>
      <c r="Y189" t="s">
        <v>3725</v>
      </c>
    </row>
    <row r="190" spans="1:25">
      <c r="A190" s="7">
        <v>189</v>
      </c>
      <c r="B190" t="s">
        <v>243</v>
      </c>
      <c r="C190" t="s">
        <v>244</v>
      </c>
      <c r="D190" s="7">
        <v>7134</v>
      </c>
      <c r="E190" t="s">
        <v>245</v>
      </c>
      <c r="F190" t="s">
        <v>246</v>
      </c>
      <c r="G190" t="s">
        <v>247</v>
      </c>
      <c r="H190" t="s">
        <v>3370</v>
      </c>
      <c r="I190" s="7">
        <v>1165</v>
      </c>
      <c r="J190" t="s">
        <v>3485</v>
      </c>
      <c r="K190" t="s">
        <v>3486</v>
      </c>
      <c r="L190" t="s">
        <v>3487</v>
      </c>
      <c r="M190" t="s">
        <v>261</v>
      </c>
      <c r="N190" t="s">
        <v>209</v>
      </c>
      <c r="O190" t="s">
        <v>3488</v>
      </c>
      <c r="P190" t="s">
        <v>3432</v>
      </c>
      <c r="Q190" s="8">
        <v>1150</v>
      </c>
      <c r="R190" s="8">
        <v>1150</v>
      </c>
      <c r="S190" s="8">
        <v>207</v>
      </c>
      <c r="T190" s="8">
        <v>1357</v>
      </c>
      <c r="U190" s="7">
        <v>622282</v>
      </c>
      <c r="V190" t="s">
        <v>3725</v>
      </c>
      <c r="W190" s="8">
        <v>0</v>
      </c>
      <c r="X190" s="7">
        <v>33535</v>
      </c>
      <c r="Y190" t="s">
        <v>3725</v>
      </c>
    </row>
    <row r="191" spans="1:25">
      <c r="A191" s="7">
        <v>190</v>
      </c>
      <c r="B191" t="s">
        <v>243</v>
      </c>
      <c r="C191" t="s">
        <v>244</v>
      </c>
      <c r="D191" s="7">
        <v>7134</v>
      </c>
      <c r="E191" t="s">
        <v>245</v>
      </c>
      <c r="F191" t="s">
        <v>246</v>
      </c>
      <c r="G191" t="s">
        <v>247</v>
      </c>
      <c r="H191" t="s">
        <v>3395</v>
      </c>
      <c r="I191" s="7">
        <v>1165</v>
      </c>
      <c r="J191" t="s">
        <v>3481</v>
      </c>
      <c r="K191" t="s">
        <v>3482</v>
      </c>
      <c r="L191" t="s">
        <v>3483</v>
      </c>
      <c r="M191" t="s">
        <v>261</v>
      </c>
      <c r="N191" t="s">
        <v>209</v>
      </c>
      <c r="O191" t="s">
        <v>3484</v>
      </c>
      <c r="P191" t="s">
        <v>3432</v>
      </c>
      <c r="Q191" s="8">
        <v>1150</v>
      </c>
      <c r="R191" s="8">
        <v>1150</v>
      </c>
      <c r="S191" s="8">
        <v>207</v>
      </c>
      <c r="T191" s="8">
        <v>1357</v>
      </c>
      <c r="U191" s="7">
        <v>622282</v>
      </c>
      <c r="V191" t="s">
        <v>3725</v>
      </c>
      <c r="W191" s="8">
        <v>0</v>
      </c>
      <c r="X191" s="7">
        <v>33535</v>
      </c>
      <c r="Y191" t="s">
        <v>3725</v>
      </c>
    </row>
    <row r="192" spans="1:25">
      <c r="A192" s="7">
        <v>191</v>
      </c>
      <c r="B192" t="s">
        <v>243</v>
      </c>
      <c r="C192" t="s">
        <v>244</v>
      </c>
      <c r="D192" s="7">
        <v>7134</v>
      </c>
      <c r="E192" t="s">
        <v>245</v>
      </c>
      <c r="F192" t="s">
        <v>246</v>
      </c>
      <c r="G192" t="s">
        <v>247</v>
      </c>
      <c r="H192" t="s">
        <v>2082</v>
      </c>
      <c r="I192" s="7">
        <v>1165</v>
      </c>
      <c r="J192" t="s">
        <v>3530</v>
      </c>
      <c r="K192" t="s">
        <v>3531</v>
      </c>
      <c r="L192" t="s">
        <v>3532</v>
      </c>
      <c r="M192" t="s">
        <v>267</v>
      </c>
      <c r="N192" t="s">
        <v>209</v>
      </c>
      <c r="O192" t="s">
        <v>3533</v>
      </c>
      <c r="P192" t="s">
        <v>3432</v>
      </c>
      <c r="Q192" s="8">
        <v>1150</v>
      </c>
      <c r="R192" s="8">
        <v>1150</v>
      </c>
      <c r="S192" s="8">
        <v>207</v>
      </c>
      <c r="T192" s="8">
        <v>1357</v>
      </c>
      <c r="U192" s="7">
        <v>622282</v>
      </c>
      <c r="V192" t="s">
        <v>3725</v>
      </c>
      <c r="W192" s="8">
        <v>0</v>
      </c>
      <c r="X192" s="7">
        <v>33535</v>
      </c>
      <c r="Y192" t="s">
        <v>3725</v>
      </c>
    </row>
    <row r="193" spans="1:25">
      <c r="A193" s="7">
        <v>192</v>
      </c>
      <c r="B193" t="s">
        <v>243</v>
      </c>
      <c r="C193" t="s">
        <v>244</v>
      </c>
      <c r="D193" s="7">
        <v>7134</v>
      </c>
      <c r="E193" t="s">
        <v>245</v>
      </c>
      <c r="F193" t="s">
        <v>246</v>
      </c>
      <c r="G193" t="s">
        <v>247</v>
      </c>
      <c r="H193" t="s">
        <v>3395</v>
      </c>
      <c r="I193" s="7">
        <v>1165</v>
      </c>
      <c r="J193" t="s">
        <v>3489</v>
      </c>
      <c r="K193" t="s">
        <v>3490</v>
      </c>
      <c r="L193" t="s">
        <v>3491</v>
      </c>
      <c r="M193" t="s">
        <v>261</v>
      </c>
      <c r="N193" t="s">
        <v>209</v>
      </c>
      <c r="O193" t="s">
        <v>3492</v>
      </c>
      <c r="P193" t="s">
        <v>3432</v>
      </c>
      <c r="Q193" s="8">
        <v>1150</v>
      </c>
      <c r="R193" s="8">
        <v>1150</v>
      </c>
      <c r="S193" s="8">
        <v>207</v>
      </c>
      <c r="T193" s="8">
        <v>1357</v>
      </c>
      <c r="U193" s="7">
        <v>622282</v>
      </c>
      <c r="V193" t="s">
        <v>3725</v>
      </c>
      <c r="W193" s="8">
        <v>0</v>
      </c>
      <c r="X193" s="7">
        <v>33535</v>
      </c>
      <c r="Y193" t="s">
        <v>3725</v>
      </c>
    </row>
    <row r="194" spans="1:25">
      <c r="A194" s="7">
        <v>193</v>
      </c>
      <c r="B194" t="s">
        <v>243</v>
      </c>
      <c r="C194" t="s">
        <v>244</v>
      </c>
      <c r="D194" s="7">
        <v>7134</v>
      </c>
      <c r="E194" t="s">
        <v>245</v>
      </c>
      <c r="F194" t="s">
        <v>246</v>
      </c>
      <c r="G194" t="s">
        <v>247</v>
      </c>
      <c r="H194" t="s">
        <v>3413</v>
      </c>
      <c r="I194" s="7">
        <v>1165</v>
      </c>
      <c r="J194" t="s">
        <v>492</v>
      </c>
      <c r="K194" t="s">
        <v>3461</v>
      </c>
      <c r="L194" t="s">
        <v>3462</v>
      </c>
      <c r="M194" t="s">
        <v>252</v>
      </c>
      <c r="N194" t="s">
        <v>209</v>
      </c>
      <c r="O194" t="s">
        <v>3161</v>
      </c>
      <c r="P194" t="s">
        <v>3432</v>
      </c>
      <c r="Q194" s="8">
        <v>1150</v>
      </c>
      <c r="R194" s="8">
        <v>1150</v>
      </c>
      <c r="S194" s="8">
        <v>207</v>
      </c>
      <c r="T194" s="8">
        <v>1357</v>
      </c>
      <c r="U194" s="7">
        <v>622282</v>
      </c>
      <c r="V194" t="s">
        <v>3725</v>
      </c>
      <c r="W194" s="8">
        <v>0</v>
      </c>
      <c r="X194" s="7">
        <v>33535</v>
      </c>
      <c r="Y194" t="s">
        <v>3725</v>
      </c>
    </row>
    <row r="195" spans="1:25">
      <c r="A195" s="7">
        <v>194</v>
      </c>
      <c r="B195" t="s">
        <v>243</v>
      </c>
      <c r="C195" t="s">
        <v>244</v>
      </c>
      <c r="D195" s="7">
        <v>7134</v>
      </c>
      <c r="E195" t="s">
        <v>245</v>
      </c>
      <c r="F195" t="s">
        <v>246</v>
      </c>
      <c r="G195" t="s">
        <v>247</v>
      </c>
      <c r="H195" t="s">
        <v>3467</v>
      </c>
      <c r="I195" s="7">
        <v>1165</v>
      </c>
      <c r="J195" t="s">
        <v>3471</v>
      </c>
      <c r="K195" t="s">
        <v>3472</v>
      </c>
      <c r="L195" t="s">
        <v>3473</v>
      </c>
      <c r="M195" t="s">
        <v>261</v>
      </c>
      <c r="N195" t="s">
        <v>209</v>
      </c>
      <c r="O195" t="s">
        <v>778</v>
      </c>
      <c r="P195" t="s">
        <v>3432</v>
      </c>
      <c r="Q195" s="8">
        <v>1150</v>
      </c>
      <c r="R195" s="8">
        <v>1150</v>
      </c>
      <c r="S195" s="8">
        <v>207</v>
      </c>
      <c r="T195" s="8">
        <v>1357</v>
      </c>
      <c r="U195" s="7">
        <v>622282</v>
      </c>
      <c r="V195" t="s">
        <v>3725</v>
      </c>
      <c r="W195" s="8">
        <v>0</v>
      </c>
      <c r="X195" s="7">
        <v>33535</v>
      </c>
      <c r="Y195" t="s">
        <v>3725</v>
      </c>
    </row>
    <row r="196" spans="1:25">
      <c r="A196" s="7">
        <v>195</v>
      </c>
      <c r="B196" t="s">
        <v>243</v>
      </c>
      <c r="C196" t="s">
        <v>244</v>
      </c>
      <c r="D196" s="7">
        <v>7134</v>
      </c>
      <c r="E196" t="s">
        <v>245</v>
      </c>
      <c r="F196" t="s">
        <v>246</v>
      </c>
      <c r="G196" t="s">
        <v>247</v>
      </c>
      <c r="H196" t="s">
        <v>3386</v>
      </c>
      <c r="I196" s="7">
        <v>1165</v>
      </c>
      <c r="J196" t="s">
        <v>3499</v>
      </c>
      <c r="K196" t="s">
        <v>3500</v>
      </c>
      <c r="L196" t="s">
        <v>3501</v>
      </c>
      <c r="M196" t="s">
        <v>261</v>
      </c>
      <c r="N196" t="s">
        <v>209</v>
      </c>
      <c r="O196" t="s">
        <v>3488</v>
      </c>
      <c r="P196" t="s">
        <v>3432</v>
      </c>
      <c r="Q196" s="8">
        <v>1150</v>
      </c>
      <c r="R196" s="8">
        <v>1150</v>
      </c>
      <c r="S196" s="8">
        <v>207</v>
      </c>
      <c r="T196" s="8">
        <v>1357</v>
      </c>
      <c r="U196" s="7">
        <v>622282</v>
      </c>
      <c r="V196" t="s">
        <v>3725</v>
      </c>
      <c r="W196" s="8">
        <v>0</v>
      </c>
      <c r="X196" s="7">
        <v>33535</v>
      </c>
      <c r="Y196" t="s">
        <v>3725</v>
      </c>
    </row>
    <row r="197" spans="1:25">
      <c r="A197" s="7">
        <v>196</v>
      </c>
      <c r="B197" t="s">
        <v>243</v>
      </c>
      <c r="C197" t="s">
        <v>244</v>
      </c>
      <c r="D197" s="7">
        <v>7134</v>
      </c>
      <c r="E197" t="s">
        <v>245</v>
      </c>
      <c r="F197" t="s">
        <v>246</v>
      </c>
      <c r="G197" t="s">
        <v>247</v>
      </c>
      <c r="H197" t="s">
        <v>3467</v>
      </c>
      <c r="I197" s="7">
        <v>1165</v>
      </c>
      <c r="J197" t="s">
        <v>3522</v>
      </c>
      <c r="K197" t="s">
        <v>3523</v>
      </c>
      <c r="L197" t="s">
        <v>3524</v>
      </c>
      <c r="M197" t="s">
        <v>267</v>
      </c>
      <c r="N197" t="s">
        <v>209</v>
      </c>
      <c r="O197" t="s">
        <v>3525</v>
      </c>
      <c r="P197" t="s">
        <v>3432</v>
      </c>
      <c r="Q197" s="8">
        <v>1150</v>
      </c>
      <c r="R197" s="8">
        <v>1150</v>
      </c>
      <c r="S197" s="8">
        <v>207</v>
      </c>
      <c r="T197" s="8">
        <v>1357</v>
      </c>
      <c r="U197" s="7">
        <v>622282</v>
      </c>
      <c r="V197" t="s">
        <v>3725</v>
      </c>
      <c r="W197" s="8">
        <v>0</v>
      </c>
      <c r="X197" s="7">
        <v>33535</v>
      </c>
      <c r="Y197" t="s">
        <v>3725</v>
      </c>
    </row>
    <row r="198" spans="1:25">
      <c r="A198" s="7">
        <v>197</v>
      </c>
      <c r="B198" t="s">
        <v>243</v>
      </c>
      <c r="C198" t="s">
        <v>244</v>
      </c>
      <c r="D198" s="7">
        <v>7134</v>
      </c>
      <c r="E198" t="s">
        <v>245</v>
      </c>
      <c r="F198" t="s">
        <v>246</v>
      </c>
      <c r="G198" t="s">
        <v>247</v>
      </c>
      <c r="H198" t="s">
        <v>3370</v>
      </c>
      <c r="I198" s="7">
        <v>1165</v>
      </c>
      <c r="J198" t="s">
        <v>3505</v>
      </c>
      <c r="K198" t="s">
        <v>3506</v>
      </c>
      <c r="L198" t="s">
        <v>3507</v>
      </c>
      <c r="M198" t="s">
        <v>261</v>
      </c>
      <c r="N198" t="s">
        <v>209</v>
      </c>
      <c r="O198" t="s">
        <v>3208</v>
      </c>
      <c r="P198" t="s">
        <v>3432</v>
      </c>
      <c r="Q198" s="8">
        <v>1150</v>
      </c>
      <c r="R198" s="8">
        <v>1150</v>
      </c>
      <c r="S198" s="8">
        <v>207</v>
      </c>
      <c r="T198" s="8">
        <v>1357</v>
      </c>
      <c r="U198" s="7">
        <v>622282</v>
      </c>
      <c r="V198" t="s">
        <v>3725</v>
      </c>
      <c r="W198" s="8">
        <v>0</v>
      </c>
      <c r="X198" s="7">
        <v>33535</v>
      </c>
      <c r="Y198" t="s">
        <v>3725</v>
      </c>
    </row>
    <row r="199" spans="1:25">
      <c r="A199" s="7">
        <v>198</v>
      </c>
      <c r="B199" t="s">
        <v>243</v>
      </c>
      <c r="C199" t="s">
        <v>244</v>
      </c>
      <c r="D199" s="7">
        <v>7134</v>
      </c>
      <c r="E199" t="s">
        <v>245</v>
      </c>
      <c r="F199" t="s">
        <v>246</v>
      </c>
      <c r="G199" t="s">
        <v>247</v>
      </c>
      <c r="H199" t="s">
        <v>3467</v>
      </c>
      <c r="I199" s="7">
        <v>1165</v>
      </c>
      <c r="J199" t="s">
        <v>3474</v>
      </c>
      <c r="K199" t="s">
        <v>3475</v>
      </c>
      <c r="L199" t="s">
        <v>3476</v>
      </c>
      <c r="M199" t="s">
        <v>261</v>
      </c>
      <c r="N199" t="s">
        <v>209</v>
      </c>
      <c r="O199" t="s">
        <v>3477</v>
      </c>
      <c r="P199" t="s">
        <v>3432</v>
      </c>
      <c r="Q199" s="8">
        <v>1150</v>
      </c>
      <c r="R199" s="8">
        <v>1150</v>
      </c>
      <c r="S199" s="8">
        <v>207</v>
      </c>
      <c r="T199" s="8">
        <v>1357</v>
      </c>
      <c r="U199" s="7">
        <v>622282</v>
      </c>
      <c r="V199" t="s">
        <v>3725</v>
      </c>
      <c r="W199" s="8">
        <v>0</v>
      </c>
      <c r="X199" s="7">
        <v>33535</v>
      </c>
      <c r="Y199" t="s">
        <v>3725</v>
      </c>
    </row>
    <row r="200" spans="1:25">
      <c r="A200" s="7">
        <v>199</v>
      </c>
      <c r="B200" t="s">
        <v>243</v>
      </c>
      <c r="C200" t="s">
        <v>244</v>
      </c>
      <c r="D200" s="7">
        <v>7134</v>
      </c>
      <c r="E200" t="s">
        <v>245</v>
      </c>
      <c r="F200" t="s">
        <v>246</v>
      </c>
      <c r="G200" t="s">
        <v>247</v>
      </c>
      <c r="H200" t="s">
        <v>3371</v>
      </c>
      <c r="I200" s="7">
        <v>1165</v>
      </c>
      <c r="J200" t="s">
        <v>3493</v>
      </c>
      <c r="K200" t="s">
        <v>3494</v>
      </c>
      <c r="L200" t="s">
        <v>3495</v>
      </c>
      <c r="M200" t="s">
        <v>261</v>
      </c>
      <c r="N200" t="s">
        <v>209</v>
      </c>
      <c r="O200" t="s">
        <v>3484</v>
      </c>
      <c r="P200" t="s">
        <v>3432</v>
      </c>
      <c r="Q200" s="8">
        <v>1150</v>
      </c>
      <c r="R200" s="8">
        <v>1150</v>
      </c>
      <c r="S200" s="8">
        <v>207</v>
      </c>
      <c r="T200" s="8">
        <v>1357</v>
      </c>
      <c r="U200" s="7">
        <v>622282</v>
      </c>
      <c r="V200" t="s">
        <v>3725</v>
      </c>
      <c r="W200" s="8">
        <v>0</v>
      </c>
      <c r="X200" s="7">
        <v>33535</v>
      </c>
      <c r="Y200" t="s">
        <v>3725</v>
      </c>
    </row>
    <row r="201" spans="1:25">
      <c r="A201" s="7">
        <v>200</v>
      </c>
      <c r="B201" t="s">
        <v>243</v>
      </c>
      <c r="C201" t="s">
        <v>244</v>
      </c>
      <c r="D201" s="7">
        <v>7134</v>
      </c>
      <c r="E201" t="s">
        <v>245</v>
      </c>
      <c r="F201" t="s">
        <v>246</v>
      </c>
      <c r="G201" t="s">
        <v>247</v>
      </c>
      <c r="H201" t="s">
        <v>3354</v>
      </c>
      <c r="I201" s="7">
        <v>1165</v>
      </c>
      <c r="J201" t="s">
        <v>3550</v>
      </c>
      <c r="K201" t="s">
        <v>3551</v>
      </c>
      <c r="L201" t="s">
        <v>3552</v>
      </c>
      <c r="M201" t="s">
        <v>261</v>
      </c>
      <c r="N201" t="s">
        <v>210</v>
      </c>
      <c r="O201" t="s">
        <v>3549</v>
      </c>
      <c r="P201" t="s">
        <v>3432</v>
      </c>
      <c r="Q201" s="8">
        <v>1150</v>
      </c>
      <c r="R201" s="8">
        <v>1150</v>
      </c>
      <c r="S201" s="8">
        <v>207</v>
      </c>
      <c r="T201" s="8">
        <v>1357</v>
      </c>
      <c r="U201" s="7">
        <v>622283</v>
      </c>
      <c r="V201" t="s">
        <v>3725</v>
      </c>
      <c r="W201" s="8">
        <v>0</v>
      </c>
      <c r="X201" s="7">
        <v>33536</v>
      </c>
      <c r="Y201" t="s">
        <v>3725</v>
      </c>
    </row>
    <row r="202" spans="1:25">
      <c r="A202" s="7">
        <v>201</v>
      </c>
      <c r="B202" t="s">
        <v>243</v>
      </c>
      <c r="C202" t="s">
        <v>244</v>
      </c>
      <c r="D202" s="7">
        <v>7134</v>
      </c>
      <c r="E202" t="s">
        <v>245</v>
      </c>
      <c r="F202" t="s">
        <v>246</v>
      </c>
      <c r="G202" t="s">
        <v>247</v>
      </c>
      <c r="H202" t="s">
        <v>3354</v>
      </c>
      <c r="I202" s="7">
        <v>1165</v>
      </c>
      <c r="J202" t="s">
        <v>3553</v>
      </c>
      <c r="K202" t="s">
        <v>3554</v>
      </c>
      <c r="L202" t="s">
        <v>3555</v>
      </c>
      <c r="M202" t="s">
        <v>361</v>
      </c>
      <c r="N202" t="s">
        <v>210</v>
      </c>
      <c r="O202" t="s">
        <v>3466</v>
      </c>
      <c r="P202" t="s">
        <v>3432</v>
      </c>
      <c r="Q202" s="8">
        <v>1500</v>
      </c>
      <c r="R202" s="8">
        <v>1500</v>
      </c>
      <c r="S202" s="8">
        <v>270</v>
      </c>
      <c r="T202" s="8">
        <v>1770</v>
      </c>
      <c r="U202" s="7">
        <v>622283</v>
      </c>
      <c r="V202" t="s">
        <v>3725</v>
      </c>
      <c r="W202" s="8">
        <v>0</v>
      </c>
      <c r="X202" s="7">
        <v>33536</v>
      </c>
      <c r="Y202" t="s">
        <v>3725</v>
      </c>
    </row>
    <row r="203" spans="1:25">
      <c r="A203" s="7">
        <v>202</v>
      </c>
      <c r="B203" t="s">
        <v>243</v>
      </c>
      <c r="C203" t="s">
        <v>244</v>
      </c>
      <c r="D203" s="7">
        <v>7134</v>
      </c>
      <c r="E203" t="s">
        <v>245</v>
      </c>
      <c r="F203" t="s">
        <v>246</v>
      </c>
      <c r="G203" t="s">
        <v>247</v>
      </c>
      <c r="H203" t="s">
        <v>3354</v>
      </c>
      <c r="I203" s="7">
        <v>1165</v>
      </c>
      <c r="J203" t="s">
        <v>3546</v>
      </c>
      <c r="K203" t="s">
        <v>3547</v>
      </c>
      <c r="L203" t="s">
        <v>3548</v>
      </c>
      <c r="M203" t="s">
        <v>261</v>
      </c>
      <c r="N203" t="s">
        <v>210</v>
      </c>
      <c r="O203" t="s">
        <v>3549</v>
      </c>
      <c r="P203" t="s">
        <v>3432</v>
      </c>
      <c r="Q203" s="8">
        <v>1150</v>
      </c>
      <c r="R203" s="8">
        <v>1150</v>
      </c>
      <c r="S203" s="8">
        <v>207</v>
      </c>
      <c r="T203" s="8">
        <v>1357</v>
      </c>
      <c r="U203" s="7">
        <v>622283</v>
      </c>
      <c r="V203" t="s">
        <v>3725</v>
      </c>
      <c r="W203" s="8">
        <v>0</v>
      </c>
      <c r="X203" s="7">
        <v>33536</v>
      </c>
      <c r="Y203" t="s">
        <v>3725</v>
      </c>
    </row>
    <row r="204" spans="1:25">
      <c r="A204" s="7">
        <v>203</v>
      </c>
      <c r="B204" t="s">
        <v>243</v>
      </c>
      <c r="C204" t="s">
        <v>244</v>
      </c>
      <c r="D204" s="7">
        <v>7134</v>
      </c>
      <c r="E204" t="s">
        <v>245</v>
      </c>
      <c r="F204" t="s">
        <v>246</v>
      </c>
      <c r="G204" t="s">
        <v>247</v>
      </c>
      <c r="H204" t="s">
        <v>4342</v>
      </c>
      <c r="I204" s="7">
        <v>1165</v>
      </c>
      <c r="J204" t="s">
        <v>4343</v>
      </c>
      <c r="K204" t="s">
        <v>4344</v>
      </c>
      <c r="L204" t="s">
        <v>4345</v>
      </c>
      <c r="M204" t="s">
        <v>261</v>
      </c>
      <c r="N204" t="s">
        <v>3793</v>
      </c>
      <c r="O204" t="s">
        <v>4346</v>
      </c>
      <c r="P204" t="s">
        <v>4347</v>
      </c>
      <c r="Q204" s="8">
        <v>1150</v>
      </c>
      <c r="R204" s="8">
        <v>1150</v>
      </c>
      <c r="S204" s="8">
        <v>207</v>
      </c>
      <c r="T204" s="8">
        <v>1357</v>
      </c>
      <c r="U204" s="7">
        <v>622719</v>
      </c>
      <c r="V204" t="s">
        <v>5062</v>
      </c>
      <c r="W204" s="8">
        <v>0</v>
      </c>
      <c r="X204" s="7">
        <v>33972</v>
      </c>
      <c r="Y204" t="s">
        <v>5062</v>
      </c>
    </row>
    <row r="205" spans="1:25">
      <c r="A205" s="7">
        <v>204</v>
      </c>
      <c r="B205" t="s">
        <v>243</v>
      </c>
      <c r="C205" t="s">
        <v>244</v>
      </c>
      <c r="D205" s="7">
        <v>7134</v>
      </c>
      <c r="E205" t="s">
        <v>245</v>
      </c>
      <c r="F205" t="s">
        <v>246</v>
      </c>
      <c r="G205" t="s">
        <v>247</v>
      </c>
      <c r="H205" t="s">
        <v>3733</v>
      </c>
      <c r="I205" s="7">
        <v>1165</v>
      </c>
      <c r="J205" t="s">
        <v>4426</v>
      </c>
      <c r="K205" t="s">
        <v>4427</v>
      </c>
      <c r="L205" t="s">
        <v>4428</v>
      </c>
      <c r="M205" t="s">
        <v>361</v>
      </c>
      <c r="N205" t="s">
        <v>3794</v>
      </c>
      <c r="O205" t="s">
        <v>4425</v>
      </c>
      <c r="P205" t="s">
        <v>4347</v>
      </c>
      <c r="Q205" s="8">
        <v>1500</v>
      </c>
      <c r="R205" s="8">
        <v>1500</v>
      </c>
      <c r="S205" s="8">
        <v>270</v>
      </c>
      <c r="T205" s="8">
        <v>1770</v>
      </c>
      <c r="U205" s="7">
        <v>622720</v>
      </c>
      <c r="V205" t="s">
        <v>5062</v>
      </c>
      <c r="W205" s="8">
        <v>0</v>
      </c>
      <c r="X205" s="7">
        <v>33973</v>
      </c>
      <c r="Y205" t="s">
        <v>5062</v>
      </c>
    </row>
    <row r="206" spans="1:25">
      <c r="A206" s="7">
        <v>205</v>
      </c>
      <c r="B206" t="s">
        <v>243</v>
      </c>
      <c r="C206" t="s">
        <v>244</v>
      </c>
      <c r="D206" s="7">
        <v>7134</v>
      </c>
      <c r="E206" t="s">
        <v>245</v>
      </c>
      <c r="F206" t="s">
        <v>246</v>
      </c>
      <c r="G206" t="s">
        <v>247</v>
      </c>
      <c r="H206" t="s">
        <v>3750</v>
      </c>
      <c r="I206" s="7">
        <v>1165</v>
      </c>
      <c r="J206" t="s">
        <v>4363</v>
      </c>
      <c r="K206" t="s">
        <v>4364</v>
      </c>
      <c r="L206" t="s">
        <v>4365</v>
      </c>
      <c r="M206" t="s">
        <v>261</v>
      </c>
      <c r="N206" t="s">
        <v>3794</v>
      </c>
      <c r="O206" t="s">
        <v>3488</v>
      </c>
      <c r="P206" t="s">
        <v>4347</v>
      </c>
      <c r="Q206" s="8">
        <v>1150</v>
      </c>
      <c r="R206" s="8">
        <v>1150</v>
      </c>
      <c r="S206" s="8">
        <v>207</v>
      </c>
      <c r="T206" s="8">
        <v>1357</v>
      </c>
      <c r="U206" s="7">
        <v>622720</v>
      </c>
      <c r="V206" t="s">
        <v>5062</v>
      </c>
      <c r="W206" s="8">
        <v>0</v>
      </c>
      <c r="X206" s="7">
        <v>33973</v>
      </c>
      <c r="Y206" t="s">
        <v>5062</v>
      </c>
    </row>
    <row r="207" spans="1:25">
      <c r="A207" s="7">
        <v>206</v>
      </c>
      <c r="B207" t="s">
        <v>243</v>
      </c>
      <c r="C207" t="s">
        <v>244</v>
      </c>
      <c r="D207" s="7">
        <v>7134</v>
      </c>
      <c r="E207" t="s">
        <v>245</v>
      </c>
      <c r="F207" t="s">
        <v>246</v>
      </c>
      <c r="G207" t="s">
        <v>247</v>
      </c>
      <c r="H207" t="s">
        <v>3750</v>
      </c>
      <c r="I207" s="7">
        <v>1165</v>
      </c>
      <c r="J207" t="s">
        <v>4392</v>
      </c>
      <c r="K207" t="s">
        <v>4393</v>
      </c>
      <c r="L207" t="s">
        <v>4394</v>
      </c>
      <c r="M207" t="s">
        <v>261</v>
      </c>
      <c r="N207" t="s">
        <v>3794</v>
      </c>
      <c r="O207" t="s">
        <v>4395</v>
      </c>
      <c r="P207" t="s">
        <v>4347</v>
      </c>
      <c r="Q207" s="8">
        <v>1150</v>
      </c>
      <c r="R207" s="8">
        <v>1150</v>
      </c>
      <c r="S207" s="8">
        <v>207</v>
      </c>
      <c r="T207" s="8">
        <v>1357</v>
      </c>
      <c r="U207" s="7">
        <v>622720</v>
      </c>
      <c r="V207" t="s">
        <v>5062</v>
      </c>
      <c r="W207" s="8">
        <v>0</v>
      </c>
      <c r="X207" s="7">
        <v>33973</v>
      </c>
      <c r="Y207" t="s">
        <v>5062</v>
      </c>
    </row>
    <row r="208" spans="1:25">
      <c r="A208" s="7">
        <v>207</v>
      </c>
      <c r="B208" t="s">
        <v>243</v>
      </c>
      <c r="C208" t="s">
        <v>244</v>
      </c>
      <c r="D208" s="7">
        <v>7134</v>
      </c>
      <c r="E208" t="s">
        <v>245</v>
      </c>
      <c r="F208" t="s">
        <v>246</v>
      </c>
      <c r="G208" t="s">
        <v>247</v>
      </c>
      <c r="H208" t="s">
        <v>3736</v>
      </c>
      <c r="I208" s="7">
        <v>1165</v>
      </c>
      <c r="J208" t="s">
        <v>4435</v>
      </c>
      <c r="K208" t="s">
        <v>4436</v>
      </c>
      <c r="L208" t="s">
        <v>4437</v>
      </c>
      <c r="M208" t="s">
        <v>361</v>
      </c>
      <c r="N208" t="s">
        <v>3794</v>
      </c>
      <c r="O208" t="s">
        <v>4423</v>
      </c>
      <c r="P208" t="s">
        <v>4347</v>
      </c>
      <c r="Q208" s="8">
        <v>1500</v>
      </c>
      <c r="R208" s="8">
        <v>1500</v>
      </c>
      <c r="S208" s="8">
        <v>270</v>
      </c>
      <c r="T208" s="8">
        <v>1770</v>
      </c>
      <c r="U208" s="7">
        <v>622720</v>
      </c>
      <c r="V208" t="s">
        <v>5062</v>
      </c>
      <c r="W208" s="8">
        <v>0</v>
      </c>
      <c r="X208" s="7">
        <v>33973</v>
      </c>
      <c r="Y208" t="s">
        <v>5062</v>
      </c>
    </row>
    <row r="209" spans="1:25">
      <c r="A209" s="7">
        <v>208</v>
      </c>
      <c r="B209" t="s">
        <v>243</v>
      </c>
      <c r="C209" t="s">
        <v>244</v>
      </c>
      <c r="D209" s="7">
        <v>7134</v>
      </c>
      <c r="E209" t="s">
        <v>245</v>
      </c>
      <c r="F209" t="s">
        <v>246</v>
      </c>
      <c r="G209" t="s">
        <v>247</v>
      </c>
      <c r="H209" t="s">
        <v>3734</v>
      </c>
      <c r="I209" s="7">
        <v>1165</v>
      </c>
      <c r="J209" t="s">
        <v>4366</v>
      </c>
      <c r="K209" t="s">
        <v>4367</v>
      </c>
      <c r="L209" t="s">
        <v>4368</v>
      </c>
      <c r="M209" t="s">
        <v>261</v>
      </c>
      <c r="N209" t="s">
        <v>3794</v>
      </c>
      <c r="O209" t="s">
        <v>3488</v>
      </c>
      <c r="P209" t="s">
        <v>4347</v>
      </c>
      <c r="Q209" s="8">
        <v>1150</v>
      </c>
      <c r="R209" s="8">
        <v>1150</v>
      </c>
      <c r="S209" s="8">
        <v>207</v>
      </c>
      <c r="T209" s="8">
        <v>1357</v>
      </c>
      <c r="U209" s="7">
        <v>622720</v>
      </c>
      <c r="V209" t="s">
        <v>5062</v>
      </c>
      <c r="W209" s="8">
        <v>0</v>
      </c>
      <c r="X209" s="7">
        <v>33973</v>
      </c>
      <c r="Y209" t="s">
        <v>5062</v>
      </c>
    </row>
    <row r="210" spans="1:25">
      <c r="A210" s="7">
        <v>209</v>
      </c>
      <c r="B210" t="s">
        <v>243</v>
      </c>
      <c r="C210" t="s">
        <v>244</v>
      </c>
      <c r="D210" s="7">
        <v>7134</v>
      </c>
      <c r="E210" t="s">
        <v>245</v>
      </c>
      <c r="F210" t="s">
        <v>246</v>
      </c>
      <c r="G210" t="s">
        <v>247</v>
      </c>
      <c r="H210" t="s">
        <v>3736</v>
      </c>
      <c r="I210" s="7">
        <v>1165</v>
      </c>
      <c r="J210" t="s">
        <v>4400</v>
      </c>
      <c r="K210" t="s">
        <v>4401</v>
      </c>
      <c r="L210" t="s">
        <v>4402</v>
      </c>
      <c r="M210" t="s">
        <v>261</v>
      </c>
      <c r="N210" t="s">
        <v>3794</v>
      </c>
      <c r="O210" t="s">
        <v>4403</v>
      </c>
      <c r="P210" t="s">
        <v>4347</v>
      </c>
      <c r="Q210" s="8">
        <v>1150</v>
      </c>
      <c r="R210" s="8">
        <v>1150</v>
      </c>
      <c r="S210" s="8">
        <v>207</v>
      </c>
      <c r="T210" s="8">
        <v>1357</v>
      </c>
      <c r="U210" s="7">
        <v>622720</v>
      </c>
      <c r="V210" t="s">
        <v>5062</v>
      </c>
      <c r="W210" s="8">
        <v>0</v>
      </c>
      <c r="X210" s="7">
        <v>33973</v>
      </c>
      <c r="Y210" t="s">
        <v>5062</v>
      </c>
    </row>
    <row r="211" spans="1:25">
      <c r="A211" s="7">
        <v>210</v>
      </c>
      <c r="B211" t="s">
        <v>243</v>
      </c>
      <c r="C211" t="s">
        <v>244</v>
      </c>
      <c r="D211" s="7">
        <v>7134</v>
      </c>
      <c r="E211" t="s">
        <v>245</v>
      </c>
      <c r="F211" t="s">
        <v>246</v>
      </c>
      <c r="G211" t="s">
        <v>247</v>
      </c>
      <c r="H211" t="s">
        <v>3737</v>
      </c>
      <c r="I211" s="7">
        <v>1165</v>
      </c>
      <c r="J211" t="s">
        <v>4352</v>
      </c>
      <c r="K211" t="s">
        <v>4353</v>
      </c>
      <c r="L211" t="s">
        <v>4354</v>
      </c>
      <c r="M211" t="s">
        <v>261</v>
      </c>
      <c r="N211" t="s">
        <v>3794</v>
      </c>
      <c r="O211" t="s">
        <v>4355</v>
      </c>
      <c r="P211" t="s">
        <v>4347</v>
      </c>
      <c r="Q211" s="8">
        <v>1150</v>
      </c>
      <c r="R211" s="8">
        <v>1150</v>
      </c>
      <c r="S211" s="8">
        <v>207</v>
      </c>
      <c r="T211" s="8">
        <v>1357</v>
      </c>
      <c r="U211" s="7">
        <v>622720</v>
      </c>
      <c r="V211" t="s">
        <v>5062</v>
      </c>
      <c r="W211" s="8">
        <v>0</v>
      </c>
      <c r="X211" s="7">
        <v>33973</v>
      </c>
      <c r="Y211" t="s">
        <v>5062</v>
      </c>
    </row>
    <row r="212" spans="1:25">
      <c r="A212" s="7">
        <v>211</v>
      </c>
      <c r="B212" t="s">
        <v>243</v>
      </c>
      <c r="C212" t="s">
        <v>244</v>
      </c>
      <c r="D212" s="7">
        <v>7134</v>
      </c>
      <c r="E212" t="s">
        <v>245</v>
      </c>
      <c r="F212" t="s">
        <v>246</v>
      </c>
      <c r="G212" t="s">
        <v>247</v>
      </c>
      <c r="H212" t="s">
        <v>3749</v>
      </c>
      <c r="I212" s="7">
        <v>1165</v>
      </c>
      <c r="J212" t="s">
        <v>4404</v>
      </c>
      <c r="K212" t="s">
        <v>4405</v>
      </c>
      <c r="L212" t="s">
        <v>4406</v>
      </c>
      <c r="M212" t="s">
        <v>261</v>
      </c>
      <c r="N212" t="s">
        <v>3794</v>
      </c>
      <c r="O212" t="s">
        <v>4381</v>
      </c>
      <c r="P212" t="s">
        <v>4347</v>
      </c>
      <c r="Q212" s="8">
        <v>1150</v>
      </c>
      <c r="R212" s="8">
        <v>1150</v>
      </c>
      <c r="S212" s="8">
        <v>207</v>
      </c>
      <c r="T212" s="8">
        <v>1357</v>
      </c>
      <c r="U212" s="7">
        <v>622720</v>
      </c>
      <c r="V212" t="s">
        <v>5062</v>
      </c>
      <c r="W212" s="8">
        <v>0</v>
      </c>
      <c r="X212" s="7">
        <v>33973</v>
      </c>
      <c r="Y212" t="s">
        <v>5062</v>
      </c>
    </row>
    <row r="213" spans="1:25">
      <c r="A213" s="7">
        <v>212</v>
      </c>
      <c r="B213" t="s">
        <v>243</v>
      </c>
      <c r="C213" t="s">
        <v>244</v>
      </c>
      <c r="D213" s="7">
        <v>7134</v>
      </c>
      <c r="E213" t="s">
        <v>245</v>
      </c>
      <c r="F213" t="s">
        <v>246</v>
      </c>
      <c r="G213" t="s">
        <v>247</v>
      </c>
      <c r="H213" t="s">
        <v>3736</v>
      </c>
      <c r="I213" s="7">
        <v>1165</v>
      </c>
      <c r="J213" t="s">
        <v>4413</v>
      </c>
      <c r="K213" t="s">
        <v>4414</v>
      </c>
      <c r="L213" t="s">
        <v>4415</v>
      </c>
      <c r="M213" t="s">
        <v>398</v>
      </c>
      <c r="N213" t="s">
        <v>3794</v>
      </c>
      <c r="O213" t="s">
        <v>4412</v>
      </c>
      <c r="P213" t="s">
        <v>4347</v>
      </c>
      <c r="Q213" s="8">
        <v>1150</v>
      </c>
      <c r="R213" s="8">
        <v>1150</v>
      </c>
      <c r="S213" s="8">
        <v>207</v>
      </c>
      <c r="T213" s="8">
        <v>1357</v>
      </c>
      <c r="U213" s="7">
        <v>622720</v>
      </c>
      <c r="V213" t="s">
        <v>5062</v>
      </c>
      <c r="W213" s="8">
        <v>0</v>
      </c>
      <c r="X213" s="7">
        <v>33973</v>
      </c>
      <c r="Y213" t="s">
        <v>5062</v>
      </c>
    </row>
    <row r="214" spans="1:25">
      <c r="A214" s="7">
        <v>213</v>
      </c>
      <c r="B214" t="s">
        <v>243</v>
      </c>
      <c r="C214" t="s">
        <v>244</v>
      </c>
      <c r="D214" s="7">
        <v>7134</v>
      </c>
      <c r="E214" t="s">
        <v>245</v>
      </c>
      <c r="F214" t="s">
        <v>246</v>
      </c>
      <c r="G214" t="s">
        <v>247</v>
      </c>
      <c r="H214" t="s">
        <v>3750</v>
      </c>
      <c r="I214" s="7">
        <v>1165</v>
      </c>
      <c r="J214" t="s">
        <v>4396</v>
      </c>
      <c r="K214" t="s">
        <v>4397</v>
      </c>
      <c r="L214" t="s">
        <v>4398</v>
      </c>
      <c r="M214" t="s">
        <v>261</v>
      </c>
      <c r="N214" t="s">
        <v>3794</v>
      </c>
      <c r="O214" t="s">
        <v>4399</v>
      </c>
      <c r="P214" t="s">
        <v>4347</v>
      </c>
      <c r="Q214" s="8">
        <v>1150</v>
      </c>
      <c r="R214" s="8">
        <v>1150</v>
      </c>
      <c r="S214" s="8">
        <v>207</v>
      </c>
      <c r="T214" s="8">
        <v>1357</v>
      </c>
      <c r="U214" s="7">
        <v>622720</v>
      </c>
      <c r="V214" t="s">
        <v>5062</v>
      </c>
      <c r="W214" s="8">
        <v>0</v>
      </c>
      <c r="X214" s="7">
        <v>33973</v>
      </c>
      <c r="Y214" t="s">
        <v>5062</v>
      </c>
    </row>
    <row r="215" spans="1:25">
      <c r="A215" s="7">
        <v>214</v>
      </c>
      <c r="B215" t="s">
        <v>243</v>
      </c>
      <c r="C215" t="s">
        <v>244</v>
      </c>
      <c r="D215" s="7">
        <v>7134</v>
      </c>
      <c r="E215" t="s">
        <v>245</v>
      </c>
      <c r="F215" t="s">
        <v>246</v>
      </c>
      <c r="G215" t="s">
        <v>247</v>
      </c>
      <c r="H215" t="s">
        <v>3736</v>
      </c>
      <c r="I215" s="7">
        <v>1165</v>
      </c>
      <c r="J215" t="s">
        <v>4429</v>
      </c>
      <c r="K215" t="s">
        <v>4430</v>
      </c>
      <c r="L215" t="s">
        <v>4431</v>
      </c>
      <c r="M215" t="s">
        <v>361</v>
      </c>
      <c r="N215" t="s">
        <v>3794</v>
      </c>
      <c r="O215" t="s">
        <v>4423</v>
      </c>
      <c r="P215" t="s">
        <v>4347</v>
      </c>
      <c r="Q215" s="8">
        <v>1500</v>
      </c>
      <c r="R215" s="8">
        <v>1500</v>
      </c>
      <c r="S215" s="8">
        <v>270</v>
      </c>
      <c r="T215" s="8">
        <v>1770</v>
      </c>
      <c r="U215" s="7">
        <v>622720</v>
      </c>
      <c r="V215" t="s">
        <v>5062</v>
      </c>
      <c r="W215" s="8">
        <v>0</v>
      </c>
      <c r="X215" s="7">
        <v>33973</v>
      </c>
      <c r="Y215" t="s">
        <v>5062</v>
      </c>
    </row>
    <row r="216" spans="1:25">
      <c r="A216" s="7">
        <v>215</v>
      </c>
      <c r="B216" t="s">
        <v>243</v>
      </c>
      <c r="C216" t="s">
        <v>244</v>
      </c>
      <c r="D216" s="7">
        <v>7134</v>
      </c>
      <c r="E216" t="s">
        <v>245</v>
      </c>
      <c r="F216" t="s">
        <v>246</v>
      </c>
      <c r="G216" t="s">
        <v>247</v>
      </c>
      <c r="H216" t="s">
        <v>3750</v>
      </c>
      <c r="I216" s="7">
        <v>1165</v>
      </c>
      <c r="J216" t="s">
        <v>4351</v>
      </c>
      <c r="K216" t="s">
        <v>3987</v>
      </c>
      <c r="L216" t="s">
        <v>3988</v>
      </c>
      <c r="M216" t="s">
        <v>252</v>
      </c>
      <c r="N216" t="s">
        <v>3794</v>
      </c>
      <c r="O216" t="s">
        <v>3511</v>
      </c>
      <c r="P216" t="s">
        <v>4347</v>
      </c>
      <c r="Q216" s="8">
        <v>1150</v>
      </c>
      <c r="R216" s="8">
        <v>1150</v>
      </c>
      <c r="S216" s="8">
        <v>207</v>
      </c>
      <c r="T216" s="8">
        <v>1357</v>
      </c>
      <c r="U216" s="7">
        <v>622720</v>
      </c>
      <c r="V216" t="s">
        <v>5062</v>
      </c>
      <c r="W216" s="8">
        <v>0</v>
      </c>
      <c r="X216" s="7">
        <v>33973</v>
      </c>
      <c r="Y216" t="s">
        <v>5062</v>
      </c>
    </row>
    <row r="217" spans="1:25">
      <c r="A217" s="7">
        <v>216</v>
      </c>
      <c r="B217" t="s">
        <v>243</v>
      </c>
      <c r="C217" t="s">
        <v>244</v>
      </c>
      <c r="D217" s="7">
        <v>7134</v>
      </c>
      <c r="E217" t="s">
        <v>245</v>
      </c>
      <c r="F217" t="s">
        <v>246</v>
      </c>
      <c r="G217" t="s">
        <v>247</v>
      </c>
      <c r="H217" t="s">
        <v>3731</v>
      </c>
      <c r="I217" s="7">
        <v>1165</v>
      </c>
      <c r="J217" t="s">
        <v>4348</v>
      </c>
      <c r="K217" t="s">
        <v>4055</v>
      </c>
      <c r="L217" t="s">
        <v>4056</v>
      </c>
      <c r="M217" t="s">
        <v>252</v>
      </c>
      <c r="N217" t="s">
        <v>3794</v>
      </c>
      <c r="O217" t="s">
        <v>3488</v>
      </c>
      <c r="P217" t="s">
        <v>4347</v>
      </c>
      <c r="Q217" s="8">
        <v>1150</v>
      </c>
      <c r="R217" s="8">
        <v>1150</v>
      </c>
      <c r="S217" s="8">
        <v>207</v>
      </c>
      <c r="T217" s="8">
        <v>1357</v>
      </c>
      <c r="U217" s="7">
        <v>622720</v>
      </c>
      <c r="V217" t="s">
        <v>5062</v>
      </c>
      <c r="W217" s="8">
        <v>0</v>
      </c>
      <c r="X217" s="7">
        <v>33973</v>
      </c>
      <c r="Y217" t="s">
        <v>5062</v>
      </c>
    </row>
    <row r="218" spans="1:25">
      <c r="A218" s="7">
        <v>217</v>
      </c>
      <c r="B218" t="s">
        <v>243</v>
      </c>
      <c r="C218" t="s">
        <v>244</v>
      </c>
      <c r="D218" s="7">
        <v>7134</v>
      </c>
      <c r="E218" t="s">
        <v>245</v>
      </c>
      <c r="F218" t="s">
        <v>246</v>
      </c>
      <c r="G218" t="s">
        <v>247</v>
      </c>
      <c r="H218" t="s">
        <v>3736</v>
      </c>
      <c r="I218" s="7">
        <v>1165</v>
      </c>
      <c r="J218" t="s">
        <v>4411</v>
      </c>
      <c r="K218" t="s">
        <v>4318</v>
      </c>
      <c r="L218" t="s">
        <v>4319</v>
      </c>
      <c r="M218" t="s">
        <v>398</v>
      </c>
      <c r="N218" t="s">
        <v>3794</v>
      </c>
      <c r="O218" t="s">
        <v>4412</v>
      </c>
      <c r="P218" t="s">
        <v>4347</v>
      </c>
      <c r="Q218" s="8">
        <v>1150</v>
      </c>
      <c r="R218" s="8">
        <v>1150</v>
      </c>
      <c r="S218" s="8">
        <v>207</v>
      </c>
      <c r="T218" s="8">
        <v>1357</v>
      </c>
      <c r="U218" s="7">
        <v>622720</v>
      </c>
      <c r="V218" t="s">
        <v>5062</v>
      </c>
      <c r="W218" s="8">
        <v>0</v>
      </c>
      <c r="X218" s="7">
        <v>33973</v>
      </c>
      <c r="Y218" t="s">
        <v>5062</v>
      </c>
    </row>
    <row r="219" spans="1:25">
      <c r="A219" s="7">
        <v>218</v>
      </c>
      <c r="B219" t="s">
        <v>243</v>
      </c>
      <c r="C219" t="s">
        <v>244</v>
      </c>
      <c r="D219" s="7">
        <v>7134</v>
      </c>
      <c r="E219" t="s">
        <v>245</v>
      </c>
      <c r="F219" t="s">
        <v>246</v>
      </c>
      <c r="G219" t="s">
        <v>247</v>
      </c>
      <c r="H219" t="s">
        <v>3750</v>
      </c>
      <c r="I219" s="7">
        <v>1165</v>
      </c>
      <c r="J219" t="s">
        <v>4407</v>
      </c>
      <c r="K219" t="s">
        <v>4408</v>
      </c>
      <c r="L219" t="s">
        <v>4409</v>
      </c>
      <c r="M219" t="s">
        <v>267</v>
      </c>
      <c r="N219" t="s">
        <v>3794</v>
      </c>
      <c r="O219" t="s">
        <v>4410</v>
      </c>
      <c r="P219" t="s">
        <v>4347</v>
      </c>
      <c r="Q219" s="8">
        <v>1150</v>
      </c>
      <c r="R219" s="8">
        <v>1150</v>
      </c>
      <c r="S219" s="8">
        <v>207</v>
      </c>
      <c r="T219" s="8">
        <v>1357</v>
      </c>
      <c r="U219" s="7">
        <v>622720</v>
      </c>
      <c r="V219" t="s">
        <v>5062</v>
      </c>
      <c r="W219" s="8">
        <v>0</v>
      </c>
      <c r="X219" s="7">
        <v>33973</v>
      </c>
      <c r="Y219" t="s">
        <v>5062</v>
      </c>
    </row>
    <row r="220" spans="1:25">
      <c r="A220" s="7">
        <v>219</v>
      </c>
      <c r="B220" t="s">
        <v>243</v>
      </c>
      <c r="C220" t="s">
        <v>244</v>
      </c>
      <c r="D220" s="7">
        <v>7134</v>
      </c>
      <c r="E220" t="s">
        <v>245</v>
      </c>
      <c r="F220" t="s">
        <v>246</v>
      </c>
      <c r="G220" t="s">
        <v>247</v>
      </c>
      <c r="H220" t="s">
        <v>3736</v>
      </c>
      <c r="I220" s="7">
        <v>1165</v>
      </c>
      <c r="J220" t="s">
        <v>4438</v>
      </c>
      <c r="K220" t="s">
        <v>4439</v>
      </c>
      <c r="L220" t="s">
        <v>4440</v>
      </c>
      <c r="M220" t="s">
        <v>361</v>
      </c>
      <c r="N220" t="s">
        <v>3794</v>
      </c>
      <c r="O220" t="s">
        <v>4423</v>
      </c>
      <c r="P220" t="s">
        <v>4347</v>
      </c>
      <c r="Q220" s="8">
        <v>1500</v>
      </c>
      <c r="R220" s="8">
        <v>1500</v>
      </c>
      <c r="S220" s="8">
        <v>270</v>
      </c>
      <c r="T220" s="8">
        <v>1770</v>
      </c>
      <c r="U220" s="7">
        <v>622720</v>
      </c>
      <c r="V220" t="s">
        <v>5062</v>
      </c>
      <c r="W220" s="8">
        <v>0</v>
      </c>
      <c r="X220" s="7">
        <v>33973</v>
      </c>
      <c r="Y220" t="s">
        <v>5062</v>
      </c>
    </row>
    <row r="221" spans="1:25">
      <c r="A221" s="7">
        <v>220</v>
      </c>
      <c r="B221" t="s">
        <v>243</v>
      </c>
      <c r="C221" t="s">
        <v>244</v>
      </c>
      <c r="D221" s="7">
        <v>7134</v>
      </c>
      <c r="E221" t="s">
        <v>245</v>
      </c>
      <c r="F221" t="s">
        <v>246</v>
      </c>
      <c r="G221" t="s">
        <v>247</v>
      </c>
      <c r="H221" t="s">
        <v>3749</v>
      </c>
      <c r="I221" s="7">
        <v>1165</v>
      </c>
      <c r="J221" t="s">
        <v>4388</v>
      </c>
      <c r="K221" t="s">
        <v>4389</v>
      </c>
      <c r="L221" t="s">
        <v>4390</v>
      </c>
      <c r="M221" t="s">
        <v>261</v>
      </c>
      <c r="N221" t="s">
        <v>3794</v>
      </c>
      <c r="O221" t="s">
        <v>4391</v>
      </c>
      <c r="P221" t="s">
        <v>4347</v>
      </c>
      <c r="Q221" s="8">
        <v>1150</v>
      </c>
      <c r="R221" s="8">
        <v>1150</v>
      </c>
      <c r="S221" s="8">
        <v>207</v>
      </c>
      <c r="T221" s="8">
        <v>1357</v>
      </c>
      <c r="U221" s="7">
        <v>622720</v>
      </c>
      <c r="V221" t="s">
        <v>5062</v>
      </c>
      <c r="W221" s="8">
        <v>0</v>
      </c>
      <c r="X221" s="7">
        <v>33973</v>
      </c>
      <c r="Y221" t="s">
        <v>5062</v>
      </c>
    </row>
    <row r="222" spans="1:25">
      <c r="A222" s="7">
        <v>221</v>
      </c>
      <c r="B222" t="s">
        <v>243</v>
      </c>
      <c r="C222" t="s">
        <v>244</v>
      </c>
      <c r="D222" s="7">
        <v>7134</v>
      </c>
      <c r="E222" t="s">
        <v>245</v>
      </c>
      <c r="F222" t="s">
        <v>246</v>
      </c>
      <c r="G222" t="s">
        <v>247</v>
      </c>
      <c r="H222" t="s">
        <v>3749</v>
      </c>
      <c r="I222" s="7">
        <v>1165</v>
      </c>
      <c r="J222" t="s">
        <v>4378</v>
      </c>
      <c r="K222" t="s">
        <v>4379</v>
      </c>
      <c r="L222" t="s">
        <v>4380</v>
      </c>
      <c r="M222" t="s">
        <v>261</v>
      </c>
      <c r="N222" t="s">
        <v>3794</v>
      </c>
      <c r="O222" t="s">
        <v>4381</v>
      </c>
      <c r="P222" t="s">
        <v>4347</v>
      </c>
      <c r="Q222" s="8">
        <v>1150</v>
      </c>
      <c r="R222" s="8">
        <v>1150</v>
      </c>
      <c r="S222" s="8">
        <v>207</v>
      </c>
      <c r="T222" s="8">
        <v>1357</v>
      </c>
      <c r="U222" s="7">
        <v>622720</v>
      </c>
      <c r="V222" t="s">
        <v>5062</v>
      </c>
      <c r="W222" s="8">
        <v>0</v>
      </c>
      <c r="X222" s="7">
        <v>33973</v>
      </c>
      <c r="Y222" t="s">
        <v>5062</v>
      </c>
    </row>
    <row r="223" spans="1:25">
      <c r="A223" s="7">
        <v>222</v>
      </c>
      <c r="B223" t="s">
        <v>243</v>
      </c>
      <c r="C223" t="s">
        <v>244</v>
      </c>
      <c r="D223" s="7">
        <v>7134</v>
      </c>
      <c r="E223" t="s">
        <v>245</v>
      </c>
      <c r="F223" t="s">
        <v>246</v>
      </c>
      <c r="G223" t="s">
        <v>247</v>
      </c>
      <c r="H223" t="s">
        <v>3749</v>
      </c>
      <c r="I223" s="7">
        <v>1165</v>
      </c>
      <c r="J223" t="s">
        <v>4372</v>
      </c>
      <c r="K223" t="s">
        <v>4373</v>
      </c>
      <c r="L223" t="s">
        <v>4374</v>
      </c>
      <c r="M223" t="s">
        <v>261</v>
      </c>
      <c r="N223" t="s">
        <v>3794</v>
      </c>
      <c r="O223" t="s">
        <v>3488</v>
      </c>
      <c r="P223" t="s">
        <v>4347</v>
      </c>
      <c r="Q223" s="8">
        <v>1150</v>
      </c>
      <c r="R223" s="8">
        <v>1150</v>
      </c>
      <c r="S223" s="8">
        <v>207</v>
      </c>
      <c r="T223" s="8">
        <v>1357</v>
      </c>
      <c r="U223" s="7">
        <v>622720</v>
      </c>
      <c r="V223" t="s">
        <v>5062</v>
      </c>
      <c r="W223" s="8">
        <v>0</v>
      </c>
      <c r="X223" s="7">
        <v>33973</v>
      </c>
      <c r="Y223" t="s">
        <v>5062</v>
      </c>
    </row>
    <row r="224" spans="1:25">
      <c r="A224" s="7">
        <v>223</v>
      </c>
      <c r="B224" t="s">
        <v>243</v>
      </c>
      <c r="C224" t="s">
        <v>244</v>
      </c>
      <c r="D224" s="7">
        <v>7134</v>
      </c>
      <c r="E224" t="s">
        <v>245</v>
      </c>
      <c r="F224" t="s">
        <v>246</v>
      </c>
      <c r="G224" t="s">
        <v>247</v>
      </c>
      <c r="H224" t="s">
        <v>3749</v>
      </c>
      <c r="I224" s="7">
        <v>1165</v>
      </c>
      <c r="J224" t="s">
        <v>4382</v>
      </c>
      <c r="K224" t="s">
        <v>4383</v>
      </c>
      <c r="L224" t="s">
        <v>4384</v>
      </c>
      <c r="M224" t="s">
        <v>261</v>
      </c>
      <c r="N224" t="s">
        <v>3794</v>
      </c>
      <c r="O224" t="s">
        <v>4346</v>
      </c>
      <c r="P224" t="s">
        <v>4347</v>
      </c>
      <c r="Q224" s="8">
        <v>1150</v>
      </c>
      <c r="R224" s="8">
        <v>1150</v>
      </c>
      <c r="S224" s="8">
        <v>207</v>
      </c>
      <c r="T224" s="8">
        <v>1357</v>
      </c>
      <c r="U224" s="7">
        <v>622720</v>
      </c>
      <c r="V224" t="s">
        <v>5062</v>
      </c>
      <c r="W224" s="8">
        <v>0</v>
      </c>
      <c r="X224" s="7">
        <v>33973</v>
      </c>
      <c r="Y224" t="s">
        <v>5062</v>
      </c>
    </row>
    <row r="225" spans="1:25">
      <c r="A225" s="7">
        <v>224</v>
      </c>
      <c r="B225" t="s">
        <v>243</v>
      </c>
      <c r="C225" t="s">
        <v>244</v>
      </c>
      <c r="D225" s="7">
        <v>7134</v>
      </c>
      <c r="E225" t="s">
        <v>245</v>
      </c>
      <c r="F225" t="s">
        <v>246</v>
      </c>
      <c r="G225" t="s">
        <v>247</v>
      </c>
      <c r="H225" t="s">
        <v>3736</v>
      </c>
      <c r="I225" s="7">
        <v>1165</v>
      </c>
      <c r="J225" t="s">
        <v>4416</v>
      </c>
      <c r="K225" t="s">
        <v>4328</v>
      </c>
      <c r="L225" t="s">
        <v>4329</v>
      </c>
      <c r="M225" t="s">
        <v>398</v>
      </c>
      <c r="N225" t="s">
        <v>3794</v>
      </c>
      <c r="O225" t="s">
        <v>4412</v>
      </c>
      <c r="P225" t="s">
        <v>4347</v>
      </c>
      <c r="Q225" s="8">
        <v>1150</v>
      </c>
      <c r="R225" s="8">
        <v>1150</v>
      </c>
      <c r="S225" s="8">
        <v>207</v>
      </c>
      <c r="T225" s="8">
        <v>1357</v>
      </c>
      <c r="U225" s="7">
        <v>622720</v>
      </c>
      <c r="V225" t="s">
        <v>5062</v>
      </c>
      <c r="W225" s="8">
        <v>0</v>
      </c>
      <c r="X225" s="7">
        <v>33973</v>
      </c>
      <c r="Y225" t="s">
        <v>5062</v>
      </c>
    </row>
    <row r="226" spans="1:25">
      <c r="A226" s="7">
        <v>225</v>
      </c>
      <c r="B226" t="s">
        <v>243</v>
      </c>
      <c r="C226" t="s">
        <v>244</v>
      </c>
      <c r="D226" s="7">
        <v>7134</v>
      </c>
      <c r="E226" t="s">
        <v>245</v>
      </c>
      <c r="F226" t="s">
        <v>246</v>
      </c>
      <c r="G226" t="s">
        <v>247</v>
      </c>
      <c r="H226" t="s">
        <v>3749</v>
      </c>
      <c r="I226" s="7">
        <v>1165</v>
      </c>
      <c r="J226" t="s">
        <v>4385</v>
      </c>
      <c r="K226" t="s">
        <v>4386</v>
      </c>
      <c r="L226" t="s">
        <v>4387</v>
      </c>
      <c r="M226" t="s">
        <v>261</v>
      </c>
      <c r="N226" t="s">
        <v>3794</v>
      </c>
      <c r="O226" t="s">
        <v>4346</v>
      </c>
      <c r="P226" t="s">
        <v>4347</v>
      </c>
      <c r="Q226" s="8">
        <v>1150</v>
      </c>
      <c r="R226" s="8">
        <v>1150</v>
      </c>
      <c r="S226" s="8">
        <v>207</v>
      </c>
      <c r="T226" s="8">
        <v>1357</v>
      </c>
      <c r="U226" s="7">
        <v>622720</v>
      </c>
      <c r="V226" t="s">
        <v>5062</v>
      </c>
      <c r="W226" s="8">
        <v>0</v>
      </c>
      <c r="X226" s="7">
        <v>33973</v>
      </c>
      <c r="Y226" t="s">
        <v>5062</v>
      </c>
    </row>
    <row r="227" spans="1:25">
      <c r="A227" s="7">
        <v>226</v>
      </c>
      <c r="B227" t="s">
        <v>243</v>
      </c>
      <c r="C227" t="s">
        <v>244</v>
      </c>
      <c r="D227" s="7">
        <v>7134</v>
      </c>
      <c r="E227" t="s">
        <v>245</v>
      </c>
      <c r="F227" t="s">
        <v>246</v>
      </c>
      <c r="G227" t="s">
        <v>247</v>
      </c>
      <c r="H227" t="s">
        <v>3733</v>
      </c>
      <c r="I227" s="7">
        <v>1165</v>
      </c>
      <c r="J227" t="s">
        <v>4424</v>
      </c>
      <c r="K227" t="s">
        <v>3670</v>
      </c>
      <c r="L227" t="s">
        <v>3671</v>
      </c>
      <c r="M227" t="s">
        <v>361</v>
      </c>
      <c r="N227" t="s">
        <v>3794</v>
      </c>
      <c r="O227" t="s">
        <v>4425</v>
      </c>
      <c r="P227" t="s">
        <v>4347</v>
      </c>
      <c r="Q227" s="8">
        <v>1500</v>
      </c>
      <c r="R227" s="8">
        <v>1500</v>
      </c>
      <c r="S227" s="8">
        <v>270</v>
      </c>
      <c r="T227" s="8">
        <v>1770</v>
      </c>
      <c r="U227" s="7">
        <v>622720</v>
      </c>
      <c r="V227" t="s">
        <v>5062</v>
      </c>
      <c r="W227" s="8">
        <v>0</v>
      </c>
      <c r="X227" s="7">
        <v>33973</v>
      </c>
      <c r="Y227" t="s">
        <v>5062</v>
      </c>
    </row>
    <row r="228" spans="1:25">
      <c r="A228" s="7">
        <v>227</v>
      </c>
      <c r="B228" t="s">
        <v>243</v>
      </c>
      <c r="C228" t="s">
        <v>244</v>
      </c>
      <c r="D228" s="7">
        <v>7134</v>
      </c>
      <c r="E228" t="s">
        <v>245</v>
      </c>
      <c r="F228" t="s">
        <v>246</v>
      </c>
      <c r="G228" t="s">
        <v>247</v>
      </c>
      <c r="H228" t="s">
        <v>3750</v>
      </c>
      <c r="I228" s="7">
        <v>1165</v>
      </c>
      <c r="J228" t="s">
        <v>4420</v>
      </c>
      <c r="K228" t="s">
        <v>4421</v>
      </c>
      <c r="L228" t="s">
        <v>4422</v>
      </c>
      <c r="M228" t="s">
        <v>361</v>
      </c>
      <c r="N228" t="s">
        <v>3794</v>
      </c>
      <c r="O228" t="s">
        <v>4423</v>
      </c>
      <c r="P228" t="s">
        <v>4347</v>
      </c>
      <c r="Q228" s="8">
        <v>1500</v>
      </c>
      <c r="R228" s="8">
        <v>1500</v>
      </c>
      <c r="S228" s="8">
        <v>270</v>
      </c>
      <c r="T228" s="8">
        <v>1770</v>
      </c>
      <c r="U228" s="7">
        <v>622720</v>
      </c>
      <c r="V228" t="s">
        <v>5062</v>
      </c>
      <c r="W228" s="8">
        <v>0</v>
      </c>
      <c r="X228" s="7">
        <v>33973</v>
      </c>
      <c r="Y228" t="s">
        <v>5062</v>
      </c>
    </row>
    <row r="229" spans="1:25">
      <c r="A229" s="7">
        <v>228</v>
      </c>
      <c r="B229" t="s">
        <v>243</v>
      </c>
      <c r="C229" t="s">
        <v>244</v>
      </c>
      <c r="D229" s="7">
        <v>7134</v>
      </c>
      <c r="E229" t="s">
        <v>245</v>
      </c>
      <c r="F229" t="s">
        <v>246</v>
      </c>
      <c r="G229" t="s">
        <v>247</v>
      </c>
      <c r="H229" t="s">
        <v>3750</v>
      </c>
      <c r="I229" s="7">
        <v>1165</v>
      </c>
      <c r="J229" t="s">
        <v>4360</v>
      </c>
      <c r="K229" t="s">
        <v>4361</v>
      </c>
      <c r="L229" t="s">
        <v>4362</v>
      </c>
      <c r="M229" t="s">
        <v>261</v>
      </c>
      <c r="N229" t="s">
        <v>3794</v>
      </c>
      <c r="O229" t="s">
        <v>3545</v>
      </c>
      <c r="P229" t="s">
        <v>4347</v>
      </c>
      <c r="Q229" s="8">
        <v>1150</v>
      </c>
      <c r="R229" s="8">
        <v>1150</v>
      </c>
      <c r="S229" s="8">
        <v>207</v>
      </c>
      <c r="T229" s="8">
        <v>1357</v>
      </c>
      <c r="U229" s="7">
        <v>622720</v>
      </c>
      <c r="V229" t="s">
        <v>5062</v>
      </c>
      <c r="W229" s="8">
        <v>0</v>
      </c>
      <c r="X229" s="7">
        <v>33973</v>
      </c>
      <c r="Y229" t="s">
        <v>5062</v>
      </c>
    </row>
    <row r="230" spans="1:25">
      <c r="A230" s="7">
        <v>229</v>
      </c>
      <c r="B230" t="s">
        <v>243</v>
      </c>
      <c r="C230" t="s">
        <v>244</v>
      </c>
      <c r="D230" s="7">
        <v>7134</v>
      </c>
      <c r="E230" t="s">
        <v>245</v>
      </c>
      <c r="F230" t="s">
        <v>246</v>
      </c>
      <c r="G230" t="s">
        <v>247</v>
      </c>
      <c r="H230" t="s">
        <v>3736</v>
      </c>
      <c r="I230" s="7">
        <v>1165</v>
      </c>
      <c r="J230" t="s">
        <v>4369</v>
      </c>
      <c r="K230" t="s">
        <v>4370</v>
      </c>
      <c r="L230" t="s">
        <v>4371</v>
      </c>
      <c r="M230" t="s">
        <v>261</v>
      </c>
      <c r="N230" t="s">
        <v>3794</v>
      </c>
      <c r="O230" t="s">
        <v>3488</v>
      </c>
      <c r="P230" t="s">
        <v>4347</v>
      </c>
      <c r="Q230" s="8">
        <v>1150</v>
      </c>
      <c r="R230" s="8">
        <v>1150</v>
      </c>
      <c r="S230" s="8">
        <v>207</v>
      </c>
      <c r="T230" s="8">
        <v>1357</v>
      </c>
      <c r="U230" s="7">
        <v>622720</v>
      </c>
      <c r="V230" t="s">
        <v>5062</v>
      </c>
      <c r="W230" s="8">
        <v>0</v>
      </c>
      <c r="X230" s="7">
        <v>33973</v>
      </c>
      <c r="Y230" t="s">
        <v>5062</v>
      </c>
    </row>
    <row r="231" spans="1:25">
      <c r="A231" s="7">
        <v>230</v>
      </c>
      <c r="B231" t="s">
        <v>243</v>
      </c>
      <c r="C231" t="s">
        <v>244</v>
      </c>
      <c r="D231" s="7">
        <v>7134</v>
      </c>
      <c r="E231" t="s">
        <v>245</v>
      </c>
      <c r="F231" t="s">
        <v>246</v>
      </c>
      <c r="G231" t="s">
        <v>247</v>
      </c>
      <c r="H231" t="s">
        <v>3736</v>
      </c>
      <c r="I231" s="7">
        <v>1165</v>
      </c>
      <c r="J231" t="s">
        <v>492</v>
      </c>
      <c r="K231" t="s">
        <v>4375</v>
      </c>
      <c r="L231" t="s">
        <v>4376</v>
      </c>
      <c r="M231" t="s">
        <v>261</v>
      </c>
      <c r="N231" t="s">
        <v>3794</v>
      </c>
      <c r="O231" t="s">
        <v>4377</v>
      </c>
      <c r="P231" t="s">
        <v>4347</v>
      </c>
      <c r="Q231" s="8">
        <v>1150</v>
      </c>
      <c r="R231" s="8">
        <v>1150</v>
      </c>
      <c r="S231" s="8">
        <v>207</v>
      </c>
      <c r="T231" s="8">
        <v>1357</v>
      </c>
      <c r="U231" s="7">
        <v>622720</v>
      </c>
      <c r="V231" t="s">
        <v>5062</v>
      </c>
      <c r="W231" s="8">
        <v>0</v>
      </c>
      <c r="X231" s="7">
        <v>33973</v>
      </c>
      <c r="Y231" t="s">
        <v>5062</v>
      </c>
    </row>
    <row r="232" spans="1:25">
      <c r="A232" s="7">
        <v>231</v>
      </c>
      <c r="B232" t="s">
        <v>243</v>
      </c>
      <c r="C232" t="s">
        <v>244</v>
      </c>
      <c r="D232" s="7">
        <v>7134</v>
      </c>
      <c r="E232" t="s">
        <v>245</v>
      </c>
      <c r="F232" t="s">
        <v>246</v>
      </c>
      <c r="G232" t="s">
        <v>247</v>
      </c>
      <c r="H232" t="s">
        <v>3734</v>
      </c>
      <c r="I232" s="7">
        <v>1165</v>
      </c>
      <c r="J232" t="s">
        <v>4356</v>
      </c>
      <c r="K232" t="s">
        <v>4357</v>
      </c>
      <c r="L232" t="s">
        <v>4358</v>
      </c>
      <c r="M232" t="s">
        <v>261</v>
      </c>
      <c r="N232" t="s">
        <v>3794</v>
      </c>
      <c r="O232" t="s">
        <v>4359</v>
      </c>
      <c r="P232" t="s">
        <v>4347</v>
      </c>
      <c r="Q232" s="8">
        <v>1150</v>
      </c>
      <c r="R232" s="8">
        <v>1150</v>
      </c>
      <c r="S232" s="8">
        <v>207</v>
      </c>
      <c r="T232" s="8">
        <v>1357</v>
      </c>
      <c r="U232" s="7">
        <v>622720</v>
      </c>
      <c r="V232" t="s">
        <v>5062</v>
      </c>
      <c r="W232" s="8">
        <v>0</v>
      </c>
      <c r="X232" s="7">
        <v>33973</v>
      </c>
      <c r="Y232" t="s">
        <v>5062</v>
      </c>
    </row>
    <row r="233" spans="1:25">
      <c r="A233" s="7">
        <v>232</v>
      </c>
      <c r="B233" t="s">
        <v>243</v>
      </c>
      <c r="C233" t="s">
        <v>244</v>
      </c>
      <c r="D233" s="7">
        <v>7134</v>
      </c>
      <c r="E233" t="s">
        <v>245</v>
      </c>
      <c r="F233" t="s">
        <v>246</v>
      </c>
      <c r="G233" t="s">
        <v>247</v>
      </c>
      <c r="H233" t="s">
        <v>4349</v>
      </c>
      <c r="I233" s="7">
        <v>1165</v>
      </c>
      <c r="J233" t="s">
        <v>4350</v>
      </c>
      <c r="K233" t="s">
        <v>3943</v>
      </c>
      <c r="L233" t="s">
        <v>3944</v>
      </c>
      <c r="M233" t="s">
        <v>252</v>
      </c>
      <c r="N233" t="s">
        <v>3794</v>
      </c>
      <c r="O233" t="s">
        <v>726</v>
      </c>
      <c r="P233" t="s">
        <v>4347</v>
      </c>
      <c r="Q233" s="8">
        <v>1150</v>
      </c>
      <c r="R233" s="8">
        <v>1150</v>
      </c>
      <c r="S233" s="8">
        <v>207</v>
      </c>
      <c r="T233" s="8">
        <v>1357</v>
      </c>
      <c r="U233" s="7">
        <v>622720</v>
      </c>
      <c r="V233" t="s">
        <v>5062</v>
      </c>
      <c r="W233" s="8">
        <v>0</v>
      </c>
      <c r="X233" s="7">
        <v>33973</v>
      </c>
      <c r="Y233" t="s">
        <v>5062</v>
      </c>
    </row>
    <row r="234" spans="1:25">
      <c r="A234" s="7">
        <v>233</v>
      </c>
      <c r="B234" t="s">
        <v>243</v>
      </c>
      <c r="C234" t="s">
        <v>244</v>
      </c>
      <c r="D234" s="7">
        <v>7134</v>
      </c>
      <c r="E234" t="s">
        <v>245</v>
      </c>
      <c r="F234" t="s">
        <v>246</v>
      </c>
      <c r="G234" t="s">
        <v>247</v>
      </c>
      <c r="H234" t="s">
        <v>3750</v>
      </c>
      <c r="I234" s="7">
        <v>1165</v>
      </c>
      <c r="J234" t="s">
        <v>4432</v>
      </c>
      <c r="K234" t="s">
        <v>4433</v>
      </c>
      <c r="L234" t="s">
        <v>4434</v>
      </c>
      <c r="M234" t="s">
        <v>361</v>
      </c>
      <c r="N234" t="s">
        <v>3794</v>
      </c>
      <c r="O234" t="s">
        <v>4423</v>
      </c>
      <c r="P234" t="s">
        <v>4347</v>
      </c>
      <c r="Q234" s="8">
        <v>1500</v>
      </c>
      <c r="R234" s="8">
        <v>1500</v>
      </c>
      <c r="S234" s="8">
        <v>270</v>
      </c>
      <c r="T234" s="8">
        <v>1770</v>
      </c>
      <c r="U234" s="7">
        <v>622720</v>
      </c>
      <c r="V234" t="s">
        <v>5062</v>
      </c>
      <c r="W234" s="8">
        <v>0</v>
      </c>
      <c r="X234" s="7">
        <v>33973</v>
      </c>
      <c r="Y234" t="s">
        <v>5062</v>
      </c>
    </row>
    <row r="235" spans="1:25">
      <c r="A235" s="7">
        <v>234</v>
      </c>
      <c r="B235" t="s">
        <v>243</v>
      </c>
      <c r="C235" t="s">
        <v>244</v>
      </c>
      <c r="D235" s="7">
        <v>7134</v>
      </c>
      <c r="E235" t="s">
        <v>245</v>
      </c>
      <c r="F235" t="s">
        <v>246</v>
      </c>
      <c r="G235" t="s">
        <v>247</v>
      </c>
      <c r="H235" t="s">
        <v>3736</v>
      </c>
      <c r="I235" s="7">
        <v>1165</v>
      </c>
      <c r="J235" t="s">
        <v>4417</v>
      </c>
      <c r="K235" t="s">
        <v>4418</v>
      </c>
      <c r="L235" t="s">
        <v>4419</v>
      </c>
      <c r="M235" t="s">
        <v>361</v>
      </c>
      <c r="N235" t="s">
        <v>3794</v>
      </c>
      <c r="O235" t="s">
        <v>3466</v>
      </c>
      <c r="P235" t="s">
        <v>4347</v>
      </c>
      <c r="Q235" s="8">
        <v>1500</v>
      </c>
      <c r="R235" s="8">
        <v>1500</v>
      </c>
      <c r="S235" s="8">
        <v>270</v>
      </c>
      <c r="T235" s="8">
        <v>1770</v>
      </c>
      <c r="U235" s="7">
        <v>622720</v>
      </c>
      <c r="V235" t="s">
        <v>5062</v>
      </c>
      <c r="W235" s="8">
        <v>0</v>
      </c>
      <c r="X235" s="7">
        <v>33973</v>
      </c>
      <c r="Y235" t="s">
        <v>5062</v>
      </c>
    </row>
    <row r="236" spans="1:25">
      <c r="A236" s="7">
        <v>235</v>
      </c>
      <c r="B236" t="s">
        <v>243</v>
      </c>
      <c r="C236" t="s">
        <v>244</v>
      </c>
      <c r="D236" s="7">
        <v>7134</v>
      </c>
      <c r="E236" t="s">
        <v>245</v>
      </c>
      <c r="F236" t="s">
        <v>246</v>
      </c>
      <c r="G236" t="s">
        <v>247</v>
      </c>
      <c r="H236" t="s">
        <v>4869</v>
      </c>
      <c r="I236" s="7">
        <v>1165</v>
      </c>
      <c r="J236" t="s">
        <v>5082</v>
      </c>
      <c r="K236" t="s">
        <v>5083</v>
      </c>
      <c r="L236" t="s">
        <v>5084</v>
      </c>
      <c r="M236" t="s">
        <v>267</v>
      </c>
      <c r="N236" t="s">
        <v>3798</v>
      </c>
      <c r="O236" t="s">
        <v>3477</v>
      </c>
      <c r="P236" t="s">
        <v>5063</v>
      </c>
      <c r="Q236" s="8">
        <v>1150</v>
      </c>
      <c r="R236" s="8">
        <v>1150</v>
      </c>
      <c r="S236" s="8">
        <v>207</v>
      </c>
      <c r="T236" s="8">
        <v>1357</v>
      </c>
      <c r="U236" s="7">
        <v>622940</v>
      </c>
      <c r="V236" t="s">
        <v>4860</v>
      </c>
      <c r="W236" s="8">
        <v>0</v>
      </c>
      <c r="X236" s="7">
        <v>34193</v>
      </c>
      <c r="Y236" t="s">
        <v>4860</v>
      </c>
    </row>
    <row r="237" spans="1:25">
      <c r="A237" s="7">
        <v>236</v>
      </c>
      <c r="B237" t="s">
        <v>243</v>
      </c>
      <c r="C237" t="s">
        <v>244</v>
      </c>
      <c r="D237" s="7">
        <v>7134</v>
      </c>
      <c r="E237" t="s">
        <v>245</v>
      </c>
      <c r="F237" t="s">
        <v>246</v>
      </c>
      <c r="G237" t="s">
        <v>247</v>
      </c>
      <c r="H237" t="s">
        <v>3426</v>
      </c>
      <c r="I237" s="7">
        <v>1165</v>
      </c>
      <c r="J237" t="s">
        <v>5085</v>
      </c>
      <c r="K237" t="s">
        <v>4967</v>
      </c>
      <c r="L237" t="s">
        <v>4968</v>
      </c>
      <c r="M237" t="s">
        <v>361</v>
      </c>
      <c r="N237" t="s">
        <v>3798</v>
      </c>
      <c r="O237" t="s">
        <v>5086</v>
      </c>
      <c r="P237" t="s">
        <v>5063</v>
      </c>
      <c r="Q237" s="8">
        <v>1500</v>
      </c>
      <c r="R237" s="8">
        <v>1500</v>
      </c>
      <c r="S237" s="8">
        <v>270</v>
      </c>
      <c r="T237" s="8">
        <v>1770</v>
      </c>
      <c r="U237" s="7">
        <v>622940</v>
      </c>
      <c r="V237" t="s">
        <v>4860</v>
      </c>
      <c r="W237" s="8">
        <v>0</v>
      </c>
      <c r="X237" s="7">
        <v>34193</v>
      </c>
      <c r="Y237" t="s">
        <v>4860</v>
      </c>
    </row>
    <row r="238" spans="1:25">
      <c r="A238" s="7">
        <v>237</v>
      </c>
      <c r="B238" t="s">
        <v>243</v>
      </c>
      <c r="C238" t="s">
        <v>244</v>
      </c>
      <c r="D238" s="7">
        <v>7134</v>
      </c>
      <c r="E238" t="s">
        <v>245</v>
      </c>
      <c r="F238" t="s">
        <v>246</v>
      </c>
      <c r="G238" t="s">
        <v>247</v>
      </c>
      <c r="H238" t="s">
        <v>3727</v>
      </c>
      <c r="I238" s="7">
        <v>1165</v>
      </c>
      <c r="J238" t="s">
        <v>5087</v>
      </c>
      <c r="K238" t="s">
        <v>3936</v>
      </c>
      <c r="L238" t="s">
        <v>3937</v>
      </c>
      <c r="M238" t="s">
        <v>252</v>
      </c>
      <c r="N238" t="s">
        <v>3798</v>
      </c>
      <c r="O238" t="s">
        <v>4399</v>
      </c>
      <c r="P238" t="s">
        <v>5063</v>
      </c>
      <c r="Q238" s="8">
        <v>1150</v>
      </c>
      <c r="R238" s="8">
        <v>1150</v>
      </c>
      <c r="S238" s="8">
        <v>207</v>
      </c>
      <c r="T238" s="8">
        <v>1357</v>
      </c>
      <c r="U238" s="7">
        <v>622940</v>
      </c>
      <c r="V238" t="s">
        <v>4860</v>
      </c>
      <c r="W238" s="8">
        <v>0</v>
      </c>
      <c r="X238" s="7">
        <v>34193</v>
      </c>
      <c r="Y238" t="s">
        <v>4860</v>
      </c>
    </row>
    <row r="239" spans="1:25">
      <c r="A239" s="7">
        <v>238</v>
      </c>
      <c r="B239" t="s">
        <v>243</v>
      </c>
      <c r="C239" t="s">
        <v>244</v>
      </c>
      <c r="D239" s="7">
        <v>7134</v>
      </c>
      <c r="E239" t="s">
        <v>245</v>
      </c>
      <c r="F239" t="s">
        <v>246</v>
      </c>
      <c r="G239" t="s">
        <v>247</v>
      </c>
      <c r="H239" t="s">
        <v>4863</v>
      </c>
      <c r="I239" s="7">
        <v>1165</v>
      </c>
      <c r="J239" t="s">
        <v>5088</v>
      </c>
      <c r="K239" t="s">
        <v>4131</v>
      </c>
      <c r="L239" t="s">
        <v>4132</v>
      </c>
      <c r="M239" t="s">
        <v>261</v>
      </c>
      <c r="N239" t="s">
        <v>3798</v>
      </c>
      <c r="O239" t="s">
        <v>5089</v>
      </c>
      <c r="P239" t="s">
        <v>5063</v>
      </c>
      <c r="Q239" s="8">
        <v>1150</v>
      </c>
      <c r="R239" s="8">
        <v>1150</v>
      </c>
      <c r="S239" s="8">
        <v>207</v>
      </c>
      <c r="T239" s="8">
        <v>1357</v>
      </c>
      <c r="U239" s="7">
        <v>622940</v>
      </c>
      <c r="V239" t="s">
        <v>4860</v>
      </c>
      <c r="W239" s="8">
        <v>0</v>
      </c>
      <c r="X239" s="7">
        <v>34193</v>
      </c>
      <c r="Y239" t="s">
        <v>4860</v>
      </c>
    </row>
    <row r="240" spans="1:25">
      <c r="A240" s="7">
        <v>239</v>
      </c>
      <c r="B240" t="s">
        <v>243</v>
      </c>
      <c r="C240" t="s">
        <v>244</v>
      </c>
      <c r="D240" s="7">
        <v>7134</v>
      </c>
      <c r="E240" t="s">
        <v>245</v>
      </c>
      <c r="F240" t="s">
        <v>246</v>
      </c>
      <c r="G240" t="s">
        <v>247</v>
      </c>
      <c r="H240" t="s">
        <v>4877</v>
      </c>
      <c r="I240" s="7">
        <v>1165</v>
      </c>
      <c r="J240" t="s">
        <v>5090</v>
      </c>
      <c r="K240" t="s">
        <v>4931</v>
      </c>
      <c r="L240" t="s">
        <v>4932</v>
      </c>
      <c r="M240" t="s">
        <v>261</v>
      </c>
      <c r="N240" t="s">
        <v>3798</v>
      </c>
      <c r="O240" t="s">
        <v>4410</v>
      </c>
      <c r="P240" t="s">
        <v>5063</v>
      </c>
      <c r="Q240" s="8">
        <v>1150</v>
      </c>
      <c r="R240" s="8">
        <v>1150</v>
      </c>
      <c r="S240" s="8">
        <v>207</v>
      </c>
      <c r="T240" s="8">
        <v>1357</v>
      </c>
      <c r="U240" s="7">
        <v>622940</v>
      </c>
      <c r="V240" t="s">
        <v>4860</v>
      </c>
      <c r="W240" s="8">
        <v>0</v>
      </c>
      <c r="X240" s="7">
        <v>34193</v>
      </c>
      <c r="Y240" t="s">
        <v>4860</v>
      </c>
    </row>
    <row r="241" spans="1:25">
      <c r="A241" s="7">
        <v>240</v>
      </c>
      <c r="B241" t="s">
        <v>243</v>
      </c>
      <c r="C241" t="s">
        <v>244</v>
      </c>
      <c r="D241" s="7">
        <v>7134</v>
      </c>
      <c r="E241" t="s">
        <v>245</v>
      </c>
      <c r="F241" t="s">
        <v>246</v>
      </c>
      <c r="G241" t="s">
        <v>247</v>
      </c>
      <c r="H241" t="s">
        <v>4863</v>
      </c>
      <c r="I241" s="7">
        <v>1165</v>
      </c>
      <c r="J241" t="s">
        <v>5091</v>
      </c>
      <c r="K241" t="s">
        <v>5092</v>
      </c>
      <c r="L241" t="s">
        <v>5093</v>
      </c>
      <c r="M241" t="s">
        <v>252</v>
      </c>
      <c r="N241" t="s">
        <v>3798</v>
      </c>
      <c r="O241" t="s">
        <v>3466</v>
      </c>
      <c r="P241" t="s">
        <v>5063</v>
      </c>
      <c r="Q241" s="8">
        <v>1150</v>
      </c>
      <c r="R241" s="8">
        <v>1150</v>
      </c>
      <c r="S241" s="8">
        <v>207</v>
      </c>
      <c r="T241" s="8">
        <v>1357</v>
      </c>
      <c r="U241" s="7">
        <v>622940</v>
      </c>
      <c r="V241" t="s">
        <v>4860</v>
      </c>
      <c r="W241" s="8">
        <v>0</v>
      </c>
      <c r="X241" s="7">
        <v>34193</v>
      </c>
      <c r="Y241" t="s">
        <v>4860</v>
      </c>
    </row>
    <row r="242" spans="1:25">
      <c r="A242" s="7">
        <v>241</v>
      </c>
      <c r="B242" t="s">
        <v>243</v>
      </c>
      <c r="C242" t="s">
        <v>244</v>
      </c>
      <c r="D242" s="7">
        <v>7134</v>
      </c>
      <c r="E242" t="s">
        <v>245</v>
      </c>
      <c r="F242" t="s">
        <v>246</v>
      </c>
      <c r="G242" t="s">
        <v>247</v>
      </c>
      <c r="H242" t="s">
        <v>3426</v>
      </c>
      <c r="I242" s="7">
        <v>1165</v>
      </c>
      <c r="J242" t="s">
        <v>5094</v>
      </c>
      <c r="K242" t="s">
        <v>5095</v>
      </c>
      <c r="L242" t="s">
        <v>5096</v>
      </c>
      <c r="M242" t="s">
        <v>261</v>
      </c>
      <c r="N242" t="s">
        <v>3798</v>
      </c>
      <c r="O242" t="s">
        <v>5097</v>
      </c>
      <c r="P242" t="s">
        <v>5063</v>
      </c>
      <c r="Q242" s="8">
        <v>1150</v>
      </c>
      <c r="R242" s="8">
        <v>1150</v>
      </c>
      <c r="S242" s="8">
        <v>207</v>
      </c>
      <c r="T242" s="8">
        <v>1357</v>
      </c>
      <c r="U242" s="7">
        <v>622940</v>
      </c>
      <c r="V242" t="s">
        <v>4860</v>
      </c>
      <c r="W242" s="8">
        <v>0</v>
      </c>
      <c r="X242" s="7">
        <v>34193</v>
      </c>
      <c r="Y242" t="s">
        <v>4860</v>
      </c>
    </row>
    <row r="243" spans="1:25">
      <c r="A243" s="7">
        <v>242</v>
      </c>
      <c r="B243" t="s">
        <v>243</v>
      </c>
      <c r="C243" t="s">
        <v>244</v>
      </c>
      <c r="D243" s="7">
        <v>7134</v>
      </c>
      <c r="E243" t="s">
        <v>245</v>
      </c>
      <c r="F243" t="s">
        <v>246</v>
      </c>
      <c r="G243" t="s">
        <v>247</v>
      </c>
      <c r="H243" t="s">
        <v>4863</v>
      </c>
      <c r="I243" s="7">
        <v>1165</v>
      </c>
      <c r="J243" t="s">
        <v>5098</v>
      </c>
      <c r="K243" t="s">
        <v>5099</v>
      </c>
      <c r="L243" t="s">
        <v>5100</v>
      </c>
      <c r="M243" t="s">
        <v>398</v>
      </c>
      <c r="N243" t="s">
        <v>3798</v>
      </c>
      <c r="O243" t="s">
        <v>5101</v>
      </c>
      <c r="P243" t="s">
        <v>5063</v>
      </c>
      <c r="Q243" s="8">
        <v>1150</v>
      </c>
      <c r="R243" s="8">
        <v>1150</v>
      </c>
      <c r="S243" s="8">
        <v>207</v>
      </c>
      <c r="T243" s="8">
        <v>1357</v>
      </c>
      <c r="U243" s="7">
        <v>622940</v>
      </c>
      <c r="V243" t="s">
        <v>4860</v>
      </c>
      <c r="W243" s="8">
        <v>0</v>
      </c>
      <c r="X243" s="7">
        <v>34193</v>
      </c>
      <c r="Y243" t="s">
        <v>4860</v>
      </c>
    </row>
    <row r="244" spans="1:25">
      <c r="A244" s="7">
        <v>243</v>
      </c>
      <c r="B244" t="s">
        <v>243</v>
      </c>
      <c r="C244" t="s">
        <v>244</v>
      </c>
      <c r="D244" s="7">
        <v>7134</v>
      </c>
      <c r="E244" t="s">
        <v>245</v>
      </c>
      <c r="F244" t="s">
        <v>246</v>
      </c>
      <c r="G244" t="s">
        <v>247</v>
      </c>
      <c r="H244" t="s">
        <v>4864</v>
      </c>
      <c r="I244" s="7">
        <v>1165</v>
      </c>
      <c r="J244" t="s">
        <v>5102</v>
      </c>
      <c r="K244" t="s">
        <v>4974</v>
      </c>
      <c r="L244" t="s">
        <v>4975</v>
      </c>
      <c r="M244" t="s">
        <v>252</v>
      </c>
      <c r="N244" t="s">
        <v>3798</v>
      </c>
      <c r="O244" t="s">
        <v>5103</v>
      </c>
      <c r="P244" t="s">
        <v>5063</v>
      </c>
      <c r="Q244" s="8">
        <v>1150</v>
      </c>
      <c r="R244" s="8">
        <v>1150</v>
      </c>
      <c r="S244" s="8">
        <v>207</v>
      </c>
      <c r="T244" s="8">
        <v>1357</v>
      </c>
      <c r="U244" s="7">
        <v>622940</v>
      </c>
      <c r="V244" t="s">
        <v>4860</v>
      </c>
      <c r="W244" s="8">
        <v>0</v>
      </c>
      <c r="X244" s="7">
        <v>34193</v>
      </c>
      <c r="Y244" t="s">
        <v>4860</v>
      </c>
    </row>
    <row r="245" spans="1:25">
      <c r="A245" s="7">
        <v>244</v>
      </c>
      <c r="B245" t="s">
        <v>243</v>
      </c>
      <c r="C245" t="s">
        <v>244</v>
      </c>
      <c r="D245" s="7">
        <v>7134</v>
      </c>
      <c r="E245" t="s">
        <v>245</v>
      </c>
      <c r="F245" t="s">
        <v>246</v>
      </c>
      <c r="G245" t="s">
        <v>247</v>
      </c>
      <c r="H245" t="s">
        <v>3727</v>
      </c>
      <c r="I245" s="7">
        <v>1165</v>
      </c>
      <c r="J245" t="s">
        <v>492</v>
      </c>
      <c r="K245" t="s">
        <v>5104</v>
      </c>
      <c r="L245" t="s">
        <v>5105</v>
      </c>
      <c r="M245" t="s">
        <v>252</v>
      </c>
      <c r="N245" t="s">
        <v>3798</v>
      </c>
      <c r="O245" t="s">
        <v>5106</v>
      </c>
      <c r="P245" t="s">
        <v>5063</v>
      </c>
      <c r="Q245" s="8">
        <v>1150</v>
      </c>
      <c r="R245" s="8">
        <v>1150</v>
      </c>
      <c r="S245" s="8">
        <v>207</v>
      </c>
      <c r="T245" s="8">
        <v>1357</v>
      </c>
      <c r="U245" s="7">
        <v>622940</v>
      </c>
      <c r="V245" t="s">
        <v>4860</v>
      </c>
      <c r="W245" s="8">
        <v>0</v>
      </c>
      <c r="X245" s="7">
        <v>34193</v>
      </c>
      <c r="Y245" t="s">
        <v>4860</v>
      </c>
    </row>
    <row r="246" spans="1:25">
      <c r="A246" s="7">
        <v>245</v>
      </c>
      <c r="B246" t="s">
        <v>243</v>
      </c>
      <c r="C246" t="s">
        <v>244</v>
      </c>
      <c r="D246" s="7">
        <v>7134</v>
      </c>
      <c r="E246" t="s">
        <v>245</v>
      </c>
      <c r="F246" t="s">
        <v>246</v>
      </c>
      <c r="G246" t="s">
        <v>247</v>
      </c>
      <c r="H246" t="s">
        <v>3426</v>
      </c>
      <c r="I246" s="7">
        <v>1165</v>
      </c>
      <c r="J246" t="s">
        <v>5107</v>
      </c>
      <c r="K246" t="s">
        <v>4310</v>
      </c>
      <c r="L246" t="s">
        <v>4311</v>
      </c>
      <c r="M246" t="s">
        <v>398</v>
      </c>
      <c r="N246" t="s">
        <v>3798</v>
      </c>
      <c r="O246" t="s">
        <v>5101</v>
      </c>
      <c r="P246" t="s">
        <v>5063</v>
      </c>
      <c r="Q246" s="8">
        <v>1150</v>
      </c>
      <c r="R246" s="8">
        <v>1150</v>
      </c>
      <c r="S246" s="8">
        <v>207</v>
      </c>
      <c r="T246" s="8">
        <v>1357</v>
      </c>
      <c r="U246" s="7">
        <v>622940</v>
      </c>
      <c r="V246" t="s">
        <v>4860</v>
      </c>
      <c r="W246" s="8">
        <v>0</v>
      </c>
      <c r="X246" s="7">
        <v>34193</v>
      </c>
      <c r="Y246" t="s">
        <v>4860</v>
      </c>
    </row>
    <row r="247" spans="1:25">
      <c r="A247" s="7">
        <v>246</v>
      </c>
      <c r="B247" t="s">
        <v>243</v>
      </c>
      <c r="C247" t="s">
        <v>244</v>
      </c>
      <c r="D247" s="7">
        <v>7134</v>
      </c>
      <c r="E247" t="s">
        <v>245</v>
      </c>
      <c r="F247" t="s">
        <v>246</v>
      </c>
      <c r="G247" t="s">
        <v>247</v>
      </c>
      <c r="H247" t="s">
        <v>4864</v>
      </c>
      <c r="I247" s="7">
        <v>1165</v>
      </c>
      <c r="J247" t="s">
        <v>5108</v>
      </c>
      <c r="K247" t="s">
        <v>5109</v>
      </c>
      <c r="L247" t="s">
        <v>5110</v>
      </c>
      <c r="M247" t="s">
        <v>398</v>
      </c>
      <c r="N247" t="s">
        <v>3798</v>
      </c>
      <c r="O247" t="s">
        <v>5111</v>
      </c>
      <c r="P247" t="s">
        <v>5063</v>
      </c>
      <c r="Q247" s="8">
        <v>1150</v>
      </c>
      <c r="R247" s="8">
        <v>1150</v>
      </c>
      <c r="S247" s="8">
        <v>207</v>
      </c>
      <c r="T247" s="8">
        <v>1357</v>
      </c>
      <c r="U247" s="7">
        <v>622940</v>
      </c>
      <c r="V247" t="s">
        <v>4860</v>
      </c>
      <c r="W247" s="8">
        <v>0</v>
      </c>
      <c r="X247" s="7">
        <v>34193</v>
      </c>
      <c r="Y247" t="s">
        <v>4860</v>
      </c>
    </row>
    <row r="248" spans="1:25">
      <c r="A248" s="7">
        <v>247</v>
      </c>
      <c r="B248" t="s">
        <v>243</v>
      </c>
      <c r="C248" t="s">
        <v>244</v>
      </c>
      <c r="D248" s="7">
        <v>7134</v>
      </c>
      <c r="E248" t="s">
        <v>245</v>
      </c>
      <c r="F248" t="s">
        <v>246</v>
      </c>
      <c r="G248" t="s">
        <v>247</v>
      </c>
      <c r="H248" t="s">
        <v>3426</v>
      </c>
      <c r="I248" s="7">
        <v>1165</v>
      </c>
      <c r="J248" t="s">
        <v>5112</v>
      </c>
      <c r="K248" t="s">
        <v>4989</v>
      </c>
      <c r="L248" t="s">
        <v>4990</v>
      </c>
      <c r="M248" t="s">
        <v>252</v>
      </c>
      <c r="N248" t="s">
        <v>3798</v>
      </c>
      <c r="O248" t="s">
        <v>4410</v>
      </c>
      <c r="P248" t="s">
        <v>5063</v>
      </c>
      <c r="Q248" s="8">
        <v>1150</v>
      </c>
      <c r="R248" s="8">
        <v>1150</v>
      </c>
      <c r="S248" s="8">
        <v>207</v>
      </c>
      <c r="T248" s="8">
        <v>1357</v>
      </c>
      <c r="U248" s="7">
        <v>622940</v>
      </c>
      <c r="V248" t="s">
        <v>4860</v>
      </c>
      <c r="W248" s="8">
        <v>0</v>
      </c>
      <c r="X248" s="7">
        <v>34193</v>
      </c>
      <c r="Y248" t="s">
        <v>4860</v>
      </c>
    </row>
    <row r="249" spans="1:25">
      <c r="A249" s="7">
        <v>248</v>
      </c>
      <c r="B249" t="s">
        <v>243</v>
      </c>
      <c r="C249" t="s">
        <v>244</v>
      </c>
      <c r="D249" s="7">
        <v>7134</v>
      </c>
      <c r="E249" t="s">
        <v>245</v>
      </c>
      <c r="F249" t="s">
        <v>246</v>
      </c>
      <c r="G249" t="s">
        <v>247</v>
      </c>
      <c r="H249" t="s">
        <v>4864</v>
      </c>
      <c r="I249" s="7">
        <v>1165</v>
      </c>
      <c r="J249" t="s">
        <v>5113</v>
      </c>
      <c r="K249" t="s">
        <v>4977</v>
      </c>
      <c r="L249" t="s">
        <v>4978</v>
      </c>
      <c r="M249" t="s">
        <v>361</v>
      </c>
      <c r="N249" t="s">
        <v>3798</v>
      </c>
      <c r="O249" t="s">
        <v>4423</v>
      </c>
      <c r="P249" t="s">
        <v>5063</v>
      </c>
      <c r="Q249" s="8">
        <v>1500</v>
      </c>
      <c r="R249" s="8">
        <v>1500</v>
      </c>
      <c r="S249" s="8">
        <v>270</v>
      </c>
      <c r="T249" s="8">
        <v>1770</v>
      </c>
      <c r="U249" s="7">
        <v>622940</v>
      </c>
      <c r="V249" t="s">
        <v>4860</v>
      </c>
      <c r="W249" s="8">
        <v>0</v>
      </c>
      <c r="X249" s="7">
        <v>34193</v>
      </c>
      <c r="Y249" t="s">
        <v>4860</v>
      </c>
    </row>
    <row r="250" spans="1:25">
      <c r="A250" s="7">
        <v>249</v>
      </c>
      <c r="B250" t="s">
        <v>243</v>
      </c>
      <c r="C250" t="s">
        <v>244</v>
      </c>
      <c r="D250" s="7">
        <v>7134</v>
      </c>
      <c r="E250" t="s">
        <v>245</v>
      </c>
      <c r="F250" t="s">
        <v>246</v>
      </c>
      <c r="G250" t="s">
        <v>247</v>
      </c>
      <c r="H250" t="s">
        <v>4864</v>
      </c>
      <c r="I250" s="7">
        <v>1165</v>
      </c>
      <c r="J250" t="s">
        <v>5114</v>
      </c>
      <c r="K250" t="s">
        <v>4226</v>
      </c>
      <c r="L250" t="s">
        <v>4227</v>
      </c>
      <c r="M250" t="s">
        <v>261</v>
      </c>
      <c r="N250" t="s">
        <v>3798</v>
      </c>
      <c r="O250" t="s">
        <v>4410</v>
      </c>
      <c r="P250" t="s">
        <v>5063</v>
      </c>
      <c r="Q250" s="8">
        <v>1150</v>
      </c>
      <c r="R250" s="8">
        <v>1150</v>
      </c>
      <c r="S250" s="8">
        <v>207</v>
      </c>
      <c r="T250" s="8">
        <v>1357</v>
      </c>
      <c r="U250" s="7">
        <v>622940</v>
      </c>
      <c r="V250" t="s">
        <v>4860</v>
      </c>
      <c r="W250" s="8">
        <v>0</v>
      </c>
      <c r="X250" s="7">
        <v>34193</v>
      </c>
      <c r="Y250" t="s">
        <v>4860</v>
      </c>
    </row>
    <row r="251" spans="1:25">
      <c r="A251" s="7">
        <v>250</v>
      </c>
      <c r="B251" t="s">
        <v>243</v>
      </c>
      <c r="C251" t="s">
        <v>244</v>
      </c>
      <c r="D251" s="7">
        <v>7134</v>
      </c>
      <c r="E251" t="s">
        <v>245</v>
      </c>
      <c r="F251" t="s">
        <v>246</v>
      </c>
      <c r="G251" t="s">
        <v>247</v>
      </c>
      <c r="H251" t="s">
        <v>4863</v>
      </c>
      <c r="I251" s="7">
        <v>1165</v>
      </c>
      <c r="J251" t="s">
        <v>5115</v>
      </c>
      <c r="K251" t="s">
        <v>4982</v>
      </c>
      <c r="L251" t="s">
        <v>4983</v>
      </c>
      <c r="M251" t="s">
        <v>361</v>
      </c>
      <c r="N251" t="s">
        <v>3798</v>
      </c>
      <c r="O251" t="s">
        <v>5116</v>
      </c>
      <c r="P251" t="s">
        <v>5063</v>
      </c>
      <c r="Q251" s="8">
        <v>1500</v>
      </c>
      <c r="R251" s="8">
        <v>1500</v>
      </c>
      <c r="S251" s="8">
        <v>270</v>
      </c>
      <c r="T251" s="8">
        <v>1770</v>
      </c>
      <c r="U251" s="7">
        <v>622940</v>
      </c>
      <c r="V251" t="s">
        <v>4860</v>
      </c>
      <c r="W251" s="8">
        <v>0</v>
      </c>
      <c r="X251" s="7">
        <v>34193</v>
      </c>
      <c r="Y251" t="s">
        <v>4860</v>
      </c>
    </row>
    <row r="252" spans="1:25">
      <c r="A252" s="7">
        <v>251</v>
      </c>
      <c r="B252" t="s">
        <v>243</v>
      </c>
      <c r="C252" t="s">
        <v>244</v>
      </c>
      <c r="D252" s="7">
        <v>7134</v>
      </c>
      <c r="E252" t="s">
        <v>245</v>
      </c>
      <c r="F252" t="s">
        <v>246</v>
      </c>
      <c r="G252" t="s">
        <v>247</v>
      </c>
      <c r="H252" t="s">
        <v>4868</v>
      </c>
      <c r="I252" s="7">
        <v>1165</v>
      </c>
      <c r="J252" t="s">
        <v>5117</v>
      </c>
      <c r="K252" t="s">
        <v>5010</v>
      </c>
      <c r="L252" t="s">
        <v>5011</v>
      </c>
      <c r="M252" t="s">
        <v>361</v>
      </c>
      <c r="N252" t="s">
        <v>3798</v>
      </c>
      <c r="O252" t="s">
        <v>5118</v>
      </c>
      <c r="P252" t="s">
        <v>5063</v>
      </c>
      <c r="Q252" s="8">
        <v>1500</v>
      </c>
      <c r="R252" s="8">
        <v>1500</v>
      </c>
      <c r="S252" s="8">
        <v>270</v>
      </c>
      <c r="T252" s="8">
        <v>1770</v>
      </c>
      <c r="U252" s="7">
        <v>622940</v>
      </c>
      <c r="V252" t="s">
        <v>4860</v>
      </c>
      <c r="W252" s="8">
        <v>0</v>
      </c>
      <c r="X252" s="7">
        <v>34193</v>
      </c>
      <c r="Y252" t="s">
        <v>4860</v>
      </c>
    </row>
    <row r="253" spans="1:25">
      <c r="A253" s="7">
        <v>252</v>
      </c>
      <c r="B253" t="s">
        <v>243</v>
      </c>
      <c r="C253" t="s">
        <v>244</v>
      </c>
      <c r="D253" s="7">
        <v>7134</v>
      </c>
      <c r="E253" t="s">
        <v>245</v>
      </c>
      <c r="F253" t="s">
        <v>246</v>
      </c>
      <c r="G253" t="s">
        <v>247</v>
      </c>
      <c r="H253" t="s">
        <v>3727</v>
      </c>
      <c r="I253" s="7">
        <v>1165</v>
      </c>
      <c r="J253" t="s">
        <v>5119</v>
      </c>
      <c r="K253" t="s">
        <v>5120</v>
      </c>
      <c r="L253" t="s">
        <v>5121</v>
      </c>
      <c r="M253" t="s">
        <v>261</v>
      </c>
      <c r="N253" t="s">
        <v>3798</v>
      </c>
      <c r="O253" t="s">
        <v>4391</v>
      </c>
      <c r="P253" t="s">
        <v>5063</v>
      </c>
      <c r="Q253" s="8">
        <v>1150</v>
      </c>
      <c r="R253" s="8">
        <v>1150</v>
      </c>
      <c r="S253" s="8">
        <v>207</v>
      </c>
      <c r="T253" s="8">
        <v>1357</v>
      </c>
      <c r="U253" s="7">
        <v>622940</v>
      </c>
      <c r="V253" t="s">
        <v>4860</v>
      </c>
      <c r="W253" s="8">
        <v>0</v>
      </c>
      <c r="X253" s="7">
        <v>34193</v>
      </c>
      <c r="Y253" t="s">
        <v>4860</v>
      </c>
    </row>
    <row r="254" spans="1:25">
      <c r="A254" s="7">
        <v>253</v>
      </c>
      <c r="B254" t="s">
        <v>243</v>
      </c>
      <c r="C254" t="s">
        <v>244</v>
      </c>
      <c r="D254" s="7">
        <v>7134</v>
      </c>
      <c r="E254" t="s">
        <v>245</v>
      </c>
      <c r="F254" t="s">
        <v>246</v>
      </c>
      <c r="G254" t="s">
        <v>247</v>
      </c>
      <c r="H254" t="s">
        <v>4877</v>
      </c>
      <c r="I254" s="7">
        <v>1165</v>
      </c>
      <c r="J254" t="s">
        <v>5122</v>
      </c>
      <c r="K254" t="s">
        <v>5000</v>
      </c>
      <c r="L254" t="s">
        <v>5001</v>
      </c>
      <c r="M254" t="s">
        <v>361</v>
      </c>
      <c r="N254" t="s">
        <v>3798</v>
      </c>
      <c r="O254" t="s">
        <v>5123</v>
      </c>
      <c r="P254" t="s">
        <v>5063</v>
      </c>
      <c r="Q254" s="8">
        <v>1500</v>
      </c>
      <c r="R254" s="8">
        <v>1500</v>
      </c>
      <c r="S254" s="8">
        <v>270</v>
      </c>
      <c r="T254" s="8">
        <v>1770</v>
      </c>
      <c r="U254" s="7">
        <v>622940</v>
      </c>
      <c r="V254" t="s">
        <v>4860</v>
      </c>
      <c r="W254" s="8">
        <v>0</v>
      </c>
      <c r="X254" s="7">
        <v>34193</v>
      </c>
      <c r="Y254" t="s">
        <v>4860</v>
      </c>
    </row>
    <row r="255" spans="1:25">
      <c r="A255" s="7">
        <v>254</v>
      </c>
      <c r="B255" t="s">
        <v>243</v>
      </c>
      <c r="C255" t="s">
        <v>244</v>
      </c>
      <c r="D255" s="7">
        <v>7134</v>
      </c>
      <c r="E255" t="s">
        <v>245</v>
      </c>
      <c r="F255" t="s">
        <v>246</v>
      </c>
      <c r="G255" t="s">
        <v>247</v>
      </c>
      <c r="H255" t="s">
        <v>4863</v>
      </c>
      <c r="I255" s="7">
        <v>1165</v>
      </c>
      <c r="J255" t="s">
        <v>5124</v>
      </c>
      <c r="K255" t="s">
        <v>5125</v>
      </c>
      <c r="L255" t="s">
        <v>5126</v>
      </c>
      <c r="M255" t="s">
        <v>261</v>
      </c>
      <c r="N255" t="s">
        <v>3798</v>
      </c>
      <c r="O255" t="s">
        <v>5106</v>
      </c>
      <c r="P255" t="s">
        <v>5063</v>
      </c>
      <c r="Q255" s="8">
        <v>1150</v>
      </c>
      <c r="R255" s="8">
        <v>1150</v>
      </c>
      <c r="S255" s="8">
        <v>207</v>
      </c>
      <c r="T255" s="8">
        <v>1357</v>
      </c>
      <c r="U255" s="7">
        <v>622940</v>
      </c>
      <c r="V255" t="s">
        <v>4860</v>
      </c>
      <c r="W255" s="8">
        <v>0</v>
      </c>
      <c r="X255" s="7">
        <v>34193</v>
      </c>
      <c r="Y255" t="s">
        <v>4860</v>
      </c>
    </row>
    <row r="256" spans="1:25">
      <c r="A256" s="7">
        <v>255</v>
      </c>
      <c r="B256" t="s">
        <v>243</v>
      </c>
      <c r="C256" t="s">
        <v>244</v>
      </c>
      <c r="D256" s="7">
        <v>7134</v>
      </c>
      <c r="E256" t="s">
        <v>245</v>
      </c>
      <c r="F256" t="s">
        <v>246</v>
      </c>
      <c r="G256" t="s">
        <v>247</v>
      </c>
      <c r="H256" t="s">
        <v>5073</v>
      </c>
      <c r="I256" s="7">
        <v>1165</v>
      </c>
      <c r="J256" t="s">
        <v>5127</v>
      </c>
      <c r="K256" t="s">
        <v>5128</v>
      </c>
      <c r="L256" t="s">
        <v>5129</v>
      </c>
      <c r="M256" t="s">
        <v>261</v>
      </c>
      <c r="N256" t="s">
        <v>3801</v>
      </c>
      <c r="O256" t="s">
        <v>5130</v>
      </c>
      <c r="P256" t="s">
        <v>5063</v>
      </c>
      <c r="Q256" s="8">
        <v>1150</v>
      </c>
      <c r="R256" s="8">
        <v>1150</v>
      </c>
      <c r="S256" s="8">
        <v>207</v>
      </c>
      <c r="T256" s="8">
        <v>1357</v>
      </c>
      <c r="U256" s="7">
        <v>622941</v>
      </c>
      <c r="V256" t="s">
        <v>4860</v>
      </c>
      <c r="W256" s="8">
        <v>0</v>
      </c>
      <c r="X256" s="7">
        <v>34194</v>
      </c>
      <c r="Y256" t="s">
        <v>4860</v>
      </c>
    </row>
    <row r="257" spans="1:25">
      <c r="A257" s="7">
        <v>256</v>
      </c>
      <c r="B257" t="s">
        <v>243</v>
      </c>
      <c r="C257" t="s">
        <v>244</v>
      </c>
      <c r="D257" s="7">
        <v>7134</v>
      </c>
      <c r="E257" t="s">
        <v>245</v>
      </c>
      <c r="F257" t="s">
        <v>246</v>
      </c>
      <c r="G257" t="s">
        <v>247</v>
      </c>
      <c r="H257" t="s">
        <v>4907</v>
      </c>
      <c r="I257" s="7">
        <v>1165</v>
      </c>
      <c r="J257" t="s">
        <v>5131</v>
      </c>
      <c r="K257" t="s">
        <v>5132</v>
      </c>
      <c r="L257" t="s">
        <v>5133</v>
      </c>
      <c r="M257" t="s">
        <v>261</v>
      </c>
      <c r="N257" t="s">
        <v>3801</v>
      </c>
      <c r="O257" t="s">
        <v>5134</v>
      </c>
      <c r="P257" t="s">
        <v>5063</v>
      </c>
      <c r="Q257" s="8">
        <v>1150</v>
      </c>
      <c r="R257" s="8">
        <v>1150</v>
      </c>
      <c r="S257" s="8">
        <v>207</v>
      </c>
      <c r="T257" s="8">
        <v>1357</v>
      </c>
      <c r="U257" s="7">
        <v>622941</v>
      </c>
      <c r="V257" t="s">
        <v>4860</v>
      </c>
      <c r="W257" s="8">
        <v>0</v>
      </c>
      <c r="X257" s="7">
        <v>34194</v>
      </c>
      <c r="Y257" t="s">
        <v>4860</v>
      </c>
    </row>
    <row r="258" spans="1:25">
      <c r="A258" s="7">
        <v>257</v>
      </c>
      <c r="B258" t="s">
        <v>243</v>
      </c>
      <c r="C258" t="s">
        <v>244</v>
      </c>
      <c r="D258" s="7">
        <v>7134</v>
      </c>
      <c r="E258" t="s">
        <v>245</v>
      </c>
      <c r="F258" t="s">
        <v>246</v>
      </c>
      <c r="G258" t="s">
        <v>247</v>
      </c>
      <c r="H258" t="s">
        <v>5064</v>
      </c>
      <c r="I258" s="7">
        <v>1165</v>
      </c>
      <c r="J258" t="s">
        <v>5135</v>
      </c>
      <c r="K258" t="s">
        <v>5136</v>
      </c>
      <c r="L258" t="s">
        <v>5137</v>
      </c>
      <c r="M258" t="s">
        <v>252</v>
      </c>
      <c r="N258" t="s">
        <v>3801</v>
      </c>
      <c r="O258" t="s">
        <v>5116</v>
      </c>
      <c r="P258" t="s">
        <v>5063</v>
      </c>
      <c r="Q258" s="8">
        <v>1150</v>
      </c>
      <c r="R258" s="8">
        <v>1150</v>
      </c>
      <c r="S258" s="8">
        <v>207</v>
      </c>
      <c r="T258" s="8">
        <v>1357</v>
      </c>
      <c r="U258" s="7">
        <v>622941</v>
      </c>
      <c r="V258" t="s">
        <v>4860</v>
      </c>
      <c r="W258" s="8">
        <v>0</v>
      </c>
      <c r="X258" s="7">
        <v>34194</v>
      </c>
      <c r="Y258" t="s">
        <v>4860</v>
      </c>
    </row>
    <row r="259" spans="1:25">
      <c r="A259" s="7">
        <v>258</v>
      </c>
      <c r="B259" t="s">
        <v>243</v>
      </c>
      <c r="C259" t="s">
        <v>244</v>
      </c>
      <c r="D259" s="7">
        <v>7134</v>
      </c>
      <c r="E259" t="s">
        <v>245</v>
      </c>
      <c r="F259" t="s">
        <v>246</v>
      </c>
      <c r="G259" t="s">
        <v>247</v>
      </c>
      <c r="H259" t="s">
        <v>4903</v>
      </c>
      <c r="I259" s="7">
        <v>1165</v>
      </c>
      <c r="J259" t="s">
        <v>5138</v>
      </c>
      <c r="K259" t="s">
        <v>5139</v>
      </c>
      <c r="L259" t="s">
        <v>5140</v>
      </c>
      <c r="M259" t="s">
        <v>361</v>
      </c>
      <c r="N259" t="s">
        <v>3801</v>
      </c>
      <c r="O259" t="s">
        <v>5141</v>
      </c>
      <c r="P259" t="s">
        <v>5063</v>
      </c>
      <c r="Q259" s="8">
        <v>1500</v>
      </c>
      <c r="R259" s="8">
        <v>1500</v>
      </c>
      <c r="S259" s="8">
        <v>270</v>
      </c>
      <c r="T259" s="8">
        <v>1770</v>
      </c>
      <c r="U259" s="7">
        <v>622941</v>
      </c>
      <c r="V259" t="s">
        <v>4860</v>
      </c>
      <c r="W259" s="8">
        <v>0</v>
      </c>
      <c r="X259" s="7">
        <v>34194</v>
      </c>
      <c r="Y259" t="s">
        <v>4860</v>
      </c>
    </row>
    <row r="260" spans="1:25">
      <c r="A260" s="7">
        <v>259</v>
      </c>
      <c r="B260" t="s">
        <v>243</v>
      </c>
      <c r="C260" t="s">
        <v>244</v>
      </c>
      <c r="D260" s="7">
        <v>7134</v>
      </c>
      <c r="E260" t="s">
        <v>245</v>
      </c>
      <c r="F260" t="s">
        <v>246</v>
      </c>
      <c r="G260" t="s">
        <v>247</v>
      </c>
      <c r="H260" t="s">
        <v>4919</v>
      </c>
      <c r="I260" s="7">
        <v>1165</v>
      </c>
      <c r="J260" t="s">
        <v>5142</v>
      </c>
      <c r="K260" t="s">
        <v>5080</v>
      </c>
      <c r="L260" t="s">
        <v>5081</v>
      </c>
      <c r="M260" t="s">
        <v>361</v>
      </c>
      <c r="N260" t="s">
        <v>3801</v>
      </c>
      <c r="O260" t="s">
        <v>5143</v>
      </c>
      <c r="P260" t="s">
        <v>5063</v>
      </c>
      <c r="Q260" s="8">
        <v>1500</v>
      </c>
      <c r="R260" s="8">
        <v>1500</v>
      </c>
      <c r="S260" s="8">
        <v>270</v>
      </c>
      <c r="T260" s="8">
        <v>1770</v>
      </c>
      <c r="U260" s="7">
        <v>622941</v>
      </c>
      <c r="V260" t="s">
        <v>4860</v>
      </c>
      <c r="W260" s="8">
        <v>0</v>
      </c>
      <c r="X260" s="7">
        <v>34194</v>
      </c>
      <c r="Y260" t="s">
        <v>4860</v>
      </c>
    </row>
    <row r="261" spans="1:25">
      <c r="A261" s="7">
        <v>260</v>
      </c>
      <c r="B261" t="s">
        <v>243</v>
      </c>
      <c r="C261" t="s">
        <v>244</v>
      </c>
      <c r="D261" s="7">
        <v>7134</v>
      </c>
      <c r="E261" t="s">
        <v>245</v>
      </c>
      <c r="F261" t="s">
        <v>246</v>
      </c>
      <c r="G261" t="s">
        <v>247</v>
      </c>
      <c r="H261" t="s">
        <v>4910</v>
      </c>
      <c r="I261" s="7">
        <v>1165</v>
      </c>
      <c r="J261" t="s">
        <v>5144</v>
      </c>
      <c r="K261" t="s">
        <v>5145</v>
      </c>
      <c r="L261" t="s">
        <v>5146</v>
      </c>
      <c r="M261" t="s">
        <v>361</v>
      </c>
      <c r="N261" t="s">
        <v>3801</v>
      </c>
      <c r="O261" t="s">
        <v>5097</v>
      </c>
      <c r="P261" t="s">
        <v>5063</v>
      </c>
      <c r="Q261" s="8">
        <v>1500</v>
      </c>
      <c r="R261" s="8">
        <v>1500</v>
      </c>
      <c r="S261" s="8">
        <v>270</v>
      </c>
      <c r="T261" s="8">
        <v>1770</v>
      </c>
      <c r="U261" s="7">
        <v>622941</v>
      </c>
      <c r="V261" t="s">
        <v>4860</v>
      </c>
      <c r="W261" s="8">
        <v>0</v>
      </c>
      <c r="X261" s="7">
        <v>34194</v>
      </c>
      <c r="Y261" t="s">
        <v>4860</v>
      </c>
    </row>
    <row r="262" spans="1:25">
      <c r="A262" s="7">
        <v>261</v>
      </c>
      <c r="B262" t="s">
        <v>243</v>
      </c>
      <c r="C262" t="s">
        <v>244</v>
      </c>
      <c r="D262" s="7">
        <v>7134</v>
      </c>
      <c r="E262" t="s">
        <v>245</v>
      </c>
      <c r="F262" t="s">
        <v>246</v>
      </c>
      <c r="G262" t="s">
        <v>247</v>
      </c>
      <c r="H262" t="s">
        <v>5073</v>
      </c>
      <c r="I262" s="7">
        <v>1165</v>
      </c>
      <c r="J262" t="s">
        <v>5147</v>
      </c>
      <c r="K262" t="s">
        <v>5074</v>
      </c>
      <c r="L262" t="s">
        <v>5075</v>
      </c>
      <c r="M262" t="s">
        <v>361</v>
      </c>
      <c r="N262" t="s">
        <v>3801</v>
      </c>
      <c r="O262" t="s">
        <v>5148</v>
      </c>
      <c r="P262" t="s">
        <v>5063</v>
      </c>
      <c r="Q262" s="8">
        <v>1500</v>
      </c>
      <c r="R262" s="8">
        <v>1500</v>
      </c>
      <c r="S262" s="8">
        <v>270</v>
      </c>
      <c r="T262" s="8">
        <v>1770</v>
      </c>
      <c r="U262" s="7">
        <v>622941</v>
      </c>
      <c r="V262" t="s">
        <v>4860</v>
      </c>
      <c r="W262" s="8">
        <v>0</v>
      </c>
      <c r="X262" s="7">
        <v>34194</v>
      </c>
      <c r="Y262" t="s">
        <v>4860</v>
      </c>
    </row>
    <row r="263" spans="1:25">
      <c r="A263" s="7">
        <v>262</v>
      </c>
      <c r="B263" t="s">
        <v>243</v>
      </c>
      <c r="C263" t="s">
        <v>244</v>
      </c>
      <c r="D263" s="7">
        <v>7134</v>
      </c>
      <c r="E263" t="s">
        <v>245</v>
      </c>
      <c r="F263" t="s">
        <v>246</v>
      </c>
      <c r="G263" t="s">
        <v>247</v>
      </c>
      <c r="H263" t="s">
        <v>5064</v>
      </c>
      <c r="I263" s="7">
        <v>1165</v>
      </c>
      <c r="J263" t="s">
        <v>492</v>
      </c>
      <c r="K263" t="s">
        <v>5067</v>
      </c>
      <c r="L263" t="s">
        <v>5068</v>
      </c>
      <c r="M263" t="s">
        <v>252</v>
      </c>
      <c r="N263" t="s">
        <v>3828</v>
      </c>
      <c r="O263" t="s">
        <v>5106</v>
      </c>
      <c r="P263" t="s">
        <v>5149</v>
      </c>
      <c r="Q263" s="8">
        <v>1150</v>
      </c>
      <c r="R263" s="8">
        <v>1150</v>
      </c>
      <c r="S263" s="8">
        <v>207</v>
      </c>
      <c r="T263" s="8">
        <v>1357</v>
      </c>
      <c r="U263" s="7">
        <v>0</v>
      </c>
      <c r="W263" s="8">
        <v>0</v>
      </c>
      <c r="X263" s="7">
        <v>0</v>
      </c>
    </row>
    <row r="264" spans="1:25">
      <c r="A264" s="7">
        <v>263</v>
      </c>
      <c r="B264" t="s">
        <v>243</v>
      </c>
      <c r="C264" t="s">
        <v>244</v>
      </c>
      <c r="D264" s="7">
        <v>7134</v>
      </c>
      <c r="E264" t="s">
        <v>245</v>
      </c>
      <c r="F264" t="s">
        <v>246</v>
      </c>
      <c r="G264" t="s">
        <v>247</v>
      </c>
      <c r="H264" t="s">
        <v>4918</v>
      </c>
      <c r="I264" s="7">
        <v>1165</v>
      </c>
      <c r="J264" t="s">
        <v>5150</v>
      </c>
      <c r="K264" t="s">
        <v>5151</v>
      </c>
      <c r="L264" t="s">
        <v>5152</v>
      </c>
      <c r="M264" t="s">
        <v>261</v>
      </c>
      <c r="N264" t="s">
        <v>3828</v>
      </c>
      <c r="O264" t="s">
        <v>3488</v>
      </c>
      <c r="P264" t="s">
        <v>5149</v>
      </c>
      <c r="Q264" s="8">
        <v>1150</v>
      </c>
      <c r="R264" s="8">
        <v>1150</v>
      </c>
      <c r="S264" s="8">
        <v>207</v>
      </c>
      <c r="T264" s="8">
        <v>1357</v>
      </c>
      <c r="U264" s="7">
        <v>0</v>
      </c>
      <c r="W264" s="8">
        <v>0</v>
      </c>
      <c r="X264" s="7">
        <v>0</v>
      </c>
    </row>
    <row r="265" spans="1:25">
      <c r="A265" s="7">
        <v>264</v>
      </c>
      <c r="B265" t="s">
        <v>243</v>
      </c>
      <c r="C265" t="s">
        <v>244</v>
      </c>
      <c r="D265" s="7">
        <v>7134</v>
      </c>
      <c r="E265" t="s">
        <v>245</v>
      </c>
      <c r="F265" t="s">
        <v>246</v>
      </c>
      <c r="G265" t="s">
        <v>247</v>
      </c>
      <c r="H265" t="s">
        <v>4863</v>
      </c>
      <c r="I265" s="7">
        <v>1165</v>
      </c>
      <c r="J265" t="s">
        <v>5153</v>
      </c>
      <c r="K265" t="s">
        <v>5154</v>
      </c>
      <c r="L265" t="s">
        <v>5155</v>
      </c>
      <c r="M265" t="s">
        <v>261</v>
      </c>
      <c r="N265" t="s">
        <v>3828</v>
      </c>
      <c r="O265" t="s">
        <v>5143</v>
      </c>
      <c r="P265" t="s">
        <v>5149</v>
      </c>
      <c r="Q265" s="8">
        <v>1150</v>
      </c>
      <c r="R265" s="8">
        <v>1150</v>
      </c>
      <c r="S265" s="8">
        <v>207</v>
      </c>
      <c r="T265" s="8">
        <v>1357</v>
      </c>
      <c r="U265" s="7">
        <v>0</v>
      </c>
      <c r="W265" s="8">
        <v>0</v>
      </c>
      <c r="X265" s="7">
        <v>0</v>
      </c>
    </row>
    <row r="266" spans="1:25">
      <c r="A266" s="7">
        <v>265</v>
      </c>
      <c r="B266" t="s">
        <v>243</v>
      </c>
      <c r="C266" t="s">
        <v>244</v>
      </c>
      <c r="D266" s="7">
        <v>7134</v>
      </c>
      <c r="E266" t="s">
        <v>245</v>
      </c>
      <c r="F266" t="s">
        <v>246</v>
      </c>
      <c r="G266" t="s">
        <v>247</v>
      </c>
      <c r="H266" t="s">
        <v>3352</v>
      </c>
      <c r="I266" s="7">
        <v>1165</v>
      </c>
      <c r="J266" t="s">
        <v>5156</v>
      </c>
      <c r="K266" t="s">
        <v>4972</v>
      </c>
      <c r="L266" t="s">
        <v>4973</v>
      </c>
      <c r="M266" t="s">
        <v>252</v>
      </c>
      <c r="N266" t="s">
        <v>3829</v>
      </c>
      <c r="O266" t="s">
        <v>5116</v>
      </c>
      <c r="P266" t="s">
        <v>5149</v>
      </c>
      <c r="Q266" s="8">
        <v>1150</v>
      </c>
      <c r="R266" s="8">
        <v>1150</v>
      </c>
      <c r="S266" s="8">
        <v>207</v>
      </c>
      <c r="T266" s="8">
        <v>1357</v>
      </c>
      <c r="U266" s="7">
        <v>0</v>
      </c>
      <c r="W266" s="8">
        <v>0</v>
      </c>
      <c r="X266" s="7">
        <v>0</v>
      </c>
    </row>
    <row r="267" spans="1:25">
      <c r="A267" s="7">
        <v>266</v>
      </c>
      <c r="B267" t="s">
        <v>243</v>
      </c>
      <c r="C267" t="s">
        <v>244</v>
      </c>
      <c r="D267" s="7">
        <v>7134</v>
      </c>
      <c r="E267" t="s">
        <v>245</v>
      </c>
      <c r="F267" t="s">
        <v>246</v>
      </c>
      <c r="G267" t="s">
        <v>247</v>
      </c>
      <c r="H267" t="s">
        <v>4944</v>
      </c>
      <c r="I267" s="7">
        <v>1165</v>
      </c>
      <c r="J267" t="s">
        <v>5157</v>
      </c>
      <c r="K267" t="s">
        <v>5158</v>
      </c>
      <c r="L267" t="s">
        <v>5159</v>
      </c>
      <c r="M267" t="s">
        <v>267</v>
      </c>
      <c r="N267" t="s">
        <v>3829</v>
      </c>
      <c r="O267" t="s">
        <v>3161</v>
      </c>
      <c r="P267" t="s">
        <v>5149</v>
      </c>
      <c r="Q267" s="8">
        <v>1150</v>
      </c>
      <c r="R267" s="8">
        <v>1150</v>
      </c>
      <c r="S267" s="8">
        <v>207</v>
      </c>
      <c r="T267" s="8">
        <v>1357</v>
      </c>
      <c r="U267" s="7">
        <v>0</v>
      </c>
      <c r="W267" s="8">
        <v>0</v>
      </c>
      <c r="X267" s="7">
        <v>0</v>
      </c>
    </row>
    <row r="268" spans="1:25">
      <c r="A268" s="7">
        <v>267</v>
      </c>
      <c r="B268" t="s">
        <v>243</v>
      </c>
      <c r="C268" t="s">
        <v>244</v>
      </c>
      <c r="D268" s="7">
        <v>7134</v>
      </c>
      <c r="E268" t="s">
        <v>245</v>
      </c>
      <c r="F268" t="s">
        <v>246</v>
      </c>
      <c r="G268" t="s">
        <v>247</v>
      </c>
      <c r="H268" t="s">
        <v>4927</v>
      </c>
      <c r="I268" s="7">
        <v>1165</v>
      </c>
      <c r="J268" t="s">
        <v>5160</v>
      </c>
      <c r="K268" t="s">
        <v>5161</v>
      </c>
      <c r="L268" t="s">
        <v>5162</v>
      </c>
      <c r="M268" t="s">
        <v>261</v>
      </c>
      <c r="N268" t="s">
        <v>3829</v>
      </c>
      <c r="O268" t="s">
        <v>5163</v>
      </c>
      <c r="P268" t="s">
        <v>5149</v>
      </c>
      <c r="Q268" s="8">
        <v>1150</v>
      </c>
      <c r="R268" s="8">
        <v>1150</v>
      </c>
      <c r="S268" s="8">
        <v>207</v>
      </c>
      <c r="T268" s="8">
        <v>1357</v>
      </c>
      <c r="U268" s="7">
        <v>0</v>
      </c>
      <c r="W268" s="8">
        <v>0</v>
      </c>
      <c r="X268" s="7">
        <v>0</v>
      </c>
    </row>
    <row r="269" spans="1:25">
      <c r="A269" s="7">
        <v>268</v>
      </c>
      <c r="B269" t="s">
        <v>243</v>
      </c>
      <c r="C269" t="s">
        <v>244</v>
      </c>
      <c r="D269" s="7">
        <v>7134</v>
      </c>
      <c r="E269" t="s">
        <v>245</v>
      </c>
      <c r="F269" t="s">
        <v>246</v>
      </c>
      <c r="G269" t="s">
        <v>247</v>
      </c>
      <c r="H269" t="s">
        <v>4942</v>
      </c>
      <c r="I269" s="7">
        <v>1165</v>
      </c>
      <c r="J269" t="s">
        <v>5164</v>
      </c>
      <c r="K269" t="s">
        <v>5165</v>
      </c>
      <c r="L269" t="s">
        <v>5166</v>
      </c>
      <c r="M269" t="s">
        <v>361</v>
      </c>
      <c r="N269" t="s">
        <v>3830</v>
      </c>
      <c r="O269" t="s">
        <v>5167</v>
      </c>
      <c r="P269" t="s">
        <v>5149</v>
      </c>
      <c r="Q269" s="8">
        <v>1500</v>
      </c>
      <c r="R269" s="8">
        <v>1500</v>
      </c>
      <c r="S269" s="8">
        <v>270</v>
      </c>
      <c r="T269" s="8">
        <v>1770</v>
      </c>
      <c r="U269" s="7">
        <v>0</v>
      </c>
      <c r="W269" s="8">
        <v>0</v>
      </c>
      <c r="X269" s="7">
        <v>0</v>
      </c>
    </row>
    <row r="270" spans="1:25">
      <c r="A270" s="7">
        <v>269</v>
      </c>
      <c r="B270" t="s">
        <v>243</v>
      </c>
      <c r="C270" t="s">
        <v>244</v>
      </c>
      <c r="D270" s="7">
        <v>7134</v>
      </c>
      <c r="E270" t="s">
        <v>245</v>
      </c>
      <c r="F270" t="s">
        <v>246</v>
      </c>
      <c r="G270" t="s">
        <v>247</v>
      </c>
      <c r="H270" t="s">
        <v>4441</v>
      </c>
      <c r="I270" s="7">
        <v>1165</v>
      </c>
      <c r="J270" t="s">
        <v>5168</v>
      </c>
      <c r="K270" t="s">
        <v>5169</v>
      </c>
      <c r="L270" t="s">
        <v>5170</v>
      </c>
      <c r="M270" t="s">
        <v>261</v>
      </c>
      <c r="N270" t="s">
        <v>3830</v>
      </c>
      <c r="O270" t="s">
        <v>5171</v>
      </c>
      <c r="P270" t="s">
        <v>5149</v>
      </c>
      <c r="Q270" s="8">
        <v>1150</v>
      </c>
      <c r="R270" s="8">
        <v>1150</v>
      </c>
      <c r="S270" s="8">
        <v>207</v>
      </c>
      <c r="T270" s="8">
        <v>1357</v>
      </c>
      <c r="U270" s="7">
        <v>0</v>
      </c>
      <c r="W270" s="8">
        <v>0</v>
      </c>
      <c r="X270" s="7">
        <v>0</v>
      </c>
    </row>
    <row r="271" spans="1:25">
      <c r="A271" s="7">
        <v>270</v>
      </c>
      <c r="B271" t="s">
        <v>243</v>
      </c>
      <c r="C271" t="s">
        <v>244</v>
      </c>
      <c r="D271" s="7">
        <v>7134</v>
      </c>
      <c r="E271" t="s">
        <v>245</v>
      </c>
      <c r="F271" t="s">
        <v>246</v>
      </c>
      <c r="G271" t="s">
        <v>247</v>
      </c>
      <c r="H271" t="s">
        <v>4956</v>
      </c>
      <c r="I271" s="7">
        <v>1165</v>
      </c>
      <c r="J271" t="s">
        <v>5172</v>
      </c>
      <c r="K271" t="s">
        <v>5173</v>
      </c>
      <c r="L271" t="s">
        <v>5174</v>
      </c>
      <c r="M271" t="s">
        <v>398</v>
      </c>
      <c r="N271" t="s">
        <v>3830</v>
      </c>
      <c r="O271" t="s">
        <v>5175</v>
      </c>
      <c r="P271" t="s">
        <v>5149</v>
      </c>
      <c r="Q271" s="8">
        <v>1150</v>
      </c>
      <c r="R271" s="8">
        <v>1150</v>
      </c>
      <c r="S271" s="8">
        <v>207</v>
      </c>
      <c r="T271" s="8">
        <v>1357</v>
      </c>
      <c r="U271" s="7">
        <v>0</v>
      </c>
      <c r="W271" s="8">
        <v>0</v>
      </c>
      <c r="X271" s="7">
        <v>0</v>
      </c>
    </row>
    <row r="272" spans="1:25">
      <c r="A272" s="7">
        <v>271</v>
      </c>
      <c r="B272" t="s">
        <v>243</v>
      </c>
      <c r="C272" t="s">
        <v>244</v>
      </c>
      <c r="D272" s="7">
        <v>7134</v>
      </c>
      <c r="E272" t="s">
        <v>245</v>
      </c>
      <c r="F272" t="s">
        <v>246</v>
      </c>
      <c r="G272" t="s">
        <v>247</v>
      </c>
      <c r="H272" t="s">
        <v>4441</v>
      </c>
      <c r="I272" s="7">
        <v>1165</v>
      </c>
      <c r="J272" t="s">
        <v>5176</v>
      </c>
      <c r="K272" t="s">
        <v>5177</v>
      </c>
      <c r="L272" t="s">
        <v>5178</v>
      </c>
      <c r="M272" t="s">
        <v>261</v>
      </c>
      <c r="N272" t="s">
        <v>3830</v>
      </c>
      <c r="O272" t="s">
        <v>5175</v>
      </c>
      <c r="P272" t="s">
        <v>5149</v>
      </c>
      <c r="Q272" s="8">
        <v>1150</v>
      </c>
      <c r="R272" s="8">
        <v>1150</v>
      </c>
      <c r="S272" s="8">
        <v>207</v>
      </c>
      <c r="T272" s="8">
        <v>1357</v>
      </c>
      <c r="U272" s="7">
        <v>0</v>
      </c>
      <c r="W272" s="8">
        <v>0</v>
      </c>
      <c r="X272" s="7">
        <v>0</v>
      </c>
    </row>
    <row r="273" spans="1:30">
      <c r="A273" s="7">
        <v>272</v>
      </c>
      <c r="B273" t="s">
        <v>243</v>
      </c>
      <c r="C273" t="s">
        <v>244</v>
      </c>
      <c r="D273" s="7">
        <v>7134</v>
      </c>
      <c r="E273" t="s">
        <v>245</v>
      </c>
      <c r="F273" t="s">
        <v>246</v>
      </c>
      <c r="G273" t="s">
        <v>247</v>
      </c>
      <c r="H273" t="s">
        <v>4942</v>
      </c>
      <c r="I273" s="7">
        <v>1165</v>
      </c>
      <c r="J273" t="s">
        <v>5179</v>
      </c>
      <c r="K273" t="s">
        <v>5180</v>
      </c>
      <c r="L273" t="s">
        <v>5181</v>
      </c>
      <c r="M273" t="s">
        <v>267</v>
      </c>
      <c r="N273" t="s">
        <v>3830</v>
      </c>
      <c r="O273" t="s">
        <v>5182</v>
      </c>
      <c r="P273" t="s">
        <v>5149</v>
      </c>
      <c r="Q273" s="8">
        <v>1150</v>
      </c>
      <c r="R273" s="8">
        <v>1150</v>
      </c>
      <c r="S273" s="8">
        <v>207</v>
      </c>
      <c r="T273" s="8">
        <v>1357</v>
      </c>
      <c r="U273" s="7">
        <v>0</v>
      </c>
      <c r="W273" s="8">
        <v>0</v>
      </c>
      <c r="X273" s="7">
        <v>0</v>
      </c>
    </row>
    <row r="274" spans="1:30">
      <c r="A274" s="7">
        <v>273</v>
      </c>
      <c r="B274" t="s">
        <v>243</v>
      </c>
      <c r="C274" t="s">
        <v>244</v>
      </c>
      <c r="D274" s="7">
        <v>7134</v>
      </c>
      <c r="E274" t="s">
        <v>245</v>
      </c>
      <c r="F274" t="s">
        <v>246</v>
      </c>
      <c r="G274" t="s">
        <v>247</v>
      </c>
      <c r="H274" t="s">
        <v>4441</v>
      </c>
      <c r="I274" s="7">
        <v>1165</v>
      </c>
      <c r="J274" t="s">
        <v>5183</v>
      </c>
      <c r="K274" t="s">
        <v>5184</v>
      </c>
      <c r="L274" t="s">
        <v>5185</v>
      </c>
      <c r="M274" t="s">
        <v>261</v>
      </c>
      <c r="N274" t="s">
        <v>3830</v>
      </c>
      <c r="O274" t="s">
        <v>5186</v>
      </c>
      <c r="P274" t="s">
        <v>5149</v>
      </c>
      <c r="Q274" s="8">
        <v>1150</v>
      </c>
      <c r="R274" s="8">
        <v>1150</v>
      </c>
      <c r="S274" s="8">
        <v>207</v>
      </c>
      <c r="T274" s="8">
        <v>1357</v>
      </c>
      <c r="U274" s="7">
        <v>0</v>
      </c>
      <c r="W274" s="8">
        <v>0</v>
      </c>
      <c r="X274" s="7">
        <v>0</v>
      </c>
    </row>
    <row r="275" spans="1:30">
      <c r="A275" s="7">
        <v>274</v>
      </c>
      <c r="B275" t="s">
        <v>243</v>
      </c>
      <c r="C275" t="s">
        <v>244</v>
      </c>
      <c r="D275" s="7">
        <v>7134</v>
      </c>
      <c r="E275" t="s">
        <v>245</v>
      </c>
      <c r="F275" t="s">
        <v>246</v>
      </c>
      <c r="G275" t="s">
        <v>247</v>
      </c>
      <c r="H275" t="s">
        <v>4965</v>
      </c>
      <c r="I275" s="7">
        <v>1165</v>
      </c>
      <c r="J275" t="s">
        <v>5187</v>
      </c>
      <c r="K275" t="s">
        <v>5188</v>
      </c>
      <c r="L275" t="s">
        <v>5189</v>
      </c>
      <c r="M275" t="s">
        <v>361</v>
      </c>
      <c r="N275" t="s">
        <v>3830</v>
      </c>
      <c r="O275" t="s">
        <v>5171</v>
      </c>
      <c r="P275" t="s">
        <v>5149</v>
      </c>
      <c r="Q275" s="8">
        <v>1500</v>
      </c>
      <c r="R275" s="8">
        <v>1500</v>
      </c>
      <c r="S275" s="8">
        <v>270</v>
      </c>
      <c r="T275" s="8">
        <v>1770</v>
      </c>
      <c r="U275" s="7">
        <v>0</v>
      </c>
      <c r="W275" s="8">
        <v>0</v>
      </c>
      <c r="X275" s="7">
        <v>0</v>
      </c>
    </row>
    <row r="276" spans="1:30">
      <c r="A276" s="7">
        <v>275</v>
      </c>
      <c r="B276" t="s">
        <v>243</v>
      </c>
      <c r="C276" t="s">
        <v>244</v>
      </c>
      <c r="D276" s="7">
        <v>7134</v>
      </c>
      <c r="E276" t="s">
        <v>245</v>
      </c>
      <c r="F276" t="s">
        <v>246</v>
      </c>
      <c r="G276" t="s">
        <v>247</v>
      </c>
      <c r="H276" t="s">
        <v>4925</v>
      </c>
      <c r="I276" s="7">
        <v>1165</v>
      </c>
      <c r="J276" t="s">
        <v>5190</v>
      </c>
      <c r="K276" t="s">
        <v>5071</v>
      </c>
      <c r="L276" t="s">
        <v>5072</v>
      </c>
      <c r="M276" t="s">
        <v>252</v>
      </c>
      <c r="N276" t="s">
        <v>3830</v>
      </c>
      <c r="O276" t="s">
        <v>5191</v>
      </c>
      <c r="P276" t="s">
        <v>5149</v>
      </c>
      <c r="Q276" s="8">
        <v>1150</v>
      </c>
      <c r="R276" s="8">
        <v>1150</v>
      </c>
      <c r="S276" s="8">
        <v>207</v>
      </c>
      <c r="T276" s="8">
        <v>1357</v>
      </c>
      <c r="U276" s="7">
        <v>0</v>
      </c>
      <c r="W276" s="8">
        <v>0</v>
      </c>
      <c r="X276" s="7">
        <v>0</v>
      </c>
    </row>
    <row r="277" spans="1:30">
      <c r="A277" s="7">
        <v>276</v>
      </c>
      <c r="B277" t="s">
        <v>243</v>
      </c>
      <c r="C277" t="s">
        <v>244</v>
      </c>
      <c r="D277" s="7">
        <v>7134</v>
      </c>
      <c r="E277" t="s">
        <v>245</v>
      </c>
      <c r="F277" t="s">
        <v>246</v>
      </c>
      <c r="G277" t="s">
        <v>247</v>
      </c>
      <c r="H277" t="s">
        <v>5192</v>
      </c>
      <c r="I277" s="7">
        <v>1165</v>
      </c>
      <c r="J277" t="s">
        <v>5193</v>
      </c>
      <c r="K277" t="s">
        <v>5194</v>
      </c>
      <c r="L277" t="s">
        <v>5195</v>
      </c>
      <c r="M277" t="s">
        <v>361</v>
      </c>
      <c r="N277" t="s">
        <v>3830</v>
      </c>
      <c r="O277" t="s">
        <v>5186</v>
      </c>
      <c r="P277" t="s">
        <v>5149</v>
      </c>
      <c r="Q277" s="8">
        <v>1500</v>
      </c>
      <c r="R277" s="8">
        <v>1500</v>
      </c>
      <c r="S277" s="8">
        <v>270</v>
      </c>
      <c r="T277" s="8">
        <v>1770</v>
      </c>
      <c r="U277" s="7">
        <v>0</v>
      </c>
      <c r="W277" s="8">
        <v>0</v>
      </c>
      <c r="X277" s="7">
        <v>0</v>
      </c>
    </row>
    <row r="278" spans="1:30">
      <c r="A278" s="7">
        <v>277</v>
      </c>
      <c r="B278" t="s">
        <v>243</v>
      </c>
      <c r="C278" t="s">
        <v>244</v>
      </c>
      <c r="D278" s="7">
        <v>7134</v>
      </c>
      <c r="E278" t="s">
        <v>245</v>
      </c>
      <c r="F278" t="s">
        <v>246</v>
      </c>
      <c r="G278" t="s">
        <v>247</v>
      </c>
      <c r="H278" t="s">
        <v>5064</v>
      </c>
      <c r="I278" s="7">
        <v>1165</v>
      </c>
      <c r="J278" t="s">
        <v>5196</v>
      </c>
      <c r="K278" t="s">
        <v>5076</v>
      </c>
      <c r="L278" t="s">
        <v>5077</v>
      </c>
      <c r="M278" t="s">
        <v>361</v>
      </c>
      <c r="N278" t="s">
        <v>3830</v>
      </c>
      <c r="O278" t="s">
        <v>5148</v>
      </c>
      <c r="P278" t="s">
        <v>5149</v>
      </c>
      <c r="Q278" s="8">
        <v>1500</v>
      </c>
      <c r="R278" s="8">
        <v>1500</v>
      </c>
      <c r="S278" s="8">
        <v>270</v>
      </c>
      <c r="T278" s="8">
        <v>1770</v>
      </c>
      <c r="U278" s="7">
        <v>0</v>
      </c>
      <c r="W278" s="8">
        <v>0</v>
      </c>
      <c r="X278" s="7">
        <v>0</v>
      </c>
    </row>
    <row r="279" spans="1:30">
      <c r="A279" s="7">
        <v>278</v>
      </c>
      <c r="B279" t="s">
        <v>243</v>
      </c>
      <c r="C279" t="s">
        <v>244</v>
      </c>
      <c r="D279" s="7">
        <v>7134</v>
      </c>
      <c r="E279" t="s">
        <v>245</v>
      </c>
      <c r="F279" t="s">
        <v>246</v>
      </c>
      <c r="G279" t="s">
        <v>247</v>
      </c>
      <c r="H279" t="s">
        <v>4942</v>
      </c>
      <c r="I279" s="7">
        <v>1165</v>
      </c>
      <c r="J279" t="s">
        <v>5197</v>
      </c>
      <c r="K279" t="s">
        <v>5198</v>
      </c>
      <c r="L279" t="s">
        <v>5199</v>
      </c>
      <c r="M279" t="s">
        <v>361</v>
      </c>
      <c r="N279" t="s">
        <v>3830</v>
      </c>
      <c r="O279" t="s">
        <v>5200</v>
      </c>
      <c r="P279" t="s">
        <v>5149</v>
      </c>
      <c r="Q279" s="8">
        <v>1500</v>
      </c>
      <c r="R279" s="8">
        <v>1500</v>
      </c>
      <c r="S279" s="8">
        <v>270</v>
      </c>
      <c r="T279" s="8">
        <v>1770</v>
      </c>
      <c r="U279" s="7">
        <v>0</v>
      </c>
      <c r="W279" s="8">
        <v>0</v>
      </c>
      <c r="X279" s="7">
        <v>0</v>
      </c>
    </row>
    <row r="280" spans="1:30">
      <c r="A280" s="7">
        <v>279</v>
      </c>
      <c r="B280" t="s">
        <v>243</v>
      </c>
      <c r="C280" t="s">
        <v>244</v>
      </c>
      <c r="D280" s="7">
        <v>7134</v>
      </c>
      <c r="E280" t="s">
        <v>245</v>
      </c>
      <c r="F280" t="s">
        <v>246</v>
      </c>
      <c r="G280" t="s">
        <v>247</v>
      </c>
      <c r="H280" t="s">
        <v>4441</v>
      </c>
      <c r="I280" s="7">
        <v>1165</v>
      </c>
      <c r="J280" t="s">
        <v>5201</v>
      </c>
      <c r="K280" t="s">
        <v>5052</v>
      </c>
      <c r="L280" t="s">
        <v>5053</v>
      </c>
      <c r="M280" t="s">
        <v>361</v>
      </c>
      <c r="N280" t="s">
        <v>3830</v>
      </c>
      <c r="O280" t="s">
        <v>5202</v>
      </c>
      <c r="P280" t="s">
        <v>5149</v>
      </c>
      <c r="Q280" s="8">
        <v>1500</v>
      </c>
      <c r="R280" s="8">
        <v>1500</v>
      </c>
      <c r="S280" s="8">
        <v>270</v>
      </c>
      <c r="T280" s="8">
        <v>1770</v>
      </c>
      <c r="U280" s="7">
        <v>0</v>
      </c>
      <c r="W280" s="8">
        <v>0</v>
      </c>
      <c r="X280" s="7">
        <v>0</v>
      </c>
    </row>
    <row r="281" spans="1:30">
      <c r="A281" s="7">
        <v>280</v>
      </c>
      <c r="B281" t="s">
        <v>243</v>
      </c>
      <c r="C281" t="s">
        <v>244</v>
      </c>
      <c r="D281" s="7">
        <v>7134</v>
      </c>
      <c r="E281" t="s">
        <v>245</v>
      </c>
      <c r="F281" t="s">
        <v>246</v>
      </c>
      <c r="G281" t="s">
        <v>247</v>
      </c>
      <c r="H281" t="s">
        <v>4942</v>
      </c>
      <c r="I281" s="7">
        <v>1165</v>
      </c>
      <c r="J281" t="s">
        <v>5203</v>
      </c>
      <c r="K281" t="s">
        <v>5204</v>
      </c>
      <c r="L281" t="s">
        <v>5205</v>
      </c>
      <c r="M281" t="s">
        <v>361</v>
      </c>
      <c r="N281" t="s">
        <v>3830</v>
      </c>
      <c r="O281" t="s">
        <v>5206</v>
      </c>
      <c r="P281" t="s">
        <v>5149</v>
      </c>
      <c r="Q281" s="8">
        <v>1500</v>
      </c>
      <c r="R281" s="8">
        <v>1500</v>
      </c>
      <c r="S281" s="8">
        <v>270</v>
      </c>
      <c r="T281" s="8">
        <v>1770</v>
      </c>
      <c r="U281" s="7">
        <v>0</v>
      </c>
      <c r="W281" s="8">
        <v>0</v>
      </c>
      <c r="X281" s="7">
        <v>0</v>
      </c>
    </row>
    <row r="282" spans="1:30">
      <c r="A282" s="7">
        <v>281</v>
      </c>
      <c r="B282" t="s">
        <v>243</v>
      </c>
      <c r="C282" t="s">
        <v>244</v>
      </c>
      <c r="D282" s="7">
        <v>7160</v>
      </c>
      <c r="E282" t="s">
        <v>3764</v>
      </c>
      <c r="F282" t="s">
        <v>246</v>
      </c>
      <c r="G282" t="s">
        <v>247</v>
      </c>
      <c r="H282" t="s">
        <v>727</v>
      </c>
      <c r="I282" s="7">
        <v>1165</v>
      </c>
      <c r="J282" t="s">
        <v>3773</v>
      </c>
      <c r="K282" t="s">
        <v>3774</v>
      </c>
      <c r="L282" t="s">
        <v>3775</v>
      </c>
      <c r="M282" t="s">
        <v>3680</v>
      </c>
      <c r="N282" t="s">
        <v>59</v>
      </c>
      <c r="O282" t="s">
        <v>3776</v>
      </c>
      <c r="P282" t="s">
        <v>2853</v>
      </c>
      <c r="Q282" s="8">
        <v>1050</v>
      </c>
      <c r="R282" s="8">
        <v>1050</v>
      </c>
      <c r="S282" s="8">
        <v>189</v>
      </c>
      <c r="T282" s="8">
        <v>1239</v>
      </c>
      <c r="U282" s="7">
        <v>621885</v>
      </c>
      <c r="V282" t="s">
        <v>3351</v>
      </c>
      <c r="W282" s="8">
        <v>0</v>
      </c>
      <c r="X282" s="7">
        <v>33138</v>
      </c>
      <c r="Y282" t="s">
        <v>3351</v>
      </c>
    </row>
    <row r="283" spans="1:30">
      <c r="A283" s="7"/>
      <c r="D283" s="7"/>
      <c r="I283" s="7"/>
      <c r="J283" s="7"/>
      <c r="K283" s="7"/>
      <c r="N283" s="7"/>
      <c r="V283" s="8"/>
      <c r="W283" s="7"/>
      <c r="Y283" s="8"/>
      <c r="Z283" s="8"/>
      <c r="AA283" s="8"/>
      <c r="AB283" s="7"/>
      <c r="AD283" s="8"/>
    </row>
    <row r="284" spans="1:30">
      <c r="A284" s="7"/>
      <c r="D284" s="7"/>
      <c r="I284" s="7"/>
      <c r="J284" s="7"/>
      <c r="K284" s="7"/>
      <c r="N284" s="7"/>
      <c r="V284" s="8"/>
      <c r="W284" s="7"/>
      <c r="Y284" s="8"/>
      <c r="Z284" s="8"/>
      <c r="AA284" s="8"/>
      <c r="AB284" s="7"/>
      <c r="AD284" s="8"/>
    </row>
    <row r="285" spans="1:30">
      <c r="A285" s="7"/>
      <c r="D285" s="7"/>
      <c r="I285" s="7"/>
      <c r="J285" s="7"/>
      <c r="K285" s="7"/>
      <c r="N285" s="7"/>
      <c r="V285" s="8"/>
      <c r="W285" s="7"/>
      <c r="Y285" s="8"/>
      <c r="Z285" s="8"/>
      <c r="AA285" s="8"/>
      <c r="AB285" s="7"/>
      <c r="AD285" s="8"/>
    </row>
    <row r="286" spans="1:30">
      <c r="A286" s="7"/>
      <c r="D286" s="7"/>
      <c r="I286" s="7"/>
      <c r="J286" s="7"/>
      <c r="K286" s="7"/>
      <c r="N286" s="7"/>
      <c r="V286" s="8"/>
      <c r="W286" s="7"/>
      <c r="Y286" s="8"/>
      <c r="Z286" s="8"/>
      <c r="AA286" s="8"/>
      <c r="AB286" s="7"/>
      <c r="AD286" s="8"/>
    </row>
    <row r="287" spans="1:30">
      <c r="A287" s="7"/>
      <c r="D287" s="7"/>
      <c r="I287" s="7"/>
      <c r="J287" s="7"/>
      <c r="K287" s="7"/>
      <c r="N287" s="7"/>
      <c r="V287" s="8"/>
      <c r="W287" s="7"/>
      <c r="Y287" s="8"/>
      <c r="Z287" s="8"/>
      <c r="AA287" s="8"/>
      <c r="AB287" s="7"/>
      <c r="AD287" s="8"/>
    </row>
    <row r="288" spans="1:30">
      <c r="A288" s="7"/>
      <c r="D288" s="7"/>
      <c r="I288" s="7"/>
      <c r="J288" s="7"/>
      <c r="K288" s="7"/>
      <c r="N288" s="7"/>
      <c r="V288" s="8"/>
      <c r="W288" s="7"/>
      <c r="Y288" s="8"/>
      <c r="Z288" s="8"/>
      <c r="AA288" s="8"/>
      <c r="AB288" s="7"/>
      <c r="AD288" s="8"/>
    </row>
    <row r="289" spans="1:30">
      <c r="A289" s="7"/>
      <c r="D289" s="7"/>
      <c r="I289" s="7"/>
      <c r="J289" s="7"/>
      <c r="K289" s="7"/>
      <c r="N289" s="7"/>
      <c r="V289" s="8"/>
      <c r="W289" s="7"/>
      <c r="Y289" s="8"/>
      <c r="Z289" s="8"/>
      <c r="AA289" s="8"/>
      <c r="AB289" s="7"/>
      <c r="AD289" s="8"/>
    </row>
    <row r="290" spans="1:30">
      <c r="A290" s="7"/>
      <c r="D290" s="7"/>
      <c r="I290" s="7"/>
      <c r="J290" s="7"/>
      <c r="K290" s="7"/>
      <c r="N290" s="7"/>
      <c r="V290" s="8"/>
      <c r="W290" s="7"/>
      <c r="Y290" s="8"/>
      <c r="Z290" s="8"/>
      <c r="AA290" s="8"/>
      <c r="AB290" s="7"/>
      <c r="AD290" s="8"/>
    </row>
    <row r="291" spans="1:30">
      <c r="A291" s="7"/>
      <c r="D291" s="7"/>
      <c r="I291" s="7"/>
      <c r="J291" s="7"/>
      <c r="K291" s="7"/>
      <c r="N291" s="7"/>
      <c r="V291" s="8"/>
      <c r="W291" s="7"/>
      <c r="Y291" s="8"/>
      <c r="Z291" s="8"/>
      <c r="AA291" s="8"/>
      <c r="AB291" s="7"/>
      <c r="AD291" s="8"/>
    </row>
    <row r="292" spans="1:30">
      <c r="A292" s="7"/>
      <c r="D292" s="7"/>
      <c r="I292" s="7"/>
      <c r="J292" s="7"/>
      <c r="K292" s="7"/>
      <c r="N292" s="7"/>
      <c r="V292" s="8"/>
      <c r="W292" s="7"/>
      <c r="Y292" s="8"/>
      <c r="Z292" s="8"/>
      <c r="AA292" s="8"/>
      <c r="AB292" s="7"/>
      <c r="AD292" s="8"/>
    </row>
    <row r="293" spans="1:30">
      <c r="A293" s="7"/>
      <c r="D293" s="7"/>
      <c r="I293" s="7"/>
      <c r="J293" s="7"/>
      <c r="K293" s="7"/>
      <c r="N293" s="7"/>
      <c r="V293" s="8"/>
      <c r="W293" s="7"/>
      <c r="Y293" s="8"/>
      <c r="Z293" s="8"/>
      <c r="AA293" s="8"/>
      <c r="AB293" s="7"/>
      <c r="AD293" s="8"/>
    </row>
    <row r="294" spans="1:30">
      <c r="A294" s="7"/>
      <c r="D294" s="7"/>
      <c r="I294" s="7"/>
      <c r="J294" s="7"/>
      <c r="K294" s="7"/>
      <c r="N294" s="7"/>
      <c r="V294" s="8"/>
      <c r="W294" s="7"/>
      <c r="Y294" s="8"/>
      <c r="Z294" s="8"/>
      <c r="AA294" s="8"/>
      <c r="AB294" s="7"/>
      <c r="AD294" s="8"/>
    </row>
    <row r="295" spans="1:30">
      <c r="A295" s="7"/>
      <c r="D295" s="7"/>
      <c r="I295" s="7"/>
      <c r="J295" s="7"/>
      <c r="K295" s="7"/>
      <c r="N295" s="7"/>
      <c r="V295" s="8"/>
      <c r="W295" s="7"/>
      <c r="Y295" s="8"/>
      <c r="Z295" s="8"/>
      <c r="AA295" s="8"/>
      <c r="AB295" s="7"/>
      <c r="AD295" s="8"/>
    </row>
    <row r="296" spans="1:30">
      <c r="A296" s="7"/>
      <c r="D296" s="7"/>
      <c r="I296" s="7"/>
      <c r="J296" s="7"/>
      <c r="K296" s="7"/>
      <c r="N296" s="7"/>
      <c r="V296" s="8"/>
      <c r="W296" s="7"/>
      <c r="Y296" s="8"/>
      <c r="Z296" s="8"/>
      <c r="AA296" s="8"/>
      <c r="AB296" s="7"/>
      <c r="AD296" s="8"/>
    </row>
    <row r="297" spans="1:30">
      <c r="A297" s="7"/>
      <c r="D297" s="7"/>
      <c r="I297" s="7"/>
      <c r="J297" s="7"/>
      <c r="K297" s="7"/>
      <c r="N297" s="7"/>
      <c r="V297" s="8"/>
      <c r="W297" s="7"/>
      <c r="Y297" s="8"/>
      <c r="Z297" s="8"/>
      <c r="AA297" s="8"/>
      <c r="AB297" s="7"/>
      <c r="AD297" s="8"/>
    </row>
    <row r="298" spans="1:30">
      <c r="A298" s="7"/>
      <c r="D298" s="7"/>
      <c r="I298" s="7"/>
      <c r="J298" s="7"/>
      <c r="K298" s="7"/>
      <c r="N298" s="7"/>
      <c r="V298" s="8"/>
      <c r="W298" s="7"/>
      <c r="Y298" s="8"/>
      <c r="Z298" s="8"/>
      <c r="AA298" s="8"/>
      <c r="AB298" s="7"/>
      <c r="AD298" s="8"/>
    </row>
    <row r="299" spans="1:30">
      <c r="A299" s="7"/>
      <c r="D299" s="7"/>
      <c r="I299" s="7"/>
      <c r="J299" s="7"/>
      <c r="K299" s="7"/>
      <c r="N299" s="7"/>
      <c r="V299" s="8"/>
      <c r="W299" s="7"/>
      <c r="Y299" s="8"/>
      <c r="Z299" s="8"/>
      <c r="AA299" s="8"/>
      <c r="AB299" s="7"/>
      <c r="AD299" s="8"/>
    </row>
    <row r="300" spans="1:30">
      <c r="A300" s="7"/>
      <c r="D300" s="7"/>
      <c r="I300" s="7"/>
      <c r="J300" s="7"/>
      <c r="K300" s="7"/>
      <c r="N300" s="7"/>
      <c r="V300" s="8"/>
      <c r="W300" s="7"/>
      <c r="Y300" s="8"/>
      <c r="Z300" s="8"/>
      <c r="AA300" s="8"/>
      <c r="AB300" s="7"/>
      <c r="AD300" s="8"/>
    </row>
    <row r="301" spans="1:30">
      <c r="A301" s="7"/>
      <c r="D301" s="7"/>
      <c r="I301" s="7"/>
      <c r="J301" s="7"/>
      <c r="K301" s="7"/>
      <c r="N301" s="7"/>
      <c r="V301" s="8"/>
      <c r="W301" s="7"/>
      <c r="Y301" s="8"/>
      <c r="Z301" s="8"/>
      <c r="AA301" s="8"/>
      <c r="AB301" s="7"/>
      <c r="AD301" s="8"/>
    </row>
    <row r="302" spans="1:30">
      <c r="A302" s="7"/>
      <c r="D302" s="7"/>
      <c r="I302" s="7"/>
      <c r="J302" s="7"/>
      <c r="K302" s="7"/>
      <c r="N302" s="7"/>
      <c r="V302" s="8"/>
      <c r="W302" s="7"/>
      <c r="Y302" s="8"/>
      <c r="Z302" s="8"/>
      <c r="AA302" s="8"/>
      <c r="AB302" s="7"/>
      <c r="AD302" s="8"/>
    </row>
    <row r="303" spans="1:30">
      <c r="A303" s="7"/>
      <c r="D303" s="7"/>
      <c r="I303" s="7"/>
      <c r="J303" s="7"/>
      <c r="K303" s="7"/>
      <c r="N303" s="7"/>
      <c r="V303" s="8"/>
      <c r="W303" s="7"/>
      <c r="Y303" s="8"/>
      <c r="Z303" s="8"/>
      <c r="AA303" s="8"/>
      <c r="AB303" s="7"/>
      <c r="AD303" s="8"/>
    </row>
    <row r="304" spans="1:30">
      <c r="A304" s="7"/>
      <c r="D304" s="7"/>
      <c r="I304" s="7"/>
      <c r="J304" s="7"/>
      <c r="K304" s="7"/>
      <c r="N304" s="7"/>
      <c r="V304" s="8"/>
      <c r="W304" s="7"/>
      <c r="Y304" s="8"/>
      <c r="Z304" s="8"/>
      <c r="AA304" s="8"/>
      <c r="AB304" s="7"/>
      <c r="AD304" s="8"/>
    </row>
    <row r="305" spans="1:30">
      <c r="A305" s="7"/>
      <c r="D305" s="7"/>
      <c r="I305" s="7"/>
      <c r="J305" s="7"/>
      <c r="K305" s="7"/>
      <c r="N305" s="7"/>
      <c r="V305" s="8"/>
      <c r="W305" s="7"/>
      <c r="Y305" s="8"/>
      <c r="Z305" s="8"/>
      <c r="AA305" s="8"/>
      <c r="AB305" s="7"/>
      <c r="AD305" s="8"/>
    </row>
    <row r="306" spans="1:30">
      <c r="A306" s="7"/>
      <c r="D306" s="7"/>
      <c r="I306" s="7"/>
      <c r="J306" s="7"/>
      <c r="K306" s="7"/>
      <c r="N306" s="7"/>
      <c r="V306" s="8"/>
      <c r="W306" s="7"/>
      <c r="Y306" s="8"/>
      <c r="Z306" s="8"/>
      <c r="AA306" s="8"/>
      <c r="AB306" s="7"/>
      <c r="AD306" s="8"/>
    </row>
    <row r="307" spans="1:30">
      <c r="A307" s="7"/>
      <c r="D307" s="7"/>
      <c r="I307" s="7"/>
      <c r="J307" s="7"/>
      <c r="K307" s="7"/>
      <c r="N307" s="7"/>
      <c r="V307" s="8"/>
      <c r="W307" s="7"/>
      <c r="Y307" s="8"/>
      <c r="Z307" s="8"/>
      <c r="AA307" s="8"/>
      <c r="AB307" s="7"/>
      <c r="AD307" s="8"/>
    </row>
    <row r="308" spans="1:30">
      <c r="A308" s="7"/>
      <c r="D308" s="7"/>
      <c r="I308" s="7"/>
      <c r="J308" s="7"/>
      <c r="K308" s="7"/>
      <c r="N308" s="7"/>
      <c r="V308" s="8"/>
      <c r="W308" s="7"/>
      <c r="Y308" s="8"/>
      <c r="Z308" s="8"/>
      <c r="AA308" s="8"/>
      <c r="AB308" s="7"/>
      <c r="AD308" s="8"/>
    </row>
    <row r="309" spans="1:30">
      <c r="A309" s="7"/>
      <c r="D309" s="7"/>
      <c r="I309" s="7"/>
      <c r="J309" s="7"/>
      <c r="K309" s="7"/>
      <c r="N309" s="7"/>
      <c r="V309" s="8"/>
      <c r="W309" s="7"/>
      <c r="Y309" s="8"/>
      <c r="Z309" s="8"/>
      <c r="AA309" s="8"/>
      <c r="AB309" s="7"/>
      <c r="AD309" s="8"/>
    </row>
    <row r="310" spans="1:30">
      <c r="A310" s="7"/>
      <c r="D310" s="7"/>
      <c r="I310" s="7"/>
      <c r="J310" s="7"/>
      <c r="K310" s="7"/>
      <c r="N310" s="7"/>
      <c r="V310" s="8"/>
      <c r="W310" s="7"/>
      <c r="Y310" s="8"/>
      <c r="Z310" s="8"/>
      <c r="AA310" s="8"/>
      <c r="AB310" s="7"/>
      <c r="AD310" s="8"/>
    </row>
    <row r="311" spans="1:30">
      <c r="A311" s="7"/>
      <c r="D311" s="7"/>
      <c r="I311" s="7"/>
      <c r="J311" s="7"/>
      <c r="K311" s="7"/>
      <c r="N311" s="7"/>
      <c r="V311" s="8"/>
      <c r="W311" s="7"/>
      <c r="Y311" s="8"/>
      <c r="Z311" s="8"/>
      <c r="AA311" s="8"/>
      <c r="AB311" s="7"/>
      <c r="AD311" s="8"/>
    </row>
    <row r="312" spans="1:30">
      <c r="A312" s="7"/>
      <c r="D312" s="7"/>
      <c r="I312" s="7"/>
      <c r="J312" s="7"/>
      <c r="K312" s="7"/>
      <c r="N312" s="7"/>
      <c r="V312" s="8"/>
      <c r="W312" s="7"/>
      <c r="Y312" s="8"/>
      <c r="Z312" s="8"/>
      <c r="AA312" s="8"/>
      <c r="AB312" s="7"/>
      <c r="AD312" s="8"/>
    </row>
    <row r="313" spans="1:30">
      <c r="A313" s="7"/>
      <c r="D313" s="7"/>
      <c r="I313" s="7"/>
      <c r="J313" s="7"/>
      <c r="K313" s="7"/>
      <c r="N313" s="7"/>
      <c r="V313" s="8"/>
      <c r="W313" s="7"/>
      <c r="Y313" s="8"/>
      <c r="Z313" s="8"/>
      <c r="AA313" s="8"/>
      <c r="AB313" s="7"/>
      <c r="AD313" s="8"/>
    </row>
    <row r="314" spans="1:30">
      <c r="A314" s="7"/>
      <c r="D314" s="7"/>
      <c r="I314" s="7"/>
      <c r="J314" s="7"/>
      <c r="K314" s="7"/>
      <c r="N314" s="7"/>
      <c r="V314" s="8"/>
      <c r="W314" s="7"/>
      <c r="Y314" s="8"/>
      <c r="Z314" s="8"/>
      <c r="AA314" s="8"/>
      <c r="AB314" s="7"/>
      <c r="AD314" s="8"/>
    </row>
    <row r="315" spans="1:30">
      <c r="A315" s="7"/>
      <c r="D315" s="7"/>
      <c r="I315" s="7"/>
      <c r="J315" s="7"/>
      <c r="K315" s="7"/>
      <c r="N315" s="7"/>
      <c r="V315" s="8"/>
      <c r="W315" s="7"/>
      <c r="Y315" s="8"/>
      <c r="Z315" s="8"/>
      <c r="AA315" s="8"/>
      <c r="AB315" s="7"/>
      <c r="AD315" s="8"/>
    </row>
    <row r="316" spans="1:30">
      <c r="A316" s="7"/>
      <c r="D316" s="7"/>
      <c r="I316" s="7"/>
      <c r="J316" s="7"/>
      <c r="K316" s="7"/>
      <c r="N316" s="7"/>
      <c r="V316" s="8"/>
      <c r="W316" s="7"/>
      <c r="Y316" s="8"/>
      <c r="Z316" s="8"/>
      <c r="AA316" s="8"/>
      <c r="AB316" s="7"/>
      <c r="AD316" s="8"/>
    </row>
    <row r="317" spans="1:30">
      <c r="A317" s="7"/>
      <c r="D317" s="7"/>
      <c r="I317" s="7"/>
      <c r="J317" s="7"/>
      <c r="K317" s="7"/>
      <c r="N317" s="7"/>
      <c r="V317" s="8"/>
      <c r="W317" s="7"/>
      <c r="Y317" s="8"/>
      <c r="Z317" s="8"/>
      <c r="AA317" s="8"/>
      <c r="AB317" s="7"/>
      <c r="AD317" s="8"/>
    </row>
    <row r="318" spans="1:30">
      <c r="A318" s="7"/>
      <c r="D318" s="7"/>
      <c r="I318" s="7"/>
      <c r="J318" s="7"/>
      <c r="K318" s="7"/>
      <c r="N318" s="7"/>
      <c r="V318" s="8"/>
      <c r="W318" s="7"/>
      <c r="Y318" s="8"/>
      <c r="Z318" s="8"/>
      <c r="AA318" s="8"/>
      <c r="AB318" s="7"/>
      <c r="AD318" s="8"/>
    </row>
    <row r="319" spans="1:30">
      <c r="A319" s="7"/>
      <c r="D319" s="7"/>
      <c r="I319" s="7"/>
      <c r="J319" s="7"/>
      <c r="K319" s="7"/>
      <c r="N319" s="7"/>
      <c r="V319" s="8"/>
      <c r="W319" s="7"/>
      <c r="Y319" s="8"/>
      <c r="Z319" s="8"/>
      <c r="AA319" s="8"/>
      <c r="AB319" s="7"/>
      <c r="AD319" s="8"/>
    </row>
    <row r="320" spans="1:30">
      <c r="A320" s="7"/>
      <c r="D320" s="7"/>
      <c r="I320" s="7"/>
      <c r="J320" s="7"/>
      <c r="K320" s="7"/>
      <c r="N320" s="7"/>
      <c r="V320" s="8"/>
      <c r="W320" s="7"/>
      <c r="Y320" s="8"/>
      <c r="Z320" s="8"/>
      <c r="AA320" s="8"/>
      <c r="AB320" s="7"/>
      <c r="AD320" s="8"/>
    </row>
    <row r="321" spans="1:30">
      <c r="A321" s="7"/>
      <c r="D321" s="7"/>
      <c r="I321" s="7"/>
      <c r="J321" s="7"/>
      <c r="K321" s="7"/>
      <c r="N321" s="7"/>
      <c r="V321" s="8"/>
      <c r="W321" s="7"/>
      <c r="Y321" s="8"/>
      <c r="Z321" s="8"/>
      <c r="AA321" s="8"/>
      <c r="AB321" s="7"/>
      <c r="AD321" s="8"/>
    </row>
    <row r="322" spans="1:30">
      <c r="A322" s="7"/>
      <c r="D322" s="7"/>
      <c r="I322" s="7"/>
      <c r="J322" s="7"/>
      <c r="K322" s="7"/>
      <c r="N322" s="7"/>
      <c r="V322" s="8"/>
      <c r="W322" s="7"/>
      <c r="Y322" s="8"/>
      <c r="Z322" s="8"/>
      <c r="AA322" s="8"/>
      <c r="AB322" s="7"/>
      <c r="AD322" s="8"/>
    </row>
    <row r="323" spans="1:30">
      <c r="A323" s="7"/>
      <c r="D323" s="7"/>
      <c r="I323" s="7"/>
      <c r="J323" s="7"/>
      <c r="K323" s="7"/>
      <c r="N323" s="7"/>
      <c r="V323" s="8"/>
      <c r="W323" s="7"/>
      <c r="Y323" s="8"/>
      <c r="Z323" s="8"/>
      <c r="AA323" s="8"/>
      <c r="AB323" s="7"/>
      <c r="AD323" s="8"/>
    </row>
    <row r="324" spans="1:30">
      <c r="A324" s="7"/>
      <c r="D324" s="7"/>
      <c r="I324" s="7"/>
      <c r="J324" s="7"/>
      <c r="K324" s="7"/>
      <c r="N324" s="7"/>
      <c r="V324" s="8"/>
      <c r="W324" s="7"/>
      <c r="Y324" s="8"/>
      <c r="Z324" s="8"/>
      <c r="AA324" s="8"/>
      <c r="AB324" s="7"/>
      <c r="AD324" s="8"/>
    </row>
    <row r="325" spans="1:30">
      <c r="A325" s="7"/>
      <c r="D325" s="7"/>
      <c r="I325" s="7"/>
      <c r="J325" s="7"/>
      <c r="K325" s="7"/>
      <c r="N325" s="7"/>
      <c r="V325" s="8"/>
      <c r="W325" s="7"/>
      <c r="Y325" s="8"/>
      <c r="Z325" s="8"/>
      <c r="AA325" s="8"/>
      <c r="AB325" s="7"/>
      <c r="AD325" s="8"/>
    </row>
    <row r="326" spans="1:30">
      <c r="A326" s="7"/>
      <c r="D326" s="7"/>
      <c r="I326" s="7"/>
      <c r="J326" s="7"/>
      <c r="K326" s="7"/>
      <c r="N326" s="7"/>
      <c r="V326" s="8"/>
      <c r="W326" s="7"/>
      <c r="Y326" s="8"/>
      <c r="Z326" s="8"/>
      <c r="AA326" s="8"/>
      <c r="AB326" s="7"/>
      <c r="AD326" s="8"/>
    </row>
    <row r="327" spans="1:30">
      <c r="A327" s="7"/>
      <c r="D327" s="7"/>
      <c r="I327" s="7"/>
      <c r="J327" s="7"/>
      <c r="K327" s="7"/>
      <c r="N327" s="7"/>
      <c r="V327" s="8"/>
      <c r="W327" s="7"/>
      <c r="Y327" s="8"/>
      <c r="Z327" s="8"/>
      <c r="AA327" s="8"/>
      <c r="AB327" s="7"/>
      <c r="AD327" s="8"/>
    </row>
    <row r="328" spans="1:30">
      <c r="A328" s="7"/>
      <c r="D328" s="7"/>
      <c r="I328" s="7"/>
      <c r="J328" s="7"/>
      <c r="K328" s="7"/>
      <c r="N328" s="7"/>
      <c r="V328" s="8"/>
      <c r="W328" s="7"/>
      <c r="Y328" s="8"/>
      <c r="Z328" s="8"/>
      <c r="AA328" s="8"/>
      <c r="AB328" s="7"/>
      <c r="AD328" s="8"/>
    </row>
    <row r="329" spans="1:30">
      <c r="A329" s="7"/>
      <c r="D329" s="7"/>
      <c r="I329" s="7"/>
      <c r="J329" s="7"/>
      <c r="K329" s="7"/>
      <c r="N329" s="7"/>
      <c r="V329" s="8"/>
      <c r="W329" s="7"/>
      <c r="Y329" s="8"/>
      <c r="Z329" s="8"/>
      <c r="AA329" s="8"/>
      <c r="AB329" s="7"/>
      <c r="AD329" s="8"/>
    </row>
    <row r="330" spans="1:30">
      <c r="A330" s="7"/>
      <c r="D330" s="7"/>
      <c r="I330" s="7"/>
      <c r="J330" s="7"/>
      <c r="K330" s="7"/>
      <c r="N330" s="7"/>
      <c r="V330" s="8"/>
      <c r="W330" s="7"/>
      <c r="Y330" s="8"/>
      <c r="Z330" s="8"/>
      <c r="AA330" s="8"/>
      <c r="AB330" s="7"/>
      <c r="AD330" s="8"/>
    </row>
    <row r="331" spans="1:30">
      <c r="A331" s="7"/>
      <c r="D331" s="7"/>
      <c r="I331" s="7"/>
      <c r="J331" s="7"/>
      <c r="K331" s="7"/>
      <c r="N331" s="7"/>
      <c r="V331" s="8"/>
      <c r="W331" s="7"/>
      <c r="Y331" s="8"/>
      <c r="Z331" s="8"/>
      <c r="AA331" s="8"/>
      <c r="AB331" s="7"/>
      <c r="AD331" s="8"/>
    </row>
    <row r="332" spans="1:30">
      <c r="A332" s="7"/>
      <c r="D332" s="7"/>
      <c r="I332" s="7"/>
      <c r="J332" s="7"/>
      <c r="K332" s="7"/>
      <c r="N332" s="7"/>
      <c r="V332" s="8"/>
      <c r="W332" s="7"/>
      <c r="Y332" s="8"/>
      <c r="Z332" s="8"/>
      <c r="AA332" s="8"/>
      <c r="AB332" s="7"/>
      <c r="AD332" s="8"/>
    </row>
    <row r="333" spans="1:30">
      <c r="A333" s="7"/>
      <c r="D333" s="7"/>
      <c r="I333" s="7"/>
      <c r="J333" s="7"/>
      <c r="K333" s="7"/>
      <c r="N333" s="7"/>
      <c r="V333" s="8"/>
      <c r="W333" s="7"/>
      <c r="Y333" s="8"/>
      <c r="Z333" s="8"/>
      <c r="AA333" s="8"/>
      <c r="AB333" s="7"/>
      <c r="AD333" s="8"/>
    </row>
    <row r="334" spans="1:30">
      <c r="A334" s="7"/>
      <c r="D334" s="7"/>
      <c r="I334" s="7"/>
      <c r="J334" s="7"/>
      <c r="K334" s="7"/>
      <c r="N334" s="7"/>
      <c r="V334" s="8"/>
      <c r="W334" s="7"/>
      <c r="Y334" s="8"/>
      <c r="Z334" s="8"/>
      <c r="AA334" s="8"/>
      <c r="AB334" s="7"/>
      <c r="AD334" s="8"/>
    </row>
    <row r="335" spans="1:30">
      <c r="A335" s="7"/>
      <c r="D335" s="7"/>
      <c r="I335" s="7"/>
      <c r="J335" s="7"/>
      <c r="K335" s="7"/>
      <c r="N335" s="7"/>
      <c r="V335" s="8"/>
      <c r="W335" s="7"/>
      <c r="Y335" s="8"/>
      <c r="Z335" s="8"/>
      <c r="AA335" s="8"/>
      <c r="AB335" s="7"/>
      <c r="AD335" s="8"/>
    </row>
    <row r="336" spans="1:30">
      <c r="A336" s="7"/>
      <c r="D336" s="7"/>
      <c r="I336" s="7"/>
      <c r="J336" s="7"/>
      <c r="K336" s="7"/>
      <c r="N336" s="7"/>
      <c r="V336" s="8"/>
      <c r="W336" s="7"/>
      <c r="Y336" s="8"/>
      <c r="Z336" s="8"/>
      <c r="AA336" s="8"/>
      <c r="AB336" s="7"/>
      <c r="AD336" s="8"/>
    </row>
    <row r="337" spans="1:30">
      <c r="A337" s="7"/>
      <c r="D337" s="7"/>
      <c r="I337" s="7"/>
      <c r="J337" s="7"/>
      <c r="K337" s="7"/>
      <c r="N337" s="7"/>
      <c r="V337" s="8"/>
      <c r="W337" s="7"/>
      <c r="Y337" s="8"/>
      <c r="Z337" s="8"/>
      <c r="AA337" s="8"/>
      <c r="AB337" s="7"/>
      <c r="AD337" s="8"/>
    </row>
    <row r="338" spans="1:30">
      <c r="A338" s="7"/>
      <c r="D338" s="7"/>
      <c r="I338" s="7"/>
      <c r="J338" s="7"/>
      <c r="K338" s="7"/>
      <c r="N338" s="7"/>
      <c r="V338" s="8"/>
      <c r="W338" s="7"/>
      <c r="Y338" s="8"/>
      <c r="Z338" s="8"/>
      <c r="AA338" s="8"/>
      <c r="AB338" s="7"/>
      <c r="AD338" s="8"/>
    </row>
    <row r="339" spans="1:30">
      <c r="A339" s="7"/>
      <c r="D339" s="7"/>
      <c r="I339" s="7"/>
      <c r="J339" s="7"/>
      <c r="K339" s="7"/>
      <c r="N339" s="7"/>
      <c r="V339" s="8"/>
      <c r="W339" s="7"/>
      <c r="Y339" s="8"/>
      <c r="Z339" s="8"/>
      <c r="AA339" s="8"/>
      <c r="AB339" s="7"/>
      <c r="AD339" s="8"/>
    </row>
    <row r="340" spans="1:30">
      <c r="A340" s="7"/>
      <c r="D340" s="7"/>
      <c r="I340" s="7"/>
      <c r="J340" s="7"/>
      <c r="K340" s="7"/>
      <c r="N340" s="7"/>
      <c r="V340" s="8"/>
      <c r="W340" s="7"/>
      <c r="Y340" s="8"/>
      <c r="Z340" s="8"/>
      <c r="AA340" s="8"/>
      <c r="AB340" s="7"/>
      <c r="AD340" s="8"/>
    </row>
    <row r="341" spans="1:30">
      <c r="A341" s="7"/>
      <c r="D341" s="7"/>
      <c r="I341" s="7"/>
      <c r="J341" s="7"/>
      <c r="K341" s="7"/>
      <c r="N341" s="7"/>
      <c r="V341" s="8"/>
      <c r="W341" s="7"/>
      <c r="Y341" s="8"/>
      <c r="Z341" s="8"/>
      <c r="AA341" s="8"/>
      <c r="AB341" s="7"/>
      <c r="AD341" s="8"/>
    </row>
    <row r="342" spans="1:30">
      <c r="A342" s="7"/>
      <c r="D342" s="7"/>
      <c r="I342" s="7"/>
      <c r="J342" s="7"/>
      <c r="K342" s="7"/>
      <c r="N342" s="7"/>
      <c r="V342" s="8"/>
      <c r="W342" s="7"/>
      <c r="Y342" s="8"/>
      <c r="Z342" s="8"/>
      <c r="AA342" s="8"/>
      <c r="AB342" s="7"/>
      <c r="AD342" s="8"/>
    </row>
    <row r="343" spans="1:30">
      <c r="A343" s="7"/>
      <c r="D343" s="7"/>
      <c r="I343" s="7"/>
      <c r="J343" s="7"/>
      <c r="K343" s="7"/>
      <c r="N343" s="7"/>
      <c r="V343" s="8"/>
      <c r="W343" s="7"/>
      <c r="Y343" s="8"/>
      <c r="Z343" s="8"/>
      <c r="AA343" s="8"/>
      <c r="AB343" s="7"/>
      <c r="AD343" s="8"/>
    </row>
    <row r="344" spans="1:30">
      <c r="A344" s="7"/>
      <c r="D344" s="7"/>
      <c r="I344" s="7"/>
      <c r="J344" s="7"/>
      <c r="K344" s="7"/>
      <c r="N344" s="7"/>
      <c r="V344" s="8"/>
      <c r="W344" s="7"/>
      <c r="Y344" s="8"/>
      <c r="Z344" s="8"/>
      <c r="AA344" s="8"/>
      <c r="AB344" s="7"/>
      <c r="AD344" s="8"/>
    </row>
    <row r="345" spans="1:30">
      <c r="A345" s="7"/>
      <c r="D345" s="7"/>
      <c r="I345" s="7"/>
      <c r="J345" s="7"/>
      <c r="K345" s="7"/>
      <c r="N345" s="7"/>
      <c r="V345" s="8"/>
      <c r="W345" s="7"/>
      <c r="Y345" s="8"/>
      <c r="Z345" s="8"/>
      <c r="AA345" s="8"/>
      <c r="AB345" s="7"/>
      <c r="AD345" s="8"/>
    </row>
    <row r="346" spans="1:30">
      <c r="A346" s="7"/>
      <c r="D346" s="7"/>
      <c r="I346" s="7"/>
      <c r="J346" s="7"/>
      <c r="K346" s="7"/>
      <c r="N346" s="7"/>
      <c r="V346" s="8"/>
      <c r="W346" s="7"/>
      <c r="Y346" s="8"/>
      <c r="Z346" s="8"/>
      <c r="AA346" s="8"/>
      <c r="AB346" s="7"/>
      <c r="AD346" s="8"/>
    </row>
    <row r="347" spans="1:30">
      <c r="A347" s="7"/>
      <c r="D347" s="7"/>
      <c r="I347" s="7"/>
      <c r="J347" s="7"/>
      <c r="K347" s="7"/>
      <c r="N347" s="7"/>
      <c r="V347" s="8"/>
      <c r="W347" s="7"/>
      <c r="Y347" s="8"/>
      <c r="Z347" s="8"/>
      <c r="AA347" s="8"/>
      <c r="AB347" s="7"/>
      <c r="AD347" s="8"/>
    </row>
    <row r="348" spans="1:30">
      <c r="A348" s="7"/>
      <c r="D348" s="7"/>
      <c r="I348" s="7"/>
      <c r="J348" s="7"/>
      <c r="K348" s="7"/>
      <c r="N348" s="7"/>
      <c r="V348" s="8"/>
      <c r="W348" s="7"/>
      <c r="Y348" s="8"/>
      <c r="Z348" s="8"/>
      <c r="AA348" s="8"/>
      <c r="AB348" s="7"/>
      <c r="AD348" s="8"/>
    </row>
    <row r="349" spans="1:30">
      <c r="A349" s="7"/>
      <c r="D349" s="7"/>
      <c r="I349" s="7"/>
      <c r="J349" s="7"/>
      <c r="K349" s="7"/>
      <c r="N349" s="7"/>
      <c r="V349" s="8"/>
      <c r="W349" s="7"/>
      <c r="Y349" s="8"/>
      <c r="Z349" s="8"/>
      <c r="AA349" s="8"/>
      <c r="AB349" s="7"/>
      <c r="AD349" s="8"/>
    </row>
    <row r="350" spans="1:30">
      <c r="A350" s="7"/>
      <c r="D350" s="7"/>
      <c r="I350" s="7"/>
      <c r="J350" s="7"/>
      <c r="K350" s="7"/>
      <c r="N350" s="7"/>
      <c r="V350" s="8"/>
      <c r="W350" s="7"/>
      <c r="Y350" s="8"/>
      <c r="Z350" s="8"/>
      <c r="AA350" s="8"/>
      <c r="AB350" s="7"/>
      <c r="AD350" s="8"/>
    </row>
    <row r="351" spans="1:30">
      <c r="A351" s="7"/>
      <c r="D351" s="7"/>
      <c r="I351" s="7"/>
      <c r="J351" s="7"/>
      <c r="K351" s="7"/>
      <c r="N351" s="7"/>
      <c r="V351" s="8"/>
      <c r="W351" s="7"/>
      <c r="Y351" s="8"/>
      <c r="Z351" s="8"/>
      <c r="AA351" s="8"/>
      <c r="AB351" s="7"/>
      <c r="AD351" s="8"/>
    </row>
    <row r="352" spans="1:30">
      <c r="A352" s="7"/>
      <c r="D352" s="7"/>
      <c r="I352" s="7"/>
      <c r="J352" s="7"/>
      <c r="K352" s="7"/>
      <c r="N352" s="7"/>
      <c r="V352" s="8"/>
      <c r="W352" s="7"/>
      <c r="Y352" s="8"/>
      <c r="Z352" s="8"/>
      <c r="AA352" s="8"/>
      <c r="AB352" s="7"/>
      <c r="AD352" s="8"/>
    </row>
    <row r="353" spans="1:30">
      <c r="A353" s="7"/>
      <c r="D353" s="7"/>
      <c r="I353" s="7"/>
      <c r="J353" s="7"/>
      <c r="K353" s="7"/>
      <c r="N353" s="7"/>
      <c r="V353" s="8"/>
      <c r="W353" s="7"/>
      <c r="Y353" s="8"/>
      <c r="Z353" s="8"/>
      <c r="AA353" s="8"/>
      <c r="AB353" s="7"/>
      <c r="AD353" s="8"/>
    </row>
    <row r="354" spans="1:30">
      <c r="A354" s="7"/>
      <c r="D354" s="7"/>
      <c r="I354" s="7"/>
      <c r="J354" s="7"/>
      <c r="K354" s="7"/>
      <c r="N354" s="7"/>
      <c r="V354" s="8"/>
      <c r="W354" s="7"/>
      <c r="Y354" s="8"/>
      <c r="Z354" s="8"/>
      <c r="AA354" s="8"/>
      <c r="AB354" s="7"/>
      <c r="AD354" s="8"/>
    </row>
    <row r="355" spans="1:30">
      <c r="A355" s="7"/>
      <c r="D355" s="7"/>
      <c r="I355" s="7"/>
      <c r="J355" s="7"/>
      <c r="K355" s="7"/>
      <c r="N355" s="7"/>
      <c r="V355" s="8"/>
      <c r="W355" s="7"/>
      <c r="Y355" s="8"/>
      <c r="Z355" s="8"/>
      <c r="AA355" s="8"/>
      <c r="AB355" s="7"/>
      <c r="AD355" s="8"/>
    </row>
    <row r="356" spans="1:30">
      <c r="A356" s="7"/>
      <c r="D356" s="7"/>
      <c r="I356" s="7"/>
      <c r="J356" s="7"/>
      <c r="K356" s="7"/>
      <c r="N356" s="7"/>
      <c r="V356" s="8"/>
      <c r="W356" s="7"/>
      <c r="Y356" s="8"/>
      <c r="Z356" s="8"/>
      <c r="AA356" s="8"/>
      <c r="AB356" s="7"/>
      <c r="AD356" s="8"/>
    </row>
    <row r="357" spans="1:30">
      <c r="A357" s="7"/>
      <c r="D357" s="7"/>
      <c r="I357" s="7"/>
      <c r="J357" s="7"/>
      <c r="K357" s="7"/>
      <c r="N357" s="7"/>
      <c r="V357" s="8"/>
      <c r="W357" s="7"/>
      <c r="Y357" s="8"/>
      <c r="Z357" s="8"/>
      <c r="AA357" s="8"/>
      <c r="AB357" s="7"/>
      <c r="AD357" s="8"/>
    </row>
    <row r="358" spans="1:30">
      <c r="A358" s="7"/>
      <c r="D358" s="7"/>
      <c r="I358" s="7"/>
      <c r="J358" s="7"/>
      <c r="K358" s="7"/>
      <c r="N358" s="7"/>
      <c r="V358" s="8"/>
      <c r="W358" s="7"/>
      <c r="Y358" s="8"/>
      <c r="Z358" s="8"/>
      <c r="AA358" s="8"/>
      <c r="AB358" s="7"/>
      <c r="AD358" s="8"/>
    </row>
    <row r="359" spans="1:30">
      <c r="A359" s="7"/>
      <c r="D359" s="7"/>
      <c r="I359" s="7"/>
      <c r="J359" s="7"/>
      <c r="K359" s="7"/>
      <c r="N359" s="7"/>
      <c r="V359" s="8"/>
      <c r="W359" s="7"/>
      <c r="Y359" s="8"/>
      <c r="Z359" s="8"/>
      <c r="AA359" s="8"/>
      <c r="AB359" s="7"/>
      <c r="AD359" s="8"/>
    </row>
    <row r="360" spans="1:30">
      <c r="A360" s="7"/>
      <c r="D360" s="7"/>
      <c r="I360" s="7"/>
      <c r="J360" s="7"/>
      <c r="K360" s="7"/>
      <c r="N360" s="7"/>
      <c r="V360" s="8"/>
      <c r="W360" s="7"/>
      <c r="Y360" s="8"/>
      <c r="Z360" s="8"/>
      <c r="AA360" s="8"/>
      <c r="AB360" s="7"/>
      <c r="AD360" s="8"/>
    </row>
    <row r="361" spans="1:30">
      <c r="A361" s="7"/>
      <c r="D361" s="7"/>
      <c r="I361" s="7"/>
      <c r="J361" s="7"/>
      <c r="K361" s="7"/>
      <c r="N361" s="7"/>
      <c r="V361" s="8"/>
      <c r="W361" s="7"/>
      <c r="Y361" s="8"/>
      <c r="Z361" s="8"/>
      <c r="AA361" s="8"/>
      <c r="AB361" s="7"/>
      <c r="AD361" s="8"/>
    </row>
    <row r="362" spans="1:30">
      <c r="A362" s="7"/>
      <c r="D362" s="7"/>
      <c r="I362" s="7"/>
      <c r="J362" s="7"/>
      <c r="K362" s="7"/>
      <c r="N362" s="7"/>
      <c r="V362" s="8"/>
      <c r="W362" s="7"/>
      <c r="Y362" s="8"/>
      <c r="Z362" s="8"/>
      <c r="AA362" s="8"/>
      <c r="AB362" s="7"/>
      <c r="AD362" s="8"/>
    </row>
    <row r="363" spans="1:30">
      <c r="A363" s="7"/>
      <c r="D363" s="7"/>
      <c r="I363" s="7"/>
      <c r="J363" s="7"/>
      <c r="K363" s="7"/>
      <c r="N363" s="7"/>
      <c r="V363" s="8"/>
      <c r="W363" s="7"/>
      <c r="Y363" s="8"/>
      <c r="Z363" s="8"/>
      <c r="AA363" s="8"/>
      <c r="AB363" s="7"/>
      <c r="AD363" s="8"/>
    </row>
    <row r="364" spans="1:30">
      <c r="A364" s="7"/>
      <c r="D364" s="7"/>
      <c r="I364" s="7"/>
      <c r="J364" s="7"/>
      <c r="K364" s="7"/>
      <c r="N364" s="7"/>
      <c r="V364" s="8"/>
      <c r="W364" s="7"/>
      <c r="Y364" s="8"/>
      <c r="Z364" s="8"/>
      <c r="AA364" s="8"/>
      <c r="AB364" s="7"/>
      <c r="AD364" s="8"/>
    </row>
    <row r="365" spans="1:30">
      <c r="A365" s="7"/>
      <c r="D365" s="7"/>
      <c r="I365" s="7"/>
      <c r="J365" s="7"/>
      <c r="K365" s="7"/>
      <c r="N365" s="7"/>
      <c r="V365" s="8"/>
      <c r="W365" s="7"/>
      <c r="Y365" s="8"/>
      <c r="Z365" s="8"/>
      <c r="AA365" s="8"/>
      <c r="AB365" s="7"/>
      <c r="AD365" s="8"/>
    </row>
    <row r="366" spans="1:30">
      <c r="A366" s="7"/>
      <c r="D366" s="7"/>
      <c r="I366" s="7"/>
      <c r="J366" s="7"/>
      <c r="K366" s="7"/>
      <c r="N366" s="7"/>
      <c r="V366" s="8"/>
      <c r="W366" s="7"/>
      <c r="Y366" s="8"/>
      <c r="Z366" s="8"/>
      <c r="AA366" s="8"/>
      <c r="AB366" s="7"/>
      <c r="AD366" s="8"/>
    </row>
    <row r="367" spans="1:30">
      <c r="A367" s="7"/>
      <c r="D367" s="7"/>
      <c r="I367" s="7"/>
      <c r="J367" s="7"/>
      <c r="K367" s="7"/>
      <c r="N367" s="7"/>
      <c r="V367" s="8"/>
      <c r="W367" s="7"/>
      <c r="Y367" s="8"/>
      <c r="Z367" s="8"/>
      <c r="AA367" s="8"/>
      <c r="AB367" s="7"/>
      <c r="AD367" s="8"/>
    </row>
    <row r="368" spans="1:30">
      <c r="A368" s="7"/>
      <c r="D368" s="7"/>
      <c r="I368" s="7"/>
      <c r="J368" s="7"/>
      <c r="K368" s="7"/>
      <c r="N368" s="7"/>
      <c r="V368" s="8"/>
      <c r="W368" s="7"/>
      <c r="Y368" s="8"/>
      <c r="Z368" s="8"/>
      <c r="AA368" s="8"/>
      <c r="AB368" s="7"/>
      <c r="AD368" s="8"/>
    </row>
    <row r="369" spans="1:30">
      <c r="A369" s="7"/>
      <c r="D369" s="7"/>
      <c r="I369" s="7"/>
      <c r="J369" s="7"/>
      <c r="K369" s="7"/>
      <c r="N369" s="7"/>
      <c r="V369" s="8"/>
      <c r="W369" s="7"/>
      <c r="Y369" s="8"/>
      <c r="Z369" s="8"/>
      <c r="AA369" s="8"/>
      <c r="AB369" s="7"/>
      <c r="AD369" s="8"/>
    </row>
    <row r="370" spans="1:30">
      <c r="A370" s="7"/>
      <c r="D370" s="7"/>
      <c r="I370" s="7"/>
      <c r="J370" s="7"/>
      <c r="K370" s="7"/>
      <c r="N370" s="7"/>
      <c r="V370" s="8"/>
      <c r="W370" s="7"/>
      <c r="Y370" s="8"/>
      <c r="Z370" s="8"/>
      <c r="AA370" s="8"/>
      <c r="AB370" s="7"/>
      <c r="AD370" s="8"/>
    </row>
    <row r="371" spans="1:30">
      <c r="A371" s="7"/>
      <c r="D371" s="7"/>
      <c r="I371" s="7"/>
      <c r="J371" s="7"/>
      <c r="K371" s="7"/>
      <c r="N371" s="7"/>
      <c r="V371" s="8"/>
      <c r="W371" s="7"/>
      <c r="Y371" s="8"/>
      <c r="Z371" s="8"/>
      <c r="AA371" s="8"/>
      <c r="AB371" s="7"/>
      <c r="AD371" s="8"/>
    </row>
    <row r="372" spans="1:30">
      <c r="A372" s="7"/>
      <c r="D372" s="7"/>
      <c r="I372" s="7"/>
      <c r="J372" s="7"/>
      <c r="K372" s="7"/>
      <c r="N372" s="7"/>
      <c r="V372" s="8"/>
      <c r="W372" s="7"/>
      <c r="Y372" s="8"/>
      <c r="Z372" s="8"/>
      <c r="AA372" s="8"/>
      <c r="AB372" s="7"/>
      <c r="AD372" s="8"/>
    </row>
    <row r="373" spans="1:30">
      <c r="A373" s="7"/>
      <c r="D373" s="7"/>
      <c r="I373" s="7"/>
      <c r="J373" s="7"/>
      <c r="K373" s="7"/>
      <c r="N373" s="7"/>
      <c r="V373" s="8"/>
      <c r="W373" s="7"/>
      <c r="Y373" s="8"/>
      <c r="Z373" s="8"/>
      <c r="AA373" s="8"/>
      <c r="AB373" s="7"/>
      <c r="AD373" s="8"/>
    </row>
    <row r="374" spans="1:30">
      <c r="A374" s="7"/>
      <c r="D374" s="7"/>
      <c r="I374" s="7"/>
      <c r="J374" s="7"/>
      <c r="K374" s="7"/>
      <c r="N374" s="7"/>
      <c r="V374" s="8"/>
      <c r="W374" s="7"/>
      <c r="Y374" s="8"/>
      <c r="Z374" s="8"/>
      <c r="AA374" s="8"/>
      <c r="AB374" s="7"/>
      <c r="AD374" s="8"/>
    </row>
    <row r="375" spans="1:30">
      <c r="A375" s="7"/>
      <c r="D375" s="7"/>
      <c r="I375" s="7"/>
      <c r="J375" s="7"/>
      <c r="K375" s="7"/>
      <c r="N375" s="7"/>
      <c r="V375" s="8"/>
      <c r="W375" s="7"/>
      <c r="Y375" s="8"/>
      <c r="Z375" s="8"/>
      <c r="AA375" s="8"/>
      <c r="AB375" s="7"/>
      <c r="AD375" s="8"/>
    </row>
    <row r="376" spans="1:30">
      <c r="A376" s="7"/>
      <c r="D376" s="7"/>
      <c r="I376" s="7"/>
      <c r="J376" s="7"/>
      <c r="K376" s="7"/>
      <c r="N376" s="7"/>
      <c r="V376" s="8"/>
      <c r="W376" s="7"/>
      <c r="Y376" s="8"/>
      <c r="Z376" s="8"/>
      <c r="AA376" s="8"/>
      <c r="AB376" s="7"/>
      <c r="AD376" s="8"/>
    </row>
    <row r="377" spans="1:30">
      <c r="A377" s="7"/>
      <c r="D377" s="7"/>
      <c r="I377" s="7"/>
      <c r="J377" s="7"/>
      <c r="K377" s="7"/>
      <c r="N377" s="7"/>
      <c r="V377" s="8"/>
      <c r="W377" s="7"/>
      <c r="Y377" s="8"/>
      <c r="Z377" s="8"/>
      <c r="AA377" s="8"/>
      <c r="AB377" s="7"/>
      <c r="AD377" s="8"/>
    </row>
    <row r="378" spans="1:30">
      <c r="A378" s="7"/>
      <c r="D378" s="7"/>
      <c r="I378" s="7"/>
      <c r="J378" s="7"/>
      <c r="K378" s="7"/>
      <c r="N378" s="7"/>
      <c r="V378" s="8"/>
      <c r="W378" s="7"/>
      <c r="Y378" s="8"/>
      <c r="Z378" s="8"/>
      <c r="AA378" s="8"/>
      <c r="AB378" s="7"/>
      <c r="AD378" s="8"/>
    </row>
    <row r="379" spans="1:30">
      <c r="A379" s="7"/>
      <c r="D379" s="7"/>
      <c r="I379" s="7"/>
      <c r="J379" s="7"/>
      <c r="K379" s="7"/>
      <c r="N379" s="7"/>
      <c r="V379" s="8"/>
      <c r="W379" s="7"/>
      <c r="Y379" s="8"/>
      <c r="Z379" s="8"/>
      <c r="AA379" s="8"/>
      <c r="AB379" s="7"/>
      <c r="AD379" s="8"/>
    </row>
    <row r="380" spans="1:30">
      <c r="A380" s="7"/>
      <c r="D380" s="7"/>
      <c r="I380" s="7"/>
      <c r="J380" s="7"/>
      <c r="K380" s="7"/>
      <c r="N380" s="7"/>
      <c r="V380" s="8"/>
      <c r="W380" s="7"/>
      <c r="Y380" s="8"/>
      <c r="Z380" s="8"/>
      <c r="AA380" s="8"/>
      <c r="AB380" s="7"/>
      <c r="AD380" s="8"/>
    </row>
    <row r="381" spans="1:30">
      <c r="A381" s="7"/>
      <c r="D381" s="7"/>
      <c r="I381" s="7"/>
      <c r="J381" s="7"/>
      <c r="K381" s="7"/>
      <c r="N381" s="7"/>
      <c r="V381" s="8"/>
      <c r="W381" s="7"/>
      <c r="Y381" s="8"/>
      <c r="Z381" s="8"/>
      <c r="AA381" s="8"/>
      <c r="AB381" s="7"/>
      <c r="AD381" s="8"/>
    </row>
    <row r="382" spans="1:30">
      <c r="A382" s="7"/>
      <c r="D382" s="7"/>
      <c r="I382" s="7"/>
      <c r="J382" s="7"/>
      <c r="K382" s="7"/>
      <c r="N382" s="7"/>
      <c r="V382" s="8"/>
      <c r="W382" s="7"/>
      <c r="Y382" s="8"/>
      <c r="Z382" s="8"/>
      <c r="AA382" s="8"/>
      <c r="AB382" s="7"/>
      <c r="AD382" s="8"/>
    </row>
    <row r="383" spans="1:30">
      <c r="A383" s="7"/>
      <c r="D383" s="7"/>
      <c r="I383" s="7"/>
      <c r="J383" s="7"/>
      <c r="K383" s="7"/>
      <c r="N383" s="7"/>
      <c r="V383" s="8"/>
      <c r="W383" s="7"/>
      <c r="Y383" s="8"/>
      <c r="Z383" s="8"/>
      <c r="AA383" s="8"/>
      <c r="AB383" s="7"/>
      <c r="AD383" s="8"/>
    </row>
    <row r="384" spans="1:30">
      <c r="A384" s="7"/>
      <c r="D384" s="7"/>
      <c r="I384" s="7"/>
      <c r="J384" s="7"/>
      <c r="K384" s="7"/>
      <c r="N384" s="7"/>
      <c r="V384" s="8"/>
      <c r="W384" s="7"/>
      <c r="Y384" s="8"/>
      <c r="Z384" s="8"/>
      <c r="AA384" s="8"/>
      <c r="AB384" s="7"/>
      <c r="AD384" s="8"/>
    </row>
    <row r="385" spans="1:30">
      <c r="A385" s="7"/>
      <c r="D385" s="7"/>
      <c r="I385" s="7"/>
      <c r="J385" s="7"/>
      <c r="K385" s="7"/>
      <c r="N385" s="7"/>
      <c r="V385" s="8"/>
      <c r="W385" s="7"/>
      <c r="Y385" s="8"/>
      <c r="Z385" s="8"/>
      <c r="AA385" s="8"/>
      <c r="AB385" s="7"/>
      <c r="AD385" s="8"/>
    </row>
    <row r="386" spans="1:30">
      <c r="A386" s="7"/>
      <c r="D386" s="7"/>
      <c r="I386" s="7"/>
      <c r="J386" s="7"/>
      <c r="K386" s="7"/>
      <c r="N386" s="7"/>
      <c r="V386" s="8"/>
      <c r="W386" s="7"/>
      <c r="Y386" s="8"/>
      <c r="Z386" s="8"/>
      <c r="AA386" s="8"/>
      <c r="AB386" s="7"/>
      <c r="AD386" s="8"/>
    </row>
    <row r="387" spans="1:30">
      <c r="A387" s="7"/>
      <c r="D387" s="7"/>
      <c r="I387" s="7"/>
      <c r="J387" s="7"/>
      <c r="K387" s="7"/>
      <c r="N387" s="7"/>
      <c r="V387" s="8"/>
      <c r="W387" s="7"/>
      <c r="Y387" s="8"/>
      <c r="Z387" s="8"/>
      <c r="AA387" s="8"/>
      <c r="AB387" s="7"/>
      <c r="AD387" s="8"/>
    </row>
    <row r="388" spans="1:30">
      <c r="A388" s="7"/>
      <c r="D388" s="7"/>
      <c r="I388" s="7"/>
      <c r="J388" s="7"/>
      <c r="K388" s="7"/>
      <c r="N388" s="7"/>
      <c r="V388" s="8"/>
      <c r="W388" s="7"/>
      <c r="Y388" s="8"/>
      <c r="Z388" s="8"/>
      <c r="AA388" s="8"/>
      <c r="AB388" s="7"/>
      <c r="AD388" s="8"/>
    </row>
    <row r="389" spans="1:30">
      <c r="A389" s="7"/>
      <c r="D389" s="7"/>
      <c r="I389" s="7"/>
      <c r="J389" s="7"/>
      <c r="K389" s="7"/>
      <c r="N389" s="7"/>
      <c r="V389" s="8"/>
      <c r="W389" s="7"/>
      <c r="Y389" s="8"/>
      <c r="Z389" s="8"/>
      <c r="AA389" s="8"/>
      <c r="AB389" s="7"/>
      <c r="AD389" s="8"/>
    </row>
    <row r="390" spans="1:30">
      <c r="A390" s="7"/>
      <c r="D390" s="7"/>
      <c r="I390" s="7"/>
      <c r="J390" s="7"/>
      <c r="K390" s="7"/>
      <c r="N390" s="7"/>
      <c r="V390" s="8"/>
      <c r="W390" s="7"/>
      <c r="Y390" s="8"/>
      <c r="Z390" s="8"/>
      <c r="AA390" s="8"/>
      <c r="AB390" s="7"/>
      <c r="AD390" s="8"/>
    </row>
    <row r="391" spans="1:30">
      <c r="A391" s="7"/>
      <c r="D391" s="7"/>
      <c r="I391" s="7"/>
      <c r="J391" s="7"/>
      <c r="K391" s="7"/>
      <c r="N391" s="7"/>
      <c r="V391" s="8"/>
      <c r="W391" s="7"/>
      <c r="Y391" s="8"/>
      <c r="Z391" s="8"/>
      <c r="AA391" s="8"/>
      <c r="AB391" s="7"/>
      <c r="AD391" s="8"/>
    </row>
    <row r="392" spans="1:30">
      <c r="A392" s="7"/>
      <c r="D392" s="7"/>
      <c r="I392" s="7"/>
      <c r="J392" s="7"/>
      <c r="K392" s="7"/>
      <c r="N392" s="7"/>
      <c r="V392" s="8"/>
      <c r="W392" s="7"/>
      <c r="Y392" s="8"/>
      <c r="Z392" s="8"/>
      <c r="AA392" s="8"/>
      <c r="AB392" s="7"/>
      <c r="AD392" s="8"/>
    </row>
    <row r="393" spans="1:30">
      <c r="A393" s="7"/>
      <c r="D393" s="7"/>
      <c r="I393" s="7"/>
      <c r="J393" s="7"/>
      <c r="K393" s="7"/>
      <c r="N393" s="7"/>
      <c r="V393" s="8"/>
      <c r="W393" s="7"/>
      <c r="Y393" s="8"/>
      <c r="Z393" s="8"/>
      <c r="AA393" s="8"/>
      <c r="AB393" s="7"/>
      <c r="AD393" s="8"/>
    </row>
    <row r="394" spans="1:30">
      <c r="A394" s="7"/>
      <c r="D394" s="7"/>
      <c r="I394" s="7"/>
      <c r="J394" s="7"/>
      <c r="K394" s="7"/>
      <c r="N394" s="7"/>
      <c r="V394" s="8"/>
      <c r="W394" s="7"/>
      <c r="Y394" s="8"/>
      <c r="Z394" s="8"/>
      <c r="AA394" s="8"/>
      <c r="AB394" s="7"/>
      <c r="AD394" s="8"/>
    </row>
    <row r="395" spans="1:30">
      <c r="A395" s="7"/>
      <c r="D395" s="7"/>
      <c r="I395" s="7"/>
      <c r="J395" s="7"/>
      <c r="K395" s="7"/>
      <c r="N395" s="7"/>
      <c r="V395" s="8"/>
      <c r="W395" s="7"/>
      <c r="Y395" s="8"/>
      <c r="Z395" s="8"/>
      <c r="AA395" s="8"/>
      <c r="AB395" s="7"/>
      <c r="AD395" s="8"/>
    </row>
    <row r="396" spans="1:30">
      <c r="A396" s="7"/>
      <c r="D396" s="7"/>
      <c r="I396" s="7"/>
      <c r="J396" s="7"/>
      <c r="K396" s="7"/>
      <c r="N396" s="7"/>
      <c r="V396" s="8"/>
      <c r="W396" s="7"/>
      <c r="Y396" s="8"/>
      <c r="Z396" s="8"/>
      <c r="AA396" s="8"/>
      <c r="AB396" s="7"/>
      <c r="AD396" s="8"/>
    </row>
    <row r="397" spans="1:30">
      <c r="A397" s="7"/>
      <c r="D397" s="7"/>
      <c r="I397" s="7"/>
      <c r="J397" s="7"/>
      <c r="K397" s="7"/>
      <c r="N397" s="7"/>
      <c r="V397" s="8"/>
      <c r="W397" s="7"/>
      <c r="Y397" s="8"/>
      <c r="Z397" s="8"/>
      <c r="AA397" s="8"/>
      <c r="AB397" s="7"/>
      <c r="AD397" s="8"/>
    </row>
    <row r="398" spans="1:30">
      <c r="A398" s="7"/>
      <c r="D398" s="7"/>
      <c r="I398" s="7"/>
      <c r="J398" s="7"/>
      <c r="K398" s="7"/>
      <c r="N398" s="7"/>
      <c r="V398" s="8"/>
      <c r="W398" s="7"/>
      <c r="Y398" s="8"/>
      <c r="Z398" s="8"/>
      <c r="AA398" s="8"/>
      <c r="AB398" s="7"/>
      <c r="AD398" s="8"/>
    </row>
    <row r="399" spans="1:30">
      <c r="A399" s="7"/>
      <c r="D399" s="7"/>
      <c r="I399" s="7"/>
      <c r="J399" s="7"/>
      <c r="K399" s="7"/>
      <c r="N399" s="7"/>
      <c r="V399" s="8"/>
      <c r="W399" s="7"/>
      <c r="Y399" s="8"/>
      <c r="Z399" s="8"/>
      <c r="AA399" s="8"/>
      <c r="AB399" s="7"/>
      <c r="AD399" s="8"/>
    </row>
    <row r="400" spans="1:30">
      <c r="A400" s="7"/>
      <c r="D400" s="7"/>
      <c r="I400" s="7"/>
      <c r="J400" s="7"/>
      <c r="K400" s="7"/>
      <c r="N400" s="7"/>
      <c r="V400" s="8"/>
      <c r="W400" s="7"/>
      <c r="Y400" s="8"/>
      <c r="Z400" s="8"/>
      <c r="AA400" s="8"/>
      <c r="AB400" s="7"/>
      <c r="AD400" s="8"/>
    </row>
    <row r="401" spans="1:30">
      <c r="A401" s="7"/>
      <c r="D401" s="7"/>
      <c r="I401" s="7"/>
      <c r="J401" s="7"/>
      <c r="K401" s="7"/>
      <c r="N401" s="7"/>
      <c r="V401" s="8"/>
      <c r="W401" s="7"/>
      <c r="Y401" s="8"/>
      <c r="Z401" s="8"/>
      <c r="AA401" s="8"/>
      <c r="AB401" s="7"/>
      <c r="AD401" s="8"/>
    </row>
    <row r="402" spans="1:30">
      <c r="A402" s="7"/>
      <c r="D402" s="7"/>
      <c r="I402" s="7"/>
      <c r="J402" s="7"/>
      <c r="K402" s="7"/>
      <c r="N402" s="7"/>
      <c r="V402" s="8"/>
      <c r="W402" s="7"/>
      <c r="Y402" s="8"/>
      <c r="Z402" s="8"/>
      <c r="AA402" s="8"/>
      <c r="AB402" s="7"/>
      <c r="AD402" s="8"/>
    </row>
    <row r="403" spans="1:30">
      <c r="A403" s="7"/>
      <c r="D403" s="7"/>
      <c r="I403" s="7"/>
      <c r="J403" s="7"/>
      <c r="K403" s="7"/>
      <c r="N403" s="7"/>
      <c r="V403" s="8"/>
      <c r="W403" s="7"/>
      <c r="Y403" s="8"/>
      <c r="Z403" s="8"/>
      <c r="AA403" s="8"/>
      <c r="AB403" s="7"/>
      <c r="AD403" s="8"/>
    </row>
    <row r="404" spans="1:30">
      <c r="A404" s="7"/>
      <c r="D404" s="7"/>
      <c r="I404" s="7"/>
      <c r="J404" s="7"/>
      <c r="K404" s="7"/>
      <c r="N404" s="7"/>
      <c r="V404" s="8"/>
      <c r="W404" s="7"/>
      <c r="Y404" s="8"/>
      <c r="Z404" s="8"/>
      <c r="AA404" s="8"/>
      <c r="AB404" s="7"/>
      <c r="AD404" s="8"/>
    </row>
    <row r="405" spans="1:30">
      <c r="A405" s="7"/>
      <c r="D405" s="7"/>
      <c r="I405" s="7"/>
      <c r="J405" s="7"/>
      <c r="K405" s="7"/>
      <c r="N405" s="7"/>
      <c r="V405" s="8"/>
      <c r="W405" s="7"/>
      <c r="Y405" s="8"/>
      <c r="Z405" s="8"/>
      <c r="AA405" s="8"/>
      <c r="AB405" s="7"/>
      <c r="AD405" s="8"/>
    </row>
    <row r="406" spans="1:30">
      <c r="A406" s="7"/>
      <c r="D406" s="7"/>
      <c r="I406" s="7"/>
      <c r="J406" s="7"/>
      <c r="K406" s="7"/>
      <c r="N406" s="7"/>
      <c r="V406" s="8"/>
      <c r="W406" s="7"/>
      <c r="Y406" s="8"/>
      <c r="Z406" s="8"/>
      <c r="AA406" s="8"/>
      <c r="AB406" s="7"/>
      <c r="AD406" s="8"/>
    </row>
    <row r="407" spans="1:30">
      <c r="A407" s="7"/>
      <c r="D407" s="7"/>
      <c r="I407" s="7"/>
      <c r="J407" s="7"/>
      <c r="K407" s="7"/>
      <c r="N407" s="7"/>
      <c r="V407" s="8"/>
      <c r="W407" s="7"/>
      <c r="Y407" s="8"/>
      <c r="Z407" s="8"/>
      <c r="AA407" s="8"/>
      <c r="AB407" s="7"/>
      <c r="AD407" s="8"/>
    </row>
    <row r="408" spans="1:30">
      <c r="A408" s="7"/>
      <c r="D408" s="7"/>
      <c r="I408" s="7"/>
      <c r="J408" s="7"/>
      <c r="K408" s="7"/>
      <c r="N408" s="7"/>
      <c r="V408" s="8"/>
      <c r="W408" s="7"/>
      <c r="Y408" s="8"/>
      <c r="Z408" s="8"/>
      <c r="AA408" s="8"/>
      <c r="AB408" s="7"/>
      <c r="AD408" s="8"/>
    </row>
    <row r="409" spans="1:30">
      <c r="A409" s="7"/>
      <c r="D409" s="7"/>
      <c r="I409" s="7"/>
      <c r="J409" s="7"/>
      <c r="K409" s="7"/>
      <c r="N409" s="7"/>
      <c r="V409" s="8"/>
      <c r="W409" s="7"/>
      <c r="Y409" s="8"/>
      <c r="Z409" s="8"/>
      <c r="AA409" s="8"/>
      <c r="AB409" s="7"/>
      <c r="AD409" s="8"/>
    </row>
    <row r="410" spans="1:30">
      <c r="A410" s="7"/>
      <c r="D410" s="7"/>
      <c r="I410" s="7"/>
      <c r="J410" s="7"/>
      <c r="K410" s="7"/>
      <c r="N410" s="7"/>
      <c r="V410" s="8"/>
      <c r="W410" s="7"/>
      <c r="Y410" s="8"/>
      <c r="Z410" s="8"/>
      <c r="AA410" s="8"/>
      <c r="AB410" s="7"/>
      <c r="AD410" s="8"/>
    </row>
    <row r="411" spans="1:30">
      <c r="A411" s="7"/>
      <c r="D411" s="7"/>
      <c r="I411" s="7"/>
      <c r="J411" s="7"/>
      <c r="K411" s="7"/>
      <c r="N411" s="7"/>
      <c r="V411" s="8"/>
      <c r="W411" s="7"/>
      <c r="Y411" s="8"/>
      <c r="Z411" s="8"/>
      <c r="AA411" s="8"/>
      <c r="AB411" s="7"/>
      <c r="AD411" s="8"/>
    </row>
    <row r="412" spans="1:30">
      <c r="A412" s="7"/>
      <c r="D412" s="7"/>
      <c r="I412" s="7"/>
      <c r="J412" s="7"/>
      <c r="K412" s="7"/>
      <c r="N412" s="7"/>
      <c r="V412" s="8"/>
      <c r="W412" s="7"/>
      <c r="Y412" s="8"/>
      <c r="Z412" s="8"/>
      <c r="AA412" s="8"/>
      <c r="AB412" s="7"/>
      <c r="AD412" s="8"/>
    </row>
    <row r="413" spans="1:30">
      <c r="A413" s="7"/>
      <c r="D413" s="7"/>
      <c r="I413" s="7"/>
      <c r="J413" s="7"/>
      <c r="K413" s="7"/>
      <c r="N413" s="7"/>
      <c r="V413" s="8"/>
      <c r="W413" s="7"/>
      <c r="Y413" s="8"/>
      <c r="Z413" s="8"/>
      <c r="AA413" s="8"/>
      <c r="AB413" s="7"/>
      <c r="AD413" s="8"/>
    </row>
    <row r="414" spans="1:30">
      <c r="A414" s="7"/>
      <c r="D414" s="7"/>
      <c r="I414" s="7"/>
      <c r="J414" s="7"/>
      <c r="K414" s="7"/>
      <c r="N414" s="7"/>
      <c r="V414" s="8"/>
      <c r="W414" s="7"/>
      <c r="Y414" s="8"/>
      <c r="Z414" s="8"/>
      <c r="AA414" s="8"/>
      <c r="AB414" s="7"/>
      <c r="AD414" s="8"/>
    </row>
    <row r="415" spans="1:30">
      <c r="A415" s="7"/>
      <c r="D415" s="7"/>
      <c r="I415" s="7"/>
      <c r="J415" s="7"/>
      <c r="K415" s="7"/>
      <c r="N415" s="7"/>
      <c r="V415" s="8"/>
      <c r="W415" s="7"/>
      <c r="Y415" s="8"/>
      <c r="Z415" s="8"/>
      <c r="AA415" s="8"/>
      <c r="AB415" s="7"/>
      <c r="AD415" s="8"/>
    </row>
    <row r="416" spans="1:30">
      <c r="A416" s="7"/>
      <c r="D416" s="7"/>
      <c r="I416" s="7"/>
      <c r="J416" s="7"/>
      <c r="K416" s="7"/>
      <c r="N416" s="7"/>
      <c r="V416" s="8"/>
      <c r="W416" s="7"/>
      <c r="Y416" s="8"/>
      <c r="Z416" s="8"/>
      <c r="AA416" s="8"/>
      <c r="AB416" s="7"/>
      <c r="AD416" s="8"/>
    </row>
    <row r="417" spans="1:30">
      <c r="A417" s="7"/>
      <c r="D417" s="7"/>
      <c r="I417" s="7"/>
      <c r="J417" s="7"/>
      <c r="K417" s="7"/>
      <c r="N417" s="7"/>
      <c r="V417" s="8"/>
      <c r="W417" s="7"/>
      <c r="Y417" s="8"/>
      <c r="Z417" s="8"/>
      <c r="AA417" s="8"/>
      <c r="AB417" s="7"/>
      <c r="AD417" s="8"/>
    </row>
    <row r="418" spans="1:30">
      <c r="A418" s="7"/>
      <c r="D418" s="7"/>
      <c r="I418" s="7"/>
      <c r="J418" s="7"/>
      <c r="K418" s="7"/>
      <c r="N418" s="7"/>
      <c r="V418" s="8"/>
      <c r="W418" s="7"/>
      <c r="Y418" s="8"/>
      <c r="Z418" s="8"/>
      <c r="AA418" s="8"/>
      <c r="AB418" s="7"/>
      <c r="AD418" s="8"/>
    </row>
    <row r="419" spans="1:30">
      <c r="A419" s="7"/>
      <c r="D419" s="7"/>
      <c r="I419" s="7"/>
      <c r="J419" s="7"/>
      <c r="K419" s="7"/>
      <c r="N419" s="7"/>
      <c r="V419" s="8"/>
      <c r="W419" s="7"/>
      <c r="Y419" s="8"/>
      <c r="Z419" s="8"/>
      <c r="AA419" s="8"/>
      <c r="AB419" s="7"/>
      <c r="AD419" s="8"/>
    </row>
    <row r="420" spans="1:30">
      <c r="A420" s="7"/>
      <c r="D420" s="7"/>
      <c r="I420" s="7"/>
      <c r="J420" s="7"/>
      <c r="K420" s="7"/>
      <c r="N420" s="7"/>
      <c r="V420" s="8"/>
      <c r="W420" s="7"/>
      <c r="Y420" s="8"/>
      <c r="Z420" s="8"/>
      <c r="AA420" s="8"/>
      <c r="AB420" s="7"/>
      <c r="AD420" s="8"/>
    </row>
    <row r="421" spans="1:30">
      <c r="A421" s="7"/>
      <c r="D421" s="7"/>
      <c r="I421" s="7"/>
      <c r="J421" s="7"/>
      <c r="K421" s="7"/>
      <c r="N421" s="7"/>
      <c r="V421" s="8"/>
      <c r="W421" s="7"/>
      <c r="Y421" s="8"/>
      <c r="Z421" s="8"/>
      <c r="AA421" s="8"/>
      <c r="AB421" s="7"/>
      <c r="AD421" s="8"/>
    </row>
    <row r="422" spans="1:30">
      <c r="A422" s="7"/>
      <c r="D422" s="7"/>
      <c r="I422" s="7"/>
      <c r="J422" s="7"/>
      <c r="K422" s="7"/>
      <c r="N422" s="7"/>
      <c r="V422" s="8"/>
      <c r="W422" s="7"/>
      <c r="Y422" s="8"/>
      <c r="Z422" s="8"/>
      <c r="AA422" s="8"/>
      <c r="AB422" s="7"/>
      <c r="AD422" s="8"/>
    </row>
    <row r="423" spans="1:30">
      <c r="A423" s="7"/>
      <c r="D423" s="7"/>
      <c r="I423" s="7"/>
      <c r="J423" s="7"/>
      <c r="K423" s="7"/>
      <c r="N423" s="7"/>
      <c r="V423" s="8"/>
      <c r="W423" s="7"/>
      <c r="Y423" s="8"/>
      <c r="Z423" s="8"/>
      <c r="AA423" s="8"/>
      <c r="AB423" s="7"/>
      <c r="AD423" s="8"/>
    </row>
    <row r="424" spans="1:30">
      <c r="A424" s="7"/>
      <c r="D424" s="7"/>
      <c r="I424" s="7"/>
      <c r="J424" s="7"/>
      <c r="K424" s="7"/>
      <c r="N424" s="7"/>
      <c r="V424" s="8"/>
      <c r="W424" s="7"/>
      <c r="Y424" s="8"/>
      <c r="Z424" s="8"/>
      <c r="AA424" s="8"/>
      <c r="AB424" s="7"/>
      <c r="AD424" s="8"/>
    </row>
    <row r="425" spans="1:30">
      <c r="A425" s="7"/>
      <c r="D425" s="7"/>
      <c r="I425" s="7"/>
      <c r="J425" s="7"/>
      <c r="K425" s="7"/>
      <c r="N425" s="7"/>
      <c r="V425" s="8"/>
      <c r="W425" s="7"/>
      <c r="Y425" s="8"/>
      <c r="Z425" s="8"/>
      <c r="AA425" s="8"/>
      <c r="AB425" s="7"/>
      <c r="AD425" s="8"/>
    </row>
    <row r="426" spans="1:30">
      <c r="A426" s="7"/>
      <c r="D426" s="7"/>
      <c r="I426" s="7"/>
      <c r="J426" s="7"/>
      <c r="K426" s="7"/>
      <c r="N426" s="7"/>
      <c r="V426" s="8"/>
      <c r="W426" s="7"/>
      <c r="Y426" s="8"/>
      <c r="Z426" s="8"/>
      <c r="AA426" s="8"/>
      <c r="AB426" s="7"/>
      <c r="AD426" s="8"/>
    </row>
    <row r="427" spans="1:30">
      <c r="A427" s="7"/>
      <c r="D427" s="7"/>
      <c r="I427" s="7"/>
      <c r="J427" s="7"/>
      <c r="K427" s="7"/>
      <c r="N427" s="7"/>
      <c r="V427" s="8"/>
      <c r="W427" s="7"/>
      <c r="Y427" s="8"/>
      <c r="Z427" s="8"/>
      <c r="AA427" s="8"/>
      <c r="AB427" s="7"/>
      <c r="AD427" s="8"/>
    </row>
    <row r="428" spans="1:30">
      <c r="A428" s="7"/>
      <c r="D428" s="7"/>
      <c r="I428" s="7"/>
      <c r="J428" s="7"/>
      <c r="K428" s="7"/>
      <c r="N428" s="7"/>
      <c r="V428" s="8"/>
      <c r="W428" s="7"/>
      <c r="Y428" s="8"/>
      <c r="Z428" s="8"/>
      <c r="AA428" s="8"/>
      <c r="AB428" s="7"/>
      <c r="AD428" s="8"/>
    </row>
    <row r="429" spans="1:30">
      <c r="A429" s="7"/>
      <c r="D429" s="7"/>
      <c r="I429" s="7"/>
      <c r="J429" s="7"/>
      <c r="K429" s="7"/>
      <c r="N429" s="7"/>
      <c r="V429" s="8"/>
      <c r="W429" s="7"/>
      <c r="Y429" s="8"/>
      <c r="Z429" s="8"/>
      <c r="AA429" s="8"/>
      <c r="AB429" s="7"/>
      <c r="AD429" s="8"/>
    </row>
    <row r="430" spans="1:30">
      <c r="A430" s="7"/>
      <c r="D430" s="7"/>
      <c r="I430" s="7"/>
      <c r="J430" s="7"/>
      <c r="K430" s="7"/>
      <c r="N430" s="7"/>
      <c r="V430" s="8"/>
      <c r="W430" s="7"/>
      <c r="Y430" s="8"/>
      <c r="Z430" s="8"/>
      <c r="AA430" s="8"/>
      <c r="AB430" s="7"/>
      <c r="AD430" s="8"/>
    </row>
    <row r="431" spans="1:30">
      <c r="A431" s="7"/>
      <c r="D431" s="7"/>
      <c r="I431" s="7"/>
      <c r="J431" s="7"/>
      <c r="K431" s="7"/>
      <c r="N431" s="7"/>
      <c r="V431" s="8"/>
      <c r="W431" s="7"/>
      <c r="Y431" s="8"/>
      <c r="Z431" s="8"/>
      <c r="AA431" s="8"/>
      <c r="AB431" s="7"/>
      <c r="AD431" s="8"/>
    </row>
    <row r="432" spans="1:30">
      <c r="A432" s="7"/>
      <c r="D432" s="7"/>
      <c r="I432" s="7"/>
      <c r="J432" s="7"/>
      <c r="K432" s="7"/>
      <c r="N432" s="7"/>
      <c r="V432" s="8"/>
      <c r="W432" s="7"/>
      <c r="Y432" s="8"/>
      <c r="Z432" s="8"/>
      <c r="AA432" s="8"/>
      <c r="AB432" s="7"/>
      <c r="AD432" s="8"/>
    </row>
    <row r="433" spans="1:30">
      <c r="A433" s="7"/>
      <c r="D433" s="7"/>
      <c r="I433" s="7"/>
      <c r="J433" s="7"/>
      <c r="K433" s="7"/>
      <c r="N433" s="7"/>
      <c r="V433" s="8"/>
      <c r="W433" s="7"/>
      <c r="Y433" s="8"/>
      <c r="Z433" s="8"/>
      <c r="AA433" s="8"/>
      <c r="AB433" s="7"/>
      <c r="AD433" s="8"/>
    </row>
    <row r="434" spans="1:30">
      <c r="A434" s="7"/>
      <c r="D434" s="7"/>
      <c r="I434" s="7"/>
      <c r="J434" s="7"/>
      <c r="K434" s="7"/>
      <c r="N434" s="7"/>
      <c r="V434" s="8"/>
      <c r="W434" s="7"/>
      <c r="Y434" s="8"/>
      <c r="Z434" s="8"/>
      <c r="AA434" s="8"/>
      <c r="AB434" s="7"/>
      <c r="AD434" s="8"/>
    </row>
    <row r="435" spans="1:30">
      <c r="A435" s="7"/>
      <c r="D435" s="7"/>
      <c r="I435" s="7"/>
      <c r="J435" s="7"/>
      <c r="K435" s="7"/>
      <c r="N435" s="7"/>
      <c r="V435" s="8"/>
      <c r="W435" s="7"/>
      <c r="Y435" s="8"/>
      <c r="Z435" s="8"/>
      <c r="AA435" s="8"/>
      <c r="AB435" s="7"/>
      <c r="AD435" s="8"/>
    </row>
    <row r="436" spans="1:30">
      <c r="A436" s="7"/>
      <c r="D436" s="7"/>
      <c r="I436" s="7"/>
      <c r="J436" s="7"/>
      <c r="K436" s="7"/>
      <c r="N436" s="7"/>
      <c r="V436" s="8"/>
      <c r="W436" s="7"/>
      <c r="Y436" s="8"/>
      <c r="Z436" s="8"/>
      <c r="AA436" s="8"/>
      <c r="AB436" s="7"/>
      <c r="AD436" s="8"/>
    </row>
    <row r="437" spans="1:30">
      <c r="A437" s="7"/>
      <c r="D437" s="7"/>
      <c r="I437" s="7"/>
      <c r="J437" s="7"/>
      <c r="K437" s="7"/>
      <c r="N437" s="7"/>
      <c r="V437" s="8"/>
      <c r="W437" s="7"/>
      <c r="Y437" s="8"/>
      <c r="Z437" s="8"/>
      <c r="AA437" s="8"/>
      <c r="AB437" s="7"/>
      <c r="AD437" s="8"/>
    </row>
    <row r="438" spans="1:30">
      <c r="A438" s="7"/>
      <c r="D438" s="7"/>
      <c r="I438" s="7"/>
      <c r="J438" s="7"/>
      <c r="K438" s="7"/>
      <c r="N438" s="7"/>
      <c r="V438" s="8"/>
      <c r="W438" s="7"/>
      <c r="Y438" s="8"/>
      <c r="Z438" s="8"/>
      <c r="AA438" s="8"/>
      <c r="AB438" s="7"/>
      <c r="AD438" s="8"/>
    </row>
    <row r="439" spans="1:30">
      <c r="A439" s="7"/>
      <c r="D439" s="7"/>
      <c r="I439" s="7"/>
      <c r="J439" s="7"/>
      <c r="K439" s="7"/>
      <c r="N439" s="7"/>
      <c r="V439" s="8"/>
      <c r="W439" s="7"/>
      <c r="Y439" s="8"/>
      <c r="Z439" s="8"/>
      <c r="AA439" s="8"/>
      <c r="AB439" s="7"/>
      <c r="AD439" s="8"/>
    </row>
    <row r="440" spans="1:30">
      <c r="A440" s="7"/>
      <c r="D440" s="7"/>
      <c r="I440" s="7"/>
      <c r="J440" s="7"/>
      <c r="K440" s="7"/>
      <c r="N440" s="7"/>
      <c r="V440" s="8"/>
      <c r="W440" s="7"/>
      <c r="Y440" s="8"/>
      <c r="Z440" s="8"/>
      <c r="AA440" s="8"/>
      <c r="AB440" s="7"/>
      <c r="AD440" s="8"/>
    </row>
    <row r="441" spans="1:30">
      <c r="A441" s="7"/>
      <c r="D441" s="7"/>
      <c r="I441" s="7"/>
      <c r="J441" s="7"/>
      <c r="K441" s="7"/>
      <c r="N441" s="7"/>
      <c r="V441" s="8"/>
      <c r="W441" s="7"/>
      <c r="Y441" s="8"/>
      <c r="Z441" s="8"/>
      <c r="AA441" s="8"/>
      <c r="AB441" s="7"/>
      <c r="AD441" s="8"/>
    </row>
    <row r="442" spans="1:30">
      <c r="A442" s="7"/>
      <c r="D442" s="7"/>
      <c r="I442" s="7"/>
      <c r="J442" s="7"/>
      <c r="K442" s="7"/>
      <c r="N442" s="7"/>
      <c r="V442" s="8"/>
      <c r="W442" s="7"/>
      <c r="Y442" s="8"/>
      <c r="Z442" s="8"/>
      <c r="AA442" s="8"/>
      <c r="AB442" s="7"/>
      <c r="AD442" s="8"/>
    </row>
    <row r="443" spans="1:30">
      <c r="A443" s="7"/>
      <c r="D443" s="7"/>
      <c r="I443" s="7"/>
      <c r="J443" s="7"/>
      <c r="K443" s="7"/>
      <c r="N443" s="7"/>
      <c r="V443" s="8"/>
      <c r="W443" s="7"/>
      <c r="Y443" s="8"/>
      <c r="Z443" s="8"/>
      <c r="AA443" s="8"/>
      <c r="AB443" s="7"/>
      <c r="AD443" s="8"/>
    </row>
    <row r="444" spans="1:30">
      <c r="A444" s="7"/>
      <c r="D444" s="7"/>
      <c r="I444" s="7"/>
      <c r="J444" s="7"/>
      <c r="K444" s="7"/>
      <c r="N444" s="7"/>
      <c r="V444" s="8"/>
      <c r="W444" s="7"/>
      <c r="Y444" s="8"/>
      <c r="Z444" s="8"/>
      <c r="AA444" s="8"/>
      <c r="AB444" s="7"/>
      <c r="AD444" s="8"/>
    </row>
    <row r="445" spans="1:30">
      <c r="A445" s="7"/>
      <c r="D445" s="7"/>
      <c r="I445" s="7"/>
      <c r="J445" s="7"/>
      <c r="K445" s="7"/>
      <c r="N445" s="7"/>
      <c r="V445" s="8"/>
      <c r="W445" s="7"/>
      <c r="Y445" s="8"/>
      <c r="Z445" s="8"/>
      <c r="AA445" s="8"/>
      <c r="AB445" s="7"/>
      <c r="AD445" s="8"/>
    </row>
    <row r="446" spans="1:30">
      <c r="A446" s="7"/>
      <c r="D446" s="7"/>
      <c r="I446" s="7"/>
      <c r="J446" s="7"/>
      <c r="K446" s="7"/>
      <c r="N446" s="7"/>
      <c r="V446" s="8"/>
      <c r="W446" s="7"/>
      <c r="Y446" s="8"/>
      <c r="Z446" s="8"/>
      <c r="AA446" s="8"/>
      <c r="AB446" s="7"/>
      <c r="AD446" s="8"/>
    </row>
    <row r="447" spans="1:30">
      <c r="A447" s="7"/>
      <c r="D447" s="7"/>
      <c r="I447" s="7"/>
      <c r="J447" s="7"/>
      <c r="K447" s="7"/>
      <c r="N447" s="7"/>
      <c r="V447" s="8"/>
      <c r="W447" s="7"/>
      <c r="Y447" s="8"/>
      <c r="Z447" s="8"/>
      <c r="AA447" s="8"/>
      <c r="AB447" s="7"/>
      <c r="AD447" s="8"/>
    </row>
    <row r="448" spans="1:30">
      <c r="A448" s="7"/>
      <c r="D448" s="7"/>
      <c r="I448" s="7"/>
      <c r="J448" s="7"/>
      <c r="K448" s="7"/>
      <c r="N448" s="7"/>
      <c r="V448" s="8"/>
      <c r="W448" s="7"/>
      <c r="Y448" s="8"/>
      <c r="Z448" s="8"/>
      <c r="AA448" s="8"/>
      <c r="AB448" s="7"/>
      <c r="AD448" s="8"/>
    </row>
    <row r="449" spans="1:30">
      <c r="A449" s="7"/>
      <c r="D449" s="7"/>
      <c r="I449" s="7"/>
      <c r="J449" s="7"/>
      <c r="K449" s="7"/>
      <c r="N449" s="7"/>
      <c r="V449" s="8"/>
      <c r="W449" s="7"/>
      <c r="Y449" s="8"/>
      <c r="Z449" s="8"/>
      <c r="AA449" s="8"/>
      <c r="AB449" s="7"/>
      <c r="AD449" s="8"/>
    </row>
    <row r="450" spans="1:30">
      <c r="A450" s="7"/>
      <c r="D450" s="7"/>
      <c r="I450" s="7"/>
      <c r="J450" s="7"/>
      <c r="K450" s="7"/>
      <c r="N450" s="7"/>
      <c r="V450" s="8"/>
      <c r="W450" s="7"/>
      <c r="Y450" s="8"/>
      <c r="Z450" s="8"/>
      <c r="AA450" s="8"/>
      <c r="AB450" s="7"/>
      <c r="AD450" s="8"/>
    </row>
    <row r="451" spans="1:30">
      <c r="A451" s="7"/>
      <c r="D451" s="7"/>
      <c r="I451" s="7"/>
      <c r="J451" s="7"/>
      <c r="K451" s="7"/>
      <c r="N451" s="7"/>
      <c r="V451" s="8"/>
      <c r="W451" s="7"/>
      <c r="Y451" s="8"/>
      <c r="Z451" s="8"/>
      <c r="AA451" s="8"/>
      <c r="AB451" s="7"/>
      <c r="AD451" s="8"/>
    </row>
    <row r="452" spans="1:30">
      <c r="A452" s="7"/>
      <c r="D452" s="7"/>
      <c r="I452" s="7"/>
      <c r="J452" s="7"/>
      <c r="K452" s="7"/>
      <c r="N452" s="7"/>
      <c r="V452" s="8"/>
      <c r="W452" s="7"/>
      <c r="Y452" s="8"/>
      <c r="Z452" s="8"/>
      <c r="AA452" s="8"/>
      <c r="AB452" s="7"/>
      <c r="AD452" s="8"/>
    </row>
    <row r="453" spans="1:30">
      <c r="A453" s="7"/>
      <c r="D453" s="7"/>
      <c r="I453" s="7"/>
      <c r="J453" s="7"/>
      <c r="K453" s="7"/>
      <c r="N453" s="7"/>
      <c r="V453" s="8"/>
      <c r="W453" s="7"/>
      <c r="Y453" s="8"/>
      <c r="Z453" s="8"/>
      <c r="AA453" s="8"/>
      <c r="AB453" s="7"/>
      <c r="AD453" s="8"/>
    </row>
    <row r="454" spans="1:30">
      <c r="A454" s="7"/>
      <c r="D454" s="7"/>
      <c r="I454" s="7"/>
      <c r="J454" s="7"/>
      <c r="K454" s="7"/>
      <c r="N454" s="7"/>
      <c r="V454" s="8"/>
      <c r="W454" s="7"/>
      <c r="Y454" s="8"/>
      <c r="Z454" s="8"/>
      <c r="AA454" s="8"/>
      <c r="AB454" s="7"/>
      <c r="AD454" s="8"/>
    </row>
    <row r="455" spans="1:30">
      <c r="A455" s="7"/>
      <c r="D455" s="7"/>
      <c r="I455" s="7"/>
      <c r="J455" s="7"/>
      <c r="K455" s="7"/>
      <c r="N455" s="7"/>
      <c r="V455" s="8"/>
      <c r="W455" s="7"/>
      <c r="Y455" s="8"/>
      <c r="Z455" s="8"/>
      <c r="AA455" s="8"/>
      <c r="AB455" s="7"/>
      <c r="AD455" s="8"/>
    </row>
    <row r="456" spans="1:30">
      <c r="A456" s="7"/>
      <c r="D456" s="7"/>
      <c r="I456" s="7"/>
      <c r="J456" s="7"/>
      <c r="K456" s="7"/>
      <c r="N456" s="7"/>
      <c r="V456" s="8"/>
      <c r="W456" s="7"/>
      <c r="Y456" s="8"/>
      <c r="Z456" s="8"/>
      <c r="AA456" s="8"/>
      <c r="AB456" s="7"/>
      <c r="AD456" s="8"/>
    </row>
    <row r="457" spans="1:30">
      <c r="A457" s="7"/>
      <c r="D457" s="7"/>
      <c r="I457" s="7"/>
      <c r="J457" s="7"/>
      <c r="K457" s="7"/>
      <c r="N457" s="7"/>
      <c r="V457" s="8"/>
      <c r="W457" s="7"/>
      <c r="Y457" s="8"/>
      <c r="Z457" s="8"/>
      <c r="AA457" s="8"/>
      <c r="AB457" s="7"/>
      <c r="AD457" s="8"/>
    </row>
    <row r="458" spans="1:30">
      <c r="A458" s="7"/>
      <c r="D458" s="7"/>
      <c r="I458" s="7"/>
      <c r="J458" s="7"/>
      <c r="K458" s="7"/>
      <c r="N458" s="7"/>
      <c r="V458" s="8"/>
      <c r="W458" s="7"/>
      <c r="Y458" s="8"/>
      <c r="Z458" s="8"/>
      <c r="AA458" s="8"/>
      <c r="AB458" s="7"/>
      <c r="AD458" s="8"/>
    </row>
    <row r="459" spans="1:30">
      <c r="A459" s="7"/>
      <c r="D459" s="7"/>
      <c r="I459" s="7"/>
      <c r="J459" s="7"/>
      <c r="K459" s="7"/>
      <c r="N459" s="7"/>
      <c r="V459" s="8"/>
      <c r="W459" s="7"/>
      <c r="Y459" s="8"/>
      <c r="Z459" s="8"/>
      <c r="AA459" s="8"/>
      <c r="AB459" s="7"/>
      <c r="AD459" s="8"/>
    </row>
    <row r="460" spans="1:30">
      <c r="A460" s="7"/>
      <c r="D460" s="7"/>
      <c r="I460" s="7"/>
      <c r="J460" s="7"/>
      <c r="K460" s="7"/>
      <c r="N460" s="7"/>
      <c r="V460" s="8"/>
      <c r="W460" s="7"/>
      <c r="Y460" s="8"/>
      <c r="Z460" s="8"/>
      <c r="AA460" s="8"/>
      <c r="AB460" s="7"/>
      <c r="AD460" s="8"/>
    </row>
    <row r="461" spans="1:30">
      <c r="A461" s="7"/>
      <c r="D461" s="7"/>
      <c r="I461" s="7"/>
      <c r="J461" s="7"/>
      <c r="K461" s="7"/>
      <c r="N461" s="7"/>
      <c r="V461" s="8"/>
      <c r="W461" s="7"/>
      <c r="Y461" s="8"/>
      <c r="Z461" s="8"/>
      <c r="AA461" s="8"/>
      <c r="AB461" s="7"/>
      <c r="AD461" s="8"/>
    </row>
    <row r="462" spans="1:30">
      <c r="A462" s="7"/>
      <c r="D462" s="7"/>
      <c r="I462" s="7"/>
      <c r="J462" s="7"/>
      <c r="K462" s="7"/>
      <c r="N462" s="7"/>
      <c r="V462" s="8"/>
      <c r="W462" s="7"/>
      <c r="Y462" s="8"/>
      <c r="Z462" s="8"/>
      <c r="AA462" s="8"/>
      <c r="AB462" s="7"/>
      <c r="AD462" s="8"/>
    </row>
    <row r="463" spans="1:30">
      <c r="A463" s="7"/>
      <c r="D463" s="7"/>
      <c r="I463" s="7"/>
      <c r="J463" s="7"/>
      <c r="K463" s="7"/>
      <c r="N463" s="7"/>
      <c r="V463" s="8"/>
      <c r="W463" s="7"/>
      <c r="Y463" s="8"/>
      <c r="Z463" s="8"/>
      <c r="AA463" s="8"/>
      <c r="AB463" s="7"/>
      <c r="AD463" s="8"/>
    </row>
    <row r="464" spans="1:30">
      <c r="A464" s="7"/>
      <c r="D464" s="7"/>
      <c r="I464" s="7"/>
      <c r="J464" s="7"/>
      <c r="K464" s="7"/>
      <c r="N464" s="7"/>
      <c r="V464" s="8"/>
      <c r="W464" s="7"/>
      <c r="Y464" s="8"/>
      <c r="Z464" s="8"/>
      <c r="AA464" s="8"/>
      <c r="AB464" s="7"/>
      <c r="AD464" s="8"/>
    </row>
    <row r="465" spans="1:30">
      <c r="A465" s="7"/>
      <c r="D465" s="7"/>
      <c r="I465" s="7"/>
      <c r="J465" s="7"/>
      <c r="K465" s="7"/>
      <c r="N465" s="7"/>
      <c r="V465" s="8"/>
      <c r="W465" s="7"/>
      <c r="Y465" s="8"/>
      <c r="Z465" s="8"/>
      <c r="AA465" s="8"/>
      <c r="AB465" s="7"/>
      <c r="AD465" s="8"/>
    </row>
    <row r="466" spans="1:30">
      <c r="A466" s="7"/>
      <c r="D466" s="7"/>
      <c r="I466" s="7"/>
      <c r="J466" s="7"/>
      <c r="K466" s="7"/>
      <c r="N466" s="7"/>
      <c r="V466" s="8"/>
      <c r="W466" s="7"/>
      <c r="Y466" s="8"/>
      <c r="Z466" s="8"/>
      <c r="AA466" s="8"/>
      <c r="AB466" s="7"/>
      <c r="AD466" s="8"/>
    </row>
    <row r="467" spans="1:30">
      <c r="A467" s="7"/>
      <c r="D467" s="7"/>
      <c r="I467" s="7"/>
      <c r="J467" s="7"/>
      <c r="K467" s="7"/>
      <c r="N467" s="7"/>
      <c r="V467" s="8"/>
      <c r="W467" s="7"/>
      <c r="Y467" s="8"/>
      <c r="Z467" s="8"/>
      <c r="AA467" s="8"/>
      <c r="AB467" s="7"/>
      <c r="AD467" s="8"/>
    </row>
    <row r="468" spans="1:30">
      <c r="A468" s="7"/>
      <c r="D468" s="7"/>
      <c r="I468" s="7"/>
      <c r="J468" s="7"/>
      <c r="K468" s="7"/>
      <c r="N468" s="7"/>
      <c r="V468" s="8"/>
      <c r="W468" s="7"/>
      <c r="Y468" s="8"/>
      <c r="Z468" s="8"/>
      <c r="AA468" s="8"/>
      <c r="AB468" s="7"/>
      <c r="AD468" s="8"/>
    </row>
    <row r="469" spans="1:30">
      <c r="A469" s="7"/>
      <c r="D469" s="7"/>
      <c r="I469" s="7"/>
      <c r="J469" s="7"/>
      <c r="K469" s="7"/>
      <c r="N469" s="7"/>
      <c r="V469" s="8"/>
      <c r="W469" s="7"/>
      <c r="Y469" s="8"/>
      <c r="Z469" s="8"/>
      <c r="AA469" s="8"/>
      <c r="AB469" s="7"/>
      <c r="AD469" s="8"/>
    </row>
    <row r="470" spans="1:30">
      <c r="A470" s="7"/>
      <c r="D470" s="7"/>
      <c r="I470" s="7"/>
      <c r="J470" s="7"/>
      <c r="K470" s="7"/>
      <c r="N470" s="7"/>
      <c r="V470" s="8"/>
      <c r="W470" s="7"/>
      <c r="Y470" s="8"/>
      <c r="Z470" s="8"/>
      <c r="AA470" s="8"/>
      <c r="AB470" s="7"/>
      <c r="AD470" s="8"/>
    </row>
    <row r="471" spans="1:30">
      <c r="A471" s="7"/>
      <c r="D471" s="7"/>
      <c r="I471" s="7"/>
      <c r="J471" s="7"/>
      <c r="K471" s="7"/>
      <c r="N471" s="7"/>
      <c r="V471" s="8"/>
      <c r="W471" s="7"/>
      <c r="Y471" s="8"/>
      <c r="Z471" s="8"/>
      <c r="AA471" s="8"/>
      <c r="AB471" s="7"/>
      <c r="AD471" s="8"/>
    </row>
    <row r="472" spans="1:30">
      <c r="A472" s="7"/>
      <c r="D472" s="7"/>
      <c r="I472" s="7"/>
      <c r="J472" s="7"/>
      <c r="K472" s="7"/>
      <c r="N472" s="7"/>
      <c r="V472" s="8"/>
      <c r="W472" s="7"/>
      <c r="Y472" s="8"/>
      <c r="Z472" s="8"/>
      <c r="AA472" s="8"/>
      <c r="AB472" s="7"/>
      <c r="AD472" s="8"/>
    </row>
    <row r="473" spans="1:30">
      <c r="A473" s="7"/>
      <c r="D473" s="7"/>
      <c r="I473" s="7"/>
      <c r="J473" s="7"/>
      <c r="K473" s="7"/>
      <c r="N473" s="7"/>
      <c r="V473" s="8"/>
      <c r="W473" s="7"/>
      <c r="Y473" s="8"/>
      <c r="Z473" s="8"/>
      <c r="AA473" s="8"/>
      <c r="AB473" s="7"/>
      <c r="AD473" s="8"/>
    </row>
    <row r="474" spans="1:30">
      <c r="A474" s="7"/>
      <c r="D474" s="7"/>
      <c r="I474" s="7"/>
      <c r="J474" s="7"/>
      <c r="K474" s="7"/>
      <c r="N474" s="7"/>
      <c r="V474" s="8"/>
      <c r="W474" s="7"/>
      <c r="Y474" s="8"/>
      <c r="Z474" s="8"/>
      <c r="AA474" s="8"/>
      <c r="AB474" s="7"/>
      <c r="AD474" s="8"/>
    </row>
    <row r="475" spans="1:30">
      <c r="A475" s="7"/>
      <c r="D475" s="7"/>
      <c r="I475" s="7"/>
      <c r="J475" s="7"/>
      <c r="K475" s="7"/>
      <c r="N475" s="7"/>
      <c r="V475" s="8"/>
      <c r="W475" s="7"/>
      <c r="Y475" s="8"/>
      <c r="Z475" s="8"/>
      <c r="AA475" s="8"/>
      <c r="AB475" s="7"/>
      <c r="AD475" s="8"/>
    </row>
    <row r="476" spans="1:30">
      <c r="A476" s="7"/>
      <c r="D476" s="7"/>
      <c r="I476" s="7"/>
      <c r="J476" s="7"/>
      <c r="K476" s="7"/>
      <c r="N476" s="7"/>
      <c r="V476" s="8"/>
      <c r="W476" s="7"/>
      <c r="Y476" s="8"/>
      <c r="Z476" s="8"/>
      <c r="AA476" s="8"/>
      <c r="AB476" s="7"/>
      <c r="AD476" s="8"/>
    </row>
    <row r="477" spans="1:30">
      <c r="A477" s="7"/>
      <c r="D477" s="7"/>
      <c r="I477" s="7"/>
      <c r="J477" s="7"/>
      <c r="K477" s="7"/>
      <c r="N477" s="7"/>
      <c r="V477" s="8"/>
      <c r="W477" s="7"/>
      <c r="Y477" s="8"/>
      <c r="Z477" s="8"/>
      <c r="AA477" s="8"/>
      <c r="AB477" s="7"/>
      <c r="AD477" s="8"/>
    </row>
    <row r="478" spans="1:30">
      <c r="A478" s="7"/>
      <c r="D478" s="7"/>
      <c r="I478" s="7"/>
      <c r="J478" s="7"/>
      <c r="K478" s="7"/>
      <c r="N478" s="7"/>
      <c r="V478" s="8"/>
      <c r="W478" s="7"/>
      <c r="Y478" s="8"/>
      <c r="Z478" s="8"/>
      <c r="AA478" s="8"/>
      <c r="AB478" s="7"/>
      <c r="AD478" s="8"/>
    </row>
    <row r="479" spans="1:30">
      <c r="A479" s="7"/>
      <c r="D479" s="7"/>
      <c r="I479" s="7"/>
      <c r="J479" s="7"/>
      <c r="K479" s="7"/>
      <c r="N479" s="7"/>
      <c r="V479" s="8"/>
      <c r="W479" s="7"/>
      <c r="Y479" s="8"/>
      <c r="Z479" s="8"/>
      <c r="AA479" s="8"/>
      <c r="AB479" s="7"/>
      <c r="AD479" s="8"/>
    </row>
    <row r="480" spans="1:30">
      <c r="A480" s="7"/>
      <c r="D480" s="7"/>
      <c r="I480" s="7"/>
      <c r="J480" s="7"/>
      <c r="K480" s="7"/>
      <c r="N480" s="7"/>
      <c r="V480" s="8"/>
      <c r="W480" s="7"/>
      <c r="Y480" s="8"/>
      <c r="Z480" s="8"/>
      <c r="AA480" s="8"/>
      <c r="AB480" s="7"/>
      <c r="AD480" s="8"/>
    </row>
    <row r="481" spans="1:30">
      <c r="A481" s="7"/>
      <c r="D481" s="7"/>
      <c r="I481" s="7"/>
      <c r="J481" s="7"/>
      <c r="K481" s="7"/>
      <c r="N481" s="7"/>
      <c r="V481" s="8"/>
      <c r="W481" s="7"/>
      <c r="Y481" s="8"/>
      <c r="Z481" s="8"/>
      <c r="AA481" s="8"/>
      <c r="AB481" s="7"/>
      <c r="AD481" s="8"/>
    </row>
    <row r="482" spans="1:30">
      <c r="A482" s="7"/>
      <c r="D482" s="7"/>
      <c r="I482" s="7"/>
      <c r="J482" s="7"/>
      <c r="K482" s="7"/>
      <c r="N482" s="7"/>
      <c r="V482" s="8"/>
      <c r="W482" s="7"/>
      <c r="Y482" s="8"/>
      <c r="Z482" s="8"/>
      <c r="AA482" s="8"/>
      <c r="AB482" s="7"/>
      <c r="AD482" s="8"/>
    </row>
    <row r="483" spans="1:30">
      <c r="A483" s="7"/>
      <c r="D483" s="7"/>
      <c r="I483" s="7"/>
      <c r="J483" s="7"/>
      <c r="K483" s="7"/>
      <c r="N483" s="7"/>
      <c r="V483" s="8"/>
      <c r="W483" s="7"/>
      <c r="Y483" s="8"/>
      <c r="Z483" s="8"/>
      <c r="AA483" s="8"/>
      <c r="AB483" s="7"/>
      <c r="AD483" s="8"/>
    </row>
    <row r="484" spans="1:30">
      <c r="A484" s="7"/>
      <c r="D484" s="7"/>
      <c r="I484" s="7"/>
      <c r="J484" s="7"/>
      <c r="K484" s="7"/>
      <c r="N484" s="7"/>
      <c r="V484" s="8"/>
      <c r="W484" s="7"/>
      <c r="Y484" s="8"/>
      <c r="Z484" s="8"/>
      <c r="AA484" s="8"/>
      <c r="AB484" s="7"/>
      <c r="AD484" s="8"/>
    </row>
    <row r="485" spans="1:30">
      <c r="A485" s="7"/>
      <c r="D485" s="7"/>
      <c r="I485" s="7"/>
      <c r="J485" s="7"/>
      <c r="K485" s="7"/>
      <c r="N485" s="7"/>
      <c r="V485" s="8"/>
      <c r="W485" s="7"/>
      <c r="Y485" s="8"/>
      <c r="Z485" s="8"/>
      <c r="AA485" s="8"/>
      <c r="AB485" s="7"/>
      <c r="AD485" s="8"/>
    </row>
    <row r="486" spans="1:30">
      <c r="A486" s="7"/>
      <c r="D486" s="7"/>
      <c r="I486" s="7"/>
      <c r="J486" s="7"/>
      <c r="K486" s="7"/>
      <c r="N486" s="7"/>
      <c r="V486" s="8"/>
      <c r="W486" s="7"/>
      <c r="Y486" s="8"/>
      <c r="Z486" s="8"/>
      <c r="AA486" s="8"/>
      <c r="AB486" s="7"/>
      <c r="AD486" s="8"/>
    </row>
    <row r="487" spans="1:30">
      <c r="A487" s="7"/>
      <c r="D487" s="7"/>
      <c r="I487" s="7"/>
      <c r="J487" s="7"/>
      <c r="K487" s="7"/>
      <c r="N487" s="7"/>
      <c r="V487" s="8"/>
      <c r="W487" s="7"/>
      <c r="Y487" s="8"/>
      <c r="Z487" s="8"/>
      <c r="AA487" s="8"/>
      <c r="AB487" s="7"/>
      <c r="AD487" s="8"/>
    </row>
    <row r="488" spans="1:30">
      <c r="A488" s="7"/>
      <c r="D488" s="7"/>
      <c r="I488" s="7"/>
      <c r="J488" s="7"/>
      <c r="K488" s="7"/>
      <c r="N488" s="7"/>
      <c r="V488" s="8"/>
      <c r="W488" s="7"/>
      <c r="Y488" s="8"/>
      <c r="Z488" s="8"/>
      <c r="AA488" s="8"/>
      <c r="AB488" s="7"/>
      <c r="AD488" s="8"/>
    </row>
    <row r="489" spans="1:30">
      <c r="A489" s="7"/>
      <c r="D489" s="7"/>
      <c r="I489" s="7"/>
      <c r="J489" s="7"/>
      <c r="K489" s="7"/>
      <c r="N489" s="7"/>
      <c r="V489" s="8"/>
      <c r="W489" s="7"/>
      <c r="Y489" s="8"/>
      <c r="Z489" s="8"/>
      <c r="AA489" s="8"/>
      <c r="AB489" s="7"/>
      <c r="AD489" s="8"/>
    </row>
    <row r="490" spans="1:30">
      <c r="A490" s="7"/>
      <c r="D490" s="7"/>
      <c r="I490" s="7"/>
      <c r="J490" s="7"/>
      <c r="K490" s="7"/>
      <c r="N490" s="7"/>
      <c r="V490" s="8"/>
      <c r="W490" s="7"/>
      <c r="Y490" s="8"/>
      <c r="Z490" s="8"/>
      <c r="AA490" s="8"/>
      <c r="AB490" s="7"/>
      <c r="AD490" s="8"/>
    </row>
    <row r="491" spans="1:30">
      <c r="A491" s="7"/>
      <c r="D491" s="7"/>
      <c r="I491" s="7"/>
      <c r="J491" s="7"/>
      <c r="K491" s="7"/>
      <c r="N491" s="7"/>
      <c r="V491" s="8"/>
      <c r="W491" s="7"/>
      <c r="Y491" s="8"/>
      <c r="Z491" s="8"/>
      <c r="AA491" s="8"/>
      <c r="AB491" s="7"/>
      <c r="AD491" s="8"/>
    </row>
    <row r="492" spans="1:30">
      <c r="A492" s="7"/>
      <c r="D492" s="7"/>
      <c r="I492" s="7"/>
      <c r="J492" s="7"/>
      <c r="K492" s="7"/>
      <c r="N492" s="7"/>
      <c r="V492" s="8"/>
      <c r="W492" s="7"/>
      <c r="Y492" s="8"/>
      <c r="Z492" s="8"/>
      <c r="AA492" s="8"/>
      <c r="AB492" s="7"/>
      <c r="AD492" s="8"/>
    </row>
    <row r="493" spans="1:30">
      <c r="A493" s="7"/>
      <c r="D493" s="7"/>
      <c r="I493" s="7"/>
      <c r="J493" s="7"/>
      <c r="K493" s="7"/>
      <c r="N493" s="7"/>
      <c r="V493" s="8"/>
      <c r="W493" s="7"/>
      <c r="Y493" s="8"/>
      <c r="Z493" s="8"/>
      <c r="AA493" s="8"/>
      <c r="AB493" s="7"/>
      <c r="AD493" s="8"/>
    </row>
    <row r="494" spans="1:30">
      <c r="A494" s="7"/>
      <c r="D494" s="7"/>
      <c r="I494" s="7"/>
      <c r="J494" s="7"/>
      <c r="K494" s="7"/>
      <c r="N494" s="7"/>
      <c r="V494" s="8"/>
      <c r="W494" s="7"/>
      <c r="Y494" s="8"/>
      <c r="Z494" s="8"/>
      <c r="AA494" s="8"/>
      <c r="AB494" s="7"/>
      <c r="AD494" s="8"/>
    </row>
    <row r="495" spans="1:30">
      <c r="A495" s="7"/>
      <c r="D495" s="7"/>
      <c r="I495" s="7"/>
      <c r="J495" s="7"/>
      <c r="K495" s="7"/>
      <c r="N495" s="7"/>
      <c r="V495" s="8"/>
      <c r="W495" s="7"/>
      <c r="Y495" s="8"/>
      <c r="Z495" s="8"/>
      <c r="AA495" s="8"/>
      <c r="AB495" s="7"/>
      <c r="AD495" s="8"/>
    </row>
    <row r="496" spans="1:30">
      <c r="A496" s="7"/>
      <c r="D496" s="7"/>
      <c r="I496" s="7"/>
      <c r="J496" s="7"/>
      <c r="K496" s="7"/>
      <c r="N496" s="7"/>
      <c r="V496" s="8"/>
      <c r="W496" s="7"/>
      <c r="Y496" s="8"/>
      <c r="Z496" s="8"/>
      <c r="AA496" s="8"/>
      <c r="AB496" s="7"/>
      <c r="AD496" s="8"/>
    </row>
    <row r="497" spans="1:30">
      <c r="A497" s="7"/>
      <c r="D497" s="7"/>
      <c r="I497" s="7"/>
      <c r="J497" s="7"/>
      <c r="K497" s="7"/>
      <c r="N497" s="7"/>
      <c r="V497" s="8"/>
      <c r="W497" s="7"/>
      <c r="Y497" s="8"/>
      <c r="Z497" s="8"/>
      <c r="AA497" s="8"/>
      <c r="AB497" s="7"/>
      <c r="AD497" s="8"/>
    </row>
    <row r="498" spans="1:30">
      <c r="A498" s="7"/>
      <c r="D498" s="7"/>
      <c r="I498" s="7"/>
      <c r="J498" s="7"/>
      <c r="K498" s="7"/>
      <c r="N498" s="7"/>
      <c r="V498" s="8"/>
      <c r="W498" s="7"/>
      <c r="Y498" s="8"/>
      <c r="Z498" s="8"/>
      <c r="AA498" s="8"/>
      <c r="AB498" s="7"/>
      <c r="AD498" s="8"/>
    </row>
    <row r="499" spans="1:30">
      <c r="A499" s="7"/>
      <c r="D499" s="7"/>
      <c r="I499" s="7"/>
      <c r="J499" s="7"/>
      <c r="K499" s="7"/>
      <c r="N499" s="7"/>
      <c r="V499" s="8"/>
      <c r="W499" s="7"/>
      <c r="Y499" s="8"/>
      <c r="Z499" s="8"/>
      <c r="AA499" s="8"/>
      <c r="AB499" s="7"/>
      <c r="AD499" s="8"/>
    </row>
    <row r="500" spans="1:30">
      <c r="A500" s="7"/>
      <c r="D500" s="7"/>
      <c r="I500" s="7"/>
      <c r="J500" s="7"/>
      <c r="K500" s="7"/>
      <c r="N500" s="7"/>
      <c r="V500" s="8"/>
      <c r="W500" s="7"/>
      <c r="Y500" s="8"/>
      <c r="Z500" s="8"/>
      <c r="AA500" s="8"/>
      <c r="AB500" s="7"/>
      <c r="AD500" s="8"/>
    </row>
    <row r="501" spans="1:30">
      <c r="A501" s="7"/>
      <c r="D501" s="7"/>
      <c r="I501" s="7"/>
      <c r="J501" s="7"/>
      <c r="K501" s="7"/>
      <c r="N501" s="7"/>
      <c r="V501" s="8"/>
      <c r="W501" s="7"/>
      <c r="Y501" s="8"/>
      <c r="Z501" s="8"/>
      <c r="AA501" s="8"/>
      <c r="AB501" s="7"/>
      <c r="AD501" s="8"/>
    </row>
    <row r="502" spans="1:30">
      <c r="A502" s="7"/>
      <c r="D502" s="7"/>
      <c r="I502" s="7"/>
      <c r="J502" s="7"/>
      <c r="K502" s="7"/>
      <c r="N502" s="7"/>
      <c r="V502" s="8"/>
      <c r="W502" s="7"/>
      <c r="Y502" s="8"/>
      <c r="Z502" s="8"/>
      <c r="AA502" s="8"/>
      <c r="AB502" s="7"/>
      <c r="AD502" s="8"/>
    </row>
    <row r="503" spans="1:30">
      <c r="A503" s="7"/>
      <c r="D503" s="7"/>
      <c r="I503" s="7"/>
      <c r="J503" s="7"/>
      <c r="K503" s="7"/>
      <c r="N503" s="7"/>
      <c r="V503" s="8"/>
      <c r="W503" s="7"/>
      <c r="Y503" s="8"/>
      <c r="Z503" s="8"/>
      <c r="AA503" s="8"/>
      <c r="AB503" s="7"/>
      <c r="AD503" s="8"/>
    </row>
    <row r="504" spans="1:30">
      <c r="A504" s="7"/>
      <c r="D504" s="7"/>
      <c r="I504" s="7"/>
      <c r="J504" s="7"/>
      <c r="K504" s="7"/>
      <c r="N504" s="7"/>
      <c r="V504" s="8"/>
      <c r="W504" s="7"/>
      <c r="Y504" s="8"/>
      <c r="Z504" s="8"/>
      <c r="AA504" s="8"/>
      <c r="AB504" s="7"/>
      <c r="AD504" s="8"/>
    </row>
    <row r="505" spans="1:30">
      <c r="A505" s="7"/>
      <c r="D505" s="7"/>
      <c r="I505" s="7"/>
      <c r="J505" s="7"/>
      <c r="K505" s="7"/>
      <c r="N505" s="7"/>
      <c r="V505" s="8"/>
      <c r="W505" s="7"/>
      <c r="Y505" s="8"/>
      <c r="Z505" s="8"/>
      <c r="AA505" s="8"/>
      <c r="AB505" s="7"/>
      <c r="AD505" s="8"/>
    </row>
    <row r="506" spans="1:30">
      <c r="A506" s="7"/>
      <c r="D506" s="7"/>
      <c r="I506" s="7"/>
      <c r="J506" s="7"/>
      <c r="K506" s="7"/>
      <c r="N506" s="7"/>
      <c r="V506" s="8"/>
      <c r="W506" s="7"/>
      <c r="Y506" s="8"/>
      <c r="Z506" s="8"/>
      <c r="AA506" s="8"/>
      <c r="AB506" s="7"/>
      <c r="AD506" s="8"/>
    </row>
    <row r="507" spans="1:30">
      <c r="A507" s="7"/>
      <c r="D507" s="7"/>
      <c r="I507" s="7"/>
      <c r="J507" s="7"/>
      <c r="K507" s="7"/>
      <c r="N507" s="7"/>
      <c r="V507" s="8"/>
      <c r="W507" s="7"/>
      <c r="Y507" s="8"/>
      <c r="Z507" s="8"/>
      <c r="AA507" s="8"/>
      <c r="AB507" s="7"/>
      <c r="AD507" s="8"/>
    </row>
    <row r="508" spans="1:30">
      <c r="A508" s="7"/>
      <c r="D508" s="7"/>
      <c r="I508" s="7"/>
      <c r="J508" s="7"/>
      <c r="K508" s="7"/>
      <c r="N508" s="7"/>
      <c r="V508" s="8"/>
      <c r="W508" s="7"/>
      <c r="Y508" s="8"/>
      <c r="Z508" s="8"/>
      <c r="AA508" s="8"/>
      <c r="AB508" s="7"/>
      <c r="AD508" s="8"/>
    </row>
    <row r="509" spans="1:30">
      <c r="A509" s="7"/>
      <c r="D509" s="7"/>
      <c r="I509" s="7"/>
      <c r="J509" s="7"/>
      <c r="K509" s="7"/>
      <c r="N509" s="7"/>
      <c r="V509" s="8"/>
      <c r="W509" s="7"/>
      <c r="Y509" s="8"/>
      <c r="Z509" s="8"/>
      <c r="AA509" s="8"/>
      <c r="AB509" s="7"/>
      <c r="AD509" s="8"/>
    </row>
    <row r="510" spans="1:30">
      <c r="A510" s="7"/>
      <c r="D510" s="7"/>
      <c r="I510" s="7"/>
      <c r="J510" s="7"/>
      <c r="K510" s="7"/>
      <c r="N510" s="7"/>
      <c r="V510" s="8"/>
      <c r="W510" s="7"/>
      <c r="Y510" s="8"/>
      <c r="Z510" s="8"/>
      <c r="AA510" s="8"/>
      <c r="AB510" s="7"/>
      <c r="AD510" s="8"/>
    </row>
    <row r="511" spans="1:30">
      <c r="A511" s="7"/>
      <c r="D511" s="7"/>
      <c r="I511" s="7"/>
      <c r="J511" s="7"/>
      <c r="K511" s="7"/>
      <c r="N511" s="7"/>
      <c r="V511" s="8"/>
      <c r="W511" s="7"/>
      <c r="Y511" s="8"/>
      <c r="Z511" s="8"/>
      <c r="AA511" s="8"/>
      <c r="AB511" s="7"/>
      <c r="AD511" s="8"/>
    </row>
    <row r="512" spans="1:30">
      <c r="A512" s="7"/>
      <c r="D512" s="7"/>
      <c r="I512" s="7"/>
      <c r="J512" s="7"/>
      <c r="K512" s="7"/>
      <c r="N512" s="7"/>
      <c r="V512" s="8"/>
      <c r="W512" s="7"/>
      <c r="Y512" s="8"/>
      <c r="Z512" s="8"/>
      <c r="AA512" s="8"/>
      <c r="AB512" s="7"/>
      <c r="AD512" s="8"/>
    </row>
    <row r="513" spans="1:30">
      <c r="A513" s="7"/>
      <c r="D513" s="7"/>
      <c r="I513" s="7"/>
      <c r="J513" s="7"/>
      <c r="K513" s="7"/>
      <c r="N513" s="7"/>
      <c r="V513" s="8"/>
      <c r="W513" s="7"/>
      <c r="Y513" s="8"/>
      <c r="Z513" s="8"/>
      <c r="AA513" s="8"/>
      <c r="AB513" s="7"/>
      <c r="AD513" s="8"/>
    </row>
    <row r="514" spans="1:30">
      <c r="A514" s="7"/>
      <c r="D514" s="7"/>
      <c r="I514" s="7"/>
      <c r="J514" s="7"/>
      <c r="K514" s="7"/>
      <c r="N514" s="7"/>
      <c r="V514" s="8"/>
      <c r="W514" s="7"/>
      <c r="Y514" s="8"/>
      <c r="Z514" s="8"/>
      <c r="AA514" s="8"/>
      <c r="AB514" s="7"/>
      <c r="AD514" s="8"/>
    </row>
    <row r="515" spans="1:30">
      <c r="A515" s="7"/>
      <c r="D515" s="7"/>
      <c r="I515" s="7"/>
      <c r="J515" s="7"/>
      <c r="K515" s="7"/>
      <c r="N515" s="7"/>
      <c r="V515" s="8"/>
      <c r="W515" s="7"/>
      <c r="Y515" s="8"/>
      <c r="Z515" s="8"/>
      <c r="AA515" s="8"/>
      <c r="AB515" s="7"/>
      <c r="AD515" s="8"/>
    </row>
    <row r="516" spans="1:30">
      <c r="A516" s="7"/>
      <c r="D516" s="7"/>
      <c r="I516" s="7"/>
      <c r="J516" s="7"/>
      <c r="K516" s="7"/>
      <c r="N516" s="7"/>
      <c r="V516" s="8"/>
      <c r="W516" s="7"/>
      <c r="Y516" s="8"/>
      <c r="Z516" s="8"/>
      <c r="AA516" s="8"/>
      <c r="AB516" s="7"/>
      <c r="AD516" s="8"/>
    </row>
    <row r="517" spans="1:30">
      <c r="A517" s="7"/>
      <c r="D517" s="7"/>
      <c r="I517" s="7"/>
      <c r="J517" s="7"/>
      <c r="K517" s="7"/>
      <c r="N517" s="7"/>
      <c r="V517" s="8"/>
      <c r="W517" s="7"/>
      <c r="Y517" s="8"/>
      <c r="Z517" s="8"/>
      <c r="AA517" s="8"/>
      <c r="AB517" s="7"/>
      <c r="AD517" s="8"/>
    </row>
    <row r="518" spans="1:30">
      <c r="A518" s="7"/>
      <c r="D518" s="7"/>
      <c r="I518" s="7"/>
      <c r="J518" s="7"/>
      <c r="K518" s="7"/>
      <c r="N518" s="7"/>
      <c r="V518" s="8"/>
      <c r="W518" s="7"/>
      <c r="Y518" s="8"/>
      <c r="Z518" s="8"/>
      <c r="AA518" s="8"/>
      <c r="AB518" s="7"/>
      <c r="AD518" s="8"/>
    </row>
    <row r="519" spans="1:30">
      <c r="A519" s="7"/>
      <c r="D519" s="7"/>
      <c r="I519" s="7"/>
      <c r="J519" s="7"/>
      <c r="K519" s="7"/>
      <c r="N519" s="7"/>
      <c r="V519" s="8"/>
      <c r="W519" s="7"/>
      <c r="Y519" s="8"/>
      <c r="Z519" s="8"/>
      <c r="AA519" s="8"/>
      <c r="AB519" s="7"/>
      <c r="AD519" s="8"/>
    </row>
    <row r="520" spans="1:30">
      <c r="A520" s="7"/>
      <c r="D520" s="7"/>
      <c r="I520" s="7"/>
      <c r="J520" s="7"/>
      <c r="K520" s="7"/>
      <c r="N520" s="7"/>
      <c r="V520" s="8"/>
      <c r="W520" s="7"/>
      <c r="Y520" s="8"/>
      <c r="Z520" s="8"/>
      <c r="AA520" s="8"/>
      <c r="AB520" s="7"/>
      <c r="AD520" s="8"/>
    </row>
    <row r="521" spans="1:30">
      <c r="A521" s="7"/>
      <c r="D521" s="7"/>
      <c r="I521" s="7"/>
      <c r="J521" s="7"/>
      <c r="K521" s="7"/>
      <c r="N521" s="7"/>
      <c r="V521" s="8"/>
      <c r="W521" s="7"/>
      <c r="Y521" s="8"/>
      <c r="Z521" s="8"/>
      <c r="AA521" s="8"/>
      <c r="AB521" s="7"/>
      <c r="AD521" s="8"/>
    </row>
    <row r="522" spans="1:30">
      <c r="A522" s="7"/>
      <c r="D522" s="7"/>
      <c r="I522" s="7"/>
      <c r="J522" s="7"/>
      <c r="K522" s="7"/>
      <c r="N522" s="7"/>
      <c r="V522" s="8"/>
      <c r="W522" s="7"/>
      <c r="Y522" s="8"/>
      <c r="Z522" s="8"/>
      <c r="AA522" s="8"/>
      <c r="AB522" s="7"/>
      <c r="AD522" s="8"/>
    </row>
    <row r="523" spans="1:30">
      <c r="A523" s="7"/>
      <c r="D523" s="7"/>
      <c r="I523" s="7"/>
      <c r="J523" s="7"/>
      <c r="K523" s="7"/>
      <c r="N523" s="7"/>
      <c r="V523" s="8"/>
      <c r="W523" s="7"/>
      <c r="Y523" s="8"/>
      <c r="Z523" s="8"/>
      <c r="AA523" s="8"/>
      <c r="AB523" s="7"/>
      <c r="AD523" s="8"/>
    </row>
    <row r="524" spans="1:30">
      <c r="A524" s="7"/>
      <c r="D524" s="7"/>
      <c r="I524" s="7"/>
      <c r="J524" s="7"/>
      <c r="K524" s="7"/>
      <c r="N524" s="7"/>
      <c r="V524" s="8"/>
      <c r="W524" s="7"/>
      <c r="Y524" s="8"/>
      <c r="Z524" s="8"/>
      <c r="AA524" s="8"/>
      <c r="AB524" s="7"/>
      <c r="AD524" s="8"/>
    </row>
    <row r="525" spans="1:30">
      <c r="A525" s="7"/>
      <c r="D525" s="7"/>
      <c r="I525" s="7"/>
      <c r="J525" s="7"/>
      <c r="K525" s="7"/>
      <c r="N525" s="7"/>
      <c r="V525" s="8"/>
      <c r="W525" s="7"/>
      <c r="Y525" s="8"/>
      <c r="Z525" s="8"/>
      <c r="AA525" s="8"/>
      <c r="AB525" s="7"/>
      <c r="AD525" s="8"/>
    </row>
    <row r="526" spans="1:30">
      <c r="A526" s="7"/>
      <c r="D526" s="7"/>
      <c r="I526" s="7"/>
      <c r="J526" s="7"/>
      <c r="K526" s="7"/>
      <c r="N526" s="7"/>
      <c r="V526" s="8"/>
      <c r="W526" s="7"/>
      <c r="Y526" s="8"/>
      <c r="Z526" s="8"/>
      <c r="AA526" s="8"/>
      <c r="AB526" s="7"/>
      <c r="AD526" s="8"/>
    </row>
    <row r="527" spans="1:30">
      <c r="A527" s="7"/>
      <c r="D527" s="7"/>
      <c r="I527" s="7"/>
      <c r="J527" s="7"/>
      <c r="K527" s="7"/>
      <c r="N527" s="7"/>
      <c r="V527" s="8"/>
      <c r="W527" s="7"/>
      <c r="Y527" s="8"/>
      <c r="Z527" s="8"/>
      <c r="AA527" s="8"/>
      <c r="AB527" s="7"/>
      <c r="AD527" s="8"/>
    </row>
    <row r="528" spans="1:30">
      <c r="A528" s="7"/>
      <c r="D528" s="7"/>
      <c r="I528" s="7"/>
      <c r="J528" s="7"/>
      <c r="K528" s="7"/>
      <c r="N528" s="7"/>
      <c r="V528" s="8"/>
      <c r="W528" s="7"/>
      <c r="Y528" s="8"/>
      <c r="Z528" s="8"/>
      <c r="AA528" s="8"/>
      <c r="AB528" s="7"/>
      <c r="AD528" s="8"/>
    </row>
    <row r="529" spans="1:30">
      <c r="A529" s="7"/>
      <c r="D529" s="7"/>
      <c r="I529" s="7"/>
      <c r="J529" s="7"/>
      <c r="K529" s="7"/>
      <c r="N529" s="7"/>
      <c r="V529" s="8"/>
      <c r="W529" s="7"/>
      <c r="Y529" s="8"/>
      <c r="Z529" s="8"/>
      <c r="AA529" s="8"/>
      <c r="AB529" s="7"/>
      <c r="AD529" s="8"/>
    </row>
    <row r="530" spans="1:30">
      <c r="A530" s="7"/>
      <c r="D530" s="7"/>
      <c r="I530" s="7"/>
      <c r="J530" s="7"/>
      <c r="K530" s="7"/>
      <c r="N530" s="7"/>
      <c r="V530" s="8"/>
      <c r="W530" s="7"/>
      <c r="Y530" s="8"/>
      <c r="Z530" s="8"/>
      <c r="AA530" s="8"/>
      <c r="AB530" s="7"/>
      <c r="AD530" s="8"/>
    </row>
    <row r="531" spans="1:30">
      <c r="A531" s="7"/>
      <c r="D531" s="7"/>
      <c r="I531" s="7"/>
      <c r="J531" s="7"/>
      <c r="K531" s="7"/>
      <c r="N531" s="7"/>
      <c r="V531" s="8"/>
      <c r="W531" s="7"/>
      <c r="Y531" s="8"/>
      <c r="Z531" s="8"/>
      <c r="AA531" s="8"/>
      <c r="AB531" s="7"/>
      <c r="AD531" s="8"/>
    </row>
    <row r="532" spans="1:30">
      <c r="A532" s="7"/>
      <c r="D532" s="7"/>
      <c r="I532" s="7"/>
      <c r="J532" s="7"/>
      <c r="K532" s="7"/>
      <c r="N532" s="7"/>
      <c r="V532" s="8"/>
      <c r="W532" s="7"/>
      <c r="Y532" s="8"/>
      <c r="Z532" s="8"/>
      <c r="AA532" s="8"/>
      <c r="AB532" s="7"/>
      <c r="AD532" s="8"/>
    </row>
    <row r="533" spans="1:30">
      <c r="A533" s="7"/>
      <c r="D533" s="7"/>
      <c r="I533" s="7"/>
      <c r="J533" s="7"/>
      <c r="K533" s="7"/>
      <c r="N533" s="7"/>
      <c r="V533" s="8"/>
      <c r="W533" s="7"/>
      <c r="Y533" s="8"/>
      <c r="Z533" s="8"/>
      <c r="AA533" s="8"/>
      <c r="AB533" s="7"/>
      <c r="AD533" s="8"/>
    </row>
    <row r="534" spans="1:30">
      <c r="A534" s="7"/>
      <c r="D534" s="7"/>
      <c r="I534" s="7"/>
      <c r="J534" s="7"/>
      <c r="K534" s="7"/>
      <c r="N534" s="7"/>
      <c r="V534" s="8"/>
      <c r="W534" s="7"/>
      <c r="Y534" s="8"/>
      <c r="Z534" s="8"/>
      <c r="AA534" s="8"/>
      <c r="AB534" s="7"/>
      <c r="AD534" s="8"/>
    </row>
    <row r="535" spans="1:30">
      <c r="A535" s="7"/>
      <c r="D535" s="7"/>
      <c r="I535" s="7"/>
      <c r="J535" s="7"/>
      <c r="K535" s="7"/>
      <c r="N535" s="7"/>
      <c r="V535" s="8"/>
      <c r="W535" s="7"/>
      <c r="Y535" s="8"/>
      <c r="Z535" s="8"/>
      <c r="AA535" s="8"/>
      <c r="AB535" s="7"/>
      <c r="AD535" s="8"/>
    </row>
    <row r="536" spans="1:30">
      <c r="A536" s="7"/>
      <c r="D536" s="7"/>
      <c r="I536" s="7"/>
      <c r="J536" s="7"/>
      <c r="K536" s="7"/>
      <c r="N536" s="7"/>
      <c r="V536" s="8"/>
      <c r="W536" s="7"/>
      <c r="Y536" s="8"/>
      <c r="Z536" s="8"/>
      <c r="AA536" s="8"/>
      <c r="AB536" s="7"/>
      <c r="AD536" s="8"/>
    </row>
    <row r="537" spans="1:30">
      <c r="A537" s="7"/>
      <c r="D537" s="7"/>
      <c r="I537" s="7"/>
      <c r="J537" s="7"/>
      <c r="K537" s="7"/>
      <c r="N537" s="7"/>
      <c r="V537" s="8"/>
      <c r="W537" s="7"/>
      <c r="Y537" s="8"/>
      <c r="Z537" s="8"/>
      <c r="AA537" s="8"/>
      <c r="AB537" s="7"/>
      <c r="AD537" s="8"/>
    </row>
    <row r="538" spans="1:30">
      <c r="A538" s="7"/>
      <c r="D538" s="7"/>
      <c r="I538" s="7"/>
      <c r="J538" s="7"/>
      <c r="K538" s="7"/>
      <c r="N538" s="7"/>
      <c r="V538" s="8"/>
      <c r="W538" s="7"/>
      <c r="Y538" s="8"/>
      <c r="Z538" s="8"/>
      <c r="AA538" s="8"/>
      <c r="AB538" s="7"/>
      <c r="AD538" s="8"/>
    </row>
    <row r="539" spans="1:30">
      <c r="A539" s="7"/>
      <c r="D539" s="7"/>
      <c r="I539" s="7"/>
      <c r="J539" s="7"/>
      <c r="K539" s="7"/>
      <c r="N539" s="7"/>
      <c r="V539" s="8"/>
      <c r="W539" s="7"/>
      <c r="Y539" s="8"/>
      <c r="Z539" s="8"/>
      <c r="AA539" s="8"/>
      <c r="AB539" s="7"/>
      <c r="AD539" s="8"/>
    </row>
    <row r="540" spans="1:30">
      <c r="A540" s="7"/>
      <c r="D540" s="7"/>
      <c r="I540" s="7"/>
      <c r="J540" s="7"/>
      <c r="K540" s="7"/>
      <c r="N540" s="7"/>
      <c r="V540" s="8"/>
      <c r="W540" s="7"/>
      <c r="Y540" s="8"/>
      <c r="Z540" s="8"/>
      <c r="AA540" s="8"/>
      <c r="AB540" s="7"/>
      <c r="AD540" s="8"/>
    </row>
    <row r="541" spans="1:30">
      <c r="A541" s="7"/>
      <c r="D541" s="7"/>
      <c r="I541" s="7"/>
      <c r="J541" s="7"/>
      <c r="K541" s="7"/>
      <c r="N541" s="7"/>
      <c r="V541" s="8"/>
      <c r="W541" s="7"/>
      <c r="Y541" s="8"/>
      <c r="Z541" s="8"/>
      <c r="AA541" s="8"/>
      <c r="AB541" s="7"/>
      <c r="AD541" s="8"/>
    </row>
    <row r="542" spans="1:30">
      <c r="A542" s="7"/>
      <c r="D542" s="7"/>
      <c r="I542" s="7"/>
      <c r="J542" s="7"/>
      <c r="K542" s="7"/>
      <c r="N542" s="7"/>
      <c r="V542" s="8"/>
      <c r="W542" s="7"/>
      <c r="Y542" s="8"/>
      <c r="Z542" s="8"/>
      <c r="AA542" s="8"/>
      <c r="AB542" s="7"/>
      <c r="AD542" s="8"/>
    </row>
    <row r="543" spans="1:30">
      <c r="A543" s="7"/>
      <c r="D543" s="7"/>
      <c r="I543" s="7"/>
      <c r="J543" s="7"/>
      <c r="K543" s="7"/>
      <c r="N543" s="7"/>
      <c r="V543" s="8"/>
      <c r="W543" s="7"/>
      <c r="Y543" s="8"/>
      <c r="Z543" s="8"/>
      <c r="AA543" s="8"/>
      <c r="AB543" s="7"/>
      <c r="AD543" s="8"/>
    </row>
    <row r="544" spans="1:30">
      <c r="A544" s="7"/>
      <c r="D544" s="7"/>
      <c r="I544" s="7"/>
      <c r="J544" s="7"/>
      <c r="K544" s="7"/>
      <c r="N544" s="7"/>
      <c r="V544" s="8"/>
      <c r="W544" s="7"/>
      <c r="Y544" s="8"/>
      <c r="Z544" s="8"/>
      <c r="AA544" s="8"/>
      <c r="AB544" s="7"/>
      <c r="AD544" s="8"/>
    </row>
    <row r="545" spans="1:30">
      <c r="A545" s="7"/>
      <c r="D545" s="7"/>
      <c r="I545" s="7"/>
      <c r="J545" s="7"/>
      <c r="K545" s="7"/>
      <c r="N545" s="7"/>
      <c r="V545" s="8"/>
      <c r="W545" s="7"/>
      <c r="Y545" s="8"/>
      <c r="Z545" s="8"/>
      <c r="AA545" s="8"/>
      <c r="AB545" s="7"/>
      <c r="AD545" s="8"/>
    </row>
    <row r="546" spans="1:30">
      <c r="A546" s="7"/>
      <c r="D546" s="7"/>
      <c r="I546" s="7"/>
      <c r="J546" s="7"/>
      <c r="K546" s="7"/>
      <c r="N546" s="7"/>
      <c r="V546" s="8"/>
      <c r="W546" s="7"/>
      <c r="Y546" s="8"/>
      <c r="Z546" s="8"/>
      <c r="AA546" s="8"/>
      <c r="AB546" s="7"/>
      <c r="AD546" s="8"/>
    </row>
    <row r="547" spans="1:30">
      <c r="A547" s="7"/>
      <c r="D547" s="7"/>
      <c r="I547" s="7"/>
      <c r="J547" s="7"/>
      <c r="K547" s="7"/>
      <c r="N547" s="7"/>
      <c r="V547" s="8"/>
      <c r="W547" s="7"/>
      <c r="Y547" s="8"/>
      <c r="Z547" s="8"/>
      <c r="AA547" s="8"/>
      <c r="AB547" s="7"/>
      <c r="AD547" s="8"/>
    </row>
    <row r="548" spans="1:30">
      <c r="A548" s="7"/>
      <c r="D548" s="7"/>
      <c r="I548" s="7"/>
      <c r="J548" s="7"/>
      <c r="K548" s="7"/>
      <c r="N548" s="7"/>
      <c r="V548" s="8"/>
      <c r="W548" s="7"/>
      <c r="Y548" s="8"/>
      <c r="Z548" s="8"/>
      <c r="AA548" s="8"/>
      <c r="AB548" s="7"/>
      <c r="AD548" s="8"/>
    </row>
    <row r="549" spans="1:30">
      <c r="A549" s="7"/>
      <c r="D549" s="7"/>
      <c r="I549" s="7"/>
      <c r="J549" s="7"/>
      <c r="K549" s="7"/>
      <c r="N549" s="7"/>
      <c r="V549" s="8"/>
      <c r="W549" s="7"/>
      <c r="Y549" s="8"/>
      <c r="Z549" s="8"/>
      <c r="AA549" s="8"/>
      <c r="AB549" s="7"/>
      <c r="AD549" s="8"/>
    </row>
    <row r="550" spans="1:30">
      <c r="A550" s="7"/>
      <c r="D550" s="7"/>
      <c r="I550" s="7"/>
      <c r="J550" s="7"/>
      <c r="K550" s="7"/>
      <c r="N550" s="7"/>
      <c r="V550" s="8"/>
      <c r="W550" s="7"/>
      <c r="Y550" s="8"/>
      <c r="Z550" s="8"/>
      <c r="AA550" s="8"/>
      <c r="AB550" s="7"/>
      <c r="AD550" s="8"/>
    </row>
    <row r="551" spans="1:30">
      <c r="A551" s="7"/>
      <c r="D551" s="7"/>
      <c r="I551" s="7"/>
      <c r="J551" s="7"/>
      <c r="K551" s="7"/>
      <c r="N551" s="7"/>
      <c r="V551" s="8"/>
      <c r="W551" s="7"/>
      <c r="Y551" s="8"/>
      <c r="Z551" s="8"/>
      <c r="AA551" s="8"/>
      <c r="AB551" s="7"/>
      <c r="AD551" s="8"/>
    </row>
    <row r="552" spans="1:30">
      <c r="A552" s="7"/>
      <c r="D552" s="7"/>
      <c r="I552" s="7"/>
      <c r="J552" s="7"/>
      <c r="K552" s="7"/>
      <c r="N552" s="7"/>
      <c r="V552" s="8"/>
      <c r="W552" s="7"/>
      <c r="Y552" s="8"/>
      <c r="Z552" s="8"/>
      <c r="AA552" s="8"/>
      <c r="AB552" s="7"/>
      <c r="AD552" s="8"/>
    </row>
    <row r="553" spans="1:30">
      <c r="A553" s="7"/>
      <c r="D553" s="7"/>
      <c r="I553" s="7"/>
      <c r="J553" s="7"/>
      <c r="K553" s="7"/>
      <c r="N553" s="7"/>
      <c r="V553" s="8"/>
      <c r="W553" s="7"/>
      <c r="Y553" s="8"/>
      <c r="Z553" s="8"/>
      <c r="AA553" s="8"/>
      <c r="AB553" s="7"/>
      <c r="AD553" s="8"/>
    </row>
    <row r="554" spans="1:30">
      <c r="A554" s="7"/>
      <c r="D554" s="7"/>
      <c r="I554" s="7"/>
      <c r="J554" s="7"/>
      <c r="K554" s="7"/>
      <c r="N554" s="7"/>
      <c r="V554" s="8"/>
      <c r="W554" s="7"/>
      <c r="Y554" s="8"/>
      <c r="Z554" s="8"/>
      <c r="AA554" s="8"/>
      <c r="AB554" s="7"/>
      <c r="AD554" s="8"/>
    </row>
    <row r="555" spans="1:30">
      <c r="A555" s="7"/>
      <c r="D555" s="7"/>
      <c r="I555" s="7"/>
      <c r="J555" s="7"/>
      <c r="K555" s="7"/>
      <c r="N555" s="7"/>
      <c r="V555" s="8"/>
      <c r="W555" s="7"/>
      <c r="Y555" s="8"/>
      <c r="Z555" s="8"/>
      <c r="AA555" s="8"/>
      <c r="AB555" s="7"/>
      <c r="AD555" s="8"/>
    </row>
    <row r="556" spans="1:30">
      <c r="A556" s="7"/>
      <c r="D556" s="7"/>
      <c r="I556" s="7"/>
      <c r="J556" s="7"/>
      <c r="K556" s="7"/>
      <c r="N556" s="7"/>
      <c r="V556" s="8"/>
      <c r="W556" s="7"/>
      <c r="Y556" s="8"/>
      <c r="Z556" s="8"/>
      <c r="AA556" s="8"/>
      <c r="AB556" s="7"/>
      <c r="AD556" s="8"/>
    </row>
    <row r="557" spans="1:30">
      <c r="A557" s="7"/>
      <c r="D557" s="7"/>
      <c r="I557" s="7"/>
      <c r="J557" s="7"/>
      <c r="K557" s="7"/>
      <c r="N557" s="7"/>
      <c r="V557" s="8"/>
      <c r="W557" s="7"/>
      <c r="Y557" s="8"/>
      <c r="Z557" s="8"/>
      <c r="AA557" s="8"/>
      <c r="AB557" s="7"/>
      <c r="AD557" s="8"/>
    </row>
    <row r="558" spans="1:30">
      <c r="A558" s="7"/>
      <c r="D558" s="7"/>
      <c r="I558" s="7"/>
      <c r="J558" s="7"/>
      <c r="K558" s="7"/>
      <c r="N558" s="7"/>
      <c r="V558" s="8"/>
      <c r="W558" s="7"/>
      <c r="Y558" s="8"/>
      <c r="Z558" s="8"/>
      <c r="AA558" s="8"/>
      <c r="AB558" s="7"/>
      <c r="AD558" s="8"/>
    </row>
    <row r="559" spans="1:30">
      <c r="A559" s="7"/>
      <c r="D559" s="7"/>
      <c r="I559" s="7"/>
      <c r="J559" s="7"/>
      <c r="K559" s="7"/>
      <c r="N559" s="7"/>
      <c r="V559" s="8"/>
      <c r="W559" s="7"/>
      <c r="Y559" s="8"/>
      <c r="Z559" s="8"/>
      <c r="AA559" s="8"/>
      <c r="AB559" s="7"/>
      <c r="AD559" s="8"/>
    </row>
    <row r="560" spans="1:30">
      <c r="A560" s="7"/>
      <c r="D560" s="7"/>
      <c r="I560" s="7"/>
      <c r="J560" s="7"/>
      <c r="K560" s="7"/>
      <c r="N560" s="7"/>
      <c r="V560" s="8"/>
      <c r="W560" s="7"/>
      <c r="Y560" s="8"/>
      <c r="Z560" s="8"/>
      <c r="AA560" s="8"/>
      <c r="AB560" s="7"/>
      <c r="AD560" s="8"/>
    </row>
    <row r="561" spans="1:30">
      <c r="A561" s="7"/>
      <c r="D561" s="7"/>
      <c r="I561" s="7"/>
      <c r="J561" s="7"/>
      <c r="K561" s="7"/>
      <c r="N561" s="7"/>
      <c r="V561" s="8"/>
      <c r="W561" s="7"/>
      <c r="Y561" s="8"/>
      <c r="Z561" s="8"/>
      <c r="AA561" s="8"/>
      <c r="AB561" s="7"/>
      <c r="AD561" s="8"/>
    </row>
    <row r="562" spans="1:30">
      <c r="A562" s="7"/>
      <c r="D562" s="7"/>
      <c r="I562" s="7"/>
      <c r="J562" s="7"/>
      <c r="K562" s="7"/>
      <c r="N562" s="7"/>
      <c r="V562" s="8"/>
      <c r="W562" s="7"/>
      <c r="Y562" s="8"/>
      <c r="Z562" s="8"/>
      <c r="AA562" s="8"/>
      <c r="AB562" s="7"/>
      <c r="AD562" s="8"/>
    </row>
    <row r="563" spans="1:30">
      <c r="A563" s="7"/>
      <c r="D563" s="7"/>
      <c r="I563" s="7"/>
      <c r="J563" s="7"/>
      <c r="K563" s="7"/>
      <c r="N563" s="7"/>
      <c r="V563" s="8"/>
      <c r="W563" s="7"/>
      <c r="Y563" s="8"/>
      <c r="Z563" s="8"/>
      <c r="AA563" s="8"/>
      <c r="AB563" s="7"/>
      <c r="AD563" s="8"/>
    </row>
    <row r="564" spans="1:30">
      <c r="A564" s="7"/>
      <c r="D564" s="7"/>
      <c r="I564" s="7"/>
      <c r="J564" s="7"/>
      <c r="K564" s="7"/>
      <c r="N564" s="7"/>
      <c r="V564" s="8"/>
      <c r="W564" s="7"/>
      <c r="Y564" s="8"/>
      <c r="Z564" s="8"/>
      <c r="AA564" s="8"/>
      <c r="AB564" s="7"/>
      <c r="AD564" s="8"/>
    </row>
    <row r="565" spans="1:30">
      <c r="A565" s="7"/>
      <c r="D565" s="7"/>
      <c r="I565" s="7"/>
      <c r="J565" s="7"/>
      <c r="K565" s="7"/>
      <c r="N565" s="7"/>
      <c r="V565" s="8"/>
      <c r="W565" s="7"/>
      <c r="Y565" s="8"/>
      <c r="Z565" s="8"/>
      <c r="AA565" s="8"/>
      <c r="AB565" s="7"/>
      <c r="AD565" s="8"/>
    </row>
    <row r="566" spans="1:30">
      <c r="A566" s="7"/>
      <c r="D566" s="7"/>
      <c r="I566" s="7"/>
      <c r="J566" s="7"/>
      <c r="K566" s="7"/>
      <c r="N566" s="7"/>
      <c r="V566" s="8"/>
      <c r="W566" s="7"/>
      <c r="Y566" s="8"/>
      <c r="Z566" s="8"/>
      <c r="AA566" s="8"/>
      <c r="AB566" s="7"/>
      <c r="AD566" s="8"/>
    </row>
    <row r="567" spans="1:30">
      <c r="A567" s="7"/>
      <c r="D567" s="7"/>
      <c r="I567" s="7"/>
      <c r="J567" s="7"/>
      <c r="K567" s="7"/>
      <c r="N567" s="7"/>
      <c r="V567" s="8"/>
      <c r="W567" s="7"/>
      <c r="Y567" s="8"/>
      <c r="Z567" s="8"/>
      <c r="AA567" s="8"/>
      <c r="AB567" s="7"/>
      <c r="AD567" s="8"/>
    </row>
    <row r="568" spans="1:30">
      <c r="A568" s="7"/>
      <c r="D568" s="7"/>
      <c r="I568" s="7"/>
      <c r="J568" s="7"/>
      <c r="K568" s="7"/>
      <c r="N568" s="7"/>
      <c r="V568" s="8"/>
      <c r="W568" s="7"/>
      <c r="Y568" s="8"/>
      <c r="Z568" s="8"/>
      <c r="AA568" s="8"/>
      <c r="AB568" s="7"/>
      <c r="AD568" s="8"/>
    </row>
    <row r="569" spans="1:30">
      <c r="A569" s="7"/>
      <c r="D569" s="7"/>
      <c r="I569" s="7"/>
      <c r="J569" s="7"/>
      <c r="K569" s="7"/>
      <c r="N569" s="7"/>
      <c r="V569" s="8"/>
      <c r="W569" s="7"/>
      <c r="Y569" s="8"/>
      <c r="Z569" s="8"/>
      <c r="AA569" s="8"/>
      <c r="AB569" s="7"/>
      <c r="AD569" s="8"/>
    </row>
    <row r="570" spans="1:30">
      <c r="A570" s="7"/>
      <c r="D570" s="7"/>
      <c r="I570" s="7"/>
      <c r="J570" s="7"/>
      <c r="K570" s="7"/>
      <c r="N570" s="7"/>
      <c r="V570" s="8"/>
      <c r="W570" s="7"/>
      <c r="Y570" s="8"/>
      <c r="Z570" s="8"/>
      <c r="AA570" s="8"/>
      <c r="AB570" s="7"/>
      <c r="AD570" s="8"/>
    </row>
    <row r="571" spans="1:30">
      <c r="A571" s="7"/>
      <c r="D571" s="7"/>
      <c r="I571" s="7"/>
      <c r="J571" s="7"/>
      <c r="K571" s="7"/>
      <c r="N571" s="7"/>
      <c r="V571" s="8"/>
      <c r="W571" s="7"/>
      <c r="Y571" s="8"/>
      <c r="Z571" s="8"/>
      <c r="AA571" s="8"/>
      <c r="AB571" s="7"/>
      <c r="AD571" s="8"/>
    </row>
    <row r="572" spans="1:30">
      <c r="A572" s="7"/>
      <c r="D572" s="7"/>
      <c r="I572" s="7"/>
      <c r="J572" s="7"/>
      <c r="K572" s="7"/>
      <c r="N572" s="7"/>
      <c r="V572" s="8"/>
      <c r="W572" s="7"/>
      <c r="Y572" s="8"/>
      <c r="Z572" s="8"/>
      <c r="AA572" s="8"/>
      <c r="AB572" s="7"/>
      <c r="AD572" s="8"/>
    </row>
    <row r="573" spans="1:30">
      <c r="A573" s="7"/>
      <c r="D573" s="7"/>
      <c r="I573" s="7"/>
      <c r="J573" s="7"/>
      <c r="K573" s="7"/>
      <c r="N573" s="7"/>
      <c r="V573" s="8"/>
      <c r="W573" s="7"/>
      <c r="Y573" s="8"/>
      <c r="Z573" s="8"/>
      <c r="AA573" s="8"/>
      <c r="AB573" s="7"/>
      <c r="AD573" s="8"/>
    </row>
    <row r="574" spans="1:30">
      <c r="A574" s="7"/>
      <c r="D574" s="7"/>
      <c r="I574" s="7"/>
      <c r="J574" s="7"/>
      <c r="K574" s="7"/>
      <c r="N574" s="7"/>
      <c r="V574" s="8"/>
      <c r="W574" s="7"/>
      <c r="Y574" s="8"/>
      <c r="Z574" s="8"/>
      <c r="AA574" s="8"/>
      <c r="AB574" s="7"/>
      <c r="AD574" s="8"/>
    </row>
    <row r="575" spans="1:30">
      <c r="A575" s="7"/>
      <c r="D575" s="7"/>
      <c r="I575" s="7"/>
      <c r="J575" s="7"/>
      <c r="K575" s="7"/>
      <c r="N575" s="7"/>
      <c r="V575" s="8"/>
      <c r="W575" s="7"/>
      <c r="Y575" s="8"/>
      <c r="Z575" s="8"/>
      <c r="AA575" s="8"/>
      <c r="AB575" s="7"/>
      <c r="AD575" s="8"/>
    </row>
    <row r="576" spans="1:30">
      <c r="A576" s="7"/>
      <c r="D576" s="7"/>
      <c r="I576" s="7"/>
      <c r="J576" s="7"/>
      <c r="K576" s="7"/>
      <c r="N576" s="7"/>
      <c r="V576" s="8"/>
      <c r="W576" s="7"/>
      <c r="Y576" s="8"/>
      <c r="Z576" s="8"/>
      <c r="AA576" s="8"/>
      <c r="AB576" s="7"/>
      <c r="AD576" s="8"/>
    </row>
    <row r="577" spans="1:30">
      <c r="A577" s="7"/>
      <c r="D577" s="7"/>
      <c r="I577" s="7"/>
      <c r="J577" s="7"/>
      <c r="K577" s="7"/>
      <c r="N577" s="7"/>
      <c r="V577" s="8"/>
      <c r="W577" s="7"/>
      <c r="Y577" s="8"/>
      <c r="Z577" s="8"/>
      <c r="AA577" s="8"/>
      <c r="AB577" s="7"/>
      <c r="AD577" s="8"/>
    </row>
    <row r="578" spans="1:30">
      <c r="A578" s="7"/>
      <c r="D578" s="7"/>
      <c r="I578" s="7"/>
      <c r="J578" s="7"/>
      <c r="K578" s="7"/>
      <c r="N578" s="7"/>
      <c r="V578" s="8"/>
      <c r="W578" s="7"/>
      <c r="Y578" s="8"/>
      <c r="Z578" s="8"/>
      <c r="AA578" s="8"/>
      <c r="AB578" s="7"/>
      <c r="AD578" s="8"/>
    </row>
    <row r="579" spans="1:30">
      <c r="A579" s="7"/>
      <c r="D579" s="7"/>
      <c r="I579" s="7"/>
      <c r="J579" s="7"/>
      <c r="K579" s="7"/>
      <c r="N579" s="7"/>
      <c r="V579" s="8"/>
      <c r="W579" s="7"/>
      <c r="Y579" s="8"/>
      <c r="Z579" s="8"/>
      <c r="AA579" s="8"/>
      <c r="AB579" s="7"/>
      <c r="AD579" s="8"/>
    </row>
    <row r="580" spans="1:30">
      <c r="A580" s="7"/>
      <c r="D580" s="7"/>
      <c r="I580" s="7"/>
      <c r="J580" s="7"/>
      <c r="K580" s="7"/>
      <c r="N580" s="7"/>
      <c r="V580" s="8"/>
      <c r="W580" s="7"/>
      <c r="Y580" s="8"/>
      <c r="Z580" s="8"/>
      <c r="AA580" s="8"/>
      <c r="AB580" s="7"/>
      <c r="AD580" s="8"/>
    </row>
    <row r="581" spans="1:30">
      <c r="A581" s="7"/>
      <c r="D581" s="7"/>
      <c r="I581" s="7"/>
      <c r="J581" s="7"/>
      <c r="K581" s="7"/>
      <c r="N581" s="7"/>
      <c r="V581" s="8"/>
      <c r="W581" s="7"/>
      <c r="Y581" s="8"/>
      <c r="Z581" s="8"/>
      <c r="AA581" s="8"/>
      <c r="AB581" s="7"/>
      <c r="AD581" s="8"/>
    </row>
    <row r="582" spans="1:30">
      <c r="A582" s="7"/>
      <c r="D582" s="7"/>
      <c r="I582" s="7"/>
      <c r="J582" s="7"/>
      <c r="K582" s="7"/>
      <c r="N582" s="7"/>
      <c r="V582" s="8"/>
      <c r="W582" s="7"/>
      <c r="Y582" s="8"/>
      <c r="Z582" s="8"/>
      <c r="AA582" s="8"/>
      <c r="AB582" s="7"/>
      <c r="AD582" s="8"/>
    </row>
    <row r="583" spans="1:30">
      <c r="A583" s="7"/>
      <c r="D583" s="7"/>
      <c r="I583" s="7"/>
      <c r="J583" s="7"/>
      <c r="K583" s="7"/>
      <c r="N583" s="7"/>
      <c r="V583" s="8"/>
      <c r="W583" s="7"/>
      <c r="Y583" s="8"/>
      <c r="Z583" s="8"/>
      <c r="AA583" s="8"/>
      <c r="AB583" s="7"/>
      <c r="AD583" s="8"/>
    </row>
    <row r="584" spans="1:30">
      <c r="A584" s="7"/>
      <c r="D584" s="7"/>
      <c r="I584" s="7"/>
      <c r="J584" s="7"/>
      <c r="K584" s="7"/>
      <c r="N584" s="7"/>
      <c r="V584" s="8"/>
      <c r="W584" s="7"/>
      <c r="Y584" s="8"/>
      <c r="Z584" s="8"/>
      <c r="AA584" s="8"/>
      <c r="AB584" s="7"/>
      <c r="AD584" s="8"/>
    </row>
    <row r="585" spans="1:30">
      <c r="A585" s="7"/>
      <c r="D585" s="7"/>
      <c r="I585" s="7"/>
      <c r="J585" s="7"/>
      <c r="K585" s="7"/>
      <c r="N585" s="7"/>
      <c r="V585" s="8"/>
      <c r="W585" s="7"/>
      <c r="Y585" s="8"/>
      <c r="Z585" s="8"/>
      <c r="AA585" s="8"/>
      <c r="AB585" s="7"/>
      <c r="AD585" s="8"/>
    </row>
    <row r="586" spans="1:30">
      <c r="A586" s="7"/>
      <c r="D586" s="7"/>
      <c r="I586" s="7"/>
      <c r="J586" s="7"/>
      <c r="K586" s="7"/>
      <c r="N586" s="7"/>
      <c r="V586" s="8"/>
      <c r="W586" s="7"/>
      <c r="Y586" s="8"/>
      <c r="Z586" s="8"/>
      <c r="AA586" s="8"/>
      <c r="AB586" s="7"/>
      <c r="AD586" s="8"/>
    </row>
    <row r="587" spans="1:30">
      <c r="A587" s="7"/>
      <c r="D587" s="7"/>
      <c r="I587" s="7"/>
      <c r="J587" s="7"/>
      <c r="K587" s="7"/>
      <c r="N587" s="7"/>
      <c r="V587" s="8"/>
      <c r="W587" s="7"/>
      <c r="Y587" s="8"/>
      <c r="Z587" s="8"/>
      <c r="AA587" s="8"/>
      <c r="AB587" s="7"/>
      <c r="AD587" s="8"/>
    </row>
    <row r="588" spans="1:30">
      <c r="A588" s="7"/>
      <c r="D588" s="7"/>
      <c r="I588" s="7"/>
      <c r="J588" s="7"/>
      <c r="K588" s="7"/>
      <c r="N588" s="7"/>
      <c r="V588" s="8"/>
      <c r="W588" s="7"/>
      <c r="Y588" s="8"/>
      <c r="Z588" s="8"/>
      <c r="AA588" s="8"/>
      <c r="AB588" s="7"/>
      <c r="AD588" s="8"/>
    </row>
    <row r="589" spans="1:30">
      <c r="A589" s="7"/>
      <c r="D589" s="7"/>
      <c r="I589" s="7"/>
      <c r="J589" s="7"/>
      <c r="K589" s="7"/>
      <c r="N589" s="7"/>
      <c r="V589" s="8"/>
      <c r="W589" s="7"/>
      <c r="Y589" s="8"/>
      <c r="Z589" s="8"/>
      <c r="AA589" s="8"/>
      <c r="AB589" s="7"/>
      <c r="AD589" s="8"/>
    </row>
    <row r="590" spans="1:30">
      <c r="A590" s="7"/>
      <c r="D590" s="7"/>
      <c r="I590" s="7"/>
      <c r="J590" s="7"/>
      <c r="K590" s="7"/>
      <c r="N590" s="7"/>
      <c r="V590" s="8"/>
      <c r="W590" s="7"/>
      <c r="Y590" s="8"/>
      <c r="Z590" s="8"/>
      <c r="AA590" s="8"/>
      <c r="AB590" s="7"/>
      <c r="AD590" s="8"/>
    </row>
    <row r="591" spans="1:30">
      <c r="A591" s="7"/>
      <c r="D591" s="7"/>
      <c r="I591" s="7"/>
      <c r="J591" s="7"/>
      <c r="K591" s="7"/>
      <c r="N591" s="7"/>
      <c r="V591" s="8"/>
      <c r="W591" s="7"/>
      <c r="Y591" s="8"/>
      <c r="Z591" s="8"/>
      <c r="AA591" s="8"/>
      <c r="AB591" s="7"/>
      <c r="AD591" s="8"/>
    </row>
    <row r="592" spans="1:30">
      <c r="A592" s="7"/>
      <c r="D592" s="7"/>
      <c r="I592" s="7"/>
      <c r="J592" s="7"/>
      <c r="K592" s="7"/>
      <c r="N592" s="7"/>
      <c r="V592" s="8"/>
      <c r="W592" s="7"/>
      <c r="Y592" s="8"/>
      <c r="Z592" s="8"/>
      <c r="AA592" s="8"/>
      <c r="AB592" s="7"/>
      <c r="AD592" s="8"/>
    </row>
    <row r="593" spans="1:30">
      <c r="A593" s="7"/>
      <c r="D593" s="7"/>
      <c r="I593" s="7"/>
      <c r="J593" s="7"/>
      <c r="K593" s="7"/>
      <c r="N593" s="7"/>
      <c r="V593" s="8"/>
      <c r="W593" s="7"/>
      <c r="Y593" s="8"/>
      <c r="Z593" s="8"/>
      <c r="AA593" s="8"/>
      <c r="AB593" s="7"/>
      <c r="AD593" s="8"/>
    </row>
    <row r="594" spans="1:30">
      <c r="A594" s="7"/>
      <c r="D594" s="7"/>
      <c r="I594" s="7"/>
      <c r="J594" s="7"/>
      <c r="K594" s="7"/>
      <c r="N594" s="7"/>
      <c r="V594" s="8"/>
      <c r="W594" s="7"/>
      <c r="Y594" s="8"/>
      <c r="Z594" s="8"/>
      <c r="AA594" s="8"/>
      <c r="AB594" s="7"/>
      <c r="AD594" s="8"/>
    </row>
    <row r="595" spans="1:30">
      <c r="A595" s="7"/>
      <c r="D595" s="7"/>
      <c r="I595" s="7"/>
      <c r="J595" s="7"/>
      <c r="K595" s="7"/>
      <c r="N595" s="7"/>
      <c r="V595" s="8"/>
      <c r="W595" s="7"/>
      <c r="Y595" s="8"/>
      <c r="Z595" s="8"/>
      <c r="AA595" s="8"/>
      <c r="AB595" s="7"/>
      <c r="AD595" s="8"/>
    </row>
    <row r="596" spans="1:30">
      <c r="A596" s="7"/>
      <c r="D596" s="7"/>
      <c r="I596" s="7"/>
      <c r="J596" s="7"/>
      <c r="K596" s="7"/>
      <c r="N596" s="7"/>
      <c r="V596" s="8"/>
      <c r="W596" s="7"/>
      <c r="Y596" s="8"/>
      <c r="Z596" s="8"/>
      <c r="AA596" s="8"/>
      <c r="AB596" s="7"/>
      <c r="AD596" s="8"/>
    </row>
    <row r="597" spans="1:30">
      <c r="A597" s="7"/>
      <c r="D597" s="7"/>
      <c r="I597" s="7"/>
      <c r="J597" s="7"/>
      <c r="K597" s="7"/>
      <c r="N597" s="7"/>
      <c r="V597" s="8"/>
      <c r="W597" s="7"/>
      <c r="Y597" s="8"/>
      <c r="Z597" s="8"/>
      <c r="AA597" s="8"/>
      <c r="AB597" s="7"/>
      <c r="AD597" s="8"/>
    </row>
    <row r="598" spans="1:30">
      <c r="A598" s="7"/>
      <c r="D598" s="7"/>
      <c r="I598" s="7"/>
      <c r="J598" s="7"/>
      <c r="K598" s="7"/>
      <c r="N598" s="7"/>
      <c r="V598" s="8"/>
      <c r="W598" s="7"/>
      <c r="Y598" s="8"/>
      <c r="Z598" s="8"/>
      <c r="AA598" s="8"/>
      <c r="AB598" s="7"/>
      <c r="AD598" s="8"/>
    </row>
    <row r="599" spans="1:30">
      <c r="A599" s="7"/>
      <c r="D599" s="7"/>
      <c r="I599" s="7"/>
      <c r="J599" s="7"/>
      <c r="K599" s="7"/>
      <c r="N599" s="7"/>
      <c r="V599" s="8"/>
      <c r="W599" s="7"/>
      <c r="Y599" s="8"/>
      <c r="Z599" s="8"/>
      <c r="AA599" s="8"/>
      <c r="AB599" s="7"/>
      <c r="AD599" s="8"/>
    </row>
    <row r="600" spans="1:30">
      <c r="A600" s="7"/>
      <c r="D600" s="7"/>
      <c r="I600" s="7"/>
      <c r="J600" s="7"/>
      <c r="K600" s="7"/>
      <c r="N600" s="7"/>
      <c r="V600" s="8"/>
      <c r="W600" s="7"/>
      <c r="Y600" s="8"/>
      <c r="Z600" s="8"/>
      <c r="AA600" s="8"/>
      <c r="AB600" s="7"/>
      <c r="AD600" s="8"/>
    </row>
    <row r="601" spans="1:30">
      <c r="A601" s="7"/>
      <c r="D601" s="7"/>
      <c r="I601" s="7"/>
      <c r="J601" s="7"/>
      <c r="K601" s="7"/>
      <c r="N601" s="7"/>
      <c r="V601" s="8"/>
      <c r="W601" s="7"/>
      <c r="Y601" s="8"/>
      <c r="Z601" s="8"/>
      <c r="AA601" s="8"/>
      <c r="AB601" s="7"/>
      <c r="AD601" s="8"/>
    </row>
    <row r="602" spans="1:30">
      <c r="A602" s="7"/>
      <c r="D602" s="7"/>
      <c r="I602" s="7"/>
      <c r="J602" s="7"/>
      <c r="K602" s="7"/>
      <c r="N602" s="7"/>
      <c r="V602" s="8"/>
      <c r="W602" s="7"/>
      <c r="Y602" s="8"/>
      <c r="Z602" s="8"/>
      <c r="AA602" s="8"/>
      <c r="AB602" s="7"/>
      <c r="AD602" s="8"/>
    </row>
    <row r="603" spans="1:30">
      <c r="A603" s="7"/>
      <c r="D603" s="7"/>
      <c r="I603" s="7"/>
      <c r="J603" s="7"/>
      <c r="K603" s="7"/>
      <c r="N603" s="7"/>
      <c r="V603" s="8"/>
      <c r="W603" s="7"/>
      <c r="Y603" s="8"/>
      <c r="Z603" s="8"/>
      <c r="AA603" s="8"/>
      <c r="AB603" s="7"/>
      <c r="AD603" s="8"/>
    </row>
    <row r="604" spans="1:30">
      <c r="A604" s="7"/>
      <c r="D604" s="7"/>
      <c r="I604" s="7"/>
      <c r="J604" s="7"/>
      <c r="K604" s="7"/>
      <c r="N604" s="7"/>
      <c r="V604" s="8"/>
      <c r="W604" s="7"/>
      <c r="Y604" s="8"/>
      <c r="Z604" s="8"/>
      <c r="AA604" s="8"/>
      <c r="AB604" s="7"/>
      <c r="AD604" s="8"/>
    </row>
    <row r="605" spans="1:30">
      <c r="A605" s="7"/>
      <c r="D605" s="7"/>
      <c r="I605" s="7"/>
      <c r="J605" s="7"/>
      <c r="K605" s="7"/>
      <c r="N605" s="7"/>
      <c r="V605" s="8"/>
      <c r="W605" s="7"/>
      <c r="Y605" s="8"/>
      <c r="Z605" s="8"/>
      <c r="AA605" s="8"/>
      <c r="AB605" s="7"/>
      <c r="AD605" s="8"/>
    </row>
    <row r="606" spans="1:30">
      <c r="A606" s="7"/>
      <c r="D606" s="7"/>
      <c r="I606" s="7"/>
      <c r="J606" s="7"/>
      <c r="K606" s="7"/>
      <c r="N606" s="7"/>
      <c r="V606" s="8"/>
      <c r="W606" s="7"/>
      <c r="Y606" s="8"/>
      <c r="Z606" s="8"/>
      <c r="AA606" s="8"/>
      <c r="AB606" s="7"/>
      <c r="AD606" s="8"/>
    </row>
    <row r="607" spans="1:30">
      <c r="A607" s="7"/>
      <c r="D607" s="7"/>
      <c r="I607" s="7"/>
      <c r="J607" s="7"/>
      <c r="K607" s="7"/>
      <c r="N607" s="7"/>
      <c r="V607" s="8"/>
      <c r="W607" s="7"/>
      <c r="Y607" s="8"/>
      <c r="Z607" s="8"/>
      <c r="AA607" s="8"/>
      <c r="AB607" s="7"/>
      <c r="AD607" s="8"/>
    </row>
    <row r="608" spans="1:30">
      <c r="A608" s="7"/>
      <c r="D608" s="7"/>
      <c r="I608" s="7"/>
      <c r="J608" s="7"/>
      <c r="K608" s="7"/>
      <c r="N608" s="7"/>
      <c r="V608" s="8"/>
      <c r="W608" s="7"/>
      <c r="Y608" s="8"/>
      <c r="Z608" s="8"/>
      <c r="AA608" s="8"/>
      <c r="AB608" s="7"/>
      <c r="AD608" s="8"/>
    </row>
    <row r="609" spans="1:30">
      <c r="A609" s="7"/>
      <c r="D609" s="7"/>
      <c r="I609" s="7"/>
      <c r="J609" s="7"/>
      <c r="K609" s="7"/>
      <c r="N609" s="7"/>
      <c r="V609" s="8"/>
      <c r="W609" s="7"/>
      <c r="Y609" s="8"/>
      <c r="Z609" s="8"/>
      <c r="AA609" s="8"/>
      <c r="AB609" s="7"/>
      <c r="AD609" s="8"/>
    </row>
    <row r="610" spans="1:30">
      <c r="A610" s="7"/>
      <c r="D610" s="7"/>
      <c r="I610" s="7"/>
      <c r="J610" s="7"/>
      <c r="K610" s="7"/>
      <c r="N610" s="7"/>
      <c r="V610" s="8"/>
      <c r="W610" s="7"/>
      <c r="Y610" s="8"/>
      <c r="Z610" s="8"/>
      <c r="AA610" s="8"/>
      <c r="AB610" s="7"/>
      <c r="AD610" s="8"/>
    </row>
    <row r="611" spans="1:30">
      <c r="A611" s="7"/>
      <c r="D611" s="7"/>
      <c r="I611" s="7"/>
      <c r="J611" s="7"/>
      <c r="K611" s="7"/>
      <c r="N611" s="7"/>
      <c r="V611" s="8"/>
      <c r="W611" s="7"/>
      <c r="Y611" s="8"/>
      <c r="Z611" s="8"/>
      <c r="AA611" s="8"/>
      <c r="AB611" s="7"/>
      <c r="AD611" s="8"/>
    </row>
    <row r="612" spans="1:30">
      <c r="A612" s="7"/>
      <c r="D612" s="7"/>
      <c r="I612" s="7"/>
      <c r="J612" s="7"/>
      <c r="K612" s="7"/>
      <c r="N612" s="7"/>
      <c r="V612" s="8"/>
      <c r="W612" s="7"/>
      <c r="Y612" s="8"/>
      <c r="Z612" s="8"/>
      <c r="AA612" s="8"/>
      <c r="AB612" s="7"/>
      <c r="AD612" s="8"/>
    </row>
    <row r="613" spans="1:30">
      <c r="A613" s="7"/>
      <c r="D613" s="7"/>
      <c r="I613" s="7"/>
      <c r="J613" s="7"/>
      <c r="K613" s="7"/>
      <c r="N613" s="7"/>
      <c r="V613" s="8"/>
      <c r="W613" s="7"/>
      <c r="Y613" s="8"/>
      <c r="Z613" s="8"/>
      <c r="AA613" s="8"/>
      <c r="AB613" s="7"/>
      <c r="AD613" s="8"/>
    </row>
    <row r="614" spans="1:30">
      <c r="A614" s="7"/>
      <c r="D614" s="7"/>
      <c r="I614" s="7"/>
      <c r="J614" s="7"/>
      <c r="K614" s="7"/>
      <c r="N614" s="7"/>
      <c r="V614" s="8"/>
      <c r="W614" s="7"/>
      <c r="Y614" s="8"/>
      <c r="Z614" s="8"/>
      <c r="AA614" s="8"/>
      <c r="AB614" s="7"/>
      <c r="AD614" s="8"/>
    </row>
    <row r="615" spans="1:30">
      <c r="A615" s="7"/>
      <c r="D615" s="7"/>
      <c r="I615" s="7"/>
      <c r="J615" s="7"/>
      <c r="K615" s="7"/>
      <c r="N615" s="7"/>
      <c r="V615" s="8"/>
      <c r="W615" s="7"/>
      <c r="Y615" s="8"/>
      <c r="Z615" s="8"/>
      <c r="AA615" s="8"/>
      <c r="AB615" s="7"/>
      <c r="AD615" s="8"/>
    </row>
    <row r="616" spans="1:30">
      <c r="A616" s="7"/>
      <c r="D616" s="7"/>
      <c r="I616" s="7"/>
      <c r="J616" s="7"/>
      <c r="K616" s="7"/>
      <c r="N616" s="7"/>
      <c r="V616" s="8"/>
      <c r="W616" s="7"/>
      <c r="Y616" s="8"/>
      <c r="Z616" s="8"/>
      <c r="AA616" s="8"/>
      <c r="AB616" s="7"/>
      <c r="AD616" s="8"/>
    </row>
    <row r="617" spans="1:30">
      <c r="A617" s="7"/>
      <c r="D617" s="7"/>
      <c r="I617" s="7"/>
      <c r="J617" s="7"/>
      <c r="K617" s="7"/>
      <c r="N617" s="7"/>
      <c r="V617" s="8"/>
      <c r="W617" s="7"/>
      <c r="Y617" s="8"/>
      <c r="Z617" s="8"/>
      <c r="AA617" s="8"/>
      <c r="AB617" s="7"/>
      <c r="AD617" s="8"/>
    </row>
    <row r="618" spans="1:30">
      <c r="A618" s="7"/>
      <c r="D618" s="7"/>
      <c r="I618" s="7"/>
      <c r="J618" s="7"/>
      <c r="K618" s="7"/>
      <c r="N618" s="7"/>
      <c r="V618" s="8"/>
      <c r="W618" s="7"/>
      <c r="Y618" s="8"/>
      <c r="Z618" s="8"/>
      <c r="AA618" s="8"/>
      <c r="AB618" s="7"/>
      <c r="AD618" s="8"/>
    </row>
    <row r="619" spans="1:30">
      <c r="A619" s="7"/>
      <c r="D619" s="7"/>
      <c r="I619" s="7"/>
      <c r="J619" s="7"/>
      <c r="K619" s="7"/>
      <c r="N619" s="7"/>
      <c r="V619" s="8"/>
      <c r="W619" s="7"/>
      <c r="Y619" s="8"/>
      <c r="Z619" s="8"/>
      <c r="AA619" s="8"/>
      <c r="AB619" s="7"/>
      <c r="AD619" s="8"/>
    </row>
    <row r="620" spans="1:30">
      <c r="A620" s="7"/>
      <c r="D620" s="7"/>
      <c r="I620" s="7"/>
      <c r="J620" s="7"/>
      <c r="K620" s="7"/>
      <c r="N620" s="7"/>
      <c r="V620" s="8"/>
      <c r="W620" s="7"/>
      <c r="Y620" s="8"/>
      <c r="Z620" s="8"/>
      <c r="AA620" s="8"/>
      <c r="AB620" s="7"/>
      <c r="AD620" s="8"/>
    </row>
    <row r="621" spans="1:30">
      <c r="A621" s="7"/>
      <c r="D621" s="7"/>
      <c r="I621" s="7"/>
      <c r="J621" s="7"/>
      <c r="K621" s="7"/>
      <c r="N621" s="7"/>
      <c r="V621" s="8"/>
      <c r="W621" s="7"/>
      <c r="Y621" s="8"/>
      <c r="Z621" s="8"/>
      <c r="AA621" s="8"/>
      <c r="AB621" s="7"/>
      <c r="AD621" s="8"/>
    </row>
    <row r="622" spans="1:30">
      <c r="A622" s="7"/>
      <c r="D622" s="7"/>
      <c r="I622" s="7"/>
      <c r="J622" s="7"/>
      <c r="K622" s="7"/>
      <c r="N622" s="7"/>
      <c r="V622" s="8"/>
      <c r="W622" s="7"/>
      <c r="Y622" s="8"/>
      <c r="Z622" s="8"/>
      <c r="AA622" s="8"/>
      <c r="AB622" s="7"/>
      <c r="AD622" s="8"/>
    </row>
    <row r="623" spans="1:30">
      <c r="A623" s="7"/>
      <c r="D623" s="7"/>
      <c r="I623" s="7"/>
      <c r="J623" s="7"/>
      <c r="K623" s="7"/>
      <c r="N623" s="7"/>
      <c r="V623" s="8"/>
      <c r="W623" s="7"/>
      <c r="Y623" s="8"/>
      <c r="Z623" s="8"/>
      <c r="AA623" s="8"/>
      <c r="AB623" s="7"/>
      <c r="AD623" s="8"/>
    </row>
    <row r="624" spans="1:30">
      <c r="A624" s="7"/>
      <c r="D624" s="7"/>
      <c r="I624" s="7"/>
      <c r="J624" s="7"/>
      <c r="K624" s="7"/>
      <c r="N624" s="7"/>
      <c r="V624" s="8"/>
      <c r="W624" s="7"/>
      <c r="Y624" s="8"/>
      <c r="Z624" s="8"/>
      <c r="AA624" s="8"/>
      <c r="AB624" s="7"/>
      <c r="AD624" s="8"/>
    </row>
    <row r="625" spans="1:30">
      <c r="A625" s="7"/>
      <c r="D625" s="7"/>
      <c r="I625" s="7"/>
      <c r="J625" s="7"/>
      <c r="K625" s="7"/>
      <c r="N625" s="7"/>
      <c r="V625" s="8"/>
      <c r="W625" s="7"/>
      <c r="Y625" s="8"/>
      <c r="Z625" s="8"/>
      <c r="AA625" s="8"/>
      <c r="AB625" s="7"/>
      <c r="AD625" s="8"/>
    </row>
    <row r="626" spans="1:30">
      <c r="A626" s="7"/>
      <c r="D626" s="7"/>
      <c r="I626" s="7"/>
      <c r="J626" s="7"/>
      <c r="K626" s="7"/>
      <c r="N626" s="7"/>
      <c r="V626" s="8"/>
      <c r="W626" s="7"/>
      <c r="Y626" s="8"/>
      <c r="Z626" s="8"/>
      <c r="AA626" s="8"/>
      <c r="AB626" s="7"/>
      <c r="AD626" s="8"/>
    </row>
    <row r="627" spans="1:30">
      <c r="A627" s="7"/>
      <c r="D627" s="7"/>
      <c r="I627" s="7"/>
      <c r="J627" s="7"/>
      <c r="K627" s="7"/>
      <c r="N627" s="7"/>
      <c r="V627" s="8"/>
      <c r="W627" s="7"/>
      <c r="Y627" s="8"/>
      <c r="Z627" s="8"/>
      <c r="AA627" s="8"/>
      <c r="AB627" s="7"/>
      <c r="AD627" s="8"/>
    </row>
    <row r="628" spans="1:30">
      <c r="A628" s="7"/>
      <c r="D628" s="7"/>
      <c r="I628" s="7"/>
      <c r="J628" s="7"/>
      <c r="K628" s="7"/>
      <c r="N628" s="7"/>
      <c r="V628" s="8"/>
      <c r="W628" s="7"/>
      <c r="Y628" s="8"/>
      <c r="Z628" s="8"/>
      <c r="AA628" s="8"/>
      <c r="AB628" s="7"/>
      <c r="AD628" s="8"/>
    </row>
    <row r="629" spans="1:30">
      <c r="A629" s="7"/>
      <c r="D629" s="7"/>
      <c r="I629" s="7"/>
      <c r="J629" s="7"/>
      <c r="K629" s="7"/>
      <c r="N629" s="7"/>
      <c r="V629" s="8"/>
      <c r="W629" s="7"/>
      <c r="Y629" s="8"/>
      <c r="Z629" s="8"/>
      <c r="AA629" s="8"/>
      <c r="AB629" s="7"/>
      <c r="AD629" s="8"/>
    </row>
    <row r="630" spans="1:30">
      <c r="A630" s="7"/>
      <c r="D630" s="7"/>
      <c r="I630" s="7"/>
      <c r="J630" s="7"/>
      <c r="K630" s="7"/>
      <c r="N630" s="7"/>
      <c r="V630" s="8"/>
      <c r="W630" s="7"/>
      <c r="Y630" s="8"/>
      <c r="Z630" s="8"/>
      <c r="AA630" s="8"/>
      <c r="AB630" s="7"/>
      <c r="AD630" s="8"/>
    </row>
    <row r="631" spans="1:30">
      <c r="A631" s="7"/>
      <c r="D631" s="7"/>
      <c r="I631" s="7"/>
      <c r="J631" s="7"/>
      <c r="K631" s="7"/>
      <c r="N631" s="7"/>
      <c r="V631" s="8"/>
      <c r="W631" s="7"/>
      <c r="Y631" s="8"/>
      <c r="Z631" s="8"/>
      <c r="AA631" s="8"/>
      <c r="AB631" s="7"/>
      <c r="AD631" s="8"/>
    </row>
    <row r="632" spans="1:30">
      <c r="A632" s="7"/>
      <c r="D632" s="7"/>
      <c r="I632" s="7"/>
      <c r="J632" s="7"/>
      <c r="K632" s="7"/>
      <c r="N632" s="7"/>
      <c r="V632" s="8"/>
      <c r="W632" s="7"/>
      <c r="Y632" s="8"/>
      <c r="Z632" s="8"/>
      <c r="AA632" s="8"/>
      <c r="AB632" s="7"/>
      <c r="AD632" s="8"/>
    </row>
    <row r="633" spans="1:30">
      <c r="A633" s="7"/>
      <c r="D633" s="7"/>
      <c r="I633" s="7"/>
      <c r="J633" s="7"/>
      <c r="K633" s="7"/>
      <c r="N633" s="7"/>
      <c r="V633" s="8"/>
      <c r="W633" s="7"/>
      <c r="Y633" s="8"/>
      <c r="Z633" s="8"/>
      <c r="AA633" s="8"/>
      <c r="AB633" s="7"/>
      <c r="AD633" s="8"/>
    </row>
    <row r="634" spans="1:30">
      <c r="A634" s="7"/>
      <c r="D634" s="7"/>
      <c r="I634" s="7"/>
      <c r="J634" s="7"/>
      <c r="K634" s="7"/>
      <c r="N634" s="7"/>
      <c r="V634" s="8"/>
      <c r="W634" s="7"/>
      <c r="Y634" s="8"/>
      <c r="Z634" s="8"/>
      <c r="AA634" s="8"/>
      <c r="AB634" s="7"/>
      <c r="AD634" s="8"/>
    </row>
    <row r="635" spans="1:30">
      <c r="A635" s="7"/>
      <c r="D635" s="7"/>
      <c r="I635" s="7"/>
      <c r="J635" s="7"/>
      <c r="K635" s="7"/>
      <c r="N635" s="7"/>
      <c r="V635" s="8"/>
      <c r="W635" s="7"/>
      <c r="Y635" s="8"/>
      <c r="Z635" s="8"/>
      <c r="AA635" s="8"/>
      <c r="AB635" s="7"/>
      <c r="AD635" s="8"/>
    </row>
    <row r="636" spans="1:30">
      <c r="A636" s="7"/>
      <c r="D636" s="7"/>
      <c r="I636" s="7"/>
      <c r="J636" s="7"/>
      <c r="K636" s="7"/>
      <c r="N636" s="7"/>
      <c r="V636" s="8"/>
      <c r="W636" s="7"/>
      <c r="Y636" s="8"/>
      <c r="Z636" s="8"/>
      <c r="AA636" s="8"/>
      <c r="AB636" s="7"/>
      <c r="AD636" s="8"/>
    </row>
    <row r="637" spans="1:30">
      <c r="A637" s="7"/>
      <c r="D637" s="7"/>
      <c r="I637" s="7"/>
      <c r="J637" s="7"/>
      <c r="K637" s="7"/>
      <c r="N637" s="7"/>
      <c r="V637" s="8"/>
      <c r="W637" s="7"/>
      <c r="Y637" s="8"/>
      <c r="Z637" s="8"/>
      <c r="AA637" s="8"/>
      <c r="AB637" s="7"/>
      <c r="AD637" s="8"/>
    </row>
    <row r="638" spans="1:30">
      <c r="A638" s="7"/>
      <c r="D638" s="7"/>
      <c r="I638" s="7"/>
      <c r="J638" s="7"/>
      <c r="K638" s="7"/>
      <c r="N638" s="7"/>
      <c r="V638" s="8"/>
      <c r="W638" s="7"/>
      <c r="Y638" s="8"/>
      <c r="Z638" s="8"/>
      <c r="AA638" s="8"/>
      <c r="AB638" s="7"/>
      <c r="AD638" s="8"/>
    </row>
    <row r="639" spans="1:30">
      <c r="A639" s="7"/>
      <c r="D639" s="7"/>
      <c r="I639" s="7"/>
      <c r="J639" s="7"/>
      <c r="K639" s="7"/>
      <c r="N639" s="7"/>
      <c r="V639" s="8"/>
      <c r="W639" s="7"/>
      <c r="Y639" s="8"/>
      <c r="Z639" s="8"/>
      <c r="AA639" s="8"/>
      <c r="AB639" s="7"/>
      <c r="AD639" s="8"/>
    </row>
    <row r="640" spans="1:30">
      <c r="A640" s="7"/>
      <c r="D640" s="7"/>
      <c r="I640" s="7"/>
      <c r="J640" s="7"/>
      <c r="K640" s="7"/>
      <c r="N640" s="7"/>
      <c r="V640" s="8"/>
      <c r="W640" s="7"/>
      <c r="Y640" s="8"/>
      <c r="Z640" s="8"/>
      <c r="AA640" s="8"/>
      <c r="AB640" s="7"/>
      <c r="AD640" s="8"/>
    </row>
    <row r="641" spans="1:30">
      <c r="A641" s="7"/>
      <c r="D641" s="7"/>
      <c r="I641" s="7"/>
      <c r="J641" s="7"/>
      <c r="K641" s="7"/>
      <c r="N641" s="7"/>
      <c r="V641" s="8"/>
      <c r="W641" s="7"/>
      <c r="Y641" s="8"/>
      <c r="Z641" s="8"/>
      <c r="AA641" s="8"/>
      <c r="AB641" s="7"/>
      <c r="AD641" s="8"/>
    </row>
    <row r="642" spans="1:30">
      <c r="A642" s="7"/>
      <c r="D642" s="7"/>
      <c r="I642" s="7"/>
      <c r="J642" s="7"/>
      <c r="K642" s="7"/>
      <c r="N642" s="7"/>
      <c r="V642" s="8"/>
      <c r="W642" s="7"/>
      <c r="Y642" s="8"/>
      <c r="Z642" s="8"/>
      <c r="AA642" s="8"/>
      <c r="AB642" s="7"/>
      <c r="AD642" s="8"/>
    </row>
    <row r="643" spans="1:30">
      <c r="A643" s="7"/>
      <c r="D643" s="7"/>
      <c r="I643" s="7"/>
      <c r="J643" s="7"/>
      <c r="K643" s="7"/>
      <c r="N643" s="7"/>
      <c r="V643" s="8"/>
      <c r="W643" s="7"/>
      <c r="Y643" s="8"/>
      <c r="Z643" s="8"/>
      <c r="AA643" s="8"/>
      <c r="AB643" s="7"/>
      <c r="AD643" s="8"/>
    </row>
    <row r="644" spans="1:30">
      <c r="A644" s="7"/>
      <c r="D644" s="7"/>
      <c r="I644" s="7"/>
      <c r="J644" s="7"/>
      <c r="K644" s="7"/>
      <c r="N644" s="7"/>
      <c r="V644" s="8"/>
      <c r="W644" s="7"/>
      <c r="Y644" s="8"/>
      <c r="Z644" s="8"/>
      <c r="AA644" s="8"/>
      <c r="AB644" s="7"/>
      <c r="AD644" s="8"/>
    </row>
    <row r="645" spans="1:30">
      <c r="A645" s="7"/>
      <c r="D645" s="7"/>
      <c r="I645" s="7"/>
      <c r="J645" s="7"/>
      <c r="K645" s="7"/>
      <c r="N645" s="7"/>
      <c r="V645" s="8"/>
      <c r="W645" s="7"/>
      <c r="Y645" s="8"/>
      <c r="Z645" s="8"/>
      <c r="AA645" s="8"/>
      <c r="AB645" s="7"/>
      <c r="AD645" s="8"/>
    </row>
    <row r="646" spans="1:30">
      <c r="A646" s="7"/>
      <c r="D646" s="7"/>
      <c r="I646" s="7"/>
      <c r="J646" s="7"/>
      <c r="K646" s="7"/>
      <c r="N646" s="7"/>
      <c r="V646" s="8"/>
      <c r="W646" s="7"/>
      <c r="Y646" s="8"/>
      <c r="Z646" s="8"/>
      <c r="AA646" s="8"/>
      <c r="AB646" s="7"/>
      <c r="AD646" s="8"/>
    </row>
    <row r="647" spans="1:30">
      <c r="A647" s="7"/>
      <c r="D647" s="7"/>
      <c r="I647" s="7"/>
      <c r="J647" s="7"/>
      <c r="K647" s="7"/>
      <c r="N647" s="7"/>
      <c r="V647" s="8"/>
      <c r="W647" s="7"/>
      <c r="Y647" s="8"/>
      <c r="Z647" s="8"/>
      <c r="AA647" s="8"/>
      <c r="AB647" s="7"/>
      <c r="AD647" s="8"/>
    </row>
    <row r="648" spans="1:30">
      <c r="A648" s="7"/>
      <c r="D648" s="7"/>
      <c r="I648" s="7"/>
      <c r="J648" s="7"/>
      <c r="K648" s="7"/>
      <c r="N648" s="7"/>
      <c r="V648" s="8"/>
      <c r="W648" s="7"/>
      <c r="Y648" s="8"/>
      <c r="Z648" s="8"/>
      <c r="AA648" s="8"/>
      <c r="AB648" s="7"/>
      <c r="AD648" s="8"/>
    </row>
    <row r="649" spans="1:30">
      <c r="A649" s="7"/>
      <c r="D649" s="7"/>
      <c r="I649" s="7"/>
      <c r="J649" s="7"/>
      <c r="K649" s="7"/>
      <c r="N649" s="7"/>
      <c r="V649" s="8"/>
      <c r="W649" s="7"/>
      <c r="Y649" s="8"/>
      <c r="Z649" s="8"/>
      <c r="AA649" s="8"/>
      <c r="AB649" s="7"/>
      <c r="AD649" s="8"/>
    </row>
    <row r="650" spans="1:30">
      <c r="A650" s="7"/>
      <c r="D650" s="7"/>
      <c r="I650" s="7"/>
      <c r="J650" s="7"/>
      <c r="K650" s="7"/>
      <c r="N650" s="7"/>
      <c r="V650" s="8"/>
      <c r="W650" s="7"/>
      <c r="Y650" s="8"/>
      <c r="Z650" s="8"/>
      <c r="AA650" s="8"/>
      <c r="AB650" s="7"/>
      <c r="AD650" s="8"/>
    </row>
    <row r="651" spans="1:30">
      <c r="A651" s="7"/>
      <c r="D651" s="7"/>
      <c r="I651" s="7"/>
      <c r="J651" s="7"/>
      <c r="K651" s="7"/>
      <c r="N651" s="7"/>
      <c r="V651" s="8"/>
      <c r="W651" s="7"/>
      <c r="Y651" s="8"/>
      <c r="Z651" s="8"/>
      <c r="AA651" s="8"/>
      <c r="AB651" s="7"/>
      <c r="AD651" s="8"/>
    </row>
    <row r="652" spans="1:30">
      <c r="A652" s="7"/>
      <c r="D652" s="7"/>
      <c r="I652" s="7"/>
      <c r="J652" s="7"/>
      <c r="K652" s="7"/>
      <c r="N652" s="7"/>
      <c r="V652" s="8"/>
      <c r="W652" s="7"/>
      <c r="Y652" s="8"/>
      <c r="Z652" s="8"/>
      <c r="AA652" s="8"/>
      <c r="AB652" s="7"/>
      <c r="AD652" s="8"/>
    </row>
    <row r="653" spans="1:30">
      <c r="A653" s="7"/>
      <c r="D653" s="7"/>
      <c r="I653" s="7"/>
      <c r="J653" s="7"/>
      <c r="K653" s="7"/>
      <c r="N653" s="7"/>
      <c r="V653" s="8"/>
      <c r="W653" s="7"/>
      <c r="Y653" s="8"/>
      <c r="Z653" s="8"/>
      <c r="AA653" s="8"/>
      <c r="AB653" s="7"/>
      <c r="AD653" s="8"/>
    </row>
    <row r="654" spans="1:30">
      <c r="A654" s="7"/>
      <c r="D654" s="7"/>
      <c r="I654" s="7"/>
      <c r="J654" s="7"/>
      <c r="K654" s="7"/>
      <c r="N654" s="7"/>
      <c r="V654" s="8"/>
      <c r="W654" s="7"/>
      <c r="Y654" s="8"/>
      <c r="Z654" s="8"/>
      <c r="AA654" s="8"/>
      <c r="AB654" s="7"/>
      <c r="AD654" s="8"/>
    </row>
    <row r="655" spans="1:30">
      <c r="A655" s="7"/>
      <c r="D655" s="7"/>
      <c r="I655" s="7"/>
      <c r="J655" s="7"/>
      <c r="K655" s="7"/>
      <c r="N655" s="7"/>
      <c r="V655" s="8"/>
      <c r="W655" s="7"/>
      <c r="Y655" s="8"/>
      <c r="Z655" s="8"/>
      <c r="AA655" s="8"/>
      <c r="AB655" s="7"/>
      <c r="AD655" s="8"/>
    </row>
    <row r="656" spans="1:30">
      <c r="A656" s="7"/>
      <c r="D656" s="7"/>
      <c r="I656" s="7"/>
      <c r="J656" s="7"/>
      <c r="K656" s="7"/>
      <c r="N656" s="7"/>
      <c r="V656" s="8"/>
      <c r="W656" s="7"/>
      <c r="Y656" s="8"/>
      <c r="Z656" s="8"/>
      <c r="AA656" s="8"/>
      <c r="AB656" s="7"/>
      <c r="AD656" s="8"/>
    </row>
    <row r="657" spans="1:30">
      <c r="A657" s="7"/>
      <c r="D657" s="7"/>
      <c r="I657" s="7"/>
      <c r="J657" s="7"/>
      <c r="K657" s="7"/>
      <c r="N657" s="7"/>
      <c r="V657" s="8"/>
      <c r="W657" s="7"/>
      <c r="Y657" s="8"/>
      <c r="Z657" s="8"/>
      <c r="AA657" s="8"/>
      <c r="AB657" s="7"/>
      <c r="AD657" s="8"/>
    </row>
    <row r="658" spans="1:30">
      <c r="A658" s="7"/>
      <c r="D658" s="7"/>
      <c r="I658" s="7"/>
      <c r="J658" s="7"/>
      <c r="K658" s="7"/>
      <c r="N658" s="7"/>
      <c r="V658" s="8"/>
      <c r="W658" s="7"/>
      <c r="Y658" s="8"/>
      <c r="Z658" s="8"/>
      <c r="AA658" s="8"/>
      <c r="AB658" s="7"/>
      <c r="AD658" s="8"/>
    </row>
    <row r="659" spans="1:30">
      <c r="A659" s="7"/>
      <c r="D659" s="7"/>
      <c r="I659" s="7"/>
      <c r="J659" s="7"/>
      <c r="K659" s="7"/>
      <c r="N659" s="7"/>
      <c r="V659" s="8"/>
      <c r="W659" s="7"/>
      <c r="Y659" s="8"/>
      <c r="Z659" s="8"/>
      <c r="AA659" s="8"/>
      <c r="AB659" s="7"/>
      <c r="AD659" s="8"/>
    </row>
    <row r="660" spans="1:30">
      <c r="A660" s="7"/>
      <c r="D660" s="7"/>
      <c r="I660" s="7"/>
      <c r="J660" s="7"/>
      <c r="K660" s="7"/>
      <c r="N660" s="7"/>
      <c r="V660" s="8"/>
      <c r="W660" s="7"/>
      <c r="Y660" s="8"/>
      <c r="Z660" s="8"/>
      <c r="AA660" s="8"/>
      <c r="AB660" s="7"/>
      <c r="AD660" s="8"/>
    </row>
    <row r="661" spans="1:30">
      <c r="A661" s="7"/>
      <c r="D661" s="7"/>
      <c r="I661" s="7"/>
      <c r="J661" s="7"/>
      <c r="K661" s="7"/>
      <c r="N661" s="7"/>
      <c r="V661" s="8"/>
      <c r="W661" s="7"/>
      <c r="Y661" s="8"/>
      <c r="Z661" s="8"/>
      <c r="AA661" s="8"/>
      <c r="AB661" s="7"/>
      <c r="AD661" s="8"/>
    </row>
    <row r="662" spans="1:30">
      <c r="A662" s="7"/>
      <c r="D662" s="7"/>
      <c r="I662" s="7"/>
      <c r="J662" s="7"/>
      <c r="K662" s="7"/>
      <c r="N662" s="7"/>
      <c r="V662" s="8"/>
      <c r="W662" s="7"/>
      <c r="Y662" s="8"/>
      <c r="Z662" s="8"/>
      <c r="AA662" s="8"/>
      <c r="AB662" s="7"/>
      <c r="AD662" s="8"/>
    </row>
    <row r="663" spans="1:30">
      <c r="A663" s="7"/>
      <c r="D663" s="7"/>
      <c r="I663" s="7"/>
      <c r="J663" s="7"/>
      <c r="K663" s="7"/>
      <c r="N663" s="7"/>
      <c r="V663" s="8"/>
      <c r="W663" s="7"/>
      <c r="Y663" s="8"/>
      <c r="Z663" s="8"/>
      <c r="AA663" s="8"/>
      <c r="AB663" s="7"/>
      <c r="AD663" s="8"/>
    </row>
    <row r="664" spans="1:30">
      <c r="A664" s="7"/>
      <c r="D664" s="7"/>
      <c r="I664" s="7"/>
      <c r="J664" s="7"/>
      <c r="K664" s="7"/>
      <c r="N664" s="7"/>
      <c r="V664" s="8"/>
      <c r="W664" s="7"/>
      <c r="Y664" s="8"/>
      <c r="Z664" s="8"/>
      <c r="AA664" s="8"/>
      <c r="AB664" s="7"/>
      <c r="AD664" s="8"/>
    </row>
    <row r="665" spans="1:30">
      <c r="A665" s="7"/>
      <c r="D665" s="7"/>
      <c r="I665" s="7"/>
      <c r="J665" s="7"/>
      <c r="K665" s="7"/>
      <c r="N665" s="7"/>
      <c r="V665" s="8"/>
      <c r="W665" s="7"/>
      <c r="Y665" s="8"/>
      <c r="Z665" s="8"/>
      <c r="AA665" s="8"/>
      <c r="AB665" s="7"/>
      <c r="AD665" s="8"/>
    </row>
    <row r="666" spans="1:30">
      <c r="A666" s="7"/>
      <c r="D666" s="7"/>
      <c r="I666" s="7"/>
      <c r="J666" s="7"/>
      <c r="K666" s="7"/>
      <c r="N666" s="7"/>
      <c r="V666" s="8"/>
      <c r="W666" s="7"/>
      <c r="Y666" s="8"/>
      <c r="Z666" s="8"/>
      <c r="AA666" s="8"/>
      <c r="AB666" s="7"/>
      <c r="AD666" s="8"/>
    </row>
    <row r="667" spans="1:30">
      <c r="A667" s="7"/>
      <c r="D667" s="7"/>
      <c r="I667" s="7"/>
      <c r="J667" s="7"/>
      <c r="K667" s="7"/>
      <c r="N667" s="7"/>
      <c r="V667" s="8"/>
      <c r="W667" s="7"/>
      <c r="Y667" s="8"/>
      <c r="Z667" s="8"/>
      <c r="AA667" s="8"/>
      <c r="AB667" s="7"/>
      <c r="AD667" s="8"/>
    </row>
    <row r="668" spans="1:30">
      <c r="A668" s="7"/>
      <c r="D668" s="7"/>
      <c r="I668" s="7"/>
      <c r="J668" s="7"/>
      <c r="K668" s="7"/>
      <c r="N668" s="7"/>
      <c r="V668" s="8"/>
      <c r="W668" s="7"/>
      <c r="Y668" s="8"/>
      <c r="Z668" s="8"/>
      <c r="AA668" s="8"/>
      <c r="AB668" s="7"/>
      <c r="AD668" s="8"/>
    </row>
    <row r="669" spans="1:30">
      <c r="A669" s="7"/>
      <c r="D669" s="7"/>
      <c r="I669" s="7"/>
      <c r="J669" s="7"/>
      <c r="K669" s="7"/>
      <c r="N669" s="7"/>
      <c r="V669" s="8"/>
      <c r="W669" s="7"/>
      <c r="Y669" s="8"/>
      <c r="Z669" s="8"/>
      <c r="AA669" s="8"/>
      <c r="AB669" s="7"/>
      <c r="AD669" s="8"/>
    </row>
    <row r="670" spans="1:30">
      <c r="A670" s="7"/>
      <c r="D670" s="7"/>
      <c r="I670" s="7"/>
      <c r="J670" s="7"/>
      <c r="K670" s="7"/>
      <c r="N670" s="7"/>
      <c r="V670" s="8"/>
      <c r="W670" s="7"/>
      <c r="Y670" s="8"/>
      <c r="Z670" s="8"/>
      <c r="AA670" s="8"/>
      <c r="AB670" s="7"/>
      <c r="AD670" s="8"/>
    </row>
    <row r="671" spans="1:30">
      <c r="A671" s="7"/>
      <c r="D671" s="7"/>
      <c r="I671" s="7"/>
      <c r="J671" s="7"/>
      <c r="K671" s="7"/>
      <c r="N671" s="7"/>
      <c r="V671" s="8"/>
      <c r="W671" s="7"/>
      <c r="Y671" s="8"/>
      <c r="Z671" s="8"/>
      <c r="AA671" s="8"/>
      <c r="AB671" s="7"/>
      <c r="AD671" s="8"/>
    </row>
    <row r="672" spans="1:30">
      <c r="A672" s="7"/>
      <c r="D672" s="7"/>
      <c r="I672" s="7"/>
      <c r="J672" s="7"/>
      <c r="K672" s="7"/>
      <c r="N672" s="7"/>
      <c r="V672" s="8"/>
      <c r="W672" s="7"/>
      <c r="Y672" s="8"/>
      <c r="Z672" s="8"/>
      <c r="AA672" s="8"/>
      <c r="AB672" s="7"/>
      <c r="AD672" s="8"/>
    </row>
    <row r="673" spans="1:30">
      <c r="A673" s="7"/>
      <c r="D673" s="7"/>
      <c r="I673" s="7"/>
      <c r="J673" s="7"/>
      <c r="K673" s="7"/>
      <c r="N673" s="7"/>
      <c r="V673" s="8"/>
      <c r="W673" s="7"/>
      <c r="Y673" s="8"/>
      <c r="Z673" s="8"/>
      <c r="AA673" s="8"/>
      <c r="AB673" s="7"/>
      <c r="AD673" s="8"/>
    </row>
    <row r="674" spans="1:30">
      <c r="A674" s="7"/>
      <c r="D674" s="7"/>
      <c r="I674" s="7"/>
      <c r="J674" s="7"/>
      <c r="K674" s="7"/>
      <c r="N674" s="7"/>
      <c r="V674" s="8"/>
      <c r="W674" s="7"/>
      <c r="Y674" s="8"/>
      <c r="Z674" s="8"/>
      <c r="AA674" s="8"/>
      <c r="AB674" s="7"/>
      <c r="AD674" s="8"/>
    </row>
    <row r="675" spans="1:30">
      <c r="A675" s="7"/>
      <c r="D675" s="7"/>
      <c r="I675" s="7"/>
      <c r="J675" s="7"/>
      <c r="K675" s="7"/>
      <c r="N675" s="7"/>
      <c r="V675" s="8"/>
      <c r="W675" s="7"/>
      <c r="Y675" s="8"/>
      <c r="Z675" s="8"/>
      <c r="AA675" s="8"/>
      <c r="AB675" s="7"/>
      <c r="AD675" s="8"/>
    </row>
    <row r="676" spans="1:30">
      <c r="A676" s="7"/>
      <c r="D676" s="7"/>
      <c r="I676" s="7"/>
      <c r="J676" s="7"/>
      <c r="K676" s="7"/>
      <c r="N676" s="7"/>
      <c r="V676" s="8"/>
      <c r="W676" s="7"/>
      <c r="Y676" s="8"/>
      <c r="Z676" s="8"/>
      <c r="AA676" s="8"/>
      <c r="AB676" s="7"/>
      <c r="AD676" s="8"/>
    </row>
    <row r="677" spans="1:30">
      <c r="A677" s="7"/>
      <c r="D677" s="7"/>
      <c r="I677" s="7"/>
      <c r="J677" s="7"/>
      <c r="K677" s="7"/>
      <c r="N677" s="7"/>
      <c r="V677" s="8"/>
      <c r="W677" s="7"/>
      <c r="Y677" s="8"/>
      <c r="Z677" s="8"/>
      <c r="AA677" s="8"/>
      <c r="AB677" s="7"/>
      <c r="AD677" s="8"/>
    </row>
    <row r="678" spans="1:30">
      <c r="A678" s="7"/>
      <c r="D678" s="7"/>
      <c r="I678" s="7"/>
      <c r="J678" s="7"/>
      <c r="K678" s="7"/>
      <c r="N678" s="7"/>
      <c r="V678" s="8"/>
      <c r="W678" s="7"/>
      <c r="Y678" s="8"/>
      <c r="Z678" s="8"/>
      <c r="AA678" s="8"/>
      <c r="AB678" s="7"/>
      <c r="AD678" s="8"/>
    </row>
    <row r="679" spans="1:30">
      <c r="A679" s="7"/>
      <c r="D679" s="7"/>
      <c r="I679" s="7"/>
      <c r="J679" s="7"/>
      <c r="K679" s="7"/>
      <c r="N679" s="7"/>
      <c r="V679" s="8"/>
      <c r="W679" s="7"/>
      <c r="Y679" s="8"/>
      <c r="Z679" s="8"/>
      <c r="AA679" s="8"/>
      <c r="AB679" s="7"/>
      <c r="AD679" s="8"/>
    </row>
    <row r="680" spans="1:30">
      <c r="A680" s="7"/>
      <c r="D680" s="7"/>
      <c r="I680" s="7"/>
      <c r="J680" s="7"/>
      <c r="K680" s="7"/>
      <c r="N680" s="7"/>
      <c r="V680" s="8"/>
      <c r="W680" s="7"/>
      <c r="Y680" s="8"/>
      <c r="Z680" s="8"/>
      <c r="AA680" s="8"/>
      <c r="AB680" s="7"/>
      <c r="AD680" s="8"/>
    </row>
    <row r="681" spans="1:30">
      <c r="A681" s="7"/>
      <c r="D681" s="7"/>
      <c r="I681" s="7"/>
      <c r="J681" s="7"/>
      <c r="K681" s="7"/>
      <c r="N681" s="7"/>
      <c r="V681" s="8"/>
      <c r="W681" s="7"/>
      <c r="Y681" s="8"/>
      <c r="Z681" s="8"/>
      <c r="AA681" s="8"/>
      <c r="AB681" s="7"/>
      <c r="AD681" s="8"/>
    </row>
    <row r="682" spans="1:30">
      <c r="A682" s="7"/>
      <c r="D682" s="7"/>
      <c r="I682" s="7"/>
      <c r="J682" s="7"/>
      <c r="K682" s="7"/>
      <c r="N682" s="7"/>
      <c r="V682" s="8"/>
      <c r="W682" s="7"/>
      <c r="Y682" s="8"/>
      <c r="Z682" s="8"/>
      <c r="AA682" s="8"/>
      <c r="AB682" s="7"/>
      <c r="AD682" s="8"/>
    </row>
    <row r="683" spans="1:30">
      <c r="A683" s="7"/>
      <c r="D683" s="7"/>
      <c r="I683" s="7"/>
      <c r="J683" s="7"/>
      <c r="K683" s="7"/>
      <c r="N683" s="7"/>
      <c r="V683" s="8"/>
      <c r="W683" s="7"/>
      <c r="Y683" s="8"/>
      <c r="Z683" s="8"/>
      <c r="AA683" s="8"/>
      <c r="AB683" s="7"/>
      <c r="AD683" s="8"/>
    </row>
    <row r="684" spans="1:30">
      <c r="A684" s="7"/>
      <c r="D684" s="7"/>
      <c r="I684" s="7"/>
      <c r="J684" s="7"/>
      <c r="K684" s="7"/>
      <c r="N684" s="7"/>
      <c r="V684" s="8"/>
      <c r="W684" s="7"/>
      <c r="Y684" s="8"/>
      <c r="Z684" s="8"/>
      <c r="AA684" s="8"/>
      <c r="AB684" s="7"/>
      <c r="AD684" s="8"/>
    </row>
    <row r="685" spans="1:30">
      <c r="A685" s="7"/>
      <c r="D685" s="7"/>
      <c r="I685" s="7"/>
      <c r="J685" s="7"/>
      <c r="K685" s="7"/>
      <c r="N685" s="7"/>
      <c r="V685" s="8"/>
      <c r="W685" s="7"/>
      <c r="Y685" s="8"/>
      <c r="Z685" s="8"/>
      <c r="AA685" s="8"/>
      <c r="AB685" s="7"/>
      <c r="AD685" s="8"/>
    </row>
    <row r="686" spans="1:30">
      <c r="A686" s="7"/>
      <c r="D686" s="7"/>
      <c r="I686" s="7"/>
      <c r="J686" s="7"/>
      <c r="K686" s="7"/>
      <c r="N686" s="7"/>
      <c r="V686" s="8"/>
      <c r="W686" s="7"/>
      <c r="Y686" s="8"/>
      <c r="Z686" s="8"/>
      <c r="AA686" s="8"/>
      <c r="AB686" s="7"/>
      <c r="AD686" s="8"/>
    </row>
    <row r="687" spans="1:30">
      <c r="A687" s="7"/>
      <c r="D687" s="7"/>
      <c r="I687" s="7"/>
      <c r="J687" s="7"/>
      <c r="K687" s="7"/>
      <c r="N687" s="7"/>
      <c r="V687" s="8"/>
      <c r="W687" s="7"/>
      <c r="Y687" s="8"/>
      <c r="Z687" s="8"/>
      <c r="AA687" s="8"/>
      <c r="AB687" s="7"/>
      <c r="AD687" s="8"/>
    </row>
    <row r="688" spans="1:30">
      <c r="A688" s="7"/>
      <c r="D688" s="7"/>
      <c r="I688" s="7"/>
      <c r="J688" s="7"/>
      <c r="K688" s="7"/>
      <c r="N688" s="7"/>
      <c r="V688" s="8"/>
      <c r="W688" s="7"/>
      <c r="Y688" s="8"/>
      <c r="Z688" s="8"/>
      <c r="AA688" s="8"/>
      <c r="AB688" s="7"/>
      <c r="AD688" s="8"/>
    </row>
    <row r="689" spans="1:30">
      <c r="A689" s="7"/>
      <c r="D689" s="7"/>
      <c r="I689" s="7"/>
      <c r="J689" s="7"/>
      <c r="K689" s="7"/>
      <c r="N689" s="7"/>
      <c r="V689" s="8"/>
      <c r="W689" s="7"/>
      <c r="Y689" s="8"/>
      <c r="Z689" s="8"/>
      <c r="AA689" s="8"/>
      <c r="AB689" s="7"/>
      <c r="AD689" s="8"/>
    </row>
    <row r="690" spans="1:30">
      <c r="A690" s="7"/>
      <c r="D690" s="7"/>
      <c r="I690" s="7"/>
      <c r="J690" s="7"/>
      <c r="K690" s="7"/>
      <c r="N690" s="7"/>
      <c r="V690" s="8"/>
      <c r="W690" s="7"/>
      <c r="Y690" s="8"/>
      <c r="Z690" s="8"/>
      <c r="AA690" s="8"/>
      <c r="AB690" s="7"/>
      <c r="AD690" s="8"/>
    </row>
    <row r="691" spans="1:30">
      <c r="A691" s="7"/>
      <c r="D691" s="7"/>
      <c r="I691" s="7"/>
      <c r="J691" s="7"/>
      <c r="K691" s="7"/>
      <c r="N691" s="7"/>
      <c r="V691" s="8"/>
      <c r="W691" s="7"/>
      <c r="Y691" s="8"/>
      <c r="Z691" s="8"/>
      <c r="AA691" s="8"/>
      <c r="AB691" s="7"/>
      <c r="AD691" s="8"/>
    </row>
    <row r="692" spans="1:30">
      <c r="A692" s="7"/>
      <c r="D692" s="7"/>
      <c r="I692" s="7"/>
      <c r="J692" s="7"/>
      <c r="K692" s="7"/>
      <c r="N692" s="7"/>
      <c r="V692" s="8"/>
      <c r="W692" s="7"/>
      <c r="Y692" s="8"/>
      <c r="Z692" s="8"/>
      <c r="AA692" s="8"/>
      <c r="AB692" s="7"/>
      <c r="AD692" s="8"/>
    </row>
    <row r="693" spans="1:30">
      <c r="A693" s="7"/>
      <c r="D693" s="7"/>
      <c r="I693" s="7"/>
      <c r="J693" s="7"/>
      <c r="K693" s="7"/>
      <c r="N693" s="7"/>
      <c r="V693" s="8"/>
      <c r="W693" s="7"/>
      <c r="Y693" s="8"/>
      <c r="Z693" s="8"/>
      <c r="AA693" s="8"/>
      <c r="AB693" s="7"/>
      <c r="AD693" s="8"/>
    </row>
    <row r="694" spans="1:30">
      <c r="A694" s="7"/>
      <c r="D694" s="7"/>
      <c r="I694" s="7"/>
      <c r="J694" s="7"/>
      <c r="K694" s="7"/>
      <c r="N694" s="7"/>
      <c r="V694" s="8"/>
      <c r="W694" s="7"/>
      <c r="Y694" s="8"/>
      <c r="Z694" s="8"/>
      <c r="AA694" s="8"/>
      <c r="AB694" s="7"/>
      <c r="AD694" s="8"/>
    </row>
    <row r="695" spans="1:30">
      <c r="A695" s="7"/>
      <c r="D695" s="7"/>
      <c r="I695" s="7"/>
      <c r="J695" s="7"/>
      <c r="K695" s="7"/>
      <c r="N695" s="7"/>
      <c r="V695" s="8"/>
      <c r="W695" s="7"/>
      <c r="Y695" s="8"/>
      <c r="Z695" s="8"/>
      <c r="AA695" s="8"/>
      <c r="AB695" s="7"/>
      <c r="AD695" s="8"/>
    </row>
    <row r="696" spans="1:30">
      <c r="A696" s="7"/>
      <c r="D696" s="7"/>
      <c r="I696" s="7"/>
      <c r="J696" s="7"/>
      <c r="K696" s="7"/>
      <c r="N696" s="7"/>
      <c r="V696" s="8"/>
      <c r="W696" s="7"/>
      <c r="Y696" s="8"/>
      <c r="Z696" s="8"/>
      <c r="AA696" s="8"/>
      <c r="AB696" s="7"/>
      <c r="AD696" s="8"/>
    </row>
    <row r="697" spans="1:30">
      <c r="A697" s="7"/>
      <c r="D697" s="7"/>
      <c r="I697" s="7"/>
      <c r="J697" s="7"/>
      <c r="K697" s="7"/>
      <c r="N697" s="7"/>
      <c r="V697" s="8"/>
      <c r="W697" s="7"/>
      <c r="Y697" s="8"/>
      <c r="Z697" s="8"/>
      <c r="AA697" s="8"/>
      <c r="AB697" s="7"/>
      <c r="AD697" s="8"/>
    </row>
    <row r="698" spans="1:30">
      <c r="A698" s="7"/>
      <c r="D698" s="7"/>
      <c r="I698" s="7"/>
      <c r="J698" s="7"/>
      <c r="K698" s="7"/>
      <c r="N698" s="7"/>
      <c r="V698" s="8"/>
      <c r="W698" s="7"/>
      <c r="Y698" s="8"/>
      <c r="Z698" s="8"/>
      <c r="AA698" s="8"/>
      <c r="AB698" s="7"/>
      <c r="AD698" s="8"/>
    </row>
    <row r="699" spans="1:30">
      <c r="A699" s="7"/>
      <c r="D699" s="7"/>
      <c r="I699" s="7"/>
      <c r="J699" s="7"/>
      <c r="K699" s="7"/>
      <c r="N699" s="7"/>
      <c r="V699" s="8"/>
      <c r="W699" s="7"/>
      <c r="Y699" s="8"/>
      <c r="Z699" s="8"/>
      <c r="AA699" s="8"/>
      <c r="AB699" s="7"/>
      <c r="AD699" s="8"/>
    </row>
    <row r="700" spans="1:30">
      <c r="A700" s="7"/>
      <c r="D700" s="7"/>
      <c r="I700" s="7"/>
      <c r="J700" s="7"/>
      <c r="K700" s="7"/>
      <c r="N700" s="7"/>
      <c r="V700" s="8"/>
      <c r="W700" s="7"/>
      <c r="Y700" s="8"/>
      <c r="Z700" s="8"/>
      <c r="AA700" s="8"/>
      <c r="AB700" s="7"/>
      <c r="AD700" s="8"/>
    </row>
    <row r="701" spans="1:30">
      <c r="A701" s="7"/>
      <c r="D701" s="7"/>
      <c r="I701" s="7"/>
      <c r="J701" s="7"/>
      <c r="K701" s="7"/>
      <c r="N701" s="7"/>
      <c r="V701" s="8"/>
      <c r="W701" s="7"/>
      <c r="Y701" s="8"/>
      <c r="Z701" s="8"/>
      <c r="AA701" s="8"/>
      <c r="AB701" s="7"/>
      <c r="AD701" s="8"/>
    </row>
    <row r="702" spans="1:30">
      <c r="A702" s="7"/>
      <c r="D702" s="7"/>
      <c r="I702" s="7"/>
      <c r="J702" s="7"/>
      <c r="K702" s="7"/>
      <c r="N702" s="7"/>
      <c r="V702" s="8"/>
      <c r="W702" s="7"/>
      <c r="Y702" s="8"/>
      <c r="Z702" s="8"/>
      <c r="AA702" s="8"/>
      <c r="AB702" s="7"/>
      <c r="AD702" s="8"/>
    </row>
    <row r="703" spans="1:30">
      <c r="A703" s="7"/>
      <c r="D703" s="7"/>
      <c r="I703" s="7"/>
      <c r="J703" s="7"/>
      <c r="K703" s="7"/>
      <c r="N703" s="7"/>
      <c r="V703" s="8"/>
      <c r="W703" s="7"/>
      <c r="Y703" s="8"/>
      <c r="Z703" s="8"/>
      <c r="AA703" s="8"/>
      <c r="AB703" s="7"/>
      <c r="AD703" s="8"/>
    </row>
    <row r="704" spans="1:30">
      <c r="A704" s="7"/>
      <c r="D704" s="7"/>
      <c r="I704" s="7"/>
      <c r="J704" s="7"/>
      <c r="K704" s="7"/>
      <c r="N704" s="7"/>
      <c r="V704" s="8"/>
      <c r="W704" s="7"/>
      <c r="Y704" s="8"/>
      <c r="Z704" s="8"/>
      <c r="AA704" s="8"/>
      <c r="AB704" s="7"/>
      <c r="AD704" s="8"/>
    </row>
    <row r="705" spans="1:30">
      <c r="A705" s="7"/>
      <c r="D705" s="7"/>
      <c r="I705" s="7"/>
      <c r="J705" s="7"/>
      <c r="K705" s="7"/>
      <c r="N705" s="7"/>
      <c r="V705" s="8"/>
      <c r="W705" s="7"/>
      <c r="Y705" s="8"/>
      <c r="Z705" s="8"/>
      <c r="AA705" s="8"/>
      <c r="AB705" s="7"/>
      <c r="AD705" s="8"/>
    </row>
    <row r="706" spans="1:30">
      <c r="A706" s="7"/>
      <c r="D706" s="7"/>
      <c r="I706" s="7"/>
      <c r="J706" s="7"/>
      <c r="K706" s="7"/>
      <c r="N706" s="7"/>
      <c r="V706" s="8"/>
      <c r="W706" s="7"/>
      <c r="Y706" s="8"/>
      <c r="Z706" s="8"/>
      <c r="AA706" s="8"/>
      <c r="AB706" s="7"/>
      <c r="AD706" s="8"/>
    </row>
    <row r="707" spans="1:30">
      <c r="A707" s="7"/>
      <c r="D707" s="7"/>
      <c r="I707" s="7"/>
      <c r="J707" s="7"/>
      <c r="K707" s="7"/>
      <c r="N707" s="7"/>
      <c r="V707" s="8"/>
      <c r="W707" s="7"/>
      <c r="Y707" s="8"/>
      <c r="Z707" s="8"/>
      <c r="AA707" s="8"/>
      <c r="AB707" s="7"/>
      <c r="AD707" s="8"/>
    </row>
    <row r="708" spans="1:30">
      <c r="A708" s="7"/>
      <c r="D708" s="7"/>
      <c r="I708" s="7"/>
      <c r="J708" s="7"/>
      <c r="K708" s="7"/>
      <c r="N708" s="7"/>
      <c r="V708" s="8"/>
      <c r="W708" s="7"/>
      <c r="Y708" s="8"/>
      <c r="Z708" s="8"/>
      <c r="AA708" s="8"/>
      <c r="AB708" s="7"/>
      <c r="AD708" s="8"/>
    </row>
    <row r="709" spans="1:30">
      <c r="A709" s="7"/>
      <c r="D709" s="7"/>
      <c r="I709" s="7"/>
      <c r="J709" s="7"/>
      <c r="K709" s="7"/>
      <c r="N709" s="7"/>
      <c r="V709" s="8"/>
      <c r="W709" s="7"/>
      <c r="Y709" s="8"/>
      <c r="Z709" s="8"/>
      <c r="AA709" s="8"/>
      <c r="AB709" s="7"/>
      <c r="AD709" s="8"/>
    </row>
    <row r="710" spans="1:30">
      <c r="A710" s="7"/>
      <c r="D710" s="7"/>
      <c r="I710" s="7"/>
      <c r="J710" s="7"/>
      <c r="K710" s="7"/>
      <c r="N710" s="7"/>
      <c r="V710" s="8"/>
      <c r="W710" s="7"/>
      <c r="Y710" s="8"/>
      <c r="Z710" s="8"/>
      <c r="AA710" s="8"/>
      <c r="AB710" s="7"/>
      <c r="AD710" s="8"/>
    </row>
    <row r="711" spans="1:30">
      <c r="A711" s="7"/>
      <c r="D711" s="7"/>
      <c r="I711" s="7"/>
      <c r="J711" s="7"/>
      <c r="K711" s="7"/>
      <c r="N711" s="7"/>
      <c r="V711" s="8"/>
      <c r="W711" s="7"/>
      <c r="Y711" s="8"/>
      <c r="Z711" s="8"/>
      <c r="AA711" s="8"/>
      <c r="AB711" s="7"/>
      <c r="AD711" s="8"/>
    </row>
    <row r="712" spans="1:30">
      <c r="A712" s="7"/>
      <c r="D712" s="7"/>
      <c r="I712" s="7"/>
      <c r="J712" s="7"/>
      <c r="K712" s="7"/>
      <c r="N712" s="7"/>
      <c r="V712" s="8"/>
      <c r="W712" s="7"/>
      <c r="Y712" s="8"/>
      <c r="Z712" s="8"/>
      <c r="AA712" s="8"/>
      <c r="AB712" s="7"/>
      <c r="AD712" s="8"/>
    </row>
    <row r="713" spans="1:30">
      <c r="A713" s="7"/>
      <c r="D713" s="7"/>
      <c r="I713" s="7"/>
      <c r="J713" s="7"/>
      <c r="K713" s="7"/>
      <c r="N713" s="7"/>
      <c r="V713" s="8"/>
      <c r="W713" s="7"/>
      <c r="Y713" s="8"/>
      <c r="Z713" s="8"/>
      <c r="AA713" s="8"/>
      <c r="AB713" s="7"/>
      <c r="AD713" s="8"/>
    </row>
    <row r="714" spans="1:30">
      <c r="A714" s="7"/>
      <c r="D714" s="7"/>
      <c r="I714" s="7"/>
      <c r="J714" s="7"/>
      <c r="K714" s="7"/>
      <c r="N714" s="7"/>
      <c r="V714" s="8"/>
      <c r="W714" s="7"/>
      <c r="Y714" s="8"/>
      <c r="Z714" s="8"/>
      <c r="AA714" s="8"/>
      <c r="AB714" s="7"/>
      <c r="AD714" s="8"/>
    </row>
    <row r="715" spans="1:30">
      <c r="A715" s="7"/>
      <c r="D715" s="7"/>
      <c r="I715" s="7"/>
      <c r="J715" s="7"/>
      <c r="K715" s="7"/>
      <c r="N715" s="7"/>
      <c r="V715" s="8"/>
      <c r="W715" s="7"/>
      <c r="Y715" s="8"/>
      <c r="Z715" s="8"/>
      <c r="AA715" s="8"/>
      <c r="AB715" s="7"/>
      <c r="AD715" s="8"/>
    </row>
    <row r="716" spans="1:30">
      <c r="A716" s="7"/>
      <c r="D716" s="7"/>
      <c r="I716" s="7"/>
      <c r="J716" s="7"/>
      <c r="K716" s="7"/>
      <c r="N716" s="7"/>
      <c r="V716" s="8"/>
      <c r="W716" s="7"/>
      <c r="Y716" s="8"/>
      <c r="Z716" s="8"/>
      <c r="AA716" s="8"/>
      <c r="AB716" s="7"/>
      <c r="AD716" s="8"/>
    </row>
    <row r="717" spans="1:30">
      <c r="A717" s="7"/>
      <c r="D717" s="7"/>
      <c r="I717" s="7"/>
      <c r="J717" s="7"/>
      <c r="K717" s="7"/>
      <c r="N717" s="7"/>
      <c r="V717" s="8"/>
      <c r="W717" s="7"/>
      <c r="Y717" s="8"/>
      <c r="Z717" s="8"/>
      <c r="AA717" s="8"/>
      <c r="AB717" s="7"/>
      <c r="AD717" s="8"/>
    </row>
    <row r="718" spans="1:30">
      <c r="A718" s="7"/>
      <c r="D718" s="7"/>
      <c r="I718" s="7"/>
      <c r="J718" s="7"/>
      <c r="K718" s="7"/>
      <c r="N718" s="7"/>
      <c r="V718" s="8"/>
      <c r="W718" s="7"/>
      <c r="Y718" s="8"/>
      <c r="Z718" s="8"/>
      <c r="AA718" s="8"/>
      <c r="AB718" s="7"/>
      <c r="AD718" s="8"/>
    </row>
    <row r="719" spans="1:30">
      <c r="A719" s="7"/>
      <c r="D719" s="7"/>
      <c r="I719" s="7"/>
      <c r="J719" s="7"/>
      <c r="K719" s="7"/>
      <c r="N719" s="7"/>
      <c r="V719" s="8"/>
      <c r="W719" s="7"/>
      <c r="Y719" s="8"/>
      <c r="Z719" s="8"/>
      <c r="AA719" s="8"/>
      <c r="AB719" s="7"/>
      <c r="AD719" s="8"/>
    </row>
    <row r="720" spans="1:30">
      <c r="A720" s="7"/>
      <c r="D720" s="7"/>
      <c r="I720" s="7"/>
      <c r="J720" s="7"/>
      <c r="K720" s="7"/>
      <c r="N720" s="7"/>
      <c r="V720" s="8"/>
      <c r="W720" s="7"/>
      <c r="Y720" s="8"/>
      <c r="Z720" s="8"/>
      <c r="AA720" s="8"/>
      <c r="AB720" s="7"/>
      <c r="AD720" s="8"/>
    </row>
    <row r="721" spans="1:30">
      <c r="A721" s="7"/>
      <c r="D721" s="7"/>
      <c r="I721" s="7"/>
      <c r="J721" s="7"/>
      <c r="K721" s="7"/>
      <c r="N721" s="7"/>
      <c r="V721" s="8"/>
      <c r="W721" s="7"/>
      <c r="Y721" s="8"/>
      <c r="Z721" s="8"/>
      <c r="AA721" s="8"/>
      <c r="AB721" s="7"/>
      <c r="AD721" s="8"/>
    </row>
    <row r="722" spans="1:30">
      <c r="A722" s="7"/>
      <c r="D722" s="7"/>
      <c r="I722" s="7"/>
      <c r="J722" s="7"/>
      <c r="K722" s="7"/>
      <c r="N722" s="7"/>
      <c r="V722" s="8"/>
      <c r="W722" s="7"/>
      <c r="Y722" s="8"/>
      <c r="Z722" s="8"/>
      <c r="AA722" s="8"/>
      <c r="AB722" s="7"/>
      <c r="AD722" s="8"/>
    </row>
    <row r="723" spans="1:30">
      <c r="A723" s="7"/>
      <c r="D723" s="7"/>
      <c r="I723" s="7"/>
      <c r="J723" s="7"/>
      <c r="K723" s="7"/>
      <c r="N723" s="7"/>
      <c r="V723" s="8"/>
      <c r="W723" s="7"/>
      <c r="Y723" s="8"/>
      <c r="Z723" s="8"/>
      <c r="AA723" s="8"/>
      <c r="AB723" s="7"/>
      <c r="AD723" s="8"/>
    </row>
    <row r="724" spans="1:30">
      <c r="A724" s="7"/>
      <c r="D724" s="7"/>
      <c r="I724" s="7"/>
      <c r="J724" s="7"/>
      <c r="K724" s="7"/>
      <c r="N724" s="7"/>
      <c r="V724" s="8"/>
      <c r="W724" s="7"/>
      <c r="Y724" s="8"/>
      <c r="Z724" s="8"/>
      <c r="AA724" s="8"/>
      <c r="AB724" s="7"/>
      <c r="AD724" s="8"/>
    </row>
    <row r="725" spans="1:30">
      <c r="A725" s="7"/>
      <c r="D725" s="7"/>
      <c r="I725" s="7"/>
      <c r="J725" s="7"/>
      <c r="K725" s="7"/>
      <c r="N725" s="7"/>
      <c r="V725" s="8"/>
      <c r="W725" s="7"/>
      <c r="Y725" s="8"/>
      <c r="Z725" s="8"/>
      <c r="AA725" s="8"/>
      <c r="AB725" s="7"/>
      <c r="AD725" s="8"/>
    </row>
    <row r="726" spans="1:30">
      <c r="A726" s="7"/>
      <c r="D726" s="7"/>
      <c r="I726" s="7"/>
      <c r="J726" s="7"/>
      <c r="K726" s="7"/>
      <c r="N726" s="7"/>
      <c r="V726" s="8"/>
      <c r="W726" s="7"/>
      <c r="Y726" s="8"/>
      <c r="Z726" s="8"/>
      <c r="AA726" s="8"/>
      <c r="AB726" s="7"/>
      <c r="AD726" s="8"/>
    </row>
    <row r="727" spans="1:30">
      <c r="A727" s="7"/>
      <c r="D727" s="7"/>
      <c r="I727" s="7"/>
      <c r="J727" s="7"/>
      <c r="K727" s="7"/>
      <c r="N727" s="7"/>
      <c r="V727" s="8"/>
      <c r="W727" s="7"/>
      <c r="Y727" s="8"/>
      <c r="Z727" s="8"/>
      <c r="AA727" s="8"/>
      <c r="AB727" s="7"/>
      <c r="AD727" s="8"/>
    </row>
    <row r="728" spans="1:30">
      <c r="A728" s="7"/>
      <c r="D728" s="7"/>
      <c r="I728" s="7"/>
      <c r="J728" s="7"/>
      <c r="K728" s="7"/>
      <c r="N728" s="7"/>
      <c r="V728" s="8"/>
      <c r="W728" s="7"/>
      <c r="Y728" s="8"/>
      <c r="Z728" s="8"/>
      <c r="AA728" s="8"/>
      <c r="AB728" s="7"/>
      <c r="AD728" s="8"/>
    </row>
    <row r="729" spans="1:30">
      <c r="A729" s="7"/>
      <c r="D729" s="7"/>
      <c r="I729" s="7"/>
      <c r="J729" s="7"/>
      <c r="K729" s="7"/>
      <c r="N729" s="7"/>
      <c r="V729" s="8"/>
      <c r="W729" s="7"/>
      <c r="Y729" s="8"/>
      <c r="Z729" s="8"/>
      <c r="AA729" s="8"/>
      <c r="AB729" s="7"/>
      <c r="AD729" s="8"/>
    </row>
    <row r="730" spans="1:30">
      <c r="A730" s="7"/>
      <c r="D730" s="7"/>
      <c r="I730" s="7"/>
      <c r="J730" s="7"/>
      <c r="K730" s="7"/>
      <c r="N730" s="7"/>
      <c r="V730" s="8"/>
      <c r="W730" s="7"/>
      <c r="Y730" s="8"/>
      <c r="Z730" s="8"/>
      <c r="AA730" s="8"/>
      <c r="AB730" s="7"/>
      <c r="AD730" s="8"/>
    </row>
    <row r="731" spans="1:30">
      <c r="A731" s="7"/>
      <c r="D731" s="7"/>
      <c r="I731" s="7"/>
      <c r="J731" s="7"/>
      <c r="K731" s="7"/>
      <c r="N731" s="7"/>
      <c r="V731" s="8"/>
      <c r="W731" s="7"/>
      <c r="Y731" s="8"/>
      <c r="Z731" s="8"/>
      <c r="AA731" s="8"/>
      <c r="AB731" s="7"/>
      <c r="AD731" s="8"/>
    </row>
    <row r="732" spans="1:30">
      <c r="A732" s="7"/>
      <c r="D732" s="7"/>
      <c r="I732" s="7"/>
      <c r="J732" s="7"/>
      <c r="K732" s="7"/>
      <c r="N732" s="7"/>
      <c r="V732" s="8"/>
      <c r="W732" s="7"/>
      <c r="Y732" s="8"/>
      <c r="Z732" s="8"/>
      <c r="AA732" s="8"/>
      <c r="AB732" s="7"/>
      <c r="AD732" s="8"/>
    </row>
    <row r="733" spans="1:30">
      <c r="A733" s="7"/>
      <c r="D733" s="7"/>
      <c r="I733" s="7"/>
      <c r="J733" s="7"/>
      <c r="K733" s="7"/>
      <c r="N733" s="7"/>
      <c r="V733" s="8"/>
      <c r="W733" s="7"/>
      <c r="Y733" s="8"/>
      <c r="Z733" s="8"/>
      <c r="AA733" s="8"/>
      <c r="AB733" s="7"/>
      <c r="AD733" s="8"/>
    </row>
    <row r="734" spans="1:30">
      <c r="A734" s="7"/>
      <c r="D734" s="7"/>
      <c r="I734" s="7"/>
      <c r="J734" s="7"/>
      <c r="K734" s="7"/>
      <c r="N734" s="7"/>
      <c r="V734" s="8"/>
      <c r="W734" s="7"/>
      <c r="Y734" s="8"/>
      <c r="Z734" s="8"/>
      <c r="AA734" s="8"/>
      <c r="AB734" s="7"/>
      <c r="AD734" s="8"/>
    </row>
    <row r="735" spans="1:30">
      <c r="A735" s="7"/>
      <c r="D735" s="7"/>
      <c r="I735" s="7"/>
      <c r="J735" s="7"/>
      <c r="K735" s="7"/>
      <c r="N735" s="7"/>
      <c r="V735" s="8"/>
      <c r="W735" s="7"/>
      <c r="Y735" s="8"/>
      <c r="Z735" s="8"/>
      <c r="AA735" s="8"/>
      <c r="AB735" s="7"/>
      <c r="AD735" s="8"/>
    </row>
    <row r="736" spans="1:30">
      <c r="A736" s="7"/>
      <c r="D736" s="7"/>
      <c r="I736" s="7"/>
      <c r="J736" s="7"/>
      <c r="K736" s="7"/>
      <c r="N736" s="7"/>
      <c r="V736" s="8"/>
      <c r="W736" s="7"/>
      <c r="Y736" s="8"/>
      <c r="Z736" s="8"/>
      <c r="AA736" s="8"/>
      <c r="AB736" s="7"/>
      <c r="AD736" s="8"/>
    </row>
    <row r="737" spans="1:30">
      <c r="A737" s="7"/>
      <c r="D737" s="7"/>
      <c r="I737" s="7"/>
      <c r="J737" s="7"/>
      <c r="K737" s="7"/>
      <c r="N737" s="7"/>
      <c r="V737" s="8"/>
      <c r="W737" s="7"/>
      <c r="Y737" s="8"/>
      <c r="Z737" s="8"/>
      <c r="AA737" s="8"/>
      <c r="AB737" s="7"/>
      <c r="AD737" s="8"/>
    </row>
    <row r="738" spans="1:30">
      <c r="A738" s="7"/>
      <c r="D738" s="7"/>
      <c r="I738" s="7"/>
      <c r="J738" s="7"/>
      <c r="K738" s="7"/>
      <c r="N738" s="7"/>
      <c r="V738" s="8"/>
      <c r="W738" s="7"/>
      <c r="Y738" s="8"/>
      <c r="Z738" s="8"/>
      <c r="AA738" s="8"/>
      <c r="AB738" s="7"/>
      <c r="AD738" s="8"/>
    </row>
    <row r="739" spans="1:30">
      <c r="A739" s="7"/>
      <c r="D739" s="7"/>
      <c r="I739" s="7"/>
      <c r="J739" s="7"/>
      <c r="K739" s="7"/>
      <c r="N739" s="7"/>
      <c r="V739" s="8"/>
      <c r="W739" s="7"/>
      <c r="Y739" s="8"/>
      <c r="Z739" s="8"/>
      <c r="AA739" s="8"/>
      <c r="AB739" s="7"/>
      <c r="AD739" s="8"/>
    </row>
    <row r="740" spans="1:30">
      <c r="A740" s="7"/>
      <c r="D740" s="7"/>
      <c r="I740" s="7"/>
      <c r="J740" s="7"/>
      <c r="K740" s="7"/>
      <c r="N740" s="7"/>
      <c r="V740" s="8"/>
      <c r="W740" s="7"/>
      <c r="Y740" s="8"/>
      <c r="Z740" s="8"/>
      <c r="AA740" s="8"/>
      <c r="AB740" s="7"/>
      <c r="AD740" s="8"/>
    </row>
    <row r="741" spans="1:30">
      <c r="A741" s="7"/>
      <c r="D741" s="7"/>
      <c r="I741" s="7"/>
      <c r="J741" s="7"/>
      <c r="K741" s="7"/>
      <c r="N741" s="7"/>
      <c r="V741" s="8"/>
      <c r="W741" s="7"/>
      <c r="Y741" s="8"/>
      <c r="Z741" s="8"/>
      <c r="AA741" s="8"/>
      <c r="AB741" s="7"/>
      <c r="AD741" s="8"/>
    </row>
    <row r="742" spans="1:30">
      <c r="A742" s="7"/>
      <c r="D742" s="7"/>
      <c r="I742" s="7"/>
      <c r="J742" s="7"/>
      <c r="K742" s="7"/>
      <c r="N742" s="7"/>
      <c r="V742" s="8"/>
      <c r="W742" s="7"/>
      <c r="Y742" s="8"/>
      <c r="Z742" s="8"/>
      <c r="AA742" s="8"/>
      <c r="AB742" s="7"/>
      <c r="AD742" s="8"/>
    </row>
    <row r="743" spans="1:30">
      <c r="A743" s="7"/>
      <c r="D743" s="7"/>
      <c r="I743" s="7"/>
      <c r="J743" s="7"/>
      <c r="K743" s="7"/>
      <c r="N743" s="7"/>
      <c r="V743" s="8"/>
      <c r="W743" s="7"/>
      <c r="Y743" s="8"/>
      <c r="Z743" s="8"/>
      <c r="AA743" s="8"/>
      <c r="AB743" s="7"/>
      <c r="AD743" s="8"/>
    </row>
    <row r="744" spans="1:30">
      <c r="A744" s="7"/>
      <c r="D744" s="7"/>
      <c r="I744" s="7"/>
      <c r="J744" s="7"/>
      <c r="K744" s="7"/>
      <c r="N744" s="7"/>
      <c r="V744" s="8"/>
      <c r="W744" s="7"/>
      <c r="Y744" s="8"/>
      <c r="Z744" s="8"/>
      <c r="AA744" s="8"/>
      <c r="AB744" s="7"/>
      <c r="AD744" s="8"/>
    </row>
    <row r="745" spans="1:30">
      <c r="A745" s="7"/>
      <c r="D745" s="7"/>
      <c r="I745" s="7"/>
      <c r="J745" s="7"/>
      <c r="K745" s="7"/>
      <c r="N745" s="7"/>
      <c r="V745" s="8"/>
      <c r="W745" s="7"/>
      <c r="Y745" s="8"/>
      <c r="Z745" s="8"/>
      <c r="AA745" s="8"/>
      <c r="AB745" s="7"/>
      <c r="AD745" s="8"/>
    </row>
    <row r="746" spans="1:30">
      <c r="A746" s="7"/>
      <c r="D746" s="7"/>
      <c r="I746" s="7"/>
      <c r="J746" s="7"/>
      <c r="K746" s="7"/>
      <c r="N746" s="7"/>
      <c r="V746" s="8"/>
      <c r="W746" s="7"/>
      <c r="Y746" s="8"/>
      <c r="Z746" s="8"/>
      <c r="AA746" s="8"/>
      <c r="AB746" s="7"/>
      <c r="AD746" s="8"/>
    </row>
    <row r="747" spans="1:30">
      <c r="A747" s="7"/>
      <c r="D747" s="7"/>
      <c r="I747" s="7"/>
      <c r="J747" s="7"/>
      <c r="K747" s="7"/>
      <c r="N747" s="7"/>
      <c r="V747" s="8"/>
      <c r="W747" s="7"/>
      <c r="Y747" s="8"/>
      <c r="Z747" s="8"/>
      <c r="AA747" s="8"/>
      <c r="AB747" s="7"/>
      <c r="AD747" s="8"/>
    </row>
    <row r="748" spans="1:30">
      <c r="A748" s="7"/>
      <c r="D748" s="7"/>
      <c r="I748" s="7"/>
      <c r="J748" s="7"/>
      <c r="K748" s="7"/>
      <c r="N748" s="7"/>
      <c r="V748" s="8"/>
      <c r="W748" s="7"/>
      <c r="Y748" s="8"/>
      <c r="Z748" s="8"/>
      <c r="AA748" s="8"/>
      <c r="AB748" s="7"/>
      <c r="AD748" s="8"/>
    </row>
    <row r="749" spans="1:30">
      <c r="A749" s="7"/>
      <c r="D749" s="7"/>
      <c r="I749" s="7"/>
      <c r="J749" s="7"/>
      <c r="K749" s="7"/>
      <c r="N749" s="7"/>
      <c r="V749" s="8"/>
      <c r="W749" s="7"/>
      <c r="Y749" s="8"/>
      <c r="Z749" s="8"/>
      <c r="AA749" s="8"/>
      <c r="AB749" s="7"/>
      <c r="AD749" s="8"/>
    </row>
    <row r="750" spans="1:30">
      <c r="A750" s="7"/>
      <c r="D750" s="7"/>
      <c r="I750" s="7"/>
      <c r="J750" s="7"/>
      <c r="K750" s="7"/>
      <c r="N750" s="7"/>
      <c r="V750" s="8"/>
      <c r="W750" s="7"/>
      <c r="Y750" s="8"/>
      <c r="Z750" s="8"/>
      <c r="AA750" s="8"/>
      <c r="AB750" s="7"/>
      <c r="AD750" s="8"/>
    </row>
    <row r="751" spans="1:30">
      <c r="A751" s="7"/>
      <c r="D751" s="7"/>
      <c r="I751" s="7"/>
      <c r="J751" s="7"/>
      <c r="K751" s="7"/>
      <c r="N751" s="7"/>
      <c r="V751" s="8"/>
      <c r="W751" s="7"/>
      <c r="Y751" s="8"/>
      <c r="Z751" s="8"/>
      <c r="AA751" s="8"/>
      <c r="AB751" s="7"/>
      <c r="AD751" s="8"/>
    </row>
    <row r="752" spans="1:30">
      <c r="A752" s="7"/>
      <c r="D752" s="7"/>
      <c r="I752" s="7"/>
      <c r="J752" s="7"/>
      <c r="K752" s="7"/>
      <c r="N752" s="7"/>
      <c r="V752" s="8"/>
      <c r="W752" s="7"/>
      <c r="Y752" s="8"/>
      <c r="Z752" s="8"/>
      <c r="AA752" s="8"/>
      <c r="AB752" s="7"/>
      <c r="AD752" s="8"/>
    </row>
    <row r="753" spans="1:30">
      <c r="A753" s="7"/>
      <c r="D753" s="7"/>
      <c r="I753" s="7"/>
      <c r="J753" s="7"/>
      <c r="K753" s="7"/>
      <c r="N753" s="7"/>
      <c r="V753" s="8"/>
      <c r="W753" s="7"/>
      <c r="Y753" s="8"/>
      <c r="Z753" s="8"/>
      <c r="AA753" s="8"/>
      <c r="AB753" s="7"/>
      <c r="AD753" s="8"/>
    </row>
    <row r="754" spans="1:30">
      <c r="A754" s="7"/>
      <c r="D754" s="7"/>
      <c r="I754" s="7"/>
      <c r="J754" s="7"/>
      <c r="K754" s="7"/>
      <c r="N754" s="7"/>
      <c r="V754" s="8"/>
      <c r="W754" s="7"/>
      <c r="Y754" s="8"/>
      <c r="Z754" s="8"/>
      <c r="AA754" s="8"/>
      <c r="AB754" s="7"/>
      <c r="AD754" s="8"/>
    </row>
    <row r="755" spans="1:30">
      <c r="A755" s="7"/>
      <c r="D755" s="7"/>
      <c r="I755" s="7"/>
      <c r="J755" s="7"/>
      <c r="K755" s="7"/>
      <c r="N755" s="7"/>
      <c r="V755" s="8"/>
      <c r="W755" s="7"/>
      <c r="Y755" s="8"/>
      <c r="Z755" s="8"/>
      <c r="AA755" s="8"/>
      <c r="AB755" s="7"/>
      <c r="AD755" s="8"/>
    </row>
    <row r="756" spans="1:30">
      <c r="A756" s="7"/>
      <c r="D756" s="7"/>
      <c r="I756" s="7"/>
      <c r="J756" s="7"/>
      <c r="K756" s="7"/>
      <c r="N756" s="7"/>
      <c r="V756" s="8"/>
      <c r="W756" s="7"/>
      <c r="Y756" s="8"/>
      <c r="Z756" s="8"/>
      <c r="AA756" s="8"/>
      <c r="AB756" s="7"/>
      <c r="AD756" s="8"/>
    </row>
    <row r="757" spans="1:30">
      <c r="A757" s="7"/>
      <c r="D757" s="7"/>
      <c r="I757" s="7"/>
      <c r="J757" s="7"/>
      <c r="K757" s="7"/>
      <c r="N757" s="7"/>
      <c r="V757" s="8"/>
      <c r="W757" s="7"/>
      <c r="Y757" s="8"/>
      <c r="Z757" s="8"/>
      <c r="AA757" s="8"/>
      <c r="AB757" s="7"/>
      <c r="AD757" s="8"/>
    </row>
    <row r="758" spans="1:30">
      <c r="A758" s="7"/>
      <c r="D758" s="7"/>
      <c r="I758" s="7"/>
      <c r="J758" s="7"/>
      <c r="K758" s="7"/>
      <c r="N758" s="7"/>
      <c r="V758" s="8"/>
      <c r="W758" s="7"/>
      <c r="Y758" s="8"/>
      <c r="Z758" s="8"/>
      <c r="AA758" s="8"/>
      <c r="AB758" s="7"/>
      <c r="AD758" s="8"/>
    </row>
    <row r="759" spans="1:30">
      <c r="A759" s="7"/>
      <c r="D759" s="7"/>
      <c r="I759" s="7"/>
      <c r="J759" s="7"/>
      <c r="K759" s="7"/>
      <c r="N759" s="7"/>
      <c r="V759" s="8"/>
      <c r="W759" s="7"/>
      <c r="Y759" s="8"/>
      <c r="Z759" s="8"/>
      <c r="AA759" s="8"/>
      <c r="AB759" s="7"/>
      <c r="AD759" s="8"/>
    </row>
    <row r="760" spans="1:30">
      <c r="A760" s="7"/>
      <c r="D760" s="7"/>
      <c r="I760" s="7"/>
      <c r="J760" s="7"/>
      <c r="K760" s="7"/>
      <c r="N760" s="7"/>
      <c r="V760" s="8"/>
      <c r="W760" s="7"/>
      <c r="Y760" s="8"/>
      <c r="Z760" s="8"/>
      <c r="AA760" s="8"/>
      <c r="AB760" s="7"/>
      <c r="AD760" s="8"/>
    </row>
    <row r="761" spans="1:30">
      <c r="A761" s="7"/>
      <c r="D761" s="7"/>
      <c r="I761" s="7"/>
      <c r="J761" s="7"/>
      <c r="K761" s="7"/>
      <c r="N761" s="7"/>
      <c r="V761" s="8"/>
      <c r="W761" s="7"/>
      <c r="Y761" s="8"/>
      <c r="Z761" s="8"/>
      <c r="AA761" s="8"/>
      <c r="AB761" s="7"/>
      <c r="AD761" s="8"/>
    </row>
    <row r="762" spans="1:30">
      <c r="A762" s="7"/>
      <c r="D762" s="7"/>
      <c r="I762" s="7"/>
      <c r="J762" s="7"/>
      <c r="K762" s="7"/>
      <c r="N762" s="7"/>
      <c r="V762" s="8"/>
      <c r="W762" s="7"/>
      <c r="Y762" s="8"/>
      <c r="Z762" s="8"/>
      <c r="AA762" s="8"/>
      <c r="AB762" s="7"/>
      <c r="AD762" s="8"/>
    </row>
    <row r="763" spans="1:30">
      <c r="A763" s="7"/>
      <c r="D763" s="7"/>
      <c r="I763" s="7"/>
      <c r="J763" s="7"/>
      <c r="K763" s="7"/>
      <c r="N763" s="7"/>
      <c r="V763" s="8"/>
      <c r="W763" s="7"/>
      <c r="Y763" s="8"/>
      <c r="Z763" s="8"/>
      <c r="AA763" s="8"/>
      <c r="AB763" s="7"/>
      <c r="AD763" s="8"/>
    </row>
    <row r="764" spans="1:30">
      <c r="A764" s="7"/>
      <c r="D764" s="7"/>
      <c r="I764" s="7"/>
      <c r="J764" s="7"/>
      <c r="K764" s="7"/>
      <c r="N764" s="7"/>
      <c r="V764" s="8"/>
      <c r="W764" s="7"/>
      <c r="Y764" s="8"/>
      <c r="Z764" s="8"/>
      <c r="AA764" s="8"/>
      <c r="AB764" s="7"/>
      <c r="AD764" s="8"/>
    </row>
    <row r="765" spans="1:30">
      <c r="A765" s="7"/>
      <c r="D765" s="7"/>
      <c r="I765" s="7"/>
      <c r="J765" s="7"/>
      <c r="K765" s="7"/>
      <c r="N765" s="7"/>
      <c r="V765" s="8"/>
      <c r="W765" s="7"/>
      <c r="Y765" s="8"/>
      <c r="Z765" s="8"/>
      <c r="AA765" s="8"/>
      <c r="AB765" s="7"/>
      <c r="AD765" s="8"/>
    </row>
    <row r="766" spans="1:30">
      <c r="A766" s="7"/>
      <c r="D766" s="7"/>
      <c r="I766" s="7"/>
      <c r="J766" s="7"/>
      <c r="K766" s="7"/>
      <c r="N766" s="7"/>
      <c r="V766" s="8"/>
      <c r="W766" s="7"/>
      <c r="Y766" s="8"/>
      <c r="Z766" s="8"/>
      <c r="AA766" s="8"/>
      <c r="AB766" s="7"/>
      <c r="AD766" s="8"/>
    </row>
    <row r="767" spans="1:30">
      <c r="A767" s="7"/>
      <c r="D767" s="7"/>
      <c r="I767" s="7"/>
      <c r="J767" s="7"/>
      <c r="K767" s="7"/>
      <c r="N767" s="7"/>
      <c r="V767" s="8"/>
      <c r="W767" s="7"/>
      <c r="Y767" s="8"/>
      <c r="Z767" s="8"/>
      <c r="AA767" s="8"/>
      <c r="AB767" s="7"/>
      <c r="AD767" s="8"/>
    </row>
    <row r="768" spans="1:30">
      <c r="A768" s="7"/>
      <c r="D768" s="7"/>
      <c r="I768" s="7"/>
      <c r="J768" s="7"/>
      <c r="K768" s="7"/>
      <c r="N768" s="7"/>
      <c r="V768" s="8"/>
      <c r="W768" s="7"/>
      <c r="Y768" s="8"/>
      <c r="Z768" s="8"/>
      <c r="AA768" s="8"/>
      <c r="AB768" s="7"/>
      <c r="AD768" s="8"/>
    </row>
    <row r="769" spans="1:30">
      <c r="A769" s="7"/>
      <c r="D769" s="7"/>
      <c r="I769" s="7"/>
      <c r="J769" s="7"/>
      <c r="K769" s="7"/>
      <c r="N769" s="7"/>
      <c r="V769" s="8"/>
      <c r="W769" s="7"/>
      <c r="Y769" s="8"/>
      <c r="Z769" s="8"/>
      <c r="AA769" s="8"/>
      <c r="AB769" s="7"/>
      <c r="AD769" s="8"/>
    </row>
    <row r="770" spans="1:30">
      <c r="A770" s="7"/>
      <c r="D770" s="7"/>
      <c r="I770" s="7"/>
      <c r="J770" s="7"/>
      <c r="K770" s="7"/>
      <c r="N770" s="7"/>
      <c r="V770" s="8"/>
      <c r="W770" s="7"/>
      <c r="Y770" s="8"/>
      <c r="Z770" s="8"/>
      <c r="AA770" s="8"/>
      <c r="AB770" s="7"/>
      <c r="AD770" s="8"/>
    </row>
    <row r="771" spans="1:30">
      <c r="A771" s="7"/>
      <c r="D771" s="7"/>
      <c r="I771" s="7"/>
      <c r="J771" s="7"/>
      <c r="K771" s="7"/>
      <c r="N771" s="7"/>
      <c r="V771" s="8"/>
      <c r="W771" s="7"/>
      <c r="Y771" s="8"/>
      <c r="Z771" s="8"/>
      <c r="AA771" s="8"/>
      <c r="AB771" s="7"/>
      <c r="AD771" s="8"/>
    </row>
    <row r="772" spans="1:30">
      <c r="A772" s="7"/>
      <c r="D772" s="7"/>
      <c r="I772" s="7"/>
      <c r="J772" s="7"/>
      <c r="K772" s="7"/>
      <c r="N772" s="7"/>
      <c r="V772" s="8"/>
      <c r="W772" s="7"/>
      <c r="Y772" s="8"/>
      <c r="Z772" s="8"/>
      <c r="AA772" s="8"/>
      <c r="AB772" s="7"/>
      <c r="AD772" s="8"/>
    </row>
    <row r="773" spans="1:30">
      <c r="A773" s="7"/>
      <c r="D773" s="7"/>
      <c r="I773" s="7"/>
      <c r="J773" s="7"/>
      <c r="K773" s="7"/>
      <c r="N773" s="7"/>
      <c r="V773" s="8"/>
      <c r="W773" s="7"/>
      <c r="Y773" s="8"/>
      <c r="Z773" s="8"/>
      <c r="AA773" s="8"/>
      <c r="AB773" s="7"/>
      <c r="AD773" s="8"/>
    </row>
    <row r="774" spans="1:30">
      <c r="A774" s="7"/>
      <c r="D774" s="7"/>
      <c r="I774" s="7"/>
      <c r="J774" s="7"/>
      <c r="K774" s="7"/>
      <c r="N774" s="7"/>
      <c r="V774" s="8"/>
      <c r="W774" s="7"/>
      <c r="Y774" s="8"/>
      <c r="Z774" s="8"/>
      <c r="AA774" s="8"/>
      <c r="AB774" s="7"/>
      <c r="AD774" s="8"/>
    </row>
    <row r="775" spans="1:30">
      <c r="A775" s="7"/>
      <c r="D775" s="7"/>
      <c r="I775" s="7"/>
      <c r="J775" s="7"/>
      <c r="K775" s="7"/>
      <c r="N775" s="7"/>
      <c r="V775" s="8"/>
      <c r="W775" s="7"/>
      <c r="Y775" s="8"/>
      <c r="Z775" s="8"/>
      <c r="AA775" s="8"/>
      <c r="AB775" s="7"/>
      <c r="AD775" s="8"/>
    </row>
    <row r="776" spans="1:30">
      <c r="A776" s="7"/>
      <c r="D776" s="7"/>
      <c r="I776" s="7"/>
      <c r="J776" s="7"/>
      <c r="K776" s="7"/>
      <c r="N776" s="7"/>
      <c r="V776" s="8"/>
      <c r="W776" s="7"/>
      <c r="Y776" s="8"/>
      <c r="Z776" s="8"/>
      <c r="AA776" s="8"/>
      <c r="AB776" s="7"/>
      <c r="AD776" s="8"/>
    </row>
    <row r="777" spans="1:30">
      <c r="A777" s="7"/>
      <c r="D777" s="7"/>
      <c r="I777" s="7"/>
      <c r="J777" s="7"/>
      <c r="K777" s="7"/>
      <c r="N777" s="7"/>
      <c r="V777" s="8"/>
      <c r="W777" s="7"/>
      <c r="Y777" s="8"/>
      <c r="Z777" s="8"/>
      <c r="AA777" s="8"/>
      <c r="AB777" s="7"/>
      <c r="AD777" s="8"/>
    </row>
    <row r="778" spans="1:30">
      <c r="A778" s="7"/>
      <c r="D778" s="7"/>
      <c r="I778" s="7"/>
      <c r="J778" s="7"/>
      <c r="K778" s="7"/>
      <c r="N778" s="7"/>
      <c r="V778" s="8"/>
      <c r="W778" s="7"/>
      <c r="Y778" s="8"/>
      <c r="Z778" s="8"/>
      <c r="AA778" s="8"/>
      <c r="AB778" s="7"/>
      <c r="AD778" s="8"/>
    </row>
    <row r="779" spans="1:30">
      <c r="A779" s="7"/>
      <c r="D779" s="7"/>
      <c r="I779" s="7"/>
      <c r="J779" s="7"/>
      <c r="K779" s="7"/>
      <c r="N779" s="7"/>
      <c r="V779" s="8"/>
      <c r="W779" s="7"/>
      <c r="Y779" s="8"/>
      <c r="Z779" s="8"/>
      <c r="AA779" s="8"/>
      <c r="AB779" s="7"/>
      <c r="AD779" s="8"/>
    </row>
    <row r="780" spans="1:30">
      <c r="A780" s="7"/>
      <c r="D780" s="7"/>
      <c r="I780" s="7"/>
      <c r="J780" s="7"/>
      <c r="K780" s="7"/>
      <c r="N780" s="7"/>
      <c r="V780" s="8"/>
      <c r="W780" s="7"/>
      <c r="Y780" s="8"/>
      <c r="Z780" s="8"/>
      <c r="AA780" s="8"/>
      <c r="AB780" s="7"/>
      <c r="AD780" s="8"/>
    </row>
    <row r="781" spans="1:30">
      <c r="A781" s="7"/>
      <c r="D781" s="7"/>
      <c r="I781" s="7"/>
      <c r="J781" s="7"/>
      <c r="K781" s="7"/>
      <c r="N781" s="7"/>
      <c r="V781" s="8"/>
      <c r="W781" s="7"/>
      <c r="Y781" s="8"/>
      <c r="Z781" s="8"/>
      <c r="AA781" s="8"/>
      <c r="AB781" s="7"/>
      <c r="AD781" s="8"/>
    </row>
    <row r="782" spans="1:30">
      <c r="A782" s="7"/>
      <c r="D782" s="7"/>
      <c r="I782" s="7"/>
      <c r="J782" s="7"/>
      <c r="K782" s="7"/>
      <c r="N782" s="7"/>
      <c r="V782" s="8"/>
      <c r="W782" s="7"/>
      <c r="Y782" s="8"/>
      <c r="Z782" s="8"/>
      <c r="AA782" s="8"/>
      <c r="AB782" s="7"/>
      <c r="AD782" s="8"/>
    </row>
    <row r="783" spans="1:30">
      <c r="A783" s="7"/>
      <c r="D783" s="7"/>
      <c r="I783" s="7"/>
      <c r="J783" s="7"/>
      <c r="K783" s="7"/>
      <c r="N783" s="7"/>
      <c r="V783" s="8"/>
      <c r="W783" s="7"/>
      <c r="Y783" s="8"/>
      <c r="Z783" s="8"/>
      <c r="AA783" s="8"/>
      <c r="AB783" s="7"/>
      <c r="AD783" s="8"/>
    </row>
    <row r="784" spans="1:30">
      <c r="A784" s="7"/>
      <c r="D784" s="7"/>
      <c r="I784" s="7"/>
      <c r="J784" s="7"/>
      <c r="K784" s="7"/>
      <c r="N784" s="7"/>
      <c r="V784" s="8"/>
      <c r="W784" s="7"/>
      <c r="Y784" s="8"/>
      <c r="Z784" s="8"/>
      <c r="AA784" s="8"/>
      <c r="AB784" s="7"/>
      <c r="AD784" s="8"/>
    </row>
    <row r="785" spans="1:30">
      <c r="A785" s="7"/>
      <c r="D785" s="7"/>
      <c r="I785" s="7"/>
      <c r="J785" s="7"/>
      <c r="K785" s="7"/>
      <c r="N785" s="7"/>
      <c r="V785" s="8"/>
      <c r="W785" s="7"/>
      <c r="Y785" s="8"/>
      <c r="Z785" s="8"/>
      <c r="AA785" s="8"/>
      <c r="AB785" s="7"/>
      <c r="AD785" s="8"/>
    </row>
    <row r="786" spans="1:30">
      <c r="A786" s="7"/>
      <c r="D786" s="7"/>
      <c r="I786" s="7"/>
      <c r="J786" s="7"/>
      <c r="K786" s="7"/>
      <c r="N786" s="7"/>
      <c r="V786" s="8"/>
      <c r="W786" s="7"/>
      <c r="Y786" s="8"/>
      <c r="Z786" s="8"/>
      <c r="AA786" s="8"/>
      <c r="AB786" s="7"/>
      <c r="AD786" s="8"/>
    </row>
    <row r="787" spans="1:30">
      <c r="A787" s="7"/>
      <c r="D787" s="7"/>
      <c r="I787" s="7"/>
      <c r="J787" s="7"/>
      <c r="K787" s="7"/>
      <c r="N787" s="7"/>
      <c r="V787" s="8"/>
      <c r="W787" s="7"/>
      <c r="Y787" s="8"/>
      <c r="Z787" s="8"/>
      <c r="AA787" s="8"/>
      <c r="AB787" s="7"/>
      <c r="AD787" s="8"/>
    </row>
    <row r="788" spans="1:30">
      <c r="A788" s="7"/>
      <c r="D788" s="7"/>
      <c r="I788" s="7"/>
      <c r="J788" s="7"/>
      <c r="K788" s="7"/>
      <c r="N788" s="7"/>
      <c r="V788" s="8"/>
      <c r="W788" s="7"/>
      <c r="Y788" s="8"/>
      <c r="Z788" s="8"/>
      <c r="AA788" s="8"/>
      <c r="AB788" s="7"/>
      <c r="AD788" s="8"/>
    </row>
    <row r="789" spans="1:30">
      <c r="A789" s="7"/>
      <c r="D789" s="7"/>
      <c r="I789" s="7"/>
      <c r="J789" s="7"/>
      <c r="K789" s="7"/>
      <c r="N789" s="7"/>
      <c r="V789" s="8"/>
      <c r="W789" s="7"/>
      <c r="Y789" s="8"/>
      <c r="Z789" s="8"/>
      <c r="AA789" s="8"/>
      <c r="AB789" s="7"/>
      <c r="AD789" s="8"/>
    </row>
    <row r="790" spans="1:30">
      <c r="A790" s="7"/>
      <c r="D790" s="7"/>
      <c r="I790" s="7"/>
      <c r="J790" s="7"/>
      <c r="K790" s="7"/>
      <c r="N790" s="7"/>
      <c r="V790" s="8"/>
      <c r="W790" s="7"/>
      <c r="Y790" s="8"/>
      <c r="Z790" s="8"/>
      <c r="AA790" s="8"/>
      <c r="AB790" s="7"/>
      <c r="AD790" s="8"/>
    </row>
    <row r="791" spans="1:30">
      <c r="A791" s="7"/>
      <c r="D791" s="7"/>
      <c r="I791" s="7"/>
      <c r="J791" s="7"/>
      <c r="K791" s="7"/>
      <c r="N791" s="7"/>
      <c r="V791" s="8"/>
      <c r="W791" s="7"/>
      <c r="Y791" s="8"/>
      <c r="Z791" s="8"/>
      <c r="AA791" s="8"/>
      <c r="AB791" s="7"/>
      <c r="AD791" s="8"/>
    </row>
    <row r="792" spans="1:30">
      <c r="A792" s="7"/>
      <c r="D792" s="7"/>
      <c r="I792" s="7"/>
      <c r="J792" s="7"/>
      <c r="K792" s="7"/>
      <c r="N792" s="7"/>
      <c r="V792" s="8"/>
      <c r="W792" s="7"/>
      <c r="Y792" s="8"/>
      <c r="Z792" s="8"/>
      <c r="AA792" s="8"/>
      <c r="AB792" s="7"/>
      <c r="AD792" s="8"/>
    </row>
    <row r="793" spans="1:30">
      <c r="A793" s="7"/>
      <c r="D793" s="7"/>
      <c r="I793" s="7"/>
      <c r="J793" s="7"/>
      <c r="K793" s="7"/>
      <c r="N793" s="7"/>
      <c r="V793" s="8"/>
      <c r="W793" s="7"/>
      <c r="Y793" s="8"/>
      <c r="Z793" s="8"/>
      <c r="AA793" s="8"/>
      <c r="AB793" s="7"/>
      <c r="AD793" s="8"/>
    </row>
    <row r="794" spans="1:30">
      <c r="A794" s="7"/>
      <c r="D794" s="7"/>
      <c r="I794" s="7"/>
      <c r="J794" s="7"/>
      <c r="K794" s="7"/>
      <c r="N794" s="7"/>
      <c r="V794" s="8"/>
      <c r="W794" s="7"/>
      <c r="Y794" s="8"/>
      <c r="Z794" s="8"/>
      <c r="AA794" s="8"/>
      <c r="AB794" s="7"/>
      <c r="AD794" s="8"/>
    </row>
    <row r="795" spans="1:30">
      <c r="A795" s="7"/>
      <c r="D795" s="7"/>
      <c r="I795" s="7"/>
      <c r="J795" s="7"/>
      <c r="K795" s="7"/>
      <c r="N795" s="7"/>
      <c r="V795" s="8"/>
      <c r="W795" s="7"/>
      <c r="Y795" s="8"/>
      <c r="Z795" s="8"/>
      <c r="AA795" s="8"/>
      <c r="AB795" s="7"/>
      <c r="AD795" s="8"/>
    </row>
    <row r="796" spans="1:30">
      <c r="A796" s="7"/>
      <c r="D796" s="7"/>
      <c r="I796" s="7"/>
      <c r="J796" s="7"/>
      <c r="K796" s="7"/>
      <c r="N796" s="7"/>
      <c r="V796" s="8"/>
      <c r="W796" s="7"/>
      <c r="Y796" s="8"/>
      <c r="Z796" s="8"/>
      <c r="AA796" s="8"/>
      <c r="AB796" s="7"/>
      <c r="AD796" s="8"/>
    </row>
    <row r="797" spans="1:30">
      <c r="A797" s="7"/>
      <c r="D797" s="7"/>
      <c r="I797" s="7"/>
      <c r="J797" s="7"/>
      <c r="K797" s="7"/>
      <c r="N797" s="7"/>
      <c r="V797" s="8"/>
      <c r="W797" s="7"/>
      <c r="Y797" s="8"/>
      <c r="Z797" s="8"/>
      <c r="AA797" s="8"/>
      <c r="AB797" s="7"/>
      <c r="AD797" s="8"/>
    </row>
    <row r="798" spans="1:30">
      <c r="A798" s="7"/>
      <c r="D798" s="7"/>
      <c r="I798" s="7"/>
      <c r="J798" s="7"/>
      <c r="K798" s="7"/>
      <c r="N798" s="7"/>
      <c r="V798" s="8"/>
      <c r="W798" s="7"/>
      <c r="Y798" s="8"/>
      <c r="Z798" s="8"/>
      <c r="AA798" s="8"/>
      <c r="AB798" s="7"/>
      <c r="AD798" s="8"/>
    </row>
    <row r="799" spans="1:30">
      <c r="A799" s="7"/>
      <c r="D799" s="7"/>
      <c r="I799" s="7"/>
      <c r="J799" s="7"/>
      <c r="K799" s="7"/>
      <c r="N799" s="7"/>
      <c r="V799" s="8"/>
      <c r="W799" s="7"/>
      <c r="Y799" s="8"/>
      <c r="Z799" s="8"/>
      <c r="AA799" s="8"/>
      <c r="AB799" s="7"/>
      <c r="AD799" s="8"/>
    </row>
    <row r="800" spans="1:30">
      <c r="A800" s="7"/>
      <c r="D800" s="7"/>
      <c r="I800" s="7"/>
      <c r="J800" s="7"/>
      <c r="K800" s="7"/>
      <c r="N800" s="7"/>
      <c r="V800" s="8"/>
      <c r="W800" s="7"/>
      <c r="Y800" s="8"/>
      <c r="Z800" s="8"/>
      <c r="AA800" s="8"/>
      <c r="AB800" s="7"/>
      <c r="AD800" s="8"/>
    </row>
    <row r="801" spans="1:30">
      <c r="A801" s="7"/>
      <c r="D801" s="7"/>
      <c r="I801" s="7"/>
      <c r="J801" s="7"/>
      <c r="K801" s="7"/>
      <c r="N801" s="7"/>
      <c r="V801" s="8"/>
      <c r="W801" s="7"/>
      <c r="Y801" s="8"/>
      <c r="Z801" s="8"/>
      <c r="AA801" s="8"/>
      <c r="AB801" s="7"/>
      <c r="AD801" s="8"/>
    </row>
    <row r="802" spans="1:30">
      <c r="A802" s="7"/>
      <c r="D802" s="7"/>
      <c r="I802" s="7"/>
      <c r="J802" s="7"/>
      <c r="K802" s="7"/>
      <c r="N802" s="7"/>
      <c r="V802" s="8"/>
      <c r="W802" s="7"/>
      <c r="Y802" s="8"/>
      <c r="Z802" s="8"/>
      <c r="AA802" s="8"/>
      <c r="AB802" s="7"/>
      <c r="AD802" s="8"/>
    </row>
    <row r="803" spans="1:30">
      <c r="A803" s="7"/>
      <c r="D803" s="7"/>
      <c r="I803" s="7"/>
      <c r="J803" s="7"/>
      <c r="K803" s="7"/>
      <c r="N803" s="7"/>
      <c r="V803" s="8"/>
      <c r="W803" s="7"/>
      <c r="Y803" s="8"/>
      <c r="Z803" s="8"/>
      <c r="AA803" s="8"/>
      <c r="AB803" s="7"/>
      <c r="AD803" s="8"/>
    </row>
    <row r="804" spans="1:30">
      <c r="A804" s="7"/>
      <c r="D804" s="7"/>
      <c r="I804" s="7"/>
      <c r="J804" s="7"/>
      <c r="K804" s="7"/>
      <c r="N804" s="7"/>
      <c r="V804" s="8"/>
      <c r="W804" s="7"/>
      <c r="Y804" s="8"/>
      <c r="Z804" s="8"/>
      <c r="AA804" s="8"/>
      <c r="AB804" s="7"/>
      <c r="AD804" s="8"/>
    </row>
    <row r="805" spans="1:30">
      <c r="A805" s="7"/>
      <c r="D805" s="7"/>
      <c r="I805" s="7"/>
      <c r="J805" s="7"/>
      <c r="K805" s="7"/>
      <c r="N805" s="7"/>
      <c r="V805" s="8"/>
      <c r="W805" s="7"/>
      <c r="Y805" s="8"/>
      <c r="Z805" s="8"/>
      <c r="AA805" s="8"/>
      <c r="AB805" s="7"/>
      <c r="AD805" s="8"/>
    </row>
    <row r="806" spans="1:30">
      <c r="A806" s="7"/>
      <c r="D806" s="7"/>
      <c r="I806" s="7"/>
      <c r="J806" s="7"/>
      <c r="K806" s="7"/>
      <c r="N806" s="7"/>
      <c r="V806" s="8"/>
      <c r="W806" s="7"/>
      <c r="Y806" s="8"/>
      <c r="Z806" s="8"/>
      <c r="AA806" s="8"/>
      <c r="AB806" s="7"/>
      <c r="AD806" s="8"/>
    </row>
    <row r="807" spans="1:30">
      <c r="A807" s="7"/>
      <c r="D807" s="7"/>
      <c r="I807" s="7"/>
      <c r="J807" s="7"/>
      <c r="K807" s="7"/>
      <c r="N807" s="7"/>
      <c r="V807" s="8"/>
      <c r="W807" s="7"/>
      <c r="Y807" s="8"/>
      <c r="Z807" s="8"/>
      <c r="AA807" s="8"/>
      <c r="AB807" s="7"/>
      <c r="AD807" s="8"/>
    </row>
    <row r="808" spans="1:30">
      <c r="A808" s="7"/>
      <c r="D808" s="7"/>
      <c r="I808" s="7"/>
      <c r="J808" s="7"/>
      <c r="K808" s="7"/>
      <c r="N808" s="7"/>
      <c r="V808" s="8"/>
      <c r="W808" s="7"/>
      <c r="Y808" s="8"/>
      <c r="Z808" s="8"/>
      <c r="AA808" s="8"/>
      <c r="AB808" s="7"/>
      <c r="AD808" s="8"/>
    </row>
    <row r="809" spans="1:30">
      <c r="A809" s="7"/>
      <c r="D809" s="7"/>
      <c r="I809" s="7"/>
      <c r="J809" s="7"/>
      <c r="K809" s="7"/>
      <c r="N809" s="7"/>
      <c r="V809" s="8"/>
      <c r="W809" s="7"/>
      <c r="Y809" s="8"/>
      <c r="Z809" s="8"/>
      <c r="AA809" s="8"/>
      <c r="AB809" s="7"/>
      <c r="AD809" s="8"/>
    </row>
    <row r="810" spans="1:30">
      <c r="A810" s="7"/>
      <c r="D810" s="7"/>
      <c r="I810" s="7"/>
      <c r="J810" s="7"/>
      <c r="K810" s="7"/>
      <c r="N810" s="7"/>
      <c r="V810" s="8"/>
      <c r="W810" s="7"/>
      <c r="Y810" s="8"/>
      <c r="Z810" s="8"/>
      <c r="AA810" s="8"/>
      <c r="AB810" s="7"/>
      <c r="AD810" s="8"/>
    </row>
    <row r="811" spans="1:30">
      <c r="A811" s="7"/>
      <c r="D811" s="7"/>
      <c r="I811" s="7"/>
      <c r="J811" s="7"/>
      <c r="K811" s="7"/>
      <c r="N811" s="7"/>
      <c r="V811" s="8"/>
      <c r="W811" s="7"/>
      <c r="Y811" s="8"/>
      <c r="Z811" s="8"/>
      <c r="AA811" s="8"/>
      <c r="AB811" s="7"/>
      <c r="AD811" s="8"/>
    </row>
    <row r="812" spans="1:30">
      <c r="A812" s="7"/>
      <c r="D812" s="7"/>
      <c r="I812" s="7"/>
      <c r="J812" s="7"/>
      <c r="K812" s="7"/>
      <c r="N812" s="7"/>
      <c r="V812" s="8"/>
      <c r="W812" s="7"/>
      <c r="Y812" s="8"/>
      <c r="Z812" s="8"/>
      <c r="AA812" s="8"/>
      <c r="AB812" s="7"/>
      <c r="AD812" s="8"/>
    </row>
    <row r="813" spans="1:30">
      <c r="A813" s="7"/>
      <c r="D813" s="7"/>
      <c r="I813" s="7"/>
      <c r="J813" s="7"/>
      <c r="K813" s="7"/>
      <c r="N813" s="7"/>
      <c r="V813" s="8"/>
      <c r="W813" s="7"/>
      <c r="Y813" s="8"/>
      <c r="Z813" s="8"/>
      <c r="AA813" s="8"/>
      <c r="AB813" s="7"/>
      <c r="AD813" s="8"/>
    </row>
    <row r="814" spans="1:30">
      <c r="A814" s="7"/>
      <c r="D814" s="7"/>
      <c r="I814" s="7"/>
      <c r="J814" s="7"/>
      <c r="K814" s="7"/>
      <c r="N814" s="7"/>
      <c r="V814" s="8"/>
      <c r="W814" s="7"/>
      <c r="Y814" s="8"/>
      <c r="Z814" s="8"/>
      <c r="AA814" s="8"/>
      <c r="AB814" s="7"/>
      <c r="AD814" s="8"/>
    </row>
    <row r="815" spans="1:30">
      <c r="A815" s="7"/>
      <c r="D815" s="7"/>
      <c r="I815" s="7"/>
      <c r="J815" s="7"/>
      <c r="K815" s="7"/>
      <c r="N815" s="7"/>
      <c r="V815" s="8"/>
      <c r="W815" s="7"/>
      <c r="Y815" s="8"/>
      <c r="Z815" s="8"/>
      <c r="AA815" s="8"/>
      <c r="AB815" s="7"/>
      <c r="AD815" s="8"/>
    </row>
    <row r="816" spans="1:30">
      <c r="A816" s="7"/>
      <c r="D816" s="7"/>
      <c r="I816" s="7"/>
      <c r="J816" s="7"/>
      <c r="K816" s="7"/>
      <c r="N816" s="7"/>
      <c r="V816" s="8"/>
      <c r="W816" s="7"/>
      <c r="Y816" s="8"/>
      <c r="Z816" s="8"/>
      <c r="AA816" s="8"/>
      <c r="AB816" s="7"/>
      <c r="AD816" s="8"/>
    </row>
    <row r="817" spans="1:30">
      <c r="A817" s="7"/>
      <c r="D817" s="7"/>
      <c r="I817" s="7"/>
      <c r="J817" s="7"/>
      <c r="K817" s="7"/>
      <c r="N817" s="7"/>
      <c r="V817" s="8"/>
      <c r="W817" s="7"/>
      <c r="Y817" s="8"/>
      <c r="Z817" s="8"/>
      <c r="AA817" s="8"/>
      <c r="AB817" s="7"/>
      <c r="AD817" s="8"/>
    </row>
    <row r="818" spans="1:30">
      <c r="A818" s="7"/>
      <c r="D818" s="7"/>
      <c r="I818" s="7"/>
      <c r="J818" s="7"/>
      <c r="K818" s="7"/>
      <c r="N818" s="7"/>
      <c r="V818" s="8"/>
      <c r="W818" s="7"/>
      <c r="Y818" s="8"/>
      <c r="Z818" s="8"/>
      <c r="AA818" s="8"/>
      <c r="AB818" s="7"/>
      <c r="AD818" s="8"/>
    </row>
    <row r="819" spans="1:30">
      <c r="A819" s="7"/>
      <c r="D819" s="7"/>
      <c r="I819" s="7"/>
      <c r="J819" s="7"/>
      <c r="K819" s="7"/>
      <c r="N819" s="7"/>
      <c r="V819" s="8"/>
      <c r="W819" s="7"/>
      <c r="Y819" s="8"/>
      <c r="Z819" s="8"/>
      <c r="AA819" s="8"/>
      <c r="AB819" s="7"/>
      <c r="AD819" s="8"/>
    </row>
    <row r="820" spans="1:30">
      <c r="A820" s="7"/>
      <c r="D820" s="7"/>
      <c r="I820" s="7"/>
      <c r="J820" s="7"/>
      <c r="K820" s="7"/>
      <c r="N820" s="7"/>
      <c r="V820" s="8"/>
      <c r="W820" s="7"/>
      <c r="Y820" s="8"/>
      <c r="Z820" s="8"/>
      <c r="AA820" s="8"/>
      <c r="AB820" s="7"/>
      <c r="AD820" s="8"/>
    </row>
    <row r="821" spans="1:30">
      <c r="A821" s="7"/>
      <c r="D821" s="7"/>
      <c r="I821" s="7"/>
      <c r="J821" s="7"/>
      <c r="K821" s="7"/>
      <c r="N821" s="7"/>
      <c r="V821" s="8"/>
      <c r="W821" s="7"/>
      <c r="Y821" s="8"/>
      <c r="Z821" s="8"/>
      <c r="AA821" s="8"/>
      <c r="AB821" s="7"/>
      <c r="AD821" s="8"/>
    </row>
    <row r="822" spans="1:30">
      <c r="A822" s="7"/>
      <c r="D822" s="7"/>
      <c r="I822" s="7"/>
      <c r="J822" s="7"/>
      <c r="K822" s="7"/>
      <c r="N822" s="7"/>
      <c r="V822" s="8"/>
      <c r="W822" s="7"/>
      <c r="Y822" s="8"/>
      <c r="Z822" s="8"/>
      <c r="AA822" s="8"/>
      <c r="AB822" s="7"/>
      <c r="AD822" s="8"/>
    </row>
    <row r="823" spans="1:30">
      <c r="A823" s="7"/>
      <c r="D823" s="7"/>
      <c r="I823" s="7"/>
      <c r="J823" s="7"/>
      <c r="K823" s="7"/>
      <c r="N823" s="7"/>
      <c r="V823" s="8"/>
      <c r="W823" s="7"/>
      <c r="Y823" s="8"/>
      <c r="Z823" s="8"/>
      <c r="AA823" s="8"/>
      <c r="AB823" s="7"/>
      <c r="AD823" s="8"/>
    </row>
    <row r="824" spans="1:30">
      <c r="A824" s="7"/>
      <c r="D824" s="7"/>
      <c r="I824" s="7"/>
      <c r="J824" s="7"/>
      <c r="K824" s="7"/>
      <c r="N824" s="7"/>
      <c r="V824" s="8"/>
      <c r="W824" s="7"/>
      <c r="Y824" s="8"/>
      <c r="Z824" s="8"/>
      <c r="AA824" s="8"/>
      <c r="AB824" s="7"/>
      <c r="AD824" s="8"/>
    </row>
    <row r="825" spans="1:30">
      <c r="A825" s="7"/>
      <c r="D825" s="7"/>
      <c r="I825" s="7"/>
      <c r="J825" s="7"/>
      <c r="K825" s="7"/>
      <c r="N825" s="7"/>
      <c r="V825" s="8"/>
      <c r="W825" s="7"/>
      <c r="Y825" s="8"/>
      <c r="Z825" s="8"/>
      <c r="AA825" s="8"/>
      <c r="AB825" s="7"/>
      <c r="AD825" s="8"/>
    </row>
    <row r="826" spans="1:30">
      <c r="A826" s="7"/>
      <c r="D826" s="7"/>
      <c r="I826" s="7"/>
      <c r="J826" s="7"/>
      <c r="K826" s="7"/>
      <c r="N826" s="7"/>
      <c r="V826" s="8"/>
      <c r="W826" s="7"/>
      <c r="Y826" s="8"/>
      <c r="Z826" s="8"/>
      <c r="AA826" s="8"/>
      <c r="AB826" s="7"/>
      <c r="AD826" s="8"/>
    </row>
    <row r="827" spans="1:30">
      <c r="A827" s="7"/>
      <c r="D827" s="7"/>
      <c r="I827" s="7"/>
      <c r="J827" s="7"/>
      <c r="K827" s="7"/>
      <c r="N827" s="7"/>
      <c r="V827" s="8"/>
      <c r="W827" s="7"/>
      <c r="Y827" s="8"/>
      <c r="Z827" s="8"/>
      <c r="AA827" s="8"/>
      <c r="AB827" s="7"/>
      <c r="AD827" s="8"/>
    </row>
    <row r="828" spans="1:30">
      <c r="A828" s="7"/>
      <c r="D828" s="7"/>
      <c r="I828" s="7"/>
      <c r="J828" s="7"/>
      <c r="K828" s="7"/>
      <c r="N828" s="7"/>
      <c r="V828" s="8"/>
      <c r="W828" s="7"/>
      <c r="Y828" s="8"/>
      <c r="Z828" s="8"/>
      <c r="AA828" s="8"/>
      <c r="AB828" s="7"/>
      <c r="AD828" s="8"/>
    </row>
    <row r="829" spans="1:30">
      <c r="A829" s="7"/>
      <c r="D829" s="7"/>
      <c r="I829" s="7"/>
      <c r="J829" s="7"/>
      <c r="K829" s="7"/>
      <c r="N829" s="7"/>
      <c r="V829" s="8"/>
      <c r="W829" s="7"/>
      <c r="Y829" s="8"/>
      <c r="Z829" s="8"/>
      <c r="AA829" s="8"/>
      <c r="AB829" s="7"/>
      <c r="AD829" s="8"/>
    </row>
    <row r="830" spans="1:30">
      <c r="A830" s="7"/>
      <c r="D830" s="7"/>
      <c r="I830" s="7"/>
      <c r="J830" s="7"/>
      <c r="K830" s="7"/>
      <c r="N830" s="7"/>
      <c r="V830" s="8"/>
      <c r="W830" s="7"/>
      <c r="Y830" s="8"/>
      <c r="Z830" s="8"/>
      <c r="AA830" s="8"/>
      <c r="AB830" s="7"/>
      <c r="AD830" s="8"/>
    </row>
    <row r="831" spans="1:30">
      <c r="A831" s="7"/>
      <c r="D831" s="7"/>
      <c r="I831" s="7"/>
      <c r="J831" s="7"/>
      <c r="K831" s="7"/>
      <c r="N831" s="7"/>
      <c r="V831" s="8"/>
      <c r="W831" s="7"/>
      <c r="Y831" s="8"/>
      <c r="Z831" s="8"/>
      <c r="AA831" s="8"/>
      <c r="AB831" s="7"/>
      <c r="AD831" s="8"/>
    </row>
    <row r="832" spans="1:30">
      <c r="A832" s="7"/>
      <c r="D832" s="7"/>
      <c r="I832" s="7"/>
      <c r="J832" s="7"/>
      <c r="K832" s="7"/>
      <c r="N832" s="7"/>
      <c r="V832" s="8"/>
      <c r="W832" s="7"/>
      <c r="Y832" s="8"/>
      <c r="Z832" s="8"/>
      <c r="AA832" s="8"/>
      <c r="AB832" s="7"/>
      <c r="AD832" s="8"/>
    </row>
    <row r="833" spans="1:30">
      <c r="A833" s="7"/>
      <c r="D833" s="7"/>
      <c r="I833" s="7"/>
      <c r="J833" s="7"/>
      <c r="K833" s="7"/>
      <c r="N833" s="7"/>
      <c r="V833" s="8"/>
      <c r="W833" s="7"/>
      <c r="Y833" s="8"/>
      <c r="Z833" s="8"/>
      <c r="AA833" s="8"/>
      <c r="AB833" s="7"/>
      <c r="AD833" s="8"/>
    </row>
    <row r="834" spans="1:30">
      <c r="A834" s="7"/>
      <c r="D834" s="7"/>
      <c r="I834" s="7"/>
      <c r="J834" s="7"/>
      <c r="K834" s="7"/>
      <c r="N834" s="7"/>
      <c r="V834" s="8"/>
      <c r="W834" s="7"/>
      <c r="Y834" s="8"/>
      <c r="Z834" s="8"/>
      <c r="AA834" s="8"/>
      <c r="AB834" s="7"/>
      <c r="AD834" s="8"/>
    </row>
    <row r="835" spans="1:30">
      <c r="A835" s="7"/>
      <c r="D835" s="7"/>
      <c r="I835" s="7"/>
      <c r="J835" s="7"/>
      <c r="K835" s="7"/>
      <c r="N835" s="7"/>
      <c r="V835" s="8"/>
      <c r="W835" s="7"/>
      <c r="Y835" s="8"/>
      <c r="Z835" s="8"/>
      <c r="AA835" s="8"/>
      <c r="AB835" s="7"/>
      <c r="AD835" s="8"/>
    </row>
    <row r="836" spans="1:30">
      <c r="A836" s="7"/>
      <c r="D836" s="7"/>
      <c r="I836" s="7"/>
      <c r="J836" s="7"/>
      <c r="K836" s="7"/>
      <c r="N836" s="7"/>
      <c r="V836" s="8"/>
      <c r="W836" s="7"/>
      <c r="Y836" s="8"/>
      <c r="Z836" s="8"/>
      <c r="AA836" s="8"/>
      <c r="AB836" s="7"/>
      <c r="AD836" s="8"/>
    </row>
    <row r="837" spans="1:30">
      <c r="A837" s="7"/>
      <c r="D837" s="7"/>
      <c r="I837" s="7"/>
      <c r="J837" s="7"/>
      <c r="K837" s="7"/>
      <c r="N837" s="7"/>
      <c r="V837" s="8"/>
      <c r="W837" s="7"/>
      <c r="Y837" s="8"/>
      <c r="Z837" s="8"/>
      <c r="AA837" s="8"/>
      <c r="AB837" s="7"/>
      <c r="AD837" s="8"/>
    </row>
    <row r="838" spans="1:30">
      <c r="A838" s="7"/>
      <c r="D838" s="7"/>
      <c r="I838" s="7"/>
      <c r="J838" s="7"/>
      <c r="K838" s="7"/>
      <c r="N838" s="7"/>
      <c r="V838" s="8"/>
      <c r="W838" s="7"/>
      <c r="Y838" s="8"/>
      <c r="Z838" s="8"/>
      <c r="AA838" s="8"/>
      <c r="AB838" s="7"/>
      <c r="AD838" s="8"/>
    </row>
    <row r="839" spans="1:30">
      <c r="A839" s="7"/>
      <c r="D839" s="7"/>
      <c r="I839" s="7"/>
      <c r="J839" s="7"/>
      <c r="K839" s="7"/>
      <c r="N839" s="7"/>
      <c r="V839" s="8"/>
      <c r="W839" s="7"/>
      <c r="Y839" s="8"/>
      <c r="Z839" s="8"/>
      <c r="AA839" s="8"/>
      <c r="AB839" s="7"/>
      <c r="AD839" s="8"/>
    </row>
    <row r="840" spans="1:30">
      <c r="A840" s="7"/>
      <c r="D840" s="7"/>
      <c r="I840" s="7"/>
      <c r="J840" s="7"/>
      <c r="K840" s="7"/>
      <c r="N840" s="7"/>
      <c r="V840" s="8"/>
      <c r="W840" s="7"/>
      <c r="Y840" s="8"/>
      <c r="Z840" s="8"/>
      <c r="AA840" s="8"/>
      <c r="AB840" s="7"/>
      <c r="AD840" s="8"/>
    </row>
    <row r="841" spans="1:30">
      <c r="A841" s="7"/>
      <c r="D841" s="7"/>
      <c r="I841" s="7"/>
      <c r="J841" s="7"/>
      <c r="K841" s="7"/>
      <c r="N841" s="7"/>
      <c r="V841" s="8"/>
      <c r="W841" s="7"/>
      <c r="Y841" s="8"/>
      <c r="Z841" s="8"/>
      <c r="AA841" s="8"/>
      <c r="AB841" s="7"/>
      <c r="AD841" s="8"/>
    </row>
    <row r="842" spans="1:30">
      <c r="A842" s="7"/>
      <c r="D842" s="7"/>
      <c r="I842" s="7"/>
      <c r="J842" s="7"/>
      <c r="K842" s="7"/>
      <c r="N842" s="7"/>
      <c r="V842" s="8"/>
      <c r="W842" s="7"/>
      <c r="Y842" s="8"/>
      <c r="Z842" s="8"/>
      <c r="AA842" s="8"/>
      <c r="AB842" s="7"/>
      <c r="AD842" s="8"/>
    </row>
    <row r="843" spans="1:30">
      <c r="A843" s="7"/>
      <c r="D843" s="7"/>
      <c r="I843" s="7"/>
      <c r="J843" s="7"/>
      <c r="K843" s="7"/>
      <c r="N843" s="7"/>
      <c r="V843" s="8"/>
      <c r="W843" s="7"/>
      <c r="Y843" s="8"/>
      <c r="Z843" s="8"/>
      <c r="AA843" s="8"/>
      <c r="AB843" s="7"/>
      <c r="AD843" s="8"/>
    </row>
    <row r="844" spans="1:30">
      <c r="A844" s="7"/>
      <c r="D844" s="7"/>
      <c r="I844" s="7"/>
      <c r="J844" s="7"/>
      <c r="K844" s="7"/>
      <c r="N844" s="7"/>
      <c r="V844" s="8"/>
      <c r="W844" s="7"/>
      <c r="Y844" s="8"/>
      <c r="Z844" s="8"/>
      <c r="AA844" s="8"/>
      <c r="AB844" s="7"/>
      <c r="AD844" s="8"/>
    </row>
    <row r="845" spans="1:30">
      <c r="A845" s="7"/>
      <c r="D845" s="7"/>
      <c r="I845" s="7"/>
      <c r="J845" s="7"/>
      <c r="K845" s="7"/>
      <c r="N845" s="7"/>
      <c r="V845" s="8"/>
      <c r="W845" s="7"/>
      <c r="Y845" s="8"/>
      <c r="Z845" s="8"/>
      <c r="AA845" s="8"/>
      <c r="AB845" s="7"/>
      <c r="AD845" s="8"/>
    </row>
    <row r="846" spans="1:30">
      <c r="A846" s="7"/>
      <c r="D846" s="7"/>
      <c r="I846" s="7"/>
      <c r="J846" s="7"/>
      <c r="K846" s="7"/>
      <c r="N846" s="7"/>
      <c r="V846" s="8"/>
      <c r="W846" s="7"/>
      <c r="Y846" s="8"/>
      <c r="Z846" s="8"/>
      <c r="AA846" s="8"/>
      <c r="AB846" s="7"/>
      <c r="AD846" s="8"/>
    </row>
    <row r="847" spans="1:30">
      <c r="A847" s="7"/>
      <c r="D847" s="7"/>
      <c r="I847" s="7"/>
      <c r="J847" s="7"/>
      <c r="K847" s="7"/>
      <c r="N847" s="7"/>
      <c r="V847" s="8"/>
      <c r="W847" s="7"/>
      <c r="Y847" s="8"/>
      <c r="Z847" s="8"/>
      <c r="AA847" s="8"/>
      <c r="AB847" s="7"/>
      <c r="AD847" s="8"/>
    </row>
    <row r="848" spans="1:30">
      <c r="A848" s="7"/>
      <c r="D848" s="7"/>
      <c r="I848" s="7"/>
      <c r="J848" s="7"/>
      <c r="K848" s="7"/>
      <c r="N848" s="7"/>
      <c r="V848" s="8"/>
      <c r="W848" s="7"/>
      <c r="Y848" s="8"/>
      <c r="Z848" s="8"/>
      <c r="AA848" s="8"/>
      <c r="AB848" s="7"/>
      <c r="AD848" s="8"/>
    </row>
    <row r="849" spans="1:30">
      <c r="A849" s="7"/>
      <c r="D849" s="7"/>
      <c r="I849" s="7"/>
      <c r="J849" s="7"/>
      <c r="K849" s="7"/>
      <c r="N849" s="7"/>
      <c r="V849" s="8"/>
      <c r="W849" s="7"/>
      <c r="Y849" s="8"/>
      <c r="Z849" s="8"/>
      <c r="AA849" s="8"/>
      <c r="AB849" s="7"/>
      <c r="AD849" s="8"/>
    </row>
    <row r="850" spans="1:30">
      <c r="A850" s="7"/>
      <c r="D850" s="7"/>
      <c r="I850" s="7"/>
      <c r="J850" s="7"/>
      <c r="K850" s="7"/>
      <c r="N850" s="7"/>
      <c r="V850" s="8"/>
      <c r="W850" s="7"/>
      <c r="Y850" s="8"/>
      <c r="Z850" s="8"/>
      <c r="AA850" s="8"/>
      <c r="AB850" s="7"/>
      <c r="AD850" s="8"/>
    </row>
    <row r="851" spans="1:30">
      <c r="A851" s="7"/>
      <c r="D851" s="7"/>
      <c r="I851" s="7"/>
      <c r="J851" s="7"/>
      <c r="K851" s="7"/>
      <c r="N851" s="7"/>
      <c r="V851" s="8"/>
      <c r="W851" s="7"/>
      <c r="Y851" s="8"/>
      <c r="Z851" s="8"/>
      <c r="AA851" s="8"/>
      <c r="AB851" s="7"/>
      <c r="AD851" s="8"/>
    </row>
    <row r="852" spans="1:30">
      <c r="A852" s="7"/>
      <c r="D852" s="7"/>
      <c r="I852" s="7"/>
      <c r="J852" s="7"/>
      <c r="K852" s="7"/>
      <c r="N852" s="7"/>
      <c r="V852" s="8"/>
      <c r="W852" s="7"/>
      <c r="Y852" s="8"/>
      <c r="Z852" s="8"/>
      <c r="AA852" s="8"/>
      <c r="AB852" s="7"/>
      <c r="AD852" s="8"/>
    </row>
    <row r="853" spans="1:30">
      <c r="A853" s="7"/>
      <c r="D853" s="7"/>
      <c r="I853" s="7"/>
      <c r="J853" s="7"/>
      <c r="K853" s="7"/>
      <c r="N853" s="7"/>
      <c r="V853" s="8"/>
      <c r="W853" s="7"/>
      <c r="Y853" s="8"/>
      <c r="Z853" s="8"/>
      <c r="AA853" s="8"/>
      <c r="AB853" s="7"/>
      <c r="AD853" s="8"/>
    </row>
    <row r="854" spans="1:30">
      <c r="A854" s="7"/>
      <c r="D854" s="7"/>
      <c r="I854" s="7"/>
      <c r="J854" s="7"/>
      <c r="K854" s="7"/>
      <c r="N854" s="7"/>
      <c r="V854" s="8"/>
      <c r="W854" s="7"/>
      <c r="Y854" s="8"/>
      <c r="Z854" s="8"/>
      <c r="AA854" s="8"/>
      <c r="AB854" s="7"/>
      <c r="AD854" s="8"/>
    </row>
    <row r="855" spans="1:30">
      <c r="A855" s="7"/>
      <c r="D855" s="7"/>
      <c r="I855" s="7"/>
      <c r="J855" s="7"/>
      <c r="K855" s="7"/>
      <c r="N855" s="7"/>
      <c r="V855" s="8"/>
      <c r="W855" s="7"/>
      <c r="Y855" s="8"/>
      <c r="Z855" s="8"/>
      <c r="AA855" s="8"/>
      <c r="AB855" s="7"/>
      <c r="AD855" s="8"/>
    </row>
    <row r="856" spans="1:30">
      <c r="A856" s="7"/>
      <c r="D856" s="7"/>
      <c r="I856" s="7"/>
      <c r="J856" s="7"/>
      <c r="K856" s="7"/>
      <c r="N856" s="7"/>
      <c r="V856" s="8"/>
      <c r="W856" s="7"/>
      <c r="Y856" s="8"/>
      <c r="Z856" s="8"/>
      <c r="AA856" s="8"/>
      <c r="AB856" s="7"/>
      <c r="AD856" s="8"/>
    </row>
    <row r="857" spans="1:30">
      <c r="A857" s="7"/>
      <c r="D857" s="7"/>
      <c r="I857" s="7"/>
      <c r="J857" s="7"/>
      <c r="K857" s="7"/>
      <c r="N857" s="7"/>
      <c r="V857" s="8"/>
      <c r="W857" s="7"/>
      <c r="Y857" s="8"/>
      <c r="Z857" s="8"/>
      <c r="AA857" s="8"/>
      <c r="AB857" s="7"/>
      <c r="AD857" s="8"/>
    </row>
    <row r="858" spans="1:30">
      <c r="A858" s="7"/>
      <c r="D858" s="7"/>
      <c r="I858" s="7"/>
      <c r="J858" s="7"/>
      <c r="K858" s="7"/>
      <c r="N858" s="7"/>
      <c r="V858" s="8"/>
      <c r="W858" s="7"/>
      <c r="Y858" s="8"/>
      <c r="Z858" s="8"/>
      <c r="AA858" s="8"/>
      <c r="AB858" s="7"/>
      <c r="AD858" s="8"/>
    </row>
    <row r="859" spans="1:30">
      <c r="A859" s="7"/>
      <c r="D859" s="7"/>
      <c r="I859" s="7"/>
      <c r="J859" s="7"/>
      <c r="K859" s="7"/>
      <c r="N859" s="7"/>
      <c r="V859" s="8"/>
      <c r="W859" s="7"/>
      <c r="Y859" s="8"/>
      <c r="Z859" s="8"/>
      <c r="AA859" s="8"/>
      <c r="AB859" s="7"/>
      <c r="AD859" s="8"/>
    </row>
    <row r="860" spans="1:30">
      <c r="A860" s="7"/>
      <c r="D860" s="7"/>
      <c r="I860" s="7"/>
      <c r="J860" s="7"/>
      <c r="K860" s="7"/>
      <c r="N860" s="7"/>
      <c r="V860" s="8"/>
      <c r="W860" s="7"/>
      <c r="Y860" s="8"/>
      <c r="Z860" s="8"/>
      <c r="AA860" s="8"/>
      <c r="AB860" s="7"/>
      <c r="AD860" s="8"/>
    </row>
    <row r="861" spans="1:30">
      <c r="A861" s="7"/>
      <c r="D861" s="7"/>
      <c r="I861" s="7"/>
      <c r="J861" s="7"/>
      <c r="K861" s="7"/>
      <c r="N861" s="7"/>
      <c r="V861" s="8"/>
      <c r="W861" s="7"/>
      <c r="Y861" s="8"/>
      <c r="Z861" s="8"/>
      <c r="AA861" s="8"/>
      <c r="AB861" s="7"/>
      <c r="AD861" s="8"/>
    </row>
    <row r="862" spans="1:30">
      <c r="A862" s="7"/>
      <c r="D862" s="7"/>
      <c r="I862" s="7"/>
      <c r="J862" s="7"/>
      <c r="K862" s="7"/>
      <c r="N862" s="7"/>
      <c r="V862" s="8"/>
      <c r="W862" s="7"/>
      <c r="Y862" s="8"/>
      <c r="Z862" s="8"/>
      <c r="AA862" s="8"/>
      <c r="AB862" s="7"/>
      <c r="AD862" s="8"/>
    </row>
    <row r="863" spans="1:30">
      <c r="A863" s="7"/>
      <c r="D863" s="7"/>
      <c r="I863" s="7"/>
      <c r="J863" s="7"/>
      <c r="K863" s="7"/>
      <c r="N863" s="7"/>
      <c r="V863" s="8"/>
      <c r="W863" s="7"/>
      <c r="Y863" s="8"/>
      <c r="Z863" s="8"/>
      <c r="AA863" s="8"/>
      <c r="AB863" s="7"/>
      <c r="AD863" s="8"/>
    </row>
    <row r="864" spans="1:30">
      <c r="A864" s="7"/>
      <c r="D864" s="7"/>
      <c r="I864" s="7"/>
      <c r="J864" s="7"/>
      <c r="K864" s="7"/>
      <c r="N864" s="7"/>
      <c r="V864" s="8"/>
      <c r="W864" s="7"/>
      <c r="Y864" s="8"/>
      <c r="Z864" s="8"/>
      <c r="AA864" s="8"/>
      <c r="AB864" s="7"/>
      <c r="AD864" s="8"/>
    </row>
    <row r="865" spans="1:30">
      <c r="A865" s="7"/>
      <c r="D865" s="7"/>
      <c r="I865" s="7"/>
      <c r="J865" s="7"/>
      <c r="K865" s="7"/>
      <c r="N865" s="7"/>
      <c r="V865" s="8"/>
      <c r="W865" s="7"/>
      <c r="Y865" s="8"/>
      <c r="Z865" s="8"/>
      <c r="AA865" s="8"/>
      <c r="AB865" s="7"/>
      <c r="AD865" s="8"/>
    </row>
    <row r="866" spans="1:30">
      <c r="A866" s="7"/>
      <c r="D866" s="7"/>
      <c r="I866" s="7"/>
      <c r="J866" s="7"/>
      <c r="K866" s="7"/>
      <c r="N866" s="7"/>
      <c r="V866" s="8"/>
      <c r="W866" s="7"/>
      <c r="Y866" s="8"/>
      <c r="Z866" s="8"/>
      <c r="AA866" s="8"/>
      <c r="AB866" s="7"/>
      <c r="AD866" s="8"/>
    </row>
    <row r="867" spans="1:30">
      <c r="A867" s="7"/>
      <c r="D867" s="7"/>
      <c r="I867" s="7"/>
      <c r="J867" s="7"/>
      <c r="K867" s="7"/>
      <c r="N867" s="7"/>
      <c r="V867" s="8"/>
      <c r="W867" s="7"/>
      <c r="Y867" s="8"/>
      <c r="Z867" s="8"/>
      <c r="AA867" s="8"/>
      <c r="AB867" s="7"/>
      <c r="AD867" s="8"/>
    </row>
    <row r="868" spans="1:30">
      <c r="A868" s="7"/>
      <c r="D868" s="7"/>
      <c r="I868" s="7"/>
      <c r="J868" s="7"/>
      <c r="K868" s="7"/>
      <c r="N868" s="7"/>
      <c r="V868" s="8"/>
      <c r="W868" s="7"/>
      <c r="Y868" s="8"/>
      <c r="Z868" s="8"/>
      <c r="AA868" s="8"/>
      <c r="AB868" s="7"/>
      <c r="AD868" s="8"/>
    </row>
    <row r="869" spans="1:30">
      <c r="A869" s="7"/>
      <c r="D869" s="7"/>
      <c r="I869" s="7"/>
      <c r="J869" s="7"/>
      <c r="K869" s="7"/>
      <c r="N869" s="7"/>
      <c r="V869" s="8"/>
      <c r="W869" s="7"/>
      <c r="Y869" s="8"/>
      <c r="Z869" s="8"/>
      <c r="AA869" s="8"/>
      <c r="AB869" s="7"/>
      <c r="AD869" s="8"/>
    </row>
    <row r="870" spans="1:30">
      <c r="A870" s="7"/>
      <c r="D870" s="7"/>
      <c r="I870" s="7"/>
      <c r="J870" s="7"/>
      <c r="K870" s="7"/>
      <c r="N870" s="7"/>
      <c r="V870" s="8"/>
      <c r="W870" s="7"/>
      <c r="Y870" s="8"/>
      <c r="Z870" s="8"/>
      <c r="AA870" s="8"/>
      <c r="AB870" s="7"/>
      <c r="AD870" s="8"/>
    </row>
    <row r="871" spans="1:30">
      <c r="A871" s="7"/>
      <c r="D871" s="7"/>
      <c r="I871" s="7"/>
      <c r="J871" s="7"/>
      <c r="K871" s="7"/>
      <c r="N871" s="7"/>
      <c r="V871" s="8"/>
      <c r="W871" s="7"/>
      <c r="Y871" s="8"/>
      <c r="Z871" s="8"/>
      <c r="AA871" s="8"/>
      <c r="AB871" s="7"/>
      <c r="AD871" s="8"/>
    </row>
    <row r="872" spans="1:30">
      <c r="A872" s="7"/>
      <c r="D872" s="7"/>
      <c r="I872" s="7"/>
      <c r="J872" s="7"/>
      <c r="K872" s="7"/>
      <c r="N872" s="7"/>
      <c r="V872" s="8"/>
      <c r="W872" s="7"/>
      <c r="Y872" s="8"/>
      <c r="Z872" s="8"/>
      <c r="AA872" s="8"/>
      <c r="AB872" s="7"/>
      <c r="AD872" s="8"/>
    </row>
    <row r="873" spans="1:30">
      <c r="A873" s="7"/>
      <c r="D873" s="7"/>
      <c r="I873" s="7"/>
      <c r="J873" s="7"/>
      <c r="K873" s="7"/>
      <c r="N873" s="7"/>
      <c r="V873" s="8"/>
      <c r="W873" s="7"/>
      <c r="Y873" s="8"/>
      <c r="Z873" s="8"/>
      <c r="AA873" s="8"/>
      <c r="AB873" s="7"/>
      <c r="AD873" s="8"/>
    </row>
    <row r="874" spans="1:30">
      <c r="A874" s="7"/>
      <c r="D874" s="7"/>
      <c r="I874" s="7"/>
      <c r="J874" s="7"/>
      <c r="K874" s="7"/>
      <c r="N874" s="7"/>
      <c r="V874" s="8"/>
      <c r="W874" s="7"/>
      <c r="Y874" s="8"/>
      <c r="Z874" s="8"/>
      <c r="AA874" s="8"/>
      <c r="AB874" s="7"/>
      <c r="AD874" s="8"/>
    </row>
    <row r="875" spans="1:30">
      <c r="A875" s="7"/>
      <c r="D875" s="7"/>
      <c r="I875" s="7"/>
      <c r="J875" s="7"/>
      <c r="K875" s="7"/>
      <c r="N875" s="7"/>
      <c r="V875" s="8"/>
      <c r="W875" s="7"/>
      <c r="Y875" s="8"/>
      <c r="Z875" s="8"/>
      <c r="AA875" s="8"/>
      <c r="AB875" s="7"/>
      <c r="AD875" s="8"/>
    </row>
    <row r="876" spans="1:30">
      <c r="A876" s="7"/>
      <c r="D876" s="7"/>
      <c r="I876" s="7"/>
      <c r="J876" s="7"/>
      <c r="K876" s="7"/>
      <c r="N876" s="7"/>
      <c r="V876" s="8"/>
      <c r="W876" s="7"/>
      <c r="Y876" s="8"/>
      <c r="Z876" s="8"/>
      <c r="AA876" s="8"/>
      <c r="AB876" s="7"/>
      <c r="AD876" s="8"/>
    </row>
    <row r="877" spans="1:30">
      <c r="A877" s="7"/>
      <c r="D877" s="7"/>
      <c r="I877" s="7"/>
      <c r="J877" s="7"/>
      <c r="K877" s="7"/>
      <c r="N877" s="7"/>
      <c r="V877" s="8"/>
      <c r="W877" s="7"/>
      <c r="Y877" s="8"/>
      <c r="Z877" s="8"/>
      <c r="AA877" s="8"/>
      <c r="AB877" s="7"/>
      <c r="AD877" s="8"/>
    </row>
    <row r="878" spans="1:30">
      <c r="A878" s="7"/>
      <c r="D878" s="7"/>
      <c r="I878" s="7"/>
      <c r="J878" s="7"/>
      <c r="K878" s="7"/>
      <c r="N878" s="7"/>
      <c r="V878" s="8"/>
      <c r="W878" s="7"/>
      <c r="Y878" s="8"/>
      <c r="Z878" s="8"/>
      <c r="AA878" s="8"/>
      <c r="AB878" s="7"/>
      <c r="AD878" s="8"/>
    </row>
    <row r="879" spans="1:30">
      <c r="A879" s="7"/>
      <c r="D879" s="7"/>
      <c r="I879" s="7"/>
      <c r="J879" s="7"/>
      <c r="K879" s="7"/>
      <c r="N879" s="7"/>
      <c r="V879" s="8"/>
      <c r="W879" s="7"/>
      <c r="Y879" s="8"/>
      <c r="Z879" s="8"/>
      <c r="AA879" s="8"/>
      <c r="AB879" s="7"/>
      <c r="AD879" s="8"/>
    </row>
    <row r="880" spans="1:30">
      <c r="A880" s="7"/>
      <c r="D880" s="7"/>
      <c r="I880" s="7"/>
      <c r="J880" s="7"/>
      <c r="K880" s="7"/>
      <c r="N880" s="7"/>
      <c r="V880" s="8"/>
      <c r="W880" s="7"/>
      <c r="Y880" s="8"/>
      <c r="Z880" s="8"/>
      <c r="AA880" s="8"/>
      <c r="AB880" s="7"/>
      <c r="AD880" s="8"/>
    </row>
    <row r="881" spans="1:30">
      <c r="A881" s="7"/>
      <c r="D881" s="7"/>
      <c r="I881" s="7"/>
      <c r="J881" s="7"/>
      <c r="K881" s="7"/>
      <c r="N881" s="7"/>
      <c r="V881" s="8"/>
      <c r="W881" s="7"/>
      <c r="Y881" s="8"/>
      <c r="Z881" s="8"/>
      <c r="AA881" s="8"/>
      <c r="AB881" s="7"/>
      <c r="AD881" s="8"/>
    </row>
    <row r="882" spans="1:30">
      <c r="A882" s="7"/>
      <c r="D882" s="7"/>
      <c r="I882" s="7"/>
      <c r="J882" s="7"/>
      <c r="K882" s="7"/>
      <c r="N882" s="7"/>
      <c r="V882" s="8"/>
      <c r="W882" s="7"/>
      <c r="Y882" s="8"/>
      <c r="Z882" s="8"/>
      <c r="AA882" s="8"/>
      <c r="AB882" s="7"/>
      <c r="AD882" s="8"/>
    </row>
    <row r="883" spans="1:30">
      <c r="A883" s="7"/>
      <c r="D883" s="7"/>
      <c r="I883" s="7"/>
      <c r="J883" s="7"/>
      <c r="K883" s="7"/>
      <c r="N883" s="7"/>
      <c r="V883" s="8"/>
      <c r="W883" s="7"/>
      <c r="Y883" s="8"/>
      <c r="Z883" s="8"/>
      <c r="AA883" s="8"/>
      <c r="AB883" s="7"/>
      <c r="AD883" s="8"/>
    </row>
    <row r="884" spans="1:30">
      <c r="A884" s="7"/>
      <c r="D884" s="7"/>
      <c r="I884" s="7"/>
      <c r="J884" s="7"/>
      <c r="K884" s="7"/>
      <c r="N884" s="7"/>
      <c r="V884" s="8"/>
      <c r="W884" s="7"/>
      <c r="Y884" s="8"/>
      <c r="Z884" s="8"/>
      <c r="AA884" s="8"/>
      <c r="AB884" s="7"/>
      <c r="AD884" s="8"/>
    </row>
    <row r="885" spans="1:30">
      <c r="A885" s="7"/>
      <c r="D885" s="7"/>
      <c r="I885" s="7"/>
      <c r="J885" s="7"/>
      <c r="K885" s="7"/>
      <c r="N885" s="7"/>
      <c r="V885" s="8"/>
      <c r="W885" s="7"/>
      <c r="Y885" s="8"/>
      <c r="Z885" s="8"/>
      <c r="AA885" s="8"/>
      <c r="AB885" s="7"/>
      <c r="AD885" s="8"/>
    </row>
    <row r="886" spans="1:30">
      <c r="A886" s="7"/>
      <c r="D886" s="7"/>
      <c r="I886" s="7"/>
      <c r="J886" s="7"/>
      <c r="K886" s="7"/>
      <c r="N886" s="7"/>
      <c r="V886" s="8"/>
      <c r="W886" s="7"/>
      <c r="Y886" s="8"/>
      <c r="Z886" s="8"/>
      <c r="AA886" s="8"/>
      <c r="AB886" s="7"/>
      <c r="AD886" s="8"/>
    </row>
    <row r="887" spans="1:30">
      <c r="A887" s="7"/>
      <c r="D887" s="7"/>
      <c r="I887" s="7"/>
      <c r="J887" s="7"/>
      <c r="K887" s="7"/>
      <c r="N887" s="7"/>
      <c r="V887" s="8"/>
      <c r="W887" s="7"/>
      <c r="Y887" s="8"/>
      <c r="Z887" s="8"/>
      <c r="AA887" s="8"/>
      <c r="AB887" s="7"/>
      <c r="AD887" s="8"/>
    </row>
    <row r="888" spans="1:30">
      <c r="A888" s="7"/>
      <c r="D888" s="7"/>
      <c r="I888" s="7"/>
      <c r="J888" s="7"/>
      <c r="K888" s="7"/>
      <c r="N888" s="7"/>
      <c r="V888" s="8"/>
      <c r="W888" s="7"/>
      <c r="Y888" s="8"/>
      <c r="Z888" s="8"/>
      <c r="AA888" s="8"/>
      <c r="AB888" s="7"/>
      <c r="AD888" s="8"/>
    </row>
    <row r="889" spans="1:30">
      <c r="A889" s="7"/>
      <c r="D889" s="7"/>
      <c r="I889" s="7"/>
      <c r="J889" s="7"/>
      <c r="K889" s="7"/>
      <c r="N889" s="7"/>
      <c r="V889" s="8"/>
      <c r="W889" s="7"/>
      <c r="Y889" s="8"/>
      <c r="Z889" s="8"/>
      <c r="AA889" s="8"/>
      <c r="AB889" s="7"/>
      <c r="AD889" s="8"/>
    </row>
    <row r="890" spans="1:30">
      <c r="A890" s="7"/>
      <c r="D890" s="7"/>
      <c r="I890" s="7"/>
      <c r="J890" s="7"/>
      <c r="K890" s="7"/>
      <c r="N890" s="7"/>
      <c r="V890" s="8"/>
      <c r="W890" s="7"/>
      <c r="Y890" s="8"/>
      <c r="Z890" s="8"/>
      <c r="AA890" s="8"/>
      <c r="AB890" s="7"/>
      <c r="AD890" s="8"/>
    </row>
    <row r="891" spans="1:30">
      <c r="A891" s="7"/>
      <c r="D891" s="7"/>
      <c r="I891" s="7"/>
      <c r="J891" s="7"/>
      <c r="K891" s="7"/>
      <c r="N891" s="7"/>
      <c r="V891" s="8"/>
      <c r="W891" s="7"/>
      <c r="Y891" s="8"/>
      <c r="Z891" s="8"/>
      <c r="AA891" s="8"/>
      <c r="AB891" s="7"/>
      <c r="AD891" s="8"/>
    </row>
    <row r="892" spans="1:30">
      <c r="A892" s="7"/>
      <c r="D892" s="7"/>
      <c r="I892" s="7"/>
      <c r="J892" s="7"/>
      <c r="K892" s="7"/>
      <c r="N892" s="7"/>
      <c r="V892" s="8"/>
      <c r="W892" s="7"/>
      <c r="Y892" s="8"/>
      <c r="Z892" s="8"/>
      <c r="AA892" s="8"/>
      <c r="AB892" s="7"/>
      <c r="AD892" s="8"/>
    </row>
    <row r="893" spans="1:30">
      <c r="A893" s="7"/>
      <c r="D893" s="7"/>
      <c r="I893" s="7"/>
      <c r="J893" s="7"/>
      <c r="K893" s="7"/>
      <c r="N893" s="7"/>
      <c r="V893" s="8"/>
      <c r="W893" s="7"/>
      <c r="Y893" s="8"/>
      <c r="Z893" s="8"/>
      <c r="AA893" s="8"/>
      <c r="AB893" s="7"/>
      <c r="AD893" s="8"/>
    </row>
    <row r="894" spans="1:30">
      <c r="A894" s="7"/>
      <c r="D894" s="7"/>
      <c r="I894" s="7"/>
      <c r="J894" s="7"/>
      <c r="K894" s="7"/>
      <c r="N894" s="7"/>
      <c r="V894" s="8"/>
      <c r="W894" s="7"/>
      <c r="Y894" s="8"/>
      <c r="Z894" s="8"/>
      <c r="AA894" s="8"/>
      <c r="AB894" s="7"/>
      <c r="AD894" s="8"/>
    </row>
    <row r="895" spans="1:30">
      <c r="A895" s="7"/>
      <c r="D895" s="7"/>
      <c r="I895" s="7"/>
      <c r="J895" s="7"/>
      <c r="K895" s="7"/>
      <c r="N895" s="7"/>
      <c r="V895" s="8"/>
      <c r="W895" s="7"/>
      <c r="Y895" s="8"/>
      <c r="Z895" s="8"/>
      <c r="AA895" s="8"/>
      <c r="AB895" s="7"/>
      <c r="AD895" s="8"/>
    </row>
    <row r="896" spans="1:30">
      <c r="A896" s="7"/>
      <c r="D896" s="7"/>
      <c r="I896" s="7"/>
      <c r="J896" s="7"/>
      <c r="K896" s="7"/>
      <c r="N896" s="7"/>
      <c r="V896" s="8"/>
      <c r="W896" s="7"/>
      <c r="Y896" s="8"/>
      <c r="Z896" s="8"/>
      <c r="AA896" s="8"/>
      <c r="AB896" s="7"/>
      <c r="AD896" s="8"/>
    </row>
    <row r="897" spans="1:30">
      <c r="A897" s="7"/>
      <c r="D897" s="7"/>
      <c r="I897" s="7"/>
      <c r="J897" s="7"/>
      <c r="K897" s="7"/>
      <c r="N897" s="7"/>
      <c r="V897" s="8"/>
      <c r="W897" s="7"/>
      <c r="Y897" s="8"/>
      <c r="Z897" s="8"/>
      <c r="AA897" s="8"/>
      <c r="AB897" s="7"/>
      <c r="AD897" s="8"/>
    </row>
    <row r="898" spans="1:30">
      <c r="A898" s="7"/>
      <c r="D898" s="7"/>
      <c r="I898" s="7"/>
      <c r="J898" s="7"/>
      <c r="K898" s="7"/>
      <c r="N898" s="7"/>
      <c r="V898" s="8"/>
      <c r="W898" s="7"/>
      <c r="Y898" s="8"/>
      <c r="Z898" s="8"/>
      <c r="AA898" s="8"/>
      <c r="AB898" s="7"/>
      <c r="AD898" s="8"/>
    </row>
    <row r="899" spans="1:30">
      <c r="A899" s="7"/>
      <c r="D899" s="7"/>
      <c r="I899" s="7"/>
      <c r="J899" s="7"/>
      <c r="K899" s="7"/>
      <c r="N899" s="7"/>
      <c r="V899" s="8"/>
      <c r="W899" s="7"/>
      <c r="Y899" s="8"/>
      <c r="Z899" s="8"/>
      <c r="AA899" s="8"/>
      <c r="AB899" s="7"/>
      <c r="AD899" s="8"/>
    </row>
    <row r="900" spans="1:30">
      <c r="A900" s="7"/>
      <c r="D900" s="7"/>
      <c r="I900" s="7"/>
      <c r="J900" s="7"/>
      <c r="K900" s="7"/>
      <c r="N900" s="7"/>
      <c r="V900" s="8"/>
      <c r="W900" s="7"/>
      <c r="Y900" s="8"/>
      <c r="Z900" s="8"/>
      <c r="AA900" s="8"/>
      <c r="AB900" s="7"/>
      <c r="AD900" s="8"/>
    </row>
    <row r="901" spans="1:30">
      <c r="A901" s="7"/>
      <c r="D901" s="7"/>
      <c r="I901" s="7"/>
      <c r="J901" s="7"/>
      <c r="K901" s="7"/>
      <c r="N901" s="7"/>
      <c r="V901" s="8"/>
      <c r="W901" s="7"/>
      <c r="Y901" s="8"/>
      <c r="Z901" s="8"/>
      <c r="AA901" s="8"/>
      <c r="AB901" s="7"/>
      <c r="AD901" s="8"/>
    </row>
    <row r="902" spans="1:30">
      <c r="A902" s="7"/>
      <c r="D902" s="7"/>
      <c r="I902" s="7"/>
      <c r="J902" s="7"/>
      <c r="K902" s="7"/>
      <c r="N902" s="7"/>
      <c r="V902" s="8"/>
      <c r="W902" s="7"/>
      <c r="Y902" s="8"/>
      <c r="Z902" s="8"/>
      <c r="AA902" s="8"/>
      <c r="AB902" s="7"/>
      <c r="AD902" s="8"/>
    </row>
    <row r="903" spans="1:30">
      <c r="A903" s="7"/>
      <c r="D903" s="7"/>
      <c r="I903" s="7"/>
      <c r="J903" s="7"/>
      <c r="K903" s="7"/>
      <c r="N903" s="7"/>
      <c r="V903" s="8"/>
      <c r="W903" s="7"/>
      <c r="Y903" s="8"/>
      <c r="Z903" s="8"/>
      <c r="AA903" s="8"/>
      <c r="AB903" s="7"/>
      <c r="AD903" s="8"/>
    </row>
    <row r="904" spans="1:30">
      <c r="A904" s="7"/>
      <c r="D904" s="7"/>
      <c r="I904" s="7"/>
      <c r="J904" s="7"/>
      <c r="K904" s="7"/>
      <c r="N904" s="7"/>
      <c r="V904" s="8"/>
      <c r="W904" s="7"/>
      <c r="Y904" s="8"/>
      <c r="Z904" s="8"/>
      <c r="AA904" s="8"/>
      <c r="AB904" s="7"/>
      <c r="AD904" s="8"/>
    </row>
    <row r="905" spans="1:30">
      <c r="A905" s="7"/>
      <c r="D905" s="7"/>
      <c r="I905" s="7"/>
      <c r="J905" s="7"/>
      <c r="K905" s="7"/>
      <c r="N905" s="7"/>
      <c r="V905" s="8"/>
      <c r="W905" s="7"/>
      <c r="Y905" s="8"/>
      <c r="Z905" s="8"/>
      <c r="AA905" s="8"/>
      <c r="AB905" s="7"/>
      <c r="AD905" s="8"/>
    </row>
    <row r="906" spans="1:30">
      <c r="A906" s="7"/>
      <c r="D906" s="7"/>
      <c r="I906" s="7"/>
      <c r="J906" s="7"/>
      <c r="K906" s="7"/>
      <c r="N906" s="7"/>
      <c r="V906" s="8"/>
      <c r="W906" s="7"/>
      <c r="Y906" s="8"/>
      <c r="Z906" s="8"/>
      <c r="AA906" s="8"/>
      <c r="AB906" s="7"/>
      <c r="AD906" s="8"/>
    </row>
    <row r="907" spans="1:30">
      <c r="A907" s="7"/>
      <c r="D907" s="7"/>
      <c r="I907" s="7"/>
      <c r="J907" s="7"/>
      <c r="K907" s="7"/>
      <c r="N907" s="7"/>
      <c r="V907" s="8"/>
      <c r="W907" s="7"/>
      <c r="Y907" s="8"/>
      <c r="Z907" s="8"/>
      <c r="AA907" s="8"/>
      <c r="AB907" s="7"/>
      <c r="AD907" s="8"/>
    </row>
    <row r="908" spans="1:30">
      <c r="A908" s="7"/>
      <c r="D908" s="7"/>
      <c r="I908" s="7"/>
      <c r="J908" s="7"/>
      <c r="K908" s="7"/>
      <c r="N908" s="7"/>
      <c r="V908" s="8"/>
      <c r="W908" s="7"/>
      <c r="Y908" s="8"/>
      <c r="Z908" s="8"/>
      <c r="AA908" s="8"/>
      <c r="AB908" s="7"/>
      <c r="AD908" s="8"/>
    </row>
    <row r="909" spans="1:30">
      <c r="A909" s="7"/>
      <c r="D909" s="7"/>
      <c r="I909" s="7"/>
      <c r="J909" s="7"/>
      <c r="K909" s="7"/>
      <c r="N909" s="7"/>
      <c r="V909" s="8"/>
      <c r="W909" s="7"/>
      <c r="Y909" s="8"/>
      <c r="Z909" s="8"/>
      <c r="AA909" s="8"/>
      <c r="AB909" s="7"/>
      <c r="AD909" s="8"/>
    </row>
    <row r="910" spans="1:30">
      <c r="A910" s="7"/>
      <c r="D910" s="7"/>
      <c r="I910" s="7"/>
      <c r="J910" s="7"/>
      <c r="K910" s="7"/>
      <c r="N910" s="7"/>
      <c r="V910" s="8"/>
      <c r="W910" s="7"/>
      <c r="Y910" s="8"/>
      <c r="Z910" s="8"/>
      <c r="AA910" s="8"/>
      <c r="AB910" s="7"/>
      <c r="AD910" s="8"/>
    </row>
    <row r="911" spans="1:30">
      <c r="A911" s="7"/>
      <c r="D911" s="7"/>
      <c r="I911" s="7"/>
      <c r="J911" s="7"/>
      <c r="K911" s="7"/>
      <c r="N911" s="7"/>
      <c r="V911" s="8"/>
      <c r="W911" s="7"/>
      <c r="Y911" s="8"/>
      <c r="Z911" s="8"/>
      <c r="AA911" s="8"/>
      <c r="AB911" s="7"/>
      <c r="AD911" s="8"/>
    </row>
    <row r="912" spans="1:30">
      <c r="A912" s="7"/>
      <c r="D912" s="7"/>
      <c r="I912" s="7"/>
      <c r="J912" s="7"/>
      <c r="K912" s="7"/>
      <c r="N912" s="7"/>
      <c r="V912" s="8"/>
      <c r="W912" s="7"/>
      <c r="Y912" s="8"/>
      <c r="Z912" s="8"/>
      <c r="AA912" s="8"/>
      <c r="AB912" s="7"/>
      <c r="AD912" s="8"/>
    </row>
    <row r="913" spans="1:30">
      <c r="A913" s="7"/>
      <c r="D913" s="7"/>
      <c r="I913" s="7"/>
      <c r="J913" s="7"/>
      <c r="K913" s="7"/>
      <c r="N913" s="7"/>
      <c r="V913" s="8"/>
      <c r="W913" s="7"/>
      <c r="Y913" s="8"/>
      <c r="Z913" s="8"/>
      <c r="AA913" s="8"/>
      <c r="AB913" s="7"/>
      <c r="AD913" s="8"/>
    </row>
    <row r="914" spans="1:30">
      <c r="A914" s="7"/>
      <c r="D914" s="7"/>
      <c r="I914" s="7"/>
      <c r="J914" s="7"/>
      <c r="K914" s="7"/>
      <c r="N914" s="7"/>
      <c r="V914" s="8"/>
      <c r="W914" s="7"/>
      <c r="Y914" s="8"/>
      <c r="Z914" s="8"/>
      <c r="AA914" s="8"/>
      <c r="AB914" s="7"/>
      <c r="AD914" s="8"/>
    </row>
    <row r="915" spans="1:30">
      <c r="A915" s="7"/>
      <c r="D915" s="7"/>
      <c r="I915" s="7"/>
      <c r="J915" s="7"/>
      <c r="K915" s="7"/>
      <c r="N915" s="7"/>
      <c r="V915" s="8"/>
      <c r="W915" s="7"/>
      <c r="Y915" s="8"/>
      <c r="Z915" s="8"/>
      <c r="AA915" s="8"/>
      <c r="AB915" s="7"/>
      <c r="AD915" s="8"/>
    </row>
    <row r="916" spans="1:30">
      <c r="A916" s="7"/>
      <c r="D916" s="7"/>
      <c r="I916" s="7"/>
      <c r="J916" s="7"/>
      <c r="K916" s="7"/>
      <c r="N916" s="7"/>
      <c r="V916" s="8"/>
      <c r="W916" s="7"/>
      <c r="Y916" s="8"/>
      <c r="Z916" s="8"/>
      <c r="AA916" s="8"/>
      <c r="AB916" s="7"/>
      <c r="AD916" s="8"/>
    </row>
    <row r="917" spans="1:30">
      <c r="A917" s="7"/>
      <c r="D917" s="7"/>
      <c r="I917" s="7"/>
      <c r="J917" s="7"/>
      <c r="K917" s="7"/>
      <c r="N917" s="7"/>
      <c r="V917" s="8"/>
      <c r="W917" s="7"/>
      <c r="Y917" s="8"/>
      <c r="Z917" s="8"/>
      <c r="AA917" s="8"/>
      <c r="AB917" s="7"/>
      <c r="AD917" s="8"/>
    </row>
    <row r="918" spans="1:30">
      <c r="A918" s="7"/>
      <c r="D918" s="7"/>
      <c r="I918" s="7"/>
      <c r="J918" s="7"/>
      <c r="K918" s="7"/>
      <c r="N918" s="7"/>
      <c r="V918" s="8"/>
      <c r="W918" s="7"/>
      <c r="Y918" s="8"/>
      <c r="Z918" s="8"/>
      <c r="AA918" s="8"/>
      <c r="AB918" s="7"/>
      <c r="AD918" s="8"/>
    </row>
    <row r="919" spans="1:30">
      <c r="A919" s="7"/>
      <c r="D919" s="7"/>
      <c r="I919" s="7"/>
      <c r="J919" s="7"/>
      <c r="K919" s="7"/>
      <c r="N919" s="7"/>
      <c r="V919" s="8"/>
      <c r="W919" s="7"/>
      <c r="Y919" s="8"/>
      <c r="Z919" s="8"/>
      <c r="AA919" s="8"/>
      <c r="AB919" s="7"/>
      <c r="AD919" s="8"/>
    </row>
    <row r="920" spans="1:30">
      <c r="A920" s="7"/>
      <c r="D920" s="7"/>
      <c r="I920" s="7"/>
      <c r="J920" s="7"/>
      <c r="K920" s="7"/>
      <c r="N920" s="7"/>
      <c r="V920" s="8"/>
      <c r="W920" s="7"/>
      <c r="Y920" s="8"/>
      <c r="Z920" s="8"/>
      <c r="AA920" s="8"/>
      <c r="AB920" s="7"/>
      <c r="AD920" s="8"/>
    </row>
    <row r="921" spans="1:30">
      <c r="A921" s="7"/>
      <c r="D921" s="7"/>
      <c r="I921" s="7"/>
      <c r="J921" s="7"/>
      <c r="K921" s="7"/>
      <c r="N921" s="7"/>
      <c r="V921" s="8"/>
      <c r="W921" s="7"/>
      <c r="Y921" s="8"/>
      <c r="Z921" s="8"/>
      <c r="AA921" s="8"/>
      <c r="AB921" s="7"/>
      <c r="AD921" s="8"/>
    </row>
    <row r="922" spans="1:30">
      <c r="A922" s="7"/>
      <c r="D922" s="7"/>
      <c r="I922" s="7"/>
      <c r="J922" s="7"/>
      <c r="K922" s="7"/>
      <c r="N922" s="7"/>
      <c r="V922" s="8"/>
      <c r="W922" s="7"/>
      <c r="Y922" s="8"/>
      <c r="Z922" s="8"/>
      <c r="AA922" s="8"/>
      <c r="AB922" s="7"/>
      <c r="AD922" s="8"/>
    </row>
    <row r="923" spans="1:30">
      <c r="A923" s="7"/>
      <c r="D923" s="7"/>
      <c r="I923" s="7"/>
      <c r="J923" s="7"/>
      <c r="K923" s="7"/>
      <c r="N923" s="7"/>
      <c r="V923" s="8"/>
      <c r="W923" s="7"/>
      <c r="Y923" s="8"/>
      <c r="Z923" s="8"/>
      <c r="AA923" s="8"/>
      <c r="AB923" s="7"/>
      <c r="AD923" s="8"/>
    </row>
    <row r="924" spans="1:30">
      <c r="A924" s="7"/>
      <c r="D924" s="7"/>
      <c r="I924" s="7"/>
      <c r="J924" s="7"/>
      <c r="K924" s="7"/>
      <c r="N924" s="7"/>
      <c r="V924" s="8"/>
      <c r="W924" s="7"/>
      <c r="Y924" s="8"/>
      <c r="Z924" s="8"/>
      <c r="AA924" s="8"/>
      <c r="AB924" s="7"/>
      <c r="AD924" s="8"/>
    </row>
    <row r="925" spans="1:30">
      <c r="A925" s="7"/>
      <c r="D925" s="7"/>
      <c r="I925" s="7"/>
      <c r="J925" s="7"/>
      <c r="K925" s="7"/>
      <c r="N925" s="7"/>
      <c r="V925" s="8"/>
      <c r="W925" s="7"/>
      <c r="Y925" s="8"/>
      <c r="Z925" s="8"/>
      <c r="AA925" s="8"/>
      <c r="AB925" s="7"/>
      <c r="AD925" s="8"/>
    </row>
    <row r="926" spans="1:30">
      <c r="A926" s="7"/>
      <c r="D926" s="7"/>
      <c r="I926" s="7"/>
      <c r="J926" s="7"/>
      <c r="K926" s="7"/>
      <c r="N926" s="7"/>
      <c r="V926" s="8"/>
      <c r="W926" s="7"/>
      <c r="Y926" s="8"/>
      <c r="Z926" s="8"/>
      <c r="AA926" s="8"/>
      <c r="AB926" s="7"/>
      <c r="AD926" s="8"/>
    </row>
    <row r="927" spans="1:30">
      <c r="A927" s="7"/>
      <c r="D927" s="7"/>
      <c r="I927" s="7"/>
      <c r="J927" s="7"/>
      <c r="K927" s="7"/>
      <c r="N927" s="7"/>
      <c r="V927" s="8"/>
      <c r="W927" s="7"/>
      <c r="Y927" s="8"/>
      <c r="Z927" s="8"/>
      <c r="AA927" s="8"/>
      <c r="AB927" s="7"/>
      <c r="AD927" s="8"/>
    </row>
    <row r="928" spans="1:30">
      <c r="A928" s="7"/>
      <c r="D928" s="7"/>
      <c r="I928" s="7"/>
      <c r="J928" s="7"/>
      <c r="K928" s="7"/>
      <c r="N928" s="7"/>
      <c r="V928" s="8"/>
      <c r="W928" s="7"/>
      <c r="Y928" s="8"/>
      <c r="Z928" s="8"/>
      <c r="AA928" s="8"/>
      <c r="AB928" s="7"/>
      <c r="AD928" s="8"/>
    </row>
    <row r="929" spans="1:30">
      <c r="A929" s="7"/>
      <c r="D929" s="7"/>
      <c r="I929" s="7"/>
      <c r="J929" s="7"/>
      <c r="K929" s="7"/>
      <c r="N929" s="7"/>
      <c r="V929" s="8"/>
      <c r="W929" s="7"/>
      <c r="Y929" s="8"/>
      <c r="Z929" s="8"/>
      <c r="AA929" s="8"/>
      <c r="AB929" s="7"/>
      <c r="AD929" s="8"/>
    </row>
    <row r="930" spans="1:30">
      <c r="A930" s="7"/>
      <c r="D930" s="7"/>
      <c r="I930" s="7"/>
      <c r="J930" s="7"/>
      <c r="K930" s="7"/>
      <c r="N930" s="7"/>
      <c r="V930" s="8"/>
      <c r="W930" s="7"/>
      <c r="Y930" s="8"/>
      <c r="Z930" s="8"/>
      <c r="AA930" s="8"/>
      <c r="AB930" s="7"/>
      <c r="AD930" s="8"/>
    </row>
    <row r="931" spans="1:30">
      <c r="A931" s="7"/>
      <c r="D931" s="7"/>
      <c r="I931" s="7"/>
      <c r="J931" s="7"/>
      <c r="K931" s="7"/>
      <c r="N931" s="7"/>
      <c r="V931" s="8"/>
      <c r="W931" s="7"/>
      <c r="Y931" s="8"/>
      <c r="Z931" s="8"/>
      <c r="AA931" s="8"/>
      <c r="AB931" s="7"/>
      <c r="AD931" s="8"/>
    </row>
    <row r="932" spans="1:30">
      <c r="A932" s="7"/>
      <c r="D932" s="7"/>
      <c r="I932" s="7"/>
      <c r="J932" s="7"/>
      <c r="K932" s="7"/>
      <c r="N932" s="7"/>
      <c r="V932" s="8"/>
      <c r="W932" s="7"/>
      <c r="Y932" s="8"/>
      <c r="Z932" s="8"/>
      <c r="AA932" s="8"/>
      <c r="AB932" s="7"/>
      <c r="AD932" s="8"/>
    </row>
    <row r="933" spans="1:30">
      <c r="A933" s="7"/>
      <c r="D933" s="7"/>
      <c r="I933" s="7"/>
      <c r="J933" s="7"/>
      <c r="K933" s="7"/>
      <c r="N933" s="7"/>
      <c r="V933" s="8"/>
      <c r="W933" s="7"/>
      <c r="Y933" s="8"/>
      <c r="Z933" s="8"/>
      <c r="AA933" s="8"/>
      <c r="AB933" s="7"/>
      <c r="AD933" s="8"/>
    </row>
    <row r="934" spans="1:30">
      <c r="A934" s="7"/>
      <c r="D934" s="7"/>
      <c r="I934" s="7"/>
      <c r="J934" s="7"/>
      <c r="K934" s="7"/>
      <c r="N934" s="7"/>
      <c r="V934" s="8"/>
      <c r="W934" s="7"/>
      <c r="Y934" s="8"/>
      <c r="Z934" s="8"/>
      <c r="AA934" s="8"/>
      <c r="AB934" s="7"/>
      <c r="AD934" s="8"/>
    </row>
    <row r="935" spans="1:30">
      <c r="A935" s="7"/>
      <c r="D935" s="7"/>
      <c r="I935" s="7"/>
      <c r="J935" s="7"/>
      <c r="K935" s="7"/>
      <c r="N935" s="7"/>
      <c r="V935" s="8"/>
      <c r="W935" s="7"/>
      <c r="Y935" s="8"/>
      <c r="Z935" s="8"/>
      <c r="AA935" s="8"/>
      <c r="AB935" s="7"/>
      <c r="AD935" s="8"/>
    </row>
    <row r="936" spans="1:30">
      <c r="A936" s="7"/>
      <c r="D936" s="7"/>
      <c r="I936" s="7"/>
      <c r="J936" s="7"/>
      <c r="K936" s="7"/>
      <c r="N936" s="7"/>
      <c r="V936" s="8"/>
      <c r="W936" s="7"/>
      <c r="Y936" s="8"/>
      <c r="Z936" s="8"/>
      <c r="AA936" s="8"/>
      <c r="AB936" s="7"/>
      <c r="AD936" s="8"/>
    </row>
    <row r="937" spans="1:30">
      <c r="A937" s="7"/>
      <c r="D937" s="7"/>
      <c r="I937" s="7"/>
      <c r="J937" s="7"/>
      <c r="K937" s="7"/>
      <c r="N937" s="7"/>
      <c r="V937" s="8"/>
      <c r="W937" s="7"/>
      <c r="Y937" s="8"/>
      <c r="Z937" s="8"/>
      <c r="AA937" s="8"/>
      <c r="AB937" s="7"/>
      <c r="AD937" s="8"/>
    </row>
    <row r="938" spans="1:30">
      <c r="A938" s="7"/>
      <c r="D938" s="7"/>
      <c r="I938" s="7"/>
      <c r="J938" s="7"/>
      <c r="K938" s="7"/>
      <c r="N938" s="7"/>
      <c r="V938" s="8"/>
      <c r="W938" s="7"/>
      <c r="Y938" s="8"/>
      <c r="Z938" s="8"/>
      <c r="AA938" s="8"/>
      <c r="AB938" s="7"/>
      <c r="AD938" s="8"/>
    </row>
    <row r="939" spans="1:30">
      <c r="A939" s="7"/>
      <c r="D939" s="7"/>
      <c r="I939" s="7"/>
      <c r="J939" s="7"/>
      <c r="K939" s="7"/>
      <c r="N939" s="7"/>
      <c r="V939" s="8"/>
      <c r="W939" s="7"/>
      <c r="Y939" s="8"/>
      <c r="Z939" s="8"/>
      <c r="AA939" s="8"/>
      <c r="AB939" s="7"/>
      <c r="AD939" s="8"/>
    </row>
    <row r="940" spans="1:30">
      <c r="A940" s="7"/>
      <c r="D940" s="7"/>
      <c r="I940" s="7"/>
      <c r="J940" s="7"/>
      <c r="K940" s="7"/>
      <c r="N940" s="7"/>
      <c r="V940" s="8"/>
      <c r="W940" s="7"/>
      <c r="Y940" s="8"/>
      <c r="Z940" s="8"/>
      <c r="AA940" s="8"/>
      <c r="AB940" s="7"/>
      <c r="AD940" s="8"/>
    </row>
    <row r="941" spans="1:30">
      <c r="A941" s="7"/>
      <c r="D941" s="7"/>
      <c r="I941" s="7"/>
      <c r="J941" s="7"/>
      <c r="K941" s="7"/>
      <c r="N941" s="7"/>
      <c r="V941" s="8"/>
      <c r="W941" s="7"/>
      <c r="Y941" s="8"/>
      <c r="Z941" s="8"/>
      <c r="AA941" s="8"/>
      <c r="AB941" s="7"/>
      <c r="AD941" s="8"/>
    </row>
    <row r="942" spans="1:30">
      <c r="A942" s="7"/>
      <c r="D942" s="7"/>
      <c r="I942" s="7"/>
      <c r="J942" s="7"/>
      <c r="K942" s="7"/>
      <c r="N942" s="7"/>
      <c r="V942" s="8"/>
      <c r="W942" s="7"/>
      <c r="Y942" s="8"/>
      <c r="Z942" s="8"/>
      <c r="AA942" s="8"/>
      <c r="AB942" s="7"/>
      <c r="AD942" s="8"/>
    </row>
    <row r="943" spans="1:30">
      <c r="A943" s="7"/>
      <c r="D943" s="7"/>
      <c r="I943" s="7"/>
      <c r="J943" s="7"/>
      <c r="K943" s="7"/>
      <c r="N943" s="7"/>
      <c r="V943" s="8"/>
      <c r="W943" s="7"/>
      <c r="Y943" s="8"/>
      <c r="Z943" s="8"/>
      <c r="AA943" s="8"/>
      <c r="AB943" s="7"/>
      <c r="AD943" s="8"/>
    </row>
    <row r="944" spans="1:30">
      <c r="A944" s="7"/>
      <c r="D944" s="7"/>
      <c r="I944" s="7"/>
      <c r="J944" s="7"/>
      <c r="K944" s="7"/>
      <c r="N944" s="7"/>
      <c r="V944" s="8"/>
      <c r="W944" s="7"/>
      <c r="Y944" s="8"/>
      <c r="Z944" s="8"/>
      <c r="AA944" s="8"/>
      <c r="AB944" s="7"/>
      <c r="AD944" s="8"/>
    </row>
    <row r="945" spans="1:30">
      <c r="A945" s="7"/>
      <c r="D945" s="7"/>
      <c r="I945" s="7"/>
      <c r="J945" s="7"/>
      <c r="K945" s="7"/>
      <c r="N945" s="7"/>
      <c r="V945" s="8"/>
      <c r="W945" s="7"/>
      <c r="Y945" s="8"/>
      <c r="Z945" s="8"/>
      <c r="AA945" s="8"/>
      <c r="AB945" s="7"/>
      <c r="AD945" s="8"/>
    </row>
    <row r="946" spans="1:30">
      <c r="A946" s="7"/>
      <c r="D946" s="7"/>
      <c r="I946" s="7"/>
      <c r="J946" s="7"/>
      <c r="K946" s="7"/>
      <c r="N946" s="7"/>
      <c r="V946" s="8"/>
      <c r="W946" s="7"/>
      <c r="Y946" s="8"/>
      <c r="Z946" s="8"/>
      <c r="AA946" s="8"/>
      <c r="AB946" s="7"/>
      <c r="AD946" s="8"/>
    </row>
    <row r="947" spans="1:30">
      <c r="A947" s="7"/>
      <c r="D947" s="7"/>
      <c r="I947" s="7"/>
      <c r="J947" s="7"/>
      <c r="K947" s="7"/>
      <c r="N947" s="7"/>
      <c r="V947" s="8"/>
      <c r="W947" s="7"/>
      <c r="Y947" s="8"/>
      <c r="Z947" s="8"/>
      <c r="AA947" s="8"/>
      <c r="AB947" s="7"/>
      <c r="AD947" s="8"/>
    </row>
    <row r="948" spans="1:30">
      <c r="A948" s="7"/>
      <c r="D948" s="7"/>
      <c r="I948" s="7"/>
      <c r="J948" s="7"/>
      <c r="K948" s="7"/>
      <c r="N948" s="7"/>
      <c r="V948" s="8"/>
      <c r="W948" s="7"/>
      <c r="Y948" s="8"/>
      <c r="Z948" s="8"/>
      <c r="AA948" s="8"/>
      <c r="AB948" s="7"/>
      <c r="AD948" s="8"/>
    </row>
    <row r="949" spans="1:30">
      <c r="A949" s="7"/>
      <c r="D949" s="7"/>
      <c r="I949" s="7"/>
      <c r="J949" s="7"/>
      <c r="K949" s="7"/>
      <c r="N949" s="7"/>
      <c r="V949" s="8"/>
      <c r="W949" s="7"/>
      <c r="Y949" s="8"/>
      <c r="Z949" s="8"/>
      <c r="AA949" s="8"/>
      <c r="AB949" s="7"/>
      <c r="AD949" s="8"/>
    </row>
    <row r="950" spans="1:30">
      <c r="A950" s="7"/>
      <c r="D950" s="7"/>
      <c r="I950" s="7"/>
      <c r="J950" s="7"/>
      <c r="K950" s="7"/>
      <c r="N950" s="7"/>
      <c r="V950" s="8"/>
      <c r="W950" s="7"/>
      <c r="Y950" s="8"/>
      <c r="Z950" s="8"/>
      <c r="AA950" s="8"/>
      <c r="AB950" s="7"/>
      <c r="AD950" s="8"/>
    </row>
    <row r="951" spans="1:30">
      <c r="A951" s="7"/>
      <c r="D951" s="7"/>
      <c r="I951" s="7"/>
      <c r="J951" s="7"/>
      <c r="K951" s="7"/>
      <c r="N951" s="7"/>
      <c r="V951" s="8"/>
      <c r="W951" s="7"/>
      <c r="Y951" s="8"/>
      <c r="Z951" s="8"/>
      <c r="AA951" s="8"/>
      <c r="AB951" s="7"/>
      <c r="AD951" s="8"/>
    </row>
    <row r="952" spans="1:30">
      <c r="A952" s="7"/>
      <c r="D952" s="7"/>
      <c r="I952" s="7"/>
      <c r="J952" s="7"/>
      <c r="K952" s="7"/>
      <c r="N952" s="7"/>
      <c r="V952" s="8"/>
      <c r="W952" s="7"/>
      <c r="Y952" s="8"/>
      <c r="Z952" s="8"/>
      <c r="AA952" s="8"/>
      <c r="AB952" s="7"/>
      <c r="AD952" s="8"/>
    </row>
    <row r="953" spans="1:30">
      <c r="A953" s="7"/>
      <c r="D953" s="7"/>
      <c r="I953" s="7"/>
      <c r="J953" s="7"/>
      <c r="K953" s="7"/>
      <c r="N953" s="7"/>
      <c r="V953" s="8"/>
      <c r="W953" s="7"/>
      <c r="Y953" s="8"/>
      <c r="Z953" s="8"/>
      <c r="AA953" s="8"/>
      <c r="AB953" s="7"/>
      <c r="AD953" s="8"/>
    </row>
    <row r="954" spans="1:30">
      <c r="A954" s="7"/>
      <c r="D954" s="7"/>
      <c r="I954" s="7"/>
      <c r="J954" s="7"/>
      <c r="K954" s="7"/>
      <c r="N954" s="7"/>
      <c r="V954" s="8"/>
      <c r="W954" s="7"/>
      <c r="Y954" s="8"/>
      <c r="Z954" s="8"/>
      <c r="AA954" s="8"/>
      <c r="AB954" s="7"/>
      <c r="AD954" s="8"/>
    </row>
    <row r="955" spans="1:30">
      <c r="A955" s="7"/>
      <c r="D955" s="7"/>
      <c r="I955" s="7"/>
      <c r="J955" s="7"/>
      <c r="K955" s="7"/>
      <c r="N955" s="7"/>
      <c r="V955" s="8"/>
      <c r="W955" s="7"/>
      <c r="Y955" s="8"/>
      <c r="Z955" s="8"/>
      <c r="AA955" s="8"/>
      <c r="AB955" s="7"/>
      <c r="AD955" s="8"/>
    </row>
    <row r="956" spans="1:30">
      <c r="A956" s="7"/>
      <c r="D956" s="7"/>
      <c r="I956" s="7"/>
      <c r="J956" s="7"/>
      <c r="K956" s="7"/>
      <c r="N956" s="7"/>
      <c r="V956" s="8"/>
      <c r="W956" s="7"/>
      <c r="Y956" s="8"/>
      <c r="Z956" s="8"/>
      <c r="AA956" s="8"/>
      <c r="AB956" s="7"/>
      <c r="AD956" s="8"/>
    </row>
    <row r="957" spans="1:30">
      <c r="A957" s="7"/>
      <c r="D957" s="7"/>
      <c r="I957" s="7"/>
      <c r="J957" s="7"/>
      <c r="K957" s="7"/>
      <c r="N957" s="7"/>
      <c r="V957" s="8"/>
      <c r="W957" s="7"/>
      <c r="Y957" s="8"/>
      <c r="Z957" s="8"/>
      <c r="AA957" s="8"/>
      <c r="AB957" s="7"/>
      <c r="AD957" s="8"/>
    </row>
    <row r="958" spans="1:30">
      <c r="A958" s="7"/>
      <c r="D958" s="7"/>
      <c r="I958" s="7"/>
      <c r="J958" s="7"/>
      <c r="K958" s="7"/>
      <c r="N958" s="7"/>
      <c r="V958" s="8"/>
      <c r="W958" s="7"/>
      <c r="Y958" s="8"/>
      <c r="Z958" s="8"/>
      <c r="AA958" s="8"/>
      <c r="AB958" s="7"/>
      <c r="AD958" s="8"/>
    </row>
    <row r="959" spans="1:30">
      <c r="A959" s="7"/>
      <c r="D959" s="7"/>
      <c r="I959" s="7"/>
      <c r="J959" s="7"/>
      <c r="K959" s="7"/>
      <c r="N959" s="7"/>
      <c r="V959" s="8"/>
      <c r="W959" s="7"/>
      <c r="Y959" s="8"/>
      <c r="Z959" s="8"/>
      <c r="AA959" s="8"/>
      <c r="AB959" s="7"/>
      <c r="AD959" s="8"/>
    </row>
    <row r="960" spans="1:30">
      <c r="A960" s="7"/>
      <c r="D960" s="7"/>
      <c r="I960" s="7"/>
      <c r="J960" s="7"/>
      <c r="K960" s="7"/>
      <c r="N960" s="7"/>
      <c r="V960" s="8"/>
      <c r="W960" s="7"/>
      <c r="Y960" s="8"/>
      <c r="Z960" s="8"/>
      <c r="AA960" s="8"/>
      <c r="AB960" s="7"/>
      <c r="AD960" s="8"/>
    </row>
    <row r="961" spans="1:30">
      <c r="A961" s="7"/>
      <c r="D961" s="7"/>
      <c r="I961" s="7"/>
      <c r="J961" s="7"/>
      <c r="K961" s="7"/>
      <c r="N961" s="7"/>
      <c r="V961" s="8"/>
      <c r="W961" s="7"/>
      <c r="Y961" s="8"/>
      <c r="Z961" s="8"/>
      <c r="AA961" s="8"/>
      <c r="AB961" s="7"/>
      <c r="AD961" s="8"/>
    </row>
    <row r="962" spans="1:30">
      <c r="A962" s="7"/>
      <c r="D962" s="7"/>
      <c r="I962" s="7"/>
      <c r="J962" s="7"/>
      <c r="K962" s="7"/>
      <c r="N962" s="7"/>
      <c r="V962" s="8"/>
      <c r="W962" s="7"/>
      <c r="Y962" s="8"/>
      <c r="Z962" s="8"/>
      <c r="AA962" s="8"/>
      <c r="AB962" s="7"/>
      <c r="AD962" s="8"/>
    </row>
    <row r="963" spans="1:30">
      <c r="A963" s="7"/>
      <c r="D963" s="7"/>
      <c r="I963" s="7"/>
      <c r="J963" s="7"/>
      <c r="K963" s="7"/>
      <c r="N963" s="7"/>
      <c r="V963" s="8"/>
      <c r="W963" s="7"/>
      <c r="Y963" s="8"/>
      <c r="Z963" s="8"/>
      <c r="AA963" s="8"/>
      <c r="AB963" s="7"/>
      <c r="AD963" s="8"/>
    </row>
    <row r="964" spans="1:30">
      <c r="A964" s="7"/>
      <c r="D964" s="7"/>
      <c r="I964" s="7"/>
      <c r="J964" s="7"/>
      <c r="K964" s="7"/>
      <c r="N964" s="7"/>
      <c r="V964" s="8"/>
      <c r="W964" s="7"/>
      <c r="Y964" s="8"/>
      <c r="Z964" s="8"/>
      <c r="AA964" s="8"/>
      <c r="AB964" s="7"/>
      <c r="AD964" s="8"/>
    </row>
    <row r="965" spans="1:30">
      <c r="A965" s="7"/>
      <c r="D965" s="7"/>
      <c r="I965" s="7"/>
      <c r="J965" s="7"/>
      <c r="K965" s="7"/>
      <c r="N965" s="7"/>
      <c r="V965" s="8"/>
      <c r="W965" s="7"/>
      <c r="Y965" s="8"/>
      <c r="Z965" s="8"/>
      <c r="AA965" s="8"/>
      <c r="AB965" s="7"/>
      <c r="AD965" s="8"/>
    </row>
    <row r="966" spans="1:30">
      <c r="A966" s="7"/>
      <c r="D966" s="7"/>
      <c r="I966" s="7"/>
      <c r="J966" s="7"/>
      <c r="K966" s="7"/>
      <c r="N966" s="7"/>
      <c r="V966" s="8"/>
      <c r="W966" s="7"/>
      <c r="Y966" s="8"/>
      <c r="Z966" s="8"/>
      <c r="AA966" s="8"/>
      <c r="AB966" s="7"/>
      <c r="AD966" s="8"/>
    </row>
    <row r="967" spans="1:30">
      <c r="A967" s="7"/>
      <c r="D967" s="7"/>
      <c r="I967" s="7"/>
      <c r="J967" s="7"/>
      <c r="K967" s="7"/>
      <c r="N967" s="7"/>
      <c r="V967" s="8"/>
      <c r="W967" s="7"/>
      <c r="Y967" s="8"/>
      <c r="Z967" s="8"/>
      <c r="AA967" s="8"/>
      <c r="AB967" s="7"/>
      <c r="AD967" s="8"/>
    </row>
    <row r="968" spans="1:30">
      <c r="A968" s="7"/>
      <c r="D968" s="7"/>
      <c r="I968" s="7"/>
      <c r="J968" s="7"/>
      <c r="K968" s="7"/>
      <c r="N968" s="7"/>
      <c r="V968" s="8"/>
      <c r="W968" s="7"/>
      <c r="Y968" s="8"/>
      <c r="Z968" s="8"/>
      <c r="AA968" s="8"/>
      <c r="AB968" s="7"/>
      <c r="AD968" s="8"/>
    </row>
    <row r="969" spans="1:30">
      <c r="A969" s="7"/>
      <c r="D969" s="7"/>
      <c r="I969" s="7"/>
      <c r="J969" s="7"/>
      <c r="K969" s="7"/>
      <c r="N969" s="7"/>
      <c r="V969" s="8"/>
      <c r="W969" s="7"/>
      <c r="Y969" s="8"/>
      <c r="Z969" s="8"/>
      <c r="AA969" s="8"/>
      <c r="AB969" s="7"/>
      <c r="AD969" s="8"/>
    </row>
    <row r="970" spans="1:30">
      <c r="A970" s="7"/>
      <c r="D970" s="7"/>
      <c r="I970" s="7"/>
      <c r="J970" s="7"/>
      <c r="K970" s="7"/>
      <c r="N970" s="7"/>
      <c r="V970" s="8"/>
      <c r="W970" s="7"/>
      <c r="Y970" s="8"/>
      <c r="Z970" s="8"/>
      <c r="AA970" s="8"/>
      <c r="AB970" s="7"/>
      <c r="AD970" s="8"/>
    </row>
    <row r="971" spans="1:30">
      <c r="A971" s="7"/>
      <c r="D971" s="7"/>
      <c r="I971" s="7"/>
      <c r="J971" s="7"/>
      <c r="K971" s="7"/>
      <c r="N971" s="7"/>
      <c r="V971" s="8"/>
      <c r="W971" s="7"/>
      <c r="Y971" s="8"/>
      <c r="Z971" s="8"/>
      <c r="AA971" s="8"/>
      <c r="AB971" s="7"/>
      <c r="AD971" s="8"/>
    </row>
    <row r="972" spans="1:30">
      <c r="A972" s="7"/>
      <c r="D972" s="7"/>
      <c r="I972" s="7"/>
      <c r="J972" s="7"/>
      <c r="K972" s="7"/>
      <c r="N972" s="7"/>
      <c r="V972" s="8"/>
      <c r="W972" s="7"/>
      <c r="Y972" s="8"/>
      <c r="Z972" s="8"/>
      <c r="AA972" s="8"/>
      <c r="AB972" s="7"/>
      <c r="AD972" s="8"/>
    </row>
    <row r="973" spans="1:30">
      <c r="A973" s="7"/>
      <c r="D973" s="7"/>
      <c r="I973" s="7"/>
      <c r="J973" s="7"/>
      <c r="K973" s="7"/>
      <c r="N973" s="7"/>
      <c r="V973" s="8"/>
      <c r="W973" s="7"/>
      <c r="Y973" s="8"/>
      <c r="Z973" s="8"/>
      <c r="AA973" s="8"/>
      <c r="AB973" s="7"/>
      <c r="AD973" s="8"/>
    </row>
    <row r="974" spans="1:30">
      <c r="A974" s="7"/>
      <c r="D974" s="7"/>
      <c r="I974" s="7"/>
      <c r="J974" s="7"/>
      <c r="K974" s="7"/>
      <c r="N974" s="7"/>
      <c r="V974" s="8"/>
      <c r="W974" s="7"/>
      <c r="Y974" s="8"/>
      <c r="Z974" s="8"/>
      <c r="AA974" s="8"/>
      <c r="AB974" s="7"/>
      <c r="AD974" s="8"/>
    </row>
    <row r="975" spans="1:30">
      <c r="A975" s="7"/>
      <c r="D975" s="7"/>
      <c r="I975" s="7"/>
      <c r="J975" s="7"/>
      <c r="K975" s="7"/>
      <c r="N975" s="7"/>
      <c r="V975" s="8"/>
      <c r="W975" s="7"/>
      <c r="Y975" s="8"/>
      <c r="Z975" s="8"/>
      <c r="AA975" s="8"/>
      <c r="AB975" s="7"/>
      <c r="AD975" s="8"/>
    </row>
    <row r="976" spans="1:30">
      <c r="A976" s="7"/>
      <c r="D976" s="7"/>
      <c r="I976" s="7"/>
      <c r="J976" s="7"/>
      <c r="K976" s="7"/>
      <c r="N976" s="7"/>
      <c r="V976" s="8"/>
      <c r="W976" s="7"/>
      <c r="Y976" s="8"/>
      <c r="Z976" s="8"/>
      <c r="AA976" s="8"/>
      <c r="AB976" s="7"/>
      <c r="AD976" s="8"/>
    </row>
    <row r="977" spans="1:30">
      <c r="A977" s="7"/>
      <c r="D977" s="7"/>
      <c r="I977" s="7"/>
      <c r="J977" s="7"/>
      <c r="K977" s="7"/>
      <c r="N977" s="7"/>
      <c r="V977" s="8"/>
      <c r="W977" s="7"/>
      <c r="Y977" s="8"/>
      <c r="Z977" s="8"/>
      <c r="AA977" s="8"/>
      <c r="AB977" s="7"/>
      <c r="AD977" s="8"/>
    </row>
    <row r="978" spans="1:30">
      <c r="A978" s="7"/>
      <c r="D978" s="7"/>
      <c r="I978" s="7"/>
      <c r="J978" s="7"/>
      <c r="K978" s="7"/>
      <c r="N978" s="7"/>
      <c r="V978" s="8"/>
      <c r="W978" s="7"/>
      <c r="Y978" s="8"/>
      <c r="Z978" s="8"/>
      <c r="AA978" s="8"/>
      <c r="AB978" s="7"/>
      <c r="AD978" s="8"/>
    </row>
    <row r="979" spans="1:30">
      <c r="A979" s="7"/>
      <c r="D979" s="7"/>
      <c r="I979" s="7"/>
      <c r="J979" s="7"/>
      <c r="K979" s="7"/>
      <c r="N979" s="7"/>
      <c r="V979" s="8"/>
      <c r="W979" s="7"/>
      <c r="Y979" s="8"/>
      <c r="Z979" s="8"/>
      <c r="AA979" s="8"/>
      <c r="AB979" s="7"/>
      <c r="AD979" s="8"/>
    </row>
    <row r="980" spans="1:30">
      <c r="A980" s="7"/>
      <c r="D980" s="7"/>
      <c r="I980" s="7"/>
      <c r="J980" s="7"/>
      <c r="K980" s="7"/>
      <c r="N980" s="7"/>
      <c r="V980" s="8"/>
      <c r="W980" s="7"/>
      <c r="Y980" s="8"/>
      <c r="Z980" s="8"/>
      <c r="AA980" s="8"/>
      <c r="AB980" s="7"/>
      <c r="AD980" s="8"/>
    </row>
    <row r="981" spans="1:30">
      <c r="A981" s="7"/>
      <c r="D981" s="7"/>
      <c r="I981" s="7"/>
      <c r="J981" s="7"/>
      <c r="K981" s="7"/>
      <c r="N981" s="7"/>
      <c r="V981" s="8"/>
      <c r="W981" s="7"/>
      <c r="Y981" s="8"/>
      <c r="Z981" s="8"/>
      <c r="AA981" s="8"/>
      <c r="AB981" s="7"/>
      <c r="AD981" s="8"/>
    </row>
    <row r="982" spans="1:30">
      <c r="A982" s="7"/>
      <c r="D982" s="7"/>
      <c r="I982" s="7"/>
      <c r="J982" s="7"/>
      <c r="K982" s="7"/>
      <c r="N982" s="7"/>
      <c r="V982" s="8"/>
      <c r="W982" s="7"/>
      <c r="Y982" s="8"/>
      <c r="Z982" s="8"/>
      <c r="AA982" s="8"/>
      <c r="AB982" s="7"/>
      <c r="AD982" s="8"/>
    </row>
    <row r="983" spans="1:30">
      <c r="A983" s="7"/>
      <c r="D983" s="7"/>
      <c r="I983" s="7"/>
      <c r="J983" s="7"/>
      <c r="K983" s="7"/>
      <c r="N983" s="7"/>
      <c r="V983" s="8"/>
      <c r="W983" s="7"/>
      <c r="Y983" s="8"/>
      <c r="Z983" s="8"/>
      <c r="AA983" s="8"/>
      <c r="AB983" s="7"/>
      <c r="AD983" s="8"/>
    </row>
    <row r="984" spans="1:30">
      <c r="A984" s="7"/>
      <c r="D984" s="7"/>
      <c r="I984" s="7"/>
      <c r="J984" s="7"/>
      <c r="K984" s="7"/>
      <c r="N984" s="7"/>
      <c r="V984" s="8"/>
      <c r="W984" s="7"/>
      <c r="Y984" s="8"/>
      <c r="Z984" s="8"/>
      <c r="AA984" s="8"/>
      <c r="AB984" s="7"/>
      <c r="AD984" s="8"/>
    </row>
    <row r="985" spans="1:30">
      <c r="A985" s="7"/>
      <c r="D985" s="7"/>
      <c r="I985" s="7"/>
      <c r="J985" s="7"/>
      <c r="K985" s="7"/>
      <c r="N985" s="7"/>
      <c r="V985" s="8"/>
      <c r="W985" s="7"/>
      <c r="Y985" s="8"/>
      <c r="Z985" s="8"/>
      <c r="AA985" s="8"/>
      <c r="AB985" s="7"/>
      <c r="AD985" s="8"/>
    </row>
    <row r="986" spans="1:30">
      <c r="A986" s="7"/>
      <c r="D986" s="7"/>
      <c r="I986" s="7"/>
      <c r="J986" s="7"/>
      <c r="K986" s="7"/>
      <c r="N986" s="7"/>
      <c r="V986" s="8"/>
      <c r="W986" s="7"/>
      <c r="Y986" s="8"/>
      <c r="Z986" s="8"/>
      <c r="AA986" s="8"/>
      <c r="AB986" s="7"/>
      <c r="AD986" s="8"/>
    </row>
    <row r="987" spans="1:30">
      <c r="A987" s="7"/>
      <c r="D987" s="7"/>
      <c r="I987" s="7"/>
      <c r="J987" s="7"/>
      <c r="K987" s="7"/>
      <c r="N987" s="7"/>
      <c r="V987" s="8"/>
      <c r="W987" s="7"/>
      <c r="Y987" s="8"/>
      <c r="Z987" s="8"/>
      <c r="AA987" s="8"/>
      <c r="AB987" s="7"/>
      <c r="AD987" s="8"/>
    </row>
    <row r="988" spans="1:30">
      <c r="A988" s="7"/>
      <c r="D988" s="7"/>
      <c r="I988" s="7"/>
      <c r="J988" s="7"/>
      <c r="K988" s="7"/>
      <c r="N988" s="7"/>
      <c r="V988" s="8"/>
      <c r="W988" s="7"/>
      <c r="Y988" s="8"/>
      <c r="Z988" s="8"/>
      <c r="AA988" s="8"/>
      <c r="AB988" s="7"/>
      <c r="AD988" s="8"/>
    </row>
    <row r="989" spans="1:30">
      <c r="A989" s="7"/>
      <c r="D989" s="7"/>
      <c r="I989" s="7"/>
      <c r="J989" s="7"/>
      <c r="K989" s="7"/>
      <c r="N989" s="7"/>
      <c r="V989" s="8"/>
      <c r="W989" s="7"/>
      <c r="Y989" s="8"/>
      <c r="Z989" s="8"/>
      <c r="AA989" s="8"/>
      <c r="AB989" s="7"/>
      <c r="AD989" s="8"/>
    </row>
    <row r="990" spans="1:30">
      <c r="A990" s="7"/>
      <c r="D990" s="7"/>
      <c r="I990" s="7"/>
      <c r="J990" s="7"/>
      <c r="K990" s="7"/>
      <c r="N990" s="7"/>
      <c r="V990" s="8"/>
      <c r="W990" s="7"/>
      <c r="Y990" s="8"/>
      <c r="Z990" s="8"/>
      <c r="AA990" s="8"/>
      <c r="AB990" s="7"/>
      <c r="AD990" s="8"/>
    </row>
    <row r="991" spans="1:30">
      <c r="A991" s="7"/>
      <c r="D991" s="7"/>
      <c r="I991" s="7"/>
      <c r="J991" s="7"/>
      <c r="K991" s="7"/>
      <c r="N991" s="7"/>
      <c r="V991" s="8"/>
      <c r="W991" s="7"/>
      <c r="Y991" s="8"/>
      <c r="Z991" s="8"/>
      <c r="AA991" s="8"/>
      <c r="AB991" s="7"/>
      <c r="AD991" s="8"/>
    </row>
    <row r="992" spans="1:30">
      <c r="A992" s="7"/>
      <c r="D992" s="7"/>
      <c r="I992" s="7"/>
      <c r="J992" s="7"/>
      <c r="K992" s="7"/>
      <c r="N992" s="7"/>
      <c r="V992" s="8"/>
      <c r="W992" s="7"/>
      <c r="Y992" s="8"/>
      <c r="Z992" s="8"/>
      <c r="AA992" s="8"/>
      <c r="AB992" s="7"/>
      <c r="AD992" s="8"/>
    </row>
    <row r="993" spans="1:30">
      <c r="A993" s="7"/>
      <c r="D993" s="7"/>
      <c r="I993" s="7"/>
      <c r="J993" s="7"/>
      <c r="K993" s="7"/>
      <c r="N993" s="7"/>
      <c r="V993" s="8"/>
      <c r="W993" s="7"/>
      <c r="Y993" s="8"/>
      <c r="Z993" s="8"/>
      <c r="AA993" s="8"/>
      <c r="AB993" s="7"/>
      <c r="AD993" s="8"/>
    </row>
    <row r="994" spans="1:30">
      <c r="A994" s="7"/>
      <c r="D994" s="7"/>
      <c r="I994" s="7"/>
      <c r="J994" s="7"/>
      <c r="K994" s="7"/>
      <c r="N994" s="7"/>
      <c r="V994" s="8"/>
      <c r="W994" s="7"/>
      <c r="Y994" s="8"/>
      <c r="Z994" s="8"/>
      <c r="AA994" s="8"/>
      <c r="AB994" s="7"/>
      <c r="AD994" s="8"/>
    </row>
    <row r="995" spans="1:30">
      <c r="A995" s="7"/>
      <c r="D995" s="7"/>
      <c r="I995" s="7"/>
      <c r="J995" s="7"/>
      <c r="K995" s="7"/>
      <c r="N995" s="7"/>
      <c r="V995" s="8"/>
      <c r="W995" s="7"/>
      <c r="Y995" s="8"/>
      <c r="Z995" s="8"/>
      <c r="AA995" s="8"/>
      <c r="AB995" s="7"/>
      <c r="AD995" s="8"/>
    </row>
    <row r="996" spans="1:30">
      <c r="A996" s="7"/>
      <c r="D996" s="7"/>
      <c r="I996" s="7"/>
      <c r="J996" s="7"/>
      <c r="K996" s="7"/>
      <c r="N996" s="7"/>
      <c r="V996" s="8"/>
      <c r="W996" s="7"/>
      <c r="Y996" s="8"/>
      <c r="Z996" s="8"/>
      <c r="AA996" s="8"/>
      <c r="AB996" s="7"/>
      <c r="AD996" s="8"/>
    </row>
    <row r="997" spans="1:30">
      <c r="A997" s="7"/>
      <c r="D997" s="7"/>
      <c r="I997" s="7"/>
      <c r="J997" s="7"/>
      <c r="K997" s="7"/>
      <c r="N997" s="7"/>
      <c r="V997" s="8"/>
      <c r="W997" s="7"/>
      <c r="Y997" s="8"/>
      <c r="Z997" s="8"/>
      <c r="AA997" s="8"/>
      <c r="AB997" s="7"/>
      <c r="AD997" s="8"/>
    </row>
    <row r="998" spans="1:30">
      <c r="A998" s="7"/>
      <c r="D998" s="7"/>
      <c r="I998" s="7"/>
      <c r="J998" s="7"/>
      <c r="K998" s="7"/>
      <c r="N998" s="7"/>
      <c r="V998" s="8"/>
      <c r="W998" s="7"/>
      <c r="Y998" s="8"/>
      <c r="Z998" s="8"/>
      <c r="AA998" s="8"/>
      <c r="AB998" s="7"/>
      <c r="AD998" s="8"/>
    </row>
    <row r="999" spans="1:30">
      <c r="A999" s="7"/>
      <c r="D999" s="7"/>
      <c r="I999" s="7"/>
      <c r="J999" s="7"/>
      <c r="K999" s="7"/>
      <c r="N999" s="7"/>
      <c r="V999" s="8"/>
      <c r="W999" s="7"/>
      <c r="Y999" s="8"/>
      <c r="Z999" s="8"/>
      <c r="AA999" s="8"/>
      <c r="AB999" s="7"/>
      <c r="AD999" s="8"/>
    </row>
    <row r="1000" spans="1:30">
      <c r="A1000" s="7"/>
      <c r="D1000" s="7"/>
      <c r="I1000" s="7"/>
      <c r="J1000" s="7"/>
      <c r="K1000" s="7"/>
      <c r="N1000" s="7"/>
      <c r="V1000" s="8"/>
      <c r="W1000" s="7"/>
      <c r="Y1000" s="8"/>
      <c r="Z1000" s="8"/>
      <c r="AA1000" s="8"/>
      <c r="AB1000" s="7"/>
      <c r="AD1000" s="8"/>
    </row>
    <row r="1001" spans="1:30">
      <c r="A1001" s="7"/>
      <c r="D1001" s="7"/>
      <c r="I1001" s="7"/>
      <c r="J1001" s="7"/>
      <c r="K1001" s="7"/>
      <c r="N1001" s="7"/>
      <c r="V1001" s="8"/>
      <c r="W1001" s="7"/>
      <c r="Y1001" s="8"/>
      <c r="Z1001" s="8"/>
      <c r="AA1001" s="8"/>
      <c r="AB1001" s="7"/>
      <c r="AD1001" s="8"/>
    </row>
    <row r="1002" spans="1:30">
      <c r="A1002" s="7"/>
      <c r="D1002" s="7"/>
      <c r="I1002" s="7"/>
      <c r="J1002" s="7"/>
      <c r="K1002" s="7"/>
      <c r="N1002" s="7"/>
      <c r="V1002" s="8"/>
      <c r="W1002" s="7"/>
      <c r="Y1002" s="8"/>
      <c r="Z1002" s="8"/>
      <c r="AA1002" s="8"/>
      <c r="AB1002" s="7"/>
      <c r="AD1002" s="8"/>
    </row>
    <row r="1003" spans="1:30">
      <c r="A1003" s="7"/>
      <c r="D1003" s="7"/>
      <c r="I1003" s="7"/>
      <c r="J1003" s="7"/>
      <c r="K1003" s="7"/>
      <c r="N1003" s="7"/>
      <c r="V1003" s="8"/>
      <c r="W1003" s="7"/>
      <c r="Y1003" s="8"/>
      <c r="Z1003" s="8"/>
      <c r="AA1003" s="8"/>
      <c r="AB1003" s="7"/>
      <c r="AD1003" s="8"/>
    </row>
    <row r="1004" spans="1:30">
      <c r="A1004" s="7"/>
      <c r="D1004" s="7"/>
      <c r="I1004" s="7"/>
      <c r="J1004" s="7"/>
      <c r="K1004" s="7"/>
      <c r="N1004" s="7"/>
      <c r="V1004" s="8"/>
      <c r="W1004" s="7"/>
      <c r="Y1004" s="8"/>
      <c r="Z1004" s="8"/>
      <c r="AA1004" s="8"/>
      <c r="AB1004" s="7"/>
      <c r="AD1004" s="8"/>
    </row>
    <row r="1005" spans="1:30">
      <c r="A1005" s="7"/>
      <c r="D1005" s="7"/>
      <c r="I1005" s="7"/>
      <c r="J1005" s="7"/>
      <c r="K1005" s="7"/>
      <c r="N1005" s="7"/>
      <c r="V1005" s="8"/>
      <c r="W1005" s="7"/>
      <c r="Y1005" s="8"/>
      <c r="Z1005" s="8"/>
      <c r="AA1005" s="8"/>
      <c r="AB1005" s="7"/>
      <c r="AD1005" s="8"/>
    </row>
    <row r="1006" spans="1:30">
      <c r="A1006" s="7"/>
      <c r="D1006" s="7"/>
      <c r="I1006" s="7"/>
      <c r="J1006" s="7"/>
      <c r="K1006" s="7"/>
      <c r="N1006" s="7"/>
      <c r="V1006" s="8"/>
      <c r="W1006" s="7"/>
      <c r="Y1006" s="8"/>
      <c r="Z1006" s="8"/>
      <c r="AA1006" s="8"/>
      <c r="AB1006" s="7"/>
      <c r="AD1006" s="8"/>
    </row>
    <row r="1007" spans="1:30">
      <c r="A1007" s="7"/>
      <c r="D1007" s="7"/>
      <c r="I1007" s="7"/>
      <c r="J1007" s="7"/>
      <c r="K1007" s="7"/>
      <c r="N1007" s="7"/>
      <c r="V1007" s="8"/>
      <c r="W1007" s="7"/>
      <c r="Y1007" s="8"/>
      <c r="Z1007" s="8"/>
      <c r="AA1007" s="8"/>
      <c r="AB1007" s="7"/>
      <c r="AD1007" s="8"/>
    </row>
    <row r="1008" spans="1:30">
      <c r="A1008" s="7"/>
      <c r="D1008" s="7"/>
      <c r="I1008" s="7"/>
      <c r="J1008" s="7"/>
      <c r="K1008" s="7"/>
      <c r="N1008" s="7"/>
      <c r="V1008" s="8"/>
      <c r="W1008" s="7"/>
      <c r="Y1008" s="8"/>
      <c r="Z1008" s="8"/>
      <c r="AA1008" s="8"/>
      <c r="AB1008" s="7"/>
      <c r="AD1008" s="8"/>
    </row>
    <row r="1009" spans="1:30">
      <c r="A1009" s="7"/>
      <c r="D1009" s="7"/>
      <c r="I1009" s="7"/>
      <c r="J1009" s="7"/>
      <c r="K1009" s="7"/>
      <c r="N1009" s="7"/>
      <c r="V1009" s="8"/>
      <c r="W1009" s="7"/>
      <c r="Y1009" s="8"/>
      <c r="Z1009" s="8"/>
      <c r="AA1009" s="8"/>
      <c r="AB1009" s="7"/>
      <c r="AD1009" s="8"/>
    </row>
    <row r="1010" spans="1:30">
      <c r="A1010" s="7"/>
      <c r="D1010" s="7"/>
      <c r="I1010" s="7"/>
      <c r="J1010" s="7"/>
      <c r="K1010" s="7"/>
      <c r="N1010" s="7"/>
      <c r="V1010" s="8"/>
      <c r="W1010" s="7"/>
      <c r="Y1010" s="8"/>
      <c r="Z1010" s="8"/>
      <c r="AA1010" s="8"/>
      <c r="AB1010" s="7"/>
      <c r="AD1010" s="8"/>
    </row>
    <row r="1011" spans="1:30">
      <c r="A1011" s="7"/>
      <c r="D1011" s="7"/>
      <c r="I1011" s="7"/>
      <c r="J1011" s="7"/>
      <c r="K1011" s="7"/>
      <c r="N1011" s="7"/>
      <c r="V1011" s="8"/>
      <c r="W1011" s="7"/>
      <c r="Y1011" s="8"/>
      <c r="Z1011" s="8"/>
      <c r="AA1011" s="8"/>
      <c r="AB1011" s="7"/>
      <c r="AD1011" s="8"/>
    </row>
    <row r="1012" spans="1:30">
      <c r="A1012" s="7"/>
      <c r="D1012" s="7"/>
      <c r="I1012" s="7"/>
      <c r="J1012" s="7"/>
      <c r="K1012" s="7"/>
      <c r="N1012" s="7"/>
      <c r="V1012" s="8"/>
      <c r="W1012" s="7"/>
      <c r="Y1012" s="8"/>
      <c r="Z1012" s="8"/>
      <c r="AA1012" s="8"/>
      <c r="AB1012" s="7"/>
      <c r="AD1012" s="8"/>
    </row>
    <row r="1013" spans="1:30">
      <c r="A1013" s="7"/>
      <c r="D1013" s="7"/>
      <c r="I1013" s="7"/>
      <c r="J1013" s="7"/>
      <c r="K1013" s="7"/>
      <c r="N1013" s="7"/>
      <c r="V1013" s="8"/>
      <c r="W1013" s="7"/>
      <c r="Y1013" s="8"/>
      <c r="Z1013" s="8"/>
      <c r="AA1013" s="8"/>
      <c r="AB1013" s="7"/>
      <c r="AD1013" s="8"/>
    </row>
    <row r="1014" spans="1:30">
      <c r="A1014" s="7"/>
      <c r="D1014" s="7"/>
      <c r="I1014" s="7"/>
      <c r="J1014" s="7"/>
      <c r="K1014" s="7"/>
      <c r="N1014" s="7"/>
      <c r="V1014" s="8"/>
      <c r="W1014" s="7"/>
      <c r="Y1014" s="8"/>
      <c r="Z1014" s="8"/>
      <c r="AA1014" s="8"/>
      <c r="AB1014" s="7"/>
      <c r="AD1014" s="8"/>
    </row>
    <row r="1015" spans="1:30">
      <c r="A1015" s="7"/>
      <c r="D1015" s="7"/>
      <c r="I1015" s="7"/>
      <c r="J1015" s="7"/>
      <c r="K1015" s="7"/>
      <c r="N1015" s="7"/>
      <c r="V1015" s="8"/>
      <c r="W1015" s="7"/>
      <c r="Y1015" s="8"/>
      <c r="Z1015" s="8"/>
      <c r="AA1015" s="8"/>
      <c r="AB1015" s="7"/>
      <c r="AD1015" s="8"/>
    </row>
    <row r="1016" spans="1:30">
      <c r="A1016" s="7"/>
      <c r="D1016" s="7"/>
      <c r="I1016" s="7"/>
      <c r="J1016" s="7"/>
      <c r="K1016" s="7"/>
      <c r="N1016" s="7"/>
      <c r="V1016" s="8"/>
      <c r="W1016" s="7"/>
      <c r="Y1016" s="8"/>
      <c r="Z1016" s="8"/>
      <c r="AA1016" s="8"/>
      <c r="AB1016" s="7"/>
      <c r="AD1016" s="8"/>
    </row>
    <row r="1017" spans="1:30">
      <c r="A1017" s="7"/>
      <c r="D1017" s="7"/>
      <c r="I1017" s="7"/>
      <c r="J1017" s="7"/>
      <c r="K1017" s="7"/>
      <c r="N1017" s="7"/>
      <c r="V1017" s="8"/>
      <c r="W1017" s="7"/>
      <c r="Y1017" s="8"/>
      <c r="Z1017" s="8"/>
      <c r="AA1017" s="8"/>
      <c r="AB1017" s="7"/>
      <c r="AD1017" s="8"/>
    </row>
    <row r="1018" spans="1:30">
      <c r="A1018" s="7"/>
      <c r="D1018" s="7"/>
      <c r="I1018" s="7"/>
      <c r="J1018" s="7"/>
      <c r="K1018" s="7"/>
      <c r="N1018" s="7"/>
      <c r="V1018" s="8"/>
      <c r="W1018" s="7"/>
      <c r="Y1018" s="8"/>
      <c r="Z1018" s="8"/>
      <c r="AA1018" s="8"/>
      <c r="AB1018" s="7"/>
      <c r="AD1018" s="8"/>
    </row>
    <row r="1019" spans="1:30">
      <c r="A1019" s="7"/>
      <c r="D1019" s="7"/>
      <c r="I1019" s="7"/>
      <c r="J1019" s="7"/>
      <c r="K1019" s="7"/>
      <c r="N1019" s="7"/>
      <c r="V1019" s="8"/>
      <c r="W1019" s="7"/>
      <c r="Y1019" s="8"/>
      <c r="Z1019" s="8"/>
      <c r="AA1019" s="8"/>
      <c r="AB1019" s="7"/>
      <c r="AD1019" s="8"/>
    </row>
    <row r="1020" spans="1:30">
      <c r="A1020" s="7"/>
      <c r="D1020" s="7"/>
      <c r="I1020" s="7"/>
      <c r="J1020" s="7"/>
      <c r="K1020" s="7"/>
      <c r="N1020" s="7"/>
      <c r="V1020" s="8"/>
      <c r="W1020" s="7"/>
      <c r="Y1020" s="8"/>
      <c r="Z1020" s="8"/>
      <c r="AA1020" s="8"/>
      <c r="AB1020" s="7"/>
      <c r="AD1020" s="8"/>
    </row>
    <row r="1021" spans="1:30">
      <c r="A1021" s="7"/>
      <c r="D1021" s="7"/>
      <c r="I1021" s="7"/>
      <c r="J1021" s="7"/>
      <c r="K1021" s="7"/>
      <c r="N1021" s="7"/>
      <c r="V1021" s="8"/>
      <c r="W1021" s="7"/>
      <c r="Y1021" s="8"/>
      <c r="Z1021" s="8"/>
      <c r="AA1021" s="8"/>
      <c r="AB1021" s="7"/>
      <c r="AD1021" s="8"/>
    </row>
    <row r="1022" spans="1:30">
      <c r="A1022" s="7"/>
      <c r="D1022" s="7"/>
      <c r="I1022" s="7"/>
      <c r="J1022" s="7"/>
      <c r="K1022" s="7"/>
      <c r="N1022" s="7"/>
      <c r="V1022" s="8"/>
      <c r="W1022" s="7"/>
      <c r="Y1022" s="8"/>
      <c r="Z1022" s="8"/>
      <c r="AA1022" s="8"/>
      <c r="AB1022" s="7"/>
      <c r="AD1022" s="8"/>
    </row>
    <row r="1023" spans="1:30">
      <c r="A1023" s="7"/>
      <c r="D1023" s="7"/>
      <c r="I1023" s="7"/>
      <c r="J1023" s="7"/>
      <c r="K1023" s="7"/>
      <c r="N1023" s="7"/>
      <c r="V1023" s="8"/>
      <c r="W1023" s="7"/>
      <c r="Y1023" s="8"/>
      <c r="Z1023" s="8"/>
      <c r="AA1023" s="8"/>
      <c r="AB1023" s="7"/>
      <c r="AD1023" s="8"/>
    </row>
    <row r="1024" spans="1:30">
      <c r="A1024" s="7"/>
      <c r="D1024" s="7"/>
      <c r="I1024" s="7"/>
      <c r="J1024" s="7"/>
      <c r="K1024" s="7"/>
      <c r="N1024" s="7"/>
      <c r="V1024" s="8"/>
      <c r="W1024" s="7"/>
      <c r="Y1024" s="8"/>
      <c r="Z1024" s="8"/>
      <c r="AA1024" s="8"/>
      <c r="AB1024" s="7"/>
      <c r="AD1024" s="8"/>
    </row>
    <row r="1025" spans="1:30">
      <c r="A1025" s="7"/>
      <c r="D1025" s="7"/>
      <c r="I1025" s="7"/>
      <c r="J1025" s="7"/>
      <c r="K1025" s="7"/>
      <c r="N1025" s="7"/>
      <c r="V1025" s="8"/>
      <c r="W1025" s="7"/>
      <c r="Y1025" s="8"/>
      <c r="Z1025" s="8"/>
      <c r="AA1025" s="8"/>
      <c r="AB1025" s="7"/>
      <c r="AD1025" s="8"/>
    </row>
    <row r="1026" spans="1:30">
      <c r="A1026" s="7"/>
      <c r="D1026" s="7"/>
      <c r="I1026" s="7"/>
      <c r="J1026" s="7"/>
      <c r="K1026" s="7"/>
      <c r="N1026" s="7"/>
      <c r="V1026" s="8"/>
      <c r="W1026" s="7"/>
      <c r="Y1026" s="8"/>
      <c r="Z1026" s="8"/>
      <c r="AA1026" s="8"/>
      <c r="AB1026" s="7"/>
      <c r="AD1026" s="8"/>
    </row>
    <row r="1027" spans="1:30">
      <c r="A1027" s="7"/>
      <c r="D1027" s="7"/>
      <c r="I1027" s="7"/>
      <c r="J1027" s="7"/>
      <c r="K1027" s="7"/>
      <c r="N1027" s="7"/>
      <c r="V1027" s="8"/>
      <c r="W1027" s="7"/>
      <c r="Y1027" s="8"/>
      <c r="Z1027" s="8"/>
      <c r="AA1027" s="8"/>
      <c r="AB1027" s="7"/>
      <c r="AD1027" s="8"/>
    </row>
    <row r="1028" spans="1:30">
      <c r="A1028" s="7"/>
      <c r="D1028" s="7"/>
      <c r="I1028" s="7"/>
      <c r="J1028" s="7"/>
      <c r="K1028" s="7"/>
      <c r="N1028" s="7"/>
      <c r="V1028" s="8"/>
      <c r="W1028" s="7"/>
      <c r="Y1028" s="8"/>
      <c r="Z1028" s="8"/>
      <c r="AA1028" s="8"/>
      <c r="AB1028" s="7"/>
      <c r="AD1028" s="8"/>
    </row>
    <row r="1029" spans="1:30">
      <c r="A1029" s="7"/>
      <c r="D1029" s="7"/>
      <c r="I1029" s="7"/>
      <c r="J1029" s="7"/>
      <c r="K1029" s="7"/>
      <c r="N1029" s="7"/>
      <c r="V1029" s="8"/>
      <c r="W1029" s="7"/>
      <c r="Y1029" s="8"/>
      <c r="Z1029" s="8"/>
      <c r="AA1029" s="8"/>
      <c r="AB1029" s="7"/>
      <c r="AD1029" s="8"/>
    </row>
    <row r="1030" spans="1:30">
      <c r="A1030" s="7"/>
      <c r="D1030" s="7"/>
      <c r="I1030" s="7"/>
      <c r="J1030" s="7"/>
      <c r="K1030" s="7"/>
      <c r="N1030" s="7"/>
      <c r="V1030" s="8"/>
      <c r="W1030" s="7"/>
      <c r="Y1030" s="8"/>
      <c r="Z1030" s="8"/>
      <c r="AA1030" s="8"/>
      <c r="AB1030" s="7"/>
      <c r="AD1030" s="8"/>
    </row>
    <row r="1031" spans="1:30">
      <c r="A1031" s="7"/>
      <c r="D1031" s="7"/>
      <c r="I1031" s="7"/>
      <c r="J1031" s="7"/>
      <c r="K1031" s="7"/>
      <c r="N1031" s="7"/>
      <c r="V1031" s="8"/>
      <c r="W1031" s="7"/>
      <c r="Y1031" s="8"/>
      <c r="Z1031" s="8"/>
      <c r="AA1031" s="8"/>
      <c r="AB1031" s="7"/>
      <c r="AD1031" s="8"/>
    </row>
    <row r="1032" spans="1:30">
      <c r="A1032" s="7"/>
      <c r="D1032" s="7"/>
      <c r="I1032" s="7"/>
      <c r="J1032" s="7"/>
      <c r="K1032" s="7"/>
      <c r="N1032" s="7"/>
      <c r="V1032" s="8"/>
      <c r="W1032" s="7"/>
      <c r="Y1032" s="8"/>
      <c r="Z1032" s="8"/>
      <c r="AA1032" s="8"/>
      <c r="AB1032" s="7"/>
      <c r="AD1032" s="8"/>
    </row>
    <row r="1033" spans="1:30">
      <c r="A1033" s="7"/>
      <c r="D1033" s="7"/>
      <c r="I1033" s="7"/>
      <c r="J1033" s="7"/>
      <c r="K1033" s="7"/>
      <c r="N1033" s="7"/>
      <c r="V1033" s="8"/>
      <c r="W1033" s="7"/>
      <c r="Y1033" s="8"/>
      <c r="Z1033" s="8"/>
      <c r="AA1033" s="8"/>
      <c r="AB1033" s="7"/>
      <c r="AD1033" s="8"/>
    </row>
    <row r="1034" spans="1:30">
      <c r="A1034" s="7"/>
      <c r="D1034" s="7"/>
      <c r="I1034" s="7"/>
      <c r="J1034" s="7"/>
      <c r="K1034" s="7"/>
      <c r="N1034" s="7"/>
      <c r="V1034" s="8"/>
      <c r="W1034" s="7"/>
      <c r="Y1034" s="8"/>
      <c r="Z1034" s="8"/>
      <c r="AA1034" s="8"/>
      <c r="AB1034" s="7"/>
      <c r="AD1034" s="8"/>
    </row>
    <row r="1035" spans="1:30">
      <c r="A1035" s="7"/>
      <c r="D1035" s="7"/>
      <c r="I1035" s="7"/>
      <c r="J1035" s="7"/>
      <c r="K1035" s="7"/>
      <c r="N1035" s="7"/>
      <c r="V1035" s="8"/>
      <c r="W1035" s="7"/>
      <c r="Y1035" s="8"/>
      <c r="Z1035" s="8"/>
      <c r="AA1035" s="8"/>
      <c r="AB1035" s="7"/>
      <c r="AD1035" s="8"/>
    </row>
    <row r="1036" spans="1:30">
      <c r="A1036" s="7"/>
      <c r="D1036" s="7"/>
      <c r="I1036" s="7"/>
      <c r="J1036" s="7"/>
      <c r="K1036" s="7"/>
      <c r="N1036" s="7"/>
      <c r="V1036" s="8"/>
      <c r="W1036" s="7"/>
      <c r="Y1036" s="8"/>
      <c r="Z1036" s="8"/>
      <c r="AA1036" s="8"/>
      <c r="AB1036" s="7"/>
      <c r="AD1036" s="8"/>
    </row>
    <row r="1037" spans="1:30">
      <c r="A1037" s="7"/>
      <c r="D1037" s="7"/>
      <c r="I1037" s="7"/>
      <c r="J1037" s="7"/>
      <c r="K1037" s="7"/>
      <c r="N1037" s="7"/>
      <c r="V1037" s="8"/>
      <c r="W1037" s="7"/>
      <c r="Y1037" s="8"/>
      <c r="Z1037" s="8"/>
      <c r="AA1037" s="8"/>
      <c r="AB1037" s="7"/>
      <c r="AD1037" s="8"/>
    </row>
    <row r="1038" spans="1:30">
      <c r="A1038" s="7"/>
      <c r="D1038" s="7"/>
      <c r="I1038" s="7"/>
      <c r="J1038" s="7"/>
      <c r="K1038" s="7"/>
      <c r="N1038" s="7"/>
      <c r="V1038" s="8"/>
      <c r="W1038" s="7"/>
      <c r="Y1038" s="8"/>
      <c r="Z1038" s="8"/>
      <c r="AA1038" s="8"/>
      <c r="AB1038" s="7"/>
      <c r="AD1038" s="8"/>
    </row>
    <row r="1039" spans="1:30">
      <c r="A1039" s="7"/>
      <c r="D1039" s="7"/>
      <c r="I1039" s="7"/>
      <c r="J1039" s="7"/>
      <c r="K1039" s="7"/>
      <c r="N1039" s="7"/>
      <c r="V1039" s="8"/>
      <c r="W1039" s="7"/>
      <c r="Y1039" s="8"/>
      <c r="Z1039" s="8"/>
      <c r="AA1039" s="8"/>
      <c r="AB1039" s="7"/>
      <c r="AD1039" s="8"/>
    </row>
    <row r="1040" spans="1:30">
      <c r="A1040" s="7"/>
      <c r="D1040" s="7"/>
      <c r="I1040" s="7"/>
      <c r="J1040" s="7"/>
      <c r="K1040" s="7"/>
      <c r="N1040" s="7"/>
      <c r="V1040" s="8"/>
      <c r="W1040" s="7"/>
      <c r="Y1040" s="8"/>
      <c r="Z1040" s="8"/>
      <c r="AA1040" s="8"/>
      <c r="AB1040" s="7"/>
      <c r="AD1040" s="8"/>
    </row>
    <row r="1041" spans="1:30">
      <c r="A1041" s="7"/>
      <c r="D1041" s="7"/>
      <c r="I1041" s="7"/>
      <c r="J1041" s="7"/>
      <c r="K1041" s="7"/>
      <c r="N1041" s="7"/>
      <c r="V1041" s="8"/>
      <c r="W1041" s="7"/>
      <c r="Y1041" s="8"/>
      <c r="Z1041" s="8"/>
      <c r="AA1041" s="8"/>
      <c r="AB1041" s="7"/>
      <c r="AD1041" s="8"/>
    </row>
    <row r="1042" spans="1:30">
      <c r="A1042" s="7"/>
      <c r="D1042" s="7"/>
      <c r="I1042" s="7"/>
      <c r="J1042" s="7"/>
      <c r="K1042" s="7"/>
      <c r="N1042" s="7"/>
      <c r="V1042" s="8"/>
      <c r="W1042" s="7"/>
      <c r="Y1042" s="8"/>
      <c r="Z1042" s="8"/>
      <c r="AA1042" s="8"/>
      <c r="AB1042" s="7"/>
      <c r="AD1042" s="8"/>
    </row>
    <row r="1043" spans="1:30">
      <c r="A1043" s="7"/>
      <c r="D1043" s="7"/>
      <c r="I1043" s="7"/>
      <c r="J1043" s="7"/>
      <c r="K1043" s="7"/>
      <c r="N1043" s="7"/>
      <c r="V1043" s="8"/>
      <c r="W1043" s="7"/>
      <c r="Y1043" s="8"/>
      <c r="Z1043" s="8"/>
      <c r="AA1043" s="8"/>
      <c r="AB1043" s="7"/>
      <c r="AD1043" s="8"/>
    </row>
    <row r="1044" spans="1:30">
      <c r="A1044" s="7"/>
      <c r="D1044" s="7"/>
      <c r="I1044" s="7"/>
      <c r="J1044" s="7"/>
      <c r="K1044" s="7"/>
      <c r="N1044" s="7"/>
      <c r="V1044" s="8"/>
      <c r="W1044" s="7"/>
      <c r="Y1044" s="8"/>
      <c r="Z1044" s="8"/>
      <c r="AA1044" s="8"/>
      <c r="AB1044" s="7"/>
      <c r="AD1044" s="8"/>
    </row>
    <row r="1045" spans="1:30">
      <c r="A1045" s="7"/>
      <c r="D1045" s="7"/>
      <c r="I1045" s="7"/>
      <c r="J1045" s="7"/>
      <c r="K1045" s="7"/>
      <c r="N1045" s="7"/>
      <c r="V1045" s="8"/>
      <c r="W1045" s="7"/>
      <c r="Y1045" s="8"/>
      <c r="Z1045" s="8"/>
      <c r="AA1045" s="8"/>
      <c r="AB1045" s="7"/>
      <c r="AD1045" s="8"/>
    </row>
    <row r="1046" spans="1:30">
      <c r="A1046" s="7"/>
      <c r="D1046" s="7"/>
      <c r="I1046" s="7"/>
      <c r="J1046" s="7"/>
      <c r="K1046" s="7"/>
      <c r="N1046" s="7"/>
      <c r="V1046" s="8"/>
      <c r="W1046" s="7"/>
      <c r="Y1046" s="8"/>
      <c r="Z1046" s="8"/>
      <c r="AA1046" s="8"/>
      <c r="AB1046" s="7"/>
      <c r="AD1046" s="8"/>
    </row>
    <row r="1047" spans="1:30">
      <c r="A1047" s="7"/>
      <c r="D1047" s="7"/>
      <c r="I1047" s="7"/>
      <c r="J1047" s="7"/>
      <c r="K1047" s="7"/>
      <c r="N1047" s="7"/>
      <c r="V1047" s="8"/>
      <c r="W1047" s="7"/>
      <c r="Y1047" s="8"/>
      <c r="Z1047" s="8"/>
      <c r="AA1047" s="8"/>
      <c r="AB1047" s="7"/>
      <c r="AD1047" s="8"/>
    </row>
    <row r="1048" spans="1:30">
      <c r="A1048" s="7"/>
      <c r="D1048" s="7"/>
      <c r="I1048" s="7"/>
      <c r="J1048" s="7"/>
      <c r="K1048" s="7"/>
      <c r="N1048" s="7"/>
      <c r="V1048" s="8"/>
      <c r="W1048" s="7"/>
      <c r="Y1048" s="8"/>
      <c r="Z1048" s="8"/>
      <c r="AA1048" s="8"/>
      <c r="AB1048" s="7"/>
      <c r="AD1048" s="8"/>
    </row>
    <row r="1049" spans="1:30">
      <c r="A1049" s="7"/>
      <c r="D1049" s="7"/>
      <c r="I1049" s="7"/>
      <c r="J1049" s="7"/>
      <c r="K1049" s="7"/>
      <c r="N1049" s="7"/>
      <c r="V1049" s="8"/>
      <c r="W1049" s="7"/>
      <c r="Y1049" s="8"/>
      <c r="Z1049" s="8"/>
      <c r="AA1049" s="8"/>
      <c r="AB1049" s="7"/>
      <c r="AD1049" s="8"/>
    </row>
    <row r="1050" spans="1:30">
      <c r="A1050" s="7"/>
      <c r="D1050" s="7"/>
      <c r="I1050" s="7"/>
      <c r="J1050" s="7"/>
      <c r="K1050" s="7"/>
      <c r="N1050" s="7"/>
      <c r="V1050" s="8"/>
      <c r="W1050" s="7"/>
      <c r="Y1050" s="8"/>
      <c r="Z1050" s="8"/>
      <c r="AA1050" s="8"/>
      <c r="AB1050" s="7"/>
      <c r="AD1050" s="8"/>
    </row>
    <row r="1051" spans="1:30">
      <c r="A1051" s="7"/>
      <c r="D1051" s="7"/>
      <c r="I1051" s="7"/>
      <c r="J1051" s="7"/>
      <c r="K1051" s="7"/>
      <c r="N1051" s="7"/>
      <c r="V1051" s="8"/>
      <c r="W1051" s="7"/>
      <c r="Y1051" s="8"/>
      <c r="Z1051" s="8"/>
      <c r="AA1051" s="8"/>
      <c r="AB1051" s="7"/>
      <c r="AD1051" s="8"/>
    </row>
    <row r="1052" spans="1:30">
      <c r="A1052" s="7"/>
      <c r="D1052" s="7"/>
      <c r="I1052" s="7"/>
      <c r="J1052" s="7"/>
      <c r="K1052" s="7"/>
      <c r="N1052" s="7"/>
      <c r="V1052" s="8"/>
      <c r="W1052" s="7"/>
      <c r="Y1052" s="8"/>
      <c r="Z1052" s="8"/>
      <c r="AA1052" s="8"/>
      <c r="AB1052" s="7"/>
      <c r="AD1052" s="8"/>
    </row>
    <row r="1053" spans="1:30">
      <c r="A1053" s="7"/>
      <c r="D1053" s="7"/>
      <c r="I1053" s="7"/>
      <c r="J1053" s="7"/>
      <c r="K1053" s="7"/>
      <c r="N1053" s="7"/>
      <c r="V1053" s="8"/>
      <c r="W1053" s="7"/>
      <c r="Y1053" s="8"/>
      <c r="Z1053" s="8"/>
      <c r="AA1053" s="8"/>
      <c r="AB1053" s="7"/>
      <c r="AD1053" s="8"/>
    </row>
    <row r="1054" spans="1:30">
      <c r="A1054" s="7"/>
      <c r="D1054" s="7"/>
      <c r="I1054" s="7"/>
      <c r="J1054" s="7"/>
      <c r="K1054" s="7"/>
      <c r="N1054" s="7"/>
      <c r="V1054" s="8"/>
      <c r="W1054" s="7"/>
      <c r="Y1054" s="8"/>
      <c r="Z1054" s="8"/>
      <c r="AA1054" s="8"/>
      <c r="AB1054" s="7"/>
      <c r="AD1054" s="8"/>
    </row>
    <row r="1055" spans="1:30">
      <c r="A1055" s="7"/>
      <c r="D1055" s="7"/>
      <c r="I1055" s="7"/>
      <c r="J1055" s="7"/>
      <c r="K1055" s="7"/>
      <c r="N1055" s="7"/>
      <c r="V1055" s="8"/>
      <c r="W1055" s="7"/>
      <c r="Y1055" s="8"/>
      <c r="Z1055" s="8"/>
      <c r="AA1055" s="8"/>
      <c r="AB1055" s="7"/>
      <c r="AD1055" s="8"/>
    </row>
    <row r="1056" spans="1:30">
      <c r="A1056" s="7"/>
      <c r="D1056" s="7"/>
      <c r="I1056" s="7"/>
      <c r="J1056" s="7"/>
      <c r="K1056" s="7"/>
      <c r="N1056" s="7"/>
      <c r="V1056" s="8"/>
      <c r="W1056" s="7"/>
      <c r="Y1056" s="8"/>
      <c r="Z1056" s="8"/>
      <c r="AA1056" s="8"/>
      <c r="AB1056" s="7"/>
      <c r="AD1056" s="8"/>
    </row>
    <row r="1057" spans="1:30">
      <c r="A1057" s="7"/>
      <c r="D1057" s="7"/>
      <c r="I1057" s="7"/>
      <c r="J1057" s="7"/>
      <c r="K1057" s="7"/>
      <c r="N1057" s="7"/>
      <c r="V1057" s="8"/>
      <c r="W1057" s="7"/>
      <c r="Y1057" s="8"/>
      <c r="Z1057" s="8"/>
      <c r="AA1057" s="8"/>
      <c r="AB1057" s="7"/>
      <c r="AD1057" s="8"/>
    </row>
    <row r="1058" spans="1:30">
      <c r="A1058" s="7"/>
      <c r="D1058" s="7"/>
      <c r="I1058" s="7"/>
      <c r="J1058" s="7"/>
      <c r="K1058" s="7"/>
      <c r="N1058" s="7"/>
      <c r="V1058" s="8"/>
      <c r="W1058" s="7"/>
      <c r="Y1058" s="8"/>
      <c r="Z1058" s="8"/>
      <c r="AA1058" s="8"/>
      <c r="AB1058" s="7"/>
      <c r="AD1058" s="8"/>
    </row>
    <row r="1059" spans="1:30">
      <c r="A1059" s="7"/>
      <c r="D1059" s="7"/>
      <c r="I1059" s="7"/>
      <c r="J1059" s="7"/>
      <c r="K1059" s="7"/>
      <c r="N1059" s="7"/>
      <c r="V1059" s="8"/>
      <c r="W1059" s="7"/>
      <c r="Y1059" s="8"/>
      <c r="Z1059" s="8"/>
      <c r="AA1059" s="8"/>
      <c r="AB1059" s="7"/>
      <c r="AD1059" s="8"/>
    </row>
    <row r="1060" spans="1:30">
      <c r="A1060" s="7"/>
      <c r="D1060" s="7"/>
      <c r="I1060" s="7"/>
      <c r="J1060" s="7"/>
      <c r="K1060" s="7"/>
      <c r="N1060" s="7"/>
      <c r="V1060" s="8"/>
      <c r="W1060" s="7"/>
      <c r="Y1060" s="8"/>
      <c r="Z1060" s="8"/>
      <c r="AA1060" s="8"/>
      <c r="AB1060" s="7"/>
      <c r="AD1060" s="8"/>
    </row>
    <row r="1061" spans="1:30">
      <c r="A1061" s="7"/>
      <c r="D1061" s="7"/>
      <c r="I1061" s="7"/>
      <c r="J1061" s="7"/>
      <c r="K1061" s="7"/>
      <c r="N1061" s="7"/>
      <c r="V1061" s="8"/>
      <c r="W1061" s="7"/>
      <c r="Y1061" s="8"/>
      <c r="Z1061" s="8"/>
      <c r="AA1061" s="8"/>
      <c r="AB1061" s="7"/>
      <c r="AD1061" s="8"/>
    </row>
    <row r="1062" spans="1:30">
      <c r="A1062" s="7"/>
      <c r="D1062" s="7"/>
      <c r="I1062" s="7"/>
      <c r="J1062" s="7"/>
      <c r="K1062" s="7"/>
      <c r="N1062" s="7"/>
      <c r="V1062" s="8"/>
      <c r="W1062" s="7"/>
      <c r="Y1062" s="8"/>
      <c r="Z1062" s="8"/>
      <c r="AA1062" s="8"/>
      <c r="AB1062" s="7"/>
      <c r="AD1062" s="8"/>
    </row>
    <row r="1063" spans="1:30">
      <c r="A1063" s="7"/>
      <c r="D1063" s="7"/>
      <c r="I1063" s="7"/>
      <c r="J1063" s="7"/>
      <c r="K1063" s="7"/>
      <c r="N1063" s="7"/>
      <c r="V1063" s="8"/>
      <c r="W1063" s="7"/>
      <c r="Y1063" s="8"/>
      <c r="Z1063" s="8"/>
      <c r="AA1063" s="8"/>
      <c r="AB1063" s="7"/>
      <c r="AD1063" s="8"/>
    </row>
    <row r="1064" spans="1:30">
      <c r="A1064" s="7"/>
      <c r="D1064" s="7"/>
      <c r="I1064" s="7"/>
      <c r="J1064" s="7"/>
      <c r="K1064" s="7"/>
      <c r="N1064" s="7"/>
      <c r="V1064" s="8"/>
      <c r="W1064" s="7"/>
      <c r="Y1064" s="8"/>
      <c r="Z1064" s="8"/>
      <c r="AA1064" s="8"/>
      <c r="AB1064" s="7"/>
      <c r="AD1064" s="8"/>
    </row>
    <row r="1065" spans="1:30">
      <c r="A1065" s="7"/>
      <c r="D1065" s="7"/>
      <c r="I1065" s="7"/>
      <c r="J1065" s="7"/>
      <c r="K1065" s="7"/>
      <c r="N1065" s="7"/>
      <c r="V1065" s="8"/>
      <c r="W1065" s="7"/>
      <c r="Y1065" s="8"/>
      <c r="Z1065" s="8"/>
      <c r="AA1065" s="8"/>
      <c r="AB1065" s="7"/>
      <c r="AD1065" s="8"/>
    </row>
    <row r="1066" spans="1:30">
      <c r="A1066" s="7"/>
      <c r="D1066" s="7"/>
      <c r="I1066" s="7"/>
      <c r="J1066" s="7"/>
      <c r="K1066" s="7"/>
      <c r="N1066" s="7"/>
      <c r="V1066" s="8"/>
      <c r="W1066" s="7"/>
      <c r="Y1066" s="8"/>
      <c r="Z1066" s="8"/>
      <c r="AA1066" s="8"/>
      <c r="AB1066" s="7"/>
      <c r="AD1066" s="8"/>
    </row>
    <row r="1067" spans="1:30">
      <c r="A1067" s="7"/>
      <c r="D1067" s="7"/>
      <c r="I1067" s="7"/>
      <c r="J1067" s="7"/>
      <c r="K1067" s="7"/>
      <c r="N1067" s="7"/>
      <c r="V1067" s="8"/>
      <c r="W1067" s="7"/>
      <c r="Y1067" s="8"/>
      <c r="Z1067" s="8"/>
      <c r="AA1067" s="8"/>
      <c r="AB1067" s="7"/>
      <c r="AD1067" s="8"/>
    </row>
    <row r="1068" spans="1:30">
      <c r="A1068" s="7"/>
      <c r="D1068" s="7"/>
      <c r="I1068" s="7"/>
      <c r="J1068" s="7"/>
      <c r="K1068" s="7"/>
      <c r="N1068" s="7"/>
      <c r="V1068" s="8"/>
      <c r="W1068" s="7"/>
      <c r="Y1068" s="8"/>
      <c r="Z1068" s="8"/>
      <c r="AA1068" s="8"/>
      <c r="AB1068" s="7"/>
      <c r="AD1068" s="8"/>
    </row>
    <row r="1069" spans="1:30">
      <c r="A1069" s="7"/>
      <c r="D1069" s="7"/>
      <c r="I1069" s="7"/>
      <c r="J1069" s="7"/>
      <c r="K1069" s="7"/>
      <c r="N1069" s="7"/>
      <c r="V1069" s="8"/>
      <c r="W1069" s="7"/>
      <c r="Y1069" s="8"/>
      <c r="Z1069" s="8"/>
      <c r="AA1069" s="8"/>
      <c r="AB1069" s="7"/>
      <c r="AD1069" s="8"/>
    </row>
    <row r="1070" spans="1:30">
      <c r="A1070" s="7"/>
      <c r="D1070" s="7"/>
      <c r="I1070" s="7"/>
      <c r="J1070" s="7"/>
      <c r="K1070" s="7"/>
      <c r="N1070" s="7"/>
      <c r="V1070" s="8"/>
      <c r="W1070" s="7"/>
      <c r="Y1070" s="8"/>
      <c r="Z1070" s="8"/>
      <c r="AA1070" s="8"/>
      <c r="AB1070" s="7"/>
      <c r="AD1070" s="8"/>
    </row>
    <row r="1071" spans="1:30">
      <c r="A1071" s="7"/>
      <c r="D1071" s="7"/>
      <c r="I1071" s="7"/>
      <c r="J1071" s="7"/>
      <c r="K1071" s="7"/>
      <c r="N1071" s="7"/>
      <c r="V1071" s="8"/>
      <c r="W1071" s="7"/>
      <c r="Y1071" s="8"/>
      <c r="Z1071" s="8"/>
      <c r="AA1071" s="8"/>
      <c r="AB1071" s="7"/>
      <c r="AD1071" s="8"/>
    </row>
    <row r="1072" spans="1:30">
      <c r="A1072" s="7"/>
      <c r="D1072" s="7"/>
      <c r="I1072" s="7"/>
      <c r="J1072" s="7"/>
      <c r="K1072" s="7"/>
      <c r="N1072" s="7"/>
      <c r="V1072" s="8"/>
      <c r="W1072" s="7"/>
      <c r="Y1072" s="8"/>
      <c r="Z1072" s="8"/>
      <c r="AA1072" s="8"/>
      <c r="AB1072" s="7"/>
      <c r="AD1072" s="8"/>
    </row>
    <row r="1073" spans="1:30">
      <c r="A1073" s="7"/>
      <c r="D1073" s="7"/>
      <c r="I1073" s="7"/>
      <c r="J1073" s="7"/>
      <c r="K1073" s="7"/>
      <c r="N1073" s="7"/>
      <c r="V1073" s="8"/>
      <c r="W1073" s="7"/>
      <c r="Y1073" s="8"/>
      <c r="Z1073" s="8"/>
      <c r="AA1073" s="8"/>
      <c r="AB1073" s="7"/>
      <c r="AD1073" s="8"/>
    </row>
    <row r="1074" spans="1:30">
      <c r="A1074" s="7"/>
      <c r="D1074" s="7"/>
      <c r="I1074" s="7"/>
      <c r="J1074" s="7"/>
      <c r="K1074" s="7"/>
      <c r="N1074" s="7"/>
      <c r="V1074" s="8"/>
      <c r="W1074" s="7"/>
      <c r="Y1074" s="8"/>
      <c r="Z1074" s="8"/>
      <c r="AA1074" s="8"/>
      <c r="AB1074" s="7"/>
      <c r="AD1074" s="8"/>
    </row>
    <row r="1075" spans="1:30">
      <c r="A1075" s="7"/>
      <c r="D1075" s="7"/>
      <c r="I1075" s="7"/>
      <c r="J1075" s="7"/>
      <c r="K1075" s="7"/>
      <c r="N1075" s="7"/>
      <c r="V1075" s="8"/>
      <c r="W1075" s="7"/>
      <c r="Y1075" s="8"/>
      <c r="Z1075" s="8"/>
      <c r="AA1075" s="8"/>
      <c r="AB1075" s="7"/>
      <c r="AD1075" s="8"/>
    </row>
    <row r="1076" spans="1:30">
      <c r="A1076" s="7"/>
      <c r="D1076" s="7"/>
      <c r="I1076" s="7"/>
      <c r="J1076" s="7"/>
      <c r="K1076" s="7"/>
      <c r="N1076" s="7"/>
      <c r="V1076" s="8"/>
      <c r="W1076" s="7"/>
      <c r="Y1076" s="8"/>
      <c r="Z1076" s="8"/>
      <c r="AA1076" s="8"/>
      <c r="AB1076" s="7"/>
      <c r="AD1076" s="8"/>
    </row>
    <row r="1077" spans="1:30">
      <c r="A1077" s="7"/>
      <c r="D1077" s="7"/>
      <c r="I1077" s="7"/>
      <c r="J1077" s="7"/>
      <c r="K1077" s="7"/>
      <c r="N1077" s="7"/>
      <c r="V1077" s="8"/>
      <c r="W1077" s="7"/>
      <c r="Y1077" s="8"/>
      <c r="Z1077" s="8"/>
      <c r="AA1077" s="8"/>
      <c r="AB1077" s="7"/>
      <c r="AD1077" s="8"/>
    </row>
    <row r="1078" spans="1:30">
      <c r="A1078" s="7"/>
      <c r="D1078" s="7"/>
      <c r="I1078" s="7"/>
      <c r="J1078" s="7"/>
      <c r="K1078" s="7"/>
      <c r="N1078" s="7"/>
      <c r="V1078" s="8"/>
      <c r="W1078" s="7"/>
      <c r="Y1078" s="8"/>
      <c r="Z1078" s="8"/>
      <c r="AA1078" s="8"/>
      <c r="AB1078" s="7"/>
      <c r="AD1078" s="8"/>
    </row>
    <row r="1079" spans="1:30">
      <c r="A1079" s="7"/>
      <c r="D1079" s="7"/>
      <c r="I1079" s="7"/>
      <c r="J1079" s="7"/>
      <c r="K1079" s="7"/>
      <c r="N1079" s="7"/>
      <c r="V1079" s="8"/>
      <c r="W1079" s="7"/>
      <c r="Y1079" s="8"/>
      <c r="Z1079" s="8"/>
      <c r="AA1079" s="8"/>
      <c r="AB1079" s="7"/>
      <c r="AD1079" s="8"/>
    </row>
    <row r="1080" spans="1:30">
      <c r="A1080" s="7"/>
      <c r="D1080" s="7"/>
      <c r="I1080" s="7"/>
      <c r="J1080" s="7"/>
      <c r="K1080" s="7"/>
      <c r="N1080" s="7"/>
      <c r="V1080" s="8"/>
      <c r="W1080" s="7"/>
      <c r="Y1080" s="8"/>
      <c r="Z1080" s="8"/>
      <c r="AA1080" s="8"/>
      <c r="AB1080" s="7"/>
      <c r="AD1080" s="8"/>
    </row>
    <row r="1081" spans="1:30">
      <c r="A1081" s="7"/>
      <c r="D1081" s="7"/>
      <c r="I1081" s="7"/>
      <c r="J1081" s="7"/>
      <c r="K1081" s="7"/>
      <c r="N1081" s="7"/>
      <c r="V1081" s="8"/>
      <c r="W1081" s="7"/>
      <c r="Y1081" s="8"/>
      <c r="Z1081" s="8"/>
      <c r="AA1081" s="8"/>
      <c r="AB1081" s="7"/>
      <c r="AD1081" s="8"/>
    </row>
    <row r="1082" spans="1:30">
      <c r="A1082" s="7"/>
      <c r="D1082" s="7"/>
      <c r="I1082" s="7"/>
      <c r="J1082" s="7"/>
      <c r="K1082" s="7"/>
      <c r="N1082" s="7"/>
      <c r="V1082" s="8"/>
      <c r="W1082" s="7"/>
      <c r="Y1082" s="8"/>
      <c r="Z1082" s="8"/>
      <c r="AA1082" s="8"/>
      <c r="AB1082" s="7"/>
      <c r="AD1082" s="8"/>
    </row>
    <row r="1083" spans="1:30">
      <c r="A1083" s="7"/>
      <c r="D1083" s="7"/>
      <c r="I1083" s="7"/>
      <c r="J1083" s="7"/>
      <c r="K1083" s="7"/>
      <c r="N1083" s="7"/>
      <c r="V1083" s="8"/>
      <c r="W1083" s="7"/>
      <c r="Y1083" s="8"/>
      <c r="Z1083" s="8"/>
      <c r="AA1083" s="8"/>
      <c r="AB1083" s="7"/>
      <c r="AD1083" s="8"/>
    </row>
    <row r="1084" spans="1:30">
      <c r="A1084" s="7"/>
      <c r="D1084" s="7"/>
      <c r="I1084" s="7"/>
      <c r="J1084" s="7"/>
      <c r="K1084" s="7"/>
      <c r="N1084" s="7"/>
      <c r="V1084" s="8"/>
      <c r="W1084" s="7"/>
      <c r="Y1084" s="8"/>
      <c r="Z1084" s="8"/>
      <c r="AA1084" s="8"/>
      <c r="AB1084" s="7"/>
      <c r="AD1084" s="8"/>
    </row>
    <row r="1085" spans="1:30">
      <c r="A1085" s="7"/>
      <c r="D1085" s="7"/>
      <c r="I1085" s="7"/>
      <c r="J1085" s="7"/>
      <c r="K1085" s="7"/>
      <c r="N1085" s="7"/>
      <c r="V1085" s="8"/>
      <c r="W1085" s="7"/>
      <c r="Y1085" s="8"/>
      <c r="Z1085" s="8"/>
      <c r="AA1085" s="8"/>
      <c r="AB1085" s="7"/>
      <c r="AD1085" s="8"/>
    </row>
    <row r="1086" spans="1:30">
      <c r="A1086" s="7"/>
      <c r="D1086" s="7"/>
      <c r="I1086" s="7"/>
      <c r="J1086" s="7"/>
      <c r="K1086" s="7"/>
      <c r="N1086" s="7"/>
      <c r="V1086" s="8"/>
      <c r="W1086" s="7"/>
      <c r="Y1086" s="8"/>
      <c r="Z1086" s="8"/>
      <c r="AA1086" s="8"/>
      <c r="AB1086" s="7"/>
      <c r="AD1086" s="8"/>
    </row>
    <row r="1087" spans="1:30">
      <c r="A1087" s="7"/>
      <c r="D1087" s="7"/>
      <c r="I1087" s="7"/>
      <c r="J1087" s="7"/>
      <c r="K1087" s="7"/>
      <c r="N1087" s="7"/>
      <c r="V1087" s="8"/>
      <c r="W1087" s="7"/>
      <c r="Y1087" s="8"/>
      <c r="Z1087" s="8"/>
      <c r="AA1087" s="8"/>
      <c r="AB1087" s="7"/>
      <c r="AD1087" s="8"/>
    </row>
    <row r="1088" spans="1:30">
      <c r="A1088" s="7"/>
      <c r="D1088" s="7"/>
      <c r="I1088" s="7"/>
      <c r="J1088" s="7"/>
      <c r="K1088" s="7"/>
      <c r="N1088" s="7"/>
      <c r="V1088" s="8"/>
      <c r="W1088" s="7"/>
      <c r="Y1088" s="8"/>
      <c r="Z1088" s="8"/>
      <c r="AA1088" s="8"/>
      <c r="AB1088" s="7"/>
      <c r="AD1088" s="8"/>
    </row>
    <row r="1089" spans="1:30">
      <c r="A1089" s="7"/>
      <c r="D1089" s="7"/>
      <c r="I1089" s="7"/>
      <c r="J1089" s="7"/>
      <c r="K1089" s="7"/>
      <c r="N1089" s="7"/>
      <c r="V1089" s="8"/>
      <c r="W1089" s="7"/>
      <c r="Y1089" s="8"/>
      <c r="Z1089" s="8"/>
      <c r="AA1089" s="8"/>
      <c r="AB1089" s="7"/>
      <c r="AD1089" s="8"/>
    </row>
    <row r="1090" spans="1:30">
      <c r="A1090" s="7"/>
      <c r="D1090" s="7"/>
      <c r="I1090" s="7"/>
      <c r="J1090" s="7"/>
      <c r="K1090" s="7"/>
      <c r="N1090" s="7"/>
      <c r="V1090" s="8"/>
      <c r="W1090" s="7"/>
      <c r="Y1090" s="8"/>
      <c r="Z1090" s="8"/>
      <c r="AA1090" s="8"/>
      <c r="AB1090" s="7"/>
      <c r="AD1090" s="8"/>
    </row>
    <row r="1091" spans="1:30">
      <c r="A1091" s="7"/>
      <c r="D1091" s="7"/>
      <c r="I1091" s="7"/>
      <c r="J1091" s="7"/>
      <c r="K1091" s="7"/>
      <c r="N1091" s="7"/>
      <c r="V1091" s="8"/>
      <c r="W1091" s="7"/>
      <c r="Y1091" s="8"/>
      <c r="Z1091" s="8"/>
      <c r="AA1091" s="8"/>
      <c r="AB1091" s="7"/>
      <c r="AD1091" s="8"/>
    </row>
    <row r="1092" spans="1:30">
      <c r="A1092" s="7"/>
      <c r="D1092" s="7"/>
      <c r="I1092" s="7"/>
      <c r="J1092" s="7"/>
      <c r="K1092" s="7"/>
      <c r="N1092" s="7"/>
      <c r="V1092" s="8"/>
      <c r="W1092" s="7"/>
      <c r="Y1092" s="8"/>
      <c r="Z1092" s="8"/>
      <c r="AA1092" s="8"/>
      <c r="AB1092" s="7"/>
      <c r="AD1092" s="8"/>
    </row>
    <row r="1093" spans="1:30">
      <c r="A1093" s="7"/>
      <c r="D1093" s="7"/>
      <c r="I1093" s="7"/>
      <c r="J1093" s="7"/>
      <c r="K1093" s="7"/>
      <c r="N1093" s="7"/>
      <c r="V1093" s="8"/>
      <c r="W1093" s="7"/>
      <c r="Y1093" s="8"/>
      <c r="Z1093" s="8"/>
      <c r="AA1093" s="8"/>
      <c r="AB1093" s="7"/>
      <c r="AD1093" s="8"/>
    </row>
    <row r="1094" spans="1:30">
      <c r="A1094" s="7"/>
      <c r="D1094" s="7"/>
      <c r="I1094" s="7"/>
      <c r="J1094" s="7"/>
      <c r="K1094" s="7"/>
      <c r="N1094" s="7"/>
      <c r="V1094" s="8"/>
      <c r="W1094" s="7"/>
      <c r="Y1094" s="8"/>
      <c r="Z1094" s="8"/>
      <c r="AA1094" s="8"/>
      <c r="AB1094" s="7"/>
      <c r="AD1094" s="8"/>
    </row>
    <row r="1095" spans="1:30">
      <c r="A1095" s="7"/>
      <c r="D1095" s="7"/>
      <c r="I1095" s="7"/>
      <c r="J1095" s="7"/>
      <c r="K1095" s="7"/>
      <c r="N1095" s="7"/>
      <c r="V1095" s="8"/>
      <c r="W1095" s="7"/>
      <c r="Y1095" s="8"/>
      <c r="Z1095" s="8"/>
      <c r="AA1095" s="8"/>
      <c r="AB1095" s="7"/>
      <c r="AD1095" s="8"/>
    </row>
    <row r="1096" spans="1:30">
      <c r="A1096" s="7"/>
      <c r="D1096" s="7"/>
      <c r="I1096" s="7"/>
      <c r="J1096" s="7"/>
      <c r="K1096" s="7"/>
      <c r="N1096" s="7"/>
      <c r="V1096" s="8"/>
      <c r="W1096" s="7"/>
      <c r="Y1096" s="8"/>
      <c r="Z1096" s="8"/>
      <c r="AA1096" s="8"/>
      <c r="AB1096" s="7"/>
      <c r="AD1096" s="8"/>
    </row>
    <row r="1097" spans="1:30">
      <c r="A1097" s="7"/>
      <c r="D1097" s="7"/>
      <c r="I1097" s="7"/>
      <c r="J1097" s="7"/>
      <c r="K1097" s="7"/>
      <c r="N1097" s="7"/>
      <c r="V1097" s="8"/>
      <c r="W1097" s="7"/>
      <c r="Y1097" s="8"/>
      <c r="Z1097" s="8"/>
      <c r="AA1097" s="8"/>
      <c r="AB1097" s="7"/>
      <c r="AD1097" s="8"/>
    </row>
    <row r="1098" spans="1:30">
      <c r="A1098" s="7"/>
      <c r="D1098" s="7"/>
      <c r="I1098" s="7"/>
      <c r="J1098" s="7"/>
      <c r="K1098" s="7"/>
      <c r="N1098" s="7"/>
      <c r="V1098" s="8"/>
      <c r="W1098" s="7"/>
      <c r="Y1098" s="8"/>
      <c r="Z1098" s="8"/>
      <c r="AA1098" s="8"/>
      <c r="AB1098" s="7"/>
      <c r="AD1098" s="8"/>
    </row>
    <row r="1099" spans="1:30">
      <c r="A1099" s="7"/>
      <c r="D1099" s="7"/>
      <c r="I1099" s="7"/>
      <c r="J1099" s="7"/>
      <c r="K1099" s="7"/>
      <c r="N1099" s="7"/>
      <c r="V1099" s="8"/>
      <c r="W1099" s="7"/>
      <c r="Y1099" s="8"/>
      <c r="Z1099" s="8"/>
      <c r="AA1099" s="8"/>
      <c r="AB1099" s="7"/>
      <c r="AD1099" s="8"/>
    </row>
    <row r="1100" spans="1:30">
      <c r="A1100" s="7"/>
      <c r="D1100" s="7"/>
      <c r="I1100" s="7"/>
      <c r="J1100" s="7"/>
      <c r="K1100" s="7"/>
      <c r="N1100" s="7"/>
      <c r="V1100" s="8"/>
      <c r="W1100" s="7"/>
      <c r="Y1100" s="8"/>
      <c r="Z1100" s="8"/>
      <c r="AA1100" s="8"/>
      <c r="AB1100" s="7"/>
      <c r="AD1100" s="8"/>
    </row>
    <row r="1101" spans="1:30">
      <c r="A1101" s="7"/>
      <c r="D1101" s="7"/>
      <c r="I1101" s="7"/>
      <c r="J1101" s="7"/>
      <c r="K1101" s="7"/>
      <c r="N1101" s="7"/>
      <c r="V1101" s="8"/>
      <c r="W1101" s="7"/>
      <c r="Y1101" s="8"/>
      <c r="Z1101" s="8"/>
      <c r="AA1101" s="8"/>
      <c r="AB1101" s="7"/>
      <c r="AD1101" s="8"/>
    </row>
    <row r="1102" spans="1:30">
      <c r="A1102" s="7"/>
      <c r="D1102" s="7"/>
      <c r="I1102" s="7"/>
      <c r="J1102" s="7"/>
      <c r="K1102" s="7"/>
      <c r="N1102" s="7"/>
      <c r="V1102" s="8"/>
      <c r="W1102" s="7"/>
      <c r="Y1102" s="8"/>
      <c r="Z1102" s="8"/>
      <c r="AA1102" s="8"/>
      <c r="AB1102" s="7"/>
      <c r="AD1102" s="8"/>
    </row>
    <row r="1103" spans="1:30">
      <c r="A1103" s="7"/>
      <c r="D1103" s="7"/>
      <c r="I1103" s="7"/>
      <c r="J1103" s="7"/>
      <c r="K1103" s="7"/>
      <c r="N1103" s="7"/>
      <c r="V1103" s="8"/>
      <c r="W1103" s="7"/>
      <c r="Y1103" s="8"/>
      <c r="Z1103" s="8"/>
      <c r="AA1103" s="8"/>
      <c r="AB1103" s="7"/>
      <c r="AD1103" s="8"/>
    </row>
    <row r="1104" spans="1:30">
      <c r="A1104" s="7"/>
      <c r="D1104" s="7"/>
      <c r="I1104" s="7"/>
      <c r="J1104" s="7"/>
      <c r="K1104" s="7"/>
      <c r="N1104" s="7"/>
      <c r="V1104" s="8"/>
      <c r="W1104" s="7"/>
      <c r="Y1104" s="8"/>
      <c r="Z1104" s="8"/>
      <c r="AA1104" s="8"/>
      <c r="AB1104" s="7"/>
      <c r="AD1104" s="8"/>
    </row>
    <row r="1105" spans="1:30">
      <c r="A1105" s="7"/>
      <c r="D1105" s="7"/>
      <c r="I1105" s="7"/>
      <c r="J1105" s="7"/>
      <c r="K1105" s="7"/>
      <c r="N1105" s="7"/>
      <c r="V1105" s="8"/>
      <c r="W1105" s="7"/>
      <c r="Y1105" s="8"/>
      <c r="Z1105" s="8"/>
      <c r="AA1105" s="8"/>
      <c r="AB1105" s="7"/>
      <c r="AD1105" s="8"/>
    </row>
    <row r="1106" spans="1:30">
      <c r="A1106" s="7"/>
      <c r="D1106" s="7"/>
      <c r="I1106" s="7"/>
      <c r="J1106" s="7"/>
      <c r="K1106" s="7"/>
      <c r="N1106" s="7"/>
      <c r="V1106" s="8"/>
      <c r="W1106" s="7"/>
      <c r="Y1106" s="8"/>
      <c r="Z1106" s="8"/>
      <c r="AA1106" s="8"/>
      <c r="AB1106" s="7"/>
      <c r="AD1106" s="8"/>
    </row>
    <row r="1107" spans="1:30">
      <c r="A1107" s="7"/>
      <c r="D1107" s="7"/>
      <c r="I1107" s="7"/>
      <c r="J1107" s="7"/>
      <c r="K1107" s="7"/>
      <c r="N1107" s="7"/>
      <c r="V1107" s="8"/>
      <c r="W1107" s="7"/>
      <c r="Y1107" s="8"/>
      <c r="Z1107" s="8"/>
      <c r="AA1107" s="8"/>
      <c r="AB1107" s="7"/>
      <c r="AD1107" s="8"/>
    </row>
    <row r="1108" spans="1:30">
      <c r="A1108" s="7"/>
      <c r="D1108" s="7"/>
      <c r="I1108" s="7"/>
      <c r="J1108" s="7"/>
      <c r="K1108" s="7"/>
      <c r="N1108" s="7"/>
      <c r="V1108" s="8"/>
      <c r="W1108" s="7"/>
      <c r="Y1108" s="8"/>
      <c r="Z1108" s="8"/>
      <c r="AA1108" s="8"/>
      <c r="AB1108" s="7"/>
      <c r="AD1108" s="8"/>
    </row>
    <row r="1109" spans="1:30">
      <c r="A1109" s="7"/>
      <c r="D1109" s="7"/>
      <c r="I1109" s="7"/>
      <c r="J1109" s="7"/>
      <c r="K1109" s="7"/>
      <c r="N1109" s="7"/>
      <c r="V1109" s="8"/>
      <c r="W1109" s="7"/>
      <c r="Y1109" s="8"/>
      <c r="Z1109" s="8"/>
      <c r="AA1109" s="8"/>
      <c r="AB1109" s="7"/>
      <c r="AD1109" s="8"/>
    </row>
    <row r="1110" spans="1:30">
      <c r="A1110" s="7"/>
      <c r="D1110" s="7"/>
      <c r="I1110" s="7"/>
      <c r="J1110" s="7"/>
      <c r="K1110" s="7"/>
      <c r="N1110" s="7"/>
      <c r="V1110" s="8"/>
      <c r="W1110" s="7"/>
      <c r="Y1110" s="8"/>
      <c r="Z1110" s="8"/>
      <c r="AA1110" s="8"/>
      <c r="AB1110" s="7"/>
      <c r="AD1110" s="8"/>
    </row>
    <row r="1111" spans="1:30">
      <c r="A1111" s="7"/>
      <c r="D1111" s="7"/>
      <c r="I1111" s="7"/>
      <c r="J1111" s="7"/>
      <c r="K1111" s="7"/>
      <c r="N1111" s="7"/>
      <c r="V1111" s="8"/>
      <c r="W1111" s="7"/>
      <c r="Y1111" s="8"/>
      <c r="Z1111" s="8"/>
      <c r="AA1111" s="8"/>
      <c r="AB1111" s="7"/>
      <c r="AD1111" s="8"/>
    </row>
    <row r="1112" spans="1:30">
      <c r="A1112" s="7"/>
      <c r="D1112" s="7"/>
      <c r="I1112" s="7"/>
      <c r="J1112" s="7"/>
      <c r="K1112" s="7"/>
      <c r="N1112" s="7"/>
      <c r="V1112" s="8"/>
      <c r="W1112" s="7"/>
      <c r="Y1112" s="8"/>
      <c r="Z1112" s="8"/>
      <c r="AA1112" s="8"/>
      <c r="AB1112" s="7"/>
      <c r="AD1112" s="8"/>
    </row>
    <row r="1113" spans="1:30">
      <c r="A1113" s="7"/>
      <c r="D1113" s="7"/>
      <c r="I1113" s="7"/>
      <c r="J1113" s="7"/>
      <c r="K1113" s="7"/>
      <c r="N1113" s="7"/>
      <c r="V1113" s="8"/>
      <c r="W1113" s="7"/>
      <c r="Y1113" s="8"/>
      <c r="Z1113" s="8"/>
      <c r="AA1113" s="8"/>
      <c r="AB1113" s="7"/>
      <c r="AD1113" s="8"/>
    </row>
    <row r="1114" spans="1:30">
      <c r="A1114" s="7"/>
      <c r="D1114" s="7"/>
      <c r="I1114" s="7"/>
      <c r="J1114" s="7"/>
      <c r="K1114" s="7"/>
      <c r="N1114" s="7"/>
      <c r="V1114" s="8"/>
      <c r="W1114" s="7"/>
      <c r="Y1114" s="8"/>
      <c r="Z1114" s="8"/>
      <c r="AA1114" s="8"/>
      <c r="AB1114" s="7"/>
      <c r="AD1114" s="8"/>
    </row>
    <row r="1115" spans="1:30">
      <c r="A1115" s="7"/>
      <c r="D1115" s="7"/>
      <c r="I1115" s="7"/>
      <c r="J1115" s="7"/>
      <c r="K1115" s="7"/>
      <c r="N1115" s="7"/>
      <c r="V1115" s="8"/>
      <c r="W1115" s="7"/>
      <c r="Y1115" s="8"/>
      <c r="Z1115" s="8"/>
      <c r="AA1115" s="8"/>
      <c r="AB1115" s="7"/>
      <c r="AD1115" s="8"/>
    </row>
    <row r="1116" spans="1:30">
      <c r="A1116" s="7"/>
      <c r="D1116" s="7"/>
      <c r="I1116" s="7"/>
      <c r="J1116" s="7"/>
      <c r="K1116" s="7"/>
      <c r="N1116" s="7"/>
      <c r="V1116" s="8"/>
      <c r="W1116" s="7"/>
      <c r="Y1116" s="8"/>
      <c r="Z1116" s="8"/>
      <c r="AA1116" s="8"/>
      <c r="AB1116" s="7"/>
      <c r="AD1116" s="8"/>
    </row>
    <row r="1117" spans="1:30">
      <c r="A1117" s="7"/>
      <c r="D1117" s="7"/>
      <c r="I1117" s="7"/>
      <c r="J1117" s="7"/>
      <c r="K1117" s="7"/>
      <c r="N1117" s="7"/>
      <c r="V1117" s="8"/>
      <c r="W1117" s="7"/>
      <c r="Y1117" s="8"/>
      <c r="Z1117" s="8"/>
      <c r="AA1117" s="8"/>
      <c r="AB1117" s="7"/>
      <c r="AD1117" s="8"/>
    </row>
    <row r="1118" spans="1:30">
      <c r="A1118" s="7"/>
      <c r="D1118" s="7"/>
      <c r="I1118" s="7"/>
      <c r="J1118" s="7"/>
      <c r="K1118" s="7"/>
      <c r="N1118" s="7"/>
      <c r="V1118" s="8"/>
      <c r="W1118" s="7"/>
      <c r="Y1118" s="8"/>
      <c r="Z1118" s="8"/>
      <c r="AA1118" s="8"/>
      <c r="AB1118" s="7"/>
      <c r="AD1118" s="8"/>
    </row>
    <row r="1119" spans="1:30">
      <c r="A1119" s="7"/>
      <c r="D1119" s="7"/>
      <c r="I1119" s="7"/>
      <c r="J1119" s="7"/>
      <c r="K1119" s="7"/>
      <c r="N1119" s="7"/>
      <c r="V1119" s="8"/>
      <c r="W1119" s="7"/>
      <c r="Y1119" s="8"/>
      <c r="Z1119" s="8"/>
      <c r="AA1119" s="8"/>
      <c r="AB1119" s="7"/>
      <c r="AD1119" s="8"/>
    </row>
    <row r="1120" spans="1:30">
      <c r="A1120" s="7"/>
      <c r="D1120" s="7"/>
      <c r="I1120" s="7"/>
      <c r="J1120" s="7"/>
      <c r="K1120" s="7"/>
      <c r="N1120" s="7"/>
      <c r="V1120" s="8"/>
      <c r="W1120" s="7"/>
      <c r="Y1120" s="8"/>
      <c r="Z1120" s="8"/>
      <c r="AA1120" s="8"/>
      <c r="AB1120" s="7"/>
      <c r="AD1120" s="8"/>
    </row>
    <row r="1121" spans="1:30">
      <c r="A1121" s="7"/>
      <c r="D1121" s="7"/>
      <c r="I1121" s="7"/>
      <c r="J1121" s="7"/>
      <c r="K1121" s="7"/>
      <c r="N1121" s="7"/>
      <c r="V1121" s="8"/>
      <c r="W1121" s="7"/>
      <c r="Y1121" s="8"/>
      <c r="Z1121" s="8"/>
      <c r="AA1121" s="8"/>
      <c r="AB1121" s="7"/>
      <c r="AD1121" s="8"/>
    </row>
    <row r="1122" spans="1:30">
      <c r="A1122" s="7"/>
      <c r="D1122" s="7"/>
      <c r="I1122" s="7"/>
      <c r="J1122" s="7"/>
      <c r="K1122" s="7"/>
      <c r="N1122" s="7"/>
      <c r="V1122" s="8"/>
      <c r="W1122" s="7"/>
      <c r="Y1122" s="8"/>
      <c r="Z1122" s="8"/>
      <c r="AA1122" s="8"/>
      <c r="AB1122" s="7"/>
      <c r="AD1122" s="8"/>
    </row>
    <row r="1123" spans="1:30">
      <c r="A1123" s="7"/>
      <c r="D1123" s="7"/>
      <c r="I1123" s="7"/>
      <c r="J1123" s="7"/>
      <c r="K1123" s="7"/>
      <c r="N1123" s="7"/>
      <c r="V1123" s="8"/>
      <c r="W1123" s="7"/>
      <c r="Y1123" s="8"/>
      <c r="Z1123" s="8"/>
      <c r="AA1123" s="8"/>
      <c r="AB1123" s="7"/>
      <c r="AD1123" s="8"/>
    </row>
    <row r="1124" spans="1:30">
      <c r="A1124" s="7"/>
      <c r="D1124" s="7"/>
      <c r="I1124" s="7"/>
      <c r="J1124" s="7"/>
      <c r="K1124" s="7"/>
      <c r="N1124" s="7"/>
      <c r="V1124" s="8"/>
      <c r="W1124" s="7"/>
      <c r="Y1124" s="8"/>
      <c r="Z1124" s="8"/>
      <c r="AA1124" s="8"/>
      <c r="AB1124" s="7"/>
      <c r="AD1124" s="8"/>
    </row>
    <row r="1125" spans="1:30">
      <c r="A1125" s="7"/>
      <c r="D1125" s="7"/>
      <c r="I1125" s="7"/>
      <c r="J1125" s="7"/>
      <c r="K1125" s="7"/>
      <c r="N1125" s="7"/>
      <c r="V1125" s="8"/>
      <c r="W1125" s="7"/>
      <c r="Y1125" s="8"/>
      <c r="Z1125" s="8"/>
      <c r="AA1125" s="8"/>
      <c r="AB1125" s="7"/>
      <c r="AD1125" s="8"/>
    </row>
    <row r="1126" spans="1:30">
      <c r="A1126" s="7"/>
      <c r="D1126" s="7"/>
      <c r="I1126" s="7"/>
      <c r="J1126" s="7"/>
      <c r="K1126" s="7"/>
      <c r="N1126" s="7"/>
      <c r="V1126" s="8"/>
      <c r="W1126" s="7"/>
      <c r="Y1126" s="8"/>
      <c r="Z1126" s="8"/>
      <c r="AA1126" s="8"/>
      <c r="AB1126" s="7"/>
      <c r="AD1126" s="8"/>
    </row>
    <row r="1127" spans="1:30">
      <c r="A1127" s="7"/>
      <c r="D1127" s="7"/>
      <c r="I1127" s="7"/>
      <c r="J1127" s="7"/>
      <c r="K1127" s="7"/>
      <c r="N1127" s="7"/>
      <c r="V1127" s="8"/>
      <c r="W1127" s="7"/>
      <c r="Y1127" s="8"/>
      <c r="Z1127" s="8"/>
      <c r="AA1127" s="8"/>
      <c r="AB1127" s="7"/>
      <c r="AD1127" s="8"/>
    </row>
    <row r="1128" spans="1:30">
      <c r="A1128" s="7"/>
      <c r="D1128" s="7"/>
      <c r="I1128" s="7"/>
      <c r="J1128" s="7"/>
      <c r="K1128" s="7"/>
      <c r="N1128" s="7"/>
      <c r="V1128" s="8"/>
      <c r="W1128" s="7"/>
      <c r="Y1128" s="8"/>
      <c r="Z1128" s="8"/>
      <c r="AA1128" s="8"/>
      <c r="AB1128" s="7"/>
      <c r="AD1128" s="8"/>
    </row>
    <row r="1129" spans="1:30">
      <c r="A1129" s="7"/>
      <c r="D1129" s="7"/>
      <c r="I1129" s="7"/>
      <c r="J1129" s="7"/>
      <c r="K1129" s="7"/>
      <c r="N1129" s="7"/>
      <c r="V1129" s="8"/>
      <c r="W1129" s="7"/>
      <c r="Y1129" s="8"/>
      <c r="Z1129" s="8"/>
      <c r="AA1129" s="8"/>
      <c r="AB1129" s="7"/>
      <c r="AD1129" s="8"/>
    </row>
    <row r="1130" spans="1:30">
      <c r="A1130" s="7"/>
      <c r="D1130" s="7"/>
      <c r="I1130" s="7"/>
      <c r="J1130" s="7"/>
      <c r="K1130" s="7"/>
      <c r="N1130" s="7"/>
      <c r="V1130" s="8"/>
      <c r="W1130" s="7"/>
      <c r="Y1130" s="8"/>
      <c r="Z1130" s="8"/>
      <c r="AA1130" s="8"/>
      <c r="AB1130" s="7"/>
      <c r="AD1130" s="8"/>
    </row>
    <row r="1131" spans="1:30">
      <c r="A1131" s="7"/>
      <c r="D1131" s="7"/>
      <c r="I1131" s="7"/>
      <c r="J1131" s="7"/>
      <c r="K1131" s="7"/>
      <c r="N1131" s="7"/>
      <c r="V1131" s="8"/>
      <c r="W1131" s="7"/>
      <c r="Y1131" s="8"/>
      <c r="Z1131" s="8"/>
      <c r="AA1131" s="8"/>
      <c r="AB1131" s="7"/>
      <c r="AD1131" s="8"/>
    </row>
    <row r="1132" spans="1:30">
      <c r="A1132" s="7"/>
      <c r="D1132" s="7"/>
      <c r="I1132" s="7"/>
      <c r="J1132" s="7"/>
      <c r="K1132" s="7"/>
      <c r="N1132" s="7"/>
      <c r="V1132" s="8"/>
      <c r="W1132" s="7"/>
      <c r="Y1132" s="8"/>
      <c r="Z1132" s="8"/>
      <c r="AA1132" s="8"/>
      <c r="AB1132" s="7"/>
      <c r="AD1132" s="8"/>
    </row>
    <row r="1133" spans="1:30">
      <c r="A1133" s="7"/>
      <c r="D1133" s="7"/>
      <c r="I1133" s="7"/>
      <c r="J1133" s="7"/>
      <c r="K1133" s="7"/>
      <c r="N1133" s="7"/>
      <c r="V1133" s="8"/>
      <c r="W1133" s="7"/>
      <c r="Y1133" s="8"/>
      <c r="Z1133" s="8"/>
      <c r="AA1133" s="8"/>
      <c r="AB1133" s="7"/>
      <c r="AD1133" s="8"/>
    </row>
    <row r="1134" spans="1:30">
      <c r="A1134" s="7"/>
      <c r="D1134" s="7"/>
      <c r="I1134" s="7"/>
      <c r="J1134" s="7"/>
      <c r="K1134" s="7"/>
      <c r="N1134" s="7"/>
      <c r="V1134" s="8"/>
      <c r="W1134" s="7"/>
      <c r="Y1134" s="8"/>
      <c r="Z1134" s="8"/>
      <c r="AA1134" s="8"/>
      <c r="AB1134" s="7"/>
      <c r="AD1134" s="8"/>
    </row>
    <row r="1135" spans="1:30">
      <c r="A1135" s="7"/>
      <c r="D1135" s="7"/>
      <c r="I1135" s="7"/>
      <c r="J1135" s="7"/>
      <c r="K1135" s="7"/>
      <c r="N1135" s="7"/>
      <c r="V1135" s="8"/>
      <c r="W1135" s="7"/>
      <c r="Y1135" s="8"/>
      <c r="Z1135" s="8"/>
      <c r="AA1135" s="8"/>
      <c r="AB1135" s="7"/>
      <c r="AD1135" s="8"/>
    </row>
    <row r="1136" spans="1:30">
      <c r="A1136" s="7"/>
      <c r="D1136" s="7"/>
      <c r="I1136" s="7"/>
      <c r="J1136" s="7"/>
      <c r="K1136" s="7"/>
      <c r="N1136" s="7"/>
      <c r="V1136" s="8"/>
      <c r="W1136" s="7"/>
      <c r="Y1136" s="8"/>
      <c r="Z1136" s="8"/>
      <c r="AA1136" s="8"/>
      <c r="AB1136" s="7"/>
      <c r="AD1136" s="8"/>
    </row>
    <row r="1137" spans="1:30">
      <c r="A1137" s="7"/>
      <c r="D1137" s="7"/>
      <c r="I1137" s="7"/>
      <c r="J1137" s="7"/>
      <c r="K1137" s="7"/>
      <c r="N1137" s="7"/>
      <c r="V1137" s="8"/>
      <c r="W1137" s="7"/>
      <c r="Y1137" s="8"/>
      <c r="Z1137" s="8"/>
      <c r="AA1137" s="8"/>
      <c r="AB1137" s="7"/>
      <c r="AD1137" s="8"/>
    </row>
    <row r="1138" spans="1:30">
      <c r="A1138" s="7"/>
      <c r="D1138" s="7"/>
      <c r="I1138" s="7"/>
      <c r="J1138" s="7"/>
      <c r="K1138" s="7"/>
      <c r="N1138" s="7"/>
      <c r="V1138" s="8"/>
      <c r="W1138" s="7"/>
      <c r="Y1138" s="8"/>
      <c r="Z1138" s="8"/>
      <c r="AA1138" s="8"/>
      <c r="AB1138" s="7"/>
      <c r="AD1138" s="8"/>
    </row>
    <row r="1139" spans="1:30">
      <c r="A1139" s="7"/>
      <c r="D1139" s="7"/>
      <c r="I1139" s="7"/>
      <c r="J1139" s="7"/>
      <c r="K1139" s="7"/>
      <c r="N1139" s="7"/>
      <c r="V1139" s="8"/>
      <c r="W1139" s="7"/>
      <c r="Y1139" s="8"/>
      <c r="Z1139" s="8"/>
      <c r="AA1139" s="8"/>
      <c r="AB1139" s="7"/>
      <c r="AD1139" s="8"/>
    </row>
    <row r="1140" spans="1:30">
      <c r="A1140" s="7"/>
      <c r="D1140" s="7"/>
      <c r="I1140" s="7"/>
      <c r="J1140" s="7"/>
      <c r="K1140" s="7"/>
      <c r="N1140" s="7"/>
      <c r="V1140" s="8"/>
      <c r="W1140" s="7"/>
      <c r="Y1140" s="8"/>
      <c r="Z1140" s="8"/>
      <c r="AA1140" s="8"/>
      <c r="AB1140" s="7"/>
      <c r="AD1140" s="8"/>
    </row>
    <row r="1141" spans="1:30">
      <c r="A1141" s="7"/>
      <c r="D1141" s="7"/>
      <c r="I1141" s="7"/>
      <c r="J1141" s="7"/>
      <c r="K1141" s="7"/>
      <c r="N1141" s="7"/>
      <c r="V1141" s="8"/>
      <c r="W1141" s="7"/>
      <c r="Y1141" s="8"/>
      <c r="Z1141" s="8"/>
      <c r="AA1141" s="8"/>
      <c r="AB1141" s="7"/>
      <c r="AD1141" s="8"/>
    </row>
    <row r="1142" spans="1:30">
      <c r="A1142" s="7"/>
      <c r="D1142" s="7"/>
      <c r="I1142" s="7"/>
      <c r="J1142" s="7"/>
      <c r="K1142" s="7"/>
      <c r="N1142" s="7"/>
      <c r="V1142" s="8"/>
      <c r="W1142" s="7"/>
      <c r="Y1142" s="8"/>
      <c r="Z1142" s="8"/>
      <c r="AA1142" s="8"/>
      <c r="AB1142" s="7"/>
      <c r="AD1142" s="8"/>
    </row>
    <row r="1143" spans="1:30">
      <c r="A1143" s="7"/>
      <c r="D1143" s="7"/>
      <c r="I1143" s="7"/>
      <c r="J1143" s="7"/>
      <c r="K1143" s="7"/>
      <c r="N1143" s="7"/>
      <c r="V1143" s="8"/>
      <c r="W1143" s="7"/>
      <c r="Y1143" s="8"/>
      <c r="Z1143" s="8"/>
      <c r="AA1143" s="8"/>
      <c r="AB1143" s="7"/>
      <c r="AD1143" s="8"/>
    </row>
    <row r="1144" spans="1:30">
      <c r="A1144" s="7"/>
      <c r="D1144" s="7"/>
      <c r="I1144" s="7"/>
      <c r="J1144" s="7"/>
      <c r="K1144" s="7"/>
      <c r="N1144" s="7"/>
      <c r="V1144" s="8"/>
      <c r="W1144" s="7"/>
      <c r="Y1144" s="8"/>
      <c r="Z1144" s="8"/>
      <c r="AA1144" s="8"/>
      <c r="AB1144" s="7"/>
      <c r="AD1144" s="8"/>
    </row>
    <row r="1145" spans="1:30">
      <c r="A1145" s="7"/>
      <c r="D1145" s="7"/>
      <c r="I1145" s="7"/>
      <c r="J1145" s="7"/>
      <c r="K1145" s="7"/>
      <c r="N1145" s="7"/>
      <c r="V1145" s="8"/>
      <c r="W1145" s="7"/>
      <c r="Y1145" s="8"/>
      <c r="Z1145" s="8"/>
      <c r="AA1145" s="8"/>
      <c r="AB1145" s="7"/>
      <c r="AD1145" s="8"/>
    </row>
    <row r="1146" spans="1:30">
      <c r="A1146" s="7"/>
      <c r="D1146" s="7"/>
      <c r="I1146" s="7"/>
      <c r="J1146" s="7"/>
      <c r="K1146" s="7"/>
      <c r="N1146" s="7"/>
      <c r="V1146" s="8"/>
      <c r="W1146" s="7"/>
      <c r="Y1146" s="8"/>
      <c r="Z1146" s="8"/>
      <c r="AA1146" s="8"/>
      <c r="AB1146" s="7"/>
      <c r="AD1146" s="8"/>
    </row>
    <row r="1147" spans="1:30">
      <c r="A1147" s="7"/>
      <c r="D1147" s="7"/>
      <c r="I1147" s="7"/>
      <c r="J1147" s="7"/>
      <c r="K1147" s="7"/>
      <c r="N1147" s="7"/>
      <c r="V1147" s="8"/>
      <c r="W1147" s="7"/>
      <c r="Y1147" s="8"/>
      <c r="Z1147" s="8"/>
      <c r="AA1147" s="8"/>
      <c r="AB1147" s="7"/>
      <c r="AD1147" s="8"/>
    </row>
    <row r="1148" spans="1:30">
      <c r="A1148" s="7"/>
      <c r="D1148" s="7"/>
      <c r="I1148" s="7"/>
      <c r="J1148" s="7"/>
      <c r="K1148" s="7"/>
      <c r="N1148" s="7"/>
      <c r="V1148" s="8"/>
      <c r="W1148" s="7"/>
      <c r="Y1148" s="8"/>
      <c r="Z1148" s="8"/>
      <c r="AA1148" s="8"/>
      <c r="AB1148" s="7"/>
      <c r="AD1148" s="8"/>
    </row>
    <row r="1149" spans="1:30">
      <c r="A1149" s="7"/>
      <c r="D1149" s="7"/>
      <c r="I1149" s="7"/>
      <c r="J1149" s="7"/>
      <c r="K1149" s="7"/>
      <c r="N1149" s="7"/>
      <c r="V1149" s="8"/>
      <c r="W1149" s="7"/>
      <c r="Y1149" s="8"/>
      <c r="Z1149" s="8"/>
      <c r="AA1149" s="8"/>
      <c r="AB1149" s="7"/>
      <c r="AD1149" s="8"/>
    </row>
    <row r="1150" spans="1:30">
      <c r="A1150" s="7"/>
      <c r="D1150" s="7"/>
      <c r="I1150" s="7"/>
      <c r="J1150" s="7"/>
      <c r="K1150" s="7"/>
      <c r="N1150" s="7"/>
      <c r="V1150" s="8"/>
      <c r="W1150" s="7"/>
      <c r="Y1150" s="8"/>
      <c r="Z1150" s="8"/>
      <c r="AA1150" s="8"/>
      <c r="AB1150" s="7"/>
      <c r="AD1150" s="8"/>
    </row>
    <row r="1151" spans="1:30">
      <c r="A1151" s="7"/>
      <c r="D1151" s="7"/>
      <c r="I1151" s="7"/>
      <c r="J1151" s="7"/>
      <c r="K1151" s="7"/>
      <c r="N1151" s="7"/>
      <c r="V1151" s="8"/>
      <c r="W1151" s="7"/>
      <c r="Y1151" s="8"/>
      <c r="Z1151" s="8"/>
      <c r="AA1151" s="8"/>
      <c r="AB1151" s="7"/>
      <c r="AD1151" s="8"/>
    </row>
    <row r="1152" spans="1:30">
      <c r="A1152" s="7"/>
      <c r="D1152" s="7"/>
      <c r="I1152" s="7"/>
      <c r="J1152" s="7"/>
      <c r="K1152" s="7"/>
      <c r="N1152" s="7"/>
      <c r="V1152" s="8"/>
      <c r="W1152" s="7"/>
      <c r="Y1152" s="8"/>
      <c r="Z1152" s="8"/>
      <c r="AA1152" s="8"/>
      <c r="AB1152" s="7"/>
      <c r="AD1152" s="8"/>
    </row>
    <row r="1153" spans="1:30">
      <c r="A1153" s="7"/>
      <c r="D1153" s="7"/>
      <c r="I1153" s="7"/>
      <c r="J1153" s="7"/>
      <c r="K1153" s="7"/>
      <c r="N1153" s="7"/>
      <c r="V1153" s="8"/>
      <c r="W1153" s="7"/>
      <c r="Y1153" s="8"/>
      <c r="Z1153" s="8"/>
      <c r="AA1153" s="8"/>
      <c r="AB1153" s="7"/>
      <c r="AD1153" s="8"/>
    </row>
    <row r="1154" spans="1:30">
      <c r="A1154" s="7"/>
      <c r="D1154" s="7"/>
      <c r="I1154" s="7"/>
      <c r="J1154" s="7"/>
      <c r="K1154" s="7"/>
      <c r="N1154" s="7"/>
      <c r="V1154" s="8"/>
      <c r="W1154" s="7"/>
      <c r="Y1154" s="8"/>
      <c r="Z1154" s="8"/>
      <c r="AA1154" s="8"/>
      <c r="AB1154" s="7"/>
      <c r="AD1154" s="8"/>
    </row>
    <row r="1155" spans="1:30">
      <c r="A1155" s="7"/>
      <c r="D1155" s="7"/>
      <c r="I1155" s="7"/>
      <c r="J1155" s="7"/>
      <c r="K1155" s="7"/>
      <c r="N1155" s="7"/>
      <c r="V1155" s="8"/>
      <c r="W1155" s="7"/>
      <c r="Y1155" s="8"/>
      <c r="Z1155" s="8"/>
      <c r="AA1155" s="8"/>
      <c r="AB1155" s="7"/>
      <c r="AD1155" s="8"/>
    </row>
    <row r="1156" spans="1:30">
      <c r="A1156" s="7"/>
      <c r="D1156" s="7"/>
      <c r="I1156" s="7"/>
      <c r="J1156" s="7"/>
      <c r="K1156" s="7"/>
      <c r="N1156" s="7"/>
      <c r="V1156" s="8"/>
      <c r="W1156" s="7"/>
      <c r="Y1156" s="8"/>
      <c r="Z1156" s="8"/>
      <c r="AA1156" s="8"/>
      <c r="AB1156" s="7"/>
      <c r="AD1156" s="8"/>
    </row>
    <row r="1157" spans="1:30">
      <c r="A1157" s="7"/>
      <c r="D1157" s="7"/>
      <c r="I1157" s="7"/>
      <c r="J1157" s="7"/>
      <c r="K1157" s="7"/>
      <c r="N1157" s="7"/>
      <c r="V1157" s="8"/>
      <c r="W1157" s="7"/>
      <c r="Y1157" s="8"/>
      <c r="Z1157" s="8"/>
      <c r="AA1157" s="8"/>
      <c r="AB1157" s="7"/>
      <c r="AD1157" s="8"/>
    </row>
    <row r="1158" spans="1:30">
      <c r="A1158" s="7"/>
      <c r="D1158" s="7"/>
      <c r="I1158" s="7"/>
      <c r="J1158" s="7"/>
      <c r="K1158" s="7"/>
      <c r="N1158" s="7"/>
      <c r="V1158" s="8"/>
      <c r="W1158" s="7"/>
      <c r="Y1158" s="8"/>
      <c r="Z1158" s="8"/>
      <c r="AA1158" s="8"/>
      <c r="AB1158" s="7"/>
      <c r="AD1158" s="8"/>
    </row>
    <row r="1159" spans="1:30">
      <c r="A1159" s="7"/>
      <c r="D1159" s="7"/>
      <c r="I1159" s="7"/>
      <c r="J1159" s="7"/>
      <c r="K1159" s="7"/>
      <c r="N1159" s="7"/>
      <c r="V1159" s="8"/>
      <c r="W1159" s="7"/>
      <c r="Y1159" s="8"/>
      <c r="Z1159" s="8"/>
      <c r="AA1159" s="8"/>
      <c r="AB1159" s="7"/>
      <c r="AD1159" s="8"/>
    </row>
    <row r="1160" spans="1:30">
      <c r="A1160" s="7"/>
      <c r="D1160" s="7"/>
      <c r="I1160" s="7"/>
      <c r="J1160" s="7"/>
      <c r="K1160" s="7"/>
      <c r="N1160" s="7"/>
      <c r="V1160" s="8"/>
      <c r="W1160" s="7"/>
      <c r="Y1160" s="8"/>
      <c r="Z1160" s="8"/>
      <c r="AA1160" s="8"/>
      <c r="AB1160" s="7"/>
      <c r="AD1160" s="8"/>
    </row>
    <row r="1161" spans="1:30">
      <c r="A1161" s="7"/>
      <c r="D1161" s="7"/>
      <c r="I1161" s="7"/>
      <c r="J1161" s="7"/>
      <c r="K1161" s="7"/>
      <c r="N1161" s="7"/>
      <c r="V1161" s="8"/>
      <c r="W1161" s="7"/>
      <c r="Y1161" s="8"/>
      <c r="Z1161" s="8"/>
      <c r="AA1161" s="8"/>
      <c r="AB1161" s="7"/>
      <c r="AD1161" s="8"/>
    </row>
    <row r="1162" spans="1:30">
      <c r="A1162" s="7"/>
      <c r="D1162" s="7"/>
      <c r="I1162" s="7"/>
      <c r="J1162" s="7"/>
      <c r="K1162" s="7"/>
      <c r="N1162" s="7"/>
      <c r="V1162" s="8"/>
      <c r="W1162" s="7"/>
      <c r="Y1162" s="8"/>
      <c r="Z1162" s="8"/>
      <c r="AA1162" s="8"/>
      <c r="AB1162" s="7"/>
      <c r="AD1162" s="8"/>
    </row>
    <row r="1163" spans="1:30">
      <c r="A1163" s="7"/>
      <c r="D1163" s="7"/>
      <c r="I1163" s="7"/>
      <c r="J1163" s="7"/>
      <c r="K1163" s="7"/>
      <c r="N1163" s="7"/>
      <c r="V1163" s="8"/>
      <c r="W1163" s="7"/>
      <c r="Y1163" s="8"/>
      <c r="Z1163" s="8"/>
      <c r="AA1163" s="8"/>
      <c r="AB1163" s="7"/>
      <c r="AD1163" s="8"/>
    </row>
    <row r="1164" spans="1:30">
      <c r="A1164" s="7"/>
      <c r="D1164" s="7"/>
      <c r="I1164" s="7"/>
      <c r="J1164" s="7"/>
      <c r="K1164" s="7"/>
      <c r="N1164" s="7"/>
      <c r="V1164" s="8"/>
      <c r="W1164" s="7"/>
      <c r="Y1164" s="8"/>
      <c r="Z1164" s="8"/>
      <c r="AA1164" s="8"/>
      <c r="AB1164" s="7"/>
      <c r="AD1164" s="8"/>
    </row>
    <row r="1165" spans="1:30">
      <c r="A1165" s="7"/>
      <c r="D1165" s="7"/>
      <c r="I1165" s="7"/>
      <c r="J1165" s="7"/>
      <c r="K1165" s="7"/>
      <c r="N1165" s="7"/>
      <c r="V1165" s="8"/>
      <c r="W1165" s="7"/>
      <c r="Y1165" s="8"/>
      <c r="Z1165" s="8"/>
      <c r="AA1165" s="8"/>
      <c r="AB1165" s="7"/>
      <c r="AD1165" s="8"/>
    </row>
    <row r="1166" spans="1:30">
      <c r="A1166" s="7"/>
      <c r="D1166" s="7"/>
      <c r="I1166" s="7"/>
      <c r="J1166" s="7"/>
      <c r="K1166" s="7"/>
      <c r="N1166" s="7"/>
      <c r="V1166" s="8"/>
      <c r="W1166" s="7"/>
      <c r="Y1166" s="8"/>
      <c r="Z1166" s="8"/>
      <c r="AA1166" s="8"/>
      <c r="AB1166" s="7"/>
      <c r="AD1166" s="8"/>
    </row>
    <row r="1167" spans="1:30">
      <c r="A1167" s="7"/>
      <c r="D1167" s="7"/>
      <c r="I1167" s="7"/>
      <c r="J1167" s="7"/>
      <c r="K1167" s="7"/>
      <c r="N1167" s="7"/>
      <c r="V1167" s="8"/>
      <c r="W1167" s="7"/>
      <c r="Y1167" s="8"/>
      <c r="Z1167" s="8"/>
      <c r="AA1167" s="8"/>
      <c r="AB1167" s="7"/>
      <c r="AD1167" s="8"/>
    </row>
    <row r="1168" spans="1:30">
      <c r="A1168" s="7"/>
      <c r="D1168" s="7"/>
      <c r="I1168" s="7"/>
      <c r="J1168" s="7"/>
      <c r="K1168" s="7"/>
      <c r="N1168" s="7"/>
      <c r="V1168" s="8"/>
      <c r="W1168" s="7"/>
      <c r="Y1168" s="8"/>
      <c r="Z1168" s="8"/>
      <c r="AA1168" s="8"/>
      <c r="AB1168" s="7"/>
      <c r="AD1168" s="8"/>
    </row>
    <row r="1169" spans="1:30">
      <c r="A1169" s="7"/>
      <c r="D1169" s="7"/>
      <c r="I1169" s="7"/>
      <c r="J1169" s="7"/>
      <c r="K1169" s="7"/>
      <c r="N1169" s="7"/>
      <c r="V1169" s="8"/>
      <c r="W1169" s="7"/>
      <c r="Y1169" s="8"/>
      <c r="Z1169" s="8"/>
      <c r="AA1169" s="8"/>
      <c r="AB1169" s="7"/>
      <c r="AD1169" s="8"/>
    </row>
    <row r="1170" spans="1:30">
      <c r="A1170" s="7"/>
      <c r="D1170" s="7"/>
      <c r="I1170" s="7"/>
      <c r="J1170" s="7"/>
      <c r="K1170" s="7"/>
      <c r="N1170" s="7"/>
      <c r="V1170" s="8"/>
      <c r="W1170" s="7"/>
      <c r="Y1170" s="8"/>
      <c r="Z1170" s="8"/>
      <c r="AA1170" s="8"/>
      <c r="AB1170" s="7"/>
      <c r="AD1170" s="8"/>
    </row>
    <row r="1171" spans="1:30">
      <c r="A1171" s="7"/>
      <c r="D1171" s="7"/>
      <c r="I1171" s="7"/>
      <c r="J1171" s="7"/>
      <c r="K1171" s="7"/>
      <c r="N1171" s="7"/>
      <c r="V1171" s="8"/>
      <c r="W1171" s="7"/>
      <c r="Y1171" s="8"/>
      <c r="Z1171" s="8"/>
      <c r="AA1171" s="8"/>
      <c r="AB1171" s="7"/>
      <c r="AD1171" s="8"/>
    </row>
    <row r="1172" spans="1:30">
      <c r="A1172" s="7"/>
      <c r="D1172" s="7"/>
      <c r="I1172" s="7"/>
      <c r="J1172" s="7"/>
      <c r="K1172" s="7"/>
      <c r="N1172" s="7"/>
      <c r="V1172" s="8"/>
      <c r="W1172" s="7"/>
      <c r="Y1172" s="8"/>
      <c r="Z1172" s="8"/>
      <c r="AA1172" s="8"/>
      <c r="AB1172" s="7"/>
      <c r="AD1172" s="8"/>
    </row>
    <row r="1173" spans="1:30">
      <c r="A1173" s="7"/>
      <c r="D1173" s="7"/>
      <c r="I1173" s="7"/>
      <c r="J1173" s="7"/>
      <c r="K1173" s="7"/>
      <c r="N1173" s="7"/>
      <c r="V1173" s="8"/>
      <c r="W1173" s="7"/>
      <c r="Y1173" s="8"/>
      <c r="Z1173" s="8"/>
      <c r="AA1173" s="8"/>
      <c r="AB1173" s="7"/>
      <c r="AD1173" s="8"/>
    </row>
    <row r="1174" spans="1:30">
      <c r="A1174" s="7"/>
      <c r="D1174" s="7"/>
      <c r="I1174" s="7"/>
      <c r="J1174" s="7"/>
      <c r="K1174" s="7"/>
      <c r="N1174" s="7"/>
      <c r="V1174" s="8"/>
      <c r="W1174" s="7"/>
      <c r="Y1174" s="8"/>
      <c r="Z1174" s="8"/>
      <c r="AA1174" s="8"/>
      <c r="AB1174" s="7"/>
      <c r="AD1174" s="8"/>
    </row>
    <row r="1175" spans="1:30">
      <c r="A1175" s="7"/>
      <c r="D1175" s="7"/>
      <c r="I1175" s="7"/>
      <c r="J1175" s="7"/>
      <c r="K1175" s="7"/>
      <c r="N1175" s="7"/>
      <c r="V1175" s="8"/>
      <c r="W1175" s="7"/>
      <c r="Y1175" s="8"/>
      <c r="Z1175" s="8"/>
      <c r="AA1175" s="8"/>
      <c r="AB1175" s="7"/>
      <c r="AD1175" s="8"/>
    </row>
    <row r="1176" spans="1:30">
      <c r="A1176" s="7"/>
      <c r="D1176" s="7"/>
      <c r="I1176" s="7"/>
      <c r="J1176" s="7"/>
      <c r="K1176" s="7"/>
      <c r="N1176" s="7"/>
      <c r="V1176" s="8"/>
      <c r="W1176" s="7"/>
      <c r="Y1176" s="8"/>
      <c r="Z1176" s="8"/>
      <c r="AA1176" s="8"/>
      <c r="AB1176" s="7"/>
      <c r="AD1176" s="8"/>
    </row>
    <row r="1177" spans="1:30">
      <c r="A1177" s="7"/>
      <c r="D1177" s="7"/>
      <c r="I1177" s="7"/>
      <c r="J1177" s="7"/>
      <c r="K1177" s="7"/>
      <c r="N1177" s="7"/>
      <c r="V1177" s="8"/>
      <c r="W1177" s="7"/>
      <c r="Y1177" s="8"/>
      <c r="Z1177" s="8"/>
      <c r="AA1177" s="8"/>
      <c r="AB1177" s="7"/>
      <c r="AD1177" s="8"/>
    </row>
    <row r="1178" spans="1:30">
      <c r="A1178" s="7"/>
      <c r="D1178" s="7"/>
      <c r="I1178" s="7"/>
      <c r="J1178" s="7"/>
      <c r="K1178" s="7"/>
      <c r="N1178" s="7"/>
      <c r="V1178" s="8"/>
      <c r="W1178" s="7"/>
      <c r="Y1178" s="8"/>
      <c r="Z1178" s="8"/>
      <c r="AA1178" s="8"/>
      <c r="AB1178" s="7"/>
      <c r="AD1178" s="8"/>
    </row>
    <row r="1179" spans="1:30">
      <c r="A1179" s="7"/>
      <c r="D1179" s="7"/>
      <c r="I1179" s="7"/>
      <c r="J1179" s="7"/>
      <c r="K1179" s="7"/>
      <c r="N1179" s="7"/>
      <c r="V1179" s="8"/>
      <c r="W1179" s="7"/>
      <c r="Y1179" s="8"/>
      <c r="Z1179" s="8"/>
      <c r="AA1179" s="8"/>
      <c r="AB1179" s="7"/>
      <c r="AD1179" s="8"/>
    </row>
    <row r="1180" spans="1:30">
      <c r="A1180" s="7"/>
      <c r="D1180" s="7"/>
      <c r="I1180" s="7"/>
      <c r="J1180" s="7"/>
      <c r="K1180" s="7"/>
      <c r="N1180" s="7"/>
      <c r="V1180" s="8"/>
      <c r="W1180" s="7"/>
      <c r="Y1180" s="8"/>
      <c r="Z1180" s="8"/>
      <c r="AA1180" s="8"/>
      <c r="AB1180" s="7"/>
      <c r="AD1180" s="8"/>
    </row>
    <row r="1181" spans="1:30">
      <c r="A1181" s="7"/>
      <c r="D1181" s="7"/>
      <c r="I1181" s="7"/>
      <c r="J1181" s="7"/>
      <c r="K1181" s="7"/>
      <c r="N1181" s="7"/>
      <c r="V1181" s="8"/>
      <c r="W1181" s="7"/>
      <c r="Y1181" s="8"/>
      <c r="Z1181" s="8"/>
      <c r="AA1181" s="8"/>
      <c r="AB1181" s="7"/>
      <c r="AD1181" s="8"/>
    </row>
    <row r="1182" spans="1:30">
      <c r="A1182" s="7"/>
      <c r="D1182" s="7"/>
      <c r="I1182" s="7"/>
      <c r="J1182" s="7"/>
      <c r="K1182" s="7"/>
      <c r="N1182" s="7"/>
      <c r="V1182" s="8"/>
      <c r="W1182" s="7"/>
      <c r="Y1182" s="8"/>
      <c r="Z1182" s="8"/>
      <c r="AA1182" s="8"/>
      <c r="AB1182" s="7"/>
      <c r="AD1182" s="8"/>
    </row>
    <row r="1183" spans="1:30">
      <c r="A1183" s="7"/>
      <c r="D1183" s="7"/>
      <c r="I1183" s="7"/>
      <c r="J1183" s="7"/>
      <c r="K1183" s="7"/>
      <c r="N1183" s="7"/>
      <c r="V1183" s="8"/>
      <c r="W1183" s="7"/>
      <c r="Y1183" s="8"/>
      <c r="Z1183" s="8"/>
      <c r="AA1183" s="8"/>
      <c r="AB1183" s="7"/>
      <c r="AD1183" s="8"/>
    </row>
    <row r="1184" spans="1:30">
      <c r="A1184" s="7"/>
      <c r="D1184" s="7"/>
      <c r="I1184" s="7"/>
      <c r="J1184" s="7"/>
      <c r="K1184" s="7"/>
      <c r="N1184" s="7"/>
      <c r="V1184" s="8"/>
      <c r="W1184" s="7"/>
      <c r="Y1184" s="8"/>
      <c r="Z1184" s="8"/>
      <c r="AA1184" s="8"/>
      <c r="AB1184" s="7"/>
      <c r="AD1184" s="8"/>
    </row>
    <row r="1185" spans="1:30">
      <c r="A1185" s="7"/>
      <c r="D1185" s="7"/>
      <c r="I1185" s="7"/>
      <c r="J1185" s="7"/>
      <c r="K1185" s="7"/>
      <c r="N1185" s="7"/>
      <c r="V1185" s="8"/>
      <c r="W1185" s="7"/>
      <c r="Y1185" s="8"/>
      <c r="Z1185" s="8"/>
      <c r="AA1185" s="8"/>
      <c r="AB1185" s="7"/>
      <c r="AD1185" s="8"/>
    </row>
    <row r="1186" spans="1:30">
      <c r="A1186" s="7"/>
      <c r="D1186" s="7"/>
      <c r="I1186" s="7"/>
      <c r="J1186" s="7"/>
      <c r="K1186" s="7"/>
      <c r="N1186" s="7"/>
      <c r="V1186" s="8"/>
      <c r="W1186" s="7"/>
      <c r="Y1186" s="8"/>
      <c r="Z1186" s="8"/>
      <c r="AA1186" s="8"/>
      <c r="AB1186" s="7"/>
      <c r="AD1186" s="8"/>
    </row>
    <row r="1187" spans="1:30">
      <c r="A1187" s="7"/>
      <c r="D1187" s="7"/>
      <c r="I1187" s="7"/>
      <c r="J1187" s="7"/>
      <c r="K1187" s="7"/>
      <c r="N1187" s="7"/>
      <c r="V1187" s="8"/>
      <c r="W1187" s="7"/>
      <c r="Y1187" s="8"/>
      <c r="Z1187" s="8"/>
      <c r="AA1187" s="8"/>
      <c r="AB1187" s="7"/>
      <c r="AD1187" s="8"/>
    </row>
    <row r="1188" spans="1:30">
      <c r="A1188" s="7"/>
      <c r="D1188" s="7"/>
      <c r="I1188" s="7"/>
      <c r="J1188" s="7"/>
      <c r="K1188" s="7"/>
      <c r="N1188" s="7"/>
      <c r="V1188" s="8"/>
      <c r="W1188" s="7"/>
      <c r="Y1188" s="8"/>
      <c r="Z1188" s="8"/>
      <c r="AA1188" s="8"/>
      <c r="AB1188" s="7"/>
      <c r="AD1188" s="8"/>
    </row>
    <row r="1189" spans="1:30">
      <c r="A1189" s="7"/>
      <c r="D1189" s="7"/>
      <c r="I1189" s="7"/>
      <c r="J1189" s="7"/>
      <c r="K1189" s="7"/>
      <c r="N1189" s="7"/>
      <c r="V1189" s="8"/>
      <c r="W1189" s="7"/>
      <c r="Y1189" s="8"/>
      <c r="Z1189" s="8"/>
      <c r="AA1189" s="8"/>
      <c r="AB1189" s="7"/>
      <c r="AD1189" s="8"/>
    </row>
    <row r="1190" spans="1:30">
      <c r="A1190" s="7"/>
      <c r="D1190" s="7"/>
      <c r="I1190" s="7"/>
      <c r="J1190" s="7"/>
      <c r="K1190" s="7"/>
      <c r="N1190" s="7"/>
      <c r="V1190" s="8"/>
      <c r="W1190" s="7"/>
      <c r="Y1190" s="8"/>
      <c r="Z1190" s="8"/>
      <c r="AA1190" s="8"/>
      <c r="AB1190" s="7"/>
      <c r="AD1190" s="8"/>
    </row>
    <row r="1191" spans="1:30">
      <c r="A1191" s="7"/>
      <c r="D1191" s="7"/>
      <c r="I1191" s="7"/>
      <c r="J1191" s="7"/>
      <c r="K1191" s="7"/>
      <c r="N1191" s="7"/>
      <c r="V1191" s="8"/>
      <c r="W1191" s="7"/>
      <c r="Y1191" s="8"/>
      <c r="Z1191" s="8"/>
      <c r="AA1191" s="8"/>
      <c r="AB1191" s="7"/>
      <c r="AD1191" s="8"/>
    </row>
    <row r="1192" spans="1:30">
      <c r="A1192" s="7"/>
      <c r="D1192" s="7"/>
      <c r="I1192" s="7"/>
      <c r="J1192" s="7"/>
      <c r="K1192" s="7"/>
      <c r="N1192" s="7"/>
      <c r="V1192" s="8"/>
      <c r="W1192" s="7"/>
      <c r="Y1192" s="8"/>
      <c r="Z1192" s="8"/>
      <c r="AA1192" s="8"/>
      <c r="AB1192" s="7"/>
      <c r="AD1192" s="8"/>
    </row>
    <row r="1193" spans="1:30">
      <c r="A1193" s="7"/>
      <c r="D1193" s="7"/>
      <c r="I1193" s="7"/>
      <c r="J1193" s="7"/>
      <c r="K1193" s="7"/>
      <c r="N1193" s="7"/>
      <c r="V1193" s="8"/>
      <c r="W1193" s="7"/>
      <c r="Y1193" s="8"/>
      <c r="Z1193" s="8"/>
      <c r="AA1193" s="8"/>
      <c r="AB1193" s="7"/>
      <c r="AD1193" s="8"/>
    </row>
    <row r="1194" spans="1:30">
      <c r="A1194" s="7"/>
      <c r="D1194" s="7"/>
      <c r="I1194" s="7"/>
      <c r="J1194" s="7"/>
      <c r="K1194" s="7"/>
      <c r="N1194" s="7"/>
      <c r="V1194" s="8"/>
      <c r="W1194" s="7"/>
      <c r="Y1194" s="8"/>
      <c r="Z1194" s="8"/>
      <c r="AA1194" s="8"/>
      <c r="AB1194" s="7"/>
      <c r="AD1194" s="8"/>
    </row>
    <row r="1195" spans="1:30">
      <c r="A1195" s="7"/>
      <c r="D1195" s="7"/>
      <c r="I1195" s="7"/>
      <c r="J1195" s="7"/>
      <c r="K1195" s="7"/>
      <c r="N1195" s="7"/>
      <c r="V1195" s="8"/>
      <c r="W1195" s="7"/>
      <c r="Y1195" s="8"/>
      <c r="Z1195" s="8"/>
      <c r="AA1195" s="8"/>
      <c r="AB1195" s="7"/>
      <c r="AD1195" s="8"/>
    </row>
    <row r="1196" spans="1:30">
      <c r="A1196" s="7"/>
      <c r="D1196" s="7"/>
      <c r="I1196" s="7"/>
      <c r="J1196" s="7"/>
      <c r="K1196" s="7"/>
      <c r="N1196" s="7"/>
      <c r="V1196" s="8"/>
      <c r="W1196" s="7"/>
      <c r="Y1196" s="8"/>
      <c r="Z1196" s="8"/>
      <c r="AA1196" s="8"/>
      <c r="AB1196" s="7"/>
      <c r="AD1196" s="8"/>
    </row>
    <row r="1197" spans="1:30">
      <c r="A1197" s="7"/>
      <c r="D1197" s="7"/>
      <c r="I1197" s="7"/>
      <c r="J1197" s="7"/>
      <c r="K1197" s="7"/>
      <c r="N1197" s="7"/>
      <c r="V1197" s="8"/>
      <c r="W1197" s="7"/>
      <c r="Y1197" s="8"/>
      <c r="Z1197" s="8"/>
      <c r="AA1197" s="8"/>
      <c r="AB1197" s="7"/>
      <c r="AD1197" s="8"/>
    </row>
    <row r="1198" spans="1:30">
      <c r="A1198" s="7"/>
      <c r="D1198" s="7"/>
      <c r="I1198" s="7"/>
      <c r="J1198" s="7"/>
      <c r="K1198" s="7"/>
      <c r="N1198" s="7"/>
      <c r="V1198" s="8"/>
      <c r="W1198" s="7"/>
      <c r="Y1198" s="8"/>
      <c r="Z1198" s="8"/>
      <c r="AA1198" s="8"/>
      <c r="AB1198" s="7"/>
      <c r="AD1198" s="8"/>
    </row>
    <row r="1199" spans="1:30">
      <c r="A1199" s="7"/>
      <c r="D1199" s="7"/>
      <c r="I1199" s="7"/>
      <c r="J1199" s="7"/>
      <c r="K1199" s="7"/>
      <c r="N1199" s="7"/>
      <c r="V1199" s="8"/>
      <c r="W1199" s="7"/>
      <c r="Y1199" s="8"/>
      <c r="Z1199" s="8"/>
      <c r="AA1199" s="8"/>
      <c r="AB1199" s="7"/>
      <c r="AD1199" s="8"/>
    </row>
    <row r="1200" spans="1:30">
      <c r="A1200" s="7"/>
      <c r="D1200" s="7"/>
      <c r="I1200" s="7"/>
      <c r="J1200" s="7"/>
      <c r="K1200" s="7"/>
      <c r="N1200" s="7"/>
      <c r="V1200" s="8"/>
      <c r="W1200" s="7"/>
      <c r="Y1200" s="8"/>
      <c r="Z1200" s="8"/>
      <c r="AA1200" s="8"/>
      <c r="AB1200" s="7"/>
      <c r="AD1200" s="8"/>
    </row>
    <row r="1201" spans="1:30">
      <c r="A1201" s="7"/>
      <c r="D1201" s="7"/>
      <c r="I1201" s="7"/>
      <c r="J1201" s="7"/>
      <c r="K1201" s="7"/>
      <c r="N1201" s="7"/>
      <c r="V1201" s="8"/>
      <c r="W1201" s="7"/>
      <c r="Y1201" s="8"/>
      <c r="Z1201" s="8"/>
      <c r="AA1201" s="8"/>
      <c r="AB1201" s="7"/>
      <c r="AD1201" s="8"/>
    </row>
    <row r="1202" spans="1:30">
      <c r="A1202" s="7"/>
      <c r="D1202" s="7"/>
      <c r="I1202" s="7"/>
      <c r="J1202" s="7"/>
      <c r="K1202" s="7"/>
      <c r="N1202" s="7"/>
      <c r="V1202" s="8"/>
      <c r="W1202" s="7"/>
      <c r="Y1202" s="8"/>
      <c r="Z1202" s="8"/>
      <c r="AA1202" s="8"/>
      <c r="AB1202" s="7"/>
      <c r="AD1202" s="8"/>
    </row>
    <row r="1203" spans="1:30">
      <c r="A1203" s="7"/>
      <c r="D1203" s="7"/>
      <c r="I1203" s="7"/>
      <c r="J1203" s="7"/>
      <c r="K1203" s="7"/>
      <c r="N1203" s="7"/>
      <c r="V1203" s="8"/>
      <c r="W1203" s="7"/>
      <c r="Y1203" s="8"/>
      <c r="Z1203" s="8"/>
      <c r="AA1203" s="8"/>
      <c r="AB1203" s="7"/>
      <c r="AD1203" s="8"/>
    </row>
    <row r="1204" spans="1:30">
      <c r="A1204" s="7"/>
      <c r="D1204" s="7"/>
      <c r="I1204" s="7"/>
      <c r="J1204" s="7"/>
      <c r="K1204" s="7"/>
      <c r="N1204" s="7"/>
      <c r="V1204" s="8"/>
      <c r="W1204" s="7"/>
      <c r="Y1204" s="8"/>
      <c r="Z1204" s="8"/>
      <c r="AA1204" s="8"/>
      <c r="AB1204" s="7"/>
      <c r="AD1204" s="8"/>
    </row>
    <row r="1205" spans="1:30">
      <c r="A1205" s="7"/>
      <c r="D1205" s="7"/>
      <c r="I1205" s="7"/>
      <c r="J1205" s="7"/>
      <c r="K1205" s="7"/>
      <c r="N1205" s="7"/>
      <c r="V1205" s="8"/>
      <c r="W1205" s="7"/>
      <c r="Y1205" s="8"/>
      <c r="Z1205" s="8"/>
      <c r="AA1205" s="8"/>
      <c r="AB1205" s="7"/>
      <c r="AD1205" s="8"/>
    </row>
    <row r="1206" spans="1:30">
      <c r="A1206" s="7"/>
      <c r="D1206" s="7"/>
      <c r="I1206" s="7"/>
      <c r="J1206" s="7"/>
      <c r="K1206" s="7"/>
      <c r="N1206" s="7"/>
      <c r="V1206" s="8"/>
      <c r="W1206" s="7"/>
      <c r="Y1206" s="8"/>
      <c r="Z1206" s="8"/>
      <c r="AA1206" s="8"/>
      <c r="AB1206" s="7"/>
      <c r="AD1206" s="8"/>
    </row>
    <row r="1207" spans="1:30">
      <c r="A1207" s="7"/>
      <c r="D1207" s="7"/>
      <c r="I1207" s="7"/>
      <c r="J1207" s="7"/>
      <c r="K1207" s="7"/>
      <c r="N1207" s="7"/>
      <c r="V1207" s="8"/>
      <c r="W1207" s="7"/>
      <c r="Y1207" s="8"/>
      <c r="Z1207" s="8"/>
      <c r="AA1207" s="8"/>
      <c r="AB1207" s="7"/>
      <c r="AD1207" s="8"/>
    </row>
    <row r="1208" spans="1:30">
      <c r="A1208" s="7"/>
      <c r="D1208" s="7"/>
      <c r="I1208" s="7"/>
      <c r="J1208" s="7"/>
      <c r="K1208" s="7"/>
      <c r="N1208" s="7"/>
      <c r="V1208" s="8"/>
      <c r="W1208" s="7"/>
      <c r="Y1208" s="8"/>
      <c r="Z1208" s="8"/>
      <c r="AA1208" s="8"/>
      <c r="AB1208" s="7"/>
      <c r="AD1208" s="8"/>
    </row>
    <row r="1209" spans="1:30">
      <c r="A1209" s="7"/>
      <c r="D1209" s="7"/>
      <c r="I1209" s="7"/>
      <c r="J1209" s="7"/>
      <c r="K1209" s="7"/>
      <c r="N1209" s="7"/>
      <c r="V1209" s="8"/>
      <c r="W1209" s="7"/>
      <c r="Y1209" s="8"/>
      <c r="Z1209" s="8"/>
      <c r="AA1209" s="8"/>
      <c r="AB1209" s="7"/>
      <c r="AD1209" s="8"/>
    </row>
    <row r="1210" spans="1:30">
      <c r="A1210" s="7"/>
      <c r="D1210" s="7"/>
      <c r="I1210" s="7"/>
      <c r="J1210" s="7"/>
      <c r="K1210" s="7"/>
      <c r="N1210" s="7"/>
      <c r="V1210" s="8"/>
      <c r="W1210" s="7"/>
      <c r="Y1210" s="8"/>
      <c r="Z1210" s="8"/>
      <c r="AA1210" s="8"/>
      <c r="AB1210" s="7"/>
      <c r="AD1210" s="8"/>
    </row>
    <row r="1211" spans="1:30">
      <c r="A1211" s="7"/>
      <c r="D1211" s="7"/>
      <c r="I1211" s="7"/>
      <c r="J1211" s="7"/>
      <c r="K1211" s="7"/>
      <c r="N1211" s="7"/>
      <c r="V1211" s="8"/>
      <c r="W1211" s="7"/>
      <c r="Y1211" s="8"/>
      <c r="Z1211" s="8"/>
      <c r="AA1211" s="8"/>
      <c r="AB1211" s="7"/>
      <c r="AD1211" s="8"/>
    </row>
    <row r="1212" spans="1:30">
      <c r="A1212" s="7"/>
      <c r="D1212" s="7"/>
      <c r="I1212" s="7"/>
      <c r="J1212" s="7"/>
      <c r="K1212" s="7"/>
      <c r="N1212" s="7"/>
      <c r="V1212" s="8"/>
      <c r="W1212" s="7"/>
      <c r="Y1212" s="8"/>
      <c r="Z1212" s="8"/>
      <c r="AA1212" s="8"/>
      <c r="AB1212" s="7"/>
      <c r="AD1212" s="8"/>
    </row>
    <row r="1213" spans="1:30">
      <c r="A1213" s="7"/>
      <c r="D1213" s="7"/>
      <c r="I1213" s="7"/>
      <c r="J1213" s="7"/>
      <c r="K1213" s="7"/>
      <c r="N1213" s="7"/>
      <c r="V1213" s="8"/>
      <c r="W1213" s="7"/>
      <c r="Y1213" s="8"/>
      <c r="Z1213" s="8"/>
      <c r="AA1213" s="8"/>
      <c r="AB1213" s="7"/>
      <c r="AD1213" s="8"/>
    </row>
    <row r="1214" spans="1:30">
      <c r="A1214" s="7"/>
      <c r="D1214" s="7"/>
      <c r="I1214" s="7"/>
      <c r="J1214" s="7"/>
      <c r="K1214" s="7"/>
      <c r="N1214" s="7"/>
      <c r="V1214" s="8"/>
      <c r="W1214" s="7"/>
      <c r="Y1214" s="8"/>
      <c r="Z1214" s="8"/>
      <c r="AA1214" s="8"/>
      <c r="AB1214" s="7"/>
      <c r="AD1214" s="8"/>
    </row>
    <row r="1215" spans="1:30">
      <c r="A1215" s="7"/>
      <c r="D1215" s="7"/>
      <c r="I1215" s="7"/>
      <c r="J1215" s="7"/>
      <c r="K1215" s="7"/>
      <c r="N1215" s="7"/>
      <c r="V1215" s="8"/>
      <c r="W1215" s="7"/>
      <c r="Y1215" s="8"/>
      <c r="Z1215" s="8"/>
      <c r="AA1215" s="8"/>
      <c r="AB1215" s="7"/>
      <c r="AD1215" s="8"/>
    </row>
    <row r="1216" spans="1:30">
      <c r="A1216" s="7"/>
      <c r="D1216" s="7"/>
      <c r="I1216" s="7"/>
      <c r="J1216" s="7"/>
      <c r="K1216" s="7"/>
      <c r="N1216" s="7"/>
      <c r="V1216" s="8"/>
      <c r="W1216" s="7"/>
      <c r="Y1216" s="8"/>
      <c r="Z1216" s="8"/>
      <c r="AA1216" s="8"/>
      <c r="AB1216" s="7"/>
      <c r="AD1216" s="8"/>
    </row>
    <row r="1217" spans="1:30">
      <c r="A1217" s="7"/>
      <c r="D1217" s="7"/>
      <c r="I1217" s="7"/>
      <c r="J1217" s="7"/>
      <c r="K1217" s="7"/>
      <c r="N1217" s="7"/>
      <c r="V1217" s="8"/>
      <c r="W1217" s="7"/>
      <c r="Y1217" s="8"/>
      <c r="Z1217" s="8"/>
      <c r="AA1217" s="8"/>
      <c r="AB1217" s="7"/>
      <c r="AD1217" s="8"/>
    </row>
    <row r="1218" spans="1:30">
      <c r="A1218" s="7"/>
      <c r="D1218" s="7"/>
      <c r="I1218" s="7"/>
      <c r="J1218" s="7"/>
      <c r="K1218" s="7"/>
      <c r="N1218" s="7"/>
      <c r="V1218" s="8"/>
      <c r="W1218" s="7"/>
      <c r="Y1218" s="8"/>
      <c r="Z1218" s="8"/>
      <c r="AA1218" s="8"/>
      <c r="AB1218" s="7"/>
      <c r="AD1218" s="8"/>
    </row>
    <row r="1219" spans="1:30">
      <c r="A1219" s="7"/>
      <c r="D1219" s="7"/>
      <c r="I1219" s="7"/>
      <c r="J1219" s="7"/>
      <c r="K1219" s="7"/>
      <c r="N1219" s="7"/>
      <c r="V1219" s="8"/>
      <c r="W1219" s="7"/>
      <c r="Y1219" s="8"/>
      <c r="Z1219" s="8"/>
      <c r="AA1219" s="8"/>
      <c r="AB1219" s="7"/>
      <c r="AD1219" s="8"/>
    </row>
    <row r="1220" spans="1:30">
      <c r="A1220" s="7"/>
      <c r="D1220" s="7"/>
      <c r="I1220" s="7"/>
      <c r="J1220" s="7"/>
      <c r="K1220" s="7"/>
      <c r="N1220" s="7"/>
      <c r="V1220" s="8"/>
      <c r="W1220" s="7"/>
      <c r="Y1220" s="8"/>
      <c r="Z1220" s="8"/>
      <c r="AA1220" s="8"/>
      <c r="AB1220" s="7"/>
      <c r="AD1220" s="8"/>
    </row>
    <row r="1221" spans="1:30">
      <c r="A1221" s="7"/>
      <c r="D1221" s="7"/>
      <c r="I1221" s="7"/>
      <c r="J1221" s="7"/>
      <c r="K1221" s="7"/>
      <c r="N1221" s="7"/>
      <c r="V1221" s="8"/>
      <c r="W1221" s="7"/>
      <c r="Y1221" s="8"/>
      <c r="Z1221" s="8"/>
      <c r="AA1221" s="8"/>
      <c r="AB1221" s="7"/>
      <c r="AD1221" s="8"/>
    </row>
    <row r="1222" spans="1:30">
      <c r="A1222" s="7"/>
      <c r="D1222" s="7"/>
      <c r="I1222" s="7"/>
      <c r="J1222" s="7"/>
      <c r="K1222" s="7"/>
      <c r="N1222" s="7"/>
      <c r="V1222" s="8"/>
      <c r="W1222" s="7"/>
      <c r="Y1222" s="8"/>
      <c r="Z1222" s="8"/>
      <c r="AA1222" s="8"/>
      <c r="AB1222" s="7"/>
      <c r="AD1222" s="8"/>
    </row>
    <row r="1223" spans="1:30">
      <c r="A1223" s="7"/>
      <c r="D1223" s="7"/>
      <c r="I1223" s="7"/>
      <c r="J1223" s="7"/>
      <c r="K1223" s="7"/>
      <c r="N1223" s="7"/>
      <c r="V1223" s="8"/>
      <c r="W1223" s="7"/>
      <c r="Y1223" s="8"/>
      <c r="Z1223" s="8"/>
      <c r="AA1223" s="8"/>
      <c r="AB1223" s="7"/>
      <c r="AD1223" s="8"/>
    </row>
    <row r="1224" spans="1:30">
      <c r="A1224" s="4"/>
      <c r="B1224" s="2"/>
      <c r="C1224" s="2"/>
      <c r="D1224" s="4"/>
      <c r="E1224" s="2"/>
      <c r="F1224" s="2"/>
      <c r="G1224" s="2"/>
      <c r="H1224" s="2"/>
      <c r="I1224" s="4"/>
      <c r="J1224" s="2"/>
      <c r="K1224" s="2"/>
      <c r="L1224" s="2"/>
      <c r="M1224" s="2"/>
      <c r="N1224" s="2"/>
      <c r="O1224" s="2"/>
      <c r="P1224" s="2"/>
      <c r="Q1224" s="5"/>
      <c r="R1224" s="5"/>
      <c r="S1224" s="5"/>
      <c r="T1224" s="5"/>
      <c r="U1224" s="4"/>
      <c r="V1224" s="2"/>
      <c r="W1224" s="5"/>
      <c r="X1224" s="4"/>
      <c r="Y1224" s="8"/>
      <c r="Z1224" s="8"/>
      <c r="AA1224" s="8"/>
      <c r="AB1224" s="7"/>
      <c r="AD1224" s="8"/>
    </row>
    <row r="1225" spans="1:30">
      <c r="A1225" s="4"/>
      <c r="B1225" s="2"/>
      <c r="C1225" s="2"/>
      <c r="D1225" s="4"/>
      <c r="E1225" s="2"/>
      <c r="F1225" s="2"/>
      <c r="G1225" s="2"/>
      <c r="H1225" s="2"/>
      <c r="I1225" s="4"/>
      <c r="J1225" s="2"/>
      <c r="K1225" s="2"/>
      <c r="L1225" s="2"/>
      <c r="M1225" s="2"/>
      <c r="N1225" s="2"/>
      <c r="O1225" s="2"/>
      <c r="P1225" s="2"/>
      <c r="Q1225" s="5"/>
      <c r="R1225" s="5"/>
      <c r="S1225" s="5"/>
      <c r="T1225" s="5"/>
      <c r="U1225" s="4"/>
      <c r="V1225" s="2"/>
      <c r="W1225" s="5"/>
      <c r="X1225" s="4"/>
      <c r="Y1225" s="8"/>
      <c r="Z1225" s="8"/>
      <c r="AA1225" s="8"/>
      <c r="AB1225" s="7"/>
      <c r="AD1225" s="8"/>
    </row>
    <row r="1226" spans="1:30">
      <c r="A1226" s="4"/>
      <c r="B1226" s="2"/>
      <c r="C1226" s="2"/>
      <c r="D1226" s="4"/>
      <c r="E1226" s="2"/>
      <c r="F1226" s="2"/>
      <c r="G1226" s="2"/>
      <c r="H1226" s="2"/>
      <c r="I1226" s="4"/>
      <c r="J1226" s="2"/>
      <c r="K1226" s="2"/>
      <c r="L1226" s="2"/>
      <c r="M1226" s="2"/>
      <c r="N1226" s="2"/>
      <c r="O1226" s="2"/>
      <c r="P1226" s="2"/>
      <c r="Q1226" s="5"/>
      <c r="R1226" s="5"/>
      <c r="S1226" s="5"/>
      <c r="T1226" s="5"/>
      <c r="U1226" s="4"/>
      <c r="V1226" s="2"/>
      <c r="W1226" s="5"/>
      <c r="X1226" s="4"/>
      <c r="Y1226" s="8"/>
      <c r="Z1226" s="8"/>
      <c r="AA1226" s="8"/>
      <c r="AB1226" s="7"/>
      <c r="AD1226" s="8"/>
    </row>
    <row r="1227" spans="1:30">
      <c r="A1227" s="4"/>
      <c r="B1227" s="2"/>
      <c r="C1227" s="2"/>
      <c r="D1227" s="4"/>
      <c r="E1227" s="2"/>
      <c r="F1227" s="2"/>
      <c r="G1227" s="2"/>
      <c r="H1227" s="2"/>
      <c r="I1227" s="4"/>
      <c r="J1227" s="2"/>
      <c r="K1227" s="2"/>
      <c r="L1227" s="2"/>
      <c r="M1227" s="2"/>
      <c r="N1227" s="2"/>
      <c r="O1227" s="2"/>
      <c r="P1227" s="2"/>
      <c r="Q1227" s="5"/>
      <c r="R1227" s="5"/>
      <c r="S1227" s="5"/>
      <c r="T1227" s="5"/>
      <c r="U1227" s="4"/>
      <c r="V1227" s="2"/>
      <c r="W1227" s="5"/>
      <c r="X1227" s="4"/>
      <c r="Y1227" s="8"/>
      <c r="Z1227" s="8"/>
      <c r="AA1227" s="8"/>
      <c r="AB1227" s="7"/>
      <c r="AD1227" s="8"/>
    </row>
    <row r="1228" spans="1:30">
      <c r="A1228" s="4"/>
      <c r="B1228" s="2"/>
      <c r="C1228" s="2"/>
      <c r="D1228" s="4"/>
      <c r="E1228" s="2"/>
      <c r="F1228" s="2"/>
      <c r="G1228" s="2"/>
      <c r="H1228" s="2"/>
      <c r="I1228" s="4"/>
      <c r="J1228" s="2"/>
      <c r="K1228" s="2"/>
      <c r="L1228" s="2"/>
      <c r="M1228" s="2"/>
      <c r="N1228" s="2"/>
      <c r="O1228" s="2"/>
      <c r="P1228" s="2"/>
      <c r="Q1228" s="5"/>
      <c r="R1228" s="5"/>
      <c r="S1228" s="5"/>
      <c r="T1228" s="5"/>
      <c r="U1228" s="4"/>
      <c r="V1228" s="2"/>
      <c r="W1228" s="5"/>
      <c r="X1228" s="4"/>
      <c r="Y1228" s="8"/>
      <c r="Z1228" s="8"/>
      <c r="AA1228" s="8"/>
      <c r="AB1228" s="7"/>
      <c r="AD1228" s="8"/>
    </row>
    <row r="1229" spans="1:30">
      <c r="A1229" s="4"/>
      <c r="B1229" s="2"/>
      <c r="C1229" s="2"/>
      <c r="D1229" s="4"/>
      <c r="E1229" s="2"/>
      <c r="F1229" s="2"/>
      <c r="G1229" s="2"/>
      <c r="H1229" s="2"/>
      <c r="I1229" s="4"/>
      <c r="J1229" s="2"/>
      <c r="K1229" s="2"/>
      <c r="L1229" s="2"/>
      <c r="M1229" s="2"/>
      <c r="N1229" s="2"/>
      <c r="O1229" s="2"/>
      <c r="P1229" s="2"/>
      <c r="Q1229" s="5"/>
      <c r="R1229" s="5"/>
      <c r="S1229" s="5"/>
      <c r="T1229" s="5"/>
      <c r="U1229" s="4"/>
      <c r="V1229" s="2"/>
      <c r="W1229" s="5"/>
      <c r="X1229" s="4"/>
      <c r="Y1229" s="8"/>
      <c r="Z1229" s="8"/>
      <c r="AA1229" s="8"/>
      <c r="AB1229" s="7"/>
      <c r="AD1229" s="8"/>
    </row>
    <row r="1230" spans="1:30">
      <c r="A1230" s="4"/>
      <c r="B1230" s="2"/>
      <c r="C1230" s="2"/>
      <c r="D1230" s="4"/>
      <c r="E1230" s="2"/>
      <c r="F1230" s="2"/>
      <c r="G1230" s="2"/>
      <c r="H1230" s="2"/>
      <c r="I1230" s="4"/>
      <c r="J1230" s="2"/>
      <c r="K1230" s="2"/>
      <c r="L1230" s="2"/>
      <c r="M1230" s="2"/>
      <c r="N1230" s="2"/>
      <c r="O1230" s="2"/>
      <c r="P1230" s="2"/>
      <c r="Q1230" s="5"/>
      <c r="R1230" s="5"/>
      <c r="S1230" s="5"/>
      <c r="T1230" s="5"/>
      <c r="U1230" s="4"/>
      <c r="V1230" s="2"/>
      <c r="W1230" s="5"/>
      <c r="X1230" s="4"/>
      <c r="Y1230" s="8"/>
      <c r="Z1230" s="8"/>
      <c r="AA1230" s="8"/>
      <c r="AB1230" s="7"/>
      <c r="AD1230" s="8"/>
    </row>
    <row r="1231" spans="1:30">
      <c r="A1231" s="4"/>
      <c r="B1231" s="2"/>
      <c r="C1231" s="2"/>
      <c r="D1231" s="4"/>
      <c r="E1231" s="2"/>
      <c r="F1231" s="2"/>
      <c r="G1231" s="2"/>
      <c r="H1231" s="2"/>
      <c r="I1231" s="4"/>
      <c r="J1231" s="2"/>
      <c r="K1231" s="2"/>
      <c r="L1231" s="2"/>
      <c r="M1231" s="2"/>
      <c r="N1231" s="2"/>
      <c r="O1231" s="2"/>
      <c r="P1231" s="2"/>
      <c r="Q1231" s="5"/>
      <c r="R1231" s="5"/>
      <c r="S1231" s="5"/>
      <c r="T1231" s="5"/>
      <c r="U1231" s="4"/>
      <c r="V1231" s="2"/>
      <c r="W1231" s="5"/>
      <c r="X1231" s="4"/>
      <c r="Y1231" s="8"/>
      <c r="Z1231" s="8"/>
      <c r="AA1231" s="8"/>
      <c r="AB1231" s="7"/>
      <c r="AD1231" s="8"/>
    </row>
    <row r="1232" spans="1:30">
      <c r="A1232" s="4"/>
      <c r="B1232" s="2"/>
      <c r="C1232" s="2"/>
      <c r="D1232" s="4"/>
      <c r="E1232" s="2"/>
      <c r="F1232" s="2"/>
      <c r="G1232" s="2"/>
      <c r="H1232" s="2"/>
      <c r="I1232" s="4"/>
      <c r="J1232" s="2"/>
      <c r="K1232" s="2"/>
      <c r="L1232" s="2"/>
      <c r="M1232" s="2"/>
      <c r="N1232" s="2"/>
      <c r="O1232" s="2"/>
      <c r="P1232" s="2"/>
      <c r="Q1232" s="5"/>
      <c r="R1232" s="5"/>
      <c r="S1232" s="5"/>
      <c r="T1232" s="5"/>
      <c r="U1232" s="4"/>
      <c r="V1232" s="2"/>
      <c r="W1232" s="5"/>
      <c r="X1232" s="4"/>
      <c r="Y1232" s="8"/>
      <c r="Z1232" s="8"/>
      <c r="AA1232" s="8"/>
      <c r="AB1232" s="7"/>
      <c r="AD1232" s="8"/>
    </row>
    <row r="1233" spans="1:30">
      <c r="A1233" s="4"/>
      <c r="B1233" s="2"/>
      <c r="C1233" s="2"/>
      <c r="D1233" s="4"/>
      <c r="E1233" s="2"/>
      <c r="F1233" s="2"/>
      <c r="G1233" s="2"/>
      <c r="H1233" s="2"/>
      <c r="I1233" s="4"/>
      <c r="J1233" s="2"/>
      <c r="K1233" s="2"/>
      <c r="L1233" s="2"/>
      <c r="M1233" s="2"/>
      <c r="N1233" s="2"/>
      <c r="O1233" s="2"/>
      <c r="P1233" s="2"/>
      <c r="Q1233" s="5"/>
      <c r="R1233" s="5"/>
      <c r="S1233" s="5"/>
      <c r="T1233" s="5"/>
      <c r="U1233" s="4"/>
      <c r="V1233" s="2"/>
      <c r="W1233" s="5"/>
      <c r="X1233" s="4"/>
      <c r="Y1233" s="8"/>
      <c r="Z1233" s="8"/>
      <c r="AA1233" s="8"/>
      <c r="AB1233" s="7"/>
      <c r="AD1233" s="8"/>
    </row>
    <row r="1234" spans="1:30">
      <c r="A1234" s="4"/>
      <c r="B1234" s="2"/>
      <c r="C1234" s="2"/>
      <c r="D1234" s="4"/>
      <c r="E1234" s="2"/>
      <c r="F1234" s="2"/>
      <c r="G1234" s="2"/>
      <c r="H1234" s="2"/>
      <c r="I1234" s="4"/>
      <c r="J1234" s="2"/>
      <c r="K1234" s="2"/>
      <c r="L1234" s="2"/>
      <c r="M1234" s="2"/>
      <c r="N1234" s="2"/>
      <c r="O1234" s="2"/>
      <c r="P1234" s="2"/>
      <c r="Q1234" s="5"/>
      <c r="R1234" s="5"/>
      <c r="S1234" s="5"/>
      <c r="T1234" s="5"/>
      <c r="U1234" s="4"/>
      <c r="V1234" s="2"/>
      <c r="W1234" s="5"/>
      <c r="X1234" s="4"/>
      <c r="Y1234" s="8"/>
      <c r="Z1234" s="8"/>
      <c r="AA1234" s="8"/>
      <c r="AB1234" s="7"/>
      <c r="AD1234" s="8"/>
    </row>
    <row r="1235" spans="1:30">
      <c r="A1235" s="4"/>
      <c r="B1235" s="2"/>
      <c r="C1235" s="2"/>
      <c r="D1235" s="4"/>
      <c r="E1235" s="2"/>
      <c r="F1235" s="2"/>
      <c r="G1235" s="2"/>
      <c r="H1235" s="2"/>
      <c r="I1235" s="4"/>
      <c r="J1235" s="2"/>
      <c r="K1235" s="2"/>
      <c r="L1235" s="2"/>
      <c r="M1235" s="2"/>
      <c r="N1235" s="2"/>
      <c r="O1235" s="2"/>
      <c r="P1235" s="2"/>
      <c r="Q1235" s="5"/>
      <c r="R1235" s="5"/>
      <c r="S1235" s="5"/>
      <c r="T1235" s="5"/>
      <c r="U1235" s="4"/>
      <c r="V1235" s="2"/>
      <c r="W1235" s="5"/>
      <c r="X1235" s="4"/>
      <c r="Y1235" s="8"/>
      <c r="Z1235" s="8"/>
      <c r="AA1235" s="8"/>
      <c r="AB1235" s="7"/>
      <c r="AD1235" s="8"/>
    </row>
    <row r="1236" spans="1:30">
      <c r="A1236" s="4"/>
      <c r="B1236" s="2"/>
      <c r="C1236" s="2"/>
      <c r="D1236" s="4"/>
      <c r="E1236" s="2"/>
      <c r="F1236" s="2"/>
      <c r="G1236" s="2"/>
      <c r="H1236" s="2"/>
      <c r="I1236" s="4"/>
      <c r="J1236" s="2"/>
      <c r="K1236" s="2"/>
      <c r="L1236" s="2"/>
      <c r="M1236" s="2"/>
      <c r="N1236" s="2"/>
      <c r="O1236" s="2"/>
      <c r="P1236" s="2"/>
      <c r="Q1236" s="5"/>
      <c r="R1236" s="5"/>
      <c r="S1236" s="5"/>
      <c r="T1236" s="5"/>
      <c r="U1236" s="4"/>
      <c r="V1236" s="2"/>
      <c r="W1236" s="5"/>
      <c r="X1236" s="4"/>
      <c r="Y1236" s="8"/>
      <c r="Z1236" s="8"/>
      <c r="AA1236" s="8"/>
      <c r="AB1236" s="7"/>
      <c r="AD1236" s="8"/>
    </row>
    <row r="1237" spans="1:30">
      <c r="A1237" s="4"/>
      <c r="B1237" s="2"/>
      <c r="C1237" s="2"/>
      <c r="D1237" s="4"/>
      <c r="E1237" s="2"/>
      <c r="F1237" s="2"/>
      <c r="G1237" s="2"/>
      <c r="H1237" s="2"/>
      <c r="I1237" s="4"/>
      <c r="J1237" s="2"/>
      <c r="K1237" s="2"/>
      <c r="L1237" s="2"/>
      <c r="M1237" s="2"/>
      <c r="N1237" s="2"/>
      <c r="O1237" s="2"/>
      <c r="P1237" s="2"/>
      <c r="Q1237" s="5"/>
      <c r="R1237" s="5"/>
      <c r="S1237" s="5"/>
      <c r="T1237" s="5"/>
      <c r="U1237" s="4"/>
      <c r="V1237" s="2"/>
      <c r="W1237" s="5"/>
      <c r="X1237" s="4"/>
      <c r="Y1237" s="8"/>
      <c r="Z1237" s="8"/>
      <c r="AA1237" s="8"/>
      <c r="AB1237" s="7"/>
      <c r="AD1237" s="8"/>
    </row>
    <row r="1238" spans="1:30">
      <c r="A1238" s="4"/>
      <c r="B1238" s="2"/>
      <c r="C1238" s="2"/>
      <c r="D1238" s="4"/>
      <c r="E1238" s="2"/>
      <c r="F1238" s="2"/>
      <c r="G1238" s="2"/>
      <c r="H1238" s="2"/>
      <c r="I1238" s="4"/>
      <c r="J1238" s="2"/>
      <c r="K1238" s="2"/>
      <c r="L1238" s="2"/>
      <c r="M1238" s="2"/>
      <c r="N1238" s="2"/>
      <c r="O1238" s="2"/>
      <c r="P1238" s="2"/>
      <c r="Q1238" s="5"/>
      <c r="R1238" s="5"/>
      <c r="S1238" s="5"/>
      <c r="T1238" s="5"/>
      <c r="U1238" s="4"/>
      <c r="V1238" s="2"/>
      <c r="W1238" s="5"/>
      <c r="X1238" s="4"/>
      <c r="Y1238" s="8"/>
      <c r="Z1238" s="8"/>
      <c r="AA1238" s="8"/>
      <c r="AB1238" s="7"/>
      <c r="AD1238" s="8"/>
    </row>
    <row r="1239" spans="1:30">
      <c r="A1239" s="4"/>
      <c r="B1239" s="2"/>
      <c r="C1239" s="2"/>
      <c r="D1239" s="4"/>
      <c r="E1239" s="2"/>
      <c r="F1239" s="2"/>
      <c r="G1239" s="2"/>
      <c r="H1239" s="2"/>
      <c r="I1239" s="4"/>
      <c r="J1239" s="2"/>
      <c r="K1239" s="2"/>
      <c r="L1239" s="2"/>
      <c r="M1239" s="2"/>
      <c r="N1239" s="2"/>
      <c r="O1239" s="2"/>
      <c r="P1239" s="2"/>
      <c r="Q1239" s="5"/>
      <c r="R1239" s="5"/>
      <c r="S1239" s="5"/>
      <c r="T1239" s="5"/>
      <c r="U1239" s="4"/>
      <c r="V1239" s="2"/>
      <c r="W1239" s="5"/>
      <c r="X1239" s="4"/>
      <c r="Y1239" s="8"/>
      <c r="Z1239" s="8"/>
      <c r="AA1239" s="8"/>
      <c r="AB1239" s="7"/>
      <c r="AD1239" s="8"/>
    </row>
    <row r="1240" spans="1:30">
      <c r="A1240" s="4"/>
      <c r="B1240" s="2"/>
      <c r="C1240" s="2"/>
      <c r="D1240" s="4"/>
      <c r="E1240" s="2"/>
      <c r="F1240" s="2"/>
      <c r="G1240" s="2"/>
      <c r="H1240" s="2"/>
      <c r="I1240" s="4"/>
      <c r="J1240" s="2"/>
      <c r="K1240" s="2"/>
      <c r="L1240" s="2"/>
      <c r="M1240" s="2"/>
      <c r="N1240" s="2"/>
      <c r="O1240" s="2"/>
      <c r="P1240" s="2"/>
      <c r="Q1240" s="5"/>
      <c r="R1240" s="5"/>
      <c r="S1240" s="5"/>
      <c r="T1240" s="5"/>
      <c r="U1240" s="4"/>
      <c r="V1240" s="2"/>
      <c r="W1240" s="5"/>
      <c r="X1240" s="4"/>
      <c r="Y1240" s="8"/>
      <c r="Z1240" s="8"/>
      <c r="AA1240" s="8"/>
      <c r="AB1240" s="7"/>
      <c r="AD1240" s="8"/>
    </row>
    <row r="1241" spans="1:30">
      <c r="A1241" s="4"/>
      <c r="B1241" s="2"/>
      <c r="C1241" s="2"/>
      <c r="D1241" s="4"/>
      <c r="E1241" s="2"/>
      <c r="F1241" s="2"/>
      <c r="G1241" s="2"/>
      <c r="H1241" s="2"/>
      <c r="I1241" s="4"/>
      <c r="J1241" s="2"/>
      <c r="K1241" s="2"/>
      <c r="L1241" s="2"/>
      <c r="M1241" s="2"/>
      <c r="N1241" s="2"/>
      <c r="O1241" s="2"/>
      <c r="P1241" s="2"/>
      <c r="Q1241" s="5"/>
      <c r="R1241" s="5"/>
      <c r="S1241" s="5"/>
      <c r="T1241" s="5"/>
      <c r="U1241" s="4"/>
      <c r="V1241" s="2"/>
      <c r="W1241" s="5"/>
      <c r="X1241" s="4"/>
      <c r="Y1241" s="8"/>
      <c r="Z1241" s="8"/>
      <c r="AA1241" s="8"/>
      <c r="AB1241" s="7"/>
      <c r="AD1241" s="8"/>
    </row>
    <row r="1242" spans="1:30">
      <c r="A1242" s="4"/>
      <c r="B1242" s="2"/>
      <c r="C1242" s="2"/>
      <c r="D1242" s="4"/>
      <c r="E1242" s="2"/>
      <c r="F1242" s="2"/>
      <c r="G1242" s="2"/>
      <c r="H1242" s="2"/>
      <c r="I1242" s="4"/>
      <c r="J1242" s="2"/>
      <c r="K1242" s="2"/>
      <c r="L1242" s="2"/>
      <c r="M1242" s="2"/>
      <c r="N1242" s="2"/>
      <c r="O1242" s="2"/>
      <c r="P1242" s="2"/>
      <c r="Q1242" s="5"/>
      <c r="R1242" s="5"/>
      <c r="S1242" s="5"/>
      <c r="T1242" s="5"/>
      <c r="U1242" s="4"/>
      <c r="V1242" s="2"/>
      <c r="W1242" s="5"/>
      <c r="X1242" s="4"/>
      <c r="Y1242" s="8"/>
      <c r="Z1242" s="8"/>
      <c r="AA1242" s="8"/>
      <c r="AB1242" s="7"/>
      <c r="AD1242" s="8"/>
    </row>
    <row r="1243" spans="1:30">
      <c r="A1243" s="4"/>
      <c r="B1243" s="2"/>
      <c r="C1243" s="2"/>
      <c r="D1243" s="4"/>
      <c r="E1243" s="2"/>
      <c r="F1243" s="2"/>
      <c r="G1243" s="2"/>
      <c r="H1243" s="2"/>
      <c r="I1243" s="4"/>
      <c r="J1243" s="2"/>
      <c r="K1243" s="2"/>
      <c r="L1243" s="2"/>
      <c r="M1243" s="2"/>
      <c r="N1243" s="2"/>
      <c r="O1243" s="2"/>
      <c r="P1243" s="2"/>
      <c r="Q1243" s="5"/>
      <c r="R1243" s="5"/>
      <c r="S1243" s="5"/>
      <c r="T1243" s="5"/>
      <c r="U1243" s="4"/>
      <c r="V1243" s="2"/>
      <c r="W1243" s="5"/>
      <c r="X1243" s="4"/>
      <c r="Y1243" s="8"/>
      <c r="Z1243" s="8"/>
      <c r="AA1243" s="8"/>
      <c r="AB1243" s="7"/>
      <c r="AD1243" s="8"/>
    </row>
    <row r="1244" spans="1:30">
      <c r="A1244" s="4"/>
      <c r="B1244" s="2"/>
      <c r="C1244" s="2"/>
      <c r="D1244" s="4"/>
      <c r="E1244" s="2"/>
      <c r="F1244" s="2"/>
      <c r="G1244" s="2"/>
      <c r="H1244" s="2"/>
      <c r="I1244" s="4"/>
      <c r="J1244" s="2"/>
      <c r="K1244" s="2"/>
      <c r="L1244" s="2"/>
      <c r="M1244" s="2"/>
      <c r="N1244" s="2"/>
      <c r="O1244" s="2"/>
      <c r="P1244" s="2"/>
      <c r="Q1244" s="5"/>
      <c r="R1244" s="5"/>
      <c r="S1244" s="5"/>
      <c r="T1244" s="5"/>
      <c r="U1244" s="4"/>
      <c r="V1244" s="2"/>
      <c r="W1244" s="5"/>
      <c r="X1244" s="4"/>
      <c r="Y1244" s="8"/>
      <c r="Z1244" s="8"/>
      <c r="AA1244" s="8"/>
      <c r="AB1244" s="7"/>
      <c r="AD1244" s="8"/>
    </row>
    <row r="1245" spans="1:30">
      <c r="A1245" s="4"/>
      <c r="B1245" s="2"/>
      <c r="C1245" s="2"/>
      <c r="D1245" s="4"/>
      <c r="E1245" s="2"/>
      <c r="F1245" s="2"/>
      <c r="G1245" s="2"/>
      <c r="H1245" s="2"/>
      <c r="I1245" s="4"/>
      <c r="J1245" s="2"/>
      <c r="K1245" s="2"/>
      <c r="L1245" s="2"/>
      <c r="M1245" s="2"/>
      <c r="N1245" s="2"/>
      <c r="O1245" s="2"/>
      <c r="P1245" s="2"/>
      <c r="Q1245" s="5"/>
      <c r="R1245" s="5"/>
      <c r="S1245" s="5"/>
      <c r="T1245" s="5"/>
      <c r="U1245" s="4"/>
      <c r="V1245" s="2"/>
      <c r="W1245" s="5"/>
      <c r="X1245" s="4"/>
      <c r="Y1245" s="8"/>
      <c r="Z1245" s="8"/>
      <c r="AA1245" s="8"/>
      <c r="AB1245" s="7"/>
      <c r="AD1245" s="8"/>
    </row>
    <row r="1246" spans="1:30">
      <c r="A1246" s="4"/>
      <c r="B1246" s="2"/>
      <c r="C1246" s="2"/>
      <c r="D1246" s="4"/>
      <c r="E1246" s="2"/>
      <c r="F1246" s="2"/>
      <c r="G1246" s="2"/>
      <c r="H1246" s="2"/>
      <c r="I1246" s="4"/>
      <c r="J1246" s="2"/>
      <c r="K1246" s="2"/>
      <c r="L1246" s="2"/>
      <c r="M1246" s="2"/>
      <c r="N1246" s="2"/>
      <c r="O1246" s="2"/>
      <c r="P1246" s="2"/>
      <c r="Q1246" s="5"/>
      <c r="R1246" s="5"/>
      <c r="S1246" s="5"/>
      <c r="T1246" s="5"/>
      <c r="U1246" s="4"/>
      <c r="V1246" s="2"/>
      <c r="W1246" s="5"/>
      <c r="X1246" s="4"/>
      <c r="Y1246" s="8"/>
      <c r="Z1246" s="8"/>
      <c r="AA1246" s="8"/>
      <c r="AB1246" s="7"/>
      <c r="AD1246" s="8"/>
    </row>
    <row r="1247" spans="1:30">
      <c r="A1247" s="4"/>
      <c r="B1247" s="2"/>
      <c r="C1247" s="2"/>
      <c r="D1247" s="4"/>
      <c r="E1247" s="2"/>
      <c r="F1247" s="2"/>
      <c r="G1247" s="2"/>
      <c r="H1247" s="2"/>
      <c r="I1247" s="4"/>
      <c r="J1247" s="2"/>
      <c r="K1247" s="2"/>
      <c r="L1247" s="2"/>
      <c r="M1247" s="2"/>
      <c r="N1247" s="2"/>
      <c r="O1247" s="2"/>
      <c r="P1247" s="2"/>
      <c r="Q1247" s="5"/>
      <c r="R1247" s="5"/>
      <c r="S1247" s="5"/>
      <c r="T1247" s="5"/>
      <c r="U1247" s="4"/>
      <c r="V1247" s="2"/>
      <c r="W1247" s="5"/>
      <c r="X1247" s="4"/>
    </row>
    <row r="1248" spans="1:30">
      <c r="A1248" s="4"/>
      <c r="B1248" s="2"/>
      <c r="C1248" s="2"/>
      <c r="D1248" s="4"/>
      <c r="E1248" s="2"/>
      <c r="F1248" s="2"/>
      <c r="G1248" s="2"/>
      <c r="H1248" s="2"/>
      <c r="I1248" s="4"/>
      <c r="J1248" s="2"/>
      <c r="K1248" s="2"/>
      <c r="L1248" s="2"/>
      <c r="M1248" s="2"/>
      <c r="N1248" s="2"/>
      <c r="O1248" s="2"/>
      <c r="P1248" s="2"/>
      <c r="Q1248" s="5"/>
      <c r="R1248" s="5"/>
      <c r="S1248" s="5"/>
      <c r="T1248" s="5"/>
      <c r="U1248" s="4"/>
      <c r="V1248" s="2"/>
      <c r="W1248" s="5"/>
      <c r="X1248" s="4"/>
    </row>
    <row r="1249" spans="1:24">
      <c r="A1249" s="4"/>
      <c r="B1249" s="2"/>
      <c r="C1249" s="2"/>
      <c r="D1249" s="4"/>
      <c r="E1249" s="2"/>
      <c r="F1249" s="2"/>
      <c r="G1249" s="2"/>
      <c r="H1249" s="2"/>
      <c r="I1249" s="4"/>
      <c r="J1249" s="2"/>
      <c r="K1249" s="2"/>
      <c r="L1249" s="2"/>
      <c r="M1249" s="2"/>
      <c r="N1249" s="2"/>
      <c r="O1249" s="2"/>
      <c r="P1249" s="2"/>
      <c r="Q1249" s="5"/>
      <c r="R1249" s="5"/>
      <c r="S1249" s="5"/>
      <c r="T1249" s="5"/>
      <c r="U1249" s="4"/>
      <c r="V1249" s="2"/>
      <c r="W1249" s="5"/>
      <c r="X1249" s="4"/>
    </row>
    <row r="1250" spans="1:24">
      <c r="A1250" s="4"/>
      <c r="B1250" s="2"/>
      <c r="C1250" s="2"/>
      <c r="D1250" s="4"/>
      <c r="E1250" s="2"/>
      <c r="F1250" s="2"/>
      <c r="G1250" s="2"/>
      <c r="H1250" s="2"/>
      <c r="I1250" s="4"/>
      <c r="J1250" s="2"/>
      <c r="K1250" s="2"/>
      <c r="L1250" s="2"/>
      <c r="M1250" s="2"/>
      <c r="N1250" s="2"/>
      <c r="O1250" s="2"/>
      <c r="P1250" s="2"/>
      <c r="Q1250" s="5"/>
      <c r="R1250" s="5"/>
      <c r="S1250" s="5"/>
      <c r="T1250" s="5"/>
      <c r="U1250" s="4"/>
      <c r="V1250" s="2"/>
      <c r="W1250" s="5"/>
      <c r="X1250" s="4"/>
    </row>
    <row r="1251" spans="1:24">
      <c r="A1251" s="4"/>
      <c r="B1251" s="2"/>
      <c r="C1251" s="2"/>
      <c r="D1251" s="4"/>
      <c r="E1251" s="2"/>
      <c r="F1251" s="2"/>
      <c r="G1251" s="2"/>
      <c r="H1251" s="2"/>
      <c r="I1251" s="4"/>
      <c r="J1251" s="2"/>
      <c r="K1251" s="2"/>
      <c r="L1251" s="2"/>
      <c r="M1251" s="2"/>
      <c r="N1251" s="2"/>
      <c r="O1251" s="2"/>
      <c r="P1251" s="2"/>
      <c r="Q1251" s="5"/>
      <c r="R1251" s="5"/>
      <c r="S1251" s="5"/>
      <c r="T1251" s="5"/>
      <c r="U1251" s="4"/>
      <c r="V1251" s="2"/>
      <c r="W1251" s="5"/>
      <c r="X1251" s="4"/>
    </row>
    <row r="1252" spans="1:24">
      <c r="A1252" s="4"/>
      <c r="B1252" s="2"/>
      <c r="C1252" s="2"/>
      <c r="D1252" s="4"/>
      <c r="E1252" s="2"/>
      <c r="F1252" s="2"/>
      <c r="G1252" s="2"/>
      <c r="H1252" s="2"/>
      <c r="I1252" s="4"/>
      <c r="J1252" s="2"/>
      <c r="K1252" s="2"/>
      <c r="L1252" s="2"/>
      <c r="M1252" s="2"/>
      <c r="N1252" s="2"/>
      <c r="O1252" s="2"/>
      <c r="P1252" s="2"/>
      <c r="Q1252" s="5"/>
      <c r="R1252" s="5"/>
      <c r="S1252" s="5"/>
      <c r="T1252" s="5"/>
      <c r="U1252" s="4"/>
      <c r="V1252" s="2"/>
      <c r="W1252" s="5"/>
      <c r="X1252" s="4"/>
    </row>
    <row r="1253" spans="1:24">
      <c r="A1253" s="4"/>
      <c r="B1253" s="2"/>
      <c r="C1253" s="2"/>
      <c r="D1253" s="4"/>
      <c r="E1253" s="2"/>
      <c r="F1253" s="2"/>
      <c r="G1253" s="2"/>
      <c r="H1253" s="2"/>
      <c r="I1253" s="4"/>
      <c r="J1253" s="2"/>
      <c r="K1253" s="2"/>
      <c r="L1253" s="2"/>
      <c r="M1253" s="2"/>
      <c r="N1253" s="2"/>
      <c r="O1253" s="2"/>
      <c r="P1253" s="2"/>
      <c r="Q1253" s="5"/>
      <c r="R1253" s="5"/>
      <c r="S1253" s="5"/>
      <c r="T1253" s="5"/>
      <c r="U1253" s="4"/>
      <c r="V1253" s="2"/>
      <c r="W1253" s="5"/>
      <c r="X1253" s="4"/>
    </row>
    <row r="1254" spans="1:24">
      <c r="A1254" s="4"/>
      <c r="B1254" s="2"/>
      <c r="C1254" s="2"/>
      <c r="D1254" s="4"/>
      <c r="E1254" s="2"/>
      <c r="F1254" s="2"/>
      <c r="G1254" s="2"/>
      <c r="H1254" s="2"/>
      <c r="I1254" s="4"/>
      <c r="J1254" s="2"/>
      <c r="K1254" s="2"/>
      <c r="L1254" s="2"/>
      <c r="M1254" s="2"/>
      <c r="N1254" s="2"/>
      <c r="O1254" s="2"/>
      <c r="P1254" s="2"/>
      <c r="Q1254" s="5"/>
      <c r="R1254" s="5"/>
      <c r="S1254" s="5"/>
      <c r="T1254" s="5"/>
      <c r="U1254" s="4"/>
      <c r="V1254" s="2"/>
      <c r="W1254" s="5"/>
      <c r="X1254" s="4"/>
    </row>
    <row r="1255" spans="1:24">
      <c r="A1255" s="4"/>
      <c r="B1255" s="2"/>
      <c r="C1255" s="2"/>
      <c r="D1255" s="4"/>
      <c r="E1255" s="2"/>
      <c r="F1255" s="2"/>
      <c r="G1255" s="2"/>
      <c r="H1255" s="2"/>
      <c r="I1255" s="4"/>
      <c r="J1255" s="2"/>
      <c r="K1255" s="2"/>
      <c r="L1255" s="2"/>
      <c r="M1255" s="2"/>
      <c r="N1255" s="2"/>
      <c r="O1255" s="2"/>
      <c r="P1255" s="2"/>
      <c r="Q1255" s="5"/>
      <c r="R1255" s="5"/>
      <c r="S1255" s="5"/>
      <c r="T1255" s="5"/>
      <c r="U1255" s="4"/>
      <c r="V1255" s="2"/>
      <c r="W1255" s="5"/>
      <c r="X1255" s="4"/>
    </row>
    <row r="1256" spans="1:24">
      <c r="A1256" s="4"/>
      <c r="B1256" s="2"/>
      <c r="C1256" s="2"/>
      <c r="D1256" s="4"/>
      <c r="E1256" s="2"/>
      <c r="F1256" s="2"/>
      <c r="G1256" s="2"/>
      <c r="H1256" s="2"/>
      <c r="I1256" s="4"/>
      <c r="J1256" s="2"/>
      <c r="K1256" s="2"/>
      <c r="L1256" s="2"/>
      <c r="M1256" s="2"/>
      <c r="N1256" s="2"/>
      <c r="O1256" s="2"/>
      <c r="P1256" s="2"/>
      <c r="Q1256" s="5"/>
      <c r="R1256" s="5"/>
      <c r="S1256" s="5"/>
      <c r="T1256" s="5"/>
      <c r="U1256" s="4"/>
      <c r="V1256" s="2"/>
      <c r="W1256" s="5"/>
      <c r="X1256" s="4"/>
    </row>
    <row r="1257" spans="1:24">
      <c r="A1257" s="4"/>
      <c r="B1257" s="2"/>
      <c r="C1257" s="2"/>
      <c r="D1257" s="4"/>
      <c r="E1257" s="2"/>
      <c r="F1257" s="2"/>
      <c r="G1257" s="2"/>
      <c r="H1257" s="2"/>
      <c r="I1257" s="4"/>
      <c r="J1257" s="2"/>
      <c r="K1257" s="2"/>
      <c r="L1257" s="2"/>
      <c r="M1257" s="2"/>
      <c r="N1257" s="2"/>
      <c r="O1257" s="2"/>
      <c r="P1257" s="2"/>
      <c r="Q1257" s="5"/>
      <c r="R1257" s="5"/>
      <c r="S1257" s="5"/>
      <c r="T1257" s="5"/>
      <c r="U1257" s="4"/>
      <c r="V1257" s="2"/>
      <c r="W1257" s="5"/>
      <c r="X1257" s="4"/>
    </row>
    <row r="1258" spans="1:24">
      <c r="A1258" s="4"/>
      <c r="B1258" s="2"/>
      <c r="C1258" s="2"/>
      <c r="D1258" s="4"/>
      <c r="E1258" s="2"/>
      <c r="F1258" s="2"/>
      <c r="G1258" s="2"/>
      <c r="H1258" s="2"/>
      <c r="I1258" s="4"/>
      <c r="J1258" s="2"/>
      <c r="K1258" s="2"/>
      <c r="L1258" s="2"/>
      <c r="M1258" s="2"/>
      <c r="N1258" s="2"/>
      <c r="O1258" s="2"/>
      <c r="P1258" s="2"/>
      <c r="Q1258" s="5"/>
      <c r="R1258" s="5"/>
      <c r="S1258" s="5"/>
      <c r="T1258" s="5"/>
      <c r="U1258" s="4"/>
      <c r="V1258" s="2"/>
      <c r="W1258" s="5"/>
      <c r="X1258" s="4"/>
    </row>
    <row r="1259" spans="1:24">
      <c r="A1259" s="4"/>
      <c r="B1259" s="2"/>
      <c r="C1259" s="2"/>
      <c r="D1259" s="4"/>
      <c r="E1259" s="2"/>
      <c r="F1259" s="2"/>
      <c r="G1259" s="2"/>
      <c r="H1259" s="2"/>
      <c r="I1259" s="4"/>
      <c r="J1259" s="2"/>
      <c r="K1259" s="2"/>
      <c r="L1259" s="2"/>
      <c r="M1259" s="2"/>
      <c r="N1259" s="2"/>
      <c r="O1259" s="2"/>
      <c r="P1259" s="2"/>
      <c r="Q1259" s="5"/>
      <c r="R1259" s="5"/>
      <c r="S1259" s="5"/>
      <c r="T1259" s="5"/>
      <c r="U1259" s="4"/>
      <c r="V1259" s="2"/>
      <c r="W1259" s="5"/>
      <c r="X1259" s="4"/>
    </row>
    <row r="1260" spans="1:24">
      <c r="A1260" s="4"/>
      <c r="B1260" s="2"/>
      <c r="C1260" s="2"/>
      <c r="D1260" s="4"/>
      <c r="E1260" s="2"/>
      <c r="F1260" s="2"/>
      <c r="G1260" s="2"/>
      <c r="H1260" s="2"/>
      <c r="I1260" s="4"/>
      <c r="J1260" s="2"/>
      <c r="K1260" s="2"/>
      <c r="L1260" s="2"/>
      <c r="M1260" s="2"/>
      <c r="N1260" s="2"/>
      <c r="O1260" s="2"/>
      <c r="P1260" s="2"/>
      <c r="Q1260" s="5"/>
      <c r="R1260" s="5"/>
      <c r="S1260" s="5"/>
      <c r="T1260" s="5"/>
      <c r="U1260" s="4"/>
      <c r="V1260" s="2"/>
      <c r="W1260" s="5"/>
      <c r="X1260" s="4"/>
    </row>
    <row r="1261" spans="1:24">
      <c r="A1261" s="4"/>
      <c r="B1261" s="2"/>
      <c r="C1261" s="2"/>
      <c r="D1261" s="4"/>
      <c r="E1261" s="2"/>
      <c r="F1261" s="2"/>
      <c r="G1261" s="2"/>
      <c r="H1261" s="2"/>
      <c r="I1261" s="4"/>
      <c r="J1261" s="2"/>
      <c r="K1261" s="2"/>
      <c r="L1261" s="2"/>
      <c r="M1261" s="2"/>
      <c r="N1261" s="2"/>
      <c r="O1261" s="2"/>
      <c r="P1261" s="2"/>
      <c r="Q1261" s="5"/>
      <c r="R1261" s="5"/>
      <c r="S1261" s="5"/>
      <c r="T1261" s="5"/>
      <c r="U1261" s="4"/>
      <c r="V1261" s="2"/>
      <c r="W1261" s="5"/>
      <c r="X1261" s="4"/>
    </row>
    <row r="1262" spans="1:24">
      <c r="A1262" s="4"/>
      <c r="B1262" s="2"/>
      <c r="C1262" s="2"/>
      <c r="D1262" s="4"/>
      <c r="E1262" s="2"/>
      <c r="F1262" s="2"/>
      <c r="G1262" s="2"/>
      <c r="H1262" s="2"/>
      <c r="I1262" s="4"/>
      <c r="J1262" s="2"/>
      <c r="K1262" s="2"/>
      <c r="L1262" s="2"/>
      <c r="M1262" s="2"/>
      <c r="N1262" s="2"/>
      <c r="O1262" s="2"/>
      <c r="P1262" s="2"/>
      <c r="Q1262" s="5"/>
      <c r="R1262" s="5"/>
      <c r="S1262" s="5"/>
      <c r="T1262" s="5"/>
      <c r="U1262" s="4"/>
      <c r="V1262" s="2"/>
      <c r="W1262" s="5"/>
      <c r="X1262" s="4"/>
    </row>
    <row r="1263" spans="1:24">
      <c r="A1263" s="4"/>
      <c r="B1263" s="2"/>
      <c r="C1263" s="2"/>
      <c r="D1263" s="4"/>
      <c r="E1263" s="2"/>
      <c r="F1263" s="2"/>
      <c r="G1263" s="2"/>
      <c r="H1263" s="2"/>
      <c r="I1263" s="4"/>
      <c r="J1263" s="2"/>
      <c r="K1263" s="2"/>
      <c r="L1263" s="2"/>
      <c r="M1263" s="2"/>
      <c r="N1263" s="2"/>
      <c r="O1263" s="2"/>
      <c r="P1263" s="2"/>
      <c r="Q1263" s="5"/>
      <c r="R1263" s="5"/>
      <c r="S1263" s="5"/>
      <c r="T1263" s="5"/>
      <c r="U1263" s="4"/>
      <c r="V1263" s="2"/>
      <c r="W1263" s="5"/>
      <c r="X1263" s="4"/>
    </row>
    <row r="1264" spans="1:24">
      <c r="A1264" s="4"/>
      <c r="B1264" s="2"/>
      <c r="C1264" s="2"/>
      <c r="D1264" s="4"/>
      <c r="E1264" s="2"/>
      <c r="F1264" s="2"/>
      <c r="G1264" s="2"/>
      <c r="H1264" s="2"/>
      <c r="I1264" s="4"/>
      <c r="J1264" s="2"/>
      <c r="K1264" s="2"/>
      <c r="L1264" s="2"/>
      <c r="M1264" s="2"/>
      <c r="N1264" s="2"/>
      <c r="O1264" s="2"/>
      <c r="P1264" s="2"/>
      <c r="Q1264" s="5"/>
      <c r="R1264" s="5"/>
      <c r="S1264" s="5"/>
      <c r="T1264" s="5"/>
      <c r="U1264" s="4"/>
      <c r="V1264" s="2"/>
      <c r="W1264" s="5"/>
      <c r="X1264" s="4"/>
    </row>
    <row r="1265" spans="1:24">
      <c r="A1265" s="4"/>
      <c r="B1265" s="2"/>
      <c r="C1265" s="2"/>
      <c r="D1265" s="4"/>
      <c r="E1265" s="2"/>
      <c r="F1265" s="2"/>
      <c r="G1265" s="2"/>
      <c r="H1265" s="2"/>
      <c r="I1265" s="4"/>
      <c r="J1265" s="2"/>
      <c r="K1265" s="2"/>
      <c r="L1265" s="2"/>
      <c r="M1265" s="2"/>
      <c r="N1265" s="2"/>
      <c r="O1265" s="2"/>
      <c r="P1265" s="2"/>
      <c r="Q1265" s="5"/>
      <c r="R1265" s="5"/>
      <c r="S1265" s="5"/>
      <c r="T1265" s="5"/>
      <c r="U1265" s="4"/>
      <c r="V1265" s="2"/>
      <c r="W1265" s="5"/>
      <c r="X1265" s="4"/>
    </row>
    <row r="1266" spans="1:24">
      <c r="A1266" s="4"/>
      <c r="B1266" s="2"/>
      <c r="C1266" s="2"/>
      <c r="D1266" s="4"/>
      <c r="E1266" s="2"/>
      <c r="F1266" s="2"/>
      <c r="G1266" s="2"/>
      <c r="H1266" s="2"/>
      <c r="I1266" s="4"/>
      <c r="J1266" s="2"/>
      <c r="K1266" s="2"/>
      <c r="L1266" s="2"/>
      <c r="M1266" s="2"/>
      <c r="N1266" s="2"/>
      <c r="O1266" s="2"/>
      <c r="P1266" s="2"/>
      <c r="Q1266" s="5"/>
      <c r="R1266" s="5"/>
      <c r="S1266" s="5"/>
      <c r="T1266" s="5"/>
      <c r="U1266" s="4"/>
      <c r="V1266" s="2"/>
      <c r="W1266" s="5"/>
      <c r="X1266" s="4"/>
    </row>
    <row r="1267" spans="1:24">
      <c r="A1267" s="4"/>
      <c r="B1267" s="2"/>
      <c r="C1267" s="2"/>
      <c r="D1267" s="4"/>
      <c r="E1267" s="2"/>
      <c r="F1267" s="2"/>
      <c r="G1267" s="2"/>
      <c r="H1267" s="2"/>
      <c r="I1267" s="4"/>
      <c r="J1267" s="2"/>
      <c r="K1267" s="2"/>
      <c r="L1267" s="2"/>
      <c r="M1267" s="2"/>
      <c r="N1267" s="2"/>
      <c r="O1267" s="2"/>
      <c r="P1267" s="2"/>
      <c r="Q1267" s="5"/>
      <c r="R1267" s="5"/>
      <c r="S1267" s="5"/>
      <c r="T1267" s="5"/>
      <c r="U1267" s="4"/>
      <c r="V1267" s="2"/>
      <c r="W1267" s="5"/>
      <c r="X1267" s="4"/>
    </row>
    <row r="1268" spans="1:24">
      <c r="A1268" s="4"/>
      <c r="B1268" s="2"/>
      <c r="C1268" s="2"/>
      <c r="D1268" s="4"/>
      <c r="E1268" s="2"/>
      <c r="F1268" s="2"/>
      <c r="G1268" s="2"/>
      <c r="H1268" s="2"/>
      <c r="I1268" s="4"/>
      <c r="J1268" s="2"/>
      <c r="K1268" s="2"/>
      <c r="L1268" s="2"/>
      <c r="M1268" s="2"/>
      <c r="N1268" s="2"/>
      <c r="O1268" s="2"/>
      <c r="P1268" s="2"/>
      <c r="Q1268" s="5"/>
      <c r="R1268" s="5"/>
      <c r="S1268" s="5"/>
      <c r="T1268" s="5"/>
      <c r="U1268" s="4"/>
      <c r="V1268" s="2"/>
      <c r="W1268" s="5"/>
      <c r="X1268" s="4"/>
    </row>
    <row r="1269" spans="1:24">
      <c r="A1269" s="4"/>
      <c r="B1269" s="2"/>
      <c r="C1269" s="2"/>
      <c r="D1269" s="4"/>
      <c r="E1269" s="2"/>
      <c r="F1269" s="2"/>
      <c r="G1269" s="2"/>
      <c r="H1269" s="2"/>
      <c r="I1269" s="4"/>
      <c r="J1269" s="2"/>
      <c r="K1269" s="2"/>
      <c r="L1269" s="2"/>
      <c r="M1269" s="2"/>
      <c r="N1269" s="2"/>
      <c r="O1269" s="2"/>
      <c r="P1269" s="2"/>
      <c r="Q1269" s="5"/>
      <c r="R1269" s="5"/>
      <c r="S1269" s="5"/>
      <c r="T1269" s="5"/>
      <c r="U1269" s="4"/>
      <c r="V1269" s="2"/>
      <c r="W1269" s="5"/>
      <c r="X1269" s="4"/>
    </row>
    <row r="1270" spans="1:24">
      <c r="A1270" s="4"/>
      <c r="B1270" s="2"/>
      <c r="C1270" s="2"/>
      <c r="D1270" s="4"/>
      <c r="E1270" s="2"/>
      <c r="F1270" s="2"/>
      <c r="G1270" s="2"/>
      <c r="H1270" s="2"/>
      <c r="I1270" s="4"/>
      <c r="J1270" s="2"/>
      <c r="K1270" s="2"/>
      <c r="L1270" s="2"/>
      <c r="M1270" s="2"/>
      <c r="N1270" s="2"/>
      <c r="O1270" s="2"/>
      <c r="P1270" s="2"/>
      <c r="Q1270" s="5"/>
      <c r="R1270" s="5"/>
      <c r="S1270" s="5"/>
      <c r="T1270" s="5"/>
      <c r="U1270" s="4"/>
      <c r="V1270" s="2"/>
      <c r="W1270" s="5"/>
      <c r="X1270" s="4"/>
    </row>
    <row r="1271" spans="1:24">
      <c r="A1271" s="4"/>
      <c r="B1271" s="2"/>
      <c r="C1271" s="2"/>
      <c r="D1271" s="4"/>
      <c r="E1271" s="2"/>
      <c r="F1271" s="2"/>
      <c r="G1271" s="2"/>
      <c r="H1271" s="2"/>
      <c r="I1271" s="4"/>
      <c r="J1271" s="2"/>
      <c r="K1271" s="2"/>
      <c r="L1271" s="2"/>
      <c r="M1271" s="2"/>
      <c r="N1271" s="2"/>
      <c r="O1271" s="2"/>
      <c r="P1271" s="2"/>
      <c r="Q1271" s="5"/>
      <c r="R1271" s="5"/>
      <c r="S1271" s="5"/>
      <c r="T1271" s="5"/>
      <c r="U1271" s="4"/>
      <c r="V1271" s="2"/>
      <c r="W1271" s="5"/>
      <c r="X1271" s="4"/>
    </row>
    <row r="1272" spans="1:24">
      <c r="A1272" s="4"/>
      <c r="B1272" s="2"/>
      <c r="C1272" s="2"/>
      <c r="D1272" s="4"/>
      <c r="E1272" s="2"/>
      <c r="F1272" s="2"/>
      <c r="G1272" s="2"/>
      <c r="H1272" s="2"/>
      <c r="I1272" s="4"/>
      <c r="J1272" s="2"/>
      <c r="K1272" s="2"/>
      <c r="L1272" s="2"/>
      <c r="M1272" s="2"/>
      <c r="N1272" s="2"/>
      <c r="O1272" s="2"/>
      <c r="P1272" s="2"/>
      <c r="Q1272" s="5"/>
      <c r="R1272" s="5"/>
      <c r="S1272" s="5"/>
      <c r="T1272" s="5"/>
      <c r="U1272" s="4"/>
      <c r="V1272" s="2"/>
      <c r="W1272" s="5"/>
      <c r="X1272" s="4"/>
    </row>
    <row r="1273" spans="1:24">
      <c r="A1273" s="4"/>
      <c r="B1273" s="2"/>
      <c r="C1273" s="2"/>
      <c r="D1273" s="4"/>
      <c r="E1273" s="2"/>
      <c r="F1273" s="2"/>
      <c r="G1273" s="2"/>
      <c r="H1273" s="2"/>
      <c r="I1273" s="4"/>
      <c r="J1273" s="2"/>
      <c r="K1273" s="2"/>
      <c r="L1273" s="2"/>
      <c r="M1273" s="2"/>
      <c r="N1273" s="2"/>
      <c r="O1273" s="2"/>
      <c r="P1273" s="2"/>
      <c r="Q1273" s="5"/>
      <c r="R1273" s="5"/>
      <c r="S1273" s="5"/>
      <c r="T1273" s="5"/>
      <c r="U1273" s="4"/>
      <c r="V1273" s="2"/>
      <c r="W1273" s="5"/>
      <c r="X1273" s="4"/>
    </row>
    <row r="1274" spans="1:24">
      <c r="A1274" s="4"/>
      <c r="B1274" s="2"/>
      <c r="C1274" s="2"/>
      <c r="D1274" s="4"/>
      <c r="E1274" s="2"/>
      <c r="F1274" s="2"/>
      <c r="G1274" s="2"/>
      <c r="H1274" s="2"/>
      <c r="I1274" s="4"/>
      <c r="J1274" s="2"/>
      <c r="K1274" s="2"/>
      <c r="L1274" s="2"/>
      <c r="M1274" s="2"/>
      <c r="N1274" s="2"/>
      <c r="O1274" s="2"/>
      <c r="P1274" s="2"/>
      <c r="Q1274" s="5"/>
      <c r="R1274" s="5"/>
      <c r="S1274" s="5"/>
      <c r="T1274" s="5"/>
      <c r="U1274" s="4"/>
      <c r="V1274" s="2"/>
      <c r="W1274" s="5"/>
      <c r="X1274" s="4"/>
    </row>
    <row r="1275" spans="1:24">
      <c r="A1275" s="4"/>
      <c r="B1275" s="2"/>
      <c r="C1275" s="2"/>
      <c r="D1275" s="4"/>
      <c r="E1275" s="2"/>
      <c r="F1275" s="2"/>
      <c r="G1275" s="2"/>
      <c r="H1275" s="2"/>
      <c r="I1275" s="4"/>
      <c r="J1275" s="2"/>
      <c r="K1275" s="2"/>
      <c r="L1275" s="2"/>
      <c r="M1275" s="2"/>
      <c r="N1275" s="2"/>
      <c r="O1275" s="2"/>
      <c r="P1275" s="2"/>
      <c r="Q1275" s="5"/>
      <c r="R1275" s="5"/>
      <c r="S1275" s="5"/>
      <c r="T1275" s="5"/>
      <c r="U1275" s="4"/>
      <c r="V1275" s="2"/>
      <c r="W1275" s="5"/>
      <c r="X1275" s="4"/>
    </row>
    <row r="1276" spans="1:24">
      <c r="A1276" s="4"/>
      <c r="B1276" s="2"/>
      <c r="C1276" s="2"/>
      <c r="D1276" s="4"/>
      <c r="E1276" s="2"/>
      <c r="F1276" s="2"/>
      <c r="G1276" s="2"/>
      <c r="H1276" s="2"/>
      <c r="I1276" s="4"/>
      <c r="J1276" s="2"/>
      <c r="K1276" s="2"/>
      <c r="L1276" s="2"/>
      <c r="M1276" s="2"/>
      <c r="N1276" s="2"/>
      <c r="O1276" s="2"/>
      <c r="P1276" s="2"/>
      <c r="Q1276" s="5"/>
      <c r="R1276" s="5"/>
      <c r="S1276" s="5"/>
      <c r="T1276" s="5"/>
      <c r="U1276" s="4"/>
      <c r="V1276" s="2"/>
      <c r="W1276" s="5"/>
      <c r="X1276" s="4"/>
    </row>
    <row r="1277" spans="1:24">
      <c r="A1277" s="4"/>
      <c r="B1277" s="2"/>
      <c r="C1277" s="2"/>
      <c r="D1277" s="4"/>
      <c r="E1277" s="2"/>
      <c r="F1277" s="2"/>
      <c r="G1277" s="2"/>
      <c r="H1277" s="2"/>
      <c r="I1277" s="4"/>
      <c r="J1277" s="2"/>
      <c r="K1277" s="2"/>
      <c r="L1277" s="2"/>
      <c r="M1277" s="2"/>
      <c r="N1277" s="2"/>
      <c r="O1277" s="2"/>
      <c r="P1277" s="2"/>
      <c r="Q1277" s="5"/>
      <c r="R1277" s="5"/>
      <c r="S1277" s="5"/>
      <c r="T1277" s="5"/>
      <c r="U1277" s="4"/>
      <c r="V1277" s="2"/>
      <c r="W1277" s="5"/>
      <c r="X1277" s="4"/>
    </row>
    <row r="1278" spans="1:24">
      <c r="A1278" s="4"/>
      <c r="B1278" s="2"/>
      <c r="C1278" s="2"/>
      <c r="D1278" s="4"/>
      <c r="E1278" s="2"/>
      <c r="F1278" s="2"/>
      <c r="G1278" s="2"/>
      <c r="H1278" s="2"/>
      <c r="I1278" s="4"/>
      <c r="J1278" s="2"/>
      <c r="K1278" s="2"/>
      <c r="L1278" s="2"/>
      <c r="M1278" s="2"/>
      <c r="N1278" s="2"/>
      <c r="O1278" s="2"/>
      <c r="P1278" s="2"/>
      <c r="Q1278" s="5"/>
      <c r="R1278" s="5"/>
      <c r="S1278" s="5"/>
      <c r="T1278" s="5"/>
      <c r="U1278" s="4"/>
      <c r="V1278" s="2"/>
      <c r="W1278" s="5"/>
      <c r="X1278" s="4"/>
    </row>
    <row r="1279" spans="1:24">
      <c r="A1279" s="4"/>
      <c r="B1279" s="2"/>
      <c r="C1279" s="2"/>
      <c r="D1279" s="4"/>
      <c r="E1279" s="2"/>
      <c r="F1279" s="2"/>
      <c r="G1279" s="2"/>
      <c r="H1279" s="2"/>
      <c r="I1279" s="4"/>
      <c r="J1279" s="2"/>
      <c r="K1279" s="2"/>
      <c r="L1279" s="2"/>
      <c r="M1279" s="2"/>
      <c r="N1279" s="2"/>
      <c r="O1279" s="2"/>
      <c r="P1279" s="2"/>
      <c r="Q1279" s="5"/>
      <c r="R1279" s="5"/>
      <c r="S1279" s="5"/>
      <c r="T1279" s="5"/>
      <c r="U1279" s="4"/>
      <c r="V1279" s="2"/>
      <c r="W1279" s="5"/>
      <c r="X1279" s="4"/>
    </row>
    <row r="1280" spans="1:24">
      <c r="A1280" s="4"/>
      <c r="B1280" s="2"/>
      <c r="C1280" s="2"/>
      <c r="D1280" s="4"/>
      <c r="E1280" s="2"/>
      <c r="F1280" s="2"/>
      <c r="G1280" s="2"/>
      <c r="H1280" s="2"/>
      <c r="I1280" s="4"/>
      <c r="J1280" s="2"/>
      <c r="K1280" s="2"/>
      <c r="L1280" s="2"/>
      <c r="M1280" s="2"/>
      <c r="N1280" s="2"/>
      <c r="O1280" s="2"/>
      <c r="P1280" s="2"/>
      <c r="Q1280" s="5"/>
      <c r="R1280" s="5"/>
      <c r="S1280" s="5"/>
      <c r="T1280" s="5"/>
      <c r="U1280" s="4"/>
      <c r="V1280" s="2"/>
      <c r="W1280" s="5"/>
      <c r="X1280" s="4"/>
    </row>
    <row r="1281" spans="1:24">
      <c r="A1281" s="4"/>
      <c r="B1281" s="2"/>
      <c r="C1281" s="2"/>
      <c r="D1281" s="4"/>
      <c r="E1281" s="2"/>
      <c r="F1281" s="2"/>
      <c r="G1281" s="2"/>
      <c r="H1281" s="2"/>
      <c r="I1281" s="4"/>
      <c r="J1281" s="2"/>
      <c r="K1281" s="2"/>
      <c r="L1281" s="2"/>
      <c r="M1281" s="2"/>
      <c r="N1281" s="2"/>
      <c r="O1281" s="2"/>
      <c r="P1281" s="2"/>
      <c r="Q1281" s="5"/>
      <c r="R1281" s="5"/>
      <c r="S1281" s="5"/>
      <c r="T1281" s="5"/>
      <c r="U1281" s="4"/>
      <c r="V1281" s="2"/>
      <c r="W1281" s="5"/>
      <c r="X1281" s="4"/>
    </row>
    <row r="1282" spans="1:24">
      <c r="A1282" s="4"/>
      <c r="B1282" s="2"/>
      <c r="C1282" s="2"/>
      <c r="D1282" s="4"/>
      <c r="E1282" s="2"/>
      <c r="F1282" s="2"/>
      <c r="G1282" s="2"/>
      <c r="H1282" s="2"/>
      <c r="I1282" s="4"/>
      <c r="J1282" s="2"/>
      <c r="K1282" s="2"/>
      <c r="L1282" s="2"/>
      <c r="M1282" s="2"/>
      <c r="N1282" s="2"/>
      <c r="O1282" s="2"/>
      <c r="P1282" s="2"/>
      <c r="Q1282" s="5"/>
      <c r="R1282" s="5"/>
      <c r="S1282" s="5"/>
      <c r="T1282" s="5"/>
      <c r="U1282" s="4"/>
      <c r="V1282" s="2"/>
      <c r="W1282" s="5"/>
      <c r="X1282" s="4"/>
    </row>
    <row r="1283" spans="1:24">
      <c r="A1283" s="4"/>
      <c r="B1283" s="2"/>
      <c r="C1283" s="2"/>
      <c r="D1283" s="4"/>
      <c r="E1283" s="2"/>
      <c r="F1283" s="2"/>
      <c r="G1283" s="2"/>
      <c r="H1283" s="2"/>
      <c r="I1283" s="4"/>
      <c r="J1283" s="2"/>
      <c r="K1283" s="2"/>
      <c r="L1283" s="2"/>
      <c r="M1283" s="2"/>
      <c r="N1283" s="2"/>
      <c r="O1283" s="2"/>
      <c r="P1283" s="2"/>
      <c r="Q1283" s="5"/>
      <c r="R1283" s="5"/>
      <c r="S1283" s="5"/>
      <c r="T1283" s="5"/>
      <c r="U1283" s="4"/>
      <c r="V1283" s="2"/>
      <c r="W1283" s="5"/>
      <c r="X1283" s="4"/>
    </row>
    <row r="1284" spans="1:24">
      <c r="A1284" s="4"/>
      <c r="B1284" s="2"/>
      <c r="C1284" s="2"/>
      <c r="D1284" s="4"/>
      <c r="E1284" s="2"/>
      <c r="F1284" s="2"/>
      <c r="G1284" s="2"/>
      <c r="H1284" s="2"/>
      <c r="I1284" s="4"/>
      <c r="J1284" s="2"/>
      <c r="K1284" s="2"/>
      <c r="L1284" s="2"/>
      <c r="M1284" s="2"/>
      <c r="N1284" s="2"/>
      <c r="O1284" s="2"/>
      <c r="P1284" s="2"/>
      <c r="Q1284" s="5"/>
      <c r="R1284" s="5"/>
      <c r="S1284" s="5"/>
      <c r="T1284" s="5"/>
      <c r="U1284" s="4"/>
      <c r="V1284" s="2"/>
      <c r="W1284" s="5"/>
      <c r="X1284" s="4"/>
    </row>
    <row r="1285" spans="1:24">
      <c r="A1285" s="4"/>
      <c r="B1285" s="2"/>
      <c r="C1285" s="2"/>
      <c r="D1285" s="4"/>
      <c r="E1285" s="2"/>
      <c r="F1285" s="2"/>
      <c r="G1285" s="2"/>
      <c r="H1285" s="2"/>
      <c r="I1285" s="4"/>
      <c r="J1285" s="2"/>
      <c r="K1285" s="2"/>
      <c r="L1285" s="2"/>
      <c r="M1285" s="2"/>
      <c r="N1285" s="2"/>
      <c r="O1285" s="2"/>
      <c r="P1285" s="2"/>
      <c r="Q1285" s="5"/>
      <c r="R1285" s="5"/>
      <c r="S1285" s="5"/>
      <c r="T1285" s="5"/>
      <c r="U1285" s="4"/>
      <c r="V1285" s="2"/>
      <c r="W1285" s="5"/>
      <c r="X1285" s="4"/>
    </row>
    <row r="1286" spans="1:24">
      <c r="A1286" s="4"/>
      <c r="B1286" s="2"/>
      <c r="C1286" s="2"/>
      <c r="D1286" s="4"/>
      <c r="E1286" s="2"/>
      <c r="F1286" s="2"/>
      <c r="G1286" s="2"/>
      <c r="H1286" s="2"/>
      <c r="I1286" s="4"/>
      <c r="J1286" s="2"/>
      <c r="K1286" s="2"/>
      <c r="L1286" s="2"/>
      <c r="M1286" s="2"/>
      <c r="N1286" s="2"/>
      <c r="O1286" s="2"/>
      <c r="P1286" s="2"/>
      <c r="Q1286" s="5"/>
      <c r="R1286" s="5"/>
      <c r="S1286" s="5"/>
      <c r="T1286" s="5"/>
      <c r="U1286" s="4"/>
      <c r="V1286" s="2"/>
      <c r="W1286" s="5"/>
      <c r="X1286" s="4"/>
    </row>
    <row r="1287" spans="1:24">
      <c r="A1287" s="4"/>
      <c r="B1287" s="2"/>
      <c r="C1287" s="2"/>
      <c r="D1287" s="4"/>
      <c r="E1287" s="2"/>
      <c r="F1287" s="2"/>
      <c r="G1287" s="2"/>
      <c r="H1287" s="2"/>
      <c r="I1287" s="4"/>
      <c r="J1287" s="4"/>
      <c r="K1287" s="2"/>
      <c r="L1287" s="2"/>
      <c r="M1287" s="2"/>
      <c r="N1287" s="2"/>
      <c r="O1287" s="2"/>
      <c r="P1287" s="2"/>
      <c r="Q1287" s="5"/>
      <c r="R1287" s="5"/>
      <c r="S1287" s="5"/>
      <c r="T1287" s="5"/>
      <c r="U1287" s="4"/>
      <c r="V1287" s="2"/>
      <c r="W1287" s="5"/>
      <c r="X1287" s="4"/>
    </row>
    <row r="1288" spans="1:24">
      <c r="A1288" s="4"/>
      <c r="B1288" s="2"/>
      <c r="C1288" s="2"/>
      <c r="D1288" s="4"/>
      <c r="E1288" s="2"/>
      <c r="F1288" s="2"/>
      <c r="G1288" s="2"/>
      <c r="H1288" s="2"/>
      <c r="I1288" s="4"/>
      <c r="J1288" s="2"/>
      <c r="K1288" s="2"/>
      <c r="L1288" s="2"/>
      <c r="M1288" s="2"/>
      <c r="N1288" s="2"/>
      <c r="O1288" s="2"/>
      <c r="P1288" s="2"/>
      <c r="Q1288" s="5"/>
      <c r="R1288" s="5"/>
      <c r="S1288" s="5"/>
      <c r="T1288" s="5"/>
      <c r="U1288" s="4"/>
      <c r="V1288" s="2"/>
      <c r="W1288" s="5"/>
      <c r="X1288" s="4"/>
    </row>
    <row r="1289" spans="1:24">
      <c r="A1289" s="4"/>
      <c r="B1289" s="2"/>
      <c r="C1289" s="2"/>
      <c r="D1289" s="4"/>
      <c r="E1289" s="2"/>
      <c r="F1289" s="2"/>
      <c r="G1289" s="2"/>
      <c r="H1289" s="2"/>
      <c r="I1289" s="4"/>
      <c r="J1289" s="2"/>
      <c r="K1289" s="2"/>
      <c r="L1289" s="2"/>
      <c r="M1289" s="2"/>
      <c r="N1289" s="2"/>
      <c r="O1289" s="2"/>
      <c r="P1289" s="2"/>
      <c r="Q1289" s="5"/>
      <c r="R1289" s="5"/>
      <c r="S1289" s="5"/>
      <c r="T1289" s="5"/>
      <c r="U1289" s="4"/>
      <c r="V1289" s="2"/>
      <c r="W1289" s="5"/>
      <c r="X1289" s="4"/>
    </row>
    <row r="1290" spans="1:24">
      <c r="A1290" s="4"/>
      <c r="B1290" s="2"/>
      <c r="C1290" s="2"/>
      <c r="D1290" s="4"/>
      <c r="E1290" s="2"/>
      <c r="F1290" s="2"/>
      <c r="G1290" s="2"/>
      <c r="H1290" s="2"/>
      <c r="I1290" s="4"/>
      <c r="J1290" s="2"/>
      <c r="K1290" s="2"/>
      <c r="L1290" s="2"/>
      <c r="M1290" s="2"/>
      <c r="N1290" s="2"/>
      <c r="O1290" s="2"/>
      <c r="P1290" s="2"/>
      <c r="Q1290" s="5"/>
      <c r="R1290" s="5"/>
      <c r="S1290" s="5"/>
      <c r="T1290" s="5"/>
      <c r="U1290" s="4"/>
      <c r="V1290" s="2"/>
      <c r="W1290" s="5"/>
      <c r="X1290" s="4"/>
    </row>
    <row r="1291" spans="1:24">
      <c r="A1291" s="4"/>
      <c r="B1291" s="2"/>
      <c r="C1291" s="2"/>
      <c r="D1291" s="4"/>
      <c r="E1291" s="2"/>
      <c r="F1291" s="2"/>
      <c r="G1291" s="2"/>
      <c r="H1291" s="2"/>
      <c r="I1291" s="4"/>
      <c r="J1291" s="2"/>
      <c r="K1291" s="2"/>
      <c r="L1291" s="2"/>
      <c r="M1291" s="2"/>
      <c r="N1291" s="2"/>
      <c r="O1291" s="2"/>
      <c r="P1291" s="2"/>
      <c r="Q1291" s="5"/>
      <c r="R1291" s="5"/>
      <c r="S1291" s="5"/>
      <c r="T1291" s="5"/>
      <c r="U1291" s="4"/>
      <c r="V1291" s="2"/>
      <c r="W1291" s="5"/>
      <c r="X1291" s="4"/>
    </row>
    <row r="1292" spans="1:24">
      <c r="A1292" s="4"/>
      <c r="B1292" s="2"/>
      <c r="C1292" s="2"/>
      <c r="D1292" s="4"/>
      <c r="E1292" s="2"/>
      <c r="F1292" s="2"/>
      <c r="G1292" s="2"/>
      <c r="H1292" s="2"/>
      <c r="I1292" s="4"/>
      <c r="J1292" s="2"/>
      <c r="K1292" s="2"/>
      <c r="L1292" s="2"/>
      <c r="M1292" s="2"/>
      <c r="N1292" s="2"/>
      <c r="O1292" s="2"/>
      <c r="P1292" s="2"/>
      <c r="Q1292" s="5"/>
      <c r="R1292" s="5"/>
      <c r="S1292" s="5"/>
      <c r="T1292" s="5"/>
      <c r="U1292" s="4"/>
      <c r="V1292" s="2"/>
      <c r="W1292" s="5"/>
      <c r="X1292" s="4"/>
    </row>
    <row r="1293" spans="1:24">
      <c r="A1293" s="4"/>
      <c r="B1293" s="2"/>
      <c r="C1293" s="2"/>
      <c r="D1293" s="4"/>
      <c r="E1293" s="2"/>
      <c r="F1293" s="2"/>
      <c r="G1293" s="2"/>
      <c r="H1293" s="2"/>
      <c r="I1293" s="4"/>
      <c r="J1293" s="2"/>
      <c r="K1293" s="2"/>
      <c r="L1293" s="2"/>
      <c r="M1293" s="2"/>
      <c r="N1293" s="2"/>
      <c r="O1293" s="2"/>
      <c r="P1293" s="2"/>
      <c r="Q1293" s="5"/>
      <c r="R1293" s="5"/>
      <c r="S1293" s="5"/>
      <c r="T1293" s="5"/>
      <c r="U1293" s="4"/>
      <c r="V1293" s="2"/>
      <c r="W1293" s="5"/>
      <c r="X1293" s="4"/>
    </row>
    <row r="1294" spans="1:24">
      <c r="A1294" s="4"/>
      <c r="B1294" s="2"/>
      <c r="C1294" s="2"/>
      <c r="D1294" s="4"/>
      <c r="E1294" s="2"/>
      <c r="F1294" s="2"/>
      <c r="G1294" s="2"/>
      <c r="H1294" s="2"/>
      <c r="I1294" s="4"/>
      <c r="J1294" s="2"/>
      <c r="K1294" s="2"/>
      <c r="L1294" s="2"/>
      <c r="M1294" s="2"/>
      <c r="N1294" s="2"/>
      <c r="O1294" s="2"/>
      <c r="P1294" s="2"/>
      <c r="Q1294" s="5"/>
      <c r="R1294" s="5"/>
      <c r="S1294" s="5"/>
      <c r="T1294" s="5"/>
      <c r="U1294" s="4"/>
      <c r="V1294" s="2"/>
      <c r="W1294" s="5"/>
      <c r="X1294" s="4"/>
    </row>
    <row r="1295" spans="1:24">
      <c r="A1295" s="4"/>
      <c r="B1295" s="2"/>
      <c r="C1295" s="2"/>
      <c r="D1295" s="4"/>
      <c r="E1295" s="2"/>
      <c r="F1295" s="2"/>
      <c r="G1295" s="2"/>
      <c r="H1295" s="2"/>
      <c r="I1295" s="4"/>
      <c r="J1295" s="2"/>
      <c r="K1295" s="2"/>
      <c r="L1295" s="2"/>
      <c r="M1295" s="2"/>
      <c r="N1295" s="2"/>
      <c r="O1295" s="2"/>
      <c r="P1295" s="2"/>
      <c r="Q1295" s="5"/>
      <c r="R1295" s="5"/>
      <c r="S1295" s="5"/>
      <c r="T1295" s="5"/>
      <c r="U1295" s="4"/>
      <c r="V1295" s="2"/>
      <c r="W1295" s="5"/>
      <c r="X1295" s="4"/>
    </row>
    <row r="1296" spans="1:24">
      <c r="A1296" s="4"/>
      <c r="B1296" s="2"/>
      <c r="C1296" s="2"/>
      <c r="D1296" s="4"/>
      <c r="E1296" s="2"/>
      <c r="F1296" s="2"/>
      <c r="G1296" s="2"/>
      <c r="H1296" s="2"/>
      <c r="I1296" s="4"/>
      <c r="J1296" s="2"/>
      <c r="K1296" s="2"/>
      <c r="L1296" s="2"/>
      <c r="M1296" s="2"/>
      <c r="N1296" s="2"/>
      <c r="O1296" s="2"/>
      <c r="P1296" s="2"/>
      <c r="Q1296" s="5"/>
      <c r="R1296" s="5"/>
      <c r="S1296" s="5"/>
      <c r="T1296" s="5"/>
      <c r="U1296" s="4"/>
      <c r="V1296" s="2"/>
      <c r="W1296" s="5"/>
      <c r="X1296" s="4"/>
    </row>
    <row r="1297" spans="1:24">
      <c r="A1297" s="4"/>
      <c r="B1297" s="2"/>
      <c r="C1297" s="2"/>
      <c r="D1297" s="4"/>
      <c r="E1297" s="2"/>
      <c r="F1297" s="2"/>
      <c r="G1297" s="2"/>
      <c r="H1297" s="2"/>
      <c r="I1297" s="4"/>
      <c r="J1297" s="2"/>
      <c r="K1297" s="2"/>
      <c r="L1297" s="2"/>
      <c r="M1297" s="2"/>
      <c r="N1297" s="2"/>
      <c r="O1297" s="2"/>
      <c r="P1297" s="2"/>
      <c r="Q1297" s="5"/>
      <c r="R1297" s="5"/>
      <c r="S1297" s="5"/>
      <c r="T1297" s="5"/>
      <c r="U1297" s="4"/>
      <c r="V1297" s="2"/>
      <c r="W1297" s="5"/>
      <c r="X1297" s="4"/>
    </row>
    <row r="1298" spans="1:24">
      <c r="A1298" s="4"/>
      <c r="B1298" s="2"/>
      <c r="C1298" s="2"/>
      <c r="D1298" s="4"/>
      <c r="E1298" s="2"/>
      <c r="F1298" s="2"/>
      <c r="G1298" s="2"/>
      <c r="H1298" s="2"/>
      <c r="I1298" s="4"/>
      <c r="J1298" s="2"/>
      <c r="K1298" s="2"/>
      <c r="L1298" s="2"/>
      <c r="M1298" s="2"/>
      <c r="N1298" s="2"/>
      <c r="O1298" s="2"/>
      <c r="P1298" s="2"/>
      <c r="Q1298" s="5"/>
      <c r="R1298" s="5"/>
      <c r="S1298" s="5"/>
      <c r="T1298" s="5"/>
      <c r="U1298" s="4"/>
      <c r="V1298" s="2"/>
      <c r="W1298" s="5"/>
      <c r="X1298" s="4"/>
    </row>
    <row r="1299" spans="1:24">
      <c r="A1299" s="4"/>
      <c r="B1299" s="2"/>
      <c r="C1299" s="2"/>
      <c r="D1299" s="4"/>
      <c r="E1299" s="2"/>
      <c r="F1299" s="2"/>
      <c r="G1299" s="2"/>
      <c r="H1299" s="2"/>
      <c r="I1299" s="4"/>
      <c r="J1299" s="2"/>
      <c r="K1299" s="2"/>
      <c r="L1299" s="2"/>
      <c r="M1299" s="2"/>
      <c r="N1299" s="2"/>
      <c r="O1299" s="2"/>
      <c r="P1299" s="2"/>
      <c r="Q1299" s="5"/>
      <c r="R1299" s="5"/>
      <c r="S1299" s="5"/>
      <c r="T1299" s="5"/>
      <c r="U1299" s="4"/>
      <c r="V1299" s="2"/>
      <c r="W1299" s="5"/>
      <c r="X1299" s="4"/>
    </row>
    <row r="1300" spans="1:24">
      <c r="A1300" s="4"/>
      <c r="B1300" s="2"/>
      <c r="C1300" s="2"/>
      <c r="D1300" s="4"/>
      <c r="E1300" s="2"/>
      <c r="F1300" s="2"/>
      <c r="G1300" s="2"/>
      <c r="H1300" s="2"/>
      <c r="I1300" s="4"/>
      <c r="J1300" s="2"/>
      <c r="K1300" s="2"/>
      <c r="L1300" s="2"/>
      <c r="M1300" s="2"/>
      <c r="N1300" s="2"/>
      <c r="O1300" s="2"/>
      <c r="P1300" s="2"/>
      <c r="Q1300" s="5"/>
      <c r="R1300" s="5"/>
      <c r="S1300" s="5"/>
      <c r="T1300" s="5"/>
      <c r="U1300" s="4"/>
      <c r="V1300" s="2"/>
      <c r="W1300" s="5"/>
      <c r="X1300" s="4"/>
    </row>
    <row r="1301" spans="1:24">
      <c r="A1301" s="4"/>
      <c r="B1301" s="2"/>
      <c r="C1301" s="2"/>
      <c r="D1301" s="4"/>
      <c r="E1301" s="2"/>
      <c r="F1301" s="2"/>
      <c r="G1301" s="2"/>
      <c r="H1301" s="2"/>
      <c r="I1301" s="4"/>
      <c r="J1301" s="2"/>
      <c r="K1301" s="2"/>
      <c r="L1301" s="2"/>
      <c r="M1301" s="2"/>
      <c r="N1301" s="2"/>
      <c r="O1301" s="2"/>
      <c r="P1301" s="2"/>
      <c r="Q1301" s="5"/>
      <c r="R1301" s="5"/>
      <c r="S1301" s="5"/>
      <c r="T1301" s="5"/>
      <c r="U1301" s="4"/>
      <c r="V1301" s="2"/>
      <c r="W1301" s="5"/>
      <c r="X1301" s="4"/>
    </row>
    <row r="1302" spans="1:24">
      <c r="A1302" s="4"/>
      <c r="B1302" s="2"/>
      <c r="C1302" s="2"/>
      <c r="D1302" s="4"/>
      <c r="E1302" s="2"/>
      <c r="F1302" s="2"/>
      <c r="G1302" s="2"/>
      <c r="H1302" s="2"/>
      <c r="I1302" s="4"/>
      <c r="J1302" s="2"/>
      <c r="K1302" s="2"/>
      <c r="L1302" s="2"/>
      <c r="M1302" s="2"/>
      <c r="N1302" s="2"/>
      <c r="O1302" s="2"/>
      <c r="P1302" s="2"/>
      <c r="Q1302" s="5"/>
      <c r="R1302" s="5"/>
      <c r="S1302" s="5"/>
      <c r="T1302" s="5"/>
      <c r="U1302" s="4"/>
      <c r="V1302" s="2"/>
      <c r="W1302" s="5"/>
      <c r="X1302" s="4"/>
    </row>
    <row r="1303" spans="1:24">
      <c r="A1303" s="4"/>
      <c r="B1303" s="2"/>
      <c r="C1303" s="2"/>
      <c r="D1303" s="4"/>
      <c r="E1303" s="2"/>
      <c r="F1303" s="2"/>
      <c r="G1303" s="2"/>
      <c r="H1303" s="2"/>
      <c r="I1303" s="4"/>
      <c r="J1303" s="2"/>
      <c r="K1303" s="2"/>
      <c r="L1303" s="2"/>
      <c r="M1303" s="2"/>
      <c r="N1303" s="2"/>
      <c r="O1303" s="2"/>
      <c r="P1303" s="2"/>
      <c r="Q1303" s="5"/>
      <c r="R1303" s="5"/>
      <c r="S1303" s="5"/>
      <c r="T1303" s="5"/>
      <c r="U1303" s="4"/>
      <c r="V1303" s="2"/>
      <c r="W1303" s="5"/>
      <c r="X1303" s="4"/>
    </row>
    <row r="1304" spans="1:24">
      <c r="A1304" s="4"/>
      <c r="B1304" s="2"/>
      <c r="C1304" s="2"/>
      <c r="D1304" s="4"/>
      <c r="E1304" s="2"/>
      <c r="F1304" s="2"/>
      <c r="G1304" s="2"/>
      <c r="H1304" s="2"/>
      <c r="I1304" s="4"/>
      <c r="J1304" s="2"/>
      <c r="K1304" s="2"/>
      <c r="L1304" s="2"/>
      <c r="M1304" s="2"/>
      <c r="N1304" s="2"/>
      <c r="O1304" s="2"/>
      <c r="P1304" s="2"/>
      <c r="Q1304" s="5"/>
      <c r="R1304" s="5"/>
      <c r="S1304" s="5"/>
      <c r="T1304" s="5"/>
      <c r="U1304" s="4"/>
      <c r="V1304" s="2"/>
      <c r="W1304" s="5"/>
      <c r="X1304" s="4"/>
    </row>
    <row r="1305" spans="1:24">
      <c r="A1305" s="4"/>
      <c r="B1305" s="2"/>
      <c r="C1305" s="2"/>
      <c r="D1305" s="4"/>
      <c r="E1305" s="2"/>
      <c r="F1305" s="2"/>
      <c r="G1305" s="2"/>
      <c r="H1305" s="2"/>
      <c r="I1305" s="4"/>
      <c r="J1305" s="2"/>
      <c r="K1305" s="2"/>
      <c r="L1305" s="2"/>
      <c r="M1305" s="2"/>
      <c r="N1305" s="2"/>
      <c r="O1305" s="2"/>
      <c r="P1305" s="2"/>
      <c r="Q1305" s="5"/>
      <c r="R1305" s="5"/>
      <c r="S1305" s="5"/>
      <c r="T1305" s="5"/>
      <c r="U1305" s="4"/>
      <c r="V1305" s="2"/>
      <c r="W1305" s="5"/>
      <c r="X1305" s="4"/>
    </row>
    <row r="1306" spans="1:24">
      <c r="A1306" s="4"/>
      <c r="B1306" s="2"/>
      <c r="C1306" s="2"/>
      <c r="D1306" s="4"/>
      <c r="E1306" s="2"/>
      <c r="F1306" s="2"/>
      <c r="G1306" s="2"/>
      <c r="H1306" s="2"/>
      <c r="I1306" s="4"/>
      <c r="J1306" s="2"/>
      <c r="K1306" s="2"/>
      <c r="L1306" s="2"/>
      <c r="M1306" s="2"/>
      <c r="N1306" s="2"/>
      <c r="O1306" s="2"/>
      <c r="P1306" s="2"/>
      <c r="Q1306" s="5"/>
      <c r="R1306" s="5"/>
      <c r="S1306" s="5"/>
      <c r="T1306" s="5"/>
      <c r="U1306" s="4"/>
      <c r="V1306" s="2"/>
      <c r="W1306" s="5"/>
      <c r="X1306" s="4"/>
    </row>
    <row r="1307" spans="1:24">
      <c r="A1307" s="4"/>
      <c r="B1307" s="2"/>
      <c r="C1307" s="2"/>
      <c r="D1307" s="4"/>
      <c r="E1307" s="2"/>
      <c r="F1307" s="2"/>
      <c r="G1307" s="2"/>
      <c r="H1307" s="2"/>
      <c r="I1307" s="4"/>
      <c r="J1307" s="2"/>
      <c r="K1307" s="2"/>
      <c r="L1307" s="2"/>
      <c r="M1307" s="2"/>
      <c r="N1307" s="2"/>
      <c r="O1307" s="2"/>
      <c r="P1307" s="2"/>
      <c r="Q1307" s="5"/>
      <c r="R1307" s="5"/>
      <c r="S1307" s="5"/>
      <c r="T1307" s="5"/>
      <c r="U1307" s="4"/>
      <c r="V1307" s="2"/>
      <c r="W1307" s="5"/>
      <c r="X1307" s="4"/>
    </row>
    <row r="1308" spans="1:24">
      <c r="A1308" s="4"/>
      <c r="B1308" s="2"/>
      <c r="C1308" s="2"/>
      <c r="D1308" s="4"/>
      <c r="E1308" s="2"/>
      <c r="F1308" s="2"/>
      <c r="G1308" s="2"/>
      <c r="H1308" s="2"/>
      <c r="I1308" s="4"/>
      <c r="J1308" s="2"/>
      <c r="K1308" s="2"/>
      <c r="L1308" s="2"/>
      <c r="M1308" s="2"/>
      <c r="N1308" s="2"/>
      <c r="O1308" s="2"/>
      <c r="P1308" s="2"/>
      <c r="Q1308" s="5"/>
      <c r="R1308" s="5"/>
      <c r="S1308" s="5"/>
      <c r="T1308" s="5"/>
      <c r="U1308" s="4"/>
      <c r="V1308" s="2"/>
      <c r="W1308" s="5"/>
      <c r="X1308" s="4"/>
    </row>
    <row r="1309" spans="1:24">
      <c r="A1309" s="4"/>
      <c r="B1309" s="2"/>
      <c r="C1309" s="2"/>
      <c r="D1309" s="4"/>
      <c r="E1309" s="2"/>
      <c r="F1309" s="2"/>
      <c r="G1309" s="2"/>
      <c r="H1309" s="2"/>
      <c r="I1309" s="4"/>
      <c r="J1309" s="2"/>
      <c r="K1309" s="2"/>
      <c r="L1309" s="2"/>
      <c r="M1309" s="2"/>
      <c r="N1309" s="2"/>
      <c r="O1309" s="2"/>
      <c r="P1309" s="2"/>
      <c r="Q1309" s="5"/>
      <c r="R1309" s="5"/>
      <c r="S1309" s="5"/>
      <c r="T1309" s="5"/>
      <c r="U1309" s="4"/>
      <c r="V1309" s="2"/>
      <c r="W1309" s="5"/>
      <c r="X1309" s="4"/>
    </row>
    <row r="1310" spans="1:24">
      <c r="A1310" s="4"/>
      <c r="B1310" s="2"/>
      <c r="C1310" s="2"/>
      <c r="D1310" s="4"/>
      <c r="E1310" s="2"/>
      <c r="F1310" s="2"/>
      <c r="G1310" s="2"/>
      <c r="H1310" s="2"/>
      <c r="I1310" s="4"/>
      <c r="J1310" s="2"/>
      <c r="K1310" s="2"/>
      <c r="L1310" s="2"/>
      <c r="M1310" s="2"/>
      <c r="N1310" s="2"/>
      <c r="O1310" s="2"/>
      <c r="P1310" s="2"/>
      <c r="Q1310" s="5"/>
      <c r="R1310" s="5"/>
      <c r="S1310" s="5"/>
      <c r="T1310" s="5"/>
      <c r="U1310" s="4"/>
      <c r="V1310" s="2"/>
      <c r="W1310" s="5"/>
      <c r="X1310" s="4"/>
    </row>
    <row r="1311" spans="1:24">
      <c r="A1311" s="4"/>
      <c r="B1311" s="2"/>
      <c r="C1311" s="2"/>
      <c r="D1311" s="4"/>
      <c r="E1311" s="2"/>
      <c r="F1311" s="2"/>
      <c r="G1311" s="2"/>
      <c r="H1311" s="2"/>
      <c r="I1311" s="4"/>
      <c r="J1311" s="2"/>
      <c r="K1311" s="2"/>
      <c r="L1311" s="2"/>
      <c r="M1311" s="2"/>
      <c r="N1311" s="2"/>
      <c r="O1311" s="2"/>
      <c r="P1311" s="2"/>
      <c r="Q1311" s="5"/>
      <c r="R1311" s="5"/>
      <c r="S1311" s="5"/>
      <c r="T1311" s="5"/>
      <c r="U1311" s="4"/>
      <c r="V1311" s="2"/>
      <c r="W1311" s="5"/>
      <c r="X1311" s="4"/>
    </row>
    <row r="1312" spans="1:24">
      <c r="A1312" s="4"/>
      <c r="B1312" s="2"/>
      <c r="C1312" s="2"/>
      <c r="D1312" s="4"/>
      <c r="E1312" s="2"/>
      <c r="F1312" s="2"/>
      <c r="G1312" s="2"/>
      <c r="H1312" s="2"/>
      <c r="I1312" s="4"/>
      <c r="J1312" s="2"/>
      <c r="K1312" s="2"/>
      <c r="L1312" s="2"/>
      <c r="M1312" s="2"/>
      <c r="N1312" s="2"/>
      <c r="O1312" s="2"/>
      <c r="P1312" s="2"/>
      <c r="Q1312" s="5"/>
      <c r="R1312" s="5"/>
      <c r="S1312" s="5"/>
      <c r="T1312" s="5"/>
      <c r="U1312" s="4"/>
      <c r="V1312" s="2"/>
      <c r="W1312" s="5"/>
      <c r="X1312" s="4"/>
    </row>
    <row r="1313" spans="1:24">
      <c r="A1313" s="4"/>
      <c r="B1313" s="2"/>
      <c r="C1313" s="2"/>
      <c r="D1313" s="4"/>
      <c r="E1313" s="2"/>
      <c r="F1313" s="2"/>
      <c r="G1313" s="2"/>
      <c r="H1313" s="2"/>
      <c r="I1313" s="4"/>
      <c r="J1313" s="2"/>
      <c r="K1313" s="2"/>
      <c r="L1313" s="2"/>
      <c r="M1313" s="2"/>
      <c r="N1313" s="2"/>
      <c r="O1313" s="2"/>
      <c r="P1313" s="2"/>
      <c r="Q1313" s="5"/>
      <c r="R1313" s="5"/>
      <c r="S1313" s="5"/>
      <c r="T1313" s="5"/>
      <c r="U1313" s="4"/>
      <c r="V1313" s="2"/>
      <c r="W1313" s="5"/>
      <c r="X1313" s="4"/>
    </row>
    <row r="1314" spans="1:24">
      <c r="A1314" s="4"/>
      <c r="B1314" s="2"/>
      <c r="C1314" s="2"/>
      <c r="D1314" s="4"/>
      <c r="E1314" s="2"/>
      <c r="F1314" s="2"/>
      <c r="G1314" s="2"/>
      <c r="H1314" s="2"/>
      <c r="I1314" s="4"/>
      <c r="J1314" s="2"/>
      <c r="K1314" s="2"/>
      <c r="L1314" s="2"/>
      <c r="M1314" s="2"/>
      <c r="N1314" s="2"/>
      <c r="O1314" s="2"/>
      <c r="P1314" s="2"/>
      <c r="Q1314" s="5"/>
      <c r="R1314" s="5"/>
      <c r="S1314" s="5"/>
      <c r="T1314" s="5"/>
      <c r="U1314" s="4"/>
      <c r="V1314" s="2"/>
      <c r="W1314" s="5"/>
      <c r="X1314" s="4"/>
    </row>
    <row r="1315" spans="1:24">
      <c r="A1315" s="4"/>
      <c r="B1315" s="2"/>
      <c r="C1315" s="2"/>
      <c r="D1315" s="4"/>
      <c r="E1315" s="2"/>
      <c r="F1315" s="2"/>
      <c r="G1315" s="2"/>
      <c r="H1315" s="2"/>
      <c r="I1315" s="4"/>
      <c r="J1315" s="2"/>
      <c r="K1315" s="2"/>
      <c r="L1315" s="2"/>
      <c r="M1315" s="2"/>
      <c r="N1315" s="2"/>
      <c r="O1315" s="2"/>
      <c r="P1315" s="2"/>
      <c r="Q1315" s="5"/>
      <c r="R1315" s="5"/>
      <c r="S1315" s="5"/>
      <c r="T1315" s="5"/>
      <c r="U1315" s="4"/>
      <c r="V1315" s="2"/>
      <c r="W1315" s="5"/>
      <c r="X1315" s="4"/>
    </row>
    <row r="1316" spans="1:24">
      <c r="A1316" s="4"/>
      <c r="B1316" s="2"/>
      <c r="C1316" s="2"/>
      <c r="D1316" s="4"/>
      <c r="E1316" s="2"/>
      <c r="F1316" s="2"/>
      <c r="G1316" s="2"/>
      <c r="H1316" s="2"/>
      <c r="I1316" s="4"/>
      <c r="J1316" s="2"/>
      <c r="K1316" s="2"/>
      <c r="L1316" s="2"/>
      <c r="M1316" s="2"/>
      <c r="N1316" s="2"/>
      <c r="O1316" s="2"/>
      <c r="P1316" s="2"/>
      <c r="Q1316" s="5"/>
      <c r="R1316" s="5"/>
      <c r="S1316" s="5"/>
      <c r="T1316" s="5"/>
      <c r="U1316" s="4"/>
      <c r="V1316" s="2"/>
      <c r="W1316" s="5"/>
      <c r="X1316" s="4"/>
    </row>
    <row r="1317" spans="1:24">
      <c r="A1317" s="4"/>
      <c r="B1317" s="2"/>
      <c r="C1317" s="2"/>
      <c r="D1317" s="4"/>
      <c r="E1317" s="2"/>
      <c r="F1317" s="2"/>
      <c r="G1317" s="2"/>
      <c r="H1317" s="2"/>
      <c r="I1317" s="4"/>
      <c r="J1317" s="2"/>
      <c r="K1317" s="2"/>
      <c r="L1317" s="2"/>
      <c r="M1317" s="2"/>
      <c r="N1317" s="2"/>
      <c r="O1317" s="2"/>
      <c r="P1317" s="2"/>
      <c r="Q1317" s="5"/>
      <c r="R1317" s="5"/>
      <c r="S1317" s="5"/>
      <c r="T1317" s="5"/>
      <c r="U1317" s="4"/>
      <c r="V1317" s="2"/>
      <c r="W1317" s="5"/>
      <c r="X1317" s="4"/>
    </row>
    <row r="1318" spans="1:24">
      <c r="A1318" s="4"/>
      <c r="B1318" s="2"/>
      <c r="C1318" s="2"/>
      <c r="D1318" s="4"/>
      <c r="E1318" s="2"/>
      <c r="F1318" s="2"/>
      <c r="G1318" s="2"/>
      <c r="H1318" s="2"/>
      <c r="I1318" s="4"/>
      <c r="J1318" s="2"/>
      <c r="K1318" s="2"/>
      <c r="L1318" s="2"/>
      <c r="M1318" s="2"/>
      <c r="N1318" s="2"/>
      <c r="O1318" s="2"/>
      <c r="P1318" s="2"/>
      <c r="Q1318" s="5"/>
      <c r="R1318" s="5"/>
      <c r="S1318" s="5"/>
      <c r="T1318" s="5"/>
      <c r="U1318" s="4"/>
      <c r="V1318" s="2"/>
      <c r="W1318" s="5"/>
      <c r="X1318" s="4"/>
    </row>
    <row r="1319" spans="1:24">
      <c r="A1319" s="4"/>
      <c r="B1319" s="2"/>
      <c r="C1319" s="2"/>
      <c r="D1319" s="4"/>
      <c r="E1319" s="2"/>
      <c r="F1319" s="2"/>
      <c r="G1319" s="2"/>
      <c r="H1319" s="2"/>
      <c r="I1319" s="4"/>
      <c r="J1319" s="2"/>
      <c r="K1319" s="2"/>
      <c r="L1319" s="2"/>
      <c r="M1319" s="2"/>
      <c r="N1319" s="2"/>
      <c r="O1319" s="2"/>
      <c r="P1319" s="2"/>
      <c r="Q1319" s="5"/>
      <c r="R1319" s="5"/>
      <c r="S1319" s="5"/>
      <c r="T1319" s="5"/>
      <c r="U1319" s="4"/>
      <c r="V1319" s="2"/>
      <c r="W1319" s="5"/>
      <c r="X1319" s="4"/>
    </row>
    <row r="1320" spans="1:24">
      <c r="A1320" s="4"/>
      <c r="B1320" s="2"/>
      <c r="C1320" s="2"/>
      <c r="D1320" s="4"/>
      <c r="E1320" s="2"/>
      <c r="F1320" s="2"/>
      <c r="G1320" s="2"/>
      <c r="H1320" s="2"/>
      <c r="I1320" s="4"/>
      <c r="J1320" s="2"/>
      <c r="K1320" s="2"/>
      <c r="L1320" s="2"/>
      <c r="M1320" s="2"/>
      <c r="N1320" s="2"/>
      <c r="O1320" s="2"/>
      <c r="P1320" s="2"/>
      <c r="Q1320" s="5"/>
      <c r="R1320" s="5"/>
      <c r="S1320" s="5"/>
      <c r="T1320" s="5"/>
      <c r="U1320" s="4"/>
      <c r="V1320" s="2"/>
      <c r="W1320" s="5"/>
      <c r="X1320" s="4"/>
    </row>
    <row r="1321" spans="1:24">
      <c r="A1321" s="4"/>
      <c r="B1321" s="2"/>
      <c r="C1321" s="2"/>
      <c r="D1321" s="4"/>
      <c r="E1321" s="2"/>
      <c r="F1321" s="2"/>
      <c r="G1321" s="2"/>
      <c r="H1321" s="2"/>
      <c r="I1321" s="4"/>
      <c r="J1321" s="2"/>
      <c r="K1321" s="2"/>
      <c r="L1321" s="2"/>
      <c r="M1321" s="2"/>
      <c r="N1321" s="2"/>
      <c r="O1321" s="2"/>
      <c r="P1321" s="2"/>
      <c r="Q1321" s="5"/>
      <c r="R1321" s="5"/>
      <c r="S1321" s="5"/>
      <c r="T1321" s="5"/>
      <c r="U1321" s="4"/>
      <c r="V1321" s="2"/>
      <c r="W1321" s="5"/>
      <c r="X1321" s="4"/>
    </row>
    <row r="1322" spans="1:24">
      <c r="A1322" s="4"/>
      <c r="B1322" s="2"/>
      <c r="C1322" s="2"/>
      <c r="D1322" s="4"/>
      <c r="E1322" s="2"/>
      <c r="F1322" s="2"/>
      <c r="G1322" s="2"/>
      <c r="H1322" s="2"/>
      <c r="I1322" s="4"/>
      <c r="J1322" s="2"/>
      <c r="K1322" s="2"/>
      <c r="L1322" s="2"/>
      <c r="M1322" s="2"/>
      <c r="N1322" s="2"/>
      <c r="O1322" s="2"/>
      <c r="P1322" s="2"/>
      <c r="Q1322" s="5"/>
      <c r="R1322" s="5"/>
      <c r="S1322" s="5"/>
      <c r="T1322" s="5"/>
      <c r="U1322" s="4"/>
      <c r="V1322" s="2"/>
      <c r="W1322" s="5"/>
      <c r="X1322" s="4"/>
    </row>
    <row r="1323" spans="1:24">
      <c r="A1323" s="4"/>
      <c r="B1323" s="2"/>
      <c r="C1323" s="2"/>
      <c r="D1323" s="4"/>
      <c r="E1323" s="2"/>
      <c r="F1323" s="2"/>
      <c r="G1323" s="2"/>
      <c r="H1323" s="2"/>
      <c r="I1323" s="4"/>
      <c r="J1323" s="2"/>
      <c r="K1323" s="2"/>
      <c r="L1323" s="2"/>
      <c r="M1323" s="2"/>
      <c r="N1323" s="2"/>
      <c r="O1323" s="2"/>
      <c r="P1323" s="2"/>
      <c r="Q1323" s="5"/>
      <c r="R1323" s="5"/>
      <c r="S1323" s="5"/>
      <c r="T1323" s="5"/>
      <c r="U1323" s="4"/>
      <c r="V1323" s="2"/>
      <c r="W1323" s="5"/>
      <c r="X1323" s="4"/>
    </row>
    <row r="1324" spans="1:24">
      <c r="A1324" s="4"/>
      <c r="B1324" s="2"/>
      <c r="C1324" s="2"/>
      <c r="D1324" s="4"/>
      <c r="E1324" s="2"/>
      <c r="F1324" s="2"/>
      <c r="G1324" s="2"/>
      <c r="H1324" s="2"/>
      <c r="I1324" s="4"/>
      <c r="J1324" s="2"/>
      <c r="K1324" s="2"/>
      <c r="L1324" s="2"/>
      <c r="M1324" s="2"/>
      <c r="N1324" s="2"/>
      <c r="O1324" s="2"/>
      <c r="P1324" s="2"/>
      <c r="Q1324" s="5"/>
      <c r="R1324" s="5"/>
      <c r="S1324" s="5"/>
      <c r="T1324" s="5"/>
      <c r="U1324" s="4"/>
      <c r="V1324" s="2"/>
      <c r="W1324" s="5"/>
      <c r="X1324" s="4"/>
    </row>
    <row r="1325" spans="1:24">
      <c r="A1325" s="4"/>
      <c r="B1325" s="2"/>
      <c r="C1325" s="2"/>
      <c r="D1325" s="4"/>
      <c r="E1325" s="2"/>
      <c r="F1325" s="2"/>
      <c r="G1325" s="2"/>
      <c r="H1325" s="2"/>
      <c r="I1325" s="4"/>
      <c r="J1325" s="2"/>
      <c r="K1325" s="2"/>
      <c r="L1325" s="2"/>
      <c r="M1325" s="2"/>
      <c r="N1325" s="2"/>
      <c r="O1325" s="2"/>
      <c r="P1325" s="2"/>
      <c r="Q1325" s="5"/>
      <c r="R1325" s="5"/>
      <c r="S1325" s="5"/>
      <c r="T1325" s="5"/>
      <c r="U1325" s="4"/>
      <c r="V1325" s="2"/>
      <c r="W1325" s="5"/>
      <c r="X1325" s="4"/>
    </row>
    <row r="1326" spans="1:24">
      <c r="A1326" s="4"/>
      <c r="B1326" s="2"/>
      <c r="C1326" s="2"/>
      <c r="D1326" s="4"/>
      <c r="E1326" s="2"/>
      <c r="F1326" s="2"/>
      <c r="G1326" s="2"/>
      <c r="H1326" s="2"/>
      <c r="I1326" s="4"/>
      <c r="J1326" s="2"/>
      <c r="K1326" s="2"/>
      <c r="L1326" s="2"/>
      <c r="M1326" s="2"/>
      <c r="N1326" s="2"/>
      <c r="O1326" s="2"/>
      <c r="P1326" s="2"/>
      <c r="Q1326" s="5"/>
      <c r="R1326" s="5"/>
      <c r="S1326" s="5"/>
      <c r="T1326" s="5"/>
      <c r="U1326" s="4"/>
      <c r="V1326" s="2"/>
      <c r="W1326" s="5"/>
      <c r="X1326" s="4"/>
    </row>
    <row r="1327" spans="1:24">
      <c r="A1327" s="4"/>
      <c r="B1327" s="2"/>
      <c r="C1327" s="2"/>
      <c r="D1327" s="4"/>
      <c r="E1327" s="2"/>
      <c r="F1327" s="2"/>
      <c r="G1327" s="2"/>
      <c r="H1327" s="2"/>
      <c r="I1327" s="4"/>
      <c r="J1327" s="2"/>
      <c r="K1327" s="2"/>
      <c r="L1327" s="2"/>
      <c r="M1327" s="2"/>
      <c r="N1327" s="2"/>
      <c r="O1327" s="2"/>
      <c r="P1327" s="2"/>
      <c r="Q1327" s="5"/>
      <c r="R1327" s="5"/>
      <c r="S1327" s="5"/>
      <c r="T1327" s="5"/>
      <c r="U1327" s="4"/>
      <c r="V1327" s="2"/>
      <c r="W1327" s="5"/>
      <c r="X1327" s="4"/>
    </row>
    <row r="1328" spans="1:24">
      <c r="A1328" s="4"/>
      <c r="B1328" s="2"/>
      <c r="C1328" s="2"/>
      <c r="D1328" s="4"/>
      <c r="E1328" s="2"/>
      <c r="F1328" s="2"/>
      <c r="G1328" s="2"/>
      <c r="H1328" s="2"/>
      <c r="I1328" s="4"/>
      <c r="J1328" s="2"/>
      <c r="K1328" s="2"/>
      <c r="L1328" s="2"/>
      <c r="M1328" s="2"/>
      <c r="N1328" s="2"/>
      <c r="O1328" s="2"/>
      <c r="P1328" s="2"/>
      <c r="Q1328" s="5"/>
      <c r="R1328" s="5"/>
      <c r="S1328" s="5"/>
      <c r="T1328" s="5"/>
      <c r="U1328" s="4"/>
      <c r="V1328" s="2"/>
      <c r="W1328" s="5"/>
      <c r="X1328" s="4"/>
    </row>
    <row r="1329" spans="1:24">
      <c r="A1329" s="4"/>
      <c r="B1329" s="2"/>
      <c r="C1329" s="2"/>
      <c r="D1329" s="4"/>
      <c r="E1329" s="2"/>
      <c r="F1329" s="2"/>
      <c r="G1329" s="2"/>
      <c r="H1329" s="2"/>
      <c r="I1329" s="4"/>
      <c r="J1329" s="2"/>
      <c r="K1329" s="2"/>
      <c r="L1329" s="2"/>
      <c r="M1329" s="2"/>
      <c r="N1329" s="2"/>
      <c r="O1329" s="2"/>
      <c r="P1329" s="2"/>
      <c r="Q1329" s="5"/>
      <c r="R1329" s="5"/>
      <c r="S1329" s="5"/>
      <c r="T1329" s="5"/>
      <c r="U1329" s="4"/>
      <c r="V1329" s="2"/>
      <c r="W1329" s="5"/>
      <c r="X1329" s="4"/>
    </row>
    <row r="1330" spans="1:24">
      <c r="A1330" s="4"/>
      <c r="B1330" s="2"/>
      <c r="C1330" s="2"/>
      <c r="D1330" s="4"/>
      <c r="E1330" s="2"/>
      <c r="F1330" s="2"/>
      <c r="G1330" s="2"/>
      <c r="H1330" s="2"/>
      <c r="I1330" s="4"/>
      <c r="J1330" s="2"/>
      <c r="K1330" s="2"/>
      <c r="L1330" s="2"/>
      <c r="M1330" s="2"/>
      <c r="N1330" s="2"/>
      <c r="O1330" s="2"/>
      <c r="P1330" s="2"/>
      <c r="Q1330" s="5"/>
      <c r="R1330" s="5"/>
      <c r="S1330" s="5"/>
      <c r="T1330" s="5"/>
      <c r="U1330" s="4"/>
      <c r="V1330" s="2"/>
      <c r="W1330" s="5"/>
      <c r="X1330" s="4"/>
    </row>
    <row r="1331" spans="1:24">
      <c r="A1331" s="4"/>
      <c r="B1331" s="2"/>
      <c r="C1331" s="2"/>
      <c r="D1331" s="4"/>
      <c r="E1331" s="2"/>
      <c r="F1331" s="2"/>
      <c r="G1331" s="2"/>
      <c r="H1331" s="2"/>
      <c r="I1331" s="4"/>
      <c r="J1331" s="2"/>
      <c r="K1331" s="2"/>
      <c r="L1331" s="2"/>
      <c r="M1331" s="2"/>
      <c r="N1331" s="2"/>
      <c r="O1331" s="2"/>
      <c r="P1331" s="2"/>
      <c r="Q1331" s="5"/>
      <c r="R1331" s="5"/>
      <c r="S1331" s="5"/>
      <c r="T1331" s="5"/>
      <c r="U1331" s="4"/>
      <c r="V1331" s="2"/>
      <c r="W1331" s="5"/>
      <c r="X1331" s="4"/>
    </row>
    <row r="1332" spans="1:24">
      <c r="A1332" s="4"/>
      <c r="B1332" s="2"/>
      <c r="C1332" s="2"/>
      <c r="D1332" s="4"/>
      <c r="E1332" s="2"/>
      <c r="F1332" s="2"/>
      <c r="G1332" s="2"/>
      <c r="H1332" s="2"/>
      <c r="I1332" s="4"/>
      <c r="J1332" s="2"/>
      <c r="K1332" s="2"/>
      <c r="L1332" s="2"/>
      <c r="M1332" s="2"/>
      <c r="N1332" s="2"/>
      <c r="O1332" s="2"/>
      <c r="P1332" s="2"/>
      <c r="Q1332" s="5"/>
      <c r="R1332" s="5"/>
      <c r="S1332" s="5"/>
      <c r="T1332" s="5"/>
      <c r="U1332" s="4"/>
      <c r="V1332" s="2"/>
      <c r="W1332" s="5"/>
      <c r="X1332" s="4"/>
    </row>
    <row r="1333" spans="1:24">
      <c r="A1333" s="4"/>
      <c r="B1333" s="2"/>
      <c r="C1333" s="2"/>
      <c r="D1333" s="4"/>
      <c r="E1333" s="2"/>
      <c r="F1333" s="2"/>
      <c r="G1333" s="2"/>
      <c r="H1333" s="2"/>
      <c r="I1333" s="4"/>
      <c r="J1333" s="2"/>
      <c r="K1333" s="2"/>
      <c r="L1333" s="2"/>
      <c r="M1333" s="2"/>
      <c r="N1333" s="2"/>
      <c r="O1333" s="2"/>
      <c r="P1333" s="2"/>
      <c r="Q1333" s="5"/>
      <c r="R1333" s="5"/>
      <c r="S1333" s="5"/>
      <c r="T1333" s="5"/>
      <c r="U1333" s="4"/>
      <c r="V1333" s="2"/>
      <c r="W1333" s="5"/>
      <c r="X1333" s="4"/>
    </row>
    <row r="1334" spans="1:24">
      <c r="A1334" s="4"/>
      <c r="B1334" s="2"/>
      <c r="C1334" s="2"/>
      <c r="D1334" s="4"/>
      <c r="E1334" s="2"/>
      <c r="F1334" s="2"/>
      <c r="G1334" s="2"/>
      <c r="H1334" s="2"/>
      <c r="I1334" s="4"/>
      <c r="J1334" s="2"/>
      <c r="K1334" s="2"/>
      <c r="L1334" s="2"/>
      <c r="M1334" s="2"/>
      <c r="N1334" s="2"/>
      <c r="O1334" s="2"/>
      <c r="P1334" s="2"/>
      <c r="Q1334" s="5"/>
      <c r="R1334" s="5"/>
      <c r="S1334" s="5"/>
      <c r="T1334" s="5"/>
      <c r="U1334" s="4"/>
      <c r="V1334" s="2"/>
      <c r="W1334" s="5"/>
      <c r="X1334" s="4"/>
    </row>
    <row r="1335" spans="1:24">
      <c r="A1335" s="4"/>
      <c r="B1335" s="2"/>
      <c r="C1335" s="2"/>
      <c r="D1335" s="4"/>
      <c r="E1335" s="2"/>
      <c r="F1335" s="2"/>
      <c r="G1335" s="2"/>
      <c r="H1335" s="2"/>
      <c r="I1335" s="4"/>
      <c r="J1335" s="2"/>
      <c r="K1335" s="2"/>
      <c r="L1335" s="2"/>
      <c r="M1335" s="2"/>
      <c r="N1335" s="2"/>
      <c r="O1335" s="2"/>
      <c r="P1335" s="2"/>
      <c r="Q1335" s="5"/>
      <c r="R1335" s="5"/>
      <c r="S1335" s="5"/>
      <c r="T1335" s="5"/>
      <c r="U1335" s="4"/>
      <c r="V1335" s="2"/>
      <c r="W1335" s="5"/>
      <c r="X1335" s="4"/>
    </row>
    <row r="1336" spans="1:24">
      <c r="A1336" s="4"/>
      <c r="B1336" s="2"/>
      <c r="C1336" s="2"/>
      <c r="D1336" s="4"/>
      <c r="E1336" s="2"/>
      <c r="F1336" s="2"/>
      <c r="G1336" s="2"/>
      <c r="H1336" s="2"/>
      <c r="I1336" s="4"/>
      <c r="J1336" s="2"/>
      <c r="K1336" s="2"/>
      <c r="L1336" s="2"/>
      <c r="M1336" s="2"/>
      <c r="N1336" s="2"/>
      <c r="O1336" s="2"/>
      <c r="P1336" s="2"/>
      <c r="Q1336" s="5"/>
      <c r="R1336" s="5"/>
      <c r="S1336" s="5"/>
      <c r="T1336" s="5"/>
      <c r="U1336" s="4"/>
      <c r="V1336" s="2"/>
      <c r="W1336" s="5"/>
      <c r="X1336" s="4"/>
    </row>
    <row r="1337" spans="1:24">
      <c r="A1337" s="4"/>
      <c r="B1337" s="2"/>
      <c r="C1337" s="2"/>
      <c r="D1337" s="4"/>
      <c r="E1337" s="2"/>
      <c r="F1337" s="2"/>
      <c r="G1337" s="2"/>
      <c r="H1337" s="2"/>
      <c r="I1337" s="4"/>
      <c r="J1337" s="2"/>
      <c r="K1337" s="2"/>
      <c r="L1337" s="2"/>
      <c r="M1337" s="2"/>
      <c r="N1337" s="2"/>
      <c r="O1337" s="2"/>
      <c r="P1337" s="2"/>
      <c r="Q1337" s="5"/>
      <c r="R1337" s="5"/>
      <c r="S1337" s="5"/>
      <c r="T1337" s="5"/>
      <c r="U1337" s="4"/>
      <c r="V1337" s="2"/>
      <c r="W1337" s="5"/>
      <c r="X1337" s="4"/>
    </row>
    <row r="1338" spans="1:24">
      <c r="A1338" s="4"/>
      <c r="B1338" s="2"/>
      <c r="C1338" s="2"/>
      <c r="D1338" s="4"/>
      <c r="E1338" s="2"/>
      <c r="F1338" s="2"/>
      <c r="G1338" s="2"/>
      <c r="H1338" s="2"/>
      <c r="I1338" s="4"/>
      <c r="J1338" s="2"/>
      <c r="K1338" s="2"/>
      <c r="L1338" s="2"/>
      <c r="M1338" s="2"/>
      <c r="N1338" s="2"/>
      <c r="O1338" s="2"/>
      <c r="P1338" s="2"/>
      <c r="Q1338" s="5"/>
      <c r="R1338" s="5"/>
      <c r="S1338" s="5"/>
      <c r="T1338" s="5"/>
      <c r="U1338" s="4"/>
      <c r="V1338" s="2"/>
      <c r="W1338" s="5"/>
      <c r="X1338" s="4"/>
    </row>
    <row r="1339" spans="1:24">
      <c r="A1339" s="4"/>
      <c r="B1339" s="2"/>
      <c r="C1339" s="2"/>
      <c r="D1339" s="4"/>
      <c r="E1339" s="2"/>
      <c r="F1339" s="2"/>
      <c r="G1339" s="2"/>
      <c r="H1339" s="2"/>
      <c r="I1339" s="4"/>
      <c r="J1339" s="2"/>
      <c r="K1339" s="2"/>
      <c r="L1339" s="2"/>
      <c r="M1339" s="2"/>
      <c r="N1339" s="2"/>
      <c r="O1339" s="2"/>
      <c r="P1339" s="2"/>
      <c r="Q1339" s="5"/>
      <c r="R1339" s="5"/>
      <c r="S1339" s="5"/>
      <c r="T1339" s="5"/>
      <c r="U1339" s="4"/>
      <c r="V1339" s="2"/>
      <c r="W1339" s="5"/>
      <c r="X1339" s="4"/>
    </row>
    <row r="1340" spans="1:24">
      <c r="A1340" s="4"/>
      <c r="B1340" s="2"/>
      <c r="C1340" s="2"/>
      <c r="D1340" s="4"/>
      <c r="E1340" s="2"/>
      <c r="F1340" s="2"/>
      <c r="G1340" s="2"/>
      <c r="H1340" s="2"/>
      <c r="I1340" s="4"/>
      <c r="J1340" s="2"/>
      <c r="K1340" s="2"/>
      <c r="L1340" s="2"/>
      <c r="M1340" s="2"/>
      <c r="N1340" s="2"/>
      <c r="O1340" s="2"/>
      <c r="P1340" s="2"/>
      <c r="Q1340" s="5"/>
      <c r="R1340" s="5"/>
      <c r="S1340" s="5"/>
      <c r="T1340" s="5"/>
      <c r="U1340" s="4"/>
      <c r="V1340" s="2"/>
      <c r="W1340" s="5"/>
      <c r="X1340" s="4"/>
    </row>
    <row r="1341" spans="1:24">
      <c r="A1341" s="4"/>
      <c r="B1341" s="2"/>
      <c r="C1341" s="2"/>
      <c r="D1341" s="4"/>
      <c r="E1341" s="2"/>
      <c r="F1341" s="2"/>
      <c r="G1341" s="2"/>
      <c r="H1341" s="2"/>
      <c r="I1341" s="4"/>
      <c r="J1341" s="2"/>
      <c r="K1341" s="2"/>
      <c r="L1341" s="2"/>
      <c r="M1341" s="2"/>
      <c r="N1341" s="2"/>
      <c r="O1341" s="2"/>
      <c r="P1341" s="2"/>
      <c r="Q1341" s="5"/>
      <c r="R1341" s="5"/>
      <c r="S1341" s="5"/>
      <c r="T1341" s="5"/>
      <c r="U1341" s="4"/>
      <c r="V1341" s="2"/>
      <c r="W1341" s="5"/>
      <c r="X1341" s="4"/>
    </row>
    <row r="1342" spans="1:24">
      <c r="A1342" s="4"/>
      <c r="B1342" s="2"/>
      <c r="C1342" s="2"/>
      <c r="D1342" s="4"/>
      <c r="E1342" s="2"/>
      <c r="F1342" s="2"/>
      <c r="G1342" s="2"/>
      <c r="H1342" s="2"/>
      <c r="I1342" s="4"/>
      <c r="J1342" s="2"/>
      <c r="K1342" s="2"/>
      <c r="L1342" s="2"/>
      <c r="M1342" s="2"/>
      <c r="N1342" s="2"/>
      <c r="O1342" s="2"/>
      <c r="P1342" s="2"/>
      <c r="Q1342" s="5"/>
      <c r="R1342" s="5"/>
      <c r="S1342" s="5"/>
      <c r="T1342" s="5"/>
      <c r="U1342" s="4"/>
      <c r="V1342" s="2"/>
      <c r="W1342" s="5"/>
      <c r="X1342" s="4"/>
    </row>
    <row r="1343" spans="1:24">
      <c r="A1343" s="4"/>
      <c r="B1343" s="2"/>
      <c r="C1343" s="2"/>
      <c r="D1343" s="4"/>
      <c r="E1343" s="2"/>
      <c r="F1343" s="2"/>
      <c r="G1343" s="2"/>
      <c r="H1343" s="2"/>
      <c r="I1343" s="4"/>
      <c r="J1343" s="2"/>
      <c r="K1343" s="2"/>
      <c r="L1343" s="2"/>
      <c r="M1343" s="2"/>
      <c r="N1343" s="2"/>
      <c r="O1343" s="2"/>
      <c r="P1343" s="2"/>
      <c r="Q1343" s="5"/>
      <c r="R1343" s="5"/>
      <c r="S1343" s="5"/>
      <c r="T1343" s="5"/>
      <c r="U1343" s="4"/>
      <c r="V1343" s="2"/>
      <c r="W1343" s="5"/>
      <c r="X1343" s="4"/>
    </row>
    <row r="1344" spans="1:24">
      <c r="A1344" s="4"/>
      <c r="B1344" s="2"/>
      <c r="C1344" s="2"/>
      <c r="D1344" s="4"/>
      <c r="E1344" s="2"/>
      <c r="F1344" s="2"/>
      <c r="G1344" s="2"/>
      <c r="H1344" s="2"/>
      <c r="I1344" s="4"/>
      <c r="J1344" s="2"/>
      <c r="K1344" s="2"/>
      <c r="L1344" s="2"/>
      <c r="M1344" s="2"/>
      <c r="N1344" s="2"/>
      <c r="O1344" s="2"/>
      <c r="P1344" s="2"/>
      <c r="Q1344" s="5"/>
      <c r="R1344" s="5"/>
      <c r="S1344" s="5"/>
      <c r="T1344" s="5"/>
      <c r="U1344" s="4"/>
      <c r="V1344" s="2"/>
      <c r="W1344" s="5"/>
      <c r="X1344" s="4"/>
    </row>
    <row r="1345" spans="1:24">
      <c r="A1345" s="4"/>
      <c r="B1345" s="2"/>
      <c r="C1345" s="2"/>
      <c r="D1345" s="4"/>
      <c r="E1345" s="2"/>
      <c r="F1345" s="2"/>
      <c r="G1345" s="2"/>
      <c r="H1345" s="2"/>
      <c r="I1345" s="4"/>
      <c r="J1345" s="2"/>
      <c r="K1345" s="2"/>
      <c r="L1345" s="2"/>
      <c r="M1345" s="2"/>
      <c r="N1345" s="2"/>
      <c r="O1345" s="2"/>
      <c r="P1345" s="2"/>
      <c r="Q1345" s="5"/>
      <c r="R1345" s="5"/>
      <c r="S1345" s="5"/>
      <c r="T1345" s="5"/>
      <c r="U1345" s="4"/>
      <c r="V1345" s="2"/>
      <c r="W1345" s="5"/>
      <c r="X1345" s="4"/>
    </row>
    <row r="1346" spans="1:24">
      <c r="A1346" s="4"/>
      <c r="B1346" s="2"/>
      <c r="C1346" s="2"/>
      <c r="D1346" s="4"/>
      <c r="E1346" s="2"/>
      <c r="F1346" s="2"/>
      <c r="G1346" s="2"/>
      <c r="H1346" s="2"/>
      <c r="I1346" s="4"/>
      <c r="J1346" s="2"/>
      <c r="K1346" s="2"/>
      <c r="L1346" s="2"/>
      <c r="M1346" s="2"/>
      <c r="N1346" s="2"/>
      <c r="O1346" s="2"/>
      <c r="P1346" s="2"/>
      <c r="Q1346" s="5"/>
      <c r="R1346" s="5"/>
      <c r="S1346" s="5"/>
      <c r="T1346" s="5"/>
      <c r="U1346" s="4"/>
      <c r="V1346" s="2"/>
      <c r="W1346" s="5"/>
      <c r="X1346" s="4"/>
    </row>
    <row r="1347" spans="1:24">
      <c r="A1347" s="4"/>
      <c r="B1347" s="2"/>
      <c r="C1347" s="2"/>
      <c r="D1347" s="4"/>
      <c r="E1347" s="2"/>
      <c r="F1347" s="2"/>
      <c r="G1347" s="2"/>
      <c r="H1347" s="2"/>
      <c r="I1347" s="4"/>
      <c r="J1347" s="2"/>
      <c r="K1347" s="2"/>
      <c r="L1347" s="2"/>
      <c r="M1347" s="2"/>
      <c r="N1347" s="2"/>
      <c r="O1347" s="2"/>
      <c r="P1347" s="2"/>
      <c r="Q1347" s="5"/>
      <c r="R1347" s="5"/>
      <c r="S1347" s="5"/>
      <c r="T1347" s="5"/>
      <c r="U1347" s="4"/>
      <c r="V1347" s="2"/>
      <c r="W1347" s="5"/>
      <c r="X1347" s="4"/>
    </row>
    <row r="1348" spans="1:24">
      <c r="A1348" s="4"/>
      <c r="B1348" s="2"/>
      <c r="C1348" s="2"/>
      <c r="D1348" s="4"/>
      <c r="E1348" s="2"/>
      <c r="F1348" s="2"/>
      <c r="G1348" s="2"/>
      <c r="H1348" s="2"/>
      <c r="I1348" s="4"/>
      <c r="J1348" s="2"/>
      <c r="K1348" s="2"/>
      <c r="L1348" s="2"/>
      <c r="M1348" s="2"/>
      <c r="N1348" s="2"/>
      <c r="O1348" s="2"/>
      <c r="P1348" s="2"/>
      <c r="Q1348" s="5"/>
      <c r="R1348" s="5"/>
      <c r="S1348" s="5"/>
      <c r="T1348" s="5"/>
      <c r="U1348" s="4"/>
      <c r="V1348" s="2"/>
      <c r="W1348" s="5"/>
      <c r="X1348" s="4"/>
    </row>
    <row r="1349" spans="1:24">
      <c r="A1349" s="4"/>
      <c r="B1349" s="2"/>
      <c r="C1349" s="2"/>
      <c r="D1349" s="4"/>
      <c r="E1349" s="2"/>
      <c r="F1349" s="2"/>
      <c r="G1349" s="2"/>
      <c r="H1349" s="2"/>
      <c r="I1349" s="4"/>
      <c r="J1349" s="2"/>
      <c r="K1349" s="2"/>
      <c r="L1349" s="2"/>
      <c r="M1349" s="2"/>
      <c r="N1349" s="2"/>
      <c r="O1349" s="2"/>
      <c r="P1349" s="2"/>
      <c r="Q1349" s="5"/>
      <c r="R1349" s="5"/>
      <c r="S1349" s="5"/>
      <c r="T1349" s="5"/>
      <c r="U1349" s="4"/>
      <c r="V1349" s="2"/>
      <c r="W1349" s="5"/>
      <c r="X1349" s="4"/>
    </row>
    <row r="1350" spans="1:24">
      <c r="A1350" s="4"/>
      <c r="B1350" s="2"/>
      <c r="C1350" s="2"/>
      <c r="D1350" s="4"/>
      <c r="E1350" s="2"/>
      <c r="F1350" s="2"/>
      <c r="G1350" s="2"/>
      <c r="H1350" s="2"/>
      <c r="I1350" s="4"/>
      <c r="J1350" s="2"/>
      <c r="K1350" s="2"/>
      <c r="L1350" s="2"/>
      <c r="M1350" s="2"/>
      <c r="N1350" s="2"/>
      <c r="O1350" s="2"/>
      <c r="P1350" s="2"/>
      <c r="Q1350" s="5"/>
      <c r="R1350" s="5"/>
      <c r="S1350" s="5"/>
      <c r="T1350" s="5"/>
      <c r="U1350" s="4"/>
      <c r="V1350" s="2"/>
      <c r="W1350" s="5"/>
      <c r="X1350" s="4"/>
    </row>
    <row r="1351" spans="1:24">
      <c r="A1351" s="4"/>
      <c r="B1351" s="2"/>
      <c r="C1351" s="2"/>
      <c r="D1351" s="4"/>
      <c r="E1351" s="2"/>
      <c r="F1351" s="2"/>
      <c r="G1351" s="2"/>
      <c r="H1351" s="2"/>
      <c r="I1351" s="4"/>
      <c r="J1351" s="2"/>
      <c r="K1351" s="2"/>
      <c r="L1351" s="2"/>
      <c r="M1351" s="2"/>
      <c r="N1351" s="2"/>
      <c r="O1351" s="2"/>
      <c r="P1351" s="2"/>
      <c r="Q1351" s="5"/>
      <c r="R1351" s="5"/>
      <c r="S1351" s="5"/>
      <c r="T1351" s="5"/>
      <c r="U1351" s="4"/>
      <c r="V1351" s="2"/>
      <c r="W1351" s="5"/>
      <c r="X1351" s="4"/>
    </row>
    <row r="1352" spans="1:24">
      <c r="A1352" s="4"/>
      <c r="B1352" s="2"/>
      <c r="C1352" s="2"/>
      <c r="D1352" s="4"/>
      <c r="E1352" s="2"/>
      <c r="F1352" s="2"/>
      <c r="G1352" s="2"/>
      <c r="H1352" s="2"/>
      <c r="I1352" s="4"/>
      <c r="J1352" s="2"/>
      <c r="K1352" s="2"/>
      <c r="L1352" s="2"/>
      <c r="M1352" s="2"/>
      <c r="N1352" s="2"/>
      <c r="O1352" s="2"/>
      <c r="P1352" s="2"/>
      <c r="Q1352" s="5"/>
      <c r="R1352" s="5"/>
      <c r="S1352" s="5"/>
      <c r="T1352" s="5"/>
      <c r="U1352" s="4"/>
      <c r="V1352" s="2"/>
      <c r="W1352" s="5"/>
      <c r="X1352" s="4"/>
    </row>
    <row r="1353" spans="1:24">
      <c r="A1353" s="4"/>
      <c r="B1353" s="2"/>
      <c r="C1353" s="2"/>
      <c r="D1353" s="4"/>
      <c r="E1353" s="2"/>
      <c r="F1353" s="2"/>
      <c r="G1353" s="2"/>
      <c r="H1353" s="2"/>
      <c r="I1353" s="4"/>
      <c r="J1353" s="2"/>
      <c r="K1353" s="2"/>
      <c r="L1353" s="2"/>
      <c r="M1353" s="2"/>
      <c r="N1353" s="2"/>
      <c r="O1353" s="2"/>
      <c r="P1353" s="2"/>
      <c r="Q1353" s="5"/>
      <c r="R1353" s="5"/>
      <c r="S1353" s="5"/>
      <c r="T1353" s="5"/>
      <c r="U1353" s="4"/>
      <c r="V1353" s="2"/>
      <c r="W1353" s="5"/>
      <c r="X1353" s="4"/>
    </row>
    <row r="1354" spans="1:24">
      <c r="A1354" s="4"/>
      <c r="B1354" s="2"/>
      <c r="C1354" s="2"/>
      <c r="D1354" s="4"/>
      <c r="E1354" s="2"/>
      <c r="F1354" s="2"/>
      <c r="G1354" s="2"/>
      <c r="H1354" s="2"/>
      <c r="I1354" s="4"/>
      <c r="J1354" s="2"/>
      <c r="K1354" s="2"/>
      <c r="L1354" s="2"/>
      <c r="M1354" s="2"/>
      <c r="N1354" s="2"/>
      <c r="O1354" s="2"/>
      <c r="P1354" s="2"/>
      <c r="Q1354" s="5"/>
      <c r="R1354" s="5"/>
      <c r="S1354" s="5"/>
      <c r="T1354" s="5"/>
      <c r="U1354" s="4"/>
      <c r="V1354" s="2"/>
      <c r="W1354" s="5"/>
      <c r="X1354" s="4"/>
    </row>
    <row r="1355" spans="1:24">
      <c r="A1355" s="4"/>
      <c r="B1355" s="2"/>
      <c r="C1355" s="2"/>
      <c r="D1355" s="4"/>
      <c r="E1355" s="2"/>
      <c r="F1355" s="2"/>
      <c r="G1355" s="2"/>
      <c r="H1355" s="2"/>
      <c r="I1355" s="4"/>
      <c r="J1355" s="2"/>
      <c r="K1355" s="2"/>
      <c r="L1355" s="2"/>
      <c r="M1355" s="2"/>
      <c r="N1355" s="2"/>
      <c r="O1355" s="2"/>
      <c r="P1355" s="2"/>
      <c r="Q1355" s="5"/>
      <c r="R1355" s="5"/>
      <c r="S1355" s="5"/>
      <c r="T1355" s="5"/>
      <c r="U1355" s="4"/>
      <c r="V1355" s="2"/>
      <c r="W1355" s="5"/>
      <c r="X1355" s="4"/>
    </row>
    <row r="1356" spans="1:24">
      <c r="A1356" s="4"/>
      <c r="B1356" s="2"/>
      <c r="C1356" s="2"/>
      <c r="D1356" s="4"/>
      <c r="E1356" s="2"/>
      <c r="F1356" s="2"/>
      <c r="G1356" s="2"/>
      <c r="H1356" s="2"/>
      <c r="I1356" s="4"/>
      <c r="J1356" s="2"/>
      <c r="K1356" s="2"/>
      <c r="L1356" s="2"/>
      <c r="M1356" s="2"/>
      <c r="N1356" s="2"/>
      <c r="O1356" s="2"/>
      <c r="P1356" s="2"/>
      <c r="Q1356" s="5"/>
      <c r="R1356" s="5"/>
      <c r="S1356" s="5"/>
      <c r="T1356" s="5"/>
      <c r="U1356" s="4"/>
      <c r="V1356" s="2"/>
      <c r="W1356" s="5"/>
      <c r="X1356" s="4"/>
    </row>
    <row r="1357" spans="1:24">
      <c r="A1357" s="4"/>
      <c r="B1357" s="2"/>
      <c r="C1357" s="2"/>
      <c r="D1357" s="4"/>
      <c r="E1357" s="2"/>
      <c r="F1357" s="2"/>
      <c r="G1357" s="2"/>
      <c r="H1357" s="2"/>
      <c r="I1357" s="4"/>
      <c r="J1357" s="2"/>
      <c r="K1357" s="2"/>
      <c r="L1357" s="2"/>
      <c r="M1357" s="2"/>
      <c r="N1357" s="2"/>
      <c r="O1357" s="2"/>
      <c r="P1357" s="2"/>
      <c r="Q1357" s="5"/>
      <c r="R1357" s="5"/>
      <c r="S1357" s="5"/>
      <c r="T1357" s="5"/>
      <c r="U1357" s="4"/>
      <c r="V1357" s="2"/>
      <c r="W1357" s="5"/>
      <c r="X1357" s="4"/>
    </row>
    <row r="1358" spans="1:24">
      <c r="A1358" s="4"/>
      <c r="B1358" s="2"/>
      <c r="C1358" s="2"/>
      <c r="D1358" s="4"/>
      <c r="E1358" s="2"/>
      <c r="F1358" s="2"/>
      <c r="G1358" s="2"/>
      <c r="H1358" s="2"/>
      <c r="I1358" s="4"/>
      <c r="J1358" s="2"/>
      <c r="K1358" s="2"/>
      <c r="L1358" s="2"/>
      <c r="M1358" s="2"/>
      <c r="N1358" s="2"/>
      <c r="O1358" s="2"/>
      <c r="P1358" s="2"/>
      <c r="Q1358" s="5"/>
      <c r="R1358" s="5"/>
      <c r="S1358" s="5"/>
      <c r="T1358" s="5"/>
      <c r="U1358" s="4"/>
      <c r="V1358" s="2"/>
      <c r="W1358" s="5"/>
      <c r="X1358" s="4"/>
    </row>
    <row r="1359" spans="1:24">
      <c r="A1359" s="4"/>
      <c r="B1359" s="2"/>
      <c r="C1359" s="2"/>
      <c r="D1359" s="4"/>
      <c r="E1359" s="2"/>
      <c r="F1359" s="2"/>
      <c r="G1359" s="2"/>
      <c r="H1359" s="2"/>
      <c r="I1359" s="4"/>
      <c r="J1359" s="2"/>
      <c r="K1359" s="2"/>
      <c r="L1359" s="2"/>
      <c r="M1359" s="2"/>
      <c r="N1359" s="2"/>
      <c r="O1359" s="2"/>
      <c r="P1359" s="2"/>
      <c r="Q1359" s="5"/>
      <c r="R1359" s="5"/>
      <c r="S1359" s="5"/>
      <c r="T1359" s="5"/>
      <c r="U1359" s="4"/>
      <c r="V1359" s="2"/>
      <c r="W1359" s="5"/>
      <c r="X1359" s="4"/>
    </row>
    <row r="1360" spans="1:24">
      <c r="A1360" s="4"/>
      <c r="B1360" s="2"/>
      <c r="C1360" s="2"/>
      <c r="D1360" s="4"/>
      <c r="E1360" s="2"/>
      <c r="F1360" s="2"/>
      <c r="G1360" s="2"/>
      <c r="H1360" s="2"/>
      <c r="I1360" s="4"/>
      <c r="J1360" s="2"/>
      <c r="K1360" s="2"/>
      <c r="L1360" s="2"/>
      <c r="M1360" s="2"/>
      <c r="N1360" s="2"/>
      <c r="O1360" s="2"/>
      <c r="P1360" s="2"/>
      <c r="Q1360" s="5"/>
      <c r="R1360" s="5"/>
      <c r="S1360" s="5"/>
      <c r="T1360" s="5"/>
      <c r="U1360" s="4"/>
      <c r="V1360" s="2"/>
      <c r="W1360" s="5"/>
      <c r="X1360" s="4"/>
    </row>
    <row r="1361" spans="1:24">
      <c r="A1361" s="4"/>
      <c r="B1361" s="2"/>
      <c r="C1361" s="2"/>
      <c r="D1361" s="4"/>
      <c r="E1361" s="2"/>
      <c r="F1361" s="2"/>
      <c r="G1361" s="2"/>
      <c r="H1361" s="2"/>
      <c r="I1361" s="4"/>
      <c r="J1361" s="2"/>
      <c r="K1361" s="2"/>
      <c r="L1361" s="2"/>
      <c r="M1361" s="2"/>
      <c r="N1361" s="2"/>
      <c r="O1361" s="2"/>
      <c r="P1361" s="2"/>
      <c r="Q1361" s="5"/>
      <c r="R1361" s="5"/>
      <c r="S1361" s="5"/>
      <c r="T1361" s="5"/>
      <c r="U1361" s="4"/>
      <c r="V1361" s="2"/>
      <c r="W1361" s="5"/>
      <c r="X1361" s="4"/>
    </row>
    <row r="1362" spans="1:24">
      <c r="A1362" s="4"/>
      <c r="B1362" s="2"/>
      <c r="C1362" s="2"/>
      <c r="D1362" s="4"/>
      <c r="E1362" s="2"/>
      <c r="F1362" s="2"/>
      <c r="G1362" s="2"/>
      <c r="H1362" s="2"/>
      <c r="I1362" s="4"/>
      <c r="J1362" s="2"/>
      <c r="K1362" s="2"/>
      <c r="L1362" s="2"/>
      <c r="M1362" s="2"/>
      <c r="N1362" s="2"/>
      <c r="O1362" s="2"/>
      <c r="P1362" s="2"/>
      <c r="Q1362" s="5"/>
      <c r="R1362" s="5"/>
      <c r="S1362" s="5"/>
      <c r="T1362" s="5"/>
      <c r="U1362" s="4"/>
      <c r="V1362" s="2"/>
      <c r="W1362" s="5"/>
      <c r="X1362" s="4"/>
    </row>
    <row r="1363" spans="1:24">
      <c r="A1363" s="4"/>
      <c r="B1363" s="2"/>
      <c r="C1363" s="2"/>
      <c r="D1363" s="4"/>
      <c r="E1363" s="2"/>
      <c r="F1363" s="2"/>
      <c r="G1363" s="2"/>
      <c r="H1363" s="2"/>
      <c r="I1363" s="4"/>
      <c r="J1363" s="2"/>
      <c r="K1363" s="2"/>
      <c r="L1363" s="2"/>
      <c r="M1363" s="2"/>
      <c r="N1363" s="2"/>
      <c r="O1363" s="2"/>
      <c r="P1363" s="2"/>
      <c r="Q1363" s="5"/>
      <c r="R1363" s="5"/>
      <c r="S1363" s="5"/>
      <c r="T1363" s="5"/>
      <c r="U1363" s="4"/>
      <c r="V1363" s="2"/>
      <c r="W1363" s="5"/>
      <c r="X1363" s="4"/>
    </row>
    <row r="1364" spans="1:24">
      <c r="A1364" s="4"/>
      <c r="B1364" s="2"/>
      <c r="C1364" s="2"/>
      <c r="D1364" s="4"/>
      <c r="E1364" s="2"/>
      <c r="F1364" s="2"/>
      <c r="G1364" s="2"/>
      <c r="H1364" s="2"/>
      <c r="I1364" s="4"/>
      <c r="J1364" s="2"/>
      <c r="K1364" s="2"/>
      <c r="L1364" s="2"/>
      <c r="M1364" s="2"/>
      <c r="N1364" s="2"/>
      <c r="O1364" s="2"/>
      <c r="P1364" s="2"/>
      <c r="Q1364" s="5"/>
      <c r="R1364" s="5"/>
      <c r="S1364" s="5"/>
      <c r="T1364" s="5"/>
      <c r="U1364" s="4"/>
      <c r="V1364" s="2"/>
      <c r="W1364" s="5"/>
      <c r="X1364" s="4"/>
    </row>
    <row r="1365" spans="1:24">
      <c r="A1365" s="4"/>
      <c r="B1365" s="2"/>
      <c r="C1365" s="2"/>
      <c r="D1365" s="4"/>
      <c r="E1365" s="2"/>
      <c r="F1365" s="2"/>
      <c r="G1365" s="2"/>
      <c r="H1365" s="2"/>
      <c r="I1365" s="4"/>
      <c r="J1365" s="2"/>
      <c r="K1365" s="2"/>
      <c r="L1365" s="2"/>
      <c r="M1365" s="2"/>
      <c r="N1365" s="2"/>
      <c r="O1365" s="2"/>
      <c r="P1365" s="2"/>
      <c r="Q1365" s="5"/>
      <c r="R1365" s="5"/>
      <c r="S1365" s="5"/>
      <c r="T1365" s="5"/>
      <c r="U1365" s="4"/>
      <c r="V1365" s="2"/>
      <c r="W1365" s="5"/>
      <c r="X1365" s="4"/>
    </row>
    <row r="1366" spans="1:24">
      <c r="A1366" s="4"/>
      <c r="B1366" s="2"/>
      <c r="C1366" s="2"/>
      <c r="D1366" s="4"/>
      <c r="E1366" s="2"/>
      <c r="F1366" s="2"/>
      <c r="G1366" s="2"/>
      <c r="H1366" s="2"/>
      <c r="I1366" s="4"/>
      <c r="J1366" s="2"/>
      <c r="K1366" s="2"/>
      <c r="L1366" s="2"/>
      <c r="M1366" s="2"/>
      <c r="N1366" s="2"/>
      <c r="O1366" s="2"/>
      <c r="P1366" s="2"/>
      <c r="Q1366" s="5"/>
      <c r="R1366" s="5"/>
      <c r="S1366" s="5"/>
      <c r="T1366" s="5"/>
      <c r="U1366" s="4"/>
      <c r="V1366" s="2"/>
      <c r="W1366" s="5"/>
      <c r="X1366" s="4"/>
    </row>
    <row r="1367" spans="1:24">
      <c r="A1367" s="4"/>
      <c r="B1367" s="2"/>
      <c r="C1367" s="2"/>
      <c r="D1367" s="4"/>
      <c r="E1367" s="2"/>
      <c r="F1367" s="2"/>
      <c r="G1367" s="2"/>
      <c r="H1367" s="2"/>
      <c r="I1367" s="4"/>
      <c r="J1367" s="2"/>
      <c r="K1367" s="2"/>
      <c r="L1367" s="2"/>
      <c r="M1367" s="2"/>
      <c r="N1367" s="2"/>
      <c r="O1367" s="2"/>
      <c r="P1367" s="2"/>
      <c r="Q1367" s="5"/>
      <c r="R1367" s="5"/>
      <c r="S1367" s="5"/>
      <c r="T1367" s="5"/>
      <c r="U1367" s="4"/>
      <c r="V1367" s="2"/>
      <c r="W1367" s="5"/>
      <c r="X1367" s="4"/>
    </row>
    <row r="1368" spans="1:24">
      <c r="A1368" s="4"/>
      <c r="B1368" s="2"/>
      <c r="C1368" s="2"/>
      <c r="D1368" s="4"/>
      <c r="E1368" s="2"/>
      <c r="F1368" s="2"/>
      <c r="G1368" s="2"/>
      <c r="H1368" s="2"/>
      <c r="I1368" s="4"/>
      <c r="J1368" s="2"/>
      <c r="K1368" s="2"/>
      <c r="L1368" s="2"/>
      <c r="M1368" s="2"/>
      <c r="N1368" s="2"/>
      <c r="O1368" s="2"/>
      <c r="P1368" s="2"/>
      <c r="Q1368" s="5"/>
      <c r="R1368" s="5"/>
      <c r="S1368" s="5"/>
      <c r="T1368" s="5"/>
      <c r="U1368" s="4"/>
      <c r="V1368" s="2"/>
      <c r="W1368" s="5"/>
      <c r="X1368" s="4"/>
    </row>
    <row r="1369" spans="1:24">
      <c r="A1369" s="4"/>
      <c r="B1369" s="2"/>
      <c r="C1369" s="2"/>
      <c r="D1369" s="4"/>
      <c r="E1369" s="2"/>
      <c r="F1369" s="2"/>
      <c r="G1369" s="2"/>
      <c r="H1369" s="2"/>
      <c r="I1369" s="4"/>
      <c r="J1369" s="2"/>
      <c r="K1369" s="2"/>
      <c r="L1369" s="2"/>
      <c r="M1369" s="2"/>
      <c r="N1369" s="2"/>
      <c r="O1369" s="2"/>
      <c r="P1369" s="2"/>
      <c r="Q1369" s="5"/>
      <c r="R1369" s="5"/>
      <c r="S1369" s="5"/>
      <c r="T1369" s="5"/>
      <c r="U1369" s="4"/>
      <c r="V1369" s="2"/>
      <c r="W1369" s="5"/>
      <c r="X1369" s="4"/>
    </row>
    <row r="1370" spans="1:24">
      <c r="A1370" s="4"/>
      <c r="B1370" s="2"/>
      <c r="C1370" s="2"/>
      <c r="D1370" s="4"/>
      <c r="E1370" s="2"/>
      <c r="F1370" s="2"/>
      <c r="G1370" s="2"/>
      <c r="H1370" s="2"/>
      <c r="I1370" s="4"/>
      <c r="J1370" s="2"/>
      <c r="K1370" s="2"/>
      <c r="L1370" s="2"/>
      <c r="M1370" s="2"/>
      <c r="N1370" s="2"/>
      <c r="O1370" s="2"/>
      <c r="P1370" s="2"/>
      <c r="Q1370" s="5"/>
      <c r="R1370" s="5"/>
      <c r="S1370" s="5"/>
      <c r="T1370" s="5"/>
      <c r="U1370" s="4"/>
      <c r="V1370" s="2"/>
      <c r="W1370" s="5"/>
      <c r="X1370" s="4"/>
    </row>
    <row r="1371" spans="1:24">
      <c r="A1371" s="4"/>
      <c r="B1371" s="2"/>
      <c r="C1371" s="2"/>
      <c r="D1371" s="4"/>
      <c r="E1371" s="2"/>
      <c r="F1371" s="2"/>
      <c r="G1371" s="2"/>
      <c r="H1371" s="2"/>
      <c r="I1371" s="4"/>
      <c r="J1371" s="2"/>
      <c r="K1371" s="2"/>
      <c r="L1371" s="2"/>
      <c r="M1371" s="2"/>
      <c r="N1371" s="2"/>
      <c r="O1371" s="2"/>
      <c r="P1371" s="2"/>
      <c r="Q1371" s="5"/>
      <c r="R1371" s="5"/>
      <c r="S1371" s="5"/>
      <c r="T1371" s="5"/>
      <c r="U1371" s="4"/>
      <c r="V1371" s="2"/>
      <c r="W1371" s="5"/>
      <c r="X1371" s="4"/>
    </row>
    <row r="1372" spans="1:24">
      <c r="A1372" s="4"/>
      <c r="B1372" s="2"/>
      <c r="C1372" s="2"/>
      <c r="D1372" s="4"/>
      <c r="E1372" s="2"/>
      <c r="F1372" s="2"/>
      <c r="G1372" s="2"/>
      <c r="H1372" s="2"/>
      <c r="I1372" s="4"/>
      <c r="J1372" s="2"/>
      <c r="K1372" s="2"/>
      <c r="L1372" s="2"/>
      <c r="M1372" s="2"/>
      <c r="N1372" s="2"/>
      <c r="O1372" s="2"/>
      <c r="P1372" s="2"/>
      <c r="Q1372" s="5"/>
      <c r="R1372" s="5"/>
      <c r="S1372" s="5"/>
      <c r="T1372" s="5"/>
      <c r="U1372" s="4"/>
      <c r="V1372" s="2"/>
      <c r="W1372" s="5"/>
      <c r="X1372" s="4"/>
    </row>
    <row r="1373" spans="1:24">
      <c r="A1373" s="4"/>
      <c r="B1373" s="2"/>
      <c r="C1373" s="2"/>
      <c r="D1373" s="4"/>
      <c r="E1373" s="2"/>
      <c r="F1373" s="2"/>
      <c r="G1373" s="2"/>
      <c r="H1373" s="2"/>
      <c r="I1373" s="4"/>
      <c r="J1373" s="2"/>
      <c r="K1373" s="2"/>
      <c r="L1373" s="2"/>
      <c r="M1373" s="2"/>
      <c r="N1373" s="2"/>
      <c r="O1373" s="2"/>
      <c r="P1373" s="2"/>
      <c r="Q1373" s="5"/>
      <c r="R1373" s="5"/>
      <c r="S1373" s="5"/>
      <c r="T1373" s="5"/>
      <c r="U1373" s="4"/>
      <c r="V1373" s="2"/>
      <c r="W1373" s="5"/>
      <c r="X1373" s="4"/>
    </row>
    <row r="1374" spans="1:24">
      <c r="A1374" s="4"/>
      <c r="B1374" s="2"/>
      <c r="C1374" s="2"/>
      <c r="D1374" s="4"/>
      <c r="E1374" s="2"/>
      <c r="F1374" s="2"/>
      <c r="G1374" s="2"/>
      <c r="H1374" s="2"/>
      <c r="I1374" s="4"/>
      <c r="J1374" s="2"/>
      <c r="K1374" s="2"/>
      <c r="L1374" s="2"/>
      <c r="M1374" s="2"/>
      <c r="N1374" s="2"/>
      <c r="O1374" s="2"/>
      <c r="P1374" s="2"/>
      <c r="Q1374" s="5"/>
      <c r="R1374" s="5"/>
      <c r="S1374" s="5"/>
      <c r="T1374" s="5"/>
      <c r="U1374" s="4"/>
      <c r="V1374" s="2"/>
      <c r="W1374" s="5"/>
      <c r="X1374" s="4"/>
    </row>
    <row r="1375" spans="1:24">
      <c r="A1375" s="4"/>
      <c r="B1375" s="2"/>
      <c r="C1375" s="2"/>
      <c r="D1375" s="4"/>
      <c r="E1375" s="2"/>
      <c r="F1375" s="2"/>
      <c r="G1375" s="2"/>
      <c r="H1375" s="2"/>
      <c r="I1375" s="4"/>
      <c r="J1375" s="2"/>
      <c r="K1375" s="2"/>
      <c r="L1375" s="2"/>
      <c r="M1375" s="2"/>
      <c r="N1375" s="2"/>
      <c r="O1375" s="2"/>
      <c r="P1375" s="2"/>
      <c r="Q1375" s="5"/>
      <c r="R1375" s="5"/>
      <c r="S1375" s="5"/>
      <c r="T1375" s="5"/>
      <c r="U1375" s="4"/>
      <c r="V1375" s="2"/>
      <c r="W1375" s="5"/>
      <c r="X1375" s="4"/>
    </row>
    <row r="1376" spans="1:24">
      <c r="A1376" s="4"/>
      <c r="B1376" s="2"/>
      <c r="C1376" s="2"/>
      <c r="D1376" s="4"/>
      <c r="E1376" s="2"/>
      <c r="F1376" s="2"/>
      <c r="G1376" s="2"/>
      <c r="H1376" s="2"/>
      <c r="I1376" s="4"/>
      <c r="J1376" s="2"/>
      <c r="K1376" s="2"/>
      <c r="L1376" s="2"/>
      <c r="M1376" s="2"/>
      <c r="N1376" s="2"/>
      <c r="O1376" s="2"/>
      <c r="P1376" s="2"/>
      <c r="Q1376" s="5"/>
      <c r="R1376" s="5"/>
      <c r="S1376" s="5"/>
      <c r="T1376" s="5"/>
      <c r="U1376" s="4"/>
      <c r="V1376" s="2"/>
      <c r="W1376" s="5"/>
      <c r="X1376" s="4"/>
    </row>
    <row r="1377" spans="1:24">
      <c r="A1377" s="4"/>
      <c r="B1377" s="2"/>
      <c r="C1377" s="2"/>
      <c r="D1377" s="4"/>
      <c r="E1377" s="2"/>
      <c r="F1377" s="2"/>
      <c r="G1377" s="2"/>
      <c r="H1377" s="2"/>
      <c r="I1377" s="4"/>
      <c r="J1377" s="2"/>
      <c r="K1377" s="2"/>
      <c r="L1377" s="2"/>
      <c r="M1377" s="2"/>
      <c r="N1377" s="2"/>
      <c r="O1377" s="2"/>
      <c r="P1377" s="2"/>
      <c r="Q1377" s="5"/>
      <c r="R1377" s="5"/>
      <c r="S1377" s="5"/>
      <c r="T1377" s="5"/>
      <c r="U1377" s="4"/>
      <c r="V1377" s="2"/>
      <c r="W1377" s="5"/>
      <c r="X1377" s="4"/>
    </row>
    <row r="1378" spans="1:24">
      <c r="A1378" s="4"/>
      <c r="B1378" s="2"/>
      <c r="C1378" s="2"/>
      <c r="D1378" s="4"/>
      <c r="E1378" s="2"/>
      <c r="F1378" s="2"/>
      <c r="G1378" s="2"/>
      <c r="H1378" s="2"/>
      <c r="I1378" s="4"/>
      <c r="J1378" s="2"/>
      <c r="K1378" s="2"/>
      <c r="L1378" s="2"/>
      <c r="M1378" s="2"/>
      <c r="N1378" s="2"/>
      <c r="O1378" s="2"/>
      <c r="P1378" s="2"/>
      <c r="Q1378" s="5"/>
      <c r="R1378" s="5"/>
      <c r="S1378" s="5"/>
      <c r="T1378" s="5"/>
      <c r="U1378" s="4"/>
      <c r="V1378" s="2"/>
      <c r="W1378" s="5"/>
      <c r="X1378" s="4"/>
    </row>
    <row r="1379" spans="1:24">
      <c r="A1379" s="4"/>
      <c r="B1379" s="2"/>
      <c r="C1379" s="2"/>
      <c r="D1379" s="4"/>
      <c r="E1379" s="2"/>
      <c r="F1379" s="2"/>
      <c r="G1379" s="2"/>
      <c r="H1379" s="2"/>
      <c r="I1379" s="4"/>
      <c r="J1379" s="2"/>
      <c r="K1379" s="2"/>
      <c r="L1379" s="2"/>
      <c r="M1379" s="2"/>
      <c r="N1379" s="2"/>
      <c r="O1379" s="2"/>
      <c r="P1379" s="2"/>
      <c r="Q1379" s="5"/>
      <c r="R1379" s="5"/>
      <c r="S1379" s="5"/>
      <c r="T1379" s="5"/>
      <c r="U1379" s="4"/>
      <c r="V1379" s="2"/>
      <c r="W1379" s="5"/>
      <c r="X1379" s="4"/>
    </row>
    <row r="1380" spans="1:24">
      <c r="A1380" s="4"/>
      <c r="B1380" s="2"/>
      <c r="C1380" s="2"/>
      <c r="D1380" s="4"/>
      <c r="E1380" s="2"/>
      <c r="F1380" s="2"/>
      <c r="G1380" s="2"/>
      <c r="H1380" s="2"/>
      <c r="I1380" s="4"/>
      <c r="J1380" s="2"/>
      <c r="K1380" s="2"/>
      <c r="L1380" s="2"/>
      <c r="M1380" s="2"/>
      <c r="N1380" s="2"/>
      <c r="O1380" s="2"/>
      <c r="P1380" s="2"/>
      <c r="Q1380" s="5"/>
      <c r="R1380" s="5"/>
      <c r="S1380" s="5"/>
      <c r="T1380" s="5"/>
      <c r="U1380" s="4"/>
      <c r="V1380" s="2"/>
      <c r="W1380" s="5"/>
      <c r="X1380" s="4"/>
    </row>
    <row r="1381" spans="1:24">
      <c r="A1381" s="4"/>
      <c r="B1381" s="2"/>
      <c r="C1381" s="2"/>
      <c r="D1381" s="4"/>
      <c r="E1381" s="2"/>
      <c r="F1381" s="2"/>
      <c r="G1381" s="2"/>
      <c r="H1381" s="2"/>
      <c r="I1381" s="4"/>
      <c r="J1381" s="2"/>
      <c r="K1381" s="2"/>
      <c r="L1381" s="2"/>
      <c r="M1381" s="2"/>
      <c r="N1381" s="2"/>
      <c r="O1381" s="2"/>
      <c r="P1381" s="2"/>
      <c r="Q1381" s="5"/>
      <c r="R1381" s="5"/>
      <c r="S1381" s="5"/>
      <c r="T1381" s="5"/>
      <c r="U1381" s="4"/>
      <c r="V1381" s="2"/>
      <c r="W1381" s="5"/>
      <c r="X1381" s="4"/>
    </row>
    <row r="1382" spans="1:24">
      <c r="A1382" s="4"/>
      <c r="B1382" s="2"/>
      <c r="C1382" s="2"/>
      <c r="D1382" s="4"/>
      <c r="E1382" s="2"/>
      <c r="F1382" s="2"/>
      <c r="G1382" s="2"/>
      <c r="H1382" s="2"/>
      <c r="I1382" s="4"/>
      <c r="J1382" s="2"/>
      <c r="K1382" s="2"/>
      <c r="L1382" s="2"/>
      <c r="M1382" s="2"/>
      <c r="N1382" s="2"/>
      <c r="O1382" s="2"/>
      <c r="P1382" s="2"/>
      <c r="Q1382" s="5"/>
      <c r="R1382" s="5"/>
      <c r="S1382" s="5"/>
      <c r="T1382" s="5"/>
      <c r="U1382" s="4"/>
      <c r="V1382" s="2"/>
      <c r="W1382" s="5"/>
      <c r="X1382" s="4"/>
    </row>
    <row r="1383" spans="1:24">
      <c r="A1383" s="4"/>
      <c r="B1383" s="2"/>
      <c r="C1383" s="2"/>
      <c r="D1383" s="4"/>
      <c r="E1383" s="2"/>
      <c r="F1383" s="2"/>
      <c r="G1383" s="2"/>
      <c r="H1383" s="2"/>
      <c r="I1383" s="4"/>
      <c r="J1383" s="2"/>
      <c r="K1383" s="2"/>
      <c r="L1383" s="2"/>
      <c r="M1383" s="2"/>
      <c r="N1383" s="2"/>
      <c r="O1383" s="2"/>
      <c r="P1383" s="2"/>
      <c r="Q1383" s="5"/>
      <c r="R1383" s="5"/>
      <c r="S1383" s="5"/>
      <c r="T1383" s="5"/>
      <c r="U1383" s="4"/>
      <c r="V1383" s="2"/>
      <c r="W1383" s="5"/>
      <c r="X1383" s="4"/>
    </row>
    <row r="1384" spans="1:24">
      <c r="A1384" s="4"/>
      <c r="B1384" s="2"/>
      <c r="C1384" s="2"/>
      <c r="D1384" s="4"/>
      <c r="E1384" s="2"/>
      <c r="F1384" s="2"/>
      <c r="G1384" s="2"/>
      <c r="H1384" s="2"/>
      <c r="I1384" s="4"/>
      <c r="J1384" s="2"/>
      <c r="K1384" s="2"/>
      <c r="L1384" s="2"/>
      <c r="M1384" s="2"/>
      <c r="N1384" s="2"/>
      <c r="O1384" s="2"/>
      <c r="P1384" s="2"/>
      <c r="Q1384" s="5"/>
      <c r="R1384" s="5"/>
      <c r="S1384" s="5"/>
      <c r="T1384" s="5"/>
      <c r="U1384" s="4"/>
      <c r="V1384" s="2"/>
      <c r="W1384" s="5"/>
      <c r="X1384" s="4"/>
    </row>
    <row r="1385" spans="1:24">
      <c r="A1385" s="4"/>
      <c r="B1385" s="2"/>
      <c r="C1385" s="2"/>
      <c r="D1385" s="4"/>
      <c r="E1385" s="2"/>
      <c r="F1385" s="2"/>
      <c r="G1385" s="2"/>
      <c r="H1385" s="2"/>
      <c r="I1385" s="4"/>
      <c r="J1385" s="2"/>
      <c r="K1385" s="2"/>
      <c r="L1385" s="2"/>
      <c r="M1385" s="2"/>
      <c r="N1385" s="2"/>
      <c r="O1385" s="2"/>
      <c r="P1385" s="2"/>
      <c r="Q1385" s="5"/>
      <c r="R1385" s="5"/>
      <c r="S1385" s="5"/>
      <c r="T1385" s="5"/>
      <c r="U1385" s="4"/>
      <c r="V1385" s="2"/>
      <c r="W1385" s="5"/>
      <c r="X1385" s="4"/>
    </row>
    <row r="1386" spans="1:24">
      <c r="A1386" s="4"/>
      <c r="B1386" s="2"/>
      <c r="C1386" s="2"/>
      <c r="D1386" s="4"/>
      <c r="E1386" s="2"/>
      <c r="F1386" s="2"/>
      <c r="G1386" s="2"/>
      <c r="H1386" s="2"/>
      <c r="I1386" s="4"/>
      <c r="J1386" s="2"/>
      <c r="K1386" s="2"/>
      <c r="L1386" s="2"/>
      <c r="M1386" s="2"/>
      <c r="N1386" s="2"/>
      <c r="O1386" s="2"/>
      <c r="P1386" s="2"/>
      <c r="Q1386" s="5"/>
      <c r="R1386" s="5"/>
      <c r="S1386" s="5"/>
      <c r="T1386" s="5"/>
      <c r="U1386" s="4"/>
      <c r="V1386" s="2"/>
      <c r="W1386" s="5"/>
      <c r="X1386" s="4"/>
    </row>
    <row r="1387" spans="1:24">
      <c r="A1387" s="4"/>
      <c r="B1387" s="2"/>
      <c r="C1387" s="2"/>
      <c r="D1387" s="4"/>
      <c r="E1387" s="2"/>
      <c r="F1387" s="2"/>
      <c r="G1387" s="2"/>
      <c r="H1387" s="2"/>
      <c r="I1387" s="4"/>
      <c r="J1387" s="2"/>
      <c r="K1387" s="2"/>
      <c r="L1387" s="2"/>
      <c r="M1387" s="2"/>
      <c r="N1387" s="2"/>
      <c r="O1387" s="2"/>
      <c r="P1387" s="2"/>
      <c r="Q1387" s="5"/>
      <c r="R1387" s="5"/>
      <c r="S1387" s="5"/>
      <c r="T1387" s="5"/>
      <c r="U1387" s="4"/>
      <c r="V1387" s="2"/>
      <c r="W1387" s="5"/>
      <c r="X1387" s="4"/>
    </row>
    <row r="1388" spans="1:24">
      <c r="A1388" s="4"/>
      <c r="B1388" s="2"/>
      <c r="C1388" s="2"/>
      <c r="D1388" s="4"/>
      <c r="E1388" s="2"/>
      <c r="F1388" s="2"/>
      <c r="G1388" s="2"/>
      <c r="H1388" s="2"/>
      <c r="I1388" s="4"/>
      <c r="J1388" s="2"/>
      <c r="K1388" s="2"/>
      <c r="L1388" s="2"/>
      <c r="M1388" s="2"/>
      <c r="N1388" s="2"/>
      <c r="O1388" s="2"/>
      <c r="P1388" s="2"/>
      <c r="Q1388" s="5"/>
      <c r="R1388" s="5"/>
      <c r="S1388" s="5"/>
      <c r="T1388" s="5"/>
      <c r="U1388" s="4"/>
      <c r="V1388" s="2"/>
      <c r="W1388" s="5"/>
      <c r="X1388" s="4"/>
    </row>
    <row r="1389" spans="1:24">
      <c r="A1389" s="4"/>
      <c r="B1389" s="2"/>
      <c r="C1389" s="2"/>
      <c r="D1389" s="4"/>
      <c r="E1389" s="2"/>
      <c r="F1389" s="2"/>
      <c r="G1389" s="2"/>
      <c r="H1389" s="2"/>
      <c r="I1389" s="4"/>
      <c r="J1389" s="2"/>
      <c r="K1389" s="2"/>
      <c r="L1389" s="2"/>
      <c r="M1389" s="2"/>
      <c r="N1389" s="2"/>
      <c r="O1389" s="2"/>
      <c r="P1389" s="2"/>
      <c r="Q1389" s="5"/>
      <c r="R1389" s="5"/>
      <c r="S1389" s="5"/>
      <c r="T1389" s="5"/>
      <c r="U1389" s="4"/>
      <c r="V1389" s="2"/>
      <c r="W1389" s="5"/>
      <c r="X1389" s="4"/>
    </row>
    <row r="1390" spans="1:24">
      <c r="A1390" s="4"/>
      <c r="B1390" s="2"/>
      <c r="C1390" s="2"/>
      <c r="D1390" s="4"/>
      <c r="E1390" s="2"/>
      <c r="F1390" s="2"/>
      <c r="G1390" s="2"/>
      <c r="H1390" s="2"/>
      <c r="I1390" s="4"/>
      <c r="J1390" s="2"/>
      <c r="K1390" s="2"/>
      <c r="L1390" s="2"/>
      <c r="M1390" s="2"/>
      <c r="N1390" s="2"/>
      <c r="O1390" s="2"/>
      <c r="P1390" s="2"/>
      <c r="Q1390" s="5"/>
      <c r="R1390" s="5"/>
      <c r="S1390" s="5"/>
      <c r="T1390" s="5"/>
      <c r="U1390" s="4"/>
      <c r="V1390" s="2"/>
      <c r="W1390" s="5"/>
      <c r="X1390" s="4"/>
    </row>
    <row r="1391" spans="1:24">
      <c r="A1391" s="4"/>
      <c r="B1391" s="2"/>
      <c r="C1391" s="2"/>
      <c r="D1391" s="4"/>
      <c r="E1391" s="2"/>
      <c r="F1391" s="2"/>
      <c r="G1391" s="2"/>
      <c r="H1391" s="2"/>
      <c r="I1391" s="4"/>
      <c r="J1391" s="2"/>
      <c r="K1391" s="2"/>
      <c r="L1391" s="2"/>
      <c r="M1391" s="2"/>
      <c r="N1391" s="2"/>
      <c r="O1391" s="2"/>
      <c r="P1391" s="2"/>
      <c r="Q1391" s="5"/>
      <c r="R1391" s="5"/>
      <c r="S1391" s="5"/>
      <c r="T1391" s="5"/>
      <c r="U1391" s="4"/>
      <c r="V1391" s="2"/>
      <c r="W1391" s="5"/>
      <c r="X1391" s="4"/>
    </row>
    <row r="1392" spans="1:24">
      <c r="A1392" s="4"/>
      <c r="B1392" s="2"/>
      <c r="C1392" s="2"/>
      <c r="D1392" s="4"/>
      <c r="E1392" s="2"/>
      <c r="F1392" s="2"/>
      <c r="G1392" s="2"/>
      <c r="H1392" s="2"/>
      <c r="I1392" s="4"/>
      <c r="J1392" s="2"/>
      <c r="K1392" s="2"/>
      <c r="L1392" s="2"/>
      <c r="M1392" s="2"/>
      <c r="N1392" s="2"/>
      <c r="O1392" s="2"/>
      <c r="P1392" s="2"/>
      <c r="Q1392" s="5"/>
      <c r="R1392" s="5"/>
      <c r="S1392" s="5"/>
      <c r="T1392" s="5"/>
      <c r="U1392" s="4"/>
      <c r="V1392" s="2"/>
      <c r="W1392" s="5"/>
      <c r="X1392" s="4"/>
    </row>
    <row r="1393" spans="1:24">
      <c r="A1393" s="4"/>
      <c r="B1393" s="2"/>
      <c r="C1393" s="2"/>
      <c r="D1393" s="4"/>
      <c r="E1393" s="2"/>
      <c r="F1393" s="2"/>
      <c r="G1393" s="2"/>
      <c r="H1393" s="2"/>
      <c r="I1393" s="4"/>
      <c r="J1393" s="2"/>
      <c r="K1393" s="2"/>
      <c r="L1393" s="2"/>
      <c r="M1393" s="2"/>
      <c r="N1393" s="2"/>
      <c r="O1393" s="2"/>
      <c r="P1393" s="2"/>
      <c r="Q1393" s="5"/>
      <c r="R1393" s="5"/>
      <c r="S1393" s="5"/>
      <c r="T1393" s="5"/>
      <c r="U1393" s="4"/>
      <c r="V1393" s="2"/>
      <c r="W1393" s="5"/>
      <c r="X1393" s="4"/>
    </row>
    <row r="1394" spans="1:24">
      <c r="A1394" s="4"/>
      <c r="B1394" s="2"/>
      <c r="C1394" s="2"/>
      <c r="D1394" s="4"/>
      <c r="E1394" s="2"/>
      <c r="F1394" s="2"/>
      <c r="G1394" s="2"/>
      <c r="H1394" s="2"/>
      <c r="I1394" s="4"/>
      <c r="J1394" s="2"/>
      <c r="K1394" s="2"/>
      <c r="L1394" s="2"/>
      <c r="M1394" s="2"/>
      <c r="N1394" s="2"/>
      <c r="O1394" s="2"/>
      <c r="P1394" s="2"/>
      <c r="Q1394" s="5"/>
      <c r="R1394" s="5"/>
      <c r="S1394" s="5"/>
      <c r="T1394" s="5"/>
      <c r="U1394" s="4"/>
      <c r="V1394" s="2"/>
      <c r="W1394" s="5"/>
      <c r="X1394" s="4"/>
    </row>
    <row r="1395" spans="1:24">
      <c r="A1395" s="4"/>
      <c r="B1395" s="2"/>
      <c r="C1395" s="2"/>
      <c r="D1395" s="4"/>
      <c r="E1395" s="2"/>
      <c r="F1395" s="2"/>
      <c r="G1395" s="2"/>
      <c r="H1395" s="2"/>
      <c r="I1395" s="4"/>
      <c r="J1395" s="2"/>
      <c r="K1395" s="2"/>
      <c r="L1395" s="2"/>
      <c r="M1395" s="2"/>
      <c r="N1395" s="2"/>
      <c r="O1395" s="2"/>
      <c r="P1395" s="2"/>
      <c r="Q1395" s="5"/>
      <c r="R1395" s="5"/>
      <c r="S1395" s="5"/>
      <c r="T1395" s="5"/>
      <c r="U1395" s="4"/>
      <c r="V1395" s="2"/>
      <c r="W1395" s="5"/>
      <c r="X1395" s="4"/>
    </row>
    <row r="1396" spans="1:24">
      <c r="A1396" s="4"/>
      <c r="B1396" s="2"/>
      <c r="C1396" s="2"/>
      <c r="D1396" s="4"/>
      <c r="E1396" s="2"/>
      <c r="F1396" s="2"/>
      <c r="G1396" s="2"/>
      <c r="H1396" s="2"/>
      <c r="I1396" s="4"/>
      <c r="J1396" s="2"/>
      <c r="K1396" s="2"/>
      <c r="L1396" s="2"/>
      <c r="M1396" s="2"/>
      <c r="N1396" s="2"/>
      <c r="O1396" s="2"/>
      <c r="P1396" s="2"/>
      <c r="Q1396" s="5"/>
      <c r="R1396" s="5"/>
      <c r="S1396" s="5"/>
      <c r="T1396" s="5"/>
      <c r="U1396" s="4"/>
      <c r="V1396" s="2"/>
      <c r="W1396" s="5"/>
      <c r="X1396" s="4"/>
    </row>
    <row r="1397" spans="1:24">
      <c r="A1397" s="4"/>
      <c r="B1397" s="2"/>
      <c r="C1397" s="2"/>
      <c r="D1397" s="4"/>
      <c r="E1397" s="2"/>
      <c r="F1397" s="2"/>
      <c r="G1397" s="2"/>
      <c r="H1397" s="2"/>
      <c r="I1397" s="4"/>
      <c r="J1397" s="2"/>
      <c r="K1397" s="2"/>
      <c r="L1397" s="2"/>
      <c r="M1397" s="2"/>
      <c r="N1397" s="2"/>
      <c r="O1397" s="2"/>
      <c r="P1397" s="2"/>
      <c r="Q1397" s="5"/>
      <c r="R1397" s="5"/>
      <c r="S1397" s="5"/>
      <c r="T1397" s="5"/>
      <c r="U1397" s="4"/>
      <c r="V1397" s="2"/>
      <c r="W1397" s="5"/>
      <c r="X1397" s="4"/>
    </row>
    <row r="1398" spans="1:24">
      <c r="A1398" s="4"/>
      <c r="B1398" s="2"/>
      <c r="C1398" s="2"/>
      <c r="D1398" s="4"/>
      <c r="E1398" s="2"/>
      <c r="F1398" s="2"/>
      <c r="G1398" s="2"/>
      <c r="H1398" s="2"/>
      <c r="I1398" s="4"/>
      <c r="J1398" s="2"/>
      <c r="K1398" s="2"/>
      <c r="L1398" s="2"/>
      <c r="M1398" s="2"/>
      <c r="N1398" s="2"/>
      <c r="O1398" s="2"/>
      <c r="P1398" s="2"/>
      <c r="Q1398" s="5"/>
      <c r="R1398" s="5"/>
      <c r="S1398" s="5"/>
      <c r="T1398" s="5"/>
      <c r="U1398" s="4"/>
      <c r="V1398" s="2"/>
      <c r="W1398" s="5"/>
      <c r="X1398" s="4"/>
    </row>
    <row r="1399" spans="1:24">
      <c r="A1399" s="4"/>
      <c r="B1399" s="2"/>
      <c r="C1399" s="2"/>
      <c r="D1399" s="4"/>
      <c r="E1399" s="2"/>
      <c r="F1399" s="2"/>
      <c r="G1399" s="2"/>
      <c r="H1399" s="2"/>
      <c r="I1399" s="4"/>
      <c r="J1399" s="2"/>
      <c r="K1399" s="2"/>
      <c r="L1399" s="2"/>
      <c r="M1399" s="2"/>
      <c r="N1399" s="2"/>
      <c r="O1399" s="2"/>
      <c r="P1399" s="2"/>
      <c r="Q1399" s="5"/>
      <c r="R1399" s="5"/>
      <c r="S1399" s="5"/>
      <c r="T1399" s="5"/>
      <c r="U1399" s="4"/>
      <c r="V1399" s="2"/>
      <c r="W1399" s="5"/>
      <c r="X1399" s="4"/>
    </row>
    <row r="1400" spans="1:24">
      <c r="A1400" s="4"/>
      <c r="B1400" s="2"/>
      <c r="C1400" s="2"/>
      <c r="D1400" s="4"/>
      <c r="E1400" s="2"/>
      <c r="F1400" s="2"/>
      <c r="G1400" s="2"/>
      <c r="H1400" s="2"/>
      <c r="I1400" s="4"/>
      <c r="J1400" s="2"/>
      <c r="K1400" s="2"/>
      <c r="L1400" s="2"/>
      <c r="M1400" s="2"/>
      <c r="N1400" s="2"/>
      <c r="O1400" s="2"/>
      <c r="P1400" s="2"/>
      <c r="Q1400" s="5"/>
      <c r="R1400" s="5"/>
      <c r="S1400" s="5"/>
      <c r="T1400" s="5"/>
      <c r="U1400" s="4"/>
      <c r="V1400" s="2"/>
      <c r="W1400" s="5"/>
      <c r="X1400" s="4"/>
    </row>
    <row r="1401" spans="1:24">
      <c r="A1401" s="4"/>
      <c r="B1401" s="2"/>
      <c r="C1401" s="2"/>
      <c r="D1401" s="4"/>
      <c r="E1401" s="2"/>
      <c r="F1401" s="2"/>
      <c r="G1401" s="2"/>
      <c r="H1401" s="2"/>
      <c r="I1401" s="4"/>
      <c r="J1401" s="2"/>
      <c r="K1401" s="2"/>
      <c r="L1401" s="2"/>
      <c r="M1401" s="2"/>
      <c r="N1401" s="2"/>
      <c r="O1401" s="2"/>
      <c r="P1401" s="2"/>
      <c r="Q1401" s="5"/>
      <c r="R1401" s="5"/>
      <c r="S1401" s="5"/>
      <c r="T1401" s="5"/>
      <c r="U1401" s="4"/>
      <c r="V1401" s="2"/>
      <c r="W1401" s="5"/>
      <c r="X1401" s="4"/>
    </row>
    <row r="1402" spans="1:24">
      <c r="A1402" s="7"/>
      <c r="D1402" s="7"/>
      <c r="I1402" s="7"/>
      <c r="Q1402" s="8"/>
      <c r="R1402" s="8"/>
      <c r="S1402" s="8"/>
      <c r="T1402" s="8"/>
      <c r="U1402" s="7"/>
      <c r="W1402" s="8"/>
      <c r="X1402" s="7"/>
    </row>
    <row r="1403" spans="1:24">
      <c r="A1403" s="7"/>
      <c r="D1403" s="7"/>
      <c r="I1403" s="7"/>
      <c r="Q1403" s="8"/>
      <c r="R1403" s="8"/>
      <c r="S1403" s="8"/>
      <c r="T1403" s="8"/>
      <c r="U1403" s="7"/>
      <c r="W1403" s="8"/>
      <c r="X1403" s="7"/>
    </row>
    <row r="1404" spans="1:24">
      <c r="A1404" s="7"/>
      <c r="D1404" s="7"/>
      <c r="I1404" s="7"/>
      <c r="Q1404" s="8"/>
      <c r="R1404" s="8"/>
      <c r="S1404" s="8"/>
      <c r="T1404" s="8"/>
      <c r="U1404" s="7"/>
      <c r="W1404" s="8"/>
      <c r="X1404" s="7"/>
    </row>
    <row r="1405" spans="1:24">
      <c r="A1405" s="7"/>
      <c r="D1405" s="7"/>
      <c r="I1405" s="7"/>
      <c r="Q1405" s="8"/>
      <c r="R1405" s="8"/>
      <c r="S1405" s="8"/>
      <c r="T1405" s="8"/>
      <c r="U1405" s="7"/>
      <c r="W1405" s="8"/>
      <c r="X1405" s="7"/>
    </row>
    <row r="1406" spans="1:24">
      <c r="A1406" s="7"/>
      <c r="D1406" s="7"/>
      <c r="I1406" s="7"/>
      <c r="Q1406" s="8"/>
      <c r="R1406" s="8"/>
      <c r="S1406" s="8"/>
      <c r="T1406" s="8"/>
      <c r="U1406" s="7"/>
      <c r="W1406" s="8"/>
      <c r="X1406" s="7"/>
    </row>
    <row r="1407" spans="1:24">
      <c r="A1407" s="7"/>
      <c r="D1407" s="7"/>
      <c r="I1407" s="7"/>
      <c r="Q1407" s="8"/>
      <c r="R1407" s="8"/>
      <c r="S1407" s="8"/>
      <c r="T1407" s="8"/>
      <c r="U1407" s="7"/>
      <c r="W1407" s="8"/>
      <c r="X1407" s="7"/>
    </row>
    <row r="1408" spans="1:24">
      <c r="A1408" s="7"/>
      <c r="D1408" s="7"/>
      <c r="I1408" s="7"/>
      <c r="Q1408" s="8"/>
      <c r="R1408" s="8"/>
      <c r="S1408" s="8"/>
      <c r="T1408" s="8"/>
      <c r="U1408" s="7"/>
      <c r="W1408" s="8"/>
      <c r="X1408" s="7"/>
    </row>
    <row r="1409" spans="1:30">
      <c r="A1409" s="7"/>
      <c r="D1409" s="7"/>
      <c r="I1409" s="7"/>
      <c r="Q1409" s="8"/>
      <c r="R1409" s="8"/>
      <c r="S1409" s="8"/>
      <c r="T1409" s="8"/>
      <c r="U1409" s="7"/>
      <c r="W1409" s="8"/>
      <c r="X1409" s="7"/>
    </row>
    <row r="1410" spans="1:30">
      <c r="A1410" s="7"/>
      <c r="D1410" s="7"/>
      <c r="I1410" s="7"/>
      <c r="Q1410" s="8"/>
      <c r="R1410" s="8"/>
      <c r="S1410" s="8"/>
      <c r="T1410" s="8"/>
      <c r="U1410" s="7"/>
      <c r="W1410" s="8"/>
      <c r="X1410" s="7"/>
    </row>
    <row r="1411" spans="1:30">
      <c r="A1411" s="7"/>
      <c r="D1411" s="7"/>
      <c r="I1411" s="7"/>
      <c r="Q1411" s="8"/>
      <c r="R1411" s="8"/>
      <c r="S1411" s="8"/>
      <c r="T1411" s="8"/>
      <c r="U1411" s="7"/>
      <c r="W1411" s="8"/>
      <c r="X1411" s="7"/>
    </row>
    <row r="1412" spans="1:30">
      <c r="A1412" s="7"/>
      <c r="D1412" s="7"/>
      <c r="I1412" s="7"/>
      <c r="Q1412" s="8"/>
      <c r="R1412" s="8"/>
      <c r="S1412" s="8"/>
      <c r="T1412" s="8"/>
      <c r="U1412" s="7"/>
      <c r="W1412" s="8"/>
      <c r="X1412" s="7"/>
    </row>
    <row r="1413" spans="1:30">
      <c r="A1413" s="7"/>
      <c r="D1413" s="7"/>
      <c r="I1413" s="7"/>
      <c r="Q1413" s="8"/>
      <c r="R1413" s="8"/>
      <c r="S1413" s="8"/>
      <c r="T1413" s="8"/>
      <c r="U1413" s="7"/>
      <c r="W1413" s="8"/>
      <c r="X1413" s="7"/>
    </row>
    <row r="1414" spans="1:30">
      <c r="A1414" s="7"/>
      <c r="D1414" s="7"/>
      <c r="I1414" s="7"/>
      <c r="Q1414" s="8"/>
      <c r="R1414" s="8"/>
      <c r="S1414" s="8"/>
      <c r="T1414" s="8"/>
      <c r="U1414" s="7"/>
      <c r="W1414" s="8"/>
      <c r="X1414" s="7"/>
    </row>
    <row r="1415" spans="1:30">
      <c r="A1415" s="7"/>
      <c r="D1415" s="7"/>
      <c r="I1415" s="7"/>
      <c r="Q1415" s="8"/>
      <c r="R1415" s="8"/>
      <c r="S1415" s="8"/>
      <c r="T1415" s="8"/>
      <c r="U1415" s="7"/>
      <c r="W1415" s="8"/>
      <c r="X1415" s="7"/>
    </row>
    <row r="1416" spans="1:30">
      <c r="A1416" s="7"/>
      <c r="D1416" s="7"/>
      <c r="I1416" s="7"/>
      <c r="Q1416" s="8"/>
      <c r="R1416" s="8"/>
      <c r="S1416" s="8"/>
      <c r="T1416" s="8"/>
      <c r="U1416" s="7"/>
      <c r="W1416" s="8"/>
      <c r="X1416" s="7"/>
    </row>
    <row r="1417" spans="1:30">
      <c r="A1417" s="7"/>
      <c r="D1417" s="7"/>
      <c r="I1417" s="7"/>
      <c r="Q1417" s="8"/>
      <c r="R1417" s="8"/>
      <c r="S1417" s="8"/>
      <c r="T1417" s="8"/>
      <c r="U1417" s="7"/>
      <c r="W1417" s="8"/>
      <c r="X1417" s="7"/>
    </row>
    <row r="1418" spans="1:30">
      <c r="A1418" s="7"/>
      <c r="D1418" s="7"/>
      <c r="I1418" s="7"/>
      <c r="Q1418" s="8"/>
      <c r="R1418" s="8"/>
      <c r="S1418" s="8"/>
      <c r="T1418" s="8"/>
      <c r="U1418" s="7"/>
      <c r="W1418" s="8"/>
      <c r="X1418" s="7"/>
    </row>
    <row r="1419" spans="1:30">
      <c r="A1419" s="7"/>
      <c r="D1419" s="7"/>
      <c r="I1419" s="7"/>
      <c r="Q1419" s="8"/>
      <c r="R1419" s="8"/>
      <c r="S1419" s="8"/>
      <c r="T1419" s="8"/>
      <c r="U1419" s="7"/>
      <c r="W1419" s="8"/>
      <c r="X1419" s="7"/>
    </row>
    <row r="1420" spans="1:30">
      <c r="A1420" s="7"/>
      <c r="D1420" s="7"/>
      <c r="I1420" s="7"/>
      <c r="Q1420" s="8"/>
      <c r="R1420" s="8"/>
      <c r="S1420" s="8"/>
      <c r="T1420" s="8"/>
      <c r="U1420" s="7"/>
      <c r="W1420" s="8"/>
      <c r="X1420" s="7"/>
    </row>
    <row r="1421" spans="1:30">
      <c r="A1421" s="7"/>
      <c r="D1421" s="7"/>
      <c r="I1421" s="7"/>
      <c r="Q1421" s="8"/>
      <c r="R1421" s="8"/>
      <c r="S1421" s="8"/>
      <c r="T1421" s="8"/>
      <c r="U1421" s="7"/>
      <c r="W1421" s="8"/>
      <c r="X1421" s="7"/>
    </row>
    <row r="1422" spans="1:30">
      <c r="A1422" s="7"/>
      <c r="D1422" s="7"/>
      <c r="I1422" s="7"/>
      <c r="Q1422" s="8"/>
      <c r="R1422" s="8"/>
      <c r="S1422" s="8"/>
      <c r="T1422" s="8"/>
      <c r="U1422" s="7"/>
      <c r="W1422" s="8"/>
      <c r="X1422" s="7"/>
      <c r="AD1422" s="8"/>
    </row>
    <row r="1423" spans="1:30">
      <c r="A1423" s="7"/>
      <c r="D1423" s="7"/>
      <c r="I1423" s="7"/>
      <c r="Q1423" s="8"/>
      <c r="R1423" s="8"/>
      <c r="S1423" s="8"/>
      <c r="T1423" s="8"/>
      <c r="U1423" s="7"/>
      <c r="W1423" s="8"/>
      <c r="X1423" s="7"/>
    </row>
    <row r="1424" spans="1:30">
      <c r="A1424" s="7"/>
      <c r="D1424" s="7"/>
      <c r="I1424" s="7"/>
      <c r="Q1424" s="8"/>
      <c r="R1424" s="8"/>
      <c r="S1424" s="8"/>
      <c r="T1424" s="8"/>
      <c r="U1424" s="7"/>
      <c r="W1424" s="8"/>
      <c r="X1424" s="7"/>
    </row>
    <row r="1425" spans="1:30">
      <c r="A1425" s="7"/>
      <c r="D1425" s="7"/>
      <c r="I1425" s="7"/>
      <c r="Q1425" s="8"/>
      <c r="R1425" s="8"/>
      <c r="S1425" s="8"/>
      <c r="T1425" s="8"/>
      <c r="U1425" s="7"/>
      <c r="W1425" s="8"/>
      <c r="X1425" s="7"/>
    </row>
    <row r="1426" spans="1:30">
      <c r="A1426" s="7"/>
      <c r="D1426" s="7"/>
      <c r="I1426" s="7"/>
      <c r="Q1426" s="8"/>
      <c r="R1426" s="8"/>
      <c r="S1426" s="8"/>
      <c r="T1426" s="8"/>
      <c r="U1426" s="7"/>
      <c r="W1426" s="8"/>
      <c r="X1426" s="7"/>
    </row>
    <row r="1427" spans="1:30">
      <c r="A1427" s="7"/>
      <c r="D1427" s="7"/>
      <c r="I1427" s="7"/>
      <c r="Q1427" s="8"/>
      <c r="R1427" s="8"/>
      <c r="S1427" s="8"/>
      <c r="T1427" s="8"/>
      <c r="U1427" s="7"/>
      <c r="W1427" s="8"/>
      <c r="X1427" s="7"/>
    </row>
    <row r="1428" spans="1:30">
      <c r="A1428" s="7"/>
      <c r="D1428" s="7"/>
      <c r="I1428" s="7"/>
      <c r="Q1428" s="8"/>
      <c r="R1428" s="8"/>
      <c r="S1428" s="8"/>
      <c r="T1428" s="8"/>
      <c r="U1428" s="7"/>
      <c r="W1428" s="8"/>
      <c r="X1428" s="7"/>
    </row>
    <row r="1429" spans="1:30">
      <c r="A1429" s="7"/>
      <c r="D1429" s="7"/>
      <c r="I1429" s="7"/>
      <c r="Q1429" s="8"/>
      <c r="R1429" s="8"/>
      <c r="S1429" s="8"/>
      <c r="T1429" s="8"/>
      <c r="U1429" s="7"/>
      <c r="W1429" s="8"/>
      <c r="X1429" s="7"/>
    </row>
    <row r="1430" spans="1:30">
      <c r="A1430" s="7"/>
      <c r="D1430" s="7"/>
      <c r="I1430" s="7"/>
      <c r="Q1430" s="8"/>
      <c r="R1430" s="8"/>
      <c r="S1430" s="8"/>
      <c r="T1430" s="8"/>
      <c r="U1430" s="7"/>
      <c r="W1430" s="8"/>
      <c r="X1430" s="7"/>
    </row>
    <row r="1431" spans="1:30">
      <c r="A1431" s="7"/>
      <c r="D1431" s="7"/>
      <c r="I1431" s="7"/>
      <c r="Q1431" s="8"/>
      <c r="R1431" s="8"/>
      <c r="S1431" s="8"/>
      <c r="T1431" s="8"/>
      <c r="U1431" s="7"/>
      <c r="W1431" s="8"/>
      <c r="X1431" s="7"/>
      <c r="AD1431" s="8"/>
    </row>
    <row r="1432" spans="1:30">
      <c r="A1432" s="7"/>
      <c r="D1432" s="7"/>
      <c r="I1432" s="7"/>
      <c r="Q1432" s="8"/>
      <c r="R1432" s="8"/>
      <c r="S1432" s="8"/>
      <c r="T1432" s="8"/>
      <c r="U1432" s="7"/>
      <c r="W1432" s="8"/>
      <c r="X1432" s="7"/>
    </row>
    <row r="1433" spans="1:30">
      <c r="A1433" s="7"/>
      <c r="D1433" s="7"/>
      <c r="I1433" s="7"/>
      <c r="Q1433" s="8"/>
      <c r="R1433" s="8"/>
      <c r="S1433" s="8"/>
      <c r="T1433" s="8"/>
      <c r="U1433" s="7"/>
      <c r="W1433" s="8"/>
      <c r="X1433" s="7"/>
    </row>
    <row r="1434" spans="1:30">
      <c r="A1434" s="7"/>
      <c r="D1434" s="7"/>
      <c r="I1434" s="7"/>
      <c r="Q1434" s="8"/>
      <c r="R1434" s="8"/>
      <c r="S1434" s="8"/>
      <c r="T1434" s="8"/>
      <c r="U1434" s="7"/>
      <c r="W1434" s="8"/>
      <c r="X1434" s="7"/>
    </row>
    <row r="1435" spans="1:30">
      <c r="A1435" s="7"/>
      <c r="D1435" s="7"/>
      <c r="I1435" s="7"/>
      <c r="Q1435" s="8"/>
      <c r="R1435" s="8"/>
      <c r="S1435" s="8"/>
      <c r="T1435" s="8"/>
      <c r="U1435" s="7"/>
      <c r="W1435" s="8"/>
      <c r="X1435" s="7"/>
    </row>
    <row r="1436" spans="1:30">
      <c r="A1436" s="7"/>
      <c r="D1436" s="7"/>
      <c r="I1436" s="7"/>
      <c r="Q1436" s="8"/>
      <c r="R1436" s="8"/>
      <c r="S1436" s="8"/>
      <c r="T1436" s="8"/>
      <c r="U1436" s="7"/>
      <c r="W1436" s="8"/>
      <c r="X1436" s="7"/>
    </row>
    <row r="1437" spans="1:30">
      <c r="A1437" s="7"/>
      <c r="D1437" s="7"/>
      <c r="I1437" s="7"/>
      <c r="Q1437" s="8"/>
      <c r="R1437" s="8"/>
      <c r="S1437" s="8"/>
      <c r="T1437" s="8"/>
      <c r="U1437" s="7"/>
      <c r="W1437" s="8"/>
      <c r="X1437" s="7"/>
    </row>
    <row r="1438" spans="1:30">
      <c r="A1438" s="7"/>
      <c r="D1438" s="7"/>
      <c r="I1438" s="7"/>
      <c r="Q1438" s="8"/>
      <c r="R1438" s="8"/>
      <c r="S1438" s="8"/>
      <c r="T1438" s="8"/>
      <c r="U1438" s="7"/>
      <c r="W1438" s="8"/>
      <c r="X1438" s="7"/>
    </row>
    <row r="1439" spans="1:30">
      <c r="A1439" s="7"/>
      <c r="D1439" s="7"/>
      <c r="I1439" s="7"/>
      <c r="Q1439" s="8"/>
      <c r="R1439" s="8"/>
      <c r="S1439" s="8"/>
      <c r="T1439" s="8"/>
      <c r="U1439" s="7"/>
      <c r="W1439" s="8"/>
      <c r="X1439" s="7"/>
    </row>
    <row r="1440" spans="1:30">
      <c r="A1440" s="7"/>
      <c r="D1440" s="7"/>
      <c r="I1440" s="7"/>
      <c r="Q1440" s="8"/>
      <c r="R1440" s="8"/>
      <c r="S1440" s="8"/>
      <c r="T1440" s="8"/>
      <c r="U1440" s="7"/>
      <c r="W1440" s="8"/>
      <c r="X1440" s="7"/>
    </row>
    <row r="1441" spans="1:30">
      <c r="A1441" s="7"/>
      <c r="D1441" s="7"/>
      <c r="I1441" s="7"/>
      <c r="Q1441" s="8"/>
      <c r="R1441" s="8"/>
      <c r="S1441" s="8"/>
      <c r="T1441" s="8"/>
      <c r="U1441" s="7"/>
      <c r="W1441" s="8"/>
      <c r="X1441" s="7"/>
      <c r="AD1441" s="8"/>
    </row>
    <row r="1442" spans="1:30">
      <c r="A1442" s="7"/>
      <c r="D1442" s="7"/>
      <c r="I1442" s="7"/>
      <c r="Q1442" s="8"/>
      <c r="R1442" s="8"/>
      <c r="S1442" s="8"/>
      <c r="T1442" s="8"/>
      <c r="U1442" s="7"/>
      <c r="W1442" s="8"/>
      <c r="X1442" s="7"/>
      <c r="AD1442" s="8"/>
    </row>
    <row r="1443" spans="1:30">
      <c r="A1443" s="7"/>
      <c r="D1443" s="7"/>
      <c r="I1443" s="7"/>
      <c r="Q1443" s="8"/>
      <c r="R1443" s="8"/>
      <c r="S1443" s="8"/>
      <c r="T1443" s="8"/>
      <c r="U1443" s="7"/>
      <c r="W1443" s="8"/>
      <c r="X1443" s="7"/>
      <c r="AD1443" s="8"/>
    </row>
    <row r="1444" spans="1:30">
      <c r="A1444" s="7"/>
      <c r="D1444" s="7"/>
      <c r="I1444" s="7"/>
      <c r="Q1444" s="8"/>
      <c r="R1444" s="8"/>
      <c r="S1444" s="8"/>
      <c r="T1444" s="8"/>
      <c r="U1444" s="7"/>
      <c r="W1444" s="8"/>
      <c r="X1444" s="7"/>
      <c r="AD1444" s="8"/>
    </row>
    <row r="1445" spans="1:30">
      <c r="A1445" s="7"/>
      <c r="D1445" s="7"/>
      <c r="I1445" s="7"/>
      <c r="Q1445" s="8"/>
      <c r="R1445" s="8"/>
      <c r="S1445" s="8"/>
      <c r="T1445" s="8"/>
      <c r="U1445" s="7"/>
      <c r="W1445" s="8"/>
      <c r="X1445" s="7"/>
      <c r="AD1445" s="8"/>
    </row>
    <row r="1446" spans="1:30">
      <c r="A1446" s="7"/>
      <c r="D1446" s="7"/>
      <c r="I1446" s="7"/>
      <c r="Q1446" s="8"/>
      <c r="R1446" s="8"/>
      <c r="S1446" s="8"/>
      <c r="T1446" s="8"/>
      <c r="U1446" s="7"/>
      <c r="W1446" s="8"/>
      <c r="X1446" s="7"/>
      <c r="AD1446" s="8"/>
    </row>
    <row r="1447" spans="1:30">
      <c r="A1447" s="7"/>
      <c r="D1447" s="7"/>
      <c r="I1447" s="7"/>
      <c r="Q1447" s="8"/>
      <c r="R1447" s="8"/>
      <c r="S1447" s="8"/>
      <c r="T1447" s="8"/>
      <c r="U1447" s="7"/>
      <c r="W1447" s="8"/>
      <c r="X1447" s="7"/>
    </row>
    <row r="1448" spans="1:30">
      <c r="A1448" s="7"/>
      <c r="D1448" s="7"/>
      <c r="I1448" s="7"/>
      <c r="Q1448" s="8"/>
      <c r="R1448" s="8"/>
      <c r="S1448" s="8"/>
      <c r="T1448" s="8"/>
      <c r="U1448" s="7"/>
      <c r="W1448" s="8"/>
      <c r="X1448" s="7"/>
    </row>
    <row r="1449" spans="1:30">
      <c r="A1449" s="7"/>
      <c r="D1449" s="7"/>
      <c r="I1449" s="7"/>
      <c r="Q1449" s="8"/>
      <c r="R1449" s="8"/>
      <c r="S1449" s="8"/>
      <c r="T1449" s="8"/>
      <c r="U1449" s="7"/>
      <c r="W1449" s="8"/>
      <c r="X1449" s="7"/>
    </row>
    <row r="1450" spans="1:30">
      <c r="A1450" s="7"/>
      <c r="D1450" s="7"/>
      <c r="I1450" s="7"/>
      <c r="Q1450" s="8"/>
      <c r="R1450" s="8"/>
      <c r="S1450" s="8"/>
      <c r="T1450" s="8"/>
      <c r="U1450" s="7"/>
      <c r="W1450" s="8"/>
      <c r="X1450" s="7"/>
    </row>
    <row r="1451" spans="1:30">
      <c r="A1451" s="7"/>
      <c r="D1451" s="7"/>
      <c r="I1451" s="7"/>
      <c r="J1451" s="7"/>
      <c r="Q1451" s="8"/>
      <c r="R1451" s="8"/>
      <c r="S1451" s="8"/>
      <c r="T1451" s="8"/>
      <c r="U1451" s="7"/>
      <c r="W1451" s="8"/>
      <c r="X1451" s="7"/>
    </row>
    <row r="1452" spans="1:30">
      <c r="A1452" s="7"/>
      <c r="D1452" s="7"/>
      <c r="I1452" s="7"/>
      <c r="Q1452" s="8"/>
      <c r="R1452" s="8"/>
      <c r="S1452" s="8"/>
      <c r="T1452" s="8"/>
      <c r="U1452" s="7"/>
      <c r="W1452" s="8"/>
      <c r="X1452" s="7"/>
    </row>
    <row r="1453" spans="1:30">
      <c r="A1453" s="7"/>
      <c r="D1453" s="7"/>
      <c r="I1453" s="7"/>
      <c r="Q1453" s="8"/>
      <c r="R1453" s="8"/>
      <c r="S1453" s="8"/>
      <c r="T1453" s="8"/>
      <c r="U1453" s="7"/>
      <c r="W1453" s="8"/>
      <c r="X1453" s="7"/>
    </row>
    <row r="1454" spans="1:30">
      <c r="A1454" s="7"/>
      <c r="D1454" s="7"/>
      <c r="I1454" s="7"/>
      <c r="Q1454" s="8"/>
      <c r="R1454" s="8"/>
      <c r="S1454" s="8"/>
      <c r="T1454" s="8"/>
      <c r="U1454" s="7"/>
      <c r="W1454" s="8"/>
      <c r="X1454" s="7"/>
    </row>
    <row r="1455" spans="1:30">
      <c r="A1455" s="7"/>
      <c r="D1455" s="7"/>
      <c r="I1455" s="7"/>
      <c r="Q1455" s="8"/>
      <c r="R1455" s="8"/>
      <c r="S1455" s="8"/>
      <c r="T1455" s="8"/>
      <c r="U1455" s="7"/>
      <c r="W1455" s="8"/>
      <c r="X1455" s="7"/>
    </row>
    <row r="1456" spans="1:30">
      <c r="A1456" s="7"/>
      <c r="D1456" s="7"/>
      <c r="I1456" s="7"/>
      <c r="Q1456" s="8"/>
      <c r="R1456" s="8"/>
      <c r="S1456" s="8"/>
      <c r="T1456" s="8"/>
      <c r="U1456" s="7"/>
      <c r="W1456" s="8"/>
      <c r="X1456" s="7"/>
    </row>
    <row r="1457" spans="1:24">
      <c r="A1457" s="7"/>
      <c r="D1457" s="7"/>
      <c r="I1457" s="7"/>
      <c r="Q1457" s="8"/>
      <c r="R1457" s="8"/>
      <c r="S1457" s="8"/>
      <c r="T1457" s="8"/>
      <c r="U1457" s="7"/>
      <c r="W1457" s="8"/>
      <c r="X1457" s="7"/>
    </row>
    <row r="1458" spans="1:24">
      <c r="A1458" s="7"/>
      <c r="D1458" s="7"/>
      <c r="I1458" s="7"/>
      <c r="Q1458" s="8"/>
      <c r="R1458" s="8"/>
      <c r="S1458" s="8"/>
      <c r="T1458" s="8"/>
      <c r="U1458" s="7"/>
      <c r="W1458" s="8"/>
      <c r="X1458" s="7"/>
    </row>
    <row r="1459" spans="1:24">
      <c r="A1459" s="7"/>
      <c r="D1459" s="7"/>
      <c r="I1459" s="7"/>
      <c r="Q1459" s="8"/>
      <c r="R1459" s="8"/>
      <c r="S1459" s="8"/>
      <c r="T1459" s="8"/>
      <c r="U1459" s="7"/>
      <c r="W1459" s="8"/>
      <c r="X1459" s="7"/>
    </row>
    <row r="1460" spans="1:24">
      <c r="A1460" s="7"/>
      <c r="D1460" s="7"/>
      <c r="I1460" s="7"/>
      <c r="Q1460" s="8"/>
      <c r="R1460" s="8"/>
      <c r="S1460" s="8"/>
      <c r="T1460" s="8"/>
      <c r="U1460" s="7"/>
      <c r="W1460" s="8"/>
      <c r="X1460" s="7"/>
    </row>
    <row r="1461" spans="1:24">
      <c r="A1461" s="7"/>
      <c r="D1461" s="7"/>
      <c r="I1461" s="7"/>
      <c r="Q1461" s="8"/>
      <c r="R1461" s="8"/>
      <c r="S1461" s="8"/>
      <c r="T1461" s="8"/>
      <c r="U1461" s="7"/>
      <c r="W1461" s="8"/>
      <c r="X1461" s="7"/>
    </row>
    <row r="1462" spans="1:24">
      <c r="A1462" s="7"/>
      <c r="D1462" s="7"/>
      <c r="I1462" s="7"/>
      <c r="Q1462" s="8"/>
      <c r="R1462" s="8"/>
      <c r="S1462" s="8"/>
      <c r="T1462" s="8"/>
      <c r="U1462" s="7"/>
      <c r="W1462" s="8"/>
      <c r="X1462" s="7"/>
    </row>
    <row r="1463" spans="1:24">
      <c r="A1463" s="7"/>
      <c r="D1463" s="7"/>
      <c r="I1463" s="7"/>
      <c r="Q1463" s="8"/>
      <c r="R1463" s="8"/>
      <c r="S1463" s="8"/>
      <c r="T1463" s="8"/>
      <c r="U1463" s="7"/>
      <c r="W1463" s="8"/>
      <c r="X1463" s="7"/>
    </row>
    <row r="1464" spans="1:24">
      <c r="A1464" s="7"/>
      <c r="D1464" s="7"/>
      <c r="I1464" s="7"/>
      <c r="Q1464" s="8"/>
      <c r="R1464" s="8"/>
      <c r="S1464" s="8"/>
      <c r="T1464" s="8"/>
      <c r="U1464" s="7"/>
      <c r="W1464" s="8"/>
      <c r="X1464" s="7"/>
    </row>
    <row r="1465" spans="1:24">
      <c r="A1465" s="7"/>
      <c r="D1465" s="7"/>
      <c r="I1465" s="7"/>
      <c r="Q1465" s="8"/>
      <c r="R1465" s="8"/>
      <c r="S1465" s="8"/>
      <c r="T1465" s="8"/>
      <c r="U1465" s="7"/>
      <c r="W1465" s="8"/>
      <c r="X1465" s="7"/>
    </row>
    <row r="1466" spans="1:24">
      <c r="A1466" s="7"/>
      <c r="D1466" s="7"/>
      <c r="I1466" s="7"/>
      <c r="Q1466" s="8"/>
      <c r="R1466" s="8"/>
      <c r="S1466" s="8"/>
      <c r="T1466" s="8"/>
      <c r="U1466" s="7"/>
      <c r="W1466" s="8"/>
      <c r="X1466" s="7"/>
    </row>
    <row r="1467" spans="1:24">
      <c r="A1467" s="7"/>
      <c r="D1467" s="7"/>
      <c r="I1467" s="7"/>
      <c r="Q1467" s="8"/>
      <c r="R1467" s="8"/>
      <c r="S1467" s="8"/>
      <c r="T1467" s="8"/>
      <c r="U1467" s="7"/>
      <c r="W1467" s="8"/>
      <c r="X1467" s="7"/>
    </row>
    <row r="1468" spans="1:24">
      <c r="A1468" s="7"/>
      <c r="D1468" s="7"/>
      <c r="I1468" s="7"/>
      <c r="Q1468" s="8"/>
      <c r="R1468" s="8"/>
      <c r="S1468" s="8"/>
      <c r="T1468" s="8"/>
      <c r="U1468" s="7"/>
      <c r="W1468" s="8"/>
      <c r="X1468" s="7"/>
    </row>
    <row r="1469" spans="1:24">
      <c r="A1469" s="7"/>
      <c r="D1469" s="7"/>
      <c r="I1469" s="7"/>
      <c r="Q1469" s="8"/>
      <c r="R1469" s="8"/>
      <c r="S1469" s="8"/>
      <c r="T1469" s="8"/>
      <c r="U1469" s="7"/>
      <c r="W1469" s="8"/>
      <c r="X1469" s="7"/>
    </row>
    <row r="1470" spans="1:24">
      <c r="A1470" s="7"/>
      <c r="D1470" s="7"/>
      <c r="I1470" s="7"/>
      <c r="Q1470" s="8"/>
      <c r="R1470" s="8"/>
      <c r="S1470" s="8"/>
      <c r="T1470" s="8"/>
      <c r="U1470" s="7"/>
      <c r="W1470" s="8"/>
      <c r="X1470" s="7"/>
    </row>
    <row r="1471" spans="1:24">
      <c r="A1471" s="7"/>
      <c r="D1471" s="7"/>
      <c r="I1471" s="7"/>
      <c r="Q1471" s="8"/>
      <c r="R1471" s="8"/>
      <c r="S1471" s="8"/>
      <c r="T1471" s="8"/>
      <c r="U1471" s="7"/>
      <c r="W1471" s="8"/>
      <c r="X1471" s="7"/>
    </row>
    <row r="1472" spans="1:24">
      <c r="A1472" s="7"/>
      <c r="D1472" s="7"/>
      <c r="I1472" s="7"/>
      <c r="Q1472" s="8"/>
      <c r="R1472" s="8"/>
      <c r="S1472" s="8"/>
      <c r="T1472" s="8"/>
      <c r="U1472" s="7"/>
      <c r="W1472" s="8"/>
      <c r="X1472" s="7"/>
    </row>
    <row r="1473" spans="1:24">
      <c r="A1473" s="7"/>
      <c r="D1473" s="7"/>
      <c r="I1473" s="7"/>
      <c r="Q1473" s="8"/>
      <c r="R1473" s="8"/>
      <c r="S1473" s="8"/>
      <c r="T1473" s="8"/>
      <c r="U1473" s="7"/>
      <c r="W1473" s="8"/>
      <c r="X1473" s="7"/>
    </row>
    <row r="1474" spans="1:24">
      <c r="A1474" s="7"/>
      <c r="D1474" s="7"/>
      <c r="I1474" s="7"/>
      <c r="Q1474" s="8"/>
      <c r="R1474" s="8"/>
      <c r="S1474" s="8"/>
      <c r="T1474" s="8"/>
      <c r="U1474" s="7"/>
      <c r="W1474" s="8"/>
      <c r="X1474" s="7"/>
    </row>
    <row r="1475" spans="1:24">
      <c r="A1475" s="7"/>
      <c r="D1475" s="7"/>
      <c r="I1475" s="7"/>
      <c r="Q1475" s="8"/>
      <c r="R1475" s="8"/>
      <c r="S1475" s="8"/>
      <c r="T1475" s="8"/>
      <c r="U1475" s="7"/>
      <c r="W1475" s="8"/>
      <c r="X1475" s="7"/>
    </row>
    <row r="1476" spans="1:24">
      <c r="A1476" s="7"/>
      <c r="D1476" s="7"/>
      <c r="I1476" s="7"/>
      <c r="Q1476" s="8"/>
      <c r="R1476" s="8"/>
      <c r="S1476" s="8"/>
      <c r="T1476" s="8"/>
      <c r="U1476" s="7"/>
      <c r="W1476" s="8"/>
      <c r="X1476" s="7"/>
    </row>
    <row r="1477" spans="1:24">
      <c r="A1477" s="7"/>
      <c r="D1477" s="7"/>
      <c r="I1477" s="7"/>
      <c r="Q1477" s="8"/>
      <c r="R1477" s="8"/>
      <c r="S1477" s="8"/>
      <c r="T1477" s="8"/>
      <c r="U1477" s="7"/>
      <c r="W1477" s="8"/>
      <c r="X1477" s="7"/>
    </row>
    <row r="1478" spans="1:24">
      <c r="A1478" s="7"/>
      <c r="D1478" s="7"/>
      <c r="I1478" s="7"/>
      <c r="Q1478" s="8"/>
      <c r="R1478" s="8"/>
      <c r="S1478" s="8"/>
      <c r="T1478" s="8"/>
      <c r="U1478" s="7"/>
      <c r="W1478" s="8"/>
      <c r="X1478" s="7"/>
    </row>
    <row r="1479" spans="1:24">
      <c r="A1479" s="7"/>
      <c r="D1479" s="7"/>
      <c r="I1479" s="7"/>
      <c r="Q1479" s="8"/>
      <c r="R1479" s="8"/>
      <c r="S1479" s="8"/>
      <c r="T1479" s="8"/>
      <c r="U1479" s="7"/>
      <c r="W1479" s="8"/>
      <c r="X1479" s="7"/>
    </row>
    <row r="1480" spans="1:24">
      <c r="A1480" s="7"/>
      <c r="D1480" s="7"/>
      <c r="I1480" s="7"/>
      <c r="Q1480" s="8"/>
      <c r="R1480" s="8"/>
      <c r="S1480" s="8"/>
      <c r="T1480" s="8"/>
      <c r="U1480" s="7"/>
      <c r="W1480" s="8"/>
      <c r="X1480" s="7"/>
    </row>
    <row r="1481" spans="1:24">
      <c r="A1481" s="7"/>
      <c r="D1481" s="7"/>
      <c r="I1481" s="7"/>
      <c r="Q1481" s="8"/>
      <c r="R1481" s="8"/>
      <c r="S1481" s="8"/>
      <c r="T1481" s="8"/>
      <c r="U1481" s="7"/>
      <c r="W1481" s="8"/>
      <c r="X1481" s="7"/>
    </row>
    <row r="1482" spans="1:24">
      <c r="A1482" s="7"/>
      <c r="D1482" s="7"/>
      <c r="I1482" s="7"/>
      <c r="Q1482" s="8"/>
      <c r="R1482" s="8"/>
      <c r="S1482" s="8"/>
      <c r="T1482" s="8"/>
      <c r="U1482" s="7"/>
      <c r="W1482" s="8"/>
      <c r="X1482" s="7"/>
    </row>
    <row r="1483" spans="1:24">
      <c r="A1483" s="7"/>
      <c r="D1483" s="7"/>
      <c r="I1483" s="7"/>
      <c r="Q1483" s="8"/>
      <c r="R1483" s="8"/>
      <c r="S1483" s="8"/>
      <c r="T1483" s="8"/>
      <c r="U1483" s="7"/>
      <c r="W1483" s="8"/>
      <c r="X1483" s="7"/>
    </row>
    <row r="1484" spans="1:24">
      <c r="A1484" s="7"/>
      <c r="D1484" s="7"/>
      <c r="I1484" s="7"/>
      <c r="Q1484" s="8"/>
      <c r="R1484" s="8"/>
      <c r="S1484" s="8"/>
      <c r="T1484" s="8"/>
      <c r="U1484" s="7"/>
      <c r="W1484" s="8"/>
      <c r="X1484" s="7"/>
    </row>
    <row r="1485" spans="1:24">
      <c r="A1485" s="7"/>
      <c r="D1485" s="7"/>
      <c r="I1485" s="7"/>
      <c r="Q1485" s="8"/>
      <c r="R1485" s="8"/>
      <c r="S1485" s="8"/>
      <c r="T1485" s="8"/>
      <c r="U1485" s="7"/>
      <c r="W1485" s="8"/>
      <c r="X1485" s="7"/>
    </row>
    <row r="1486" spans="1:24">
      <c r="A1486" s="7"/>
      <c r="D1486" s="7"/>
      <c r="I1486" s="7"/>
      <c r="Q1486" s="8"/>
      <c r="R1486" s="8"/>
      <c r="S1486" s="8"/>
      <c r="T1486" s="8"/>
      <c r="U1486" s="7"/>
      <c r="W1486" s="8"/>
      <c r="X1486" s="7"/>
    </row>
    <row r="1487" spans="1:24">
      <c r="A1487" s="7"/>
      <c r="D1487" s="7"/>
      <c r="I1487" s="7"/>
      <c r="Q1487" s="8"/>
      <c r="R1487" s="8"/>
      <c r="S1487" s="8"/>
      <c r="T1487" s="8"/>
      <c r="U1487" s="7"/>
      <c r="W1487" s="8"/>
      <c r="X1487" s="7"/>
    </row>
    <row r="1488" spans="1:24">
      <c r="A1488" s="7"/>
      <c r="D1488" s="7"/>
      <c r="I1488" s="7"/>
      <c r="Q1488" s="8"/>
      <c r="R1488" s="8"/>
      <c r="S1488" s="8"/>
      <c r="T1488" s="8"/>
      <c r="U1488" s="7"/>
      <c r="W1488" s="8"/>
      <c r="X1488" s="7"/>
    </row>
    <row r="1489" spans="1:24">
      <c r="A1489" s="7"/>
      <c r="D1489" s="7"/>
      <c r="I1489" s="7"/>
      <c r="Q1489" s="8"/>
      <c r="R1489" s="8"/>
      <c r="S1489" s="8"/>
      <c r="T1489" s="8"/>
      <c r="U1489" s="7"/>
      <c r="W1489" s="8"/>
      <c r="X1489" s="7"/>
    </row>
    <row r="1490" spans="1:24">
      <c r="A1490" s="7"/>
      <c r="D1490" s="7"/>
      <c r="I1490" s="7"/>
      <c r="Q1490" s="8"/>
      <c r="R1490" s="8"/>
      <c r="S1490" s="8"/>
      <c r="T1490" s="8"/>
      <c r="U1490" s="7"/>
      <c r="W1490" s="8"/>
      <c r="X1490" s="7"/>
    </row>
    <row r="1491" spans="1:24">
      <c r="A1491" s="7"/>
      <c r="D1491" s="7"/>
      <c r="I1491" s="7"/>
      <c r="Q1491" s="8"/>
      <c r="R1491" s="8"/>
      <c r="S1491" s="8"/>
      <c r="T1491" s="8"/>
      <c r="U1491" s="7"/>
      <c r="W1491" s="8"/>
      <c r="X1491" s="7"/>
    </row>
    <row r="1492" spans="1:24">
      <c r="A1492" s="7"/>
      <c r="D1492" s="7"/>
      <c r="I1492" s="7"/>
      <c r="Q1492" s="8"/>
      <c r="R1492" s="8"/>
      <c r="S1492" s="8"/>
      <c r="T1492" s="8"/>
      <c r="U1492" s="7"/>
      <c r="W1492" s="8"/>
      <c r="X1492" s="7"/>
    </row>
    <row r="1493" spans="1:24">
      <c r="A1493" s="7"/>
      <c r="D1493" s="7"/>
      <c r="I1493" s="7"/>
      <c r="Q1493" s="8"/>
      <c r="R1493" s="8"/>
      <c r="S1493" s="8"/>
      <c r="T1493" s="8"/>
      <c r="U1493" s="7"/>
      <c r="W1493" s="8"/>
      <c r="X1493" s="7"/>
    </row>
    <row r="1494" spans="1:24">
      <c r="A1494" s="7"/>
      <c r="D1494" s="7"/>
      <c r="I1494" s="7"/>
      <c r="Q1494" s="8"/>
      <c r="R1494" s="8"/>
      <c r="S1494" s="8"/>
      <c r="T1494" s="8"/>
      <c r="U1494" s="7"/>
      <c r="W1494" s="8"/>
      <c r="X1494" s="7"/>
    </row>
    <row r="1495" spans="1:24">
      <c r="A1495" s="7"/>
      <c r="D1495" s="7"/>
      <c r="I1495" s="7"/>
      <c r="Q1495" s="8"/>
      <c r="R1495" s="8"/>
      <c r="S1495" s="8"/>
      <c r="T1495" s="8"/>
      <c r="U1495" s="7"/>
      <c r="W1495" s="8"/>
      <c r="X1495" s="7"/>
    </row>
    <row r="1496" spans="1:24">
      <c r="A1496" s="7"/>
      <c r="D1496" s="7"/>
      <c r="I1496" s="7"/>
      <c r="Q1496" s="8"/>
      <c r="R1496" s="8"/>
      <c r="S1496" s="8"/>
      <c r="T1496" s="8"/>
      <c r="U1496" s="7"/>
      <c r="W1496" s="8"/>
      <c r="X1496" s="7"/>
    </row>
    <row r="1497" spans="1:24">
      <c r="A1497" s="7"/>
      <c r="D1497" s="7"/>
      <c r="I1497" s="7"/>
      <c r="Q1497" s="8"/>
      <c r="R1497" s="8"/>
      <c r="S1497" s="8"/>
      <c r="T1497" s="8"/>
      <c r="U1497" s="7"/>
      <c r="W1497" s="8"/>
      <c r="X1497" s="7"/>
    </row>
    <row r="1498" spans="1:24">
      <c r="A1498" s="7"/>
      <c r="D1498" s="7"/>
      <c r="I1498" s="7"/>
      <c r="Q1498" s="8"/>
      <c r="R1498" s="8"/>
      <c r="S1498" s="8"/>
      <c r="T1498" s="8"/>
      <c r="U1498" s="7"/>
      <c r="W1498" s="8"/>
      <c r="X1498" s="7"/>
    </row>
    <row r="1499" spans="1:24">
      <c r="A1499" s="7"/>
      <c r="D1499" s="7"/>
      <c r="I1499" s="7"/>
      <c r="Q1499" s="8"/>
      <c r="R1499" s="8"/>
      <c r="S1499" s="8"/>
      <c r="T1499" s="8"/>
      <c r="U1499" s="7"/>
      <c r="W1499" s="8"/>
      <c r="X1499" s="7"/>
    </row>
    <row r="1500" spans="1:24">
      <c r="A1500" s="7"/>
      <c r="D1500" s="7"/>
      <c r="I1500" s="7"/>
      <c r="Q1500" s="8"/>
      <c r="R1500" s="8"/>
      <c r="S1500" s="8"/>
      <c r="T1500" s="8"/>
      <c r="U1500" s="7"/>
      <c r="W1500" s="8"/>
      <c r="X1500" s="7"/>
    </row>
    <row r="1501" spans="1:24">
      <c r="A1501" s="7"/>
      <c r="D1501" s="7"/>
      <c r="I1501" s="7"/>
      <c r="Q1501" s="8"/>
      <c r="R1501" s="8"/>
      <c r="S1501" s="8"/>
      <c r="T1501" s="8"/>
      <c r="U1501" s="7"/>
      <c r="W1501" s="8"/>
      <c r="X1501" s="7"/>
    </row>
    <row r="1502" spans="1:24">
      <c r="A1502" s="7"/>
      <c r="D1502" s="7"/>
      <c r="I1502" s="7"/>
      <c r="Q1502" s="8"/>
      <c r="R1502" s="8"/>
      <c r="S1502" s="8"/>
      <c r="T1502" s="8"/>
      <c r="U1502" s="7"/>
      <c r="W1502" s="8"/>
      <c r="X1502" s="7"/>
    </row>
    <row r="1503" spans="1:24">
      <c r="A1503" s="7"/>
      <c r="D1503" s="7"/>
      <c r="I1503" s="7"/>
      <c r="Q1503" s="8"/>
      <c r="R1503" s="8"/>
      <c r="S1503" s="8"/>
      <c r="T1503" s="8"/>
      <c r="U1503" s="7"/>
      <c r="W1503" s="8"/>
      <c r="X1503" s="7"/>
    </row>
    <row r="1504" spans="1:24">
      <c r="A1504" s="7"/>
      <c r="D1504" s="7"/>
      <c r="I1504" s="7"/>
      <c r="Q1504" s="8"/>
      <c r="R1504" s="8"/>
      <c r="S1504" s="8"/>
      <c r="T1504" s="8"/>
      <c r="U1504" s="7"/>
      <c r="W1504" s="8"/>
      <c r="X1504" s="7"/>
    </row>
    <row r="1505" spans="1:24">
      <c r="A1505" s="7"/>
      <c r="D1505" s="7"/>
      <c r="I1505" s="7"/>
      <c r="Q1505" s="8"/>
      <c r="R1505" s="8"/>
      <c r="S1505" s="8"/>
      <c r="T1505" s="8"/>
      <c r="U1505" s="7"/>
      <c r="W1505" s="8"/>
      <c r="X1505" s="7"/>
    </row>
    <row r="1506" spans="1:24">
      <c r="A1506" s="7"/>
      <c r="D1506" s="7"/>
      <c r="I1506" s="7"/>
      <c r="Q1506" s="8"/>
      <c r="R1506" s="8"/>
      <c r="S1506" s="8"/>
      <c r="T1506" s="8"/>
      <c r="U1506" s="7"/>
      <c r="W1506" s="8"/>
      <c r="X1506" s="7"/>
    </row>
    <row r="1507" spans="1:24">
      <c r="A1507" s="7"/>
      <c r="D1507" s="7"/>
      <c r="I1507" s="7"/>
      <c r="Q1507" s="8"/>
      <c r="R1507" s="8"/>
      <c r="S1507" s="8"/>
      <c r="T1507" s="8"/>
      <c r="U1507" s="7"/>
      <c r="W1507" s="8"/>
      <c r="X1507" s="7"/>
    </row>
    <row r="1508" spans="1:24">
      <c r="A1508" s="7"/>
      <c r="D1508" s="7"/>
      <c r="I1508" s="7"/>
      <c r="Q1508" s="8"/>
      <c r="R1508" s="8"/>
      <c r="S1508" s="8"/>
      <c r="T1508" s="8"/>
      <c r="U1508" s="7"/>
      <c r="W1508" s="8"/>
      <c r="X1508" s="7"/>
    </row>
    <row r="1509" spans="1:24">
      <c r="A1509" s="7"/>
      <c r="D1509" s="7"/>
      <c r="I1509" s="7"/>
      <c r="Q1509" s="8"/>
      <c r="R1509" s="8"/>
      <c r="S1509" s="8"/>
      <c r="T1509" s="8"/>
      <c r="U1509" s="7"/>
      <c r="W1509" s="8"/>
      <c r="X1509" s="7"/>
    </row>
    <row r="1510" spans="1:24">
      <c r="A1510" s="7"/>
      <c r="D1510" s="7"/>
      <c r="I1510" s="7"/>
      <c r="Q1510" s="8"/>
      <c r="R1510" s="8"/>
      <c r="S1510" s="8"/>
      <c r="T1510" s="8"/>
      <c r="U1510" s="7"/>
      <c r="W1510" s="8"/>
      <c r="X1510" s="7"/>
    </row>
    <row r="1511" spans="1:24">
      <c r="A1511" s="7"/>
      <c r="D1511" s="7"/>
      <c r="I1511" s="7"/>
      <c r="Q1511" s="8"/>
      <c r="R1511" s="8"/>
      <c r="S1511" s="8"/>
      <c r="T1511" s="8"/>
      <c r="U1511" s="7"/>
      <c r="W1511" s="8"/>
      <c r="X1511" s="7"/>
    </row>
    <row r="1512" spans="1:24">
      <c r="A1512" s="7"/>
      <c r="D1512" s="7"/>
      <c r="I1512" s="7"/>
      <c r="Q1512" s="8"/>
      <c r="R1512" s="8"/>
      <c r="S1512" s="8"/>
      <c r="T1512" s="8"/>
      <c r="U1512" s="7"/>
      <c r="W1512" s="8"/>
      <c r="X1512" s="7"/>
    </row>
    <row r="1513" spans="1:24">
      <c r="A1513" s="7"/>
      <c r="D1513" s="7"/>
      <c r="I1513" s="7"/>
      <c r="Q1513" s="8"/>
      <c r="R1513" s="8"/>
      <c r="S1513" s="8"/>
      <c r="T1513" s="8"/>
      <c r="U1513" s="7"/>
      <c r="W1513" s="8"/>
      <c r="X1513" s="7"/>
    </row>
    <row r="1514" spans="1:24">
      <c r="A1514" s="7"/>
      <c r="D1514" s="7"/>
      <c r="I1514" s="7"/>
      <c r="Q1514" s="8"/>
      <c r="R1514" s="8"/>
      <c r="S1514" s="8"/>
      <c r="T1514" s="8"/>
      <c r="U1514" s="7"/>
      <c r="W1514" s="8"/>
      <c r="X1514" s="7"/>
    </row>
    <row r="1515" spans="1:24">
      <c r="A1515" s="7"/>
      <c r="D1515" s="7"/>
      <c r="I1515" s="7"/>
      <c r="Q1515" s="8"/>
      <c r="R1515" s="8"/>
      <c r="S1515" s="8"/>
      <c r="T1515" s="8"/>
      <c r="U1515" s="7"/>
      <c r="W1515" s="8"/>
      <c r="X1515" s="7"/>
    </row>
    <row r="1516" spans="1:24">
      <c r="A1516" s="7"/>
      <c r="D1516" s="7"/>
      <c r="I1516" s="7"/>
      <c r="Q1516" s="8"/>
      <c r="R1516" s="8"/>
      <c r="S1516" s="8"/>
      <c r="T1516" s="8"/>
      <c r="U1516" s="7"/>
      <c r="W1516" s="8"/>
      <c r="X1516" s="7"/>
    </row>
    <row r="1517" spans="1:24">
      <c r="A1517" s="7"/>
      <c r="D1517" s="7"/>
      <c r="I1517" s="7"/>
      <c r="Q1517" s="8"/>
      <c r="R1517" s="8"/>
      <c r="S1517" s="8"/>
      <c r="T1517" s="8"/>
      <c r="U1517" s="7"/>
      <c r="W1517" s="8"/>
      <c r="X1517" s="7"/>
    </row>
    <row r="1518" spans="1:24">
      <c r="A1518" s="7"/>
      <c r="D1518" s="7"/>
      <c r="I1518" s="7"/>
      <c r="Q1518" s="8"/>
      <c r="R1518" s="8"/>
      <c r="S1518" s="8"/>
      <c r="T1518" s="8"/>
      <c r="U1518" s="7"/>
      <c r="W1518" s="8"/>
      <c r="X1518" s="7"/>
    </row>
    <row r="1519" spans="1:24">
      <c r="A1519" s="7"/>
      <c r="D1519" s="7"/>
      <c r="I1519" s="7"/>
      <c r="Q1519" s="8"/>
      <c r="R1519" s="8"/>
      <c r="S1519" s="8"/>
      <c r="T1519" s="8"/>
      <c r="U1519" s="7"/>
      <c r="W1519" s="8"/>
      <c r="X1519" s="7"/>
    </row>
    <row r="1520" spans="1:24">
      <c r="A1520" s="7"/>
      <c r="D1520" s="7"/>
      <c r="I1520" s="7"/>
      <c r="Q1520" s="8"/>
      <c r="R1520" s="8"/>
      <c r="S1520" s="8"/>
      <c r="T1520" s="8"/>
      <c r="U1520" s="7"/>
      <c r="W1520" s="8"/>
      <c r="X1520" s="7"/>
    </row>
    <row r="1521" spans="1:24">
      <c r="A1521" s="7"/>
      <c r="D1521" s="7"/>
      <c r="I1521" s="7"/>
      <c r="Q1521" s="8"/>
      <c r="R1521" s="8"/>
      <c r="S1521" s="8"/>
      <c r="T1521" s="8"/>
      <c r="U1521" s="7"/>
      <c r="W1521" s="8"/>
      <c r="X1521" s="7"/>
    </row>
    <row r="1522" spans="1:24">
      <c r="A1522" s="7"/>
      <c r="D1522" s="7"/>
      <c r="I1522" s="7"/>
      <c r="Q1522" s="8"/>
      <c r="R1522" s="8"/>
      <c r="S1522" s="8"/>
      <c r="T1522" s="8"/>
      <c r="U1522" s="7"/>
      <c r="W1522" s="8"/>
      <c r="X1522" s="7"/>
    </row>
    <row r="1523" spans="1:24">
      <c r="A1523" s="7"/>
      <c r="D1523" s="7"/>
      <c r="I1523" s="7"/>
      <c r="Q1523" s="8"/>
      <c r="R1523" s="8"/>
      <c r="S1523" s="8"/>
      <c r="T1523" s="8"/>
      <c r="U1523" s="7"/>
      <c r="W1523" s="8"/>
      <c r="X1523" s="7"/>
    </row>
    <row r="1524" spans="1:24">
      <c r="A1524" s="7"/>
      <c r="D1524" s="7"/>
      <c r="I1524" s="7"/>
      <c r="Q1524" s="8"/>
      <c r="R1524" s="8"/>
      <c r="S1524" s="8"/>
      <c r="T1524" s="8"/>
      <c r="U1524" s="7"/>
      <c r="W1524" s="8"/>
      <c r="X1524" s="7"/>
    </row>
    <row r="1525" spans="1:24">
      <c r="A1525" s="7"/>
      <c r="D1525" s="7"/>
      <c r="I1525" s="7"/>
      <c r="Q1525" s="8"/>
      <c r="R1525" s="8"/>
      <c r="S1525" s="8"/>
      <c r="T1525" s="8"/>
      <c r="U1525" s="7"/>
      <c r="W1525" s="8"/>
      <c r="X1525" s="7"/>
    </row>
    <row r="1526" spans="1:24">
      <c r="A1526" s="7"/>
      <c r="D1526" s="7"/>
      <c r="I1526" s="7"/>
      <c r="Q1526" s="8"/>
      <c r="R1526" s="8"/>
      <c r="S1526" s="8"/>
      <c r="T1526" s="8"/>
      <c r="U1526" s="7"/>
      <c r="W1526" s="8"/>
      <c r="X1526" s="7"/>
    </row>
    <row r="1527" spans="1:24">
      <c r="A1527" s="7"/>
      <c r="D1527" s="7"/>
      <c r="I1527" s="7"/>
      <c r="Q1527" s="8"/>
      <c r="R1527" s="8"/>
      <c r="S1527" s="8"/>
      <c r="T1527" s="8"/>
      <c r="U1527" s="7"/>
      <c r="W1527" s="8"/>
      <c r="X1527" s="7"/>
    </row>
    <row r="1528" spans="1:24">
      <c r="A1528" s="7"/>
      <c r="D1528" s="7"/>
      <c r="I1528" s="7"/>
      <c r="Q1528" s="8"/>
      <c r="R1528" s="8"/>
      <c r="S1528" s="8"/>
      <c r="T1528" s="8"/>
      <c r="U1528" s="7"/>
      <c r="W1528" s="8"/>
      <c r="X1528" s="7"/>
    </row>
    <row r="1529" spans="1:24">
      <c r="A1529" s="7"/>
      <c r="D1529" s="7"/>
      <c r="I1529" s="7"/>
      <c r="Q1529" s="8"/>
      <c r="R1529" s="8"/>
      <c r="S1529" s="8"/>
      <c r="T1529" s="8"/>
      <c r="U1529" s="7"/>
      <c r="W1529" s="8"/>
      <c r="X1529" s="7"/>
    </row>
    <row r="1530" spans="1:24">
      <c r="A1530" s="7"/>
      <c r="D1530" s="7"/>
      <c r="I1530" s="7"/>
      <c r="Q1530" s="8"/>
      <c r="R1530" s="8"/>
      <c r="S1530" s="8"/>
      <c r="T1530" s="8"/>
      <c r="U1530" s="7"/>
      <c r="W1530" s="8"/>
      <c r="X1530" s="7"/>
    </row>
    <row r="1531" spans="1:24">
      <c r="A1531" s="7"/>
      <c r="D1531" s="7"/>
      <c r="I1531" s="7"/>
      <c r="Q1531" s="8"/>
      <c r="R1531" s="8"/>
      <c r="S1531" s="8"/>
      <c r="T1531" s="8"/>
      <c r="U1531" s="7"/>
      <c r="W1531" s="8"/>
      <c r="X1531" s="7"/>
    </row>
    <row r="1532" spans="1:24">
      <c r="A1532" s="7"/>
      <c r="D1532" s="7"/>
      <c r="I1532" s="7"/>
      <c r="Q1532" s="8"/>
      <c r="R1532" s="8"/>
      <c r="S1532" s="8"/>
      <c r="T1532" s="8"/>
      <c r="U1532" s="7"/>
      <c r="W1532" s="8"/>
      <c r="X1532" s="7"/>
    </row>
    <row r="1533" spans="1:24">
      <c r="A1533" s="7"/>
      <c r="D1533" s="7"/>
      <c r="I1533" s="7"/>
      <c r="Q1533" s="8"/>
      <c r="R1533" s="8"/>
      <c r="S1533" s="8"/>
      <c r="T1533" s="8"/>
      <c r="U1533" s="7"/>
      <c r="W1533" s="8"/>
      <c r="X1533" s="7"/>
    </row>
    <row r="1534" spans="1:24">
      <c r="A1534" s="7"/>
      <c r="D1534" s="7"/>
      <c r="I1534" s="7"/>
      <c r="Q1534" s="8"/>
      <c r="R1534" s="8"/>
      <c r="S1534" s="8"/>
      <c r="T1534" s="8"/>
      <c r="U1534" s="7"/>
      <c r="W1534" s="8"/>
      <c r="X1534" s="7"/>
    </row>
    <row r="1535" spans="1:24">
      <c r="A1535" s="7"/>
      <c r="D1535" s="7"/>
      <c r="I1535" s="7"/>
      <c r="Q1535" s="8"/>
      <c r="R1535" s="8"/>
      <c r="S1535" s="8"/>
      <c r="T1535" s="8"/>
      <c r="U1535" s="7"/>
      <c r="W1535" s="8"/>
      <c r="X1535" s="7"/>
    </row>
    <row r="1536" spans="1:24">
      <c r="A1536" s="7"/>
      <c r="D1536" s="7"/>
      <c r="I1536" s="7"/>
      <c r="Q1536" s="8"/>
      <c r="R1536" s="8"/>
      <c r="S1536" s="8"/>
      <c r="T1536" s="8"/>
      <c r="U1536" s="7"/>
      <c r="W1536" s="8"/>
      <c r="X1536" s="7"/>
    </row>
    <row r="1537" spans="1:24">
      <c r="A1537" s="7"/>
      <c r="D1537" s="7"/>
      <c r="I1537" s="7"/>
      <c r="Q1537" s="8"/>
      <c r="R1537" s="8"/>
      <c r="S1537" s="8"/>
      <c r="T1537" s="8"/>
      <c r="U1537" s="7"/>
      <c r="W1537" s="8"/>
      <c r="X1537" s="7"/>
    </row>
    <row r="1538" spans="1:24">
      <c r="A1538" s="7"/>
      <c r="D1538" s="7"/>
      <c r="I1538" s="7"/>
      <c r="Q1538" s="8"/>
      <c r="R1538" s="8"/>
      <c r="S1538" s="8"/>
      <c r="T1538" s="8"/>
      <c r="U1538" s="7"/>
      <c r="W1538" s="8"/>
      <c r="X1538" s="7"/>
    </row>
    <row r="1539" spans="1:24">
      <c r="A1539" s="7"/>
      <c r="D1539" s="7"/>
      <c r="I1539" s="7"/>
      <c r="Q1539" s="8"/>
      <c r="R1539" s="8"/>
      <c r="S1539" s="8"/>
      <c r="T1539" s="8"/>
      <c r="U1539" s="7"/>
      <c r="W1539" s="8"/>
      <c r="X1539" s="7"/>
    </row>
    <row r="1540" spans="1:24">
      <c r="A1540" s="7"/>
      <c r="D1540" s="7"/>
      <c r="I1540" s="7"/>
      <c r="Q1540" s="8"/>
      <c r="R1540" s="8"/>
      <c r="S1540" s="8"/>
      <c r="T1540" s="8"/>
      <c r="U1540" s="7"/>
      <c r="W1540" s="8"/>
      <c r="X1540" s="7"/>
    </row>
    <row r="1541" spans="1:24">
      <c r="A1541" s="7"/>
      <c r="D1541" s="7"/>
      <c r="I1541" s="7"/>
      <c r="Q1541" s="8"/>
      <c r="R1541" s="8"/>
      <c r="S1541" s="8"/>
      <c r="T1541" s="8"/>
      <c r="U1541" s="7"/>
      <c r="W1541" s="8"/>
      <c r="X1541" s="7"/>
    </row>
    <row r="1542" spans="1:24">
      <c r="A1542" s="7"/>
      <c r="D1542" s="7"/>
      <c r="I1542" s="7"/>
      <c r="Q1542" s="8"/>
      <c r="R1542" s="8"/>
      <c r="S1542" s="8"/>
      <c r="T1542" s="8"/>
      <c r="U1542" s="7"/>
      <c r="W1542" s="8"/>
      <c r="X1542" s="7"/>
    </row>
    <row r="1543" spans="1:24">
      <c r="A1543" s="7"/>
      <c r="D1543" s="7"/>
      <c r="I1543" s="7"/>
      <c r="Q1543" s="8"/>
      <c r="R1543" s="8"/>
      <c r="S1543" s="8"/>
      <c r="T1543" s="8"/>
      <c r="U1543" s="7"/>
      <c r="W1543" s="8"/>
      <c r="X1543" s="7"/>
    </row>
    <row r="1544" spans="1:24">
      <c r="A1544" s="7"/>
      <c r="D1544" s="7"/>
      <c r="I1544" s="7"/>
      <c r="Q1544" s="8"/>
      <c r="R1544" s="8"/>
      <c r="S1544" s="8"/>
      <c r="T1544" s="8"/>
      <c r="U1544" s="7"/>
      <c r="W1544" s="8"/>
      <c r="X1544" s="7"/>
    </row>
    <row r="1545" spans="1:24">
      <c r="A1545" s="7"/>
      <c r="D1545" s="7"/>
      <c r="I1545" s="7"/>
      <c r="Q1545" s="8"/>
      <c r="R1545" s="8"/>
      <c r="S1545" s="8"/>
      <c r="T1545" s="8"/>
      <c r="U1545" s="7"/>
      <c r="W1545" s="8"/>
      <c r="X1545" s="7"/>
    </row>
    <row r="1546" spans="1:24">
      <c r="A1546" s="7"/>
      <c r="D1546" s="7"/>
      <c r="I1546" s="7"/>
      <c r="Q1546" s="8"/>
      <c r="R1546" s="8"/>
      <c r="S1546" s="8"/>
      <c r="T1546" s="8"/>
      <c r="U1546" s="7"/>
      <c r="W1546" s="8"/>
      <c r="X1546" s="7"/>
    </row>
    <row r="1547" spans="1:24">
      <c r="A1547" s="7"/>
      <c r="D1547" s="7"/>
      <c r="I1547" s="7"/>
      <c r="Q1547" s="8"/>
      <c r="R1547" s="8"/>
      <c r="S1547" s="8"/>
      <c r="T1547" s="8"/>
      <c r="U1547" s="7"/>
      <c r="W1547" s="8"/>
      <c r="X1547" s="7"/>
    </row>
    <row r="1548" spans="1:24">
      <c r="A1548" s="7"/>
      <c r="D1548" s="7"/>
      <c r="I1548" s="7"/>
      <c r="Q1548" s="8"/>
      <c r="R1548" s="8"/>
      <c r="S1548" s="8"/>
      <c r="T1548" s="8"/>
      <c r="U1548" s="7"/>
      <c r="W1548" s="8"/>
      <c r="X1548" s="7"/>
    </row>
    <row r="1549" spans="1:24">
      <c r="A1549" s="7"/>
      <c r="D1549" s="7"/>
      <c r="I1549" s="7"/>
      <c r="Q1549" s="8"/>
      <c r="R1549" s="8"/>
      <c r="S1549" s="8"/>
      <c r="T1549" s="8"/>
      <c r="U1549" s="7"/>
      <c r="W1549" s="8"/>
      <c r="X1549" s="7"/>
    </row>
    <row r="1550" spans="1:24">
      <c r="A1550" s="7"/>
      <c r="D1550" s="7"/>
      <c r="I1550" s="7"/>
      <c r="Q1550" s="8"/>
      <c r="R1550" s="8"/>
      <c r="S1550" s="8"/>
      <c r="T1550" s="8"/>
      <c r="U1550" s="7"/>
      <c r="W1550" s="8"/>
      <c r="X1550" s="7"/>
    </row>
    <row r="1551" spans="1:24">
      <c r="A1551" s="7"/>
      <c r="D1551" s="7"/>
      <c r="I1551" s="7"/>
      <c r="Q1551" s="8"/>
      <c r="R1551" s="8"/>
      <c r="S1551" s="8"/>
      <c r="T1551" s="8"/>
      <c r="U1551" s="7"/>
      <c r="W1551" s="8"/>
      <c r="X1551" s="7"/>
    </row>
    <row r="1552" spans="1:24">
      <c r="A1552" s="7"/>
      <c r="D1552" s="7"/>
      <c r="I1552" s="7"/>
      <c r="Q1552" s="8"/>
      <c r="R1552" s="8"/>
      <c r="S1552" s="8"/>
      <c r="T1552" s="8"/>
      <c r="U1552" s="7"/>
      <c r="W1552" s="8"/>
      <c r="X1552" s="7"/>
    </row>
    <row r="1553" spans="1:24">
      <c r="A1553" s="7"/>
      <c r="D1553" s="7"/>
      <c r="I1553" s="7"/>
      <c r="Q1553" s="8"/>
      <c r="R1553" s="8"/>
      <c r="S1553" s="8"/>
      <c r="T1553" s="8"/>
      <c r="U1553" s="7"/>
      <c r="W1553" s="8"/>
      <c r="X1553" s="7"/>
    </row>
    <row r="1554" spans="1:24">
      <c r="A1554" s="7"/>
      <c r="D1554" s="7"/>
      <c r="I1554" s="7"/>
      <c r="Q1554" s="8"/>
      <c r="R1554" s="8"/>
      <c r="S1554" s="8"/>
      <c r="T1554" s="8"/>
      <c r="U1554" s="7"/>
      <c r="W1554" s="8"/>
      <c r="X1554" s="7"/>
    </row>
    <row r="1555" spans="1:24">
      <c r="A1555" s="7"/>
      <c r="D1555" s="7"/>
      <c r="I1555" s="7"/>
      <c r="Q1555" s="8"/>
      <c r="R1555" s="8"/>
      <c r="S1555" s="8"/>
      <c r="T1555" s="8"/>
      <c r="U1555" s="7"/>
      <c r="W1555" s="8"/>
      <c r="X1555" s="7"/>
    </row>
    <row r="1556" spans="1:24">
      <c r="A1556" s="7"/>
      <c r="D1556" s="7"/>
      <c r="I1556" s="7"/>
      <c r="Q1556" s="8"/>
      <c r="R1556" s="8"/>
      <c r="S1556" s="8"/>
      <c r="T1556" s="8"/>
      <c r="U1556" s="7"/>
      <c r="W1556" s="8"/>
      <c r="X1556" s="7"/>
    </row>
    <row r="1557" spans="1:24">
      <c r="A1557" s="7"/>
      <c r="D1557" s="7"/>
      <c r="I1557" s="7"/>
      <c r="Q1557" s="8"/>
      <c r="R1557" s="8"/>
      <c r="S1557" s="8"/>
      <c r="T1557" s="8"/>
      <c r="U1557" s="7"/>
      <c r="W1557" s="8"/>
      <c r="X1557" s="7"/>
    </row>
    <row r="1558" spans="1:24">
      <c r="A1558" s="7"/>
      <c r="D1558" s="7"/>
      <c r="I1558" s="7"/>
      <c r="Q1558" s="8"/>
      <c r="R1558" s="8"/>
      <c r="S1558" s="8"/>
      <c r="T1558" s="8"/>
      <c r="U1558" s="7"/>
      <c r="W1558" s="8"/>
      <c r="X1558" s="7"/>
    </row>
    <row r="1559" spans="1:24">
      <c r="A1559" s="7"/>
      <c r="D1559" s="7"/>
      <c r="I1559" s="7"/>
      <c r="Q1559" s="8"/>
      <c r="R1559" s="8"/>
      <c r="S1559" s="8"/>
      <c r="T1559" s="8"/>
      <c r="U1559" s="7"/>
      <c r="W1559" s="8"/>
      <c r="X1559" s="7"/>
    </row>
    <row r="1560" spans="1:24">
      <c r="A1560" s="7"/>
      <c r="D1560" s="7"/>
      <c r="I1560" s="7"/>
      <c r="Q1560" s="8"/>
      <c r="R1560" s="8"/>
      <c r="S1560" s="8"/>
      <c r="T1560" s="8"/>
      <c r="U1560" s="7"/>
      <c r="W1560" s="8"/>
      <c r="X1560" s="7"/>
    </row>
    <row r="1561" spans="1:24">
      <c r="A1561" s="7"/>
      <c r="D1561" s="7"/>
      <c r="I1561" s="7"/>
      <c r="Q1561" s="8"/>
      <c r="R1561" s="8"/>
      <c r="S1561" s="8"/>
      <c r="T1561" s="8"/>
      <c r="U1561" s="7"/>
      <c r="W1561" s="8"/>
      <c r="X1561" s="7"/>
    </row>
    <row r="1562" spans="1:24">
      <c r="A1562" s="7"/>
      <c r="D1562" s="7"/>
      <c r="I1562" s="7"/>
      <c r="Q1562" s="8"/>
      <c r="R1562" s="8"/>
      <c r="S1562" s="8"/>
      <c r="T1562" s="8"/>
      <c r="U1562" s="7"/>
      <c r="W1562" s="8"/>
      <c r="X1562" s="7"/>
    </row>
    <row r="1563" spans="1:24">
      <c r="A1563" s="7"/>
      <c r="D1563" s="7"/>
      <c r="I1563" s="7"/>
      <c r="Q1563" s="8"/>
      <c r="R1563" s="8"/>
      <c r="S1563" s="8"/>
      <c r="T1563" s="8"/>
      <c r="U1563" s="7"/>
      <c r="W1563" s="8"/>
      <c r="X1563" s="7"/>
    </row>
    <row r="1564" spans="1:24">
      <c r="A1564" s="7"/>
      <c r="D1564" s="7"/>
      <c r="I1564" s="7"/>
      <c r="Q1564" s="8"/>
      <c r="R1564" s="8"/>
      <c r="S1564" s="8"/>
      <c r="T1564" s="8"/>
      <c r="U1564" s="7"/>
      <c r="W1564" s="8"/>
      <c r="X1564" s="7"/>
    </row>
    <row r="1565" spans="1:24">
      <c r="A1565" s="7"/>
      <c r="D1565" s="7"/>
      <c r="I1565" s="7"/>
      <c r="Q1565" s="8"/>
      <c r="R1565" s="8"/>
      <c r="S1565" s="8"/>
      <c r="T1565" s="8"/>
      <c r="U1565" s="7"/>
      <c r="W1565" s="8"/>
      <c r="X1565" s="7"/>
    </row>
    <row r="1566" spans="1:24">
      <c r="A1566" s="7"/>
      <c r="D1566" s="7"/>
      <c r="I1566" s="7"/>
      <c r="Q1566" s="8"/>
      <c r="R1566" s="8"/>
      <c r="S1566" s="8"/>
      <c r="T1566" s="8"/>
      <c r="U1566" s="7"/>
      <c r="W1566" s="8"/>
      <c r="X1566" s="7"/>
    </row>
    <row r="1567" spans="1:24">
      <c r="A1567" s="7"/>
      <c r="D1567" s="7"/>
      <c r="I1567" s="7"/>
      <c r="Q1567" s="8"/>
      <c r="R1567" s="8"/>
      <c r="S1567" s="8"/>
      <c r="T1567" s="8"/>
      <c r="U1567" s="7"/>
      <c r="W1567" s="8"/>
      <c r="X1567" s="7"/>
    </row>
    <row r="1568" spans="1:24">
      <c r="A1568" s="7"/>
      <c r="D1568" s="7"/>
      <c r="I1568" s="7"/>
      <c r="Q1568" s="8"/>
      <c r="R1568" s="8"/>
      <c r="S1568" s="8"/>
      <c r="T1568" s="8"/>
      <c r="U1568" s="7"/>
      <c r="W1568" s="8"/>
      <c r="X1568" s="7"/>
    </row>
    <row r="1569" spans="1:24">
      <c r="A1569" s="7"/>
      <c r="D1569" s="7"/>
      <c r="I1569" s="7"/>
      <c r="Q1569" s="8"/>
      <c r="R1569" s="8"/>
      <c r="S1569" s="8"/>
      <c r="T1569" s="8"/>
      <c r="U1569" s="7"/>
      <c r="W1569" s="8"/>
      <c r="X1569" s="7"/>
    </row>
    <row r="1570" spans="1:24">
      <c r="A1570" s="7"/>
      <c r="D1570" s="7"/>
      <c r="I1570" s="7"/>
      <c r="Q1570" s="8"/>
      <c r="R1570" s="8"/>
      <c r="S1570" s="8"/>
      <c r="T1570" s="8"/>
      <c r="U1570" s="7"/>
      <c r="W1570" s="8"/>
      <c r="X1570" s="7"/>
    </row>
    <row r="1571" spans="1:24">
      <c r="A1571" s="7"/>
      <c r="D1571" s="7"/>
      <c r="I1571" s="7"/>
      <c r="Q1571" s="8"/>
      <c r="R1571" s="8"/>
      <c r="S1571" s="8"/>
      <c r="T1571" s="8"/>
      <c r="U1571" s="7"/>
      <c r="W1571" s="8"/>
      <c r="X1571" s="7"/>
    </row>
    <row r="1572" spans="1:24">
      <c r="A1572" s="7"/>
      <c r="D1572" s="7"/>
      <c r="I1572" s="7"/>
      <c r="Q1572" s="8"/>
      <c r="R1572" s="8"/>
      <c r="S1572" s="8"/>
      <c r="T1572" s="8"/>
      <c r="U1572" s="7"/>
      <c r="W1572" s="8"/>
      <c r="X1572" s="7"/>
    </row>
    <row r="1573" spans="1:24">
      <c r="A1573" s="7"/>
      <c r="D1573" s="7"/>
      <c r="I1573" s="7"/>
      <c r="Q1573" s="8"/>
      <c r="R1573" s="8"/>
      <c r="S1573" s="8"/>
      <c r="T1573" s="8"/>
      <c r="U1573" s="7"/>
      <c r="W1573" s="8"/>
      <c r="X1573" s="7"/>
    </row>
    <row r="1574" spans="1:24">
      <c r="A1574" s="7"/>
      <c r="D1574" s="7"/>
      <c r="I1574" s="7"/>
      <c r="Q1574" s="8"/>
      <c r="R1574" s="8"/>
      <c r="S1574" s="8"/>
      <c r="T1574" s="8"/>
      <c r="U1574" s="7"/>
      <c r="W1574" s="8"/>
      <c r="X1574" s="7"/>
    </row>
    <row r="1575" spans="1:24">
      <c r="A1575" s="7"/>
      <c r="D1575" s="7"/>
      <c r="I1575" s="7"/>
      <c r="Q1575" s="8"/>
      <c r="R1575" s="8"/>
      <c r="S1575" s="8"/>
      <c r="T1575" s="8"/>
      <c r="U1575" s="7"/>
      <c r="W1575" s="8"/>
      <c r="X1575" s="7"/>
    </row>
    <row r="1576" spans="1:24">
      <c r="A1576" s="7"/>
      <c r="D1576" s="7"/>
      <c r="I1576" s="7"/>
      <c r="Q1576" s="8"/>
      <c r="R1576" s="8"/>
      <c r="S1576" s="8"/>
      <c r="T1576" s="8"/>
      <c r="U1576" s="7"/>
      <c r="W1576" s="8"/>
      <c r="X1576" s="7"/>
    </row>
    <row r="1577" spans="1:24">
      <c r="A1577" s="7"/>
      <c r="D1577" s="7"/>
      <c r="I1577" s="7"/>
      <c r="Q1577" s="8"/>
      <c r="R1577" s="8"/>
      <c r="S1577" s="8"/>
      <c r="T1577" s="8"/>
      <c r="U1577" s="7"/>
      <c r="W1577" s="8"/>
      <c r="X1577" s="7"/>
    </row>
    <row r="1578" spans="1:24">
      <c r="A1578" s="7"/>
      <c r="D1578" s="7"/>
      <c r="I1578" s="7"/>
      <c r="Q1578" s="8"/>
      <c r="R1578" s="8"/>
      <c r="S1578" s="8"/>
      <c r="T1578" s="8"/>
      <c r="U1578" s="7"/>
      <c r="W1578" s="8"/>
      <c r="X1578" s="7"/>
    </row>
    <row r="1579" spans="1:24">
      <c r="A1579" s="7"/>
      <c r="D1579" s="7"/>
      <c r="I1579" s="7"/>
      <c r="Q1579" s="8"/>
      <c r="R1579" s="8"/>
      <c r="S1579" s="8"/>
      <c r="T1579" s="8"/>
      <c r="U1579" s="7"/>
      <c r="W1579" s="8"/>
      <c r="X1579" s="7"/>
    </row>
    <row r="1580" spans="1:24">
      <c r="A1580" s="7"/>
      <c r="D1580" s="7"/>
      <c r="I1580" s="7"/>
      <c r="Q1580" s="8"/>
      <c r="R1580" s="8"/>
      <c r="S1580" s="8"/>
      <c r="T1580" s="8"/>
      <c r="U1580" s="7"/>
      <c r="W1580" s="8"/>
      <c r="X1580" s="7"/>
    </row>
    <row r="1581" spans="1:24">
      <c r="A1581" s="7"/>
      <c r="D1581" s="7"/>
      <c r="I1581" s="7"/>
      <c r="Q1581" s="8"/>
      <c r="R1581" s="8"/>
      <c r="S1581" s="8"/>
      <c r="T1581" s="8"/>
      <c r="U1581" s="7"/>
      <c r="W1581" s="8"/>
      <c r="X1581" s="7"/>
    </row>
    <row r="1582" spans="1:24">
      <c r="A1582" s="7"/>
      <c r="D1582" s="7"/>
      <c r="I1582" s="7"/>
      <c r="Q1582" s="8"/>
      <c r="R1582" s="8"/>
      <c r="S1582" s="8"/>
      <c r="T1582" s="8"/>
      <c r="U1582" s="7"/>
      <c r="W1582" s="8"/>
      <c r="X1582" s="7"/>
    </row>
    <row r="1583" spans="1:24">
      <c r="A1583" s="7"/>
      <c r="D1583" s="7"/>
      <c r="I1583" s="7"/>
      <c r="Q1583" s="8"/>
      <c r="R1583" s="8"/>
      <c r="S1583" s="8"/>
      <c r="T1583" s="8"/>
      <c r="U1583" s="7"/>
      <c r="W1583" s="8"/>
      <c r="X1583" s="7"/>
    </row>
    <row r="1584" spans="1:24">
      <c r="A1584" s="7"/>
      <c r="D1584" s="7"/>
      <c r="I1584" s="7"/>
      <c r="Q1584" s="8"/>
      <c r="R1584" s="8"/>
      <c r="S1584" s="8"/>
      <c r="T1584" s="8"/>
      <c r="U1584" s="7"/>
      <c r="W1584" s="8"/>
      <c r="X1584" s="7"/>
    </row>
    <row r="1585" spans="1:24">
      <c r="A1585" s="7"/>
      <c r="D1585" s="7"/>
      <c r="I1585" s="7"/>
      <c r="Q1585" s="8"/>
      <c r="R1585" s="8"/>
      <c r="S1585" s="8"/>
      <c r="T1585" s="8"/>
      <c r="U1585" s="7"/>
      <c r="W1585" s="8"/>
      <c r="X1585" s="7"/>
    </row>
    <row r="1586" spans="1:24">
      <c r="A1586" s="7"/>
      <c r="D1586" s="7"/>
      <c r="I1586" s="7"/>
      <c r="Q1586" s="8"/>
      <c r="R1586" s="8"/>
      <c r="S1586" s="8"/>
      <c r="T1586" s="8"/>
      <c r="U1586" s="7"/>
      <c r="W1586" s="8"/>
      <c r="X1586" s="7"/>
    </row>
    <row r="1587" spans="1:24">
      <c r="A1587" s="7"/>
      <c r="D1587" s="7"/>
      <c r="I1587" s="7"/>
      <c r="Q1587" s="8"/>
      <c r="R1587" s="8"/>
      <c r="S1587" s="8"/>
      <c r="T1587" s="8"/>
      <c r="U1587" s="7"/>
      <c r="W1587" s="8"/>
      <c r="X1587" s="7"/>
    </row>
    <row r="1588" spans="1:24">
      <c r="A1588" s="7"/>
      <c r="D1588" s="7"/>
      <c r="I1588" s="7"/>
      <c r="Q1588" s="8"/>
      <c r="R1588" s="8"/>
      <c r="S1588" s="8"/>
      <c r="T1588" s="8"/>
      <c r="U1588" s="7"/>
      <c r="W1588" s="8"/>
      <c r="X1588" s="7"/>
    </row>
    <row r="1589" spans="1:24">
      <c r="A1589" s="7"/>
      <c r="D1589" s="7"/>
      <c r="I1589" s="7"/>
      <c r="Q1589" s="8"/>
      <c r="R1589" s="8"/>
      <c r="S1589" s="8"/>
      <c r="T1589" s="8"/>
      <c r="U1589" s="7"/>
      <c r="W1589" s="8"/>
      <c r="X1589" s="7"/>
    </row>
    <row r="1590" spans="1:24">
      <c r="A1590" s="7"/>
      <c r="D1590" s="7"/>
      <c r="I1590" s="7"/>
      <c r="Q1590" s="8"/>
      <c r="R1590" s="8"/>
      <c r="S1590" s="8"/>
      <c r="T1590" s="8"/>
      <c r="U1590" s="7"/>
      <c r="W1590" s="8"/>
      <c r="X1590" s="7"/>
    </row>
    <row r="1591" spans="1:24">
      <c r="A1591" s="7"/>
      <c r="D1591" s="7"/>
      <c r="I1591" s="7"/>
      <c r="Q1591" s="8"/>
      <c r="R1591" s="8"/>
      <c r="S1591" s="8"/>
      <c r="T1591" s="8"/>
      <c r="U1591" s="7"/>
      <c r="W1591" s="8"/>
      <c r="X1591" s="7"/>
    </row>
    <row r="1592" spans="1:24">
      <c r="A1592" s="7"/>
      <c r="D1592" s="7"/>
      <c r="I1592" s="7"/>
      <c r="Q1592" s="8"/>
      <c r="R1592" s="8"/>
      <c r="S1592" s="8"/>
      <c r="T1592" s="8"/>
      <c r="U1592" s="7"/>
      <c r="W1592" s="8"/>
      <c r="X1592" s="7"/>
    </row>
    <row r="1593" spans="1:24">
      <c r="A1593" s="7"/>
      <c r="D1593" s="7"/>
      <c r="I1593" s="7"/>
      <c r="Q1593" s="8"/>
      <c r="R1593" s="8"/>
      <c r="S1593" s="8"/>
      <c r="T1593" s="8"/>
      <c r="U1593" s="7"/>
      <c r="W1593" s="8"/>
      <c r="X1593" s="7"/>
    </row>
    <row r="1594" spans="1:24">
      <c r="A1594" s="7"/>
      <c r="D1594" s="7"/>
      <c r="I1594" s="7"/>
      <c r="Q1594" s="8"/>
      <c r="R1594" s="8"/>
      <c r="S1594" s="8"/>
      <c r="T1594" s="8"/>
      <c r="U1594" s="7"/>
      <c r="W1594" s="8"/>
      <c r="X1594" s="7"/>
    </row>
    <row r="1595" spans="1:24">
      <c r="A1595" s="7"/>
      <c r="D1595" s="7"/>
      <c r="I1595" s="7"/>
      <c r="Q1595" s="8"/>
      <c r="R1595" s="8"/>
      <c r="S1595" s="8"/>
      <c r="T1595" s="8"/>
      <c r="U1595" s="7"/>
      <c r="W1595" s="8"/>
      <c r="X1595" s="7"/>
    </row>
    <row r="1596" spans="1:24">
      <c r="A1596" s="7"/>
      <c r="D1596" s="7"/>
      <c r="I1596" s="7"/>
      <c r="Q1596" s="8"/>
      <c r="R1596" s="8"/>
      <c r="S1596" s="8"/>
      <c r="T1596" s="8"/>
      <c r="U1596" s="7"/>
      <c r="W1596" s="8"/>
      <c r="X1596" s="7"/>
    </row>
    <row r="1597" spans="1:24">
      <c r="A1597" s="7"/>
      <c r="D1597" s="7"/>
      <c r="I1597" s="7"/>
      <c r="Q1597" s="8"/>
      <c r="R1597" s="8"/>
      <c r="S1597" s="8"/>
      <c r="T1597" s="8"/>
      <c r="U1597" s="7"/>
      <c r="W1597" s="8"/>
      <c r="X1597" s="7"/>
    </row>
    <row r="1598" spans="1:24">
      <c r="A1598" s="7"/>
      <c r="D1598" s="7"/>
      <c r="I1598" s="7"/>
      <c r="Q1598" s="8"/>
      <c r="R1598" s="8"/>
      <c r="S1598" s="8"/>
      <c r="T1598" s="8"/>
      <c r="U1598" s="7"/>
      <c r="W1598" s="8"/>
      <c r="X1598" s="7"/>
    </row>
    <row r="1599" spans="1:24">
      <c r="A1599" s="7"/>
      <c r="D1599" s="7"/>
      <c r="I1599" s="7"/>
      <c r="Q1599" s="8"/>
      <c r="R1599" s="8"/>
      <c r="S1599" s="8"/>
      <c r="T1599" s="8"/>
      <c r="U1599" s="7"/>
      <c r="W1599" s="8"/>
      <c r="X1599" s="7"/>
    </row>
    <row r="1600" spans="1:24">
      <c r="A1600" s="7"/>
      <c r="D1600" s="7"/>
      <c r="I1600" s="7"/>
      <c r="Q1600" s="8"/>
      <c r="R1600" s="8"/>
      <c r="S1600" s="8"/>
      <c r="T1600" s="8"/>
      <c r="U1600" s="7"/>
      <c r="W1600" s="8"/>
      <c r="X1600" s="7"/>
    </row>
    <row r="1601" spans="1:24">
      <c r="A1601" s="7"/>
      <c r="D1601" s="7"/>
      <c r="I1601" s="7"/>
      <c r="Q1601" s="8"/>
      <c r="R1601" s="8"/>
      <c r="S1601" s="8"/>
      <c r="T1601" s="8"/>
      <c r="U1601" s="7"/>
      <c r="W1601" s="8"/>
      <c r="X1601" s="7"/>
    </row>
    <row r="1602" spans="1:24">
      <c r="A1602" s="7"/>
      <c r="D1602" s="7"/>
      <c r="I1602" s="7"/>
      <c r="Q1602" s="8"/>
      <c r="R1602" s="8"/>
      <c r="S1602" s="8"/>
      <c r="T1602" s="8"/>
      <c r="U1602" s="7"/>
      <c r="W1602" s="8"/>
      <c r="X1602" s="7"/>
    </row>
    <row r="1603" spans="1:24">
      <c r="A1603" s="7"/>
      <c r="D1603" s="7"/>
      <c r="I1603" s="7"/>
      <c r="Q1603" s="8"/>
      <c r="R1603" s="8"/>
      <c r="S1603" s="8"/>
      <c r="T1603" s="8"/>
      <c r="U1603" s="7"/>
      <c r="W1603" s="8"/>
      <c r="X1603" s="7"/>
    </row>
    <row r="1604" spans="1:24">
      <c r="A1604" s="7"/>
      <c r="D1604" s="7"/>
      <c r="I1604" s="7"/>
      <c r="Q1604" s="8"/>
      <c r="R1604" s="8"/>
      <c r="S1604" s="8"/>
      <c r="T1604" s="8"/>
      <c r="U1604" s="7"/>
      <c r="W1604" s="8"/>
      <c r="X1604" s="7"/>
    </row>
  </sheetData>
  <autoFilter ref="A1:AD213" xr:uid="{10D33497-6F62-443E-B718-7D47F0696F92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87179-9316-4D92-9881-199DFBD22587}">
  <sheetPr filterMode="1">
    <tabColor rgb="FFFF0000"/>
  </sheetPr>
  <dimension ref="A1:AI2471"/>
  <sheetViews>
    <sheetView workbookViewId="0">
      <pane xSplit="8" ySplit="1" topLeftCell="I545" activePane="bottomRight" state="frozen"/>
      <selection pane="topRight" activeCell="I1" sqref="I1"/>
      <selection pane="bottomLeft" activeCell="A3" sqref="A3"/>
      <selection pane="bottomRight" activeCell="G545" sqref="G545"/>
    </sheetView>
  </sheetViews>
  <sheetFormatPr defaultRowHeight="14.5"/>
  <cols>
    <col min="1" max="1" width="6.7265625" customWidth="1"/>
    <col min="2" max="2" width="6.81640625" bestFit="1" customWidth="1"/>
    <col min="3" max="3" width="16.90625" customWidth="1"/>
    <col min="4" max="4" width="14.26953125" customWidth="1"/>
    <col min="5" max="5" width="41.6328125" customWidth="1"/>
    <col min="6" max="6" width="10.36328125" customWidth="1"/>
    <col min="7" max="7" width="11.7265625" customWidth="1"/>
    <col min="8" max="9" width="15.6328125" customWidth="1"/>
    <col min="10" max="10" width="19.453125" customWidth="1"/>
    <col min="11" max="11" width="14.26953125" customWidth="1"/>
    <col min="12" max="12" width="7.81640625" customWidth="1"/>
    <col min="13" max="13" width="15.6328125" customWidth="1"/>
    <col min="14" max="14" width="13" customWidth="1"/>
    <col min="15" max="15" width="22.08984375" customWidth="1"/>
    <col min="16" max="16" width="13" customWidth="1"/>
    <col min="17" max="17" width="18.1796875" customWidth="1"/>
    <col min="18" max="18" width="22.90625" customWidth="1"/>
    <col min="19" max="19" width="19.453125" customWidth="1"/>
    <col min="20" max="20" width="15.6328125" customWidth="1"/>
    <col min="21" max="21" width="19.453125" customWidth="1"/>
    <col min="22" max="22" width="18.1796875" customWidth="1"/>
    <col min="23" max="23" width="19.453125" customWidth="1"/>
    <col min="24" max="24" width="20.81640625" customWidth="1"/>
    <col min="25" max="25" width="16.90625" customWidth="1"/>
    <col min="26" max="27" width="13" customWidth="1"/>
    <col min="28" max="28" width="18.1796875" customWidth="1"/>
    <col min="29" max="29" width="19.453125" customWidth="1"/>
    <col min="30" max="30" width="15.6328125" customWidth="1"/>
    <col min="31" max="31" width="20.81640625" customWidth="1"/>
    <col min="32" max="32" width="19.453125" customWidth="1"/>
    <col min="33" max="33" width="20.81640625" customWidth="1"/>
    <col min="34" max="34" width="10.36328125" customWidth="1"/>
    <col min="35" max="35" width="14.26953125" customWidth="1"/>
  </cols>
  <sheetData>
    <row r="1" spans="1:35">
      <c r="A1" s="6" t="s">
        <v>213</v>
      </c>
      <c r="B1" s="6" t="s">
        <v>214</v>
      </c>
      <c r="C1" s="6" t="s">
        <v>215</v>
      </c>
      <c r="D1" s="6" t="s">
        <v>216</v>
      </c>
      <c r="E1" s="6" t="s">
        <v>217</v>
      </c>
      <c r="F1" s="6" t="s">
        <v>786</v>
      </c>
      <c r="G1" s="6" t="s">
        <v>220</v>
      </c>
      <c r="H1" s="6" t="s">
        <v>787</v>
      </c>
      <c r="I1" s="6" t="s">
        <v>788</v>
      </c>
      <c r="J1" s="6" t="s">
        <v>789</v>
      </c>
      <c r="K1" s="6" t="s">
        <v>790</v>
      </c>
      <c r="L1" s="6" t="s">
        <v>219</v>
      </c>
      <c r="M1" s="6" t="s">
        <v>225</v>
      </c>
      <c r="N1" s="6" t="s">
        <v>222</v>
      </c>
      <c r="O1" s="6" t="s">
        <v>223</v>
      </c>
      <c r="P1" s="6" t="s">
        <v>224</v>
      </c>
      <c r="Q1" s="6" t="s">
        <v>240</v>
      </c>
      <c r="R1" s="6" t="s">
        <v>241</v>
      </c>
      <c r="S1" s="6" t="s">
        <v>791</v>
      </c>
      <c r="T1" s="6" t="s">
        <v>792</v>
      </c>
      <c r="U1" s="6" t="s">
        <v>228</v>
      </c>
      <c r="V1" s="6" t="s">
        <v>229</v>
      </c>
      <c r="W1" s="6" t="s">
        <v>233</v>
      </c>
      <c r="X1" s="6" t="s">
        <v>234</v>
      </c>
      <c r="Y1" s="6" t="s">
        <v>230</v>
      </c>
      <c r="Z1" s="6" t="s">
        <v>232</v>
      </c>
      <c r="AA1" s="6" t="s">
        <v>231</v>
      </c>
      <c r="AB1" s="6" t="s">
        <v>236</v>
      </c>
      <c r="AC1" s="6" t="s">
        <v>237</v>
      </c>
      <c r="AD1" s="6" t="s">
        <v>235</v>
      </c>
      <c r="AE1" s="6" t="s">
        <v>238</v>
      </c>
      <c r="AF1" s="6" t="s">
        <v>239</v>
      </c>
      <c r="AG1" s="6" t="s">
        <v>793</v>
      </c>
      <c r="AH1" s="6" t="s">
        <v>794</v>
      </c>
      <c r="AI1" s="6" t="s">
        <v>795</v>
      </c>
    </row>
    <row r="2" spans="1:35" hidden="1">
      <c r="A2" s="7">
        <v>1</v>
      </c>
      <c r="B2" t="s">
        <v>243</v>
      </c>
      <c r="C2" t="s">
        <v>244</v>
      </c>
      <c r="D2" s="7">
        <v>7134</v>
      </c>
      <c r="E2" t="s">
        <v>245</v>
      </c>
      <c r="F2" t="s">
        <v>246</v>
      </c>
      <c r="G2" t="s">
        <v>1011</v>
      </c>
      <c r="H2" t="s">
        <v>3074</v>
      </c>
      <c r="I2" s="7">
        <v>1165</v>
      </c>
      <c r="J2" s="7">
        <v>41684</v>
      </c>
      <c r="K2" s="7">
        <v>6</v>
      </c>
      <c r="L2" t="s">
        <v>247</v>
      </c>
      <c r="M2" t="s">
        <v>261</v>
      </c>
      <c r="N2" s="7">
        <v>70774079</v>
      </c>
      <c r="O2" t="s">
        <v>1285</v>
      </c>
      <c r="P2" t="s">
        <v>1286</v>
      </c>
      <c r="S2" t="s">
        <v>3075</v>
      </c>
      <c r="T2" t="s">
        <v>3076</v>
      </c>
      <c r="U2" t="s">
        <v>3076</v>
      </c>
      <c r="V2" s="8">
        <v>0</v>
      </c>
      <c r="W2" s="7">
        <v>0</v>
      </c>
      <c r="Y2" s="8">
        <v>0</v>
      </c>
      <c r="Z2" s="8">
        <v>0</v>
      </c>
      <c r="AA2" s="8">
        <v>0</v>
      </c>
      <c r="AB2" s="7">
        <v>0</v>
      </c>
      <c r="AD2" s="8">
        <v>0</v>
      </c>
      <c r="AG2" t="s">
        <v>801</v>
      </c>
      <c r="AH2" t="s">
        <v>802</v>
      </c>
      <c r="AI2" t="s">
        <v>803</v>
      </c>
    </row>
    <row r="3" spans="1:35" hidden="1">
      <c r="A3" s="7">
        <v>2</v>
      </c>
      <c r="B3" t="s">
        <v>243</v>
      </c>
      <c r="C3" t="s">
        <v>244</v>
      </c>
      <c r="D3" s="7">
        <v>7134</v>
      </c>
      <c r="E3" t="s">
        <v>245</v>
      </c>
      <c r="F3" t="s">
        <v>246</v>
      </c>
      <c r="G3" t="s">
        <v>1153</v>
      </c>
      <c r="H3" t="s">
        <v>895</v>
      </c>
      <c r="I3" s="7">
        <v>1165</v>
      </c>
      <c r="J3" s="7">
        <v>68850</v>
      </c>
      <c r="K3" s="7">
        <v>7</v>
      </c>
      <c r="L3" t="s">
        <v>247</v>
      </c>
      <c r="M3" t="s">
        <v>261</v>
      </c>
      <c r="N3" s="7">
        <v>761864</v>
      </c>
      <c r="O3" t="s">
        <v>1173</v>
      </c>
      <c r="P3" t="s">
        <v>1174</v>
      </c>
      <c r="S3" t="s">
        <v>800</v>
      </c>
      <c r="T3" t="s">
        <v>797</v>
      </c>
      <c r="U3" t="s">
        <v>550</v>
      </c>
      <c r="V3" s="8">
        <v>0</v>
      </c>
      <c r="W3" s="7">
        <v>587586</v>
      </c>
      <c r="X3" t="s">
        <v>256</v>
      </c>
      <c r="Y3" s="8">
        <v>0</v>
      </c>
      <c r="Z3" s="8">
        <v>0</v>
      </c>
      <c r="AA3" s="8">
        <v>0</v>
      </c>
      <c r="AB3" s="7">
        <v>111053</v>
      </c>
      <c r="AC3" t="s">
        <v>256</v>
      </c>
      <c r="AD3" s="8">
        <v>0</v>
      </c>
      <c r="AG3" t="s">
        <v>801</v>
      </c>
      <c r="AH3" t="s">
        <v>802</v>
      </c>
      <c r="AI3" t="s">
        <v>803</v>
      </c>
    </row>
    <row r="4" spans="1:35" hidden="1">
      <c r="A4" s="7">
        <v>3</v>
      </c>
      <c r="B4" t="s">
        <v>243</v>
      </c>
      <c r="C4" t="s">
        <v>244</v>
      </c>
      <c r="D4" s="7">
        <v>7134</v>
      </c>
      <c r="E4" t="s">
        <v>245</v>
      </c>
      <c r="F4" t="s">
        <v>246</v>
      </c>
      <c r="G4" t="s">
        <v>867</v>
      </c>
      <c r="H4" t="s">
        <v>797</v>
      </c>
      <c r="I4" s="7">
        <v>983</v>
      </c>
      <c r="J4" s="7">
        <v>8340</v>
      </c>
      <c r="K4" s="7">
        <v>2</v>
      </c>
      <c r="L4" t="s">
        <v>247</v>
      </c>
      <c r="M4" t="s">
        <v>267</v>
      </c>
      <c r="N4" s="7">
        <v>789173</v>
      </c>
      <c r="O4" t="s">
        <v>1175</v>
      </c>
      <c r="P4" t="s">
        <v>1176</v>
      </c>
      <c r="S4" t="s">
        <v>800</v>
      </c>
      <c r="T4" t="s">
        <v>797</v>
      </c>
      <c r="U4" t="s">
        <v>550</v>
      </c>
      <c r="V4" s="8">
        <v>0</v>
      </c>
      <c r="W4" s="7">
        <v>587586</v>
      </c>
      <c r="X4" t="s">
        <v>256</v>
      </c>
      <c r="Y4" s="8">
        <v>0</v>
      </c>
      <c r="Z4" s="8">
        <v>0</v>
      </c>
      <c r="AA4" s="8">
        <v>0</v>
      </c>
      <c r="AB4" s="7">
        <v>111053</v>
      </c>
      <c r="AC4" t="s">
        <v>256</v>
      </c>
      <c r="AD4" s="8">
        <v>0</v>
      </c>
      <c r="AG4" t="s">
        <v>828</v>
      </c>
      <c r="AH4" t="s">
        <v>802</v>
      </c>
      <c r="AI4" t="s">
        <v>803</v>
      </c>
    </row>
    <row r="5" spans="1:35" hidden="1">
      <c r="A5" s="7">
        <v>4</v>
      </c>
      <c r="B5" t="s">
        <v>243</v>
      </c>
      <c r="C5" t="s">
        <v>244</v>
      </c>
      <c r="D5" s="7">
        <v>7134</v>
      </c>
      <c r="E5" t="s">
        <v>245</v>
      </c>
      <c r="F5" t="s">
        <v>246</v>
      </c>
      <c r="G5" t="s">
        <v>1177</v>
      </c>
      <c r="H5" t="s">
        <v>846</v>
      </c>
      <c r="I5" s="7">
        <v>1165</v>
      </c>
      <c r="J5" s="7">
        <v>4500</v>
      </c>
      <c r="K5" s="7">
        <v>1</v>
      </c>
      <c r="L5" t="s">
        <v>247</v>
      </c>
      <c r="M5" t="s">
        <v>252</v>
      </c>
      <c r="N5" s="7">
        <v>324735</v>
      </c>
      <c r="O5" t="s">
        <v>1178</v>
      </c>
      <c r="P5" t="s">
        <v>1179</v>
      </c>
      <c r="S5" t="s">
        <v>800</v>
      </c>
      <c r="T5" t="s">
        <v>797</v>
      </c>
      <c r="U5" t="s">
        <v>550</v>
      </c>
      <c r="V5" s="8">
        <v>1250</v>
      </c>
      <c r="W5" s="7">
        <v>587586</v>
      </c>
      <c r="X5" t="s">
        <v>256</v>
      </c>
      <c r="Y5" s="8">
        <v>1250</v>
      </c>
      <c r="Z5" s="8">
        <v>1475</v>
      </c>
      <c r="AA5" s="8">
        <v>225</v>
      </c>
      <c r="AB5" s="7">
        <v>111053</v>
      </c>
      <c r="AC5" t="s">
        <v>256</v>
      </c>
      <c r="AD5" s="8">
        <v>0</v>
      </c>
      <c r="AG5" t="s">
        <v>937</v>
      </c>
      <c r="AH5" t="s">
        <v>802</v>
      </c>
      <c r="AI5" t="s">
        <v>818</v>
      </c>
    </row>
    <row r="6" spans="1:35" hidden="1">
      <c r="A6" s="7">
        <v>5</v>
      </c>
      <c r="B6" t="s">
        <v>243</v>
      </c>
      <c r="C6" t="s">
        <v>244</v>
      </c>
      <c r="D6" s="7">
        <v>7134</v>
      </c>
      <c r="E6" t="s">
        <v>245</v>
      </c>
      <c r="F6" t="s">
        <v>246</v>
      </c>
      <c r="G6" t="s">
        <v>1165</v>
      </c>
      <c r="H6" t="s">
        <v>839</v>
      </c>
      <c r="I6" s="7">
        <v>1165</v>
      </c>
      <c r="J6" s="7">
        <v>97230</v>
      </c>
      <c r="K6" s="7">
        <v>10</v>
      </c>
      <c r="L6" t="s">
        <v>247</v>
      </c>
      <c r="M6" t="s">
        <v>252</v>
      </c>
      <c r="N6" s="7">
        <v>317176</v>
      </c>
      <c r="O6" t="s">
        <v>1166</v>
      </c>
      <c r="P6" t="s">
        <v>1167</v>
      </c>
      <c r="S6" t="s">
        <v>800</v>
      </c>
      <c r="T6" t="s">
        <v>797</v>
      </c>
      <c r="U6" t="s">
        <v>550</v>
      </c>
      <c r="V6" s="8">
        <v>0</v>
      </c>
      <c r="W6" s="7">
        <v>587586</v>
      </c>
      <c r="X6" t="s">
        <v>256</v>
      </c>
      <c r="Y6" s="8">
        <v>0</v>
      </c>
      <c r="Z6" s="8">
        <v>0</v>
      </c>
      <c r="AA6" s="8">
        <v>0</v>
      </c>
      <c r="AB6" s="7">
        <v>111053</v>
      </c>
      <c r="AC6" t="s">
        <v>256</v>
      </c>
      <c r="AD6" s="8">
        <v>0</v>
      </c>
      <c r="AG6" t="s">
        <v>937</v>
      </c>
      <c r="AH6" t="s">
        <v>802</v>
      </c>
      <c r="AI6" t="s">
        <v>803</v>
      </c>
    </row>
    <row r="7" spans="1:35" hidden="1">
      <c r="A7" s="7">
        <v>6</v>
      </c>
      <c r="B7" t="s">
        <v>243</v>
      </c>
      <c r="C7" t="s">
        <v>244</v>
      </c>
      <c r="D7" s="7">
        <v>7134</v>
      </c>
      <c r="E7" t="s">
        <v>245</v>
      </c>
      <c r="F7" t="s">
        <v>246</v>
      </c>
      <c r="G7" t="s">
        <v>1168</v>
      </c>
      <c r="H7" t="s">
        <v>419</v>
      </c>
      <c r="I7" s="7">
        <v>1160</v>
      </c>
      <c r="J7" s="7">
        <v>71600</v>
      </c>
      <c r="K7" s="7">
        <v>9</v>
      </c>
      <c r="L7" t="s">
        <v>247</v>
      </c>
      <c r="M7" t="s">
        <v>261</v>
      </c>
      <c r="N7" s="7">
        <v>750964</v>
      </c>
      <c r="O7" t="s">
        <v>1169</v>
      </c>
      <c r="P7" t="s">
        <v>1170</v>
      </c>
      <c r="S7" t="s">
        <v>800</v>
      </c>
      <c r="T7" t="s">
        <v>797</v>
      </c>
      <c r="U7" t="s">
        <v>550</v>
      </c>
      <c r="V7" s="8">
        <v>0</v>
      </c>
      <c r="W7" s="7">
        <v>587586</v>
      </c>
      <c r="X7" t="s">
        <v>256</v>
      </c>
      <c r="Y7" s="8">
        <v>0</v>
      </c>
      <c r="Z7" s="8">
        <v>0</v>
      </c>
      <c r="AA7" s="8">
        <v>0</v>
      </c>
      <c r="AB7" s="7">
        <v>111053</v>
      </c>
      <c r="AC7" t="s">
        <v>256</v>
      </c>
      <c r="AD7" s="8">
        <v>0</v>
      </c>
      <c r="AG7" t="s">
        <v>801</v>
      </c>
      <c r="AH7" t="s">
        <v>802</v>
      </c>
      <c r="AI7" t="s">
        <v>803</v>
      </c>
    </row>
    <row r="8" spans="1:35" hidden="1">
      <c r="A8" s="7">
        <v>7</v>
      </c>
      <c r="B8" t="s">
        <v>243</v>
      </c>
      <c r="C8" t="s">
        <v>244</v>
      </c>
      <c r="D8" s="7">
        <v>7134</v>
      </c>
      <c r="E8" t="s">
        <v>245</v>
      </c>
      <c r="F8" t="s">
        <v>246</v>
      </c>
      <c r="G8" t="s">
        <v>1215</v>
      </c>
      <c r="H8" t="s">
        <v>903</v>
      </c>
      <c r="I8" s="7">
        <v>1165</v>
      </c>
      <c r="J8" s="7">
        <v>60000</v>
      </c>
      <c r="K8" s="7">
        <v>6</v>
      </c>
      <c r="L8" t="s">
        <v>247</v>
      </c>
      <c r="M8" t="s">
        <v>267</v>
      </c>
      <c r="N8" s="7">
        <v>766692</v>
      </c>
      <c r="O8" t="s">
        <v>1216</v>
      </c>
      <c r="P8" t="s">
        <v>1217</v>
      </c>
      <c r="S8" t="s">
        <v>800</v>
      </c>
      <c r="T8" t="s">
        <v>797</v>
      </c>
      <c r="U8" t="s">
        <v>550</v>
      </c>
      <c r="V8" s="8">
        <v>0</v>
      </c>
      <c r="W8" s="7">
        <v>587586</v>
      </c>
      <c r="X8" t="s">
        <v>256</v>
      </c>
      <c r="Y8" s="8">
        <v>0</v>
      </c>
      <c r="Z8" s="8">
        <v>0</v>
      </c>
      <c r="AA8" s="8">
        <v>0</v>
      </c>
      <c r="AB8" s="7">
        <v>111053</v>
      </c>
      <c r="AC8" t="s">
        <v>256</v>
      </c>
      <c r="AD8" s="8">
        <v>0</v>
      </c>
      <c r="AG8" t="s">
        <v>828</v>
      </c>
      <c r="AH8" t="s">
        <v>802</v>
      </c>
      <c r="AI8" t="s">
        <v>803</v>
      </c>
    </row>
    <row r="9" spans="1:35" hidden="1">
      <c r="A9" s="7">
        <v>8</v>
      </c>
      <c r="B9" t="s">
        <v>243</v>
      </c>
      <c r="C9" t="s">
        <v>244</v>
      </c>
      <c r="D9" s="7">
        <v>7134</v>
      </c>
      <c r="E9" t="s">
        <v>245</v>
      </c>
      <c r="F9" t="s">
        <v>246</v>
      </c>
      <c r="G9" t="s">
        <v>1218</v>
      </c>
      <c r="H9" t="s">
        <v>899</v>
      </c>
      <c r="I9" s="7">
        <v>1168</v>
      </c>
      <c r="J9" s="7">
        <v>28628</v>
      </c>
      <c r="K9" s="7">
        <v>12</v>
      </c>
      <c r="L9" t="s">
        <v>247</v>
      </c>
      <c r="M9" t="s">
        <v>261</v>
      </c>
      <c r="N9" s="7">
        <v>744913</v>
      </c>
      <c r="O9" t="s">
        <v>1219</v>
      </c>
      <c r="P9" t="s">
        <v>1220</v>
      </c>
      <c r="S9" t="s">
        <v>800</v>
      </c>
      <c r="T9" t="s">
        <v>797</v>
      </c>
      <c r="U9" t="s">
        <v>550</v>
      </c>
      <c r="V9" s="8">
        <v>0</v>
      </c>
      <c r="W9" s="7">
        <v>587586</v>
      </c>
      <c r="X9" t="s">
        <v>256</v>
      </c>
      <c r="Y9" s="8">
        <v>0</v>
      </c>
      <c r="Z9" s="8">
        <v>0</v>
      </c>
      <c r="AA9" s="8">
        <v>0</v>
      </c>
      <c r="AB9" s="7">
        <v>111053</v>
      </c>
      <c r="AC9" t="s">
        <v>256</v>
      </c>
      <c r="AD9" s="8">
        <v>0</v>
      </c>
      <c r="AG9" t="s">
        <v>801</v>
      </c>
      <c r="AH9" t="s">
        <v>802</v>
      </c>
      <c r="AI9" t="s">
        <v>803</v>
      </c>
    </row>
    <row r="10" spans="1:35" hidden="1">
      <c r="A10" s="7">
        <v>9</v>
      </c>
      <c r="B10" t="s">
        <v>243</v>
      </c>
      <c r="C10" t="s">
        <v>244</v>
      </c>
      <c r="D10" s="7">
        <v>7134</v>
      </c>
      <c r="E10" t="s">
        <v>245</v>
      </c>
      <c r="F10" t="s">
        <v>246</v>
      </c>
      <c r="G10" t="s">
        <v>1053</v>
      </c>
      <c r="H10" t="s">
        <v>914</v>
      </c>
      <c r="I10" s="7">
        <v>1165</v>
      </c>
      <c r="J10" s="7">
        <v>30000</v>
      </c>
      <c r="K10" s="7">
        <v>3</v>
      </c>
      <c r="L10" t="s">
        <v>247</v>
      </c>
      <c r="M10" t="s">
        <v>267</v>
      </c>
      <c r="N10" s="7">
        <v>776633</v>
      </c>
      <c r="O10" t="s">
        <v>1171</v>
      </c>
      <c r="P10" t="s">
        <v>1172</v>
      </c>
      <c r="S10" t="s">
        <v>800</v>
      </c>
      <c r="T10" t="s">
        <v>797</v>
      </c>
      <c r="U10" t="s">
        <v>550</v>
      </c>
      <c r="V10" s="8">
        <v>1250</v>
      </c>
      <c r="W10" s="7">
        <v>587586</v>
      </c>
      <c r="X10" t="s">
        <v>256</v>
      </c>
      <c r="Y10" s="8">
        <v>1250</v>
      </c>
      <c r="Z10" s="8">
        <v>1475</v>
      </c>
      <c r="AA10" s="8">
        <v>225</v>
      </c>
      <c r="AB10" s="7">
        <v>111053</v>
      </c>
      <c r="AC10" t="s">
        <v>256</v>
      </c>
      <c r="AD10" s="8">
        <v>0</v>
      </c>
      <c r="AG10" t="s">
        <v>828</v>
      </c>
      <c r="AH10" t="s">
        <v>802</v>
      </c>
      <c r="AI10" t="s">
        <v>818</v>
      </c>
    </row>
    <row r="11" spans="1:35" hidden="1">
      <c r="A11" s="7">
        <v>10</v>
      </c>
      <c r="B11" t="s">
        <v>243</v>
      </c>
      <c r="C11" t="s">
        <v>244</v>
      </c>
      <c r="D11" s="7">
        <v>7134</v>
      </c>
      <c r="E11" t="s">
        <v>245</v>
      </c>
      <c r="F11" t="s">
        <v>246</v>
      </c>
      <c r="G11" t="s">
        <v>1101</v>
      </c>
      <c r="H11" t="s">
        <v>797</v>
      </c>
      <c r="I11" s="7">
        <v>1123</v>
      </c>
      <c r="J11" s="7">
        <v>9353</v>
      </c>
      <c r="K11" s="7">
        <v>1</v>
      </c>
      <c r="L11" t="s">
        <v>247</v>
      </c>
      <c r="M11" t="s">
        <v>261</v>
      </c>
      <c r="N11" s="7">
        <v>785680</v>
      </c>
      <c r="O11" t="s">
        <v>1102</v>
      </c>
      <c r="P11" t="s">
        <v>1103</v>
      </c>
      <c r="Q11" t="s">
        <v>870</v>
      </c>
      <c r="R11" t="s">
        <v>871</v>
      </c>
      <c r="S11" t="s">
        <v>800</v>
      </c>
      <c r="T11" t="s">
        <v>797</v>
      </c>
      <c r="U11" t="s">
        <v>550</v>
      </c>
      <c r="V11" s="8">
        <v>1250</v>
      </c>
      <c r="W11" s="7">
        <v>587586</v>
      </c>
      <c r="X11" t="s">
        <v>256</v>
      </c>
      <c r="Y11" s="8">
        <v>1000</v>
      </c>
      <c r="Z11" s="8">
        <v>1475</v>
      </c>
      <c r="AA11" s="8">
        <v>225</v>
      </c>
      <c r="AB11" s="7">
        <v>111053</v>
      </c>
      <c r="AC11" t="s">
        <v>256</v>
      </c>
      <c r="AD11" s="8">
        <v>250</v>
      </c>
      <c r="AG11" t="s">
        <v>801</v>
      </c>
      <c r="AH11" t="s">
        <v>802</v>
      </c>
      <c r="AI11" t="s">
        <v>818</v>
      </c>
    </row>
    <row r="12" spans="1:35" hidden="1">
      <c r="A12" s="7">
        <v>11</v>
      </c>
      <c r="B12" t="s">
        <v>243</v>
      </c>
      <c r="C12" t="s">
        <v>244</v>
      </c>
      <c r="D12" s="7">
        <v>7134</v>
      </c>
      <c r="E12" t="s">
        <v>245</v>
      </c>
      <c r="F12" t="s">
        <v>246</v>
      </c>
      <c r="G12" t="s">
        <v>1050</v>
      </c>
      <c r="H12" t="s">
        <v>895</v>
      </c>
      <c r="I12" s="7">
        <v>1165</v>
      </c>
      <c r="J12" s="7">
        <v>20000</v>
      </c>
      <c r="K12" s="7">
        <v>2</v>
      </c>
      <c r="L12" t="s">
        <v>247</v>
      </c>
      <c r="M12" t="s">
        <v>361</v>
      </c>
      <c r="N12" s="7">
        <v>5472</v>
      </c>
      <c r="O12" t="s">
        <v>1051</v>
      </c>
      <c r="P12" t="s">
        <v>1052</v>
      </c>
      <c r="S12" t="s">
        <v>800</v>
      </c>
      <c r="T12" t="s">
        <v>797</v>
      </c>
      <c r="U12" t="s">
        <v>550</v>
      </c>
      <c r="V12" s="8">
        <v>0</v>
      </c>
      <c r="W12" s="7">
        <v>587586</v>
      </c>
      <c r="X12" t="s">
        <v>256</v>
      </c>
      <c r="Y12" s="8">
        <v>0</v>
      </c>
      <c r="Z12" s="8">
        <v>0</v>
      </c>
      <c r="AA12" s="8">
        <v>0</v>
      </c>
      <c r="AB12" s="7">
        <v>111053</v>
      </c>
      <c r="AC12" t="s">
        <v>256</v>
      </c>
      <c r="AD12" s="8">
        <v>0</v>
      </c>
      <c r="AG12" t="s">
        <v>823</v>
      </c>
      <c r="AH12" t="s">
        <v>802</v>
      </c>
      <c r="AI12" t="s">
        <v>803</v>
      </c>
    </row>
    <row r="13" spans="1:35" hidden="1">
      <c r="A13" s="7">
        <v>12</v>
      </c>
      <c r="B13" t="s">
        <v>243</v>
      </c>
      <c r="C13" t="s">
        <v>244</v>
      </c>
      <c r="D13" s="7">
        <v>7134</v>
      </c>
      <c r="E13" t="s">
        <v>245</v>
      </c>
      <c r="F13" t="s">
        <v>246</v>
      </c>
      <c r="G13" t="s">
        <v>1194</v>
      </c>
      <c r="H13" t="s">
        <v>914</v>
      </c>
      <c r="I13" s="7">
        <v>1165</v>
      </c>
      <c r="J13" s="7">
        <v>68440</v>
      </c>
      <c r="K13" s="7">
        <v>7</v>
      </c>
      <c r="L13" t="s">
        <v>247</v>
      </c>
      <c r="M13" t="s">
        <v>261</v>
      </c>
      <c r="N13" s="7">
        <v>773372</v>
      </c>
      <c r="O13" t="s">
        <v>1195</v>
      </c>
      <c r="P13" t="s">
        <v>1196</v>
      </c>
      <c r="S13" t="s">
        <v>800</v>
      </c>
      <c r="T13" t="s">
        <v>797</v>
      </c>
      <c r="U13" t="s">
        <v>550</v>
      </c>
      <c r="V13" s="8">
        <v>0</v>
      </c>
      <c r="W13" s="7">
        <v>587586</v>
      </c>
      <c r="X13" t="s">
        <v>256</v>
      </c>
      <c r="Y13" s="8">
        <v>0</v>
      </c>
      <c r="Z13" s="8">
        <v>0</v>
      </c>
      <c r="AA13" s="8">
        <v>0</v>
      </c>
      <c r="AB13" s="7">
        <v>111053</v>
      </c>
      <c r="AC13" t="s">
        <v>256</v>
      </c>
      <c r="AD13" s="8">
        <v>0</v>
      </c>
      <c r="AG13" t="s">
        <v>801</v>
      </c>
      <c r="AH13" t="s">
        <v>802</v>
      </c>
      <c r="AI13" t="s">
        <v>803</v>
      </c>
    </row>
    <row r="14" spans="1:35" hidden="1">
      <c r="A14" s="7">
        <v>13</v>
      </c>
      <c r="B14" t="s">
        <v>243</v>
      </c>
      <c r="C14" t="s">
        <v>244</v>
      </c>
      <c r="D14" s="7">
        <v>7134</v>
      </c>
      <c r="E14" t="s">
        <v>245</v>
      </c>
      <c r="F14" t="s">
        <v>246</v>
      </c>
      <c r="G14" t="s">
        <v>985</v>
      </c>
      <c r="H14" t="s">
        <v>939</v>
      </c>
      <c r="I14" s="7">
        <v>1165</v>
      </c>
      <c r="J14" s="7">
        <v>70000</v>
      </c>
      <c r="K14" s="7">
        <v>7</v>
      </c>
      <c r="L14" t="s">
        <v>247</v>
      </c>
      <c r="M14" t="s">
        <v>361</v>
      </c>
      <c r="N14" s="7">
        <v>2040</v>
      </c>
      <c r="O14" t="s">
        <v>986</v>
      </c>
      <c r="P14" t="s">
        <v>987</v>
      </c>
      <c r="S14" t="s">
        <v>800</v>
      </c>
      <c r="T14" t="s">
        <v>797</v>
      </c>
      <c r="U14" t="s">
        <v>550</v>
      </c>
      <c r="V14" s="8">
        <v>1650</v>
      </c>
      <c r="W14" s="7">
        <v>587586</v>
      </c>
      <c r="X14" t="s">
        <v>256</v>
      </c>
      <c r="Y14" s="8">
        <v>1650</v>
      </c>
      <c r="Z14" s="8">
        <v>1947</v>
      </c>
      <c r="AA14" s="8">
        <v>297</v>
      </c>
      <c r="AB14" s="7">
        <v>111053</v>
      </c>
      <c r="AC14" t="s">
        <v>256</v>
      </c>
      <c r="AD14" s="8">
        <v>0</v>
      </c>
      <c r="AG14" t="s">
        <v>823</v>
      </c>
      <c r="AH14" t="s">
        <v>802</v>
      </c>
      <c r="AI14" t="s">
        <v>818</v>
      </c>
    </row>
    <row r="15" spans="1:35" hidden="1">
      <c r="A15" s="7">
        <v>14</v>
      </c>
      <c r="B15" t="s">
        <v>243</v>
      </c>
      <c r="C15" t="s">
        <v>244</v>
      </c>
      <c r="D15" s="7">
        <v>7134</v>
      </c>
      <c r="E15" t="s">
        <v>245</v>
      </c>
      <c r="F15" t="s">
        <v>246</v>
      </c>
      <c r="G15" t="s">
        <v>1145</v>
      </c>
      <c r="H15" t="s">
        <v>839</v>
      </c>
      <c r="I15" s="7">
        <v>986</v>
      </c>
      <c r="J15" s="7">
        <v>101700</v>
      </c>
      <c r="K15" s="7">
        <v>10</v>
      </c>
      <c r="L15" t="s">
        <v>247</v>
      </c>
      <c r="M15" t="s">
        <v>261</v>
      </c>
      <c r="N15" s="7">
        <v>752939</v>
      </c>
      <c r="O15" t="s">
        <v>1200</v>
      </c>
      <c r="P15" t="s">
        <v>1201</v>
      </c>
      <c r="Q15" t="s">
        <v>908</v>
      </c>
      <c r="R15" t="s">
        <v>909</v>
      </c>
      <c r="S15" t="s">
        <v>800</v>
      </c>
      <c r="T15" t="s">
        <v>797</v>
      </c>
      <c r="U15" t="s">
        <v>550</v>
      </c>
      <c r="V15" s="8">
        <v>0</v>
      </c>
      <c r="W15" s="7">
        <v>587586</v>
      </c>
      <c r="X15" t="s">
        <v>256</v>
      </c>
      <c r="Y15" s="8">
        <v>0</v>
      </c>
      <c r="Z15" s="8">
        <v>0</v>
      </c>
      <c r="AA15" s="8">
        <v>0</v>
      </c>
      <c r="AB15" s="7">
        <v>111053</v>
      </c>
      <c r="AC15" t="s">
        <v>256</v>
      </c>
      <c r="AD15" s="8">
        <v>0</v>
      </c>
      <c r="AG15" t="s">
        <v>801</v>
      </c>
      <c r="AH15" t="s">
        <v>802</v>
      </c>
      <c r="AI15" t="s">
        <v>803</v>
      </c>
    </row>
    <row r="16" spans="1:35" hidden="1">
      <c r="A16" s="7">
        <v>15</v>
      </c>
      <c r="B16" t="s">
        <v>243</v>
      </c>
      <c r="C16" t="s">
        <v>244</v>
      </c>
      <c r="D16" s="7">
        <v>7134</v>
      </c>
      <c r="E16" t="s">
        <v>245</v>
      </c>
      <c r="F16" t="s">
        <v>246</v>
      </c>
      <c r="G16" t="s">
        <v>1085</v>
      </c>
      <c r="H16" t="s">
        <v>825</v>
      </c>
      <c r="I16" s="7">
        <v>1165</v>
      </c>
      <c r="J16" s="7">
        <v>19726</v>
      </c>
      <c r="K16" s="7">
        <v>2</v>
      </c>
      <c r="L16" t="s">
        <v>247</v>
      </c>
      <c r="M16" t="s">
        <v>261</v>
      </c>
      <c r="N16" s="7">
        <v>787041</v>
      </c>
      <c r="O16" t="s">
        <v>1151</v>
      </c>
      <c r="P16" t="s">
        <v>1152</v>
      </c>
      <c r="S16" t="s">
        <v>800</v>
      </c>
      <c r="T16" t="s">
        <v>797</v>
      </c>
      <c r="U16" t="s">
        <v>550</v>
      </c>
      <c r="V16" s="8">
        <v>0</v>
      </c>
      <c r="W16" s="7">
        <v>587586</v>
      </c>
      <c r="X16" t="s">
        <v>256</v>
      </c>
      <c r="Y16" s="8">
        <v>0</v>
      </c>
      <c r="Z16" s="8">
        <v>0</v>
      </c>
      <c r="AA16" s="8">
        <v>0</v>
      </c>
      <c r="AB16" s="7">
        <v>111053</v>
      </c>
      <c r="AC16" t="s">
        <v>256</v>
      </c>
      <c r="AD16" s="8">
        <v>0</v>
      </c>
      <c r="AG16" t="s">
        <v>801</v>
      </c>
      <c r="AH16" t="s">
        <v>802</v>
      </c>
      <c r="AI16" t="s">
        <v>803</v>
      </c>
    </row>
    <row r="17" spans="1:35" hidden="1">
      <c r="A17" s="7">
        <v>16</v>
      </c>
      <c r="B17" t="s">
        <v>243</v>
      </c>
      <c r="C17" t="s">
        <v>244</v>
      </c>
      <c r="D17" s="7">
        <v>7134</v>
      </c>
      <c r="E17" t="s">
        <v>245</v>
      </c>
      <c r="F17" t="s">
        <v>246</v>
      </c>
      <c r="G17" t="s">
        <v>835</v>
      </c>
      <c r="H17" t="s">
        <v>797</v>
      </c>
      <c r="I17" s="7">
        <v>1165</v>
      </c>
      <c r="J17" s="7">
        <v>81000</v>
      </c>
      <c r="K17" s="7">
        <v>10</v>
      </c>
      <c r="L17" t="s">
        <v>247</v>
      </c>
      <c r="M17" t="s">
        <v>261</v>
      </c>
      <c r="N17" s="7">
        <v>751781</v>
      </c>
      <c r="O17" t="s">
        <v>836</v>
      </c>
      <c r="P17" t="s">
        <v>837</v>
      </c>
      <c r="S17" t="s">
        <v>800</v>
      </c>
      <c r="T17" t="s">
        <v>797</v>
      </c>
      <c r="U17" t="s">
        <v>550</v>
      </c>
      <c r="V17" s="8">
        <v>0</v>
      </c>
      <c r="W17" s="7">
        <v>587586</v>
      </c>
      <c r="X17" t="s">
        <v>256</v>
      </c>
      <c r="Y17" s="8">
        <v>0</v>
      </c>
      <c r="Z17" s="8">
        <v>0</v>
      </c>
      <c r="AA17" s="8">
        <v>0</v>
      </c>
      <c r="AB17" s="7">
        <v>111053</v>
      </c>
      <c r="AC17" t="s">
        <v>256</v>
      </c>
      <c r="AD17" s="8">
        <v>0</v>
      </c>
      <c r="AG17" t="s">
        <v>801</v>
      </c>
      <c r="AH17" t="s">
        <v>802</v>
      </c>
      <c r="AI17" t="s">
        <v>803</v>
      </c>
    </row>
    <row r="18" spans="1:35" hidden="1">
      <c r="A18" s="7">
        <v>17</v>
      </c>
      <c r="B18" t="s">
        <v>243</v>
      </c>
      <c r="C18" t="s">
        <v>244</v>
      </c>
      <c r="D18" s="7">
        <v>7134</v>
      </c>
      <c r="E18" t="s">
        <v>245</v>
      </c>
      <c r="F18" t="s">
        <v>246</v>
      </c>
      <c r="G18" t="s">
        <v>838</v>
      </c>
      <c r="H18" t="s">
        <v>839</v>
      </c>
      <c r="I18" s="7">
        <v>1165</v>
      </c>
      <c r="J18" s="7">
        <v>53700</v>
      </c>
      <c r="K18" s="7">
        <v>10</v>
      </c>
      <c r="L18" t="s">
        <v>247</v>
      </c>
      <c r="M18" t="s">
        <v>261</v>
      </c>
      <c r="N18" s="7">
        <v>751190</v>
      </c>
      <c r="O18" t="s">
        <v>840</v>
      </c>
      <c r="P18" t="s">
        <v>841</v>
      </c>
      <c r="S18" t="s">
        <v>800</v>
      </c>
      <c r="T18" t="s">
        <v>797</v>
      </c>
      <c r="U18" t="s">
        <v>550</v>
      </c>
      <c r="V18" s="8">
        <v>0</v>
      </c>
      <c r="W18" s="7">
        <v>587586</v>
      </c>
      <c r="X18" t="s">
        <v>256</v>
      </c>
      <c r="Y18" s="8">
        <v>0</v>
      </c>
      <c r="Z18" s="8">
        <v>0</v>
      </c>
      <c r="AA18" s="8">
        <v>0</v>
      </c>
      <c r="AB18" s="7">
        <v>111053</v>
      </c>
      <c r="AC18" t="s">
        <v>256</v>
      </c>
      <c r="AD18" s="8">
        <v>0</v>
      </c>
      <c r="AG18" t="s">
        <v>801</v>
      </c>
      <c r="AH18" t="s">
        <v>802</v>
      </c>
      <c r="AI18" t="s">
        <v>803</v>
      </c>
    </row>
    <row r="19" spans="1:35" hidden="1">
      <c r="A19" s="7">
        <v>18</v>
      </c>
      <c r="B19" t="s">
        <v>243</v>
      </c>
      <c r="C19" t="s">
        <v>244</v>
      </c>
      <c r="D19" s="7">
        <v>7134</v>
      </c>
      <c r="E19" t="s">
        <v>245</v>
      </c>
      <c r="F19" t="s">
        <v>246</v>
      </c>
      <c r="G19" t="s">
        <v>829</v>
      </c>
      <c r="H19" t="s">
        <v>810</v>
      </c>
      <c r="I19" s="7">
        <v>1165</v>
      </c>
      <c r="J19" s="7">
        <v>9540</v>
      </c>
      <c r="K19" s="7">
        <v>1</v>
      </c>
      <c r="L19" t="s">
        <v>247</v>
      </c>
      <c r="M19" t="s">
        <v>261</v>
      </c>
      <c r="N19" s="7">
        <v>792074</v>
      </c>
      <c r="O19" t="s">
        <v>830</v>
      </c>
      <c r="P19" t="s">
        <v>831</v>
      </c>
      <c r="S19" t="s">
        <v>800</v>
      </c>
      <c r="T19" t="s">
        <v>797</v>
      </c>
      <c r="U19" t="s">
        <v>550</v>
      </c>
      <c r="V19" s="8">
        <v>1250</v>
      </c>
      <c r="W19" s="7">
        <v>587586</v>
      </c>
      <c r="X19" t="s">
        <v>256</v>
      </c>
      <c r="Y19" s="8">
        <v>1250</v>
      </c>
      <c r="Z19" s="8">
        <v>1475</v>
      </c>
      <c r="AA19" s="8">
        <v>225</v>
      </c>
      <c r="AB19" s="7">
        <v>111053</v>
      </c>
      <c r="AC19" t="s">
        <v>256</v>
      </c>
      <c r="AD19" s="8">
        <v>0</v>
      </c>
      <c r="AG19" t="s">
        <v>801</v>
      </c>
      <c r="AH19" t="s">
        <v>802</v>
      </c>
      <c r="AI19" t="s">
        <v>818</v>
      </c>
    </row>
    <row r="20" spans="1:35" hidden="1">
      <c r="A20" s="7">
        <v>19</v>
      </c>
      <c r="B20" t="s">
        <v>243</v>
      </c>
      <c r="C20" t="s">
        <v>244</v>
      </c>
      <c r="D20" s="7">
        <v>7134</v>
      </c>
      <c r="E20" t="s">
        <v>245</v>
      </c>
      <c r="F20" t="s">
        <v>246</v>
      </c>
      <c r="G20" t="s">
        <v>881</v>
      </c>
      <c r="H20" t="s">
        <v>431</v>
      </c>
      <c r="I20" s="7">
        <v>1165</v>
      </c>
      <c r="J20" s="7">
        <v>7840</v>
      </c>
      <c r="K20" s="7">
        <v>1</v>
      </c>
      <c r="L20" t="s">
        <v>247</v>
      </c>
      <c r="M20" t="s">
        <v>261</v>
      </c>
      <c r="N20" s="7">
        <v>782166</v>
      </c>
      <c r="O20" t="s">
        <v>968</v>
      </c>
      <c r="P20" t="s">
        <v>969</v>
      </c>
      <c r="S20" t="s">
        <v>800</v>
      </c>
      <c r="T20" t="s">
        <v>797</v>
      </c>
      <c r="U20" t="s">
        <v>550</v>
      </c>
      <c r="V20" s="8">
        <v>1250</v>
      </c>
      <c r="W20" s="7">
        <v>587586</v>
      </c>
      <c r="X20" t="s">
        <v>256</v>
      </c>
      <c r="Y20" s="8">
        <v>1250</v>
      </c>
      <c r="Z20" s="8">
        <v>1475</v>
      </c>
      <c r="AA20" s="8">
        <v>225</v>
      </c>
      <c r="AB20" s="7">
        <v>111053</v>
      </c>
      <c r="AC20" t="s">
        <v>256</v>
      </c>
      <c r="AD20" s="8">
        <v>0</v>
      </c>
      <c r="AG20" t="s">
        <v>817</v>
      </c>
      <c r="AH20" t="s">
        <v>802</v>
      </c>
      <c r="AI20" t="s">
        <v>818</v>
      </c>
    </row>
    <row r="21" spans="1:35" hidden="1">
      <c r="A21" s="7">
        <v>20</v>
      </c>
      <c r="B21" t="s">
        <v>243</v>
      </c>
      <c r="C21" t="s">
        <v>244</v>
      </c>
      <c r="D21" s="7">
        <v>7134</v>
      </c>
      <c r="E21" t="s">
        <v>245</v>
      </c>
      <c r="F21" t="s">
        <v>246</v>
      </c>
      <c r="G21" t="s">
        <v>1069</v>
      </c>
      <c r="H21" t="s">
        <v>970</v>
      </c>
      <c r="I21" s="7">
        <v>1165</v>
      </c>
      <c r="J21" s="7">
        <v>9678</v>
      </c>
      <c r="K21" s="7">
        <v>1</v>
      </c>
      <c r="L21" t="s">
        <v>247</v>
      </c>
      <c r="M21" t="s">
        <v>261</v>
      </c>
      <c r="N21" s="7">
        <v>790037</v>
      </c>
      <c r="O21" t="s">
        <v>1070</v>
      </c>
      <c r="P21" t="s">
        <v>1071</v>
      </c>
      <c r="S21" t="s">
        <v>800</v>
      </c>
      <c r="T21" t="s">
        <v>797</v>
      </c>
      <c r="U21" t="s">
        <v>550</v>
      </c>
      <c r="V21" s="8">
        <v>1250</v>
      </c>
      <c r="W21" s="7">
        <v>587586</v>
      </c>
      <c r="X21" t="s">
        <v>256</v>
      </c>
      <c r="Y21" s="8">
        <v>1250</v>
      </c>
      <c r="Z21" s="8">
        <v>1475</v>
      </c>
      <c r="AA21" s="8">
        <v>225</v>
      </c>
      <c r="AB21" s="7">
        <v>111053</v>
      </c>
      <c r="AC21" t="s">
        <v>256</v>
      </c>
      <c r="AD21" s="8">
        <v>0</v>
      </c>
      <c r="AG21" t="s">
        <v>801</v>
      </c>
      <c r="AH21" t="s">
        <v>802</v>
      </c>
      <c r="AI21" t="s">
        <v>818</v>
      </c>
    </row>
    <row r="22" spans="1:35" hidden="1">
      <c r="A22" s="7">
        <v>21</v>
      </c>
      <c r="B22" t="s">
        <v>243</v>
      </c>
      <c r="C22" t="s">
        <v>244</v>
      </c>
      <c r="D22" s="7">
        <v>7134</v>
      </c>
      <c r="E22" t="s">
        <v>245</v>
      </c>
      <c r="F22" t="s">
        <v>246</v>
      </c>
      <c r="G22" t="s">
        <v>1188</v>
      </c>
      <c r="H22" t="s">
        <v>419</v>
      </c>
      <c r="I22" s="7">
        <v>1165</v>
      </c>
      <c r="J22" s="7">
        <v>60000</v>
      </c>
      <c r="K22" s="7">
        <v>6</v>
      </c>
      <c r="L22" t="s">
        <v>247</v>
      </c>
      <c r="M22" t="s">
        <v>261</v>
      </c>
      <c r="N22" s="7">
        <v>775456</v>
      </c>
      <c r="O22" t="s">
        <v>1189</v>
      </c>
      <c r="P22" t="s">
        <v>1190</v>
      </c>
      <c r="S22" t="s">
        <v>800</v>
      </c>
      <c r="T22" t="s">
        <v>797</v>
      </c>
      <c r="U22" t="s">
        <v>550</v>
      </c>
      <c r="V22" s="8">
        <v>0</v>
      </c>
      <c r="W22" s="7">
        <v>587586</v>
      </c>
      <c r="X22" t="s">
        <v>256</v>
      </c>
      <c r="Y22" s="8">
        <v>0</v>
      </c>
      <c r="Z22" s="8">
        <v>0</v>
      </c>
      <c r="AA22" s="8">
        <v>0</v>
      </c>
      <c r="AB22" s="7">
        <v>111053</v>
      </c>
      <c r="AC22" t="s">
        <v>256</v>
      </c>
      <c r="AD22" s="8">
        <v>0</v>
      </c>
      <c r="AG22" t="s">
        <v>801</v>
      </c>
      <c r="AH22" t="s">
        <v>802</v>
      </c>
      <c r="AI22" t="s">
        <v>803</v>
      </c>
    </row>
    <row r="23" spans="1:35" hidden="1">
      <c r="A23" s="7">
        <v>22</v>
      </c>
      <c r="B23" t="s">
        <v>243</v>
      </c>
      <c r="C23" t="s">
        <v>244</v>
      </c>
      <c r="D23" s="7">
        <v>7134</v>
      </c>
      <c r="E23" t="s">
        <v>245</v>
      </c>
      <c r="F23" t="s">
        <v>246</v>
      </c>
      <c r="G23" t="s">
        <v>1075</v>
      </c>
      <c r="H23" t="s">
        <v>921</v>
      </c>
      <c r="I23" s="7">
        <v>1165</v>
      </c>
      <c r="J23" s="7">
        <v>132403</v>
      </c>
      <c r="K23" s="7">
        <v>14</v>
      </c>
      <c r="L23" t="s">
        <v>247</v>
      </c>
      <c r="M23" t="s">
        <v>361</v>
      </c>
      <c r="N23" s="7">
        <v>1189</v>
      </c>
      <c r="O23" t="s">
        <v>1076</v>
      </c>
      <c r="P23" t="s">
        <v>1077</v>
      </c>
      <c r="S23" t="s">
        <v>800</v>
      </c>
      <c r="T23" t="s">
        <v>797</v>
      </c>
      <c r="U23" t="s">
        <v>550</v>
      </c>
      <c r="V23" s="8">
        <v>0</v>
      </c>
      <c r="W23" s="7">
        <v>587586</v>
      </c>
      <c r="X23" t="s">
        <v>256</v>
      </c>
      <c r="Y23" s="8">
        <v>0</v>
      </c>
      <c r="Z23" s="8">
        <v>0</v>
      </c>
      <c r="AA23" s="8">
        <v>0</v>
      </c>
      <c r="AB23" s="7">
        <v>111053</v>
      </c>
      <c r="AC23" t="s">
        <v>256</v>
      </c>
      <c r="AD23" s="8">
        <v>0</v>
      </c>
      <c r="AG23" t="s">
        <v>823</v>
      </c>
      <c r="AH23" t="s">
        <v>802</v>
      </c>
      <c r="AI23" t="s">
        <v>803</v>
      </c>
    </row>
    <row r="24" spans="1:35" hidden="1">
      <c r="A24" s="7">
        <v>23</v>
      </c>
      <c r="B24" t="s">
        <v>243</v>
      </c>
      <c r="C24" t="s">
        <v>244</v>
      </c>
      <c r="D24" s="7">
        <v>7134</v>
      </c>
      <c r="E24" t="s">
        <v>245</v>
      </c>
      <c r="F24" t="s">
        <v>246</v>
      </c>
      <c r="G24" t="s">
        <v>1110</v>
      </c>
      <c r="H24" t="s">
        <v>846</v>
      </c>
      <c r="I24" s="7">
        <v>1165</v>
      </c>
      <c r="J24" s="7">
        <v>74200</v>
      </c>
      <c r="K24" s="7">
        <v>12</v>
      </c>
      <c r="L24" t="s">
        <v>247</v>
      </c>
      <c r="M24" t="s">
        <v>261</v>
      </c>
      <c r="N24" s="7">
        <v>743522</v>
      </c>
      <c r="O24" t="s">
        <v>1111</v>
      </c>
      <c r="P24" t="s">
        <v>1112</v>
      </c>
      <c r="S24" t="s">
        <v>800</v>
      </c>
      <c r="T24" t="s">
        <v>797</v>
      </c>
      <c r="U24" t="s">
        <v>550</v>
      </c>
      <c r="V24" s="8">
        <v>0</v>
      </c>
      <c r="W24" s="7">
        <v>587586</v>
      </c>
      <c r="X24" t="s">
        <v>256</v>
      </c>
      <c r="Y24" s="8">
        <v>0</v>
      </c>
      <c r="Z24" s="8">
        <v>0</v>
      </c>
      <c r="AA24" s="8">
        <v>0</v>
      </c>
      <c r="AB24" s="7">
        <v>111053</v>
      </c>
      <c r="AC24" t="s">
        <v>256</v>
      </c>
      <c r="AD24" s="8">
        <v>0</v>
      </c>
      <c r="AG24" t="s">
        <v>801</v>
      </c>
      <c r="AH24" t="s">
        <v>802</v>
      </c>
      <c r="AI24" t="s">
        <v>803</v>
      </c>
    </row>
    <row r="25" spans="1:35" hidden="1">
      <c r="A25" s="7">
        <v>24</v>
      </c>
      <c r="B25" t="s">
        <v>243</v>
      </c>
      <c r="C25" t="s">
        <v>244</v>
      </c>
      <c r="D25" s="7">
        <v>7134</v>
      </c>
      <c r="E25" t="s">
        <v>245</v>
      </c>
      <c r="F25" t="s">
        <v>246</v>
      </c>
      <c r="G25" t="s">
        <v>973</v>
      </c>
      <c r="H25" t="s">
        <v>825</v>
      </c>
      <c r="I25" s="7">
        <v>1108</v>
      </c>
      <c r="J25" s="7">
        <v>10000</v>
      </c>
      <c r="K25" s="7">
        <v>1</v>
      </c>
      <c r="L25" t="s">
        <v>247</v>
      </c>
      <c r="M25" t="s">
        <v>361</v>
      </c>
      <c r="N25" s="7">
        <v>5897</v>
      </c>
      <c r="O25" t="s">
        <v>1002</v>
      </c>
      <c r="P25" t="s">
        <v>1003</v>
      </c>
      <c r="S25" t="s">
        <v>800</v>
      </c>
      <c r="T25" t="s">
        <v>797</v>
      </c>
      <c r="U25" t="s">
        <v>550</v>
      </c>
      <c r="V25" s="8">
        <v>1650</v>
      </c>
      <c r="W25" s="7">
        <v>587586</v>
      </c>
      <c r="X25" t="s">
        <v>256</v>
      </c>
      <c r="Y25" s="8">
        <v>1650</v>
      </c>
      <c r="Z25" s="8">
        <v>1947</v>
      </c>
      <c r="AA25" s="8">
        <v>297</v>
      </c>
      <c r="AB25" s="7">
        <v>111053</v>
      </c>
      <c r="AC25" t="s">
        <v>256</v>
      </c>
      <c r="AD25" s="8">
        <v>0</v>
      </c>
      <c r="AG25" t="s">
        <v>823</v>
      </c>
      <c r="AH25" t="s">
        <v>802</v>
      </c>
      <c r="AI25" t="s">
        <v>818</v>
      </c>
    </row>
    <row r="26" spans="1:35" hidden="1">
      <c r="A26" s="7">
        <v>25</v>
      </c>
      <c r="B26" t="s">
        <v>243</v>
      </c>
      <c r="C26" t="s">
        <v>244</v>
      </c>
      <c r="D26" s="7">
        <v>7134</v>
      </c>
      <c r="E26" t="s">
        <v>245</v>
      </c>
      <c r="F26" t="s">
        <v>246</v>
      </c>
      <c r="G26" t="s">
        <v>1180</v>
      </c>
      <c r="H26" t="s">
        <v>917</v>
      </c>
      <c r="I26" s="7">
        <v>1165</v>
      </c>
      <c r="J26" s="7">
        <v>39210</v>
      </c>
      <c r="K26" s="7">
        <v>4</v>
      </c>
      <c r="L26" t="s">
        <v>247</v>
      </c>
      <c r="M26" t="s">
        <v>261</v>
      </c>
      <c r="N26" s="7">
        <v>774600</v>
      </c>
      <c r="O26" t="s">
        <v>1181</v>
      </c>
      <c r="P26" t="s">
        <v>1182</v>
      </c>
      <c r="S26" t="s">
        <v>800</v>
      </c>
      <c r="T26" t="s">
        <v>797</v>
      </c>
      <c r="U26" t="s">
        <v>550</v>
      </c>
      <c r="V26" s="8">
        <v>0</v>
      </c>
      <c r="W26" s="7">
        <v>587586</v>
      </c>
      <c r="X26" t="s">
        <v>256</v>
      </c>
      <c r="Y26" s="8">
        <v>0</v>
      </c>
      <c r="Z26" s="8">
        <v>0</v>
      </c>
      <c r="AA26" s="8">
        <v>0</v>
      </c>
      <c r="AB26" s="7">
        <v>111053</v>
      </c>
      <c r="AC26" t="s">
        <v>256</v>
      </c>
      <c r="AD26" s="8">
        <v>0</v>
      </c>
      <c r="AG26" t="s">
        <v>801</v>
      </c>
      <c r="AH26" t="s">
        <v>802</v>
      </c>
      <c r="AI26" t="s">
        <v>803</v>
      </c>
    </row>
    <row r="27" spans="1:35" hidden="1">
      <c r="A27" s="7">
        <v>26</v>
      </c>
      <c r="B27" t="s">
        <v>243</v>
      </c>
      <c r="C27" t="s">
        <v>244</v>
      </c>
      <c r="D27" s="7">
        <v>7134</v>
      </c>
      <c r="E27" t="s">
        <v>245</v>
      </c>
      <c r="F27" t="s">
        <v>246</v>
      </c>
      <c r="G27" t="s">
        <v>842</v>
      </c>
      <c r="H27" t="s">
        <v>843</v>
      </c>
      <c r="I27" s="7">
        <v>1165</v>
      </c>
      <c r="J27" s="7">
        <v>49910</v>
      </c>
      <c r="K27" s="7">
        <v>5</v>
      </c>
      <c r="L27" t="s">
        <v>247</v>
      </c>
      <c r="M27" t="s">
        <v>361</v>
      </c>
      <c r="N27" s="7">
        <v>3405</v>
      </c>
      <c r="O27" t="s">
        <v>844</v>
      </c>
      <c r="P27" t="s">
        <v>845</v>
      </c>
      <c r="S27" t="s">
        <v>800</v>
      </c>
      <c r="T27" t="s">
        <v>797</v>
      </c>
      <c r="U27" t="s">
        <v>550</v>
      </c>
      <c r="V27" s="8">
        <v>1650</v>
      </c>
      <c r="W27" s="7">
        <v>587586</v>
      </c>
      <c r="X27" t="s">
        <v>256</v>
      </c>
      <c r="Y27" s="8">
        <v>1650</v>
      </c>
      <c r="Z27" s="8">
        <v>1947</v>
      </c>
      <c r="AA27" s="8">
        <v>297</v>
      </c>
      <c r="AB27" s="7">
        <v>111053</v>
      </c>
      <c r="AC27" t="s">
        <v>256</v>
      </c>
      <c r="AD27" s="8">
        <v>0</v>
      </c>
      <c r="AG27" t="s">
        <v>823</v>
      </c>
      <c r="AH27" t="s">
        <v>802</v>
      </c>
      <c r="AI27" t="s">
        <v>818</v>
      </c>
    </row>
    <row r="28" spans="1:35" hidden="1">
      <c r="A28" s="7">
        <v>27</v>
      </c>
      <c r="B28" t="s">
        <v>243</v>
      </c>
      <c r="C28" t="s">
        <v>244</v>
      </c>
      <c r="D28" s="7">
        <v>7134</v>
      </c>
      <c r="E28" t="s">
        <v>245</v>
      </c>
      <c r="F28" t="s">
        <v>246</v>
      </c>
      <c r="G28" t="s">
        <v>819</v>
      </c>
      <c r="H28" t="s">
        <v>820</v>
      </c>
      <c r="I28" s="7">
        <v>1165</v>
      </c>
      <c r="J28" s="7">
        <v>50000</v>
      </c>
      <c r="K28" s="7">
        <v>5</v>
      </c>
      <c r="L28" t="s">
        <v>247</v>
      </c>
      <c r="M28" t="s">
        <v>361</v>
      </c>
      <c r="N28" s="7">
        <v>3152</v>
      </c>
      <c r="O28" t="s">
        <v>821</v>
      </c>
      <c r="P28" t="s">
        <v>822</v>
      </c>
      <c r="S28" t="s">
        <v>800</v>
      </c>
      <c r="T28" t="s">
        <v>797</v>
      </c>
      <c r="U28" t="s">
        <v>550</v>
      </c>
      <c r="V28" s="8">
        <v>1650</v>
      </c>
      <c r="W28" s="7">
        <v>587586</v>
      </c>
      <c r="X28" t="s">
        <v>256</v>
      </c>
      <c r="Y28" s="8">
        <v>1650</v>
      </c>
      <c r="Z28" s="8">
        <v>1947</v>
      </c>
      <c r="AA28" s="8">
        <v>297</v>
      </c>
      <c r="AB28" s="7">
        <v>111053</v>
      </c>
      <c r="AC28" t="s">
        <v>256</v>
      </c>
      <c r="AD28" s="8">
        <v>0</v>
      </c>
      <c r="AG28" t="s">
        <v>823</v>
      </c>
      <c r="AH28" t="s">
        <v>802</v>
      </c>
      <c r="AI28" t="s">
        <v>818</v>
      </c>
    </row>
    <row r="29" spans="1:35" hidden="1">
      <c r="A29" s="7">
        <v>28</v>
      </c>
      <c r="B29" t="s">
        <v>243</v>
      </c>
      <c r="C29" t="s">
        <v>244</v>
      </c>
      <c r="D29" s="7">
        <v>7134</v>
      </c>
      <c r="E29" t="s">
        <v>245</v>
      </c>
      <c r="F29" t="s">
        <v>246</v>
      </c>
      <c r="G29" t="s">
        <v>867</v>
      </c>
      <c r="H29" t="s">
        <v>939</v>
      </c>
      <c r="I29" s="7">
        <v>1165</v>
      </c>
      <c r="J29" s="7">
        <v>10000</v>
      </c>
      <c r="K29" s="7">
        <v>1</v>
      </c>
      <c r="L29" t="s">
        <v>247</v>
      </c>
      <c r="M29" t="s">
        <v>261</v>
      </c>
      <c r="N29" s="7">
        <v>790580</v>
      </c>
      <c r="O29" t="s">
        <v>1020</v>
      </c>
      <c r="P29" t="s">
        <v>1021</v>
      </c>
      <c r="Q29" t="s">
        <v>870</v>
      </c>
      <c r="R29" t="s">
        <v>871</v>
      </c>
      <c r="S29" t="s">
        <v>800</v>
      </c>
      <c r="T29" t="s">
        <v>797</v>
      </c>
      <c r="U29" t="s">
        <v>550</v>
      </c>
      <c r="V29" s="8">
        <v>1250</v>
      </c>
      <c r="W29" s="7">
        <v>587586</v>
      </c>
      <c r="X29" t="s">
        <v>256</v>
      </c>
      <c r="Y29" s="8">
        <v>1000</v>
      </c>
      <c r="Z29" s="8">
        <v>1475</v>
      </c>
      <c r="AA29" s="8">
        <v>225</v>
      </c>
      <c r="AB29" s="7">
        <v>111053</v>
      </c>
      <c r="AC29" t="s">
        <v>256</v>
      </c>
      <c r="AD29" s="8">
        <v>250</v>
      </c>
      <c r="AG29" t="s">
        <v>801</v>
      </c>
      <c r="AH29" t="s">
        <v>802</v>
      </c>
      <c r="AI29" t="s">
        <v>818</v>
      </c>
    </row>
    <row r="30" spans="1:35" hidden="1">
      <c r="A30" s="7">
        <v>29</v>
      </c>
      <c r="B30" t="s">
        <v>243</v>
      </c>
      <c r="C30" t="s">
        <v>244</v>
      </c>
      <c r="D30" s="7">
        <v>7134</v>
      </c>
      <c r="E30" t="s">
        <v>245</v>
      </c>
      <c r="F30" t="s">
        <v>246</v>
      </c>
      <c r="G30" t="s">
        <v>867</v>
      </c>
      <c r="H30" t="s">
        <v>843</v>
      </c>
      <c r="I30" s="7">
        <v>1165</v>
      </c>
      <c r="J30" s="7">
        <v>19200</v>
      </c>
      <c r="K30" s="7">
        <v>2</v>
      </c>
      <c r="L30" t="s">
        <v>247</v>
      </c>
      <c r="M30" t="s">
        <v>252</v>
      </c>
      <c r="N30" s="7">
        <v>324816</v>
      </c>
      <c r="O30" t="s">
        <v>1022</v>
      </c>
      <c r="P30" t="s">
        <v>1023</v>
      </c>
      <c r="S30" t="s">
        <v>800</v>
      </c>
      <c r="T30" t="s">
        <v>797</v>
      </c>
      <c r="U30" t="s">
        <v>550</v>
      </c>
      <c r="V30" s="8">
        <v>0</v>
      </c>
      <c r="W30" s="7">
        <v>587586</v>
      </c>
      <c r="X30" t="s">
        <v>256</v>
      </c>
      <c r="Y30" s="8">
        <v>0</v>
      </c>
      <c r="Z30" s="8">
        <v>0</v>
      </c>
      <c r="AA30" s="8">
        <v>0</v>
      </c>
      <c r="AB30" s="7">
        <v>111053</v>
      </c>
      <c r="AC30" t="s">
        <v>256</v>
      </c>
      <c r="AD30" s="8">
        <v>0</v>
      </c>
      <c r="AG30" t="s">
        <v>937</v>
      </c>
      <c r="AH30" t="s">
        <v>802</v>
      </c>
      <c r="AI30" t="s">
        <v>803</v>
      </c>
    </row>
    <row r="31" spans="1:35" hidden="1">
      <c r="A31" s="7">
        <v>30</v>
      </c>
      <c r="B31" t="s">
        <v>243</v>
      </c>
      <c r="C31" t="s">
        <v>244</v>
      </c>
      <c r="D31" s="7">
        <v>7134</v>
      </c>
      <c r="E31" t="s">
        <v>245</v>
      </c>
      <c r="F31" t="s">
        <v>246</v>
      </c>
      <c r="G31" t="s">
        <v>1024</v>
      </c>
      <c r="H31" t="s">
        <v>846</v>
      </c>
      <c r="I31" s="7">
        <v>1165</v>
      </c>
      <c r="J31" s="7">
        <v>13000</v>
      </c>
      <c r="K31" s="7">
        <v>3</v>
      </c>
      <c r="L31" t="s">
        <v>247</v>
      </c>
      <c r="M31" t="s">
        <v>261</v>
      </c>
      <c r="N31" s="7">
        <v>786359</v>
      </c>
      <c r="O31" t="s">
        <v>1025</v>
      </c>
      <c r="P31" t="s">
        <v>1026</v>
      </c>
      <c r="S31" t="s">
        <v>800</v>
      </c>
      <c r="T31" t="s">
        <v>797</v>
      </c>
      <c r="U31" t="s">
        <v>550</v>
      </c>
      <c r="V31" s="8">
        <v>1250</v>
      </c>
      <c r="W31" s="7">
        <v>587586</v>
      </c>
      <c r="X31" t="s">
        <v>256</v>
      </c>
      <c r="Y31" s="8">
        <v>1250</v>
      </c>
      <c r="Z31" s="8">
        <v>1475</v>
      </c>
      <c r="AA31" s="8">
        <v>225</v>
      </c>
      <c r="AB31" s="7">
        <v>111053</v>
      </c>
      <c r="AC31" t="s">
        <v>256</v>
      </c>
      <c r="AD31" s="8">
        <v>0</v>
      </c>
      <c r="AG31" t="s">
        <v>801</v>
      </c>
      <c r="AH31" t="s">
        <v>802</v>
      </c>
      <c r="AI31" t="s">
        <v>818</v>
      </c>
    </row>
    <row r="32" spans="1:35" hidden="1">
      <c r="A32" s="7">
        <v>31</v>
      </c>
      <c r="B32" t="s">
        <v>243</v>
      </c>
      <c r="C32" t="s">
        <v>244</v>
      </c>
      <c r="D32" s="7">
        <v>7134</v>
      </c>
      <c r="E32" t="s">
        <v>245</v>
      </c>
      <c r="F32" t="s">
        <v>246</v>
      </c>
      <c r="G32" t="s">
        <v>988</v>
      </c>
      <c r="H32" t="s">
        <v>846</v>
      </c>
      <c r="I32" s="7">
        <v>1165</v>
      </c>
      <c r="J32" s="7">
        <v>50000</v>
      </c>
      <c r="K32" s="7">
        <v>5</v>
      </c>
      <c r="L32" t="s">
        <v>247</v>
      </c>
      <c r="M32" t="s">
        <v>261</v>
      </c>
      <c r="N32" s="7">
        <v>775226</v>
      </c>
      <c r="O32" t="s">
        <v>989</v>
      </c>
      <c r="P32" t="s">
        <v>990</v>
      </c>
      <c r="S32" t="s">
        <v>800</v>
      </c>
      <c r="T32" t="s">
        <v>797</v>
      </c>
      <c r="U32" t="s">
        <v>550</v>
      </c>
      <c r="V32" s="8">
        <v>1250</v>
      </c>
      <c r="W32" s="7">
        <v>587586</v>
      </c>
      <c r="X32" t="s">
        <v>256</v>
      </c>
      <c r="Y32" s="8">
        <v>1250</v>
      </c>
      <c r="Z32" s="8">
        <v>1475</v>
      </c>
      <c r="AA32" s="8">
        <v>225</v>
      </c>
      <c r="AB32" s="7">
        <v>111053</v>
      </c>
      <c r="AC32" t="s">
        <v>256</v>
      </c>
      <c r="AD32" s="8">
        <v>0</v>
      </c>
      <c r="AG32" t="s">
        <v>801</v>
      </c>
      <c r="AH32" t="s">
        <v>802</v>
      </c>
      <c r="AI32" t="s">
        <v>818</v>
      </c>
    </row>
    <row r="33" spans="1:35" hidden="1">
      <c r="A33" s="7">
        <v>32</v>
      </c>
      <c r="B33" t="s">
        <v>243</v>
      </c>
      <c r="C33" t="s">
        <v>244</v>
      </c>
      <c r="D33" s="7">
        <v>7134</v>
      </c>
      <c r="E33" t="s">
        <v>245</v>
      </c>
      <c r="F33" t="s">
        <v>246</v>
      </c>
      <c r="G33" t="s">
        <v>888</v>
      </c>
      <c r="H33" t="s">
        <v>820</v>
      </c>
      <c r="I33" s="7">
        <v>1165</v>
      </c>
      <c r="J33" s="7">
        <v>50000</v>
      </c>
      <c r="K33" s="7">
        <v>5</v>
      </c>
      <c r="L33" t="s">
        <v>247</v>
      </c>
      <c r="M33" t="s">
        <v>267</v>
      </c>
      <c r="N33" s="7">
        <v>776290</v>
      </c>
      <c r="O33" t="s">
        <v>889</v>
      </c>
      <c r="P33" t="s">
        <v>890</v>
      </c>
      <c r="S33" t="s">
        <v>800</v>
      </c>
      <c r="T33" t="s">
        <v>797</v>
      </c>
      <c r="U33" t="s">
        <v>550</v>
      </c>
      <c r="V33" s="8">
        <v>1250</v>
      </c>
      <c r="W33" s="7">
        <v>587586</v>
      </c>
      <c r="X33" t="s">
        <v>256</v>
      </c>
      <c r="Y33" s="8">
        <v>1250</v>
      </c>
      <c r="Z33" s="8">
        <v>1475</v>
      </c>
      <c r="AA33" s="8">
        <v>225</v>
      </c>
      <c r="AB33" s="7">
        <v>111053</v>
      </c>
      <c r="AC33" t="s">
        <v>256</v>
      </c>
      <c r="AD33" s="8">
        <v>0</v>
      </c>
      <c r="AG33" t="s">
        <v>828</v>
      </c>
      <c r="AH33" t="s">
        <v>802</v>
      </c>
      <c r="AI33" t="s">
        <v>818</v>
      </c>
    </row>
    <row r="34" spans="1:35" hidden="1">
      <c r="A34" s="7">
        <v>33</v>
      </c>
      <c r="B34" t="s">
        <v>243</v>
      </c>
      <c r="C34" t="s">
        <v>244</v>
      </c>
      <c r="D34" s="7">
        <v>7134</v>
      </c>
      <c r="E34" t="s">
        <v>245</v>
      </c>
      <c r="F34" t="s">
        <v>246</v>
      </c>
      <c r="G34" t="s">
        <v>894</v>
      </c>
      <c r="H34" t="s">
        <v>895</v>
      </c>
      <c r="I34" s="7">
        <v>1165</v>
      </c>
      <c r="J34" s="7">
        <v>43446</v>
      </c>
      <c r="K34" s="7">
        <v>12</v>
      </c>
      <c r="L34" t="s">
        <v>247</v>
      </c>
      <c r="M34" t="s">
        <v>261</v>
      </c>
      <c r="N34" s="7">
        <v>739521</v>
      </c>
      <c r="O34" t="s">
        <v>896</v>
      </c>
      <c r="P34" t="s">
        <v>897</v>
      </c>
      <c r="S34" t="s">
        <v>800</v>
      </c>
      <c r="T34" t="s">
        <v>797</v>
      </c>
      <c r="U34" t="s">
        <v>550</v>
      </c>
      <c r="V34" s="8">
        <v>0</v>
      </c>
      <c r="W34" s="7">
        <v>587586</v>
      </c>
      <c r="X34" t="s">
        <v>256</v>
      </c>
      <c r="Y34" s="8">
        <v>0</v>
      </c>
      <c r="Z34" s="8">
        <v>0</v>
      </c>
      <c r="AA34" s="8">
        <v>0</v>
      </c>
      <c r="AB34" s="7">
        <v>111053</v>
      </c>
      <c r="AC34" t="s">
        <v>256</v>
      </c>
      <c r="AD34" s="8">
        <v>0</v>
      </c>
      <c r="AG34" t="s">
        <v>801</v>
      </c>
      <c r="AH34" t="s">
        <v>802</v>
      </c>
      <c r="AI34" t="s">
        <v>803</v>
      </c>
    </row>
    <row r="35" spans="1:35" hidden="1">
      <c r="A35" s="7">
        <v>34</v>
      </c>
      <c r="B35" t="s">
        <v>243</v>
      </c>
      <c r="C35" t="s">
        <v>244</v>
      </c>
      <c r="D35" s="7">
        <v>7134</v>
      </c>
      <c r="E35" t="s">
        <v>245</v>
      </c>
      <c r="F35" t="s">
        <v>246</v>
      </c>
      <c r="G35" t="s">
        <v>951</v>
      </c>
      <c r="H35" t="s">
        <v>797</v>
      </c>
      <c r="I35" s="7">
        <v>1165</v>
      </c>
      <c r="J35" s="7">
        <v>40000</v>
      </c>
      <c r="K35" s="7">
        <v>4</v>
      </c>
      <c r="L35" t="s">
        <v>247</v>
      </c>
      <c r="M35" t="s">
        <v>267</v>
      </c>
      <c r="N35" s="7">
        <v>776484</v>
      </c>
      <c r="O35" t="s">
        <v>952</v>
      </c>
      <c r="P35" t="s">
        <v>953</v>
      </c>
      <c r="S35" t="s">
        <v>800</v>
      </c>
      <c r="T35" t="s">
        <v>797</v>
      </c>
      <c r="U35" t="s">
        <v>550</v>
      </c>
      <c r="V35" s="8">
        <v>0</v>
      </c>
      <c r="W35" s="7">
        <v>587586</v>
      </c>
      <c r="X35" t="s">
        <v>256</v>
      </c>
      <c r="Y35" s="8">
        <v>0</v>
      </c>
      <c r="Z35" s="8">
        <v>0</v>
      </c>
      <c r="AA35" s="8">
        <v>0</v>
      </c>
      <c r="AB35" s="7">
        <v>111053</v>
      </c>
      <c r="AC35" t="s">
        <v>256</v>
      </c>
      <c r="AD35" s="8">
        <v>0</v>
      </c>
      <c r="AG35" t="s">
        <v>828</v>
      </c>
      <c r="AH35" t="s">
        <v>802</v>
      </c>
      <c r="AI35" t="s">
        <v>803</v>
      </c>
    </row>
    <row r="36" spans="1:35" hidden="1">
      <c r="A36" s="7">
        <v>35</v>
      </c>
      <c r="B36" t="s">
        <v>243</v>
      </c>
      <c r="C36" t="s">
        <v>244</v>
      </c>
      <c r="D36" s="7">
        <v>7134</v>
      </c>
      <c r="E36" t="s">
        <v>245</v>
      </c>
      <c r="F36" t="s">
        <v>246</v>
      </c>
      <c r="G36" t="s">
        <v>819</v>
      </c>
      <c r="H36" t="s">
        <v>846</v>
      </c>
      <c r="I36" s="7">
        <v>1165</v>
      </c>
      <c r="J36" s="7">
        <v>35149</v>
      </c>
      <c r="K36" s="7">
        <v>6</v>
      </c>
      <c r="L36" t="s">
        <v>247</v>
      </c>
      <c r="M36" t="s">
        <v>261</v>
      </c>
      <c r="N36" s="7">
        <v>764716</v>
      </c>
      <c r="O36" t="s">
        <v>847</v>
      </c>
      <c r="P36" t="s">
        <v>848</v>
      </c>
      <c r="S36" t="s">
        <v>800</v>
      </c>
      <c r="T36" t="s">
        <v>797</v>
      </c>
      <c r="U36" t="s">
        <v>550</v>
      </c>
      <c r="V36" s="8">
        <v>0</v>
      </c>
      <c r="W36" s="7">
        <v>587586</v>
      </c>
      <c r="X36" t="s">
        <v>256</v>
      </c>
      <c r="Y36" s="8">
        <v>0</v>
      </c>
      <c r="Z36" s="8">
        <v>0</v>
      </c>
      <c r="AA36" s="8">
        <v>0</v>
      </c>
      <c r="AB36" s="7">
        <v>111053</v>
      </c>
      <c r="AC36" t="s">
        <v>256</v>
      </c>
      <c r="AD36" s="8">
        <v>0</v>
      </c>
      <c r="AG36" t="s">
        <v>801</v>
      </c>
      <c r="AH36" t="s">
        <v>802</v>
      </c>
      <c r="AI36" t="s">
        <v>803</v>
      </c>
    </row>
    <row r="37" spans="1:35" hidden="1">
      <c r="A37" s="7">
        <v>36</v>
      </c>
      <c r="B37" t="s">
        <v>243</v>
      </c>
      <c r="C37" t="s">
        <v>244</v>
      </c>
      <c r="D37" s="7">
        <v>7134</v>
      </c>
      <c r="E37" t="s">
        <v>245</v>
      </c>
      <c r="F37" t="s">
        <v>246</v>
      </c>
      <c r="G37" t="s">
        <v>1004</v>
      </c>
      <c r="H37" t="s">
        <v>810</v>
      </c>
      <c r="I37" s="7">
        <v>1165</v>
      </c>
      <c r="J37" s="7">
        <v>10000</v>
      </c>
      <c r="K37" s="7">
        <v>1</v>
      </c>
      <c r="L37" t="s">
        <v>247</v>
      </c>
      <c r="M37" t="s">
        <v>361</v>
      </c>
      <c r="N37" s="7">
        <v>6182</v>
      </c>
      <c r="O37" t="s">
        <v>1183</v>
      </c>
      <c r="P37" t="s">
        <v>1184</v>
      </c>
      <c r="S37" t="s">
        <v>800</v>
      </c>
      <c r="T37" t="s">
        <v>797</v>
      </c>
      <c r="U37" t="s">
        <v>550</v>
      </c>
      <c r="V37" s="8">
        <v>1650</v>
      </c>
      <c r="W37" s="7">
        <v>587586</v>
      </c>
      <c r="X37" t="s">
        <v>256</v>
      </c>
      <c r="Y37" s="8">
        <v>1650</v>
      </c>
      <c r="Z37" s="8">
        <v>1947</v>
      </c>
      <c r="AA37" s="8">
        <v>297</v>
      </c>
      <c r="AB37" s="7">
        <v>111053</v>
      </c>
      <c r="AC37" t="s">
        <v>256</v>
      </c>
      <c r="AD37" s="8">
        <v>0</v>
      </c>
      <c r="AG37" t="s">
        <v>823</v>
      </c>
      <c r="AH37" t="s">
        <v>802</v>
      </c>
      <c r="AI37" t="s">
        <v>818</v>
      </c>
    </row>
    <row r="38" spans="1:35" hidden="1">
      <c r="A38" s="7">
        <v>37</v>
      </c>
      <c r="B38" t="s">
        <v>243</v>
      </c>
      <c r="C38" t="s">
        <v>244</v>
      </c>
      <c r="D38" s="7">
        <v>7134</v>
      </c>
      <c r="E38" t="s">
        <v>245</v>
      </c>
      <c r="F38" t="s">
        <v>246</v>
      </c>
      <c r="G38" t="s">
        <v>861</v>
      </c>
      <c r="H38" t="s">
        <v>970</v>
      </c>
      <c r="I38" s="7">
        <v>1165</v>
      </c>
      <c r="J38" s="7">
        <v>37919</v>
      </c>
      <c r="K38" s="7">
        <v>4</v>
      </c>
      <c r="L38" t="s">
        <v>247</v>
      </c>
      <c r="M38" t="s">
        <v>252</v>
      </c>
      <c r="N38" s="7">
        <v>323055</v>
      </c>
      <c r="O38" t="s">
        <v>971</v>
      </c>
      <c r="P38" t="s">
        <v>972</v>
      </c>
      <c r="S38" t="s">
        <v>800</v>
      </c>
      <c r="T38" t="s">
        <v>797</v>
      </c>
      <c r="U38" t="s">
        <v>550</v>
      </c>
      <c r="V38" s="8">
        <v>0</v>
      </c>
      <c r="W38" s="7">
        <v>587586</v>
      </c>
      <c r="X38" t="s">
        <v>256</v>
      </c>
      <c r="Y38" s="8">
        <v>0</v>
      </c>
      <c r="Z38" s="8">
        <v>0</v>
      </c>
      <c r="AA38" s="8">
        <v>0</v>
      </c>
      <c r="AB38" s="7">
        <v>111053</v>
      </c>
      <c r="AC38" t="s">
        <v>256</v>
      </c>
      <c r="AD38" s="8">
        <v>0</v>
      </c>
      <c r="AG38" t="s">
        <v>937</v>
      </c>
      <c r="AH38" t="s">
        <v>802</v>
      </c>
      <c r="AI38" t="s">
        <v>803</v>
      </c>
    </row>
    <row r="39" spans="1:35" hidden="1">
      <c r="A39" s="7">
        <v>38</v>
      </c>
      <c r="B39" t="s">
        <v>243</v>
      </c>
      <c r="C39" t="s">
        <v>244</v>
      </c>
      <c r="D39" s="7">
        <v>7134</v>
      </c>
      <c r="E39" t="s">
        <v>245</v>
      </c>
      <c r="F39" t="s">
        <v>246</v>
      </c>
      <c r="G39" t="s">
        <v>976</v>
      </c>
      <c r="H39" t="s">
        <v>839</v>
      </c>
      <c r="I39" s="7">
        <v>936</v>
      </c>
      <c r="J39" s="7">
        <v>29900</v>
      </c>
      <c r="K39" s="7">
        <v>2</v>
      </c>
      <c r="L39" t="s">
        <v>247</v>
      </c>
      <c r="M39" t="s">
        <v>261</v>
      </c>
      <c r="N39" s="7">
        <v>782758</v>
      </c>
      <c r="O39" t="s">
        <v>977</v>
      </c>
      <c r="P39" t="s">
        <v>978</v>
      </c>
      <c r="S39" t="s">
        <v>800</v>
      </c>
      <c r="T39" t="s">
        <v>797</v>
      </c>
      <c r="U39" t="s">
        <v>550</v>
      </c>
      <c r="V39" s="8">
        <v>1250</v>
      </c>
      <c r="W39" s="7">
        <v>587586</v>
      </c>
      <c r="X39" t="s">
        <v>256</v>
      </c>
      <c r="Y39" s="8">
        <v>1250</v>
      </c>
      <c r="Z39" s="8">
        <v>1475</v>
      </c>
      <c r="AA39" s="8">
        <v>225</v>
      </c>
      <c r="AB39" s="7">
        <v>111053</v>
      </c>
      <c r="AC39" t="s">
        <v>256</v>
      </c>
      <c r="AD39" s="8">
        <v>0</v>
      </c>
      <c r="AG39" t="s">
        <v>801</v>
      </c>
      <c r="AH39" t="s">
        <v>802</v>
      </c>
      <c r="AI39" t="s">
        <v>818</v>
      </c>
    </row>
    <row r="40" spans="1:35" hidden="1">
      <c r="A40" s="7">
        <v>39</v>
      </c>
      <c r="B40" t="s">
        <v>243</v>
      </c>
      <c r="C40" t="s">
        <v>244</v>
      </c>
      <c r="D40" s="7">
        <v>7134</v>
      </c>
      <c r="E40" t="s">
        <v>245</v>
      </c>
      <c r="F40" t="s">
        <v>246</v>
      </c>
      <c r="G40" t="s">
        <v>809</v>
      </c>
      <c r="H40" t="s">
        <v>810</v>
      </c>
      <c r="I40" s="7">
        <v>1165</v>
      </c>
      <c r="J40" s="7">
        <v>63374</v>
      </c>
      <c r="K40" s="7">
        <v>9</v>
      </c>
      <c r="L40" t="s">
        <v>247</v>
      </c>
      <c r="M40" t="s">
        <v>261</v>
      </c>
      <c r="N40" s="7">
        <v>753565</v>
      </c>
      <c r="O40" t="s">
        <v>811</v>
      </c>
      <c r="P40" t="s">
        <v>812</v>
      </c>
      <c r="S40" t="s">
        <v>800</v>
      </c>
      <c r="T40" t="s">
        <v>797</v>
      </c>
      <c r="U40" t="s">
        <v>550</v>
      </c>
      <c r="V40" s="8">
        <v>0</v>
      </c>
      <c r="W40" s="7">
        <v>587586</v>
      </c>
      <c r="X40" t="s">
        <v>256</v>
      </c>
      <c r="Y40" s="8">
        <v>0</v>
      </c>
      <c r="Z40" s="8">
        <v>0</v>
      </c>
      <c r="AA40" s="8">
        <v>0</v>
      </c>
      <c r="AB40" s="7">
        <v>111053</v>
      </c>
      <c r="AC40" t="s">
        <v>256</v>
      </c>
      <c r="AD40" s="8">
        <v>0</v>
      </c>
      <c r="AG40" t="s">
        <v>801</v>
      </c>
      <c r="AH40" t="s">
        <v>802</v>
      </c>
      <c r="AI40" t="s">
        <v>803</v>
      </c>
    </row>
    <row r="41" spans="1:35" hidden="1">
      <c r="A41" s="7">
        <v>40</v>
      </c>
      <c r="B41" t="s">
        <v>243</v>
      </c>
      <c r="C41" t="s">
        <v>244</v>
      </c>
      <c r="D41" s="7">
        <v>7134</v>
      </c>
      <c r="E41" t="s">
        <v>245</v>
      </c>
      <c r="F41" t="s">
        <v>246</v>
      </c>
      <c r="G41" t="s">
        <v>973</v>
      </c>
      <c r="H41" t="s">
        <v>939</v>
      </c>
      <c r="I41" s="7">
        <v>1165</v>
      </c>
      <c r="J41" s="7">
        <v>8063</v>
      </c>
      <c r="K41" s="7">
        <v>1</v>
      </c>
      <c r="L41" t="s">
        <v>247</v>
      </c>
      <c r="M41" t="s">
        <v>267</v>
      </c>
      <c r="N41" s="7">
        <v>789109</v>
      </c>
      <c r="O41" t="s">
        <v>974</v>
      </c>
      <c r="P41" t="s">
        <v>975</v>
      </c>
      <c r="S41" t="s">
        <v>800</v>
      </c>
      <c r="T41" t="s">
        <v>797</v>
      </c>
      <c r="U41" t="s">
        <v>550</v>
      </c>
      <c r="V41" s="8">
        <v>1250</v>
      </c>
      <c r="W41" s="7">
        <v>587586</v>
      </c>
      <c r="X41" t="s">
        <v>256</v>
      </c>
      <c r="Y41" s="8">
        <v>1250</v>
      </c>
      <c r="Z41" s="8">
        <v>1475</v>
      </c>
      <c r="AA41" s="8">
        <v>225</v>
      </c>
      <c r="AB41" s="7">
        <v>111053</v>
      </c>
      <c r="AC41" t="s">
        <v>256</v>
      </c>
      <c r="AD41" s="8">
        <v>0</v>
      </c>
      <c r="AG41" t="s">
        <v>828</v>
      </c>
      <c r="AH41" t="s">
        <v>802</v>
      </c>
      <c r="AI41" t="s">
        <v>818</v>
      </c>
    </row>
    <row r="42" spans="1:35" hidden="1">
      <c r="A42" s="7">
        <v>41</v>
      </c>
      <c r="B42" t="s">
        <v>243</v>
      </c>
      <c r="C42" t="s">
        <v>244</v>
      </c>
      <c r="D42" s="7">
        <v>7134</v>
      </c>
      <c r="E42" t="s">
        <v>245</v>
      </c>
      <c r="F42" t="s">
        <v>246</v>
      </c>
      <c r="G42" t="s">
        <v>999</v>
      </c>
      <c r="H42" t="s">
        <v>810</v>
      </c>
      <c r="I42" s="7">
        <v>1165</v>
      </c>
      <c r="J42" s="7">
        <v>11643</v>
      </c>
      <c r="K42" s="7">
        <v>2</v>
      </c>
      <c r="L42" t="s">
        <v>247</v>
      </c>
      <c r="M42" t="s">
        <v>261</v>
      </c>
      <c r="N42" s="7">
        <v>790577</v>
      </c>
      <c r="O42" t="s">
        <v>1083</v>
      </c>
      <c r="P42" t="s">
        <v>1084</v>
      </c>
      <c r="S42" t="s">
        <v>800</v>
      </c>
      <c r="T42" t="s">
        <v>797</v>
      </c>
      <c r="U42" t="s">
        <v>550</v>
      </c>
      <c r="V42" s="8">
        <v>0</v>
      </c>
      <c r="W42" s="7">
        <v>587586</v>
      </c>
      <c r="X42" t="s">
        <v>256</v>
      </c>
      <c r="Y42" s="8">
        <v>0</v>
      </c>
      <c r="Z42" s="8">
        <v>0</v>
      </c>
      <c r="AA42" s="8">
        <v>0</v>
      </c>
      <c r="AB42" s="7">
        <v>111053</v>
      </c>
      <c r="AC42" t="s">
        <v>256</v>
      </c>
      <c r="AD42" s="8">
        <v>0</v>
      </c>
      <c r="AG42" t="s">
        <v>801</v>
      </c>
      <c r="AH42" t="s">
        <v>802</v>
      </c>
      <c r="AI42" t="s">
        <v>803</v>
      </c>
    </row>
    <row r="43" spans="1:35" hidden="1">
      <c r="A43" s="7">
        <v>42</v>
      </c>
      <c r="B43" t="s">
        <v>243</v>
      </c>
      <c r="C43" t="s">
        <v>244</v>
      </c>
      <c r="D43" s="7">
        <v>7134</v>
      </c>
      <c r="E43" t="s">
        <v>245</v>
      </c>
      <c r="F43" t="s">
        <v>246</v>
      </c>
      <c r="G43" t="s">
        <v>999</v>
      </c>
      <c r="H43" t="s">
        <v>899</v>
      </c>
      <c r="I43" s="7">
        <v>1165</v>
      </c>
      <c r="J43" s="7">
        <v>10000</v>
      </c>
      <c r="K43" s="7">
        <v>2</v>
      </c>
      <c r="L43" t="s">
        <v>247</v>
      </c>
      <c r="M43" t="s">
        <v>261</v>
      </c>
      <c r="N43" s="7">
        <v>790578</v>
      </c>
      <c r="O43" t="s">
        <v>1119</v>
      </c>
      <c r="P43" t="s">
        <v>1120</v>
      </c>
      <c r="S43" t="s">
        <v>800</v>
      </c>
      <c r="T43" t="s">
        <v>797</v>
      </c>
      <c r="U43" t="s">
        <v>550</v>
      </c>
      <c r="V43" s="8">
        <v>0</v>
      </c>
      <c r="W43" s="7">
        <v>587586</v>
      </c>
      <c r="X43" t="s">
        <v>256</v>
      </c>
      <c r="Y43" s="8">
        <v>0</v>
      </c>
      <c r="Z43" s="8">
        <v>0</v>
      </c>
      <c r="AA43" s="8">
        <v>0</v>
      </c>
      <c r="AB43" s="7">
        <v>111053</v>
      </c>
      <c r="AC43" t="s">
        <v>256</v>
      </c>
      <c r="AD43" s="8">
        <v>0</v>
      </c>
      <c r="AG43" t="s">
        <v>801</v>
      </c>
      <c r="AH43" t="s">
        <v>802</v>
      </c>
      <c r="AI43" t="s">
        <v>803</v>
      </c>
    </row>
    <row r="44" spans="1:35" hidden="1">
      <c r="A44" s="7">
        <v>43</v>
      </c>
      <c r="B44" t="s">
        <v>243</v>
      </c>
      <c r="C44" t="s">
        <v>244</v>
      </c>
      <c r="D44" s="7">
        <v>7134</v>
      </c>
      <c r="E44" t="s">
        <v>245</v>
      </c>
      <c r="F44" t="s">
        <v>246</v>
      </c>
      <c r="G44" t="s">
        <v>933</v>
      </c>
      <c r="H44" t="s">
        <v>934</v>
      </c>
      <c r="I44" s="7">
        <v>1165</v>
      </c>
      <c r="J44" s="7">
        <v>114805</v>
      </c>
      <c r="K44" s="7">
        <v>12</v>
      </c>
      <c r="L44" t="s">
        <v>247</v>
      </c>
      <c r="M44" t="s">
        <v>252</v>
      </c>
      <c r="N44" s="7">
        <v>316627</v>
      </c>
      <c r="O44" t="s">
        <v>935</v>
      </c>
      <c r="P44" t="s">
        <v>936</v>
      </c>
      <c r="S44" t="s">
        <v>800</v>
      </c>
      <c r="T44" t="s">
        <v>797</v>
      </c>
      <c r="U44" t="s">
        <v>550</v>
      </c>
      <c r="V44" s="8">
        <v>0</v>
      </c>
      <c r="W44" s="7">
        <v>587586</v>
      </c>
      <c r="X44" t="s">
        <v>256</v>
      </c>
      <c r="Y44" s="8">
        <v>0</v>
      </c>
      <c r="Z44" s="8">
        <v>0</v>
      </c>
      <c r="AA44" s="8">
        <v>0</v>
      </c>
      <c r="AB44" s="7">
        <v>111053</v>
      </c>
      <c r="AC44" t="s">
        <v>256</v>
      </c>
      <c r="AD44" s="8">
        <v>0</v>
      </c>
      <c r="AG44" t="s">
        <v>937</v>
      </c>
      <c r="AH44" t="s">
        <v>802</v>
      </c>
      <c r="AI44" t="s">
        <v>803</v>
      </c>
    </row>
    <row r="45" spans="1:35" hidden="1">
      <c r="A45" s="7">
        <v>44</v>
      </c>
      <c r="B45" t="s">
        <v>243</v>
      </c>
      <c r="C45" t="s">
        <v>244</v>
      </c>
      <c r="D45" s="7">
        <v>7134</v>
      </c>
      <c r="E45" t="s">
        <v>245</v>
      </c>
      <c r="F45" t="s">
        <v>246</v>
      </c>
      <c r="G45" t="s">
        <v>1116</v>
      </c>
      <c r="H45" t="s">
        <v>921</v>
      </c>
      <c r="I45" s="7">
        <v>1165</v>
      </c>
      <c r="J45" s="7">
        <v>20700</v>
      </c>
      <c r="K45" s="7">
        <v>3</v>
      </c>
      <c r="L45" t="s">
        <v>247</v>
      </c>
      <c r="M45" t="s">
        <v>261</v>
      </c>
      <c r="N45" s="7">
        <v>786160</v>
      </c>
      <c r="O45" t="s">
        <v>1117</v>
      </c>
      <c r="P45" t="s">
        <v>1118</v>
      </c>
      <c r="S45" t="s">
        <v>800</v>
      </c>
      <c r="T45" t="s">
        <v>797</v>
      </c>
      <c r="U45" t="s">
        <v>550</v>
      </c>
      <c r="V45" s="8">
        <v>1250</v>
      </c>
      <c r="W45" s="7">
        <v>587586</v>
      </c>
      <c r="X45" t="s">
        <v>256</v>
      </c>
      <c r="Y45" s="8">
        <v>1250</v>
      </c>
      <c r="Z45" s="8">
        <v>1475</v>
      </c>
      <c r="AA45" s="8">
        <v>225</v>
      </c>
      <c r="AB45" s="7">
        <v>111053</v>
      </c>
      <c r="AC45" t="s">
        <v>256</v>
      </c>
      <c r="AD45" s="8">
        <v>0</v>
      </c>
      <c r="AG45" t="s">
        <v>801</v>
      </c>
      <c r="AH45" t="s">
        <v>802</v>
      </c>
      <c r="AI45" t="s">
        <v>818</v>
      </c>
    </row>
    <row r="46" spans="1:35" hidden="1">
      <c r="A46" s="7">
        <v>45</v>
      </c>
      <c r="B46" t="s">
        <v>243</v>
      </c>
      <c r="C46" t="s">
        <v>244</v>
      </c>
      <c r="D46" s="7">
        <v>7134</v>
      </c>
      <c r="E46" t="s">
        <v>245</v>
      </c>
      <c r="F46" t="s">
        <v>246</v>
      </c>
      <c r="G46" t="s">
        <v>858</v>
      </c>
      <c r="H46" t="s">
        <v>825</v>
      </c>
      <c r="I46" s="7">
        <v>1165</v>
      </c>
      <c r="J46" s="7">
        <v>6120</v>
      </c>
      <c r="K46" s="7">
        <v>1</v>
      </c>
      <c r="L46" t="s">
        <v>247</v>
      </c>
      <c r="M46" t="s">
        <v>261</v>
      </c>
      <c r="N46" s="7">
        <v>790691</v>
      </c>
      <c r="O46" t="s">
        <v>859</v>
      </c>
      <c r="P46" t="s">
        <v>860</v>
      </c>
      <c r="S46" t="s">
        <v>800</v>
      </c>
      <c r="T46" t="s">
        <v>797</v>
      </c>
      <c r="U46" t="s">
        <v>550</v>
      </c>
      <c r="V46" s="8">
        <v>1250</v>
      </c>
      <c r="W46" s="7">
        <v>587586</v>
      </c>
      <c r="X46" t="s">
        <v>256</v>
      </c>
      <c r="Y46" s="8">
        <v>1250</v>
      </c>
      <c r="Z46" s="8">
        <v>1475</v>
      </c>
      <c r="AA46" s="8">
        <v>225</v>
      </c>
      <c r="AB46" s="7">
        <v>111053</v>
      </c>
      <c r="AC46" t="s">
        <v>256</v>
      </c>
      <c r="AD46" s="8">
        <v>0</v>
      </c>
      <c r="AG46" t="s">
        <v>801</v>
      </c>
      <c r="AH46" t="s">
        <v>802</v>
      </c>
      <c r="AI46" t="s">
        <v>818</v>
      </c>
    </row>
    <row r="47" spans="1:35" hidden="1">
      <c r="A47" s="7">
        <v>46</v>
      </c>
      <c r="B47" t="s">
        <v>243</v>
      </c>
      <c r="C47" t="s">
        <v>244</v>
      </c>
      <c r="D47" s="7">
        <v>7134</v>
      </c>
      <c r="E47" t="s">
        <v>245</v>
      </c>
      <c r="F47" t="s">
        <v>246</v>
      </c>
      <c r="G47" t="s">
        <v>1014</v>
      </c>
      <c r="H47" t="s">
        <v>934</v>
      </c>
      <c r="I47" s="7">
        <v>1165</v>
      </c>
      <c r="J47" s="7">
        <v>64900</v>
      </c>
      <c r="K47" s="7">
        <v>9</v>
      </c>
      <c r="L47" t="s">
        <v>247</v>
      </c>
      <c r="M47" t="s">
        <v>261</v>
      </c>
      <c r="N47" s="7">
        <v>753201</v>
      </c>
      <c r="O47" t="s">
        <v>1015</v>
      </c>
      <c r="P47" t="s">
        <v>1016</v>
      </c>
      <c r="S47" t="s">
        <v>800</v>
      </c>
      <c r="T47" t="s">
        <v>797</v>
      </c>
      <c r="U47" t="s">
        <v>550</v>
      </c>
      <c r="V47" s="8">
        <v>0</v>
      </c>
      <c r="W47" s="7">
        <v>587586</v>
      </c>
      <c r="X47" t="s">
        <v>256</v>
      </c>
      <c r="Y47" s="8">
        <v>0</v>
      </c>
      <c r="Z47" s="8">
        <v>0</v>
      </c>
      <c r="AA47" s="8">
        <v>0</v>
      </c>
      <c r="AB47" s="7">
        <v>111053</v>
      </c>
      <c r="AC47" t="s">
        <v>256</v>
      </c>
      <c r="AD47" s="8">
        <v>0</v>
      </c>
      <c r="AG47" t="s">
        <v>801</v>
      </c>
      <c r="AH47" t="s">
        <v>802</v>
      </c>
      <c r="AI47" t="s">
        <v>803</v>
      </c>
    </row>
    <row r="48" spans="1:35" hidden="1">
      <c r="A48" s="7">
        <v>47</v>
      </c>
      <c r="B48" t="s">
        <v>243</v>
      </c>
      <c r="C48" t="s">
        <v>244</v>
      </c>
      <c r="D48" s="7">
        <v>7134</v>
      </c>
      <c r="E48" t="s">
        <v>245</v>
      </c>
      <c r="F48" t="s">
        <v>246</v>
      </c>
      <c r="G48" t="s">
        <v>1017</v>
      </c>
      <c r="H48" t="s">
        <v>846</v>
      </c>
      <c r="I48" s="7">
        <v>1165</v>
      </c>
      <c r="J48" s="7">
        <v>49069</v>
      </c>
      <c r="K48" s="7">
        <v>10</v>
      </c>
      <c r="L48" t="s">
        <v>247</v>
      </c>
      <c r="M48" t="s">
        <v>252</v>
      </c>
      <c r="N48" s="7">
        <v>317296</v>
      </c>
      <c r="O48" t="s">
        <v>1018</v>
      </c>
      <c r="P48" t="s">
        <v>1019</v>
      </c>
      <c r="S48" t="s">
        <v>800</v>
      </c>
      <c r="T48" t="s">
        <v>797</v>
      </c>
      <c r="U48" t="s">
        <v>550</v>
      </c>
      <c r="V48" s="8">
        <v>0</v>
      </c>
      <c r="W48" s="7">
        <v>587586</v>
      </c>
      <c r="X48" t="s">
        <v>256</v>
      </c>
      <c r="Y48" s="8">
        <v>0</v>
      </c>
      <c r="Z48" s="8">
        <v>0</v>
      </c>
      <c r="AA48" s="8">
        <v>0</v>
      </c>
      <c r="AB48" s="7">
        <v>111053</v>
      </c>
      <c r="AC48" t="s">
        <v>256</v>
      </c>
      <c r="AD48" s="8">
        <v>0</v>
      </c>
      <c r="AG48" t="s">
        <v>937</v>
      </c>
      <c r="AH48" t="s">
        <v>802</v>
      </c>
      <c r="AI48" t="s">
        <v>803</v>
      </c>
    </row>
    <row r="49" spans="1:35" hidden="1">
      <c r="A49" s="7">
        <v>48</v>
      </c>
      <c r="B49" t="s">
        <v>243</v>
      </c>
      <c r="C49" t="s">
        <v>244</v>
      </c>
      <c r="D49" s="7">
        <v>7134</v>
      </c>
      <c r="E49" t="s">
        <v>245</v>
      </c>
      <c r="F49" t="s">
        <v>246</v>
      </c>
      <c r="G49" t="s">
        <v>1125</v>
      </c>
      <c r="H49" t="s">
        <v>810</v>
      </c>
      <c r="I49" s="7">
        <v>1165</v>
      </c>
      <c r="J49" s="7">
        <v>52524</v>
      </c>
      <c r="K49" s="7">
        <v>5</v>
      </c>
      <c r="L49" t="s">
        <v>247</v>
      </c>
      <c r="M49" t="s">
        <v>361</v>
      </c>
      <c r="N49" s="7">
        <v>3261</v>
      </c>
      <c r="O49" t="s">
        <v>1126</v>
      </c>
      <c r="P49" t="s">
        <v>1127</v>
      </c>
      <c r="Q49" t="s">
        <v>908</v>
      </c>
      <c r="R49" t="s">
        <v>909</v>
      </c>
      <c r="S49" t="s">
        <v>800</v>
      </c>
      <c r="T49" t="s">
        <v>797</v>
      </c>
      <c r="U49" t="s">
        <v>550</v>
      </c>
      <c r="V49" s="8">
        <v>1650</v>
      </c>
      <c r="W49" s="7">
        <v>587586</v>
      </c>
      <c r="X49" t="s">
        <v>256</v>
      </c>
      <c r="Y49" s="8">
        <v>1320</v>
      </c>
      <c r="Z49" s="8">
        <v>1947</v>
      </c>
      <c r="AA49" s="8">
        <v>297</v>
      </c>
      <c r="AB49" s="7">
        <v>111053</v>
      </c>
      <c r="AC49" t="s">
        <v>256</v>
      </c>
      <c r="AD49" s="8">
        <v>330</v>
      </c>
      <c r="AG49" t="s">
        <v>823</v>
      </c>
      <c r="AH49" t="s">
        <v>802</v>
      </c>
      <c r="AI49" t="s">
        <v>818</v>
      </c>
    </row>
    <row r="50" spans="1:35" hidden="1">
      <c r="A50" s="7">
        <v>49</v>
      </c>
      <c r="B50" t="s">
        <v>243</v>
      </c>
      <c r="C50" t="s">
        <v>244</v>
      </c>
      <c r="D50" s="7">
        <v>7134</v>
      </c>
      <c r="E50" t="s">
        <v>245</v>
      </c>
      <c r="F50" t="s">
        <v>246</v>
      </c>
      <c r="G50" t="s">
        <v>1128</v>
      </c>
      <c r="H50" t="s">
        <v>853</v>
      </c>
      <c r="I50" s="7">
        <v>1165</v>
      </c>
      <c r="J50" s="7">
        <v>18378</v>
      </c>
      <c r="K50" s="7">
        <v>3</v>
      </c>
      <c r="L50" t="s">
        <v>247</v>
      </c>
      <c r="M50" t="s">
        <v>252</v>
      </c>
      <c r="N50" s="7">
        <v>322598</v>
      </c>
      <c r="O50" t="s">
        <v>1129</v>
      </c>
      <c r="P50" t="s">
        <v>1130</v>
      </c>
      <c r="Q50" t="s">
        <v>870</v>
      </c>
      <c r="R50" t="s">
        <v>871</v>
      </c>
      <c r="S50" t="s">
        <v>800</v>
      </c>
      <c r="T50" t="s">
        <v>797</v>
      </c>
      <c r="U50" t="s">
        <v>550</v>
      </c>
      <c r="V50" s="8">
        <v>1250</v>
      </c>
      <c r="W50" s="7">
        <v>587586</v>
      </c>
      <c r="X50" t="s">
        <v>256</v>
      </c>
      <c r="Y50" s="8">
        <v>1000</v>
      </c>
      <c r="Z50" s="8">
        <v>1475</v>
      </c>
      <c r="AA50" s="8">
        <v>225</v>
      </c>
      <c r="AB50" s="7">
        <v>111053</v>
      </c>
      <c r="AC50" t="s">
        <v>256</v>
      </c>
      <c r="AD50" s="8">
        <v>250</v>
      </c>
      <c r="AG50" t="s">
        <v>937</v>
      </c>
      <c r="AH50" t="s">
        <v>802</v>
      </c>
      <c r="AI50" t="s">
        <v>818</v>
      </c>
    </row>
    <row r="51" spans="1:35" hidden="1">
      <c r="A51" s="7">
        <v>50</v>
      </c>
      <c r="B51" t="s">
        <v>243</v>
      </c>
      <c r="C51" t="s">
        <v>244</v>
      </c>
      <c r="D51" s="7">
        <v>7134</v>
      </c>
      <c r="E51" t="s">
        <v>245</v>
      </c>
      <c r="F51" t="s">
        <v>246</v>
      </c>
      <c r="G51" t="s">
        <v>867</v>
      </c>
      <c r="H51" t="s">
        <v>853</v>
      </c>
      <c r="I51" s="7">
        <v>1165</v>
      </c>
      <c r="J51" s="7">
        <v>10000</v>
      </c>
      <c r="K51" s="7">
        <v>1</v>
      </c>
      <c r="L51" t="s">
        <v>247</v>
      </c>
      <c r="M51" t="s">
        <v>261</v>
      </c>
      <c r="N51" s="7">
        <v>790571</v>
      </c>
      <c r="O51" t="s">
        <v>868</v>
      </c>
      <c r="P51" t="s">
        <v>869</v>
      </c>
      <c r="Q51" t="s">
        <v>870</v>
      </c>
      <c r="R51" t="s">
        <v>871</v>
      </c>
      <c r="S51" t="s">
        <v>800</v>
      </c>
      <c r="T51" t="s">
        <v>797</v>
      </c>
      <c r="U51" t="s">
        <v>550</v>
      </c>
      <c r="V51" s="8">
        <v>1250</v>
      </c>
      <c r="W51" s="7">
        <v>587586</v>
      </c>
      <c r="X51" t="s">
        <v>256</v>
      </c>
      <c r="Y51" s="8">
        <v>1000</v>
      </c>
      <c r="Z51" s="8">
        <v>1475</v>
      </c>
      <c r="AA51" s="8">
        <v>225</v>
      </c>
      <c r="AB51" s="7">
        <v>111053</v>
      </c>
      <c r="AC51" t="s">
        <v>256</v>
      </c>
      <c r="AD51" s="8">
        <v>250</v>
      </c>
      <c r="AG51" t="s">
        <v>801</v>
      </c>
      <c r="AH51" t="s">
        <v>802</v>
      </c>
      <c r="AI51" t="s">
        <v>818</v>
      </c>
    </row>
    <row r="52" spans="1:35" hidden="1">
      <c r="A52" s="7">
        <v>51</v>
      </c>
      <c r="B52" t="s">
        <v>243</v>
      </c>
      <c r="C52" t="s">
        <v>244</v>
      </c>
      <c r="D52" s="7">
        <v>7134</v>
      </c>
      <c r="E52" t="s">
        <v>245</v>
      </c>
      <c r="F52" t="s">
        <v>246</v>
      </c>
      <c r="G52" t="s">
        <v>872</v>
      </c>
      <c r="H52" t="s">
        <v>825</v>
      </c>
      <c r="I52" s="7">
        <v>1165</v>
      </c>
      <c r="J52" s="7">
        <v>39573</v>
      </c>
      <c r="K52" s="7">
        <v>4</v>
      </c>
      <c r="L52" t="s">
        <v>247</v>
      </c>
      <c r="M52" t="s">
        <v>261</v>
      </c>
      <c r="N52" s="7">
        <v>775504</v>
      </c>
      <c r="O52" t="s">
        <v>873</v>
      </c>
      <c r="P52" t="s">
        <v>874</v>
      </c>
      <c r="S52" t="s">
        <v>800</v>
      </c>
      <c r="T52" t="s">
        <v>797</v>
      </c>
      <c r="U52" t="s">
        <v>550</v>
      </c>
      <c r="V52" s="8">
        <v>0</v>
      </c>
      <c r="W52" s="7">
        <v>587586</v>
      </c>
      <c r="X52" t="s">
        <v>256</v>
      </c>
      <c r="Y52" s="8">
        <v>0</v>
      </c>
      <c r="Z52" s="8">
        <v>0</v>
      </c>
      <c r="AA52" s="8">
        <v>0</v>
      </c>
      <c r="AB52" s="7">
        <v>111053</v>
      </c>
      <c r="AC52" t="s">
        <v>256</v>
      </c>
      <c r="AD52" s="8">
        <v>0</v>
      </c>
      <c r="AG52" t="s">
        <v>801</v>
      </c>
      <c r="AH52" t="s">
        <v>802</v>
      </c>
      <c r="AI52" t="s">
        <v>803</v>
      </c>
    </row>
    <row r="53" spans="1:35" hidden="1">
      <c r="A53" s="7">
        <v>52</v>
      </c>
      <c r="B53" t="s">
        <v>243</v>
      </c>
      <c r="C53" t="s">
        <v>244</v>
      </c>
      <c r="D53" s="7">
        <v>7134</v>
      </c>
      <c r="E53" t="s">
        <v>245</v>
      </c>
      <c r="F53" t="s">
        <v>246</v>
      </c>
      <c r="G53" t="s">
        <v>1088</v>
      </c>
      <c r="H53" t="s">
        <v>895</v>
      </c>
      <c r="I53" s="7">
        <v>890</v>
      </c>
      <c r="J53" s="7">
        <v>14560</v>
      </c>
      <c r="K53" s="7">
        <v>2</v>
      </c>
      <c r="L53" t="s">
        <v>247</v>
      </c>
      <c r="M53" t="s">
        <v>267</v>
      </c>
      <c r="N53" s="7">
        <v>789142</v>
      </c>
      <c r="O53" t="s">
        <v>1089</v>
      </c>
      <c r="P53" t="s">
        <v>1090</v>
      </c>
      <c r="S53" t="s">
        <v>800</v>
      </c>
      <c r="T53" t="s">
        <v>797</v>
      </c>
      <c r="U53" t="s">
        <v>550</v>
      </c>
      <c r="V53" s="8">
        <v>0</v>
      </c>
      <c r="W53" s="7">
        <v>587586</v>
      </c>
      <c r="X53" t="s">
        <v>256</v>
      </c>
      <c r="Y53" s="8">
        <v>0</v>
      </c>
      <c r="Z53" s="8">
        <v>0</v>
      </c>
      <c r="AA53" s="8">
        <v>0</v>
      </c>
      <c r="AB53" s="7">
        <v>111053</v>
      </c>
      <c r="AC53" t="s">
        <v>256</v>
      </c>
      <c r="AD53" s="8">
        <v>0</v>
      </c>
      <c r="AG53" t="s">
        <v>828</v>
      </c>
      <c r="AH53" t="s">
        <v>802</v>
      </c>
      <c r="AI53" t="s">
        <v>803</v>
      </c>
    </row>
    <row r="54" spans="1:35" hidden="1">
      <c r="A54" s="7">
        <v>53</v>
      </c>
      <c r="B54" t="s">
        <v>243</v>
      </c>
      <c r="C54" t="s">
        <v>244</v>
      </c>
      <c r="D54" s="7">
        <v>7134</v>
      </c>
      <c r="E54" t="s">
        <v>245</v>
      </c>
      <c r="F54" t="s">
        <v>246</v>
      </c>
      <c r="G54" t="s">
        <v>1091</v>
      </c>
      <c r="H54" t="s">
        <v>1092</v>
      </c>
      <c r="I54" s="7">
        <v>1165</v>
      </c>
      <c r="J54" s="7">
        <v>3296</v>
      </c>
      <c r="K54" s="7">
        <v>1</v>
      </c>
      <c r="L54" t="s">
        <v>247</v>
      </c>
      <c r="M54" t="s">
        <v>261</v>
      </c>
      <c r="N54" s="7">
        <v>781175</v>
      </c>
      <c r="O54" t="s">
        <v>1093</v>
      </c>
      <c r="P54" t="s">
        <v>1094</v>
      </c>
      <c r="S54" t="s">
        <v>800</v>
      </c>
      <c r="T54" t="s">
        <v>797</v>
      </c>
      <c r="U54" t="s">
        <v>550</v>
      </c>
      <c r="V54" s="8">
        <v>1250</v>
      </c>
      <c r="W54" s="7">
        <v>587586</v>
      </c>
      <c r="X54" t="s">
        <v>256</v>
      </c>
      <c r="Y54" s="8">
        <v>1250</v>
      </c>
      <c r="Z54" s="8">
        <v>1475</v>
      </c>
      <c r="AA54" s="8">
        <v>225</v>
      </c>
      <c r="AB54" s="7">
        <v>111053</v>
      </c>
      <c r="AC54" t="s">
        <v>256</v>
      </c>
      <c r="AD54" s="8">
        <v>0</v>
      </c>
      <c r="AG54" t="s">
        <v>808</v>
      </c>
      <c r="AH54" t="s">
        <v>802</v>
      </c>
      <c r="AI54" t="s">
        <v>818</v>
      </c>
    </row>
    <row r="55" spans="1:35" hidden="1">
      <c r="A55" s="7">
        <v>54</v>
      </c>
      <c r="B55" t="s">
        <v>243</v>
      </c>
      <c r="C55" t="s">
        <v>244</v>
      </c>
      <c r="D55" s="7">
        <v>7134</v>
      </c>
      <c r="E55" t="s">
        <v>245</v>
      </c>
      <c r="F55" t="s">
        <v>246</v>
      </c>
      <c r="G55" t="s">
        <v>945</v>
      </c>
      <c r="H55" t="s">
        <v>820</v>
      </c>
      <c r="I55" s="7">
        <v>1165</v>
      </c>
      <c r="J55" s="7">
        <v>110000</v>
      </c>
      <c r="K55" s="7">
        <v>11</v>
      </c>
      <c r="L55" t="s">
        <v>247</v>
      </c>
      <c r="M55" t="s">
        <v>267</v>
      </c>
      <c r="N55" s="7">
        <v>756550</v>
      </c>
      <c r="O55" t="s">
        <v>946</v>
      </c>
      <c r="P55" t="s">
        <v>947</v>
      </c>
      <c r="S55" t="s">
        <v>800</v>
      </c>
      <c r="T55" t="s">
        <v>797</v>
      </c>
      <c r="U55" t="s">
        <v>550</v>
      </c>
      <c r="V55" s="8">
        <v>1250</v>
      </c>
      <c r="W55" s="7">
        <v>587586</v>
      </c>
      <c r="X55" t="s">
        <v>256</v>
      </c>
      <c r="Y55" s="8">
        <v>1250</v>
      </c>
      <c r="Z55" s="8">
        <v>1475</v>
      </c>
      <c r="AA55" s="8">
        <v>225</v>
      </c>
      <c r="AB55" s="7">
        <v>111053</v>
      </c>
      <c r="AC55" t="s">
        <v>256</v>
      </c>
      <c r="AD55" s="8">
        <v>0</v>
      </c>
      <c r="AG55" t="s">
        <v>828</v>
      </c>
      <c r="AH55" t="s">
        <v>802</v>
      </c>
      <c r="AI55" t="s">
        <v>818</v>
      </c>
    </row>
    <row r="56" spans="1:35" hidden="1">
      <c r="A56" s="7">
        <v>55</v>
      </c>
      <c r="B56" t="s">
        <v>243</v>
      </c>
      <c r="C56" t="s">
        <v>244</v>
      </c>
      <c r="D56" s="7">
        <v>7134</v>
      </c>
      <c r="E56" t="s">
        <v>245</v>
      </c>
      <c r="F56" t="s">
        <v>246</v>
      </c>
      <c r="G56" t="s">
        <v>1095</v>
      </c>
      <c r="H56" t="s">
        <v>820</v>
      </c>
      <c r="I56" s="7">
        <v>990</v>
      </c>
      <c r="J56" s="7">
        <v>10400</v>
      </c>
      <c r="K56" s="7">
        <v>4</v>
      </c>
      <c r="L56" t="s">
        <v>247</v>
      </c>
      <c r="M56" t="s">
        <v>261</v>
      </c>
      <c r="N56" s="7">
        <v>775773</v>
      </c>
      <c r="O56" t="s">
        <v>1096</v>
      </c>
      <c r="P56" t="s">
        <v>1097</v>
      </c>
      <c r="Q56" t="s">
        <v>870</v>
      </c>
      <c r="R56" t="s">
        <v>871</v>
      </c>
      <c r="S56" t="s">
        <v>800</v>
      </c>
      <c r="T56" t="s">
        <v>797</v>
      </c>
      <c r="U56" t="s">
        <v>550</v>
      </c>
      <c r="V56" s="8">
        <v>0</v>
      </c>
      <c r="W56" s="7">
        <v>587586</v>
      </c>
      <c r="X56" t="s">
        <v>256</v>
      </c>
      <c r="Y56" s="8">
        <v>0</v>
      </c>
      <c r="Z56" s="8">
        <v>0</v>
      </c>
      <c r="AA56" s="8">
        <v>0</v>
      </c>
      <c r="AB56" s="7">
        <v>111053</v>
      </c>
      <c r="AC56" t="s">
        <v>256</v>
      </c>
      <c r="AD56" s="8">
        <v>0</v>
      </c>
      <c r="AG56" t="s">
        <v>801</v>
      </c>
      <c r="AH56" t="s">
        <v>802</v>
      </c>
      <c r="AI56" t="s">
        <v>803</v>
      </c>
    </row>
    <row r="57" spans="1:35" hidden="1">
      <c r="A57" s="7">
        <v>56</v>
      </c>
      <c r="B57" t="s">
        <v>243</v>
      </c>
      <c r="C57" t="s">
        <v>244</v>
      </c>
      <c r="D57" s="7">
        <v>7134</v>
      </c>
      <c r="E57" t="s">
        <v>245</v>
      </c>
      <c r="F57" t="s">
        <v>246</v>
      </c>
      <c r="G57" t="s">
        <v>809</v>
      </c>
      <c r="H57" t="s">
        <v>843</v>
      </c>
      <c r="I57" s="7">
        <v>1165</v>
      </c>
      <c r="J57" s="7">
        <v>71552</v>
      </c>
      <c r="K57" s="7">
        <v>9</v>
      </c>
      <c r="L57" t="s">
        <v>247</v>
      </c>
      <c r="M57" t="s">
        <v>261</v>
      </c>
      <c r="N57" s="7">
        <v>754077</v>
      </c>
      <c r="O57" t="s">
        <v>1140</v>
      </c>
      <c r="P57" t="s">
        <v>1141</v>
      </c>
      <c r="S57" t="s">
        <v>800</v>
      </c>
      <c r="T57" t="s">
        <v>797</v>
      </c>
      <c r="U57" t="s">
        <v>550</v>
      </c>
      <c r="V57" s="8">
        <v>0</v>
      </c>
      <c r="W57" s="7">
        <v>587586</v>
      </c>
      <c r="X57" t="s">
        <v>256</v>
      </c>
      <c r="Y57" s="8">
        <v>0</v>
      </c>
      <c r="Z57" s="8">
        <v>0</v>
      </c>
      <c r="AA57" s="8">
        <v>0</v>
      </c>
      <c r="AB57" s="7">
        <v>111053</v>
      </c>
      <c r="AC57" t="s">
        <v>256</v>
      </c>
      <c r="AD57" s="8">
        <v>0</v>
      </c>
      <c r="AG57" t="s">
        <v>801</v>
      </c>
      <c r="AH57" t="s">
        <v>802</v>
      </c>
      <c r="AI57" t="s">
        <v>803</v>
      </c>
    </row>
    <row r="58" spans="1:35" hidden="1">
      <c r="A58" s="7">
        <v>57</v>
      </c>
      <c r="B58" t="s">
        <v>243</v>
      </c>
      <c r="C58" t="s">
        <v>244</v>
      </c>
      <c r="D58" s="7">
        <v>7134</v>
      </c>
      <c r="E58" t="s">
        <v>245</v>
      </c>
      <c r="F58" t="s">
        <v>246</v>
      </c>
      <c r="G58" t="s">
        <v>1050</v>
      </c>
      <c r="H58" t="s">
        <v>839</v>
      </c>
      <c r="I58" s="7">
        <v>1165</v>
      </c>
      <c r="J58" s="7">
        <v>20000</v>
      </c>
      <c r="K58" s="7">
        <v>2</v>
      </c>
      <c r="L58" t="s">
        <v>247</v>
      </c>
      <c r="M58" t="s">
        <v>261</v>
      </c>
      <c r="N58" s="7">
        <v>787043</v>
      </c>
      <c r="O58" t="s">
        <v>1205</v>
      </c>
      <c r="P58" t="s">
        <v>1206</v>
      </c>
      <c r="S58" t="s">
        <v>800</v>
      </c>
      <c r="T58" t="s">
        <v>797</v>
      </c>
      <c r="U58" t="s">
        <v>550</v>
      </c>
      <c r="V58" s="8">
        <v>0</v>
      </c>
      <c r="W58" s="7">
        <v>587586</v>
      </c>
      <c r="X58" t="s">
        <v>256</v>
      </c>
      <c r="Y58" s="8">
        <v>0</v>
      </c>
      <c r="Z58" s="8">
        <v>0</v>
      </c>
      <c r="AA58" s="8">
        <v>0</v>
      </c>
      <c r="AB58" s="7">
        <v>111053</v>
      </c>
      <c r="AC58" t="s">
        <v>256</v>
      </c>
      <c r="AD58" s="8">
        <v>0</v>
      </c>
      <c r="AG58" t="s">
        <v>801</v>
      </c>
      <c r="AH58" t="s">
        <v>802</v>
      </c>
      <c r="AI58" t="s">
        <v>803</v>
      </c>
    </row>
    <row r="59" spans="1:35" hidden="1">
      <c r="A59" s="7">
        <v>58</v>
      </c>
      <c r="B59" t="s">
        <v>243</v>
      </c>
      <c r="C59" t="s">
        <v>244</v>
      </c>
      <c r="D59" s="7">
        <v>7134</v>
      </c>
      <c r="E59" t="s">
        <v>245</v>
      </c>
      <c r="F59" t="s">
        <v>246</v>
      </c>
      <c r="G59" t="s">
        <v>1050</v>
      </c>
      <c r="H59" t="s">
        <v>934</v>
      </c>
      <c r="I59" s="7">
        <v>1165</v>
      </c>
      <c r="J59" s="7">
        <v>5210</v>
      </c>
      <c r="K59" s="7">
        <v>1</v>
      </c>
      <c r="L59" t="s">
        <v>247</v>
      </c>
      <c r="M59" t="s">
        <v>261</v>
      </c>
      <c r="N59" s="7">
        <v>782170</v>
      </c>
      <c r="O59" t="s">
        <v>1207</v>
      </c>
      <c r="P59" t="s">
        <v>1208</v>
      </c>
      <c r="S59" t="s">
        <v>800</v>
      </c>
      <c r="T59" t="s">
        <v>797</v>
      </c>
      <c r="U59" t="s">
        <v>550</v>
      </c>
      <c r="V59" s="8">
        <v>1250</v>
      </c>
      <c r="W59" s="7">
        <v>587586</v>
      </c>
      <c r="X59" t="s">
        <v>256</v>
      </c>
      <c r="Y59" s="8">
        <v>1250</v>
      </c>
      <c r="Z59" s="8">
        <v>1475</v>
      </c>
      <c r="AA59" s="8">
        <v>225</v>
      </c>
      <c r="AB59" s="7">
        <v>111053</v>
      </c>
      <c r="AC59" t="s">
        <v>256</v>
      </c>
      <c r="AD59" s="8">
        <v>0</v>
      </c>
      <c r="AG59" t="s">
        <v>817</v>
      </c>
      <c r="AH59" t="s">
        <v>802</v>
      </c>
      <c r="AI59" t="s">
        <v>818</v>
      </c>
    </row>
    <row r="60" spans="1:35" hidden="1">
      <c r="A60" s="7">
        <v>59</v>
      </c>
      <c r="B60" t="s">
        <v>243</v>
      </c>
      <c r="C60" t="s">
        <v>244</v>
      </c>
      <c r="D60" s="7">
        <v>7134</v>
      </c>
      <c r="E60" t="s">
        <v>245</v>
      </c>
      <c r="F60" t="s">
        <v>246</v>
      </c>
      <c r="G60" t="s">
        <v>1107</v>
      </c>
      <c r="H60" t="s">
        <v>810</v>
      </c>
      <c r="I60" s="7">
        <v>420</v>
      </c>
      <c r="J60" s="7">
        <v>92265</v>
      </c>
      <c r="K60" s="7">
        <v>10</v>
      </c>
      <c r="L60" t="s">
        <v>247</v>
      </c>
      <c r="M60" t="s">
        <v>252</v>
      </c>
      <c r="N60" s="7">
        <v>317249</v>
      </c>
      <c r="O60" t="s">
        <v>1108</v>
      </c>
      <c r="P60" t="s">
        <v>1109</v>
      </c>
      <c r="S60" t="s">
        <v>800</v>
      </c>
      <c r="T60" t="s">
        <v>797</v>
      </c>
      <c r="U60" t="s">
        <v>550</v>
      </c>
      <c r="V60" s="8">
        <v>0</v>
      </c>
      <c r="W60" s="7">
        <v>587586</v>
      </c>
      <c r="X60" t="s">
        <v>256</v>
      </c>
      <c r="Y60" s="8">
        <v>0</v>
      </c>
      <c r="Z60" s="8">
        <v>0</v>
      </c>
      <c r="AA60" s="8">
        <v>0</v>
      </c>
      <c r="AB60" s="7">
        <v>111053</v>
      </c>
      <c r="AC60" t="s">
        <v>256</v>
      </c>
      <c r="AD60" s="8">
        <v>0</v>
      </c>
      <c r="AG60" t="s">
        <v>937</v>
      </c>
      <c r="AH60" t="s">
        <v>802</v>
      </c>
      <c r="AI60" t="s">
        <v>803</v>
      </c>
    </row>
    <row r="61" spans="1:35" hidden="1">
      <c r="A61" s="7">
        <v>60</v>
      </c>
      <c r="B61" t="s">
        <v>243</v>
      </c>
      <c r="C61" t="s">
        <v>244</v>
      </c>
      <c r="D61" s="7">
        <v>7134</v>
      </c>
      <c r="E61" t="s">
        <v>245</v>
      </c>
      <c r="F61" t="s">
        <v>246</v>
      </c>
      <c r="G61" t="s">
        <v>910</v>
      </c>
      <c r="H61" t="s">
        <v>843</v>
      </c>
      <c r="I61" s="7">
        <v>1165</v>
      </c>
      <c r="J61" s="7">
        <v>10000</v>
      </c>
      <c r="K61" s="7">
        <v>1</v>
      </c>
      <c r="L61" t="s">
        <v>247</v>
      </c>
      <c r="M61" t="s">
        <v>261</v>
      </c>
      <c r="N61" s="7">
        <v>792098</v>
      </c>
      <c r="O61" t="s">
        <v>911</v>
      </c>
      <c r="P61" t="s">
        <v>912</v>
      </c>
      <c r="S61" t="s">
        <v>800</v>
      </c>
      <c r="T61" t="s">
        <v>797</v>
      </c>
      <c r="U61" t="s">
        <v>550</v>
      </c>
      <c r="V61" s="8">
        <v>1250</v>
      </c>
      <c r="W61" s="7">
        <v>587586</v>
      </c>
      <c r="X61" t="s">
        <v>256</v>
      </c>
      <c r="Y61" s="8">
        <v>1250</v>
      </c>
      <c r="Z61" s="8">
        <v>1475</v>
      </c>
      <c r="AA61" s="8">
        <v>225</v>
      </c>
      <c r="AB61" s="7">
        <v>111053</v>
      </c>
      <c r="AC61" t="s">
        <v>256</v>
      </c>
      <c r="AD61" s="8">
        <v>0</v>
      </c>
      <c r="AG61" t="s">
        <v>801</v>
      </c>
      <c r="AH61" t="s">
        <v>802</v>
      </c>
      <c r="AI61" t="s">
        <v>818</v>
      </c>
    </row>
    <row r="62" spans="1:35" hidden="1">
      <c r="A62" s="7">
        <v>61</v>
      </c>
      <c r="B62" t="s">
        <v>243</v>
      </c>
      <c r="C62" t="s">
        <v>244</v>
      </c>
      <c r="D62" s="7">
        <v>7134</v>
      </c>
      <c r="E62" t="s">
        <v>245</v>
      </c>
      <c r="F62" t="s">
        <v>246</v>
      </c>
      <c r="G62" t="s">
        <v>920</v>
      </c>
      <c r="H62" t="s">
        <v>921</v>
      </c>
      <c r="I62" s="7">
        <v>1165</v>
      </c>
      <c r="J62" s="7">
        <v>75476</v>
      </c>
      <c r="K62" s="7">
        <v>9</v>
      </c>
      <c r="L62" t="s">
        <v>247</v>
      </c>
      <c r="M62" t="s">
        <v>361</v>
      </c>
      <c r="N62" s="7">
        <v>1107</v>
      </c>
      <c r="O62" t="s">
        <v>922</v>
      </c>
      <c r="P62" t="s">
        <v>923</v>
      </c>
      <c r="S62" t="s">
        <v>800</v>
      </c>
      <c r="T62" t="s">
        <v>797</v>
      </c>
      <c r="U62" t="s">
        <v>550</v>
      </c>
      <c r="V62" s="8">
        <v>0</v>
      </c>
      <c r="W62" s="7">
        <v>587586</v>
      </c>
      <c r="X62" t="s">
        <v>256</v>
      </c>
      <c r="Y62" s="8">
        <v>0</v>
      </c>
      <c r="Z62" s="8">
        <v>0</v>
      </c>
      <c r="AA62" s="8">
        <v>0</v>
      </c>
      <c r="AB62" s="7">
        <v>111053</v>
      </c>
      <c r="AC62" t="s">
        <v>256</v>
      </c>
      <c r="AD62" s="8">
        <v>0</v>
      </c>
      <c r="AG62" t="s">
        <v>823</v>
      </c>
      <c r="AH62" t="s">
        <v>802</v>
      </c>
      <c r="AI62" t="s">
        <v>803</v>
      </c>
    </row>
    <row r="63" spans="1:35" hidden="1">
      <c r="A63" s="7">
        <v>62</v>
      </c>
      <c r="B63" t="s">
        <v>243</v>
      </c>
      <c r="C63" t="s">
        <v>244</v>
      </c>
      <c r="D63" s="7">
        <v>7134</v>
      </c>
      <c r="E63" t="s">
        <v>245</v>
      </c>
      <c r="F63" t="s">
        <v>246</v>
      </c>
      <c r="G63" t="s">
        <v>924</v>
      </c>
      <c r="H63" t="s">
        <v>839</v>
      </c>
      <c r="I63" s="7">
        <v>1165</v>
      </c>
      <c r="J63" s="7">
        <v>9900</v>
      </c>
      <c r="K63" s="7">
        <v>1</v>
      </c>
      <c r="L63" t="s">
        <v>247</v>
      </c>
      <c r="M63" t="s">
        <v>261</v>
      </c>
      <c r="N63" s="7">
        <v>790690</v>
      </c>
      <c r="O63" t="s">
        <v>925</v>
      </c>
      <c r="P63" t="s">
        <v>926</v>
      </c>
      <c r="S63" t="s">
        <v>800</v>
      </c>
      <c r="T63" t="s">
        <v>797</v>
      </c>
      <c r="U63" t="s">
        <v>550</v>
      </c>
      <c r="V63" s="8">
        <v>1250</v>
      </c>
      <c r="W63" s="7">
        <v>587586</v>
      </c>
      <c r="X63" t="s">
        <v>256</v>
      </c>
      <c r="Y63" s="8">
        <v>1250</v>
      </c>
      <c r="Z63" s="8">
        <v>1475</v>
      </c>
      <c r="AA63" s="8">
        <v>225</v>
      </c>
      <c r="AB63" s="7">
        <v>111053</v>
      </c>
      <c r="AC63" t="s">
        <v>256</v>
      </c>
      <c r="AD63" s="8">
        <v>0</v>
      </c>
      <c r="AG63" t="s">
        <v>801</v>
      </c>
      <c r="AH63" t="s">
        <v>802</v>
      </c>
      <c r="AI63" t="s">
        <v>818</v>
      </c>
    </row>
    <row r="64" spans="1:35" hidden="1">
      <c r="A64" s="7">
        <v>63</v>
      </c>
      <c r="B64" t="s">
        <v>243</v>
      </c>
      <c r="C64" t="s">
        <v>244</v>
      </c>
      <c r="D64" s="7">
        <v>7134</v>
      </c>
      <c r="E64" t="s">
        <v>245</v>
      </c>
      <c r="F64" t="s">
        <v>246</v>
      </c>
      <c r="G64" t="s">
        <v>796</v>
      </c>
      <c r="H64" t="s">
        <v>797</v>
      </c>
      <c r="I64" s="7">
        <v>1165</v>
      </c>
      <c r="J64" s="7">
        <v>66731</v>
      </c>
      <c r="K64" s="7">
        <v>7</v>
      </c>
      <c r="L64" t="s">
        <v>247</v>
      </c>
      <c r="M64" t="s">
        <v>261</v>
      </c>
      <c r="N64" s="7">
        <v>761375</v>
      </c>
      <c r="O64" t="s">
        <v>798</v>
      </c>
      <c r="P64" t="s">
        <v>799</v>
      </c>
      <c r="S64" t="s">
        <v>800</v>
      </c>
      <c r="T64" t="s">
        <v>797</v>
      </c>
      <c r="U64" t="s">
        <v>550</v>
      </c>
      <c r="V64" s="8">
        <v>0</v>
      </c>
      <c r="W64" s="7">
        <v>587586</v>
      </c>
      <c r="X64" t="s">
        <v>256</v>
      </c>
      <c r="Y64" s="8">
        <v>0</v>
      </c>
      <c r="Z64" s="8">
        <v>0</v>
      </c>
      <c r="AA64" s="8">
        <v>0</v>
      </c>
      <c r="AB64" s="7">
        <v>111053</v>
      </c>
      <c r="AC64" t="s">
        <v>256</v>
      </c>
      <c r="AD64" s="8">
        <v>0</v>
      </c>
      <c r="AG64" t="s">
        <v>801</v>
      </c>
      <c r="AH64" t="s">
        <v>802</v>
      </c>
      <c r="AI64" t="s">
        <v>803</v>
      </c>
    </row>
    <row r="65" spans="1:35" hidden="1">
      <c r="A65" s="7">
        <v>64</v>
      </c>
      <c r="B65" t="s">
        <v>243</v>
      </c>
      <c r="C65" t="s">
        <v>244</v>
      </c>
      <c r="D65" s="7">
        <v>7134</v>
      </c>
      <c r="E65" t="s">
        <v>245</v>
      </c>
      <c r="F65" t="s">
        <v>246</v>
      </c>
      <c r="G65" t="s">
        <v>861</v>
      </c>
      <c r="H65" t="s">
        <v>825</v>
      </c>
      <c r="I65" s="7">
        <v>968</v>
      </c>
      <c r="J65" s="7">
        <v>29230</v>
      </c>
      <c r="K65" s="7">
        <v>3</v>
      </c>
      <c r="L65" t="s">
        <v>247</v>
      </c>
      <c r="M65" t="s">
        <v>261</v>
      </c>
      <c r="N65" s="7">
        <v>775157</v>
      </c>
      <c r="O65" t="s">
        <v>862</v>
      </c>
      <c r="P65" t="s">
        <v>863</v>
      </c>
      <c r="S65" t="s">
        <v>800</v>
      </c>
      <c r="T65" t="s">
        <v>797</v>
      </c>
      <c r="U65" t="s">
        <v>550</v>
      </c>
      <c r="V65" s="8">
        <v>1250</v>
      </c>
      <c r="W65" s="7">
        <v>587586</v>
      </c>
      <c r="X65" t="s">
        <v>256</v>
      </c>
      <c r="Y65" s="8">
        <v>1250</v>
      </c>
      <c r="Z65" s="8">
        <v>1475</v>
      </c>
      <c r="AA65" s="8">
        <v>225</v>
      </c>
      <c r="AB65" s="7">
        <v>111053</v>
      </c>
      <c r="AC65" t="s">
        <v>256</v>
      </c>
      <c r="AD65" s="8">
        <v>0</v>
      </c>
      <c r="AG65" t="s">
        <v>801</v>
      </c>
      <c r="AH65" t="s">
        <v>802</v>
      </c>
      <c r="AI65" t="s">
        <v>818</v>
      </c>
    </row>
    <row r="66" spans="1:35" hidden="1">
      <c r="A66" s="7">
        <v>65</v>
      </c>
      <c r="B66" t="s">
        <v>243</v>
      </c>
      <c r="C66" t="s">
        <v>244</v>
      </c>
      <c r="D66" s="7">
        <v>7134</v>
      </c>
      <c r="E66" t="s">
        <v>245</v>
      </c>
      <c r="F66" t="s">
        <v>246</v>
      </c>
      <c r="G66" t="s">
        <v>1131</v>
      </c>
      <c r="H66" t="s">
        <v>431</v>
      </c>
      <c r="I66" s="7">
        <v>1165</v>
      </c>
      <c r="J66" s="7">
        <v>17580</v>
      </c>
      <c r="K66" s="7">
        <v>2</v>
      </c>
      <c r="L66" t="s">
        <v>247</v>
      </c>
      <c r="M66" t="s">
        <v>361</v>
      </c>
      <c r="N66" s="7">
        <v>5097</v>
      </c>
      <c r="O66" t="s">
        <v>1132</v>
      </c>
      <c r="P66" t="s">
        <v>1133</v>
      </c>
      <c r="S66" t="s">
        <v>800</v>
      </c>
      <c r="T66" t="s">
        <v>797</v>
      </c>
      <c r="U66" t="s">
        <v>550</v>
      </c>
      <c r="V66" s="8">
        <v>0</v>
      </c>
      <c r="W66" s="7">
        <v>587586</v>
      </c>
      <c r="X66" t="s">
        <v>256</v>
      </c>
      <c r="Y66" s="8">
        <v>0</v>
      </c>
      <c r="Z66" s="8">
        <v>0</v>
      </c>
      <c r="AA66" s="8">
        <v>0</v>
      </c>
      <c r="AB66" s="7">
        <v>111053</v>
      </c>
      <c r="AC66" t="s">
        <v>256</v>
      </c>
      <c r="AD66" s="8">
        <v>0</v>
      </c>
      <c r="AG66" t="s">
        <v>823</v>
      </c>
      <c r="AH66" t="s">
        <v>802</v>
      </c>
      <c r="AI66" t="s">
        <v>803</v>
      </c>
    </row>
    <row r="67" spans="1:35" hidden="1">
      <c r="A67" s="7">
        <v>66</v>
      </c>
      <c r="B67" t="s">
        <v>243</v>
      </c>
      <c r="C67" t="s">
        <v>244</v>
      </c>
      <c r="D67" s="7">
        <v>7134</v>
      </c>
      <c r="E67" t="s">
        <v>245</v>
      </c>
      <c r="F67" t="s">
        <v>246</v>
      </c>
      <c r="G67" t="s">
        <v>1134</v>
      </c>
      <c r="H67" t="s">
        <v>895</v>
      </c>
      <c r="I67" s="7">
        <v>1165</v>
      </c>
      <c r="J67" s="7">
        <v>60000</v>
      </c>
      <c r="K67" s="7">
        <v>6</v>
      </c>
      <c r="L67" t="s">
        <v>247</v>
      </c>
      <c r="M67" t="s">
        <v>261</v>
      </c>
      <c r="N67" s="7">
        <v>761341</v>
      </c>
      <c r="O67" t="s">
        <v>1135</v>
      </c>
      <c r="P67" t="s">
        <v>1136</v>
      </c>
      <c r="S67" t="s">
        <v>800</v>
      </c>
      <c r="T67" t="s">
        <v>797</v>
      </c>
      <c r="U67" t="s">
        <v>550</v>
      </c>
      <c r="V67" s="8">
        <v>0</v>
      </c>
      <c r="W67" s="7">
        <v>587586</v>
      </c>
      <c r="X67" t="s">
        <v>256</v>
      </c>
      <c r="Y67" s="8">
        <v>0</v>
      </c>
      <c r="Z67" s="8">
        <v>0</v>
      </c>
      <c r="AA67" s="8">
        <v>0</v>
      </c>
      <c r="AB67" s="7">
        <v>111053</v>
      </c>
      <c r="AC67" t="s">
        <v>256</v>
      </c>
      <c r="AD67" s="8">
        <v>0</v>
      </c>
      <c r="AG67" t="s">
        <v>801</v>
      </c>
      <c r="AH67" t="s">
        <v>802</v>
      </c>
      <c r="AI67" t="s">
        <v>803</v>
      </c>
    </row>
    <row r="68" spans="1:35" hidden="1">
      <c r="A68" s="7">
        <v>67</v>
      </c>
      <c r="B68" t="s">
        <v>243</v>
      </c>
      <c r="C68" t="s">
        <v>244</v>
      </c>
      <c r="D68" s="7">
        <v>7134</v>
      </c>
      <c r="E68" t="s">
        <v>245</v>
      </c>
      <c r="F68" t="s">
        <v>246</v>
      </c>
      <c r="G68" t="s">
        <v>938</v>
      </c>
      <c r="H68" t="s">
        <v>939</v>
      </c>
      <c r="I68" s="7">
        <v>1165</v>
      </c>
      <c r="J68" s="7">
        <v>79383</v>
      </c>
      <c r="K68" s="7">
        <v>8</v>
      </c>
      <c r="L68" t="s">
        <v>247</v>
      </c>
      <c r="M68" t="s">
        <v>261</v>
      </c>
      <c r="N68" s="7">
        <v>764113</v>
      </c>
      <c r="O68" t="s">
        <v>940</v>
      </c>
      <c r="P68" t="s">
        <v>941</v>
      </c>
      <c r="S68" t="s">
        <v>800</v>
      </c>
      <c r="T68" t="s">
        <v>797</v>
      </c>
      <c r="U68" t="s">
        <v>550</v>
      </c>
      <c r="V68" s="8">
        <v>1250</v>
      </c>
      <c r="W68" s="7">
        <v>587586</v>
      </c>
      <c r="X68" t="s">
        <v>256</v>
      </c>
      <c r="Y68" s="8">
        <v>1250</v>
      </c>
      <c r="Z68" s="8">
        <v>1475</v>
      </c>
      <c r="AA68" s="8">
        <v>225</v>
      </c>
      <c r="AB68" s="7">
        <v>111053</v>
      </c>
      <c r="AC68" t="s">
        <v>256</v>
      </c>
      <c r="AD68" s="8">
        <v>0</v>
      </c>
      <c r="AG68" t="s">
        <v>801</v>
      </c>
      <c r="AH68" t="s">
        <v>802</v>
      </c>
      <c r="AI68" t="s">
        <v>818</v>
      </c>
    </row>
    <row r="69" spans="1:35" hidden="1">
      <c r="A69" s="7">
        <v>68</v>
      </c>
      <c r="B69" t="s">
        <v>243</v>
      </c>
      <c r="C69" t="s">
        <v>244</v>
      </c>
      <c r="D69" s="7">
        <v>7134</v>
      </c>
      <c r="E69" t="s">
        <v>245</v>
      </c>
      <c r="F69" t="s">
        <v>246</v>
      </c>
      <c r="G69" t="s">
        <v>1027</v>
      </c>
      <c r="H69" t="s">
        <v>885</v>
      </c>
      <c r="I69" s="7">
        <v>1165</v>
      </c>
      <c r="J69" s="7">
        <v>50000</v>
      </c>
      <c r="K69" s="7">
        <v>5</v>
      </c>
      <c r="L69" t="s">
        <v>247</v>
      </c>
      <c r="M69" t="s">
        <v>261</v>
      </c>
      <c r="N69" s="7">
        <v>775229</v>
      </c>
      <c r="O69" t="s">
        <v>1028</v>
      </c>
      <c r="P69" t="s">
        <v>1029</v>
      </c>
      <c r="S69" t="s">
        <v>800</v>
      </c>
      <c r="T69" t="s">
        <v>797</v>
      </c>
      <c r="U69" t="s">
        <v>550</v>
      </c>
      <c r="V69" s="8">
        <v>1250</v>
      </c>
      <c r="W69" s="7">
        <v>587586</v>
      </c>
      <c r="X69" t="s">
        <v>256</v>
      </c>
      <c r="Y69" s="8">
        <v>1250</v>
      </c>
      <c r="Z69" s="8">
        <v>1475</v>
      </c>
      <c r="AA69" s="8">
        <v>225</v>
      </c>
      <c r="AB69" s="7">
        <v>111053</v>
      </c>
      <c r="AC69" t="s">
        <v>256</v>
      </c>
      <c r="AD69" s="8">
        <v>0</v>
      </c>
      <c r="AG69" t="s">
        <v>801</v>
      </c>
      <c r="AH69" t="s">
        <v>802</v>
      </c>
      <c r="AI69" t="s">
        <v>818</v>
      </c>
    </row>
    <row r="70" spans="1:35" hidden="1">
      <c r="A70" s="7">
        <v>69</v>
      </c>
      <c r="B70" t="s">
        <v>243</v>
      </c>
      <c r="C70" t="s">
        <v>244</v>
      </c>
      <c r="D70" s="7">
        <v>7134</v>
      </c>
      <c r="E70" t="s">
        <v>245</v>
      </c>
      <c r="F70" t="s">
        <v>246</v>
      </c>
      <c r="G70" t="s">
        <v>1004</v>
      </c>
      <c r="H70" t="s">
        <v>843</v>
      </c>
      <c r="I70" s="7">
        <v>1165</v>
      </c>
      <c r="J70" s="7">
        <v>10000</v>
      </c>
      <c r="K70" s="7">
        <v>1</v>
      </c>
      <c r="L70" t="s">
        <v>247</v>
      </c>
      <c r="M70" t="s">
        <v>361</v>
      </c>
      <c r="N70" s="7">
        <v>6191</v>
      </c>
      <c r="O70" t="s">
        <v>1030</v>
      </c>
      <c r="P70" t="s">
        <v>1031</v>
      </c>
      <c r="S70" t="s">
        <v>800</v>
      </c>
      <c r="T70" t="s">
        <v>797</v>
      </c>
      <c r="U70" t="s">
        <v>550</v>
      </c>
      <c r="V70" s="8">
        <v>1650</v>
      </c>
      <c r="W70" s="7">
        <v>587586</v>
      </c>
      <c r="X70" t="s">
        <v>256</v>
      </c>
      <c r="Y70" s="8">
        <v>1650</v>
      </c>
      <c r="Z70" s="8">
        <v>1947</v>
      </c>
      <c r="AA70" s="8">
        <v>297</v>
      </c>
      <c r="AB70" s="7">
        <v>111053</v>
      </c>
      <c r="AC70" t="s">
        <v>256</v>
      </c>
      <c r="AD70" s="8">
        <v>0</v>
      </c>
      <c r="AG70" t="s">
        <v>823</v>
      </c>
      <c r="AH70" t="s">
        <v>802</v>
      </c>
      <c r="AI70" t="s">
        <v>818</v>
      </c>
    </row>
    <row r="71" spans="1:35" hidden="1">
      <c r="A71" s="7">
        <v>70</v>
      </c>
      <c r="B71" t="s">
        <v>243</v>
      </c>
      <c r="C71" t="s">
        <v>244</v>
      </c>
      <c r="D71" s="7">
        <v>7134</v>
      </c>
      <c r="E71" t="s">
        <v>245</v>
      </c>
      <c r="F71" t="s">
        <v>246</v>
      </c>
      <c r="G71" t="s">
        <v>804</v>
      </c>
      <c r="H71" t="s">
        <v>805</v>
      </c>
      <c r="I71" s="7">
        <v>1165</v>
      </c>
      <c r="J71" s="7">
        <v>46618</v>
      </c>
      <c r="K71" s="7">
        <v>12</v>
      </c>
      <c r="L71" t="s">
        <v>247</v>
      </c>
      <c r="M71" t="s">
        <v>261</v>
      </c>
      <c r="N71" s="7">
        <v>726182</v>
      </c>
      <c r="O71" t="s">
        <v>806</v>
      </c>
      <c r="P71" t="s">
        <v>807</v>
      </c>
      <c r="S71" t="s">
        <v>800</v>
      </c>
      <c r="T71" t="s">
        <v>797</v>
      </c>
      <c r="U71" t="s">
        <v>550</v>
      </c>
      <c r="V71" s="8">
        <v>0</v>
      </c>
      <c r="W71" s="7">
        <v>587586</v>
      </c>
      <c r="X71" t="s">
        <v>256</v>
      </c>
      <c r="Y71" s="8">
        <v>0</v>
      </c>
      <c r="Z71" s="8">
        <v>0</v>
      </c>
      <c r="AA71" s="8">
        <v>0</v>
      </c>
      <c r="AB71" s="7">
        <v>111053</v>
      </c>
      <c r="AC71" t="s">
        <v>256</v>
      </c>
      <c r="AD71" s="8">
        <v>0</v>
      </c>
      <c r="AG71" t="s">
        <v>808</v>
      </c>
      <c r="AH71" t="s">
        <v>802</v>
      </c>
      <c r="AI71" t="s">
        <v>803</v>
      </c>
    </row>
    <row r="72" spans="1:35" hidden="1">
      <c r="A72" s="7">
        <v>71</v>
      </c>
      <c r="B72" t="s">
        <v>243</v>
      </c>
      <c r="C72" t="s">
        <v>244</v>
      </c>
      <c r="D72" s="7">
        <v>7134</v>
      </c>
      <c r="E72" t="s">
        <v>245</v>
      </c>
      <c r="F72" t="s">
        <v>246</v>
      </c>
      <c r="G72" t="s">
        <v>982</v>
      </c>
      <c r="H72" t="s">
        <v>846</v>
      </c>
      <c r="I72" s="7">
        <v>1165</v>
      </c>
      <c r="J72" s="7">
        <v>20000</v>
      </c>
      <c r="K72" s="7">
        <v>2</v>
      </c>
      <c r="L72" t="s">
        <v>247</v>
      </c>
      <c r="M72" t="s">
        <v>261</v>
      </c>
      <c r="N72" s="7">
        <v>787434</v>
      </c>
      <c r="O72" t="s">
        <v>983</v>
      </c>
      <c r="P72" t="s">
        <v>984</v>
      </c>
      <c r="S72" t="s">
        <v>800</v>
      </c>
      <c r="T72" t="s">
        <v>797</v>
      </c>
      <c r="U72" t="s">
        <v>550</v>
      </c>
      <c r="V72" s="8">
        <v>0</v>
      </c>
      <c r="W72" s="7">
        <v>587586</v>
      </c>
      <c r="X72" t="s">
        <v>256</v>
      </c>
      <c r="Y72" s="8">
        <v>0</v>
      </c>
      <c r="Z72" s="8">
        <v>0</v>
      </c>
      <c r="AA72" s="8">
        <v>0</v>
      </c>
      <c r="AB72" s="7">
        <v>111053</v>
      </c>
      <c r="AC72" t="s">
        <v>256</v>
      </c>
      <c r="AD72" s="8">
        <v>0</v>
      </c>
      <c r="AG72" t="s">
        <v>801</v>
      </c>
      <c r="AH72" t="s">
        <v>802</v>
      </c>
      <c r="AI72" t="s">
        <v>803</v>
      </c>
    </row>
    <row r="73" spans="1:35" hidden="1">
      <c r="A73" s="7">
        <v>72</v>
      </c>
      <c r="B73" t="s">
        <v>243</v>
      </c>
      <c r="C73" t="s">
        <v>244</v>
      </c>
      <c r="D73" s="7">
        <v>7134</v>
      </c>
      <c r="E73" t="s">
        <v>245</v>
      </c>
      <c r="F73" t="s">
        <v>246</v>
      </c>
      <c r="G73" t="s">
        <v>881</v>
      </c>
      <c r="H73" t="s">
        <v>431</v>
      </c>
      <c r="I73" s="7">
        <v>1165</v>
      </c>
      <c r="J73" s="7">
        <v>6650</v>
      </c>
      <c r="K73" s="7">
        <v>1</v>
      </c>
      <c r="L73" t="s">
        <v>247</v>
      </c>
      <c r="M73" t="s">
        <v>261</v>
      </c>
      <c r="N73" s="7">
        <v>780785</v>
      </c>
      <c r="O73" t="s">
        <v>882</v>
      </c>
      <c r="P73" t="s">
        <v>883</v>
      </c>
      <c r="S73" t="s">
        <v>800</v>
      </c>
      <c r="T73" t="s">
        <v>797</v>
      </c>
      <c r="U73" t="s">
        <v>550</v>
      </c>
      <c r="V73" s="8">
        <v>1250</v>
      </c>
      <c r="W73" s="7">
        <v>587586</v>
      </c>
      <c r="X73" t="s">
        <v>256</v>
      </c>
      <c r="Y73" s="8">
        <v>1250</v>
      </c>
      <c r="Z73" s="8">
        <v>1475</v>
      </c>
      <c r="AA73" s="8">
        <v>225</v>
      </c>
      <c r="AB73" s="7">
        <v>111053</v>
      </c>
      <c r="AC73" t="s">
        <v>256</v>
      </c>
      <c r="AD73" s="8">
        <v>0</v>
      </c>
      <c r="AG73" t="s">
        <v>817</v>
      </c>
      <c r="AH73" t="s">
        <v>802</v>
      </c>
      <c r="AI73" t="s">
        <v>818</v>
      </c>
    </row>
    <row r="74" spans="1:35" hidden="1">
      <c r="A74" s="7">
        <v>73</v>
      </c>
      <c r="B74" t="s">
        <v>243</v>
      </c>
      <c r="C74" t="s">
        <v>244</v>
      </c>
      <c r="D74" s="7">
        <v>7134</v>
      </c>
      <c r="E74" t="s">
        <v>245</v>
      </c>
      <c r="F74" t="s">
        <v>246</v>
      </c>
      <c r="G74" t="s">
        <v>832</v>
      </c>
      <c r="H74" t="s">
        <v>805</v>
      </c>
      <c r="I74" s="7">
        <v>1165</v>
      </c>
      <c r="J74" s="7">
        <v>19820</v>
      </c>
      <c r="K74" s="7">
        <v>2</v>
      </c>
      <c r="L74" t="s">
        <v>247</v>
      </c>
      <c r="M74" t="s">
        <v>261</v>
      </c>
      <c r="N74" s="7">
        <v>786108</v>
      </c>
      <c r="O74" t="s">
        <v>833</v>
      </c>
      <c r="P74" t="s">
        <v>834</v>
      </c>
      <c r="S74" t="s">
        <v>800</v>
      </c>
      <c r="T74" t="s">
        <v>797</v>
      </c>
      <c r="U74" t="s">
        <v>550</v>
      </c>
      <c r="V74" s="8">
        <v>0</v>
      </c>
      <c r="W74" s="7">
        <v>587586</v>
      </c>
      <c r="X74" t="s">
        <v>256</v>
      </c>
      <c r="Y74" s="8">
        <v>0</v>
      </c>
      <c r="Z74" s="8">
        <v>0</v>
      </c>
      <c r="AA74" s="8">
        <v>0</v>
      </c>
      <c r="AB74" s="7">
        <v>111053</v>
      </c>
      <c r="AC74" t="s">
        <v>256</v>
      </c>
      <c r="AD74" s="8">
        <v>0</v>
      </c>
      <c r="AG74" t="s">
        <v>801</v>
      </c>
      <c r="AH74" t="s">
        <v>802</v>
      </c>
      <c r="AI74" t="s">
        <v>803</v>
      </c>
    </row>
    <row r="75" spans="1:35" hidden="1">
      <c r="A75" s="7">
        <v>74</v>
      </c>
      <c r="B75" t="s">
        <v>243</v>
      </c>
      <c r="C75" t="s">
        <v>244</v>
      </c>
      <c r="D75" s="7">
        <v>7134</v>
      </c>
      <c r="E75" t="s">
        <v>245</v>
      </c>
      <c r="F75" t="s">
        <v>246</v>
      </c>
      <c r="G75" t="s">
        <v>1053</v>
      </c>
      <c r="H75" t="s">
        <v>797</v>
      </c>
      <c r="I75" s="7">
        <v>965</v>
      </c>
      <c r="J75" s="7">
        <v>29930</v>
      </c>
      <c r="K75" s="7">
        <v>3</v>
      </c>
      <c r="L75" t="s">
        <v>247</v>
      </c>
      <c r="M75" t="s">
        <v>361</v>
      </c>
      <c r="N75" s="7">
        <v>4608</v>
      </c>
      <c r="O75" t="s">
        <v>1054</v>
      </c>
      <c r="P75" t="s">
        <v>1055</v>
      </c>
      <c r="S75" t="s">
        <v>800</v>
      </c>
      <c r="T75" t="s">
        <v>797</v>
      </c>
      <c r="U75" t="s">
        <v>550</v>
      </c>
      <c r="V75" s="8">
        <v>1650</v>
      </c>
      <c r="W75" s="7">
        <v>587586</v>
      </c>
      <c r="X75" t="s">
        <v>256</v>
      </c>
      <c r="Y75" s="8">
        <v>1650</v>
      </c>
      <c r="Z75" s="8">
        <v>1947</v>
      </c>
      <c r="AA75" s="8">
        <v>297</v>
      </c>
      <c r="AB75" s="7">
        <v>111053</v>
      </c>
      <c r="AC75" t="s">
        <v>256</v>
      </c>
      <c r="AD75" s="8">
        <v>0</v>
      </c>
      <c r="AG75" t="s">
        <v>823</v>
      </c>
      <c r="AH75" t="s">
        <v>802</v>
      </c>
      <c r="AI75" t="s">
        <v>818</v>
      </c>
    </row>
    <row r="76" spans="1:35" hidden="1">
      <c r="A76" s="7">
        <v>75</v>
      </c>
      <c r="B76" t="s">
        <v>243</v>
      </c>
      <c r="C76" t="s">
        <v>244</v>
      </c>
      <c r="D76" s="7">
        <v>7134</v>
      </c>
      <c r="E76" t="s">
        <v>245</v>
      </c>
      <c r="F76" t="s">
        <v>246</v>
      </c>
      <c r="G76" t="s">
        <v>838</v>
      </c>
      <c r="H76" t="s">
        <v>846</v>
      </c>
      <c r="I76" s="7">
        <v>998</v>
      </c>
      <c r="J76" s="7">
        <v>107410</v>
      </c>
      <c r="K76" s="7">
        <v>10</v>
      </c>
      <c r="L76" t="s">
        <v>247</v>
      </c>
      <c r="M76" t="s">
        <v>261</v>
      </c>
      <c r="N76" s="7">
        <v>750061</v>
      </c>
      <c r="O76" t="s">
        <v>906</v>
      </c>
      <c r="P76" t="s">
        <v>907</v>
      </c>
      <c r="Q76" t="s">
        <v>908</v>
      </c>
      <c r="R76" t="s">
        <v>909</v>
      </c>
      <c r="S76" t="s">
        <v>800</v>
      </c>
      <c r="T76" t="s">
        <v>797</v>
      </c>
      <c r="U76" t="s">
        <v>550</v>
      </c>
      <c r="V76" s="8">
        <v>0</v>
      </c>
      <c r="W76" s="7">
        <v>587586</v>
      </c>
      <c r="X76" t="s">
        <v>256</v>
      </c>
      <c r="Y76" s="8">
        <v>0</v>
      </c>
      <c r="Z76" s="8">
        <v>0</v>
      </c>
      <c r="AA76" s="8">
        <v>0</v>
      </c>
      <c r="AB76" s="7">
        <v>111053</v>
      </c>
      <c r="AC76" t="s">
        <v>256</v>
      </c>
      <c r="AD76" s="8">
        <v>0</v>
      </c>
      <c r="AG76" t="s">
        <v>801</v>
      </c>
      <c r="AH76" t="s">
        <v>802</v>
      </c>
      <c r="AI76" t="s">
        <v>803</v>
      </c>
    </row>
    <row r="77" spans="1:35" hidden="1">
      <c r="A77" s="7">
        <v>76</v>
      </c>
      <c r="B77" t="s">
        <v>243</v>
      </c>
      <c r="C77" t="s">
        <v>244</v>
      </c>
      <c r="D77" s="7">
        <v>7134</v>
      </c>
      <c r="E77" t="s">
        <v>245</v>
      </c>
      <c r="F77" t="s">
        <v>246</v>
      </c>
      <c r="G77" t="s">
        <v>852</v>
      </c>
      <c r="H77" t="s">
        <v>853</v>
      </c>
      <c r="I77" s="7">
        <v>1165</v>
      </c>
      <c r="J77" s="7">
        <v>110989</v>
      </c>
      <c r="K77" s="7">
        <v>11</v>
      </c>
      <c r="L77" t="s">
        <v>247</v>
      </c>
      <c r="M77" t="s">
        <v>261</v>
      </c>
      <c r="N77" s="7">
        <v>755374</v>
      </c>
      <c r="O77" t="s">
        <v>854</v>
      </c>
      <c r="P77" t="s">
        <v>855</v>
      </c>
      <c r="S77" t="s">
        <v>800</v>
      </c>
      <c r="T77" t="s">
        <v>797</v>
      </c>
      <c r="U77" t="s">
        <v>550</v>
      </c>
      <c r="V77" s="8">
        <v>1250</v>
      </c>
      <c r="W77" s="7">
        <v>587586</v>
      </c>
      <c r="X77" t="s">
        <v>256</v>
      </c>
      <c r="Y77" s="8">
        <v>1250</v>
      </c>
      <c r="Z77" s="8">
        <v>1475</v>
      </c>
      <c r="AA77" s="8">
        <v>225</v>
      </c>
      <c r="AB77" s="7">
        <v>111053</v>
      </c>
      <c r="AC77" t="s">
        <v>256</v>
      </c>
      <c r="AD77" s="8">
        <v>0</v>
      </c>
      <c r="AG77" t="s">
        <v>801</v>
      </c>
      <c r="AH77" t="s">
        <v>802</v>
      </c>
      <c r="AI77" t="s">
        <v>818</v>
      </c>
    </row>
    <row r="78" spans="1:35" hidden="1">
      <c r="A78" s="7">
        <v>77</v>
      </c>
      <c r="B78" t="s">
        <v>243</v>
      </c>
      <c r="C78" t="s">
        <v>244</v>
      </c>
      <c r="D78" s="7">
        <v>7134</v>
      </c>
      <c r="E78" t="s">
        <v>245</v>
      </c>
      <c r="F78" t="s">
        <v>246</v>
      </c>
      <c r="G78" t="s">
        <v>1066</v>
      </c>
      <c r="H78" t="s">
        <v>903</v>
      </c>
      <c r="I78" s="7">
        <v>1165</v>
      </c>
      <c r="J78" s="7">
        <v>89770</v>
      </c>
      <c r="K78" s="7">
        <v>9</v>
      </c>
      <c r="L78" t="s">
        <v>247</v>
      </c>
      <c r="M78" t="s">
        <v>252</v>
      </c>
      <c r="N78" s="7">
        <v>317851</v>
      </c>
      <c r="O78" t="s">
        <v>1067</v>
      </c>
      <c r="P78" t="s">
        <v>1068</v>
      </c>
      <c r="S78" t="s">
        <v>800</v>
      </c>
      <c r="T78" t="s">
        <v>797</v>
      </c>
      <c r="U78" t="s">
        <v>550</v>
      </c>
      <c r="V78" s="8">
        <v>0</v>
      </c>
      <c r="W78" s="7">
        <v>587586</v>
      </c>
      <c r="X78" t="s">
        <v>256</v>
      </c>
      <c r="Y78" s="8">
        <v>0</v>
      </c>
      <c r="Z78" s="8">
        <v>0</v>
      </c>
      <c r="AA78" s="8">
        <v>0</v>
      </c>
      <c r="AB78" s="7">
        <v>111053</v>
      </c>
      <c r="AC78" t="s">
        <v>256</v>
      </c>
      <c r="AD78" s="8">
        <v>0</v>
      </c>
      <c r="AG78" t="s">
        <v>937</v>
      </c>
      <c r="AH78" t="s">
        <v>802</v>
      </c>
      <c r="AI78" t="s">
        <v>803</v>
      </c>
    </row>
    <row r="79" spans="1:35" hidden="1">
      <c r="A79" s="7">
        <v>78</v>
      </c>
      <c r="B79" t="s">
        <v>243</v>
      </c>
      <c r="C79" t="s">
        <v>244</v>
      </c>
      <c r="D79" s="7">
        <v>7134</v>
      </c>
      <c r="E79" t="s">
        <v>245</v>
      </c>
      <c r="F79" t="s">
        <v>246</v>
      </c>
      <c r="G79" t="s">
        <v>861</v>
      </c>
      <c r="H79" t="s">
        <v>921</v>
      </c>
      <c r="I79" s="7">
        <v>970</v>
      </c>
      <c r="J79" s="7">
        <v>29950</v>
      </c>
      <c r="K79" s="7">
        <v>3</v>
      </c>
      <c r="L79" t="s">
        <v>247</v>
      </c>
      <c r="M79" t="s">
        <v>361</v>
      </c>
      <c r="N79" s="7">
        <v>4625</v>
      </c>
      <c r="O79" t="s">
        <v>1009</v>
      </c>
      <c r="P79" t="s">
        <v>1010</v>
      </c>
      <c r="S79" t="s">
        <v>800</v>
      </c>
      <c r="T79" t="s">
        <v>797</v>
      </c>
      <c r="U79" t="s">
        <v>550</v>
      </c>
      <c r="V79" s="8">
        <v>1650</v>
      </c>
      <c r="W79" s="7">
        <v>587586</v>
      </c>
      <c r="X79" t="s">
        <v>256</v>
      </c>
      <c r="Y79" s="8">
        <v>1650</v>
      </c>
      <c r="Z79" s="8">
        <v>1947</v>
      </c>
      <c r="AA79" s="8">
        <v>297</v>
      </c>
      <c r="AB79" s="7">
        <v>111053</v>
      </c>
      <c r="AC79" t="s">
        <v>256</v>
      </c>
      <c r="AD79" s="8">
        <v>0</v>
      </c>
      <c r="AG79" t="s">
        <v>823</v>
      </c>
      <c r="AH79" t="s">
        <v>802</v>
      </c>
      <c r="AI79" t="s">
        <v>818</v>
      </c>
    </row>
    <row r="80" spans="1:35" hidden="1">
      <c r="A80" s="7">
        <v>79</v>
      </c>
      <c r="B80" t="s">
        <v>243</v>
      </c>
      <c r="C80" t="s">
        <v>244</v>
      </c>
      <c r="D80" s="7">
        <v>7134</v>
      </c>
      <c r="E80" t="s">
        <v>245</v>
      </c>
      <c r="F80" t="s">
        <v>246</v>
      </c>
      <c r="G80" t="s">
        <v>979</v>
      </c>
      <c r="H80" t="s">
        <v>839</v>
      </c>
      <c r="I80" s="7">
        <v>1165</v>
      </c>
      <c r="J80" s="7">
        <v>8870</v>
      </c>
      <c r="K80" s="7">
        <v>1</v>
      </c>
      <c r="L80" t="s">
        <v>247</v>
      </c>
      <c r="M80" t="s">
        <v>252</v>
      </c>
      <c r="N80" s="7">
        <v>326093</v>
      </c>
      <c r="O80" t="s">
        <v>980</v>
      </c>
      <c r="P80" t="s">
        <v>981</v>
      </c>
      <c r="S80" t="s">
        <v>800</v>
      </c>
      <c r="T80" t="s">
        <v>797</v>
      </c>
      <c r="U80" t="s">
        <v>550</v>
      </c>
      <c r="V80" s="8">
        <v>1250</v>
      </c>
      <c r="W80" s="7">
        <v>587586</v>
      </c>
      <c r="X80" t="s">
        <v>256</v>
      </c>
      <c r="Y80" s="8">
        <v>1250</v>
      </c>
      <c r="Z80" s="8">
        <v>1475</v>
      </c>
      <c r="AA80" s="8">
        <v>225</v>
      </c>
      <c r="AB80" s="7">
        <v>111053</v>
      </c>
      <c r="AC80" t="s">
        <v>256</v>
      </c>
      <c r="AD80" s="8">
        <v>0</v>
      </c>
      <c r="AG80" t="s">
        <v>937</v>
      </c>
      <c r="AH80" t="s">
        <v>802</v>
      </c>
      <c r="AI80" t="s">
        <v>818</v>
      </c>
    </row>
    <row r="81" spans="1:35" hidden="1">
      <c r="A81" s="7">
        <v>80</v>
      </c>
      <c r="B81" t="s">
        <v>243</v>
      </c>
      <c r="C81" t="s">
        <v>244</v>
      </c>
      <c r="D81" s="7">
        <v>7134</v>
      </c>
      <c r="E81" t="s">
        <v>245</v>
      </c>
      <c r="F81" t="s">
        <v>246</v>
      </c>
      <c r="G81" t="s">
        <v>864</v>
      </c>
      <c r="H81" t="s">
        <v>853</v>
      </c>
      <c r="I81" s="7">
        <v>1165</v>
      </c>
      <c r="J81" s="7">
        <v>29200</v>
      </c>
      <c r="K81" s="7">
        <v>3</v>
      </c>
      <c r="L81" t="s">
        <v>247</v>
      </c>
      <c r="M81" t="s">
        <v>361</v>
      </c>
      <c r="N81" s="7">
        <v>3559</v>
      </c>
      <c r="O81" t="s">
        <v>865</v>
      </c>
      <c r="P81" t="s">
        <v>866</v>
      </c>
      <c r="S81" t="s">
        <v>800</v>
      </c>
      <c r="T81" t="s">
        <v>797</v>
      </c>
      <c r="U81" t="s">
        <v>550</v>
      </c>
      <c r="V81" s="8">
        <v>1650</v>
      </c>
      <c r="W81" s="7">
        <v>587586</v>
      </c>
      <c r="X81" t="s">
        <v>256</v>
      </c>
      <c r="Y81" s="8">
        <v>1650</v>
      </c>
      <c r="Z81" s="8">
        <v>1947</v>
      </c>
      <c r="AA81" s="8">
        <v>297</v>
      </c>
      <c r="AB81" s="7">
        <v>111053</v>
      </c>
      <c r="AC81" t="s">
        <v>256</v>
      </c>
      <c r="AD81" s="8">
        <v>0</v>
      </c>
      <c r="AG81" t="s">
        <v>823</v>
      </c>
      <c r="AH81" t="s">
        <v>802</v>
      </c>
      <c r="AI81" t="s">
        <v>818</v>
      </c>
    </row>
    <row r="82" spans="1:35" hidden="1">
      <c r="A82" s="7">
        <v>81</v>
      </c>
      <c r="B82" t="s">
        <v>243</v>
      </c>
      <c r="C82" t="s">
        <v>244</v>
      </c>
      <c r="D82" s="7">
        <v>7134</v>
      </c>
      <c r="E82" t="s">
        <v>245</v>
      </c>
      <c r="F82" t="s">
        <v>246</v>
      </c>
      <c r="G82" t="s">
        <v>1014</v>
      </c>
      <c r="H82" t="s">
        <v>914</v>
      </c>
      <c r="I82" s="7">
        <v>1165</v>
      </c>
      <c r="J82" s="7">
        <v>70000</v>
      </c>
      <c r="K82" s="7">
        <v>7</v>
      </c>
      <c r="L82" t="s">
        <v>247</v>
      </c>
      <c r="M82" t="s">
        <v>261</v>
      </c>
      <c r="N82" s="7">
        <v>753171</v>
      </c>
      <c r="O82" t="s">
        <v>1078</v>
      </c>
      <c r="P82" t="s">
        <v>1079</v>
      </c>
      <c r="Q82" t="s">
        <v>870</v>
      </c>
      <c r="R82" t="s">
        <v>871</v>
      </c>
      <c r="S82" t="s">
        <v>800</v>
      </c>
      <c r="T82" t="s">
        <v>797</v>
      </c>
      <c r="U82" t="s">
        <v>550</v>
      </c>
      <c r="V82" s="8">
        <v>0</v>
      </c>
      <c r="W82" s="7">
        <v>587586</v>
      </c>
      <c r="X82" t="s">
        <v>256</v>
      </c>
      <c r="Y82" s="8">
        <v>0</v>
      </c>
      <c r="Z82" s="8">
        <v>0</v>
      </c>
      <c r="AA82" s="8">
        <v>0</v>
      </c>
      <c r="AB82" s="7">
        <v>111053</v>
      </c>
      <c r="AC82" t="s">
        <v>256</v>
      </c>
      <c r="AD82" s="8">
        <v>0</v>
      </c>
      <c r="AG82" t="s">
        <v>801</v>
      </c>
      <c r="AH82" t="s">
        <v>802</v>
      </c>
      <c r="AI82" t="s">
        <v>803</v>
      </c>
    </row>
    <row r="83" spans="1:35" hidden="1">
      <c r="A83" s="7">
        <v>82</v>
      </c>
      <c r="B83" t="s">
        <v>243</v>
      </c>
      <c r="C83" t="s">
        <v>244</v>
      </c>
      <c r="D83" s="7">
        <v>7134</v>
      </c>
      <c r="E83" t="s">
        <v>245</v>
      </c>
      <c r="F83" t="s">
        <v>246</v>
      </c>
      <c r="G83" t="s">
        <v>1080</v>
      </c>
      <c r="H83" t="s">
        <v>939</v>
      </c>
      <c r="I83" s="7">
        <v>1165</v>
      </c>
      <c r="J83" s="7">
        <v>68937</v>
      </c>
      <c r="K83" s="7">
        <v>7</v>
      </c>
      <c r="L83" t="s">
        <v>247</v>
      </c>
      <c r="M83" t="s">
        <v>252</v>
      </c>
      <c r="N83" s="7">
        <v>321778</v>
      </c>
      <c r="O83" t="s">
        <v>1081</v>
      </c>
      <c r="P83" t="s">
        <v>1082</v>
      </c>
      <c r="S83" t="s">
        <v>800</v>
      </c>
      <c r="T83" t="s">
        <v>797</v>
      </c>
      <c r="U83" t="s">
        <v>550</v>
      </c>
      <c r="V83" s="8">
        <v>0</v>
      </c>
      <c r="W83" s="7">
        <v>587586</v>
      </c>
      <c r="X83" t="s">
        <v>256</v>
      </c>
      <c r="Y83" s="8">
        <v>0</v>
      </c>
      <c r="Z83" s="8">
        <v>0</v>
      </c>
      <c r="AA83" s="8">
        <v>0</v>
      </c>
      <c r="AB83" s="7">
        <v>111053</v>
      </c>
      <c r="AC83" t="s">
        <v>256</v>
      </c>
      <c r="AD83" s="8">
        <v>0</v>
      </c>
      <c r="AG83" t="s">
        <v>937</v>
      </c>
      <c r="AH83" t="s">
        <v>802</v>
      </c>
      <c r="AI83" t="s">
        <v>803</v>
      </c>
    </row>
    <row r="84" spans="1:35" hidden="1">
      <c r="A84" s="7">
        <v>83</v>
      </c>
      <c r="B84" t="s">
        <v>243</v>
      </c>
      <c r="C84" t="s">
        <v>244</v>
      </c>
      <c r="D84" s="7">
        <v>7134</v>
      </c>
      <c r="E84" t="s">
        <v>245</v>
      </c>
      <c r="F84" t="s">
        <v>246</v>
      </c>
      <c r="G84" t="s">
        <v>1197</v>
      </c>
      <c r="H84" t="s">
        <v>797</v>
      </c>
      <c r="I84" s="7">
        <v>1165</v>
      </c>
      <c r="J84" s="7">
        <v>9496</v>
      </c>
      <c r="K84" s="7">
        <v>1</v>
      </c>
      <c r="L84" t="s">
        <v>247</v>
      </c>
      <c r="M84" t="s">
        <v>361</v>
      </c>
      <c r="N84" s="7">
        <v>6475</v>
      </c>
      <c r="O84" t="s">
        <v>1198</v>
      </c>
      <c r="P84" t="s">
        <v>1199</v>
      </c>
      <c r="S84" t="s">
        <v>800</v>
      </c>
      <c r="T84" t="s">
        <v>797</v>
      </c>
      <c r="U84" t="s">
        <v>550</v>
      </c>
      <c r="V84" s="8">
        <v>1650</v>
      </c>
      <c r="W84" s="7">
        <v>587586</v>
      </c>
      <c r="X84" t="s">
        <v>256</v>
      </c>
      <c r="Y84" s="8">
        <v>1650</v>
      </c>
      <c r="Z84" s="8">
        <v>1947</v>
      </c>
      <c r="AA84" s="8">
        <v>297</v>
      </c>
      <c r="AB84" s="7">
        <v>111053</v>
      </c>
      <c r="AC84" t="s">
        <v>256</v>
      </c>
      <c r="AD84" s="8">
        <v>0</v>
      </c>
      <c r="AG84" t="s">
        <v>823</v>
      </c>
      <c r="AH84" t="s">
        <v>802</v>
      </c>
      <c r="AI84" t="s">
        <v>818</v>
      </c>
    </row>
    <row r="85" spans="1:35" hidden="1">
      <c r="A85" s="7">
        <v>84</v>
      </c>
      <c r="B85" t="s">
        <v>243</v>
      </c>
      <c r="C85" t="s">
        <v>244</v>
      </c>
      <c r="D85" s="7">
        <v>7134</v>
      </c>
      <c r="E85" t="s">
        <v>245</v>
      </c>
      <c r="F85" t="s">
        <v>246</v>
      </c>
      <c r="G85" t="s">
        <v>1202</v>
      </c>
      <c r="H85" t="s">
        <v>934</v>
      </c>
      <c r="I85" s="7">
        <v>1165</v>
      </c>
      <c r="J85" s="7">
        <v>49822</v>
      </c>
      <c r="K85" s="7">
        <v>5</v>
      </c>
      <c r="L85" t="s">
        <v>247</v>
      </c>
      <c r="M85" t="s">
        <v>261</v>
      </c>
      <c r="N85" s="7">
        <v>775938</v>
      </c>
      <c r="O85" t="s">
        <v>1203</v>
      </c>
      <c r="P85" t="s">
        <v>1204</v>
      </c>
      <c r="S85" t="s">
        <v>800</v>
      </c>
      <c r="T85" t="s">
        <v>797</v>
      </c>
      <c r="U85" t="s">
        <v>550</v>
      </c>
      <c r="V85" s="8">
        <v>1250</v>
      </c>
      <c r="W85" s="7">
        <v>587586</v>
      </c>
      <c r="X85" t="s">
        <v>256</v>
      </c>
      <c r="Y85" s="8">
        <v>1250</v>
      </c>
      <c r="Z85" s="8">
        <v>1475</v>
      </c>
      <c r="AA85" s="8">
        <v>225</v>
      </c>
      <c r="AB85" s="7">
        <v>111053</v>
      </c>
      <c r="AC85" t="s">
        <v>256</v>
      </c>
      <c r="AD85" s="8">
        <v>0</v>
      </c>
      <c r="AG85" t="s">
        <v>801</v>
      </c>
      <c r="AH85" t="s">
        <v>802</v>
      </c>
      <c r="AI85" t="s">
        <v>818</v>
      </c>
    </row>
    <row r="86" spans="1:35" hidden="1">
      <c r="A86" s="7">
        <v>85</v>
      </c>
      <c r="B86" t="s">
        <v>243</v>
      </c>
      <c r="C86" t="s">
        <v>244</v>
      </c>
      <c r="D86" s="7">
        <v>7134</v>
      </c>
      <c r="E86" t="s">
        <v>245</v>
      </c>
      <c r="F86" t="s">
        <v>246</v>
      </c>
      <c r="G86" t="s">
        <v>1142</v>
      </c>
      <c r="H86" t="s">
        <v>934</v>
      </c>
      <c r="I86" s="7">
        <v>1165</v>
      </c>
      <c r="J86" s="7">
        <v>23211</v>
      </c>
      <c r="K86" s="7">
        <v>12</v>
      </c>
      <c r="L86" t="s">
        <v>247</v>
      </c>
      <c r="M86" t="s">
        <v>261</v>
      </c>
      <c r="N86" s="7">
        <v>744171</v>
      </c>
      <c r="O86" t="s">
        <v>1143</v>
      </c>
      <c r="P86" t="s">
        <v>1144</v>
      </c>
      <c r="S86" t="s">
        <v>800</v>
      </c>
      <c r="T86" t="s">
        <v>797</v>
      </c>
      <c r="U86" t="s">
        <v>550</v>
      </c>
      <c r="V86" s="8">
        <v>0</v>
      </c>
      <c r="W86" s="7">
        <v>587586</v>
      </c>
      <c r="X86" t="s">
        <v>256</v>
      </c>
      <c r="Y86" s="8">
        <v>0</v>
      </c>
      <c r="Z86" s="8">
        <v>0</v>
      </c>
      <c r="AA86" s="8">
        <v>0</v>
      </c>
      <c r="AB86" s="7">
        <v>111053</v>
      </c>
      <c r="AC86" t="s">
        <v>256</v>
      </c>
      <c r="AD86" s="8">
        <v>0</v>
      </c>
      <c r="AG86" t="s">
        <v>801</v>
      </c>
      <c r="AH86" t="s">
        <v>802</v>
      </c>
      <c r="AI86" t="s">
        <v>803</v>
      </c>
    </row>
    <row r="87" spans="1:35" hidden="1">
      <c r="A87" s="7">
        <v>86</v>
      </c>
      <c r="B87" t="s">
        <v>243</v>
      </c>
      <c r="C87" t="s">
        <v>244</v>
      </c>
      <c r="D87" s="7">
        <v>7134</v>
      </c>
      <c r="E87" t="s">
        <v>245</v>
      </c>
      <c r="F87" t="s">
        <v>246</v>
      </c>
      <c r="G87" t="s">
        <v>1145</v>
      </c>
      <c r="H87" t="s">
        <v>853</v>
      </c>
      <c r="I87" s="7">
        <v>1165</v>
      </c>
      <c r="J87" s="7">
        <v>29835</v>
      </c>
      <c r="K87" s="7">
        <v>9</v>
      </c>
      <c r="L87" t="s">
        <v>247</v>
      </c>
      <c r="M87" t="s">
        <v>267</v>
      </c>
      <c r="N87" s="7">
        <v>758028</v>
      </c>
      <c r="O87" t="s">
        <v>1146</v>
      </c>
      <c r="P87" t="s">
        <v>1147</v>
      </c>
      <c r="S87" t="s">
        <v>800</v>
      </c>
      <c r="T87" t="s">
        <v>797</v>
      </c>
      <c r="U87" t="s">
        <v>550</v>
      </c>
      <c r="V87" s="8">
        <v>0</v>
      </c>
      <c r="W87" s="7">
        <v>587586</v>
      </c>
      <c r="X87" t="s">
        <v>256</v>
      </c>
      <c r="Y87" s="8">
        <v>0</v>
      </c>
      <c r="Z87" s="8">
        <v>0</v>
      </c>
      <c r="AA87" s="8">
        <v>0</v>
      </c>
      <c r="AB87" s="7">
        <v>111053</v>
      </c>
      <c r="AC87" t="s">
        <v>256</v>
      </c>
      <c r="AD87" s="8">
        <v>0</v>
      </c>
      <c r="AG87" t="s">
        <v>828</v>
      </c>
      <c r="AH87" t="s">
        <v>802</v>
      </c>
      <c r="AI87" t="s">
        <v>803</v>
      </c>
    </row>
    <row r="88" spans="1:35" hidden="1">
      <c r="A88" s="7">
        <v>87</v>
      </c>
      <c r="B88" t="s">
        <v>243</v>
      </c>
      <c r="C88" t="s">
        <v>244</v>
      </c>
      <c r="D88" s="7">
        <v>7134</v>
      </c>
      <c r="E88" t="s">
        <v>245</v>
      </c>
      <c r="F88" t="s">
        <v>246</v>
      </c>
      <c r="G88" t="s">
        <v>1104</v>
      </c>
      <c r="H88" t="s">
        <v>899</v>
      </c>
      <c r="I88" s="7">
        <v>1165</v>
      </c>
      <c r="J88" s="7">
        <v>40000</v>
      </c>
      <c r="K88" s="7">
        <v>4</v>
      </c>
      <c r="L88" t="s">
        <v>247</v>
      </c>
      <c r="M88" t="s">
        <v>361</v>
      </c>
      <c r="N88" s="7">
        <v>3267</v>
      </c>
      <c r="O88" t="s">
        <v>1105</v>
      </c>
      <c r="P88" t="s">
        <v>1106</v>
      </c>
      <c r="S88" t="s">
        <v>800</v>
      </c>
      <c r="T88" t="s">
        <v>797</v>
      </c>
      <c r="U88" t="s">
        <v>550</v>
      </c>
      <c r="V88" s="8">
        <v>0</v>
      </c>
      <c r="W88" s="7">
        <v>587586</v>
      </c>
      <c r="X88" t="s">
        <v>256</v>
      </c>
      <c r="Y88" s="8">
        <v>0</v>
      </c>
      <c r="Z88" s="8">
        <v>0</v>
      </c>
      <c r="AA88" s="8">
        <v>0</v>
      </c>
      <c r="AB88" s="7">
        <v>111053</v>
      </c>
      <c r="AC88" t="s">
        <v>256</v>
      </c>
      <c r="AD88" s="8">
        <v>0</v>
      </c>
      <c r="AG88" t="s">
        <v>823</v>
      </c>
      <c r="AH88" t="s">
        <v>802</v>
      </c>
      <c r="AI88" t="s">
        <v>803</v>
      </c>
    </row>
    <row r="89" spans="1:35" hidden="1">
      <c r="A89" s="7">
        <v>88</v>
      </c>
      <c r="B89" t="s">
        <v>243</v>
      </c>
      <c r="C89" t="s">
        <v>244</v>
      </c>
      <c r="D89" s="7">
        <v>7134</v>
      </c>
      <c r="E89" t="s">
        <v>245</v>
      </c>
      <c r="F89" t="s">
        <v>246</v>
      </c>
      <c r="G89" t="s">
        <v>999</v>
      </c>
      <c r="H89" t="s">
        <v>810</v>
      </c>
      <c r="I89" s="7">
        <v>1165</v>
      </c>
      <c r="J89" s="7">
        <v>10000</v>
      </c>
      <c r="K89" s="7">
        <v>1</v>
      </c>
      <c r="L89" t="s">
        <v>247</v>
      </c>
      <c r="M89" t="s">
        <v>261</v>
      </c>
      <c r="N89" s="7">
        <v>790753</v>
      </c>
      <c r="O89" t="s">
        <v>1000</v>
      </c>
      <c r="P89" t="s">
        <v>1001</v>
      </c>
      <c r="Q89" t="s">
        <v>870</v>
      </c>
      <c r="R89" t="s">
        <v>871</v>
      </c>
      <c r="S89" t="s">
        <v>800</v>
      </c>
      <c r="T89" t="s">
        <v>797</v>
      </c>
      <c r="U89" t="s">
        <v>550</v>
      </c>
      <c r="V89" s="8">
        <v>1250</v>
      </c>
      <c r="W89" s="7">
        <v>587586</v>
      </c>
      <c r="X89" t="s">
        <v>256</v>
      </c>
      <c r="Y89" s="8">
        <v>1000</v>
      </c>
      <c r="Z89" s="8">
        <v>1475</v>
      </c>
      <c r="AA89" s="8">
        <v>225</v>
      </c>
      <c r="AB89" s="7">
        <v>111053</v>
      </c>
      <c r="AC89" t="s">
        <v>256</v>
      </c>
      <c r="AD89" s="8">
        <v>250</v>
      </c>
      <c r="AG89" t="s">
        <v>801</v>
      </c>
      <c r="AH89" t="s">
        <v>802</v>
      </c>
      <c r="AI89" t="s">
        <v>818</v>
      </c>
    </row>
    <row r="90" spans="1:35" hidden="1">
      <c r="A90" s="7">
        <v>89</v>
      </c>
      <c r="B90" t="s">
        <v>243</v>
      </c>
      <c r="C90" t="s">
        <v>244</v>
      </c>
      <c r="D90" s="7">
        <v>7134</v>
      </c>
      <c r="E90" t="s">
        <v>245</v>
      </c>
      <c r="F90" t="s">
        <v>246</v>
      </c>
      <c r="G90" t="s">
        <v>867</v>
      </c>
      <c r="H90" t="s">
        <v>917</v>
      </c>
      <c r="I90" s="7">
        <v>1165</v>
      </c>
      <c r="J90" s="7">
        <v>10000</v>
      </c>
      <c r="K90" s="7">
        <v>1</v>
      </c>
      <c r="L90" t="s">
        <v>247</v>
      </c>
      <c r="M90" t="s">
        <v>361</v>
      </c>
      <c r="N90" s="7">
        <v>4895</v>
      </c>
      <c r="O90" t="s">
        <v>918</v>
      </c>
      <c r="P90" t="s">
        <v>919</v>
      </c>
      <c r="Q90" t="s">
        <v>870</v>
      </c>
      <c r="R90" t="s">
        <v>871</v>
      </c>
      <c r="S90" t="s">
        <v>800</v>
      </c>
      <c r="T90" t="s">
        <v>797</v>
      </c>
      <c r="U90" t="s">
        <v>550</v>
      </c>
      <c r="V90" s="8">
        <v>1650</v>
      </c>
      <c r="W90" s="7">
        <v>587586</v>
      </c>
      <c r="X90" t="s">
        <v>256</v>
      </c>
      <c r="Y90" s="8">
        <v>1320</v>
      </c>
      <c r="Z90" s="8">
        <v>1947</v>
      </c>
      <c r="AA90" s="8">
        <v>297</v>
      </c>
      <c r="AB90" s="7">
        <v>111053</v>
      </c>
      <c r="AC90" t="s">
        <v>256</v>
      </c>
      <c r="AD90" s="8">
        <v>330</v>
      </c>
      <c r="AG90" t="s">
        <v>823</v>
      </c>
      <c r="AH90" t="s">
        <v>802</v>
      </c>
      <c r="AI90" t="s">
        <v>818</v>
      </c>
    </row>
    <row r="91" spans="1:35" hidden="1">
      <c r="A91" s="7">
        <v>90</v>
      </c>
      <c r="B91" t="s">
        <v>243</v>
      </c>
      <c r="C91" t="s">
        <v>244</v>
      </c>
      <c r="D91" s="7">
        <v>7134</v>
      </c>
      <c r="E91" t="s">
        <v>245</v>
      </c>
      <c r="F91" t="s">
        <v>246</v>
      </c>
      <c r="G91" t="s">
        <v>1072</v>
      </c>
      <c r="H91" t="s">
        <v>825</v>
      </c>
      <c r="I91" s="7">
        <v>1165</v>
      </c>
      <c r="J91" s="7">
        <v>39027</v>
      </c>
      <c r="K91" s="7">
        <v>4</v>
      </c>
      <c r="L91" t="s">
        <v>247</v>
      </c>
      <c r="M91" t="s">
        <v>261</v>
      </c>
      <c r="N91" s="7">
        <v>774685</v>
      </c>
      <c r="O91" t="s">
        <v>1073</v>
      </c>
      <c r="P91" t="s">
        <v>1074</v>
      </c>
      <c r="S91" t="s">
        <v>800</v>
      </c>
      <c r="T91" t="s">
        <v>797</v>
      </c>
      <c r="U91" t="s">
        <v>550</v>
      </c>
      <c r="V91" s="8">
        <v>0</v>
      </c>
      <c r="W91" s="7">
        <v>587586</v>
      </c>
      <c r="X91" t="s">
        <v>256</v>
      </c>
      <c r="Y91" s="8">
        <v>0</v>
      </c>
      <c r="Z91" s="8">
        <v>0</v>
      </c>
      <c r="AA91" s="8">
        <v>0</v>
      </c>
      <c r="AB91" s="7">
        <v>111053</v>
      </c>
      <c r="AC91" t="s">
        <v>256</v>
      </c>
      <c r="AD91" s="8">
        <v>0</v>
      </c>
      <c r="AG91" t="s">
        <v>801</v>
      </c>
      <c r="AH91" t="s">
        <v>802</v>
      </c>
      <c r="AI91" t="s">
        <v>803</v>
      </c>
    </row>
    <row r="92" spans="1:35" hidden="1">
      <c r="A92" s="7">
        <v>91</v>
      </c>
      <c r="B92" t="s">
        <v>243</v>
      </c>
      <c r="C92" t="s">
        <v>244</v>
      </c>
      <c r="D92" s="7">
        <v>7134</v>
      </c>
      <c r="E92" t="s">
        <v>245</v>
      </c>
      <c r="F92" t="s">
        <v>246</v>
      </c>
      <c r="G92" t="s">
        <v>954</v>
      </c>
      <c r="H92" t="s">
        <v>839</v>
      </c>
      <c r="I92" s="7">
        <v>1165</v>
      </c>
      <c r="J92" s="7">
        <v>19416</v>
      </c>
      <c r="K92" s="7">
        <v>2</v>
      </c>
      <c r="L92" t="s">
        <v>247</v>
      </c>
      <c r="M92" t="s">
        <v>267</v>
      </c>
      <c r="N92" s="7">
        <v>789860</v>
      </c>
      <c r="O92" t="s">
        <v>955</v>
      </c>
      <c r="P92" t="s">
        <v>956</v>
      </c>
      <c r="S92" t="s">
        <v>800</v>
      </c>
      <c r="T92" t="s">
        <v>797</v>
      </c>
      <c r="U92" t="s">
        <v>550</v>
      </c>
      <c r="V92" s="8">
        <v>0</v>
      </c>
      <c r="W92" s="7">
        <v>587586</v>
      </c>
      <c r="X92" t="s">
        <v>256</v>
      </c>
      <c r="Y92" s="8">
        <v>0</v>
      </c>
      <c r="Z92" s="8">
        <v>0</v>
      </c>
      <c r="AA92" s="8">
        <v>0</v>
      </c>
      <c r="AB92" s="7">
        <v>111053</v>
      </c>
      <c r="AC92" t="s">
        <v>256</v>
      </c>
      <c r="AD92" s="8">
        <v>0</v>
      </c>
      <c r="AG92" t="s">
        <v>828</v>
      </c>
      <c r="AH92" t="s">
        <v>802</v>
      </c>
      <c r="AI92" t="s">
        <v>803</v>
      </c>
    </row>
    <row r="93" spans="1:35" hidden="1">
      <c r="A93" s="7">
        <v>92</v>
      </c>
      <c r="B93" t="s">
        <v>243</v>
      </c>
      <c r="C93" t="s">
        <v>244</v>
      </c>
      <c r="D93" s="7">
        <v>7134</v>
      </c>
      <c r="E93" t="s">
        <v>245</v>
      </c>
      <c r="F93" t="s">
        <v>246</v>
      </c>
      <c r="G93" t="s">
        <v>1148</v>
      </c>
      <c r="H93" t="s">
        <v>939</v>
      </c>
      <c r="I93" s="7">
        <v>1180</v>
      </c>
      <c r="J93" s="7">
        <v>10176</v>
      </c>
      <c r="K93" s="7">
        <v>6</v>
      </c>
      <c r="L93" t="s">
        <v>247</v>
      </c>
      <c r="M93" t="s">
        <v>261</v>
      </c>
      <c r="N93" s="7">
        <v>762849</v>
      </c>
      <c r="O93" t="s">
        <v>1149</v>
      </c>
      <c r="P93" t="s">
        <v>1150</v>
      </c>
      <c r="S93" t="s">
        <v>800</v>
      </c>
      <c r="T93" t="s">
        <v>797</v>
      </c>
      <c r="U93" t="s">
        <v>550</v>
      </c>
      <c r="V93" s="8">
        <v>0</v>
      </c>
      <c r="W93" s="7">
        <v>587586</v>
      </c>
      <c r="X93" t="s">
        <v>256</v>
      </c>
      <c r="Y93" s="8">
        <v>0</v>
      </c>
      <c r="Z93" s="8">
        <v>0</v>
      </c>
      <c r="AA93" s="8">
        <v>0</v>
      </c>
      <c r="AB93" s="7">
        <v>111053</v>
      </c>
      <c r="AC93" t="s">
        <v>256</v>
      </c>
      <c r="AD93" s="8">
        <v>0</v>
      </c>
      <c r="AG93" t="s">
        <v>801</v>
      </c>
      <c r="AH93" t="s">
        <v>802</v>
      </c>
      <c r="AI93" t="s">
        <v>803</v>
      </c>
    </row>
    <row r="94" spans="1:35" hidden="1">
      <c r="A94" s="7">
        <v>93</v>
      </c>
      <c r="B94" t="s">
        <v>243</v>
      </c>
      <c r="C94" t="s">
        <v>244</v>
      </c>
      <c r="D94" s="7">
        <v>7134</v>
      </c>
      <c r="E94" t="s">
        <v>245</v>
      </c>
      <c r="F94" t="s">
        <v>246</v>
      </c>
      <c r="G94" t="s">
        <v>881</v>
      </c>
      <c r="H94" t="s">
        <v>846</v>
      </c>
      <c r="I94" s="7">
        <v>1165</v>
      </c>
      <c r="J94" s="7">
        <v>19331</v>
      </c>
      <c r="K94" s="7">
        <v>2</v>
      </c>
      <c r="L94" t="s">
        <v>247</v>
      </c>
      <c r="M94" t="s">
        <v>361</v>
      </c>
      <c r="N94" s="7">
        <v>5319</v>
      </c>
      <c r="O94" t="s">
        <v>963</v>
      </c>
      <c r="P94" t="s">
        <v>964</v>
      </c>
      <c r="S94" t="s">
        <v>800</v>
      </c>
      <c r="T94" t="s">
        <v>797</v>
      </c>
      <c r="U94" t="s">
        <v>550</v>
      </c>
      <c r="V94" s="8">
        <v>0</v>
      </c>
      <c r="W94" s="7">
        <v>587586</v>
      </c>
      <c r="X94" t="s">
        <v>256</v>
      </c>
      <c r="Y94" s="8">
        <v>0</v>
      </c>
      <c r="Z94" s="8">
        <v>0</v>
      </c>
      <c r="AA94" s="8">
        <v>0</v>
      </c>
      <c r="AB94" s="7">
        <v>111053</v>
      </c>
      <c r="AC94" t="s">
        <v>256</v>
      </c>
      <c r="AD94" s="8">
        <v>0</v>
      </c>
      <c r="AG94" t="s">
        <v>823</v>
      </c>
      <c r="AH94" t="s">
        <v>802</v>
      </c>
      <c r="AI94" t="s">
        <v>803</v>
      </c>
    </row>
    <row r="95" spans="1:35" hidden="1">
      <c r="A95" s="7">
        <v>94</v>
      </c>
      <c r="B95" t="s">
        <v>243</v>
      </c>
      <c r="C95" t="s">
        <v>244</v>
      </c>
      <c r="D95" s="7">
        <v>7134</v>
      </c>
      <c r="E95" t="s">
        <v>245</v>
      </c>
      <c r="F95" t="s">
        <v>246</v>
      </c>
      <c r="G95" t="s">
        <v>957</v>
      </c>
      <c r="H95" t="s">
        <v>814</v>
      </c>
      <c r="I95" s="7">
        <v>1165</v>
      </c>
      <c r="J95" s="7">
        <v>7456</v>
      </c>
      <c r="K95" s="7">
        <v>2</v>
      </c>
      <c r="L95" t="s">
        <v>247</v>
      </c>
      <c r="M95" t="s">
        <v>252</v>
      </c>
      <c r="N95" s="7">
        <v>324907</v>
      </c>
      <c r="O95" t="s">
        <v>958</v>
      </c>
      <c r="P95" t="s">
        <v>959</v>
      </c>
      <c r="S95" t="s">
        <v>800</v>
      </c>
      <c r="T95" t="s">
        <v>797</v>
      </c>
      <c r="U95" t="s">
        <v>550</v>
      </c>
      <c r="V95" s="8">
        <v>0</v>
      </c>
      <c r="W95" s="7">
        <v>587586</v>
      </c>
      <c r="X95" t="s">
        <v>256</v>
      </c>
      <c r="Y95" s="8">
        <v>0</v>
      </c>
      <c r="Z95" s="8">
        <v>0</v>
      </c>
      <c r="AA95" s="8">
        <v>0</v>
      </c>
      <c r="AB95" s="7">
        <v>111053</v>
      </c>
      <c r="AC95" t="s">
        <v>256</v>
      </c>
      <c r="AD95" s="8">
        <v>0</v>
      </c>
      <c r="AG95" t="s">
        <v>937</v>
      </c>
      <c r="AH95" t="s">
        <v>802</v>
      </c>
      <c r="AI95" t="s">
        <v>803</v>
      </c>
    </row>
    <row r="96" spans="1:35" hidden="1">
      <c r="A96" s="7">
        <v>95</v>
      </c>
      <c r="B96" t="s">
        <v>243</v>
      </c>
      <c r="C96" t="s">
        <v>244</v>
      </c>
      <c r="D96" s="7">
        <v>7134</v>
      </c>
      <c r="E96" t="s">
        <v>245</v>
      </c>
      <c r="F96" t="s">
        <v>246</v>
      </c>
      <c r="G96" t="s">
        <v>902</v>
      </c>
      <c r="H96" t="s">
        <v>903</v>
      </c>
      <c r="I96" s="7">
        <v>1165</v>
      </c>
      <c r="J96" s="7">
        <v>9500</v>
      </c>
      <c r="K96" s="7">
        <v>1</v>
      </c>
      <c r="L96" t="s">
        <v>247</v>
      </c>
      <c r="M96" t="s">
        <v>267</v>
      </c>
      <c r="N96" s="7">
        <v>789111</v>
      </c>
      <c r="O96" t="s">
        <v>904</v>
      </c>
      <c r="P96" t="s">
        <v>905</v>
      </c>
      <c r="S96" t="s">
        <v>800</v>
      </c>
      <c r="T96" t="s">
        <v>797</v>
      </c>
      <c r="U96" t="s">
        <v>550</v>
      </c>
      <c r="V96" s="8">
        <v>1250</v>
      </c>
      <c r="W96" s="7">
        <v>587586</v>
      </c>
      <c r="X96" t="s">
        <v>256</v>
      </c>
      <c r="Y96" s="8">
        <v>1250</v>
      </c>
      <c r="Z96" s="8">
        <v>1475</v>
      </c>
      <c r="AA96" s="8">
        <v>225</v>
      </c>
      <c r="AB96" s="7">
        <v>111053</v>
      </c>
      <c r="AC96" t="s">
        <v>256</v>
      </c>
      <c r="AD96" s="8">
        <v>0</v>
      </c>
      <c r="AG96" t="s">
        <v>828</v>
      </c>
      <c r="AH96" t="s">
        <v>802</v>
      </c>
      <c r="AI96" t="s">
        <v>818</v>
      </c>
    </row>
    <row r="97" spans="1:35" hidden="1">
      <c r="A97" s="7">
        <v>96</v>
      </c>
      <c r="B97" t="s">
        <v>243</v>
      </c>
      <c r="C97" t="s">
        <v>244</v>
      </c>
      <c r="D97" s="7">
        <v>7134</v>
      </c>
      <c r="E97" t="s">
        <v>245</v>
      </c>
      <c r="F97" t="s">
        <v>246</v>
      </c>
      <c r="G97" t="s">
        <v>898</v>
      </c>
      <c r="H97" t="s">
        <v>899</v>
      </c>
      <c r="I97" s="7">
        <v>1165</v>
      </c>
      <c r="J97" s="7">
        <v>10000</v>
      </c>
      <c r="K97" s="7">
        <v>1</v>
      </c>
      <c r="L97" t="s">
        <v>247</v>
      </c>
      <c r="M97" t="s">
        <v>361</v>
      </c>
      <c r="N97" s="7">
        <v>5320</v>
      </c>
      <c r="O97" t="s">
        <v>900</v>
      </c>
      <c r="P97" t="s">
        <v>901</v>
      </c>
      <c r="Q97" t="s">
        <v>870</v>
      </c>
      <c r="R97" t="s">
        <v>871</v>
      </c>
      <c r="S97" t="s">
        <v>800</v>
      </c>
      <c r="T97" t="s">
        <v>797</v>
      </c>
      <c r="U97" t="s">
        <v>550</v>
      </c>
      <c r="V97" s="8">
        <v>1650</v>
      </c>
      <c r="W97" s="7">
        <v>587586</v>
      </c>
      <c r="X97" t="s">
        <v>256</v>
      </c>
      <c r="Y97" s="8">
        <v>1320</v>
      </c>
      <c r="Z97" s="8">
        <v>1947</v>
      </c>
      <c r="AA97" s="8">
        <v>297</v>
      </c>
      <c r="AB97" s="7">
        <v>111053</v>
      </c>
      <c r="AC97" t="s">
        <v>256</v>
      </c>
      <c r="AD97" s="8">
        <v>330</v>
      </c>
      <c r="AG97" t="s">
        <v>823</v>
      </c>
      <c r="AH97" t="s">
        <v>802</v>
      </c>
      <c r="AI97" t="s">
        <v>818</v>
      </c>
    </row>
    <row r="98" spans="1:35" hidden="1">
      <c r="A98" s="7">
        <v>97</v>
      </c>
      <c r="B98" t="s">
        <v>243</v>
      </c>
      <c r="C98" t="s">
        <v>244</v>
      </c>
      <c r="D98" s="7">
        <v>7134</v>
      </c>
      <c r="E98" t="s">
        <v>245</v>
      </c>
      <c r="F98" t="s">
        <v>246</v>
      </c>
      <c r="G98" t="s">
        <v>993</v>
      </c>
      <c r="H98" t="s">
        <v>419</v>
      </c>
      <c r="I98" s="7">
        <v>1165</v>
      </c>
      <c r="J98" s="7">
        <v>21204</v>
      </c>
      <c r="K98" s="7">
        <v>2</v>
      </c>
      <c r="L98" t="s">
        <v>247</v>
      </c>
      <c r="M98" t="s">
        <v>361</v>
      </c>
      <c r="N98" s="7">
        <v>5132</v>
      </c>
      <c r="O98" t="s">
        <v>994</v>
      </c>
      <c r="P98" t="s">
        <v>995</v>
      </c>
      <c r="Q98" t="s">
        <v>908</v>
      </c>
      <c r="R98" t="s">
        <v>909</v>
      </c>
      <c r="S98" t="s">
        <v>800</v>
      </c>
      <c r="T98" t="s">
        <v>797</v>
      </c>
      <c r="U98" t="s">
        <v>550</v>
      </c>
      <c r="V98" s="8">
        <v>0</v>
      </c>
      <c r="W98" s="7">
        <v>587586</v>
      </c>
      <c r="X98" t="s">
        <v>256</v>
      </c>
      <c r="Y98" s="8">
        <v>0</v>
      </c>
      <c r="Z98" s="8">
        <v>0</v>
      </c>
      <c r="AA98" s="8">
        <v>0</v>
      </c>
      <c r="AB98" s="7">
        <v>111053</v>
      </c>
      <c r="AC98" t="s">
        <v>256</v>
      </c>
      <c r="AD98" s="8">
        <v>0</v>
      </c>
      <c r="AG98" t="s">
        <v>823</v>
      </c>
      <c r="AH98" t="s">
        <v>802</v>
      </c>
      <c r="AI98" t="s">
        <v>803</v>
      </c>
    </row>
    <row r="99" spans="1:35" hidden="1">
      <c r="A99" s="7">
        <v>98</v>
      </c>
      <c r="B99" t="s">
        <v>243</v>
      </c>
      <c r="C99" t="s">
        <v>244</v>
      </c>
      <c r="D99" s="7">
        <v>7134</v>
      </c>
      <c r="E99" t="s">
        <v>245</v>
      </c>
      <c r="F99" t="s">
        <v>246</v>
      </c>
      <c r="G99" t="s">
        <v>996</v>
      </c>
      <c r="H99" t="s">
        <v>970</v>
      </c>
      <c r="I99" s="7">
        <v>1165</v>
      </c>
      <c r="J99" s="7">
        <v>60000</v>
      </c>
      <c r="K99" s="7">
        <v>6</v>
      </c>
      <c r="L99" t="s">
        <v>247</v>
      </c>
      <c r="M99" t="s">
        <v>361</v>
      </c>
      <c r="N99" s="7">
        <v>3268</v>
      </c>
      <c r="O99" t="s">
        <v>997</v>
      </c>
      <c r="P99" t="s">
        <v>998</v>
      </c>
      <c r="S99" t="s">
        <v>800</v>
      </c>
      <c r="T99" t="s">
        <v>797</v>
      </c>
      <c r="U99" t="s">
        <v>550</v>
      </c>
      <c r="V99" s="8">
        <v>0</v>
      </c>
      <c r="W99" s="7">
        <v>587586</v>
      </c>
      <c r="X99" t="s">
        <v>256</v>
      </c>
      <c r="Y99" s="8">
        <v>0</v>
      </c>
      <c r="Z99" s="8">
        <v>0</v>
      </c>
      <c r="AA99" s="8">
        <v>0</v>
      </c>
      <c r="AB99" s="7">
        <v>111053</v>
      </c>
      <c r="AC99" t="s">
        <v>256</v>
      </c>
      <c r="AD99" s="8">
        <v>0</v>
      </c>
      <c r="AG99" t="s">
        <v>823</v>
      </c>
      <c r="AH99" t="s">
        <v>802</v>
      </c>
      <c r="AI99" t="s">
        <v>803</v>
      </c>
    </row>
    <row r="100" spans="1:35" hidden="1">
      <c r="A100" s="7">
        <v>99</v>
      </c>
      <c r="B100" t="s">
        <v>243</v>
      </c>
      <c r="C100" t="s">
        <v>244</v>
      </c>
      <c r="D100" s="7">
        <v>7134</v>
      </c>
      <c r="E100" t="s">
        <v>245</v>
      </c>
      <c r="F100" t="s">
        <v>246</v>
      </c>
      <c r="G100" t="s">
        <v>965</v>
      </c>
      <c r="H100" t="s">
        <v>903</v>
      </c>
      <c r="I100" s="7">
        <v>1165</v>
      </c>
      <c r="J100" s="7">
        <v>30807</v>
      </c>
      <c r="K100" s="7">
        <v>4</v>
      </c>
      <c r="L100" t="s">
        <v>247</v>
      </c>
      <c r="M100" t="s">
        <v>261</v>
      </c>
      <c r="N100" s="7">
        <v>774646</v>
      </c>
      <c r="O100" t="s">
        <v>966</v>
      </c>
      <c r="P100" t="s">
        <v>967</v>
      </c>
      <c r="S100" t="s">
        <v>800</v>
      </c>
      <c r="T100" t="s">
        <v>797</v>
      </c>
      <c r="U100" t="s">
        <v>550</v>
      </c>
      <c r="V100" s="8">
        <v>0</v>
      </c>
      <c r="W100" s="7">
        <v>587586</v>
      </c>
      <c r="X100" t="s">
        <v>256</v>
      </c>
      <c r="Y100" s="8">
        <v>0</v>
      </c>
      <c r="Z100" s="8">
        <v>0</v>
      </c>
      <c r="AA100" s="8">
        <v>0</v>
      </c>
      <c r="AB100" s="7">
        <v>111053</v>
      </c>
      <c r="AC100" t="s">
        <v>256</v>
      </c>
      <c r="AD100" s="8">
        <v>0</v>
      </c>
      <c r="AG100" t="s">
        <v>801</v>
      </c>
      <c r="AH100" t="s">
        <v>802</v>
      </c>
      <c r="AI100" t="s">
        <v>803</v>
      </c>
    </row>
    <row r="101" spans="1:35" hidden="1">
      <c r="A101" s="7">
        <v>100</v>
      </c>
      <c r="B101" t="s">
        <v>243</v>
      </c>
      <c r="C101" t="s">
        <v>244</v>
      </c>
      <c r="D101" s="7">
        <v>7134</v>
      </c>
      <c r="E101" t="s">
        <v>245</v>
      </c>
      <c r="F101" t="s">
        <v>246</v>
      </c>
      <c r="G101" t="s">
        <v>1004</v>
      </c>
      <c r="H101" t="s">
        <v>895</v>
      </c>
      <c r="I101" s="7">
        <v>1150</v>
      </c>
      <c r="J101" s="7">
        <v>9920</v>
      </c>
      <c r="K101" s="7">
        <v>1</v>
      </c>
      <c r="L101" t="s">
        <v>247</v>
      </c>
      <c r="M101" t="s">
        <v>361</v>
      </c>
      <c r="N101" s="7">
        <v>5709</v>
      </c>
      <c r="O101" t="s">
        <v>1005</v>
      </c>
      <c r="P101" t="s">
        <v>1006</v>
      </c>
      <c r="S101" t="s">
        <v>800</v>
      </c>
      <c r="T101" t="s">
        <v>797</v>
      </c>
      <c r="U101" t="s">
        <v>550</v>
      </c>
      <c r="V101" s="8">
        <v>1650</v>
      </c>
      <c r="W101" s="7">
        <v>587586</v>
      </c>
      <c r="X101" t="s">
        <v>256</v>
      </c>
      <c r="Y101" s="8">
        <v>1650</v>
      </c>
      <c r="Z101" s="8">
        <v>1947</v>
      </c>
      <c r="AA101" s="8">
        <v>297</v>
      </c>
      <c r="AB101" s="7">
        <v>111053</v>
      </c>
      <c r="AC101" t="s">
        <v>256</v>
      </c>
      <c r="AD101" s="8">
        <v>0</v>
      </c>
      <c r="AG101" t="s">
        <v>823</v>
      </c>
      <c r="AH101" t="s">
        <v>802</v>
      </c>
      <c r="AI101" t="s">
        <v>818</v>
      </c>
    </row>
    <row r="102" spans="1:35" hidden="1">
      <c r="A102" s="7">
        <v>101</v>
      </c>
      <c r="B102" t="s">
        <v>243</v>
      </c>
      <c r="C102" t="s">
        <v>244</v>
      </c>
      <c r="D102" s="7">
        <v>7134</v>
      </c>
      <c r="E102" t="s">
        <v>245</v>
      </c>
      <c r="F102" t="s">
        <v>246</v>
      </c>
      <c r="G102" t="s">
        <v>913</v>
      </c>
      <c r="H102" t="s">
        <v>914</v>
      </c>
      <c r="I102" s="7">
        <v>1165</v>
      </c>
      <c r="J102" s="7">
        <v>38333</v>
      </c>
      <c r="K102" s="7">
        <v>4</v>
      </c>
      <c r="L102" t="s">
        <v>247</v>
      </c>
      <c r="M102" t="s">
        <v>361</v>
      </c>
      <c r="N102" s="7">
        <v>3564</v>
      </c>
      <c r="O102" t="s">
        <v>915</v>
      </c>
      <c r="P102" t="s">
        <v>916</v>
      </c>
      <c r="S102" t="s">
        <v>800</v>
      </c>
      <c r="T102" t="s">
        <v>797</v>
      </c>
      <c r="U102" t="s">
        <v>550</v>
      </c>
      <c r="V102" s="8">
        <v>0</v>
      </c>
      <c r="W102" s="7">
        <v>587586</v>
      </c>
      <c r="X102" t="s">
        <v>256</v>
      </c>
      <c r="Y102" s="8">
        <v>0</v>
      </c>
      <c r="Z102" s="8">
        <v>0</v>
      </c>
      <c r="AA102" s="8">
        <v>0</v>
      </c>
      <c r="AB102" s="7">
        <v>111053</v>
      </c>
      <c r="AC102" t="s">
        <v>256</v>
      </c>
      <c r="AD102" s="8">
        <v>0</v>
      </c>
      <c r="AG102" t="s">
        <v>823</v>
      </c>
      <c r="AH102" t="s">
        <v>802</v>
      </c>
      <c r="AI102" t="s">
        <v>803</v>
      </c>
    </row>
    <row r="103" spans="1:35" hidden="1">
      <c r="A103" s="7">
        <v>102</v>
      </c>
      <c r="B103" t="s">
        <v>243</v>
      </c>
      <c r="C103" t="s">
        <v>244</v>
      </c>
      <c r="D103" s="7">
        <v>7134</v>
      </c>
      <c r="E103" t="s">
        <v>245</v>
      </c>
      <c r="F103" t="s">
        <v>246</v>
      </c>
      <c r="G103" t="s">
        <v>1221</v>
      </c>
      <c r="H103" t="s">
        <v>917</v>
      </c>
      <c r="I103" s="7">
        <v>1165</v>
      </c>
      <c r="J103" s="7">
        <v>67124</v>
      </c>
      <c r="K103" s="7">
        <v>7</v>
      </c>
      <c r="L103" t="s">
        <v>247</v>
      </c>
      <c r="M103" t="s">
        <v>252</v>
      </c>
      <c r="N103" s="7">
        <v>321779</v>
      </c>
      <c r="O103" t="s">
        <v>1222</v>
      </c>
      <c r="P103" t="s">
        <v>1223</v>
      </c>
      <c r="S103" t="s">
        <v>800</v>
      </c>
      <c r="T103" t="s">
        <v>797</v>
      </c>
      <c r="U103" t="s">
        <v>550</v>
      </c>
      <c r="V103" s="8">
        <v>0</v>
      </c>
      <c r="W103" s="7">
        <v>587586</v>
      </c>
      <c r="X103" t="s">
        <v>256</v>
      </c>
      <c r="Y103" s="8">
        <v>0</v>
      </c>
      <c r="Z103" s="8">
        <v>0</v>
      </c>
      <c r="AA103" s="8">
        <v>0</v>
      </c>
      <c r="AB103" s="7">
        <v>111053</v>
      </c>
      <c r="AC103" t="s">
        <v>256</v>
      </c>
      <c r="AD103" s="8">
        <v>0</v>
      </c>
      <c r="AG103" t="s">
        <v>937</v>
      </c>
      <c r="AH103" t="s">
        <v>802</v>
      </c>
      <c r="AI103" t="s">
        <v>803</v>
      </c>
    </row>
    <row r="104" spans="1:35" hidden="1">
      <c r="A104" s="7">
        <v>103</v>
      </c>
      <c r="B104" t="s">
        <v>243</v>
      </c>
      <c r="C104" t="s">
        <v>244</v>
      </c>
      <c r="D104" s="7">
        <v>7134</v>
      </c>
      <c r="E104" t="s">
        <v>245</v>
      </c>
      <c r="F104" t="s">
        <v>246</v>
      </c>
      <c r="G104" t="s">
        <v>988</v>
      </c>
      <c r="H104" t="s">
        <v>797</v>
      </c>
      <c r="I104" s="7">
        <v>1165</v>
      </c>
      <c r="J104" s="7">
        <v>50000</v>
      </c>
      <c r="K104" s="7">
        <v>5</v>
      </c>
      <c r="L104" t="s">
        <v>247</v>
      </c>
      <c r="M104" t="s">
        <v>261</v>
      </c>
      <c r="N104" s="7">
        <v>775224</v>
      </c>
      <c r="O104" t="s">
        <v>1007</v>
      </c>
      <c r="P104" t="s">
        <v>1008</v>
      </c>
      <c r="S104" t="s">
        <v>800</v>
      </c>
      <c r="T104" t="s">
        <v>797</v>
      </c>
      <c r="U104" t="s">
        <v>550</v>
      </c>
      <c r="V104" s="8">
        <v>1250</v>
      </c>
      <c r="W104" s="7">
        <v>587586</v>
      </c>
      <c r="X104" t="s">
        <v>256</v>
      </c>
      <c r="Y104" s="8">
        <v>1250</v>
      </c>
      <c r="Z104" s="8">
        <v>1475</v>
      </c>
      <c r="AA104" s="8">
        <v>225</v>
      </c>
      <c r="AB104" s="7">
        <v>111053</v>
      </c>
      <c r="AC104" t="s">
        <v>256</v>
      </c>
      <c r="AD104" s="8">
        <v>0</v>
      </c>
      <c r="AG104" t="s">
        <v>801</v>
      </c>
      <c r="AH104" t="s">
        <v>802</v>
      </c>
      <c r="AI104" t="s">
        <v>818</v>
      </c>
    </row>
    <row r="105" spans="1:35" hidden="1">
      <c r="A105" s="7">
        <v>104</v>
      </c>
      <c r="B105" t="s">
        <v>243</v>
      </c>
      <c r="C105" t="s">
        <v>244</v>
      </c>
      <c r="D105" s="7">
        <v>7134</v>
      </c>
      <c r="E105" t="s">
        <v>245</v>
      </c>
      <c r="F105" t="s">
        <v>246</v>
      </c>
      <c r="G105" t="s">
        <v>927</v>
      </c>
      <c r="H105" t="s">
        <v>846</v>
      </c>
      <c r="I105" s="7">
        <v>1165</v>
      </c>
      <c r="J105" s="7">
        <v>60000</v>
      </c>
      <c r="K105" s="7">
        <v>6</v>
      </c>
      <c r="L105" t="s">
        <v>247</v>
      </c>
      <c r="M105" t="s">
        <v>361</v>
      </c>
      <c r="N105" s="7">
        <v>3488</v>
      </c>
      <c r="O105" t="s">
        <v>928</v>
      </c>
      <c r="P105" t="s">
        <v>929</v>
      </c>
      <c r="S105" t="s">
        <v>800</v>
      </c>
      <c r="T105" t="s">
        <v>797</v>
      </c>
      <c r="U105" t="s">
        <v>550</v>
      </c>
      <c r="V105" s="8">
        <v>0</v>
      </c>
      <c r="W105" s="7">
        <v>587586</v>
      </c>
      <c r="X105" t="s">
        <v>256</v>
      </c>
      <c r="Y105" s="8">
        <v>0</v>
      </c>
      <c r="Z105" s="8">
        <v>0</v>
      </c>
      <c r="AA105" s="8">
        <v>0</v>
      </c>
      <c r="AB105" s="7">
        <v>111053</v>
      </c>
      <c r="AC105" t="s">
        <v>256</v>
      </c>
      <c r="AD105" s="8">
        <v>0</v>
      </c>
      <c r="AG105" t="s">
        <v>823</v>
      </c>
      <c r="AH105" t="s">
        <v>802</v>
      </c>
      <c r="AI105" t="s">
        <v>803</v>
      </c>
    </row>
    <row r="106" spans="1:35" hidden="1">
      <c r="A106" s="7">
        <v>105</v>
      </c>
      <c r="B106" t="s">
        <v>243</v>
      </c>
      <c r="C106" t="s">
        <v>244</v>
      </c>
      <c r="D106" s="7">
        <v>7134</v>
      </c>
      <c r="E106" t="s">
        <v>245</v>
      </c>
      <c r="F106" t="s">
        <v>246</v>
      </c>
      <c r="G106" t="s">
        <v>1191</v>
      </c>
      <c r="H106" t="s">
        <v>839</v>
      </c>
      <c r="I106" s="7">
        <v>1168</v>
      </c>
      <c r="J106" s="7">
        <v>33121</v>
      </c>
      <c r="K106" s="7">
        <v>12</v>
      </c>
      <c r="L106" t="s">
        <v>247</v>
      </c>
      <c r="M106" t="s">
        <v>267</v>
      </c>
      <c r="N106" s="7">
        <v>741382</v>
      </c>
      <c r="O106" t="s">
        <v>1192</v>
      </c>
      <c r="P106" t="s">
        <v>1193</v>
      </c>
      <c r="S106" t="s">
        <v>800</v>
      </c>
      <c r="T106" t="s">
        <v>797</v>
      </c>
      <c r="U106" t="s">
        <v>550</v>
      </c>
      <c r="V106" s="8">
        <v>0</v>
      </c>
      <c r="W106" s="7">
        <v>587586</v>
      </c>
      <c r="X106" t="s">
        <v>256</v>
      </c>
      <c r="Y106" s="8">
        <v>0</v>
      </c>
      <c r="Z106" s="8">
        <v>0</v>
      </c>
      <c r="AA106" s="8">
        <v>0</v>
      </c>
      <c r="AB106" s="7">
        <v>111053</v>
      </c>
      <c r="AC106" t="s">
        <v>256</v>
      </c>
      <c r="AD106" s="8">
        <v>0</v>
      </c>
      <c r="AG106" t="s">
        <v>828</v>
      </c>
      <c r="AH106" t="s">
        <v>802</v>
      </c>
      <c r="AI106" t="s">
        <v>803</v>
      </c>
    </row>
    <row r="107" spans="1:35" hidden="1">
      <c r="A107" s="7">
        <v>106</v>
      </c>
      <c r="B107" t="s">
        <v>243</v>
      </c>
      <c r="C107" t="s">
        <v>244</v>
      </c>
      <c r="D107" s="7">
        <v>7134</v>
      </c>
      <c r="E107" t="s">
        <v>245</v>
      </c>
      <c r="F107" t="s">
        <v>246</v>
      </c>
      <c r="G107" t="s">
        <v>1121</v>
      </c>
      <c r="H107" t="s">
        <v>899</v>
      </c>
      <c r="I107" s="7">
        <v>1165</v>
      </c>
      <c r="J107" s="7">
        <v>19735</v>
      </c>
      <c r="K107" s="7">
        <v>2</v>
      </c>
      <c r="L107" t="s">
        <v>247</v>
      </c>
      <c r="M107" t="s">
        <v>267</v>
      </c>
      <c r="N107" s="7">
        <v>768518</v>
      </c>
      <c r="O107" t="s">
        <v>1122</v>
      </c>
      <c r="P107" t="s">
        <v>1123</v>
      </c>
      <c r="S107" t="s">
        <v>800</v>
      </c>
      <c r="T107" t="s">
        <v>797</v>
      </c>
      <c r="U107" t="s">
        <v>550</v>
      </c>
      <c r="V107" s="8">
        <v>1250</v>
      </c>
      <c r="W107" s="7">
        <v>587586</v>
      </c>
      <c r="X107" t="s">
        <v>256</v>
      </c>
      <c r="Y107" s="8">
        <v>1250</v>
      </c>
      <c r="Z107" s="8">
        <v>1475</v>
      </c>
      <c r="AA107" s="8">
        <v>225</v>
      </c>
      <c r="AB107" s="7">
        <v>111053</v>
      </c>
      <c r="AC107" t="s">
        <v>256</v>
      </c>
      <c r="AD107" s="8">
        <v>0</v>
      </c>
      <c r="AG107" t="s">
        <v>1124</v>
      </c>
      <c r="AH107" t="s">
        <v>802</v>
      </c>
      <c r="AI107" t="s">
        <v>818</v>
      </c>
    </row>
    <row r="108" spans="1:35" hidden="1">
      <c r="A108" s="7">
        <v>107</v>
      </c>
      <c r="B108" t="s">
        <v>243</v>
      </c>
      <c r="C108" t="s">
        <v>244</v>
      </c>
      <c r="D108" s="7">
        <v>7134</v>
      </c>
      <c r="E108" t="s">
        <v>245</v>
      </c>
      <c r="F108" t="s">
        <v>246</v>
      </c>
      <c r="G108" t="s">
        <v>824</v>
      </c>
      <c r="H108" t="s">
        <v>825</v>
      </c>
      <c r="I108" s="7">
        <v>1168</v>
      </c>
      <c r="J108" s="7">
        <v>50000</v>
      </c>
      <c r="K108" s="7">
        <v>5</v>
      </c>
      <c r="L108" t="s">
        <v>247</v>
      </c>
      <c r="M108" t="s">
        <v>267</v>
      </c>
      <c r="N108" s="7">
        <v>1</v>
      </c>
      <c r="O108" t="s">
        <v>826</v>
      </c>
      <c r="P108" t="s">
        <v>827</v>
      </c>
      <c r="S108" t="s">
        <v>800</v>
      </c>
      <c r="T108" t="s">
        <v>797</v>
      </c>
      <c r="U108" t="s">
        <v>550</v>
      </c>
      <c r="V108" s="8">
        <v>1250</v>
      </c>
      <c r="W108" s="7">
        <v>587586</v>
      </c>
      <c r="X108" t="s">
        <v>256</v>
      </c>
      <c r="Y108" s="8">
        <v>1250</v>
      </c>
      <c r="Z108" s="8">
        <v>1475</v>
      </c>
      <c r="AA108" s="8">
        <v>225</v>
      </c>
      <c r="AB108" s="7">
        <v>111053</v>
      </c>
      <c r="AC108" t="s">
        <v>256</v>
      </c>
      <c r="AD108" s="8">
        <v>0</v>
      </c>
      <c r="AG108" t="s">
        <v>828</v>
      </c>
      <c r="AH108" t="s">
        <v>802</v>
      </c>
      <c r="AI108" t="s">
        <v>818</v>
      </c>
    </row>
    <row r="109" spans="1:35" hidden="1">
      <c r="A109" s="7">
        <v>108</v>
      </c>
      <c r="B109" t="s">
        <v>243</v>
      </c>
      <c r="C109" t="s">
        <v>244</v>
      </c>
      <c r="D109" s="7">
        <v>7134</v>
      </c>
      <c r="E109" t="s">
        <v>245</v>
      </c>
      <c r="F109" t="s">
        <v>246</v>
      </c>
      <c r="G109" t="s">
        <v>878</v>
      </c>
      <c r="H109" t="s">
        <v>431</v>
      </c>
      <c r="I109" s="7">
        <v>1165</v>
      </c>
      <c r="J109" s="7">
        <v>30000</v>
      </c>
      <c r="K109" s="7">
        <v>3</v>
      </c>
      <c r="L109" t="s">
        <v>247</v>
      </c>
      <c r="M109" t="s">
        <v>261</v>
      </c>
      <c r="N109" s="7">
        <v>786320</v>
      </c>
      <c r="O109" t="s">
        <v>879</v>
      </c>
      <c r="P109" t="s">
        <v>880</v>
      </c>
      <c r="S109" t="s">
        <v>800</v>
      </c>
      <c r="T109" t="s">
        <v>797</v>
      </c>
      <c r="U109" t="s">
        <v>550</v>
      </c>
      <c r="V109" s="8">
        <v>1250</v>
      </c>
      <c r="W109" s="7">
        <v>587586</v>
      </c>
      <c r="X109" t="s">
        <v>256</v>
      </c>
      <c r="Y109" s="8">
        <v>1250</v>
      </c>
      <c r="Z109" s="8">
        <v>1475</v>
      </c>
      <c r="AA109" s="8">
        <v>225</v>
      </c>
      <c r="AB109" s="7">
        <v>111053</v>
      </c>
      <c r="AC109" t="s">
        <v>256</v>
      </c>
      <c r="AD109" s="8">
        <v>0</v>
      </c>
      <c r="AG109" t="s">
        <v>801</v>
      </c>
      <c r="AH109" t="s">
        <v>802</v>
      </c>
      <c r="AI109" t="s">
        <v>818</v>
      </c>
    </row>
    <row r="110" spans="1:35" hidden="1">
      <c r="A110" s="7">
        <v>109</v>
      </c>
      <c r="B110" t="s">
        <v>243</v>
      </c>
      <c r="C110" t="s">
        <v>244</v>
      </c>
      <c r="D110" s="7">
        <v>7134</v>
      </c>
      <c r="E110" t="s">
        <v>245</v>
      </c>
      <c r="F110" t="s">
        <v>246</v>
      </c>
      <c r="G110" t="s">
        <v>1032</v>
      </c>
      <c r="H110" t="s">
        <v>899</v>
      </c>
      <c r="I110" s="7">
        <v>1165</v>
      </c>
      <c r="J110" s="7">
        <v>76000</v>
      </c>
      <c r="K110" s="7">
        <v>9</v>
      </c>
      <c r="L110" t="s">
        <v>247</v>
      </c>
      <c r="M110" t="s">
        <v>261</v>
      </c>
      <c r="N110" s="7">
        <v>752799</v>
      </c>
      <c r="O110" t="s">
        <v>1033</v>
      </c>
      <c r="P110" t="s">
        <v>1034</v>
      </c>
      <c r="S110" t="s">
        <v>800</v>
      </c>
      <c r="T110" t="s">
        <v>797</v>
      </c>
      <c r="U110" t="s">
        <v>550</v>
      </c>
      <c r="V110" s="8">
        <v>0</v>
      </c>
      <c r="W110" s="7">
        <v>587586</v>
      </c>
      <c r="X110" t="s">
        <v>256</v>
      </c>
      <c r="Y110" s="8">
        <v>0</v>
      </c>
      <c r="Z110" s="8">
        <v>0</v>
      </c>
      <c r="AA110" s="8">
        <v>0</v>
      </c>
      <c r="AB110" s="7">
        <v>111053</v>
      </c>
      <c r="AC110" t="s">
        <v>256</v>
      </c>
      <c r="AD110" s="8">
        <v>0</v>
      </c>
      <c r="AG110" t="s">
        <v>801</v>
      </c>
      <c r="AH110" t="s">
        <v>802</v>
      </c>
      <c r="AI110" t="s">
        <v>803</v>
      </c>
    </row>
    <row r="111" spans="1:35" hidden="1">
      <c r="A111" s="7">
        <v>110</v>
      </c>
      <c r="B111" t="s">
        <v>243</v>
      </c>
      <c r="C111" t="s">
        <v>244</v>
      </c>
      <c r="D111" s="7">
        <v>7134</v>
      </c>
      <c r="E111" t="s">
        <v>245</v>
      </c>
      <c r="F111" t="s">
        <v>246</v>
      </c>
      <c r="G111" t="s">
        <v>1035</v>
      </c>
      <c r="H111" t="s">
        <v>814</v>
      </c>
      <c r="I111" s="7">
        <v>1165</v>
      </c>
      <c r="J111" s="7">
        <v>28000</v>
      </c>
      <c r="K111" s="7">
        <v>2</v>
      </c>
      <c r="L111" t="s">
        <v>247</v>
      </c>
      <c r="M111" t="s">
        <v>261</v>
      </c>
      <c r="N111" s="7">
        <v>781804</v>
      </c>
      <c r="O111" t="s">
        <v>1036</v>
      </c>
      <c r="P111" t="s">
        <v>1037</v>
      </c>
      <c r="S111" t="s">
        <v>800</v>
      </c>
      <c r="T111" t="s">
        <v>797</v>
      </c>
      <c r="U111" t="s">
        <v>550</v>
      </c>
      <c r="V111" s="8">
        <v>1250</v>
      </c>
      <c r="W111" s="7">
        <v>587586</v>
      </c>
      <c r="X111" t="s">
        <v>256</v>
      </c>
      <c r="Y111" s="8">
        <v>1250</v>
      </c>
      <c r="Z111" s="8">
        <v>1475</v>
      </c>
      <c r="AA111" s="8">
        <v>225</v>
      </c>
      <c r="AB111" s="7">
        <v>111053</v>
      </c>
      <c r="AC111" t="s">
        <v>256</v>
      </c>
      <c r="AD111" s="8">
        <v>0</v>
      </c>
      <c r="AG111" t="s">
        <v>817</v>
      </c>
      <c r="AH111" t="s">
        <v>802</v>
      </c>
      <c r="AI111" t="s">
        <v>818</v>
      </c>
    </row>
    <row r="112" spans="1:35" hidden="1">
      <c r="A112" s="7">
        <v>111</v>
      </c>
      <c r="B112" t="s">
        <v>243</v>
      </c>
      <c r="C112" t="s">
        <v>244</v>
      </c>
      <c r="D112" s="7">
        <v>7134</v>
      </c>
      <c r="E112" t="s">
        <v>245</v>
      </c>
      <c r="F112" t="s">
        <v>246</v>
      </c>
      <c r="G112" t="s">
        <v>875</v>
      </c>
      <c r="H112" t="s">
        <v>419</v>
      </c>
      <c r="I112" s="7">
        <v>910</v>
      </c>
      <c r="J112" s="7">
        <v>30700</v>
      </c>
      <c r="K112" s="7">
        <v>5</v>
      </c>
      <c r="L112" t="s">
        <v>247</v>
      </c>
      <c r="M112" t="s">
        <v>261</v>
      </c>
      <c r="N112" s="7">
        <v>775649</v>
      </c>
      <c r="O112" t="s">
        <v>876</v>
      </c>
      <c r="P112" t="s">
        <v>877</v>
      </c>
      <c r="S112" t="s">
        <v>800</v>
      </c>
      <c r="T112" t="s">
        <v>797</v>
      </c>
      <c r="U112" t="s">
        <v>550</v>
      </c>
      <c r="V112" s="8">
        <v>1250</v>
      </c>
      <c r="W112" s="7">
        <v>587586</v>
      </c>
      <c r="X112" t="s">
        <v>256</v>
      </c>
      <c r="Y112" s="8">
        <v>1250</v>
      </c>
      <c r="Z112" s="8">
        <v>1475</v>
      </c>
      <c r="AA112" s="8">
        <v>225</v>
      </c>
      <c r="AB112" s="7">
        <v>111053</v>
      </c>
      <c r="AC112" t="s">
        <v>256</v>
      </c>
      <c r="AD112" s="8">
        <v>0</v>
      </c>
      <c r="AG112" t="s">
        <v>801</v>
      </c>
      <c r="AH112" t="s">
        <v>802</v>
      </c>
      <c r="AI112" t="s">
        <v>818</v>
      </c>
    </row>
    <row r="113" spans="1:35" hidden="1">
      <c r="A113" s="7">
        <v>112</v>
      </c>
      <c r="B113" t="s">
        <v>243</v>
      </c>
      <c r="C113" t="s">
        <v>244</v>
      </c>
      <c r="D113" s="7">
        <v>7134</v>
      </c>
      <c r="E113" t="s">
        <v>245</v>
      </c>
      <c r="F113" t="s">
        <v>246</v>
      </c>
      <c r="G113" t="s">
        <v>891</v>
      </c>
      <c r="H113" t="s">
        <v>805</v>
      </c>
      <c r="I113" s="7">
        <v>1165</v>
      </c>
      <c r="J113" s="7">
        <v>23805</v>
      </c>
      <c r="K113" s="7">
        <v>3</v>
      </c>
      <c r="L113" t="s">
        <v>247</v>
      </c>
      <c r="M113" t="s">
        <v>261</v>
      </c>
      <c r="N113" s="7">
        <v>785110</v>
      </c>
      <c r="O113" t="s">
        <v>892</v>
      </c>
      <c r="P113" t="s">
        <v>893</v>
      </c>
      <c r="S113" t="s">
        <v>800</v>
      </c>
      <c r="T113" t="s">
        <v>797</v>
      </c>
      <c r="U113" t="s">
        <v>550</v>
      </c>
      <c r="V113" s="8">
        <v>1250</v>
      </c>
      <c r="W113" s="7">
        <v>587586</v>
      </c>
      <c r="X113" t="s">
        <v>256</v>
      </c>
      <c r="Y113" s="8">
        <v>1250</v>
      </c>
      <c r="Z113" s="8">
        <v>1475</v>
      </c>
      <c r="AA113" s="8">
        <v>225</v>
      </c>
      <c r="AB113" s="7">
        <v>111053</v>
      </c>
      <c r="AC113" t="s">
        <v>256</v>
      </c>
      <c r="AD113" s="8">
        <v>0</v>
      </c>
      <c r="AG113" t="s">
        <v>801</v>
      </c>
      <c r="AH113" t="s">
        <v>802</v>
      </c>
      <c r="AI113" t="s">
        <v>818</v>
      </c>
    </row>
    <row r="114" spans="1:35" hidden="1">
      <c r="A114" s="7">
        <v>113</v>
      </c>
      <c r="B114" t="s">
        <v>243</v>
      </c>
      <c r="C114" t="s">
        <v>244</v>
      </c>
      <c r="D114" s="7">
        <v>7134</v>
      </c>
      <c r="E114" t="s">
        <v>245</v>
      </c>
      <c r="F114" t="s">
        <v>246</v>
      </c>
      <c r="G114" t="s">
        <v>1038</v>
      </c>
      <c r="H114" t="s">
        <v>934</v>
      </c>
      <c r="I114" s="7">
        <v>1165</v>
      </c>
      <c r="J114" s="7">
        <v>40000</v>
      </c>
      <c r="K114" s="7">
        <v>4</v>
      </c>
      <c r="L114" t="s">
        <v>247</v>
      </c>
      <c r="M114" t="s">
        <v>361</v>
      </c>
      <c r="N114" s="7">
        <v>3248</v>
      </c>
      <c r="O114" t="s">
        <v>1039</v>
      </c>
      <c r="P114" t="s">
        <v>1040</v>
      </c>
      <c r="S114" t="s">
        <v>800</v>
      </c>
      <c r="T114" t="s">
        <v>797</v>
      </c>
      <c r="U114" t="s">
        <v>550</v>
      </c>
      <c r="V114" s="8">
        <v>0</v>
      </c>
      <c r="W114" s="7">
        <v>587586</v>
      </c>
      <c r="X114" t="s">
        <v>256</v>
      </c>
      <c r="Y114" s="8">
        <v>0</v>
      </c>
      <c r="Z114" s="8">
        <v>0</v>
      </c>
      <c r="AA114" s="8">
        <v>0</v>
      </c>
      <c r="AB114" s="7">
        <v>111053</v>
      </c>
      <c r="AC114" t="s">
        <v>256</v>
      </c>
      <c r="AD114" s="8">
        <v>0</v>
      </c>
      <c r="AG114" t="s">
        <v>823</v>
      </c>
      <c r="AH114" t="s">
        <v>802</v>
      </c>
      <c r="AI114" t="s">
        <v>803</v>
      </c>
    </row>
    <row r="115" spans="1:35" hidden="1">
      <c r="A115" s="7">
        <v>114</v>
      </c>
      <c r="B115" t="s">
        <v>243</v>
      </c>
      <c r="C115" t="s">
        <v>244</v>
      </c>
      <c r="D115" s="7">
        <v>7134</v>
      </c>
      <c r="E115" t="s">
        <v>245</v>
      </c>
      <c r="F115" t="s">
        <v>246</v>
      </c>
      <c r="G115" t="s">
        <v>1041</v>
      </c>
      <c r="H115" t="s">
        <v>853</v>
      </c>
      <c r="I115" s="7">
        <v>1165</v>
      </c>
      <c r="J115" s="7">
        <v>9846</v>
      </c>
      <c r="K115" s="7">
        <v>1</v>
      </c>
      <c r="L115" t="s">
        <v>247</v>
      </c>
      <c r="M115" t="s">
        <v>267</v>
      </c>
      <c r="N115" s="7">
        <v>789619</v>
      </c>
      <c r="O115" t="s">
        <v>1042</v>
      </c>
      <c r="P115" t="s">
        <v>1043</v>
      </c>
      <c r="Q115" t="s">
        <v>870</v>
      </c>
      <c r="R115" t="s">
        <v>871</v>
      </c>
      <c r="S115" t="s">
        <v>800</v>
      </c>
      <c r="T115" t="s">
        <v>797</v>
      </c>
      <c r="U115" t="s">
        <v>550</v>
      </c>
      <c r="V115" s="8">
        <v>1250</v>
      </c>
      <c r="W115" s="7">
        <v>587586</v>
      </c>
      <c r="X115" t="s">
        <v>256</v>
      </c>
      <c r="Y115" s="8">
        <v>1000</v>
      </c>
      <c r="Z115" s="8">
        <v>1475</v>
      </c>
      <c r="AA115" s="8">
        <v>225</v>
      </c>
      <c r="AB115" s="7">
        <v>111053</v>
      </c>
      <c r="AC115" t="s">
        <v>256</v>
      </c>
      <c r="AD115" s="8">
        <v>250</v>
      </c>
      <c r="AG115" t="s">
        <v>828</v>
      </c>
      <c r="AH115" t="s">
        <v>802</v>
      </c>
      <c r="AI115" t="s">
        <v>818</v>
      </c>
    </row>
    <row r="116" spans="1:35" hidden="1">
      <c r="A116" s="7">
        <v>115</v>
      </c>
      <c r="B116" t="s">
        <v>243</v>
      </c>
      <c r="C116" t="s">
        <v>244</v>
      </c>
      <c r="D116" s="7">
        <v>7134</v>
      </c>
      <c r="E116" t="s">
        <v>245</v>
      </c>
      <c r="F116" t="s">
        <v>246</v>
      </c>
      <c r="G116" t="s">
        <v>849</v>
      </c>
      <c r="H116" t="s">
        <v>797</v>
      </c>
      <c r="I116" s="7">
        <v>1165</v>
      </c>
      <c r="J116" s="7">
        <v>29410</v>
      </c>
      <c r="K116" s="7">
        <v>3</v>
      </c>
      <c r="L116" t="s">
        <v>247</v>
      </c>
      <c r="M116" t="s">
        <v>261</v>
      </c>
      <c r="N116" s="7">
        <v>787042</v>
      </c>
      <c r="O116" t="s">
        <v>850</v>
      </c>
      <c r="P116" t="s">
        <v>851</v>
      </c>
      <c r="S116" t="s">
        <v>800</v>
      </c>
      <c r="T116" t="s">
        <v>797</v>
      </c>
      <c r="U116" t="s">
        <v>550</v>
      </c>
      <c r="V116" s="8">
        <v>1250</v>
      </c>
      <c r="W116" s="7">
        <v>587586</v>
      </c>
      <c r="X116" t="s">
        <v>256</v>
      </c>
      <c r="Y116" s="8">
        <v>1250</v>
      </c>
      <c r="Z116" s="8">
        <v>1475</v>
      </c>
      <c r="AA116" s="8">
        <v>225</v>
      </c>
      <c r="AB116" s="7">
        <v>111053</v>
      </c>
      <c r="AC116" t="s">
        <v>256</v>
      </c>
      <c r="AD116" s="8">
        <v>0</v>
      </c>
      <c r="AG116" t="s">
        <v>801</v>
      </c>
      <c r="AH116" t="s">
        <v>802</v>
      </c>
      <c r="AI116" t="s">
        <v>818</v>
      </c>
    </row>
    <row r="117" spans="1:35" hidden="1">
      <c r="A117" s="7">
        <v>116</v>
      </c>
      <c r="B117" t="s">
        <v>243</v>
      </c>
      <c r="C117" t="s">
        <v>244</v>
      </c>
      <c r="D117" s="7">
        <v>7134</v>
      </c>
      <c r="E117" t="s">
        <v>245</v>
      </c>
      <c r="F117" t="s">
        <v>246</v>
      </c>
      <c r="G117" t="s">
        <v>1185</v>
      </c>
      <c r="H117" t="s">
        <v>970</v>
      </c>
      <c r="I117" s="7">
        <v>1165</v>
      </c>
      <c r="J117" s="7">
        <v>60000</v>
      </c>
      <c r="K117" s="7">
        <v>6</v>
      </c>
      <c r="L117" t="s">
        <v>247</v>
      </c>
      <c r="M117" t="s">
        <v>267</v>
      </c>
      <c r="N117" s="7">
        <v>767302</v>
      </c>
      <c r="O117" t="s">
        <v>1186</v>
      </c>
      <c r="P117" t="s">
        <v>1187</v>
      </c>
      <c r="S117" t="s">
        <v>800</v>
      </c>
      <c r="T117" t="s">
        <v>797</v>
      </c>
      <c r="U117" t="s">
        <v>550</v>
      </c>
      <c r="V117" s="8">
        <v>0</v>
      </c>
      <c r="W117" s="7">
        <v>587586</v>
      </c>
      <c r="X117" t="s">
        <v>256</v>
      </c>
      <c r="Y117" s="8">
        <v>0</v>
      </c>
      <c r="Z117" s="8">
        <v>0</v>
      </c>
      <c r="AA117" s="8">
        <v>0</v>
      </c>
      <c r="AB117" s="7">
        <v>111053</v>
      </c>
      <c r="AC117" t="s">
        <v>256</v>
      </c>
      <c r="AD117" s="8">
        <v>0</v>
      </c>
      <c r="AG117" t="s">
        <v>828</v>
      </c>
      <c r="AH117" t="s">
        <v>802</v>
      </c>
      <c r="AI117" t="s">
        <v>803</v>
      </c>
    </row>
    <row r="118" spans="1:35" hidden="1">
      <c r="A118" s="7">
        <v>117</v>
      </c>
      <c r="B118" t="s">
        <v>243</v>
      </c>
      <c r="C118" t="s">
        <v>244</v>
      </c>
      <c r="D118" s="7">
        <v>7134</v>
      </c>
      <c r="E118" t="s">
        <v>245</v>
      </c>
      <c r="F118" t="s">
        <v>246</v>
      </c>
      <c r="G118" t="s">
        <v>884</v>
      </c>
      <c r="H118" t="s">
        <v>885</v>
      </c>
      <c r="I118" s="7">
        <v>1165</v>
      </c>
      <c r="J118" s="7">
        <v>46270</v>
      </c>
      <c r="K118" s="7">
        <v>5</v>
      </c>
      <c r="L118" t="s">
        <v>247</v>
      </c>
      <c r="M118" t="s">
        <v>361</v>
      </c>
      <c r="N118" s="7">
        <v>1810</v>
      </c>
      <c r="O118" t="s">
        <v>886</v>
      </c>
      <c r="P118" t="s">
        <v>887</v>
      </c>
      <c r="S118" t="s">
        <v>800</v>
      </c>
      <c r="T118" t="s">
        <v>797</v>
      </c>
      <c r="U118" t="s">
        <v>550</v>
      </c>
      <c r="V118" s="8">
        <v>1650</v>
      </c>
      <c r="W118" s="7">
        <v>587586</v>
      </c>
      <c r="X118" t="s">
        <v>256</v>
      </c>
      <c r="Y118" s="8">
        <v>1650</v>
      </c>
      <c r="Z118" s="8">
        <v>1947</v>
      </c>
      <c r="AA118" s="8">
        <v>297</v>
      </c>
      <c r="AB118" s="7">
        <v>111053</v>
      </c>
      <c r="AC118" t="s">
        <v>256</v>
      </c>
      <c r="AD118" s="8">
        <v>0</v>
      </c>
      <c r="AG118" t="s">
        <v>823</v>
      </c>
      <c r="AH118" t="s">
        <v>802</v>
      </c>
      <c r="AI118" t="s">
        <v>818</v>
      </c>
    </row>
    <row r="119" spans="1:35" hidden="1">
      <c r="A119" s="7">
        <v>118</v>
      </c>
      <c r="B119" t="s">
        <v>243</v>
      </c>
      <c r="C119" t="s">
        <v>244</v>
      </c>
      <c r="D119" s="7">
        <v>7134</v>
      </c>
      <c r="E119" t="s">
        <v>245</v>
      </c>
      <c r="F119" t="s">
        <v>246</v>
      </c>
      <c r="G119" t="s">
        <v>1098</v>
      </c>
      <c r="H119" t="s">
        <v>895</v>
      </c>
      <c r="I119" s="7">
        <v>1165</v>
      </c>
      <c r="J119" s="7">
        <v>70000</v>
      </c>
      <c r="K119" s="7">
        <v>7</v>
      </c>
      <c r="L119" t="s">
        <v>247</v>
      </c>
      <c r="M119" t="s">
        <v>361</v>
      </c>
      <c r="N119" s="7">
        <v>2135</v>
      </c>
      <c r="O119" t="s">
        <v>1099</v>
      </c>
      <c r="P119" t="s">
        <v>1100</v>
      </c>
      <c r="S119" t="s">
        <v>800</v>
      </c>
      <c r="T119" t="s">
        <v>797</v>
      </c>
      <c r="U119" t="s">
        <v>550</v>
      </c>
      <c r="V119" s="8">
        <v>1650</v>
      </c>
      <c r="W119" s="7">
        <v>587586</v>
      </c>
      <c r="X119" t="s">
        <v>256</v>
      </c>
      <c r="Y119" s="8">
        <v>1650</v>
      </c>
      <c r="Z119" s="8">
        <v>1947</v>
      </c>
      <c r="AA119" s="8">
        <v>297</v>
      </c>
      <c r="AB119" s="7">
        <v>111053</v>
      </c>
      <c r="AC119" t="s">
        <v>256</v>
      </c>
      <c r="AD119" s="8">
        <v>0</v>
      </c>
      <c r="AG119" t="s">
        <v>823</v>
      </c>
      <c r="AH119" t="s">
        <v>802</v>
      </c>
      <c r="AI119" t="s">
        <v>818</v>
      </c>
    </row>
    <row r="120" spans="1:35" hidden="1">
      <c r="A120" s="7">
        <v>119</v>
      </c>
      <c r="B120" t="s">
        <v>243</v>
      </c>
      <c r="C120" t="s">
        <v>244</v>
      </c>
      <c r="D120" s="7">
        <v>7134</v>
      </c>
      <c r="E120" t="s">
        <v>245</v>
      </c>
      <c r="F120" t="s">
        <v>246</v>
      </c>
      <c r="G120" t="s">
        <v>957</v>
      </c>
      <c r="H120" t="s">
        <v>846</v>
      </c>
      <c r="I120" s="7">
        <v>1165</v>
      </c>
      <c r="J120" s="7">
        <v>29240</v>
      </c>
      <c r="K120" s="7">
        <v>3</v>
      </c>
      <c r="L120" t="s">
        <v>247</v>
      </c>
      <c r="M120" t="s">
        <v>361</v>
      </c>
      <c r="N120" s="7">
        <v>5342</v>
      </c>
      <c r="O120" t="s">
        <v>1209</v>
      </c>
      <c r="P120" t="s">
        <v>1210</v>
      </c>
      <c r="S120" t="s">
        <v>800</v>
      </c>
      <c r="T120" t="s">
        <v>797</v>
      </c>
      <c r="U120" t="s">
        <v>550</v>
      </c>
      <c r="V120" s="8">
        <v>1650</v>
      </c>
      <c r="W120" s="7">
        <v>587586</v>
      </c>
      <c r="X120" t="s">
        <v>256</v>
      </c>
      <c r="Y120" s="8">
        <v>1650</v>
      </c>
      <c r="Z120" s="8">
        <v>1947</v>
      </c>
      <c r="AA120" s="8">
        <v>297</v>
      </c>
      <c r="AB120" s="7">
        <v>111053</v>
      </c>
      <c r="AC120" t="s">
        <v>256</v>
      </c>
      <c r="AD120" s="8">
        <v>0</v>
      </c>
      <c r="AG120" t="s">
        <v>823</v>
      </c>
      <c r="AH120" t="s">
        <v>802</v>
      </c>
      <c r="AI120" t="s">
        <v>818</v>
      </c>
    </row>
    <row r="121" spans="1:35" hidden="1">
      <c r="A121" s="7">
        <v>120</v>
      </c>
      <c r="B121" t="s">
        <v>243</v>
      </c>
      <c r="C121" t="s">
        <v>244</v>
      </c>
      <c r="D121" s="7">
        <v>7134</v>
      </c>
      <c r="E121" t="s">
        <v>245</v>
      </c>
      <c r="F121" t="s">
        <v>246</v>
      </c>
      <c r="G121" t="s">
        <v>1072</v>
      </c>
      <c r="H121" t="s">
        <v>917</v>
      </c>
      <c r="I121" s="7">
        <v>1165</v>
      </c>
      <c r="J121" s="7">
        <v>50000</v>
      </c>
      <c r="K121" s="7">
        <v>5</v>
      </c>
      <c r="L121" t="s">
        <v>247</v>
      </c>
      <c r="M121" t="s">
        <v>261</v>
      </c>
      <c r="N121" s="7">
        <v>775225</v>
      </c>
      <c r="O121" t="s">
        <v>1211</v>
      </c>
      <c r="P121" t="s">
        <v>1212</v>
      </c>
      <c r="S121" t="s">
        <v>800</v>
      </c>
      <c r="T121" t="s">
        <v>797</v>
      </c>
      <c r="U121" t="s">
        <v>550</v>
      </c>
      <c r="V121" s="8">
        <v>1250</v>
      </c>
      <c r="W121" s="7">
        <v>587586</v>
      </c>
      <c r="X121" t="s">
        <v>256</v>
      </c>
      <c r="Y121" s="8">
        <v>1250</v>
      </c>
      <c r="Z121" s="8">
        <v>1475</v>
      </c>
      <c r="AA121" s="8">
        <v>225</v>
      </c>
      <c r="AB121" s="7">
        <v>111053</v>
      </c>
      <c r="AC121" t="s">
        <v>256</v>
      </c>
      <c r="AD121" s="8">
        <v>0</v>
      </c>
      <c r="AG121" t="s">
        <v>801</v>
      </c>
      <c r="AH121" t="s">
        <v>802</v>
      </c>
      <c r="AI121" t="s">
        <v>818</v>
      </c>
    </row>
    <row r="122" spans="1:35" hidden="1">
      <c r="A122" s="7">
        <v>121</v>
      </c>
      <c r="B122" t="s">
        <v>243</v>
      </c>
      <c r="C122" t="s">
        <v>244</v>
      </c>
      <c r="D122" s="7">
        <v>7134</v>
      </c>
      <c r="E122" t="s">
        <v>245</v>
      </c>
      <c r="F122" t="s">
        <v>246</v>
      </c>
      <c r="G122" t="s">
        <v>898</v>
      </c>
      <c r="H122" t="s">
        <v>839</v>
      </c>
      <c r="I122" s="7">
        <v>1165</v>
      </c>
      <c r="J122" s="7">
        <v>19900</v>
      </c>
      <c r="K122" s="7">
        <v>2</v>
      </c>
      <c r="L122" t="s">
        <v>247</v>
      </c>
      <c r="M122" t="s">
        <v>361</v>
      </c>
      <c r="N122" s="7">
        <v>5355</v>
      </c>
      <c r="O122" t="s">
        <v>1213</v>
      </c>
      <c r="P122" t="s">
        <v>1214</v>
      </c>
      <c r="S122" t="s">
        <v>800</v>
      </c>
      <c r="T122" t="s">
        <v>797</v>
      </c>
      <c r="U122" t="s">
        <v>550</v>
      </c>
      <c r="V122" s="8">
        <v>0</v>
      </c>
      <c r="W122" s="7">
        <v>587586</v>
      </c>
      <c r="X122" t="s">
        <v>256</v>
      </c>
      <c r="Y122" s="8">
        <v>0</v>
      </c>
      <c r="Z122" s="8">
        <v>0</v>
      </c>
      <c r="AA122" s="8">
        <v>0</v>
      </c>
      <c r="AB122" s="7">
        <v>111053</v>
      </c>
      <c r="AC122" t="s">
        <v>256</v>
      </c>
      <c r="AD122" s="8">
        <v>0</v>
      </c>
      <c r="AG122" t="s">
        <v>823</v>
      </c>
      <c r="AH122" t="s">
        <v>802</v>
      </c>
      <c r="AI122" t="s">
        <v>803</v>
      </c>
    </row>
    <row r="123" spans="1:35" hidden="1">
      <c r="A123" s="7">
        <v>122</v>
      </c>
      <c r="B123" t="s">
        <v>243</v>
      </c>
      <c r="C123" t="s">
        <v>244</v>
      </c>
      <c r="D123" s="7">
        <v>7134</v>
      </c>
      <c r="E123" t="s">
        <v>245</v>
      </c>
      <c r="F123" t="s">
        <v>246</v>
      </c>
      <c r="G123" t="s">
        <v>861</v>
      </c>
      <c r="H123" t="s">
        <v>797</v>
      </c>
      <c r="I123" s="7">
        <v>1165</v>
      </c>
      <c r="J123" s="7">
        <v>50000</v>
      </c>
      <c r="K123" s="7">
        <v>5</v>
      </c>
      <c r="L123" t="s">
        <v>247</v>
      </c>
      <c r="M123" t="s">
        <v>252</v>
      </c>
      <c r="N123" s="7">
        <v>323056</v>
      </c>
      <c r="O123" t="s">
        <v>991</v>
      </c>
      <c r="P123" t="s">
        <v>992</v>
      </c>
      <c r="S123" t="s">
        <v>800</v>
      </c>
      <c r="T123" t="s">
        <v>797</v>
      </c>
      <c r="U123" t="s">
        <v>550</v>
      </c>
      <c r="V123" s="8">
        <v>1250</v>
      </c>
      <c r="W123" s="7">
        <v>587586</v>
      </c>
      <c r="X123" t="s">
        <v>256</v>
      </c>
      <c r="Y123" s="8">
        <v>1250</v>
      </c>
      <c r="Z123" s="8">
        <v>1475</v>
      </c>
      <c r="AA123" s="8">
        <v>225</v>
      </c>
      <c r="AB123" s="7">
        <v>111053</v>
      </c>
      <c r="AC123" t="s">
        <v>256</v>
      </c>
      <c r="AD123" s="8">
        <v>0</v>
      </c>
      <c r="AG123" t="s">
        <v>937</v>
      </c>
      <c r="AH123" t="s">
        <v>802</v>
      </c>
      <c r="AI123" t="s">
        <v>818</v>
      </c>
    </row>
    <row r="124" spans="1:35" hidden="1">
      <c r="A124" s="7">
        <v>123</v>
      </c>
      <c r="B124" t="s">
        <v>243</v>
      </c>
      <c r="C124" t="s">
        <v>244</v>
      </c>
      <c r="D124" s="7">
        <v>7134</v>
      </c>
      <c r="E124" t="s">
        <v>245</v>
      </c>
      <c r="F124" t="s">
        <v>246</v>
      </c>
      <c r="G124" t="s">
        <v>1159</v>
      </c>
      <c r="H124" t="s">
        <v>419</v>
      </c>
      <c r="I124" s="7">
        <v>1165</v>
      </c>
      <c r="J124" s="7">
        <v>40000</v>
      </c>
      <c r="K124" s="7">
        <v>4</v>
      </c>
      <c r="L124" t="s">
        <v>247</v>
      </c>
      <c r="M124" t="s">
        <v>261</v>
      </c>
      <c r="N124" s="7">
        <v>774647</v>
      </c>
      <c r="O124" t="s">
        <v>1160</v>
      </c>
      <c r="P124" t="s">
        <v>1161</v>
      </c>
      <c r="S124" t="s">
        <v>800</v>
      </c>
      <c r="T124" t="s">
        <v>797</v>
      </c>
      <c r="U124" t="s">
        <v>550</v>
      </c>
      <c r="V124" s="8">
        <v>0</v>
      </c>
      <c r="W124" s="7">
        <v>587586</v>
      </c>
      <c r="X124" t="s">
        <v>256</v>
      </c>
      <c r="Y124" s="8">
        <v>0</v>
      </c>
      <c r="Z124" s="8">
        <v>0</v>
      </c>
      <c r="AA124" s="8">
        <v>0</v>
      </c>
      <c r="AB124" s="7">
        <v>111053</v>
      </c>
      <c r="AC124" t="s">
        <v>256</v>
      </c>
      <c r="AD124" s="8">
        <v>0</v>
      </c>
      <c r="AG124" t="s">
        <v>801</v>
      </c>
      <c r="AH124" t="s">
        <v>802</v>
      </c>
      <c r="AI124" t="s">
        <v>803</v>
      </c>
    </row>
    <row r="125" spans="1:35" hidden="1">
      <c r="A125" s="7">
        <v>124</v>
      </c>
      <c r="B125" t="s">
        <v>243</v>
      </c>
      <c r="C125" t="s">
        <v>244</v>
      </c>
      <c r="D125" s="7">
        <v>7134</v>
      </c>
      <c r="E125" t="s">
        <v>245</v>
      </c>
      <c r="F125" t="s">
        <v>246</v>
      </c>
      <c r="G125" t="s">
        <v>1162</v>
      </c>
      <c r="H125" t="s">
        <v>899</v>
      </c>
      <c r="I125" s="7">
        <v>1165</v>
      </c>
      <c r="J125" s="7">
        <v>98804</v>
      </c>
      <c r="K125" s="7">
        <v>10</v>
      </c>
      <c r="L125" t="s">
        <v>247</v>
      </c>
      <c r="M125" t="s">
        <v>267</v>
      </c>
      <c r="N125" s="7">
        <v>758119</v>
      </c>
      <c r="O125" t="s">
        <v>1163</v>
      </c>
      <c r="P125" t="s">
        <v>1164</v>
      </c>
      <c r="S125" t="s">
        <v>800</v>
      </c>
      <c r="T125" t="s">
        <v>797</v>
      </c>
      <c r="U125" t="s">
        <v>550</v>
      </c>
      <c r="V125" s="8">
        <v>0</v>
      </c>
      <c r="W125" s="7">
        <v>587586</v>
      </c>
      <c r="X125" t="s">
        <v>256</v>
      </c>
      <c r="Y125" s="8">
        <v>0</v>
      </c>
      <c r="Z125" s="8">
        <v>0</v>
      </c>
      <c r="AA125" s="8">
        <v>0</v>
      </c>
      <c r="AB125" s="7">
        <v>111053</v>
      </c>
      <c r="AC125" t="s">
        <v>256</v>
      </c>
      <c r="AD125" s="8">
        <v>0</v>
      </c>
      <c r="AG125" t="s">
        <v>828</v>
      </c>
      <c r="AH125" t="s">
        <v>802</v>
      </c>
      <c r="AI125" t="s">
        <v>803</v>
      </c>
    </row>
    <row r="126" spans="1:35" hidden="1">
      <c r="A126" s="7">
        <v>125</v>
      </c>
      <c r="B126" t="s">
        <v>243</v>
      </c>
      <c r="C126" t="s">
        <v>244</v>
      </c>
      <c r="D126" s="7">
        <v>7134</v>
      </c>
      <c r="E126" t="s">
        <v>245</v>
      </c>
      <c r="F126" t="s">
        <v>246</v>
      </c>
      <c r="G126" t="s">
        <v>1056</v>
      </c>
      <c r="H126" t="s">
        <v>917</v>
      </c>
      <c r="I126" s="7">
        <v>1165</v>
      </c>
      <c r="J126" s="7">
        <v>99185</v>
      </c>
      <c r="K126" s="7">
        <v>12</v>
      </c>
      <c r="L126" t="s">
        <v>247</v>
      </c>
      <c r="M126" t="s">
        <v>261</v>
      </c>
      <c r="N126" s="7">
        <v>737766</v>
      </c>
      <c r="O126" t="s">
        <v>1057</v>
      </c>
      <c r="P126" t="s">
        <v>1058</v>
      </c>
      <c r="S126" t="s">
        <v>800</v>
      </c>
      <c r="T126" t="s">
        <v>797</v>
      </c>
      <c r="U126" t="s">
        <v>550</v>
      </c>
      <c r="V126" s="8">
        <v>0</v>
      </c>
      <c r="W126" s="7">
        <v>587586</v>
      </c>
      <c r="X126" t="s">
        <v>256</v>
      </c>
      <c r="Y126" s="8">
        <v>0</v>
      </c>
      <c r="Z126" s="8">
        <v>0</v>
      </c>
      <c r="AA126" s="8">
        <v>0</v>
      </c>
      <c r="AB126" s="7">
        <v>111053</v>
      </c>
      <c r="AC126" t="s">
        <v>256</v>
      </c>
      <c r="AD126" s="8">
        <v>0</v>
      </c>
      <c r="AG126" t="s">
        <v>801</v>
      </c>
      <c r="AH126" t="s">
        <v>802</v>
      </c>
      <c r="AI126" t="s">
        <v>803</v>
      </c>
    </row>
    <row r="127" spans="1:35" hidden="1">
      <c r="A127" s="7">
        <v>126</v>
      </c>
      <c r="B127" t="s">
        <v>243</v>
      </c>
      <c r="C127" t="s">
        <v>244</v>
      </c>
      <c r="D127" s="7">
        <v>7134</v>
      </c>
      <c r="E127" t="s">
        <v>245</v>
      </c>
      <c r="F127" t="s">
        <v>246</v>
      </c>
      <c r="G127" t="s">
        <v>1059</v>
      </c>
      <c r="H127" t="s">
        <v>431</v>
      </c>
      <c r="I127" s="7">
        <v>1165</v>
      </c>
      <c r="J127" s="7">
        <v>10000</v>
      </c>
      <c r="K127" s="7">
        <v>1</v>
      </c>
      <c r="L127" t="s">
        <v>247</v>
      </c>
      <c r="M127" t="s">
        <v>361</v>
      </c>
      <c r="N127" s="7">
        <v>4899</v>
      </c>
      <c r="O127" t="s">
        <v>1060</v>
      </c>
      <c r="P127" t="s">
        <v>1061</v>
      </c>
      <c r="Q127" t="s">
        <v>283</v>
      </c>
      <c r="R127" t="s">
        <v>1062</v>
      </c>
      <c r="S127" t="s">
        <v>800</v>
      </c>
      <c r="T127" t="s">
        <v>797</v>
      </c>
      <c r="U127" t="s">
        <v>550</v>
      </c>
      <c r="V127" s="8">
        <v>1650</v>
      </c>
      <c r="W127" s="7">
        <v>587586</v>
      </c>
      <c r="X127" t="s">
        <v>256</v>
      </c>
      <c r="Y127" s="8">
        <v>0</v>
      </c>
      <c r="Z127" s="8">
        <v>1947</v>
      </c>
      <c r="AA127" s="8">
        <v>297</v>
      </c>
      <c r="AB127" s="7">
        <v>111053</v>
      </c>
      <c r="AC127" t="s">
        <v>256</v>
      </c>
      <c r="AD127" s="8">
        <v>1650</v>
      </c>
      <c r="AG127" t="s">
        <v>823</v>
      </c>
      <c r="AH127" t="s">
        <v>802</v>
      </c>
      <c r="AI127" t="s">
        <v>818</v>
      </c>
    </row>
    <row r="128" spans="1:35" hidden="1">
      <c r="A128" s="7">
        <v>127</v>
      </c>
      <c r="B128" t="s">
        <v>243</v>
      </c>
      <c r="C128" t="s">
        <v>244</v>
      </c>
      <c r="D128" s="7">
        <v>7134</v>
      </c>
      <c r="E128" t="s">
        <v>245</v>
      </c>
      <c r="F128" t="s">
        <v>246</v>
      </c>
      <c r="G128" t="s">
        <v>1063</v>
      </c>
      <c r="H128" t="s">
        <v>895</v>
      </c>
      <c r="I128" s="7">
        <v>1165</v>
      </c>
      <c r="J128" s="7">
        <v>39920</v>
      </c>
      <c r="K128" s="7">
        <v>4</v>
      </c>
      <c r="L128" t="s">
        <v>247</v>
      </c>
      <c r="M128" t="s">
        <v>261</v>
      </c>
      <c r="N128" s="7">
        <v>773703</v>
      </c>
      <c r="O128" t="s">
        <v>1064</v>
      </c>
      <c r="P128" t="s">
        <v>1065</v>
      </c>
      <c r="S128" t="s">
        <v>800</v>
      </c>
      <c r="T128" t="s">
        <v>797</v>
      </c>
      <c r="U128" t="s">
        <v>550</v>
      </c>
      <c r="V128" s="8">
        <v>0</v>
      </c>
      <c r="W128" s="7">
        <v>587586</v>
      </c>
      <c r="X128" t="s">
        <v>256</v>
      </c>
      <c r="Y128" s="8">
        <v>0</v>
      </c>
      <c r="Z128" s="8">
        <v>0</v>
      </c>
      <c r="AA128" s="8">
        <v>0</v>
      </c>
      <c r="AB128" s="7">
        <v>111053</v>
      </c>
      <c r="AC128" t="s">
        <v>256</v>
      </c>
      <c r="AD128" s="8">
        <v>0</v>
      </c>
      <c r="AG128" t="s">
        <v>801</v>
      </c>
      <c r="AH128" t="s">
        <v>802</v>
      </c>
      <c r="AI128" t="s">
        <v>803</v>
      </c>
    </row>
    <row r="129" spans="1:35" hidden="1">
      <c r="A129" s="7">
        <v>128</v>
      </c>
      <c r="B129" t="s">
        <v>243</v>
      </c>
      <c r="C129" t="s">
        <v>244</v>
      </c>
      <c r="D129" s="7">
        <v>7134</v>
      </c>
      <c r="E129" t="s">
        <v>245</v>
      </c>
      <c r="F129" t="s">
        <v>246</v>
      </c>
      <c r="G129" t="s">
        <v>819</v>
      </c>
      <c r="H129" t="s">
        <v>839</v>
      </c>
      <c r="I129" s="7">
        <v>1165</v>
      </c>
      <c r="J129" s="7">
        <v>33483</v>
      </c>
      <c r="K129" s="7">
        <v>6</v>
      </c>
      <c r="L129" t="s">
        <v>247</v>
      </c>
      <c r="M129" t="s">
        <v>261</v>
      </c>
      <c r="N129" s="7">
        <v>764717</v>
      </c>
      <c r="O129" t="s">
        <v>856</v>
      </c>
      <c r="P129" t="s">
        <v>857</v>
      </c>
      <c r="S129" t="s">
        <v>800</v>
      </c>
      <c r="T129" t="s">
        <v>797</v>
      </c>
      <c r="U129" t="s">
        <v>550</v>
      </c>
      <c r="V129" s="8">
        <v>0</v>
      </c>
      <c r="W129" s="7">
        <v>587586</v>
      </c>
      <c r="X129" t="s">
        <v>256</v>
      </c>
      <c r="Y129" s="8">
        <v>0</v>
      </c>
      <c r="Z129" s="8">
        <v>0</v>
      </c>
      <c r="AA129" s="8">
        <v>0</v>
      </c>
      <c r="AB129" s="7">
        <v>111053</v>
      </c>
      <c r="AC129" t="s">
        <v>256</v>
      </c>
      <c r="AD129" s="8">
        <v>0</v>
      </c>
      <c r="AG129" t="s">
        <v>801</v>
      </c>
      <c r="AH129" t="s">
        <v>802</v>
      </c>
      <c r="AI129" t="s">
        <v>803</v>
      </c>
    </row>
    <row r="130" spans="1:35" hidden="1">
      <c r="A130" s="7">
        <v>129</v>
      </c>
      <c r="B130" t="s">
        <v>243</v>
      </c>
      <c r="C130" t="s">
        <v>244</v>
      </c>
      <c r="D130" s="7">
        <v>7134</v>
      </c>
      <c r="E130" t="s">
        <v>245</v>
      </c>
      <c r="F130" t="s">
        <v>246</v>
      </c>
      <c r="G130" t="s">
        <v>930</v>
      </c>
      <c r="H130" t="s">
        <v>903</v>
      </c>
      <c r="I130" s="7">
        <v>1165</v>
      </c>
      <c r="J130" s="7">
        <v>31618</v>
      </c>
      <c r="K130" s="7">
        <v>4</v>
      </c>
      <c r="L130" t="s">
        <v>247</v>
      </c>
      <c r="M130" t="s">
        <v>261</v>
      </c>
      <c r="N130" s="7">
        <v>775501</v>
      </c>
      <c r="O130" t="s">
        <v>931</v>
      </c>
      <c r="P130" t="s">
        <v>932</v>
      </c>
      <c r="S130" t="s">
        <v>800</v>
      </c>
      <c r="T130" t="s">
        <v>797</v>
      </c>
      <c r="U130" t="s">
        <v>550</v>
      </c>
      <c r="V130" s="8">
        <v>0</v>
      </c>
      <c r="W130" s="7">
        <v>587586</v>
      </c>
      <c r="X130" t="s">
        <v>256</v>
      </c>
      <c r="Y130" s="8">
        <v>0</v>
      </c>
      <c r="Z130" s="8">
        <v>0</v>
      </c>
      <c r="AA130" s="8">
        <v>0</v>
      </c>
      <c r="AB130" s="7">
        <v>111053</v>
      </c>
      <c r="AC130" t="s">
        <v>256</v>
      </c>
      <c r="AD130" s="8">
        <v>0</v>
      </c>
      <c r="AG130" t="s">
        <v>801</v>
      </c>
      <c r="AH130" t="s">
        <v>802</v>
      </c>
      <c r="AI130" t="s">
        <v>803</v>
      </c>
    </row>
    <row r="131" spans="1:35" hidden="1">
      <c r="A131" s="7">
        <v>130</v>
      </c>
      <c r="B131" t="s">
        <v>243</v>
      </c>
      <c r="C131" t="s">
        <v>244</v>
      </c>
      <c r="D131" s="7">
        <v>7134</v>
      </c>
      <c r="E131" t="s">
        <v>245</v>
      </c>
      <c r="F131" t="s">
        <v>246</v>
      </c>
      <c r="G131" t="s">
        <v>1011</v>
      </c>
      <c r="H131" t="s">
        <v>797</v>
      </c>
      <c r="I131" s="7">
        <v>1165</v>
      </c>
      <c r="J131" s="7">
        <v>40000</v>
      </c>
      <c r="K131" s="7">
        <v>4</v>
      </c>
      <c r="L131" t="s">
        <v>247</v>
      </c>
      <c r="M131" t="s">
        <v>261</v>
      </c>
      <c r="N131" s="7">
        <v>773865</v>
      </c>
      <c r="O131" t="s">
        <v>1012</v>
      </c>
      <c r="P131" t="s">
        <v>1013</v>
      </c>
      <c r="S131" t="s">
        <v>800</v>
      </c>
      <c r="T131" t="s">
        <v>797</v>
      </c>
      <c r="U131" t="s">
        <v>550</v>
      </c>
      <c r="V131" s="8">
        <v>0</v>
      </c>
      <c r="W131" s="7">
        <v>587586</v>
      </c>
      <c r="X131" t="s">
        <v>256</v>
      </c>
      <c r="Y131" s="8">
        <v>0</v>
      </c>
      <c r="Z131" s="8">
        <v>0</v>
      </c>
      <c r="AA131" s="8">
        <v>0</v>
      </c>
      <c r="AB131" s="7">
        <v>111053</v>
      </c>
      <c r="AC131" t="s">
        <v>256</v>
      </c>
      <c r="AD131" s="8">
        <v>0</v>
      </c>
      <c r="AG131" t="s">
        <v>801</v>
      </c>
      <c r="AH131" t="s">
        <v>802</v>
      </c>
      <c r="AI131" t="s">
        <v>803</v>
      </c>
    </row>
    <row r="132" spans="1:35" hidden="1">
      <c r="A132" s="7">
        <v>131</v>
      </c>
      <c r="B132" t="s">
        <v>243</v>
      </c>
      <c r="C132" t="s">
        <v>244</v>
      </c>
      <c r="D132" s="7">
        <v>7134</v>
      </c>
      <c r="E132" t="s">
        <v>245</v>
      </c>
      <c r="F132" t="s">
        <v>246</v>
      </c>
      <c r="G132" t="s">
        <v>942</v>
      </c>
      <c r="H132" t="s">
        <v>843</v>
      </c>
      <c r="I132" s="7">
        <v>1165</v>
      </c>
      <c r="J132" s="7">
        <v>50000</v>
      </c>
      <c r="K132" s="7">
        <v>5</v>
      </c>
      <c r="L132" t="s">
        <v>247</v>
      </c>
      <c r="M132" t="s">
        <v>252</v>
      </c>
      <c r="N132" s="7">
        <v>323146</v>
      </c>
      <c r="O132" t="s">
        <v>943</v>
      </c>
      <c r="P132" t="s">
        <v>944</v>
      </c>
      <c r="S132" t="s">
        <v>800</v>
      </c>
      <c r="T132" t="s">
        <v>797</v>
      </c>
      <c r="U132" t="s">
        <v>550</v>
      </c>
      <c r="V132" s="8">
        <v>1250</v>
      </c>
      <c r="W132" s="7">
        <v>587586</v>
      </c>
      <c r="X132" t="s">
        <v>256</v>
      </c>
      <c r="Y132" s="8">
        <v>1250</v>
      </c>
      <c r="Z132" s="8">
        <v>1475</v>
      </c>
      <c r="AA132" s="8">
        <v>225</v>
      </c>
      <c r="AB132" s="7">
        <v>111053</v>
      </c>
      <c r="AC132" t="s">
        <v>256</v>
      </c>
      <c r="AD132" s="8">
        <v>0</v>
      </c>
      <c r="AG132" t="s">
        <v>937</v>
      </c>
      <c r="AH132" t="s">
        <v>802</v>
      </c>
      <c r="AI132" t="s">
        <v>818</v>
      </c>
    </row>
    <row r="133" spans="1:35" hidden="1">
      <c r="A133" s="7">
        <v>132</v>
      </c>
      <c r="B133" t="s">
        <v>243</v>
      </c>
      <c r="C133" t="s">
        <v>244</v>
      </c>
      <c r="D133" s="7">
        <v>7134</v>
      </c>
      <c r="E133" t="s">
        <v>245</v>
      </c>
      <c r="F133" t="s">
        <v>246</v>
      </c>
      <c r="G133" t="s">
        <v>1113</v>
      </c>
      <c r="H133" t="s">
        <v>853</v>
      </c>
      <c r="I133" s="7">
        <v>1165</v>
      </c>
      <c r="J133" s="7">
        <v>39980</v>
      </c>
      <c r="K133" s="7">
        <v>4</v>
      </c>
      <c r="L133" t="s">
        <v>247</v>
      </c>
      <c r="M133" t="s">
        <v>261</v>
      </c>
      <c r="N133" s="7">
        <v>775223</v>
      </c>
      <c r="O133" t="s">
        <v>1114</v>
      </c>
      <c r="P133" t="s">
        <v>1115</v>
      </c>
      <c r="S133" t="s">
        <v>800</v>
      </c>
      <c r="T133" t="s">
        <v>797</v>
      </c>
      <c r="U133" t="s">
        <v>550</v>
      </c>
      <c r="V133" s="8">
        <v>0</v>
      </c>
      <c r="W133" s="7">
        <v>587586</v>
      </c>
      <c r="X133" t="s">
        <v>256</v>
      </c>
      <c r="Y133" s="8">
        <v>0</v>
      </c>
      <c r="Z133" s="8">
        <v>0</v>
      </c>
      <c r="AA133" s="8">
        <v>0</v>
      </c>
      <c r="AB133" s="7">
        <v>111053</v>
      </c>
      <c r="AC133" t="s">
        <v>256</v>
      </c>
      <c r="AD133" s="8">
        <v>0</v>
      </c>
      <c r="AG133" t="s">
        <v>801</v>
      </c>
      <c r="AH133" t="s">
        <v>802</v>
      </c>
      <c r="AI133" t="s">
        <v>803</v>
      </c>
    </row>
    <row r="134" spans="1:35" hidden="1">
      <c r="A134" s="7">
        <v>133</v>
      </c>
      <c r="B134" t="s">
        <v>243</v>
      </c>
      <c r="C134" t="s">
        <v>244</v>
      </c>
      <c r="D134" s="7">
        <v>7134</v>
      </c>
      <c r="E134" t="s">
        <v>245</v>
      </c>
      <c r="F134" t="s">
        <v>246</v>
      </c>
      <c r="G134" t="s">
        <v>813</v>
      </c>
      <c r="H134" t="s">
        <v>814</v>
      </c>
      <c r="I134" s="7">
        <v>1165</v>
      </c>
      <c r="J134" s="7">
        <v>8594</v>
      </c>
      <c r="K134" s="7">
        <v>2</v>
      </c>
      <c r="L134" t="s">
        <v>247</v>
      </c>
      <c r="M134" t="s">
        <v>261</v>
      </c>
      <c r="N134" s="7">
        <v>781809</v>
      </c>
      <c r="O134" t="s">
        <v>815</v>
      </c>
      <c r="P134" t="s">
        <v>816</v>
      </c>
      <c r="S134" t="s">
        <v>800</v>
      </c>
      <c r="T134" t="s">
        <v>797</v>
      </c>
      <c r="U134" t="s">
        <v>550</v>
      </c>
      <c r="V134" s="8">
        <v>1250</v>
      </c>
      <c r="W134" s="7">
        <v>587586</v>
      </c>
      <c r="X134" t="s">
        <v>256</v>
      </c>
      <c r="Y134" s="8">
        <v>1250</v>
      </c>
      <c r="Z134" s="8">
        <v>1475</v>
      </c>
      <c r="AA134" s="8">
        <v>225</v>
      </c>
      <c r="AB134" s="7">
        <v>111053</v>
      </c>
      <c r="AC134" t="s">
        <v>256</v>
      </c>
      <c r="AD134" s="8">
        <v>0</v>
      </c>
      <c r="AG134" t="s">
        <v>817</v>
      </c>
      <c r="AH134" t="s">
        <v>802</v>
      </c>
      <c r="AI134" t="s">
        <v>818</v>
      </c>
    </row>
    <row r="135" spans="1:35" hidden="1">
      <c r="A135" s="7">
        <v>134</v>
      </c>
      <c r="B135" t="s">
        <v>243</v>
      </c>
      <c r="C135" t="s">
        <v>244</v>
      </c>
      <c r="D135" s="7">
        <v>7134</v>
      </c>
      <c r="E135" t="s">
        <v>245</v>
      </c>
      <c r="F135" t="s">
        <v>246</v>
      </c>
      <c r="G135" t="s">
        <v>1085</v>
      </c>
      <c r="H135" t="s">
        <v>917</v>
      </c>
      <c r="I135" s="7">
        <v>1165</v>
      </c>
      <c r="J135" s="7">
        <v>20000</v>
      </c>
      <c r="K135" s="7">
        <v>2</v>
      </c>
      <c r="L135" t="s">
        <v>247</v>
      </c>
      <c r="M135" t="s">
        <v>252</v>
      </c>
      <c r="N135" s="7">
        <v>324355</v>
      </c>
      <c r="O135" t="s">
        <v>1086</v>
      </c>
      <c r="P135" t="s">
        <v>1087</v>
      </c>
      <c r="S135" t="s">
        <v>800</v>
      </c>
      <c r="T135" t="s">
        <v>797</v>
      </c>
      <c r="U135" t="s">
        <v>550</v>
      </c>
      <c r="V135" s="8">
        <v>0</v>
      </c>
      <c r="W135" s="7">
        <v>587586</v>
      </c>
      <c r="X135" t="s">
        <v>256</v>
      </c>
      <c r="Y135" s="8">
        <v>0</v>
      </c>
      <c r="Z135" s="8">
        <v>0</v>
      </c>
      <c r="AA135" s="8">
        <v>0</v>
      </c>
      <c r="AB135" s="7">
        <v>111053</v>
      </c>
      <c r="AC135" t="s">
        <v>256</v>
      </c>
      <c r="AD135" s="8">
        <v>0</v>
      </c>
      <c r="AG135" t="s">
        <v>937</v>
      </c>
      <c r="AH135" t="s">
        <v>802</v>
      </c>
      <c r="AI135" t="s">
        <v>803</v>
      </c>
    </row>
    <row r="136" spans="1:35" hidden="1">
      <c r="A136" s="7">
        <v>135</v>
      </c>
      <c r="B136" t="s">
        <v>243</v>
      </c>
      <c r="C136" t="s">
        <v>244</v>
      </c>
      <c r="D136" s="7">
        <v>7134</v>
      </c>
      <c r="E136" t="s">
        <v>245</v>
      </c>
      <c r="F136" t="s">
        <v>246</v>
      </c>
      <c r="G136" t="s">
        <v>1137</v>
      </c>
      <c r="H136" t="s">
        <v>917</v>
      </c>
      <c r="I136" s="7">
        <v>1165</v>
      </c>
      <c r="J136" s="7">
        <v>40000</v>
      </c>
      <c r="K136" s="7">
        <v>4</v>
      </c>
      <c r="L136" t="s">
        <v>247</v>
      </c>
      <c r="M136" t="s">
        <v>252</v>
      </c>
      <c r="N136" s="7">
        <v>322564</v>
      </c>
      <c r="O136" t="s">
        <v>1138</v>
      </c>
      <c r="P136" t="s">
        <v>1139</v>
      </c>
      <c r="S136" t="s">
        <v>800</v>
      </c>
      <c r="T136" t="s">
        <v>797</v>
      </c>
      <c r="U136" t="s">
        <v>550</v>
      </c>
      <c r="V136" s="8">
        <v>0</v>
      </c>
      <c r="W136" s="7">
        <v>587586</v>
      </c>
      <c r="X136" t="s">
        <v>256</v>
      </c>
      <c r="Y136" s="8">
        <v>0</v>
      </c>
      <c r="Z136" s="8">
        <v>0</v>
      </c>
      <c r="AA136" s="8">
        <v>0</v>
      </c>
      <c r="AB136" s="7">
        <v>111053</v>
      </c>
      <c r="AC136" t="s">
        <v>256</v>
      </c>
      <c r="AD136" s="8">
        <v>0</v>
      </c>
      <c r="AG136" t="s">
        <v>937</v>
      </c>
      <c r="AH136" t="s">
        <v>802</v>
      </c>
      <c r="AI136" t="s">
        <v>803</v>
      </c>
    </row>
    <row r="137" spans="1:35" hidden="1">
      <c r="A137" s="7">
        <v>136</v>
      </c>
      <c r="B137" t="s">
        <v>243</v>
      </c>
      <c r="C137" t="s">
        <v>244</v>
      </c>
      <c r="D137" s="7">
        <v>7134</v>
      </c>
      <c r="E137" t="s">
        <v>245</v>
      </c>
      <c r="F137" t="s">
        <v>246</v>
      </c>
      <c r="G137" t="s">
        <v>948</v>
      </c>
      <c r="H137" t="s">
        <v>843</v>
      </c>
      <c r="I137" s="7">
        <v>1165</v>
      </c>
      <c r="J137" s="7">
        <v>30000</v>
      </c>
      <c r="K137" s="7">
        <v>3</v>
      </c>
      <c r="L137" t="s">
        <v>247</v>
      </c>
      <c r="M137" t="s">
        <v>261</v>
      </c>
      <c r="N137" s="7">
        <v>774650</v>
      </c>
      <c r="O137" t="s">
        <v>949</v>
      </c>
      <c r="P137" t="s">
        <v>950</v>
      </c>
      <c r="Q137" t="s">
        <v>870</v>
      </c>
      <c r="R137" t="s">
        <v>871</v>
      </c>
      <c r="S137" t="s">
        <v>800</v>
      </c>
      <c r="T137" t="s">
        <v>797</v>
      </c>
      <c r="U137" t="s">
        <v>550</v>
      </c>
      <c r="V137" s="8">
        <v>1250</v>
      </c>
      <c r="W137" s="7">
        <v>587586</v>
      </c>
      <c r="X137" t="s">
        <v>256</v>
      </c>
      <c r="Y137" s="8">
        <v>1000</v>
      </c>
      <c r="Z137" s="8">
        <v>1475</v>
      </c>
      <c r="AA137" s="8">
        <v>225</v>
      </c>
      <c r="AB137" s="7">
        <v>111053</v>
      </c>
      <c r="AC137" t="s">
        <v>256</v>
      </c>
      <c r="AD137" s="8">
        <v>250</v>
      </c>
      <c r="AG137" t="s">
        <v>801</v>
      </c>
      <c r="AH137" t="s">
        <v>802</v>
      </c>
      <c r="AI137" t="s">
        <v>818</v>
      </c>
    </row>
    <row r="138" spans="1:35" hidden="1">
      <c r="A138" s="7">
        <v>137</v>
      </c>
      <c r="B138" t="s">
        <v>243</v>
      </c>
      <c r="C138" t="s">
        <v>244</v>
      </c>
      <c r="D138" s="7">
        <v>7134</v>
      </c>
      <c r="E138" t="s">
        <v>245</v>
      </c>
      <c r="F138" t="s">
        <v>246</v>
      </c>
      <c r="G138" t="s">
        <v>960</v>
      </c>
      <c r="H138" t="s">
        <v>419</v>
      </c>
      <c r="I138" s="7">
        <v>1165</v>
      </c>
      <c r="J138" s="7">
        <v>34500</v>
      </c>
      <c r="K138" s="7">
        <v>9</v>
      </c>
      <c r="L138" t="s">
        <v>247</v>
      </c>
      <c r="M138" t="s">
        <v>267</v>
      </c>
      <c r="N138" s="7">
        <v>756684</v>
      </c>
      <c r="O138" t="s">
        <v>961</v>
      </c>
      <c r="P138" t="s">
        <v>962</v>
      </c>
      <c r="S138" t="s">
        <v>800</v>
      </c>
      <c r="T138" t="s">
        <v>797</v>
      </c>
      <c r="U138" t="s">
        <v>550</v>
      </c>
      <c r="V138" s="8">
        <v>0</v>
      </c>
      <c r="W138" s="7">
        <v>587586</v>
      </c>
      <c r="X138" t="s">
        <v>256</v>
      </c>
      <c r="Y138" s="8">
        <v>0</v>
      </c>
      <c r="Z138" s="8">
        <v>0</v>
      </c>
      <c r="AA138" s="8">
        <v>0</v>
      </c>
      <c r="AB138" s="7">
        <v>111053</v>
      </c>
      <c r="AC138" t="s">
        <v>256</v>
      </c>
      <c r="AD138" s="8">
        <v>0</v>
      </c>
      <c r="AG138" t="s">
        <v>828</v>
      </c>
      <c r="AH138" t="s">
        <v>802</v>
      </c>
      <c r="AI138" t="s">
        <v>803</v>
      </c>
    </row>
    <row r="139" spans="1:35" hidden="1">
      <c r="A139" s="7">
        <v>138</v>
      </c>
      <c r="B139" t="s">
        <v>243</v>
      </c>
      <c r="C139" t="s">
        <v>244</v>
      </c>
      <c r="D139" s="7">
        <v>7134</v>
      </c>
      <c r="E139" t="s">
        <v>245</v>
      </c>
      <c r="F139" t="s">
        <v>246</v>
      </c>
      <c r="G139" t="s">
        <v>1153</v>
      </c>
      <c r="H139" t="s">
        <v>839</v>
      </c>
      <c r="I139" s="7">
        <v>1165</v>
      </c>
      <c r="J139" s="7">
        <v>99755</v>
      </c>
      <c r="K139" s="7">
        <v>10</v>
      </c>
      <c r="L139" t="s">
        <v>247</v>
      </c>
      <c r="M139" t="s">
        <v>252</v>
      </c>
      <c r="N139" s="7">
        <v>320346</v>
      </c>
      <c r="O139" t="s">
        <v>1154</v>
      </c>
      <c r="P139" t="s">
        <v>1155</v>
      </c>
      <c r="S139" t="s">
        <v>800</v>
      </c>
      <c r="T139" t="s">
        <v>797</v>
      </c>
      <c r="U139" t="s">
        <v>550</v>
      </c>
      <c r="V139" s="8">
        <v>0</v>
      </c>
      <c r="W139" s="7">
        <v>587586</v>
      </c>
      <c r="X139" t="s">
        <v>256</v>
      </c>
      <c r="Y139" s="8">
        <v>0</v>
      </c>
      <c r="Z139" s="8">
        <v>0</v>
      </c>
      <c r="AA139" s="8">
        <v>0</v>
      </c>
      <c r="AB139" s="7">
        <v>111053</v>
      </c>
      <c r="AC139" t="s">
        <v>256</v>
      </c>
      <c r="AD139" s="8">
        <v>0</v>
      </c>
      <c r="AG139" t="s">
        <v>937</v>
      </c>
      <c r="AH139" t="s">
        <v>802</v>
      </c>
      <c r="AI139" t="s">
        <v>803</v>
      </c>
    </row>
    <row r="140" spans="1:35" hidden="1">
      <c r="A140" s="7">
        <v>139</v>
      </c>
      <c r="B140" t="s">
        <v>243</v>
      </c>
      <c r="C140" t="s">
        <v>244</v>
      </c>
      <c r="D140" s="7">
        <v>7134</v>
      </c>
      <c r="E140" t="s">
        <v>245</v>
      </c>
      <c r="F140" t="s">
        <v>246</v>
      </c>
      <c r="G140" t="s">
        <v>1156</v>
      </c>
      <c r="H140" t="s">
        <v>805</v>
      </c>
      <c r="I140" s="7">
        <v>1165</v>
      </c>
      <c r="J140" s="7">
        <v>30000</v>
      </c>
      <c r="K140" s="7">
        <v>3</v>
      </c>
      <c r="L140" t="s">
        <v>247</v>
      </c>
      <c r="M140" t="s">
        <v>252</v>
      </c>
      <c r="N140" s="7">
        <v>324809</v>
      </c>
      <c r="O140" t="s">
        <v>1157</v>
      </c>
      <c r="P140" t="s">
        <v>1158</v>
      </c>
      <c r="S140" t="s">
        <v>800</v>
      </c>
      <c r="T140" t="s">
        <v>797</v>
      </c>
      <c r="U140" t="s">
        <v>550</v>
      </c>
      <c r="V140" s="8">
        <v>1250</v>
      </c>
      <c r="W140" s="7">
        <v>587586</v>
      </c>
      <c r="X140" t="s">
        <v>256</v>
      </c>
      <c r="Y140" s="8">
        <v>1250</v>
      </c>
      <c r="Z140" s="8">
        <v>1475</v>
      </c>
      <c r="AA140" s="8">
        <v>225</v>
      </c>
      <c r="AB140" s="7">
        <v>111053</v>
      </c>
      <c r="AC140" t="s">
        <v>256</v>
      </c>
      <c r="AD140" s="8">
        <v>0</v>
      </c>
      <c r="AG140" t="s">
        <v>937</v>
      </c>
      <c r="AH140" t="s">
        <v>802</v>
      </c>
      <c r="AI140" t="s">
        <v>818</v>
      </c>
    </row>
    <row r="141" spans="1:35" hidden="1">
      <c r="A141" s="7">
        <v>140</v>
      </c>
      <c r="B141" t="s">
        <v>243</v>
      </c>
      <c r="C141" t="s">
        <v>244</v>
      </c>
      <c r="D141" s="7">
        <v>7134</v>
      </c>
      <c r="E141" t="s">
        <v>245</v>
      </c>
      <c r="F141" t="s">
        <v>246</v>
      </c>
      <c r="G141" t="s">
        <v>1044</v>
      </c>
      <c r="H141" t="s">
        <v>934</v>
      </c>
      <c r="I141" s="7">
        <v>1165</v>
      </c>
      <c r="J141" s="7">
        <v>17000</v>
      </c>
      <c r="K141" s="7">
        <v>3</v>
      </c>
      <c r="L141" t="s">
        <v>247</v>
      </c>
      <c r="M141" t="s">
        <v>261</v>
      </c>
      <c r="N141" s="7">
        <v>785728</v>
      </c>
      <c r="O141" t="s">
        <v>1045</v>
      </c>
      <c r="P141" t="s">
        <v>1046</v>
      </c>
      <c r="S141" t="s">
        <v>800</v>
      </c>
      <c r="T141" t="s">
        <v>797</v>
      </c>
      <c r="U141" t="s">
        <v>550</v>
      </c>
      <c r="V141" s="8">
        <v>1250</v>
      </c>
      <c r="W141" s="7">
        <v>587586</v>
      </c>
      <c r="X141" t="s">
        <v>256</v>
      </c>
      <c r="Y141" s="8">
        <v>1250</v>
      </c>
      <c r="Z141" s="8">
        <v>1475</v>
      </c>
      <c r="AA141" s="8">
        <v>225</v>
      </c>
      <c r="AB141" s="7">
        <v>111053</v>
      </c>
      <c r="AC141" t="s">
        <v>256</v>
      </c>
      <c r="AD141" s="8">
        <v>0</v>
      </c>
      <c r="AG141" t="s">
        <v>801</v>
      </c>
      <c r="AH141" t="s">
        <v>802</v>
      </c>
      <c r="AI141" t="s">
        <v>818</v>
      </c>
    </row>
    <row r="142" spans="1:35" hidden="1">
      <c r="A142" s="7">
        <v>141</v>
      </c>
      <c r="B142" t="s">
        <v>243</v>
      </c>
      <c r="C142" t="s">
        <v>244</v>
      </c>
      <c r="D142" s="7">
        <v>7134</v>
      </c>
      <c r="E142" t="s">
        <v>245</v>
      </c>
      <c r="F142" t="s">
        <v>246</v>
      </c>
      <c r="G142" t="s">
        <v>1047</v>
      </c>
      <c r="H142" t="s">
        <v>917</v>
      </c>
      <c r="I142" s="7">
        <v>1165</v>
      </c>
      <c r="J142" s="7">
        <v>9611</v>
      </c>
      <c r="K142" s="7">
        <v>5</v>
      </c>
      <c r="L142" t="s">
        <v>247</v>
      </c>
      <c r="M142" t="s">
        <v>252</v>
      </c>
      <c r="N142" s="7">
        <v>322616</v>
      </c>
      <c r="O142" t="s">
        <v>1048</v>
      </c>
      <c r="P142" t="s">
        <v>1049</v>
      </c>
      <c r="S142" t="s">
        <v>800</v>
      </c>
      <c r="T142" t="s">
        <v>797</v>
      </c>
      <c r="U142" t="s">
        <v>550</v>
      </c>
      <c r="V142" s="8">
        <v>1250</v>
      </c>
      <c r="W142" s="7">
        <v>587586</v>
      </c>
      <c r="X142" t="s">
        <v>256</v>
      </c>
      <c r="Y142" s="8">
        <v>1250</v>
      </c>
      <c r="Z142" s="8">
        <v>1475</v>
      </c>
      <c r="AA142" s="8">
        <v>225</v>
      </c>
      <c r="AB142" s="7">
        <v>111053</v>
      </c>
      <c r="AC142" t="s">
        <v>256</v>
      </c>
      <c r="AD142" s="8">
        <v>0</v>
      </c>
      <c r="AG142" t="s">
        <v>937</v>
      </c>
      <c r="AH142" t="s">
        <v>802</v>
      </c>
      <c r="AI142" t="s">
        <v>818</v>
      </c>
    </row>
    <row r="143" spans="1:35" hidden="1">
      <c r="A143" s="7">
        <v>142</v>
      </c>
      <c r="B143" t="s">
        <v>243</v>
      </c>
      <c r="C143" t="s">
        <v>244</v>
      </c>
      <c r="D143" s="7">
        <v>7134</v>
      </c>
      <c r="E143" t="s">
        <v>245</v>
      </c>
      <c r="F143" t="s">
        <v>246</v>
      </c>
      <c r="G143" t="s">
        <v>1551</v>
      </c>
      <c r="H143" t="s">
        <v>1457</v>
      </c>
      <c r="I143" s="7">
        <v>1165</v>
      </c>
      <c r="J143" s="7">
        <v>70000</v>
      </c>
      <c r="K143" s="7">
        <v>7</v>
      </c>
      <c r="L143" t="s">
        <v>247</v>
      </c>
      <c r="M143" t="s">
        <v>252</v>
      </c>
      <c r="N143" s="7">
        <v>322476</v>
      </c>
      <c r="O143" t="s">
        <v>1552</v>
      </c>
      <c r="P143" t="s">
        <v>1553</v>
      </c>
      <c r="S143" t="s">
        <v>1225</v>
      </c>
      <c r="T143" t="s">
        <v>278</v>
      </c>
      <c r="U143" t="s">
        <v>633</v>
      </c>
      <c r="V143" s="8">
        <v>0</v>
      </c>
      <c r="W143" s="7">
        <v>587839</v>
      </c>
      <c r="X143" t="s">
        <v>762</v>
      </c>
      <c r="Y143" s="8">
        <v>0</v>
      </c>
      <c r="Z143" s="8">
        <v>0</v>
      </c>
      <c r="AA143" s="8">
        <v>0</v>
      </c>
      <c r="AB143" s="7">
        <v>111306</v>
      </c>
      <c r="AC143" t="s">
        <v>762</v>
      </c>
      <c r="AD143" s="8">
        <v>0</v>
      </c>
      <c r="AG143" t="s">
        <v>937</v>
      </c>
      <c r="AH143" t="s">
        <v>802</v>
      </c>
      <c r="AI143" t="s">
        <v>803</v>
      </c>
    </row>
    <row r="144" spans="1:35" hidden="1">
      <c r="A144" s="7">
        <v>143</v>
      </c>
      <c r="B144" t="s">
        <v>243</v>
      </c>
      <c r="C144" t="s">
        <v>244</v>
      </c>
      <c r="D144" s="7">
        <v>7134</v>
      </c>
      <c r="E144" t="s">
        <v>245</v>
      </c>
      <c r="F144" t="s">
        <v>246</v>
      </c>
      <c r="G144" t="s">
        <v>1041</v>
      </c>
      <c r="H144" t="s">
        <v>263</v>
      </c>
      <c r="I144" s="7">
        <v>1165</v>
      </c>
      <c r="J144" s="7">
        <v>19770</v>
      </c>
      <c r="K144" s="7">
        <v>2</v>
      </c>
      <c r="L144" t="s">
        <v>247</v>
      </c>
      <c r="M144" t="s">
        <v>267</v>
      </c>
      <c r="N144" s="7">
        <v>789619</v>
      </c>
      <c r="O144" t="s">
        <v>1042</v>
      </c>
      <c r="P144" t="s">
        <v>1043</v>
      </c>
      <c r="S144" t="s">
        <v>1225</v>
      </c>
      <c r="T144" t="s">
        <v>278</v>
      </c>
      <c r="U144" t="s">
        <v>633</v>
      </c>
      <c r="V144" s="8">
        <v>0</v>
      </c>
      <c r="W144" s="7">
        <v>587839</v>
      </c>
      <c r="X144" t="s">
        <v>762</v>
      </c>
      <c r="Y144" s="8">
        <v>0</v>
      </c>
      <c r="Z144" s="8">
        <v>0</v>
      </c>
      <c r="AA144" s="8">
        <v>0</v>
      </c>
      <c r="AB144" s="7">
        <v>111306</v>
      </c>
      <c r="AC144" t="s">
        <v>762</v>
      </c>
      <c r="AD144" s="8">
        <v>0</v>
      </c>
      <c r="AG144" t="s">
        <v>828</v>
      </c>
      <c r="AH144" t="s">
        <v>802</v>
      </c>
      <c r="AI144" t="s">
        <v>803</v>
      </c>
    </row>
    <row r="145" spans="1:35" hidden="1">
      <c r="A145" s="7">
        <v>144</v>
      </c>
      <c r="B145" t="s">
        <v>243</v>
      </c>
      <c r="C145" t="s">
        <v>244</v>
      </c>
      <c r="D145" s="7">
        <v>7134</v>
      </c>
      <c r="E145" t="s">
        <v>245</v>
      </c>
      <c r="F145" t="s">
        <v>246</v>
      </c>
      <c r="G145" t="s">
        <v>1559</v>
      </c>
      <c r="H145" t="s">
        <v>1325</v>
      </c>
      <c r="I145" s="7">
        <v>1165</v>
      </c>
      <c r="J145" s="7">
        <v>49920</v>
      </c>
      <c r="K145" s="7">
        <v>5</v>
      </c>
      <c r="L145" t="s">
        <v>247</v>
      </c>
      <c r="M145" t="s">
        <v>261</v>
      </c>
      <c r="N145" s="7">
        <v>785726</v>
      </c>
      <c r="O145" t="s">
        <v>1560</v>
      </c>
      <c r="P145" t="s">
        <v>1561</v>
      </c>
      <c r="S145" t="s">
        <v>1225</v>
      </c>
      <c r="T145" t="s">
        <v>278</v>
      </c>
      <c r="U145" t="s">
        <v>633</v>
      </c>
      <c r="V145" s="8">
        <v>1250</v>
      </c>
      <c r="W145" s="7">
        <v>587839</v>
      </c>
      <c r="X145" t="s">
        <v>762</v>
      </c>
      <c r="Y145" s="8">
        <v>1250</v>
      </c>
      <c r="Z145" s="8">
        <v>1475</v>
      </c>
      <c r="AA145" s="8">
        <v>225</v>
      </c>
      <c r="AB145" s="7">
        <v>111306</v>
      </c>
      <c r="AC145" t="s">
        <v>762</v>
      </c>
      <c r="AD145" s="8">
        <v>0</v>
      </c>
      <c r="AG145" t="s">
        <v>801</v>
      </c>
      <c r="AH145" t="s">
        <v>802</v>
      </c>
      <c r="AI145" t="s">
        <v>818</v>
      </c>
    </row>
    <row r="146" spans="1:35" hidden="1">
      <c r="A146" s="7">
        <v>145</v>
      </c>
      <c r="B146" t="s">
        <v>243</v>
      </c>
      <c r="C146" t="s">
        <v>244</v>
      </c>
      <c r="D146" s="7">
        <v>7134</v>
      </c>
      <c r="E146" t="s">
        <v>245</v>
      </c>
      <c r="F146" t="s">
        <v>246</v>
      </c>
      <c r="G146" t="s">
        <v>1156</v>
      </c>
      <c r="H146" t="s">
        <v>1274</v>
      </c>
      <c r="I146" s="7">
        <v>767</v>
      </c>
      <c r="J146" s="7">
        <v>9992</v>
      </c>
      <c r="K146" s="7">
        <v>2</v>
      </c>
      <c r="L146" t="s">
        <v>247</v>
      </c>
      <c r="M146" t="s">
        <v>261</v>
      </c>
      <c r="N146" s="7">
        <v>778003</v>
      </c>
      <c r="O146" t="s">
        <v>1437</v>
      </c>
      <c r="P146" t="s">
        <v>1438</v>
      </c>
      <c r="Q146" t="s">
        <v>870</v>
      </c>
      <c r="R146" t="s">
        <v>871</v>
      </c>
      <c r="S146" t="s">
        <v>1225</v>
      </c>
      <c r="T146" t="s">
        <v>278</v>
      </c>
      <c r="U146" t="s">
        <v>633</v>
      </c>
      <c r="V146" s="8">
        <v>0</v>
      </c>
      <c r="W146" s="7">
        <v>587839</v>
      </c>
      <c r="X146" t="s">
        <v>762</v>
      </c>
      <c r="Y146" s="8">
        <v>0</v>
      </c>
      <c r="Z146" s="8">
        <v>0</v>
      </c>
      <c r="AA146" s="8">
        <v>0</v>
      </c>
      <c r="AB146" s="7">
        <v>111306</v>
      </c>
      <c r="AC146" t="s">
        <v>762</v>
      </c>
      <c r="AD146" s="8">
        <v>0</v>
      </c>
      <c r="AG146" t="s">
        <v>808</v>
      </c>
      <c r="AH146" t="s">
        <v>802</v>
      </c>
      <c r="AI146" t="s">
        <v>803</v>
      </c>
    </row>
    <row r="147" spans="1:35" hidden="1">
      <c r="A147" s="7">
        <v>146</v>
      </c>
      <c r="B147" t="s">
        <v>243</v>
      </c>
      <c r="C147" t="s">
        <v>244</v>
      </c>
      <c r="D147" s="7">
        <v>7134</v>
      </c>
      <c r="E147" t="s">
        <v>245</v>
      </c>
      <c r="F147" t="s">
        <v>246</v>
      </c>
      <c r="G147" t="s">
        <v>1439</v>
      </c>
      <c r="H147" t="s">
        <v>1274</v>
      </c>
      <c r="I147" s="7">
        <v>1165</v>
      </c>
      <c r="J147" s="7">
        <v>88985</v>
      </c>
      <c r="K147" s="7">
        <v>9</v>
      </c>
      <c r="L147" t="s">
        <v>247</v>
      </c>
      <c r="M147" t="s">
        <v>261</v>
      </c>
      <c r="N147" s="7">
        <v>765716</v>
      </c>
      <c r="O147" t="s">
        <v>1440</v>
      </c>
      <c r="P147" t="s">
        <v>1441</v>
      </c>
      <c r="S147" t="s">
        <v>1225</v>
      </c>
      <c r="T147" t="s">
        <v>278</v>
      </c>
      <c r="U147" t="s">
        <v>633</v>
      </c>
      <c r="V147" s="8">
        <v>0</v>
      </c>
      <c r="W147" s="7">
        <v>587839</v>
      </c>
      <c r="X147" t="s">
        <v>762</v>
      </c>
      <c r="Y147" s="8">
        <v>0</v>
      </c>
      <c r="Z147" s="8">
        <v>0</v>
      </c>
      <c r="AA147" s="8">
        <v>0</v>
      </c>
      <c r="AB147" s="7">
        <v>111306</v>
      </c>
      <c r="AC147" t="s">
        <v>762</v>
      </c>
      <c r="AD147" s="8">
        <v>0</v>
      </c>
      <c r="AG147" t="s">
        <v>801</v>
      </c>
      <c r="AH147" t="s">
        <v>802</v>
      </c>
      <c r="AI147" t="s">
        <v>803</v>
      </c>
    </row>
    <row r="148" spans="1:35" hidden="1">
      <c r="A148" s="7">
        <v>147</v>
      </c>
      <c r="B148" t="s">
        <v>243</v>
      </c>
      <c r="C148" t="s">
        <v>244</v>
      </c>
      <c r="D148" s="7">
        <v>7134</v>
      </c>
      <c r="E148" t="s">
        <v>245</v>
      </c>
      <c r="F148" t="s">
        <v>246</v>
      </c>
      <c r="G148" t="s">
        <v>813</v>
      </c>
      <c r="H148" t="s">
        <v>308</v>
      </c>
      <c r="I148" s="7">
        <v>1165</v>
      </c>
      <c r="J148" s="7">
        <v>20104</v>
      </c>
      <c r="K148" s="7">
        <v>4</v>
      </c>
      <c r="L148" t="s">
        <v>247</v>
      </c>
      <c r="M148" t="s">
        <v>261</v>
      </c>
      <c r="N148" s="7">
        <v>785384</v>
      </c>
      <c r="O148" t="s">
        <v>1248</v>
      </c>
      <c r="P148" t="s">
        <v>1249</v>
      </c>
      <c r="S148" t="s">
        <v>1225</v>
      </c>
      <c r="T148" t="s">
        <v>278</v>
      </c>
      <c r="U148" t="s">
        <v>633</v>
      </c>
      <c r="V148" s="8">
        <v>0</v>
      </c>
      <c r="W148" s="7">
        <v>587839</v>
      </c>
      <c r="X148" t="s">
        <v>762</v>
      </c>
      <c r="Y148" s="8">
        <v>0</v>
      </c>
      <c r="Z148" s="8">
        <v>0</v>
      </c>
      <c r="AA148" s="8">
        <v>0</v>
      </c>
      <c r="AB148" s="7">
        <v>111306</v>
      </c>
      <c r="AC148" t="s">
        <v>762</v>
      </c>
      <c r="AD148" s="8">
        <v>0</v>
      </c>
      <c r="AG148" t="s">
        <v>801</v>
      </c>
      <c r="AH148" t="s">
        <v>802</v>
      </c>
      <c r="AI148" t="s">
        <v>803</v>
      </c>
    </row>
    <row r="149" spans="1:35" hidden="1">
      <c r="A149" s="7">
        <v>148</v>
      </c>
      <c r="B149" t="s">
        <v>243</v>
      </c>
      <c r="C149" t="s">
        <v>244</v>
      </c>
      <c r="D149" s="7">
        <v>7134</v>
      </c>
      <c r="E149" t="s">
        <v>245</v>
      </c>
      <c r="F149" t="s">
        <v>246</v>
      </c>
      <c r="G149" t="s">
        <v>1343</v>
      </c>
      <c r="H149" t="s">
        <v>1224</v>
      </c>
      <c r="I149" s="7">
        <v>1165</v>
      </c>
      <c r="J149" s="7">
        <v>95750</v>
      </c>
      <c r="K149" s="7">
        <v>10</v>
      </c>
      <c r="L149" t="s">
        <v>247</v>
      </c>
      <c r="M149" t="s">
        <v>261</v>
      </c>
      <c r="N149" s="7">
        <v>751799</v>
      </c>
      <c r="O149" t="s">
        <v>1344</v>
      </c>
      <c r="P149" t="s">
        <v>1345</v>
      </c>
      <c r="Q149" t="s">
        <v>870</v>
      </c>
      <c r="R149" t="s">
        <v>871</v>
      </c>
      <c r="S149" t="s">
        <v>1225</v>
      </c>
      <c r="T149" t="s">
        <v>278</v>
      </c>
      <c r="U149" t="s">
        <v>633</v>
      </c>
      <c r="V149" s="8">
        <v>0</v>
      </c>
      <c r="W149" s="7">
        <v>587839</v>
      </c>
      <c r="X149" t="s">
        <v>762</v>
      </c>
      <c r="Y149" s="8">
        <v>0</v>
      </c>
      <c r="Z149" s="8">
        <v>0</v>
      </c>
      <c r="AA149" s="8">
        <v>0</v>
      </c>
      <c r="AB149" s="7">
        <v>111306</v>
      </c>
      <c r="AC149" t="s">
        <v>762</v>
      </c>
      <c r="AD149" s="8">
        <v>0</v>
      </c>
      <c r="AG149" t="s">
        <v>801</v>
      </c>
      <c r="AH149" t="s">
        <v>802</v>
      </c>
      <c r="AI149" t="s">
        <v>803</v>
      </c>
    </row>
    <row r="150" spans="1:35" hidden="1">
      <c r="A150" s="7">
        <v>149</v>
      </c>
      <c r="B150" t="s">
        <v>243</v>
      </c>
      <c r="C150" t="s">
        <v>244</v>
      </c>
      <c r="D150" s="7">
        <v>7134</v>
      </c>
      <c r="E150" t="s">
        <v>245</v>
      </c>
      <c r="F150" t="s">
        <v>246</v>
      </c>
      <c r="G150" t="s">
        <v>1346</v>
      </c>
      <c r="H150" t="s">
        <v>1237</v>
      </c>
      <c r="I150" s="7">
        <v>936</v>
      </c>
      <c r="J150" s="7">
        <v>6576</v>
      </c>
      <c r="K150" s="7">
        <v>7</v>
      </c>
      <c r="L150" t="s">
        <v>247</v>
      </c>
      <c r="M150" t="s">
        <v>261</v>
      </c>
      <c r="N150" s="7">
        <v>757012</v>
      </c>
      <c r="O150" t="s">
        <v>1347</v>
      </c>
      <c r="P150" t="s">
        <v>1348</v>
      </c>
      <c r="S150" t="s">
        <v>1225</v>
      </c>
      <c r="T150" t="s">
        <v>278</v>
      </c>
      <c r="U150" t="s">
        <v>633</v>
      </c>
      <c r="V150" s="8">
        <v>0</v>
      </c>
      <c r="W150" s="7">
        <v>587839</v>
      </c>
      <c r="X150" t="s">
        <v>762</v>
      </c>
      <c r="Y150" s="8">
        <v>0</v>
      </c>
      <c r="Z150" s="8">
        <v>0</v>
      </c>
      <c r="AA150" s="8">
        <v>0</v>
      </c>
      <c r="AB150" s="7">
        <v>111306</v>
      </c>
      <c r="AC150" t="s">
        <v>762</v>
      </c>
      <c r="AD150" s="8">
        <v>0</v>
      </c>
      <c r="AG150" t="s">
        <v>808</v>
      </c>
      <c r="AH150" t="s">
        <v>802</v>
      </c>
      <c r="AI150" t="s">
        <v>803</v>
      </c>
    </row>
    <row r="151" spans="1:35" hidden="1">
      <c r="A151" s="7">
        <v>150</v>
      </c>
      <c r="B151" t="s">
        <v>243</v>
      </c>
      <c r="C151" t="s">
        <v>244</v>
      </c>
      <c r="D151" s="7">
        <v>7134</v>
      </c>
      <c r="E151" t="s">
        <v>245</v>
      </c>
      <c r="F151" t="s">
        <v>246</v>
      </c>
      <c r="G151" t="s">
        <v>878</v>
      </c>
      <c r="H151" t="s">
        <v>328</v>
      </c>
      <c r="I151" s="7">
        <v>1165</v>
      </c>
      <c r="J151" s="7">
        <v>40250</v>
      </c>
      <c r="K151" s="7">
        <v>4</v>
      </c>
      <c r="L151" t="s">
        <v>247</v>
      </c>
      <c r="M151" t="s">
        <v>261</v>
      </c>
      <c r="N151" s="7">
        <v>786320</v>
      </c>
      <c r="O151" t="s">
        <v>879</v>
      </c>
      <c r="P151" t="s">
        <v>880</v>
      </c>
      <c r="S151" t="s">
        <v>1225</v>
      </c>
      <c r="T151" t="s">
        <v>278</v>
      </c>
      <c r="U151" t="s">
        <v>633</v>
      </c>
      <c r="V151" s="8">
        <v>0</v>
      </c>
      <c r="W151" s="7">
        <v>587839</v>
      </c>
      <c r="X151" t="s">
        <v>762</v>
      </c>
      <c r="Y151" s="8">
        <v>0</v>
      </c>
      <c r="Z151" s="8">
        <v>0</v>
      </c>
      <c r="AA151" s="8">
        <v>0</v>
      </c>
      <c r="AB151" s="7">
        <v>111306</v>
      </c>
      <c r="AC151" t="s">
        <v>762</v>
      </c>
      <c r="AD151" s="8">
        <v>0</v>
      </c>
      <c r="AG151" t="s">
        <v>801</v>
      </c>
      <c r="AH151" t="s">
        <v>802</v>
      </c>
      <c r="AI151" t="s">
        <v>803</v>
      </c>
    </row>
    <row r="152" spans="1:35" hidden="1">
      <c r="A152" s="7">
        <v>151</v>
      </c>
      <c r="B152" t="s">
        <v>243</v>
      </c>
      <c r="C152" t="s">
        <v>244</v>
      </c>
      <c r="D152" s="7">
        <v>7134</v>
      </c>
      <c r="E152" t="s">
        <v>245</v>
      </c>
      <c r="F152" t="s">
        <v>246</v>
      </c>
      <c r="G152" t="s">
        <v>824</v>
      </c>
      <c r="H152" t="s">
        <v>273</v>
      </c>
      <c r="I152" s="7">
        <v>1165</v>
      </c>
      <c r="J152" s="7">
        <v>67000</v>
      </c>
      <c r="K152" s="7">
        <v>7</v>
      </c>
      <c r="L152" t="s">
        <v>247</v>
      </c>
      <c r="M152" t="s">
        <v>267</v>
      </c>
      <c r="N152" s="7">
        <v>1</v>
      </c>
      <c r="O152" t="s">
        <v>826</v>
      </c>
      <c r="P152" t="s">
        <v>827</v>
      </c>
      <c r="S152" t="s">
        <v>1225</v>
      </c>
      <c r="T152" t="s">
        <v>278</v>
      </c>
      <c r="U152" t="s">
        <v>633</v>
      </c>
      <c r="V152" s="8">
        <v>0</v>
      </c>
      <c r="W152" s="7">
        <v>587839</v>
      </c>
      <c r="X152" t="s">
        <v>762</v>
      </c>
      <c r="Y152" s="8">
        <v>0</v>
      </c>
      <c r="Z152" s="8">
        <v>0</v>
      </c>
      <c r="AA152" s="8">
        <v>0</v>
      </c>
      <c r="AB152" s="7">
        <v>111306</v>
      </c>
      <c r="AC152" t="s">
        <v>762</v>
      </c>
      <c r="AD152" s="8">
        <v>0</v>
      </c>
      <c r="AG152" t="s">
        <v>828</v>
      </c>
      <c r="AH152" t="s">
        <v>802</v>
      </c>
      <c r="AI152" t="s">
        <v>803</v>
      </c>
    </row>
    <row r="153" spans="1:35" hidden="1">
      <c r="A153" s="7">
        <v>152</v>
      </c>
      <c r="B153" t="s">
        <v>243</v>
      </c>
      <c r="C153" t="s">
        <v>244</v>
      </c>
      <c r="D153" s="7">
        <v>7134</v>
      </c>
      <c r="E153" t="s">
        <v>245</v>
      </c>
      <c r="F153" t="s">
        <v>246</v>
      </c>
      <c r="G153" t="s">
        <v>1404</v>
      </c>
      <c r="H153" t="s">
        <v>363</v>
      </c>
      <c r="I153" s="7">
        <v>1165</v>
      </c>
      <c r="J153" s="7">
        <v>70000</v>
      </c>
      <c r="K153" s="7">
        <v>7</v>
      </c>
      <c r="L153" t="s">
        <v>247</v>
      </c>
      <c r="M153" t="s">
        <v>267</v>
      </c>
      <c r="N153" s="7">
        <v>776377</v>
      </c>
      <c r="O153" t="s">
        <v>1405</v>
      </c>
      <c r="P153" t="s">
        <v>1406</v>
      </c>
      <c r="S153" t="s">
        <v>1225</v>
      </c>
      <c r="T153" t="s">
        <v>278</v>
      </c>
      <c r="U153" t="s">
        <v>633</v>
      </c>
      <c r="V153" s="8">
        <v>0</v>
      </c>
      <c r="W153" s="7">
        <v>587839</v>
      </c>
      <c r="X153" t="s">
        <v>762</v>
      </c>
      <c r="Y153" s="8">
        <v>0</v>
      </c>
      <c r="Z153" s="8">
        <v>0</v>
      </c>
      <c r="AA153" s="8">
        <v>0</v>
      </c>
      <c r="AB153" s="7">
        <v>111306</v>
      </c>
      <c r="AC153" t="s">
        <v>762</v>
      </c>
      <c r="AD153" s="8">
        <v>0</v>
      </c>
      <c r="AG153" t="s">
        <v>828</v>
      </c>
      <c r="AH153" t="s">
        <v>802</v>
      </c>
      <c r="AI153" t="s">
        <v>803</v>
      </c>
    </row>
    <row r="154" spans="1:35" hidden="1">
      <c r="A154" s="7">
        <v>153</v>
      </c>
      <c r="B154" t="s">
        <v>243</v>
      </c>
      <c r="C154" t="s">
        <v>244</v>
      </c>
      <c r="D154" s="7">
        <v>7134</v>
      </c>
      <c r="E154" t="s">
        <v>245</v>
      </c>
      <c r="F154" t="s">
        <v>246</v>
      </c>
      <c r="G154" t="s">
        <v>1264</v>
      </c>
      <c r="H154" t="s">
        <v>404</v>
      </c>
      <c r="I154" s="7">
        <v>1165</v>
      </c>
      <c r="J154" s="7">
        <v>30000</v>
      </c>
      <c r="K154" s="7">
        <v>4</v>
      </c>
      <c r="L154" t="s">
        <v>247</v>
      </c>
      <c r="M154" t="s">
        <v>261</v>
      </c>
      <c r="N154" s="7">
        <v>774651</v>
      </c>
      <c r="O154" t="s">
        <v>1265</v>
      </c>
      <c r="P154" t="s">
        <v>1266</v>
      </c>
      <c r="S154" t="s">
        <v>1225</v>
      </c>
      <c r="T154" t="s">
        <v>278</v>
      </c>
      <c r="U154" t="s">
        <v>633</v>
      </c>
      <c r="V154" s="8">
        <v>0</v>
      </c>
      <c r="W154" s="7">
        <v>587839</v>
      </c>
      <c r="X154" t="s">
        <v>762</v>
      </c>
      <c r="Y154" s="8">
        <v>0</v>
      </c>
      <c r="Z154" s="8">
        <v>0</v>
      </c>
      <c r="AA154" s="8">
        <v>0</v>
      </c>
      <c r="AB154" s="7">
        <v>111306</v>
      </c>
      <c r="AC154" t="s">
        <v>762</v>
      </c>
      <c r="AD154" s="8">
        <v>0</v>
      </c>
      <c r="AG154" t="s">
        <v>801</v>
      </c>
      <c r="AH154" t="s">
        <v>802</v>
      </c>
      <c r="AI154" t="s">
        <v>803</v>
      </c>
    </row>
    <row r="155" spans="1:35" hidden="1">
      <c r="A155" s="7">
        <v>154</v>
      </c>
      <c r="B155" t="s">
        <v>243</v>
      </c>
      <c r="C155" t="s">
        <v>244</v>
      </c>
      <c r="D155" s="7">
        <v>7134</v>
      </c>
      <c r="E155" t="s">
        <v>245</v>
      </c>
      <c r="F155" t="s">
        <v>246</v>
      </c>
      <c r="G155" t="s">
        <v>1446</v>
      </c>
      <c r="H155" t="s">
        <v>273</v>
      </c>
      <c r="I155" s="7">
        <v>1165</v>
      </c>
      <c r="J155" s="7">
        <v>130000</v>
      </c>
      <c r="K155" s="7">
        <v>12</v>
      </c>
      <c r="L155" t="s">
        <v>247</v>
      </c>
      <c r="M155" t="s">
        <v>252</v>
      </c>
      <c r="N155" s="7">
        <v>319846</v>
      </c>
      <c r="O155" t="s">
        <v>1447</v>
      </c>
      <c r="P155" t="s">
        <v>1448</v>
      </c>
      <c r="Q155" t="s">
        <v>908</v>
      </c>
      <c r="R155" t="s">
        <v>909</v>
      </c>
      <c r="S155" t="s">
        <v>1225</v>
      </c>
      <c r="T155" t="s">
        <v>278</v>
      </c>
      <c r="U155" t="s">
        <v>633</v>
      </c>
      <c r="V155" s="8">
        <v>0</v>
      </c>
      <c r="W155" s="7">
        <v>587839</v>
      </c>
      <c r="X155" t="s">
        <v>762</v>
      </c>
      <c r="Y155" s="8">
        <v>0</v>
      </c>
      <c r="Z155" s="8">
        <v>0</v>
      </c>
      <c r="AA155" s="8">
        <v>0</v>
      </c>
      <c r="AB155" s="7">
        <v>111306</v>
      </c>
      <c r="AC155" t="s">
        <v>762</v>
      </c>
      <c r="AD155" s="8">
        <v>0</v>
      </c>
      <c r="AG155" t="s">
        <v>937</v>
      </c>
      <c r="AH155" t="s">
        <v>802</v>
      </c>
      <c r="AI155" t="s">
        <v>803</v>
      </c>
    </row>
    <row r="156" spans="1:35" hidden="1">
      <c r="A156" s="7">
        <v>155</v>
      </c>
      <c r="B156" t="s">
        <v>243</v>
      </c>
      <c r="C156" t="s">
        <v>244</v>
      </c>
      <c r="D156" s="7">
        <v>7134</v>
      </c>
      <c r="E156" t="s">
        <v>245</v>
      </c>
      <c r="F156" t="s">
        <v>246</v>
      </c>
      <c r="G156" t="s">
        <v>1449</v>
      </c>
      <c r="H156" t="s">
        <v>1450</v>
      </c>
      <c r="I156" s="7">
        <v>987</v>
      </c>
      <c r="J156" s="7">
        <v>139500</v>
      </c>
      <c r="K156" s="7">
        <v>14</v>
      </c>
      <c r="L156" t="s">
        <v>247</v>
      </c>
      <c r="M156" t="s">
        <v>261</v>
      </c>
      <c r="N156" s="7">
        <v>744751</v>
      </c>
      <c r="O156" t="s">
        <v>1451</v>
      </c>
      <c r="P156" t="s">
        <v>1452</v>
      </c>
      <c r="S156" t="s">
        <v>1225</v>
      </c>
      <c r="T156" t="s">
        <v>278</v>
      </c>
      <c r="U156" t="s">
        <v>633</v>
      </c>
      <c r="V156" s="8">
        <v>1250</v>
      </c>
      <c r="W156" s="7">
        <v>587839</v>
      </c>
      <c r="X156" t="s">
        <v>762</v>
      </c>
      <c r="Y156" s="8">
        <v>1250</v>
      </c>
      <c r="Z156" s="8">
        <v>1475</v>
      </c>
      <c r="AA156" s="8">
        <v>225</v>
      </c>
      <c r="AB156" s="7">
        <v>111306</v>
      </c>
      <c r="AC156" t="s">
        <v>762</v>
      </c>
      <c r="AD156" s="8">
        <v>0</v>
      </c>
      <c r="AG156" t="s">
        <v>801</v>
      </c>
      <c r="AH156" t="s">
        <v>802</v>
      </c>
      <c r="AI156" t="s">
        <v>818</v>
      </c>
    </row>
    <row r="157" spans="1:35" hidden="1">
      <c r="A157" s="7">
        <v>156</v>
      </c>
      <c r="B157" t="s">
        <v>243</v>
      </c>
      <c r="C157" t="s">
        <v>244</v>
      </c>
      <c r="D157" s="7">
        <v>7134</v>
      </c>
      <c r="E157" t="s">
        <v>245</v>
      </c>
      <c r="F157" t="s">
        <v>246</v>
      </c>
      <c r="G157" t="s">
        <v>881</v>
      </c>
      <c r="H157" t="s">
        <v>263</v>
      </c>
      <c r="I157" s="7">
        <v>1165</v>
      </c>
      <c r="J157" s="7">
        <v>29815</v>
      </c>
      <c r="K157" s="7">
        <v>3</v>
      </c>
      <c r="L157" t="s">
        <v>247</v>
      </c>
      <c r="M157" t="s">
        <v>361</v>
      </c>
      <c r="N157" s="7">
        <v>5318</v>
      </c>
      <c r="O157" t="s">
        <v>1562</v>
      </c>
      <c r="P157" t="s">
        <v>1563</v>
      </c>
      <c r="S157" t="s">
        <v>1225</v>
      </c>
      <c r="T157" t="s">
        <v>278</v>
      </c>
      <c r="U157" t="s">
        <v>633</v>
      </c>
      <c r="V157" s="8">
        <v>1650</v>
      </c>
      <c r="W157" s="7">
        <v>587839</v>
      </c>
      <c r="X157" t="s">
        <v>762</v>
      </c>
      <c r="Y157" s="8">
        <v>1650</v>
      </c>
      <c r="Z157" s="8">
        <v>1947</v>
      </c>
      <c r="AA157" s="8">
        <v>297</v>
      </c>
      <c r="AB157" s="7">
        <v>111306</v>
      </c>
      <c r="AC157" t="s">
        <v>762</v>
      </c>
      <c r="AD157" s="8">
        <v>0</v>
      </c>
      <c r="AG157" t="s">
        <v>823</v>
      </c>
      <c r="AH157" t="s">
        <v>802</v>
      </c>
      <c r="AI157" t="s">
        <v>818</v>
      </c>
    </row>
    <row r="158" spans="1:35" hidden="1">
      <c r="A158" s="7">
        <v>157</v>
      </c>
      <c r="B158" t="s">
        <v>243</v>
      </c>
      <c r="C158" t="s">
        <v>244</v>
      </c>
      <c r="D158" s="7">
        <v>7134</v>
      </c>
      <c r="E158" t="s">
        <v>245</v>
      </c>
      <c r="F158" t="s">
        <v>246</v>
      </c>
      <c r="G158" t="s">
        <v>1331</v>
      </c>
      <c r="H158" t="s">
        <v>273</v>
      </c>
      <c r="I158" s="7">
        <v>1165</v>
      </c>
      <c r="J158" s="7">
        <v>9405</v>
      </c>
      <c r="K158" s="7">
        <v>1</v>
      </c>
      <c r="L158" t="s">
        <v>247</v>
      </c>
      <c r="M158" t="s">
        <v>267</v>
      </c>
      <c r="N158" s="7">
        <v>789053</v>
      </c>
      <c r="O158" t="s">
        <v>1332</v>
      </c>
      <c r="P158" t="s">
        <v>1333</v>
      </c>
      <c r="S158" t="s">
        <v>1225</v>
      </c>
      <c r="T158" t="s">
        <v>278</v>
      </c>
      <c r="U158" t="s">
        <v>633</v>
      </c>
      <c r="V158" s="8">
        <v>1250</v>
      </c>
      <c r="W158" s="7">
        <v>587839</v>
      </c>
      <c r="X158" t="s">
        <v>762</v>
      </c>
      <c r="Y158" s="8">
        <v>1250</v>
      </c>
      <c r="Z158" s="8">
        <v>1475</v>
      </c>
      <c r="AA158" s="8">
        <v>225</v>
      </c>
      <c r="AB158" s="7">
        <v>111306</v>
      </c>
      <c r="AC158" t="s">
        <v>762</v>
      </c>
      <c r="AD158" s="8">
        <v>0</v>
      </c>
      <c r="AG158" t="s">
        <v>828</v>
      </c>
      <c r="AH158" t="s">
        <v>802</v>
      </c>
      <c r="AI158" t="s">
        <v>818</v>
      </c>
    </row>
    <row r="159" spans="1:35" hidden="1">
      <c r="A159" s="7">
        <v>158</v>
      </c>
      <c r="B159" t="s">
        <v>243</v>
      </c>
      <c r="C159" t="s">
        <v>244</v>
      </c>
      <c r="D159" s="7">
        <v>7134</v>
      </c>
      <c r="E159" t="s">
        <v>245</v>
      </c>
      <c r="F159" t="s">
        <v>246</v>
      </c>
      <c r="G159" t="s">
        <v>1267</v>
      </c>
      <c r="H159" t="s">
        <v>363</v>
      </c>
      <c r="I159" s="7">
        <v>1165</v>
      </c>
      <c r="J159" s="7">
        <v>7832</v>
      </c>
      <c r="K159" s="7">
        <v>1</v>
      </c>
      <c r="L159" t="s">
        <v>247</v>
      </c>
      <c r="M159" t="s">
        <v>267</v>
      </c>
      <c r="N159" s="7">
        <v>789007</v>
      </c>
      <c r="O159" t="s">
        <v>1268</v>
      </c>
      <c r="P159" t="s">
        <v>1269</v>
      </c>
      <c r="S159" t="s">
        <v>1225</v>
      </c>
      <c r="T159" t="s">
        <v>278</v>
      </c>
      <c r="U159" t="s">
        <v>633</v>
      </c>
      <c r="V159" s="8">
        <v>1250</v>
      </c>
      <c r="W159" s="7">
        <v>587839</v>
      </c>
      <c r="X159" t="s">
        <v>762</v>
      </c>
      <c r="Y159" s="8">
        <v>1250</v>
      </c>
      <c r="Z159" s="8">
        <v>1475</v>
      </c>
      <c r="AA159" s="8">
        <v>225</v>
      </c>
      <c r="AB159" s="7">
        <v>111306</v>
      </c>
      <c r="AC159" t="s">
        <v>762</v>
      </c>
      <c r="AD159" s="8">
        <v>0</v>
      </c>
      <c r="AG159" t="s">
        <v>828</v>
      </c>
      <c r="AH159" t="s">
        <v>802</v>
      </c>
      <c r="AI159" t="s">
        <v>818</v>
      </c>
    </row>
    <row r="160" spans="1:35" hidden="1">
      <c r="A160" s="7">
        <v>159</v>
      </c>
      <c r="B160" t="s">
        <v>243</v>
      </c>
      <c r="C160" t="s">
        <v>244</v>
      </c>
      <c r="D160" s="7">
        <v>7134</v>
      </c>
      <c r="E160" t="s">
        <v>245</v>
      </c>
      <c r="F160" t="s">
        <v>246</v>
      </c>
      <c r="G160" t="s">
        <v>1004</v>
      </c>
      <c r="H160" t="s">
        <v>1274</v>
      </c>
      <c r="I160" s="7">
        <v>1165</v>
      </c>
      <c r="J160" s="7">
        <v>15200</v>
      </c>
      <c r="K160" s="7">
        <v>2</v>
      </c>
      <c r="L160" t="s">
        <v>247</v>
      </c>
      <c r="M160" t="s">
        <v>361</v>
      </c>
      <c r="N160" s="7">
        <v>5651</v>
      </c>
      <c r="O160" t="s">
        <v>1378</v>
      </c>
      <c r="P160" t="s">
        <v>1379</v>
      </c>
      <c r="S160" t="s">
        <v>1225</v>
      </c>
      <c r="T160" t="s">
        <v>278</v>
      </c>
      <c r="U160" t="s">
        <v>633</v>
      </c>
      <c r="V160" s="8">
        <v>0</v>
      </c>
      <c r="W160" s="7">
        <v>587839</v>
      </c>
      <c r="X160" t="s">
        <v>762</v>
      </c>
      <c r="Y160" s="8">
        <v>0</v>
      </c>
      <c r="Z160" s="8">
        <v>0</v>
      </c>
      <c r="AA160" s="8">
        <v>0</v>
      </c>
      <c r="AB160" s="7">
        <v>111306</v>
      </c>
      <c r="AC160" t="s">
        <v>762</v>
      </c>
      <c r="AD160" s="8">
        <v>0</v>
      </c>
      <c r="AG160" t="s">
        <v>823</v>
      </c>
      <c r="AH160" t="s">
        <v>802</v>
      </c>
      <c r="AI160" t="s">
        <v>803</v>
      </c>
    </row>
    <row r="161" spans="1:35" hidden="1">
      <c r="A161" s="7">
        <v>160</v>
      </c>
      <c r="B161" t="s">
        <v>243</v>
      </c>
      <c r="C161" t="s">
        <v>244</v>
      </c>
      <c r="D161" s="7">
        <v>7134</v>
      </c>
      <c r="E161" t="s">
        <v>245</v>
      </c>
      <c r="F161" t="s">
        <v>246</v>
      </c>
      <c r="G161" t="s">
        <v>988</v>
      </c>
      <c r="H161" t="s">
        <v>273</v>
      </c>
      <c r="I161" s="7">
        <v>1165</v>
      </c>
      <c r="J161" s="7">
        <v>65415</v>
      </c>
      <c r="K161" s="7">
        <v>7</v>
      </c>
      <c r="L161" t="s">
        <v>247</v>
      </c>
      <c r="M161" t="s">
        <v>261</v>
      </c>
      <c r="N161" s="7">
        <v>775224</v>
      </c>
      <c r="O161" t="s">
        <v>1007</v>
      </c>
      <c r="P161" t="s">
        <v>1008</v>
      </c>
      <c r="S161" t="s">
        <v>1225</v>
      </c>
      <c r="T161" t="s">
        <v>278</v>
      </c>
      <c r="U161" t="s">
        <v>633</v>
      </c>
      <c r="V161" s="8">
        <v>0</v>
      </c>
      <c r="W161" s="7">
        <v>587839</v>
      </c>
      <c r="X161" t="s">
        <v>762</v>
      </c>
      <c r="Y161" s="8">
        <v>0</v>
      </c>
      <c r="Z161" s="8">
        <v>0</v>
      </c>
      <c r="AA161" s="8">
        <v>0</v>
      </c>
      <c r="AB161" s="7">
        <v>111306</v>
      </c>
      <c r="AC161" t="s">
        <v>762</v>
      </c>
      <c r="AD161" s="8">
        <v>0</v>
      </c>
      <c r="AG161" t="s">
        <v>801</v>
      </c>
      <c r="AH161" t="s">
        <v>802</v>
      </c>
      <c r="AI161" t="s">
        <v>803</v>
      </c>
    </row>
    <row r="162" spans="1:35" hidden="1">
      <c r="A162" s="7">
        <v>161</v>
      </c>
      <c r="B162" t="s">
        <v>243</v>
      </c>
      <c r="C162" t="s">
        <v>244</v>
      </c>
      <c r="D162" s="7">
        <v>7134</v>
      </c>
      <c r="E162" t="s">
        <v>245</v>
      </c>
      <c r="F162" t="s">
        <v>246</v>
      </c>
      <c r="G162" t="s">
        <v>1305</v>
      </c>
      <c r="H162" t="s">
        <v>1316</v>
      </c>
      <c r="I162" s="7">
        <v>1165</v>
      </c>
      <c r="J162" s="7">
        <v>30405</v>
      </c>
      <c r="K162" s="7">
        <v>5</v>
      </c>
      <c r="L162" t="s">
        <v>247</v>
      </c>
      <c r="M162" t="s">
        <v>252</v>
      </c>
      <c r="N162" s="7">
        <v>323147</v>
      </c>
      <c r="O162" t="s">
        <v>1504</v>
      </c>
      <c r="P162" t="s">
        <v>1505</v>
      </c>
      <c r="S162" t="s">
        <v>1225</v>
      </c>
      <c r="T162" t="s">
        <v>278</v>
      </c>
      <c r="U162" t="s">
        <v>633</v>
      </c>
      <c r="V162" s="8">
        <v>1250</v>
      </c>
      <c r="W162" s="7">
        <v>587839</v>
      </c>
      <c r="X162" t="s">
        <v>762</v>
      </c>
      <c r="Y162" s="8">
        <v>1250</v>
      </c>
      <c r="Z162" s="8">
        <v>1475</v>
      </c>
      <c r="AA162" s="8">
        <v>225</v>
      </c>
      <c r="AB162" s="7">
        <v>111306</v>
      </c>
      <c r="AC162" t="s">
        <v>762</v>
      </c>
      <c r="AD162" s="8">
        <v>0</v>
      </c>
      <c r="AG162" t="s">
        <v>937</v>
      </c>
      <c r="AH162" t="s">
        <v>802</v>
      </c>
      <c r="AI162" t="s">
        <v>818</v>
      </c>
    </row>
    <row r="163" spans="1:35" hidden="1">
      <c r="A163" s="7">
        <v>162</v>
      </c>
      <c r="B163" t="s">
        <v>243</v>
      </c>
      <c r="C163" t="s">
        <v>244</v>
      </c>
      <c r="D163" s="7">
        <v>7134</v>
      </c>
      <c r="E163" t="s">
        <v>245</v>
      </c>
      <c r="F163" t="s">
        <v>246</v>
      </c>
      <c r="G163" t="s">
        <v>1221</v>
      </c>
      <c r="H163" t="s">
        <v>1224</v>
      </c>
      <c r="I163" s="7">
        <v>1165</v>
      </c>
      <c r="J163" s="7">
        <v>78462</v>
      </c>
      <c r="K163" s="7">
        <v>8</v>
      </c>
      <c r="L163" t="s">
        <v>247</v>
      </c>
      <c r="M163" t="s">
        <v>252</v>
      </c>
      <c r="N163" s="7">
        <v>321779</v>
      </c>
      <c r="O163" t="s">
        <v>1222</v>
      </c>
      <c r="P163" t="s">
        <v>1223</v>
      </c>
      <c r="S163" t="s">
        <v>1225</v>
      </c>
      <c r="T163" t="s">
        <v>278</v>
      </c>
      <c r="U163" t="s">
        <v>633</v>
      </c>
      <c r="V163" s="8">
        <v>1250</v>
      </c>
      <c r="W163" s="7">
        <v>587839</v>
      </c>
      <c r="X163" t="s">
        <v>762</v>
      </c>
      <c r="Y163" s="8">
        <v>1250</v>
      </c>
      <c r="Z163" s="8">
        <v>1475</v>
      </c>
      <c r="AA163" s="8">
        <v>225</v>
      </c>
      <c r="AB163" s="7">
        <v>111306</v>
      </c>
      <c r="AC163" t="s">
        <v>762</v>
      </c>
      <c r="AD163" s="8">
        <v>0</v>
      </c>
      <c r="AG163" t="s">
        <v>937</v>
      </c>
      <c r="AH163" t="s">
        <v>802</v>
      </c>
      <c r="AI163" t="s">
        <v>818</v>
      </c>
    </row>
    <row r="164" spans="1:35" hidden="1">
      <c r="A164" s="7">
        <v>163</v>
      </c>
      <c r="B164" t="s">
        <v>243</v>
      </c>
      <c r="C164" t="s">
        <v>244</v>
      </c>
      <c r="D164" s="7">
        <v>7134</v>
      </c>
      <c r="E164" t="s">
        <v>245</v>
      </c>
      <c r="F164" t="s">
        <v>246</v>
      </c>
      <c r="G164" t="s">
        <v>1236</v>
      </c>
      <c r="H164" t="s">
        <v>1237</v>
      </c>
      <c r="I164" s="7">
        <v>1145</v>
      </c>
      <c r="J164" s="7">
        <v>29788</v>
      </c>
      <c r="K164" s="7">
        <v>3</v>
      </c>
      <c r="L164" t="s">
        <v>247</v>
      </c>
      <c r="M164" t="s">
        <v>267</v>
      </c>
      <c r="N164" s="7">
        <v>789198</v>
      </c>
      <c r="O164" t="s">
        <v>1238</v>
      </c>
      <c r="P164" t="s">
        <v>1239</v>
      </c>
      <c r="S164" t="s">
        <v>1225</v>
      </c>
      <c r="T164" t="s">
        <v>278</v>
      </c>
      <c r="U164" t="s">
        <v>633</v>
      </c>
      <c r="V164" s="8">
        <v>1250</v>
      </c>
      <c r="W164" s="7">
        <v>587839</v>
      </c>
      <c r="X164" t="s">
        <v>762</v>
      </c>
      <c r="Y164" s="8">
        <v>1250</v>
      </c>
      <c r="Z164" s="8">
        <v>1475</v>
      </c>
      <c r="AA164" s="8">
        <v>225</v>
      </c>
      <c r="AB164" s="7">
        <v>111306</v>
      </c>
      <c r="AC164" t="s">
        <v>762</v>
      </c>
      <c r="AD164" s="8">
        <v>0</v>
      </c>
      <c r="AG164" t="s">
        <v>828</v>
      </c>
      <c r="AH164" t="s">
        <v>802</v>
      </c>
      <c r="AI164" t="s">
        <v>818</v>
      </c>
    </row>
    <row r="165" spans="1:35" hidden="1">
      <c r="A165" s="7">
        <v>164</v>
      </c>
      <c r="B165" t="s">
        <v>243</v>
      </c>
      <c r="C165" t="s">
        <v>244</v>
      </c>
      <c r="D165" s="7">
        <v>7134</v>
      </c>
      <c r="E165" t="s">
        <v>245</v>
      </c>
      <c r="F165" t="s">
        <v>246</v>
      </c>
      <c r="G165" t="s">
        <v>400</v>
      </c>
      <c r="H165" t="s">
        <v>273</v>
      </c>
      <c r="I165" s="7">
        <v>1165</v>
      </c>
      <c r="J165" s="7">
        <v>1820</v>
      </c>
      <c r="K165" s="7">
        <v>1</v>
      </c>
      <c r="L165" t="s">
        <v>247</v>
      </c>
      <c r="M165" t="s">
        <v>267</v>
      </c>
      <c r="N165" s="7">
        <v>789309</v>
      </c>
      <c r="O165" t="s">
        <v>425</v>
      </c>
      <c r="P165" t="s">
        <v>426</v>
      </c>
      <c r="S165" t="s">
        <v>1225</v>
      </c>
      <c r="T165" t="s">
        <v>278</v>
      </c>
      <c r="U165" t="s">
        <v>633</v>
      </c>
      <c r="V165" s="8">
        <v>1250</v>
      </c>
      <c r="W165" s="7">
        <v>587839</v>
      </c>
      <c r="X165" t="s">
        <v>762</v>
      </c>
      <c r="Y165" s="8">
        <v>1250</v>
      </c>
      <c r="Z165" s="8">
        <v>1475</v>
      </c>
      <c r="AA165" s="8">
        <v>225</v>
      </c>
      <c r="AB165" s="7">
        <v>111306</v>
      </c>
      <c r="AC165" t="s">
        <v>762</v>
      </c>
      <c r="AD165" s="8">
        <v>0</v>
      </c>
      <c r="AG165" t="s">
        <v>828</v>
      </c>
      <c r="AH165" t="s">
        <v>802</v>
      </c>
      <c r="AI165" t="s">
        <v>818</v>
      </c>
    </row>
    <row r="166" spans="1:35" hidden="1">
      <c r="A166" s="7">
        <v>165</v>
      </c>
      <c r="B166" t="s">
        <v>243</v>
      </c>
      <c r="C166" t="s">
        <v>244</v>
      </c>
      <c r="D166" s="7">
        <v>7134</v>
      </c>
      <c r="E166" t="s">
        <v>245</v>
      </c>
      <c r="F166" t="s">
        <v>246</v>
      </c>
      <c r="G166" t="s">
        <v>1482</v>
      </c>
      <c r="H166" t="s">
        <v>1267</v>
      </c>
      <c r="I166" s="7">
        <v>1165</v>
      </c>
      <c r="J166" s="7">
        <v>42140</v>
      </c>
      <c r="K166" s="7">
        <v>10</v>
      </c>
      <c r="L166" t="s">
        <v>247</v>
      </c>
      <c r="M166" t="s">
        <v>261</v>
      </c>
      <c r="N166" s="7">
        <v>744000</v>
      </c>
      <c r="O166" t="s">
        <v>1483</v>
      </c>
      <c r="P166" t="s">
        <v>1484</v>
      </c>
      <c r="S166" t="s">
        <v>1225</v>
      </c>
      <c r="T166" t="s">
        <v>278</v>
      </c>
      <c r="U166" t="s">
        <v>633</v>
      </c>
      <c r="V166" s="8">
        <v>0</v>
      </c>
      <c r="W166" s="7">
        <v>587839</v>
      </c>
      <c r="X166" t="s">
        <v>762</v>
      </c>
      <c r="Y166" s="8">
        <v>0</v>
      </c>
      <c r="Z166" s="8">
        <v>0</v>
      </c>
      <c r="AA166" s="8">
        <v>0</v>
      </c>
      <c r="AB166" s="7">
        <v>111306</v>
      </c>
      <c r="AC166" t="s">
        <v>762</v>
      </c>
      <c r="AD166" s="8">
        <v>0</v>
      </c>
      <c r="AG166" t="s">
        <v>801</v>
      </c>
      <c r="AH166" t="s">
        <v>802</v>
      </c>
      <c r="AI166" t="s">
        <v>803</v>
      </c>
    </row>
    <row r="167" spans="1:35" hidden="1">
      <c r="A167" s="7">
        <v>166</v>
      </c>
      <c r="B167" t="s">
        <v>243</v>
      </c>
      <c r="C167" t="s">
        <v>244</v>
      </c>
      <c r="D167" s="7">
        <v>7134</v>
      </c>
      <c r="E167" t="s">
        <v>245</v>
      </c>
      <c r="F167" t="s">
        <v>246</v>
      </c>
      <c r="G167" t="s">
        <v>982</v>
      </c>
      <c r="H167" t="s">
        <v>412</v>
      </c>
      <c r="I167" s="7">
        <v>1165</v>
      </c>
      <c r="J167" s="7">
        <v>20000</v>
      </c>
      <c r="K167" s="7">
        <v>2</v>
      </c>
      <c r="L167" t="s">
        <v>247</v>
      </c>
      <c r="M167" t="s">
        <v>261</v>
      </c>
      <c r="N167" s="7">
        <v>785383</v>
      </c>
      <c r="O167" t="s">
        <v>1426</v>
      </c>
      <c r="P167" t="s">
        <v>1427</v>
      </c>
      <c r="S167" t="s">
        <v>1225</v>
      </c>
      <c r="T167" t="s">
        <v>278</v>
      </c>
      <c r="U167" t="s">
        <v>633</v>
      </c>
      <c r="V167" s="8">
        <v>0</v>
      </c>
      <c r="W167" s="7">
        <v>587839</v>
      </c>
      <c r="X167" t="s">
        <v>762</v>
      </c>
      <c r="Y167" s="8">
        <v>0</v>
      </c>
      <c r="Z167" s="8">
        <v>0</v>
      </c>
      <c r="AA167" s="8">
        <v>0</v>
      </c>
      <c r="AB167" s="7">
        <v>111306</v>
      </c>
      <c r="AC167" t="s">
        <v>762</v>
      </c>
      <c r="AD167" s="8">
        <v>0</v>
      </c>
      <c r="AG167" t="s">
        <v>801</v>
      </c>
      <c r="AH167" t="s">
        <v>802</v>
      </c>
      <c r="AI167" t="s">
        <v>803</v>
      </c>
    </row>
    <row r="168" spans="1:35" hidden="1">
      <c r="A168" s="7">
        <v>167</v>
      </c>
      <c r="B168" t="s">
        <v>243</v>
      </c>
      <c r="C168" t="s">
        <v>244</v>
      </c>
      <c r="D168" s="7">
        <v>7134</v>
      </c>
      <c r="E168" t="s">
        <v>245</v>
      </c>
      <c r="F168" t="s">
        <v>246</v>
      </c>
      <c r="G168" t="s">
        <v>996</v>
      </c>
      <c r="H168" t="s">
        <v>328</v>
      </c>
      <c r="I168" s="7">
        <v>1165</v>
      </c>
      <c r="J168" s="7">
        <v>69097</v>
      </c>
      <c r="K168" s="7">
        <v>7</v>
      </c>
      <c r="L168" t="s">
        <v>247</v>
      </c>
      <c r="M168" t="s">
        <v>361</v>
      </c>
      <c r="N168" s="7">
        <v>3268</v>
      </c>
      <c r="O168" t="s">
        <v>997</v>
      </c>
      <c r="P168" t="s">
        <v>998</v>
      </c>
      <c r="S168" t="s">
        <v>1225</v>
      </c>
      <c r="T168" t="s">
        <v>278</v>
      </c>
      <c r="U168" t="s">
        <v>633</v>
      </c>
      <c r="V168" s="8">
        <v>1650</v>
      </c>
      <c r="W168" s="7">
        <v>587839</v>
      </c>
      <c r="X168" t="s">
        <v>762</v>
      </c>
      <c r="Y168" s="8">
        <v>1650</v>
      </c>
      <c r="Z168" s="8">
        <v>1947</v>
      </c>
      <c r="AA168" s="8">
        <v>297</v>
      </c>
      <c r="AB168" s="7">
        <v>111306</v>
      </c>
      <c r="AC168" t="s">
        <v>762</v>
      </c>
      <c r="AD168" s="8">
        <v>0</v>
      </c>
      <c r="AG168" t="s">
        <v>823</v>
      </c>
      <c r="AH168" t="s">
        <v>802</v>
      </c>
      <c r="AI168" t="s">
        <v>818</v>
      </c>
    </row>
    <row r="169" spans="1:35" hidden="1">
      <c r="A169" s="7">
        <v>168</v>
      </c>
      <c r="B169" t="s">
        <v>243</v>
      </c>
      <c r="C169" t="s">
        <v>244</v>
      </c>
      <c r="D169" s="7">
        <v>7134</v>
      </c>
      <c r="E169" t="s">
        <v>245</v>
      </c>
      <c r="F169" t="s">
        <v>246</v>
      </c>
      <c r="G169" t="s">
        <v>1428</v>
      </c>
      <c r="H169" t="s">
        <v>273</v>
      </c>
      <c r="I169" s="7">
        <v>1165</v>
      </c>
      <c r="J169" s="7">
        <v>60000</v>
      </c>
      <c r="K169" s="7">
        <v>6</v>
      </c>
      <c r="L169" t="s">
        <v>247</v>
      </c>
      <c r="M169" t="s">
        <v>361</v>
      </c>
      <c r="N169" s="7">
        <v>3046</v>
      </c>
      <c r="O169" t="s">
        <v>1429</v>
      </c>
      <c r="P169" t="s">
        <v>1430</v>
      </c>
      <c r="S169" t="s">
        <v>1225</v>
      </c>
      <c r="T169" t="s">
        <v>278</v>
      </c>
      <c r="U169" t="s">
        <v>633</v>
      </c>
      <c r="V169" s="8">
        <v>0</v>
      </c>
      <c r="W169" s="7">
        <v>587839</v>
      </c>
      <c r="X169" t="s">
        <v>762</v>
      </c>
      <c r="Y169" s="8">
        <v>0</v>
      </c>
      <c r="Z169" s="8">
        <v>0</v>
      </c>
      <c r="AA169" s="8">
        <v>0</v>
      </c>
      <c r="AB169" s="7">
        <v>111306</v>
      </c>
      <c r="AC169" t="s">
        <v>762</v>
      </c>
      <c r="AD169" s="8">
        <v>0</v>
      </c>
      <c r="AG169" t="s">
        <v>823</v>
      </c>
      <c r="AH169" t="s">
        <v>802</v>
      </c>
      <c r="AI169" t="s">
        <v>803</v>
      </c>
    </row>
    <row r="170" spans="1:35" hidden="1">
      <c r="A170" s="7">
        <v>169</v>
      </c>
      <c r="B170" t="s">
        <v>243</v>
      </c>
      <c r="C170" t="s">
        <v>244</v>
      </c>
      <c r="D170" s="7">
        <v>7134</v>
      </c>
      <c r="E170" t="s">
        <v>245</v>
      </c>
      <c r="F170" t="s">
        <v>246</v>
      </c>
      <c r="G170" t="s">
        <v>1488</v>
      </c>
      <c r="H170" t="s">
        <v>273</v>
      </c>
      <c r="I170" s="7">
        <v>1165</v>
      </c>
      <c r="J170" s="7">
        <v>20000</v>
      </c>
      <c r="K170" s="7">
        <v>2</v>
      </c>
      <c r="L170" t="s">
        <v>247</v>
      </c>
      <c r="M170" t="s">
        <v>361</v>
      </c>
      <c r="N170" s="7">
        <v>5577</v>
      </c>
      <c r="O170" t="s">
        <v>1489</v>
      </c>
      <c r="P170" t="s">
        <v>1490</v>
      </c>
      <c r="Q170" t="s">
        <v>283</v>
      </c>
      <c r="R170" t="s">
        <v>1062</v>
      </c>
      <c r="S170" t="s">
        <v>1225</v>
      </c>
      <c r="T170" t="s">
        <v>278</v>
      </c>
      <c r="U170" t="s">
        <v>633</v>
      </c>
      <c r="V170" s="8">
        <v>0</v>
      </c>
      <c r="W170" s="7">
        <v>587839</v>
      </c>
      <c r="X170" t="s">
        <v>762</v>
      </c>
      <c r="Y170" s="8">
        <v>0</v>
      </c>
      <c r="Z170" s="8">
        <v>0</v>
      </c>
      <c r="AA170" s="8">
        <v>0</v>
      </c>
      <c r="AB170" s="7">
        <v>111306</v>
      </c>
      <c r="AC170" t="s">
        <v>762</v>
      </c>
      <c r="AD170" s="8">
        <v>0</v>
      </c>
      <c r="AG170" t="s">
        <v>823</v>
      </c>
      <c r="AH170" t="s">
        <v>802</v>
      </c>
      <c r="AI170" t="s">
        <v>803</v>
      </c>
    </row>
    <row r="171" spans="1:35" hidden="1">
      <c r="A171" s="7">
        <v>170</v>
      </c>
      <c r="B171" t="s">
        <v>243</v>
      </c>
      <c r="C171" t="s">
        <v>244</v>
      </c>
      <c r="D171" s="7">
        <v>7134</v>
      </c>
      <c r="E171" t="s">
        <v>245</v>
      </c>
      <c r="F171" t="s">
        <v>246</v>
      </c>
      <c r="G171" t="s">
        <v>1488</v>
      </c>
      <c r="H171" t="s">
        <v>1479</v>
      </c>
      <c r="I171" s="7">
        <v>1165</v>
      </c>
      <c r="J171" s="7">
        <v>9920</v>
      </c>
      <c r="K171" s="7">
        <v>1</v>
      </c>
      <c r="L171" t="s">
        <v>247</v>
      </c>
      <c r="M171" t="s">
        <v>361</v>
      </c>
      <c r="N171" s="7">
        <v>5577</v>
      </c>
      <c r="O171" t="s">
        <v>1489</v>
      </c>
      <c r="P171" t="s">
        <v>1490</v>
      </c>
      <c r="S171" t="s">
        <v>1225</v>
      </c>
      <c r="T171" t="s">
        <v>278</v>
      </c>
      <c r="U171" t="s">
        <v>633</v>
      </c>
      <c r="V171" s="8">
        <v>1650</v>
      </c>
      <c r="W171" s="7">
        <v>587839</v>
      </c>
      <c r="X171" t="s">
        <v>762</v>
      </c>
      <c r="Y171" s="8">
        <v>1650</v>
      </c>
      <c r="Z171" s="8">
        <v>1947</v>
      </c>
      <c r="AA171" s="8">
        <v>297</v>
      </c>
      <c r="AB171" s="7">
        <v>111306</v>
      </c>
      <c r="AC171" t="s">
        <v>762</v>
      </c>
      <c r="AD171" s="8">
        <v>0</v>
      </c>
      <c r="AG171" t="s">
        <v>823</v>
      </c>
      <c r="AH171" t="s">
        <v>802</v>
      </c>
      <c r="AI171" t="s">
        <v>818</v>
      </c>
    </row>
    <row r="172" spans="1:35" hidden="1">
      <c r="A172" s="7">
        <v>171</v>
      </c>
      <c r="B172" t="s">
        <v>243</v>
      </c>
      <c r="C172" t="s">
        <v>244</v>
      </c>
      <c r="D172" s="7">
        <v>7134</v>
      </c>
      <c r="E172" t="s">
        <v>245</v>
      </c>
      <c r="F172" t="s">
        <v>246</v>
      </c>
      <c r="G172" t="s">
        <v>881</v>
      </c>
      <c r="H172" t="s">
        <v>400</v>
      </c>
      <c r="I172" s="7">
        <v>1165</v>
      </c>
      <c r="J172" s="7">
        <v>9680</v>
      </c>
      <c r="K172" s="7">
        <v>1</v>
      </c>
      <c r="L172" t="s">
        <v>247</v>
      </c>
      <c r="M172" t="s">
        <v>261</v>
      </c>
      <c r="N172" s="7">
        <v>782169</v>
      </c>
      <c r="O172" t="s">
        <v>1491</v>
      </c>
      <c r="P172" t="s">
        <v>1492</v>
      </c>
      <c r="Q172" t="s">
        <v>870</v>
      </c>
      <c r="R172" t="s">
        <v>871</v>
      </c>
      <c r="S172" t="s">
        <v>1225</v>
      </c>
      <c r="T172" t="s">
        <v>278</v>
      </c>
      <c r="U172" t="s">
        <v>633</v>
      </c>
      <c r="V172" s="8">
        <v>1250</v>
      </c>
      <c r="W172" s="7">
        <v>587839</v>
      </c>
      <c r="X172" t="s">
        <v>762</v>
      </c>
      <c r="Y172" s="8">
        <v>1000</v>
      </c>
      <c r="Z172" s="8">
        <v>1475</v>
      </c>
      <c r="AA172" s="8">
        <v>225</v>
      </c>
      <c r="AB172" s="7">
        <v>111306</v>
      </c>
      <c r="AC172" t="s">
        <v>762</v>
      </c>
      <c r="AD172" s="8">
        <v>250</v>
      </c>
      <c r="AG172" t="s">
        <v>817</v>
      </c>
      <c r="AH172" t="s">
        <v>802</v>
      </c>
      <c r="AI172" t="s">
        <v>818</v>
      </c>
    </row>
    <row r="173" spans="1:35" hidden="1">
      <c r="A173" s="7">
        <v>172</v>
      </c>
      <c r="B173" t="s">
        <v>243</v>
      </c>
      <c r="C173" t="s">
        <v>244</v>
      </c>
      <c r="D173" s="7">
        <v>7134</v>
      </c>
      <c r="E173" t="s">
        <v>245</v>
      </c>
      <c r="F173" t="s">
        <v>246</v>
      </c>
      <c r="G173" t="s">
        <v>954</v>
      </c>
      <c r="H173" t="s">
        <v>1224</v>
      </c>
      <c r="I173" s="7">
        <v>1165</v>
      </c>
      <c r="J173" s="7">
        <v>30000</v>
      </c>
      <c r="K173" s="7">
        <v>3</v>
      </c>
      <c r="L173" t="s">
        <v>247</v>
      </c>
      <c r="M173" t="s">
        <v>267</v>
      </c>
      <c r="N173" s="7">
        <v>789860</v>
      </c>
      <c r="O173" t="s">
        <v>955</v>
      </c>
      <c r="P173" t="s">
        <v>956</v>
      </c>
      <c r="S173" t="s">
        <v>1225</v>
      </c>
      <c r="T173" t="s">
        <v>278</v>
      </c>
      <c r="U173" t="s">
        <v>633</v>
      </c>
      <c r="V173" s="8">
        <v>1250</v>
      </c>
      <c r="W173" s="7">
        <v>587839</v>
      </c>
      <c r="X173" t="s">
        <v>762</v>
      </c>
      <c r="Y173" s="8">
        <v>1250</v>
      </c>
      <c r="Z173" s="8">
        <v>1475</v>
      </c>
      <c r="AA173" s="8">
        <v>225</v>
      </c>
      <c r="AB173" s="7">
        <v>111306</v>
      </c>
      <c r="AC173" t="s">
        <v>762</v>
      </c>
      <c r="AD173" s="8">
        <v>0</v>
      </c>
      <c r="AG173" t="s">
        <v>828</v>
      </c>
      <c r="AH173" t="s">
        <v>802</v>
      </c>
      <c r="AI173" t="s">
        <v>818</v>
      </c>
    </row>
    <row r="174" spans="1:35" hidden="1">
      <c r="A174" s="7">
        <v>173</v>
      </c>
      <c r="B174" t="s">
        <v>243</v>
      </c>
      <c r="C174" t="s">
        <v>244</v>
      </c>
      <c r="D174" s="7">
        <v>7134</v>
      </c>
      <c r="E174" t="s">
        <v>245</v>
      </c>
      <c r="F174" t="s">
        <v>246</v>
      </c>
      <c r="G174" t="s">
        <v>1072</v>
      </c>
      <c r="H174" t="s">
        <v>273</v>
      </c>
      <c r="I174" s="7">
        <v>1165</v>
      </c>
      <c r="J174" s="7">
        <v>49607</v>
      </c>
      <c r="K174" s="7">
        <v>5</v>
      </c>
      <c r="L174" t="s">
        <v>247</v>
      </c>
      <c r="M174" t="s">
        <v>261</v>
      </c>
      <c r="N174" s="7">
        <v>774685</v>
      </c>
      <c r="O174" t="s">
        <v>1073</v>
      </c>
      <c r="P174" t="s">
        <v>1074</v>
      </c>
      <c r="S174" t="s">
        <v>1225</v>
      </c>
      <c r="T174" t="s">
        <v>278</v>
      </c>
      <c r="U174" t="s">
        <v>633</v>
      </c>
      <c r="V174" s="8">
        <v>1250</v>
      </c>
      <c r="W174" s="7">
        <v>587839</v>
      </c>
      <c r="X174" t="s">
        <v>762</v>
      </c>
      <c r="Y174" s="8">
        <v>1250</v>
      </c>
      <c r="Z174" s="8">
        <v>1475</v>
      </c>
      <c r="AA174" s="8">
        <v>225</v>
      </c>
      <c r="AB174" s="7">
        <v>111306</v>
      </c>
      <c r="AC174" t="s">
        <v>762</v>
      </c>
      <c r="AD174" s="8">
        <v>0</v>
      </c>
      <c r="AG174" t="s">
        <v>801</v>
      </c>
      <c r="AH174" t="s">
        <v>802</v>
      </c>
      <c r="AI174" t="s">
        <v>818</v>
      </c>
    </row>
    <row r="175" spans="1:35" hidden="1">
      <c r="A175" s="7">
        <v>174</v>
      </c>
      <c r="B175" t="s">
        <v>243</v>
      </c>
      <c r="C175" t="s">
        <v>244</v>
      </c>
      <c r="D175" s="7">
        <v>7134</v>
      </c>
      <c r="E175" t="s">
        <v>245</v>
      </c>
      <c r="F175" t="s">
        <v>246</v>
      </c>
      <c r="G175" t="s">
        <v>920</v>
      </c>
      <c r="H175" t="s">
        <v>1325</v>
      </c>
      <c r="I175" s="7">
        <v>1165</v>
      </c>
      <c r="J175" s="7">
        <v>89742</v>
      </c>
      <c r="K175" s="7">
        <v>13</v>
      </c>
      <c r="L175" t="s">
        <v>247</v>
      </c>
      <c r="M175" t="s">
        <v>261</v>
      </c>
      <c r="N175" s="7">
        <v>739042</v>
      </c>
      <c r="O175" t="s">
        <v>1336</v>
      </c>
      <c r="P175" t="s">
        <v>1337</v>
      </c>
      <c r="S175" t="s">
        <v>1225</v>
      </c>
      <c r="T175" t="s">
        <v>278</v>
      </c>
      <c r="U175" t="s">
        <v>633</v>
      </c>
      <c r="V175" s="8">
        <v>0</v>
      </c>
      <c r="W175" s="7">
        <v>587839</v>
      </c>
      <c r="X175" t="s">
        <v>762</v>
      </c>
      <c r="Y175" s="8">
        <v>0</v>
      </c>
      <c r="Z175" s="8">
        <v>0</v>
      </c>
      <c r="AA175" s="8">
        <v>0</v>
      </c>
      <c r="AB175" s="7">
        <v>111306</v>
      </c>
      <c r="AC175" t="s">
        <v>762</v>
      </c>
      <c r="AD175" s="8">
        <v>0</v>
      </c>
      <c r="AG175" t="s">
        <v>801</v>
      </c>
      <c r="AH175" t="s">
        <v>802</v>
      </c>
      <c r="AI175" t="s">
        <v>803</v>
      </c>
    </row>
    <row r="176" spans="1:35" hidden="1">
      <c r="A176" s="7">
        <v>175</v>
      </c>
      <c r="B176" t="s">
        <v>243</v>
      </c>
      <c r="C176" t="s">
        <v>244</v>
      </c>
      <c r="D176" s="7">
        <v>7134</v>
      </c>
      <c r="E176" t="s">
        <v>245</v>
      </c>
      <c r="F176" t="s">
        <v>246</v>
      </c>
      <c r="G176" t="s">
        <v>1110</v>
      </c>
      <c r="H176" t="s">
        <v>1231</v>
      </c>
      <c r="I176" s="7">
        <v>982</v>
      </c>
      <c r="J176" s="7">
        <v>87525</v>
      </c>
      <c r="K176" s="7">
        <v>12</v>
      </c>
      <c r="L176" t="s">
        <v>247</v>
      </c>
      <c r="M176" t="s">
        <v>252</v>
      </c>
      <c r="N176" s="7">
        <v>313644</v>
      </c>
      <c r="O176" t="s">
        <v>1424</v>
      </c>
      <c r="P176" t="s">
        <v>1425</v>
      </c>
      <c r="S176" t="s">
        <v>1225</v>
      </c>
      <c r="T176" t="s">
        <v>278</v>
      </c>
      <c r="U176" t="s">
        <v>633</v>
      </c>
      <c r="V176" s="8">
        <v>0</v>
      </c>
      <c r="W176" s="7">
        <v>587839</v>
      </c>
      <c r="X176" t="s">
        <v>762</v>
      </c>
      <c r="Y176" s="8">
        <v>0</v>
      </c>
      <c r="Z176" s="8">
        <v>0</v>
      </c>
      <c r="AA176" s="8">
        <v>0</v>
      </c>
      <c r="AB176" s="7">
        <v>111306</v>
      </c>
      <c r="AC176" t="s">
        <v>762</v>
      </c>
      <c r="AD176" s="8">
        <v>0</v>
      </c>
      <c r="AG176" t="s">
        <v>937</v>
      </c>
      <c r="AH176" t="s">
        <v>802</v>
      </c>
      <c r="AI176" t="s">
        <v>803</v>
      </c>
    </row>
    <row r="177" spans="1:35" hidden="1">
      <c r="A177" s="7">
        <v>176</v>
      </c>
      <c r="B177" t="s">
        <v>243</v>
      </c>
      <c r="C177" t="s">
        <v>244</v>
      </c>
      <c r="D177" s="7">
        <v>7134</v>
      </c>
      <c r="E177" t="s">
        <v>245</v>
      </c>
      <c r="F177" t="s">
        <v>246</v>
      </c>
      <c r="G177" t="s">
        <v>824</v>
      </c>
      <c r="H177" t="s">
        <v>328</v>
      </c>
      <c r="I177" s="7">
        <v>1165</v>
      </c>
      <c r="J177" s="7">
        <v>40000</v>
      </c>
      <c r="K177" s="7">
        <v>4</v>
      </c>
      <c r="L177" t="s">
        <v>247</v>
      </c>
      <c r="M177" t="s">
        <v>261</v>
      </c>
      <c r="N177" s="7">
        <v>774598</v>
      </c>
      <c r="O177" t="s">
        <v>1538</v>
      </c>
      <c r="P177" t="s">
        <v>1539</v>
      </c>
      <c r="S177" t="s">
        <v>1225</v>
      </c>
      <c r="T177" t="s">
        <v>278</v>
      </c>
      <c r="U177" t="s">
        <v>633</v>
      </c>
      <c r="V177" s="8">
        <v>0</v>
      </c>
      <c r="W177" s="7">
        <v>587839</v>
      </c>
      <c r="X177" t="s">
        <v>762</v>
      </c>
      <c r="Y177" s="8">
        <v>0</v>
      </c>
      <c r="Z177" s="8">
        <v>0</v>
      </c>
      <c r="AA177" s="8">
        <v>0</v>
      </c>
      <c r="AB177" s="7">
        <v>111306</v>
      </c>
      <c r="AC177" t="s">
        <v>762</v>
      </c>
      <c r="AD177" s="8">
        <v>0</v>
      </c>
      <c r="AG177" t="s">
        <v>801</v>
      </c>
      <c r="AH177" t="s">
        <v>802</v>
      </c>
      <c r="AI177" t="s">
        <v>803</v>
      </c>
    </row>
    <row r="178" spans="1:35" hidden="1">
      <c r="A178" s="7">
        <v>177</v>
      </c>
      <c r="B178" t="s">
        <v>243</v>
      </c>
      <c r="C178" t="s">
        <v>244</v>
      </c>
      <c r="D178" s="7">
        <v>7134</v>
      </c>
      <c r="E178" t="s">
        <v>245</v>
      </c>
      <c r="F178" t="s">
        <v>246</v>
      </c>
      <c r="G178" t="s">
        <v>881</v>
      </c>
      <c r="H178" t="s">
        <v>400</v>
      </c>
      <c r="I178" s="7">
        <v>1165</v>
      </c>
      <c r="J178" s="7">
        <v>6761</v>
      </c>
      <c r="K178" s="7">
        <v>1</v>
      </c>
      <c r="L178" t="s">
        <v>247</v>
      </c>
      <c r="M178" t="s">
        <v>261</v>
      </c>
      <c r="N178" s="7">
        <v>782167</v>
      </c>
      <c r="O178" t="s">
        <v>1540</v>
      </c>
      <c r="P178" t="s">
        <v>1541</v>
      </c>
      <c r="Q178" t="s">
        <v>870</v>
      </c>
      <c r="R178" t="s">
        <v>871</v>
      </c>
      <c r="S178" t="s">
        <v>1225</v>
      </c>
      <c r="T178" t="s">
        <v>278</v>
      </c>
      <c r="U178" t="s">
        <v>633</v>
      </c>
      <c r="V178" s="8">
        <v>1250</v>
      </c>
      <c r="W178" s="7">
        <v>587839</v>
      </c>
      <c r="X178" t="s">
        <v>762</v>
      </c>
      <c r="Y178" s="8">
        <v>1000</v>
      </c>
      <c r="Z178" s="8">
        <v>1475</v>
      </c>
      <c r="AA178" s="8">
        <v>225</v>
      </c>
      <c r="AB178" s="7">
        <v>111306</v>
      </c>
      <c r="AC178" t="s">
        <v>762</v>
      </c>
      <c r="AD178" s="8">
        <v>250</v>
      </c>
      <c r="AG178" t="s">
        <v>817</v>
      </c>
      <c r="AH178" t="s">
        <v>802</v>
      </c>
      <c r="AI178" t="s">
        <v>818</v>
      </c>
    </row>
    <row r="179" spans="1:35" hidden="1">
      <c r="A179" s="7">
        <v>178</v>
      </c>
      <c r="B179" t="s">
        <v>243</v>
      </c>
      <c r="C179" t="s">
        <v>244</v>
      </c>
      <c r="D179" s="7">
        <v>7134</v>
      </c>
      <c r="E179" t="s">
        <v>245</v>
      </c>
      <c r="F179" t="s">
        <v>246</v>
      </c>
      <c r="G179" t="s">
        <v>867</v>
      </c>
      <c r="H179" t="s">
        <v>1231</v>
      </c>
      <c r="I179" s="7">
        <v>1165</v>
      </c>
      <c r="J179" s="7">
        <v>19500</v>
      </c>
      <c r="K179" s="7">
        <v>2</v>
      </c>
      <c r="L179" t="s">
        <v>247</v>
      </c>
      <c r="M179" t="s">
        <v>361</v>
      </c>
      <c r="N179" s="7">
        <v>4895</v>
      </c>
      <c r="O179" t="s">
        <v>918</v>
      </c>
      <c r="P179" t="s">
        <v>919</v>
      </c>
      <c r="S179" t="s">
        <v>1225</v>
      </c>
      <c r="T179" t="s">
        <v>278</v>
      </c>
      <c r="U179" t="s">
        <v>633</v>
      </c>
      <c r="V179" s="8">
        <v>0</v>
      </c>
      <c r="W179" s="7">
        <v>587839</v>
      </c>
      <c r="X179" t="s">
        <v>762</v>
      </c>
      <c r="Y179" s="8">
        <v>0</v>
      </c>
      <c r="Z179" s="8">
        <v>0</v>
      </c>
      <c r="AA179" s="8">
        <v>0</v>
      </c>
      <c r="AB179" s="7">
        <v>111306</v>
      </c>
      <c r="AC179" t="s">
        <v>762</v>
      </c>
      <c r="AD179" s="8">
        <v>0</v>
      </c>
      <c r="AG179" t="s">
        <v>823</v>
      </c>
      <c r="AH179" t="s">
        <v>802</v>
      </c>
      <c r="AI179" t="s">
        <v>803</v>
      </c>
    </row>
    <row r="180" spans="1:35" hidden="1">
      <c r="A180" s="7">
        <v>179</v>
      </c>
      <c r="B180" t="s">
        <v>243</v>
      </c>
      <c r="C180" t="s">
        <v>244</v>
      </c>
      <c r="D180" s="7">
        <v>7134</v>
      </c>
      <c r="E180" t="s">
        <v>245</v>
      </c>
      <c r="F180" t="s">
        <v>246</v>
      </c>
      <c r="G180" t="s">
        <v>1542</v>
      </c>
      <c r="H180" t="s">
        <v>328</v>
      </c>
      <c r="I180" s="7">
        <v>1165</v>
      </c>
      <c r="J180" s="7">
        <v>70000</v>
      </c>
      <c r="K180" s="7">
        <v>7</v>
      </c>
      <c r="L180" t="s">
        <v>247</v>
      </c>
      <c r="M180" t="s">
        <v>361</v>
      </c>
      <c r="N180" s="7">
        <v>3269</v>
      </c>
      <c r="O180" t="s">
        <v>1543</v>
      </c>
      <c r="P180" t="s">
        <v>1544</v>
      </c>
      <c r="S180" t="s">
        <v>1225</v>
      </c>
      <c r="T180" t="s">
        <v>278</v>
      </c>
      <c r="U180" t="s">
        <v>633</v>
      </c>
      <c r="V180" s="8">
        <v>1650</v>
      </c>
      <c r="W180" s="7">
        <v>587839</v>
      </c>
      <c r="X180" t="s">
        <v>762</v>
      </c>
      <c r="Y180" s="8">
        <v>1650</v>
      </c>
      <c r="Z180" s="8">
        <v>1947</v>
      </c>
      <c r="AA180" s="8">
        <v>297</v>
      </c>
      <c r="AB180" s="7">
        <v>111306</v>
      </c>
      <c r="AC180" t="s">
        <v>762</v>
      </c>
      <c r="AD180" s="8">
        <v>0</v>
      </c>
      <c r="AG180" t="s">
        <v>823</v>
      </c>
      <c r="AH180" t="s">
        <v>802</v>
      </c>
      <c r="AI180" t="s">
        <v>818</v>
      </c>
    </row>
    <row r="181" spans="1:35" hidden="1">
      <c r="A181" s="7">
        <v>180</v>
      </c>
      <c r="B181" t="s">
        <v>243</v>
      </c>
      <c r="C181" t="s">
        <v>244</v>
      </c>
      <c r="D181" s="7">
        <v>7134</v>
      </c>
      <c r="E181" t="s">
        <v>245</v>
      </c>
      <c r="F181" t="s">
        <v>246</v>
      </c>
      <c r="G181" t="s">
        <v>999</v>
      </c>
      <c r="H181" t="s">
        <v>1257</v>
      </c>
      <c r="I181" s="7">
        <v>1165</v>
      </c>
      <c r="J181" s="7">
        <v>17200</v>
      </c>
      <c r="K181" s="7">
        <v>2</v>
      </c>
      <c r="L181" t="s">
        <v>247</v>
      </c>
      <c r="M181" t="s">
        <v>261</v>
      </c>
      <c r="N181" s="7">
        <v>790753</v>
      </c>
      <c r="O181" t="s">
        <v>1000</v>
      </c>
      <c r="P181" t="s">
        <v>1001</v>
      </c>
      <c r="S181" t="s">
        <v>1225</v>
      </c>
      <c r="T181" t="s">
        <v>278</v>
      </c>
      <c r="U181" t="s">
        <v>633</v>
      </c>
      <c r="V181" s="8">
        <v>0</v>
      </c>
      <c r="W181" s="7">
        <v>587839</v>
      </c>
      <c r="X181" t="s">
        <v>762</v>
      </c>
      <c r="Y181" s="8">
        <v>0</v>
      </c>
      <c r="Z181" s="8">
        <v>0</v>
      </c>
      <c r="AA181" s="8">
        <v>0</v>
      </c>
      <c r="AB181" s="7">
        <v>111306</v>
      </c>
      <c r="AC181" t="s">
        <v>762</v>
      </c>
      <c r="AD181" s="8">
        <v>0</v>
      </c>
      <c r="AG181" t="s">
        <v>801</v>
      </c>
      <c r="AH181" t="s">
        <v>802</v>
      </c>
      <c r="AI181" t="s">
        <v>803</v>
      </c>
    </row>
    <row r="182" spans="1:35" hidden="1">
      <c r="A182" s="7">
        <v>181</v>
      </c>
      <c r="B182" t="s">
        <v>243</v>
      </c>
      <c r="C182" t="s">
        <v>244</v>
      </c>
      <c r="D182" s="7">
        <v>7134</v>
      </c>
      <c r="E182" t="s">
        <v>245</v>
      </c>
      <c r="F182" t="s">
        <v>246</v>
      </c>
      <c r="G182" t="s">
        <v>1495</v>
      </c>
      <c r="H182" t="s">
        <v>278</v>
      </c>
      <c r="I182" s="7">
        <v>1165</v>
      </c>
      <c r="J182" s="7">
        <v>25593</v>
      </c>
      <c r="K182" s="7">
        <v>9</v>
      </c>
      <c r="L182" t="s">
        <v>247</v>
      </c>
      <c r="M182" t="s">
        <v>261</v>
      </c>
      <c r="N182" s="7">
        <v>755926</v>
      </c>
      <c r="O182" t="s">
        <v>1496</v>
      </c>
      <c r="P182" t="s">
        <v>1497</v>
      </c>
      <c r="S182" t="s">
        <v>1225</v>
      </c>
      <c r="T182" t="s">
        <v>278</v>
      </c>
      <c r="U182" t="s">
        <v>633</v>
      </c>
      <c r="V182" s="8">
        <v>0</v>
      </c>
      <c r="W182" s="7">
        <v>587839</v>
      </c>
      <c r="X182" t="s">
        <v>762</v>
      </c>
      <c r="Y182" s="8">
        <v>0</v>
      </c>
      <c r="Z182" s="8">
        <v>0</v>
      </c>
      <c r="AA182" s="8">
        <v>0</v>
      </c>
      <c r="AB182" s="7">
        <v>111306</v>
      </c>
      <c r="AC182" t="s">
        <v>762</v>
      </c>
      <c r="AD182" s="8">
        <v>0</v>
      </c>
      <c r="AG182" t="s">
        <v>801</v>
      </c>
      <c r="AH182" t="s">
        <v>802</v>
      </c>
      <c r="AI182" t="s">
        <v>803</v>
      </c>
    </row>
    <row r="183" spans="1:35" hidden="1">
      <c r="A183" s="7">
        <v>182</v>
      </c>
      <c r="B183" t="s">
        <v>243</v>
      </c>
      <c r="C183" t="s">
        <v>244</v>
      </c>
      <c r="D183" s="7">
        <v>7134</v>
      </c>
      <c r="E183" t="s">
        <v>245</v>
      </c>
      <c r="F183" t="s">
        <v>246</v>
      </c>
      <c r="G183" t="s">
        <v>1024</v>
      </c>
      <c r="H183" t="s">
        <v>1306</v>
      </c>
      <c r="I183" s="7">
        <v>1165</v>
      </c>
      <c r="J183" s="7">
        <v>40000</v>
      </c>
      <c r="K183" s="7">
        <v>4</v>
      </c>
      <c r="L183" t="s">
        <v>247</v>
      </c>
      <c r="M183" t="s">
        <v>261</v>
      </c>
      <c r="N183" s="7">
        <v>785727</v>
      </c>
      <c r="O183" t="s">
        <v>1322</v>
      </c>
      <c r="P183" t="s">
        <v>1323</v>
      </c>
      <c r="S183" t="s">
        <v>1225</v>
      </c>
      <c r="T183" t="s">
        <v>278</v>
      </c>
      <c r="U183" t="s">
        <v>633</v>
      </c>
      <c r="V183" s="8">
        <v>0</v>
      </c>
      <c r="W183" s="7">
        <v>587839</v>
      </c>
      <c r="X183" t="s">
        <v>762</v>
      </c>
      <c r="Y183" s="8">
        <v>0</v>
      </c>
      <c r="Z183" s="8">
        <v>0</v>
      </c>
      <c r="AA183" s="8">
        <v>0</v>
      </c>
      <c r="AB183" s="7">
        <v>111306</v>
      </c>
      <c r="AC183" t="s">
        <v>762</v>
      </c>
      <c r="AD183" s="8">
        <v>0</v>
      </c>
      <c r="AG183" t="s">
        <v>801</v>
      </c>
      <c r="AH183" t="s">
        <v>802</v>
      </c>
      <c r="AI183" t="s">
        <v>803</v>
      </c>
    </row>
    <row r="184" spans="1:35" hidden="1">
      <c r="A184" s="7">
        <v>183</v>
      </c>
      <c r="B184" t="s">
        <v>243</v>
      </c>
      <c r="C184" t="s">
        <v>244</v>
      </c>
      <c r="D184" s="7">
        <v>7134</v>
      </c>
      <c r="E184" t="s">
        <v>245</v>
      </c>
      <c r="F184" t="s">
        <v>246</v>
      </c>
      <c r="G184" t="s">
        <v>864</v>
      </c>
      <c r="H184" t="s">
        <v>1316</v>
      </c>
      <c r="I184" s="7">
        <v>1165</v>
      </c>
      <c r="J184" s="7">
        <v>23903</v>
      </c>
      <c r="K184" s="7">
        <v>3</v>
      </c>
      <c r="L184" t="s">
        <v>247</v>
      </c>
      <c r="M184" t="s">
        <v>361</v>
      </c>
      <c r="N184" s="7">
        <v>3911</v>
      </c>
      <c r="O184" t="s">
        <v>1317</v>
      </c>
      <c r="P184" t="s">
        <v>1318</v>
      </c>
      <c r="S184" t="s">
        <v>1225</v>
      </c>
      <c r="T184" t="s">
        <v>278</v>
      </c>
      <c r="U184" t="s">
        <v>633</v>
      </c>
      <c r="V184" s="8">
        <v>1650</v>
      </c>
      <c r="W184" s="7">
        <v>587839</v>
      </c>
      <c r="X184" t="s">
        <v>762</v>
      </c>
      <c r="Y184" s="8">
        <v>1650</v>
      </c>
      <c r="Z184" s="8">
        <v>1947</v>
      </c>
      <c r="AA184" s="8">
        <v>297</v>
      </c>
      <c r="AB184" s="7">
        <v>111306</v>
      </c>
      <c r="AC184" t="s">
        <v>762</v>
      </c>
      <c r="AD184" s="8">
        <v>0</v>
      </c>
      <c r="AG184" t="s">
        <v>823</v>
      </c>
      <c r="AH184" t="s">
        <v>802</v>
      </c>
      <c r="AI184" t="s">
        <v>818</v>
      </c>
    </row>
    <row r="185" spans="1:35" hidden="1">
      <c r="A185" s="7">
        <v>184</v>
      </c>
      <c r="B185" t="s">
        <v>243</v>
      </c>
      <c r="C185" t="s">
        <v>244</v>
      </c>
      <c r="D185" s="7">
        <v>7134</v>
      </c>
      <c r="E185" t="s">
        <v>245</v>
      </c>
      <c r="F185" t="s">
        <v>246</v>
      </c>
      <c r="G185" t="s">
        <v>1366</v>
      </c>
      <c r="H185" t="s">
        <v>1237</v>
      </c>
      <c r="I185" s="7">
        <v>1165</v>
      </c>
      <c r="J185" s="7">
        <v>120000</v>
      </c>
      <c r="K185" s="7">
        <v>12</v>
      </c>
      <c r="L185" t="s">
        <v>247</v>
      </c>
      <c r="M185" t="s">
        <v>261</v>
      </c>
      <c r="N185" s="7">
        <v>746572</v>
      </c>
      <c r="O185" t="s">
        <v>1367</v>
      </c>
      <c r="P185" t="s">
        <v>1368</v>
      </c>
      <c r="S185" t="s">
        <v>1225</v>
      </c>
      <c r="T185" t="s">
        <v>278</v>
      </c>
      <c r="U185" t="s">
        <v>633</v>
      </c>
      <c r="V185" s="8">
        <v>0</v>
      </c>
      <c r="W185" s="7">
        <v>587839</v>
      </c>
      <c r="X185" t="s">
        <v>762</v>
      </c>
      <c r="Y185" s="8">
        <v>0</v>
      </c>
      <c r="Z185" s="8">
        <v>0</v>
      </c>
      <c r="AA185" s="8">
        <v>0</v>
      </c>
      <c r="AB185" s="7">
        <v>111306</v>
      </c>
      <c r="AC185" t="s">
        <v>762</v>
      </c>
      <c r="AD185" s="8">
        <v>0</v>
      </c>
      <c r="AG185" t="s">
        <v>801</v>
      </c>
      <c r="AH185" t="s">
        <v>802</v>
      </c>
      <c r="AI185" t="s">
        <v>803</v>
      </c>
    </row>
    <row r="186" spans="1:35" hidden="1">
      <c r="A186" s="7">
        <v>185</v>
      </c>
      <c r="B186" t="s">
        <v>243</v>
      </c>
      <c r="C186" t="s">
        <v>244</v>
      </c>
      <c r="D186" s="7">
        <v>7134</v>
      </c>
      <c r="E186" t="s">
        <v>245</v>
      </c>
      <c r="F186" t="s">
        <v>246</v>
      </c>
      <c r="G186" t="s">
        <v>1369</v>
      </c>
      <c r="H186" t="s">
        <v>1274</v>
      </c>
      <c r="I186" s="7">
        <v>1165</v>
      </c>
      <c r="J186" s="7">
        <v>71388</v>
      </c>
      <c r="K186" s="7">
        <v>9</v>
      </c>
      <c r="L186" t="s">
        <v>247</v>
      </c>
      <c r="M186" t="s">
        <v>252</v>
      </c>
      <c r="N186" s="7">
        <v>319115</v>
      </c>
      <c r="O186" t="s">
        <v>1370</v>
      </c>
      <c r="P186" t="s">
        <v>1371</v>
      </c>
      <c r="S186" t="s">
        <v>1225</v>
      </c>
      <c r="T186" t="s">
        <v>278</v>
      </c>
      <c r="U186" t="s">
        <v>633</v>
      </c>
      <c r="V186" s="8">
        <v>0</v>
      </c>
      <c r="W186" s="7">
        <v>587839</v>
      </c>
      <c r="X186" t="s">
        <v>762</v>
      </c>
      <c r="Y186" s="8">
        <v>0</v>
      </c>
      <c r="Z186" s="8">
        <v>0</v>
      </c>
      <c r="AA186" s="8">
        <v>0</v>
      </c>
      <c r="AB186" s="7">
        <v>111306</v>
      </c>
      <c r="AC186" t="s">
        <v>762</v>
      </c>
      <c r="AD186" s="8">
        <v>0</v>
      </c>
      <c r="AG186" t="s">
        <v>937</v>
      </c>
      <c r="AH186" t="s">
        <v>802</v>
      </c>
      <c r="AI186" t="s">
        <v>803</v>
      </c>
    </row>
    <row r="187" spans="1:35" hidden="1">
      <c r="A187" s="7">
        <v>186</v>
      </c>
      <c r="B187" t="s">
        <v>243</v>
      </c>
      <c r="C187" t="s">
        <v>244</v>
      </c>
      <c r="D187" s="7">
        <v>7134</v>
      </c>
      <c r="E187" t="s">
        <v>245</v>
      </c>
      <c r="F187" t="s">
        <v>246</v>
      </c>
      <c r="G187" t="s">
        <v>1512</v>
      </c>
      <c r="H187" t="s">
        <v>1231</v>
      </c>
      <c r="I187" s="7">
        <v>1165</v>
      </c>
      <c r="J187" s="7">
        <v>40000</v>
      </c>
      <c r="K187" s="7">
        <v>4</v>
      </c>
      <c r="L187" t="s">
        <v>247</v>
      </c>
      <c r="M187" t="s">
        <v>261</v>
      </c>
      <c r="N187" s="7">
        <v>775228</v>
      </c>
      <c r="O187" t="s">
        <v>1513</v>
      </c>
      <c r="P187" t="s">
        <v>1514</v>
      </c>
      <c r="S187" t="s">
        <v>1225</v>
      </c>
      <c r="T187" t="s">
        <v>278</v>
      </c>
      <c r="U187" t="s">
        <v>633</v>
      </c>
      <c r="V187" s="8">
        <v>0</v>
      </c>
      <c r="W187" s="7">
        <v>587839</v>
      </c>
      <c r="X187" t="s">
        <v>762</v>
      </c>
      <c r="Y187" s="8">
        <v>0</v>
      </c>
      <c r="Z187" s="8">
        <v>0</v>
      </c>
      <c r="AA187" s="8">
        <v>0</v>
      </c>
      <c r="AB187" s="7">
        <v>111306</v>
      </c>
      <c r="AC187" t="s">
        <v>762</v>
      </c>
      <c r="AD187" s="8">
        <v>0</v>
      </c>
      <c r="AG187" t="s">
        <v>801</v>
      </c>
      <c r="AH187" t="s">
        <v>802</v>
      </c>
      <c r="AI187" t="s">
        <v>803</v>
      </c>
    </row>
    <row r="188" spans="1:35" hidden="1">
      <c r="A188" s="7">
        <v>187</v>
      </c>
      <c r="B188" t="s">
        <v>243</v>
      </c>
      <c r="C188" t="s">
        <v>244</v>
      </c>
      <c r="D188" s="7">
        <v>7134</v>
      </c>
      <c r="E188" t="s">
        <v>245</v>
      </c>
      <c r="F188" t="s">
        <v>246</v>
      </c>
      <c r="G188" t="s">
        <v>1512</v>
      </c>
      <c r="H188" t="s">
        <v>273</v>
      </c>
      <c r="I188" s="7">
        <v>1165</v>
      </c>
      <c r="J188" s="7">
        <v>50000</v>
      </c>
      <c r="K188" s="7">
        <v>5</v>
      </c>
      <c r="L188" t="s">
        <v>247</v>
      </c>
      <c r="M188" t="s">
        <v>261</v>
      </c>
      <c r="N188" s="7">
        <v>775228</v>
      </c>
      <c r="O188" t="s">
        <v>1513</v>
      </c>
      <c r="P188" t="s">
        <v>1514</v>
      </c>
      <c r="S188" t="s">
        <v>1225</v>
      </c>
      <c r="T188" t="s">
        <v>278</v>
      </c>
      <c r="U188" t="s">
        <v>633</v>
      </c>
      <c r="V188" s="8">
        <v>1250</v>
      </c>
      <c r="W188" s="7">
        <v>587839</v>
      </c>
      <c r="X188" t="s">
        <v>762</v>
      </c>
      <c r="Y188" s="8">
        <v>1250</v>
      </c>
      <c r="Z188" s="8">
        <v>1475</v>
      </c>
      <c r="AA188" s="8">
        <v>225</v>
      </c>
      <c r="AB188" s="7">
        <v>111306</v>
      </c>
      <c r="AC188" t="s">
        <v>762</v>
      </c>
      <c r="AD188" s="8">
        <v>0</v>
      </c>
      <c r="AG188" t="s">
        <v>801</v>
      </c>
      <c r="AH188" t="s">
        <v>802</v>
      </c>
      <c r="AI188" t="s">
        <v>818</v>
      </c>
    </row>
    <row r="189" spans="1:35" hidden="1">
      <c r="A189" s="7">
        <v>188</v>
      </c>
      <c r="B189" t="s">
        <v>243</v>
      </c>
      <c r="C189" t="s">
        <v>244</v>
      </c>
      <c r="D189" s="7">
        <v>7134</v>
      </c>
      <c r="E189" t="s">
        <v>245</v>
      </c>
      <c r="F189" t="s">
        <v>246</v>
      </c>
      <c r="G189" t="s">
        <v>1434</v>
      </c>
      <c r="H189" t="s">
        <v>412</v>
      </c>
      <c r="I189" s="7">
        <v>1165</v>
      </c>
      <c r="J189" s="7">
        <v>88172</v>
      </c>
      <c r="K189" s="7">
        <v>9</v>
      </c>
      <c r="L189" t="s">
        <v>247</v>
      </c>
      <c r="M189" t="s">
        <v>252</v>
      </c>
      <c r="N189" s="7">
        <v>317507</v>
      </c>
      <c r="O189" t="s">
        <v>1435</v>
      </c>
      <c r="P189" t="s">
        <v>1436</v>
      </c>
      <c r="S189" t="s">
        <v>1225</v>
      </c>
      <c r="T189" t="s">
        <v>278</v>
      </c>
      <c r="U189" t="s">
        <v>633</v>
      </c>
      <c r="V189" s="8">
        <v>0</v>
      </c>
      <c r="W189" s="7">
        <v>587839</v>
      </c>
      <c r="X189" t="s">
        <v>762</v>
      </c>
      <c r="Y189" s="8">
        <v>0</v>
      </c>
      <c r="Z189" s="8">
        <v>0</v>
      </c>
      <c r="AA189" s="8">
        <v>0</v>
      </c>
      <c r="AB189" s="7">
        <v>111306</v>
      </c>
      <c r="AC189" t="s">
        <v>762</v>
      </c>
      <c r="AD189" s="8">
        <v>0</v>
      </c>
      <c r="AG189" t="s">
        <v>937</v>
      </c>
      <c r="AH189" t="s">
        <v>802</v>
      </c>
      <c r="AI189" t="s">
        <v>803</v>
      </c>
    </row>
    <row r="190" spans="1:35" hidden="1">
      <c r="A190" s="7">
        <v>189</v>
      </c>
      <c r="B190" t="s">
        <v>243</v>
      </c>
      <c r="C190" t="s">
        <v>244</v>
      </c>
      <c r="D190" s="7">
        <v>7134</v>
      </c>
      <c r="E190" t="s">
        <v>245</v>
      </c>
      <c r="F190" t="s">
        <v>246</v>
      </c>
      <c r="G190" t="s">
        <v>1375</v>
      </c>
      <c r="H190" t="s">
        <v>1257</v>
      </c>
      <c r="I190" s="7">
        <v>1165</v>
      </c>
      <c r="J190" s="7">
        <v>86230</v>
      </c>
      <c r="K190" s="7">
        <v>11</v>
      </c>
      <c r="L190" t="s">
        <v>247</v>
      </c>
      <c r="M190" t="s">
        <v>261</v>
      </c>
      <c r="N190" s="7">
        <v>746997</v>
      </c>
      <c r="O190" t="s">
        <v>1376</v>
      </c>
      <c r="P190" t="s">
        <v>1377</v>
      </c>
      <c r="S190" t="s">
        <v>1225</v>
      </c>
      <c r="T190" t="s">
        <v>278</v>
      </c>
      <c r="U190" t="s">
        <v>633</v>
      </c>
      <c r="V190" s="8">
        <v>1250</v>
      </c>
      <c r="W190" s="7">
        <v>587839</v>
      </c>
      <c r="X190" t="s">
        <v>762</v>
      </c>
      <c r="Y190" s="8">
        <v>1250</v>
      </c>
      <c r="Z190" s="8">
        <v>1475</v>
      </c>
      <c r="AA190" s="8">
        <v>225</v>
      </c>
      <c r="AB190" s="7">
        <v>111306</v>
      </c>
      <c r="AC190" t="s">
        <v>762</v>
      </c>
      <c r="AD190" s="8">
        <v>0</v>
      </c>
      <c r="AG190" t="s">
        <v>801</v>
      </c>
      <c r="AH190" t="s">
        <v>802</v>
      </c>
      <c r="AI190" t="s">
        <v>818</v>
      </c>
    </row>
    <row r="191" spans="1:35" hidden="1">
      <c r="A191" s="7">
        <v>190</v>
      </c>
      <c r="B191" t="s">
        <v>243</v>
      </c>
      <c r="C191" t="s">
        <v>244</v>
      </c>
      <c r="D191" s="7">
        <v>7134</v>
      </c>
      <c r="E191" t="s">
        <v>245</v>
      </c>
      <c r="F191" t="s">
        <v>246</v>
      </c>
      <c r="G191" t="s">
        <v>1375</v>
      </c>
      <c r="H191" t="s">
        <v>843</v>
      </c>
      <c r="I191" s="7">
        <v>1165</v>
      </c>
      <c r="J191" s="7">
        <v>81500</v>
      </c>
      <c r="K191" s="7">
        <v>10</v>
      </c>
      <c r="L191" t="s">
        <v>247</v>
      </c>
      <c r="M191" t="s">
        <v>261</v>
      </c>
      <c r="N191" s="7">
        <v>746997</v>
      </c>
      <c r="O191" t="s">
        <v>1376</v>
      </c>
      <c r="P191" t="s">
        <v>1377</v>
      </c>
      <c r="Q191" t="s">
        <v>870</v>
      </c>
      <c r="R191" t="s">
        <v>871</v>
      </c>
      <c r="S191" t="s">
        <v>1225</v>
      </c>
      <c r="T191" t="s">
        <v>278</v>
      </c>
      <c r="U191" t="s">
        <v>633</v>
      </c>
      <c r="V191" s="8">
        <v>0</v>
      </c>
      <c r="W191" s="7">
        <v>587839</v>
      </c>
      <c r="X191" t="s">
        <v>762</v>
      </c>
      <c r="Y191" s="8">
        <v>0</v>
      </c>
      <c r="Z191" s="8">
        <v>0</v>
      </c>
      <c r="AA191" s="8">
        <v>0</v>
      </c>
      <c r="AB191" s="7">
        <v>111306</v>
      </c>
      <c r="AC191" t="s">
        <v>762</v>
      </c>
      <c r="AD191" s="8">
        <v>0</v>
      </c>
      <c r="AG191" t="s">
        <v>801</v>
      </c>
      <c r="AH191" t="s">
        <v>802</v>
      </c>
      <c r="AI191" t="s">
        <v>803</v>
      </c>
    </row>
    <row r="192" spans="1:35" hidden="1">
      <c r="A192" s="7">
        <v>191</v>
      </c>
      <c r="B192" t="s">
        <v>243</v>
      </c>
      <c r="C192" t="s">
        <v>244</v>
      </c>
      <c r="D192" s="7">
        <v>7134</v>
      </c>
      <c r="E192" t="s">
        <v>245</v>
      </c>
      <c r="F192" t="s">
        <v>246</v>
      </c>
      <c r="G192" t="s">
        <v>1011</v>
      </c>
      <c r="H192" t="s">
        <v>1224</v>
      </c>
      <c r="I192" s="7">
        <v>1165</v>
      </c>
      <c r="J192" s="7">
        <v>6230</v>
      </c>
      <c r="K192" s="7">
        <v>2</v>
      </c>
      <c r="L192" t="s">
        <v>247</v>
      </c>
      <c r="M192" t="s">
        <v>261</v>
      </c>
      <c r="N192" s="7">
        <v>781826</v>
      </c>
      <c r="O192" t="s">
        <v>1462</v>
      </c>
      <c r="P192" t="s">
        <v>1463</v>
      </c>
      <c r="Q192" t="s">
        <v>870</v>
      </c>
      <c r="R192" t="s">
        <v>871</v>
      </c>
      <c r="S192" t="s">
        <v>1225</v>
      </c>
      <c r="T192" t="s">
        <v>278</v>
      </c>
      <c r="U192" t="s">
        <v>633</v>
      </c>
      <c r="V192" s="8">
        <v>0</v>
      </c>
      <c r="W192" s="7">
        <v>587839</v>
      </c>
      <c r="X192" t="s">
        <v>762</v>
      </c>
      <c r="Y192" s="8">
        <v>0</v>
      </c>
      <c r="Z192" s="8">
        <v>0</v>
      </c>
      <c r="AA192" s="8">
        <v>0</v>
      </c>
      <c r="AB192" s="7">
        <v>111306</v>
      </c>
      <c r="AC192" t="s">
        <v>762</v>
      </c>
      <c r="AD192" s="8">
        <v>0</v>
      </c>
      <c r="AG192" t="s">
        <v>808</v>
      </c>
      <c r="AH192" t="s">
        <v>802</v>
      </c>
      <c r="AI192" t="s">
        <v>803</v>
      </c>
    </row>
    <row r="193" spans="1:35" hidden="1">
      <c r="A193" s="7">
        <v>192</v>
      </c>
      <c r="B193" t="s">
        <v>243</v>
      </c>
      <c r="C193" t="s">
        <v>244</v>
      </c>
      <c r="D193" s="7">
        <v>7134</v>
      </c>
      <c r="E193" t="s">
        <v>245</v>
      </c>
      <c r="F193" t="s">
        <v>246</v>
      </c>
      <c r="G193" t="s">
        <v>1240</v>
      </c>
      <c r="H193" t="s">
        <v>1224</v>
      </c>
      <c r="I193" s="7">
        <v>1165</v>
      </c>
      <c r="J193" s="7">
        <v>40000</v>
      </c>
      <c r="K193" s="7">
        <v>4</v>
      </c>
      <c r="L193" t="s">
        <v>247</v>
      </c>
      <c r="M193" t="s">
        <v>261</v>
      </c>
      <c r="N193" s="7">
        <v>775222</v>
      </c>
      <c r="O193" t="s">
        <v>1241</v>
      </c>
      <c r="P193" t="s">
        <v>1242</v>
      </c>
      <c r="Q193" t="s">
        <v>870</v>
      </c>
      <c r="R193" t="s">
        <v>871</v>
      </c>
      <c r="S193" t="s">
        <v>1225</v>
      </c>
      <c r="T193" t="s">
        <v>278</v>
      </c>
      <c r="U193" t="s">
        <v>633</v>
      </c>
      <c r="V193" s="8">
        <v>0</v>
      </c>
      <c r="W193" s="7">
        <v>587839</v>
      </c>
      <c r="X193" t="s">
        <v>762</v>
      </c>
      <c r="Y193" s="8">
        <v>0</v>
      </c>
      <c r="Z193" s="8">
        <v>0</v>
      </c>
      <c r="AA193" s="8">
        <v>0</v>
      </c>
      <c r="AB193" s="7">
        <v>111306</v>
      </c>
      <c r="AC193" t="s">
        <v>762</v>
      </c>
      <c r="AD193" s="8">
        <v>0</v>
      </c>
      <c r="AG193" t="s">
        <v>801</v>
      </c>
      <c r="AH193" t="s">
        <v>802</v>
      </c>
      <c r="AI193" t="s">
        <v>803</v>
      </c>
    </row>
    <row r="194" spans="1:35" hidden="1">
      <c r="A194" s="7">
        <v>193</v>
      </c>
      <c r="B194" t="s">
        <v>243</v>
      </c>
      <c r="C194" t="s">
        <v>244</v>
      </c>
      <c r="D194" s="7">
        <v>7134</v>
      </c>
      <c r="E194" t="s">
        <v>245</v>
      </c>
      <c r="F194" t="s">
        <v>246</v>
      </c>
      <c r="G194" t="s">
        <v>982</v>
      </c>
      <c r="H194" t="s">
        <v>308</v>
      </c>
      <c r="I194" s="7">
        <v>1165</v>
      </c>
      <c r="J194" s="7">
        <v>17580</v>
      </c>
      <c r="K194" s="7">
        <v>2</v>
      </c>
      <c r="L194" t="s">
        <v>247</v>
      </c>
      <c r="M194" t="s">
        <v>261</v>
      </c>
      <c r="N194" s="7">
        <v>786107</v>
      </c>
      <c r="O194" t="s">
        <v>1407</v>
      </c>
      <c r="P194" t="s">
        <v>1408</v>
      </c>
      <c r="S194" t="s">
        <v>1225</v>
      </c>
      <c r="T194" t="s">
        <v>278</v>
      </c>
      <c r="U194" t="s">
        <v>633</v>
      </c>
      <c r="V194" s="8">
        <v>0</v>
      </c>
      <c r="W194" s="7">
        <v>587839</v>
      </c>
      <c r="X194" t="s">
        <v>762</v>
      </c>
      <c r="Y194" s="8">
        <v>0</v>
      </c>
      <c r="Z194" s="8">
        <v>0</v>
      </c>
      <c r="AA194" s="8">
        <v>0</v>
      </c>
      <c r="AB194" s="7">
        <v>111306</v>
      </c>
      <c r="AC194" t="s">
        <v>762</v>
      </c>
      <c r="AD194" s="8">
        <v>0</v>
      </c>
      <c r="AG194" t="s">
        <v>801</v>
      </c>
      <c r="AH194" t="s">
        <v>802</v>
      </c>
      <c r="AI194" t="s">
        <v>803</v>
      </c>
    </row>
    <row r="195" spans="1:35" hidden="1">
      <c r="A195" s="7">
        <v>194</v>
      </c>
      <c r="B195" t="s">
        <v>243</v>
      </c>
      <c r="C195" t="s">
        <v>244</v>
      </c>
      <c r="D195" s="7">
        <v>7134</v>
      </c>
      <c r="E195" t="s">
        <v>245</v>
      </c>
      <c r="F195" t="s">
        <v>246</v>
      </c>
      <c r="G195" t="s">
        <v>1589</v>
      </c>
      <c r="H195" t="s">
        <v>1290</v>
      </c>
      <c r="I195" s="7">
        <v>1165</v>
      </c>
      <c r="J195" s="7">
        <v>20000</v>
      </c>
      <c r="K195" s="7">
        <v>2</v>
      </c>
      <c r="L195" t="s">
        <v>247</v>
      </c>
      <c r="M195" t="s">
        <v>261</v>
      </c>
      <c r="N195" s="7">
        <v>790286</v>
      </c>
      <c r="O195" t="s">
        <v>1590</v>
      </c>
      <c r="P195" t="s">
        <v>1591</v>
      </c>
      <c r="Q195" t="s">
        <v>870</v>
      </c>
      <c r="R195" t="s">
        <v>871</v>
      </c>
      <c r="S195" t="s">
        <v>1225</v>
      </c>
      <c r="T195" t="s">
        <v>278</v>
      </c>
      <c r="U195" t="s">
        <v>633</v>
      </c>
      <c r="V195" s="8">
        <v>0</v>
      </c>
      <c r="W195" s="7">
        <v>587839</v>
      </c>
      <c r="X195" t="s">
        <v>762</v>
      </c>
      <c r="Y195" s="8">
        <v>0</v>
      </c>
      <c r="Z195" s="8">
        <v>0</v>
      </c>
      <c r="AA195" s="8">
        <v>0</v>
      </c>
      <c r="AB195" s="7">
        <v>111306</v>
      </c>
      <c r="AC195" t="s">
        <v>762</v>
      </c>
      <c r="AD195" s="8">
        <v>0</v>
      </c>
      <c r="AG195" t="s">
        <v>801</v>
      </c>
      <c r="AH195" t="s">
        <v>802</v>
      </c>
      <c r="AI195" t="s">
        <v>803</v>
      </c>
    </row>
    <row r="196" spans="1:35" hidden="1">
      <c r="A196" s="7">
        <v>195</v>
      </c>
      <c r="B196" t="s">
        <v>243</v>
      </c>
      <c r="C196" t="s">
        <v>244</v>
      </c>
      <c r="D196" s="7">
        <v>7134</v>
      </c>
      <c r="E196" t="s">
        <v>245</v>
      </c>
      <c r="F196" t="s">
        <v>246</v>
      </c>
      <c r="G196" t="s">
        <v>864</v>
      </c>
      <c r="H196" t="s">
        <v>248</v>
      </c>
      <c r="I196" s="7">
        <v>1165</v>
      </c>
      <c r="J196" s="7">
        <v>40000</v>
      </c>
      <c r="K196" s="7">
        <v>4</v>
      </c>
      <c r="L196" t="s">
        <v>247</v>
      </c>
      <c r="M196" t="s">
        <v>361</v>
      </c>
      <c r="N196" s="7">
        <v>3559</v>
      </c>
      <c r="O196" t="s">
        <v>865</v>
      </c>
      <c r="P196" t="s">
        <v>866</v>
      </c>
      <c r="S196" t="s">
        <v>1225</v>
      </c>
      <c r="T196" t="s">
        <v>278</v>
      </c>
      <c r="U196" t="s">
        <v>633</v>
      </c>
      <c r="V196" s="8">
        <v>0</v>
      </c>
      <c r="W196" s="7">
        <v>587839</v>
      </c>
      <c r="X196" t="s">
        <v>762</v>
      </c>
      <c r="Y196" s="8">
        <v>0</v>
      </c>
      <c r="Z196" s="8">
        <v>0</v>
      </c>
      <c r="AA196" s="8">
        <v>0</v>
      </c>
      <c r="AB196" s="7">
        <v>111306</v>
      </c>
      <c r="AC196" t="s">
        <v>762</v>
      </c>
      <c r="AD196" s="8">
        <v>0</v>
      </c>
      <c r="AG196" t="s">
        <v>823</v>
      </c>
      <c r="AH196" t="s">
        <v>802</v>
      </c>
      <c r="AI196" t="s">
        <v>803</v>
      </c>
    </row>
    <row r="197" spans="1:35" hidden="1">
      <c r="A197" s="7">
        <v>196</v>
      </c>
      <c r="B197" t="s">
        <v>243</v>
      </c>
      <c r="C197" t="s">
        <v>244</v>
      </c>
      <c r="D197" s="7">
        <v>7134</v>
      </c>
      <c r="E197" t="s">
        <v>245</v>
      </c>
      <c r="F197" t="s">
        <v>246</v>
      </c>
      <c r="G197" t="s">
        <v>1594</v>
      </c>
      <c r="H197" t="s">
        <v>412</v>
      </c>
      <c r="I197" s="7">
        <v>1165</v>
      </c>
      <c r="J197" s="7">
        <v>9406</v>
      </c>
      <c r="K197" s="7">
        <v>1</v>
      </c>
      <c r="L197" t="s">
        <v>247</v>
      </c>
      <c r="M197" t="s">
        <v>261</v>
      </c>
      <c r="N197" s="7">
        <v>792067</v>
      </c>
      <c r="O197" t="s">
        <v>1595</v>
      </c>
      <c r="P197" t="s">
        <v>1596</v>
      </c>
      <c r="S197" t="s">
        <v>1225</v>
      </c>
      <c r="T197" t="s">
        <v>278</v>
      </c>
      <c r="U197" t="s">
        <v>633</v>
      </c>
      <c r="V197" s="8">
        <v>1250</v>
      </c>
      <c r="W197" s="7">
        <v>587839</v>
      </c>
      <c r="X197" t="s">
        <v>762</v>
      </c>
      <c r="Y197" s="8">
        <v>1250</v>
      </c>
      <c r="Z197" s="8">
        <v>1475</v>
      </c>
      <c r="AA197" s="8">
        <v>225</v>
      </c>
      <c r="AB197" s="7">
        <v>111306</v>
      </c>
      <c r="AC197" t="s">
        <v>762</v>
      </c>
      <c r="AD197" s="8">
        <v>0</v>
      </c>
      <c r="AG197" t="s">
        <v>801</v>
      </c>
      <c r="AH197" t="s">
        <v>802</v>
      </c>
      <c r="AI197" t="s">
        <v>818</v>
      </c>
    </row>
    <row r="198" spans="1:35" hidden="1">
      <c r="A198" s="7">
        <v>197</v>
      </c>
      <c r="B198" t="s">
        <v>243</v>
      </c>
      <c r="C198" t="s">
        <v>244</v>
      </c>
      <c r="D198" s="7">
        <v>7134</v>
      </c>
      <c r="E198" t="s">
        <v>245</v>
      </c>
      <c r="F198" t="s">
        <v>246</v>
      </c>
      <c r="G198" t="s">
        <v>861</v>
      </c>
      <c r="H198" t="s">
        <v>273</v>
      </c>
      <c r="I198" s="7">
        <v>970</v>
      </c>
      <c r="J198" s="7">
        <v>40000</v>
      </c>
      <c r="K198" s="7">
        <v>4</v>
      </c>
      <c r="L198" t="s">
        <v>247</v>
      </c>
      <c r="M198" t="s">
        <v>361</v>
      </c>
      <c r="N198" s="7">
        <v>4625</v>
      </c>
      <c r="O198" t="s">
        <v>1009</v>
      </c>
      <c r="P198" t="s">
        <v>1010</v>
      </c>
      <c r="S198" t="s">
        <v>1225</v>
      </c>
      <c r="T198" t="s">
        <v>278</v>
      </c>
      <c r="U198" t="s">
        <v>633</v>
      </c>
      <c r="V198" s="8">
        <v>0</v>
      </c>
      <c r="W198" s="7">
        <v>587839</v>
      </c>
      <c r="X198" t="s">
        <v>762</v>
      </c>
      <c r="Y198" s="8">
        <v>0</v>
      </c>
      <c r="Z198" s="8">
        <v>0</v>
      </c>
      <c r="AA198" s="8">
        <v>0</v>
      </c>
      <c r="AB198" s="7">
        <v>111306</v>
      </c>
      <c r="AC198" t="s">
        <v>762</v>
      </c>
      <c r="AD198" s="8">
        <v>0</v>
      </c>
      <c r="AG198" t="s">
        <v>823</v>
      </c>
      <c r="AH198" t="s">
        <v>802</v>
      </c>
      <c r="AI198" t="s">
        <v>803</v>
      </c>
    </row>
    <row r="199" spans="1:35" hidden="1">
      <c r="A199" s="7">
        <v>198</v>
      </c>
      <c r="B199" t="s">
        <v>243</v>
      </c>
      <c r="C199" t="s">
        <v>244</v>
      </c>
      <c r="D199" s="7">
        <v>7134</v>
      </c>
      <c r="E199" t="s">
        <v>245</v>
      </c>
      <c r="F199" t="s">
        <v>246</v>
      </c>
      <c r="G199" t="s">
        <v>1277</v>
      </c>
      <c r="H199" t="s">
        <v>363</v>
      </c>
      <c r="I199" s="7">
        <v>1165</v>
      </c>
      <c r="J199" s="7">
        <v>20000</v>
      </c>
      <c r="K199" s="7">
        <v>2</v>
      </c>
      <c r="L199" t="s">
        <v>247</v>
      </c>
      <c r="M199" t="s">
        <v>361</v>
      </c>
      <c r="N199" s="7">
        <v>5539</v>
      </c>
      <c r="O199" t="s">
        <v>1278</v>
      </c>
      <c r="P199" t="s">
        <v>1279</v>
      </c>
      <c r="S199" t="s">
        <v>1225</v>
      </c>
      <c r="T199" t="s">
        <v>278</v>
      </c>
      <c r="U199" t="s">
        <v>633</v>
      </c>
      <c r="V199" s="8">
        <v>0</v>
      </c>
      <c r="W199" s="7">
        <v>587839</v>
      </c>
      <c r="X199" t="s">
        <v>762</v>
      </c>
      <c r="Y199" s="8">
        <v>0</v>
      </c>
      <c r="Z199" s="8">
        <v>0</v>
      </c>
      <c r="AA199" s="8">
        <v>0</v>
      </c>
      <c r="AB199" s="7">
        <v>111306</v>
      </c>
      <c r="AC199" t="s">
        <v>762</v>
      </c>
      <c r="AD199" s="8">
        <v>0</v>
      </c>
      <c r="AG199" t="s">
        <v>823</v>
      </c>
      <c r="AH199" t="s">
        <v>802</v>
      </c>
      <c r="AI199" t="s">
        <v>803</v>
      </c>
    </row>
    <row r="200" spans="1:35" hidden="1">
      <c r="A200" s="7">
        <v>199</v>
      </c>
      <c r="B200" t="s">
        <v>243</v>
      </c>
      <c r="C200" t="s">
        <v>244</v>
      </c>
      <c r="D200" s="7">
        <v>7134</v>
      </c>
      <c r="E200" t="s">
        <v>245</v>
      </c>
      <c r="F200" t="s">
        <v>246</v>
      </c>
      <c r="G200" t="s">
        <v>1385</v>
      </c>
      <c r="H200" t="s">
        <v>1224</v>
      </c>
      <c r="I200" s="7">
        <v>1165</v>
      </c>
      <c r="J200" s="7">
        <v>69045</v>
      </c>
      <c r="K200" s="7">
        <v>10</v>
      </c>
      <c r="L200" t="s">
        <v>247</v>
      </c>
      <c r="M200" t="s">
        <v>261</v>
      </c>
      <c r="N200" s="7">
        <v>753138</v>
      </c>
      <c r="O200" t="s">
        <v>1386</v>
      </c>
      <c r="P200" t="s">
        <v>1387</v>
      </c>
      <c r="S200" t="s">
        <v>1225</v>
      </c>
      <c r="T200" t="s">
        <v>278</v>
      </c>
      <c r="U200" t="s">
        <v>633</v>
      </c>
      <c r="V200" s="8">
        <v>0</v>
      </c>
      <c r="W200" s="7">
        <v>587839</v>
      </c>
      <c r="X200" t="s">
        <v>762</v>
      </c>
      <c r="Y200" s="8">
        <v>0</v>
      </c>
      <c r="Z200" s="8">
        <v>0</v>
      </c>
      <c r="AA200" s="8">
        <v>0</v>
      </c>
      <c r="AB200" s="7">
        <v>111306</v>
      </c>
      <c r="AC200" t="s">
        <v>762</v>
      </c>
      <c r="AD200" s="8">
        <v>0</v>
      </c>
      <c r="AG200" t="s">
        <v>801</v>
      </c>
      <c r="AH200" t="s">
        <v>802</v>
      </c>
      <c r="AI200" t="s">
        <v>803</v>
      </c>
    </row>
    <row r="201" spans="1:35" hidden="1">
      <c r="A201" s="7">
        <v>200</v>
      </c>
      <c r="B201" t="s">
        <v>243</v>
      </c>
      <c r="C201" t="s">
        <v>244</v>
      </c>
      <c r="D201" s="7">
        <v>7134</v>
      </c>
      <c r="E201" t="s">
        <v>245</v>
      </c>
      <c r="F201" t="s">
        <v>246</v>
      </c>
      <c r="G201" t="s">
        <v>419</v>
      </c>
      <c r="H201" t="s">
        <v>1253</v>
      </c>
      <c r="I201" s="7">
        <v>1165</v>
      </c>
      <c r="J201" s="7">
        <v>9500</v>
      </c>
      <c r="K201" s="7">
        <v>1</v>
      </c>
      <c r="L201" t="s">
        <v>247</v>
      </c>
      <c r="M201" t="s">
        <v>261</v>
      </c>
      <c r="N201" s="7">
        <v>785976</v>
      </c>
      <c r="O201" t="s">
        <v>1338</v>
      </c>
      <c r="P201" t="s">
        <v>1339</v>
      </c>
      <c r="S201" t="s">
        <v>1225</v>
      </c>
      <c r="T201" t="s">
        <v>278</v>
      </c>
      <c r="U201" t="s">
        <v>633</v>
      </c>
      <c r="V201" s="8">
        <v>1250</v>
      </c>
      <c r="W201" s="7">
        <v>587839</v>
      </c>
      <c r="X201" t="s">
        <v>762</v>
      </c>
      <c r="Y201" s="8">
        <v>1250</v>
      </c>
      <c r="Z201" s="8">
        <v>1475</v>
      </c>
      <c r="AA201" s="8">
        <v>225</v>
      </c>
      <c r="AB201" s="7">
        <v>111306</v>
      </c>
      <c r="AC201" t="s">
        <v>762</v>
      </c>
      <c r="AD201" s="8">
        <v>0</v>
      </c>
      <c r="AG201" t="s">
        <v>801</v>
      </c>
      <c r="AH201" t="s">
        <v>802</v>
      </c>
      <c r="AI201" t="s">
        <v>818</v>
      </c>
    </row>
    <row r="202" spans="1:35" hidden="1">
      <c r="A202" s="7">
        <v>201</v>
      </c>
      <c r="B202" t="s">
        <v>243</v>
      </c>
      <c r="C202" t="s">
        <v>244</v>
      </c>
      <c r="D202" s="7">
        <v>7134</v>
      </c>
      <c r="E202" t="s">
        <v>245</v>
      </c>
      <c r="F202" t="s">
        <v>246</v>
      </c>
      <c r="G202" t="s">
        <v>1287</v>
      </c>
      <c r="H202" t="s">
        <v>1257</v>
      </c>
      <c r="I202" s="7">
        <v>1165</v>
      </c>
      <c r="J202" s="7">
        <v>30000</v>
      </c>
      <c r="K202" s="7">
        <v>3</v>
      </c>
      <c r="L202" t="s">
        <v>247</v>
      </c>
      <c r="M202" t="s">
        <v>267</v>
      </c>
      <c r="N202" s="7">
        <v>776534</v>
      </c>
      <c r="O202" t="s">
        <v>1288</v>
      </c>
      <c r="P202" t="s">
        <v>1289</v>
      </c>
      <c r="S202" t="s">
        <v>1225</v>
      </c>
      <c r="T202" t="s">
        <v>278</v>
      </c>
      <c r="U202" t="s">
        <v>633</v>
      </c>
      <c r="V202" s="8">
        <v>1250</v>
      </c>
      <c r="W202" s="7">
        <v>587839</v>
      </c>
      <c r="X202" t="s">
        <v>762</v>
      </c>
      <c r="Y202" s="8">
        <v>1250</v>
      </c>
      <c r="Z202" s="8">
        <v>1475</v>
      </c>
      <c r="AA202" s="8">
        <v>225</v>
      </c>
      <c r="AB202" s="7">
        <v>111306</v>
      </c>
      <c r="AC202" t="s">
        <v>762</v>
      </c>
      <c r="AD202" s="8">
        <v>0</v>
      </c>
      <c r="AG202" t="s">
        <v>828</v>
      </c>
      <c r="AH202" t="s">
        <v>802</v>
      </c>
      <c r="AI202" t="s">
        <v>818</v>
      </c>
    </row>
    <row r="203" spans="1:35" hidden="1">
      <c r="A203" s="7">
        <v>202</v>
      </c>
      <c r="B203" t="s">
        <v>243</v>
      </c>
      <c r="C203" t="s">
        <v>244</v>
      </c>
      <c r="D203" s="7">
        <v>7134</v>
      </c>
      <c r="E203" t="s">
        <v>245</v>
      </c>
      <c r="F203" t="s">
        <v>246</v>
      </c>
      <c r="G203" t="s">
        <v>1128</v>
      </c>
      <c r="H203" t="s">
        <v>1224</v>
      </c>
      <c r="I203" s="7">
        <v>1165</v>
      </c>
      <c r="J203" s="7">
        <v>25123</v>
      </c>
      <c r="K203" s="7">
        <v>4</v>
      </c>
      <c r="L203" t="s">
        <v>247</v>
      </c>
      <c r="M203" t="s">
        <v>261</v>
      </c>
      <c r="N203" s="7">
        <v>7085388</v>
      </c>
      <c r="O203" t="s">
        <v>1260</v>
      </c>
      <c r="P203" t="s">
        <v>1261</v>
      </c>
      <c r="S203" t="s">
        <v>1225</v>
      </c>
      <c r="T203" t="s">
        <v>278</v>
      </c>
      <c r="U203" t="s">
        <v>633</v>
      </c>
      <c r="V203" s="8">
        <v>0</v>
      </c>
      <c r="W203" s="7">
        <v>587839</v>
      </c>
      <c r="X203" t="s">
        <v>762</v>
      </c>
      <c r="Y203" s="8">
        <v>0</v>
      </c>
      <c r="Z203" s="8">
        <v>0</v>
      </c>
      <c r="AA203" s="8">
        <v>0</v>
      </c>
      <c r="AB203" s="7">
        <v>111306</v>
      </c>
      <c r="AC203" t="s">
        <v>762</v>
      </c>
      <c r="AD203" s="8">
        <v>0</v>
      </c>
      <c r="AG203" t="s">
        <v>801</v>
      </c>
      <c r="AH203" t="s">
        <v>802</v>
      </c>
      <c r="AI203" t="s">
        <v>803</v>
      </c>
    </row>
    <row r="204" spans="1:35" hidden="1">
      <c r="A204" s="7">
        <v>203</v>
      </c>
      <c r="B204" t="s">
        <v>243</v>
      </c>
      <c r="C204" t="s">
        <v>244</v>
      </c>
      <c r="D204" s="7">
        <v>7134</v>
      </c>
      <c r="E204" t="s">
        <v>245</v>
      </c>
      <c r="F204" t="s">
        <v>246</v>
      </c>
      <c r="G204" t="s">
        <v>1226</v>
      </c>
      <c r="H204" t="s">
        <v>363</v>
      </c>
      <c r="I204" s="7">
        <v>1165</v>
      </c>
      <c r="J204" s="7">
        <v>60000</v>
      </c>
      <c r="K204" s="7">
        <v>6</v>
      </c>
      <c r="L204" t="s">
        <v>247</v>
      </c>
      <c r="M204" t="s">
        <v>361</v>
      </c>
      <c r="N204" s="7">
        <v>3187</v>
      </c>
      <c r="O204" t="s">
        <v>1262</v>
      </c>
      <c r="P204" t="s">
        <v>1263</v>
      </c>
      <c r="S204" t="s">
        <v>1225</v>
      </c>
      <c r="T204" t="s">
        <v>278</v>
      </c>
      <c r="U204" t="s">
        <v>633</v>
      </c>
      <c r="V204" s="8">
        <v>0</v>
      </c>
      <c r="W204" s="7">
        <v>587839</v>
      </c>
      <c r="X204" t="s">
        <v>762</v>
      </c>
      <c r="Y204" s="8">
        <v>0</v>
      </c>
      <c r="Z204" s="8">
        <v>0</v>
      </c>
      <c r="AA204" s="8">
        <v>0</v>
      </c>
      <c r="AB204" s="7">
        <v>111306</v>
      </c>
      <c r="AC204" t="s">
        <v>762</v>
      </c>
      <c r="AD204" s="8">
        <v>0</v>
      </c>
      <c r="AG204" t="s">
        <v>823</v>
      </c>
      <c r="AH204" t="s">
        <v>802</v>
      </c>
      <c r="AI204" t="s">
        <v>803</v>
      </c>
    </row>
    <row r="205" spans="1:35" hidden="1">
      <c r="A205" s="7">
        <v>204</v>
      </c>
      <c r="B205" t="s">
        <v>243</v>
      </c>
      <c r="C205" t="s">
        <v>244</v>
      </c>
      <c r="D205" s="7">
        <v>7134</v>
      </c>
      <c r="E205" t="s">
        <v>245</v>
      </c>
      <c r="F205" t="s">
        <v>246</v>
      </c>
      <c r="G205" t="s">
        <v>914</v>
      </c>
      <c r="H205" t="s">
        <v>1290</v>
      </c>
      <c r="I205" s="7">
        <v>779</v>
      </c>
      <c r="J205" s="7">
        <v>10000</v>
      </c>
      <c r="K205" s="7">
        <v>1</v>
      </c>
      <c r="L205" t="s">
        <v>247</v>
      </c>
      <c r="M205" t="s">
        <v>261</v>
      </c>
      <c r="N205" s="7">
        <v>780479</v>
      </c>
      <c r="O205" t="s">
        <v>1412</v>
      </c>
      <c r="P205" t="s">
        <v>1413</v>
      </c>
      <c r="S205" t="s">
        <v>1225</v>
      </c>
      <c r="T205" t="s">
        <v>278</v>
      </c>
      <c r="U205" t="s">
        <v>633</v>
      </c>
      <c r="V205" s="8">
        <v>1250</v>
      </c>
      <c r="W205" s="7">
        <v>587839</v>
      </c>
      <c r="X205" t="s">
        <v>762</v>
      </c>
      <c r="Y205" s="8">
        <v>1250</v>
      </c>
      <c r="Z205" s="8">
        <v>1475</v>
      </c>
      <c r="AA205" s="8">
        <v>225</v>
      </c>
      <c r="AB205" s="7">
        <v>111306</v>
      </c>
      <c r="AC205" t="s">
        <v>762</v>
      </c>
      <c r="AD205" s="8">
        <v>0</v>
      </c>
      <c r="AG205" t="s">
        <v>801</v>
      </c>
      <c r="AH205" t="s">
        <v>802</v>
      </c>
      <c r="AI205" t="s">
        <v>818</v>
      </c>
    </row>
    <row r="206" spans="1:35" hidden="1">
      <c r="A206" s="7">
        <v>205</v>
      </c>
      <c r="B206" t="s">
        <v>243</v>
      </c>
      <c r="C206" t="s">
        <v>244</v>
      </c>
      <c r="D206" s="7">
        <v>7134</v>
      </c>
      <c r="E206" t="s">
        <v>245</v>
      </c>
      <c r="F206" t="s">
        <v>246</v>
      </c>
      <c r="G206" t="s">
        <v>1027</v>
      </c>
      <c r="H206" t="s">
        <v>1257</v>
      </c>
      <c r="I206" s="7">
        <v>1165</v>
      </c>
      <c r="J206" s="7">
        <v>69500</v>
      </c>
      <c r="K206" s="7">
        <v>6</v>
      </c>
      <c r="L206" t="s">
        <v>247</v>
      </c>
      <c r="M206" t="s">
        <v>261</v>
      </c>
      <c r="N206" s="7">
        <v>775229</v>
      </c>
      <c r="O206" t="s">
        <v>1028</v>
      </c>
      <c r="P206" t="s">
        <v>1029</v>
      </c>
      <c r="Q206" t="s">
        <v>908</v>
      </c>
      <c r="R206" t="s">
        <v>909</v>
      </c>
      <c r="S206" t="s">
        <v>1225</v>
      </c>
      <c r="T206" t="s">
        <v>278</v>
      </c>
      <c r="U206" t="s">
        <v>633</v>
      </c>
      <c r="V206" s="8">
        <v>0</v>
      </c>
      <c r="W206" s="7">
        <v>587839</v>
      </c>
      <c r="X206" t="s">
        <v>762</v>
      </c>
      <c r="Y206" s="8">
        <v>0</v>
      </c>
      <c r="Z206" s="8">
        <v>0</v>
      </c>
      <c r="AA206" s="8">
        <v>0</v>
      </c>
      <c r="AB206" s="7">
        <v>111306</v>
      </c>
      <c r="AC206" t="s">
        <v>762</v>
      </c>
      <c r="AD206" s="8">
        <v>0</v>
      </c>
      <c r="AG206" t="s">
        <v>801</v>
      </c>
      <c r="AH206" t="s">
        <v>802</v>
      </c>
      <c r="AI206" t="s">
        <v>803</v>
      </c>
    </row>
    <row r="207" spans="1:35" hidden="1">
      <c r="A207" s="7">
        <v>206</v>
      </c>
      <c r="B207" t="s">
        <v>243</v>
      </c>
      <c r="C207" t="s">
        <v>244</v>
      </c>
      <c r="D207" s="7">
        <v>7134</v>
      </c>
      <c r="E207" t="s">
        <v>245</v>
      </c>
      <c r="F207" t="s">
        <v>246</v>
      </c>
      <c r="G207" t="s">
        <v>999</v>
      </c>
      <c r="H207" t="s">
        <v>404</v>
      </c>
      <c r="I207" s="7">
        <v>1150</v>
      </c>
      <c r="J207" s="7">
        <v>9551</v>
      </c>
      <c r="K207" s="7">
        <v>2</v>
      </c>
      <c r="L207" t="s">
        <v>247</v>
      </c>
      <c r="M207" t="s">
        <v>261</v>
      </c>
      <c r="N207" s="7">
        <v>781928</v>
      </c>
      <c r="O207" t="s">
        <v>1524</v>
      </c>
      <c r="P207" t="s">
        <v>1525</v>
      </c>
      <c r="S207" t="s">
        <v>1225</v>
      </c>
      <c r="T207" t="s">
        <v>278</v>
      </c>
      <c r="U207" t="s">
        <v>633</v>
      </c>
      <c r="V207" s="8">
        <v>1250</v>
      </c>
      <c r="W207" s="7">
        <v>587839</v>
      </c>
      <c r="X207" t="s">
        <v>762</v>
      </c>
      <c r="Y207" s="8">
        <v>1250</v>
      </c>
      <c r="Z207" s="8">
        <v>1475</v>
      </c>
      <c r="AA207" s="8">
        <v>225</v>
      </c>
      <c r="AB207" s="7">
        <v>111306</v>
      </c>
      <c r="AC207" t="s">
        <v>762</v>
      </c>
      <c r="AD207" s="8">
        <v>0</v>
      </c>
      <c r="AG207" t="s">
        <v>801</v>
      </c>
      <c r="AH207" t="s">
        <v>802</v>
      </c>
      <c r="AI207" t="s">
        <v>818</v>
      </c>
    </row>
    <row r="208" spans="1:35" hidden="1">
      <c r="A208" s="7">
        <v>207</v>
      </c>
      <c r="B208" t="s">
        <v>243</v>
      </c>
      <c r="C208" t="s">
        <v>244</v>
      </c>
      <c r="D208" s="7">
        <v>7134</v>
      </c>
      <c r="E208" t="s">
        <v>245</v>
      </c>
      <c r="F208" t="s">
        <v>246</v>
      </c>
      <c r="G208" t="s">
        <v>938</v>
      </c>
      <c r="H208" t="s">
        <v>491</v>
      </c>
      <c r="I208" s="7">
        <v>1165</v>
      </c>
      <c r="J208" s="7">
        <v>90000</v>
      </c>
      <c r="K208" s="7">
        <v>9</v>
      </c>
      <c r="L208" t="s">
        <v>247</v>
      </c>
      <c r="M208" t="s">
        <v>261</v>
      </c>
      <c r="N208" s="7">
        <v>764113</v>
      </c>
      <c r="O208" t="s">
        <v>940</v>
      </c>
      <c r="P208" t="s">
        <v>941</v>
      </c>
      <c r="S208" t="s">
        <v>1225</v>
      </c>
      <c r="T208" t="s">
        <v>278</v>
      </c>
      <c r="U208" t="s">
        <v>633</v>
      </c>
      <c r="V208" s="8">
        <v>0</v>
      </c>
      <c r="W208" s="7">
        <v>587839</v>
      </c>
      <c r="X208" t="s">
        <v>762</v>
      </c>
      <c r="Y208" s="8">
        <v>0</v>
      </c>
      <c r="Z208" s="8">
        <v>0</v>
      </c>
      <c r="AA208" s="8">
        <v>0</v>
      </c>
      <c r="AB208" s="7">
        <v>111306</v>
      </c>
      <c r="AC208" t="s">
        <v>762</v>
      </c>
      <c r="AD208" s="8">
        <v>0</v>
      </c>
      <c r="AG208" t="s">
        <v>801</v>
      </c>
      <c r="AH208" t="s">
        <v>802</v>
      </c>
      <c r="AI208" t="s">
        <v>803</v>
      </c>
    </row>
    <row r="209" spans="1:35" hidden="1">
      <c r="A209" s="7">
        <v>208</v>
      </c>
      <c r="B209" t="s">
        <v>243</v>
      </c>
      <c r="C209" t="s">
        <v>244</v>
      </c>
      <c r="D209" s="7">
        <v>7134</v>
      </c>
      <c r="E209" t="s">
        <v>245</v>
      </c>
      <c r="F209" t="s">
        <v>246</v>
      </c>
      <c r="G209" t="s">
        <v>1134</v>
      </c>
      <c r="H209" t="s">
        <v>363</v>
      </c>
      <c r="I209" s="7">
        <v>1165</v>
      </c>
      <c r="J209" s="7">
        <v>70000</v>
      </c>
      <c r="K209" s="7">
        <v>7</v>
      </c>
      <c r="L209" t="s">
        <v>247</v>
      </c>
      <c r="M209" t="s">
        <v>261</v>
      </c>
      <c r="N209" s="7">
        <v>761341</v>
      </c>
      <c r="O209" t="s">
        <v>1135</v>
      </c>
      <c r="P209" t="s">
        <v>1136</v>
      </c>
      <c r="S209" t="s">
        <v>1225</v>
      </c>
      <c r="T209" t="s">
        <v>278</v>
      </c>
      <c r="U209" t="s">
        <v>633</v>
      </c>
      <c r="V209" s="8">
        <v>0</v>
      </c>
      <c r="W209" s="7">
        <v>587839</v>
      </c>
      <c r="X209" t="s">
        <v>762</v>
      </c>
      <c r="Y209" s="8">
        <v>0</v>
      </c>
      <c r="Z209" s="8">
        <v>0</v>
      </c>
      <c r="AA209" s="8">
        <v>0</v>
      </c>
      <c r="AB209" s="7">
        <v>111306</v>
      </c>
      <c r="AC209" t="s">
        <v>762</v>
      </c>
      <c r="AD209" s="8">
        <v>0</v>
      </c>
      <c r="AG209" t="s">
        <v>801</v>
      </c>
      <c r="AH209" t="s">
        <v>802</v>
      </c>
      <c r="AI209" t="s">
        <v>803</v>
      </c>
    </row>
    <row r="210" spans="1:35" hidden="1">
      <c r="A210" s="7">
        <v>209</v>
      </c>
      <c r="B210" t="s">
        <v>243</v>
      </c>
      <c r="C210" t="s">
        <v>244</v>
      </c>
      <c r="D210" s="7">
        <v>7134</v>
      </c>
      <c r="E210" t="s">
        <v>245</v>
      </c>
      <c r="F210" t="s">
        <v>246</v>
      </c>
      <c r="G210" t="s">
        <v>1324</v>
      </c>
      <c r="H210" t="s">
        <v>1325</v>
      </c>
      <c r="I210" s="7">
        <v>1165</v>
      </c>
      <c r="J210" s="7">
        <v>5457</v>
      </c>
      <c r="K210" s="7">
        <v>1</v>
      </c>
      <c r="L210" t="s">
        <v>247</v>
      </c>
      <c r="M210" t="s">
        <v>252</v>
      </c>
      <c r="N210" s="7">
        <v>326648</v>
      </c>
      <c r="O210" t="s">
        <v>1326</v>
      </c>
      <c r="P210" t="s">
        <v>1327</v>
      </c>
      <c r="Q210" t="s">
        <v>870</v>
      </c>
      <c r="R210" t="s">
        <v>871</v>
      </c>
      <c r="S210" t="s">
        <v>1225</v>
      </c>
      <c r="T210" t="s">
        <v>278</v>
      </c>
      <c r="U210" t="s">
        <v>633</v>
      </c>
      <c r="V210" s="8">
        <v>1250</v>
      </c>
      <c r="W210" s="7">
        <v>587839</v>
      </c>
      <c r="X210" t="s">
        <v>762</v>
      </c>
      <c r="Y210" s="8">
        <v>1000</v>
      </c>
      <c r="Z210" s="8">
        <v>1475</v>
      </c>
      <c r="AA210" s="8">
        <v>225</v>
      </c>
      <c r="AB210" s="7">
        <v>111306</v>
      </c>
      <c r="AC210" t="s">
        <v>762</v>
      </c>
      <c r="AD210" s="8">
        <v>250</v>
      </c>
      <c r="AG210" t="s">
        <v>937</v>
      </c>
      <c r="AH210" t="s">
        <v>802</v>
      </c>
      <c r="AI210" t="s">
        <v>818</v>
      </c>
    </row>
    <row r="211" spans="1:35" hidden="1">
      <c r="A211" s="7">
        <v>210</v>
      </c>
      <c r="B211" t="s">
        <v>243</v>
      </c>
      <c r="C211" t="s">
        <v>244</v>
      </c>
      <c r="D211" s="7">
        <v>7134</v>
      </c>
      <c r="E211" t="s">
        <v>245</v>
      </c>
      <c r="F211" t="s">
        <v>246</v>
      </c>
      <c r="G211" t="s">
        <v>1035</v>
      </c>
      <c r="H211" t="s">
        <v>278</v>
      </c>
      <c r="I211" s="7">
        <v>1165</v>
      </c>
      <c r="J211" s="7">
        <v>8156</v>
      </c>
      <c r="K211" s="7">
        <v>2</v>
      </c>
      <c r="L211" t="s">
        <v>247</v>
      </c>
      <c r="M211" t="s">
        <v>261</v>
      </c>
      <c r="N211" s="7">
        <v>780782</v>
      </c>
      <c r="O211" t="s">
        <v>1533</v>
      </c>
      <c r="P211" t="s">
        <v>1534</v>
      </c>
      <c r="S211" t="s">
        <v>1225</v>
      </c>
      <c r="T211" t="s">
        <v>278</v>
      </c>
      <c r="U211" t="s">
        <v>633</v>
      </c>
      <c r="V211" s="8">
        <v>1250</v>
      </c>
      <c r="W211" s="7">
        <v>587839</v>
      </c>
      <c r="X211" t="s">
        <v>762</v>
      </c>
      <c r="Y211" s="8">
        <v>1250</v>
      </c>
      <c r="Z211" s="8">
        <v>1475</v>
      </c>
      <c r="AA211" s="8">
        <v>225</v>
      </c>
      <c r="AB211" s="7">
        <v>111306</v>
      </c>
      <c r="AC211" t="s">
        <v>762</v>
      </c>
      <c r="AD211" s="8">
        <v>0</v>
      </c>
      <c r="AG211" t="s">
        <v>817</v>
      </c>
      <c r="AH211" t="s">
        <v>802</v>
      </c>
      <c r="AI211" t="s">
        <v>818</v>
      </c>
    </row>
    <row r="212" spans="1:35" hidden="1">
      <c r="A212" s="7">
        <v>211</v>
      </c>
      <c r="B212" t="s">
        <v>243</v>
      </c>
      <c r="C212" t="s">
        <v>244</v>
      </c>
      <c r="D212" s="7">
        <v>7134</v>
      </c>
      <c r="E212" t="s">
        <v>245</v>
      </c>
      <c r="F212" t="s">
        <v>246</v>
      </c>
      <c r="G212" t="s">
        <v>917</v>
      </c>
      <c r="H212" t="s">
        <v>263</v>
      </c>
      <c r="I212" s="7">
        <v>1165</v>
      </c>
      <c r="J212" s="7">
        <v>10000</v>
      </c>
      <c r="K212" s="7">
        <v>1</v>
      </c>
      <c r="L212" t="s">
        <v>247</v>
      </c>
      <c r="M212" t="s">
        <v>361</v>
      </c>
      <c r="N212" s="7">
        <v>6199</v>
      </c>
      <c r="O212" t="s">
        <v>1592</v>
      </c>
      <c r="P212" t="s">
        <v>1593</v>
      </c>
      <c r="S212" t="s">
        <v>1225</v>
      </c>
      <c r="T212" t="s">
        <v>278</v>
      </c>
      <c r="U212" t="s">
        <v>633</v>
      </c>
      <c r="V212" s="8">
        <v>1650</v>
      </c>
      <c r="W212" s="7">
        <v>587839</v>
      </c>
      <c r="X212" t="s">
        <v>762</v>
      </c>
      <c r="Y212" s="8">
        <v>1650</v>
      </c>
      <c r="Z212" s="8">
        <v>1947</v>
      </c>
      <c r="AA212" s="8">
        <v>297</v>
      </c>
      <c r="AB212" s="7">
        <v>111306</v>
      </c>
      <c r="AC212" t="s">
        <v>762</v>
      </c>
      <c r="AD212" s="8">
        <v>0</v>
      </c>
      <c r="AG212" t="s">
        <v>823</v>
      </c>
      <c r="AH212" t="s">
        <v>802</v>
      </c>
      <c r="AI212" t="s">
        <v>818</v>
      </c>
    </row>
    <row r="213" spans="1:35" hidden="1">
      <c r="A213" s="7">
        <v>212</v>
      </c>
      <c r="B213" t="s">
        <v>243</v>
      </c>
      <c r="C213" t="s">
        <v>244</v>
      </c>
      <c r="D213" s="7">
        <v>7134</v>
      </c>
      <c r="E213" t="s">
        <v>245</v>
      </c>
      <c r="F213" t="s">
        <v>246</v>
      </c>
      <c r="G213" t="s">
        <v>1270</v>
      </c>
      <c r="H213" t="s">
        <v>1316</v>
      </c>
      <c r="I213" s="7">
        <v>1150</v>
      </c>
      <c r="J213" s="7">
        <v>14937</v>
      </c>
      <c r="K213" s="7">
        <v>4</v>
      </c>
      <c r="L213" t="s">
        <v>247</v>
      </c>
      <c r="M213" t="s">
        <v>267</v>
      </c>
      <c r="N213" s="7">
        <v>777300</v>
      </c>
      <c r="O213" t="s">
        <v>1391</v>
      </c>
      <c r="P213" t="s">
        <v>1392</v>
      </c>
      <c r="S213" t="s">
        <v>1225</v>
      </c>
      <c r="T213" t="s">
        <v>278</v>
      </c>
      <c r="U213" t="s">
        <v>633</v>
      </c>
      <c r="V213" s="8">
        <v>0</v>
      </c>
      <c r="W213" s="7">
        <v>587839</v>
      </c>
      <c r="X213" t="s">
        <v>762</v>
      </c>
      <c r="Y213" s="8">
        <v>0</v>
      </c>
      <c r="Z213" s="8">
        <v>0</v>
      </c>
      <c r="AA213" s="8">
        <v>0</v>
      </c>
      <c r="AB213" s="7">
        <v>111306</v>
      </c>
      <c r="AC213" t="s">
        <v>762</v>
      </c>
      <c r="AD213" s="8">
        <v>0</v>
      </c>
      <c r="AG213" t="s">
        <v>828</v>
      </c>
      <c r="AH213" t="s">
        <v>802</v>
      </c>
      <c r="AI213" t="s">
        <v>803</v>
      </c>
    </row>
    <row r="214" spans="1:35" hidden="1">
      <c r="A214" s="7">
        <v>213</v>
      </c>
      <c r="B214" t="s">
        <v>243</v>
      </c>
      <c r="C214" t="s">
        <v>244</v>
      </c>
      <c r="D214" s="7">
        <v>7134</v>
      </c>
      <c r="E214" t="s">
        <v>245</v>
      </c>
      <c r="F214" t="s">
        <v>246</v>
      </c>
      <c r="G214" t="s">
        <v>1393</v>
      </c>
      <c r="H214" t="s">
        <v>400</v>
      </c>
      <c r="I214" s="7">
        <v>1165</v>
      </c>
      <c r="J214" s="7">
        <v>40494</v>
      </c>
      <c r="K214" s="7">
        <v>10</v>
      </c>
      <c r="L214" t="s">
        <v>247</v>
      </c>
      <c r="M214" t="s">
        <v>261</v>
      </c>
      <c r="N214" s="7">
        <v>743974</v>
      </c>
      <c r="O214" t="s">
        <v>1394</v>
      </c>
      <c r="P214" t="s">
        <v>1395</v>
      </c>
      <c r="S214" t="s">
        <v>1225</v>
      </c>
      <c r="T214" t="s">
        <v>278</v>
      </c>
      <c r="U214" t="s">
        <v>633</v>
      </c>
      <c r="V214" s="8">
        <v>0</v>
      </c>
      <c r="W214" s="7">
        <v>587839</v>
      </c>
      <c r="X214" t="s">
        <v>762</v>
      </c>
      <c r="Y214" s="8">
        <v>0</v>
      </c>
      <c r="Z214" s="8">
        <v>0</v>
      </c>
      <c r="AA214" s="8">
        <v>0</v>
      </c>
      <c r="AB214" s="7">
        <v>111306</v>
      </c>
      <c r="AC214" t="s">
        <v>762</v>
      </c>
      <c r="AD214" s="8">
        <v>0</v>
      </c>
      <c r="AG214" t="s">
        <v>801</v>
      </c>
      <c r="AH214" t="s">
        <v>802</v>
      </c>
      <c r="AI214" t="s">
        <v>803</v>
      </c>
    </row>
    <row r="215" spans="1:35" hidden="1">
      <c r="A215" s="7">
        <v>214</v>
      </c>
      <c r="B215" t="s">
        <v>243</v>
      </c>
      <c r="C215" t="s">
        <v>244</v>
      </c>
      <c r="D215" s="7">
        <v>7134</v>
      </c>
      <c r="E215" t="s">
        <v>245</v>
      </c>
      <c r="F215" t="s">
        <v>246</v>
      </c>
      <c r="G215" t="s">
        <v>1277</v>
      </c>
      <c r="H215" t="s">
        <v>1257</v>
      </c>
      <c r="I215" s="7">
        <v>1674</v>
      </c>
      <c r="J215" s="7">
        <v>10000</v>
      </c>
      <c r="K215" s="7">
        <v>1</v>
      </c>
      <c r="L215" t="s">
        <v>247</v>
      </c>
      <c r="M215" t="s">
        <v>267</v>
      </c>
      <c r="N215" s="7">
        <v>776920</v>
      </c>
      <c r="O215" t="s">
        <v>1545</v>
      </c>
      <c r="P215" t="s">
        <v>1546</v>
      </c>
      <c r="Q215" t="s">
        <v>870</v>
      </c>
      <c r="R215" t="s">
        <v>871</v>
      </c>
      <c r="S215" t="s">
        <v>1225</v>
      </c>
      <c r="T215" t="s">
        <v>278</v>
      </c>
      <c r="U215" t="s">
        <v>633</v>
      </c>
      <c r="V215" s="8">
        <v>1250</v>
      </c>
      <c r="W215" s="7">
        <v>587839</v>
      </c>
      <c r="X215" t="s">
        <v>762</v>
      </c>
      <c r="Y215" s="8">
        <v>1000</v>
      </c>
      <c r="Z215" s="8">
        <v>1475</v>
      </c>
      <c r="AA215" s="8">
        <v>225</v>
      </c>
      <c r="AB215" s="7">
        <v>111306</v>
      </c>
      <c r="AC215" t="s">
        <v>762</v>
      </c>
      <c r="AD215" s="8">
        <v>250</v>
      </c>
      <c r="AG215" t="s">
        <v>828</v>
      </c>
      <c r="AH215" t="s">
        <v>802</v>
      </c>
      <c r="AI215" t="s">
        <v>818</v>
      </c>
    </row>
    <row r="216" spans="1:35" hidden="1">
      <c r="A216" s="7">
        <v>215</v>
      </c>
      <c r="B216" t="s">
        <v>243</v>
      </c>
      <c r="C216" t="s">
        <v>244</v>
      </c>
      <c r="D216" s="7">
        <v>7134</v>
      </c>
      <c r="E216" t="s">
        <v>245</v>
      </c>
      <c r="F216" t="s">
        <v>246</v>
      </c>
      <c r="G216" t="s">
        <v>924</v>
      </c>
      <c r="H216" t="s">
        <v>1457</v>
      </c>
      <c r="I216" s="7">
        <v>1165</v>
      </c>
      <c r="J216" s="7">
        <v>20000</v>
      </c>
      <c r="K216" s="7">
        <v>2</v>
      </c>
      <c r="L216" t="s">
        <v>247</v>
      </c>
      <c r="M216" t="s">
        <v>261</v>
      </c>
      <c r="N216" s="7">
        <v>790690</v>
      </c>
      <c r="O216" t="s">
        <v>925</v>
      </c>
      <c r="P216" t="s">
        <v>926</v>
      </c>
      <c r="S216" t="s">
        <v>1225</v>
      </c>
      <c r="T216" t="s">
        <v>278</v>
      </c>
      <c r="U216" t="s">
        <v>633</v>
      </c>
      <c r="V216" s="8">
        <v>0</v>
      </c>
      <c r="W216" s="7">
        <v>587839</v>
      </c>
      <c r="X216" t="s">
        <v>762</v>
      </c>
      <c r="Y216" s="8">
        <v>0</v>
      </c>
      <c r="Z216" s="8">
        <v>0</v>
      </c>
      <c r="AA216" s="8">
        <v>0</v>
      </c>
      <c r="AB216" s="7">
        <v>111306</v>
      </c>
      <c r="AC216" t="s">
        <v>762</v>
      </c>
      <c r="AD216" s="8">
        <v>0</v>
      </c>
      <c r="AG216" t="s">
        <v>801</v>
      </c>
      <c r="AH216" t="s">
        <v>802</v>
      </c>
      <c r="AI216" t="s">
        <v>803</v>
      </c>
    </row>
    <row r="217" spans="1:35" hidden="1">
      <c r="A217" s="7">
        <v>216</v>
      </c>
      <c r="B217" t="s">
        <v>243</v>
      </c>
      <c r="C217" t="s">
        <v>244</v>
      </c>
      <c r="D217" s="7">
        <v>7134</v>
      </c>
      <c r="E217" t="s">
        <v>245</v>
      </c>
      <c r="F217" t="s">
        <v>246</v>
      </c>
      <c r="G217" t="s">
        <v>1471</v>
      </c>
      <c r="H217" t="s">
        <v>257</v>
      </c>
      <c r="I217" s="7">
        <v>1165</v>
      </c>
      <c r="J217" s="7">
        <v>84557</v>
      </c>
      <c r="K217" s="7">
        <v>12</v>
      </c>
      <c r="L217" t="s">
        <v>247</v>
      </c>
      <c r="M217" t="s">
        <v>261</v>
      </c>
      <c r="N217" s="7">
        <v>744799</v>
      </c>
      <c r="O217" t="s">
        <v>1472</v>
      </c>
      <c r="P217" t="s">
        <v>1473</v>
      </c>
      <c r="S217" t="s">
        <v>1225</v>
      </c>
      <c r="T217" t="s">
        <v>278</v>
      </c>
      <c r="U217" t="s">
        <v>633</v>
      </c>
      <c r="V217" s="8">
        <v>0</v>
      </c>
      <c r="W217" s="7">
        <v>587839</v>
      </c>
      <c r="X217" t="s">
        <v>762</v>
      </c>
      <c r="Y217" s="8">
        <v>0</v>
      </c>
      <c r="Z217" s="8">
        <v>0</v>
      </c>
      <c r="AA217" s="8">
        <v>0</v>
      </c>
      <c r="AB217" s="7">
        <v>111306</v>
      </c>
      <c r="AC217" t="s">
        <v>762</v>
      </c>
      <c r="AD217" s="8">
        <v>0</v>
      </c>
      <c r="AG217" t="s">
        <v>801</v>
      </c>
      <c r="AH217" t="s">
        <v>802</v>
      </c>
      <c r="AI217" t="s">
        <v>803</v>
      </c>
    </row>
    <row r="218" spans="1:35" hidden="1">
      <c r="A218" s="7">
        <v>217</v>
      </c>
      <c r="B218" t="s">
        <v>243</v>
      </c>
      <c r="C218" t="s">
        <v>244</v>
      </c>
      <c r="D218" s="7">
        <v>7134</v>
      </c>
      <c r="E218" t="s">
        <v>245</v>
      </c>
      <c r="F218" t="s">
        <v>246</v>
      </c>
      <c r="G218" t="s">
        <v>1050</v>
      </c>
      <c r="H218" t="s">
        <v>1224</v>
      </c>
      <c r="I218" s="7">
        <v>1165</v>
      </c>
      <c r="J218" s="7">
        <v>30000</v>
      </c>
      <c r="K218" s="7">
        <v>3</v>
      </c>
      <c r="L218" t="s">
        <v>247</v>
      </c>
      <c r="M218" t="s">
        <v>261</v>
      </c>
      <c r="N218" s="7">
        <v>787043</v>
      </c>
      <c r="O218" t="s">
        <v>1205</v>
      </c>
      <c r="P218" t="s">
        <v>1206</v>
      </c>
      <c r="S218" t="s">
        <v>1225</v>
      </c>
      <c r="T218" t="s">
        <v>278</v>
      </c>
      <c r="U218" t="s">
        <v>633</v>
      </c>
      <c r="V218" s="8">
        <v>1250</v>
      </c>
      <c r="W218" s="7">
        <v>587839</v>
      </c>
      <c r="X218" t="s">
        <v>762</v>
      </c>
      <c r="Y218" s="8">
        <v>1250</v>
      </c>
      <c r="Z218" s="8">
        <v>1475</v>
      </c>
      <c r="AA218" s="8">
        <v>225</v>
      </c>
      <c r="AB218" s="7">
        <v>111306</v>
      </c>
      <c r="AC218" t="s">
        <v>762</v>
      </c>
      <c r="AD218" s="8">
        <v>0</v>
      </c>
      <c r="AG218" t="s">
        <v>801</v>
      </c>
      <c r="AH218" t="s">
        <v>802</v>
      </c>
      <c r="AI218" t="s">
        <v>818</v>
      </c>
    </row>
    <row r="219" spans="1:35" hidden="1">
      <c r="A219" s="7">
        <v>218</v>
      </c>
      <c r="B219" t="s">
        <v>243</v>
      </c>
      <c r="C219" t="s">
        <v>244</v>
      </c>
      <c r="D219" s="7">
        <v>7134</v>
      </c>
      <c r="E219" t="s">
        <v>245</v>
      </c>
      <c r="F219" t="s">
        <v>246</v>
      </c>
      <c r="G219" t="s">
        <v>999</v>
      </c>
      <c r="H219" t="s">
        <v>412</v>
      </c>
      <c r="I219" s="7">
        <v>1165</v>
      </c>
      <c r="J219" s="7">
        <v>20000</v>
      </c>
      <c r="K219" s="7">
        <v>2</v>
      </c>
      <c r="L219" t="s">
        <v>247</v>
      </c>
      <c r="M219" t="s">
        <v>252</v>
      </c>
      <c r="N219" s="7">
        <v>325407</v>
      </c>
      <c r="O219" t="s">
        <v>1283</v>
      </c>
      <c r="P219" t="s">
        <v>1284</v>
      </c>
      <c r="S219" t="s">
        <v>1225</v>
      </c>
      <c r="T219" t="s">
        <v>278</v>
      </c>
      <c r="U219" t="s">
        <v>633</v>
      </c>
      <c r="V219" s="8">
        <v>0</v>
      </c>
      <c r="W219" s="7">
        <v>587839</v>
      </c>
      <c r="X219" t="s">
        <v>762</v>
      </c>
      <c r="Y219" s="8">
        <v>0</v>
      </c>
      <c r="Z219" s="8">
        <v>0</v>
      </c>
      <c r="AA219" s="8">
        <v>0</v>
      </c>
      <c r="AB219" s="7">
        <v>111306</v>
      </c>
      <c r="AC219" t="s">
        <v>762</v>
      </c>
      <c r="AD219" s="8">
        <v>0</v>
      </c>
      <c r="AG219" t="s">
        <v>937</v>
      </c>
      <c r="AH219" t="s">
        <v>802</v>
      </c>
      <c r="AI219" t="s">
        <v>803</v>
      </c>
    </row>
    <row r="220" spans="1:35" hidden="1">
      <c r="A220" s="7">
        <v>219</v>
      </c>
      <c r="B220" t="s">
        <v>243</v>
      </c>
      <c r="C220" t="s">
        <v>244</v>
      </c>
      <c r="D220" s="7">
        <v>7134</v>
      </c>
      <c r="E220" t="s">
        <v>245</v>
      </c>
      <c r="F220" t="s">
        <v>246</v>
      </c>
      <c r="G220" t="s">
        <v>945</v>
      </c>
      <c r="H220" t="s">
        <v>269</v>
      </c>
      <c r="I220" s="7">
        <v>1165</v>
      </c>
      <c r="J220" s="7">
        <v>122180</v>
      </c>
      <c r="K220" s="7">
        <v>12</v>
      </c>
      <c r="L220" t="s">
        <v>247</v>
      </c>
      <c r="M220" t="s">
        <v>267</v>
      </c>
      <c r="N220" s="7">
        <v>756550</v>
      </c>
      <c r="O220" t="s">
        <v>946</v>
      </c>
      <c r="P220" t="s">
        <v>947</v>
      </c>
      <c r="Q220" t="s">
        <v>908</v>
      </c>
      <c r="R220" t="s">
        <v>909</v>
      </c>
      <c r="S220" t="s">
        <v>1225</v>
      </c>
      <c r="T220" t="s">
        <v>278</v>
      </c>
      <c r="U220" t="s">
        <v>633</v>
      </c>
      <c r="V220" s="8">
        <v>0</v>
      </c>
      <c r="W220" s="7">
        <v>587839</v>
      </c>
      <c r="X220" t="s">
        <v>762</v>
      </c>
      <c r="Y220" s="8">
        <v>0</v>
      </c>
      <c r="Z220" s="8">
        <v>0</v>
      </c>
      <c r="AA220" s="8">
        <v>0</v>
      </c>
      <c r="AB220" s="7">
        <v>111306</v>
      </c>
      <c r="AC220" t="s">
        <v>762</v>
      </c>
      <c r="AD220" s="8">
        <v>0</v>
      </c>
      <c r="AG220" t="s">
        <v>828</v>
      </c>
      <c r="AH220" t="s">
        <v>802</v>
      </c>
      <c r="AI220" t="s">
        <v>803</v>
      </c>
    </row>
    <row r="221" spans="1:35" hidden="1">
      <c r="A221" s="7">
        <v>220</v>
      </c>
      <c r="B221" t="s">
        <v>243</v>
      </c>
      <c r="C221" t="s">
        <v>244</v>
      </c>
      <c r="D221" s="7">
        <v>7134</v>
      </c>
      <c r="E221" t="s">
        <v>245</v>
      </c>
      <c r="F221" t="s">
        <v>246</v>
      </c>
      <c r="G221" t="s">
        <v>1312</v>
      </c>
      <c r="H221" t="s">
        <v>278</v>
      </c>
      <c r="I221" s="7">
        <v>1165</v>
      </c>
      <c r="J221" s="7">
        <v>39110</v>
      </c>
      <c r="K221" s="7">
        <v>14</v>
      </c>
      <c r="L221" t="s">
        <v>247</v>
      </c>
      <c r="M221" t="s">
        <v>261</v>
      </c>
      <c r="N221" s="7">
        <v>722717</v>
      </c>
      <c r="O221" t="s">
        <v>1313</v>
      </c>
      <c r="P221" t="s">
        <v>1314</v>
      </c>
      <c r="S221" t="s">
        <v>1225</v>
      </c>
      <c r="T221" t="s">
        <v>278</v>
      </c>
      <c r="U221" t="s">
        <v>633</v>
      </c>
      <c r="V221" s="8">
        <v>1250</v>
      </c>
      <c r="W221" s="7">
        <v>587839</v>
      </c>
      <c r="X221" t="s">
        <v>762</v>
      </c>
      <c r="Y221" s="8">
        <v>1250</v>
      </c>
      <c r="Z221" s="8">
        <v>1475</v>
      </c>
      <c r="AA221" s="8">
        <v>225</v>
      </c>
      <c r="AB221" s="7">
        <v>111306</v>
      </c>
      <c r="AC221" t="s">
        <v>762</v>
      </c>
      <c r="AD221" s="8">
        <v>0</v>
      </c>
      <c r="AG221" t="s">
        <v>1315</v>
      </c>
      <c r="AH221" t="s">
        <v>802</v>
      </c>
      <c r="AI221" t="s">
        <v>818</v>
      </c>
    </row>
    <row r="222" spans="1:35" hidden="1">
      <c r="A222" s="7">
        <v>221</v>
      </c>
      <c r="B222" t="s">
        <v>243</v>
      </c>
      <c r="C222" t="s">
        <v>244</v>
      </c>
      <c r="D222" s="7">
        <v>7134</v>
      </c>
      <c r="E222" t="s">
        <v>245</v>
      </c>
      <c r="F222" t="s">
        <v>246</v>
      </c>
      <c r="G222" t="s">
        <v>872</v>
      </c>
      <c r="H222" t="s">
        <v>248</v>
      </c>
      <c r="I222" s="7">
        <v>1165</v>
      </c>
      <c r="J222" s="7">
        <v>50000</v>
      </c>
      <c r="K222" s="7">
        <v>5</v>
      </c>
      <c r="L222" t="s">
        <v>247</v>
      </c>
      <c r="M222" t="s">
        <v>261</v>
      </c>
      <c r="N222" s="7">
        <v>775504</v>
      </c>
      <c r="O222" t="s">
        <v>873</v>
      </c>
      <c r="P222" t="s">
        <v>874</v>
      </c>
      <c r="S222" t="s">
        <v>1225</v>
      </c>
      <c r="T222" t="s">
        <v>278</v>
      </c>
      <c r="U222" t="s">
        <v>633</v>
      </c>
      <c r="V222" s="8">
        <v>1250</v>
      </c>
      <c r="W222" s="7">
        <v>587839</v>
      </c>
      <c r="X222" t="s">
        <v>762</v>
      </c>
      <c r="Y222" s="8">
        <v>1250</v>
      </c>
      <c r="Z222" s="8">
        <v>1475</v>
      </c>
      <c r="AA222" s="8">
        <v>225</v>
      </c>
      <c r="AB222" s="7">
        <v>111306</v>
      </c>
      <c r="AC222" t="s">
        <v>762</v>
      </c>
      <c r="AD222" s="8">
        <v>0</v>
      </c>
      <c r="AG222" t="s">
        <v>801</v>
      </c>
      <c r="AH222" t="s">
        <v>802</v>
      </c>
      <c r="AI222" t="s">
        <v>818</v>
      </c>
    </row>
    <row r="223" spans="1:35" hidden="1">
      <c r="A223" s="7">
        <v>222</v>
      </c>
      <c r="B223" t="s">
        <v>243</v>
      </c>
      <c r="C223" t="s">
        <v>244</v>
      </c>
      <c r="D223" s="7">
        <v>7134</v>
      </c>
      <c r="E223" t="s">
        <v>245</v>
      </c>
      <c r="F223" t="s">
        <v>246</v>
      </c>
      <c r="G223" t="s">
        <v>867</v>
      </c>
      <c r="H223" t="s">
        <v>363</v>
      </c>
      <c r="I223" s="7">
        <v>1165</v>
      </c>
      <c r="J223" s="7">
        <v>20000</v>
      </c>
      <c r="K223" s="7">
        <v>2</v>
      </c>
      <c r="L223" t="s">
        <v>247</v>
      </c>
      <c r="M223" t="s">
        <v>261</v>
      </c>
      <c r="N223" s="7">
        <v>790571</v>
      </c>
      <c r="O223" t="s">
        <v>868</v>
      </c>
      <c r="P223" t="s">
        <v>869</v>
      </c>
      <c r="Q223" t="s">
        <v>870</v>
      </c>
      <c r="R223" t="s">
        <v>871</v>
      </c>
      <c r="S223" t="s">
        <v>1225</v>
      </c>
      <c r="T223" t="s">
        <v>278</v>
      </c>
      <c r="U223" t="s">
        <v>633</v>
      </c>
      <c r="V223" s="8">
        <v>0</v>
      </c>
      <c r="W223" s="7">
        <v>587839</v>
      </c>
      <c r="X223" t="s">
        <v>762</v>
      </c>
      <c r="Y223" s="8">
        <v>0</v>
      </c>
      <c r="Z223" s="8">
        <v>0</v>
      </c>
      <c r="AA223" s="8">
        <v>0</v>
      </c>
      <c r="AB223" s="7">
        <v>111306</v>
      </c>
      <c r="AC223" t="s">
        <v>762</v>
      </c>
      <c r="AD223" s="8">
        <v>0</v>
      </c>
      <c r="AG223" t="s">
        <v>801</v>
      </c>
      <c r="AH223" t="s">
        <v>802</v>
      </c>
      <c r="AI223" t="s">
        <v>803</v>
      </c>
    </row>
    <row r="224" spans="1:35" hidden="1">
      <c r="A224" s="7">
        <v>223</v>
      </c>
      <c r="B224" t="s">
        <v>243</v>
      </c>
      <c r="C224" t="s">
        <v>244</v>
      </c>
      <c r="D224" s="7">
        <v>7134</v>
      </c>
      <c r="E224" t="s">
        <v>245</v>
      </c>
      <c r="F224" t="s">
        <v>246</v>
      </c>
      <c r="G224" t="s">
        <v>1416</v>
      </c>
      <c r="H224" t="s">
        <v>257</v>
      </c>
      <c r="I224" s="7">
        <v>1165</v>
      </c>
      <c r="J224" s="7">
        <v>61204</v>
      </c>
      <c r="K224" s="7">
        <v>9</v>
      </c>
      <c r="L224" t="s">
        <v>247</v>
      </c>
      <c r="M224" t="s">
        <v>261</v>
      </c>
      <c r="N224" s="7">
        <v>752459</v>
      </c>
      <c r="O224" t="s">
        <v>1417</v>
      </c>
      <c r="P224" t="s">
        <v>1418</v>
      </c>
      <c r="S224" t="s">
        <v>1225</v>
      </c>
      <c r="T224" t="s">
        <v>278</v>
      </c>
      <c r="U224" t="s">
        <v>633</v>
      </c>
      <c r="V224" s="8">
        <v>0</v>
      </c>
      <c r="W224" s="7">
        <v>587839</v>
      </c>
      <c r="X224" t="s">
        <v>762</v>
      </c>
      <c r="Y224" s="8">
        <v>0</v>
      </c>
      <c r="Z224" s="8">
        <v>0</v>
      </c>
      <c r="AA224" s="8">
        <v>0</v>
      </c>
      <c r="AB224" s="7">
        <v>111306</v>
      </c>
      <c r="AC224" t="s">
        <v>762</v>
      </c>
      <c r="AD224" s="8">
        <v>0</v>
      </c>
      <c r="AG224" t="s">
        <v>801</v>
      </c>
      <c r="AH224" t="s">
        <v>802</v>
      </c>
      <c r="AI224" t="s">
        <v>803</v>
      </c>
    </row>
    <row r="225" spans="1:35" hidden="1">
      <c r="A225" s="7">
        <v>224</v>
      </c>
      <c r="B225" t="s">
        <v>243</v>
      </c>
      <c r="C225" t="s">
        <v>244</v>
      </c>
      <c r="D225" s="7">
        <v>7134</v>
      </c>
      <c r="E225" t="s">
        <v>245</v>
      </c>
      <c r="F225" t="s">
        <v>246</v>
      </c>
      <c r="G225" t="s">
        <v>1530</v>
      </c>
      <c r="H225" t="s">
        <v>1237</v>
      </c>
      <c r="I225" s="7">
        <v>1165</v>
      </c>
      <c r="J225" s="7">
        <v>10000</v>
      </c>
      <c r="K225" s="7">
        <v>1</v>
      </c>
      <c r="L225" t="s">
        <v>247</v>
      </c>
      <c r="M225" t="s">
        <v>361</v>
      </c>
      <c r="N225" s="7">
        <v>6480</v>
      </c>
      <c r="O225" t="s">
        <v>1531</v>
      </c>
      <c r="P225" t="s">
        <v>1532</v>
      </c>
      <c r="S225" t="s">
        <v>1225</v>
      </c>
      <c r="T225" t="s">
        <v>278</v>
      </c>
      <c r="U225" t="s">
        <v>633</v>
      </c>
      <c r="V225" s="8">
        <v>1650</v>
      </c>
      <c r="W225" s="7">
        <v>587839</v>
      </c>
      <c r="X225" t="s">
        <v>762</v>
      </c>
      <c r="Y225" s="8">
        <v>1650</v>
      </c>
      <c r="Z225" s="8">
        <v>1947</v>
      </c>
      <c r="AA225" s="8">
        <v>297</v>
      </c>
      <c r="AB225" s="7">
        <v>111306</v>
      </c>
      <c r="AC225" t="s">
        <v>762</v>
      </c>
      <c r="AD225" s="8">
        <v>0</v>
      </c>
      <c r="AG225" t="s">
        <v>823</v>
      </c>
      <c r="AH225" t="s">
        <v>802</v>
      </c>
      <c r="AI225" t="s">
        <v>818</v>
      </c>
    </row>
    <row r="226" spans="1:35" hidden="1">
      <c r="A226" s="7">
        <v>225</v>
      </c>
      <c r="B226" t="s">
        <v>243</v>
      </c>
      <c r="C226" t="s">
        <v>244</v>
      </c>
      <c r="D226" s="7">
        <v>7134</v>
      </c>
      <c r="E226" t="s">
        <v>245</v>
      </c>
      <c r="F226" t="s">
        <v>246</v>
      </c>
      <c r="G226" t="s">
        <v>1072</v>
      </c>
      <c r="H226" t="s">
        <v>1290</v>
      </c>
      <c r="I226" s="7">
        <v>1165</v>
      </c>
      <c r="J226" s="7">
        <v>50000</v>
      </c>
      <c r="K226" s="7">
        <v>5</v>
      </c>
      <c r="L226" t="s">
        <v>247</v>
      </c>
      <c r="M226" t="s">
        <v>261</v>
      </c>
      <c r="N226" s="7">
        <v>774648</v>
      </c>
      <c r="O226" t="s">
        <v>1549</v>
      </c>
      <c r="P226" t="s">
        <v>1550</v>
      </c>
      <c r="S226" t="s">
        <v>1225</v>
      </c>
      <c r="T226" t="s">
        <v>278</v>
      </c>
      <c r="U226" t="s">
        <v>633</v>
      </c>
      <c r="V226" s="8">
        <v>1250</v>
      </c>
      <c r="W226" s="7">
        <v>587839</v>
      </c>
      <c r="X226" t="s">
        <v>762</v>
      </c>
      <c r="Y226" s="8">
        <v>1250</v>
      </c>
      <c r="Z226" s="8">
        <v>1475</v>
      </c>
      <c r="AA226" s="8">
        <v>225</v>
      </c>
      <c r="AB226" s="7">
        <v>111306</v>
      </c>
      <c r="AC226" t="s">
        <v>762</v>
      </c>
      <c r="AD226" s="8">
        <v>0</v>
      </c>
      <c r="AG226" t="s">
        <v>801</v>
      </c>
      <c r="AH226" t="s">
        <v>802</v>
      </c>
      <c r="AI226" t="s">
        <v>818</v>
      </c>
    </row>
    <row r="227" spans="1:35" hidden="1">
      <c r="A227" s="7">
        <v>226</v>
      </c>
      <c r="B227" t="s">
        <v>243</v>
      </c>
      <c r="C227" t="s">
        <v>244</v>
      </c>
      <c r="D227" s="7">
        <v>7134</v>
      </c>
      <c r="E227" t="s">
        <v>245</v>
      </c>
      <c r="F227" t="s">
        <v>246</v>
      </c>
      <c r="G227" t="s">
        <v>1356</v>
      </c>
      <c r="H227" t="s">
        <v>1290</v>
      </c>
      <c r="I227" s="7">
        <v>687</v>
      </c>
      <c r="J227" s="7">
        <v>35309</v>
      </c>
      <c r="K227" s="7">
        <v>4</v>
      </c>
      <c r="L227" t="s">
        <v>247</v>
      </c>
      <c r="M227" t="s">
        <v>361</v>
      </c>
      <c r="N227" s="7">
        <v>3137</v>
      </c>
      <c r="O227" t="s">
        <v>1380</v>
      </c>
      <c r="P227" t="s">
        <v>1381</v>
      </c>
      <c r="Q227" t="s">
        <v>870</v>
      </c>
      <c r="R227" t="s">
        <v>871</v>
      </c>
      <c r="S227" t="s">
        <v>1225</v>
      </c>
      <c r="T227" t="s">
        <v>278</v>
      </c>
      <c r="U227" t="s">
        <v>633</v>
      </c>
      <c r="V227" s="8">
        <v>0</v>
      </c>
      <c r="W227" s="7">
        <v>587839</v>
      </c>
      <c r="X227" t="s">
        <v>762</v>
      </c>
      <c r="Y227" s="8">
        <v>0</v>
      </c>
      <c r="Z227" s="8">
        <v>0</v>
      </c>
      <c r="AA227" s="8">
        <v>0</v>
      </c>
      <c r="AB227" s="7">
        <v>111306</v>
      </c>
      <c r="AC227" t="s">
        <v>762</v>
      </c>
      <c r="AD227" s="8">
        <v>0</v>
      </c>
      <c r="AG227" t="s">
        <v>823</v>
      </c>
      <c r="AH227" t="s">
        <v>802</v>
      </c>
      <c r="AI227" t="s">
        <v>803</v>
      </c>
    </row>
    <row r="228" spans="1:35" hidden="1">
      <c r="A228" s="7">
        <v>227</v>
      </c>
      <c r="B228" t="s">
        <v>243</v>
      </c>
      <c r="C228" t="s">
        <v>244</v>
      </c>
      <c r="D228" s="7">
        <v>7134</v>
      </c>
      <c r="E228" t="s">
        <v>245</v>
      </c>
      <c r="F228" t="s">
        <v>246</v>
      </c>
      <c r="G228" t="s">
        <v>838</v>
      </c>
      <c r="H228" t="s">
        <v>412</v>
      </c>
      <c r="I228" s="7">
        <v>1165</v>
      </c>
      <c r="J228" s="7">
        <v>16894</v>
      </c>
      <c r="K228" s="7">
        <v>10</v>
      </c>
      <c r="L228" t="s">
        <v>247</v>
      </c>
      <c r="M228" t="s">
        <v>261</v>
      </c>
      <c r="N228" s="7">
        <v>733387</v>
      </c>
      <c r="O228" t="s">
        <v>1334</v>
      </c>
      <c r="P228" t="s">
        <v>1335</v>
      </c>
      <c r="S228" t="s">
        <v>1225</v>
      </c>
      <c r="T228" t="s">
        <v>278</v>
      </c>
      <c r="U228" t="s">
        <v>633</v>
      </c>
      <c r="V228" s="8">
        <v>0</v>
      </c>
      <c r="W228" s="7">
        <v>587839</v>
      </c>
      <c r="X228" t="s">
        <v>762</v>
      </c>
      <c r="Y228" s="8">
        <v>0</v>
      </c>
      <c r="Z228" s="8">
        <v>0</v>
      </c>
      <c r="AA228" s="8">
        <v>0</v>
      </c>
      <c r="AB228" s="7">
        <v>111306</v>
      </c>
      <c r="AC228" t="s">
        <v>762</v>
      </c>
      <c r="AD228" s="8">
        <v>0</v>
      </c>
      <c r="AG228" t="s">
        <v>808</v>
      </c>
      <c r="AH228" t="s">
        <v>802</v>
      </c>
      <c r="AI228" t="s">
        <v>803</v>
      </c>
    </row>
    <row r="229" spans="1:35" hidden="1">
      <c r="A229" s="7">
        <v>228</v>
      </c>
      <c r="B229" t="s">
        <v>243</v>
      </c>
      <c r="C229" t="s">
        <v>244</v>
      </c>
      <c r="D229" s="7">
        <v>7134</v>
      </c>
      <c r="E229" t="s">
        <v>245</v>
      </c>
      <c r="F229" t="s">
        <v>246</v>
      </c>
      <c r="G229" t="s">
        <v>1388</v>
      </c>
      <c r="H229" t="s">
        <v>1325</v>
      </c>
      <c r="I229" s="7">
        <v>1165</v>
      </c>
      <c r="J229" s="7">
        <v>17300</v>
      </c>
      <c r="K229" s="7">
        <v>2</v>
      </c>
      <c r="L229" t="s">
        <v>247</v>
      </c>
      <c r="M229" t="s">
        <v>261</v>
      </c>
      <c r="N229" s="7">
        <v>771435</v>
      </c>
      <c r="O229" t="s">
        <v>1389</v>
      </c>
      <c r="P229" t="s">
        <v>1390</v>
      </c>
      <c r="S229" t="s">
        <v>1225</v>
      </c>
      <c r="T229" t="s">
        <v>278</v>
      </c>
      <c r="U229" t="s">
        <v>633</v>
      </c>
      <c r="V229" s="8">
        <v>1250</v>
      </c>
      <c r="W229" s="7">
        <v>587839</v>
      </c>
      <c r="X229" t="s">
        <v>762</v>
      </c>
      <c r="Y229" s="8">
        <v>1250</v>
      </c>
      <c r="Z229" s="8">
        <v>1475</v>
      </c>
      <c r="AA229" s="8">
        <v>225</v>
      </c>
      <c r="AB229" s="7">
        <v>111306</v>
      </c>
      <c r="AC229" t="s">
        <v>762</v>
      </c>
      <c r="AD229" s="8">
        <v>0</v>
      </c>
      <c r="AG229" t="s">
        <v>817</v>
      </c>
      <c r="AH229" t="s">
        <v>802</v>
      </c>
      <c r="AI229" t="s">
        <v>818</v>
      </c>
    </row>
    <row r="230" spans="1:35" hidden="1">
      <c r="A230" s="7">
        <v>229</v>
      </c>
      <c r="B230" t="s">
        <v>243</v>
      </c>
      <c r="C230" t="s">
        <v>244</v>
      </c>
      <c r="D230" s="7">
        <v>7134</v>
      </c>
      <c r="E230" t="s">
        <v>245</v>
      </c>
      <c r="F230" t="s">
        <v>246</v>
      </c>
      <c r="G230" t="s">
        <v>881</v>
      </c>
      <c r="H230" t="s">
        <v>400</v>
      </c>
      <c r="I230" s="7">
        <v>1165</v>
      </c>
      <c r="J230" s="7">
        <v>7524</v>
      </c>
      <c r="K230" s="7">
        <v>1</v>
      </c>
      <c r="L230" t="s">
        <v>247</v>
      </c>
      <c r="M230" t="s">
        <v>261</v>
      </c>
      <c r="N230" s="7">
        <v>782168</v>
      </c>
      <c r="O230" t="s">
        <v>1547</v>
      </c>
      <c r="P230" t="s">
        <v>1548</v>
      </c>
      <c r="Q230" t="s">
        <v>870</v>
      </c>
      <c r="R230" t="s">
        <v>871</v>
      </c>
      <c r="S230" t="s">
        <v>1225</v>
      </c>
      <c r="T230" t="s">
        <v>278</v>
      </c>
      <c r="U230" t="s">
        <v>633</v>
      </c>
      <c r="V230" s="8">
        <v>1250</v>
      </c>
      <c r="W230" s="7">
        <v>587839</v>
      </c>
      <c r="X230" t="s">
        <v>762</v>
      </c>
      <c r="Y230" s="8">
        <v>1000</v>
      </c>
      <c r="Z230" s="8">
        <v>1475</v>
      </c>
      <c r="AA230" s="8">
        <v>225</v>
      </c>
      <c r="AB230" s="7">
        <v>111306</v>
      </c>
      <c r="AC230" t="s">
        <v>762</v>
      </c>
      <c r="AD230" s="8">
        <v>250</v>
      </c>
      <c r="AG230" t="s">
        <v>817</v>
      </c>
      <c r="AH230" t="s">
        <v>802</v>
      </c>
      <c r="AI230" t="s">
        <v>818</v>
      </c>
    </row>
    <row r="231" spans="1:35" hidden="1">
      <c r="A231" s="7">
        <v>230</v>
      </c>
      <c r="B231" t="s">
        <v>243</v>
      </c>
      <c r="C231" t="s">
        <v>244</v>
      </c>
      <c r="D231" s="7">
        <v>7134</v>
      </c>
      <c r="E231" t="s">
        <v>245</v>
      </c>
      <c r="F231" t="s">
        <v>246</v>
      </c>
      <c r="G231" t="s">
        <v>1456</v>
      </c>
      <c r="H231" t="s">
        <v>1457</v>
      </c>
      <c r="I231" s="7">
        <v>890</v>
      </c>
      <c r="J231" s="7">
        <v>90000</v>
      </c>
      <c r="K231" s="7">
        <v>9</v>
      </c>
      <c r="L231" t="s">
        <v>247</v>
      </c>
      <c r="M231" t="s">
        <v>267</v>
      </c>
      <c r="N231" s="7">
        <v>758254</v>
      </c>
      <c r="O231" t="s">
        <v>1458</v>
      </c>
      <c r="P231" t="s">
        <v>1459</v>
      </c>
      <c r="S231" t="s">
        <v>1225</v>
      </c>
      <c r="T231" t="s">
        <v>278</v>
      </c>
      <c r="U231" t="s">
        <v>633</v>
      </c>
      <c r="V231" s="8">
        <v>0</v>
      </c>
      <c r="W231" s="7">
        <v>587839</v>
      </c>
      <c r="X231" t="s">
        <v>762</v>
      </c>
      <c r="Y231" s="8">
        <v>0</v>
      </c>
      <c r="Z231" s="8">
        <v>0</v>
      </c>
      <c r="AA231" s="8">
        <v>0</v>
      </c>
      <c r="AB231" s="7">
        <v>111306</v>
      </c>
      <c r="AC231" t="s">
        <v>762</v>
      </c>
      <c r="AD231" s="8">
        <v>0</v>
      </c>
      <c r="AG231" t="s">
        <v>828</v>
      </c>
      <c r="AH231" t="s">
        <v>802</v>
      </c>
      <c r="AI231" t="s">
        <v>803</v>
      </c>
    </row>
    <row r="232" spans="1:35" hidden="1">
      <c r="A232" s="7">
        <v>231</v>
      </c>
      <c r="B232" t="s">
        <v>243</v>
      </c>
      <c r="C232" t="s">
        <v>244</v>
      </c>
      <c r="D232" s="7">
        <v>7134</v>
      </c>
      <c r="E232" t="s">
        <v>245</v>
      </c>
      <c r="F232" t="s">
        <v>246</v>
      </c>
      <c r="G232" t="s">
        <v>1145</v>
      </c>
      <c r="H232" t="s">
        <v>263</v>
      </c>
      <c r="I232" s="7">
        <v>1165</v>
      </c>
      <c r="J232" s="7">
        <v>54126</v>
      </c>
      <c r="K232" s="7">
        <v>9</v>
      </c>
      <c r="L232" t="s">
        <v>247</v>
      </c>
      <c r="M232" t="s">
        <v>252</v>
      </c>
      <c r="N232" s="7">
        <v>573195831</v>
      </c>
      <c r="O232" t="s">
        <v>1526</v>
      </c>
      <c r="P232" t="s">
        <v>1527</v>
      </c>
      <c r="S232" t="s">
        <v>1225</v>
      </c>
      <c r="T232" t="s">
        <v>278</v>
      </c>
      <c r="U232" t="s">
        <v>633</v>
      </c>
      <c r="V232" s="8">
        <v>0</v>
      </c>
      <c r="W232" s="7">
        <v>587839</v>
      </c>
      <c r="X232" t="s">
        <v>762</v>
      </c>
      <c r="Y232" s="8">
        <v>0</v>
      </c>
      <c r="Z232" s="8">
        <v>0</v>
      </c>
      <c r="AA232" s="8">
        <v>0</v>
      </c>
      <c r="AB232" s="7">
        <v>111306</v>
      </c>
      <c r="AC232" t="s">
        <v>762</v>
      </c>
      <c r="AD232" s="8">
        <v>0</v>
      </c>
      <c r="AG232" t="s">
        <v>937</v>
      </c>
      <c r="AH232" t="s">
        <v>802</v>
      </c>
      <c r="AI232" t="s">
        <v>803</v>
      </c>
    </row>
    <row r="233" spans="1:35" hidden="1">
      <c r="A233" s="7">
        <v>232</v>
      </c>
      <c r="B233" t="s">
        <v>243</v>
      </c>
      <c r="C233" t="s">
        <v>244</v>
      </c>
      <c r="D233" s="7">
        <v>7134</v>
      </c>
      <c r="E233" t="s">
        <v>245</v>
      </c>
      <c r="F233" t="s">
        <v>246</v>
      </c>
      <c r="G233" t="s">
        <v>1088</v>
      </c>
      <c r="H233" t="s">
        <v>328</v>
      </c>
      <c r="I233" s="7">
        <v>1165</v>
      </c>
      <c r="J233" s="7">
        <v>15554</v>
      </c>
      <c r="K233" s="7">
        <v>2</v>
      </c>
      <c r="L233" t="s">
        <v>247</v>
      </c>
      <c r="M233" t="s">
        <v>361</v>
      </c>
      <c r="N233" s="7">
        <v>5365</v>
      </c>
      <c r="O233" t="s">
        <v>1464</v>
      </c>
      <c r="P233" t="s">
        <v>1465</v>
      </c>
      <c r="S233" t="s">
        <v>1225</v>
      </c>
      <c r="T233" t="s">
        <v>278</v>
      </c>
      <c r="U233" t="s">
        <v>633</v>
      </c>
      <c r="V233" s="8">
        <v>0</v>
      </c>
      <c r="W233" s="7">
        <v>587839</v>
      </c>
      <c r="X233" t="s">
        <v>762</v>
      </c>
      <c r="Y233" s="8">
        <v>0</v>
      </c>
      <c r="Z233" s="8">
        <v>0</v>
      </c>
      <c r="AA233" s="8">
        <v>0</v>
      </c>
      <c r="AB233" s="7">
        <v>111306</v>
      </c>
      <c r="AC233" t="s">
        <v>762</v>
      </c>
      <c r="AD233" s="8">
        <v>0</v>
      </c>
      <c r="AG233" t="s">
        <v>823</v>
      </c>
      <c r="AH233" t="s">
        <v>802</v>
      </c>
      <c r="AI233" t="s">
        <v>803</v>
      </c>
    </row>
    <row r="234" spans="1:35" hidden="1">
      <c r="A234" s="7">
        <v>233</v>
      </c>
      <c r="B234" t="s">
        <v>243</v>
      </c>
      <c r="C234" t="s">
        <v>244</v>
      </c>
      <c r="D234" s="7">
        <v>7134</v>
      </c>
      <c r="E234" t="s">
        <v>245</v>
      </c>
      <c r="F234" t="s">
        <v>246</v>
      </c>
      <c r="G234" t="s">
        <v>1309</v>
      </c>
      <c r="H234" t="s">
        <v>1231</v>
      </c>
      <c r="I234" s="7">
        <v>961</v>
      </c>
      <c r="J234" s="7">
        <v>32674</v>
      </c>
      <c r="K234" s="7">
        <v>7</v>
      </c>
      <c r="L234" t="s">
        <v>247</v>
      </c>
      <c r="M234" t="s">
        <v>261</v>
      </c>
      <c r="N234" s="7">
        <v>760924</v>
      </c>
      <c r="O234" t="s">
        <v>1310</v>
      </c>
      <c r="P234" t="s">
        <v>1311</v>
      </c>
      <c r="S234" t="s">
        <v>1225</v>
      </c>
      <c r="T234" t="s">
        <v>278</v>
      </c>
      <c r="U234" t="s">
        <v>633</v>
      </c>
      <c r="V234" s="8">
        <v>0</v>
      </c>
      <c r="W234" s="7">
        <v>587839</v>
      </c>
      <c r="X234" t="s">
        <v>762</v>
      </c>
      <c r="Y234" s="8">
        <v>0</v>
      </c>
      <c r="Z234" s="8">
        <v>0</v>
      </c>
      <c r="AA234" s="8">
        <v>0</v>
      </c>
      <c r="AB234" s="7">
        <v>111306</v>
      </c>
      <c r="AC234" t="s">
        <v>762</v>
      </c>
      <c r="AD234" s="8">
        <v>0</v>
      </c>
      <c r="AG234" t="s">
        <v>801</v>
      </c>
      <c r="AH234" t="s">
        <v>802</v>
      </c>
      <c r="AI234" t="s">
        <v>803</v>
      </c>
    </row>
    <row r="235" spans="1:35" hidden="1">
      <c r="A235" s="7">
        <v>234</v>
      </c>
      <c r="B235" t="s">
        <v>243</v>
      </c>
      <c r="C235" t="s">
        <v>244</v>
      </c>
      <c r="D235" s="7">
        <v>7134</v>
      </c>
      <c r="E235" t="s">
        <v>245</v>
      </c>
      <c r="F235" t="s">
        <v>246</v>
      </c>
      <c r="G235" t="s">
        <v>927</v>
      </c>
      <c r="H235" t="s">
        <v>278</v>
      </c>
      <c r="I235" s="7">
        <v>1165</v>
      </c>
      <c r="J235" s="7">
        <v>15560</v>
      </c>
      <c r="K235" s="7">
        <v>3</v>
      </c>
      <c r="L235" t="s">
        <v>247</v>
      </c>
      <c r="M235" t="s">
        <v>398</v>
      </c>
      <c r="N235" s="7">
        <v>757822</v>
      </c>
      <c r="O235" t="s">
        <v>1466</v>
      </c>
      <c r="P235" t="s">
        <v>1467</v>
      </c>
      <c r="Q235" t="s">
        <v>870</v>
      </c>
      <c r="R235" t="s">
        <v>871</v>
      </c>
      <c r="S235" t="s">
        <v>1225</v>
      </c>
      <c r="T235" t="s">
        <v>278</v>
      </c>
      <c r="U235" t="s">
        <v>633</v>
      </c>
      <c r="V235" s="8">
        <v>1250</v>
      </c>
      <c r="W235" s="7">
        <v>587839</v>
      </c>
      <c r="X235" t="s">
        <v>762</v>
      </c>
      <c r="Y235" s="8">
        <v>1000</v>
      </c>
      <c r="Z235" s="8">
        <v>1475</v>
      </c>
      <c r="AA235" s="8">
        <v>225</v>
      </c>
      <c r="AB235" s="7">
        <v>111306</v>
      </c>
      <c r="AC235" t="s">
        <v>762</v>
      </c>
      <c r="AD235" s="8">
        <v>250</v>
      </c>
      <c r="AG235" t="s">
        <v>1365</v>
      </c>
      <c r="AH235" t="s">
        <v>802</v>
      </c>
      <c r="AI235" t="s">
        <v>818</v>
      </c>
    </row>
    <row r="236" spans="1:35" hidden="1">
      <c r="A236" s="7">
        <v>235</v>
      </c>
      <c r="B236" t="s">
        <v>243</v>
      </c>
      <c r="C236" t="s">
        <v>244</v>
      </c>
      <c r="D236" s="7">
        <v>7134</v>
      </c>
      <c r="E236" t="s">
        <v>245</v>
      </c>
      <c r="F236" t="s">
        <v>246</v>
      </c>
      <c r="G236" t="s">
        <v>1556</v>
      </c>
      <c r="H236" t="s">
        <v>1231</v>
      </c>
      <c r="I236" s="7">
        <v>1165</v>
      </c>
      <c r="J236" s="7">
        <v>50290</v>
      </c>
      <c r="K236" s="7">
        <v>9</v>
      </c>
      <c r="L236" t="s">
        <v>247</v>
      </c>
      <c r="M236" t="s">
        <v>261</v>
      </c>
      <c r="N236" s="7">
        <v>754002</v>
      </c>
      <c r="O236" t="s">
        <v>1557</v>
      </c>
      <c r="P236" t="s">
        <v>1558</v>
      </c>
      <c r="S236" t="s">
        <v>1225</v>
      </c>
      <c r="T236" t="s">
        <v>278</v>
      </c>
      <c r="U236" t="s">
        <v>633</v>
      </c>
      <c r="V236" s="8">
        <v>0</v>
      </c>
      <c r="W236" s="7">
        <v>587839</v>
      </c>
      <c r="X236" t="s">
        <v>762</v>
      </c>
      <c r="Y236" s="8">
        <v>0</v>
      </c>
      <c r="Z236" s="8">
        <v>0</v>
      </c>
      <c r="AA236" s="8">
        <v>0</v>
      </c>
      <c r="AB236" s="7">
        <v>111306</v>
      </c>
      <c r="AC236" t="s">
        <v>762</v>
      </c>
      <c r="AD236" s="8">
        <v>0</v>
      </c>
      <c r="AG236" t="s">
        <v>801</v>
      </c>
      <c r="AH236" t="s">
        <v>802</v>
      </c>
      <c r="AI236" t="s">
        <v>803</v>
      </c>
    </row>
    <row r="237" spans="1:35" hidden="1">
      <c r="A237" s="7">
        <v>236</v>
      </c>
      <c r="B237" t="s">
        <v>243</v>
      </c>
      <c r="C237" t="s">
        <v>244</v>
      </c>
      <c r="D237" s="7">
        <v>7134</v>
      </c>
      <c r="E237" t="s">
        <v>245</v>
      </c>
      <c r="F237" t="s">
        <v>246</v>
      </c>
      <c r="G237" t="s">
        <v>951</v>
      </c>
      <c r="H237" t="s">
        <v>1457</v>
      </c>
      <c r="I237" s="7">
        <v>1165</v>
      </c>
      <c r="J237" s="7">
        <v>45726</v>
      </c>
      <c r="K237" s="7">
        <v>5</v>
      </c>
      <c r="L237" t="s">
        <v>247</v>
      </c>
      <c r="M237" t="s">
        <v>267</v>
      </c>
      <c r="N237" s="7">
        <v>776484</v>
      </c>
      <c r="O237" t="s">
        <v>952</v>
      </c>
      <c r="P237" t="s">
        <v>953</v>
      </c>
      <c r="S237" t="s">
        <v>1225</v>
      </c>
      <c r="T237" t="s">
        <v>278</v>
      </c>
      <c r="U237" t="s">
        <v>633</v>
      </c>
      <c r="V237" s="8">
        <v>1250</v>
      </c>
      <c r="W237" s="7">
        <v>587839</v>
      </c>
      <c r="X237" t="s">
        <v>762</v>
      </c>
      <c r="Y237" s="8">
        <v>1250</v>
      </c>
      <c r="Z237" s="8">
        <v>1475</v>
      </c>
      <c r="AA237" s="8">
        <v>225</v>
      </c>
      <c r="AB237" s="7">
        <v>111306</v>
      </c>
      <c r="AC237" t="s">
        <v>762</v>
      </c>
      <c r="AD237" s="8">
        <v>0</v>
      </c>
      <c r="AG237" t="s">
        <v>828</v>
      </c>
      <c r="AH237" t="s">
        <v>802</v>
      </c>
      <c r="AI237" t="s">
        <v>818</v>
      </c>
    </row>
    <row r="238" spans="1:35" hidden="1">
      <c r="A238" s="7">
        <v>237</v>
      </c>
      <c r="B238" t="s">
        <v>243</v>
      </c>
      <c r="C238" t="s">
        <v>244</v>
      </c>
      <c r="D238" s="7">
        <v>7134</v>
      </c>
      <c r="E238" t="s">
        <v>245</v>
      </c>
      <c r="F238" t="s">
        <v>246</v>
      </c>
      <c r="G238" t="s">
        <v>1044</v>
      </c>
      <c r="H238" t="s">
        <v>273</v>
      </c>
      <c r="I238" s="7">
        <v>1165</v>
      </c>
      <c r="J238" s="7">
        <v>24991</v>
      </c>
      <c r="K238" s="7">
        <v>3</v>
      </c>
      <c r="L238" t="s">
        <v>247</v>
      </c>
      <c r="M238" t="s">
        <v>361</v>
      </c>
      <c r="N238" s="7">
        <v>4929</v>
      </c>
      <c r="O238" t="s">
        <v>1250</v>
      </c>
      <c r="P238" t="s">
        <v>1251</v>
      </c>
      <c r="S238" t="s">
        <v>1225</v>
      </c>
      <c r="T238" t="s">
        <v>278</v>
      </c>
      <c r="U238" t="s">
        <v>633</v>
      </c>
      <c r="V238" s="8">
        <v>1650</v>
      </c>
      <c r="W238" s="7">
        <v>587839</v>
      </c>
      <c r="X238" t="s">
        <v>762</v>
      </c>
      <c r="Y238" s="8">
        <v>1650</v>
      </c>
      <c r="Z238" s="8">
        <v>1947</v>
      </c>
      <c r="AA238" s="8">
        <v>297</v>
      </c>
      <c r="AB238" s="7">
        <v>111306</v>
      </c>
      <c r="AC238" t="s">
        <v>762</v>
      </c>
      <c r="AD238" s="8">
        <v>0</v>
      </c>
      <c r="AG238" t="s">
        <v>823</v>
      </c>
      <c r="AH238" t="s">
        <v>802</v>
      </c>
      <c r="AI238" t="s">
        <v>818</v>
      </c>
    </row>
    <row r="239" spans="1:35" hidden="1">
      <c r="A239" s="7">
        <v>238</v>
      </c>
      <c r="B239" t="s">
        <v>243</v>
      </c>
      <c r="C239" t="s">
        <v>244</v>
      </c>
      <c r="D239" s="7">
        <v>7134</v>
      </c>
      <c r="E239" t="s">
        <v>245</v>
      </c>
      <c r="F239" t="s">
        <v>246</v>
      </c>
      <c r="G239" t="s">
        <v>1252</v>
      </c>
      <c r="H239" t="s">
        <v>1253</v>
      </c>
      <c r="I239" s="7">
        <v>1165</v>
      </c>
      <c r="J239" s="7">
        <v>21839</v>
      </c>
      <c r="K239" s="7">
        <v>9</v>
      </c>
      <c r="L239" t="s">
        <v>247</v>
      </c>
      <c r="M239" t="s">
        <v>261</v>
      </c>
      <c r="N239" s="7">
        <v>753617</v>
      </c>
      <c r="O239" t="s">
        <v>1254</v>
      </c>
      <c r="P239" t="s">
        <v>1255</v>
      </c>
      <c r="S239" t="s">
        <v>1225</v>
      </c>
      <c r="T239" t="s">
        <v>278</v>
      </c>
      <c r="U239" t="s">
        <v>633</v>
      </c>
      <c r="V239" s="8">
        <v>0</v>
      </c>
      <c r="W239" s="7">
        <v>587839</v>
      </c>
      <c r="X239" t="s">
        <v>762</v>
      </c>
      <c r="Y239" s="8">
        <v>0</v>
      </c>
      <c r="Z239" s="8">
        <v>0</v>
      </c>
      <c r="AA239" s="8">
        <v>0</v>
      </c>
      <c r="AB239" s="7">
        <v>111306</v>
      </c>
      <c r="AC239" t="s">
        <v>762</v>
      </c>
      <c r="AD239" s="8">
        <v>0</v>
      </c>
      <c r="AG239" t="s">
        <v>801</v>
      </c>
      <c r="AH239" t="s">
        <v>802</v>
      </c>
      <c r="AI239" t="s">
        <v>803</v>
      </c>
    </row>
    <row r="240" spans="1:35" hidden="1">
      <c r="A240" s="7">
        <v>239</v>
      </c>
      <c r="B240" t="s">
        <v>243</v>
      </c>
      <c r="C240" t="s">
        <v>244</v>
      </c>
      <c r="D240" s="7">
        <v>7134</v>
      </c>
      <c r="E240" t="s">
        <v>245</v>
      </c>
      <c r="F240" t="s">
        <v>246</v>
      </c>
      <c r="G240" t="s">
        <v>1256</v>
      </c>
      <c r="H240" t="s">
        <v>1257</v>
      </c>
      <c r="I240" s="7">
        <v>1165</v>
      </c>
      <c r="J240" s="7">
        <v>49757</v>
      </c>
      <c r="K240" s="7">
        <v>5</v>
      </c>
      <c r="L240" t="s">
        <v>247</v>
      </c>
      <c r="M240" t="s">
        <v>361</v>
      </c>
      <c r="N240" s="7">
        <v>2073</v>
      </c>
      <c r="O240" t="s">
        <v>1258</v>
      </c>
      <c r="P240" t="s">
        <v>1259</v>
      </c>
      <c r="S240" t="s">
        <v>1225</v>
      </c>
      <c r="T240" t="s">
        <v>278</v>
      </c>
      <c r="U240" t="s">
        <v>633</v>
      </c>
      <c r="V240" s="8">
        <v>1650</v>
      </c>
      <c r="W240" s="7">
        <v>587839</v>
      </c>
      <c r="X240" t="s">
        <v>762</v>
      </c>
      <c r="Y240" s="8">
        <v>1650</v>
      </c>
      <c r="Z240" s="8">
        <v>1947</v>
      </c>
      <c r="AA240" s="8">
        <v>297</v>
      </c>
      <c r="AB240" s="7">
        <v>111306</v>
      </c>
      <c r="AC240" t="s">
        <v>762</v>
      </c>
      <c r="AD240" s="8">
        <v>0</v>
      </c>
      <c r="AG240" t="s">
        <v>823</v>
      </c>
      <c r="AH240" t="s">
        <v>802</v>
      </c>
      <c r="AI240" t="s">
        <v>818</v>
      </c>
    </row>
    <row r="241" spans="1:35" hidden="1">
      <c r="A241" s="7">
        <v>240</v>
      </c>
      <c r="B241" t="s">
        <v>243</v>
      </c>
      <c r="C241" t="s">
        <v>244</v>
      </c>
      <c r="D241" s="7">
        <v>7134</v>
      </c>
      <c r="E241" t="s">
        <v>245</v>
      </c>
      <c r="F241" t="s">
        <v>246</v>
      </c>
      <c r="G241" t="s">
        <v>1319</v>
      </c>
      <c r="H241" t="s">
        <v>1306</v>
      </c>
      <c r="I241" s="7">
        <v>1050</v>
      </c>
      <c r="J241" s="7">
        <v>20000</v>
      </c>
      <c r="K241" s="7">
        <v>2</v>
      </c>
      <c r="L241" t="s">
        <v>247</v>
      </c>
      <c r="M241" t="s">
        <v>267</v>
      </c>
      <c r="N241" s="7">
        <v>789982</v>
      </c>
      <c r="O241" t="s">
        <v>1320</v>
      </c>
      <c r="P241" t="s">
        <v>1321</v>
      </c>
      <c r="S241" t="s">
        <v>1225</v>
      </c>
      <c r="T241" t="s">
        <v>278</v>
      </c>
      <c r="U241" t="s">
        <v>633</v>
      </c>
      <c r="V241" s="8">
        <v>0</v>
      </c>
      <c r="W241" s="7">
        <v>587839</v>
      </c>
      <c r="X241" t="s">
        <v>762</v>
      </c>
      <c r="Y241" s="8">
        <v>0</v>
      </c>
      <c r="Z241" s="8">
        <v>0</v>
      </c>
      <c r="AA241" s="8">
        <v>0</v>
      </c>
      <c r="AB241" s="7">
        <v>111306</v>
      </c>
      <c r="AC241" t="s">
        <v>762</v>
      </c>
      <c r="AD241" s="8">
        <v>0</v>
      </c>
      <c r="AG241" t="s">
        <v>828</v>
      </c>
      <c r="AH241" t="s">
        <v>802</v>
      </c>
      <c r="AI241" t="s">
        <v>803</v>
      </c>
    </row>
    <row r="242" spans="1:35" hidden="1">
      <c r="A242" s="7">
        <v>241</v>
      </c>
      <c r="B242" t="s">
        <v>243</v>
      </c>
      <c r="C242" t="s">
        <v>244</v>
      </c>
      <c r="D242" s="7">
        <v>7134</v>
      </c>
      <c r="E242" t="s">
        <v>245</v>
      </c>
      <c r="F242" t="s">
        <v>246</v>
      </c>
      <c r="G242" t="s">
        <v>888</v>
      </c>
      <c r="H242" t="s">
        <v>273</v>
      </c>
      <c r="I242" s="7">
        <v>1165</v>
      </c>
      <c r="J242" s="7">
        <v>59920</v>
      </c>
      <c r="K242" s="7">
        <v>6</v>
      </c>
      <c r="L242" t="s">
        <v>247</v>
      </c>
      <c r="M242" t="s">
        <v>267</v>
      </c>
      <c r="N242" s="7">
        <v>776290</v>
      </c>
      <c r="O242" t="s">
        <v>889</v>
      </c>
      <c r="P242" t="s">
        <v>890</v>
      </c>
      <c r="S242" t="s">
        <v>1225</v>
      </c>
      <c r="T242" t="s">
        <v>278</v>
      </c>
      <c r="U242" t="s">
        <v>633</v>
      </c>
      <c r="V242" s="8">
        <v>0</v>
      </c>
      <c r="W242" s="7">
        <v>587839</v>
      </c>
      <c r="X242" t="s">
        <v>762</v>
      </c>
      <c r="Y242" s="8">
        <v>0</v>
      </c>
      <c r="Z242" s="8">
        <v>0</v>
      </c>
      <c r="AA242" s="8">
        <v>0</v>
      </c>
      <c r="AB242" s="7">
        <v>111306</v>
      </c>
      <c r="AC242" t="s">
        <v>762</v>
      </c>
      <c r="AD242" s="8">
        <v>0</v>
      </c>
      <c r="AG242" t="s">
        <v>828</v>
      </c>
      <c r="AH242" t="s">
        <v>802</v>
      </c>
      <c r="AI242" t="s">
        <v>803</v>
      </c>
    </row>
    <row r="243" spans="1:35" hidden="1">
      <c r="A243" s="7">
        <v>242</v>
      </c>
      <c r="B243" t="s">
        <v>243</v>
      </c>
      <c r="C243" t="s">
        <v>244</v>
      </c>
      <c r="D243" s="7">
        <v>7134</v>
      </c>
      <c r="E243" t="s">
        <v>245</v>
      </c>
      <c r="F243" t="s">
        <v>246</v>
      </c>
      <c r="G243" t="s">
        <v>867</v>
      </c>
      <c r="H243" t="s">
        <v>1325</v>
      </c>
      <c r="I243" s="7">
        <v>1165</v>
      </c>
      <c r="J243" s="7">
        <v>15045</v>
      </c>
      <c r="K243" s="7">
        <v>2</v>
      </c>
      <c r="L243" t="s">
        <v>247</v>
      </c>
      <c r="M243" t="s">
        <v>361</v>
      </c>
      <c r="N243" s="7">
        <v>4898</v>
      </c>
      <c r="O243" t="s">
        <v>1444</v>
      </c>
      <c r="P243" t="s">
        <v>1445</v>
      </c>
      <c r="S243" t="s">
        <v>1225</v>
      </c>
      <c r="T243" t="s">
        <v>278</v>
      </c>
      <c r="U243" t="s">
        <v>633</v>
      </c>
      <c r="V243" s="8">
        <v>0</v>
      </c>
      <c r="W243" s="7">
        <v>587839</v>
      </c>
      <c r="X243" t="s">
        <v>762</v>
      </c>
      <c r="Y243" s="8">
        <v>0</v>
      </c>
      <c r="Z243" s="8">
        <v>0</v>
      </c>
      <c r="AA243" s="8">
        <v>0</v>
      </c>
      <c r="AB243" s="7">
        <v>111306</v>
      </c>
      <c r="AC243" t="s">
        <v>762</v>
      </c>
      <c r="AD243" s="8">
        <v>0</v>
      </c>
      <c r="AG243" t="s">
        <v>823</v>
      </c>
      <c r="AH243" t="s">
        <v>802</v>
      </c>
      <c r="AI243" t="s">
        <v>803</v>
      </c>
    </row>
    <row r="244" spans="1:35" hidden="1">
      <c r="A244" s="7">
        <v>243</v>
      </c>
      <c r="B244" t="s">
        <v>243</v>
      </c>
      <c r="C244" t="s">
        <v>244</v>
      </c>
      <c r="D244" s="7">
        <v>7134</v>
      </c>
      <c r="E244" t="s">
        <v>245</v>
      </c>
      <c r="F244" t="s">
        <v>246</v>
      </c>
      <c r="G244" t="s">
        <v>1577</v>
      </c>
      <c r="H244" t="s">
        <v>263</v>
      </c>
      <c r="I244" s="7">
        <v>1165</v>
      </c>
      <c r="J244" s="7">
        <v>29388</v>
      </c>
      <c r="K244" s="7">
        <v>3</v>
      </c>
      <c r="L244" t="s">
        <v>247</v>
      </c>
      <c r="M244" t="s">
        <v>361</v>
      </c>
      <c r="N244" s="7">
        <v>5392</v>
      </c>
      <c r="O244" t="s">
        <v>1578</v>
      </c>
      <c r="P244" t="s">
        <v>1579</v>
      </c>
      <c r="S244" t="s">
        <v>1225</v>
      </c>
      <c r="T244" t="s">
        <v>278</v>
      </c>
      <c r="U244" t="s">
        <v>633</v>
      </c>
      <c r="V244" s="8">
        <v>1650</v>
      </c>
      <c r="W244" s="7">
        <v>587839</v>
      </c>
      <c r="X244" t="s">
        <v>762</v>
      </c>
      <c r="Y244" s="8">
        <v>1650</v>
      </c>
      <c r="Z244" s="8">
        <v>1947</v>
      </c>
      <c r="AA244" s="8">
        <v>297</v>
      </c>
      <c r="AB244" s="7">
        <v>111306</v>
      </c>
      <c r="AC244" t="s">
        <v>762</v>
      </c>
      <c r="AD244" s="8">
        <v>0</v>
      </c>
      <c r="AG244" t="s">
        <v>823</v>
      </c>
      <c r="AH244" t="s">
        <v>802</v>
      </c>
      <c r="AI244" t="s">
        <v>818</v>
      </c>
    </row>
    <row r="245" spans="1:35" hidden="1">
      <c r="A245" s="7">
        <v>244</v>
      </c>
      <c r="B245" t="s">
        <v>243</v>
      </c>
      <c r="C245" t="s">
        <v>244</v>
      </c>
      <c r="D245" s="7">
        <v>7134</v>
      </c>
      <c r="E245" t="s">
        <v>245</v>
      </c>
      <c r="F245" t="s">
        <v>246</v>
      </c>
      <c r="G245" t="s">
        <v>867</v>
      </c>
      <c r="H245" t="s">
        <v>273</v>
      </c>
      <c r="I245" s="7">
        <v>1165</v>
      </c>
      <c r="J245" s="7">
        <v>19200</v>
      </c>
      <c r="K245" s="7">
        <v>2</v>
      </c>
      <c r="L245" t="s">
        <v>247</v>
      </c>
      <c r="M245" t="s">
        <v>261</v>
      </c>
      <c r="N245" s="7">
        <v>790580</v>
      </c>
      <c r="O245" t="s">
        <v>1020</v>
      </c>
      <c r="P245" t="s">
        <v>1021</v>
      </c>
      <c r="Q245" t="s">
        <v>870</v>
      </c>
      <c r="R245" t="s">
        <v>871</v>
      </c>
      <c r="S245" t="s">
        <v>1225</v>
      </c>
      <c r="T245" t="s">
        <v>278</v>
      </c>
      <c r="U245" t="s">
        <v>633</v>
      </c>
      <c r="V245" s="8">
        <v>0</v>
      </c>
      <c r="W245" s="7">
        <v>587839</v>
      </c>
      <c r="X245" t="s">
        <v>762</v>
      </c>
      <c r="Y245" s="8">
        <v>0</v>
      </c>
      <c r="Z245" s="8">
        <v>0</v>
      </c>
      <c r="AA245" s="8">
        <v>0</v>
      </c>
      <c r="AB245" s="7">
        <v>111306</v>
      </c>
      <c r="AC245" t="s">
        <v>762</v>
      </c>
      <c r="AD245" s="8">
        <v>0</v>
      </c>
      <c r="AG245" t="s">
        <v>801</v>
      </c>
      <c r="AH245" t="s">
        <v>802</v>
      </c>
      <c r="AI245" t="s">
        <v>803</v>
      </c>
    </row>
    <row r="246" spans="1:35" hidden="1">
      <c r="A246" s="7">
        <v>245</v>
      </c>
      <c r="B246" t="s">
        <v>243</v>
      </c>
      <c r="C246" t="s">
        <v>244</v>
      </c>
      <c r="D246" s="7">
        <v>7134</v>
      </c>
      <c r="E246" t="s">
        <v>245</v>
      </c>
      <c r="F246" t="s">
        <v>246</v>
      </c>
      <c r="G246" t="s">
        <v>819</v>
      </c>
      <c r="H246" t="s">
        <v>363</v>
      </c>
      <c r="I246" s="7">
        <v>1165</v>
      </c>
      <c r="J246" s="7">
        <v>60000</v>
      </c>
      <c r="K246" s="7">
        <v>6</v>
      </c>
      <c r="L246" t="s">
        <v>247</v>
      </c>
      <c r="M246" t="s">
        <v>361</v>
      </c>
      <c r="N246" s="7">
        <v>3152</v>
      </c>
      <c r="O246" t="s">
        <v>821</v>
      </c>
      <c r="P246" t="s">
        <v>822</v>
      </c>
      <c r="S246" t="s">
        <v>1225</v>
      </c>
      <c r="T246" t="s">
        <v>278</v>
      </c>
      <c r="U246" t="s">
        <v>633</v>
      </c>
      <c r="V246" s="8">
        <v>0</v>
      </c>
      <c r="W246" s="7">
        <v>587839</v>
      </c>
      <c r="X246" t="s">
        <v>762</v>
      </c>
      <c r="Y246" s="8">
        <v>0</v>
      </c>
      <c r="Z246" s="8">
        <v>0</v>
      </c>
      <c r="AA246" s="8">
        <v>0</v>
      </c>
      <c r="AB246" s="7">
        <v>111306</v>
      </c>
      <c r="AC246" t="s">
        <v>762</v>
      </c>
      <c r="AD246" s="8">
        <v>0</v>
      </c>
      <c r="AG246" t="s">
        <v>823</v>
      </c>
      <c r="AH246" t="s">
        <v>802</v>
      </c>
      <c r="AI246" t="s">
        <v>803</v>
      </c>
    </row>
    <row r="247" spans="1:35" hidden="1">
      <c r="A247" s="7">
        <v>246</v>
      </c>
      <c r="B247" t="s">
        <v>243</v>
      </c>
      <c r="C247" t="s">
        <v>244</v>
      </c>
      <c r="D247" s="7">
        <v>7134</v>
      </c>
      <c r="E247" t="s">
        <v>245</v>
      </c>
      <c r="F247" t="s">
        <v>246</v>
      </c>
      <c r="G247" t="s">
        <v>1580</v>
      </c>
      <c r="H247" t="s">
        <v>328</v>
      </c>
      <c r="I247" s="7">
        <v>1165</v>
      </c>
      <c r="J247" s="7">
        <v>70000</v>
      </c>
      <c r="K247" s="7">
        <v>7</v>
      </c>
      <c r="L247" t="s">
        <v>247</v>
      </c>
      <c r="M247" t="s">
        <v>361</v>
      </c>
      <c r="N247" s="7">
        <v>3489</v>
      </c>
      <c r="O247" t="s">
        <v>1581</v>
      </c>
      <c r="P247" t="s">
        <v>1582</v>
      </c>
      <c r="S247" t="s">
        <v>1225</v>
      </c>
      <c r="T247" t="s">
        <v>278</v>
      </c>
      <c r="U247" t="s">
        <v>633</v>
      </c>
      <c r="V247" s="8">
        <v>1650</v>
      </c>
      <c r="W247" s="7">
        <v>587839</v>
      </c>
      <c r="X247" t="s">
        <v>762</v>
      </c>
      <c r="Y247" s="8">
        <v>1650</v>
      </c>
      <c r="Z247" s="8">
        <v>1947</v>
      </c>
      <c r="AA247" s="8">
        <v>297</v>
      </c>
      <c r="AB247" s="7">
        <v>111306</v>
      </c>
      <c r="AC247" t="s">
        <v>762</v>
      </c>
      <c r="AD247" s="8">
        <v>0</v>
      </c>
      <c r="AG247" t="s">
        <v>823</v>
      </c>
      <c r="AH247" t="s">
        <v>802</v>
      </c>
      <c r="AI247" t="s">
        <v>818</v>
      </c>
    </row>
    <row r="248" spans="1:35" hidden="1">
      <c r="A248" s="7">
        <v>247</v>
      </c>
      <c r="B248" t="s">
        <v>243</v>
      </c>
      <c r="C248" t="s">
        <v>244</v>
      </c>
      <c r="D248" s="7">
        <v>7134</v>
      </c>
      <c r="E248" t="s">
        <v>245</v>
      </c>
      <c r="F248" t="s">
        <v>246</v>
      </c>
      <c r="G248" t="s">
        <v>1586</v>
      </c>
      <c r="H248" t="s">
        <v>1274</v>
      </c>
      <c r="I248" s="7">
        <v>1165</v>
      </c>
      <c r="J248" s="7">
        <v>7520</v>
      </c>
      <c r="K248" s="7">
        <v>2</v>
      </c>
      <c r="L248" t="s">
        <v>247</v>
      </c>
      <c r="M248" t="s">
        <v>252</v>
      </c>
      <c r="N248" s="7">
        <v>322814</v>
      </c>
      <c r="O248" t="s">
        <v>1587</v>
      </c>
      <c r="P248" t="s">
        <v>1588</v>
      </c>
      <c r="S248" t="s">
        <v>1225</v>
      </c>
      <c r="T248" t="s">
        <v>278</v>
      </c>
      <c r="U248" t="s">
        <v>633</v>
      </c>
      <c r="V248" s="8">
        <v>0</v>
      </c>
      <c r="W248" s="7">
        <v>587839</v>
      </c>
      <c r="X248" t="s">
        <v>762</v>
      </c>
      <c r="Y248" s="8">
        <v>0</v>
      </c>
      <c r="Z248" s="8">
        <v>0</v>
      </c>
      <c r="AA248" s="8">
        <v>0</v>
      </c>
      <c r="AB248" s="7">
        <v>111306</v>
      </c>
      <c r="AC248" t="s">
        <v>762</v>
      </c>
      <c r="AD248" s="8">
        <v>0</v>
      </c>
      <c r="AG248" t="s">
        <v>937</v>
      </c>
      <c r="AH248" t="s">
        <v>802</v>
      </c>
      <c r="AI248" t="s">
        <v>803</v>
      </c>
    </row>
    <row r="249" spans="1:35" hidden="1">
      <c r="A249" s="7">
        <v>248</v>
      </c>
      <c r="B249" t="s">
        <v>243</v>
      </c>
      <c r="C249" t="s">
        <v>244</v>
      </c>
      <c r="D249" s="7">
        <v>7134</v>
      </c>
      <c r="E249" t="s">
        <v>245</v>
      </c>
      <c r="F249" t="s">
        <v>246</v>
      </c>
      <c r="G249" t="s">
        <v>1180</v>
      </c>
      <c r="H249" t="s">
        <v>363</v>
      </c>
      <c r="I249" s="7">
        <v>1165</v>
      </c>
      <c r="J249" s="7">
        <v>50000</v>
      </c>
      <c r="K249" s="7">
        <v>5</v>
      </c>
      <c r="L249" t="s">
        <v>247</v>
      </c>
      <c r="M249" t="s">
        <v>261</v>
      </c>
      <c r="N249" s="7">
        <v>774600</v>
      </c>
      <c r="O249" t="s">
        <v>1181</v>
      </c>
      <c r="P249" t="s">
        <v>1182</v>
      </c>
      <c r="S249" t="s">
        <v>1225</v>
      </c>
      <c r="T249" t="s">
        <v>278</v>
      </c>
      <c r="U249" t="s">
        <v>633</v>
      </c>
      <c r="V249" s="8">
        <v>1250</v>
      </c>
      <c r="W249" s="7">
        <v>587839</v>
      </c>
      <c r="X249" t="s">
        <v>762</v>
      </c>
      <c r="Y249" s="8">
        <v>1250</v>
      </c>
      <c r="Z249" s="8">
        <v>1475</v>
      </c>
      <c r="AA249" s="8">
        <v>225</v>
      </c>
      <c r="AB249" s="7">
        <v>111306</v>
      </c>
      <c r="AC249" t="s">
        <v>762</v>
      </c>
      <c r="AD249" s="8">
        <v>0</v>
      </c>
      <c r="AG249" t="s">
        <v>801</v>
      </c>
      <c r="AH249" t="s">
        <v>802</v>
      </c>
      <c r="AI249" t="s">
        <v>818</v>
      </c>
    </row>
    <row r="250" spans="1:35" hidden="1">
      <c r="A250" s="7">
        <v>249</v>
      </c>
      <c r="B250" t="s">
        <v>243</v>
      </c>
      <c r="C250" t="s">
        <v>244</v>
      </c>
      <c r="D250" s="7">
        <v>7134</v>
      </c>
      <c r="E250" t="s">
        <v>245</v>
      </c>
      <c r="F250" t="s">
        <v>246</v>
      </c>
      <c r="G250" t="s">
        <v>1305</v>
      </c>
      <c r="H250" t="s">
        <v>1306</v>
      </c>
      <c r="I250" s="7">
        <v>1160</v>
      </c>
      <c r="J250" s="7">
        <v>30737</v>
      </c>
      <c r="K250" s="7">
        <v>4</v>
      </c>
      <c r="L250" t="s">
        <v>247</v>
      </c>
      <c r="M250" t="s">
        <v>261</v>
      </c>
      <c r="N250" s="7">
        <v>775577</v>
      </c>
      <c r="O250" t="s">
        <v>1307</v>
      </c>
      <c r="P250" t="s">
        <v>1308</v>
      </c>
      <c r="S250" t="s">
        <v>1225</v>
      </c>
      <c r="T250" t="s">
        <v>278</v>
      </c>
      <c r="U250" t="s">
        <v>633</v>
      </c>
      <c r="V250" s="8">
        <v>0</v>
      </c>
      <c r="W250" s="7">
        <v>587839</v>
      </c>
      <c r="X250" t="s">
        <v>762</v>
      </c>
      <c r="Y250" s="8">
        <v>0</v>
      </c>
      <c r="Z250" s="8">
        <v>0</v>
      </c>
      <c r="AA250" s="8">
        <v>0</v>
      </c>
      <c r="AB250" s="7">
        <v>111306</v>
      </c>
      <c r="AC250" t="s">
        <v>762</v>
      </c>
      <c r="AD250" s="8">
        <v>0</v>
      </c>
      <c r="AG250" t="s">
        <v>801</v>
      </c>
      <c r="AH250" t="s">
        <v>802</v>
      </c>
      <c r="AI250" t="s">
        <v>803</v>
      </c>
    </row>
    <row r="251" spans="1:35" hidden="1">
      <c r="A251" s="7">
        <v>250</v>
      </c>
      <c r="B251" t="s">
        <v>243</v>
      </c>
      <c r="C251" t="s">
        <v>244</v>
      </c>
      <c r="D251" s="7">
        <v>7134</v>
      </c>
      <c r="E251" t="s">
        <v>245</v>
      </c>
      <c r="F251" t="s">
        <v>246</v>
      </c>
      <c r="G251" t="s">
        <v>1509</v>
      </c>
      <c r="H251" t="s">
        <v>248</v>
      </c>
      <c r="I251" s="7">
        <v>890</v>
      </c>
      <c r="J251" s="7">
        <v>109099</v>
      </c>
      <c r="K251" s="7">
        <v>13</v>
      </c>
      <c r="L251" t="s">
        <v>247</v>
      </c>
      <c r="M251" t="s">
        <v>261</v>
      </c>
      <c r="N251" s="7">
        <v>739935</v>
      </c>
      <c r="O251" t="s">
        <v>1510</v>
      </c>
      <c r="P251" t="s">
        <v>1511</v>
      </c>
      <c r="S251" t="s">
        <v>1225</v>
      </c>
      <c r="T251" t="s">
        <v>278</v>
      </c>
      <c r="U251" t="s">
        <v>633</v>
      </c>
      <c r="V251" s="8">
        <v>0</v>
      </c>
      <c r="W251" s="7">
        <v>587839</v>
      </c>
      <c r="X251" t="s">
        <v>762</v>
      </c>
      <c r="Y251" s="8">
        <v>0</v>
      </c>
      <c r="Z251" s="8">
        <v>0</v>
      </c>
      <c r="AA251" s="8">
        <v>0</v>
      </c>
      <c r="AB251" s="7">
        <v>111306</v>
      </c>
      <c r="AC251" t="s">
        <v>762</v>
      </c>
      <c r="AD251" s="8">
        <v>0</v>
      </c>
      <c r="AG251" t="s">
        <v>801</v>
      </c>
      <c r="AH251" t="s">
        <v>802</v>
      </c>
      <c r="AI251" t="s">
        <v>803</v>
      </c>
    </row>
    <row r="252" spans="1:35" hidden="1">
      <c r="A252" s="7">
        <v>251</v>
      </c>
      <c r="B252" t="s">
        <v>243</v>
      </c>
      <c r="C252" t="s">
        <v>244</v>
      </c>
      <c r="D252" s="7">
        <v>7134</v>
      </c>
      <c r="E252" t="s">
        <v>245</v>
      </c>
      <c r="F252" t="s">
        <v>246</v>
      </c>
      <c r="G252" t="s">
        <v>1450</v>
      </c>
      <c r="H252" t="s">
        <v>1274</v>
      </c>
      <c r="I252" s="7">
        <v>2500</v>
      </c>
      <c r="J252" s="7">
        <v>10000</v>
      </c>
      <c r="K252" s="7">
        <v>1</v>
      </c>
      <c r="L252" t="s">
        <v>247</v>
      </c>
      <c r="M252" t="s">
        <v>261</v>
      </c>
      <c r="N252" s="7">
        <v>792320</v>
      </c>
      <c r="O252" t="s">
        <v>1460</v>
      </c>
      <c r="P252" t="s">
        <v>1461</v>
      </c>
      <c r="S252" t="s">
        <v>1225</v>
      </c>
      <c r="T252" t="s">
        <v>278</v>
      </c>
      <c r="U252" t="s">
        <v>633</v>
      </c>
      <c r="V252" s="8">
        <v>1250</v>
      </c>
      <c r="W252" s="7">
        <v>587839</v>
      </c>
      <c r="X252" t="s">
        <v>762</v>
      </c>
      <c r="Y252" s="8">
        <v>1250</v>
      </c>
      <c r="Z252" s="8">
        <v>1475</v>
      </c>
      <c r="AA252" s="8">
        <v>225</v>
      </c>
      <c r="AB252" s="7">
        <v>111306</v>
      </c>
      <c r="AC252" t="s">
        <v>762</v>
      </c>
      <c r="AD252" s="8">
        <v>0</v>
      </c>
      <c r="AG252" t="s">
        <v>801</v>
      </c>
      <c r="AH252" t="s">
        <v>802</v>
      </c>
      <c r="AI252" t="s">
        <v>818</v>
      </c>
    </row>
    <row r="253" spans="1:35" hidden="1">
      <c r="A253" s="7">
        <v>252</v>
      </c>
      <c r="B253" t="s">
        <v>243</v>
      </c>
      <c r="C253" t="s">
        <v>244</v>
      </c>
      <c r="D253" s="7">
        <v>7134</v>
      </c>
      <c r="E253" t="s">
        <v>245</v>
      </c>
      <c r="F253" t="s">
        <v>246</v>
      </c>
      <c r="G253" t="s">
        <v>1188</v>
      </c>
      <c r="H253" t="s">
        <v>257</v>
      </c>
      <c r="I253" s="7">
        <v>1165</v>
      </c>
      <c r="J253" s="7">
        <v>70000</v>
      </c>
      <c r="K253" s="7">
        <v>7</v>
      </c>
      <c r="L253" t="s">
        <v>247</v>
      </c>
      <c r="M253" t="s">
        <v>261</v>
      </c>
      <c r="N253" s="7">
        <v>775456</v>
      </c>
      <c r="O253" t="s">
        <v>1189</v>
      </c>
      <c r="P253" t="s">
        <v>1190</v>
      </c>
      <c r="S253" t="s">
        <v>1225</v>
      </c>
      <c r="T253" t="s">
        <v>278</v>
      </c>
      <c r="U253" t="s">
        <v>633</v>
      </c>
      <c r="V253" s="8">
        <v>0</v>
      </c>
      <c r="W253" s="7">
        <v>587839</v>
      </c>
      <c r="X253" t="s">
        <v>762</v>
      </c>
      <c r="Y253" s="8">
        <v>0</v>
      </c>
      <c r="Z253" s="8">
        <v>0</v>
      </c>
      <c r="AA253" s="8">
        <v>0</v>
      </c>
      <c r="AB253" s="7">
        <v>111306</v>
      </c>
      <c r="AC253" t="s">
        <v>762</v>
      </c>
      <c r="AD253" s="8">
        <v>0</v>
      </c>
      <c r="AG253" t="s">
        <v>801</v>
      </c>
      <c r="AH253" t="s">
        <v>802</v>
      </c>
      <c r="AI253" t="s">
        <v>803</v>
      </c>
    </row>
    <row r="254" spans="1:35" hidden="1">
      <c r="A254" s="7">
        <v>253</v>
      </c>
      <c r="B254" t="s">
        <v>243</v>
      </c>
      <c r="C254" t="s">
        <v>244</v>
      </c>
      <c r="D254" s="7">
        <v>7134</v>
      </c>
      <c r="E254" t="s">
        <v>245</v>
      </c>
      <c r="F254" t="s">
        <v>246</v>
      </c>
      <c r="G254" t="s">
        <v>921</v>
      </c>
      <c r="H254" t="s">
        <v>1306</v>
      </c>
      <c r="I254" s="7">
        <v>1165</v>
      </c>
      <c r="J254" s="7">
        <v>4500</v>
      </c>
      <c r="K254" s="7">
        <v>1</v>
      </c>
      <c r="L254" t="s">
        <v>247</v>
      </c>
      <c r="M254" t="s">
        <v>261</v>
      </c>
      <c r="N254" s="7">
        <v>781380</v>
      </c>
      <c r="O254" t="s">
        <v>1414</v>
      </c>
      <c r="P254" t="s">
        <v>1415</v>
      </c>
      <c r="S254" t="s">
        <v>1225</v>
      </c>
      <c r="T254" t="s">
        <v>278</v>
      </c>
      <c r="U254" t="s">
        <v>633</v>
      </c>
      <c r="V254" s="8">
        <v>1250</v>
      </c>
      <c r="W254" s="7">
        <v>587839</v>
      </c>
      <c r="X254" t="s">
        <v>762</v>
      </c>
      <c r="Y254" s="8">
        <v>1250</v>
      </c>
      <c r="Z254" s="8">
        <v>1475</v>
      </c>
      <c r="AA254" s="8">
        <v>225</v>
      </c>
      <c r="AB254" s="7">
        <v>111306</v>
      </c>
      <c r="AC254" t="s">
        <v>762</v>
      </c>
      <c r="AD254" s="8">
        <v>0</v>
      </c>
      <c r="AG254" t="s">
        <v>808</v>
      </c>
      <c r="AH254" t="s">
        <v>802</v>
      </c>
      <c r="AI254" t="s">
        <v>818</v>
      </c>
    </row>
    <row r="255" spans="1:35" hidden="1">
      <c r="A255" s="7">
        <v>254</v>
      </c>
      <c r="B255" t="s">
        <v>243</v>
      </c>
      <c r="C255" t="s">
        <v>244</v>
      </c>
      <c r="D255" s="7">
        <v>7134</v>
      </c>
      <c r="E255" t="s">
        <v>245</v>
      </c>
      <c r="F255" t="s">
        <v>246</v>
      </c>
      <c r="G255" t="s">
        <v>1197</v>
      </c>
      <c r="H255" t="s">
        <v>363</v>
      </c>
      <c r="I255" s="7">
        <v>1165</v>
      </c>
      <c r="J255" s="7">
        <v>8850</v>
      </c>
      <c r="K255" s="7">
        <v>1</v>
      </c>
      <c r="L255" t="s">
        <v>247</v>
      </c>
      <c r="M255" t="s">
        <v>267</v>
      </c>
      <c r="N255" s="7">
        <v>789052</v>
      </c>
      <c r="O255" t="s">
        <v>1528</v>
      </c>
      <c r="P255" t="s">
        <v>1529</v>
      </c>
      <c r="S255" t="s">
        <v>1225</v>
      </c>
      <c r="T255" t="s">
        <v>278</v>
      </c>
      <c r="U255" t="s">
        <v>633</v>
      </c>
      <c r="V255" s="8">
        <v>1250</v>
      </c>
      <c r="W255" s="7">
        <v>587839</v>
      </c>
      <c r="X255" t="s">
        <v>762</v>
      </c>
      <c r="Y255" s="8">
        <v>1250</v>
      </c>
      <c r="Z255" s="8">
        <v>1475</v>
      </c>
      <c r="AA255" s="8">
        <v>225</v>
      </c>
      <c r="AB255" s="7">
        <v>111306</v>
      </c>
      <c r="AC255" t="s">
        <v>762</v>
      </c>
      <c r="AD255" s="8">
        <v>0</v>
      </c>
      <c r="AG255" t="s">
        <v>828</v>
      </c>
      <c r="AH255" t="s">
        <v>802</v>
      </c>
      <c r="AI255" t="s">
        <v>818</v>
      </c>
    </row>
    <row r="256" spans="1:35" hidden="1">
      <c r="A256" s="7">
        <v>255</v>
      </c>
      <c r="B256" t="s">
        <v>243</v>
      </c>
      <c r="C256" t="s">
        <v>244</v>
      </c>
      <c r="D256" s="7">
        <v>7134</v>
      </c>
      <c r="E256" t="s">
        <v>245</v>
      </c>
      <c r="F256" t="s">
        <v>246</v>
      </c>
      <c r="G256" t="s">
        <v>1479</v>
      </c>
      <c r="H256" t="s">
        <v>1325</v>
      </c>
      <c r="I256" s="7">
        <v>1165</v>
      </c>
      <c r="J256" s="7">
        <v>8000</v>
      </c>
      <c r="K256" s="7">
        <v>1</v>
      </c>
      <c r="L256" t="s">
        <v>247</v>
      </c>
      <c r="M256" t="s">
        <v>261</v>
      </c>
      <c r="N256" s="7">
        <v>792099</v>
      </c>
      <c r="O256" t="s">
        <v>1480</v>
      </c>
      <c r="P256" t="s">
        <v>1481</v>
      </c>
      <c r="S256" t="s">
        <v>1225</v>
      </c>
      <c r="T256" t="s">
        <v>278</v>
      </c>
      <c r="U256" t="s">
        <v>633</v>
      </c>
      <c r="V256" s="8">
        <v>1250</v>
      </c>
      <c r="W256" s="7">
        <v>587839</v>
      </c>
      <c r="X256" t="s">
        <v>762</v>
      </c>
      <c r="Y256" s="8">
        <v>1250</v>
      </c>
      <c r="Z256" s="8">
        <v>1475</v>
      </c>
      <c r="AA256" s="8">
        <v>225</v>
      </c>
      <c r="AB256" s="7">
        <v>111306</v>
      </c>
      <c r="AC256" t="s">
        <v>762</v>
      </c>
      <c r="AD256" s="8">
        <v>0</v>
      </c>
      <c r="AG256" t="s">
        <v>801</v>
      </c>
      <c r="AH256" t="s">
        <v>802</v>
      </c>
      <c r="AI256" t="s">
        <v>818</v>
      </c>
    </row>
    <row r="257" spans="1:35" hidden="1">
      <c r="A257" s="7">
        <v>256</v>
      </c>
      <c r="B257" t="s">
        <v>243</v>
      </c>
      <c r="C257" t="s">
        <v>244</v>
      </c>
      <c r="D257" s="7">
        <v>7134</v>
      </c>
      <c r="E257" t="s">
        <v>245</v>
      </c>
      <c r="F257" t="s">
        <v>246</v>
      </c>
      <c r="G257" t="s">
        <v>1382</v>
      </c>
      <c r="H257" t="s">
        <v>1231</v>
      </c>
      <c r="I257" s="7">
        <v>1165</v>
      </c>
      <c r="J257" s="7">
        <v>19399</v>
      </c>
      <c r="K257" s="7">
        <v>2</v>
      </c>
      <c r="L257" t="s">
        <v>247</v>
      </c>
      <c r="M257" t="s">
        <v>361</v>
      </c>
      <c r="N257" s="7">
        <v>4952</v>
      </c>
      <c r="O257" t="s">
        <v>1383</v>
      </c>
      <c r="P257" t="s">
        <v>1384</v>
      </c>
      <c r="S257" t="s">
        <v>1225</v>
      </c>
      <c r="T257" t="s">
        <v>278</v>
      </c>
      <c r="U257" t="s">
        <v>633</v>
      </c>
      <c r="V257" s="8">
        <v>0</v>
      </c>
      <c r="W257" s="7">
        <v>587839</v>
      </c>
      <c r="X257" t="s">
        <v>762</v>
      </c>
      <c r="Y257" s="8">
        <v>0</v>
      </c>
      <c r="Z257" s="8">
        <v>0</v>
      </c>
      <c r="AA257" s="8">
        <v>0</v>
      </c>
      <c r="AB257" s="7">
        <v>111306</v>
      </c>
      <c r="AC257" t="s">
        <v>762</v>
      </c>
      <c r="AD257" s="8">
        <v>0</v>
      </c>
      <c r="AG257" t="s">
        <v>823</v>
      </c>
      <c r="AH257" t="s">
        <v>802</v>
      </c>
      <c r="AI257" t="s">
        <v>803</v>
      </c>
    </row>
    <row r="258" spans="1:35" hidden="1">
      <c r="A258" s="7">
        <v>257</v>
      </c>
      <c r="B258" t="s">
        <v>243</v>
      </c>
      <c r="C258" t="s">
        <v>244</v>
      </c>
      <c r="D258" s="7">
        <v>7134</v>
      </c>
      <c r="E258" t="s">
        <v>245</v>
      </c>
      <c r="F258" t="s">
        <v>246</v>
      </c>
      <c r="G258" t="s">
        <v>1011</v>
      </c>
      <c r="H258" t="s">
        <v>400</v>
      </c>
      <c r="I258" s="7">
        <v>1165</v>
      </c>
      <c r="J258" s="7">
        <v>10000</v>
      </c>
      <c r="K258" s="7">
        <v>1</v>
      </c>
      <c r="L258" t="s">
        <v>247</v>
      </c>
      <c r="M258" t="s">
        <v>261</v>
      </c>
      <c r="N258" s="7">
        <v>780783</v>
      </c>
      <c r="O258" t="s">
        <v>1234</v>
      </c>
      <c r="P258" t="s">
        <v>1235</v>
      </c>
      <c r="Q258" t="s">
        <v>870</v>
      </c>
      <c r="R258" t="s">
        <v>871</v>
      </c>
      <c r="S258" t="s">
        <v>1225</v>
      </c>
      <c r="T258" t="s">
        <v>278</v>
      </c>
      <c r="U258" t="s">
        <v>633</v>
      </c>
      <c r="V258" s="8">
        <v>1250</v>
      </c>
      <c r="W258" s="7">
        <v>587839</v>
      </c>
      <c r="X258" t="s">
        <v>762</v>
      </c>
      <c r="Y258" s="8">
        <v>1000</v>
      </c>
      <c r="Z258" s="8">
        <v>1475</v>
      </c>
      <c r="AA258" s="8">
        <v>225</v>
      </c>
      <c r="AB258" s="7">
        <v>111306</v>
      </c>
      <c r="AC258" t="s">
        <v>762</v>
      </c>
      <c r="AD258" s="8">
        <v>250</v>
      </c>
      <c r="AG258" t="s">
        <v>817</v>
      </c>
      <c r="AH258" t="s">
        <v>802</v>
      </c>
      <c r="AI258" t="s">
        <v>818</v>
      </c>
    </row>
    <row r="259" spans="1:35" hidden="1">
      <c r="A259" s="7">
        <v>258</v>
      </c>
      <c r="B259" t="s">
        <v>243</v>
      </c>
      <c r="C259" t="s">
        <v>244</v>
      </c>
      <c r="D259" s="7">
        <v>7134</v>
      </c>
      <c r="E259" t="s">
        <v>245</v>
      </c>
      <c r="F259" t="s">
        <v>246</v>
      </c>
      <c r="G259" t="s">
        <v>1468</v>
      </c>
      <c r="H259" t="s">
        <v>1290</v>
      </c>
      <c r="I259" s="7">
        <v>1165</v>
      </c>
      <c r="J259" s="7">
        <v>23652</v>
      </c>
      <c r="K259" s="7">
        <v>7</v>
      </c>
      <c r="L259" t="s">
        <v>247</v>
      </c>
      <c r="M259" t="s">
        <v>267</v>
      </c>
      <c r="N259" s="7">
        <v>758558</v>
      </c>
      <c r="O259" t="s">
        <v>1469</v>
      </c>
      <c r="P259" t="s">
        <v>1470</v>
      </c>
      <c r="S259" t="s">
        <v>1225</v>
      </c>
      <c r="T259" t="s">
        <v>278</v>
      </c>
      <c r="U259" t="s">
        <v>633</v>
      </c>
      <c r="V259" s="8">
        <v>0</v>
      </c>
      <c r="W259" s="7">
        <v>587839</v>
      </c>
      <c r="X259" t="s">
        <v>762</v>
      </c>
      <c r="Y259" s="8">
        <v>0</v>
      </c>
      <c r="Z259" s="8">
        <v>0</v>
      </c>
      <c r="AA259" s="8">
        <v>0</v>
      </c>
      <c r="AB259" s="7">
        <v>111306</v>
      </c>
      <c r="AC259" t="s">
        <v>762</v>
      </c>
      <c r="AD259" s="8">
        <v>0</v>
      </c>
      <c r="AG259" t="s">
        <v>828</v>
      </c>
      <c r="AH259" t="s">
        <v>802</v>
      </c>
      <c r="AI259" t="s">
        <v>803</v>
      </c>
    </row>
    <row r="260" spans="1:35" hidden="1">
      <c r="A260" s="7">
        <v>259</v>
      </c>
      <c r="B260" t="s">
        <v>243</v>
      </c>
      <c r="C260" t="s">
        <v>244</v>
      </c>
      <c r="D260" s="7">
        <v>7134</v>
      </c>
      <c r="E260" t="s">
        <v>245</v>
      </c>
      <c r="F260" t="s">
        <v>246</v>
      </c>
      <c r="G260" t="s">
        <v>1256</v>
      </c>
      <c r="H260" t="s">
        <v>1316</v>
      </c>
      <c r="I260" s="7">
        <v>978</v>
      </c>
      <c r="J260" s="7">
        <v>109996</v>
      </c>
      <c r="K260" s="7">
        <v>11</v>
      </c>
      <c r="L260" t="s">
        <v>247</v>
      </c>
      <c r="M260" t="s">
        <v>261</v>
      </c>
      <c r="N260" s="7">
        <v>764553</v>
      </c>
      <c r="O260" t="s">
        <v>1442</v>
      </c>
      <c r="P260" t="s">
        <v>1443</v>
      </c>
      <c r="S260" t="s">
        <v>1225</v>
      </c>
      <c r="T260" t="s">
        <v>278</v>
      </c>
      <c r="U260" t="s">
        <v>633</v>
      </c>
      <c r="V260" s="8">
        <v>1250</v>
      </c>
      <c r="W260" s="7">
        <v>587839</v>
      </c>
      <c r="X260" t="s">
        <v>762</v>
      </c>
      <c r="Y260" s="8">
        <v>1250</v>
      </c>
      <c r="Z260" s="8">
        <v>1475</v>
      </c>
      <c r="AA260" s="8">
        <v>225</v>
      </c>
      <c r="AB260" s="7">
        <v>111306</v>
      </c>
      <c r="AC260" t="s">
        <v>762</v>
      </c>
      <c r="AD260" s="8">
        <v>0</v>
      </c>
      <c r="AG260" t="s">
        <v>801</v>
      </c>
      <c r="AH260" t="s">
        <v>802</v>
      </c>
      <c r="AI260" t="s">
        <v>818</v>
      </c>
    </row>
    <row r="261" spans="1:35" hidden="1">
      <c r="A261" s="7">
        <v>260</v>
      </c>
      <c r="B261" t="s">
        <v>243</v>
      </c>
      <c r="C261" t="s">
        <v>244</v>
      </c>
      <c r="D261" s="7">
        <v>7134</v>
      </c>
      <c r="E261" t="s">
        <v>245</v>
      </c>
      <c r="F261" t="s">
        <v>246</v>
      </c>
      <c r="G261" t="s">
        <v>1156</v>
      </c>
      <c r="H261" t="s">
        <v>1274</v>
      </c>
      <c r="I261" s="7">
        <v>1165</v>
      </c>
      <c r="J261" s="7">
        <v>5423</v>
      </c>
      <c r="K261" s="7">
        <v>3</v>
      </c>
      <c r="L261" t="s">
        <v>247</v>
      </c>
      <c r="M261" t="s">
        <v>252</v>
      </c>
      <c r="N261" s="7">
        <v>324754</v>
      </c>
      <c r="O261" t="s">
        <v>1477</v>
      </c>
      <c r="P261" t="s">
        <v>1478</v>
      </c>
      <c r="S261" t="s">
        <v>1225</v>
      </c>
      <c r="T261" t="s">
        <v>278</v>
      </c>
      <c r="U261" t="s">
        <v>633</v>
      </c>
      <c r="V261" s="8">
        <v>1250</v>
      </c>
      <c r="W261" s="7">
        <v>587839</v>
      </c>
      <c r="X261" t="s">
        <v>762</v>
      </c>
      <c r="Y261" s="8">
        <v>1250</v>
      </c>
      <c r="Z261" s="8">
        <v>1475</v>
      </c>
      <c r="AA261" s="8">
        <v>225</v>
      </c>
      <c r="AB261" s="7">
        <v>111306</v>
      </c>
      <c r="AC261" t="s">
        <v>762</v>
      </c>
      <c r="AD261" s="8">
        <v>0</v>
      </c>
      <c r="AG261" t="s">
        <v>937</v>
      </c>
      <c r="AH261" t="s">
        <v>802</v>
      </c>
      <c r="AI261" t="s">
        <v>818</v>
      </c>
    </row>
    <row r="262" spans="1:35" hidden="1">
      <c r="A262" s="7">
        <v>261</v>
      </c>
      <c r="B262" t="s">
        <v>243</v>
      </c>
      <c r="C262" t="s">
        <v>244</v>
      </c>
      <c r="D262" s="7">
        <v>7134</v>
      </c>
      <c r="E262" t="s">
        <v>245</v>
      </c>
      <c r="F262" t="s">
        <v>246</v>
      </c>
      <c r="G262" t="s">
        <v>1101</v>
      </c>
      <c r="H262" t="s">
        <v>491</v>
      </c>
      <c r="I262" s="7">
        <v>1165</v>
      </c>
      <c r="J262" s="7">
        <v>20000</v>
      </c>
      <c r="K262" s="7">
        <v>2</v>
      </c>
      <c r="L262" t="s">
        <v>247</v>
      </c>
      <c r="M262" t="s">
        <v>361</v>
      </c>
      <c r="N262" s="7">
        <v>5597</v>
      </c>
      <c r="O262" t="s">
        <v>1419</v>
      </c>
      <c r="P262" t="s">
        <v>1420</v>
      </c>
      <c r="S262" t="s">
        <v>1225</v>
      </c>
      <c r="T262" t="s">
        <v>278</v>
      </c>
      <c r="U262" t="s">
        <v>633</v>
      </c>
      <c r="V262" s="8">
        <v>0</v>
      </c>
      <c r="W262" s="7">
        <v>587839</v>
      </c>
      <c r="X262" t="s">
        <v>762</v>
      </c>
      <c r="Y262" s="8">
        <v>0</v>
      </c>
      <c r="Z262" s="8">
        <v>0</v>
      </c>
      <c r="AA262" s="8">
        <v>0</v>
      </c>
      <c r="AB262" s="7">
        <v>111306</v>
      </c>
      <c r="AC262" t="s">
        <v>762</v>
      </c>
      <c r="AD262" s="8">
        <v>0</v>
      </c>
      <c r="AG262" t="s">
        <v>823</v>
      </c>
      <c r="AH262" t="s">
        <v>802</v>
      </c>
      <c r="AI262" t="s">
        <v>803</v>
      </c>
    </row>
    <row r="263" spans="1:35" hidden="1">
      <c r="A263" s="7">
        <v>262</v>
      </c>
      <c r="B263" t="s">
        <v>243</v>
      </c>
      <c r="C263" t="s">
        <v>244</v>
      </c>
      <c r="D263" s="7">
        <v>7134</v>
      </c>
      <c r="E263" t="s">
        <v>245</v>
      </c>
      <c r="F263" t="s">
        <v>246</v>
      </c>
      <c r="G263" t="s">
        <v>1328</v>
      </c>
      <c r="H263" t="s">
        <v>273</v>
      </c>
      <c r="I263" s="7">
        <v>1165</v>
      </c>
      <c r="J263" s="7">
        <v>60000</v>
      </c>
      <c r="K263" s="7">
        <v>6</v>
      </c>
      <c r="L263" t="s">
        <v>247</v>
      </c>
      <c r="M263" t="s">
        <v>261</v>
      </c>
      <c r="N263" s="7">
        <v>773702</v>
      </c>
      <c r="O263" t="s">
        <v>1329</v>
      </c>
      <c r="P263" t="s">
        <v>1330</v>
      </c>
      <c r="S263" t="s">
        <v>1225</v>
      </c>
      <c r="T263" t="s">
        <v>278</v>
      </c>
      <c r="U263" t="s">
        <v>633</v>
      </c>
      <c r="V263" s="8">
        <v>0</v>
      </c>
      <c r="W263" s="7">
        <v>587839</v>
      </c>
      <c r="X263" t="s">
        <v>762</v>
      </c>
      <c r="Y263" s="8">
        <v>0</v>
      </c>
      <c r="Z263" s="8">
        <v>0</v>
      </c>
      <c r="AA263" s="8">
        <v>0</v>
      </c>
      <c r="AB263" s="7">
        <v>111306</v>
      </c>
      <c r="AC263" t="s">
        <v>762</v>
      </c>
      <c r="AD263" s="8">
        <v>0</v>
      </c>
      <c r="AG263" t="s">
        <v>801</v>
      </c>
      <c r="AH263" t="s">
        <v>802</v>
      </c>
      <c r="AI263" t="s">
        <v>803</v>
      </c>
    </row>
    <row r="264" spans="1:35" hidden="1">
      <c r="A264" s="7">
        <v>263</v>
      </c>
      <c r="B264" t="s">
        <v>243</v>
      </c>
      <c r="C264" t="s">
        <v>244</v>
      </c>
      <c r="D264" s="7">
        <v>7134</v>
      </c>
      <c r="E264" t="s">
        <v>245</v>
      </c>
      <c r="F264" t="s">
        <v>246</v>
      </c>
      <c r="G264" t="s">
        <v>1194</v>
      </c>
      <c r="H264" t="s">
        <v>1224</v>
      </c>
      <c r="I264" s="7">
        <v>1165</v>
      </c>
      <c r="J264" s="7">
        <v>60000</v>
      </c>
      <c r="K264" s="7">
        <v>6</v>
      </c>
      <c r="L264" t="s">
        <v>247</v>
      </c>
      <c r="M264" t="s">
        <v>267</v>
      </c>
      <c r="N264" s="7">
        <v>776069</v>
      </c>
      <c r="O264" t="s">
        <v>1493</v>
      </c>
      <c r="P264" t="s">
        <v>1494</v>
      </c>
      <c r="S264" t="s">
        <v>1225</v>
      </c>
      <c r="T264" t="s">
        <v>278</v>
      </c>
      <c r="U264" t="s">
        <v>633</v>
      </c>
      <c r="V264" s="8">
        <v>0</v>
      </c>
      <c r="W264" s="7">
        <v>587839</v>
      </c>
      <c r="X264" t="s">
        <v>762</v>
      </c>
      <c r="Y264" s="8">
        <v>0</v>
      </c>
      <c r="Z264" s="8">
        <v>0</v>
      </c>
      <c r="AA264" s="8">
        <v>0</v>
      </c>
      <c r="AB264" s="7">
        <v>111306</v>
      </c>
      <c r="AC264" t="s">
        <v>762</v>
      </c>
      <c r="AD264" s="8">
        <v>0</v>
      </c>
      <c r="AG264" t="s">
        <v>828</v>
      </c>
      <c r="AH264" t="s">
        <v>802</v>
      </c>
      <c r="AI264" t="s">
        <v>803</v>
      </c>
    </row>
    <row r="265" spans="1:35" hidden="1">
      <c r="A265" s="7">
        <v>264</v>
      </c>
      <c r="B265" t="s">
        <v>243</v>
      </c>
      <c r="C265" t="s">
        <v>244</v>
      </c>
      <c r="D265" s="7">
        <v>7134</v>
      </c>
      <c r="E265" t="s">
        <v>245</v>
      </c>
      <c r="F265" t="s">
        <v>246</v>
      </c>
      <c r="G265" t="s">
        <v>1050</v>
      </c>
      <c r="H265" t="s">
        <v>363</v>
      </c>
      <c r="I265" s="7">
        <v>1165</v>
      </c>
      <c r="J265" s="7">
        <v>9912</v>
      </c>
      <c r="K265" s="7">
        <v>3</v>
      </c>
      <c r="L265" t="s">
        <v>247</v>
      </c>
      <c r="M265" t="s">
        <v>252</v>
      </c>
      <c r="N265" s="7">
        <v>324803</v>
      </c>
      <c r="O265" t="s">
        <v>1498</v>
      </c>
      <c r="P265" t="s">
        <v>1499</v>
      </c>
      <c r="S265" t="s">
        <v>1225</v>
      </c>
      <c r="T265" t="s">
        <v>278</v>
      </c>
      <c r="U265" t="s">
        <v>633</v>
      </c>
      <c r="V265" s="8">
        <v>1250</v>
      </c>
      <c r="W265" s="7">
        <v>587839</v>
      </c>
      <c r="X265" t="s">
        <v>762</v>
      </c>
      <c r="Y265" s="8">
        <v>1250</v>
      </c>
      <c r="Z265" s="8">
        <v>1475</v>
      </c>
      <c r="AA265" s="8">
        <v>225</v>
      </c>
      <c r="AB265" s="7">
        <v>111306</v>
      </c>
      <c r="AC265" t="s">
        <v>762</v>
      </c>
      <c r="AD265" s="8">
        <v>0</v>
      </c>
      <c r="AG265" t="s">
        <v>937</v>
      </c>
      <c r="AH265" t="s">
        <v>802</v>
      </c>
      <c r="AI265" t="s">
        <v>818</v>
      </c>
    </row>
    <row r="266" spans="1:35" hidden="1">
      <c r="A266" s="7">
        <v>265</v>
      </c>
      <c r="B266" t="s">
        <v>243</v>
      </c>
      <c r="C266" t="s">
        <v>244</v>
      </c>
      <c r="D266" s="7">
        <v>7134</v>
      </c>
      <c r="E266" t="s">
        <v>245</v>
      </c>
      <c r="F266" t="s">
        <v>246</v>
      </c>
      <c r="G266" t="s">
        <v>1240</v>
      </c>
      <c r="H266" t="s">
        <v>1274</v>
      </c>
      <c r="I266" s="7">
        <v>1165</v>
      </c>
      <c r="J266" s="7">
        <v>60000</v>
      </c>
      <c r="K266" s="7">
        <v>6</v>
      </c>
      <c r="L266" t="s">
        <v>247</v>
      </c>
      <c r="M266" t="s">
        <v>252</v>
      </c>
      <c r="N266" s="7">
        <v>323096</v>
      </c>
      <c r="O266" t="s">
        <v>1296</v>
      </c>
      <c r="P266" t="s">
        <v>1297</v>
      </c>
      <c r="S266" t="s">
        <v>1225</v>
      </c>
      <c r="T266" t="s">
        <v>278</v>
      </c>
      <c r="U266" t="s">
        <v>633</v>
      </c>
      <c r="V266" s="8">
        <v>0</v>
      </c>
      <c r="W266" s="7">
        <v>587839</v>
      </c>
      <c r="X266" t="s">
        <v>762</v>
      </c>
      <c r="Y266" s="8">
        <v>0</v>
      </c>
      <c r="Z266" s="8">
        <v>0</v>
      </c>
      <c r="AA266" s="8">
        <v>0</v>
      </c>
      <c r="AB266" s="7">
        <v>111306</v>
      </c>
      <c r="AC266" t="s">
        <v>762</v>
      </c>
      <c r="AD266" s="8">
        <v>0</v>
      </c>
      <c r="AG266" t="s">
        <v>937</v>
      </c>
      <c r="AH266" t="s">
        <v>802</v>
      </c>
      <c r="AI266" t="s">
        <v>803</v>
      </c>
    </row>
    <row r="267" spans="1:35" hidden="1">
      <c r="A267" s="7">
        <v>266</v>
      </c>
      <c r="B267" t="s">
        <v>243</v>
      </c>
      <c r="C267" t="s">
        <v>244</v>
      </c>
      <c r="D267" s="7">
        <v>7134</v>
      </c>
      <c r="E267" t="s">
        <v>245</v>
      </c>
      <c r="F267" t="s">
        <v>246</v>
      </c>
      <c r="G267" t="s">
        <v>1085</v>
      </c>
      <c r="H267" t="s">
        <v>328</v>
      </c>
      <c r="I267" s="7">
        <v>1165</v>
      </c>
      <c r="J267" s="7">
        <v>25192</v>
      </c>
      <c r="K267" s="7">
        <v>3</v>
      </c>
      <c r="L267" t="s">
        <v>247</v>
      </c>
      <c r="M267" t="s">
        <v>261</v>
      </c>
      <c r="N267" s="7">
        <v>787041</v>
      </c>
      <c r="O267" t="s">
        <v>1151</v>
      </c>
      <c r="P267" t="s">
        <v>1152</v>
      </c>
      <c r="S267" t="s">
        <v>1225</v>
      </c>
      <c r="T267" t="s">
        <v>278</v>
      </c>
      <c r="U267" t="s">
        <v>633</v>
      </c>
      <c r="V267" s="8">
        <v>1250</v>
      </c>
      <c r="W267" s="7">
        <v>587839</v>
      </c>
      <c r="X267" t="s">
        <v>762</v>
      </c>
      <c r="Y267" s="8">
        <v>1250</v>
      </c>
      <c r="Z267" s="8">
        <v>1475</v>
      </c>
      <c r="AA267" s="8">
        <v>225</v>
      </c>
      <c r="AB267" s="7">
        <v>111306</v>
      </c>
      <c r="AC267" t="s">
        <v>762</v>
      </c>
      <c r="AD267" s="8">
        <v>0</v>
      </c>
      <c r="AG267" t="s">
        <v>801</v>
      </c>
      <c r="AH267" t="s">
        <v>802</v>
      </c>
      <c r="AI267" t="s">
        <v>818</v>
      </c>
    </row>
    <row r="268" spans="1:35" hidden="1">
      <c r="A268" s="7">
        <v>267</v>
      </c>
      <c r="B268" t="s">
        <v>243</v>
      </c>
      <c r="C268" t="s">
        <v>244</v>
      </c>
      <c r="D268" s="7">
        <v>7134</v>
      </c>
      <c r="E268" t="s">
        <v>245</v>
      </c>
      <c r="F268" t="s">
        <v>246</v>
      </c>
      <c r="G268" t="s">
        <v>1302</v>
      </c>
      <c r="H268" t="s">
        <v>1231</v>
      </c>
      <c r="I268" s="7">
        <v>1165</v>
      </c>
      <c r="J268" s="7">
        <v>30000</v>
      </c>
      <c r="K268" s="7">
        <v>3</v>
      </c>
      <c r="L268" t="s">
        <v>247</v>
      </c>
      <c r="M268" t="s">
        <v>361</v>
      </c>
      <c r="N268" s="7">
        <v>5240</v>
      </c>
      <c r="O268" t="s">
        <v>1303</v>
      </c>
      <c r="P268" t="s">
        <v>1304</v>
      </c>
      <c r="S268" t="s">
        <v>1225</v>
      </c>
      <c r="T268" t="s">
        <v>278</v>
      </c>
      <c r="U268" t="s">
        <v>633</v>
      </c>
      <c r="V268" s="8">
        <v>1650</v>
      </c>
      <c r="W268" s="7">
        <v>587839</v>
      </c>
      <c r="X268" t="s">
        <v>762</v>
      </c>
      <c r="Y268" s="8">
        <v>1650</v>
      </c>
      <c r="Z268" s="8">
        <v>1947</v>
      </c>
      <c r="AA268" s="8">
        <v>297</v>
      </c>
      <c r="AB268" s="7">
        <v>111306</v>
      </c>
      <c r="AC268" t="s">
        <v>762</v>
      </c>
      <c r="AD268" s="8">
        <v>0</v>
      </c>
      <c r="AG268" t="s">
        <v>823</v>
      </c>
      <c r="AH268" t="s">
        <v>802</v>
      </c>
      <c r="AI268" t="s">
        <v>818</v>
      </c>
    </row>
    <row r="269" spans="1:35" hidden="1">
      <c r="A269" s="7">
        <v>268</v>
      </c>
      <c r="B269" t="s">
        <v>243</v>
      </c>
      <c r="C269" t="s">
        <v>244</v>
      </c>
      <c r="D269" s="7">
        <v>7134</v>
      </c>
      <c r="E269" t="s">
        <v>245</v>
      </c>
      <c r="F269" t="s">
        <v>246</v>
      </c>
      <c r="G269" t="s">
        <v>861</v>
      </c>
      <c r="H269" t="s">
        <v>328</v>
      </c>
      <c r="I269" s="7">
        <v>951</v>
      </c>
      <c r="J269" s="7">
        <v>30000</v>
      </c>
      <c r="K269" s="7">
        <v>3</v>
      </c>
      <c r="L269" t="s">
        <v>247</v>
      </c>
      <c r="M269" t="s">
        <v>361</v>
      </c>
      <c r="N269" s="7">
        <v>4698</v>
      </c>
      <c r="O269" t="s">
        <v>1300</v>
      </c>
      <c r="P269" t="s">
        <v>1301</v>
      </c>
      <c r="S269" t="s">
        <v>1225</v>
      </c>
      <c r="T269" t="s">
        <v>278</v>
      </c>
      <c r="U269" t="s">
        <v>633</v>
      </c>
      <c r="V269" s="8">
        <v>1650</v>
      </c>
      <c r="W269" s="7">
        <v>587839</v>
      </c>
      <c r="X269" t="s">
        <v>762</v>
      </c>
      <c r="Y269" s="8">
        <v>1650</v>
      </c>
      <c r="Z269" s="8">
        <v>1947</v>
      </c>
      <c r="AA269" s="8">
        <v>297</v>
      </c>
      <c r="AB269" s="7">
        <v>111306</v>
      </c>
      <c r="AC269" t="s">
        <v>762</v>
      </c>
      <c r="AD269" s="8">
        <v>0</v>
      </c>
      <c r="AG269" t="s">
        <v>823</v>
      </c>
      <c r="AH269" t="s">
        <v>802</v>
      </c>
      <c r="AI269" t="s">
        <v>818</v>
      </c>
    </row>
    <row r="270" spans="1:35" hidden="1">
      <c r="A270" s="7">
        <v>269</v>
      </c>
      <c r="B270" t="s">
        <v>243</v>
      </c>
      <c r="C270" t="s">
        <v>244</v>
      </c>
      <c r="D270" s="7">
        <v>7134</v>
      </c>
      <c r="E270" t="s">
        <v>245</v>
      </c>
      <c r="F270" t="s">
        <v>246</v>
      </c>
      <c r="G270" t="s">
        <v>1571</v>
      </c>
      <c r="H270" t="s">
        <v>400</v>
      </c>
      <c r="I270" s="7">
        <v>1165</v>
      </c>
      <c r="J270" s="7">
        <v>16122</v>
      </c>
      <c r="K270" s="7">
        <v>2</v>
      </c>
      <c r="L270" t="s">
        <v>247</v>
      </c>
      <c r="M270" t="s">
        <v>261</v>
      </c>
      <c r="N270" s="7">
        <v>770346</v>
      </c>
      <c r="O270" t="s">
        <v>1572</v>
      </c>
      <c r="P270" t="s">
        <v>1573</v>
      </c>
      <c r="S270" t="s">
        <v>1225</v>
      </c>
      <c r="T270" t="s">
        <v>278</v>
      </c>
      <c r="U270" t="s">
        <v>633</v>
      </c>
      <c r="V270" s="8">
        <v>1250</v>
      </c>
      <c r="W270" s="7">
        <v>587839</v>
      </c>
      <c r="X270" t="s">
        <v>762</v>
      </c>
      <c r="Y270" s="8">
        <v>1250</v>
      </c>
      <c r="Z270" s="8">
        <v>1475</v>
      </c>
      <c r="AA270" s="8">
        <v>225</v>
      </c>
      <c r="AB270" s="7">
        <v>111306</v>
      </c>
      <c r="AC270" t="s">
        <v>762</v>
      </c>
      <c r="AD270" s="8">
        <v>0</v>
      </c>
      <c r="AG270" t="s">
        <v>817</v>
      </c>
      <c r="AH270" t="s">
        <v>802</v>
      </c>
      <c r="AI270" t="s">
        <v>818</v>
      </c>
    </row>
    <row r="271" spans="1:35" hidden="1">
      <c r="A271" s="7">
        <v>270</v>
      </c>
      <c r="B271" t="s">
        <v>243</v>
      </c>
      <c r="C271" t="s">
        <v>244</v>
      </c>
      <c r="D271" s="7">
        <v>7134</v>
      </c>
      <c r="E271" t="s">
        <v>245</v>
      </c>
      <c r="F271" t="s">
        <v>246</v>
      </c>
      <c r="G271" t="s">
        <v>1305</v>
      </c>
      <c r="H271" t="s">
        <v>1457</v>
      </c>
      <c r="I271" s="7">
        <v>1165</v>
      </c>
      <c r="J271" s="7">
        <v>33033</v>
      </c>
      <c r="K271" s="7">
        <v>4</v>
      </c>
      <c r="L271" t="s">
        <v>247</v>
      </c>
      <c r="M271" t="s">
        <v>261</v>
      </c>
      <c r="N271" s="7">
        <v>775459</v>
      </c>
      <c r="O271" t="s">
        <v>1569</v>
      </c>
      <c r="P271" t="s">
        <v>1570</v>
      </c>
      <c r="Q271" t="s">
        <v>870</v>
      </c>
      <c r="R271" t="s">
        <v>871</v>
      </c>
      <c r="S271" t="s">
        <v>1225</v>
      </c>
      <c r="T271" t="s">
        <v>278</v>
      </c>
      <c r="U271" t="s">
        <v>633</v>
      </c>
      <c r="V271" s="8">
        <v>0</v>
      </c>
      <c r="W271" s="7">
        <v>587839</v>
      </c>
      <c r="X271" t="s">
        <v>762</v>
      </c>
      <c r="Y271" s="8">
        <v>0</v>
      </c>
      <c r="Z271" s="8">
        <v>0</v>
      </c>
      <c r="AA271" s="8">
        <v>0</v>
      </c>
      <c r="AB271" s="7">
        <v>111306</v>
      </c>
      <c r="AC271" t="s">
        <v>762</v>
      </c>
      <c r="AD271" s="8">
        <v>0</v>
      </c>
      <c r="AG271" t="s">
        <v>801</v>
      </c>
      <c r="AH271" t="s">
        <v>802</v>
      </c>
      <c r="AI271" t="s">
        <v>803</v>
      </c>
    </row>
    <row r="272" spans="1:35" hidden="1">
      <c r="A272" s="7">
        <v>271</v>
      </c>
      <c r="B272" t="s">
        <v>243</v>
      </c>
      <c r="C272" t="s">
        <v>244</v>
      </c>
      <c r="D272" s="7">
        <v>7134</v>
      </c>
      <c r="E272" t="s">
        <v>245</v>
      </c>
      <c r="F272" t="s">
        <v>246</v>
      </c>
      <c r="G272" t="s">
        <v>1474</v>
      </c>
      <c r="H272" t="s">
        <v>412</v>
      </c>
      <c r="I272" s="7">
        <v>1165</v>
      </c>
      <c r="J272" s="7">
        <v>40000</v>
      </c>
      <c r="K272" s="7">
        <v>4</v>
      </c>
      <c r="L272" t="s">
        <v>247</v>
      </c>
      <c r="M272" t="s">
        <v>261</v>
      </c>
      <c r="N272" s="7">
        <v>785386</v>
      </c>
      <c r="O272" t="s">
        <v>1564</v>
      </c>
      <c r="P272" t="s">
        <v>1565</v>
      </c>
      <c r="S272" t="s">
        <v>1225</v>
      </c>
      <c r="T272" t="s">
        <v>278</v>
      </c>
      <c r="U272" t="s">
        <v>633</v>
      </c>
      <c r="V272" s="8">
        <v>0</v>
      </c>
      <c r="W272" s="7">
        <v>587839</v>
      </c>
      <c r="X272" t="s">
        <v>762</v>
      </c>
      <c r="Y272" s="8">
        <v>0</v>
      </c>
      <c r="Z272" s="8">
        <v>0</v>
      </c>
      <c r="AA272" s="8">
        <v>0</v>
      </c>
      <c r="AB272" s="7">
        <v>111306</v>
      </c>
      <c r="AC272" t="s">
        <v>762</v>
      </c>
      <c r="AD272" s="8">
        <v>0</v>
      </c>
      <c r="AG272" t="s">
        <v>801</v>
      </c>
      <c r="AH272" t="s">
        <v>802</v>
      </c>
      <c r="AI272" t="s">
        <v>803</v>
      </c>
    </row>
    <row r="273" spans="1:35" hidden="1">
      <c r="A273" s="7">
        <v>272</v>
      </c>
      <c r="B273" t="s">
        <v>243</v>
      </c>
      <c r="C273" t="s">
        <v>244</v>
      </c>
      <c r="D273" s="7">
        <v>7134</v>
      </c>
      <c r="E273" t="s">
        <v>245</v>
      </c>
      <c r="F273" t="s">
        <v>246</v>
      </c>
      <c r="G273" t="s">
        <v>849</v>
      </c>
      <c r="H273" t="s">
        <v>1237</v>
      </c>
      <c r="I273" s="7">
        <v>1165</v>
      </c>
      <c r="J273" s="7">
        <v>27000</v>
      </c>
      <c r="K273" s="7">
        <v>3</v>
      </c>
      <c r="L273" t="s">
        <v>247</v>
      </c>
      <c r="M273" t="s">
        <v>267</v>
      </c>
      <c r="N273" s="7">
        <v>789775</v>
      </c>
      <c r="O273" t="s">
        <v>1402</v>
      </c>
      <c r="P273" t="s">
        <v>1403</v>
      </c>
      <c r="S273" t="s">
        <v>1225</v>
      </c>
      <c r="T273" t="s">
        <v>278</v>
      </c>
      <c r="U273" t="s">
        <v>633</v>
      </c>
      <c r="V273" s="8">
        <v>1250</v>
      </c>
      <c r="W273" s="7">
        <v>587839</v>
      </c>
      <c r="X273" t="s">
        <v>762</v>
      </c>
      <c r="Y273" s="8">
        <v>1250</v>
      </c>
      <c r="Z273" s="8">
        <v>1475</v>
      </c>
      <c r="AA273" s="8">
        <v>225</v>
      </c>
      <c r="AB273" s="7">
        <v>111306</v>
      </c>
      <c r="AC273" t="s">
        <v>762</v>
      </c>
      <c r="AD273" s="8">
        <v>0</v>
      </c>
      <c r="AG273" t="s">
        <v>828</v>
      </c>
      <c r="AH273" t="s">
        <v>802</v>
      </c>
      <c r="AI273" t="s">
        <v>818</v>
      </c>
    </row>
    <row r="274" spans="1:35" hidden="1">
      <c r="A274" s="7">
        <v>273</v>
      </c>
      <c r="B274" t="s">
        <v>243</v>
      </c>
      <c r="C274" t="s">
        <v>244</v>
      </c>
      <c r="D274" s="7">
        <v>7134</v>
      </c>
      <c r="E274" t="s">
        <v>245</v>
      </c>
      <c r="F274" t="s">
        <v>246</v>
      </c>
      <c r="G274" t="s">
        <v>1194</v>
      </c>
      <c r="H274" t="s">
        <v>363</v>
      </c>
      <c r="I274" s="7">
        <v>1165</v>
      </c>
      <c r="J274" s="7">
        <v>79329</v>
      </c>
      <c r="K274" s="7">
        <v>8</v>
      </c>
      <c r="L274" t="s">
        <v>247</v>
      </c>
      <c r="M274" t="s">
        <v>261</v>
      </c>
      <c r="N274" s="7">
        <v>773372</v>
      </c>
      <c r="O274" t="s">
        <v>1195</v>
      </c>
      <c r="P274" t="s">
        <v>1196</v>
      </c>
      <c r="S274" t="s">
        <v>1225</v>
      </c>
      <c r="T274" t="s">
        <v>278</v>
      </c>
      <c r="U274" t="s">
        <v>633</v>
      </c>
      <c r="V274" s="8">
        <v>1250</v>
      </c>
      <c r="W274" s="7">
        <v>587839</v>
      </c>
      <c r="X274" t="s">
        <v>762</v>
      </c>
      <c r="Y274" s="8">
        <v>1250</v>
      </c>
      <c r="Z274" s="8">
        <v>1475</v>
      </c>
      <c r="AA274" s="8">
        <v>225</v>
      </c>
      <c r="AB274" s="7">
        <v>111306</v>
      </c>
      <c r="AC274" t="s">
        <v>762</v>
      </c>
      <c r="AD274" s="8">
        <v>0</v>
      </c>
      <c r="AG274" t="s">
        <v>801</v>
      </c>
      <c r="AH274" t="s">
        <v>802</v>
      </c>
      <c r="AI274" t="s">
        <v>818</v>
      </c>
    </row>
    <row r="275" spans="1:35" hidden="1">
      <c r="A275" s="7">
        <v>274</v>
      </c>
      <c r="B275" t="s">
        <v>243</v>
      </c>
      <c r="C275" t="s">
        <v>244</v>
      </c>
      <c r="D275" s="7">
        <v>7134</v>
      </c>
      <c r="E275" t="s">
        <v>245</v>
      </c>
      <c r="F275" t="s">
        <v>246</v>
      </c>
      <c r="G275" t="s">
        <v>881</v>
      </c>
      <c r="H275" t="s">
        <v>400</v>
      </c>
      <c r="I275" s="7">
        <v>1165</v>
      </c>
      <c r="J275" s="7">
        <v>7200</v>
      </c>
      <c r="K275" s="7">
        <v>1</v>
      </c>
      <c r="L275" t="s">
        <v>247</v>
      </c>
      <c r="M275" t="s">
        <v>261</v>
      </c>
      <c r="N275" s="7">
        <v>780026</v>
      </c>
      <c r="O275" t="s">
        <v>1502</v>
      </c>
      <c r="P275" t="s">
        <v>1503</v>
      </c>
      <c r="Q275" t="s">
        <v>870</v>
      </c>
      <c r="R275" t="s">
        <v>871</v>
      </c>
      <c r="S275" t="s">
        <v>1225</v>
      </c>
      <c r="T275" t="s">
        <v>278</v>
      </c>
      <c r="U275" t="s">
        <v>633</v>
      </c>
      <c r="V275" s="8">
        <v>1250</v>
      </c>
      <c r="W275" s="7">
        <v>587839</v>
      </c>
      <c r="X275" t="s">
        <v>762</v>
      </c>
      <c r="Y275" s="8">
        <v>1000</v>
      </c>
      <c r="Z275" s="8">
        <v>1475</v>
      </c>
      <c r="AA275" s="8">
        <v>225</v>
      </c>
      <c r="AB275" s="7">
        <v>111306</v>
      </c>
      <c r="AC275" t="s">
        <v>762</v>
      </c>
      <c r="AD275" s="8">
        <v>250</v>
      </c>
      <c r="AG275" t="s">
        <v>817</v>
      </c>
      <c r="AH275" t="s">
        <v>802</v>
      </c>
      <c r="AI275" t="s">
        <v>818</v>
      </c>
    </row>
    <row r="276" spans="1:35" hidden="1">
      <c r="A276" s="7">
        <v>275</v>
      </c>
      <c r="B276" t="s">
        <v>243</v>
      </c>
      <c r="C276" t="s">
        <v>244</v>
      </c>
      <c r="D276" s="7">
        <v>7134</v>
      </c>
      <c r="E276" t="s">
        <v>245</v>
      </c>
      <c r="F276" t="s">
        <v>246</v>
      </c>
      <c r="G276" t="s">
        <v>1396</v>
      </c>
      <c r="H276" t="s">
        <v>363</v>
      </c>
      <c r="I276" s="7">
        <v>1165</v>
      </c>
      <c r="J276" s="7">
        <v>8485</v>
      </c>
      <c r="K276" s="7">
        <v>1</v>
      </c>
      <c r="L276" t="s">
        <v>247</v>
      </c>
      <c r="M276" t="s">
        <v>361</v>
      </c>
      <c r="N276" s="7">
        <v>5926</v>
      </c>
      <c r="O276" t="s">
        <v>1397</v>
      </c>
      <c r="P276" t="s">
        <v>1398</v>
      </c>
      <c r="S276" t="s">
        <v>1225</v>
      </c>
      <c r="T276" t="s">
        <v>278</v>
      </c>
      <c r="U276" t="s">
        <v>633</v>
      </c>
      <c r="V276" s="8">
        <v>1650</v>
      </c>
      <c r="W276" s="7">
        <v>587839</v>
      </c>
      <c r="X276" t="s">
        <v>762</v>
      </c>
      <c r="Y276" s="8">
        <v>1650</v>
      </c>
      <c r="Z276" s="8">
        <v>1947</v>
      </c>
      <c r="AA276" s="8">
        <v>297</v>
      </c>
      <c r="AB276" s="7">
        <v>111306</v>
      </c>
      <c r="AC276" t="s">
        <v>762</v>
      </c>
      <c r="AD276" s="8">
        <v>0</v>
      </c>
      <c r="AG276" t="s">
        <v>823</v>
      </c>
      <c r="AH276" t="s">
        <v>802</v>
      </c>
      <c r="AI276" t="s">
        <v>818</v>
      </c>
    </row>
    <row r="277" spans="1:35" hidden="1">
      <c r="A277" s="7">
        <v>276</v>
      </c>
      <c r="B277" t="s">
        <v>243</v>
      </c>
      <c r="C277" t="s">
        <v>244</v>
      </c>
      <c r="D277" s="7">
        <v>7134</v>
      </c>
      <c r="E277" t="s">
        <v>245</v>
      </c>
      <c r="F277" t="s">
        <v>246</v>
      </c>
      <c r="G277" t="s">
        <v>1050</v>
      </c>
      <c r="H277" t="s">
        <v>1224</v>
      </c>
      <c r="I277" s="7">
        <v>1165</v>
      </c>
      <c r="J277" s="7">
        <v>30000</v>
      </c>
      <c r="K277" s="7">
        <v>3</v>
      </c>
      <c r="L277" t="s">
        <v>247</v>
      </c>
      <c r="M277" t="s">
        <v>361</v>
      </c>
      <c r="N277" s="7">
        <v>5472</v>
      </c>
      <c r="O277" t="s">
        <v>1051</v>
      </c>
      <c r="P277" t="s">
        <v>1052</v>
      </c>
      <c r="S277" t="s">
        <v>1225</v>
      </c>
      <c r="T277" t="s">
        <v>278</v>
      </c>
      <c r="U277" t="s">
        <v>633</v>
      </c>
      <c r="V277" s="8">
        <v>1650</v>
      </c>
      <c r="W277" s="7">
        <v>587839</v>
      </c>
      <c r="X277" t="s">
        <v>762</v>
      </c>
      <c r="Y277" s="8">
        <v>1650</v>
      </c>
      <c r="Z277" s="8">
        <v>1947</v>
      </c>
      <c r="AA277" s="8">
        <v>297</v>
      </c>
      <c r="AB277" s="7">
        <v>111306</v>
      </c>
      <c r="AC277" t="s">
        <v>762</v>
      </c>
      <c r="AD277" s="8">
        <v>0</v>
      </c>
      <c r="AG277" t="s">
        <v>823</v>
      </c>
      <c r="AH277" t="s">
        <v>802</v>
      </c>
      <c r="AI277" t="s">
        <v>818</v>
      </c>
    </row>
    <row r="278" spans="1:35" hidden="1">
      <c r="A278" s="7">
        <v>277</v>
      </c>
      <c r="B278" t="s">
        <v>243</v>
      </c>
      <c r="C278" t="s">
        <v>244</v>
      </c>
      <c r="D278" s="7">
        <v>7134</v>
      </c>
      <c r="E278" t="s">
        <v>245</v>
      </c>
      <c r="F278" t="s">
        <v>246</v>
      </c>
      <c r="G278" t="s">
        <v>1421</v>
      </c>
      <c r="H278" t="s">
        <v>273</v>
      </c>
      <c r="I278" s="7">
        <v>1165</v>
      </c>
      <c r="J278" s="7">
        <v>65037</v>
      </c>
      <c r="K278" s="7">
        <v>9</v>
      </c>
      <c r="L278" t="s">
        <v>247</v>
      </c>
      <c r="M278" t="s">
        <v>252</v>
      </c>
      <c r="N278" s="7">
        <v>319649</v>
      </c>
      <c r="O278" t="s">
        <v>1422</v>
      </c>
      <c r="P278" t="s">
        <v>1423</v>
      </c>
      <c r="S278" t="s">
        <v>1225</v>
      </c>
      <c r="T278" t="s">
        <v>278</v>
      </c>
      <c r="U278" t="s">
        <v>633</v>
      </c>
      <c r="V278" s="8">
        <v>0</v>
      </c>
      <c r="W278" s="7">
        <v>587839</v>
      </c>
      <c r="X278" t="s">
        <v>762</v>
      </c>
      <c r="Y278" s="8">
        <v>0</v>
      </c>
      <c r="Z278" s="8">
        <v>0</v>
      </c>
      <c r="AA278" s="8">
        <v>0</v>
      </c>
      <c r="AB278" s="7">
        <v>111306</v>
      </c>
      <c r="AC278" t="s">
        <v>762</v>
      </c>
      <c r="AD278" s="8">
        <v>0</v>
      </c>
      <c r="AG278" t="s">
        <v>937</v>
      </c>
      <c r="AH278" t="s">
        <v>802</v>
      </c>
      <c r="AI278" t="s">
        <v>803</v>
      </c>
    </row>
    <row r="279" spans="1:35" hidden="1">
      <c r="A279" s="7">
        <v>278</v>
      </c>
      <c r="B279" t="s">
        <v>243</v>
      </c>
      <c r="C279" t="s">
        <v>244</v>
      </c>
      <c r="D279" s="7">
        <v>7134</v>
      </c>
      <c r="E279" t="s">
        <v>245</v>
      </c>
      <c r="F279" t="s">
        <v>246</v>
      </c>
      <c r="G279" t="s">
        <v>917</v>
      </c>
      <c r="H279" t="s">
        <v>404</v>
      </c>
      <c r="I279" s="7">
        <v>1165</v>
      </c>
      <c r="J279" s="7">
        <v>10000</v>
      </c>
      <c r="K279" s="7">
        <v>1</v>
      </c>
      <c r="L279" t="s">
        <v>247</v>
      </c>
      <c r="M279" t="s">
        <v>252</v>
      </c>
      <c r="N279" s="7">
        <v>326143</v>
      </c>
      <c r="O279" t="s">
        <v>1298</v>
      </c>
      <c r="P279" t="s">
        <v>1299</v>
      </c>
      <c r="S279" t="s">
        <v>1225</v>
      </c>
      <c r="T279" t="s">
        <v>278</v>
      </c>
      <c r="U279" t="s">
        <v>633</v>
      </c>
      <c r="V279" s="8">
        <v>1250</v>
      </c>
      <c r="W279" s="7">
        <v>587839</v>
      </c>
      <c r="X279" t="s">
        <v>762</v>
      </c>
      <c r="Y279" s="8">
        <v>1250</v>
      </c>
      <c r="Z279" s="8">
        <v>1475</v>
      </c>
      <c r="AA279" s="8">
        <v>225</v>
      </c>
      <c r="AB279" s="7">
        <v>111306</v>
      </c>
      <c r="AC279" t="s">
        <v>762</v>
      </c>
      <c r="AD279" s="8">
        <v>0</v>
      </c>
      <c r="AG279" t="s">
        <v>937</v>
      </c>
      <c r="AH279" t="s">
        <v>802</v>
      </c>
      <c r="AI279" t="s">
        <v>818</v>
      </c>
    </row>
    <row r="280" spans="1:35" hidden="1">
      <c r="A280" s="7">
        <v>279</v>
      </c>
      <c r="B280" t="s">
        <v>243</v>
      </c>
      <c r="C280" t="s">
        <v>244</v>
      </c>
      <c r="D280" s="7">
        <v>7134</v>
      </c>
      <c r="E280" t="s">
        <v>245</v>
      </c>
      <c r="F280" t="s">
        <v>246</v>
      </c>
      <c r="G280" t="s">
        <v>1202</v>
      </c>
      <c r="H280" t="s">
        <v>1231</v>
      </c>
      <c r="I280" s="7">
        <v>1165</v>
      </c>
      <c r="J280" s="7">
        <v>48750</v>
      </c>
      <c r="K280" s="7">
        <v>5</v>
      </c>
      <c r="L280" t="s">
        <v>247</v>
      </c>
      <c r="M280" t="s">
        <v>261</v>
      </c>
      <c r="N280" s="7">
        <v>774638</v>
      </c>
      <c r="O280" t="s">
        <v>1232</v>
      </c>
      <c r="P280" t="s">
        <v>1233</v>
      </c>
      <c r="S280" t="s">
        <v>1225</v>
      </c>
      <c r="T280" t="s">
        <v>278</v>
      </c>
      <c r="U280" t="s">
        <v>633</v>
      </c>
      <c r="V280" s="8">
        <v>1250</v>
      </c>
      <c r="W280" s="7">
        <v>587839</v>
      </c>
      <c r="X280" t="s">
        <v>762</v>
      </c>
      <c r="Y280" s="8">
        <v>1250</v>
      </c>
      <c r="Z280" s="8">
        <v>1475</v>
      </c>
      <c r="AA280" s="8">
        <v>225</v>
      </c>
      <c r="AB280" s="7">
        <v>111306</v>
      </c>
      <c r="AC280" t="s">
        <v>762</v>
      </c>
      <c r="AD280" s="8">
        <v>0</v>
      </c>
      <c r="AG280" t="s">
        <v>801</v>
      </c>
      <c r="AH280" t="s">
        <v>802</v>
      </c>
      <c r="AI280" t="s">
        <v>818</v>
      </c>
    </row>
    <row r="281" spans="1:35" hidden="1">
      <c r="A281" s="7">
        <v>280</v>
      </c>
      <c r="B281" t="s">
        <v>243</v>
      </c>
      <c r="C281" t="s">
        <v>244</v>
      </c>
      <c r="D281" s="7">
        <v>7134</v>
      </c>
      <c r="E281" t="s">
        <v>245</v>
      </c>
      <c r="F281" t="s">
        <v>246</v>
      </c>
      <c r="G281" t="s">
        <v>1011</v>
      </c>
      <c r="H281" t="s">
        <v>257</v>
      </c>
      <c r="I281" s="7">
        <v>1165</v>
      </c>
      <c r="J281" s="7">
        <v>32500</v>
      </c>
      <c r="K281" s="7">
        <v>4</v>
      </c>
      <c r="L281" t="s">
        <v>247</v>
      </c>
      <c r="M281" t="s">
        <v>261</v>
      </c>
      <c r="N281" s="7">
        <v>774079</v>
      </c>
      <c r="O281" t="s">
        <v>1285</v>
      </c>
      <c r="P281" t="s">
        <v>1286</v>
      </c>
      <c r="S281" t="s">
        <v>1225</v>
      </c>
      <c r="T281" t="s">
        <v>278</v>
      </c>
      <c r="U281" t="s">
        <v>633</v>
      </c>
      <c r="V281" s="8">
        <v>0</v>
      </c>
      <c r="W281" s="7">
        <v>587839</v>
      </c>
      <c r="X281" t="s">
        <v>762</v>
      </c>
      <c r="Y281" s="8">
        <v>0</v>
      </c>
      <c r="Z281" s="8">
        <v>0</v>
      </c>
      <c r="AA281" s="8">
        <v>0</v>
      </c>
      <c r="AB281" s="7">
        <v>111306</v>
      </c>
      <c r="AC281" t="s">
        <v>762</v>
      </c>
      <c r="AD281" s="8">
        <v>0</v>
      </c>
      <c r="AG281" t="s">
        <v>801</v>
      </c>
      <c r="AH281" t="s">
        <v>802</v>
      </c>
      <c r="AI281" t="s">
        <v>803</v>
      </c>
    </row>
    <row r="282" spans="1:35" hidden="1">
      <c r="A282" s="7">
        <v>281</v>
      </c>
      <c r="B282" t="s">
        <v>243</v>
      </c>
      <c r="C282" t="s">
        <v>244</v>
      </c>
      <c r="D282" s="7">
        <v>7134</v>
      </c>
      <c r="E282" t="s">
        <v>245</v>
      </c>
      <c r="F282" t="s">
        <v>246</v>
      </c>
      <c r="G282" t="s">
        <v>1485</v>
      </c>
      <c r="H282" t="s">
        <v>269</v>
      </c>
      <c r="I282" s="7">
        <v>1165</v>
      </c>
      <c r="J282" s="7">
        <v>13310</v>
      </c>
      <c r="K282" s="7">
        <v>7</v>
      </c>
      <c r="L282" t="s">
        <v>247</v>
      </c>
      <c r="M282" t="s">
        <v>261</v>
      </c>
      <c r="N282" s="7">
        <v>762289</v>
      </c>
      <c r="O282" t="s">
        <v>1486</v>
      </c>
      <c r="P282" t="s">
        <v>1487</v>
      </c>
      <c r="S282" t="s">
        <v>1225</v>
      </c>
      <c r="T282" t="s">
        <v>278</v>
      </c>
      <c r="U282" t="s">
        <v>633</v>
      </c>
      <c r="V282" s="8">
        <v>0</v>
      </c>
      <c r="W282" s="7">
        <v>587839</v>
      </c>
      <c r="X282" t="s">
        <v>762</v>
      </c>
      <c r="Y282" s="8">
        <v>0</v>
      </c>
      <c r="Z282" s="8">
        <v>0</v>
      </c>
      <c r="AA282" s="8">
        <v>0</v>
      </c>
      <c r="AB282" s="7">
        <v>111306</v>
      </c>
      <c r="AC282" t="s">
        <v>762</v>
      </c>
      <c r="AD282" s="8">
        <v>0</v>
      </c>
      <c r="AG282" t="s">
        <v>801</v>
      </c>
      <c r="AH282" t="s">
        <v>802</v>
      </c>
      <c r="AI282" t="s">
        <v>803</v>
      </c>
    </row>
    <row r="283" spans="1:35" hidden="1">
      <c r="A283" s="7">
        <v>282</v>
      </c>
      <c r="B283" t="s">
        <v>243</v>
      </c>
      <c r="C283" t="s">
        <v>244</v>
      </c>
      <c r="D283" s="7">
        <v>7134</v>
      </c>
      <c r="E283" t="s">
        <v>245</v>
      </c>
      <c r="F283" t="s">
        <v>246</v>
      </c>
      <c r="G283" t="s">
        <v>849</v>
      </c>
      <c r="H283" t="s">
        <v>1290</v>
      </c>
      <c r="I283" s="7">
        <v>1165</v>
      </c>
      <c r="J283" s="7">
        <v>29840</v>
      </c>
      <c r="K283" s="7">
        <v>3</v>
      </c>
      <c r="L283" t="s">
        <v>247</v>
      </c>
      <c r="M283" t="s">
        <v>361</v>
      </c>
      <c r="N283" s="7">
        <v>5065</v>
      </c>
      <c r="O283" t="s">
        <v>1291</v>
      </c>
      <c r="P283" t="s">
        <v>1292</v>
      </c>
      <c r="S283" t="s">
        <v>1225</v>
      </c>
      <c r="T283" t="s">
        <v>278</v>
      </c>
      <c r="U283" t="s">
        <v>633</v>
      </c>
      <c r="V283" s="8">
        <v>1650</v>
      </c>
      <c r="W283" s="7">
        <v>587839</v>
      </c>
      <c r="X283" t="s">
        <v>762</v>
      </c>
      <c r="Y283" s="8">
        <v>1650</v>
      </c>
      <c r="Z283" s="8">
        <v>1947</v>
      </c>
      <c r="AA283" s="8">
        <v>297</v>
      </c>
      <c r="AB283" s="7">
        <v>111306</v>
      </c>
      <c r="AC283" t="s">
        <v>762</v>
      </c>
      <c r="AD283" s="8">
        <v>0</v>
      </c>
      <c r="AG283" t="s">
        <v>823</v>
      </c>
      <c r="AH283" t="s">
        <v>802</v>
      </c>
      <c r="AI283" t="s">
        <v>818</v>
      </c>
    </row>
    <row r="284" spans="1:35" hidden="1">
      <c r="A284" s="7">
        <v>283</v>
      </c>
      <c r="B284" t="s">
        <v>243</v>
      </c>
      <c r="C284" t="s">
        <v>244</v>
      </c>
      <c r="D284" s="7">
        <v>7134</v>
      </c>
      <c r="E284" t="s">
        <v>245</v>
      </c>
      <c r="F284" t="s">
        <v>246</v>
      </c>
      <c r="G284" t="s">
        <v>1293</v>
      </c>
      <c r="H284" t="s">
        <v>308</v>
      </c>
      <c r="I284" s="7">
        <v>1165</v>
      </c>
      <c r="J284" s="7">
        <v>139576</v>
      </c>
      <c r="K284" s="7">
        <v>14</v>
      </c>
      <c r="L284" t="s">
        <v>247</v>
      </c>
      <c r="M284" t="s">
        <v>261</v>
      </c>
      <c r="N284" s="7">
        <v>7500851</v>
      </c>
      <c r="O284" t="s">
        <v>1294</v>
      </c>
      <c r="P284" t="s">
        <v>1295</v>
      </c>
      <c r="S284" t="s">
        <v>1225</v>
      </c>
      <c r="T284" t="s">
        <v>278</v>
      </c>
      <c r="U284" t="s">
        <v>633</v>
      </c>
      <c r="V284" s="8">
        <v>1250</v>
      </c>
      <c r="W284" s="7">
        <v>587839</v>
      </c>
      <c r="X284" t="s">
        <v>762</v>
      </c>
      <c r="Y284" s="8">
        <v>1250</v>
      </c>
      <c r="Z284" s="8">
        <v>1475</v>
      </c>
      <c r="AA284" s="8">
        <v>225</v>
      </c>
      <c r="AB284" s="7">
        <v>111306</v>
      </c>
      <c r="AC284" t="s">
        <v>762</v>
      </c>
      <c r="AD284" s="8">
        <v>0</v>
      </c>
      <c r="AG284" t="s">
        <v>801</v>
      </c>
      <c r="AH284" t="s">
        <v>802</v>
      </c>
      <c r="AI284" t="s">
        <v>818</v>
      </c>
    </row>
    <row r="285" spans="1:35" hidden="1">
      <c r="A285" s="7">
        <v>284</v>
      </c>
      <c r="B285" t="s">
        <v>243</v>
      </c>
      <c r="C285" t="s">
        <v>244</v>
      </c>
      <c r="D285" s="7">
        <v>7134</v>
      </c>
      <c r="E285" t="s">
        <v>245</v>
      </c>
      <c r="F285" t="s">
        <v>246</v>
      </c>
      <c r="G285" t="s">
        <v>999</v>
      </c>
      <c r="H285" t="s">
        <v>1224</v>
      </c>
      <c r="I285" s="7">
        <v>1150</v>
      </c>
      <c r="J285" s="7">
        <v>30000</v>
      </c>
      <c r="K285" s="7">
        <v>3</v>
      </c>
      <c r="L285" t="s">
        <v>247</v>
      </c>
      <c r="M285" t="s">
        <v>361</v>
      </c>
      <c r="N285" s="7">
        <v>4891</v>
      </c>
      <c r="O285" t="s">
        <v>1349</v>
      </c>
      <c r="P285" t="s">
        <v>1350</v>
      </c>
      <c r="S285" t="s">
        <v>1225</v>
      </c>
      <c r="T285" t="s">
        <v>278</v>
      </c>
      <c r="U285" t="s">
        <v>633</v>
      </c>
      <c r="V285" s="8">
        <v>1650</v>
      </c>
      <c r="W285" s="7">
        <v>587839</v>
      </c>
      <c r="X285" t="s">
        <v>762</v>
      </c>
      <c r="Y285" s="8">
        <v>1650</v>
      </c>
      <c r="Z285" s="8">
        <v>1947</v>
      </c>
      <c r="AA285" s="8">
        <v>297</v>
      </c>
      <c r="AB285" s="7">
        <v>111306</v>
      </c>
      <c r="AC285" t="s">
        <v>762</v>
      </c>
      <c r="AD285" s="8">
        <v>0</v>
      </c>
      <c r="AG285" t="s">
        <v>823</v>
      </c>
      <c r="AH285" t="s">
        <v>802</v>
      </c>
      <c r="AI285" t="s">
        <v>818</v>
      </c>
    </row>
    <row r="286" spans="1:35" hidden="1">
      <c r="A286" s="7">
        <v>285</v>
      </c>
      <c r="B286" t="s">
        <v>243</v>
      </c>
      <c r="C286" t="s">
        <v>244</v>
      </c>
      <c r="D286" s="7">
        <v>7134</v>
      </c>
      <c r="E286" t="s">
        <v>245</v>
      </c>
      <c r="F286" t="s">
        <v>246</v>
      </c>
      <c r="G286" t="s">
        <v>1399</v>
      </c>
      <c r="H286" t="s">
        <v>1237</v>
      </c>
      <c r="I286" s="7">
        <v>1165</v>
      </c>
      <c r="J286" s="7">
        <v>3300</v>
      </c>
      <c r="K286" s="7">
        <v>4</v>
      </c>
      <c r="L286" t="s">
        <v>247</v>
      </c>
      <c r="M286" t="s">
        <v>361</v>
      </c>
      <c r="N286" s="7">
        <v>3148</v>
      </c>
      <c r="O286" t="s">
        <v>1400</v>
      </c>
      <c r="P286" t="s">
        <v>1401</v>
      </c>
      <c r="Q286" t="s">
        <v>870</v>
      </c>
      <c r="R286" t="s">
        <v>871</v>
      </c>
      <c r="S286" t="s">
        <v>1225</v>
      </c>
      <c r="T286" t="s">
        <v>278</v>
      </c>
      <c r="U286" t="s">
        <v>633</v>
      </c>
      <c r="V286" s="8">
        <v>0</v>
      </c>
      <c r="W286" s="7">
        <v>587839</v>
      </c>
      <c r="X286" t="s">
        <v>762</v>
      </c>
      <c r="Y286" s="8">
        <v>0</v>
      </c>
      <c r="Z286" s="8">
        <v>0</v>
      </c>
      <c r="AA286" s="8">
        <v>0</v>
      </c>
      <c r="AB286" s="7">
        <v>111306</v>
      </c>
      <c r="AC286" t="s">
        <v>762</v>
      </c>
      <c r="AD286" s="8">
        <v>0</v>
      </c>
      <c r="AG286" t="s">
        <v>823</v>
      </c>
      <c r="AH286" t="s">
        <v>802</v>
      </c>
      <c r="AI286" t="s">
        <v>803</v>
      </c>
    </row>
    <row r="287" spans="1:35" hidden="1">
      <c r="A287" s="7">
        <v>286</v>
      </c>
      <c r="B287" t="s">
        <v>243</v>
      </c>
      <c r="C287" t="s">
        <v>244</v>
      </c>
      <c r="D287" s="7">
        <v>7134</v>
      </c>
      <c r="E287" t="s">
        <v>245</v>
      </c>
      <c r="F287" t="s">
        <v>246</v>
      </c>
      <c r="G287" t="s">
        <v>1518</v>
      </c>
      <c r="H287" t="s">
        <v>491</v>
      </c>
      <c r="I287" s="7">
        <v>1165</v>
      </c>
      <c r="J287" s="7">
        <v>70000</v>
      </c>
      <c r="K287" s="7">
        <v>7</v>
      </c>
      <c r="L287" t="s">
        <v>247</v>
      </c>
      <c r="M287" t="s">
        <v>261</v>
      </c>
      <c r="N287" s="7">
        <v>773203</v>
      </c>
      <c r="O287" t="s">
        <v>1519</v>
      </c>
      <c r="P287" t="s">
        <v>1520</v>
      </c>
      <c r="S287" t="s">
        <v>1225</v>
      </c>
      <c r="T287" t="s">
        <v>278</v>
      </c>
      <c r="U287" t="s">
        <v>633</v>
      </c>
      <c r="V287" s="8">
        <v>0</v>
      </c>
      <c r="W287" s="7">
        <v>587839</v>
      </c>
      <c r="X287" t="s">
        <v>762</v>
      </c>
      <c r="Y287" s="8">
        <v>0</v>
      </c>
      <c r="Z287" s="8">
        <v>0</v>
      </c>
      <c r="AA287" s="8">
        <v>0</v>
      </c>
      <c r="AB287" s="7">
        <v>111306</v>
      </c>
      <c r="AC287" t="s">
        <v>762</v>
      </c>
      <c r="AD287" s="8">
        <v>0</v>
      </c>
      <c r="AG287" t="s">
        <v>801</v>
      </c>
      <c r="AH287" t="s">
        <v>802</v>
      </c>
      <c r="AI287" t="s">
        <v>803</v>
      </c>
    </row>
    <row r="288" spans="1:35" hidden="1">
      <c r="A288" s="7">
        <v>287</v>
      </c>
      <c r="B288" t="s">
        <v>243</v>
      </c>
      <c r="C288" t="s">
        <v>244</v>
      </c>
      <c r="D288" s="7">
        <v>7134</v>
      </c>
      <c r="E288" t="s">
        <v>245</v>
      </c>
      <c r="F288" t="s">
        <v>246</v>
      </c>
      <c r="G288" t="s">
        <v>1340</v>
      </c>
      <c r="H288" t="s">
        <v>1231</v>
      </c>
      <c r="I288" s="7">
        <v>1165</v>
      </c>
      <c r="J288" s="7">
        <v>39200</v>
      </c>
      <c r="K288" s="7">
        <v>4</v>
      </c>
      <c r="L288" t="s">
        <v>247</v>
      </c>
      <c r="M288" t="s">
        <v>252</v>
      </c>
      <c r="N288" s="7">
        <v>322213</v>
      </c>
      <c r="O288" t="s">
        <v>1341</v>
      </c>
      <c r="P288" t="s">
        <v>1342</v>
      </c>
      <c r="S288" t="s">
        <v>1225</v>
      </c>
      <c r="T288" t="s">
        <v>278</v>
      </c>
      <c r="U288" t="s">
        <v>633</v>
      </c>
      <c r="V288" s="8">
        <v>0</v>
      </c>
      <c r="W288" s="7">
        <v>587839</v>
      </c>
      <c r="X288" t="s">
        <v>762</v>
      </c>
      <c r="Y288" s="8">
        <v>0</v>
      </c>
      <c r="Z288" s="8">
        <v>0</v>
      </c>
      <c r="AA288" s="8">
        <v>0</v>
      </c>
      <c r="AB288" s="7">
        <v>111306</v>
      </c>
      <c r="AC288" t="s">
        <v>762</v>
      </c>
      <c r="AD288" s="8">
        <v>0</v>
      </c>
      <c r="AG288" t="s">
        <v>937</v>
      </c>
      <c r="AH288" t="s">
        <v>802</v>
      </c>
      <c r="AI288" t="s">
        <v>803</v>
      </c>
    </row>
    <row r="289" spans="1:35" hidden="1">
      <c r="A289" s="7">
        <v>288</v>
      </c>
      <c r="B289" t="s">
        <v>243</v>
      </c>
      <c r="C289" t="s">
        <v>244</v>
      </c>
      <c r="D289" s="7">
        <v>7134</v>
      </c>
      <c r="E289" t="s">
        <v>245</v>
      </c>
      <c r="F289" t="s">
        <v>246</v>
      </c>
      <c r="G289" t="s">
        <v>1515</v>
      </c>
      <c r="H289" t="s">
        <v>308</v>
      </c>
      <c r="I289" s="7">
        <v>1165</v>
      </c>
      <c r="J289" s="7">
        <v>89727</v>
      </c>
      <c r="K289" s="7">
        <v>12</v>
      </c>
      <c r="L289" t="s">
        <v>247</v>
      </c>
      <c r="M289" t="s">
        <v>261</v>
      </c>
      <c r="N289" s="7">
        <v>739574</v>
      </c>
      <c r="O289" t="s">
        <v>1516</v>
      </c>
      <c r="P289" t="s">
        <v>1517</v>
      </c>
      <c r="S289" t="s">
        <v>1225</v>
      </c>
      <c r="T289" t="s">
        <v>278</v>
      </c>
      <c r="U289" t="s">
        <v>633</v>
      </c>
      <c r="V289" s="8">
        <v>0</v>
      </c>
      <c r="W289" s="7">
        <v>587839</v>
      </c>
      <c r="X289" t="s">
        <v>762</v>
      </c>
      <c r="Y289" s="8">
        <v>0</v>
      </c>
      <c r="Z289" s="8">
        <v>0</v>
      </c>
      <c r="AA289" s="8">
        <v>0</v>
      </c>
      <c r="AB289" s="7">
        <v>111306</v>
      </c>
      <c r="AC289" t="s">
        <v>762</v>
      </c>
      <c r="AD289" s="8">
        <v>0</v>
      </c>
      <c r="AG289" t="s">
        <v>801</v>
      </c>
      <c r="AH289" t="s">
        <v>802</v>
      </c>
      <c r="AI289" t="s">
        <v>803</v>
      </c>
    </row>
    <row r="290" spans="1:35" hidden="1">
      <c r="A290" s="7">
        <v>289</v>
      </c>
      <c r="B290" t="s">
        <v>243</v>
      </c>
      <c r="C290" t="s">
        <v>244</v>
      </c>
      <c r="D290" s="7">
        <v>7134</v>
      </c>
      <c r="E290" t="s">
        <v>245</v>
      </c>
      <c r="F290" t="s">
        <v>246</v>
      </c>
      <c r="G290" t="s">
        <v>1521</v>
      </c>
      <c r="H290" t="s">
        <v>1274</v>
      </c>
      <c r="I290" s="7">
        <v>890</v>
      </c>
      <c r="J290" s="7">
        <v>29888</v>
      </c>
      <c r="K290" s="7">
        <v>4</v>
      </c>
      <c r="L290" t="s">
        <v>247</v>
      </c>
      <c r="M290" t="s">
        <v>261</v>
      </c>
      <c r="N290" s="7">
        <v>775800</v>
      </c>
      <c r="O290" t="s">
        <v>1522</v>
      </c>
      <c r="P290" t="s">
        <v>1523</v>
      </c>
      <c r="S290" t="s">
        <v>1225</v>
      </c>
      <c r="T290" t="s">
        <v>278</v>
      </c>
      <c r="U290" t="s">
        <v>633</v>
      </c>
      <c r="V290" s="8">
        <v>0</v>
      </c>
      <c r="W290" s="7">
        <v>587839</v>
      </c>
      <c r="X290" t="s">
        <v>762</v>
      </c>
      <c r="Y290" s="8">
        <v>0</v>
      </c>
      <c r="Z290" s="8">
        <v>0</v>
      </c>
      <c r="AA290" s="8">
        <v>0</v>
      </c>
      <c r="AB290" s="7">
        <v>111306</v>
      </c>
      <c r="AC290" t="s">
        <v>762</v>
      </c>
      <c r="AD290" s="8">
        <v>0</v>
      </c>
      <c r="AG290" t="s">
        <v>801</v>
      </c>
      <c r="AH290" t="s">
        <v>802</v>
      </c>
      <c r="AI290" t="s">
        <v>803</v>
      </c>
    </row>
    <row r="291" spans="1:35" hidden="1">
      <c r="A291" s="7">
        <v>290</v>
      </c>
      <c r="B291" t="s">
        <v>243</v>
      </c>
      <c r="C291" t="s">
        <v>244</v>
      </c>
      <c r="D291" s="7">
        <v>7134</v>
      </c>
      <c r="E291" t="s">
        <v>245</v>
      </c>
      <c r="F291" t="s">
        <v>246</v>
      </c>
      <c r="G291" t="s">
        <v>1409</v>
      </c>
      <c r="H291" t="s">
        <v>1325</v>
      </c>
      <c r="I291" s="7">
        <v>1165</v>
      </c>
      <c r="J291" s="7">
        <v>28778</v>
      </c>
      <c r="K291" s="7">
        <v>9</v>
      </c>
      <c r="L291" t="s">
        <v>247</v>
      </c>
      <c r="M291" t="s">
        <v>261</v>
      </c>
      <c r="N291" s="7">
        <v>753160</v>
      </c>
      <c r="O291" t="s">
        <v>1410</v>
      </c>
      <c r="P291" t="s">
        <v>1411</v>
      </c>
      <c r="S291" t="s">
        <v>1225</v>
      </c>
      <c r="T291" t="s">
        <v>278</v>
      </c>
      <c r="U291" t="s">
        <v>633</v>
      </c>
      <c r="V291" s="8">
        <v>0</v>
      </c>
      <c r="W291" s="7">
        <v>587839</v>
      </c>
      <c r="X291" t="s">
        <v>762</v>
      </c>
      <c r="Y291" s="8">
        <v>0</v>
      </c>
      <c r="Z291" s="8">
        <v>0</v>
      </c>
      <c r="AA291" s="8">
        <v>0</v>
      </c>
      <c r="AB291" s="7">
        <v>111306</v>
      </c>
      <c r="AC291" t="s">
        <v>762</v>
      </c>
      <c r="AD291" s="8">
        <v>0</v>
      </c>
      <c r="AG291" t="s">
        <v>801</v>
      </c>
      <c r="AH291" t="s">
        <v>802</v>
      </c>
      <c r="AI291" t="s">
        <v>803</v>
      </c>
    </row>
    <row r="292" spans="1:35" hidden="1">
      <c r="A292" s="7">
        <v>291</v>
      </c>
      <c r="B292" t="s">
        <v>243</v>
      </c>
      <c r="C292" t="s">
        <v>244</v>
      </c>
      <c r="D292" s="7">
        <v>7134</v>
      </c>
      <c r="E292" t="s">
        <v>245</v>
      </c>
      <c r="F292" t="s">
        <v>246</v>
      </c>
      <c r="G292" t="s">
        <v>829</v>
      </c>
      <c r="H292" t="s">
        <v>269</v>
      </c>
      <c r="I292" s="7">
        <v>1165</v>
      </c>
      <c r="J292" s="7">
        <v>10000</v>
      </c>
      <c r="K292" s="7">
        <v>1</v>
      </c>
      <c r="L292" t="s">
        <v>247</v>
      </c>
      <c r="M292" t="s">
        <v>361</v>
      </c>
      <c r="N292" s="7">
        <v>6183</v>
      </c>
      <c r="O292" t="s">
        <v>1500</v>
      </c>
      <c r="P292" t="s">
        <v>1501</v>
      </c>
      <c r="Q292" t="s">
        <v>283</v>
      </c>
      <c r="R292" t="s">
        <v>1062</v>
      </c>
      <c r="S292" t="s">
        <v>1225</v>
      </c>
      <c r="T292" t="s">
        <v>278</v>
      </c>
      <c r="U292" t="s">
        <v>633</v>
      </c>
      <c r="V292" s="8">
        <v>1650</v>
      </c>
      <c r="W292" s="7">
        <v>587839</v>
      </c>
      <c r="X292" t="s">
        <v>762</v>
      </c>
      <c r="Y292" s="8">
        <v>0</v>
      </c>
      <c r="Z292" s="8">
        <v>1947</v>
      </c>
      <c r="AA292" s="8">
        <v>297</v>
      </c>
      <c r="AB292" s="7">
        <v>111306</v>
      </c>
      <c r="AC292" t="s">
        <v>762</v>
      </c>
      <c r="AD292" s="8">
        <v>1650</v>
      </c>
      <c r="AG292" t="s">
        <v>823</v>
      </c>
      <c r="AH292" t="s">
        <v>802</v>
      </c>
      <c r="AI292" t="s">
        <v>818</v>
      </c>
    </row>
    <row r="293" spans="1:35" hidden="1">
      <c r="A293" s="7">
        <v>292</v>
      </c>
      <c r="B293" t="s">
        <v>243</v>
      </c>
      <c r="C293" t="s">
        <v>244</v>
      </c>
      <c r="D293" s="7">
        <v>7134</v>
      </c>
      <c r="E293" t="s">
        <v>245</v>
      </c>
      <c r="F293" t="s">
        <v>246</v>
      </c>
      <c r="G293" t="s">
        <v>1270</v>
      </c>
      <c r="H293" t="s">
        <v>308</v>
      </c>
      <c r="I293" s="7">
        <v>1165</v>
      </c>
      <c r="J293" s="7">
        <v>27357</v>
      </c>
      <c r="K293" s="7">
        <v>3</v>
      </c>
      <c r="L293" t="s">
        <v>247</v>
      </c>
      <c r="M293" t="s">
        <v>261</v>
      </c>
      <c r="N293" s="7">
        <v>786068</v>
      </c>
      <c r="O293" t="s">
        <v>1271</v>
      </c>
      <c r="P293" t="s">
        <v>1272</v>
      </c>
      <c r="S293" t="s">
        <v>1225</v>
      </c>
      <c r="T293" t="s">
        <v>278</v>
      </c>
      <c r="U293" t="s">
        <v>633</v>
      </c>
      <c r="V293" s="8">
        <v>1250</v>
      </c>
      <c r="W293" s="7">
        <v>587839</v>
      </c>
      <c r="X293" t="s">
        <v>762</v>
      </c>
      <c r="Y293" s="8">
        <v>1250</v>
      </c>
      <c r="Z293" s="8">
        <v>1475</v>
      </c>
      <c r="AA293" s="8">
        <v>225</v>
      </c>
      <c r="AB293" s="7">
        <v>111306</v>
      </c>
      <c r="AC293" t="s">
        <v>762</v>
      </c>
      <c r="AD293" s="8">
        <v>0</v>
      </c>
      <c r="AG293" t="s">
        <v>801</v>
      </c>
      <c r="AH293" t="s">
        <v>802</v>
      </c>
      <c r="AI293" t="s">
        <v>818</v>
      </c>
    </row>
    <row r="294" spans="1:35" hidden="1">
      <c r="A294" s="7">
        <v>293</v>
      </c>
      <c r="B294" t="s">
        <v>243</v>
      </c>
      <c r="C294" t="s">
        <v>244</v>
      </c>
      <c r="D294" s="7">
        <v>7134</v>
      </c>
      <c r="E294" t="s">
        <v>245</v>
      </c>
      <c r="F294" t="s">
        <v>246</v>
      </c>
      <c r="G294" t="s">
        <v>1535</v>
      </c>
      <c r="H294" t="s">
        <v>404</v>
      </c>
      <c r="I294" s="7">
        <v>1165</v>
      </c>
      <c r="J294" s="7">
        <v>79001</v>
      </c>
      <c r="K294" s="7">
        <v>8</v>
      </c>
      <c r="L294" t="s">
        <v>247</v>
      </c>
      <c r="M294" t="s">
        <v>267</v>
      </c>
      <c r="N294" s="7">
        <v>767284</v>
      </c>
      <c r="O294" t="s">
        <v>1536</v>
      </c>
      <c r="P294" t="s">
        <v>1537</v>
      </c>
      <c r="S294" t="s">
        <v>1225</v>
      </c>
      <c r="T294" t="s">
        <v>278</v>
      </c>
      <c r="U294" t="s">
        <v>633</v>
      </c>
      <c r="V294" s="8">
        <v>1250</v>
      </c>
      <c r="W294" s="7">
        <v>587839</v>
      </c>
      <c r="X294" t="s">
        <v>762</v>
      </c>
      <c r="Y294" s="8">
        <v>1250</v>
      </c>
      <c r="Z294" s="8">
        <v>1475</v>
      </c>
      <c r="AA294" s="8">
        <v>225</v>
      </c>
      <c r="AB294" s="7">
        <v>111306</v>
      </c>
      <c r="AC294" t="s">
        <v>762</v>
      </c>
      <c r="AD294" s="8">
        <v>0</v>
      </c>
      <c r="AG294" t="s">
        <v>828</v>
      </c>
      <c r="AH294" t="s">
        <v>802</v>
      </c>
      <c r="AI294" t="s">
        <v>818</v>
      </c>
    </row>
    <row r="295" spans="1:35" hidden="1">
      <c r="A295" s="7">
        <v>294</v>
      </c>
      <c r="B295" t="s">
        <v>243</v>
      </c>
      <c r="C295" t="s">
        <v>244</v>
      </c>
      <c r="D295" s="7">
        <v>7134</v>
      </c>
      <c r="E295" t="s">
        <v>245</v>
      </c>
      <c r="F295" t="s">
        <v>246</v>
      </c>
      <c r="G295" t="s">
        <v>1085</v>
      </c>
      <c r="H295" t="s">
        <v>921</v>
      </c>
      <c r="I295" s="7">
        <v>1165</v>
      </c>
      <c r="J295" s="7">
        <v>10028</v>
      </c>
      <c r="K295" s="7">
        <v>2</v>
      </c>
      <c r="L295" t="s">
        <v>247</v>
      </c>
      <c r="M295" t="s">
        <v>361</v>
      </c>
      <c r="N295" s="7">
        <v>5352</v>
      </c>
      <c r="O295" t="s">
        <v>1229</v>
      </c>
      <c r="P295" t="s">
        <v>1230</v>
      </c>
      <c r="S295" t="s">
        <v>1225</v>
      </c>
      <c r="T295" t="s">
        <v>278</v>
      </c>
      <c r="U295" t="s">
        <v>633</v>
      </c>
      <c r="V295" s="8">
        <v>0</v>
      </c>
      <c r="W295" s="7">
        <v>587839</v>
      </c>
      <c r="X295" t="s">
        <v>762</v>
      </c>
      <c r="Y295" s="8">
        <v>0</v>
      </c>
      <c r="Z295" s="8">
        <v>0</v>
      </c>
      <c r="AA295" s="8">
        <v>0</v>
      </c>
      <c r="AB295" s="7">
        <v>111306</v>
      </c>
      <c r="AC295" t="s">
        <v>762</v>
      </c>
      <c r="AD295" s="8">
        <v>0</v>
      </c>
      <c r="AG295" t="s">
        <v>823</v>
      </c>
      <c r="AH295" t="s">
        <v>802</v>
      </c>
      <c r="AI295" t="s">
        <v>803</v>
      </c>
    </row>
    <row r="296" spans="1:35" hidden="1">
      <c r="A296" s="7">
        <v>295</v>
      </c>
      <c r="B296" t="s">
        <v>243</v>
      </c>
      <c r="C296" t="s">
        <v>244</v>
      </c>
      <c r="D296" s="7">
        <v>7134</v>
      </c>
      <c r="E296" t="s">
        <v>245</v>
      </c>
      <c r="F296" t="s">
        <v>246</v>
      </c>
      <c r="G296" t="s">
        <v>1280</v>
      </c>
      <c r="H296" t="s">
        <v>1274</v>
      </c>
      <c r="I296" s="7">
        <v>920</v>
      </c>
      <c r="J296" s="7">
        <v>72921</v>
      </c>
      <c r="K296" s="7">
        <v>9</v>
      </c>
      <c r="L296" t="s">
        <v>247</v>
      </c>
      <c r="M296" t="s">
        <v>361</v>
      </c>
      <c r="N296" s="7">
        <v>1344</v>
      </c>
      <c r="O296" t="s">
        <v>1281</v>
      </c>
      <c r="P296" t="s">
        <v>1282</v>
      </c>
      <c r="S296" t="s">
        <v>1225</v>
      </c>
      <c r="T296" t="s">
        <v>278</v>
      </c>
      <c r="U296" t="s">
        <v>633</v>
      </c>
      <c r="V296" s="8">
        <v>0</v>
      </c>
      <c r="W296" s="7">
        <v>587839</v>
      </c>
      <c r="X296" t="s">
        <v>762</v>
      </c>
      <c r="Y296" s="8">
        <v>0</v>
      </c>
      <c r="Z296" s="8">
        <v>0</v>
      </c>
      <c r="AA296" s="8">
        <v>0</v>
      </c>
      <c r="AB296" s="7">
        <v>111306</v>
      </c>
      <c r="AC296" t="s">
        <v>762</v>
      </c>
      <c r="AD296" s="8">
        <v>0</v>
      </c>
      <c r="AG296" t="s">
        <v>823</v>
      </c>
      <c r="AH296" t="s">
        <v>802</v>
      </c>
      <c r="AI296" t="s">
        <v>803</v>
      </c>
    </row>
    <row r="297" spans="1:35" hidden="1">
      <c r="A297" s="7">
        <v>296</v>
      </c>
      <c r="B297" t="s">
        <v>243</v>
      </c>
      <c r="C297" t="s">
        <v>244</v>
      </c>
      <c r="D297" s="7">
        <v>7134</v>
      </c>
      <c r="E297" t="s">
        <v>245</v>
      </c>
      <c r="F297" t="s">
        <v>246</v>
      </c>
      <c r="G297" t="s">
        <v>1474</v>
      </c>
      <c r="H297" t="s">
        <v>412</v>
      </c>
      <c r="I297" s="7">
        <v>1165</v>
      </c>
      <c r="J297" s="7">
        <v>22073</v>
      </c>
      <c r="K297" s="7">
        <v>3</v>
      </c>
      <c r="L297" t="s">
        <v>247</v>
      </c>
      <c r="M297" t="s">
        <v>267</v>
      </c>
      <c r="N297" s="7">
        <v>776764</v>
      </c>
      <c r="O297" t="s">
        <v>1475</v>
      </c>
      <c r="P297" t="s">
        <v>1476</v>
      </c>
      <c r="S297" t="s">
        <v>1225</v>
      </c>
      <c r="T297" t="s">
        <v>278</v>
      </c>
      <c r="U297" t="s">
        <v>633</v>
      </c>
      <c r="V297" s="8">
        <v>1250</v>
      </c>
      <c r="W297" s="7">
        <v>587839</v>
      </c>
      <c r="X297" t="s">
        <v>762</v>
      </c>
      <c r="Y297" s="8">
        <v>1250</v>
      </c>
      <c r="Z297" s="8">
        <v>1475</v>
      </c>
      <c r="AA297" s="8">
        <v>225</v>
      </c>
      <c r="AB297" s="7">
        <v>111306</v>
      </c>
      <c r="AC297" t="s">
        <v>762</v>
      </c>
      <c r="AD297" s="8">
        <v>0</v>
      </c>
      <c r="AG297" t="s">
        <v>828</v>
      </c>
      <c r="AH297" t="s">
        <v>802</v>
      </c>
      <c r="AI297" t="s">
        <v>818</v>
      </c>
    </row>
    <row r="298" spans="1:35" hidden="1">
      <c r="A298" s="7">
        <v>297</v>
      </c>
      <c r="B298" t="s">
        <v>243</v>
      </c>
      <c r="C298" t="s">
        <v>244</v>
      </c>
      <c r="D298" s="7">
        <v>7134</v>
      </c>
      <c r="E298" t="s">
        <v>245</v>
      </c>
      <c r="F298" t="s">
        <v>246</v>
      </c>
      <c r="G298" t="s">
        <v>1063</v>
      </c>
      <c r="H298" t="s">
        <v>1257</v>
      </c>
      <c r="I298" s="7">
        <v>1165</v>
      </c>
      <c r="J298" s="7">
        <v>50000</v>
      </c>
      <c r="K298" s="7">
        <v>5</v>
      </c>
      <c r="L298" t="s">
        <v>247</v>
      </c>
      <c r="M298" t="s">
        <v>261</v>
      </c>
      <c r="N298" s="7">
        <v>773703</v>
      </c>
      <c r="O298" t="s">
        <v>1064</v>
      </c>
      <c r="P298" t="s">
        <v>1065</v>
      </c>
      <c r="S298" t="s">
        <v>1225</v>
      </c>
      <c r="T298" t="s">
        <v>278</v>
      </c>
      <c r="U298" t="s">
        <v>633</v>
      </c>
      <c r="V298" s="8">
        <v>1250</v>
      </c>
      <c r="W298" s="7">
        <v>587839</v>
      </c>
      <c r="X298" t="s">
        <v>762</v>
      </c>
      <c r="Y298" s="8">
        <v>1250</v>
      </c>
      <c r="Z298" s="8">
        <v>1475</v>
      </c>
      <c r="AA298" s="8">
        <v>225</v>
      </c>
      <c r="AB298" s="7">
        <v>111306</v>
      </c>
      <c r="AC298" t="s">
        <v>762</v>
      </c>
      <c r="AD298" s="8">
        <v>0</v>
      </c>
      <c r="AG298" t="s">
        <v>801</v>
      </c>
      <c r="AH298" t="s">
        <v>802</v>
      </c>
      <c r="AI298" t="s">
        <v>818</v>
      </c>
    </row>
    <row r="299" spans="1:35" hidden="1">
      <c r="A299" s="7">
        <v>298</v>
      </c>
      <c r="B299" t="s">
        <v>243</v>
      </c>
      <c r="C299" t="s">
        <v>244</v>
      </c>
      <c r="D299" s="7">
        <v>7134</v>
      </c>
      <c r="E299" t="s">
        <v>245</v>
      </c>
      <c r="F299" t="s">
        <v>246</v>
      </c>
      <c r="G299" t="s">
        <v>1226</v>
      </c>
      <c r="H299" t="s">
        <v>273</v>
      </c>
      <c r="I299" s="7">
        <v>1165</v>
      </c>
      <c r="J299" s="7">
        <v>14372</v>
      </c>
      <c r="K299" s="7">
        <v>3</v>
      </c>
      <c r="L299" t="s">
        <v>247</v>
      </c>
      <c r="M299" t="s">
        <v>261</v>
      </c>
      <c r="N299" s="7">
        <v>1</v>
      </c>
      <c r="O299" t="s">
        <v>1227</v>
      </c>
      <c r="P299" t="s">
        <v>1228</v>
      </c>
      <c r="S299" t="s">
        <v>1225</v>
      </c>
      <c r="T299" t="s">
        <v>278</v>
      </c>
      <c r="U299" t="s">
        <v>633</v>
      </c>
      <c r="V299" s="8">
        <v>1250</v>
      </c>
      <c r="W299" s="7">
        <v>587839</v>
      </c>
      <c r="X299" t="s">
        <v>762</v>
      </c>
      <c r="Y299" s="8">
        <v>1250</v>
      </c>
      <c r="Z299" s="8">
        <v>1475</v>
      </c>
      <c r="AA299" s="8">
        <v>225</v>
      </c>
      <c r="AB299" s="7">
        <v>111306</v>
      </c>
      <c r="AC299" t="s">
        <v>762</v>
      </c>
      <c r="AD299" s="8">
        <v>0</v>
      </c>
      <c r="AG299" t="s">
        <v>817</v>
      </c>
      <c r="AH299" t="s">
        <v>802</v>
      </c>
      <c r="AI299" t="s">
        <v>818</v>
      </c>
    </row>
    <row r="300" spans="1:35" hidden="1">
      <c r="A300" s="7">
        <v>299</v>
      </c>
      <c r="B300" t="s">
        <v>243</v>
      </c>
      <c r="C300" t="s">
        <v>244</v>
      </c>
      <c r="D300" s="7">
        <v>7134</v>
      </c>
      <c r="E300" t="s">
        <v>245</v>
      </c>
      <c r="F300" t="s">
        <v>246</v>
      </c>
      <c r="G300" t="s">
        <v>1431</v>
      </c>
      <c r="H300" t="s">
        <v>1290</v>
      </c>
      <c r="I300" s="7">
        <v>965</v>
      </c>
      <c r="J300" s="7">
        <v>30713</v>
      </c>
      <c r="K300" s="7">
        <v>5</v>
      </c>
      <c r="L300" t="s">
        <v>247</v>
      </c>
      <c r="M300" t="s">
        <v>261</v>
      </c>
      <c r="N300" s="7">
        <v>775258</v>
      </c>
      <c r="O300" t="s">
        <v>1432</v>
      </c>
      <c r="P300" t="s">
        <v>1433</v>
      </c>
      <c r="S300" t="s">
        <v>1225</v>
      </c>
      <c r="T300" t="s">
        <v>278</v>
      </c>
      <c r="U300" t="s">
        <v>633</v>
      </c>
      <c r="V300" s="8">
        <v>1250</v>
      </c>
      <c r="W300" s="7">
        <v>587839</v>
      </c>
      <c r="X300" t="s">
        <v>762</v>
      </c>
      <c r="Y300" s="8">
        <v>1250</v>
      </c>
      <c r="Z300" s="8">
        <v>1475</v>
      </c>
      <c r="AA300" s="8">
        <v>225</v>
      </c>
      <c r="AB300" s="7">
        <v>111306</v>
      </c>
      <c r="AC300" t="s">
        <v>762</v>
      </c>
      <c r="AD300" s="8">
        <v>0</v>
      </c>
      <c r="AG300" t="s">
        <v>801</v>
      </c>
      <c r="AH300" t="s">
        <v>802</v>
      </c>
      <c r="AI300" t="s">
        <v>818</v>
      </c>
    </row>
    <row r="301" spans="1:35" hidden="1">
      <c r="A301" s="7">
        <v>300</v>
      </c>
      <c r="B301" t="s">
        <v>243</v>
      </c>
      <c r="C301" t="s">
        <v>244</v>
      </c>
      <c r="D301" s="7">
        <v>7134</v>
      </c>
      <c r="E301" t="s">
        <v>245</v>
      </c>
      <c r="F301" t="s">
        <v>246</v>
      </c>
      <c r="G301" t="s">
        <v>1366</v>
      </c>
      <c r="H301" t="s">
        <v>273</v>
      </c>
      <c r="I301" s="7">
        <v>1165</v>
      </c>
      <c r="J301" s="7">
        <v>26300</v>
      </c>
      <c r="K301" s="7">
        <v>12</v>
      </c>
      <c r="L301" t="s">
        <v>247</v>
      </c>
      <c r="M301" t="s">
        <v>261</v>
      </c>
      <c r="N301" s="7">
        <v>739327</v>
      </c>
      <c r="O301" t="s">
        <v>1554</v>
      </c>
      <c r="P301" t="s">
        <v>1555</v>
      </c>
      <c r="S301" t="s">
        <v>1225</v>
      </c>
      <c r="T301" t="s">
        <v>278</v>
      </c>
      <c r="U301" t="s">
        <v>633</v>
      </c>
      <c r="V301" s="8">
        <v>0</v>
      </c>
      <c r="W301" s="7">
        <v>587839</v>
      </c>
      <c r="X301" t="s">
        <v>762</v>
      </c>
      <c r="Y301" s="8">
        <v>0</v>
      </c>
      <c r="Z301" s="8">
        <v>0</v>
      </c>
      <c r="AA301" s="8">
        <v>0</v>
      </c>
      <c r="AB301" s="7">
        <v>111306</v>
      </c>
      <c r="AC301" t="s">
        <v>762</v>
      </c>
      <c r="AD301" s="8">
        <v>0</v>
      </c>
      <c r="AG301" t="s">
        <v>801</v>
      </c>
      <c r="AH301" t="s">
        <v>802</v>
      </c>
      <c r="AI301" t="s">
        <v>803</v>
      </c>
    </row>
    <row r="302" spans="1:35" hidden="1">
      <c r="A302" s="7">
        <v>301</v>
      </c>
      <c r="B302" t="s">
        <v>243</v>
      </c>
      <c r="C302" t="s">
        <v>244</v>
      </c>
      <c r="D302" s="7">
        <v>7134</v>
      </c>
      <c r="E302" t="s">
        <v>245</v>
      </c>
      <c r="F302" t="s">
        <v>246</v>
      </c>
      <c r="G302" t="s">
        <v>1226</v>
      </c>
      <c r="H302" t="s">
        <v>404</v>
      </c>
      <c r="I302" s="7">
        <v>1165</v>
      </c>
      <c r="J302" s="7">
        <v>14655</v>
      </c>
      <c r="K302" s="7">
        <v>2</v>
      </c>
      <c r="L302" t="s">
        <v>247</v>
      </c>
      <c r="M302" t="s">
        <v>267</v>
      </c>
      <c r="N302" s="7">
        <v>768950</v>
      </c>
      <c r="O302" t="s">
        <v>1243</v>
      </c>
      <c r="P302" t="s">
        <v>1244</v>
      </c>
      <c r="Q302" t="s">
        <v>870</v>
      </c>
      <c r="R302" t="s">
        <v>871</v>
      </c>
      <c r="S302" t="s">
        <v>1225</v>
      </c>
      <c r="T302" t="s">
        <v>278</v>
      </c>
      <c r="U302" t="s">
        <v>633</v>
      </c>
      <c r="V302" s="8">
        <v>1250</v>
      </c>
      <c r="W302" s="7">
        <v>587839</v>
      </c>
      <c r="X302" t="s">
        <v>762</v>
      </c>
      <c r="Y302" s="8">
        <v>1000</v>
      </c>
      <c r="Z302" s="8">
        <v>1475</v>
      </c>
      <c r="AA302" s="8">
        <v>225</v>
      </c>
      <c r="AB302" s="7">
        <v>111306</v>
      </c>
      <c r="AC302" t="s">
        <v>762</v>
      </c>
      <c r="AD302" s="8">
        <v>250</v>
      </c>
      <c r="AG302" t="s">
        <v>1124</v>
      </c>
      <c r="AH302" t="s">
        <v>802</v>
      </c>
      <c r="AI302" t="s">
        <v>818</v>
      </c>
    </row>
    <row r="303" spans="1:35" hidden="1">
      <c r="A303" s="7">
        <v>302</v>
      </c>
      <c r="B303" t="s">
        <v>243</v>
      </c>
      <c r="C303" t="s">
        <v>244</v>
      </c>
      <c r="D303" s="7">
        <v>7134</v>
      </c>
      <c r="E303" t="s">
        <v>245</v>
      </c>
      <c r="F303" t="s">
        <v>246</v>
      </c>
      <c r="G303" t="s">
        <v>1245</v>
      </c>
      <c r="H303" t="s">
        <v>412</v>
      </c>
      <c r="I303" s="7">
        <v>1165</v>
      </c>
      <c r="J303" s="7">
        <v>11961</v>
      </c>
      <c r="K303" s="7">
        <v>9</v>
      </c>
      <c r="L303" t="s">
        <v>247</v>
      </c>
      <c r="M303" t="s">
        <v>261</v>
      </c>
      <c r="N303" s="7">
        <v>733384</v>
      </c>
      <c r="O303" t="s">
        <v>1246</v>
      </c>
      <c r="P303" t="s">
        <v>1247</v>
      </c>
      <c r="S303" t="s">
        <v>1225</v>
      </c>
      <c r="T303" t="s">
        <v>278</v>
      </c>
      <c r="U303" t="s">
        <v>633</v>
      </c>
      <c r="V303" s="8">
        <v>0</v>
      </c>
      <c r="W303" s="7">
        <v>587839</v>
      </c>
      <c r="X303" t="s">
        <v>762</v>
      </c>
      <c r="Y303" s="8">
        <v>0</v>
      </c>
      <c r="Z303" s="8">
        <v>0</v>
      </c>
      <c r="AA303" s="8">
        <v>0</v>
      </c>
      <c r="AB303" s="7">
        <v>111306</v>
      </c>
      <c r="AC303" t="s">
        <v>762</v>
      </c>
      <c r="AD303" s="8">
        <v>0</v>
      </c>
      <c r="AG303" t="s">
        <v>808</v>
      </c>
      <c r="AH303" t="s">
        <v>802</v>
      </c>
      <c r="AI303" t="s">
        <v>803</v>
      </c>
    </row>
    <row r="304" spans="1:35" hidden="1">
      <c r="A304" s="7">
        <v>303</v>
      </c>
      <c r="B304" t="s">
        <v>243</v>
      </c>
      <c r="C304" t="s">
        <v>244</v>
      </c>
      <c r="D304" s="7">
        <v>7134</v>
      </c>
      <c r="E304" t="s">
        <v>245</v>
      </c>
      <c r="F304" t="s">
        <v>246</v>
      </c>
      <c r="G304" t="s">
        <v>898</v>
      </c>
      <c r="H304" t="s">
        <v>363</v>
      </c>
      <c r="I304" s="7">
        <v>1165</v>
      </c>
      <c r="J304" s="7">
        <v>30000</v>
      </c>
      <c r="K304" s="7">
        <v>3</v>
      </c>
      <c r="L304" t="s">
        <v>247</v>
      </c>
      <c r="M304" t="s">
        <v>361</v>
      </c>
      <c r="N304" s="7">
        <v>5355</v>
      </c>
      <c r="O304" t="s">
        <v>1213</v>
      </c>
      <c r="P304" t="s">
        <v>1214</v>
      </c>
      <c r="S304" t="s">
        <v>1225</v>
      </c>
      <c r="T304" t="s">
        <v>278</v>
      </c>
      <c r="U304" t="s">
        <v>633</v>
      </c>
      <c r="V304" s="8">
        <v>1650</v>
      </c>
      <c r="W304" s="7">
        <v>587839</v>
      </c>
      <c r="X304" t="s">
        <v>762</v>
      </c>
      <c r="Y304" s="8">
        <v>1650</v>
      </c>
      <c r="Z304" s="8">
        <v>1947</v>
      </c>
      <c r="AA304" s="8">
        <v>297</v>
      </c>
      <c r="AB304" s="7">
        <v>111306</v>
      </c>
      <c r="AC304" t="s">
        <v>762</v>
      </c>
      <c r="AD304" s="8">
        <v>0</v>
      </c>
      <c r="AG304" t="s">
        <v>823</v>
      </c>
      <c r="AH304" t="s">
        <v>802</v>
      </c>
      <c r="AI304" t="s">
        <v>818</v>
      </c>
    </row>
    <row r="305" spans="1:35" hidden="1">
      <c r="A305" s="7">
        <v>304</v>
      </c>
      <c r="B305" t="s">
        <v>243</v>
      </c>
      <c r="C305" t="s">
        <v>244</v>
      </c>
      <c r="D305" s="7">
        <v>7134</v>
      </c>
      <c r="E305" t="s">
        <v>245</v>
      </c>
      <c r="F305" t="s">
        <v>246</v>
      </c>
      <c r="G305" t="s">
        <v>1356</v>
      </c>
      <c r="H305" t="s">
        <v>263</v>
      </c>
      <c r="I305" s="7">
        <v>1165</v>
      </c>
      <c r="J305" s="7">
        <v>60000</v>
      </c>
      <c r="K305" s="7">
        <v>6</v>
      </c>
      <c r="L305" t="s">
        <v>247</v>
      </c>
      <c r="M305" t="s">
        <v>261</v>
      </c>
      <c r="N305" s="7">
        <v>763919</v>
      </c>
      <c r="O305" t="s">
        <v>1357</v>
      </c>
      <c r="P305" t="s">
        <v>1358</v>
      </c>
      <c r="S305" t="s">
        <v>1225</v>
      </c>
      <c r="T305" t="s">
        <v>278</v>
      </c>
      <c r="U305" t="s">
        <v>633</v>
      </c>
      <c r="V305" s="8">
        <v>0</v>
      </c>
      <c r="W305" s="7">
        <v>587839</v>
      </c>
      <c r="X305" t="s">
        <v>762</v>
      </c>
      <c r="Y305" s="8">
        <v>0</v>
      </c>
      <c r="Z305" s="8">
        <v>0</v>
      </c>
      <c r="AA305" s="8">
        <v>0</v>
      </c>
      <c r="AB305" s="7">
        <v>111306</v>
      </c>
      <c r="AC305" t="s">
        <v>762</v>
      </c>
      <c r="AD305" s="8">
        <v>0</v>
      </c>
      <c r="AG305" t="s">
        <v>801</v>
      </c>
      <c r="AH305" t="s">
        <v>802</v>
      </c>
      <c r="AI305" t="s">
        <v>803</v>
      </c>
    </row>
    <row r="306" spans="1:35" hidden="1">
      <c r="A306" s="7">
        <v>305</v>
      </c>
      <c r="B306" t="s">
        <v>243</v>
      </c>
      <c r="C306" t="s">
        <v>244</v>
      </c>
      <c r="D306" s="7">
        <v>7134</v>
      </c>
      <c r="E306" t="s">
        <v>245</v>
      </c>
      <c r="F306" t="s">
        <v>246</v>
      </c>
      <c r="G306" t="s">
        <v>1359</v>
      </c>
      <c r="H306" t="s">
        <v>400</v>
      </c>
      <c r="I306" s="7">
        <v>1165</v>
      </c>
      <c r="J306" s="7">
        <v>22216</v>
      </c>
      <c r="K306" s="7">
        <v>2</v>
      </c>
      <c r="L306" t="s">
        <v>247</v>
      </c>
      <c r="M306" t="s">
        <v>261</v>
      </c>
      <c r="N306" s="7">
        <v>770480</v>
      </c>
      <c r="O306" t="s">
        <v>1360</v>
      </c>
      <c r="P306" t="s">
        <v>1361</v>
      </c>
      <c r="Q306" t="s">
        <v>870</v>
      </c>
      <c r="R306" t="s">
        <v>871</v>
      </c>
      <c r="S306" t="s">
        <v>1225</v>
      </c>
      <c r="T306" t="s">
        <v>278</v>
      </c>
      <c r="U306" t="s">
        <v>633</v>
      </c>
      <c r="V306" s="8">
        <v>1250</v>
      </c>
      <c r="W306" s="7">
        <v>587839</v>
      </c>
      <c r="X306" t="s">
        <v>762</v>
      </c>
      <c r="Y306" s="8">
        <v>1000</v>
      </c>
      <c r="Z306" s="8">
        <v>1475</v>
      </c>
      <c r="AA306" s="8">
        <v>225</v>
      </c>
      <c r="AB306" s="7">
        <v>111306</v>
      </c>
      <c r="AC306" t="s">
        <v>762</v>
      </c>
      <c r="AD306" s="8">
        <v>250</v>
      </c>
      <c r="AG306" t="s">
        <v>817</v>
      </c>
      <c r="AH306" t="s">
        <v>802</v>
      </c>
      <c r="AI306" t="s">
        <v>818</v>
      </c>
    </row>
    <row r="307" spans="1:35" hidden="1">
      <c r="A307" s="7">
        <v>306</v>
      </c>
      <c r="B307" t="s">
        <v>243</v>
      </c>
      <c r="C307" t="s">
        <v>244</v>
      </c>
      <c r="D307" s="7">
        <v>7134</v>
      </c>
      <c r="E307" t="s">
        <v>245</v>
      </c>
      <c r="F307" t="s">
        <v>246</v>
      </c>
      <c r="G307" t="s">
        <v>1098</v>
      </c>
      <c r="H307" t="s">
        <v>328</v>
      </c>
      <c r="I307" s="7">
        <v>1165</v>
      </c>
      <c r="J307" s="7">
        <v>80000</v>
      </c>
      <c r="K307" s="7">
        <v>8</v>
      </c>
      <c r="L307" t="s">
        <v>247</v>
      </c>
      <c r="M307" t="s">
        <v>361</v>
      </c>
      <c r="N307" s="7">
        <v>2135</v>
      </c>
      <c r="O307" t="s">
        <v>1099</v>
      </c>
      <c r="P307" t="s">
        <v>1100</v>
      </c>
      <c r="S307" t="s">
        <v>1225</v>
      </c>
      <c r="T307" t="s">
        <v>278</v>
      </c>
      <c r="U307" t="s">
        <v>633</v>
      </c>
      <c r="V307" s="8">
        <v>0</v>
      </c>
      <c r="W307" s="7">
        <v>587839</v>
      </c>
      <c r="X307" t="s">
        <v>762</v>
      </c>
      <c r="Y307" s="8">
        <v>0</v>
      </c>
      <c r="Z307" s="8">
        <v>0</v>
      </c>
      <c r="AA307" s="8">
        <v>0</v>
      </c>
      <c r="AB307" s="7">
        <v>111306</v>
      </c>
      <c r="AC307" t="s">
        <v>762</v>
      </c>
      <c r="AD307" s="8">
        <v>0</v>
      </c>
      <c r="AG307" t="s">
        <v>823</v>
      </c>
      <c r="AH307" t="s">
        <v>802</v>
      </c>
      <c r="AI307" t="s">
        <v>803</v>
      </c>
    </row>
    <row r="308" spans="1:35" hidden="1">
      <c r="A308" s="7">
        <v>307</v>
      </c>
      <c r="B308" t="s">
        <v>243</v>
      </c>
      <c r="C308" t="s">
        <v>244</v>
      </c>
      <c r="D308" s="7">
        <v>7134</v>
      </c>
      <c r="E308" t="s">
        <v>245</v>
      </c>
      <c r="F308" t="s">
        <v>246</v>
      </c>
      <c r="G308" t="s">
        <v>1453</v>
      </c>
      <c r="H308" t="s">
        <v>1316</v>
      </c>
      <c r="I308" s="7">
        <v>1165</v>
      </c>
      <c r="J308" s="7">
        <v>10000</v>
      </c>
      <c r="K308" s="7">
        <v>1</v>
      </c>
      <c r="L308" t="s">
        <v>247</v>
      </c>
      <c r="M308" t="s">
        <v>267</v>
      </c>
      <c r="N308" s="7">
        <v>789589</v>
      </c>
      <c r="O308" t="s">
        <v>1454</v>
      </c>
      <c r="P308" t="s">
        <v>1455</v>
      </c>
      <c r="Q308" t="s">
        <v>870</v>
      </c>
      <c r="R308" t="s">
        <v>871</v>
      </c>
      <c r="S308" t="s">
        <v>1225</v>
      </c>
      <c r="T308" t="s">
        <v>278</v>
      </c>
      <c r="U308" t="s">
        <v>633</v>
      </c>
      <c r="V308" s="8">
        <v>1250</v>
      </c>
      <c r="W308" s="7">
        <v>587839</v>
      </c>
      <c r="X308" t="s">
        <v>762</v>
      </c>
      <c r="Y308" s="8">
        <v>1000</v>
      </c>
      <c r="Z308" s="8">
        <v>1475</v>
      </c>
      <c r="AA308" s="8">
        <v>225</v>
      </c>
      <c r="AB308" s="7">
        <v>111306</v>
      </c>
      <c r="AC308" t="s">
        <v>762</v>
      </c>
      <c r="AD308" s="8">
        <v>250</v>
      </c>
      <c r="AG308" t="s">
        <v>828</v>
      </c>
      <c r="AH308" t="s">
        <v>802</v>
      </c>
      <c r="AI308" t="s">
        <v>818</v>
      </c>
    </row>
    <row r="309" spans="1:35" hidden="1">
      <c r="A309" s="7">
        <v>308</v>
      </c>
      <c r="B309" t="s">
        <v>243</v>
      </c>
      <c r="C309" t="s">
        <v>244</v>
      </c>
      <c r="D309" s="7">
        <v>7134</v>
      </c>
      <c r="E309" t="s">
        <v>245</v>
      </c>
      <c r="F309" t="s">
        <v>246</v>
      </c>
      <c r="G309" t="s">
        <v>1566</v>
      </c>
      <c r="H309" t="s">
        <v>1231</v>
      </c>
      <c r="I309" s="7">
        <v>1165</v>
      </c>
      <c r="J309" s="7">
        <v>15174</v>
      </c>
      <c r="K309" s="7">
        <v>2</v>
      </c>
      <c r="L309" t="s">
        <v>247</v>
      </c>
      <c r="M309" t="s">
        <v>261</v>
      </c>
      <c r="N309" s="7">
        <v>781813</v>
      </c>
      <c r="O309" t="s">
        <v>1567</v>
      </c>
      <c r="P309" t="s">
        <v>1568</v>
      </c>
      <c r="S309" t="s">
        <v>1225</v>
      </c>
      <c r="T309" t="s">
        <v>278</v>
      </c>
      <c r="U309" t="s">
        <v>633</v>
      </c>
      <c r="V309" s="8">
        <v>1250</v>
      </c>
      <c r="W309" s="7">
        <v>587839</v>
      </c>
      <c r="X309" t="s">
        <v>762</v>
      </c>
      <c r="Y309" s="8">
        <v>1250</v>
      </c>
      <c r="Z309" s="8">
        <v>1475</v>
      </c>
      <c r="AA309" s="8">
        <v>225</v>
      </c>
      <c r="AB309" s="7">
        <v>111306</v>
      </c>
      <c r="AC309" t="s">
        <v>762</v>
      </c>
      <c r="AD309" s="8">
        <v>0</v>
      </c>
      <c r="AG309" t="s">
        <v>817</v>
      </c>
      <c r="AH309" t="s">
        <v>802</v>
      </c>
      <c r="AI309" t="s">
        <v>818</v>
      </c>
    </row>
    <row r="310" spans="1:35" hidden="1">
      <c r="A310" s="7">
        <v>309</v>
      </c>
      <c r="B310" t="s">
        <v>243</v>
      </c>
      <c r="C310" t="s">
        <v>244</v>
      </c>
      <c r="D310" s="7">
        <v>7134</v>
      </c>
      <c r="E310" t="s">
        <v>245</v>
      </c>
      <c r="F310" t="s">
        <v>246</v>
      </c>
      <c r="G310" t="s">
        <v>1362</v>
      </c>
      <c r="H310" t="s">
        <v>278</v>
      </c>
      <c r="I310" s="7">
        <v>1165</v>
      </c>
      <c r="J310" s="7">
        <v>6160</v>
      </c>
      <c r="K310" s="7">
        <v>2</v>
      </c>
      <c r="L310" t="s">
        <v>247</v>
      </c>
      <c r="M310" t="s">
        <v>398</v>
      </c>
      <c r="N310" s="7">
        <v>788121</v>
      </c>
      <c r="O310" t="s">
        <v>1363</v>
      </c>
      <c r="P310" t="s">
        <v>1364</v>
      </c>
      <c r="Q310" t="s">
        <v>283</v>
      </c>
      <c r="R310" t="s">
        <v>1062</v>
      </c>
      <c r="S310" t="s">
        <v>1225</v>
      </c>
      <c r="T310" t="s">
        <v>278</v>
      </c>
      <c r="U310" t="s">
        <v>633</v>
      </c>
      <c r="V310" s="8">
        <v>0</v>
      </c>
      <c r="W310" s="7">
        <v>587839</v>
      </c>
      <c r="X310" t="s">
        <v>762</v>
      </c>
      <c r="Y310" s="8">
        <v>0</v>
      </c>
      <c r="Z310" s="8">
        <v>0</v>
      </c>
      <c r="AA310" s="8">
        <v>0</v>
      </c>
      <c r="AB310" s="7">
        <v>111306</v>
      </c>
      <c r="AC310" t="s">
        <v>762</v>
      </c>
      <c r="AD310" s="8">
        <v>0</v>
      </c>
      <c r="AG310" t="s">
        <v>1365</v>
      </c>
      <c r="AH310" t="s">
        <v>802</v>
      </c>
      <c r="AI310" t="s">
        <v>803</v>
      </c>
    </row>
    <row r="311" spans="1:35" hidden="1">
      <c r="A311" s="7">
        <v>310</v>
      </c>
      <c r="B311" t="s">
        <v>243</v>
      </c>
      <c r="C311" t="s">
        <v>244</v>
      </c>
      <c r="D311" s="7">
        <v>7134</v>
      </c>
      <c r="E311" t="s">
        <v>245</v>
      </c>
      <c r="F311" t="s">
        <v>246</v>
      </c>
      <c r="G311" t="s">
        <v>1004</v>
      </c>
      <c r="H311" t="s">
        <v>404</v>
      </c>
      <c r="I311" s="7">
        <v>1165</v>
      </c>
      <c r="J311" s="7">
        <v>10000</v>
      </c>
      <c r="K311" s="7">
        <v>1</v>
      </c>
      <c r="L311" t="s">
        <v>247</v>
      </c>
      <c r="M311" t="s">
        <v>361</v>
      </c>
      <c r="N311" s="7">
        <v>5607</v>
      </c>
      <c r="O311" t="s">
        <v>1351</v>
      </c>
      <c r="P311" t="s">
        <v>1352</v>
      </c>
      <c r="S311" t="s">
        <v>1225</v>
      </c>
      <c r="T311" t="s">
        <v>278</v>
      </c>
      <c r="U311" t="s">
        <v>633</v>
      </c>
      <c r="V311" s="8">
        <v>1650</v>
      </c>
      <c r="W311" s="7">
        <v>587839</v>
      </c>
      <c r="X311" t="s">
        <v>762</v>
      </c>
      <c r="Y311" s="8">
        <v>1650</v>
      </c>
      <c r="Z311" s="8">
        <v>1947</v>
      </c>
      <c r="AA311" s="8">
        <v>297</v>
      </c>
      <c r="AB311" s="7">
        <v>111306</v>
      </c>
      <c r="AC311" t="s">
        <v>762</v>
      </c>
      <c r="AD311" s="8">
        <v>0</v>
      </c>
      <c r="AG311" t="s">
        <v>823</v>
      </c>
      <c r="AH311" t="s">
        <v>802</v>
      </c>
      <c r="AI311" t="s">
        <v>818</v>
      </c>
    </row>
    <row r="312" spans="1:35" hidden="1">
      <c r="A312" s="7">
        <v>311</v>
      </c>
      <c r="B312" t="s">
        <v>243</v>
      </c>
      <c r="C312" t="s">
        <v>244</v>
      </c>
      <c r="D312" s="7">
        <v>7134</v>
      </c>
      <c r="E312" t="s">
        <v>245</v>
      </c>
      <c r="F312" t="s">
        <v>246</v>
      </c>
      <c r="G312" t="s">
        <v>1353</v>
      </c>
      <c r="H312" t="s">
        <v>1325</v>
      </c>
      <c r="I312" s="7">
        <v>1165</v>
      </c>
      <c r="J312" s="7">
        <v>75320</v>
      </c>
      <c r="K312" s="7">
        <v>7</v>
      </c>
      <c r="L312" t="s">
        <v>247</v>
      </c>
      <c r="M312" t="s">
        <v>267</v>
      </c>
      <c r="N312" s="7">
        <v>766569</v>
      </c>
      <c r="O312" t="s">
        <v>1354</v>
      </c>
      <c r="P312" t="s">
        <v>1355</v>
      </c>
      <c r="Q312" t="s">
        <v>908</v>
      </c>
      <c r="R312" t="s">
        <v>909</v>
      </c>
      <c r="S312" t="s">
        <v>1225</v>
      </c>
      <c r="T312" t="s">
        <v>278</v>
      </c>
      <c r="U312" t="s">
        <v>633</v>
      </c>
      <c r="V312" s="8">
        <v>0</v>
      </c>
      <c r="W312" s="7">
        <v>587839</v>
      </c>
      <c r="X312" t="s">
        <v>762</v>
      </c>
      <c r="Y312" s="8">
        <v>0</v>
      </c>
      <c r="Z312" s="8">
        <v>0</v>
      </c>
      <c r="AA312" s="8">
        <v>0</v>
      </c>
      <c r="AB312" s="7">
        <v>111306</v>
      </c>
      <c r="AC312" t="s">
        <v>762</v>
      </c>
      <c r="AD312" s="8">
        <v>0</v>
      </c>
      <c r="AG312" t="s">
        <v>828</v>
      </c>
      <c r="AH312" t="s">
        <v>802</v>
      </c>
      <c r="AI312" t="s">
        <v>803</v>
      </c>
    </row>
    <row r="313" spans="1:35" hidden="1">
      <c r="A313" s="7">
        <v>312</v>
      </c>
      <c r="B313" t="s">
        <v>243</v>
      </c>
      <c r="C313" t="s">
        <v>244</v>
      </c>
      <c r="D313" s="7">
        <v>7134</v>
      </c>
      <c r="E313" t="s">
        <v>245</v>
      </c>
      <c r="F313" t="s">
        <v>246</v>
      </c>
      <c r="G313" t="s">
        <v>1273</v>
      </c>
      <c r="H313" t="s">
        <v>1274</v>
      </c>
      <c r="I313" s="7">
        <v>1165</v>
      </c>
      <c r="J313" s="7">
        <v>12500</v>
      </c>
      <c r="K313" s="7">
        <v>2</v>
      </c>
      <c r="L313" t="s">
        <v>247</v>
      </c>
      <c r="M313" t="s">
        <v>252</v>
      </c>
      <c r="N313" s="7">
        <v>324906</v>
      </c>
      <c r="O313" t="s">
        <v>1275</v>
      </c>
      <c r="P313" t="s">
        <v>1276</v>
      </c>
      <c r="Q313" t="s">
        <v>870</v>
      </c>
      <c r="R313" t="s">
        <v>871</v>
      </c>
      <c r="S313" t="s">
        <v>1225</v>
      </c>
      <c r="T313" t="s">
        <v>278</v>
      </c>
      <c r="U313" t="s">
        <v>633</v>
      </c>
      <c r="V313" s="8">
        <v>0</v>
      </c>
      <c r="W313" s="7">
        <v>587839</v>
      </c>
      <c r="X313" t="s">
        <v>762</v>
      </c>
      <c r="Y313" s="8">
        <v>0</v>
      </c>
      <c r="Z313" s="8">
        <v>0</v>
      </c>
      <c r="AA313" s="8">
        <v>0</v>
      </c>
      <c r="AB313" s="7">
        <v>111306</v>
      </c>
      <c r="AC313" t="s">
        <v>762</v>
      </c>
      <c r="AD313" s="8">
        <v>0</v>
      </c>
      <c r="AG313" t="s">
        <v>937</v>
      </c>
      <c r="AH313" t="s">
        <v>802</v>
      </c>
      <c r="AI313" t="s">
        <v>803</v>
      </c>
    </row>
    <row r="314" spans="1:35" hidden="1">
      <c r="A314" s="7">
        <v>313</v>
      </c>
      <c r="B314" t="s">
        <v>243</v>
      </c>
      <c r="C314" t="s">
        <v>244</v>
      </c>
      <c r="D314" s="7">
        <v>7134</v>
      </c>
      <c r="E314" t="s">
        <v>245</v>
      </c>
      <c r="F314" t="s">
        <v>246</v>
      </c>
      <c r="G314" t="s">
        <v>1185</v>
      </c>
      <c r="H314" t="s">
        <v>273</v>
      </c>
      <c r="I314" s="7">
        <v>1165</v>
      </c>
      <c r="J314" s="7">
        <v>69706</v>
      </c>
      <c r="K314" s="7">
        <v>7</v>
      </c>
      <c r="L314" t="s">
        <v>247</v>
      </c>
      <c r="M314" t="s">
        <v>267</v>
      </c>
      <c r="N314" s="7">
        <v>767302</v>
      </c>
      <c r="O314" t="s">
        <v>1186</v>
      </c>
      <c r="P314" t="s">
        <v>1187</v>
      </c>
      <c r="S314" t="s">
        <v>1225</v>
      </c>
      <c r="T314" t="s">
        <v>278</v>
      </c>
      <c r="U314" t="s">
        <v>633</v>
      </c>
      <c r="V314" s="8">
        <v>0</v>
      </c>
      <c r="W314" s="7">
        <v>587839</v>
      </c>
      <c r="X314" t="s">
        <v>762</v>
      </c>
      <c r="Y314" s="8">
        <v>0</v>
      </c>
      <c r="Z314" s="8">
        <v>0</v>
      </c>
      <c r="AA314" s="8">
        <v>0</v>
      </c>
      <c r="AB314" s="7">
        <v>111306</v>
      </c>
      <c r="AC314" t="s">
        <v>762</v>
      </c>
      <c r="AD314" s="8">
        <v>0</v>
      </c>
      <c r="AG314" t="s">
        <v>828</v>
      </c>
      <c r="AH314" t="s">
        <v>802</v>
      </c>
      <c r="AI314" t="s">
        <v>803</v>
      </c>
    </row>
    <row r="315" spans="1:35" hidden="1">
      <c r="A315" s="7">
        <v>314</v>
      </c>
      <c r="B315" t="s">
        <v>243</v>
      </c>
      <c r="C315" t="s">
        <v>244</v>
      </c>
      <c r="D315" s="7">
        <v>7134</v>
      </c>
      <c r="E315" t="s">
        <v>245</v>
      </c>
      <c r="F315" t="s">
        <v>246</v>
      </c>
      <c r="G315" t="s">
        <v>1372</v>
      </c>
      <c r="H315" t="s">
        <v>934</v>
      </c>
      <c r="I315" s="7">
        <v>1152</v>
      </c>
      <c r="J315" s="7">
        <v>10597</v>
      </c>
      <c r="K315" s="7">
        <v>2</v>
      </c>
      <c r="L315" t="s">
        <v>247</v>
      </c>
      <c r="M315" t="s">
        <v>261</v>
      </c>
      <c r="N315" s="7">
        <v>787971</v>
      </c>
      <c r="O315" t="s">
        <v>1373</v>
      </c>
      <c r="P315" t="s">
        <v>1374</v>
      </c>
      <c r="S315" t="s">
        <v>1225</v>
      </c>
      <c r="T315" t="s">
        <v>278</v>
      </c>
      <c r="U315" t="s">
        <v>633</v>
      </c>
      <c r="V315" s="8">
        <v>0</v>
      </c>
      <c r="W315" s="7">
        <v>587839</v>
      </c>
      <c r="X315" t="s">
        <v>762</v>
      </c>
      <c r="Y315" s="8">
        <v>0</v>
      </c>
      <c r="Z315" s="8">
        <v>0</v>
      </c>
      <c r="AA315" s="8">
        <v>0</v>
      </c>
      <c r="AB315" s="7">
        <v>111306</v>
      </c>
      <c r="AC315" t="s">
        <v>762</v>
      </c>
      <c r="AD315" s="8">
        <v>0</v>
      </c>
      <c r="AG315" t="s">
        <v>801</v>
      </c>
      <c r="AH315" t="s">
        <v>802</v>
      </c>
      <c r="AI315" t="s">
        <v>803</v>
      </c>
    </row>
    <row r="316" spans="1:35" hidden="1">
      <c r="A316" s="7">
        <v>315</v>
      </c>
      <c r="B316" t="s">
        <v>243</v>
      </c>
      <c r="C316" t="s">
        <v>244</v>
      </c>
      <c r="D316" s="7">
        <v>7134</v>
      </c>
      <c r="E316" t="s">
        <v>245</v>
      </c>
      <c r="F316" t="s">
        <v>246</v>
      </c>
      <c r="G316" t="s">
        <v>1506</v>
      </c>
      <c r="H316" t="s">
        <v>404</v>
      </c>
      <c r="I316" s="7">
        <v>1165</v>
      </c>
      <c r="J316" s="7">
        <v>12204</v>
      </c>
      <c r="K316" s="7">
        <v>2</v>
      </c>
      <c r="L316" t="s">
        <v>247</v>
      </c>
      <c r="M316" t="s">
        <v>261</v>
      </c>
      <c r="N316" s="7">
        <v>770327</v>
      </c>
      <c r="O316" t="s">
        <v>1507</v>
      </c>
      <c r="P316" t="s">
        <v>1508</v>
      </c>
      <c r="S316" t="s">
        <v>1225</v>
      </c>
      <c r="T316" t="s">
        <v>278</v>
      </c>
      <c r="U316" t="s">
        <v>633</v>
      </c>
      <c r="V316" s="8">
        <v>1250</v>
      </c>
      <c r="W316" s="7">
        <v>587839</v>
      </c>
      <c r="X316" t="s">
        <v>762</v>
      </c>
      <c r="Y316" s="8">
        <v>1250</v>
      </c>
      <c r="Z316" s="8">
        <v>1475</v>
      </c>
      <c r="AA316" s="8">
        <v>225</v>
      </c>
      <c r="AB316" s="7">
        <v>111306</v>
      </c>
      <c r="AC316" t="s">
        <v>762</v>
      </c>
      <c r="AD316" s="8">
        <v>0</v>
      </c>
      <c r="AG316" t="s">
        <v>817</v>
      </c>
      <c r="AH316" t="s">
        <v>802</v>
      </c>
      <c r="AI316" t="s">
        <v>818</v>
      </c>
    </row>
    <row r="317" spans="1:35" hidden="1">
      <c r="A317" s="7">
        <v>316</v>
      </c>
      <c r="B317" t="s">
        <v>243</v>
      </c>
      <c r="C317" t="s">
        <v>244</v>
      </c>
      <c r="D317" s="7">
        <v>7134</v>
      </c>
      <c r="E317" t="s">
        <v>245</v>
      </c>
      <c r="F317" t="s">
        <v>246</v>
      </c>
      <c r="G317" t="s">
        <v>1583</v>
      </c>
      <c r="H317" t="s">
        <v>1257</v>
      </c>
      <c r="I317" s="7">
        <v>800</v>
      </c>
      <c r="J317" s="7">
        <v>10232</v>
      </c>
      <c r="K317" s="7">
        <v>2</v>
      </c>
      <c r="L317" t="s">
        <v>247</v>
      </c>
      <c r="M317" t="s">
        <v>261</v>
      </c>
      <c r="N317" s="7">
        <v>785764</v>
      </c>
      <c r="O317" t="s">
        <v>1584</v>
      </c>
      <c r="P317" t="s">
        <v>1585</v>
      </c>
      <c r="S317" t="s">
        <v>1225</v>
      </c>
      <c r="T317" t="s">
        <v>278</v>
      </c>
      <c r="U317" t="s">
        <v>633</v>
      </c>
      <c r="V317" s="8">
        <v>0</v>
      </c>
      <c r="W317" s="7">
        <v>587839</v>
      </c>
      <c r="X317" t="s">
        <v>762</v>
      </c>
      <c r="Y317" s="8">
        <v>0</v>
      </c>
      <c r="Z317" s="8">
        <v>0</v>
      </c>
      <c r="AA317" s="8">
        <v>0</v>
      </c>
      <c r="AB317" s="7">
        <v>111306</v>
      </c>
      <c r="AC317" t="s">
        <v>762</v>
      </c>
      <c r="AD317" s="8">
        <v>0</v>
      </c>
      <c r="AG317" t="s">
        <v>801</v>
      </c>
      <c r="AH317" t="s">
        <v>802</v>
      </c>
      <c r="AI317" t="s">
        <v>803</v>
      </c>
    </row>
    <row r="318" spans="1:35" hidden="1">
      <c r="A318" s="7">
        <v>317</v>
      </c>
      <c r="B318" t="s">
        <v>243</v>
      </c>
      <c r="C318" t="s">
        <v>244</v>
      </c>
      <c r="D318" s="7">
        <v>7134</v>
      </c>
      <c r="E318" t="s">
        <v>245</v>
      </c>
      <c r="F318" t="s">
        <v>246</v>
      </c>
      <c r="G318" t="s">
        <v>1574</v>
      </c>
      <c r="H318" t="s">
        <v>1257</v>
      </c>
      <c r="I318" s="7">
        <v>1165</v>
      </c>
      <c r="J318" s="7">
        <v>9700</v>
      </c>
      <c r="K318" s="7">
        <v>1</v>
      </c>
      <c r="L318" t="s">
        <v>247</v>
      </c>
      <c r="M318" t="s">
        <v>261</v>
      </c>
      <c r="N318" s="7">
        <v>792777</v>
      </c>
      <c r="O318" t="s">
        <v>1575</v>
      </c>
      <c r="P318" t="s">
        <v>1576</v>
      </c>
      <c r="S318" t="s">
        <v>1225</v>
      </c>
      <c r="T318" t="s">
        <v>278</v>
      </c>
      <c r="U318" t="s">
        <v>633</v>
      </c>
      <c r="V318" s="8">
        <v>1250</v>
      </c>
      <c r="W318" s="7">
        <v>587839</v>
      </c>
      <c r="X318" t="s">
        <v>762</v>
      </c>
      <c r="Y318" s="8">
        <v>1250</v>
      </c>
      <c r="Z318" s="8">
        <v>1475</v>
      </c>
      <c r="AA318" s="8">
        <v>225</v>
      </c>
      <c r="AB318" s="7">
        <v>111306</v>
      </c>
      <c r="AC318" t="s">
        <v>762</v>
      </c>
      <c r="AD318" s="8">
        <v>0</v>
      </c>
      <c r="AG318" t="s">
        <v>801</v>
      </c>
      <c r="AH318" t="s">
        <v>802</v>
      </c>
      <c r="AI318" t="s">
        <v>818</v>
      </c>
    </row>
    <row r="319" spans="1:35" hidden="1">
      <c r="A319" s="7">
        <v>318</v>
      </c>
      <c r="B319" t="s">
        <v>243</v>
      </c>
      <c r="C319" t="s">
        <v>244</v>
      </c>
      <c r="D319" s="7">
        <v>7134</v>
      </c>
      <c r="E319" t="s">
        <v>245</v>
      </c>
      <c r="F319" t="s">
        <v>246</v>
      </c>
      <c r="G319" t="s">
        <v>1153</v>
      </c>
      <c r="H319" t="s">
        <v>1603</v>
      </c>
      <c r="I319" s="7">
        <v>1165</v>
      </c>
      <c r="J319" s="7">
        <v>80000</v>
      </c>
      <c r="K319" s="7">
        <v>8</v>
      </c>
      <c r="L319" t="s">
        <v>247</v>
      </c>
      <c r="M319" t="s">
        <v>261</v>
      </c>
      <c r="N319" s="7">
        <v>761864</v>
      </c>
      <c r="O319" t="s">
        <v>1173</v>
      </c>
      <c r="P319" t="s">
        <v>1174</v>
      </c>
      <c r="S319" t="s">
        <v>1600</v>
      </c>
      <c r="T319" t="s">
        <v>1601</v>
      </c>
      <c r="U319" t="s">
        <v>1602</v>
      </c>
      <c r="V319" s="8">
        <v>1250</v>
      </c>
      <c r="W319" s="7">
        <v>588346</v>
      </c>
      <c r="X319" t="s">
        <v>418</v>
      </c>
      <c r="Y319" s="8">
        <v>1250</v>
      </c>
      <c r="Z319" s="8">
        <v>1475</v>
      </c>
      <c r="AA319" s="8">
        <v>225</v>
      </c>
      <c r="AB319" s="7">
        <v>111813</v>
      </c>
      <c r="AC319" t="s">
        <v>418</v>
      </c>
      <c r="AD319" s="8">
        <v>0</v>
      </c>
      <c r="AG319" t="s">
        <v>801</v>
      </c>
      <c r="AH319" t="s">
        <v>802</v>
      </c>
      <c r="AI319" t="s">
        <v>818</v>
      </c>
    </row>
    <row r="320" spans="1:35" hidden="1">
      <c r="A320" s="7">
        <v>319</v>
      </c>
      <c r="B320" t="s">
        <v>243</v>
      </c>
      <c r="C320" t="s">
        <v>244</v>
      </c>
      <c r="D320" s="7">
        <v>7134</v>
      </c>
      <c r="E320" t="s">
        <v>245</v>
      </c>
      <c r="F320" t="s">
        <v>246</v>
      </c>
      <c r="G320" t="s">
        <v>1053</v>
      </c>
      <c r="H320" t="s">
        <v>1603</v>
      </c>
      <c r="I320" s="7">
        <v>1165</v>
      </c>
      <c r="J320" s="7">
        <v>40000</v>
      </c>
      <c r="K320" s="7">
        <v>4</v>
      </c>
      <c r="L320" t="s">
        <v>247</v>
      </c>
      <c r="M320" t="s">
        <v>267</v>
      </c>
      <c r="N320" s="7">
        <v>776633</v>
      </c>
      <c r="O320" t="s">
        <v>1171</v>
      </c>
      <c r="P320" t="s">
        <v>1172</v>
      </c>
      <c r="S320" t="s">
        <v>1600</v>
      </c>
      <c r="T320" t="s">
        <v>1601</v>
      </c>
      <c r="U320" t="s">
        <v>1602</v>
      </c>
      <c r="V320" s="8">
        <v>0</v>
      </c>
      <c r="W320" s="7">
        <v>588346</v>
      </c>
      <c r="X320" t="s">
        <v>418</v>
      </c>
      <c r="Y320" s="8">
        <v>0</v>
      </c>
      <c r="Z320" s="8">
        <v>0</v>
      </c>
      <c r="AA320" s="8">
        <v>0</v>
      </c>
      <c r="AB320" s="7">
        <v>111813</v>
      </c>
      <c r="AC320" t="s">
        <v>418</v>
      </c>
      <c r="AD320" s="8">
        <v>0</v>
      </c>
      <c r="AG320" t="s">
        <v>828</v>
      </c>
      <c r="AH320" t="s">
        <v>802</v>
      </c>
      <c r="AI320" t="s">
        <v>803</v>
      </c>
    </row>
    <row r="321" spans="1:35" hidden="1">
      <c r="A321" s="7">
        <v>320</v>
      </c>
      <c r="B321" t="s">
        <v>243</v>
      </c>
      <c r="C321" t="s">
        <v>244</v>
      </c>
      <c r="D321" s="7">
        <v>7134</v>
      </c>
      <c r="E321" t="s">
        <v>245</v>
      </c>
      <c r="F321" t="s">
        <v>246</v>
      </c>
      <c r="G321" t="s">
        <v>1640</v>
      </c>
      <c r="H321" t="s">
        <v>1641</v>
      </c>
      <c r="I321" s="7">
        <v>951</v>
      </c>
      <c r="J321" s="7">
        <v>100000</v>
      </c>
      <c r="K321" s="7">
        <v>10</v>
      </c>
      <c r="L321" t="s">
        <v>247</v>
      </c>
      <c r="M321" t="s">
        <v>261</v>
      </c>
      <c r="N321" s="7">
        <v>761716</v>
      </c>
      <c r="O321" t="s">
        <v>1642</v>
      </c>
      <c r="P321" t="s">
        <v>1643</v>
      </c>
      <c r="S321" t="s">
        <v>1600</v>
      </c>
      <c r="T321" t="s">
        <v>1601</v>
      </c>
      <c r="U321" t="s">
        <v>1602</v>
      </c>
      <c r="V321" s="8">
        <v>0</v>
      </c>
      <c r="W321" s="7">
        <v>588346</v>
      </c>
      <c r="X321" t="s">
        <v>418</v>
      </c>
      <c r="Y321" s="8">
        <v>0</v>
      </c>
      <c r="Z321" s="8">
        <v>0</v>
      </c>
      <c r="AA321" s="8">
        <v>0</v>
      </c>
      <c r="AB321" s="7">
        <v>111813</v>
      </c>
      <c r="AC321" t="s">
        <v>418</v>
      </c>
      <c r="AD321" s="8">
        <v>0</v>
      </c>
      <c r="AG321" t="s">
        <v>801</v>
      </c>
      <c r="AH321" t="s">
        <v>802</v>
      </c>
      <c r="AI321" t="s">
        <v>803</v>
      </c>
    </row>
    <row r="322" spans="1:35" hidden="1">
      <c r="A322" s="7">
        <v>321</v>
      </c>
      <c r="B322" t="s">
        <v>243</v>
      </c>
      <c r="C322" t="s">
        <v>244</v>
      </c>
      <c r="D322" s="7">
        <v>7134</v>
      </c>
      <c r="E322" t="s">
        <v>245</v>
      </c>
      <c r="F322" t="s">
        <v>246</v>
      </c>
      <c r="G322" t="s">
        <v>853</v>
      </c>
      <c r="H322" t="s">
        <v>531</v>
      </c>
      <c r="I322" s="7">
        <v>1165</v>
      </c>
      <c r="J322" s="7">
        <v>5800</v>
      </c>
      <c r="K322" s="7">
        <v>1</v>
      </c>
      <c r="L322" t="s">
        <v>247</v>
      </c>
      <c r="M322" t="s">
        <v>267</v>
      </c>
      <c r="N322" s="7">
        <v>793458</v>
      </c>
      <c r="O322" t="s">
        <v>1748</v>
      </c>
      <c r="P322" t="s">
        <v>1749</v>
      </c>
      <c r="S322" t="s">
        <v>1600</v>
      </c>
      <c r="T322" t="s">
        <v>1601</v>
      </c>
      <c r="U322" t="s">
        <v>1602</v>
      </c>
      <c r="V322" s="8">
        <v>1250</v>
      </c>
      <c r="W322" s="7">
        <v>588346</v>
      </c>
      <c r="X322" t="s">
        <v>418</v>
      </c>
      <c r="Y322" s="8">
        <v>1250</v>
      </c>
      <c r="Z322" s="8">
        <v>1475</v>
      </c>
      <c r="AA322" s="8">
        <v>225</v>
      </c>
      <c r="AB322" s="7">
        <v>111813</v>
      </c>
      <c r="AC322" t="s">
        <v>418</v>
      </c>
      <c r="AD322" s="8">
        <v>0</v>
      </c>
      <c r="AG322" t="s">
        <v>828</v>
      </c>
      <c r="AH322" t="s">
        <v>802</v>
      </c>
      <c r="AI322" t="s">
        <v>818</v>
      </c>
    </row>
    <row r="323" spans="1:35" hidden="1">
      <c r="A323" s="7">
        <v>322</v>
      </c>
      <c r="B323" t="s">
        <v>243</v>
      </c>
      <c r="C323" t="s">
        <v>244</v>
      </c>
      <c r="D323" s="7">
        <v>7134</v>
      </c>
      <c r="E323" t="s">
        <v>245</v>
      </c>
      <c r="F323" t="s">
        <v>246</v>
      </c>
      <c r="G323" t="s">
        <v>400</v>
      </c>
      <c r="H323" t="s">
        <v>516</v>
      </c>
      <c r="I323" s="7">
        <v>1165</v>
      </c>
      <c r="J323" s="7">
        <v>3719</v>
      </c>
      <c r="K323" s="7">
        <v>1</v>
      </c>
      <c r="L323" t="s">
        <v>247</v>
      </c>
      <c r="M323" t="s">
        <v>252</v>
      </c>
      <c r="N323" s="7">
        <v>327227</v>
      </c>
      <c r="O323" t="s">
        <v>402</v>
      </c>
      <c r="P323" t="s">
        <v>403</v>
      </c>
      <c r="S323" t="s">
        <v>1600</v>
      </c>
      <c r="T323" t="s">
        <v>1601</v>
      </c>
      <c r="U323" t="s">
        <v>1602</v>
      </c>
      <c r="V323" s="8">
        <v>1250</v>
      </c>
      <c r="W323" s="7">
        <v>588346</v>
      </c>
      <c r="X323" t="s">
        <v>418</v>
      </c>
      <c r="Y323" s="8">
        <v>1250</v>
      </c>
      <c r="Z323" s="8">
        <v>1475</v>
      </c>
      <c r="AA323" s="8">
        <v>225</v>
      </c>
      <c r="AB323" s="7">
        <v>111813</v>
      </c>
      <c r="AC323" t="s">
        <v>418</v>
      </c>
      <c r="AD323" s="8">
        <v>0</v>
      </c>
      <c r="AG323" t="s">
        <v>937</v>
      </c>
      <c r="AH323" t="s">
        <v>802</v>
      </c>
      <c r="AI323" t="s">
        <v>818</v>
      </c>
    </row>
    <row r="324" spans="1:35" hidden="1">
      <c r="A324" s="7">
        <v>323</v>
      </c>
      <c r="B324" t="s">
        <v>243</v>
      </c>
      <c r="C324" t="s">
        <v>244</v>
      </c>
      <c r="D324" s="7">
        <v>7134</v>
      </c>
      <c r="E324" t="s">
        <v>245</v>
      </c>
      <c r="F324" t="s">
        <v>246</v>
      </c>
      <c r="G324" t="s">
        <v>985</v>
      </c>
      <c r="H324" t="s">
        <v>501</v>
      </c>
      <c r="I324" s="7">
        <v>1165</v>
      </c>
      <c r="J324" s="7">
        <v>79950</v>
      </c>
      <c r="K324" s="7">
        <v>8</v>
      </c>
      <c r="L324" t="s">
        <v>247</v>
      </c>
      <c r="M324" t="s">
        <v>361</v>
      </c>
      <c r="N324" s="7">
        <v>2040</v>
      </c>
      <c r="O324" t="s">
        <v>986</v>
      </c>
      <c r="P324" t="s">
        <v>987</v>
      </c>
      <c r="S324" t="s">
        <v>1600</v>
      </c>
      <c r="T324" t="s">
        <v>1601</v>
      </c>
      <c r="U324" t="s">
        <v>1602</v>
      </c>
      <c r="V324" s="8">
        <v>0</v>
      </c>
      <c r="W324" s="7">
        <v>588346</v>
      </c>
      <c r="X324" t="s">
        <v>418</v>
      </c>
      <c r="Y324" s="8">
        <v>0</v>
      </c>
      <c r="Z324" s="8">
        <v>0</v>
      </c>
      <c r="AA324" s="8">
        <v>0</v>
      </c>
      <c r="AB324" s="7">
        <v>111813</v>
      </c>
      <c r="AC324" t="s">
        <v>418</v>
      </c>
      <c r="AD324" s="8">
        <v>0</v>
      </c>
      <c r="AG324" t="s">
        <v>823</v>
      </c>
      <c r="AH324" t="s">
        <v>802</v>
      </c>
      <c r="AI324" t="s">
        <v>803</v>
      </c>
    </row>
    <row r="325" spans="1:35" hidden="1">
      <c r="A325" s="7">
        <v>324</v>
      </c>
      <c r="B325" t="s">
        <v>243</v>
      </c>
      <c r="C325" t="s">
        <v>244</v>
      </c>
      <c r="D325" s="7">
        <v>7134</v>
      </c>
      <c r="E325" t="s">
        <v>245</v>
      </c>
      <c r="F325" t="s">
        <v>246</v>
      </c>
      <c r="G325" t="s">
        <v>1664</v>
      </c>
      <c r="H325" t="s">
        <v>1267</v>
      </c>
      <c r="I325" s="7">
        <v>1165</v>
      </c>
      <c r="J325" s="7">
        <v>33750</v>
      </c>
      <c r="K325" s="7">
        <v>12</v>
      </c>
      <c r="L325" t="s">
        <v>247</v>
      </c>
      <c r="M325" t="s">
        <v>261</v>
      </c>
      <c r="N325" s="7">
        <v>744587</v>
      </c>
      <c r="O325" t="s">
        <v>1665</v>
      </c>
      <c r="P325" t="s">
        <v>1666</v>
      </c>
      <c r="Q325" t="s">
        <v>1667</v>
      </c>
      <c r="R325" t="s">
        <v>1668</v>
      </c>
      <c r="S325" t="s">
        <v>1600</v>
      </c>
      <c r="T325" t="s">
        <v>1601</v>
      </c>
      <c r="U325" t="s">
        <v>1602</v>
      </c>
      <c r="V325" s="8">
        <v>0</v>
      </c>
      <c r="W325" s="7">
        <v>588346</v>
      </c>
      <c r="X325" t="s">
        <v>418</v>
      </c>
      <c r="Y325" s="8">
        <v>0</v>
      </c>
      <c r="Z325" s="8">
        <v>0</v>
      </c>
      <c r="AA325" s="8">
        <v>0</v>
      </c>
      <c r="AB325" s="7">
        <v>111813</v>
      </c>
      <c r="AC325" t="s">
        <v>418</v>
      </c>
      <c r="AD325" s="8">
        <v>0</v>
      </c>
      <c r="AG325" t="s">
        <v>801</v>
      </c>
      <c r="AH325" t="s">
        <v>802</v>
      </c>
      <c r="AI325" t="s">
        <v>803</v>
      </c>
    </row>
    <row r="326" spans="1:35" hidden="1">
      <c r="A326" s="7">
        <v>325</v>
      </c>
      <c r="B326" t="s">
        <v>243</v>
      </c>
      <c r="C326" t="s">
        <v>244</v>
      </c>
      <c r="D326" s="7">
        <v>7134</v>
      </c>
      <c r="E326" t="s">
        <v>245</v>
      </c>
      <c r="F326" t="s">
        <v>246</v>
      </c>
      <c r="G326" t="s">
        <v>1645</v>
      </c>
      <c r="H326" t="s">
        <v>1615</v>
      </c>
      <c r="I326" s="7">
        <v>1165</v>
      </c>
      <c r="J326" s="7">
        <v>69907</v>
      </c>
      <c r="K326" s="7">
        <v>7</v>
      </c>
      <c r="L326" t="s">
        <v>247</v>
      </c>
      <c r="M326" t="s">
        <v>261</v>
      </c>
      <c r="N326" s="7">
        <v>762667</v>
      </c>
      <c r="O326" t="s">
        <v>1792</v>
      </c>
      <c r="P326" t="s">
        <v>1793</v>
      </c>
      <c r="Q326" t="s">
        <v>870</v>
      </c>
      <c r="R326" t="s">
        <v>871</v>
      </c>
      <c r="S326" t="s">
        <v>1600</v>
      </c>
      <c r="T326" t="s">
        <v>1601</v>
      </c>
      <c r="U326" t="s">
        <v>1602</v>
      </c>
      <c r="V326" s="8">
        <v>0</v>
      </c>
      <c r="W326" s="7">
        <v>588346</v>
      </c>
      <c r="X326" t="s">
        <v>418</v>
      </c>
      <c r="Y326" s="8">
        <v>0</v>
      </c>
      <c r="Z326" s="8">
        <v>0</v>
      </c>
      <c r="AA326" s="8">
        <v>0</v>
      </c>
      <c r="AB326" s="7">
        <v>111813</v>
      </c>
      <c r="AC326" t="s">
        <v>418</v>
      </c>
      <c r="AD326" s="8">
        <v>0</v>
      </c>
      <c r="AG326" t="s">
        <v>801</v>
      </c>
      <c r="AH326" t="s">
        <v>802</v>
      </c>
      <c r="AI326" t="s">
        <v>803</v>
      </c>
    </row>
    <row r="327" spans="1:35" hidden="1">
      <c r="A327" s="7">
        <v>326</v>
      </c>
      <c r="B327" t="s">
        <v>243</v>
      </c>
      <c r="C327" t="s">
        <v>244</v>
      </c>
      <c r="D327" s="7">
        <v>7134</v>
      </c>
      <c r="E327" t="s">
        <v>245</v>
      </c>
      <c r="F327" t="s">
        <v>246</v>
      </c>
      <c r="G327" t="s">
        <v>849</v>
      </c>
      <c r="H327" t="s">
        <v>1597</v>
      </c>
      <c r="I327" s="7">
        <v>1165</v>
      </c>
      <c r="J327" s="7">
        <v>7920</v>
      </c>
      <c r="K327" s="7">
        <v>2</v>
      </c>
      <c r="L327" t="s">
        <v>247</v>
      </c>
      <c r="M327" t="s">
        <v>261</v>
      </c>
      <c r="N327" s="7">
        <v>780142</v>
      </c>
      <c r="O327" t="s">
        <v>1696</v>
      </c>
      <c r="P327" t="s">
        <v>1697</v>
      </c>
      <c r="S327" t="s">
        <v>1600</v>
      </c>
      <c r="T327" t="s">
        <v>1601</v>
      </c>
      <c r="U327" t="s">
        <v>1602</v>
      </c>
      <c r="V327" s="8">
        <v>1250</v>
      </c>
      <c r="W327" s="7">
        <v>588346</v>
      </c>
      <c r="X327" t="s">
        <v>418</v>
      </c>
      <c r="Y327" s="8">
        <v>1250</v>
      </c>
      <c r="Z327" s="8">
        <v>1475</v>
      </c>
      <c r="AA327" s="8">
        <v>225</v>
      </c>
      <c r="AB327" s="7">
        <v>111813</v>
      </c>
      <c r="AC327" t="s">
        <v>418</v>
      </c>
      <c r="AD327" s="8">
        <v>0</v>
      </c>
      <c r="AG327" t="s">
        <v>817</v>
      </c>
      <c r="AH327" t="s">
        <v>802</v>
      </c>
      <c r="AI327" t="s">
        <v>818</v>
      </c>
    </row>
    <row r="328" spans="1:35" hidden="1">
      <c r="A328" s="7">
        <v>327</v>
      </c>
      <c r="B328" t="s">
        <v>243</v>
      </c>
      <c r="C328" t="s">
        <v>244</v>
      </c>
      <c r="D328" s="7">
        <v>7134</v>
      </c>
      <c r="E328" t="s">
        <v>245</v>
      </c>
      <c r="F328" t="s">
        <v>246</v>
      </c>
      <c r="G328" t="s">
        <v>842</v>
      </c>
      <c r="H328" t="s">
        <v>1644</v>
      </c>
      <c r="I328" s="7">
        <v>1165</v>
      </c>
      <c r="J328" s="7">
        <v>71010</v>
      </c>
      <c r="K328" s="7">
        <v>7</v>
      </c>
      <c r="L328" t="s">
        <v>247</v>
      </c>
      <c r="M328" t="s">
        <v>267</v>
      </c>
      <c r="N328" s="7">
        <v>766936</v>
      </c>
      <c r="O328" t="s">
        <v>1794</v>
      </c>
      <c r="P328" t="s">
        <v>1795</v>
      </c>
      <c r="S328" t="s">
        <v>1600</v>
      </c>
      <c r="T328" t="s">
        <v>1601</v>
      </c>
      <c r="U328" t="s">
        <v>1602</v>
      </c>
      <c r="V328" s="8">
        <v>0</v>
      </c>
      <c r="W328" s="7">
        <v>588346</v>
      </c>
      <c r="X328" t="s">
        <v>418</v>
      </c>
      <c r="Y328" s="8">
        <v>0</v>
      </c>
      <c r="Z328" s="8">
        <v>0</v>
      </c>
      <c r="AA328" s="8">
        <v>0</v>
      </c>
      <c r="AB328" s="7">
        <v>111813</v>
      </c>
      <c r="AC328" t="s">
        <v>418</v>
      </c>
      <c r="AD328" s="8">
        <v>0</v>
      </c>
      <c r="AG328" t="s">
        <v>828</v>
      </c>
      <c r="AH328" t="s">
        <v>802</v>
      </c>
      <c r="AI328" t="s">
        <v>803</v>
      </c>
    </row>
    <row r="329" spans="1:35" hidden="1">
      <c r="A329" s="7">
        <v>328</v>
      </c>
      <c r="B329" t="s">
        <v>243</v>
      </c>
      <c r="C329" t="s">
        <v>244</v>
      </c>
      <c r="D329" s="7">
        <v>7134</v>
      </c>
      <c r="E329" t="s">
        <v>245</v>
      </c>
      <c r="F329" t="s">
        <v>246</v>
      </c>
      <c r="G329" t="s">
        <v>1382</v>
      </c>
      <c r="H329" t="s">
        <v>571</v>
      </c>
      <c r="I329" s="7">
        <v>1165</v>
      </c>
      <c r="J329" s="7">
        <v>29507</v>
      </c>
      <c r="K329" s="7">
        <v>3</v>
      </c>
      <c r="L329" t="s">
        <v>247</v>
      </c>
      <c r="M329" t="s">
        <v>361</v>
      </c>
      <c r="N329" s="7">
        <v>4952</v>
      </c>
      <c r="O329" t="s">
        <v>1383</v>
      </c>
      <c r="P329" t="s">
        <v>1384</v>
      </c>
      <c r="S329" t="s">
        <v>1600</v>
      </c>
      <c r="T329" t="s">
        <v>1601</v>
      </c>
      <c r="U329" t="s">
        <v>1602</v>
      </c>
      <c r="V329" s="8">
        <v>1650</v>
      </c>
      <c r="W329" s="7">
        <v>588346</v>
      </c>
      <c r="X329" t="s">
        <v>418</v>
      </c>
      <c r="Y329" s="8">
        <v>1650</v>
      </c>
      <c r="Z329" s="8">
        <v>1947</v>
      </c>
      <c r="AA329" s="8">
        <v>297</v>
      </c>
      <c r="AB329" s="7">
        <v>111813</v>
      </c>
      <c r="AC329" t="s">
        <v>418</v>
      </c>
      <c r="AD329" s="8">
        <v>0</v>
      </c>
      <c r="AG329" t="s">
        <v>823</v>
      </c>
      <c r="AH329" t="s">
        <v>802</v>
      </c>
      <c r="AI329" t="s">
        <v>818</v>
      </c>
    </row>
    <row r="330" spans="1:35" hidden="1">
      <c r="A330" s="7">
        <v>329</v>
      </c>
      <c r="B330" t="s">
        <v>243</v>
      </c>
      <c r="C330" t="s">
        <v>244</v>
      </c>
      <c r="D330" s="7">
        <v>7134</v>
      </c>
      <c r="E330" t="s">
        <v>245</v>
      </c>
      <c r="F330" t="s">
        <v>246</v>
      </c>
      <c r="G330" t="s">
        <v>921</v>
      </c>
      <c r="H330" t="s">
        <v>531</v>
      </c>
      <c r="I330" s="7">
        <v>1165</v>
      </c>
      <c r="J330" s="7">
        <v>9930</v>
      </c>
      <c r="K330" s="7">
        <v>1</v>
      </c>
      <c r="L330" t="s">
        <v>247</v>
      </c>
      <c r="M330" t="s">
        <v>361</v>
      </c>
      <c r="N330" s="7">
        <v>6346</v>
      </c>
      <c r="O330" t="s">
        <v>1675</v>
      </c>
      <c r="P330" t="s">
        <v>1676</v>
      </c>
      <c r="S330" t="s">
        <v>1600</v>
      </c>
      <c r="T330" t="s">
        <v>1601</v>
      </c>
      <c r="U330" t="s">
        <v>1602</v>
      </c>
      <c r="V330" s="8">
        <v>1650</v>
      </c>
      <c r="W330" s="7">
        <v>588346</v>
      </c>
      <c r="X330" t="s">
        <v>418</v>
      </c>
      <c r="Y330" s="8">
        <v>1650</v>
      </c>
      <c r="Z330" s="8">
        <v>1947</v>
      </c>
      <c r="AA330" s="8">
        <v>297</v>
      </c>
      <c r="AB330" s="7">
        <v>111813</v>
      </c>
      <c r="AC330" t="s">
        <v>418</v>
      </c>
      <c r="AD330" s="8">
        <v>0</v>
      </c>
      <c r="AG330" t="s">
        <v>823</v>
      </c>
      <c r="AH330" t="s">
        <v>802</v>
      </c>
      <c r="AI330" t="s">
        <v>818</v>
      </c>
    </row>
    <row r="331" spans="1:35" hidden="1">
      <c r="A331" s="7">
        <v>330</v>
      </c>
      <c r="B331" t="s">
        <v>243</v>
      </c>
      <c r="C331" t="s">
        <v>244</v>
      </c>
      <c r="D331" s="7">
        <v>7134</v>
      </c>
      <c r="E331" t="s">
        <v>245</v>
      </c>
      <c r="F331" t="s">
        <v>246</v>
      </c>
      <c r="G331" t="s">
        <v>1409</v>
      </c>
      <c r="H331" t="s">
        <v>1631</v>
      </c>
      <c r="I331" s="7">
        <v>1165</v>
      </c>
      <c r="J331" s="7">
        <v>103845</v>
      </c>
      <c r="K331" s="7">
        <v>10</v>
      </c>
      <c r="L331" t="s">
        <v>247</v>
      </c>
      <c r="M331" t="s">
        <v>261</v>
      </c>
      <c r="N331" s="7">
        <v>753574</v>
      </c>
      <c r="O331" t="s">
        <v>1636</v>
      </c>
      <c r="P331" t="s">
        <v>1637</v>
      </c>
      <c r="Q331" t="s">
        <v>908</v>
      </c>
      <c r="R331" t="s">
        <v>909</v>
      </c>
      <c r="S331" t="s">
        <v>1600</v>
      </c>
      <c r="T331" t="s">
        <v>1601</v>
      </c>
      <c r="U331" t="s">
        <v>1602</v>
      </c>
      <c r="V331" s="8">
        <v>0</v>
      </c>
      <c r="W331" s="7">
        <v>588346</v>
      </c>
      <c r="X331" t="s">
        <v>418</v>
      </c>
      <c r="Y331" s="8">
        <v>0</v>
      </c>
      <c r="Z331" s="8">
        <v>0</v>
      </c>
      <c r="AA331" s="8">
        <v>0</v>
      </c>
      <c r="AB331" s="7">
        <v>111813</v>
      </c>
      <c r="AC331" t="s">
        <v>418</v>
      </c>
      <c r="AD331" s="8">
        <v>0</v>
      </c>
      <c r="AG331" t="s">
        <v>801</v>
      </c>
      <c r="AH331" t="s">
        <v>802</v>
      </c>
      <c r="AI331" t="s">
        <v>803</v>
      </c>
    </row>
    <row r="332" spans="1:35" hidden="1">
      <c r="A332" s="7">
        <v>331</v>
      </c>
      <c r="B332" t="s">
        <v>243</v>
      </c>
      <c r="C332" t="s">
        <v>244</v>
      </c>
      <c r="D332" s="7">
        <v>7134</v>
      </c>
      <c r="E332" t="s">
        <v>245</v>
      </c>
      <c r="F332" t="s">
        <v>246</v>
      </c>
      <c r="G332" t="s">
        <v>1188</v>
      </c>
      <c r="H332" t="s">
        <v>1631</v>
      </c>
      <c r="I332" s="7">
        <v>1165</v>
      </c>
      <c r="J332" s="7">
        <v>82254</v>
      </c>
      <c r="K332" s="7">
        <v>8</v>
      </c>
      <c r="L332" t="s">
        <v>247</v>
      </c>
      <c r="M332" t="s">
        <v>261</v>
      </c>
      <c r="N332" s="7">
        <v>775456</v>
      </c>
      <c r="O332" t="s">
        <v>1189</v>
      </c>
      <c r="P332" t="s">
        <v>1190</v>
      </c>
      <c r="Q332" t="s">
        <v>908</v>
      </c>
      <c r="R332" t="s">
        <v>909</v>
      </c>
      <c r="S332" t="s">
        <v>1600</v>
      </c>
      <c r="T332" t="s">
        <v>1601</v>
      </c>
      <c r="U332" t="s">
        <v>1602</v>
      </c>
      <c r="V332" s="8">
        <v>1250</v>
      </c>
      <c r="W332" s="7">
        <v>588346</v>
      </c>
      <c r="X332" t="s">
        <v>418</v>
      </c>
      <c r="Y332" s="8">
        <v>1000</v>
      </c>
      <c r="Z332" s="8">
        <v>1475</v>
      </c>
      <c r="AA332" s="8">
        <v>225</v>
      </c>
      <c r="AB332" s="7">
        <v>111813</v>
      </c>
      <c r="AC332" t="s">
        <v>418</v>
      </c>
      <c r="AD332" s="8">
        <v>250</v>
      </c>
      <c r="AG332" t="s">
        <v>801</v>
      </c>
      <c r="AH332" t="s">
        <v>802</v>
      </c>
      <c r="AI332" t="s">
        <v>818</v>
      </c>
    </row>
    <row r="333" spans="1:35" hidden="1">
      <c r="A333" s="7">
        <v>332</v>
      </c>
      <c r="B333" t="s">
        <v>243</v>
      </c>
      <c r="C333" t="s">
        <v>244</v>
      </c>
      <c r="D333" s="7">
        <v>7134</v>
      </c>
      <c r="E333" t="s">
        <v>245</v>
      </c>
      <c r="F333" t="s">
        <v>246</v>
      </c>
      <c r="G333" t="s">
        <v>1450</v>
      </c>
      <c r="H333" t="s">
        <v>1631</v>
      </c>
      <c r="I333" s="7">
        <v>2500</v>
      </c>
      <c r="J333" s="7">
        <v>18099</v>
      </c>
      <c r="K333" s="7">
        <v>2</v>
      </c>
      <c r="L333" t="s">
        <v>247</v>
      </c>
      <c r="M333" t="s">
        <v>261</v>
      </c>
      <c r="N333" s="7">
        <v>792320</v>
      </c>
      <c r="O333" t="s">
        <v>1460</v>
      </c>
      <c r="P333" t="s">
        <v>1461</v>
      </c>
      <c r="S333" t="s">
        <v>1600</v>
      </c>
      <c r="T333" t="s">
        <v>1601</v>
      </c>
      <c r="U333" t="s">
        <v>1602</v>
      </c>
      <c r="V333" s="8">
        <v>0</v>
      </c>
      <c r="W333" s="7">
        <v>588346</v>
      </c>
      <c r="X333" t="s">
        <v>418</v>
      </c>
      <c r="Y333" s="8">
        <v>0</v>
      </c>
      <c r="Z333" s="8">
        <v>0</v>
      </c>
      <c r="AA333" s="8">
        <v>0</v>
      </c>
      <c r="AB333" s="7">
        <v>111813</v>
      </c>
      <c r="AC333" t="s">
        <v>418</v>
      </c>
      <c r="AD333" s="8">
        <v>0</v>
      </c>
      <c r="AG333" t="s">
        <v>801</v>
      </c>
      <c r="AH333" t="s">
        <v>802</v>
      </c>
      <c r="AI333" t="s">
        <v>803</v>
      </c>
    </row>
    <row r="334" spans="1:35" hidden="1">
      <c r="A334" s="7">
        <v>333</v>
      </c>
      <c r="B334" t="s">
        <v>243</v>
      </c>
      <c r="C334" t="s">
        <v>244</v>
      </c>
      <c r="D334" s="7">
        <v>7134</v>
      </c>
      <c r="E334" t="s">
        <v>245</v>
      </c>
      <c r="F334" t="s">
        <v>246</v>
      </c>
      <c r="G334" t="s">
        <v>1705</v>
      </c>
      <c r="H334" t="s">
        <v>516</v>
      </c>
      <c r="I334" s="7">
        <v>1165</v>
      </c>
      <c r="J334" s="7">
        <v>49200</v>
      </c>
      <c r="K334" s="7">
        <v>5</v>
      </c>
      <c r="L334" t="s">
        <v>247</v>
      </c>
      <c r="M334" t="s">
        <v>267</v>
      </c>
      <c r="N334" s="7">
        <v>777193</v>
      </c>
      <c r="O334" t="s">
        <v>1706</v>
      </c>
      <c r="P334" t="s">
        <v>1707</v>
      </c>
      <c r="S334" t="s">
        <v>1600</v>
      </c>
      <c r="T334" t="s">
        <v>1601</v>
      </c>
      <c r="U334" t="s">
        <v>1602</v>
      </c>
      <c r="V334" s="8">
        <v>1250</v>
      </c>
      <c r="W334" s="7">
        <v>588346</v>
      </c>
      <c r="X334" t="s">
        <v>418</v>
      </c>
      <c r="Y334" s="8">
        <v>1250</v>
      </c>
      <c r="Z334" s="8">
        <v>1475</v>
      </c>
      <c r="AA334" s="8">
        <v>225</v>
      </c>
      <c r="AB334" s="7">
        <v>111813</v>
      </c>
      <c r="AC334" t="s">
        <v>418</v>
      </c>
      <c r="AD334" s="8">
        <v>0</v>
      </c>
      <c r="AG334" t="s">
        <v>828</v>
      </c>
      <c r="AH334" t="s">
        <v>802</v>
      </c>
      <c r="AI334" t="s">
        <v>818</v>
      </c>
    </row>
    <row r="335" spans="1:35" hidden="1">
      <c r="A335" s="7">
        <v>334</v>
      </c>
      <c r="B335" t="s">
        <v>243</v>
      </c>
      <c r="C335" t="s">
        <v>244</v>
      </c>
      <c r="D335" s="7">
        <v>7134</v>
      </c>
      <c r="E335" t="s">
        <v>245</v>
      </c>
      <c r="F335" t="s">
        <v>246</v>
      </c>
      <c r="G335" t="s">
        <v>1770</v>
      </c>
      <c r="H335" t="s">
        <v>1672</v>
      </c>
      <c r="I335" s="7">
        <v>756</v>
      </c>
      <c r="J335" s="7">
        <v>16885</v>
      </c>
      <c r="K335" s="7">
        <v>4</v>
      </c>
      <c r="L335" t="s">
        <v>247</v>
      </c>
      <c r="M335" t="s">
        <v>267</v>
      </c>
      <c r="N335" s="7">
        <v>703314</v>
      </c>
      <c r="O335" t="s">
        <v>1771</v>
      </c>
      <c r="P335" t="s">
        <v>1772</v>
      </c>
      <c r="Q335" t="s">
        <v>870</v>
      </c>
      <c r="R335" t="s">
        <v>871</v>
      </c>
      <c r="S335" t="s">
        <v>1600</v>
      </c>
      <c r="T335" t="s">
        <v>1601</v>
      </c>
      <c r="U335" t="s">
        <v>1602</v>
      </c>
      <c r="V335" s="8">
        <v>0</v>
      </c>
      <c r="W335" s="7">
        <v>588346</v>
      </c>
      <c r="X335" t="s">
        <v>418</v>
      </c>
      <c r="Y335" s="8">
        <v>0</v>
      </c>
      <c r="Z335" s="8">
        <v>0</v>
      </c>
      <c r="AA335" s="8">
        <v>0</v>
      </c>
      <c r="AB335" s="7">
        <v>111813</v>
      </c>
      <c r="AC335" t="s">
        <v>418</v>
      </c>
      <c r="AD335" s="8">
        <v>0</v>
      </c>
      <c r="AG335" t="s">
        <v>828</v>
      </c>
      <c r="AH335" t="s">
        <v>802</v>
      </c>
      <c r="AI335" t="s">
        <v>803</v>
      </c>
    </row>
    <row r="336" spans="1:35" hidden="1">
      <c r="A336" s="7">
        <v>335</v>
      </c>
      <c r="B336" t="s">
        <v>243</v>
      </c>
      <c r="C336" t="s">
        <v>244</v>
      </c>
      <c r="D336" s="7">
        <v>7134</v>
      </c>
      <c r="E336" t="s">
        <v>245</v>
      </c>
      <c r="F336" t="s">
        <v>246</v>
      </c>
      <c r="G336" t="s">
        <v>1506</v>
      </c>
      <c r="H336" t="s">
        <v>512</v>
      </c>
      <c r="I336" s="7">
        <v>1165</v>
      </c>
      <c r="J336" s="7">
        <v>21311</v>
      </c>
      <c r="K336" s="7">
        <v>2</v>
      </c>
      <c r="L336" t="s">
        <v>247</v>
      </c>
      <c r="M336" t="s">
        <v>261</v>
      </c>
      <c r="N336" s="7">
        <v>1</v>
      </c>
      <c r="O336" t="s">
        <v>1689</v>
      </c>
      <c r="P336" t="s">
        <v>1690</v>
      </c>
      <c r="Q336" t="s">
        <v>870</v>
      </c>
      <c r="R336" t="s">
        <v>871</v>
      </c>
      <c r="S336" t="s">
        <v>1600</v>
      </c>
      <c r="T336" t="s">
        <v>1601</v>
      </c>
      <c r="U336" t="s">
        <v>1602</v>
      </c>
      <c r="V336" s="8">
        <v>1250</v>
      </c>
      <c r="W336" s="7">
        <v>588346</v>
      </c>
      <c r="X336" t="s">
        <v>418</v>
      </c>
      <c r="Y336" s="8">
        <v>1000</v>
      </c>
      <c r="Z336" s="8">
        <v>1475</v>
      </c>
      <c r="AA336" s="8">
        <v>225</v>
      </c>
      <c r="AB336" s="7">
        <v>111813</v>
      </c>
      <c r="AC336" t="s">
        <v>418</v>
      </c>
      <c r="AD336" s="8">
        <v>250</v>
      </c>
      <c r="AG336" t="s">
        <v>817</v>
      </c>
      <c r="AH336" t="s">
        <v>802</v>
      </c>
      <c r="AI336" t="s">
        <v>818</v>
      </c>
    </row>
    <row r="337" spans="1:35" hidden="1">
      <c r="A337" s="7">
        <v>336</v>
      </c>
      <c r="B337" t="s">
        <v>243</v>
      </c>
      <c r="C337" t="s">
        <v>244</v>
      </c>
      <c r="D337" s="7">
        <v>7134</v>
      </c>
      <c r="E337" t="s">
        <v>245</v>
      </c>
      <c r="F337" t="s">
        <v>246</v>
      </c>
      <c r="G337" t="s">
        <v>419</v>
      </c>
      <c r="H337" t="s">
        <v>531</v>
      </c>
      <c r="I337" s="7">
        <v>1165</v>
      </c>
      <c r="J337" s="7">
        <v>9120</v>
      </c>
      <c r="K337" s="7">
        <v>1</v>
      </c>
      <c r="L337" t="s">
        <v>247</v>
      </c>
      <c r="M337" t="s">
        <v>361</v>
      </c>
      <c r="N337" s="7">
        <v>6367</v>
      </c>
      <c r="O337" t="s">
        <v>1788</v>
      </c>
      <c r="P337" t="s">
        <v>1789</v>
      </c>
      <c r="S337" t="s">
        <v>1600</v>
      </c>
      <c r="T337" t="s">
        <v>1601</v>
      </c>
      <c r="U337" t="s">
        <v>1602</v>
      </c>
      <c r="V337" s="8">
        <v>1650</v>
      </c>
      <c r="W337" s="7">
        <v>588346</v>
      </c>
      <c r="X337" t="s">
        <v>418</v>
      </c>
      <c r="Y337" s="8">
        <v>1650</v>
      </c>
      <c r="Z337" s="8">
        <v>1947</v>
      </c>
      <c r="AA337" s="8">
        <v>297</v>
      </c>
      <c r="AB337" s="7">
        <v>111813</v>
      </c>
      <c r="AC337" t="s">
        <v>418</v>
      </c>
      <c r="AD337" s="8">
        <v>0</v>
      </c>
      <c r="AG337" t="s">
        <v>823</v>
      </c>
      <c r="AH337" t="s">
        <v>802</v>
      </c>
      <c r="AI337" t="s">
        <v>818</v>
      </c>
    </row>
    <row r="338" spans="1:35" hidden="1">
      <c r="A338" s="7">
        <v>337</v>
      </c>
      <c r="B338" t="s">
        <v>243</v>
      </c>
      <c r="C338" t="s">
        <v>244</v>
      </c>
      <c r="D338" s="7">
        <v>7134</v>
      </c>
      <c r="E338" t="s">
        <v>245</v>
      </c>
      <c r="F338" t="s">
        <v>246</v>
      </c>
      <c r="G338" t="s">
        <v>1559</v>
      </c>
      <c r="H338" t="s">
        <v>512</v>
      </c>
      <c r="I338" s="7">
        <v>1165</v>
      </c>
      <c r="J338" s="7">
        <v>29700</v>
      </c>
      <c r="K338" s="7">
        <v>4</v>
      </c>
      <c r="L338" t="s">
        <v>247</v>
      </c>
      <c r="M338" t="s">
        <v>261</v>
      </c>
      <c r="N338" s="7">
        <v>786905</v>
      </c>
      <c r="O338" t="s">
        <v>1790</v>
      </c>
      <c r="P338" t="s">
        <v>1791</v>
      </c>
      <c r="S338" t="s">
        <v>1600</v>
      </c>
      <c r="T338" t="s">
        <v>1601</v>
      </c>
      <c r="U338" t="s">
        <v>1602</v>
      </c>
      <c r="V338" s="8">
        <v>0</v>
      </c>
      <c r="W338" s="7">
        <v>588346</v>
      </c>
      <c r="X338" t="s">
        <v>418</v>
      </c>
      <c r="Y338" s="8">
        <v>0</v>
      </c>
      <c r="Z338" s="8">
        <v>0</v>
      </c>
      <c r="AA338" s="8">
        <v>0</v>
      </c>
      <c r="AB338" s="7">
        <v>111813</v>
      </c>
      <c r="AC338" t="s">
        <v>418</v>
      </c>
      <c r="AD338" s="8">
        <v>0</v>
      </c>
      <c r="AG338" t="s">
        <v>801</v>
      </c>
      <c r="AH338" t="s">
        <v>802</v>
      </c>
      <c r="AI338" t="s">
        <v>803</v>
      </c>
    </row>
    <row r="339" spans="1:35" hidden="1">
      <c r="A339" s="7">
        <v>338</v>
      </c>
      <c r="B339" t="s">
        <v>243</v>
      </c>
      <c r="C339" t="s">
        <v>244</v>
      </c>
      <c r="D339" s="7">
        <v>7134</v>
      </c>
      <c r="E339" t="s">
        <v>245</v>
      </c>
      <c r="F339" t="s">
        <v>246</v>
      </c>
      <c r="G339" t="s">
        <v>861</v>
      </c>
      <c r="H339" t="s">
        <v>527</v>
      </c>
      <c r="I339" s="7">
        <v>1165</v>
      </c>
      <c r="J339" s="7">
        <v>50000</v>
      </c>
      <c r="K339" s="7">
        <v>5</v>
      </c>
      <c r="L339" t="s">
        <v>247</v>
      </c>
      <c r="M339" t="s">
        <v>252</v>
      </c>
      <c r="N339" s="7">
        <v>323055</v>
      </c>
      <c r="O339" t="s">
        <v>971</v>
      </c>
      <c r="P339" t="s">
        <v>972</v>
      </c>
      <c r="S339" t="s">
        <v>1600</v>
      </c>
      <c r="T339" t="s">
        <v>1601</v>
      </c>
      <c r="U339" t="s">
        <v>1602</v>
      </c>
      <c r="V339" s="8">
        <v>1250</v>
      </c>
      <c r="W339" s="7">
        <v>588346</v>
      </c>
      <c r="X339" t="s">
        <v>418</v>
      </c>
      <c r="Y339" s="8">
        <v>1250</v>
      </c>
      <c r="Z339" s="8">
        <v>1475</v>
      </c>
      <c r="AA339" s="8">
        <v>225</v>
      </c>
      <c r="AB339" s="7">
        <v>111813</v>
      </c>
      <c r="AC339" t="s">
        <v>418</v>
      </c>
      <c r="AD339" s="8">
        <v>0</v>
      </c>
      <c r="AG339" t="s">
        <v>937</v>
      </c>
      <c r="AH339" t="s">
        <v>802</v>
      </c>
      <c r="AI339" t="s">
        <v>818</v>
      </c>
    </row>
    <row r="340" spans="1:35" hidden="1">
      <c r="A340" s="7">
        <v>339</v>
      </c>
      <c r="B340" t="s">
        <v>243</v>
      </c>
      <c r="C340" t="s">
        <v>244</v>
      </c>
      <c r="D340" s="7">
        <v>7134</v>
      </c>
      <c r="E340" t="s">
        <v>245</v>
      </c>
      <c r="F340" t="s">
        <v>246</v>
      </c>
      <c r="G340" t="s">
        <v>1702</v>
      </c>
      <c r="H340" t="s">
        <v>516</v>
      </c>
      <c r="I340" s="7">
        <v>1165</v>
      </c>
      <c r="J340" s="7">
        <v>105585</v>
      </c>
      <c r="K340" s="7">
        <v>11</v>
      </c>
      <c r="L340" t="s">
        <v>247</v>
      </c>
      <c r="M340" t="s">
        <v>261</v>
      </c>
      <c r="N340" s="7">
        <v>748131</v>
      </c>
      <c r="O340" t="s">
        <v>1750</v>
      </c>
      <c r="P340" t="s">
        <v>1751</v>
      </c>
      <c r="Q340" t="s">
        <v>870</v>
      </c>
      <c r="R340" t="s">
        <v>871</v>
      </c>
      <c r="S340" t="s">
        <v>1600</v>
      </c>
      <c r="T340" t="s">
        <v>1601</v>
      </c>
      <c r="U340" t="s">
        <v>1602</v>
      </c>
      <c r="V340" s="8">
        <v>1250</v>
      </c>
      <c r="W340" s="7">
        <v>588346</v>
      </c>
      <c r="X340" t="s">
        <v>418</v>
      </c>
      <c r="Y340" s="8">
        <v>1000</v>
      </c>
      <c r="Z340" s="8">
        <v>1475</v>
      </c>
      <c r="AA340" s="8">
        <v>225</v>
      </c>
      <c r="AB340" s="7">
        <v>111813</v>
      </c>
      <c r="AC340" t="s">
        <v>418</v>
      </c>
      <c r="AD340" s="8">
        <v>250</v>
      </c>
      <c r="AG340" t="s">
        <v>801</v>
      </c>
      <c r="AH340" t="s">
        <v>802</v>
      </c>
      <c r="AI340" t="s">
        <v>818</v>
      </c>
    </row>
    <row r="341" spans="1:35" hidden="1">
      <c r="A341" s="7">
        <v>340</v>
      </c>
      <c r="B341" t="s">
        <v>243</v>
      </c>
      <c r="C341" t="s">
        <v>244</v>
      </c>
      <c r="D341" s="7">
        <v>7134</v>
      </c>
      <c r="E341" t="s">
        <v>245</v>
      </c>
      <c r="F341" t="s">
        <v>246</v>
      </c>
      <c r="G341" t="s">
        <v>1004</v>
      </c>
      <c r="H341" t="s">
        <v>571</v>
      </c>
      <c r="I341" s="7">
        <v>1165</v>
      </c>
      <c r="J341" s="7">
        <v>19920</v>
      </c>
      <c r="K341" s="7">
        <v>2</v>
      </c>
      <c r="L341" t="s">
        <v>247</v>
      </c>
      <c r="M341" t="s">
        <v>361</v>
      </c>
      <c r="N341" s="7">
        <v>6182</v>
      </c>
      <c r="O341" t="s">
        <v>1183</v>
      </c>
      <c r="P341" t="s">
        <v>1184</v>
      </c>
      <c r="S341" t="s">
        <v>1600</v>
      </c>
      <c r="T341" t="s">
        <v>1601</v>
      </c>
      <c r="U341" t="s">
        <v>1602</v>
      </c>
      <c r="V341" s="8">
        <v>0</v>
      </c>
      <c r="W341" s="7">
        <v>588346</v>
      </c>
      <c r="X341" t="s">
        <v>418</v>
      </c>
      <c r="Y341" s="8">
        <v>0</v>
      </c>
      <c r="Z341" s="8">
        <v>0</v>
      </c>
      <c r="AA341" s="8">
        <v>0</v>
      </c>
      <c r="AB341" s="7">
        <v>111813</v>
      </c>
      <c r="AC341" t="s">
        <v>418</v>
      </c>
      <c r="AD341" s="8">
        <v>0</v>
      </c>
      <c r="AG341" t="s">
        <v>823</v>
      </c>
      <c r="AH341" t="s">
        <v>802</v>
      </c>
      <c r="AI341" t="s">
        <v>803</v>
      </c>
    </row>
    <row r="342" spans="1:35" hidden="1">
      <c r="A342" s="7">
        <v>341</v>
      </c>
      <c r="B342" t="s">
        <v>243</v>
      </c>
      <c r="C342" t="s">
        <v>244</v>
      </c>
      <c r="D342" s="7">
        <v>7134</v>
      </c>
      <c r="E342" t="s">
        <v>245</v>
      </c>
      <c r="F342" t="s">
        <v>246</v>
      </c>
      <c r="G342" t="s">
        <v>1128</v>
      </c>
      <c r="H342" t="s">
        <v>1631</v>
      </c>
      <c r="I342" s="7">
        <v>1165</v>
      </c>
      <c r="J342" s="7">
        <v>21200</v>
      </c>
      <c r="K342" s="7">
        <v>5</v>
      </c>
      <c r="L342" t="s">
        <v>247</v>
      </c>
      <c r="M342" t="s">
        <v>252</v>
      </c>
      <c r="N342" s="7">
        <v>322625</v>
      </c>
      <c r="O342" t="s">
        <v>1683</v>
      </c>
      <c r="P342" t="s">
        <v>1684</v>
      </c>
      <c r="S342" t="s">
        <v>1600</v>
      </c>
      <c r="T342" t="s">
        <v>1601</v>
      </c>
      <c r="U342" t="s">
        <v>1602</v>
      </c>
      <c r="V342" s="8">
        <v>1250</v>
      </c>
      <c r="W342" s="7">
        <v>588346</v>
      </c>
      <c r="X342" t="s">
        <v>418</v>
      </c>
      <c r="Y342" s="8">
        <v>1250</v>
      </c>
      <c r="Z342" s="8">
        <v>1475</v>
      </c>
      <c r="AA342" s="8">
        <v>225</v>
      </c>
      <c r="AB342" s="7">
        <v>111813</v>
      </c>
      <c r="AC342" t="s">
        <v>418</v>
      </c>
      <c r="AD342" s="8">
        <v>0</v>
      </c>
      <c r="AG342" t="s">
        <v>937</v>
      </c>
      <c r="AH342" t="s">
        <v>802</v>
      </c>
      <c r="AI342" t="s">
        <v>818</v>
      </c>
    </row>
    <row r="343" spans="1:35" hidden="1">
      <c r="A343" s="7">
        <v>342</v>
      </c>
      <c r="B343" t="s">
        <v>243</v>
      </c>
      <c r="C343" t="s">
        <v>244</v>
      </c>
      <c r="D343" s="7">
        <v>7134</v>
      </c>
      <c r="E343" t="s">
        <v>245</v>
      </c>
      <c r="F343" t="s">
        <v>246</v>
      </c>
      <c r="G343" t="s">
        <v>973</v>
      </c>
      <c r="H343" t="s">
        <v>1685</v>
      </c>
      <c r="I343" s="7">
        <v>1165</v>
      </c>
      <c r="J343" s="7">
        <v>19503</v>
      </c>
      <c r="K343" s="7">
        <v>2</v>
      </c>
      <c r="L343" t="s">
        <v>247</v>
      </c>
      <c r="M343" t="s">
        <v>267</v>
      </c>
      <c r="N343" s="7">
        <v>789109</v>
      </c>
      <c r="O343" t="s">
        <v>974</v>
      </c>
      <c r="P343" t="s">
        <v>975</v>
      </c>
      <c r="S343" t="s">
        <v>1600</v>
      </c>
      <c r="T343" t="s">
        <v>1601</v>
      </c>
      <c r="U343" t="s">
        <v>1602</v>
      </c>
      <c r="V343" s="8">
        <v>0</v>
      </c>
      <c r="W343" s="7">
        <v>588346</v>
      </c>
      <c r="X343" t="s">
        <v>418</v>
      </c>
      <c r="Y343" s="8">
        <v>0</v>
      </c>
      <c r="Z343" s="8">
        <v>0</v>
      </c>
      <c r="AA343" s="8">
        <v>0</v>
      </c>
      <c r="AB343" s="7">
        <v>111813</v>
      </c>
      <c r="AC343" t="s">
        <v>418</v>
      </c>
      <c r="AD343" s="8">
        <v>0</v>
      </c>
      <c r="AG343" t="s">
        <v>828</v>
      </c>
      <c r="AH343" t="s">
        <v>802</v>
      </c>
      <c r="AI343" t="s">
        <v>803</v>
      </c>
    </row>
    <row r="344" spans="1:35" hidden="1">
      <c r="A344" s="7">
        <v>343</v>
      </c>
      <c r="B344" t="s">
        <v>243</v>
      </c>
      <c r="C344" t="s">
        <v>244</v>
      </c>
      <c r="D344" s="7">
        <v>7134</v>
      </c>
      <c r="E344" t="s">
        <v>245</v>
      </c>
      <c r="F344" t="s">
        <v>246</v>
      </c>
      <c r="G344" t="s">
        <v>1069</v>
      </c>
      <c r="H344" t="s">
        <v>1685</v>
      </c>
      <c r="I344" s="7">
        <v>1165</v>
      </c>
      <c r="J344" s="7">
        <v>8900</v>
      </c>
      <c r="K344" s="7">
        <v>1</v>
      </c>
      <c r="L344" t="s">
        <v>247</v>
      </c>
      <c r="M344" t="s">
        <v>267</v>
      </c>
      <c r="N344" s="7">
        <v>789051</v>
      </c>
      <c r="O344" t="s">
        <v>1780</v>
      </c>
      <c r="P344" t="s">
        <v>1781</v>
      </c>
      <c r="Q344" t="s">
        <v>870</v>
      </c>
      <c r="R344" t="s">
        <v>871</v>
      </c>
      <c r="S344" t="s">
        <v>1600</v>
      </c>
      <c r="T344" t="s">
        <v>1601</v>
      </c>
      <c r="U344" t="s">
        <v>1602</v>
      </c>
      <c r="V344" s="8">
        <v>1250</v>
      </c>
      <c r="W344" s="7">
        <v>588346</v>
      </c>
      <c r="X344" t="s">
        <v>418</v>
      </c>
      <c r="Y344" s="8">
        <v>1000</v>
      </c>
      <c r="Z344" s="8">
        <v>1475</v>
      </c>
      <c r="AA344" s="8">
        <v>225</v>
      </c>
      <c r="AB344" s="7">
        <v>111813</v>
      </c>
      <c r="AC344" t="s">
        <v>418</v>
      </c>
      <c r="AD344" s="8">
        <v>250</v>
      </c>
      <c r="AG344" t="s">
        <v>828</v>
      </c>
      <c r="AH344" t="s">
        <v>802</v>
      </c>
      <c r="AI344" t="s">
        <v>818</v>
      </c>
    </row>
    <row r="345" spans="1:35" hidden="1">
      <c r="A345" s="7">
        <v>344</v>
      </c>
      <c r="B345" t="s">
        <v>243</v>
      </c>
      <c r="C345" t="s">
        <v>244</v>
      </c>
      <c r="D345" s="7">
        <v>7134</v>
      </c>
      <c r="E345" t="s">
        <v>245</v>
      </c>
      <c r="F345" t="s">
        <v>246</v>
      </c>
      <c r="G345" t="s">
        <v>999</v>
      </c>
      <c r="H345" t="s">
        <v>1685</v>
      </c>
      <c r="I345" s="7">
        <v>1165</v>
      </c>
      <c r="J345" s="7">
        <v>20110</v>
      </c>
      <c r="K345" s="7">
        <v>3</v>
      </c>
      <c r="L345" t="s">
        <v>247</v>
      </c>
      <c r="M345" t="s">
        <v>261</v>
      </c>
      <c r="N345" s="7">
        <v>790577</v>
      </c>
      <c r="O345" t="s">
        <v>1083</v>
      </c>
      <c r="P345" t="s">
        <v>1084</v>
      </c>
      <c r="S345" t="s">
        <v>1600</v>
      </c>
      <c r="T345" t="s">
        <v>1601</v>
      </c>
      <c r="U345" t="s">
        <v>1602</v>
      </c>
      <c r="V345" s="8">
        <v>1250</v>
      </c>
      <c r="W345" s="7">
        <v>588346</v>
      </c>
      <c r="X345" t="s">
        <v>418</v>
      </c>
      <c r="Y345" s="8">
        <v>1250</v>
      </c>
      <c r="Z345" s="8">
        <v>1475</v>
      </c>
      <c r="AA345" s="8">
        <v>225</v>
      </c>
      <c r="AB345" s="7">
        <v>111813</v>
      </c>
      <c r="AC345" t="s">
        <v>418</v>
      </c>
      <c r="AD345" s="8">
        <v>0</v>
      </c>
      <c r="AG345" t="s">
        <v>801</v>
      </c>
      <c r="AH345" t="s">
        <v>802</v>
      </c>
      <c r="AI345" t="s">
        <v>818</v>
      </c>
    </row>
    <row r="346" spans="1:35" hidden="1">
      <c r="A346" s="7">
        <v>345</v>
      </c>
      <c r="B346" t="s">
        <v>243</v>
      </c>
      <c r="C346" t="s">
        <v>244</v>
      </c>
      <c r="D346" s="7">
        <v>7134</v>
      </c>
      <c r="E346" t="s">
        <v>245</v>
      </c>
      <c r="F346" t="s">
        <v>246</v>
      </c>
      <c r="G346" t="s">
        <v>1072</v>
      </c>
      <c r="H346" t="s">
        <v>1631</v>
      </c>
      <c r="I346" s="7">
        <v>1165</v>
      </c>
      <c r="J346" s="7">
        <v>60000</v>
      </c>
      <c r="K346" s="7">
        <v>6</v>
      </c>
      <c r="L346" t="s">
        <v>247</v>
      </c>
      <c r="M346" t="s">
        <v>261</v>
      </c>
      <c r="N346" s="7">
        <v>774648</v>
      </c>
      <c r="O346" t="s">
        <v>1549</v>
      </c>
      <c r="P346" t="s">
        <v>1550</v>
      </c>
      <c r="S346" t="s">
        <v>1600</v>
      </c>
      <c r="T346" t="s">
        <v>1601</v>
      </c>
      <c r="U346" t="s">
        <v>1602</v>
      </c>
      <c r="V346" s="8">
        <v>0</v>
      </c>
      <c r="W346" s="7">
        <v>588346</v>
      </c>
      <c r="X346" t="s">
        <v>418</v>
      </c>
      <c r="Y346" s="8">
        <v>0</v>
      </c>
      <c r="Z346" s="8">
        <v>0</v>
      </c>
      <c r="AA346" s="8">
        <v>0</v>
      </c>
      <c r="AB346" s="7">
        <v>111813</v>
      </c>
      <c r="AC346" t="s">
        <v>418</v>
      </c>
      <c r="AD346" s="8">
        <v>0</v>
      </c>
      <c r="AG346" t="s">
        <v>801</v>
      </c>
      <c r="AH346" t="s">
        <v>802</v>
      </c>
      <c r="AI346" t="s">
        <v>803</v>
      </c>
    </row>
    <row r="347" spans="1:35" hidden="1">
      <c r="A347" s="7">
        <v>346</v>
      </c>
      <c r="B347" t="s">
        <v>243</v>
      </c>
      <c r="C347" t="s">
        <v>244</v>
      </c>
      <c r="D347" s="7">
        <v>7134</v>
      </c>
      <c r="E347" t="s">
        <v>245</v>
      </c>
      <c r="F347" t="s">
        <v>246</v>
      </c>
      <c r="G347" t="s">
        <v>1727</v>
      </c>
      <c r="H347" t="s">
        <v>1603</v>
      </c>
      <c r="I347" s="7">
        <v>1165</v>
      </c>
      <c r="J347" s="7">
        <v>42317</v>
      </c>
      <c r="K347" s="7">
        <v>7</v>
      </c>
      <c r="L347" t="s">
        <v>247</v>
      </c>
      <c r="M347" t="s">
        <v>252</v>
      </c>
      <c r="N347" s="7">
        <v>320359</v>
      </c>
      <c r="O347" t="s">
        <v>1728</v>
      </c>
      <c r="P347" t="s">
        <v>1729</v>
      </c>
      <c r="S347" t="s">
        <v>1600</v>
      </c>
      <c r="T347" t="s">
        <v>1601</v>
      </c>
      <c r="U347" t="s">
        <v>1602</v>
      </c>
      <c r="V347" s="8">
        <v>0</v>
      </c>
      <c r="W347" s="7">
        <v>588346</v>
      </c>
      <c r="X347" t="s">
        <v>418</v>
      </c>
      <c r="Y347" s="8">
        <v>0</v>
      </c>
      <c r="Z347" s="8">
        <v>0</v>
      </c>
      <c r="AA347" s="8">
        <v>0</v>
      </c>
      <c r="AB347" s="7">
        <v>111813</v>
      </c>
      <c r="AC347" t="s">
        <v>418</v>
      </c>
      <c r="AD347" s="8">
        <v>0</v>
      </c>
      <c r="AG347" t="s">
        <v>937</v>
      </c>
      <c r="AH347" t="s">
        <v>802</v>
      </c>
      <c r="AI347" t="s">
        <v>803</v>
      </c>
    </row>
    <row r="348" spans="1:35" hidden="1">
      <c r="A348" s="7">
        <v>347</v>
      </c>
      <c r="B348" t="s">
        <v>243</v>
      </c>
      <c r="C348" t="s">
        <v>244</v>
      </c>
      <c r="D348" s="7">
        <v>7134</v>
      </c>
      <c r="E348" t="s">
        <v>245</v>
      </c>
      <c r="F348" t="s">
        <v>246</v>
      </c>
      <c r="G348" t="s">
        <v>1730</v>
      </c>
      <c r="H348" t="s">
        <v>543</v>
      </c>
      <c r="I348" s="7">
        <v>1165</v>
      </c>
      <c r="J348" s="7">
        <v>49830</v>
      </c>
      <c r="K348" s="7">
        <v>5</v>
      </c>
      <c r="L348" t="s">
        <v>247</v>
      </c>
      <c r="M348" t="s">
        <v>267</v>
      </c>
      <c r="N348" s="7">
        <v>776872</v>
      </c>
      <c r="O348" t="s">
        <v>1731</v>
      </c>
      <c r="P348" t="s">
        <v>1732</v>
      </c>
      <c r="S348" t="s">
        <v>1600</v>
      </c>
      <c r="T348" t="s">
        <v>1601</v>
      </c>
      <c r="U348" t="s">
        <v>1602</v>
      </c>
      <c r="V348" s="8">
        <v>1250</v>
      </c>
      <c r="W348" s="7">
        <v>588346</v>
      </c>
      <c r="X348" t="s">
        <v>418</v>
      </c>
      <c r="Y348" s="8">
        <v>1250</v>
      </c>
      <c r="Z348" s="8">
        <v>1475</v>
      </c>
      <c r="AA348" s="8">
        <v>225</v>
      </c>
      <c r="AB348" s="7">
        <v>111813</v>
      </c>
      <c r="AC348" t="s">
        <v>418</v>
      </c>
      <c r="AD348" s="8">
        <v>0</v>
      </c>
      <c r="AG348" t="s">
        <v>828</v>
      </c>
      <c r="AH348" t="s">
        <v>802</v>
      </c>
      <c r="AI348" t="s">
        <v>818</v>
      </c>
    </row>
    <row r="349" spans="1:35" hidden="1">
      <c r="A349" s="7">
        <v>348</v>
      </c>
      <c r="B349" t="s">
        <v>243</v>
      </c>
      <c r="C349" t="s">
        <v>244</v>
      </c>
      <c r="D349" s="7">
        <v>7134</v>
      </c>
      <c r="E349" t="s">
        <v>245</v>
      </c>
      <c r="F349" t="s">
        <v>246</v>
      </c>
      <c r="G349" t="s">
        <v>1116</v>
      </c>
      <c r="H349" t="s">
        <v>1619</v>
      </c>
      <c r="I349" s="7">
        <v>1165</v>
      </c>
      <c r="J349" s="7">
        <v>28870</v>
      </c>
      <c r="K349" s="7">
        <v>4</v>
      </c>
      <c r="L349" t="s">
        <v>247</v>
      </c>
      <c r="M349" t="s">
        <v>261</v>
      </c>
      <c r="N349" s="7">
        <v>786160</v>
      </c>
      <c r="O349" t="s">
        <v>1117</v>
      </c>
      <c r="P349" t="s">
        <v>1118</v>
      </c>
      <c r="S349" t="s">
        <v>1600</v>
      </c>
      <c r="T349" t="s">
        <v>1601</v>
      </c>
      <c r="U349" t="s">
        <v>1602</v>
      </c>
      <c r="V349" s="8">
        <v>0</v>
      </c>
      <c r="W349" s="7">
        <v>588346</v>
      </c>
      <c r="X349" t="s">
        <v>418</v>
      </c>
      <c r="Y349" s="8">
        <v>0</v>
      </c>
      <c r="Z349" s="8">
        <v>0</v>
      </c>
      <c r="AA349" s="8">
        <v>0</v>
      </c>
      <c r="AB349" s="7">
        <v>111813</v>
      </c>
      <c r="AC349" t="s">
        <v>418</v>
      </c>
      <c r="AD349" s="8">
        <v>0</v>
      </c>
      <c r="AG349" t="s">
        <v>801</v>
      </c>
      <c r="AH349" t="s">
        <v>802</v>
      </c>
      <c r="AI349" t="s">
        <v>803</v>
      </c>
    </row>
    <row r="350" spans="1:35" hidden="1">
      <c r="A350" s="7">
        <v>349</v>
      </c>
      <c r="B350" t="s">
        <v>243</v>
      </c>
      <c r="C350" t="s">
        <v>244</v>
      </c>
      <c r="D350" s="7">
        <v>7134</v>
      </c>
      <c r="E350" t="s">
        <v>245</v>
      </c>
      <c r="F350" t="s">
        <v>246</v>
      </c>
      <c r="G350" t="s">
        <v>1773</v>
      </c>
      <c r="H350" t="s">
        <v>255</v>
      </c>
      <c r="I350" s="7">
        <v>1165</v>
      </c>
      <c r="J350" s="7">
        <v>20000</v>
      </c>
      <c r="K350" s="7">
        <v>2</v>
      </c>
      <c r="L350" t="s">
        <v>247</v>
      </c>
      <c r="M350" t="s">
        <v>361</v>
      </c>
      <c r="N350" s="7">
        <v>4921</v>
      </c>
      <c r="O350" t="s">
        <v>1774</v>
      </c>
      <c r="P350" t="s">
        <v>1775</v>
      </c>
      <c r="S350" t="s">
        <v>1600</v>
      </c>
      <c r="T350" t="s">
        <v>1601</v>
      </c>
      <c r="U350" t="s">
        <v>1602</v>
      </c>
      <c r="V350" s="8">
        <v>0</v>
      </c>
      <c r="W350" s="7">
        <v>588346</v>
      </c>
      <c r="X350" t="s">
        <v>418</v>
      </c>
      <c r="Y350" s="8">
        <v>0</v>
      </c>
      <c r="Z350" s="8">
        <v>0</v>
      </c>
      <c r="AA350" s="8">
        <v>0</v>
      </c>
      <c r="AB350" s="7">
        <v>111813</v>
      </c>
      <c r="AC350" t="s">
        <v>418</v>
      </c>
      <c r="AD350" s="8">
        <v>0</v>
      </c>
      <c r="AG350" t="s">
        <v>823</v>
      </c>
      <c r="AH350" t="s">
        <v>802</v>
      </c>
      <c r="AI350" t="s">
        <v>803</v>
      </c>
    </row>
    <row r="351" spans="1:35" hidden="1">
      <c r="A351" s="7">
        <v>350</v>
      </c>
      <c r="B351" t="s">
        <v>243</v>
      </c>
      <c r="C351" t="s">
        <v>244</v>
      </c>
      <c r="D351" s="7">
        <v>7134</v>
      </c>
      <c r="E351" t="s">
        <v>245</v>
      </c>
      <c r="F351" t="s">
        <v>246</v>
      </c>
      <c r="G351" t="s">
        <v>820</v>
      </c>
      <c r="H351" t="s">
        <v>571</v>
      </c>
      <c r="I351" s="7">
        <v>1463</v>
      </c>
      <c r="J351" s="7">
        <v>9880</v>
      </c>
      <c r="K351" s="7">
        <v>1</v>
      </c>
      <c r="L351" t="s">
        <v>247</v>
      </c>
      <c r="M351" t="s">
        <v>252</v>
      </c>
      <c r="N351" s="7">
        <v>327181</v>
      </c>
      <c r="O351" t="s">
        <v>1638</v>
      </c>
      <c r="P351" t="s">
        <v>1639</v>
      </c>
      <c r="S351" t="s">
        <v>1600</v>
      </c>
      <c r="T351" t="s">
        <v>1601</v>
      </c>
      <c r="U351" t="s">
        <v>1602</v>
      </c>
      <c r="V351" s="8">
        <v>1250</v>
      </c>
      <c r="W351" s="7">
        <v>588346</v>
      </c>
      <c r="X351" t="s">
        <v>418</v>
      </c>
      <c r="Y351" s="8">
        <v>1250</v>
      </c>
      <c r="Z351" s="8">
        <v>1475</v>
      </c>
      <c r="AA351" s="8">
        <v>225</v>
      </c>
      <c r="AB351" s="7">
        <v>111813</v>
      </c>
      <c r="AC351" t="s">
        <v>418</v>
      </c>
      <c r="AD351" s="8">
        <v>0</v>
      </c>
      <c r="AG351" t="s">
        <v>937</v>
      </c>
      <c r="AH351" t="s">
        <v>802</v>
      </c>
      <c r="AI351" t="s">
        <v>818</v>
      </c>
    </row>
    <row r="352" spans="1:35" hidden="1">
      <c r="A352" s="7">
        <v>351</v>
      </c>
      <c r="B352" t="s">
        <v>243</v>
      </c>
      <c r="C352" t="s">
        <v>244</v>
      </c>
      <c r="D352" s="7">
        <v>7134</v>
      </c>
      <c r="E352" t="s">
        <v>245</v>
      </c>
      <c r="F352" t="s">
        <v>246</v>
      </c>
      <c r="G352" t="s">
        <v>945</v>
      </c>
      <c r="H352" t="s">
        <v>571</v>
      </c>
      <c r="I352" s="7">
        <v>1165</v>
      </c>
      <c r="J352" s="7">
        <v>130000</v>
      </c>
      <c r="K352" s="7">
        <v>13</v>
      </c>
      <c r="L352" t="s">
        <v>247</v>
      </c>
      <c r="M352" t="s">
        <v>267</v>
      </c>
      <c r="N352" s="7">
        <v>756550</v>
      </c>
      <c r="O352" t="s">
        <v>946</v>
      </c>
      <c r="P352" t="s">
        <v>947</v>
      </c>
      <c r="S352" t="s">
        <v>1600</v>
      </c>
      <c r="T352" t="s">
        <v>1601</v>
      </c>
      <c r="U352" t="s">
        <v>1602</v>
      </c>
      <c r="V352" s="8">
        <v>0</v>
      </c>
      <c r="W352" s="7">
        <v>588346</v>
      </c>
      <c r="X352" t="s">
        <v>418</v>
      </c>
      <c r="Y352" s="8">
        <v>0</v>
      </c>
      <c r="Z352" s="8">
        <v>0</v>
      </c>
      <c r="AA352" s="8">
        <v>0</v>
      </c>
      <c r="AB352" s="7">
        <v>111813</v>
      </c>
      <c r="AC352" t="s">
        <v>418</v>
      </c>
      <c r="AD352" s="8">
        <v>0</v>
      </c>
      <c r="AG352" t="s">
        <v>828</v>
      </c>
      <c r="AH352" t="s">
        <v>802</v>
      </c>
      <c r="AI352" t="s">
        <v>803</v>
      </c>
    </row>
    <row r="353" spans="1:35" hidden="1">
      <c r="A353" s="7">
        <v>352</v>
      </c>
      <c r="B353" t="s">
        <v>243</v>
      </c>
      <c r="C353" t="s">
        <v>244</v>
      </c>
      <c r="D353" s="7">
        <v>7134</v>
      </c>
      <c r="E353" t="s">
        <v>245</v>
      </c>
      <c r="F353" t="s">
        <v>246</v>
      </c>
      <c r="G353" t="s">
        <v>1091</v>
      </c>
      <c r="H353" t="s">
        <v>1672</v>
      </c>
      <c r="I353" s="7">
        <v>1165</v>
      </c>
      <c r="J353" s="7">
        <v>4816</v>
      </c>
      <c r="K353" s="7">
        <v>2</v>
      </c>
      <c r="L353" t="s">
        <v>247</v>
      </c>
      <c r="M353" t="s">
        <v>261</v>
      </c>
      <c r="N353" s="7">
        <v>781175</v>
      </c>
      <c r="O353" t="s">
        <v>1093</v>
      </c>
      <c r="P353" t="s">
        <v>1094</v>
      </c>
      <c r="S353" t="s">
        <v>1600</v>
      </c>
      <c r="T353" t="s">
        <v>1601</v>
      </c>
      <c r="U353" t="s">
        <v>1602</v>
      </c>
      <c r="V353" s="8">
        <v>0</v>
      </c>
      <c r="W353" s="7">
        <v>588346</v>
      </c>
      <c r="X353" t="s">
        <v>418</v>
      </c>
      <c r="Y353" s="8">
        <v>0</v>
      </c>
      <c r="Z353" s="8">
        <v>0</v>
      </c>
      <c r="AA353" s="8">
        <v>0</v>
      </c>
      <c r="AB353" s="7">
        <v>111813</v>
      </c>
      <c r="AC353" t="s">
        <v>418</v>
      </c>
      <c r="AD353" s="8">
        <v>0</v>
      </c>
      <c r="AG353" t="s">
        <v>808</v>
      </c>
      <c r="AH353" t="s">
        <v>802</v>
      </c>
      <c r="AI353" t="s">
        <v>803</v>
      </c>
    </row>
    <row r="354" spans="1:35" hidden="1">
      <c r="A354" s="7">
        <v>353</v>
      </c>
      <c r="B354" t="s">
        <v>243</v>
      </c>
      <c r="C354" t="s">
        <v>244</v>
      </c>
      <c r="D354" s="7">
        <v>7134</v>
      </c>
      <c r="E354" t="s">
        <v>245</v>
      </c>
      <c r="F354" t="s">
        <v>246</v>
      </c>
      <c r="G354" t="s">
        <v>797</v>
      </c>
      <c r="H354" t="s">
        <v>516</v>
      </c>
      <c r="I354" s="7">
        <v>1165</v>
      </c>
      <c r="J354" s="7">
        <v>6570</v>
      </c>
      <c r="K354" s="7">
        <v>1</v>
      </c>
      <c r="L354" t="s">
        <v>247</v>
      </c>
      <c r="M354" t="s">
        <v>252</v>
      </c>
      <c r="N354" s="7">
        <v>327226</v>
      </c>
      <c r="O354" t="s">
        <v>1743</v>
      </c>
      <c r="P354" t="s">
        <v>1744</v>
      </c>
      <c r="S354" t="s">
        <v>1600</v>
      </c>
      <c r="T354" t="s">
        <v>1601</v>
      </c>
      <c r="U354" t="s">
        <v>1602</v>
      </c>
      <c r="V354" s="8">
        <v>1250</v>
      </c>
      <c r="W354" s="7">
        <v>588346</v>
      </c>
      <c r="X354" t="s">
        <v>418</v>
      </c>
      <c r="Y354" s="8">
        <v>1250</v>
      </c>
      <c r="Z354" s="8">
        <v>1475</v>
      </c>
      <c r="AA354" s="8">
        <v>225</v>
      </c>
      <c r="AB354" s="7">
        <v>111813</v>
      </c>
      <c r="AC354" t="s">
        <v>418</v>
      </c>
      <c r="AD354" s="8">
        <v>0</v>
      </c>
      <c r="AG354" t="s">
        <v>937</v>
      </c>
      <c r="AH354" t="s">
        <v>802</v>
      </c>
      <c r="AI354" t="s">
        <v>818</v>
      </c>
    </row>
    <row r="355" spans="1:35" hidden="1">
      <c r="A355" s="7">
        <v>354</v>
      </c>
      <c r="B355" t="s">
        <v>243</v>
      </c>
      <c r="C355" t="s">
        <v>244</v>
      </c>
      <c r="D355" s="7">
        <v>7134</v>
      </c>
      <c r="E355" t="s">
        <v>245</v>
      </c>
      <c r="F355" t="s">
        <v>246</v>
      </c>
      <c r="G355" t="s">
        <v>1669</v>
      </c>
      <c r="H355" t="s">
        <v>501</v>
      </c>
      <c r="I355" s="7">
        <v>1165</v>
      </c>
      <c r="J355" s="7">
        <v>5000</v>
      </c>
      <c r="K355" s="7">
        <v>2</v>
      </c>
      <c r="L355" t="s">
        <v>247</v>
      </c>
      <c r="M355" t="s">
        <v>267</v>
      </c>
      <c r="N355" s="7">
        <v>768162</v>
      </c>
      <c r="O355" t="s">
        <v>1670</v>
      </c>
      <c r="P355" t="s">
        <v>1671</v>
      </c>
      <c r="S355" t="s">
        <v>1600</v>
      </c>
      <c r="T355" t="s">
        <v>1601</v>
      </c>
      <c r="U355" t="s">
        <v>1602</v>
      </c>
      <c r="V355" s="8">
        <v>1250</v>
      </c>
      <c r="W355" s="7">
        <v>588346</v>
      </c>
      <c r="X355" t="s">
        <v>418</v>
      </c>
      <c r="Y355" s="8">
        <v>1250</v>
      </c>
      <c r="Z355" s="8">
        <v>1475</v>
      </c>
      <c r="AA355" s="8">
        <v>225</v>
      </c>
      <c r="AB355" s="7">
        <v>111813</v>
      </c>
      <c r="AC355" t="s">
        <v>418</v>
      </c>
      <c r="AD355" s="8">
        <v>0</v>
      </c>
      <c r="AG355" t="s">
        <v>1124</v>
      </c>
      <c r="AH355" t="s">
        <v>802</v>
      </c>
      <c r="AI355" t="s">
        <v>818</v>
      </c>
    </row>
    <row r="356" spans="1:35" hidden="1">
      <c r="A356" s="7">
        <v>355</v>
      </c>
      <c r="B356" t="s">
        <v>243</v>
      </c>
      <c r="C356" t="s">
        <v>244</v>
      </c>
      <c r="D356" s="7">
        <v>7134</v>
      </c>
      <c r="E356" t="s">
        <v>245</v>
      </c>
      <c r="F356" t="s">
        <v>246</v>
      </c>
      <c r="G356" t="s">
        <v>1677</v>
      </c>
      <c r="H356" t="s">
        <v>1623</v>
      </c>
      <c r="I356" s="7">
        <v>1165</v>
      </c>
      <c r="J356" s="7">
        <v>21000</v>
      </c>
      <c r="K356" s="7">
        <v>3</v>
      </c>
      <c r="L356" t="s">
        <v>247</v>
      </c>
      <c r="M356" t="s">
        <v>261</v>
      </c>
      <c r="N356" s="7">
        <v>770667</v>
      </c>
      <c r="O356" t="s">
        <v>1678</v>
      </c>
      <c r="P356" t="s">
        <v>1679</v>
      </c>
      <c r="S356" t="s">
        <v>1600</v>
      </c>
      <c r="T356" t="s">
        <v>1601</v>
      </c>
      <c r="U356" t="s">
        <v>1602</v>
      </c>
      <c r="V356" s="8">
        <v>1250</v>
      </c>
      <c r="W356" s="7">
        <v>588346</v>
      </c>
      <c r="X356" t="s">
        <v>418</v>
      </c>
      <c r="Y356" s="8">
        <v>1250</v>
      </c>
      <c r="Z356" s="8">
        <v>1475</v>
      </c>
      <c r="AA356" s="8">
        <v>225</v>
      </c>
      <c r="AB356" s="7">
        <v>111813</v>
      </c>
      <c r="AC356" t="s">
        <v>418</v>
      </c>
      <c r="AD356" s="8">
        <v>0</v>
      </c>
      <c r="AG356" t="s">
        <v>817</v>
      </c>
      <c r="AH356" t="s">
        <v>802</v>
      </c>
      <c r="AI356" t="s">
        <v>818</v>
      </c>
    </row>
    <row r="357" spans="1:35" hidden="1">
      <c r="A357" s="7">
        <v>356</v>
      </c>
      <c r="B357" t="s">
        <v>243</v>
      </c>
      <c r="C357" t="s">
        <v>244</v>
      </c>
      <c r="D357" s="7">
        <v>7134</v>
      </c>
      <c r="E357" t="s">
        <v>245</v>
      </c>
      <c r="F357" t="s">
        <v>246</v>
      </c>
      <c r="G357" t="s">
        <v>920</v>
      </c>
      <c r="H357" t="s">
        <v>501</v>
      </c>
      <c r="I357" s="7">
        <v>1165</v>
      </c>
      <c r="J357" s="7">
        <v>82879</v>
      </c>
      <c r="K357" s="7">
        <v>10</v>
      </c>
      <c r="L357" t="s">
        <v>247</v>
      </c>
      <c r="M357" t="s">
        <v>361</v>
      </c>
      <c r="N357" s="7">
        <v>1107</v>
      </c>
      <c r="O357" t="s">
        <v>922</v>
      </c>
      <c r="P357" t="s">
        <v>923</v>
      </c>
      <c r="S357" t="s">
        <v>1600</v>
      </c>
      <c r="T357" t="s">
        <v>1601</v>
      </c>
      <c r="U357" t="s">
        <v>1602</v>
      </c>
      <c r="V357" s="8">
        <v>0</v>
      </c>
      <c r="W357" s="7">
        <v>588346</v>
      </c>
      <c r="X357" t="s">
        <v>418</v>
      </c>
      <c r="Y357" s="8">
        <v>0</v>
      </c>
      <c r="Z357" s="8">
        <v>0</v>
      </c>
      <c r="AA357" s="8">
        <v>0</v>
      </c>
      <c r="AB357" s="7">
        <v>111813</v>
      </c>
      <c r="AC357" t="s">
        <v>418</v>
      </c>
      <c r="AD357" s="8">
        <v>0</v>
      </c>
      <c r="AG357" t="s">
        <v>823</v>
      </c>
      <c r="AH357" t="s">
        <v>802</v>
      </c>
      <c r="AI357" t="s">
        <v>803</v>
      </c>
    </row>
    <row r="358" spans="1:35" hidden="1">
      <c r="A358" s="7">
        <v>357</v>
      </c>
      <c r="B358" t="s">
        <v>243</v>
      </c>
      <c r="C358" t="s">
        <v>244</v>
      </c>
      <c r="D358" s="7">
        <v>7134</v>
      </c>
      <c r="E358" t="s">
        <v>245</v>
      </c>
      <c r="F358" t="s">
        <v>246</v>
      </c>
      <c r="G358" t="s">
        <v>1393</v>
      </c>
      <c r="H358" t="s">
        <v>512</v>
      </c>
      <c r="I358" s="7">
        <v>1165</v>
      </c>
      <c r="J358" s="7">
        <v>41500</v>
      </c>
      <c r="K358" s="7">
        <v>11</v>
      </c>
      <c r="L358" t="s">
        <v>247</v>
      </c>
      <c r="M358" t="s">
        <v>261</v>
      </c>
      <c r="N358" s="7">
        <v>743974</v>
      </c>
      <c r="O358" t="s">
        <v>1394</v>
      </c>
      <c r="P358" t="s">
        <v>1395</v>
      </c>
      <c r="S358" t="s">
        <v>1600</v>
      </c>
      <c r="T358" t="s">
        <v>1601</v>
      </c>
      <c r="U358" t="s">
        <v>1602</v>
      </c>
      <c r="V358" s="8">
        <v>1250</v>
      </c>
      <c r="W358" s="7">
        <v>588346</v>
      </c>
      <c r="X358" t="s">
        <v>418</v>
      </c>
      <c r="Y358" s="8">
        <v>1250</v>
      </c>
      <c r="Z358" s="8">
        <v>1475</v>
      </c>
      <c r="AA358" s="8">
        <v>225</v>
      </c>
      <c r="AB358" s="7">
        <v>111813</v>
      </c>
      <c r="AC358" t="s">
        <v>418</v>
      </c>
      <c r="AD358" s="8">
        <v>0</v>
      </c>
      <c r="AG358" t="s">
        <v>801</v>
      </c>
      <c r="AH358" t="s">
        <v>802</v>
      </c>
      <c r="AI358" t="s">
        <v>818</v>
      </c>
    </row>
    <row r="359" spans="1:35" hidden="1">
      <c r="A359" s="7">
        <v>358</v>
      </c>
      <c r="B359" t="s">
        <v>243</v>
      </c>
      <c r="C359" t="s">
        <v>244</v>
      </c>
      <c r="D359" s="7">
        <v>7134</v>
      </c>
      <c r="E359" t="s">
        <v>245</v>
      </c>
      <c r="F359" t="s">
        <v>246</v>
      </c>
      <c r="G359" t="s">
        <v>917</v>
      </c>
      <c r="H359" t="s">
        <v>543</v>
      </c>
      <c r="I359" s="7">
        <v>1165</v>
      </c>
      <c r="J359" s="7">
        <v>19920</v>
      </c>
      <c r="K359" s="7">
        <v>2</v>
      </c>
      <c r="L359" t="s">
        <v>247</v>
      </c>
      <c r="M359" t="s">
        <v>361</v>
      </c>
      <c r="N359" s="7">
        <v>6199</v>
      </c>
      <c r="O359" t="s">
        <v>1592</v>
      </c>
      <c r="P359" t="s">
        <v>1593</v>
      </c>
      <c r="S359" t="s">
        <v>1600</v>
      </c>
      <c r="T359" t="s">
        <v>1601</v>
      </c>
      <c r="U359" t="s">
        <v>1602</v>
      </c>
      <c r="V359" s="8">
        <v>0</v>
      </c>
      <c r="W359" s="7">
        <v>588346</v>
      </c>
      <c r="X359" t="s">
        <v>418</v>
      </c>
      <c r="Y359" s="8">
        <v>0</v>
      </c>
      <c r="Z359" s="8">
        <v>0</v>
      </c>
      <c r="AA359" s="8">
        <v>0</v>
      </c>
      <c r="AB359" s="7">
        <v>111813</v>
      </c>
      <c r="AC359" t="s">
        <v>418</v>
      </c>
      <c r="AD359" s="8">
        <v>0</v>
      </c>
      <c r="AG359" t="s">
        <v>823</v>
      </c>
      <c r="AH359" t="s">
        <v>802</v>
      </c>
      <c r="AI359" t="s">
        <v>803</v>
      </c>
    </row>
    <row r="360" spans="1:35" hidden="1">
      <c r="A360" s="7">
        <v>359</v>
      </c>
      <c r="B360" t="s">
        <v>243</v>
      </c>
      <c r="C360" t="s">
        <v>244</v>
      </c>
      <c r="D360" s="7">
        <v>7134</v>
      </c>
      <c r="E360" t="s">
        <v>245</v>
      </c>
      <c r="F360" t="s">
        <v>246</v>
      </c>
      <c r="G360" t="s">
        <v>861</v>
      </c>
      <c r="H360" t="s">
        <v>1635</v>
      </c>
      <c r="I360" s="7">
        <v>968</v>
      </c>
      <c r="J360" s="7">
        <v>40000</v>
      </c>
      <c r="K360" s="7">
        <v>4</v>
      </c>
      <c r="L360" t="s">
        <v>247</v>
      </c>
      <c r="M360" t="s">
        <v>261</v>
      </c>
      <c r="N360" s="7">
        <v>775157</v>
      </c>
      <c r="O360" t="s">
        <v>862</v>
      </c>
      <c r="P360" t="s">
        <v>863</v>
      </c>
      <c r="S360" t="s">
        <v>1600</v>
      </c>
      <c r="T360" t="s">
        <v>1601</v>
      </c>
      <c r="U360" t="s">
        <v>1602</v>
      </c>
      <c r="V360" s="8">
        <v>0</v>
      </c>
      <c r="W360" s="7">
        <v>588346</v>
      </c>
      <c r="X360" t="s">
        <v>418</v>
      </c>
      <c r="Y360" s="8">
        <v>0</v>
      </c>
      <c r="Z360" s="8">
        <v>0</v>
      </c>
      <c r="AA360" s="8">
        <v>0</v>
      </c>
      <c r="AB360" s="7">
        <v>111813</v>
      </c>
      <c r="AC360" t="s">
        <v>418</v>
      </c>
      <c r="AD360" s="8">
        <v>0</v>
      </c>
      <c r="AG360" t="s">
        <v>801</v>
      </c>
      <c r="AH360" t="s">
        <v>802</v>
      </c>
      <c r="AI360" t="s">
        <v>803</v>
      </c>
    </row>
    <row r="361" spans="1:35" hidden="1">
      <c r="A361" s="7">
        <v>360</v>
      </c>
      <c r="B361" t="s">
        <v>243</v>
      </c>
      <c r="C361" t="s">
        <v>244</v>
      </c>
      <c r="D361" s="7">
        <v>7134</v>
      </c>
      <c r="E361" t="s">
        <v>245</v>
      </c>
      <c r="F361" t="s">
        <v>246</v>
      </c>
      <c r="G361" t="s">
        <v>1740</v>
      </c>
      <c r="H361" t="s">
        <v>512</v>
      </c>
      <c r="I361" s="7">
        <v>1165</v>
      </c>
      <c r="J361" s="7">
        <v>20754</v>
      </c>
      <c r="K361" s="7">
        <v>2</v>
      </c>
      <c r="L361" t="s">
        <v>247</v>
      </c>
      <c r="M361" t="s">
        <v>261</v>
      </c>
      <c r="N361" s="7">
        <v>770766</v>
      </c>
      <c r="O361" t="s">
        <v>1741</v>
      </c>
      <c r="P361" t="s">
        <v>1742</v>
      </c>
      <c r="Q361" t="s">
        <v>870</v>
      </c>
      <c r="R361" t="s">
        <v>871</v>
      </c>
      <c r="S361" t="s">
        <v>1600</v>
      </c>
      <c r="T361" t="s">
        <v>1601</v>
      </c>
      <c r="U361" t="s">
        <v>1602</v>
      </c>
      <c r="V361" s="8">
        <v>1250</v>
      </c>
      <c r="W361" s="7">
        <v>588346</v>
      </c>
      <c r="X361" t="s">
        <v>418</v>
      </c>
      <c r="Y361" s="8">
        <v>1000</v>
      </c>
      <c r="Z361" s="8">
        <v>1475</v>
      </c>
      <c r="AA361" s="8">
        <v>225</v>
      </c>
      <c r="AB361" s="7">
        <v>111813</v>
      </c>
      <c r="AC361" t="s">
        <v>418</v>
      </c>
      <c r="AD361" s="8">
        <v>250</v>
      </c>
      <c r="AG361" t="s">
        <v>817</v>
      </c>
      <c r="AH361" t="s">
        <v>802</v>
      </c>
      <c r="AI361" t="s">
        <v>818</v>
      </c>
    </row>
    <row r="362" spans="1:35" hidden="1">
      <c r="A362" s="7">
        <v>361</v>
      </c>
      <c r="B362" t="s">
        <v>243</v>
      </c>
      <c r="C362" t="s">
        <v>244</v>
      </c>
      <c r="D362" s="7">
        <v>7134</v>
      </c>
      <c r="E362" t="s">
        <v>245</v>
      </c>
      <c r="F362" t="s">
        <v>246</v>
      </c>
      <c r="G362" t="s">
        <v>1737</v>
      </c>
      <c r="H362" t="s">
        <v>571</v>
      </c>
      <c r="I362" s="7">
        <v>1165</v>
      </c>
      <c r="J362" s="7">
        <v>25200</v>
      </c>
      <c r="K362" s="7">
        <v>3</v>
      </c>
      <c r="L362" t="s">
        <v>247</v>
      </c>
      <c r="M362" t="s">
        <v>261</v>
      </c>
      <c r="N362" s="7">
        <v>785017</v>
      </c>
      <c r="O362" t="s">
        <v>1738</v>
      </c>
      <c r="P362" t="s">
        <v>1739</v>
      </c>
      <c r="S362" t="s">
        <v>1600</v>
      </c>
      <c r="T362" t="s">
        <v>1601</v>
      </c>
      <c r="U362" t="s">
        <v>1602</v>
      </c>
      <c r="V362" s="8">
        <v>1250</v>
      </c>
      <c r="W362" s="7">
        <v>588346</v>
      </c>
      <c r="X362" t="s">
        <v>418</v>
      </c>
      <c r="Y362" s="8">
        <v>1250</v>
      </c>
      <c r="Z362" s="8">
        <v>1475</v>
      </c>
      <c r="AA362" s="8">
        <v>225</v>
      </c>
      <c r="AB362" s="7">
        <v>111813</v>
      </c>
      <c r="AC362" t="s">
        <v>418</v>
      </c>
      <c r="AD362" s="8">
        <v>0</v>
      </c>
      <c r="AG362" t="s">
        <v>801</v>
      </c>
      <c r="AH362" t="s">
        <v>802</v>
      </c>
      <c r="AI362" t="s">
        <v>818</v>
      </c>
    </row>
    <row r="363" spans="1:35" hidden="1">
      <c r="A363" s="7">
        <v>362</v>
      </c>
      <c r="B363" t="s">
        <v>243</v>
      </c>
      <c r="C363" t="s">
        <v>244</v>
      </c>
      <c r="D363" s="7">
        <v>7134</v>
      </c>
      <c r="E363" t="s">
        <v>245</v>
      </c>
      <c r="F363" t="s">
        <v>246</v>
      </c>
      <c r="G363" t="s">
        <v>1324</v>
      </c>
      <c r="H363" t="s">
        <v>516</v>
      </c>
      <c r="I363" s="7">
        <v>1165</v>
      </c>
      <c r="J363" s="7">
        <v>7839</v>
      </c>
      <c r="K363" s="7">
        <v>2</v>
      </c>
      <c r="L363" t="s">
        <v>247</v>
      </c>
      <c r="M363" t="s">
        <v>252</v>
      </c>
      <c r="N363" s="7">
        <v>326648</v>
      </c>
      <c r="O363" t="s">
        <v>1326</v>
      </c>
      <c r="P363" t="s">
        <v>1327</v>
      </c>
      <c r="S363" t="s">
        <v>1600</v>
      </c>
      <c r="T363" t="s">
        <v>1601</v>
      </c>
      <c r="U363" t="s">
        <v>1602</v>
      </c>
      <c r="V363" s="8">
        <v>0</v>
      </c>
      <c r="W363" s="7">
        <v>588346</v>
      </c>
      <c r="X363" t="s">
        <v>418</v>
      </c>
      <c r="Y363" s="8">
        <v>0</v>
      </c>
      <c r="Z363" s="8">
        <v>0</v>
      </c>
      <c r="AA363" s="8">
        <v>0</v>
      </c>
      <c r="AB363" s="7">
        <v>111813</v>
      </c>
      <c r="AC363" t="s">
        <v>418</v>
      </c>
      <c r="AD363" s="8">
        <v>0</v>
      </c>
      <c r="AG363" t="s">
        <v>937</v>
      </c>
      <c r="AH363" t="s">
        <v>802</v>
      </c>
      <c r="AI363" t="s">
        <v>803</v>
      </c>
    </row>
    <row r="364" spans="1:35" hidden="1">
      <c r="A364" s="7">
        <v>363</v>
      </c>
      <c r="B364" t="s">
        <v>243</v>
      </c>
      <c r="C364" t="s">
        <v>244</v>
      </c>
      <c r="D364" s="7">
        <v>7134</v>
      </c>
      <c r="E364" t="s">
        <v>245</v>
      </c>
      <c r="F364" t="s">
        <v>246</v>
      </c>
      <c r="G364" t="s">
        <v>1752</v>
      </c>
      <c r="H364" t="s">
        <v>1619</v>
      </c>
      <c r="I364" s="7">
        <v>1165</v>
      </c>
      <c r="J364" s="7">
        <v>60657</v>
      </c>
      <c r="K364" s="7">
        <v>9</v>
      </c>
      <c r="L364" t="s">
        <v>247</v>
      </c>
      <c r="M364" t="s">
        <v>261</v>
      </c>
      <c r="N364" s="7">
        <v>754751</v>
      </c>
      <c r="O364" t="s">
        <v>1753</v>
      </c>
      <c r="P364" t="s">
        <v>1754</v>
      </c>
      <c r="Q364" t="s">
        <v>870</v>
      </c>
      <c r="R364" t="s">
        <v>871</v>
      </c>
      <c r="S364" t="s">
        <v>1600</v>
      </c>
      <c r="T364" t="s">
        <v>1601</v>
      </c>
      <c r="U364" t="s">
        <v>1602</v>
      </c>
      <c r="V364" s="8">
        <v>0</v>
      </c>
      <c r="W364" s="7">
        <v>588346</v>
      </c>
      <c r="X364" t="s">
        <v>418</v>
      </c>
      <c r="Y364" s="8">
        <v>0</v>
      </c>
      <c r="Z364" s="8">
        <v>0</v>
      </c>
      <c r="AA364" s="8">
        <v>0</v>
      </c>
      <c r="AB364" s="7">
        <v>111813</v>
      </c>
      <c r="AC364" t="s">
        <v>418</v>
      </c>
      <c r="AD364" s="8">
        <v>0</v>
      </c>
      <c r="AG364" t="s">
        <v>801</v>
      </c>
      <c r="AH364" t="s">
        <v>802</v>
      </c>
      <c r="AI364" t="s">
        <v>803</v>
      </c>
    </row>
    <row r="365" spans="1:35" hidden="1">
      <c r="A365" s="7">
        <v>364</v>
      </c>
      <c r="B365" t="s">
        <v>243</v>
      </c>
      <c r="C365" t="s">
        <v>244</v>
      </c>
      <c r="D365" s="7">
        <v>7134</v>
      </c>
      <c r="E365" t="s">
        <v>245</v>
      </c>
      <c r="F365" t="s">
        <v>246</v>
      </c>
      <c r="G365" t="s">
        <v>1128</v>
      </c>
      <c r="H365" t="s">
        <v>1672</v>
      </c>
      <c r="I365" s="7">
        <v>1165</v>
      </c>
      <c r="J365" s="7">
        <v>9693</v>
      </c>
      <c r="K365" s="7">
        <v>2</v>
      </c>
      <c r="L365" t="s">
        <v>247</v>
      </c>
      <c r="M365" t="s">
        <v>261</v>
      </c>
      <c r="N365" s="7">
        <v>780781</v>
      </c>
      <c r="O365" t="s">
        <v>1718</v>
      </c>
      <c r="P365" t="s">
        <v>1719</v>
      </c>
      <c r="S365" t="s">
        <v>1600</v>
      </c>
      <c r="T365" t="s">
        <v>1601</v>
      </c>
      <c r="U365" t="s">
        <v>1602</v>
      </c>
      <c r="V365" s="8">
        <v>1250</v>
      </c>
      <c r="W365" s="7">
        <v>588346</v>
      </c>
      <c r="X365" t="s">
        <v>418</v>
      </c>
      <c r="Y365" s="8">
        <v>1250</v>
      </c>
      <c r="Z365" s="8">
        <v>1475</v>
      </c>
      <c r="AA365" s="8">
        <v>225</v>
      </c>
      <c r="AB365" s="7">
        <v>111813</v>
      </c>
      <c r="AC365" t="s">
        <v>418</v>
      </c>
      <c r="AD365" s="8">
        <v>0</v>
      </c>
      <c r="AG365" t="s">
        <v>817</v>
      </c>
      <c r="AH365" t="s">
        <v>802</v>
      </c>
      <c r="AI365" t="s">
        <v>818</v>
      </c>
    </row>
    <row r="366" spans="1:35" hidden="1">
      <c r="A366" s="7">
        <v>365</v>
      </c>
      <c r="B366" t="s">
        <v>243</v>
      </c>
      <c r="C366" t="s">
        <v>244</v>
      </c>
      <c r="D366" s="7">
        <v>7134</v>
      </c>
      <c r="E366" t="s">
        <v>245</v>
      </c>
      <c r="F366" t="s">
        <v>246</v>
      </c>
      <c r="G366" t="s">
        <v>1287</v>
      </c>
      <c r="H366" t="s">
        <v>1660</v>
      </c>
      <c r="I366" s="7">
        <v>1165</v>
      </c>
      <c r="J366" s="7">
        <v>39550</v>
      </c>
      <c r="K366" s="7">
        <v>4</v>
      </c>
      <c r="L366" t="s">
        <v>247</v>
      </c>
      <c r="M366" t="s">
        <v>267</v>
      </c>
      <c r="N366" s="7">
        <v>776534</v>
      </c>
      <c r="O366" t="s">
        <v>1288</v>
      </c>
      <c r="P366" t="s">
        <v>1289</v>
      </c>
      <c r="S366" t="s">
        <v>1600</v>
      </c>
      <c r="T366" t="s">
        <v>1601</v>
      </c>
      <c r="U366" t="s">
        <v>1602</v>
      </c>
      <c r="V366" s="8">
        <v>0</v>
      </c>
      <c r="W366" s="7">
        <v>588346</v>
      </c>
      <c r="X366" t="s">
        <v>418</v>
      </c>
      <c r="Y366" s="8">
        <v>0</v>
      </c>
      <c r="Z366" s="8">
        <v>0</v>
      </c>
      <c r="AA366" s="8">
        <v>0</v>
      </c>
      <c r="AB366" s="7">
        <v>111813</v>
      </c>
      <c r="AC366" t="s">
        <v>418</v>
      </c>
      <c r="AD366" s="8">
        <v>0</v>
      </c>
      <c r="AG366" t="s">
        <v>828</v>
      </c>
      <c r="AH366" t="s">
        <v>802</v>
      </c>
      <c r="AI366" t="s">
        <v>803</v>
      </c>
    </row>
    <row r="367" spans="1:35" hidden="1">
      <c r="A367" s="7">
        <v>366</v>
      </c>
      <c r="B367" t="s">
        <v>243</v>
      </c>
      <c r="C367" t="s">
        <v>244</v>
      </c>
      <c r="D367" s="7">
        <v>7134</v>
      </c>
      <c r="E367" t="s">
        <v>245</v>
      </c>
      <c r="F367" t="s">
        <v>246</v>
      </c>
      <c r="G367" t="s">
        <v>832</v>
      </c>
      <c r="H367" t="s">
        <v>571</v>
      </c>
      <c r="I367" s="7">
        <v>1165</v>
      </c>
      <c r="J367" s="7">
        <v>29920</v>
      </c>
      <c r="K367" s="7">
        <v>3</v>
      </c>
      <c r="L367" t="s">
        <v>247</v>
      </c>
      <c r="M367" t="s">
        <v>261</v>
      </c>
      <c r="N367" s="7">
        <v>786108</v>
      </c>
      <c r="O367" t="s">
        <v>833</v>
      </c>
      <c r="P367" t="s">
        <v>834</v>
      </c>
      <c r="S367" t="s">
        <v>1600</v>
      </c>
      <c r="T367" t="s">
        <v>1601</v>
      </c>
      <c r="U367" t="s">
        <v>1602</v>
      </c>
      <c r="V367" s="8">
        <v>1250</v>
      </c>
      <c r="W367" s="7">
        <v>588346</v>
      </c>
      <c r="X367" t="s">
        <v>418</v>
      </c>
      <c r="Y367" s="8">
        <v>1250</v>
      </c>
      <c r="Z367" s="8">
        <v>1475</v>
      </c>
      <c r="AA367" s="8">
        <v>225</v>
      </c>
      <c r="AB367" s="7">
        <v>111813</v>
      </c>
      <c r="AC367" t="s">
        <v>418</v>
      </c>
      <c r="AD367" s="8">
        <v>0</v>
      </c>
      <c r="AG367" t="s">
        <v>801</v>
      </c>
      <c r="AH367" t="s">
        <v>802</v>
      </c>
      <c r="AI367" t="s">
        <v>818</v>
      </c>
    </row>
    <row r="368" spans="1:35" hidden="1">
      <c r="A368" s="7">
        <v>367</v>
      </c>
      <c r="B368" t="s">
        <v>243</v>
      </c>
      <c r="C368" t="s">
        <v>244</v>
      </c>
      <c r="D368" s="7">
        <v>7134</v>
      </c>
      <c r="E368" t="s">
        <v>245</v>
      </c>
      <c r="F368" t="s">
        <v>246</v>
      </c>
      <c r="G368" t="s">
        <v>431</v>
      </c>
      <c r="H368" t="s">
        <v>1603</v>
      </c>
      <c r="I368" s="7">
        <v>1165</v>
      </c>
      <c r="J368" s="7">
        <v>10000</v>
      </c>
      <c r="K368" s="7">
        <v>1</v>
      </c>
      <c r="L368" t="s">
        <v>247</v>
      </c>
      <c r="M368" t="s">
        <v>252</v>
      </c>
      <c r="N368" s="7">
        <v>326051</v>
      </c>
      <c r="O368" t="s">
        <v>433</v>
      </c>
      <c r="P368" t="s">
        <v>434</v>
      </c>
      <c r="S368" t="s">
        <v>1600</v>
      </c>
      <c r="T368" t="s">
        <v>1601</v>
      </c>
      <c r="U368" t="s">
        <v>1602</v>
      </c>
      <c r="V368" s="8">
        <v>1250</v>
      </c>
      <c r="W368" s="7">
        <v>588346</v>
      </c>
      <c r="X368" t="s">
        <v>418</v>
      </c>
      <c r="Y368" s="8">
        <v>1250</v>
      </c>
      <c r="Z368" s="8">
        <v>1475</v>
      </c>
      <c r="AA368" s="8">
        <v>225</v>
      </c>
      <c r="AB368" s="7">
        <v>111813</v>
      </c>
      <c r="AC368" t="s">
        <v>418</v>
      </c>
      <c r="AD368" s="8">
        <v>0</v>
      </c>
      <c r="AG368" t="s">
        <v>937</v>
      </c>
      <c r="AH368" t="s">
        <v>802</v>
      </c>
      <c r="AI368" t="s">
        <v>818</v>
      </c>
    </row>
    <row r="369" spans="1:35" hidden="1">
      <c r="A369" s="7">
        <v>368</v>
      </c>
      <c r="B369" t="s">
        <v>243</v>
      </c>
      <c r="C369" t="s">
        <v>244</v>
      </c>
      <c r="D369" s="7">
        <v>7134</v>
      </c>
      <c r="E369" t="s">
        <v>245</v>
      </c>
      <c r="F369" t="s">
        <v>246</v>
      </c>
      <c r="G369" t="s">
        <v>1614</v>
      </c>
      <c r="H369" t="s">
        <v>1615</v>
      </c>
      <c r="I369" s="7">
        <v>1165</v>
      </c>
      <c r="J369" s="7">
        <v>43071</v>
      </c>
      <c r="K369" s="7">
        <v>7</v>
      </c>
      <c r="L369" t="s">
        <v>247</v>
      </c>
      <c r="M369" t="s">
        <v>252</v>
      </c>
      <c r="N369" s="7">
        <v>320410</v>
      </c>
      <c r="O369" t="s">
        <v>1616</v>
      </c>
      <c r="P369" t="s">
        <v>1617</v>
      </c>
      <c r="S369" t="s">
        <v>1600</v>
      </c>
      <c r="T369" t="s">
        <v>1601</v>
      </c>
      <c r="U369" t="s">
        <v>1602</v>
      </c>
      <c r="V369" s="8">
        <v>0</v>
      </c>
      <c r="W369" s="7">
        <v>588346</v>
      </c>
      <c r="X369" t="s">
        <v>418</v>
      </c>
      <c r="Y369" s="8">
        <v>0</v>
      </c>
      <c r="Z369" s="8">
        <v>0</v>
      </c>
      <c r="AA369" s="8">
        <v>0</v>
      </c>
      <c r="AB369" s="7">
        <v>111813</v>
      </c>
      <c r="AC369" t="s">
        <v>418</v>
      </c>
      <c r="AD369" s="8">
        <v>0</v>
      </c>
      <c r="AG369" t="s">
        <v>937</v>
      </c>
      <c r="AH369" t="s">
        <v>802</v>
      </c>
      <c r="AI369" t="s">
        <v>803</v>
      </c>
    </row>
    <row r="370" spans="1:35" hidden="1">
      <c r="A370" s="7">
        <v>369</v>
      </c>
      <c r="B370" t="s">
        <v>243</v>
      </c>
      <c r="C370" t="s">
        <v>244</v>
      </c>
      <c r="D370" s="7">
        <v>7134</v>
      </c>
      <c r="E370" t="s">
        <v>245</v>
      </c>
      <c r="F370" t="s">
        <v>246</v>
      </c>
      <c r="G370" t="s">
        <v>1053</v>
      </c>
      <c r="H370" t="s">
        <v>1631</v>
      </c>
      <c r="I370" s="7">
        <v>965</v>
      </c>
      <c r="J370" s="7">
        <v>40000</v>
      </c>
      <c r="K370" s="7">
        <v>4</v>
      </c>
      <c r="L370" t="s">
        <v>247</v>
      </c>
      <c r="M370" t="s">
        <v>361</v>
      </c>
      <c r="N370" s="7">
        <v>4608</v>
      </c>
      <c r="O370" t="s">
        <v>1054</v>
      </c>
      <c r="P370" t="s">
        <v>1055</v>
      </c>
      <c r="S370" t="s">
        <v>1600</v>
      </c>
      <c r="T370" t="s">
        <v>1601</v>
      </c>
      <c r="U370" t="s">
        <v>1602</v>
      </c>
      <c r="V370" s="8">
        <v>0</v>
      </c>
      <c r="W370" s="7">
        <v>588346</v>
      </c>
      <c r="X370" t="s">
        <v>418</v>
      </c>
      <c r="Y370" s="8">
        <v>0</v>
      </c>
      <c r="Z370" s="8">
        <v>0</v>
      </c>
      <c r="AA370" s="8">
        <v>0</v>
      </c>
      <c r="AB370" s="7">
        <v>111813</v>
      </c>
      <c r="AC370" t="s">
        <v>418</v>
      </c>
      <c r="AD370" s="8">
        <v>0</v>
      </c>
      <c r="AG370" t="s">
        <v>823</v>
      </c>
      <c r="AH370" t="s">
        <v>802</v>
      </c>
      <c r="AI370" t="s">
        <v>803</v>
      </c>
    </row>
    <row r="371" spans="1:35" hidden="1">
      <c r="A371" s="7">
        <v>370</v>
      </c>
      <c r="B371" t="s">
        <v>243</v>
      </c>
      <c r="C371" t="s">
        <v>244</v>
      </c>
      <c r="D371" s="7">
        <v>7134</v>
      </c>
      <c r="E371" t="s">
        <v>245</v>
      </c>
      <c r="F371" t="s">
        <v>246</v>
      </c>
      <c r="G371" t="s">
        <v>419</v>
      </c>
      <c r="H371" t="s">
        <v>555</v>
      </c>
      <c r="I371" s="7">
        <v>1165</v>
      </c>
      <c r="J371" s="7">
        <v>19996</v>
      </c>
      <c r="K371" s="7">
        <v>2</v>
      </c>
      <c r="L371" t="s">
        <v>247</v>
      </c>
      <c r="M371" t="s">
        <v>261</v>
      </c>
      <c r="N371" s="7">
        <v>785976</v>
      </c>
      <c r="O371" t="s">
        <v>1338</v>
      </c>
      <c r="P371" t="s">
        <v>1339</v>
      </c>
      <c r="S371" t="s">
        <v>1600</v>
      </c>
      <c r="T371" t="s">
        <v>1601</v>
      </c>
      <c r="U371" t="s">
        <v>1602</v>
      </c>
      <c r="V371" s="8">
        <v>0</v>
      </c>
      <c r="W371" s="7">
        <v>588346</v>
      </c>
      <c r="X371" t="s">
        <v>418</v>
      </c>
      <c r="Y371" s="8">
        <v>0</v>
      </c>
      <c r="Z371" s="8">
        <v>0</v>
      </c>
      <c r="AA371" s="8">
        <v>0</v>
      </c>
      <c r="AB371" s="7">
        <v>111813</v>
      </c>
      <c r="AC371" t="s">
        <v>418</v>
      </c>
      <c r="AD371" s="8">
        <v>0</v>
      </c>
      <c r="AG371" t="s">
        <v>801</v>
      </c>
      <c r="AH371" t="s">
        <v>802</v>
      </c>
      <c r="AI371" t="s">
        <v>803</v>
      </c>
    </row>
    <row r="372" spans="1:35" hidden="1">
      <c r="A372" s="7">
        <v>371</v>
      </c>
      <c r="B372" t="s">
        <v>243</v>
      </c>
      <c r="C372" t="s">
        <v>244</v>
      </c>
      <c r="D372" s="7">
        <v>7134</v>
      </c>
      <c r="E372" t="s">
        <v>245</v>
      </c>
      <c r="F372" t="s">
        <v>246</v>
      </c>
      <c r="G372" t="s">
        <v>1066</v>
      </c>
      <c r="H372" t="s">
        <v>1623</v>
      </c>
      <c r="I372" s="7">
        <v>1165</v>
      </c>
      <c r="J372" s="7">
        <v>98900</v>
      </c>
      <c r="K372" s="7">
        <v>10</v>
      </c>
      <c r="L372" t="s">
        <v>247</v>
      </c>
      <c r="M372" t="s">
        <v>252</v>
      </c>
      <c r="N372" s="7">
        <v>317851</v>
      </c>
      <c r="O372" t="s">
        <v>1067</v>
      </c>
      <c r="P372" t="s">
        <v>1068</v>
      </c>
      <c r="S372" t="s">
        <v>1600</v>
      </c>
      <c r="T372" t="s">
        <v>1601</v>
      </c>
      <c r="U372" t="s">
        <v>1602</v>
      </c>
      <c r="V372" s="8">
        <v>0</v>
      </c>
      <c r="W372" s="7">
        <v>588346</v>
      </c>
      <c r="X372" t="s">
        <v>418</v>
      </c>
      <c r="Y372" s="8">
        <v>0</v>
      </c>
      <c r="Z372" s="8">
        <v>0</v>
      </c>
      <c r="AA372" s="8">
        <v>0</v>
      </c>
      <c r="AB372" s="7">
        <v>111813</v>
      </c>
      <c r="AC372" t="s">
        <v>418</v>
      </c>
      <c r="AD372" s="8">
        <v>0</v>
      </c>
      <c r="AG372" t="s">
        <v>937</v>
      </c>
      <c r="AH372" t="s">
        <v>802</v>
      </c>
      <c r="AI372" t="s">
        <v>803</v>
      </c>
    </row>
    <row r="373" spans="1:35" hidden="1">
      <c r="A373" s="7">
        <v>372</v>
      </c>
      <c r="B373" t="s">
        <v>243</v>
      </c>
      <c r="C373" t="s">
        <v>244</v>
      </c>
      <c r="D373" s="7">
        <v>7134</v>
      </c>
      <c r="E373" t="s">
        <v>245</v>
      </c>
      <c r="F373" t="s">
        <v>246</v>
      </c>
      <c r="G373" t="s">
        <v>1628</v>
      </c>
      <c r="H373" t="s">
        <v>501</v>
      </c>
      <c r="I373" s="7">
        <v>1165</v>
      </c>
      <c r="J373" s="7">
        <v>10000</v>
      </c>
      <c r="K373" s="7">
        <v>1</v>
      </c>
      <c r="L373" t="s">
        <v>247</v>
      </c>
      <c r="M373" t="s">
        <v>261</v>
      </c>
      <c r="N373" s="7">
        <v>791455</v>
      </c>
      <c r="O373" t="s">
        <v>1629</v>
      </c>
      <c r="P373" t="s">
        <v>1630</v>
      </c>
      <c r="Q373" t="s">
        <v>870</v>
      </c>
      <c r="R373" t="s">
        <v>871</v>
      </c>
      <c r="S373" t="s">
        <v>1600</v>
      </c>
      <c r="T373" t="s">
        <v>1601</v>
      </c>
      <c r="U373" t="s">
        <v>1602</v>
      </c>
      <c r="V373" s="8">
        <v>1250</v>
      </c>
      <c r="W373" s="7">
        <v>588346</v>
      </c>
      <c r="X373" t="s">
        <v>418</v>
      </c>
      <c r="Y373" s="8">
        <v>1000</v>
      </c>
      <c r="Z373" s="8">
        <v>1475</v>
      </c>
      <c r="AA373" s="8">
        <v>225</v>
      </c>
      <c r="AB373" s="7">
        <v>111813</v>
      </c>
      <c r="AC373" t="s">
        <v>418</v>
      </c>
      <c r="AD373" s="8">
        <v>250</v>
      </c>
      <c r="AG373" t="s">
        <v>801</v>
      </c>
      <c r="AH373" t="s">
        <v>802</v>
      </c>
      <c r="AI373" t="s">
        <v>818</v>
      </c>
    </row>
    <row r="374" spans="1:35" hidden="1">
      <c r="A374" s="7">
        <v>373</v>
      </c>
      <c r="B374" t="s">
        <v>243</v>
      </c>
      <c r="C374" t="s">
        <v>244</v>
      </c>
      <c r="D374" s="7">
        <v>7134</v>
      </c>
      <c r="E374" t="s">
        <v>245</v>
      </c>
      <c r="F374" t="s">
        <v>246</v>
      </c>
      <c r="G374" t="s">
        <v>852</v>
      </c>
      <c r="H374" t="s">
        <v>1597</v>
      </c>
      <c r="I374" s="7">
        <v>1165</v>
      </c>
      <c r="J374" s="7">
        <v>118000</v>
      </c>
      <c r="K374" s="7">
        <v>12</v>
      </c>
      <c r="L374" t="s">
        <v>247</v>
      </c>
      <c r="M374" t="s">
        <v>261</v>
      </c>
      <c r="N374" s="7">
        <v>755374</v>
      </c>
      <c r="O374" t="s">
        <v>854</v>
      </c>
      <c r="P374" t="s">
        <v>855</v>
      </c>
      <c r="S374" t="s">
        <v>1600</v>
      </c>
      <c r="T374" t="s">
        <v>1601</v>
      </c>
      <c r="U374" t="s">
        <v>1602</v>
      </c>
      <c r="V374" s="8">
        <v>0</v>
      </c>
      <c r="W374" s="7">
        <v>588346</v>
      </c>
      <c r="X374" t="s">
        <v>418</v>
      </c>
      <c r="Y374" s="8">
        <v>0</v>
      </c>
      <c r="Z374" s="8">
        <v>0</v>
      </c>
      <c r="AA374" s="8">
        <v>0</v>
      </c>
      <c r="AB374" s="7">
        <v>111813</v>
      </c>
      <c r="AC374" t="s">
        <v>418</v>
      </c>
      <c r="AD374" s="8">
        <v>0</v>
      </c>
      <c r="AG374" t="s">
        <v>801</v>
      </c>
      <c r="AH374" t="s">
        <v>802</v>
      </c>
      <c r="AI374" t="s">
        <v>803</v>
      </c>
    </row>
    <row r="375" spans="1:35" hidden="1">
      <c r="A375" s="7">
        <v>374</v>
      </c>
      <c r="B375" t="s">
        <v>243</v>
      </c>
      <c r="C375" t="s">
        <v>244</v>
      </c>
      <c r="D375" s="7">
        <v>7134</v>
      </c>
      <c r="E375" t="s">
        <v>245</v>
      </c>
      <c r="F375" t="s">
        <v>246</v>
      </c>
      <c r="G375" t="s">
        <v>957</v>
      </c>
      <c r="H375" t="s">
        <v>1597</v>
      </c>
      <c r="I375" s="7">
        <v>1165</v>
      </c>
      <c r="J375" s="7">
        <v>20000</v>
      </c>
      <c r="K375" s="7">
        <v>2</v>
      </c>
      <c r="L375" t="s">
        <v>247</v>
      </c>
      <c r="M375" t="s">
        <v>361</v>
      </c>
      <c r="N375" s="7">
        <v>5353</v>
      </c>
      <c r="O375" t="s">
        <v>1598</v>
      </c>
      <c r="P375" t="s">
        <v>1599</v>
      </c>
      <c r="S375" t="s">
        <v>1600</v>
      </c>
      <c r="T375" t="s">
        <v>1601</v>
      </c>
      <c r="U375" t="s">
        <v>1602</v>
      </c>
      <c r="V375" s="8">
        <v>0</v>
      </c>
      <c r="W375" s="7">
        <v>588346</v>
      </c>
      <c r="X375" t="s">
        <v>418</v>
      </c>
      <c r="Y375" s="8">
        <v>0</v>
      </c>
      <c r="Z375" s="8">
        <v>0</v>
      </c>
      <c r="AA375" s="8">
        <v>0</v>
      </c>
      <c r="AB375" s="7">
        <v>111813</v>
      </c>
      <c r="AC375" t="s">
        <v>418</v>
      </c>
      <c r="AD375" s="8">
        <v>0</v>
      </c>
      <c r="AG375" t="s">
        <v>823</v>
      </c>
      <c r="AH375" t="s">
        <v>802</v>
      </c>
      <c r="AI375" t="s">
        <v>803</v>
      </c>
    </row>
    <row r="376" spans="1:35" hidden="1">
      <c r="A376" s="7">
        <v>375</v>
      </c>
      <c r="B376" t="s">
        <v>243</v>
      </c>
      <c r="C376" t="s">
        <v>244</v>
      </c>
      <c r="D376" s="7">
        <v>7134</v>
      </c>
      <c r="E376" t="s">
        <v>245</v>
      </c>
      <c r="F376" t="s">
        <v>246</v>
      </c>
      <c r="G376" t="s">
        <v>979</v>
      </c>
      <c r="H376" t="s">
        <v>1597</v>
      </c>
      <c r="I376" s="7">
        <v>1165</v>
      </c>
      <c r="J376" s="7">
        <v>27602</v>
      </c>
      <c r="K376" s="7">
        <v>3</v>
      </c>
      <c r="L376" t="s">
        <v>247</v>
      </c>
      <c r="M376" t="s">
        <v>252</v>
      </c>
      <c r="N376" s="7">
        <v>326093</v>
      </c>
      <c r="O376" t="s">
        <v>980</v>
      </c>
      <c r="P376" t="s">
        <v>981</v>
      </c>
      <c r="S376" t="s">
        <v>1600</v>
      </c>
      <c r="T376" t="s">
        <v>1601</v>
      </c>
      <c r="U376" t="s">
        <v>1602</v>
      </c>
      <c r="V376" s="8">
        <v>1250</v>
      </c>
      <c r="W376" s="7">
        <v>588346</v>
      </c>
      <c r="X376" t="s">
        <v>418</v>
      </c>
      <c r="Y376" s="8">
        <v>1250</v>
      </c>
      <c r="Z376" s="8">
        <v>1475</v>
      </c>
      <c r="AA376" s="8">
        <v>225</v>
      </c>
      <c r="AB376" s="7">
        <v>111813</v>
      </c>
      <c r="AC376" t="s">
        <v>418</v>
      </c>
      <c r="AD376" s="8">
        <v>0</v>
      </c>
      <c r="AG376" t="s">
        <v>937</v>
      </c>
      <c r="AH376" t="s">
        <v>802</v>
      </c>
      <c r="AI376" t="s">
        <v>818</v>
      </c>
    </row>
    <row r="377" spans="1:35" hidden="1">
      <c r="A377" s="7">
        <v>376</v>
      </c>
      <c r="B377" t="s">
        <v>243</v>
      </c>
      <c r="C377" t="s">
        <v>244</v>
      </c>
      <c r="D377" s="7">
        <v>7134</v>
      </c>
      <c r="E377" t="s">
        <v>245</v>
      </c>
      <c r="F377" t="s">
        <v>246</v>
      </c>
      <c r="G377" t="s">
        <v>867</v>
      </c>
      <c r="H377" t="s">
        <v>1641</v>
      </c>
      <c r="I377" s="7">
        <v>1165</v>
      </c>
      <c r="J377" s="7">
        <v>40000</v>
      </c>
      <c r="K377" s="7">
        <v>4</v>
      </c>
      <c r="L377" t="s">
        <v>247</v>
      </c>
      <c r="M377" t="s">
        <v>361</v>
      </c>
      <c r="N377" s="7">
        <v>5598</v>
      </c>
      <c r="O377" t="s">
        <v>1655</v>
      </c>
      <c r="P377" t="s">
        <v>1656</v>
      </c>
      <c r="S377" t="s">
        <v>1600</v>
      </c>
      <c r="T377" t="s">
        <v>1601</v>
      </c>
      <c r="U377" t="s">
        <v>1602</v>
      </c>
      <c r="V377" s="8">
        <v>0</v>
      </c>
      <c r="W377" s="7">
        <v>588346</v>
      </c>
      <c r="X377" t="s">
        <v>418</v>
      </c>
      <c r="Y377" s="8">
        <v>0</v>
      </c>
      <c r="Z377" s="8">
        <v>0</v>
      </c>
      <c r="AA377" s="8">
        <v>0</v>
      </c>
      <c r="AB377" s="7">
        <v>111813</v>
      </c>
      <c r="AC377" t="s">
        <v>418</v>
      </c>
      <c r="AD377" s="8">
        <v>0</v>
      </c>
      <c r="AG377" t="s">
        <v>823</v>
      </c>
      <c r="AH377" t="s">
        <v>802</v>
      </c>
      <c r="AI377" t="s">
        <v>803</v>
      </c>
    </row>
    <row r="378" spans="1:35" hidden="1">
      <c r="A378" s="7">
        <v>377</v>
      </c>
      <c r="B378" t="s">
        <v>243</v>
      </c>
      <c r="C378" t="s">
        <v>244</v>
      </c>
      <c r="D378" s="7">
        <v>7134</v>
      </c>
      <c r="E378" t="s">
        <v>245</v>
      </c>
      <c r="F378" t="s">
        <v>246</v>
      </c>
      <c r="G378" t="s">
        <v>1691</v>
      </c>
      <c r="H378" t="s">
        <v>527</v>
      </c>
      <c r="I378" s="7">
        <v>987</v>
      </c>
      <c r="J378" s="7">
        <v>50000</v>
      </c>
      <c r="K378" s="7">
        <v>5</v>
      </c>
      <c r="L378" t="s">
        <v>247</v>
      </c>
      <c r="M378" t="s">
        <v>361</v>
      </c>
      <c r="N378" s="7">
        <v>3036</v>
      </c>
      <c r="O378" t="s">
        <v>1692</v>
      </c>
      <c r="P378" t="s">
        <v>1693</v>
      </c>
      <c r="S378" t="s">
        <v>1600</v>
      </c>
      <c r="T378" t="s">
        <v>1601</v>
      </c>
      <c r="U378" t="s">
        <v>1602</v>
      </c>
      <c r="V378" s="8">
        <v>1650</v>
      </c>
      <c r="W378" s="7">
        <v>588346</v>
      </c>
      <c r="X378" t="s">
        <v>418</v>
      </c>
      <c r="Y378" s="8">
        <v>1650</v>
      </c>
      <c r="Z378" s="8">
        <v>1947</v>
      </c>
      <c r="AA378" s="8">
        <v>297</v>
      </c>
      <c r="AB378" s="7">
        <v>111813</v>
      </c>
      <c r="AC378" t="s">
        <v>418</v>
      </c>
      <c r="AD378" s="8">
        <v>0</v>
      </c>
      <c r="AG378" t="s">
        <v>823</v>
      </c>
      <c r="AH378" t="s">
        <v>802</v>
      </c>
      <c r="AI378" t="s">
        <v>818</v>
      </c>
    </row>
    <row r="379" spans="1:35" hidden="1">
      <c r="A379" s="7">
        <v>378</v>
      </c>
      <c r="B379" t="s">
        <v>243</v>
      </c>
      <c r="C379" t="s">
        <v>244</v>
      </c>
      <c r="D379" s="7">
        <v>7134</v>
      </c>
      <c r="E379" t="s">
        <v>245</v>
      </c>
      <c r="F379" t="s">
        <v>246</v>
      </c>
      <c r="G379" t="s">
        <v>1240</v>
      </c>
      <c r="H379" t="s">
        <v>1672</v>
      </c>
      <c r="I379" s="7">
        <v>1165</v>
      </c>
      <c r="J379" s="7">
        <v>48500</v>
      </c>
      <c r="K379" s="7">
        <v>5</v>
      </c>
      <c r="L379" t="s">
        <v>247</v>
      </c>
      <c r="M379" t="s">
        <v>261</v>
      </c>
      <c r="N379" s="7">
        <v>775222</v>
      </c>
      <c r="O379" t="s">
        <v>1241</v>
      </c>
      <c r="P379" t="s">
        <v>1242</v>
      </c>
      <c r="S379" t="s">
        <v>1600</v>
      </c>
      <c r="T379" t="s">
        <v>1601</v>
      </c>
      <c r="U379" t="s">
        <v>1602</v>
      </c>
      <c r="V379" s="8">
        <v>1250</v>
      </c>
      <c r="W379" s="7">
        <v>588346</v>
      </c>
      <c r="X379" t="s">
        <v>418</v>
      </c>
      <c r="Y379" s="8">
        <v>1250</v>
      </c>
      <c r="Z379" s="8">
        <v>1475</v>
      </c>
      <c r="AA379" s="8">
        <v>225</v>
      </c>
      <c r="AB379" s="7">
        <v>111813</v>
      </c>
      <c r="AC379" t="s">
        <v>418</v>
      </c>
      <c r="AD379" s="8">
        <v>0</v>
      </c>
      <c r="AG379" t="s">
        <v>801</v>
      </c>
      <c r="AH379" t="s">
        <v>802</v>
      </c>
      <c r="AI379" t="s">
        <v>818</v>
      </c>
    </row>
    <row r="380" spans="1:35" hidden="1">
      <c r="A380" s="7">
        <v>379</v>
      </c>
      <c r="B380" t="s">
        <v>243</v>
      </c>
      <c r="C380" t="s">
        <v>244</v>
      </c>
      <c r="D380" s="7">
        <v>7134</v>
      </c>
      <c r="E380" t="s">
        <v>245</v>
      </c>
      <c r="F380" t="s">
        <v>246</v>
      </c>
      <c r="G380" t="s">
        <v>825</v>
      </c>
      <c r="H380" t="s">
        <v>1603</v>
      </c>
      <c r="I380" s="7">
        <v>1165</v>
      </c>
      <c r="J380" s="7">
        <v>9980</v>
      </c>
      <c r="K380" s="7">
        <v>1</v>
      </c>
      <c r="L380" t="s">
        <v>247</v>
      </c>
      <c r="M380" t="s">
        <v>361</v>
      </c>
      <c r="N380" s="7">
        <v>6349</v>
      </c>
      <c r="O380" t="s">
        <v>1694</v>
      </c>
      <c r="P380" t="s">
        <v>1695</v>
      </c>
      <c r="S380" t="s">
        <v>1600</v>
      </c>
      <c r="T380" t="s">
        <v>1601</v>
      </c>
      <c r="U380" t="s">
        <v>1602</v>
      </c>
      <c r="V380" s="8">
        <v>1650</v>
      </c>
      <c r="W380" s="7">
        <v>588346</v>
      </c>
      <c r="X380" t="s">
        <v>418</v>
      </c>
      <c r="Y380" s="8">
        <v>1650</v>
      </c>
      <c r="Z380" s="8">
        <v>1947</v>
      </c>
      <c r="AA380" s="8">
        <v>297</v>
      </c>
      <c r="AB380" s="7">
        <v>111813</v>
      </c>
      <c r="AC380" t="s">
        <v>418</v>
      </c>
      <c r="AD380" s="8">
        <v>0</v>
      </c>
      <c r="AG380" t="s">
        <v>823</v>
      </c>
      <c r="AH380" t="s">
        <v>802</v>
      </c>
      <c r="AI380" t="s">
        <v>818</v>
      </c>
    </row>
    <row r="381" spans="1:35" hidden="1">
      <c r="A381" s="7">
        <v>380</v>
      </c>
      <c r="B381" t="s">
        <v>243</v>
      </c>
      <c r="C381" t="s">
        <v>244</v>
      </c>
      <c r="D381" s="7">
        <v>7134</v>
      </c>
      <c r="E381" t="s">
        <v>245</v>
      </c>
      <c r="F381" t="s">
        <v>246</v>
      </c>
      <c r="G381" t="s">
        <v>1197</v>
      </c>
      <c r="H381" t="s">
        <v>550</v>
      </c>
      <c r="I381" s="7">
        <v>1165</v>
      </c>
      <c r="J381" s="7">
        <v>19900</v>
      </c>
      <c r="K381" s="7">
        <v>2</v>
      </c>
      <c r="L381" t="s">
        <v>247</v>
      </c>
      <c r="M381" t="s">
        <v>361</v>
      </c>
      <c r="N381" s="7">
        <v>6475</v>
      </c>
      <c r="O381" t="s">
        <v>1198</v>
      </c>
      <c r="P381" t="s">
        <v>1199</v>
      </c>
      <c r="S381" t="s">
        <v>1600</v>
      </c>
      <c r="T381" t="s">
        <v>1601</v>
      </c>
      <c r="U381" t="s">
        <v>1602</v>
      </c>
      <c r="V381" s="8">
        <v>0</v>
      </c>
      <c r="W381" s="7">
        <v>588346</v>
      </c>
      <c r="X381" t="s">
        <v>418</v>
      </c>
      <c r="Y381" s="8">
        <v>0</v>
      </c>
      <c r="Z381" s="8">
        <v>0</v>
      </c>
      <c r="AA381" s="8">
        <v>0</v>
      </c>
      <c r="AB381" s="7">
        <v>111813</v>
      </c>
      <c r="AC381" t="s">
        <v>418</v>
      </c>
      <c r="AD381" s="8">
        <v>0</v>
      </c>
      <c r="AG381" t="s">
        <v>823</v>
      </c>
      <c r="AH381" t="s">
        <v>802</v>
      </c>
      <c r="AI381" t="s">
        <v>803</v>
      </c>
    </row>
    <row r="382" spans="1:35" hidden="1">
      <c r="A382" s="7">
        <v>381</v>
      </c>
      <c r="B382" t="s">
        <v>243</v>
      </c>
      <c r="C382" t="s">
        <v>244</v>
      </c>
      <c r="D382" s="7">
        <v>7134</v>
      </c>
      <c r="E382" t="s">
        <v>245</v>
      </c>
      <c r="F382" t="s">
        <v>246</v>
      </c>
      <c r="G382" t="s">
        <v>1686</v>
      </c>
      <c r="H382" t="s">
        <v>1672</v>
      </c>
      <c r="I382" s="7">
        <v>1165</v>
      </c>
      <c r="J382" s="7">
        <v>80000</v>
      </c>
      <c r="K382" s="7">
        <v>8</v>
      </c>
      <c r="L382" t="s">
        <v>247</v>
      </c>
      <c r="M382" t="s">
        <v>361</v>
      </c>
      <c r="N382" s="7">
        <v>1907</v>
      </c>
      <c r="O382" t="s">
        <v>1687</v>
      </c>
      <c r="P382" t="s">
        <v>1688</v>
      </c>
      <c r="S382" t="s">
        <v>1600</v>
      </c>
      <c r="T382" t="s">
        <v>1601</v>
      </c>
      <c r="U382" t="s">
        <v>1602</v>
      </c>
      <c r="V382" s="8">
        <v>0</v>
      </c>
      <c r="W382" s="7">
        <v>588346</v>
      </c>
      <c r="X382" t="s">
        <v>418</v>
      </c>
      <c r="Y382" s="8">
        <v>0</v>
      </c>
      <c r="Z382" s="8">
        <v>0</v>
      </c>
      <c r="AA382" s="8">
        <v>0</v>
      </c>
      <c r="AB382" s="7">
        <v>111813</v>
      </c>
      <c r="AC382" t="s">
        <v>418</v>
      </c>
      <c r="AD382" s="8">
        <v>0</v>
      </c>
      <c r="AG382" t="s">
        <v>823</v>
      </c>
      <c r="AH382" t="s">
        <v>802</v>
      </c>
      <c r="AI382" t="s">
        <v>803</v>
      </c>
    </row>
    <row r="383" spans="1:35" hidden="1">
      <c r="A383" s="7">
        <v>382</v>
      </c>
      <c r="B383" t="s">
        <v>243</v>
      </c>
      <c r="C383" t="s">
        <v>244</v>
      </c>
      <c r="D383" s="7">
        <v>7134</v>
      </c>
      <c r="E383" t="s">
        <v>245</v>
      </c>
      <c r="F383" t="s">
        <v>246</v>
      </c>
      <c r="G383" t="s">
        <v>1372</v>
      </c>
      <c r="H383" t="s">
        <v>543</v>
      </c>
      <c r="I383" s="7">
        <v>1165</v>
      </c>
      <c r="J383" s="7">
        <v>30000</v>
      </c>
      <c r="K383" s="7">
        <v>3</v>
      </c>
      <c r="L383" t="s">
        <v>247</v>
      </c>
      <c r="M383" t="s">
        <v>267</v>
      </c>
      <c r="N383" s="7">
        <v>789881</v>
      </c>
      <c r="O383" t="s">
        <v>1782</v>
      </c>
      <c r="P383" t="s">
        <v>1783</v>
      </c>
      <c r="S383" t="s">
        <v>1600</v>
      </c>
      <c r="T383" t="s">
        <v>1601</v>
      </c>
      <c r="U383" t="s">
        <v>1602</v>
      </c>
      <c r="V383" s="8">
        <v>1250</v>
      </c>
      <c r="W383" s="7">
        <v>588346</v>
      </c>
      <c r="X383" t="s">
        <v>418</v>
      </c>
      <c r="Y383" s="8">
        <v>1250</v>
      </c>
      <c r="Z383" s="8">
        <v>1475</v>
      </c>
      <c r="AA383" s="8">
        <v>225</v>
      </c>
      <c r="AB383" s="7">
        <v>111813</v>
      </c>
      <c r="AC383" t="s">
        <v>418</v>
      </c>
      <c r="AD383" s="8">
        <v>0</v>
      </c>
      <c r="AG383" t="s">
        <v>828</v>
      </c>
      <c r="AH383" t="s">
        <v>802</v>
      </c>
      <c r="AI383" t="s">
        <v>818</v>
      </c>
    </row>
    <row r="384" spans="1:35" hidden="1">
      <c r="A384" s="7">
        <v>383</v>
      </c>
      <c r="B384" t="s">
        <v>243</v>
      </c>
      <c r="C384" t="s">
        <v>244</v>
      </c>
      <c r="D384" s="7">
        <v>7134</v>
      </c>
      <c r="E384" t="s">
        <v>245</v>
      </c>
      <c r="F384" t="s">
        <v>246</v>
      </c>
      <c r="G384" t="s">
        <v>1705</v>
      </c>
      <c r="H384" t="s">
        <v>1699</v>
      </c>
      <c r="I384" s="7">
        <v>1165</v>
      </c>
      <c r="J384" s="7">
        <v>30000</v>
      </c>
      <c r="K384" s="7">
        <v>3</v>
      </c>
      <c r="L384" t="s">
        <v>247</v>
      </c>
      <c r="M384" t="s">
        <v>261</v>
      </c>
      <c r="N384" s="7">
        <v>775475</v>
      </c>
      <c r="O384" t="s">
        <v>1786</v>
      </c>
      <c r="P384" t="s">
        <v>1787</v>
      </c>
      <c r="Q384" t="s">
        <v>870</v>
      </c>
      <c r="R384" t="s">
        <v>871</v>
      </c>
      <c r="S384" t="s">
        <v>1600</v>
      </c>
      <c r="T384" t="s">
        <v>1601</v>
      </c>
      <c r="U384" t="s">
        <v>1602</v>
      </c>
      <c r="V384" s="8">
        <v>1250</v>
      </c>
      <c r="W384" s="7">
        <v>588346</v>
      </c>
      <c r="X384" t="s">
        <v>418</v>
      </c>
      <c r="Y384" s="8">
        <v>1000</v>
      </c>
      <c r="Z384" s="8">
        <v>1475</v>
      </c>
      <c r="AA384" s="8">
        <v>225</v>
      </c>
      <c r="AB384" s="7">
        <v>111813</v>
      </c>
      <c r="AC384" t="s">
        <v>418</v>
      </c>
      <c r="AD384" s="8">
        <v>250</v>
      </c>
      <c r="AG384" t="s">
        <v>801</v>
      </c>
      <c r="AH384" t="s">
        <v>802</v>
      </c>
      <c r="AI384" t="s">
        <v>818</v>
      </c>
    </row>
    <row r="385" spans="1:35" hidden="1">
      <c r="A385" s="7">
        <v>384</v>
      </c>
      <c r="B385" t="s">
        <v>243</v>
      </c>
      <c r="C385" t="s">
        <v>244</v>
      </c>
      <c r="D385" s="7">
        <v>7134</v>
      </c>
      <c r="E385" t="s">
        <v>245</v>
      </c>
      <c r="F385" t="s">
        <v>246</v>
      </c>
      <c r="G385" t="s">
        <v>985</v>
      </c>
      <c r="H385" t="s">
        <v>1644</v>
      </c>
      <c r="I385" s="7">
        <v>1165</v>
      </c>
      <c r="J385" s="7">
        <v>89200</v>
      </c>
      <c r="K385" s="7">
        <v>9</v>
      </c>
      <c r="L385" t="s">
        <v>247</v>
      </c>
      <c r="M385" t="s">
        <v>267</v>
      </c>
      <c r="N385" s="7">
        <v>766599</v>
      </c>
      <c r="O385" t="s">
        <v>1723</v>
      </c>
      <c r="P385" t="s">
        <v>1724</v>
      </c>
      <c r="S385" t="s">
        <v>1600</v>
      </c>
      <c r="T385" t="s">
        <v>1601</v>
      </c>
      <c r="U385" t="s">
        <v>1602</v>
      </c>
      <c r="V385" s="8">
        <v>0</v>
      </c>
      <c r="W385" s="7">
        <v>588346</v>
      </c>
      <c r="X385" t="s">
        <v>418</v>
      </c>
      <c r="Y385" s="8">
        <v>0</v>
      </c>
      <c r="Z385" s="8">
        <v>0</v>
      </c>
      <c r="AA385" s="8">
        <v>0</v>
      </c>
      <c r="AB385" s="7">
        <v>111813</v>
      </c>
      <c r="AC385" t="s">
        <v>418</v>
      </c>
      <c r="AD385" s="8">
        <v>0</v>
      </c>
      <c r="AG385" t="s">
        <v>828</v>
      </c>
      <c r="AH385" t="s">
        <v>802</v>
      </c>
      <c r="AI385" t="s">
        <v>803</v>
      </c>
    </row>
    <row r="386" spans="1:35" hidden="1">
      <c r="A386" s="7">
        <v>385</v>
      </c>
      <c r="B386" t="s">
        <v>243</v>
      </c>
      <c r="C386" t="s">
        <v>244</v>
      </c>
      <c r="D386" s="7">
        <v>7134</v>
      </c>
      <c r="E386" t="s">
        <v>245</v>
      </c>
      <c r="F386" t="s">
        <v>246</v>
      </c>
      <c r="G386" t="s">
        <v>1366</v>
      </c>
      <c r="H386" t="s">
        <v>1661</v>
      </c>
      <c r="I386" s="7">
        <v>1165</v>
      </c>
      <c r="J386" s="7">
        <v>134920</v>
      </c>
      <c r="K386" s="7">
        <v>13</v>
      </c>
      <c r="L386" t="s">
        <v>247</v>
      </c>
      <c r="M386" t="s">
        <v>261</v>
      </c>
      <c r="N386" s="7">
        <v>746572</v>
      </c>
      <c r="O386" t="s">
        <v>1367</v>
      </c>
      <c r="P386" t="s">
        <v>1368</v>
      </c>
      <c r="Q386" t="s">
        <v>908</v>
      </c>
      <c r="R386" t="s">
        <v>909</v>
      </c>
      <c r="S386" t="s">
        <v>1600</v>
      </c>
      <c r="T386" t="s">
        <v>1601</v>
      </c>
      <c r="U386" t="s">
        <v>1602</v>
      </c>
      <c r="V386" s="8">
        <v>0</v>
      </c>
      <c r="W386" s="7">
        <v>588346</v>
      </c>
      <c r="X386" t="s">
        <v>418</v>
      </c>
      <c r="Y386" s="8">
        <v>0</v>
      </c>
      <c r="Z386" s="8">
        <v>0</v>
      </c>
      <c r="AA386" s="8">
        <v>0</v>
      </c>
      <c r="AB386" s="7">
        <v>111813</v>
      </c>
      <c r="AC386" t="s">
        <v>418</v>
      </c>
      <c r="AD386" s="8">
        <v>0</v>
      </c>
      <c r="AG386" t="s">
        <v>801</v>
      </c>
      <c r="AH386" t="s">
        <v>802</v>
      </c>
      <c r="AI386" t="s">
        <v>803</v>
      </c>
    </row>
    <row r="387" spans="1:35" hidden="1">
      <c r="A387" s="7">
        <v>386</v>
      </c>
      <c r="B387" t="s">
        <v>243</v>
      </c>
      <c r="C387" t="s">
        <v>244</v>
      </c>
      <c r="D387" s="7">
        <v>7134</v>
      </c>
      <c r="E387" t="s">
        <v>245</v>
      </c>
      <c r="F387" t="s">
        <v>246</v>
      </c>
      <c r="G387" t="s">
        <v>1202</v>
      </c>
      <c r="H387" t="s">
        <v>1597</v>
      </c>
      <c r="I387" s="7">
        <v>1165</v>
      </c>
      <c r="J387" s="7">
        <v>59875</v>
      </c>
      <c r="K387" s="7">
        <v>6</v>
      </c>
      <c r="L387" t="s">
        <v>247</v>
      </c>
      <c r="M387" t="s">
        <v>261</v>
      </c>
      <c r="N387" s="7">
        <v>775938</v>
      </c>
      <c r="O387" t="s">
        <v>1203</v>
      </c>
      <c r="P387" t="s">
        <v>1204</v>
      </c>
      <c r="S387" t="s">
        <v>1600</v>
      </c>
      <c r="T387" t="s">
        <v>1601</v>
      </c>
      <c r="U387" t="s">
        <v>1602</v>
      </c>
      <c r="V387" s="8">
        <v>0</v>
      </c>
      <c r="W387" s="7">
        <v>588346</v>
      </c>
      <c r="X387" t="s">
        <v>418</v>
      </c>
      <c r="Y387" s="8">
        <v>0</v>
      </c>
      <c r="Z387" s="8">
        <v>0</v>
      </c>
      <c r="AA387" s="8">
        <v>0</v>
      </c>
      <c r="AB387" s="7">
        <v>111813</v>
      </c>
      <c r="AC387" t="s">
        <v>418</v>
      </c>
      <c r="AD387" s="8">
        <v>0</v>
      </c>
      <c r="AG387" t="s">
        <v>801</v>
      </c>
      <c r="AH387" t="s">
        <v>802</v>
      </c>
      <c r="AI387" t="s">
        <v>803</v>
      </c>
    </row>
    <row r="388" spans="1:35" hidden="1">
      <c r="A388" s="7">
        <v>387</v>
      </c>
      <c r="B388" t="s">
        <v>243</v>
      </c>
      <c r="C388" t="s">
        <v>244</v>
      </c>
      <c r="D388" s="7">
        <v>7134</v>
      </c>
      <c r="E388" t="s">
        <v>245</v>
      </c>
      <c r="F388" t="s">
        <v>246</v>
      </c>
      <c r="G388" t="s">
        <v>1024</v>
      </c>
      <c r="H388" t="s">
        <v>1734</v>
      </c>
      <c r="I388" s="7">
        <v>1165</v>
      </c>
      <c r="J388" s="7">
        <v>50000</v>
      </c>
      <c r="K388" s="7">
        <v>5</v>
      </c>
      <c r="L388" t="s">
        <v>247</v>
      </c>
      <c r="M388" t="s">
        <v>261</v>
      </c>
      <c r="N388" s="7">
        <v>785727</v>
      </c>
      <c r="O388" t="s">
        <v>1322</v>
      </c>
      <c r="P388" t="s">
        <v>1323</v>
      </c>
      <c r="S388" t="s">
        <v>1600</v>
      </c>
      <c r="T388" t="s">
        <v>1601</v>
      </c>
      <c r="U388" t="s">
        <v>1602</v>
      </c>
      <c r="V388" s="8">
        <v>1250</v>
      </c>
      <c r="W388" s="7">
        <v>588346</v>
      </c>
      <c r="X388" t="s">
        <v>418</v>
      </c>
      <c r="Y388" s="8">
        <v>1250</v>
      </c>
      <c r="Z388" s="8">
        <v>1475</v>
      </c>
      <c r="AA388" s="8">
        <v>225</v>
      </c>
      <c r="AB388" s="7">
        <v>111813</v>
      </c>
      <c r="AC388" t="s">
        <v>418</v>
      </c>
      <c r="AD388" s="8">
        <v>0</v>
      </c>
      <c r="AG388" t="s">
        <v>801</v>
      </c>
      <c r="AH388" t="s">
        <v>802</v>
      </c>
      <c r="AI388" t="s">
        <v>818</v>
      </c>
    </row>
    <row r="389" spans="1:35" hidden="1">
      <c r="A389" s="7">
        <v>388</v>
      </c>
      <c r="B389" t="s">
        <v>243</v>
      </c>
      <c r="C389" t="s">
        <v>244</v>
      </c>
      <c r="D389" s="7">
        <v>7134</v>
      </c>
      <c r="E389" t="s">
        <v>245</v>
      </c>
      <c r="F389" t="s">
        <v>246</v>
      </c>
      <c r="G389" t="s">
        <v>838</v>
      </c>
      <c r="H389" t="s">
        <v>531</v>
      </c>
      <c r="I389" s="7">
        <v>1165</v>
      </c>
      <c r="J389" s="7">
        <v>33120</v>
      </c>
      <c r="K389" s="7">
        <v>10</v>
      </c>
      <c r="L389" t="s">
        <v>247</v>
      </c>
      <c r="M389" t="s">
        <v>261</v>
      </c>
      <c r="N389" s="7">
        <v>750450</v>
      </c>
      <c r="O389" t="s">
        <v>1725</v>
      </c>
      <c r="P389" t="s">
        <v>1726</v>
      </c>
      <c r="S389" t="s">
        <v>1600</v>
      </c>
      <c r="T389" t="s">
        <v>1601</v>
      </c>
      <c r="U389" t="s">
        <v>1602</v>
      </c>
      <c r="V389" s="8">
        <v>0</v>
      </c>
      <c r="W389" s="7">
        <v>588346</v>
      </c>
      <c r="X389" t="s">
        <v>418</v>
      </c>
      <c r="Y389" s="8">
        <v>0</v>
      </c>
      <c r="Z389" s="8">
        <v>0</v>
      </c>
      <c r="AA389" s="8">
        <v>0</v>
      </c>
      <c r="AB389" s="7">
        <v>111813</v>
      </c>
      <c r="AC389" t="s">
        <v>418</v>
      </c>
      <c r="AD389" s="8">
        <v>0</v>
      </c>
      <c r="AG389" t="s">
        <v>801</v>
      </c>
      <c r="AH389" t="s">
        <v>802</v>
      </c>
      <c r="AI389" t="s">
        <v>803</v>
      </c>
    </row>
    <row r="390" spans="1:35" hidden="1">
      <c r="A390" s="7">
        <v>389</v>
      </c>
      <c r="B390" t="s">
        <v>243</v>
      </c>
      <c r="C390" t="s">
        <v>244</v>
      </c>
      <c r="D390" s="7">
        <v>7134</v>
      </c>
      <c r="E390" t="s">
        <v>245</v>
      </c>
      <c r="F390" t="s">
        <v>246</v>
      </c>
      <c r="G390" t="s">
        <v>1104</v>
      </c>
      <c r="H390" t="s">
        <v>1597</v>
      </c>
      <c r="I390" s="7">
        <v>1165</v>
      </c>
      <c r="J390" s="7">
        <v>49260</v>
      </c>
      <c r="K390" s="7">
        <v>5</v>
      </c>
      <c r="L390" t="s">
        <v>247</v>
      </c>
      <c r="M390" t="s">
        <v>361</v>
      </c>
      <c r="N390" s="7">
        <v>3267</v>
      </c>
      <c r="O390" t="s">
        <v>1105</v>
      </c>
      <c r="P390" t="s">
        <v>1106</v>
      </c>
      <c r="S390" t="s">
        <v>1600</v>
      </c>
      <c r="T390" t="s">
        <v>1601</v>
      </c>
      <c r="U390" t="s">
        <v>1602</v>
      </c>
      <c r="V390" s="8">
        <v>1650</v>
      </c>
      <c r="W390" s="7">
        <v>588346</v>
      </c>
      <c r="X390" t="s">
        <v>418</v>
      </c>
      <c r="Y390" s="8">
        <v>1650</v>
      </c>
      <c r="Z390" s="8">
        <v>1947</v>
      </c>
      <c r="AA390" s="8">
        <v>297</v>
      </c>
      <c r="AB390" s="7">
        <v>111813</v>
      </c>
      <c r="AC390" t="s">
        <v>418</v>
      </c>
      <c r="AD390" s="8">
        <v>0</v>
      </c>
      <c r="AG390" t="s">
        <v>823</v>
      </c>
      <c r="AH390" t="s">
        <v>802</v>
      </c>
      <c r="AI390" t="s">
        <v>818</v>
      </c>
    </row>
    <row r="391" spans="1:35" hidden="1">
      <c r="A391" s="7">
        <v>390</v>
      </c>
      <c r="B391" t="s">
        <v>243</v>
      </c>
      <c r="C391" t="s">
        <v>244</v>
      </c>
      <c r="D391" s="7">
        <v>7134</v>
      </c>
      <c r="E391" t="s">
        <v>245</v>
      </c>
      <c r="F391" t="s">
        <v>246</v>
      </c>
      <c r="G391" t="s">
        <v>917</v>
      </c>
      <c r="H391" t="s">
        <v>1635</v>
      </c>
      <c r="I391" s="7">
        <v>1165</v>
      </c>
      <c r="J391" s="7">
        <v>4561</v>
      </c>
      <c r="K391" s="7">
        <v>1</v>
      </c>
      <c r="L391" t="s">
        <v>247</v>
      </c>
      <c r="M391" t="s">
        <v>252</v>
      </c>
      <c r="N391" s="7">
        <v>1</v>
      </c>
      <c r="O391" t="s">
        <v>1778</v>
      </c>
      <c r="P391" t="s">
        <v>1779</v>
      </c>
      <c r="S391" t="s">
        <v>1600</v>
      </c>
      <c r="T391" t="s">
        <v>1601</v>
      </c>
      <c r="U391" t="s">
        <v>1602</v>
      </c>
      <c r="V391" s="8">
        <v>1250</v>
      </c>
      <c r="W391" s="7">
        <v>588346</v>
      </c>
      <c r="X391" t="s">
        <v>418</v>
      </c>
      <c r="Y391" s="8">
        <v>1250</v>
      </c>
      <c r="Z391" s="8">
        <v>1475</v>
      </c>
      <c r="AA391" s="8">
        <v>225</v>
      </c>
      <c r="AB391" s="7">
        <v>111813</v>
      </c>
      <c r="AC391" t="s">
        <v>418</v>
      </c>
      <c r="AD391" s="8">
        <v>0</v>
      </c>
      <c r="AG391" t="s">
        <v>937</v>
      </c>
      <c r="AH391" t="s">
        <v>802</v>
      </c>
      <c r="AI391" t="s">
        <v>818</v>
      </c>
    </row>
    <row r="392" spans="1:35" hidden="1">
      <c r="A392" s="7">
        <v>391</v>
      </c>
      <c r="B392" t="s">
        <v>243</v>
      </c>
      <c r="C392" t="s">
        <v>244</v>
      </c>
      <c r="D392" s="7">
        <v>7134</v>
      </c>
      <c r="E392" t="s">
        <v>245</v>
      </c>
      <c r="F392" t="s">
        <v>246</v>
      </c>
      <c r="G392" t="s">
        <v>982</v>
      </c>
      <c r="H392" t="s">
        <v>1672</v>
      </c>
      <c r="I392" s="7">
        <v>1165</v>
      </c>
      <c r="J392" s="7">
        <v>39185</v>
      </c>
      <c r="K392" s="7">
        <v>4</v>
      </c>
      <c r="L392" t="s">
        <v>247</v>
      </c>
      <c r="M392" t="s">
        <v>261</v>
      </c>
      <c r="N392" s="7">
        <v>790285</v>
      </c>
      <c r="O392" t="s">
        <v>1673</v>
      </c>
      <c r="P392" t="s">
        <v>1674</v>
      </c>
      <c r="S392" t="s">
        <v>1600</v>
      </c>
      <c r="T392" t="s">
        <v>1601</v>
      </c>
      <c r="U392" t="s">
        <v>1602</v>
      </c>
      <c r="V392" s="8">
        <v>0</v>
      </c>
      <c r="W392" s="7">
        <v>588346</v>
      </c>
      <c r="X392" t="s">
        <v>418</v>
      </c>
      <c r="Y392" s="8">
        <v>0</v>
      </c>
      <c r="Z392" s="8">
        <v>0</v>
      </c>
      <c r="AA392" s="8">
        <v>0</v>
      </c>
      <c r="AB392" s="7">
        <v>111813</v>
      </c>
      <c r="AC392" t="s">
        <v>418</v>
      </c>
      <c r="AD392" s="8">
        <v>0</v>
      </c>
      <c r="AG392" t="s">
        <v>801</v>
      </c>
      <c r="AH392" t="s">
        <v>802</v>
      </c>
      <c r="AI392" t="s">
        <v>803</v>
      </c>
    </row>
    <row r="393" spans="1:35" hidden="1">
      <c r="A393" s="7">
        <v>392</v>
      </c>
      <c r="B393" t="s">
        <v>243</v>
      </c>
      <c r="C393" t="s">
        <v>244</v>
      </c>
      <c r="D393" s="7">
        <v>7134</v>
      </c>
      <c r="E393" t="s">
        <v>245</v>
      </c>
      <c r="F393" t="s">
        <v>246</v>
      </c>
      <c r="G393" t="s">
        <v>898</v>
      </c>
      <c r="H393" t="s">
        <v>1644</v>
      </c>
      <c r="I393" s="7">
        <v>1165</v>
      </c>
      <c r="J393" s="7">
        <v>19813</v>
      </c>
      <c r="K393" s="7">
        <v>2</v>
      </c>
      <c r="L393" t="s">
        <v>247</v>
      </c>
      <c r="M393" t="s">
        <v>361</v>
      </c>
      <c r="N393" s="7">
        <v>5320</v>
      </c>
      <c r="O393" t="s">
        <v>900</v>
      </c>
      <c r="P393" t="s">
        <v>901</v>
      </c>
      <c r="S393" t="s">
        <v>1600</v>
      </c>
      <c r="T393" t="s">
        <v>1601</v>
      </c>
      <c r="U393" t="s">
        <v>1602</v>
      </c>
      <c r="V393" s="8">
        <v>0</v>
      </c>
      <c r="W393" s="7">
        <v>588346</v>
      </c>
      <c r="X393" t="s">
        <v>418</v>
      </c>
      <c r="Y393" s="8">
        <v>0</v>
      </c>
      <c r="Z393" s="8">
        <v>0</v>
      </c>
      <c r="AA393" s="8">
        <v>0</v>
      </c>
      <c r="AB393" s="7">
        <v>111813</v>
      </c>
      <c r="AC393" t="s">
        <v>418</v>
      </c>
      <c r="AD393" s="8">
        <v>0</v>
      </c>
      <c r="AG393" t="s">
        <v>823</v>
      </c>
      <c r="AH393" t="s">
        <v>802</v>
      </c>
      <c r="AI393" t="s">
        <v>803</v>
      </c>
    </row>
    <row r="394" spans="1:35" hidden="1">
      <c r="A394" s="7">
        <v>393</v>
      </c>
      <c r="B394" t="s">
        <v>243</v>
      </c>
      <c r="C394" t="s">
        <v>244</v>
      </c>
      <c r="D394" s="7">
        <v>7134</v>
      </c>
      <c r="E394" t="s">
        <v>245</v>
      </c>
      <c r="F394" t="s">
        <v>246</v>
      </c>
      <c r="G394" t="s">
        <v>902</v>
      </c>
      <c r="H394" t="s">
        <v>516</v>
      </c>
      <c r="I394" s="7">
        <v>1165</v>
      </c>
      <c r="J394" s="7">
        <v>12608</v>
      </c>
      <c r="K394" s="7">
        <v>2</v>
      </c>
      <c r="L394" t="s">
        <v>247</v>
      </c>
      <c r="M394" t="s">
        <v>267</v>
      </c>
      <c r="N394" s="7">
        <v>789111</v>
      </c>
      <c r="O394" t="s">
        <v>904</v>
      </c>
      <c r="P394" t="s">
        <v>905</v>
      </c>
      <c r="S394" t="s">
        <v>1600</v>
      </c>
      <c r="T394" t="s">
        <v>1601</v>
      </c>
      <c r="U394" t="s">
        <v>1602</v>
      </c>
      <c r="V394" s="8">
        <v>0</v>
      </c>
      <c r="W394" s="7">
        <v>588346</v>
      </c>
      <c r="X394" t="s">
        <v>418</v>
      </c>
      <c r="Y394" s="8">
        <v>0</v>
      </c>
      <c r="Z394" s="8">
        <v>0</v>
      </c>
      <c r="AA394" s="8">
        <v>0</v>
      </c>
      <c r="AB394" s="7">
        <v>111813</v>
      </c>
      <c r="AC394" t="s">
        <v>418</v>
      </c>
      <c r="AD394" s="8">
        <v>0</v>
      </c>
      <c r="AG394" t="s">
        <v>828</v>
      </c>
      <c r="AH394" t="s">
        <v>802</v>
      </c>
      <c r="AI394" t="s">
        <v>803</v>
      </c>
    </row>
    <row r="395" spans="1:35" hidden="1">
      <c r="A395" s="7">
        <v>394</v>
      </c>
      <c r="B395" t="s">
        <v>243</v>
      </c>
      <c r="C395" t="s">
        <v>244</v>
      </c>
      <c r="D395" s="7">
        <v>7134</v>
      </c>
      <c r="E395" t="s">
        <v>245</v>
      </c>
      <c r="F395" t="s">
        <v>246</v>
      </c>
      <c r="G395" t="s">
        <v>1618</v>
      </c>
      <c r="H395" t="s">
        <v>1619</v>
      </c>
      <c r="I395" s="7">
        <v>890</v>
      </c>
      <c r="J395" s="7">
        <v>50000</v>
      </c>
      <c r="K395" s="7">
        <v>5</v>
      </c>
      <c r="L395" t="s">
        <v>247</v>
      </c>
      <c r="M395" t="s">
        <v>261</v>
      </c>
      <c r="N395" s="7">
        <v>775977</v>
      </c>
      <c r="O395" t="s">
        <v>1620</v>
      </c>
      <c r="P395" t="s">
        <v>1621</v>
      </c>
      <c r="S395" t="s">
        <v>1600</v>
      </c>
      <c r="T395" t="s">
        <v>1601</v>
      </c>
      <c r="U395" t="s">
        <v>1602</v>
      </c>
      <c r="V395" s="8">
        <v>1250</v>
      </c>
      <c r="W395" s="7">
        <v>588346</v>
      </c>
      <c r="X395" t="s">
        <v>418</v>
      </c>
      <c r="Y395" s="8">
        <v>1250</v>
      </c>
      <c r="Z395" s="8">
        <v>1475</v>
      </c>
      <c r="AA395" s="8">
        <v>225</v>
      </c>
      <c r="AB395" s="7">
        <v>111813</v>
      </c>
      <c r="AC395" t="s">
        <v>418</v>
      </c>
      <c r="AD395" s="8">
        <v>0</v>
      </c>
      <c r="AG395" t="s">
        <v>801</v>
      </c>
      <c r="AH395" t="s">
        <v>802</v>
      </c>
      <c r="AI395" t="s">
        <v>818</v>
      </c>
    </row>
    <row r="396" spans="1:35" hidden="1">
      <c r="A396" s="7">
        <v>395</v>
      </c>
      <c r="B396" t="s">
        <v>243</v>
      </c>
      <c r="C396" t="s">
        <v>244</v>
      </c>
      <c r="D396" s="7">
        <v>7134</v>
      </c>
      <c r="E396" t="s">
        <v>245</v>
      </c>
      <c r="F396" t="s">
        <v>246</v>
      </c>
      <c r="G396" t="s">
        <v>1004</v>
      </c>
      <c r="H396" t="s">
        <v>1619</v>
      </c>
      <c r="I396" s="7">
        <v>1150</v>
      </c>
      <c r="J396" s="7">
        <v>18500</v>
      </c>
      <c r="K396" s="7">
        <v>2</v>
      </c>
      <c r="L396" t="s">
        <v>247</v>
      </c>
      <c r="M396" t="s">
        <v>361</v>
      </c>
      <c r="N396" s="7">
        <v>5709</v>
      </c>
      <c r="O396" t="s">
        <v>1005</v>
      </c>
      <c r="P396" t="s">
        <v>1006</v>
      </c>
      <c r="S396" t="s">
        <v>1600</v>
      </c>
      <c r="T396" t="s">
        <v>1601</v>
      </c>
      <c r="U396" t="s">
        <v>1602</v>
      </c>
      <c r="V396" s="8">
        <v>0</v>
      </c>
      <c r="W396" s="7">
        <v>588346</v>
      </c>
      <c r="X396" t="s">
        <v>418</v>
      </c>
      <c r="Y396" s="8">
        <v>0</v>
      </c>
      <c r="Z396" s="8">
        <v>0</v>
      </c>
      <c r="AA396" s="8">
        <v>0</v>
      </c>
      <c r="AB396" s="7">
        <v>111813</v>
      </c>
      <c r="AC396" t="s">
        <v>418</v>
      </c>
      <c r="AD396" s="8">
        <v>0</v>
      </c>
      <c r="AG396" t="s">
        <v>823</v>
      </c>
      <c r="AH396" t="s">
        <v>802</v>
      </c>
      <c r="AI396" t="s">
        <v>803</v>
      </c>
    </row>
    <row r="397" spans="1:35" hidden="1">
      <c r="A397" s="7">
        <v>396</v>
      </c>
      <c r="B397" t="s">
        <v>243</v>
      </c>
      <c r="C397" t="s">
        <v>244</v>
      </c>
      <c r="D397" s="7">
        <v>7134</v>
      </c>
      <c r="E397" t="s">
        <v>245</v>
      </c>
      <c r="F397" t="s">
        <v>246</v>
      </c>
      <c r="G397" t="s">
        <v>1702</v>
      </c>
      <c r="H397" t="s">
        <v>1619</v>
      </c>
      <c r="I397" s="7">
        <v>1165</v>
      </c>
      <c r="J397" s="7">
        <v>131576</v>
      </c>
      <c r="K397" s="7">
        <v>12</v>
      </c>
      <c r="L397" t="s">
        <v>247</v>
      </c>
      <c r="M397" t="s">
        <v>267</v>
      </c>
      <c r="N397" s="7">
        <v>749386</v>
      </c>
      <c r="O397" t="s">
        <v>1703</v>
      </c>
      <c r="P397" t="s">
        <v>1704</v>
      </c>
      <c r="Q397" t="s">
        <v>908</v>
      </c>
      <c r="R397" t="s">
        <v>909</v>
      </c>
      <c r="S397" t="s">
        <v>1600</v>
      </c>
      <c r="T397" t="s">
        <v>1601</v>
      </c>
      <c r="U397" t="s">
        <v>1602</v>
      </c>
      <c r="V397" s="8">
        <v>0</v>
      </c>
      <c r="W397" s="7">
        <v>588346</v>
      </c>
      <c r="X397" t="s">
        <v>418</v>
      </c>
      <c r="Y397" s="8">
        <v>0</v>
      </c>
      <c r="Z397" s="8">
        <v>0</v>
      </c>
      <c r="AA397" s="8">
        <v>0</v>
      </c>
      <c r="AB397" s="7">
        <v>111813</v>
      </c>
      <c r="AC397" t="s">
        <v>418</v>
      </c>
      <c r="AD397" s="8">
        <v>0</v>
      </c>
      <c r="AG397" t="s">
        <v>828</v>
      </c>
      <c r="AH397" t="s">
        <v>802</v>
      </c>
      <c r="AI397" t="s">
        <v>803</v>
      </c>
    </row>
    <row r="398" spans="1:35" hidden="1">
      <c r="A398" s="7">
        <v>397</v>
      </c>
      <c r="B398" t="s">
        <v>243</v>
      </c>
      <c r="C398" t="s">
        <v>244</v>
      </c>
      <c r="D398" s="7">
        <v>7134</v>
      </c>
      <c r="E398" t="s">
        <v>245</v>
      </c>
      <c r="F398" t="s">
        <v>246</v>
      </c>
      <c r="G398" t="s">
        <v>1011</v>
      </c>
      <c r="H398" t="s">
        <v>1597</v>
      </c>
      <c r="I398" s="7">
        <v>1165</v>
      </c>
      <c r="J398" s="7">
        <v>12577</v>
      </c>
      <c r="K398" s="7">
        <v>2</v>
      </c>
      <c r="L398" t="s">
        <v>247</v>
      </c>
      <c r="M398" t="s">
        <v>261</v>
      </c>
      <c r="N398" s="7">
        <v>781810</v>
      </c>
      <c r="O398" t="s">
        <v>1648</v>
      </c>
      <c r="P398" t="s">
        <v>1649</v>
      </c>
      <c r="S398" t="s">
        <v>1600</v>
      </c>
      <c r="T398" t="s">
        <v>1601</v>
      </c>
      <c r="U398" t="s">
        <v>1602</v>
      </c>
      <c r="V398" s="8">
        <v>1250</v>
      </c>
      <c r="W398" s="7">
        <v>588346</v>
      </c>
      <c r="X398" t="s">
        <v>418</v>
      </c>
      <c r="Y398" s="8">
        <v>1250</v>
      </c>
      <c r="Z398" s="8">
        <v>1475</v>
      </c>
      <c r="AA398" s="8">
        <v>225</v>
      </c>
      <c r="AB398" s="7">
        <v>111813</v>
      </c>
      <c r="AC398" t="s">
        <v>418</v>
      </c>
      <c r="AD398" s="8">
        <v>0</v>
      </c>
      <c r="AG398" t="s">
        <v>817</v>
      </c>
      <c r="AH398" t="s">
        <v>802</v>
      </c>
      <c r="AI398" t="s">
        <v>818</v>
      </c>
    </row>
    <row r="399" spans="1:35" hidden="1">
      <c r="A399" s="7">
        <v>398</v>
      </c>
      <c r="B399" t="s">
        <v>243</v>
      </c>
      <c r="C399" t="s">
        <v>244</v>
      </c>
      <c r="D399" s="7">
        <v>7134</v>
      </c>
      <c r="E399" t="s">
        <v>245</v>
      </c>
      <c r="F399" t="s">
        <v>246</v>
      </c>
      <c r="G399" t="s">
        <v>898</v>
      </c>
      <c r="H399" t="s">
        <v>1597</v>
      </c>
      <c r="I399" s="7">
        <v>1165</v>
      </c>
      <c r="J399" s="7">
        <v>15770</v>
      </c>
      <c r="K399" s="7">
        <v>2</v>
      </c>
      <c r="L399" t="s">
        <v>247</v>
      </c>
      <c r="M399" t="s">
        <v>252</v>
      </c>
      <c r="N399" s="7">
        <v>324388</v>
      </c>
      <c r="O399" t="s">
        <v>1796</v>
      </c>
      <c r="P399" t="s">
        <v>1797</v>
      </c>
      <c r="Q399" t="s">
        <v>870</v>
      </c>
      <c r="R399" t="s">
        <v>871</v>
      </c>
      <c r="S399" t="s">
        <v>1600</v>
      </c>
      <c r="T399" t="s">
        <v>1601</v>
      </c>
      <c r="U399" t="s">
        <v>1602</v>
      </c>
      <c r="V399" s="8">
        <v>0</v>
      </c>
      <c r="W399" s="7">
        <v>588346</v>
      </c>
      <c r="X399" t="s">
        <v>418</v>
      </c>
      <c r="Y399" s="8">
        <v>0</v>
      </c>
      <c r="Z399" s="8">
        <v>0</v>
      </c>
      <c r="AA399" s="8">
        <v>0</v>
      </c>
      <c r="AB399" s="7">
        <v>111813</v>
      </c>
      <c r="AC399" t="s">
        <v>418</v>
      </c>
      <c r="AD399" s="8">
        <v>0</v>
      </c>
      <c r="AG399" t="s">
        <v>937</v>
      </c>
      <c r="AH399" t="s">
        <v>802</v>
      </c>
      <c r="AI399" t="s">
        <v>803</v>
      </c>
    </row>
    <row r="400" spans="1:35" hidden="1">
      <c r="A400" s="7">
        <v>399</v>
      </c>
      <c r="B400" t="s">
        <v>243</v>
      </c>
      <c r="C400" t="s">
        <v>244</v>
      </c>
      <c r="D400" s="7">
        <v>7134</v>
      </c>
      <c r="E400" t="s">
        <v>245</v>
      </c>
      <c r="F400" t="s">
        <v>246</v>
      </c>
      <c r="G400" t="s">
        <v>898</v>
      </c>
      <c r="H400" t="s">
        <v>555</v>
      </c>
      <c r="I400" s="7">
        <v>1165</v>
      </c>
      <c r="J400" s="7">
        <v>16110</v>
      </c>
      <c r="K400" s="7">
        <v>3</v>
      </c>
      <c r="L400" t="s">
        <v>247</v>
      </c>
      <c r="M400" t="s">
        <v>252</v>
      </c>
      <c r="N400" s="7">
        <v>324388</v>
      </c>
      <c r="O400" t="s">
        <v>1796</v>
      </c>
      <c r="P400" t="s">
        <v>1797</v>
      </c>
      <c r="S400" t="s">
        <v>1600</v>
      </c>
      <c r="T400" t="s">
        <v>1601</v>
      </c>
      <c r="U400" t="s">
        <v>1602</v>
      </c>
      <c r="V400" s="8">
        <v>1250</v>
      </c>
      <c r="W400" s="7">
        <v>588346</v>
      </c>
      <c r="X400" t="s">
        <v>418</v>
      </c>
      <c r="Y400" s="8">
        <v>1250</v>
      </c>
      <c r="Z400" s="8">
        <v>1475</v>
      </c>
      <c r="AA400" s="8">
        <v>225</v>
      </c>
      <c r="AB400" s="7">
        <v>111813</v>
      </c>
      <c r="AC400" t="s">
        <v>418</v>
      </c>
      <c r="AD400" s="8">
        <v>0</v>
      </c>
      <c r="AG400" t="s">
        <v>937</v>
      </c>
      <c r="AH400" t="s">
        <v>802</v>
      </c>
      <c r="AI400" t="s">
        <v>818</v>
      </c>
    </row>
    <row r="401" spans="1:35" hidden="1">
      <c r="A401" s="7">
        <v>400</v>
      </c>
      <c r="B401" t="s">
        <v>243</v>
      </c>
      <c r="C401" t="s">
        <v>244</v>
      </c>
      <c r="D401" s="7">
        <v>7134</v>
      </c>
      <c r="E401" t="s">
        <v>245</v>
      </c>
      <c r="F401" t="s">
        <v>246</v>
      </c>
      <c r="G401" t="s">
        <v>927</v>
      </c>
      <c r="H401" t="s">
        <v>555</v>
      </c>
      <c r="I401" s="7">
        <v>1165</v>
      </c>
      <c r="J401" s="7">
        <v>69770</v>
      </c>
      <c r="K401" s="7">
        <v>7</v>
      </c>
      <c r="L401" t="s">
        <v>247</v>
      </c>
      <c r="M401" t="s">
        <v>361</v>
      </c>
      <c r="N401" s="7">
        <v>3488</v>
      </c>
      <c r="O401" t="s">
        <v>928</v>
      </c>
      <c r="P401" t="s">
        <v>929</v>
      </c>
      <c r="S401" t="s">
        <v>1600</v>
      </c>
      <c r="T401" t="s">
        <v>1601</v>
      </c>
      <c r="U401" t="s">
        <v>1602</v>
      </c>
      <c r="V401" s="8">
        <v>1650</v>
      </c>
      <c r="W401" s="7">
        <v>588346</v>
      </c>
      <c r="X401" t="s">
        <v>418</v>
      </c>
      <c r="Y401" s="8">
        <v>1650</v>
      </c>
      <c r="Z401" s="8">
        <v>1947</v>
      </c>
      <c r="AA401" s="8">
        <v>297</v>
      </c>
      <c r="AB401" s="7">
        <v>111813</v>
      </c>
      <c r="AC401" t="s">
        <v>418</v>
      </c>
      <c r="AD401" s="8">
        <v>0</v>
      </c>
      <c r="AG401" t="s">
        <v>823</v>
      </c>
      <c r="AH401" t="s">
        <v>802</v>
      </c>
      <c r="AI401" t="s">
        <v>818</v>
      </c>
    </row>
    <row r="402" spans="1:35" hidden="1">
      <c r="A402" s="7">
        <v>401</v>
      </c>
      <c r="B402" t="s">
        <v>243</v>
      </c>
      <c r="C402" t="s">
        <v>244</v>
      </c>
      <c r="D402" s="7">
        <v>7134</v>
      </c>
      <c r="E402" t="s">
        <v>245</v>
      </c>
      <c r="F402" t="s">
        <v>246</v>
      </c>
      <c r="G402" t="s">
        <v>864</v>
      </c>
      <c r="H402" t="s">
        <v>1631</v>
      </c>
      <c r="I402" s="7">
        <v>1165</v>
      </c>
      <c r="J402" s="7">
        <v>11566</v>
      </c>
      <c r="K402" s="7">
        <v>3</v>
      </c>
      <c r="L402" t="s">
        <v>247</v>
      </c>
      <c r="M402" t="s">
        <v>261</v>
      </c>
      <c r="N402" s="7">
        <v>771813</v>
      </c>
      <c r="O402" t="s">
        <v>1650</v>
      </c>
      <c r="P402" t="s">
        <v>1651</v>
      </c>
      <c r="S402" t="s">
        <v>1600</v>
      </c>
      <c r="T402" t="s">
        <v>1601</v>
      </c>
      <c r="U402" t="s">
        <v>1602</v>
      </c>
      <c r="V402" s="8">
        <v>1250</v>
      </c>
      <c r="W402" s="7">
        <v>588346</v>
      </c>
      <c r="X402" t="s">
        <v>418</v>
      </c>
      <c r="Y402" s="8">
        <v>1250</v>
      </c>
      <c r="Z402" s="8">
        <v>1475</v>
      </c>
      <c r="AA402" s="8">
        <v>225</v>
      </c>
      <c r="AB402" s="7">
        <v>111813</v>
      </c>
      <c r="AC402" t="s">
        <v>418</v>
      </c>
      <c r="AD402" s="8">
        <v>0</v>
      </c>
      <c r="AG402" t="s">
        <v>817</v>
      </c>
      <c r="AH402" t="s">
        <v>802</v>
      </c>
      <c r="AI402" t="s">
        <v>818</v>
      </c>
    </row>
    <row r="403" spans="1:35" hidden="1">
      <c r="A403" s="7">
        <v>402</v>
      </c>
      <c r="B403" t="s">
        <v>243</v>
      </c>
      <c r="C403" t="s">
        <v>244</v>
      </c>
      <c r="D403" s="7">
        <v>7134</v>
      </c>
      <c r="E403" t="s">
        <v>245</v>
      </c>
      <c r="F403" t="s">
        <v>246</v>
      </c>
      <c r="G403" t="s">
        <v>1720</v>
      </c>
      <c r="H403" t="s">
        <v>543</v>
      </c>
      <c r="I403" s="7">
        <v>1165</v>
      </c>
      <c r="J403" s="7">
        <v>28900</v>
      </c>
      <c r="K403" s="7">
        <v>4</v>
      </c>
      <c r="L403" t="s">
        <v>247</v>
      </c>
      <c r="M403" t="s">
        <v>267</v>
      </c>
      <c r="N403" s="7">
        <v>776948</v>
      </c>
      <c r="O403" t="s">
        <v>1721</v>
      </c>
      <c r="P403" t="s">
        <v>1722</v>
      </c>
      <c r="S403" t="s">
        <v>1600</v>
      </c>
      <c r="T403" t="s">
        <v>1601</v>
      </c>
      <c r="U403" t="s">
        <v>1602</v>
      </c>
      <c r="V403" s="8">
        <v>0</v>
      </c>
      <c r="W403" s="7">
        <v>588346</v>
      </c>
      <c r="X403" t="s">
        <v>418</v>
      </c>
      <c r="Y403" s="8">
        <v>0</v>
      </c>
      <c r="Z403" s="8">
        <v>0</v>
      </c>
      <c r="AA403" s="8">
        <v>0</v>
      </c>
      <c r="AB403" s="7">
        <v>111813</v>
      </c>
      <c r="AC403" t="s">
        <v>418</v>
      </c>
      <c r="AD403" s="8">
        <v>0</v>
      </c>
      <c r="AG403" t="s">
        <v>828</v>
      </c>
      <c r="AH403" t="s">
        <v>802</v>
      </c>
      <c r="AI403" t="s">
        <v>803</v>
      </c>
    </row>
    <row r="404" spans="1:35" hidden="1">
      <c r="A404" s="7">
        <v>403</v>
      </c>
      <c r="B404" t="s">
        <v>243</v>
      </c>
      <c r="C404" t="s">
        <v>244</v>
      </c>
      <c r="D404" s="7">
        <v>7134</v>
      </c>
      <c r="E404" t="s">
        <v>245</v>
      </c>
      <c r="F404" t="s">
        <v>246</v>
      </c>
      <c r="G404" t="s">
        <v>1343</v>
      </c>
      <c r="H404" t="s">
        <v>1267</v>
      </c>
      <c r="I404" s="7">
        <v>1165</v>
      </c>
      <c r="J404" s="7">
        <v>21000</v>
      </c>
      <c r="K404" s="7">
        <v>6</v>
      </c>
      <c r="L404" t="s">
        <v>247</v>
      </c>
      <c r="M404" t="s">
        <v>398</v>
      </c>
      <c r="N404" s="7">
        <v>746091</v>
      </c>
      <c r="O404" t="s">
        <v>1776</v>
      </c>
      <c r="P404" t="s">
        <v>1777</v>
      </c>
      <c r="Q404" t="s">
        <v>1667</v>
      </c>
      <c r="R404" t="s">
        <v>1668</v>
      </c>
      <c r="S404" t="s">
        <v>1600</v>
      </c>
      <c r="T404" t="s">
        <v>1601</v>
      </c>
      <c r="U404" t="s">
        <v>1602</v>
      </c>
      <c r="V404" s="8">
        <v>0</v>
      </c>
      <c r="W404" s="7">
        <v>588346</v>
      </c>
      <c r="X404" t="s">
        <v>418</v>
      </c>
      <c r="Y404" s="8">
        <v>0</v>
      </c>
      <c r="Z404" s="8">
        <v>0</v>
      </c>
      <c r="AA404" s="8">
        <v>0</v>
      </c>
      <c r="AB404" s="7">
        <v>111813</v>
      </c>
      <c r="AC404" t="s">
        <v>418</v>
      </c>
      <c r="AD404" s="8">
        <v>0</v>
      </c>
      <c r="AG404" t="s">
        <v>1365</v>
      </c>
      <c r="AH404" t="s">
        <v>802</v>
      </c>
      <c r="AI404" t="s">
        <v>803</v>
      </c>
    </row>
    <row r="405" spans="1:35" hidden="1">
      <c r="A405" s="7">
        <v>404</v>
      </c>
      <c r="B405" t="s">
        <v>243</v>
      </c>
      <c r="C405" t="s">
        <v>244</v>
      </c>
      <c r="D405" s="7">
        <v>7134</v>
      </c>
      <c r="E405" t="s">
        <v>245</v>
      </c>
      <c r="F405" t="s">
        <v>246</v>
      </c>
      <c r="G405" t="s">
        <v>1708</v>
      </c>
      <c r="H405" t="s">
        <v>1672</v>
      </c>
      <c r="I405" s="7">
        <v>1165</v>
      </c>
      <c r="J405" s="7">
        <v>11214</v>
      </c>
      <c r="K405" s="7">
        <v>2</v>
      </c>
      <c r="L405" t="s">
        <v>247</v>
      </c>
      <c r="M405" t="s">
        <v>267</v>
      </c>
      <c r="N405" s="7">
        <v>789120</v>
      </c>
      <c r="O405" t="s">
        <v>1709</v>
      </c>
      <c r="P405" t="s">
        <v>1710</v>
      </c>
      <c r="S405" t="s">
        <v>1600</v>
      </c>
      <c r="T405" t="s">
        <v>1601</v>
      </c>
      <c r="U405" t="s">
        <v>1602</v>
      </c>
      <c r="V405" s="8">
        <v>0</v>
      </c>
      <c r="W405" s="7">
        <v>588346</v>
      </c>
      <c r="X405" t="s">
        <v>418</v>
      </c>
      <c r="Y405" s="8">
        <v>0</v>
      </c>
      <c r="Z405" s="8">
        <v>0</v>
      </c>
      <c r="AA405" s="8">
        <v>0</v>
      </c>
      <c r="AB405" s="7">
        <v>111813</v>
      </c>
      <c r="AC405" t="s">
        <v>418</v>
      </c>
      <c r="AD405" s="8">
        <v>0</v>
      </c>
      <c r="AG405" t="s">
        <v>828</v>
      </c>
      <c r="AH405" t="s">
        <v>802</v>
      </c>
      <c r="AI405" t="s">
        <v>803</v>
      </c>
    </row>
    <row r="406" spans="1:35" hidden="1">
      <c r="A406" s="7">
        <v>405</v>
      </c>
      <c r="B406" t="s">
        <v>243</v>
      </c>
      <c r="C406" t="s">
        <v>244</v>
      </c>
      <c r="D406" s="7">
        <v>7134</v>
      </c>
      <c r="E406" t="s">
        <v>245</v>
      </c>
      <c r="F406" t="s">
        <v>246</v>
      </c>
      <c r="G406" t="s">
        <v>1165</v>
      </c>
      <c r="H406" t="s">
        <v>255</v>
      </c>
      <c r="I406" s="7">
        <v>784</v>
      </c>
      <c r="J406" s="7">
        <v>51518</v>
      </c>
      <c r="K406" s="7">
        <v>12</v>
      </c>
      <c r="L406" t="s">
        <v>247</v>
      </c>
      <c r="M406" t="s">
        <v>267</v>
      </c>
      <c r="N406" s="7">
        <v>749368</v>
      </c>
      <c r="O406" t="s">
        <v>1612</v>
      </c>
      <c r="P406" t="s">
        <v>1613</v>
      </c>
      <c r="S406" t="s">
        <v>1600</v>
      </c>
      <c r="T406" t="s">
        <v>1601</v>
      </c>
      <c r="U406" t="s">
        <v>1602</v>
      </c>
      <c r="V406" s="8">
        <v>0</v>
      </c>
      <c r="W406" s="7">
        <v>588346</v>
      </c>
      <c r="X406" t="s">
        <v>418</v>
      </c>
      <c r="Y406" s="8">
        <v>0</v>
      </c>
      <c r="Z406" s="8">
        <v>0</v>
      </c>
      <c r="AA406" s="8">
        <v>0</v>
      </c>
      <c r="AB406" s="7">
        <v>111813</v>
      </c>
      <c r="AC406" t="s">
        <v>418</v>
      </c>
      <c r="AD406" s="8">
        <v>0</v>
      </c>
      <c r="AG406" t="s">
        <v>828</v>
      </c>
      <c r="AH406" t="s">
        <v>802</v>
      </c>
      <c r="AI406" t="s">
        <v>803</v>
      </c>
    </row>
    <row r="407" spans="1:35" hidden="1">
      <c r="A407" s="7">
        <v>406</v>
      </c>
      <c r="B407" t="s">
        <v>243</v>
      </c>
      <c r="C407" t="s">
        <v>244</v>
      </c>
      <c r="D407" s="7">
        <v>7134</v>
      </c>
      <c r="E407" t="s">
        <v>245</v>
      </c>
      <c r="F407" t="s">
        <v>246</v>
      </c>
      <c r="G407" t="s">
        <v>878</v>
      </c>
      <c r="H407" t="s">
        <v>501</v>
      </c>
      <c r="I407" s="7">
        <v>1165</v>
      </c>
      <c r="J407" s="7">
        <v>50000</v>
      </c>
      <c r="K407" s="7">
        <v>5</v>
      </c>
      <c r="L407" t="s">
        <v>247</v>
      </c>
      <c r="M407" t="s">
        <v>261</v>
      </c>
      <c r="N407" s="7">
        <v>786320</v>
      </c>
      <c r="O407" t="s">
        <v>879</v>
      </c>
      <c r="P407" t="s">
        <v>880</v>
      </c>
      <c r="S407" t="s">
        <v>1600</v>
      </c>
      <c r="T407" t="s">
        <v>1601</v>
      </c>
      <c r="U407" t="s">
        <v>1602</v>
      </c>
      <c r="V407" s="8">
        <v>1250</v>
      </c>
      <c r="W407" s="7">
        <v>588346</v>
      </c>
      <c r="X407" t="s">
        <v>418</v>
      </c>
      <c r="Y407" s="8">
        <v>1250</v>
      </c>
      <c r="Z407" s="8">
        <v>1475</v>
      </c>
      <c r="AA407" s="8">
        <v>225</v>
      </c>
      <c r="AB407" s="7">
        <v>111813</v>
      </c>
      <c r="AC407" t="s">
        <v>418</v>
      </c>
      <c r="AD407" s="8">
        <v>0</v>
      </c>
      <c r="AG407" t="s">
        <v>801</v>
      </c>
      <c r="AH407" t="s">
        <v>802</v>
      </c>
      <c r="AI407" t="s">
        <v>818</v>
      </c>
    </row>
    <row r="408" spans="1:35" hidden="1">
      <c r="A408" s="7">
        <v>407</v>
      </c>
      <c r="B408" t="s">
        <v>243</v>
      </c>
      <c r="C408" t="s">
        <v>244</v>
      </c>
      <c r="D408" s="7">
        <v>7134</v>
      </c>
      <c r="E408" t="s">
        <v>245</v>
      </c>
      <c r="F408" t="s">
        <v>246</v>
      </c>
      <c r="G408" t="s">
        <v>1038</v>
      </c>
      <c r="H408" t="s">
        <v>531</v>
      </c>
      <c r="I408" s="7">
        <v>1165</v>
      </c>
      <c r="J408" s="7">
        <v>49520</v>
      </c>
      <c r="K408" s="7">
        <v>5</v>
      </c>
      <c r="L408" t="s">
        <v>247</v>
      </c>
      <c r="M408" t="s">
        <v>361</v>
      </c>
      <c r="N408" s="7">
        <v>3248</v>
      </c>
      <c r="O408" t="s">
        <v>1039</v>
      </c>
      <c r="P408" t="s">
        <v>1040</v>
      </c>
      <c r="S408" t="s">
        <v>1600</v>
      </c>
      <c r="T408" t="s">
        <v>1601</v>
      </c>
      <c r="U408" t="s">
        <v>1602</v>
      </c>
      <c r="V408" s="8">
        <v>1650</v>
      </c>
      <c r="W408" s="7">
        <v>588346</v>
      </c>
      <c r="X408" t="s">
        <v>418</v>
      </c>
      <c r="Y408" s="8">
        <v>1650</v>
      </c>
      <c r="Z408" s="8">
        <v>1947</v>
      </c>
      <c r="AA408" s="8">
        <v>297</v>
      </c>
      <c r="AB408" s="7">
        <v>111813</v>
      </c>
      <c r="AC408" t="s">
        <v>418</v>
      </c>
      <c r="AD408" s="8">
        <v>0</v>
      </c>
      <c r="AG408" t="s">
        <v>823</v>
      </c>
      <c r="AH408" t="s">
        <v>802</v>
      </c>
      <c r="AI408" t="s">
        <v>818</v>
      </c>
    </row>
    <row r="409" spans="1:35" hidden="1">
      <c r="A409" s="7">
        <v>408</v>
      </c>
      <c r="B409" t="s">
        <v>243</v>
      </c>
      <c r="C409" t="s">
        <v>244</v>
      </c>
      <c r="D409" s="7">
        <v>7134</v>
      </c>
      <c r="E409" t="s">
        <v>245</v>
      </c>
      <c r="F409" t="s">
        <v>246</v>
      </c>
      <c r="G409" t="s">
        <v>875</v>
      </c>
      <c r="H409" t="s">
        <v>531</v>
      </c>
      <c r="I409" s="7">
        <v>910</v>
      </c>
      <c r="J409" s="7">
        <v>37580</v>
      </c>
      <c r="K409" s="7">
        <v>6</v>
      </c>
      <c r="L409" t="s">
        <v>247</v>
      </c>
      <c r="M409" t="s">
        <v>261</v>
      </c>
      <c r="N409" s="7">
        <v>775649</v>
      </c>
      <c r="O409" t="s">
        <v>876</v>
      </c>
      <c r="P409" t="s">
        <v>877</v>
      </c>
      <c r="S409" t="s">
        <v>1600</v>
      </c>
      <c r="T409" t="s">
        <v>1601</v>
      </c>
      <c r="U409" t="s">
        <v>1602</v>
      </c>
      <c r="V409" s="8">
        <v>0</v>
      </c>
      <c r="W409" s="7">
        <v>588346</v>
      </c>
      <c r="X409" t="s">
        <v>418</v>
      </c>
      <c r="Y409" s="8">
        <v>0</v>
      </c>
      <c r="Z409" s="8">
        <v>0</v>
      </c>
      <c r="AA409" s="8">
        <v>0</v>
      </c>
      <c r="AB409" s="7">
        <v>111813</v>
      </c>
      <c r="AC409" t="s">
        <v>418</v>
      </c>
      <c r="AD409" s="8">
        <v>0</v>
      </c>
      <c r="AG409" t="s">
        <v>801</v>
      </c>
      <c r="AH409" t="s">
        <v>802</v>
      </c>
      <c r="AI409" t="s">
        <v>803</v>
      </c>
    </row>
    <row r="410" spans="1:35" hidden="1">
      <c r="A410" s="7">
        <v>409</v>
      </c>
      <c r="B410" t="s">
        <v>243</v>
      </c>
      <c r="C410" t="s">
        <v>244</v>
      </c>
      <c r="D410" s="7">
        <v>7134</v>
      </c>
      <c r="E410" t="s">
        <v>245</v>
      </c>
      <c r="F410" t="s">
        <v>246</v>
      </c>
      <c r="G410" t="s">
        <v>1745</v>
      </c>
      <c r="H410" t="s">
        <v>1615</v>
      </c>
      <c r="I410" s="7">
        <v>1150</v>
      </c>
      <c r="J410" s="7">
        <v>11310</v>
      </c>
      <c r="K410" s="7">
        <v>2</v>
      </c>
      <c r="L410" t="s">
        <v>247</v>
      </c>
      <c r="M410" t="s">
        <v>261</v>
      </c>
      <c r="N410" s="7">
        <v>791891</v>
      </c>
      <c r="O410" t="s">
        <v>1746</v>
      </c>
      <c r="P410" t="s">
        <v>1747</v>
      </c>
      <c r="S410" t="s">
        <v>1600</v>
      </c>
      <c r="T410" t="s">
        <v>1601</v>
      </c>
      <c r="U410" t="s">
        <v>1602</v>
      </c>
      <c r="V410" s="8">
        <v>0</v>
      </c>
      <c r="W410" s="7">
        <v>588346</v>
      </c>
      <c r="X410" t="s">
        <v>418</v>
      </c>
      <c r="Y410" s="8">
        <v>0</v>
      </c>
      <c r="Z410" s="8">
        <v>0</v>
      </c>
      <c r="AA410" s="8">
        <v>0</v>
      </c>
      <c r="AB410" s="7">
        <v>111813</v>
      </c>
      <c r="AC410" t="s">
        <v>418</v>
      </c>
      <c r="AD410" s="8">
        <v>0</v>
      </c>
      <c r="AG410" t="s">
        <v>801</v>
      </c>
      <c r="AH410" t="s">
        <v>802</v>
      </c>
      <c r="AI410" t="s">
        <v>803</v>
      </c>
    </row>
    <row r="411" spans="1:35" hidden="1">
      <c r="A411" s="7">
        <v>410</v>
      </c>
      <c r="B411" t="s">
        <v>243</v>
      </c>
      <c r="C411" t="s">
        <v>244</v>
      </c>
      <c r="D411" s="7">
        <v>7134</v>
      </c>
      <c r="E411" t="s">
        <v>245</v>
      </c>
      <c r="F411" t="s">
        <v>246</v>
      </c>
      <c r="G411" t="s">
        <v>1559</v>
      </c>
      <c r="H411" t="s">
        <v>571</v>
      </c>
      <c r="I411" s="7">
        <v>1165</v>
      </c>
      <c r="J411" s="7">
        <v>60000</v>
      </c>
      <c r="K411" s="7">
        <v>6</v>
      </c>
      <c r="L411" t="s">
        <v>247</v>
      </c>
      <c r="M411" t="s">
        <v>261</v>
      </c>
      <c r="N411" s="7">
        <v>785726</v>
      </c>
      <c r="O411" t="s">
        <v>1560</v>
      </c>
      <c r="P411" t="s">
        <v>1561</v>
      </c>
      <c r="S411" t="s">
        <v>1600</v>
      </c>
      <c r="T411" t="s">
        <v>1601</v>
      </c>
      <c r="U411" t="s">
        <v>1602</v>
      </c>
      <c r="V411" s="8">
        <v>0</v>
      </c>
      <c r="W411" s="7">
        <v>588346</v>
      </c>
      <c r="X411" t="s">
        <v>418</v>
      </c>
      <c r="Y411" s="8">
        <v>0</v>
      </c>
      <c r="Z411" s="8">
        <v>0</v>
      </c>
      <c r="AA411" s="8">
        <v>0</v>
      </c>
      <c r="AB411" s="7">
        <v>111813</v>
      </c>
      <c r="AC411" t="s">
        <v>418</v>
      </c>
      <c r="AD411" s="8">
        <v>0</v>
      </c>
      <c r="AG411" t="s">
        <v>801</v>
      </c>
      <c r="AH411" t="s">
        <v>802</v>
      </c>
      <c r="AI411" t="s">
        <v>803</v>
      </c>
    </row>
    <row r="412" spans="1:35" hidden="1">
      <c r="A412" s="7">
        <v>411</v>
      </c>
      <c r="B412" t="s">
        <v>243</v>
      </c>
      <c r="C412" t="s">
        <v>244</v>
      </c>
      <c r="D412" s="7">
        <v>7134</v>
      </c>
      <c r="E412" t="s">
        <v>245</v>
      </c>
      <c r="F412" t="s">
        <v>246</v>
      </c>
      <c r="G412" t="s">
        <v>797</v>
      </c>
      <c r="H412" t="s">
        <v>516</v>
      </c>
      <c r="I412" s="7">
        <v>1165</v>
      </c>
      <c r="J412" s="7">
        <v>4546</v>
      </c>
      <c r="K412" s="7">
        <v>1</v>
      </c>
      <c r="L412" t="s">
        <v>247</v>
      </c>
      <c r="M412" t="s">
        <v>361</v>
      </c>
      <c r="N412" s="7">
        <v>6195</v>
      </c>
      <c r="O412" t="s">
        <v>1626</v>
      </c>
      <c r="P412" t="s">
        <v>1627</v>
      </c>
      <c r="S412" t="s">
        <v>1600</v>
      </c>
      <c r="T412" t="s">
        <v>1601</v>
      </c>
      <c r="U412" t="s">
        <v>1602</v>
      </c>
      <c r="V412" s="8">
        <v>1650</v>
      </c>
      <c r="W412" s="7">
        <v>588346</v>
      </c>
      <c r="X412" t="s">
        <v>418</v>
      </c>
      <c r="Y412" s="8">
        <v>1650</v>
      </c>
      <c r="Z412" s="8">
        <v>1947</v>
      </c>
      <c r="AA412" s="8">
        <v>297</v>
      </c>
      <c r="AB412" s="7">
        <v>111813</v>
      </c>
      <c r="AC412" t="s">
        <v>418</v>
      </c>
      <c r="AD412" s="8">
        <v>0</v>
      </c>
      <c r="AG412" t="s">
        <v>823</v>
      </c>
      <c r="AH412" t="s">
        <v>802</v>
      </c>
      <c r="AI412" t="s">
        <v>818</v>
      </c>
    </row>
    <row r="413" spans="1:35" hidden="1">
      <c r="A413" s="7">
        <v>412</v>
      </c>
      <c r="B413" t="s">
        <v>243</v>
      </c>
      <c r="C413" t="s">
        <v>244</v>
      </c>
      <c r="D413" s="7">
        <v>7134</v>
      </c>
      <c r="E413" t="s">
        <v>245</v>
      </c>
      <c r="F413" t="s">
        <v>246</v>
      </c>
      <c r="G413" t="s">
        <v>849</v>
      </c>
      <c r="H413" t="s">
        <v>1603</v>
      </c>
      <c r="I413" s="7">
        <v>1165</v>
      </c>
      <c r="J413" s="7">
        <v>40000</v>
      </c>
      <c r="K413" s="7">
        <v>4</v>
      </c>
      <c r="L413" t="s">
        <v>247</v>
      </c>
      <c r="M413" t="s">
        <v>261</v>
      </c>
      <c r="N413" s="7">
        <v>787042</v>
      </c>
      <c r="O413" t="s">
        <v>850</v>
      </c>
      <c r="P413" t="s">
        <v>851</v>
      </c>
      <c r="S413" t="s">
        <v>1600</v>
      </c>
      <c r="T413" t="s">
        <v>1601</v>
      </c>
      <c r="U413" t="s">
        <v>1602</v>
      </c>
      <c r="V413" s="8">
        <v>0</v>
      </c>
      <c r="W413" s="7">
        <v>588346</v>
      </c>
      <c r="X413" t="s">
        <v>418</v>
      </c>
      <c r="Y413" s="8">
        <v>0</v>
      </c>
      <c r="Z413" s="8">
        <v>0</v>
      </c>
      <c r="AA413" s="8">
        <v>0</v>
      </c>
      <c r="AB413" s="7">
        <v>111813</v>
      </c>
      <c r="AC413" t="s">
        <v>418</v>
      </c>
      <c r="AD413" s="8">
        <v>0</v>
      </c>
      <c r="AG413" t="s">
        <v>801</v>
      </c>
      <c r="AH413" t="s">
        <v>802</v>
      </c>
      <c r="AI413" t="s">
        <v>803</v>
      </c>
    </row>
    <row r="414" spans="1:35" hidden="1">
      <c r="A414" s="7">
        <v>413</v>
      </c>
      <c r="B414" t="s">
        <v>243</v>
      </c>
      <c r="C414" t="s">
        <v>244</v>
      </c>
      <c r="D414" s="7">
        <v>7134</v>
      </c>
      <c r="E414" t="s">
        <v>245</v>
      </c>
      <c r="F414" t="s">
        <v>246</v>
      </c>
      <c r="G414" t="s">
        <v>1606</v>
      </c>
      <c r="H414" t="s">
        <v>1603</v>
      </c>
      <c r="I414" s="7">
        <v>465</v>
      </c>
      <c r="J414" s="7">
        <v>67636</v>
      </c>
      <c r="K414" s="7">
        <v>10</v>
      </c>
      <c r="L414" t="s">
        <v>247</v>
      </c>
      <c r="M414" t="s">
        <v>261</v>
      </c>
      <c r="N414" s="7">
        <v>753172</v>
      </c>
      <c r="O414" t="s">
        <v>1607</v>
      </c>
      <c r="P414" t="s">
        <v>1608</v>
      </c>
      <c r="S414" t="s">
        <v>1600</v>
      </c>
      <c r="T414" t="s">
        <v>1601</v>
      </c>
      <c r="U414" t="s">
        <v>1602</v>
      </c>
      <c r="V414" s="8">
        <v>0</v>
      </c>
      <c r="W414" s="7">
        <v>588346</v>
      </c>
      <c r="X414" t="s">
        <v>418</v>
      </c>
      <c r="Y414" s="8">
        <v>0</v>
      </c>
      <c r="Z414" s="8">
        <v>0</v>
      </c>
      <c r="AA414" s="8">
        <v>0</v>
      </c>
      <c r="AB414" s="7">
        <v>111813</v>
      </c>
      <c r="AC414" t="s">
        <v>418</v>
      </c>
      <c r="AD414" s="8">
        <v>0</v>
      </c>
      <c r="AG414" t="s">
        <v>801</v>
      </c>
      <c r="AH414" t="s">
        <v>802</v>
      </c>
      <c r="AI414" t="s">
        <v>803</v>
      </c>
    </row>
    <row r="415" spans="1:35" hidden="1">
      <c r="A415" s="7">
        <v>414</v>
      </c>
      <c r="B415" t="s">
        <v>243</v>
      </c>
      <c r="C415" t="s">
        <v>244</v>
      </c>
      <c r="D415" s="7">
        <v>7134</v>
      </c>
      <c r="E415" t="s">
        <v>245</v>
      </c>
      <c r="F415" t="s">
        <v>246</v>
      </c>
      <c r="G415" t="s">
        <v>1622</v>
      </c>
      <c r="H415" t="s">
        <v>1623</v>
      </c>
      <c r="I415" s="7">
        <v>1165</v>
      </c>
      <c r="J415" s="7">
        <v>29020</v>
      </c>
      <c r="K415" s="7">
        <v>7</v>
      </c>
      <c r="L415" t="s">
        <v>247</v>
      </c>
      <c r="M415" t="s">
        <v>261</v>
      </c>
      <c r="N415" s="7">
        <v>765105</v>
      </c>
      <c r="O415" t="s">
        <v>1624</v>
      </c>
      <c r="P415" t="s">
        <v>1625</v>
      </c>
      <c r="S415" t="s">
        <v>1600</v>
      </c>
      <c r="T415" t="s">
        <v>1601</v>
      </c>
      <c r="U415" t="s">
        <v>1602</v>
      </c>
      <c r="V415" s="8">
        <v>0</v>
      </c>
      <c r="W415" s="7">
        <v>588346</v>
      </c>
      <c r="X415" t="s">
        <v>418</v>
      </c>
      <c r="Y415" s="8">
        <v>0</v>
      </c>
      <c r="Z415" s="8">
        <v>0</v>
      </c>
      <c r="AA415" s="8">
        <v>0</v>
      </c>
      <c r="AB415" s="7">
        <v>111813</v>
      </c>
      <c r="AC415" t="s">
        <v>418</v>
      </c>
      <c r="AD415" s="8">
        <v>0</v>
      </c>
      <c r="AG415" t="s">
        <v>801</v>
      </c>
      <c r="AH415" t="s">
        <v>802</v>
      </c>
      <c r="AI415" t="s">
        <v>803</v>
      </c>
    </row>
    <row r="416" spans="1:35" hidden="1">
      <c r="A416" s="7">
        <v>415</v>
      </c>
      <c r="B416" t="s">
        <v>243</v>
      </c>
      <c r="C416" t="s">
        <v>244</v>
      </c>
      <c r="D416" s="7">
        <v>7134</v>
      </c>
      <c r="E416" t="s">
        <v>245</v>
      </c>
      <c r="F416" t="s">
        <v>246</v>
      </c>
      <c r="G416" t="s">
        <v>1645</v>
      </c>
      <c r="H416" t="s">
        <v>1603</v>
      </c>
      <c r="I416" s="7">
        <v>986</v>
      </c>
      <c r="J416" s="7">
        <v>45000</v>
      </c>
      <c r="K416" s="7">
        <v>7</v>
      </c>
      <c r="L416" t="s">
        <v>247</v>
      </c>
      <c r="M416" t="s">
        <v>261</v>
      </c>
      <c r="N416" s="7">
        <v>762377</v>
      </c>
      <c r="O416" t="s">
        <v>1646</v>
      </c>
      <c r="P416" t="s">
        <v>1647</v>
      </c>
      <c r="Q416" t="s">
        <v>870</v>
      </c>
      <c r="R416" t="s">
        <v>871</v>
      </c>
      <c r="S416" t="s">
        <v>1600</v>
      </c>
      <c r="T416" t="s">
        <v>1601</v>
      </c>
      <c r="U416" t="s">
        <v>1602</v>
      </c>
      <c r="V416" s="8">
        <v>0</v>
      </c>
      <c r="W416" s="7">
        <v>588346</v>
      </c>
      <c r="X416" t="s">
        <v>418</v>
      </c>
      <c r="Y416" s="8">
        <v>0</v>
      </c>
      <c r="Z416" s="8">
        <v>0</v>
      </c>
      <c r="AA416" s="8">
        <v>0</v>
      </c>
      <c r="AB416" s="7">
        <v>111813</v>
      </c>
      <c r="AC416" t="s">
        <v>418</v>
      </c>
      <c r="AD416" s="8">
        <v>0</v>
      </c>
      <c r="AG416" t="s">
        <v>801</v>
      </c>
      <c r="AH416" t="s">
        <v>802</v>
      </c>
      <c r="AI416" t="s">
        <v>803</v>
      </c>
    </row>
    <row r="417" spans="1:35" hidden="1">
      <c r="A417" s="7">
        <v>416</v>
      </c>
      <c r="B417" t="s">
        <v>243</v>
      </c>
      <c r="C417" t="s">
        <v>244</v>
      </c>
      <c r="D417" s="7">
        <v>7134</v>
      </c>
      <c r="E417" t="s">
        <v>245</v>
      </c>
      <c r="F417" t="s">
        <v>246</v>
      </c>
      <c r="G417" t="s">
        <v>1762</v>
      </c>
      <c r="H417" t="s">
        <v>1597</v>
      </c>
      <c r="I417" s="7">
        <v>1165</v>
      </c>
      <c r="J417" s="7">
        <v>6847</v>
      </c>
      <c r="K417" s="7">
        <v>2</v>
      </c>
      <c r="L417" t="s">
        <v>247</v>
      </c>
      <c r="M417" t="s">
        <v>261</v>
      </c>
      <c r="N417" s="7">
        <v>781802</v>
      </c>
      <c r="O417" t="s">
        <v>1763</v>
      </c>
      <c r="P417" t="s">
        <v>1764</v>
      </c>
      <c r="S417" t="s">
        <v>1600</v>
      </c>
      <c r="T417" t="s">
        <v>1601</v>
      </c>
      <c r="U417" t="s">
        <v>1602</v>
      </c>
      <c r="V417" s="8">
        <v>1250</v>
      </c>
      <c r="W417" s="7">
        <v>588346</v>
      </c>
      <c r="X417" t="s">
        <v>418</v>
      </c>
      <c r="Y417" s="8">
        <v>1250</v>
      </c>
      <c r="Z417" s="8">
        <v>1475</v>
      </c>
      <c r="AA417" s="8">
        <v>225</v>
      </c>
      <c r="AB417" s="7">
        <v>111813</v>
      </c>
      <c r="AC417" t="s">
        <v>418</v>
      </c>
      <c r="AD417" s="8">
        <v>0</v>
      </c>
      <c r="AG417" t="s">
        <v>817</v>
      </c>
      <c r="AH417" t="s">
        <v>802</v>
      </c>
      <c r="AI417" t="s">
        <v>818</v>
      </c>
    </row>
    <row r="418" spans="1:35" hidden="1">
      <c r="A418" s="7">
        <v>417</v>
      </c>
      <c r="B418" t="s">
        <v>243</v>
      </c>
      <c r="C418" t="s">
        <v>244</v>
      </c>
      <c r="D418" s="7">
        <v>7134</v>
      </c>
      <c r="E418" t="s">
        <v>245</v>
      </c>
      <c r="F418" t="s">
        <v>246</v>
      </c>
      <c r="G418" t="s">
        <v>1765</v>
      </c>
      <c r="H418" t="s">
        <v>1623</v>
      </c>
      <c r="I418" s="7">
        <v>1165</v>
      </c>
      <c r="J418" s="7">
        <v>29846</v>
      </c>
      <c r="K418" s="7">
        <v>4</v>
      </c>
      <c r="L418" t="s">
        <v>247</v>
      </c>
      <c r="M418" t="s">
        <v>261</v>
      </c>
      <c r="N418" s="7">
        <v>787473</v>
      </c>
      <c r="O418" t="s">
        <v>1766</v>
      </c>
      <c r="P418" t="s">
        <v>1767</v>
      </c>
      <c r="S418" t="s">
        <v>1600</v>
      </c>
      <c r="T418" t="s">
        <v>1601</v>
      </c>
      <c r="U418" t="s">
        <v>1602</v>
      </c>
      <c r="V418" s="8">
        <v>0</v>
      </c>
      <c r="W418" s="7">
        <v>588346</v>
      </c>
      <c r="X418" t="s">
        <v>418</v>
      </c>
      <c r="Y418" s="8">
        <v>0</v>
      </c>
      <c r="Z418" s="8">
        <v>0</v>
      </c>
      <c r="AA418" s="8">
        <v>0</v>
      </c>
      <c r="AB418" s="7">
        <v>111813</v>
      </c>
      <c r="AC418" t="s">
        <v>418</v>
      </c>
      <c r="AD418" s="8">
        <v>0</v>
      </c>
      <c r="AG418" t="s">
        <v>801</v>
      </c>
      <c r="AH418" t="s">
        <v>802</v>
      </c>
      <c r="AI418" t="s">
        <v>803</v>
      </c>
    </row>
    <row r="419" spans="1:35" hidden="1">
      <c r="A419" s="7">
        <v>418</v>
      </c>
      <c r="B419" t="s">
        <v>243</v>
      </c>
      <c r="C419" t="s">
        <v>244</v>
      </c>
      <c r="D419" s="7">
        <v>7134</v>
      </c>
      <c r="E419" t="s">
        <v>245</v>
      </c>
      <c r="F419" t="s">
        <v>246</v>
      </c>
      <c r="G419" t="s">
        <v>1632</v>
      </c>
      <c r="H419" t="s">
        <v>1615</v>
      </c>
      <c r="I419" s="7">
        <v>876</v>
      </c>
      <c r="J419" s="7">
        <v>24559</v>
      </c>
      <c r="K419" s="7">
        <v>3</v>
      </c>
      <c r="L419" t="s">
        <v>247</v>
      </c>
      <c r="M419" t="s">
        <v>261</v>
      </c>
      <c r="N419" s="7">
        <v>791850</v>
      </c>
      <c r="O419" t="s">
        <v>1633</v>
      </c>
      <c r="P419" t="s">
        <v>1634</v>
      </c>
      <c r="S419" t="s">
        <v>1600</v>
      </c>
      <c r="T419" t="s">
        <v>1601</v>
      </c>
      <c r="U419" t="s">
        <v>1602</v>
      </c>
      <c r="V419" s="8">
        <v>1250</v>
      </c>
      <c r="W419" s="7">
        <v>588346</v>
      </c>
      <c r="X419" t="s">
        <v>418</v>
      </c>
      <c r="Y419" s="8">
        <v>1250</v>
      </c>
      <c r="Z419" s="8">
        <v>1475</v>
      </c>
      <c r="AA419" s="8">
        <v>225</v>
      </c>
      <c r="AB419" s="7">
        <v>111813</v>
      </c>
      <c r="AC419" t="s">
        <v>418</v>
      </c>
      <c r="AD419" s="8">
        <v>0</v>
      </c>
      <c r="AG419" t="s">
        <v>801</v>
      </c>
      <c r="AH419" t="s">
        <v>802</v>
      </c>
      <c r="AI419" t="s">
        <v>818</v>
      </c>
    </row>
    <row r="420" spans="1:35" hidden="1">
      <c r="A420" s="7">
        <v>419</v>
      </c>
      <c r="B420" t="s">
        <v>243</v>
      </c>
      <c r="C420" t="s">
        <v>244</v>
      </c>
      <c r="D420" s="7">
        <v>7134</v>
      </c>
      <c r="E420" t="s">
        <v>245</v>
      </c>
      <c r="F420" t="s">
        <v>246</v>
      </c>
      <c r="G420" t="s">
        <v>914</v>
      </c>
      <c r="H420" t="s">
        <v>516</v>
      </c>
      <c r="I420" s="7">
        <v>1165</v>
      </c>
      <c r="J420" s="7">
        <v>7399</v>
      </c>
      <c r="K420" s="7">
        <v>1</v>
      </c>
      <c r="L420" t="s">
        <v>247</v>
      </c>
      <c r="M420" t="s">
        <v>267</v>
      </c>
      <c r="N420" s="7">
        <v>789054</v>
      </c>
      <c r="O420" t="s">
        <v>1768</v>
      </c>
      <c r="P420" t="s">
        <v>1769</v>
      </c>
      <c r="S420" t="s">
        <v>1600</v>
      </c>
      <c r="T420" t="s">
        <v>1601</v>
      </c>
      <c r="U420" t="s">
        <v>1602</v>
      </c>
      <c r="V420" s="8">
        <v>1250</v>
      </c>
      <c r="W420" s="7">
        <v>588346</v>
      </c>
      <c r="X420" t="s">
        <v>418</v>
      </c>
      <c r="Y420" s="8">
        <v>1250</v>
      </c>
      <c r="Z420" s="8">
        <v>1475</v>
      </c>
      <c r="AA420" s="8">
        <v>225</v>
      </c>
      <c r="AB420" s="7">
        <v>111813</v>
      </c>
      <c r="AC420" t="s">
        <v>418</v>
      </c>
      <c r="AD420" s="8">
        <v>0</v>
      </c>
      <c r="AG420" t="s">
        <v>828</v>
      </c>
      <c r="AH420" t="s">
        <v>802</v>
      </c>
      <c r="AI420" t="s">
        <v>818</v>
      </c>
    </row>
    <row r="421" spans="1:35" hidden="1">
      <c r="A421" s="7">
        <v>420</v>
      </c>
      <c r="B421" t="s">
        <v>243</v>
      </c>
      <c r="C421" t="s">
        <v>244</v>
      </c>
      <c r="D421" s="7">
        <v>7134</v>
      </c>
      <c r="E421" t="s">
        <v>245</v>
      </c>
      <c r="F421" t="s">
        <v>246</v>
      </c>
      <c r="G421" t="s">
        <v>1004</v>
      </c>
      <c r="H421" t="s">
        <v>255</v>
      </c>
      <c r="I421" s="7">
        <v>1165</v>
      </c>
      <c r="J421" s="7">
        <v>19920</v>
      </c>
      <c r="K421" s="7">
        <v>2</v>
      </c>
      <c r="L421" t="s">
        <v>247</v>
      </c>
      <c r="M421" t="s">
        <v>361</v>
      </c>
      <c r="N421" s="7">
        <v>5607</v>
      </c>
      <c r="O421" t="s">
        <v>1351</v>
      </c>
      <c r="P421" t="s">
        <v>1352</v>
      </c>
      <c r="S421" t="s">
        <v>1600</v>
      </c>
      <c r="T421" t="s">
        <v>1601</v>
      </c>
      <c r="U421" t="s">
        <v>1602</v>
      </c>
      <c r="V421" s="8">
        <v>0</v>
      </c>
      <c r="W421" s="7">
        <v>588346</v>
      </c>
      <c r="X421" t="s">
        <v>418</v>
      </c>
      <c r="Y421" s="8">
        <v>0</v>
      </c>
      <c r="Z421" s="8">
        <v>0</v>
      </c>
      <c r="AA421" s="8">
        <v>0</v>
      </c>
      <c r="AB421" s="7">
        <v>111813</v>
      </c>
      <c r="AC421" t="s">
        <v>418</v>
      </c>
      <c r="AD421" s="8">
        <v>0</v>
      </c>
      <c r="AG421" t="s">
        <v>823</v>
      </c>
      <c r="AH421" t="s">
        <v>802</v>
      </c>
      <c r="AI421" t="s">
        <v>803</v>
      </c>
    </row>
    <row r="422" spans="1:35" hidden="1">
      <c r="A422" s="7">
        <v>421</v>
      </c>
      <c r="B422" t="s">
        <v>243</v>
      </c>
      <c r="C422" t="s">
        <v>244</v>
      </c>
      <c r="D422" s="7">
        <v>7134</v>
      </c>
      <c r="E422" t="s">
        <v>245</v>
      </c>
      <c r="F422" t="s">
        <v>246</v>
      </c>
      <c r="G422" t="s">
        <v>333</v>
      </c>
      <c r="H422" t="s">
        <v>1623</v>
      </c>
      <c r="I422" s="7">
        <v>1165</v>
      </c>
      <c r="J422" s="7">
        <v>9060</v>
      </c>
      <c r="K422" s="7">
        <v>1</v>
      </c>
      <c r="L422" t="s">
        <v>247</v>
      </c>
      <c r="M422" t="s">
        <v>267</v>
      </c>
      <c r="N422" s="7">
        <v>789361</v>
      </c>
      <c r="O422" t="s">
        <v>485</v>
      </c>
      <c r="P422" t="s">
        <v>486</v>
      </c>
      <c r="S422" t="s">
        <v>1600</v>
      </c>
      <c r="T422" t="s">
        <v>1601</v>
      </c>
      <c r="U422" t="s">
        <v>1602</v>
      </c>
      <c r="V422" s="8">
        <v>1250</v>
      </c>
      <c r="W422" s="7">
        <v>588346</v>
      </c>
      <c r="X422" t="s">
        <v>418</v>
      </c>
      <c r="Y422" s="8">
        <v>1250</v>
      </c>
      <c r="Z422" s="8">
        <v>1475</v>
      </c>
      <c r="AA422" s="8">
        <v>225</v>
      </c>
      <c r="AB422" s="7">
        <v>111813</v>
      </c>
      <c r="AC422" t="s">
        <v>418</v>
      </c>
      <c r="AD422" s="8">
        <v>0</v>
      </c>
      <c r="AG422" t="s">
        <v>828</v>
      </c>
      <c r="AH422" t="s">
        <v>802</v>
      </c>
      <c r="AI422" t="s">
        <v>818</v>
      </c>
    </row>
    <row r="423" spans="1:35" hidden="1">
      <c r="A423" s="7">
        <v>422</v>
      </c>
      <c r="B423" t="s">
        <v>243</v>
      </c>
      <c r="C423" t="s">
        <v>244</v>
      </c>
      <c r="D423" s="7">
        <v>7134</v>
      </c>
      <c r="E423" t="s">
        <v>245</v>
      </c>
      <c r="F423" t="s">
        <v>246</v>
      </c>
      <c r="G423" t="s">
        <v>1453</v>
      </c>
      <c r="H423" t="s">
        <v>1603</v>
      </c>
      <c r="I423" s="7">
        <v>1165</v>
      </c>
      <c r="J423" s="7">
        <v>20000</v>
      </c>
      <c r="K423" s="7">
        <v>2</v>
      </c>
      <c r="L423" t="s">
        <v>247</v>
      </c>
      <c r="M423" t="s">
        <v>267</v>
      </c>
      <c r="N423" s="7">
        <v>789589</v>
      </c>
      <c r="O423" t="s">
        <v>1454</v>
      </c>
      <c r="P423" t="s">
        <v>1455</v>
      </c>
      <c r="S423" t="s">
        <v>1600</v>
      </c>
      <c r="T423" t="s">
        <v>1601</v>
      </c>
      <c r="U423" t="s">
        <v>1602</v>
      </c>
      <c r="V423" s="8">
        <v>0</v>
      </c>
      <c r="W423" s="7">
        <v>588346</v>
      </c>
      <c r="X423" t="s">
        <v>418</v>
      </c>
      <c r="Y423" s="8">
        <v>0</v>
      </c>
      <c r="Z423" s="8">
        <v>0</v>
      </c>
      <c r="AA423" s="8">
        <v>0</v>
      </c>
      <c r="AB423" s="7">
        <v>111813</v>
      </c>
      <c r="AC423" t="s">
        <v>418</v>
      </c>
      <c r="AD423" s="8">
        <v>0</v>
      </c>
      <c r="AG423" t="s">
        <v>828</v>
      </c>
      <c r="AH423" t="s">
        <v>802</v>
      </c>
      <c r="AI423" t="s">
        <v>803</v>
      </c>
    </row>
    <row r="424" spans="1:35" hidden="1">
      <c r="A424" s="7">
        <v>423</v>
      </c>
      <c r="B424" t="s">
        <v>243</v>
      </c>
      <c r="C424" t="s">
        <v>244</v>
      </c>
      <c r="D424" s="7">
        <v>7134</v>
      </c>
      <c r="E424" t="s">
        <v>245</v>
      </c>
      <c r="F424" t="s">
        <v>246</v>
      </c>
      <c r="G424" t="s">
        <v>898</v>
      </c>
      <c r="H424" t="s">
        <v>501</v>
      </c>
      <c r="I424" s="7">
        <v>1165</v>
      </c>
      <c r="J424" s="7">
        <v>37668</v>
      </c>
      <c r="K424" s="7">
        <v>4</v>
      </c>
      <c r="L424" t="s">
        <v>247</v>
      </c>
      <c r="M424" t="s">
        <v>361</v>
      </c>
      <c r="N424" s="7">
        <v>5355</v>
      </c>
      <c r="O424" t="s">
        <v>1213</v>
      </c>
      <c r="P424" t="s">
        <v>1214</v>
      </c>
      <c r="S424" t="s">
        <v>1600</v>
      </c>
      <c r="T424" t="s">
        <v>1601</v>
      </c>
      <c r="U424" t="s">
        <v>1602</v>
      </c>
      <c r="V424" s="8">
        <v>0</v>
      </c>
      <c r="W424" s="7">
        <v>588346</v>
      </c>
      <c r="X424" t="s">
        <v>418</v>
      </c>
      <c r="Y424" s="8">
        <v>0</v>
      </c>
      <c r="Z424" s="8">
        <v>0</v>
      </c>
      <c r="AA424" s="8">
        <v>0</v>
      </c>
      <c r="AB424" s="7">
        <v>111813</v>
      </c>
      <c r="AC424" t="s">
        <v>418</v>
      </c>
      <c r="AD424" s="8">
        <v>0</v>
      </c>
      <c r="AG424" t="s">
        <v>823</v>
      </c>
      <c r="AH424" t="s">
        <v>802</v>
      </c>
      <c r="AI424" t="s">
        <v>803</v>
      </c>
    </row>
    <row r="425" spans="1:35" hidden="1">
      <c r="A425" s="7">
        <v>424</v>
      </c>
      <c r="B425" t="s">
        <v>243</v>
      </c>
      <c r="C425" t="s">
        <v>244</v>
      </c>
      <c r="D425" s="7">
        <v>7134</v>
      </c>
      <c r="E425" t="s">
        <v>245</v>
      </c>
      <c r="F425" t="s">
        <v>246</v>
      </c>
      <c r="G425" t="s">
        <v>888</v>
      </c>
      <c r="H425" t="s">
        <v>571</v>
      </c>
      <c r="I425" s="7">
        <v>1165</v>
      </c>
      <c r="J425" s="7">
        <v>70000</v>
      </c>
      <c r="K425" s="7">
        <v>7</v>
      </c>
      <c r="L425" t="s">
        <v>247</v>
      </c>
      <c r="M425" t="s">
        <v>267</v>
      </c>
      <c r="N425" s="7">
        <v>776289</v>
      </c>
      <c r="O425" t="s">
        <v>1784</v>
      </c>
      <c r="P425" t="s">
        <v>1785</v>
      </c>
      <c r="S425" t="s">
        <v>1600</v>
      </c>
      <c r="T425" t="s">
        <v>1601</v>
      </c>
      <c r="U425" t="s">
        <v>1602</v>
      </c>
      <c r="V425" s="8">
        <v>0</v>
      </c>
      <c r="W425" s="7">
        <v>588346</v>
      </c>
      <c r="X425" t="s">
        <v>418</v>
      </c>
      <c r="Y425" s="8">
        <v>0</v>
      </c>
      <c r="Z425" s="8">
        <v>0</v>
      </c>
      <c r="AA425" s="8">
        <v>0</v>
      </c>
      <c r="AB425" s="7">
        <v>111813</v>
      </c>
      <c r="AC425" t="s">
        <v>418</v>
      </c>
      <c r="AD425" s="8">
        <v>0</v>
      </c>
      <c r="AG425" t="s">
        <v>828</v>
      </c>
      <c r="AH425" t="s">
        <v>802</v>
      </c>
      <c r="AI425" t="s">
        <v>803</v>
      </c>
    </row>
    <row r="426" spans="1:35" hidden="1">
      <c r="A426" s="7">
        <v>425</v>
      </c>
      <c r="B426" t="s">
        <v>243</v>
      </c>
      <c r="C426" t="s">
        <v>244</v>
      </c>
      <c r="D426" s="7">
        <v>7134</v>
      </c>
      <c r="E426" t="s">
        <v>245</v>
      </c>
      <c r="F426" t="s">
        <v>246</v>
      </c>
      <c r="G426" t="s">
        <v>1711</v>
      </c>
      <c r="H426" t="s">
        <v>531</v>
      </c>
      <c r="I426" s="7">
        <v>1165</v>
      </c>
      <c r="J426" s="7">
        <v>6787</v>
      </c>
      <c r="K426" s="7">
        <v>3</v>
      </c>
      <c r="L426" t="s">
        <v>247</v>
      </c>
      <c r="M426" t="s">
        <v>252</v>
      </c>
      <c r="N426" s="7">
        <v>322813</v>
      </c>
      <c r="O426" t="s">
        <v>1712</v>
      </c>
      <c r="P426" t="s">
        <v>1713</v>
      </c>
      <c r="S426" t="s">
        <v>1600</v>
      </c>
      <c r="T426" t="s">
        <v>1601</v>
      </c>
      <c r="U426" t="s">
        <v>1602</v>
      </c>
      <c r="V426" s="8">
        <v>1250</v>
      </c>
      <c r="W426" s="7">
        <v>588346</v>
      </c>
      <c r="X426" t="s">
        <v>418</v>
      </c>
      <c r="Y426" s="8">
        <v>1250</v>
      </c>
      <c r="Z426" s="8">
        <v>1475</v>
      </c>
      <c r="AA426" s="8">
        <v>225</v>
      </c>
      <c r="AB426" s="7">
        <v>111813</v>
      </c>
      <c r="AC426" t="s">
        <v>418</v>
      </c>
      <c r="AD426" s="8">
        <v>0</v>
      </c>
      <c r="AG426" t="s">
        <v>937</v>
      </c>
      <c r="AH426" t="s">
        <v>802</v>
      </c>
      <c r="AI426" t="s">
        <v>818</v>
      </c>
    </row>
    <row r="427" spans="1:35" hidden="1">
      <c r="A427" s="7">
        <v>426</v>
      </c>
      <c r="B427" t="s">
        <v>243</v>
      </c>
      <c r="C427" t="s">
        <v>244</v>
      </c>
      <c r="D427" s="7">
        <v>7134</v>
      </c>
      <c r="E427" t="s">
        <v>245</v>
      </c>
      <c r="F427" t="s">
        <v>246</v>
      </c>
      <c r="G427" t="s">
        <v>1159</v>
      </c>
      <c r="H427" t="s">
        <v>501</v>
      </c>
      <c r="I427" s="7">
        <v>1165</v>
      </c>
      <c r="J427" s="7">
        <v>49923</v>
      </c>
      <c r="K427" s="7">
        <v>5</v>
      </c>
      <c r="L427" t="s">
        <v>247</v>
      </c>
      <c r="M427" t="s">
        <v>261</v>
      </c>
      <c r="N427" s="7">
        <v>774647</v>
      </c>
      <c r="O427" t="s">
        <v>1160</v>
      </c>
      <c r="P427" t="s">
        <v>1161</v>
      </c>
      <c r="S427" t="s">
        <v>1600</v>
      </c>
      <c r="T427" t="s">
        <v>1601</v>
      </c>
      <c r="U427" t="s">
        <v>1602</v>
      </c>
      <c r="V427" s="8">
        <v>1250</v>
      </c>
      <c r="W427" s="7">
        <v>588346</v>
      </c>
      <c r="X427" t="s">
        <v>418</v>
      </c>
      <c r="Y427" s="8">
        <v>1250</v>
      </c>
      <c r="Z427" s="8">
        <v>1475</v>
      </c>
      <c r="AA427" s="8">
        <v>225</v>
      </c>
      <c r="AB427" s="7">
        <v>111813</v>
      </c>
      <c r="AC427" t="s">
        <v>418</v>
      </c>
      <c r="AD427" s="8">
        <v>0</v>
      </c>
      <c r="AG427" t="s">
        <v>801</v>
      </c>
      <c r="AH427" t="s">
        <v>802</v>
      </c>
      <c r="AI427" t="s">
        <v>818</v>
      </c>
    </row>
    <row r="428" spans="1:35" hidden="1">
      <c r="A428" s="7">
        <v>427</v>
      </c>
      <c r="B428" t="s">
        <v>243</v>
      </c>
      <c r="C428" t="s">
        <v>244</v>
      </c>
      <c r="D428" s="7">
        <v>7134</v>
      </c>
      <c r="E428" t="s">
        <v>245</v>
      </c>
      <c r="F428" t="s">
        <v>246</v>
      </c>
      <c r="G428" t="s">
        <v>1698</v>
      </c>
      <c r="H428" t="s">
        <v>1699</v>
      </c>
      <c r="I428" s="7">
        <v>1165</v>
      </c>
      <c r="J428" s="7">
        <v>29696</v>
      </c>
      <c r="K428" s="7">
        <v>4</v>
      </c>
      <c r="L428" t="s">
        <v>247</v>
      </c>
      <c r="M428" t="s">
        <v>261</v>
      </c>
      <c r="N428" s="7">
        <v>774645</v>
      </c>
      <c r="O428" t="s">
        <v>1700</v>
      </c>
      <c r="P428" t="s">
        <v>1701</v>
      </c>
      <c r="S428" t="s">
        <v>1600</v>
      </c>
      <c r="T428" t="s">
        <v>1601</v>
      </c>
      <c r="U428" t="s">
        <v>1602</v>
      </c>
      <c r="V428" s="8">
        <v>0</v>
      </c>
      <c r="W428" s="7">
        <v>588346</v>
      </c>
      <c r="X428" t="s">
        <v>418</v>
      </c>
      <c r="Y428" s="8">
        <v>0</v>
      </c>
      <c r="Z428" s="8">
        <v>0</v>
      </c>
      <c r="AA428" s="8">
        <v>0</v>
      </c>
      <c r="AB428" s="7">
        <v>111813</v>
      </c>
      <c r="AC428" t="s">
        <v>418</v>
      </c>
      <c r="AD428" s="8">
        <v>0</v>
      </c>
      <c r="AG428" t="s">
        <v>801</v>
      </c>
      <c r="AH428" t="s">
        <v>802</v>
      </c>
      <c r="AI428" t="s">
        <v>803</v>
      </c>
    </row>
    <row r="429" spans="1:35" hidden="1">
      <c r="A429" s="7">
        <v>428</v>
      </c>
      <c r="B429" t="s">
        <v>243</v>
      </c>
      <c r="C429" t="s">
        <v>244</v>
      </c>
      <c r="D429" s="7">
        <v>7134</v>
      </c>
      <c r="E429" t="s">
        <v>245</v>
      </c>
      <c r="F429" t="s">
        <v>246</v>
      </c>
      <c r="G429" t="s">
        <v>1063</v>
      </c>
      <c r="H429" t="s">
        <v>1623</v>
      </c>
      <c r="I429" s="7">
        <v>1165</v>
      </c>
      <c r="J429" s="7">
        <v>62029</v>
      </c>
      <c r="K429" s="7">
        <v>6</v>
      </c>
      <c r="L429" t="s">
        <v>247</v>
      </c>
      <c r="M429" t="s">
        <v>261</v>
      </c>
      <c r="N429" s="7">
        <v>773703</v>
      </c>
      <c r="O429" t="s">
        <v>1064</v>
      </c>
      <c r="P429" t="s">
        <v>1065</v>
      </c>
      <c r="Q429" t="s">
        <v>908</v>
      </c>
      <c r="R429" t="s">
        <v>909</v>
      </c>
      <c r="S429" t="s">
        <v>1600</v>
      </c>
      <c r="T429" t="s">
        <v>1601</v>
      </c>
      <c r="U429" t="s">
        <v>1602</v>
      </c>
      <c r="V429" s="8">
        <v>0</v>
      </c>
      <c r="W429" s="7">
        <v>588346</v>
      </c>
      <c r="X429" t="s">
        <v>418</v>
      </c>
      <c r="Y429" s="8">
        <v>0</v>
      </c>
      <c r="Z429" s="8">
        <v>0</v>
      </c>
      <c r="AA429" s="8">
        <v>0</v>
      </c>
      <c r="AB429" s="7">
        <v>111813</v>
      </c>
      <c r="AC429" t="s">
        <v>418</v>
      </c>
      <c r="AD429" s="8">
        <v>0</v>
      </c>
      <c r="AG429" t="s">
        <v>801</v>
      </c>
      <c r="AH429" t="s">
        <v>802</v>
      </c>
      <c r="AI429" t="s">
        <v>803</v>
      </c>
    </row>
    <row r="430" spans="1:35" hidden="1">
      <c r="A430" s="7">
        <v>429</v>
      </c>
      <c r="B430" t="s">
        <v>243</v>
      </c>
      <c r="C430" t="s">
        <v>244</v>
      </c>
      <c r="D430" s="7">
        <v>7134</v>
      </c>
      <c r="E430" t="s">
        <v>245</v>
      </c>
      <c r="F430" t="s">
        <v>246</v>
      </c>
      <c r="G430" t="s">
        <v>1218</v>
      </c>
      <c r="H430" t="s">
        <v>516</v>
      </c>
      <c r="I430" s="7">
        <v>1165</v>
      </c>
      <c r="J430" s="7">
        <v>107553</v>
      </c>
      <c r="K430" s="7">
        <v>13</v>
      </c>
      <c r="L430" t="s">
        <v>247</v>
      </c>
      <c r="M430" t="s">
        <v>261</v>
      </c>
      <c r="N430" s="7">
        <v>740747</v>
      </c>
      <c r="O430" t="s">
        <v>1716</v>
      </c>
      <c r="P430" t="s">
        <v>1717</v>
      </c>
      <c r="S430" t="s">
        <v>1600</v>
      </c>
      <c r="T430" t="s">
        <v>1601</v>
      </c>
      <c r="U430" t="s">
        <v>1602</v>
      </c>
      <c r="V430" s="8">
        <v>0</v>
      </c>
      <c r="W430" s="7">
        <v>588346</v>
      </c>
      <c r="X430" t="s">
        <v>418</v>
      </c>
      <c r="Y430" s="8">
        <v>0</v>
      </c>
      <c r="Z430" s="8">
        <v>0</v>
      </c>
      <c r="AA430" s="8">
        <v>0</v>
      </c>
      <c r="AB430" s="7">
        <v>111813</v>
      </c>
      <c r="AC430" t="s">
        <v>418</v>
      </c>
      <c r="AD430" s="8">
        <v>0</v>
      </c>
      <c r="AG430" t="s">
        <v>801</v>
      </c>
      <c r="AH430" t="s">
        <v>802</v>
      </c>
      <c r="AI430" t="s">
        <v>803</v>
      </c>
    </row>
    <row r="431" spans="1:35" hidden="1">
      <c r="A431" s="7">
        <v>430</v>
      </c>
      <c r="B431" t="s">
        <v>243</v>
      </c>
      <c r="C431" t="s">
        <v>244</v>
      </c>
      <c r="D431" s="7">
        <v>7134</v>
      </c>
      <c r="E431" t="s">
        <v>245</v>
      </c>
      <c r="F431" t="s">
        <v>246</v>
      </c>
      <c r="G431" t="s">
        <v>1059</v>
      </c>
      <c r="H431" t="s">
        <v>1619</v>
      </c>
      <c r="I431" s="7">
        <v>1165</v>
      </c>
      <c r="J431" s="7">
        <v>19900</v>
      </c>
      <c r="K431" s="7">
        <v>2</v>
      </c>
      <c r="L431" t="s">
        <v>247</v>
      </c>
      <c r="M431" t="s">
        <v>361</v>
      </c>
      <c r="N431" s="7">
        <v>4899</v>
      </c>
      <c r="O431" t="s">
        <v>1060</v>
      </c>
      <c r="P431" t="s">
        <v>1061</v>
      </c>
      <c r="S431" t="s">
        <v>1600</v>
      </c>
      <c r="T431" t="s">
        <v>1601</v>
      </c>
      <c r="U431" t="s">
        <v>1602</v>
      </c>
      <c r="V431" s="8">
        <v>0</v>
      </c>
      <c r="W431" s="7">
        <v>588346</v>
      </c>
      <c r="X431" t="s">
        <v>418</v>
      </c>
      <c r="Y431" s="8">
        <v>0</v>
      </c>
      <c r="Z431" s="8">
        <v>0</v>
      </c>
      <c r="AA431" s="8">
        <v>0</v>
      </c>
      <c r="AB431" s="7">
        <v>111813</v>
      </c>
      <c r="AC431" t="s">
        <v>418</v>
      </c>
      <c r="AD431" s="8">
        <v>0</v>
      </c>
      <c r="AG431" t="s">
        <v>823</v>
      </c>
      <c r="AH431" t="s">
        <v>802</v>
      </c>
      <c r="AI431" t="s">
        <v>803</v>
      </c>
    </row>
    <row r="432" spans="1:35" hidden="1">
      <c r="A432" s="7">
        <v>431</v>
      </c>
      <c r="B432" t="s">
        <v>243</v>
      </c>
      <c r="C432" t="s">
        <v>244</v>
      </c>
      <c r="D432" s="7">
        <v>7134</v>
      </c>
      <c r="E432" t="s">
        <v>245</v>
      </c>
      <c r="F432" t="s">
        <v>246</v>
      </c>
      <c r="G432" t="s">
        <v>1085</v>
      </c>
      <c r="H432" t="s">
        <v>1635</v>
      </c>
      <c r="I432" s="7">
        <v>1165</v>
      </c>
      <c r="J432" s="7">
        <v>20000</v>
      </c>
      <c r="K432" s="7">
        <v>3</v>
      </c>
      <c r="L432" t="s">
        <v>247</v>
      </c>
      <c r="M432" t="s">
        <v>361</v>
      </c>
      <c r="N432" s="7">
        <v>5352</v>
      </c>
      <c r="O432" t="s">
        <v>1229</v>
      </c>
      <c r="P432" t="s">
        <v>1230</v>
      </c>
      <c r="S432" t="s">
        <v>1600</v>
      </c>
      <c r="T432" t="s">
        <v>1601</v>
      </c>
      <c r="U432" t="s">
        <v>1602</v>
      </c>
      <c r="V432" s="8">
        <v>1650</v>
      </c>
      <c r="W432" s="7">
        <v>588346</v>
      </c>
      <c r="X432" t="s">
        <v>418</v>
      </c>
      <c r="Y432" s="8">
        <v>1650</v>
      </c>
      <c r="Z432" s="8">
        <v>1947</v>
      </c>
      <c r="AA432" s="8">
        <v>297</v>
      </c>
      <c r="AB432" s="7">
        <v>111813</v>
      </c>
      <c r="AC432" t="s">
        <v>418</v>
      </c>
      <c r="AD432" s="8">
        <v>0</v>
      </c>
      <c r="AG432" t="s">
        <v>823</v>
      </c>
      <c r="AH432" t="s">
        <v>802</v>
      </c>
      <c r="AI432" t="s">
        <v>818</v>
      </c>
    </row>
    <row r="433" spans="1:35" hidden="1">
      <c r="A433" s="7">
        <v>432</v>
      </c>
      <c r="B433" t="s">
        <v>243</v>
      </c>
      <c r="C433" t="s">
        <v>244</v>
      </c>
      <c r="D433" s="7">
        <v>7134</v>
      </c>
      <c r="E433" t="s">
        <v>245</v>
      </c>
      <c r="F433" t="s">
        <v>246</v>
      </c>
      <c r="G433" t="s">
        <v>1733</v>
      </c>
      <c r="H433" t="s">
        <v>1734</v>
      </c>
      <c r="I433" s="7">
        <v>1165</v>
      </c>
      <c r="J433" s="7">
        <v>36781</v>
      </c>
      <c r="K433" s="7">
        <v>4</v>
      </c>
      <c r="L433" t="s">
        <v>247</v>
      </c>
      <c r="M433" t="s">
        <v>261</v>
      </c>
      <c r="N433" s="7">
        <v>785385</v>
      </c>
      <c r="O433" t="s">
        <v>1735</v>
      </c>
      <c r="P433" t="s">
        <v>1736</v>
      </c>
      <c r="S433" t="s">
        <v>1600</v>
      </c>
      <c r="T433" t="s">
        <v>1601</v>
      </c>
      <c r="U433" t="s">
        <v>1602</v>
      </c>
      <c r="V433" s="8">
        <v>0</v>
      </c>
      <c r="W433" s="7">
        <v>588346</v>
      </c>
      <c r="X433" t="s">
        <v>418</v>
      </c>
      <c r="Y433" s="8">
        <v>0</v>
      </c>
      <c r="Z433" s="8">
        <v>0</v>
      </c>
      <c r="AA433" s="8">
        <v>0</v>
      </c>
      <c r="AB433" s="7">
        <v>111813</v>
      </c>
      <c r="AC433" t="s">
        <v>418</v>
      </c>
      <c r="AD433" s="8">
        <v>0</v>
      </c>
      <c r="AG433" t="s">
        <v>801</v>
      </c>
      <c r="AH433" t="s">
        <v>802</v>
      </c>
      <c r="AI433" t="s">
        <v>803</v>
      </c>
    </row>
    <row r="434" spans="1:35" hidden="1">
      <c r="A434" s="7">
        <v>433</v>
      </c>
      <c r="B434" t="s">
        <v>243</v>
      </c>
      <c r="C434" t="s">
        <v>244</v>
      </c>
      <c r="D434" s="7">
        <v>7134</v>
      </c>
      <c r="E434" t="s">
        <v>245</v>
      </c>
      <c r="F434" t="s">
        <v>246</v>
      </c>
      <c r="G434" t="s">
        <v>885</v>
      </c>
      <c r="H434" t="s">
        <v>1660</v>
      </c>
      <c r="I434" s="7">
        <v>1165</v>
      </c>
      <c r="J434" s="7">
        <v>4854</v>
      </c>
      <c r="K434" s="7">
        <v>1</v>
      </c>
      <c r="L434" t="s">
        <v>247</v>
      </c>
      <c r="M434" t="s">
        <v>261</v>
      </c>
      <c r="N434" s="7">
        <v>790132</v>
      </c>
      <c r="O434" t="s">
        <v>1760</v>
      </c>
      <c r="P434" t="s">
        <v>1761</v>
      </c>
      <c r="S434" t="s">
        <v>1600</v>
      </c>
      <c r="T434" t="s">
        <v>1601</v>
      </c>
      <c r="U434" t="s">
        <v>1602</v>
      </c>
      <c r="V434" s="8">
        <v>1250</v>
      </c>
      <c r="W434" s="7">
        <v>588346</v>
      </c>
      <c r="X434" t="s">
        <v>418</v>
      </c>
      <c r="Y434" s="8">
        <v>1250</v>
      </c>
      <c r="Z434" s="8">
        <v>1475</v>
      </c>
      <c r="AA434" s="8">
        <v>225</v>
      </c>
      <c r="AB434" s="7">
        <v>111813</v>
      </c>
      <c r="AC434" t="s">
        <v>418</v>
      </c>
      <c r="AD434" s="8">
        <v>0</v>
      </c>
      <c r="AG434" t="s">
        <v>801</v>
      </c>
      <c r="AH434" t="s">
        <v>802</v>
      </c>
      <c r="AI434" t="s">
        <v>818</v>
      </c>
    </row>
    <row r="435" spans="1:35" hidden="1">
      <c r="A435" s="7">
        <v>434</v>
      </c>
      <c r="B435" t="s">
        <v>243</v>
      </c>
      <c r="C435" t="s">
        <v>244</v>
      </c>
      <c r="D435" s="7">
        <v>7134</v>
      </c>
      <c r="E435" t="s">
        <v>245</v>
      </c>
      <c r="F435" t="s">
        <v>246</v>
      </c>
      <c r="G435" t="s">
        <v>1652</v>
      </c>
      <c r="H435" t="s">
        <v>543</v>
      </c>
      <c r="I435" s="7">
        <v>1165</v>
      </c>
      <c r="J435" s="7">
        <v>49135</v>
      </c>
      <c r="K435" s="7">
        <v>6</v>
      </c>
      <c r="L435" t="s">
        <v>247</v>
      </c>
      <c r="M435" t="s">
        <v>267</v>
      </c>
      <c r="N435" s="7">
        <v>736051</v>
      </c>
      <c r="O435" t="s">
        <v>1653</v>
      </c>
      <c r="P435" t="s">
        <v>1654</v>
      </c>
      <c r="S435" t="s">
        <v>1600</v>
      </c>
      <c r="T435" t="s">
        <v>1601</v>
      </c>
      <c r="U435" t="s">
        <v>1602</v>
      </c>
      <c r="V435" s="8">
        <v>0</v>
      </c>
      <c r="W435" s="7">
        <v>588346</v>
      </c>
      <c r="X435" t="s">
        <v>418</v>
      </c>
      <c r="Y435" s="8">
        <v>0</v>
      </c>
      <c r="Z435" s="8">
        <v>0</v>
      </c>
      <c r="AA435" s="8">
        <v>0</v>
      </c>
      <c r="AB435" s="7">
        <v>111813</v>
      </c>
      <c r="AC435" t="s">
        <v>418</v>
      </c>
      <c r="AD435" s="8">
        <v>0</v>
      </c>
      <c r="AG435" t="s">
        <v>828</v>
      </c>
      <c r="AH435" t="s">
        <v>802</v>
      </c>
      <c r="AI435" t="s">
        <v>803</v>
      </c>
    </row>
    <row r="436" spans="1:35" hidden="1">
      <c r="A436" s="7">
        <v>435</v>
      </c>
      <c r="B436" t="s">
        <v>243</v>
      </c>
      <c r="C436" t="s">
        <v>244</v>
      </c>
      <c r="D436" s="7">
        <v>7134</v>
      </c>
      <c r="E436" t="s">
        <v>245</v>
      </c>
      <c r="F436" t="s">
        <v>246</v>
      </c>
      <c r="G436" t="s">
        <v>1755</v>
      </c>
      <c r="H436" t="s">
        <v>1631</v>
      </c>
      <c r="I436" s="7">
        <v>1165</v>
      </c>
      <c r="J436" s="7">
        <v>22577</v>
      </c>
      <c r="K436" s="7">
        <v>10</v>
      </c>
      <c r="L436" t="s">
        <v>247</v>
      </c>
      <c r="M436" t="s">
        <v>261</v>
      </c>
      <c r="N436" s="7">
        <v>751020</v>
      </c>
      <c r="O436" t="s">
        <v>1756</v>
      </c>
      <c r="P436" t="s">
        <v>1757</v>
      </c>
      <c r="Q436" t="s">
        <v>870</v>
      </c>
      <c r="R436" t="s">
        <v>871</v>
      </c>
      <c r="S436" t="s">
        <v>1600</v>
      </c>
      <c r="T436" t="s">
        <v>1601</v>
      </c>
      <c r="U436" t="s">
        <v>1602</v>
      </c>
      <c r="V436" s="8">
        <v>0</v>
      </c>
      <c r="W436" s="7">
        <v>588346</v>
      </c>
      <c r="X436" t="s">
        <v>418</v>
      </c>
      <c r="Y436" s="8">
        <v>0</v>
      </c>
      <c r="Z436" s="8">
        <v>0</v>
      </c>
      <c r="AA436" s="8">
        <v>0</v>
      </c>
      <c r="AB436" s="7">
        <v>111813</v>
      </c>
      <c r="AC436" t="s">
        <v>418</v>
      </c>
      <c r="AD436" s="8">
        <v>0</v>
      </c>
      <c r="AG436" t="s">
        <v>801</v>
      </c>
      <c r="AH436" t="s">
        <v>802</v>
      </c>
      <c r="AI436" t="s">
        <v>803</v>
      </c>
    </row>
    <row r="437" spans="1:35" hidden="1">
      <c r="A437" s="7">
        <v>436</v>
      </c>
      <c r="B437" t="s">
        <v>243</v>
      </c>
      <c r="C437" t="s">
        <v>244</v>
      </c>
      <c r="D437" s="7">
        <v>7134</v>
      </c>
      <c r="E437" t="s">
        <v>245</v>
      </c>
      <c r="F437" t="s">
        <v>246</v>
      </c>
      <c r="G437" t="s">
        <v>1506</v>
      </c>
      <c r="H437" t="s">
        <v>512</v>
      </c>
      <c r="I437" s="7">
        <v>1165</v>
      </c>
      <c r="J437" s="7">
        <v>19345</v>
      </c>
      <c r="K437" s="7">
        <v>2</v>
      </c>
      <c r="L437" t="s">
        <v>247</v>
      </c>
      <c r="M437" t="s">
        <v>261</v>
      </c>
      <c r="N437" s="7">
        <v>1</v>
      </c>
      <c r="O437" t="s">
        <v>1758</v>
      </c>
      <c r="P437" t="s">
        <v>1759</v>
      </c>
      <c r="Q437" t="s">
        <v>870</v>
      </c>
      <c r="R437" t="s">
        <v>871</v>
      </c>
      <c r="S437" t="s">
        <v>1600</v>
      </c>
      <c r="T437" t="s">
        <v>1601</v>
      </c>
      <c r="U437" t="s">
        <v>1602</v>
      </c>
      <c r="V437" s="8">
        <v>1250</v>
      </c>
      <c r="W437" s="7">
        <v>588346</v>
      </c>
      <c r="X437" t="s">
        <v>418</v>
      </c>
      <c r="Y437" s="8">
        <v>1000</v>
      </c>
      <c r="Z437" s="8">
        <v>1475</v>
      </c>
      <c r="AA437" s="8">
        <v>225</v>
      </c>
      <c r="AB437" s="7">
        <v>111813</v>
      </c>
      <c r="AC437" t="s">
        <v>418</v>
      </c>
      <c r="AD437" s="8">
        <v>250</v>
      </c>
      <c r="AG437" t="s">
        <v>817</v>
      </c>
      <c r="AH437" t="s">
        <v>802</v>
      </c>
      <c r="AI437" t="s">
        <v>818</v>
      </c>
    </row>
    <row r="438" spans="1:35" hidden="1">
      <c r="A438" s="7">
        <v>437</v>
      </c>
      <c r="B438" t="s">
        <v>243</v>
      </c>
      <c r="C438" t="s">
        <v>244</v>
      </c>
      <c r="D438" s="7">
        <v>7134</v>
      </c>
      <c r="E438" t="s">
        <v>245</v>
      </c>
      <c r="F438" t="s">
        <v>246</v>
      </c>
      <c r="G438" t="s">
        <v>1113</v>
      </c>
      <c r="H438" t="s">
        <v>1597</v>
      </c>
      <c r="I438" s="7">
        <v>1165</v>
      </c>
      <c r="J438" s="7">
        <v>49800</v>
      </c>
      <c r="K438" s="7">
        <v>5</v>
      </c>
      <c r="L438" t="s">
        <v>247</v>
      </c>
      <c r="M438" t="s">
        <v>261</v>
      </c>
      <c r="N438" s="7">
        <v>775223</v>
      </c>
      <c r="O438" t="s">
        <v>1114</v>
      </c>
      <c r="P438" t="s">
        <v>1115</v>
      </c>
      <c r="S438" t="s">
        <v>1600</v>
      </c>
      <c r="T438" t="s">
        <v>1601</v>
      </c>
      <c r="U438" t="s">
        <v>1602</v>
      </c>
      <c r="V438" s="8">
        <v>1250</v>
      </c>
      <c r="W438" s="7">
        <v>588346</v>
      </c>
      <c r="X438" t="s">
        <v>418</v>
      </c>
      <c r="Y438" s="8">
        <v>1250</v>
      </c>
      <c r="Z438" s="8">
        <v>1475</v>
      </c>
      <c r="AA438" s="8">
        <v>225</v>
      </c>
      <c r="AB438" s="7">
        <v>111813</v>
      </c>
      <c r="AC438" t="s">
        <v>418</v>
      </c>
      <c r="AD438" s="8">
        <v>0</v>
      </c>
      <c r="AG438" t="s">
        <v>801</v>
      </c>
      <c r="AH438" t="s">
        <v>802</v>
      </c>
      <c r="AI438" t="s">
        <v>818</v>
      </c>
    </row>
    <row r="439" spans="1:35" hidden="1">
      <c r="A439" s="7">
        <v>438</v>
      </c>
      <c r="B439" t="s">
        <v>243</v>
      </c>
      <c r="C439" t="s">
        <v>244</v>
      </c>
      <c r="D439" s="7">
        <v>7134</v>
      </c>
      <c r="E439" t="s">
        <v>245</v>
      </c>
      <c r="F439" t="s">
        <v>246</v>
      </c>
      <c r="G439" t="s">
        <v>1044</v>
      </c>
      <c r="H439" t="s">
        <v>1603</v>
      </c>
      <c r="I439" s="7">
        <v>1165</v>
      </c>
      <c r="J439" s="7">
        <v>25537</v>
      </c>
      <c r="K439" s="7">
        <v>3</v>
      </c>
      <c r="L439" t="s">
        <v>247</v>
      </c>
      <c r="M439" t="s">
        <v>361</v>
      </c>
      <c r="N439" s="7">
        <v>4930</v>
      </c>
      <c r="O439" t="s">
        <v>1604</v>
      </c>
      <c r="P439" t="s">
        <v>1605</v>
      </c>
      <c r="S439" t="s">
        <v>1600</v>
      </c>
      <c r="T439" t="s">
        <v>1601</v>
      </c>
      <c r="U439" t="s">
        <v>1602</v>
      </c>
      <c r="V439" s="8">
        <v>1650</v>
      </c>
      <c r="W439" s="7">
        <v>588346</v>
      </c>
      <c r="X439" t="s">
        <v>418</v>
      </c>
      <c r="Y439" s="8">
        <v>1650</v>
      </c>
      <c r="Z439" s="8">
        <v>1947</v>
      </c>
      <c r="AA439" s="8">
        <v>297</v>
      </c>
      <c r="AB439" s="7">
        <v>111813</v>
      </c>
      <c r="AC439" t="s">
        <v>418</v>
      </c>
      <c r="AD439" s="8">
        <v>0</v>
      </c>
      <c r="AG439" t="s">
        <v>823</v>
      </c>
      <c r="AH439" t="s">
        <v>802</v>
      </c>
      <c r="AI439" t="s">
        <v>818</v>
      </c>
    </row>
    <row r="440" spans="1:35" hidden="1">
      <c r="A440" s="7">
        <v>439</v>
      </c>
      <c r="B440" t="s">
        <v>243</v>
      </c>
      <c r="C440" t="s">
        <v>244</v>
      </c>
      <c r="D440" s="7">
        <v>7134</v>
      </c>
      <c r="E440" t="s">
        <v>245</v>
      </c>
      <c r="F440" t="s">
        <v>246</v>
      </c>
      <c r="G440" t="s">
        <v>1085</v>
      </c>
      <c r="H440" t="s">
        <v>1699</v>
      </c>
      <c r="I440" s="7">
        <v>1165</v>
      </c>
      <c r="J440" s="7">
        <v>30000</v>
      </c>
      <c r="K440" s="7">
        <v>3</v>
      </c>
      <c r="L440" t="s">
        <v>247</v>
      </c>
      <c r="M440" t="s">
        <v>252</v>
      </c>
      <c r="N440" s="7">
        <v>324355</v>
      </c>
      <c r="O440" t="s">
        <v>1086</v>
      </c>
      <c r="P440" t="s">
        <v>1087</v>
      </c>
      <c r="S440" t="s">
        <v>1600</v>
      </c>
      <c r="T440" t="s">
        <v>1601</v>
      </c>
      <c r="U440" t="s">
        <v>1602</v>
      </c>
      <c r="V440" s="8">
        <v>1250</v>
      </c>
      <c r="W440" s="7">
        <v>588346</v>
      </c>
      <c r="X440" t="s">
        <v>418</v>
      </c>
      <c r="Y440" s="8">
        <v>1250</v>
      </c>
      <c r="Z440" s="8">
        <v>1475</v>
      </c>
      <c r="AA440" s="8">
        <v>225</v>
      </c>
      <c r="AB440" s="7">
        <v>111813</v>
      </c>
      <c r="AC440" t="s">
        <v>418</v>
      </c>
      <c r="AD440" s="8">
        <v>0</v>
      </c>
      <c r="AG440" t="s">
        <v>937</v>
      </c>
      <c r="AH440" t="s">
        <v>802</v>
      </c>
      <c r="AI440" t="s">
        <v>818</v>
      </c>
    </row>
    <row r="441" spans="1:35" hidden="1">
      <c r="A441" s="7">
        <v>440</v>
      </c>
      <c r="B441" t="s">
        <v>243</v>
      </c>
      <c r="C441" t="s">
        <v>244</v>
      </c>
      <c r="D441" s="7">
        <v>7134</v>
      </c>
      <c r="E441" t="s">
        <v>245</v>
      </c>
      <c r="F441" t="s">
        <v>246</v>
      </c>
      <c r="G441" t="s">
        <v>1137</v>
      </c>
      <c r="H441" t="s">
        <v>1597</v>
      </c>
      <c r="I441" s="7">
        <v>1165</v>
      </c>
      <c r="J441" s="7">
        <v>60000</v>
      </c>
      <c r="K441" s="7">
        <v>6</v>
      </c>
      <c r="L441" t="s">
        <v>247</v>
      </c>
      <c r="M441" t="s">
        <v>252</v>
      </c>
      <c r="N441" s="7">
        <v>322564</v>
      </c>
      <c r="O441" t="s">
        <v>1138</v>
      </c>
      <c r="P441" t="s">
        <v>1139</v>
      </c>
      <c r="S441" t="s">
        <v>1600</v>
      </c>
      <c r="T441" t="s">
        <v>1601</v>
      </c>
      <c r="U441" t="s">
        <v>1602</v>
      </c>
      <c r="V441" s="8">
        <v>0</v>
      </c>
      <c r="W441" s="7">
        <v>588346</v>
      </c>
      <c r="X441" t="s">
        <v>418</v>
      </c>
      <c r="Y441" s="8">
        <v>0</v>
      </c>
      <c r="Z441" s="8">
        <v>0</v>
      </c>
      <c r="AA441" s="8">
        <v>0</v>
      </c>
      <c r="AB441" s="7">
        <v>111813</v>
      </c>
      <c r="AC441" t="s">
        <v>418</v>
      </c>
      <c r="AD441" s="8">
        <v>0</v>
      </c>
      <c r="AG441" t="s">
        <v>937</v>
      </c>
      <c r="AH441" t="s">
        <v>802</v>
      </c>
      <c r="AI441" t="s">
        <v>803</v>
      </c>
    </row>
    <row r="442" spans="1:35" hidden="1">
      <c r="A442" s="7">
        <v>441</v>
      </c>
      <c r="B442" t="s">
        <v>243</v>
      </c>
      <c r="C442" t="s">
        <v>244</v>
      </c>
      <c r="D442" s="7">
        <v>7134</v>
      </c>
      <c r="E442" t="s">
        <v>245</v>
      </c>
      <c r="F442" t="s">
        <v>246</v>
      </c>
      <c r="G442" t="s">
        <v>1657</v>
      </c>
      <c r="H442" t="s">
        <v>512</v>
      </c>
      <c r="I442" s="7">
        <v>1165</v>
      </c>
      <c r="J442" s="7">
        <v>9333</v>
      </c>
      <c r="K442" s="7">
        <v>2</v>
      </c>
      <c r="L442" t="s">
        <v>247</v>
      </c>
      <c r="M442" t="s">
        <v>267</v>
      </c>
      <c r="N442" s="7">
        <v>768407</v>
      </c>
      <c r="O442" t="s">
        <v>1658</v>
      </c>
      <c r="P442" t="s">
        <v>1659</v>
      </c>
      <c r="S442" t="s">
        <v>1600</v>
      </c>
      <c r="T442" t="s">
        <v>1601</v>
      </c>
      <c r="U442" t="s">
        <v>1602</v>
      </c>
      <c r="V442" s="8">
        <v>1250</v>
      </c>
      <c r="W442" s="7">
        <v>588346</v>
      </c>
      <c r="X442" t="s">
        <v>418</v>
      </c>
      <c r="Y442" s="8">
        <v>1250</v>
      </c>
      <c r="Z442" s="8">
        <v>1475</v>
      </c>
      <c r="AA442" s="8">
        <v>225</v>
      </c>
      <c r="AB442" s="7">
        <v>111813</v>
      </c>
      <c r="AC442" t="s">
        <v>418</v>
      </c>
      <c r="AD442" s="8">
        <v>0</v>
      </c>
      <c r="AG442" t="s">
        <v>1124</v>
      </c>
      <c r="AH442" t="s">
        <v>802</v>
      </c>
      <c r="AI442" t="s">
        <v>818</v>
      </c>
    </row>
    <row r="443" spans="1:35" hidden="1">
      <c r="A443" s="7">
        <v>442</v>
      </c>
      <c r="B443" t="s">
        <v>243</v>
      </c>
      <c r="C443" t="s">
        <v>244</v>
      </c>
      <c r="D443" s="7">
        <v>7134</v>
      </c>
      <c r="E443" t="s">
        <v>245</v>
      </c>
      <c r="F443" t="s">
        <v>246</v>
      </c>
      <c r="G443" t="s">
        <v>948</v>
      </c>
      <c r="H443" t="s">
        <v>1660</v>
      </c>
      <c r="I443" s="7">
        <v>1165</v>
      </c>
      <c r="J443" s="7">
        <v>41547</v>
      </c>
      <c r="K443" s="7">
        <v>4</v>
      </c>
      <c r="L443" t="s">
        <v>247</v>
      </c>
      <c r="M443" t="s">
        <v>261</v>
      </c>
      <c r="N443" s="7">
        <v>774650</v>
      </c>
      <c r="O443" t="s">
        <v>949</v>
      </c>
      <c r="P443" t="s">
        <v>950</v>
      </c>
      <c r="Q443" t="s">
        <v>870</v>
      </c>
      <c r="R443" t="s">
        <v>871</v>
      </c>
      <c r="S443" t="s">
        <v>1600</v>
      </c>
      <c r="T443" t="s">
        <v>1601</v>
      </c>
      <c r="U443" t="s">
        <v>1602</v>
      </c>
      <c r="V443" s="8">
        <v>0</v>
      </c>
      <c r="W443" s="7">
        <v>588346</v>
      </c>
      <c r="X443" t="s">
        <v>418</v>
      </c>
      <c r="Y443" s="8">
        <v>0</v>
      </c>
      <c r="Z443" s="8">
        <v>0</v>
      </c>
      <c r="AA443" s="8">
        <v>0</v>
      </c>
      <c r="AB443" s="7">
        <v>111813</v>
      </c>
      <c r="AC443" t="s">
        <v>418</v>
      </c>
      <c r="AD443" s="8">
        <v>0</v>
      </c>
      <c r="AG443" t="s">
        <v>801</v>
      </c>
      <c r="AH443" t="s">
        <v>802</v>
      </c>
      <c r="AI443" t="s">
        <v>803</v>
      </c>
    </row>
    <row r="444" spans="1:35" hidden="1">
      <c r="A444" s="7">
        <v>443</v>
      </c>
      <c r="B444" t="s">
        <v>243</v>
      </c>
      <c r="C444" t="s">
        <v>244</v>
      </c>
      <c r="D444" s="7">
        <v>7134</v>
      </c>
      <c r="E444" t="s">
        <v>245</v>
      </c>
      <c r="F444" t="s">
        <v>246</v>
      </c>
      <c r="G444" t="s">
        <v>1404</v>
      </c>
      <c r="H444" t="s">
        <v>1661</v>
      </c>
      <c r="I444" s="7">
        <v>1165</v>
      </c>
      <c r="J444" s="7">
        <v>13364</v>
      </c>
      <c r="K444" s="7">
        <v>2</v>
      </c>
      <c r="L444" t="s">
        <v>247</v>
      </c>
      <c r="M444" t="s">
        <v>267</v>
      </c>
      <c r="N444" s="7">
        <v>768004</v>
      </c>
      <c r="O444" t="s">
        <v>1662</v>
      </c>
      <c r="P444" t="s">
        <v>1663</v>
      </c>
      <c r="Q444" t="s">
        <v>870</v>
      </c>
      <c r="R444" t="s">
        <v>871</v>
      </c>
      <c r="S444" t="s">
        <v>1600</v>
      </c>
      <c r="T444" t="s">
        <v>1601</v>
      </c>
      <c r="U444" t="s">
        <v>1602</v>
      </c>
      <c r="V444" s="8">
        <v>1250</v>
      </c>
      <c r="W444" s="7">
        <v>588346</v>
      </c>
      <c r="X444" t="s">
        <v>418</v>
      </c>
      <c r="Y444" s="8">
        <v>1000</v>
      </c>
      <c r="Z444" s="8">
        <v>1475</v>
      </c>
      <c r="AA444" s="8">
        <v>225</v>
      </c>
      <c r="AB444" s="7">
        <v>111813</v>
      </c>
      <c r="AC444" t="s">
        <v>418</v>
      </c>
      <c r="AD444" s="8">
        <v>250</v>
      </c>
      <c r="AG444" t="s">
        <v>1124</v>
      </c>
      <c r="AH444" t="s">
        <v>802</v>
      </c>
      <c r="AI444" t="s">
        <v>818</v>
      </c>
    </row>
    <row r="445" spans="1:35" hidden="1">
      <c r="A445" s="7">
        <v>444</v>
      </c>
      <c r="B445" t="s">
        <v>243</v>
      </c>
      <c r="C445" t="s">
        <v>244</v>
      </c>
      <c r="D445" s="7">
        <v>7134</v>
      </c>
      <c r="E445" t="s">
        <v>245</v>
      </c>
      <c r="F445" t="s">
        <v>246</v>
      </c>
      <c r="G445" t="s">
        <v>1153</v>
      </c>
      <c r="H445" t="s">
        <v>1603</v>
      </c>
      <c r="I445" s="7">
        <v>1165</v>
      </c>
      <c r="J445" s="7">
        <v>110000</v>
      </c>
      <c r="K445" s="7">
        <v>11</v>
      </c>
      <c r="L445" t="s">
        <v>247</v>
      </c>
      <c r="M445" t="s">
        <v>252</v>
      </c>
      <c r="N445" s="7">
        <v>320346</v>
      </c>
      <c r="O445" t="s">
        <v>1154</v>
      </c>
      <c r="P445" t="s">
        <v>1155</v>
      </c>
      <c r="S445" t="s">
        <v>1600</v>
      </c>
      <c r="T445" t="s">
        <v>1601</v>
      </c>
      <c r="U445" t="s">
        <v>1602</v>
      </c>
      <c r="V445" s="8">
        <v>1250</v>
      </c>
      <c r="W445" s="7">
        <v>588346</v>
      </c>
      <c r="X445" t="s">
        <v>418</v>
      </c>
      <c r="Y445" s="8">
        <v>1250</v>
      </c>
      <c r="Z445" s="8">
        <v>1475</v>
      </c>
      <c r="AA445" s="8">
        <v>225</v>
      </c>
      <c r="AB445" s="7">
        <v>111813</v>
      </c>
      <c r="AC445" t="s">
        <v>418</v>
      </c>
      <c r="AD445" s="8">
        <v>0</v>
      </c>
      <c r="AG445" t="s">
        <v>937</v>
      </c>
      <c r="AH445" t="s">
        <v>802</v>
      </c>
      <c r="AI445" t="s">
        <v>818</v>
      </c>
    </row>
    <row r="446" spans="1:35" hidden="1">
      <c r="A446" s="7">
        <v>445</v>
      </c>
      <c r="B446" t="s">
        <v>243</v>
      </c>
      <c r="C446" t="s">
        <v>244</v>
      </c>
      <c r="D446" s="7">
        <v>7134</v>
      </c>
      <c r="E446" t="s">
        <v>245</v>
      </c>
      <c r="F446" t="s">
        <v>246</v>
      </c>
      <c r="G446" t="s">
        <v>1609</v>
      </c>
      <c r="H446" t="s">
        <v>550</v>
      </c>
      <c r="I446" s="7">
        <v>1165</v>
      </c>
      <c r="J446" s="7">
        <v>42894</v>
      </c>
      <c r="K446" s="7">
        <v>9</v>
      </c>
      <c r="L446" t="s">
        <v>247</v>
      </c>
      <c r="M446" t="s">
        <v>252</v>
      </c>
      <c r="N446" s="7">
        <v>319116</v>
      </c>
      <c r="O446" t="s">
        <v>1610</v>
      </c>
      <c r="P446" t="s">
        <v>1611</v>
      </c>
      <c r="S446" t="s">
        <v>1600</v>
      </c>
      <c r="T446" t="s">
        <v>1601</v>
      </c>
      <c r="U446" t="s">
        <v>1602</v>
      </c>
      <c r="V446" s="8">
        <v>0</v>
      </c>
      <c r="W446" s="7">
        <v>588346</v>
      </c>
      <c r="X446" t="s">
        <v>418</v>
      </c>
      <c r="Y446" s="8">
        <v>0</v>
      </c>
      <c r="Z446" s="8">
        <v>0</v>
      </c>
      <c r="AA446" s="8">
        <v>0</v>
      </c>
      <c r="AB446" s="7">
        <v>111813</v>
      </c>
      <c r="AC446" t="s">
        <v>418</v>
      </c>
      <c r="AD446" s="8">
        <v>0</v>
      </c>
      <c r="AG446" t="s">
        <v>937</v>
      </c>
      <c r="AH446" t="s">
        <v>802</v>
      </c>
      <c r="AI446" t="s">
        <v>803</v>
      </c>
    </row>
    <row r="447" spans="1:35" hidden="1">
      <c r="A447" s="7">
        <v>446</v>
      </c>
      <c r="B447" t="s">
        <v>243</v>
      </c>
      <c r="C447" t="s">
        <v>244</v>
      </c>
      <c r="D447" s="7">
        <v>7134</v>
      </c>
      <c r="E447" t="s">
        <v>245</v>
      </c>
      <c r="F447" t="s">
        <v>246</v>
      </c>
      <c r="G447" t="s">
        <v>1645</v>
      </c>
      <c r="H447" t="s">
        <v>1672</v>
      </c>
      <c r="I447" s="7">
        <v>1165</v>
      </c>
      <c r="J447" s="7">
        <v>50120</v>
      </c>
      <c r="K447" s="7">
        <v>7</v>
      </c>
      <c r="L447" t="s">
        <v>247</v>
      </c>
      <c r="M447" t="s">
        <v>261</v>
      </c>
      <c r="N447" s="7">
        <v>762665</v>
      </c>
      <c r="O447" t="s">
        <v>1714</v>
      </c>
      <c r="P447" t="s">
        <v>1715</v>
      </c>
      <c r="Q447" t="s">
        <v>870</v>
      </c>
      <c r="R447" t="s">
        <v>871</v>
      </c>
      <c r="S447" t="s">
        <v>1600</v>
      </c>
      <c r="T447" t="s">
        <v>1601</v>
      </c>
      <c r="U447" t="s">
        <v>1602</v>
      </c>
      <c r="V447" s="8">
        <v>0</v>
      </c>
      <c r="W447" s="7">
        <v>588346</v>
      </c>
      <c r="X447" t="s">
        <v>418</v>
      </c>
      <c r="Y447" s="8">
        <v>0</v>
      </c>
      <c r="Z447" s="8">
        <v>0</v>
      </c>
      <c r="AA447" s="8">
        <v>0</v>
      </c>
      <c r="AB447" s="7">
        <v>111813</v>
      </c>
      <c r="AC447" t="s">
        <v>418</v>
      </c>
      <c r="AD447" s="8">
        <v>0</v>
      </c>
      <c r="AG447" t="s">
        <v>801</v>
      </c>
      <c r="AH447" t="s">
        <v>802</v>
      </c>
      <c r="AI447" t="s">
        <v>803</v>
      </c>
    </row>
    <row r="448" spans="1:35" hidden="1">
      <c r="A448" s="7">
        <v>447</v>
      </c>
      <c r="B448" t="s">
        <v>243</v>
      </c>
      <c r="C448" t="s">
        <v>244</v>
      </c>
      <c r="D448" s="7">
        <v>7134</v>
      </c>
      <c r="E448" t="s">
        <v>245</v>
      </c>
      <c r="F448" t="s">
        <v>246</v>
      </c>
      <c r="G448" t="s">
        <v>1156</v>
      </c>
      <c r="H448" t="s">
        <v>1631</v>
      </c>
      <c r="I448" s="7">
        <v>1165</v>
      </c>
      <c r="J448" s="7">
        <v>39900</v>
      </c>
      <c r="K448" s="7">
        <v>4</v>
      </c>
      <c r="L448" t="s">
        <v>247</v>
      </c>
      <c r="M448" t="s">
        <v>252</v>
      </c>
      <c r="N448" s="7">
        <v>324809</v>
      </c>
      <c r="O448" t="s">
        <v>1157</v>
      </c>
      <c r="P448" t="s">
        <v>1158</v>
      </c>
      <c r="S448" t="s">
        <v>1600</v>
      </c>
      <c r="T448" t="s">
        <v>1601</v>
      </c>
      <c r="U448" t="s">
        <v>1602</v>
      </c>
      <c r="V448" s="8">
        <v>0</v>
      </c>
      <c r="W448" s="7">
        <v>588346</v>
      </c>
      <c r="X448" t="s">
        <v>418</v>
      </c>
      <c r="Y448" s="8">
        <v>0</v>
      </c>
      <c r="Z448" s="8">
        <v>0</v>
      </c>
      <c r="AA448" s="8">
        <v>0</v>
      </c>
      <c r="AB448" s="7">
        <v>111813</v>
      </c>
      <c r="AC448" t="s">
        <v>418</v>
      </c>
      <c r="AD448" s="8">
        <v>0</v>
      </c>
      <c r="AG448" t="s">
        <v>937</v>
      </c>
      <c r="AH448" t="s">
        <v>802</v>
      </c>
      <c r="AI448" t="s">
        <v>803</v>
      </c>
    </row>
    <row r="449" spans="1:35" hidden="1">
      <c r="A449" s="7">
        <v>448</v>
      </c>
      <c r="B449" t="s">
        <v>243</v>
      </c>
      <c r="C449" t="s">
        <v>244</v>
      </c>
      <c r="D449" s="7">
        <v>7134</v>
      </c>
      <c r="E449" t="s">
        <v>245</v>
      </c>
      <c r="F449" t="s">
        <v>246</v>
      </c>
      <c r="G449" t="s">
        <v>1680</v>
      </c>
      <c r="H449" t="s">
        <v>531</v>
      </c>
      <c r="I449" s="7">
        <v>936</v>
      </c>
      <c r="J449" s="7">
        <v>98079</v>
      </c>
      <c r="K449" s="7">
        <v>10</v>
      </c>
      <c r="L449" t="s">
        <v>247</v>
      </c>
      <c r="M449" t="s">
        <v>261</v>
      </c>
      <c r="N449" s="7">
        <v>755823</v>
      </c>
      <c r="O449" t="s">
        <v>1681</v>
      </c>
      <c r="P449" t="s">
        <v>1682</v>
      </c>
      <c r="S449" t="s">
        <v>1600</v>
      </c>
      <c r="T449" t="s">
        <v>1601</v>
      </c>
      <c r="U449" t="s">
        <v>1602</v>
      </c>
      <c r="V449" s="8">
        <v>0</v>
      </c>
      <c r="W449" s="7">
        <v>588346</v>
      </c>
      <c r="X449" t="s">
        <v>418</v>
      </c>
      <c r="Y449" s="8">
        <v>0</v>
      </c>
      <c r="Z449" s="8">
        <v>0</v>
      </c>
      <c r="AA449" s="8">
        <v>0</v>
      </c>
      <c r="AB449" s="7">
        <v>111813</v>
      </c>
      <c r="AC449" t="s">
        <v>418</v>
      </c>
      <c r="AD449" s="8">
        <v>0</v>
      </c>
      <c r="AG449" t="s">
        <v>801</v>
      </c>
      <c r="AH449" t="s">
        <v>802</v>
      </c>
      <c r="AI449" t="s">
        <v>803</v>
      </c>
    </row>
    <row r="450" spans="1:35" hidden="1">
      <c r="A450" s="7">
        <v>449</v>
      </c>
      <c r="B450" t="s">
        <v>243</v>
      </c>
      <c r="C450" t="s">
        <v>244</v>
      </c>
      <c r="D450" s="7">
        <v>7134</v>
      </c>
      <c r="E450" t="s">
        <v>245</v>
      </c>
      <c r="F450" t="s">
        <v>246</v>
      </c>
      <c r="G450" t="s">
        <v>849</v>
      </c>
      <c r="H450" t="s">
        <v>571</v>
      </c>
      <c r="I450" s="7">
        <v>1165</v>
      </c>
      <c r="J450" s="7">
        <v>38100</v>
      </c>
      <c r="K450" s="7">
        <v>4</v>
      </c>
      <c r="L450" t="s">
        <v>247</v>
      </c>
      <c r="M450" t="s">
        <v>361</v>
      </c>
      <c r="N450" s="7">
        <v>5065</v>
      </c>
      <c r="O450" t="s">
        <v>1291</v>
      </c>
      <c r="P450" t="s">
        <v>1292</v>
      </c>
      <c r="S450" t="s">
        <v>1600</v>
      </c>
      <c r="T450" t="s">
        <v>1601</v>
      </c>
      <c r="U450" t="s">
        <v>1602</v>
      </c>
      <c r="V450" s="8">
        <v>0</v>
      </c>
      <c r="W450" s="7">
        <v>588346</v>
      </c>
      <c r="X450" t="s">
        <v>418</v>
      </c>
      <c r="Y450" s="8">
        <v>0</v>
      </c>
      <c r="Z450" s="8">
        <v>0</v>
      </c>
      <c r="AA450" s="8">
        <v>0</v>
      </c>
      <c r="AB450" s="7">
        <v>111813</v>
      </c>
      <c r="AC450" t="s">
        <v>418</v>
      </c>
      <c r="AD450" s="8">
        <v>0</v>
      </c>
      <c r="AG450" t="s">
        <v>823</v>
      </c>
      <c r="AH450" t="s">
        <v>802</v>
      </c>
      <c r="AI450" t="s">
        <v>803</v>
      </c>
    </row>
    <row r="451" spans="1:35" hidden="1">
      <c r="A451" s="7">
        <v>450</v>
      </c>
      <c r="B451" t="s">
        <v>243</v>
      </c>
      <c r="C451" t="s">
        <v>244</v>
      </c>
      <c r="D451" s="7">
        <v>7134</v>
      </c>
      <c r="E451" t="s">
        <v>245</v>
      </c>
      <c r="F451" t="s">
        <v>246</v>
      </c>
      <c r="G451" t="s">
        <v>849</v>
      </c>
      <c r="H451" t="s">
        <v>598</v>
      </c>
      <c r="I451" s="7">
        <v>1165</v>
      </c>
      <c r="J451" s="7">
        <v>50000</v>
      </c>
      <c r="K451" s="7">
        <v>5</v>
      </c>
      <c r="L451" t="s">
        <v>247</v>
      </c>
      <c r="M451" t="s">
        <v>261</v>
      </c>
      <c r="N451" s="7">
        <v>787042</v>
      </c>
      <c r="O451" t="s">
        <v>850</v>
      </c>
      <c r="P451" t="s">
        <v>851</v>
      </c>
      <c r="S451" t="s">
        <v>1801</v>
      </c>
      <c r="T451" t="s">
        <v>1601</v>
      </c>
      <c r="U451" t="s">
        <v>1802</v>
      </c>
      <c r="V451" s="8">
        <v>1250</v>
      </c>
      <c r="W451" s="7">
        <v>588115</v>
      </c>
      <c r="X451" t="s">
        <v>1803</v>
      </c>
      <c r="Y451" s="8">
        <v>1250</v>
      </c>
      <c r="Z451" s="8">
        <v>1475</v>
      </c>
      <c r="AA451" s="8">
        <v>225</v>
      </c>
      <c r="AB451" s="7">
        <v>111582</v>
      </c>
      <c r="AC451" t="s">
        <v>1803</v>
      </c>
      <c r="AD451" s="8">
        <v>0</v>
      </c>
      <c r="AG451" t="s">
        <v>801</v>
      </c>
      <c r="AH451" t="s">
        <v>802</v>
      </c>
      <c r="AI451" t="s">
        <v>818</v>
      </c>
    </row>
    <row r="452" spans="1:35" hidden="1">
      <c r="A452" s="7">
        <v>451</v>
      </c>
      <c r="B452" t="s">
        <v>243</v>
      </c>
      <c r="C452" t="s">
        <v>244</v>
      </c>
      <c r="D452" s="7">
        <v>7134</v>
      </c>
      <c r="E452" t="s">
        <v>245</v>
      </c>
      <c r="F452" t="s">
        <v>246</v>
      </c>
      <c r="G452" t="s">
        <v>269</v>
      </c>
      <c r="H452" t="s">
        <v>629</v>
      </c>
      <c r="I452" s="7">
        <v>1165</v>
      </c>
      <c r="J452" s="7">
        <v>5728</v>
      </c>
      <c r="K452" s="7">
        <v>1</v>
      </c>
      <c r="L452" t="s">
        <v>247</v>
      </c>
      <c r="M452" t="s">
        <v>267</v>
      </c>
      <c r="N452" s="7">
        <v>789530</v>
      </c>
      <c r="O452" t="s">
        <v>467</v>
      </c>
      <c r="P452" t="s">
        <v>468</v>
      </c>
      <c r="S452" t="s">
        <v>1801</v>
      </c>
      <c r="T452" t="s">
        <v>1601</v>
      </c>
      <c r="U452" t="s">
        <v>1802</v>
      </c>
      <c r="V452" s="8">
        <v>1250</v>
      </c>
      <c r="W452" s="7">
        <v>588115</v>
      </c>
      <c r="X452" t="s">
        <v>1803</v>
      </c>
      <c r="Y452" s="8">
        <v>1250</v>
      </c>
      <c r="Z452" s="8">
        <v>1475</v>
      </c>
      <c r="AA452" s="8">
        <v>225</v>
      </c>
      <c r="AB452" s="7">
        <v>111582</v>
      </c>
      <c r="AC452" t="s">
        <v>1803</v>
      </c>
      <c r="AD452" s="8">
        <v>0</v>
      </c>
      <c r="AG452" t="s">
        <v>828</v>
      </c>
      <c r="AH452" t="s">
        <v>802</v>
      </c>
      <c r="AI452" t="s">
        <v>818</v>
      </c>
    </row>
    <row r="453" spans="1:35" hidden="1">
      <c r="A453" s="7">
        <v>452</v>
      </c>
      <c r="B453" t="s">
        <v>243</v>
      </c>
      <c r="C453" t="s">
        <v>244</v>
      </c>
      <c r="D453" s="7">
        <v>7134</v>
      </c>
      <c r="E453" t="s">
        <v>245</v>
      </c>
      <c r="F453" t="s">
        <v>246</v>
      </c>
      <c r="G453" t="s">
        <v>1551</v>
      </c>
      <c r="H453" t="s">
        <v>594</v>
      </c>
      <c r="I453" s="7">
        <v>1165</v>
      </c>
      <c r="J453" s="7">
        <v>79920</v>
      </c>
      <c r="K453" s="7">
        <v>8</v>
      </c>
      <c r="L453" t="s">
        <v>247</v>
      </c>
      <c r="M453" t="s">
        <v>252</v>
      </c>
      <c r="N453" s="7">
        <v>322476</v>
      </c>
      <c r="O453" t="s">
        <v>1552</v>
      </c>
      <c r="P453" t="s">
        <v>1553</v>
      </c>
      <c r="S453" t="s">
        <v>1801</v>
      </c>
      <c r="T453" t="s">
        <v>1601</v>
      </c>
      <c r="U453" t="s">
        <v>1802</v>
      </c>
      <c r="V453" s="8">
        <v>1250</v>
      </c>
      <c r="W453" s="7">
        <v>588115</v>
      </c>
      <c r="X453" t="s">
        <v>1803</v>
      </c>
      <c r="Y453" s="8">
        <v>1250</v>
      </c>
      <c r="Z453" s="8">
        <v>1475</v>
      </c>
      <c r="AA453" s="8">
        <v>225</v>
      </c>
      <c r="AB453" s="7">
        <v>111582</v>
      </c>
      <c r="AC453" t="s">
        <v>1803</v>
      </c>
      <c r="AD453" s="8">
        <v>0</v>
      </c>
      <c r="AG453" t="s">
        <v>937</v>
      </c>
      <c r="AH453" t="s">
        <v>802</v>
      </c>
      <c r="AI453" t="s">
        <v>818</v>
      </c>
    </row>
    <row r="454" spans="1:35" hidden="1">
      <c r="A454" s="7">
        <v>453</v>
      </c>
      <c r="B454" t="s">
        <v>243</v>
      </c>
      <c r="C454" t="s">
        <v>244</v>
      </c>
      <c r="D454" s="7">
        <v>7134</v>
      </c>
      <c r="E454" t="s">
        <v>245</v>
      </c>
      <c r="F454" t="s">
        <v>246</v>
      </c>
      <c r="G454" t="s">
        <v>363</v>
      </c>
      <c r="H454" t="s">
        <v>649</v>
      </c>
      <c r="I454" s="7">
        <v>895</v>
      </c>
      <c r="J454" s="7">
        <v>9527</v>
      </c>
      <c r="K454" s="7">
        <v>1</v>
      </c>
      <c r="L454" t="s">
        <v>247</v>
      </c>
      <c r="M454" t="s">
        <v>261</v>
      </c>
      <c r="N454" s="7">
        <v>795314</v>
      </c>
      <c r="O454" t="s">
        <v>1913</v>
      </c>
      <c r="P454" t="s">
        <v>1914</v>
      </c>
      <c r="S454" t="s">
        <v>1801</v>
      </c>
      <c r="T454" t="s">
        <v>1601</v>
      </c>
      <c r="U454" t="s">
        <v>1802</v>
      </c>
      <c r="V454" s="8">
        <v>1250</v>
      </c>
      <c r="W454" s="7">
        <v>588115</v>
      </c>
      <c r="X454" t="s">
        <v>1803</v>
      </c>
      <c r="Y454" s="8">
        <v>1250</v>
      </c>
      <c r="Z454" s="8">
        <v>1475</v>
      </c>
      <c r="AA454" s="8">
        <v>225</v>
      </c>
      <c r="AB454" s="7">
        <v>111582</v>
      </c>
      <c r="AC454" t="s">
        <v>1803</v>
      </c>
      <c r="AD454" s="8">
        <v>0</v>
      </c>
      <c r="AG454" t="s">
        <v>817</v>
      </c>
      <c r="AH454" t="s">
        <v>802</v>
      </c>
      <c r="AI454" t="s">
        <v>818</v>
      </c>
    </row>
    <row r="455" spans="1:35" hidden="1">
      <c r="A455" s="7">
        <v>454</v>
      </c>
      <c r="B455" t="s">
        <v>243</v>
      </c>
      <c r="C455" t="s">
        <v>244</v>
      </c>
      <c r="D455" s="7">
        <v>7134</v>
      </c>
      <c r="E455" t="s">
        <v>245</v>
      </c>
      <c r="F455" t="s">
        <v>246</v>
      </c>
      <c r="G455" t="s">
        <v>1159</v>
      </c>
      <c r="H455" t="s">
        <v>657</v>
      </c>
      <c r="I455" s="7">
        <v>1165</v>
      </c>
      <c r="J455" s="7">
        <v>16230</v>
      </c>
      <c r="K455" s="7">
        <v>1</v>
      </c>
      <c r="L455" t="s">
        <v>247</v>
      </c>
      <c r="M455" t="s">
        <v>261</v>
      </c>
      <c r="N455" s="7">
        <v>771290</v>
      </c>
      <c r="O455" t="s">
        <v>1915</v>
      </c>
      <c r="P455" t="s">
        <v>1916</v>
      </c>
      <c r="Q455" t="s">
        <v>1917</v>
      </c>
      <c r="R455" t="s">
        <v>1918</v>
      </c>
      <c r="S455" t="s">
        <v>1801</v>
      </c>
      <c r="T455" t="s">
        <v>1601</v>
      </c>
      <c r="U455" t="s">
        <v>1802</v>
      </c>
      <c r="V455" s="8">
        <v>1250</v>
      </c>
      <c r="W455" s="7">
        <v>588115</v>
      </c>
      <c r="X455" t="s">
        <v>1803</v>
      </c>
      <c r="Y455" s="8">
        <v>0</v>
      </c>
      <c r="Z455" s="8">
        <v>1475</v>
      </c>
      <c r="AA455" s="8">
        <v>225</v>
      </c>
      <c r="AB455" s="7">
        <v>111582</v>
      </c>
      <c r="AC455" t="s">
        <v>1803</v>
      </c>
      <c r="AD455" s="8">
        <v>1250</v>
      </c>
      <c r="AG455" t="s">
        <v>817</v>
      </c>
      <c r="AH455" t="s">
        <v>802</v>
      </c>
      <c r="AI455" t="s">
        <v>818</v>
      </c>
    </row>
    <row r="456" spans="1:35" hidden="1">
      <c r="A456" s="7">
        <v>455</v>
      </c>
      <c r="B456" t="s">
        <v>243</v>
      </c>
      <c r="C456" t="s">
        <v>244</v>
      </c>
      <c r="D456" s="7">
        <v>7134</v>
      </c>
      <c r="E456" t="s">
        <v>245</v>
      </c>
      <c r="F456" t="s">
        <v>246</v>
      </c>
      <c r="G456" t="s">
        <v>1926</v>
      </c>
      <c r="H456" t="s">
        <v>594</v>
      </c>
      <c r="I456" s="7">
        <v>1165</v>
      </c>
      <c r="J456" s="7">
        <v>29220</v>
      </c>
      <c r="K456" s="7">
        <v>6</v>
      </c>
      <c r="L456" t="s">
        <v>247</v>
      </c>
      <c r="M456" t="s">
        <v>261</v>
      </c>
      <c r="N456" s="7">
        <v>773117</v>
      </c>
      <c r="O456" t="s">
        <v>1927</v>
      </c>
      <c r="P456" t="s">
        <v>1928</v>
      </c>
      <c r="S456" t="s">
        <v>1801</v>
      </c>
      <c r="T456" t="s">
        <v>1601</v>
      </c>
      <c r="U456" t="s">
        <v>1802</v>
      </c>
      <c r="V456" s="8">
        <v>0</v>
      </c>
      <c r="W456" s="7">
        <v>588115</v>
      </c>
      <c r="X456" t="s">
        <v>1803</v>
      </c>
      <c r="Y456" s="8">
        <v>0</v>
      </c>
      <c r="Z456" s="8">
        <v>0</v>
      </c>
      <c r="AA456" s="8">
        <v>0</v>
      </c>
      <c r="AB456" s="7">
        <v>111582</v>
      </c>
      <c r="AC456" t="s">
        <v>1803</v>
      </c>
      <c r="AD456" s="8">
        <v>0</v>
      </c>
      <c r="AG456" t="s">
        <v>801</v>
      </c>
      <c r="AH456" t="s">
        <v>802</v>
      </c>
      <c r="AI456" t="s">
        <v>803</v>
      </c>
    </row>
    <row r="457" spans="1:35" hidden="1">
      <c r="A457" s="7">
        <v>456</v>
      </c>
      <c r="B457" t="s">
        <v>243</v>
      </c>
      <c r="C457" t="s">
        <v>244</v>
      </c>
      <c r="D457" s="7">
        <v>7134</v>
      </c>
      <c r="E457" t="s">
        <v>245</v>
      </c>
      <c r="F457" t="s">
        <v>246</v>
      </c>
      <c r="G457" t="s">
        <v>813</v>
      </c>
      <c r="H457" t="s">
        <v>1830</v>
      </c>
      <c r="I457" s="7">
        <v>1165</v>
      </c>
      <c r="J457" s="7">
        <v>29529</v>
      </c>
      <c r="K457" s="7">
        <v>5</v>
      </c>
      <c r="L457" t="s">
        <v>247</v>
      </c>
      <c r="M457" t="s">
        <v>261</v>
      </c>
      <c r="N457" s="7">
        <v>785384</v>
      </c>
      <c r="O457" t="s">
        <v>1248</v>
      </c>
      <c r="P457" t="s">
        <v>1249</v>
      </c>
      <c r="S457" t="s">
        <v>1801</v>
      </c>
      <c r="T457" t="s">
        <v>1601</v>
      </c>
      <c r="U457" t="s">
        <v>1802</v>
      </c>
      <c r="V457" s="8">
        <v>1250</v>
      </c>
      <c r="W457" s="7">
        <v>588115</v>
      </c>
      <c r="X457" t="s">
        <v>1803</v>
      </c>
      <c r="Y457" s="8">
        <v>1250</v>
      </c>
      <c r="Z457" s="8">
        <v>1475</v>
      </c>
      <c r="AA457" s="8">
        <v>225</v>
      </c>
      <c r="AB457" s="7">
        <v>111582</v>
      </c>
      <c r="AC457" t="s">
        <v>1803</v>
      </c>
      <c r="AD457" s="8">
        <v>0</v>
      </c>
      <c r="AG457" t="s">
        <v>801</v>
      </c>
      <c r="AH457" t="s">
        <v>802</v>
      </c>
      <c r="AI457" t="s">
        <v>818</v>
      </c>
    </row>
    <row r="458" spans="1:35" hidden="1">
      <c r="A458" s="7">
        <v>457</v>
      </c>
      <c r="B458" t="s">
        <v>243</v>
      </c>
      <c r="C458" t="s">
        <v>244</v>
      </c>
      <c r="D458" s="7">
        <v>7134</v>
      </c>
      <c r="E458" t="s">
        <v>245</v>
      </c>
      <c r="F458" t="s">
        <v>246</v>
      </c>
      <c r="G458" t="s">
        <v>284</v>
      </c>
      <c r="H458" t="s">
        <v>607</v>
      </c>
      <c r="I458" s="7">
        <v>874</v>
      </c>
      <c r="J458" s="7">
        <v>9500</v>
      </c>
      <c r="K458" s="7">
        <v>1</v>
      </c>
      <c r="L458" t="s">
        <v>247</v>
      </c>
      <c r="M458" t="s">
        <v>261</v>
      </c>
      <c r="N458" s="7">
        <v>796009</v>
      </c>
      <c r="O458" t="s">
        <v>2060</v>
      </c>
      <c r="P458" t="s">
        <v>2061</v>
      </c>
      <c r="S458" t="s">
        <v>1801</v>
      </c>
      <c r="T458" t="s">
        <v>1601</v>
      </c>
      <c r="U458" t="s">
        <v>1802</v>
      </c>
      <c r="V458" s="8">
        <v>1250</v>
      </c>
      <c r="W458" s="7">
        <v>588115</v>
      </c>
      <c r="X458" t="s">
        <v>1803</v>
      </c>
      <c r="Y458" s="8">
        <v>1250</v>
      </c>
      <c r="Z458" s="8">
        <v>1475</v>
      </c>
      <c r="AA458" s="8">
        <v>225</v>
      </c>
      <c r="AB458" s="7">
        <v>111582</v>
      </c>
      <c r="AC458" t="s">
        <v>1803</v>
      </c>
      <c r="AD458" s="8">
        <v>0</v>
      </c>
      <c r="AG458" t="s">
        <v>817</v>
      </c>
      <c r="AH458" t="s">
        <v>802</v>
      </c>
      <c r="AI458" t="s">
        <v>818</v>
      </c>
    </row>
    <row r="459" spans="1:35" hidden="1">
      <c r="A459" s="7">
        <v>458</v>
      </c>
      <c r="B459" t="s">
        <v>243</v>
      </c>
      <c r="C459" t="s">
        <v>244</v>
      </c>
      <c r="D459" s="7">
        <v>7134</v>
      </c>
      <c r="E459" t="s">
        <v>245</v>
      </c>
      <c r="F459" t="s">
        <v>246</v>
      </c>
      <c r="G459" t="s">
        <v>921</v>
      </c>
      <c r="H459" t="s">
        <v>612</v>
      </c>
      <c r="I459" s="7">
        <v>1165</v>
      </c>
      <c r="J459" s="7">
        <v>18036</v>
      </c>
      <c r="K459" s="7">
        <v>2</v>
      </c>
      <c r="L459" t="s">
        <v>247</v>
      </c>
      <c r="M459" t="s">
        <v>361</v>
      </c>
      <c r="N459" s="7">
        <v>6116</v>
      </c>
      <c r="O459" t="s">
        <v>1890</v>
      </c>
      <c r="P459" t="s">
        <v>1891</v>
      </c>
      <c r="S459" t="s">
        <v>1801</v>
      </c>
      <c r="T459" t="s">
        <v>1601</v>
      </c>
      <c r="U459" t="s">
        <v>1802</v>
      </c>
      <c r="V459" s="8">
        <v>0</v>
      </c>
      <c r="W459" s="7">
        <v>588115</v>
      </c>
      <c r="X459" t="s">
        <v>1803</v>
      </c>
      <c r="Y459" s="8">
        <v>0</v>
      </c>
      <c r="Z459" s="8">
        <v>0</v>
      </c>
      <c r="AA459" s="8">
        <v>0</v>
      </c>
      <c r="AB459" s="7">
        <v>111582</v>
      </c>
      <c r="AC459" t="s">
        <v>1803</v>
      </c>
      <c r="AD459" s="8">
        <v>0</v>
      </c>
      <c r="AG459" t="s">
        <v>823</v>
      </c>
      <c r="AH459" t="s">
        <v>802</v>
      </c>
      <c r="AI459" t="s">
        <v>803</v>
      </c>
    </row>
    <row r="460" spans="1:35" hidden="1">
      <c r="A460" s="7">
        <v>459</v>
      </c>
      <c r="B460" t="s">
        <v>243</v>
      </c>
      <c r="C460" t="s">
        <v>244</v>
      </c>
      <c r="D460" s="7">
        <v>7134</v>
      </c>
      <c r="E460" t="s">
        <v>245</v>
      </c>
      <c r="F460" t="s">
        <v>246</v>
      </c>
      <c r="G460" t="s">
        <v>248</v>
      </c>
      <c r="H460" t="s">
        <v>649</v>
      </c>
      <c r="I460" s="7">
        <v>894</v>
      </c>
      <c r="J460" s="7">
        <v>10131</v>
      </c>
      <c r="K460" s="7">
        <v>1</v>
      </c>
      <c r="L460" t="s">
        <v>247</v>
      </c>
      <c r="M460" t="s">
        <v>261</v>
      </c>
      <c r="N460" s="7">
        <v>798675</v>
      </c>
      <c r="O460" t="s">
        <v>2036</v>
      </c>
      <c r="P460" t="s">
        <v>2037</v>
      </c>
      <c r="S460" t="s">
        <v>1801</v>
      </c>
      <c r="T460" t="s">
        <v>1601</v>
      </c>
      <c r="U460" t="s">
        <v>1802</v>
      </c>
      <c r="V460" s="8">
        <v>1250</v>
      </c>
      <c r="W460" s="7">
        <v>588115</v>
      </c>
      <c r="X460" t="s">
        <v>1803</v>
      </c>
      <c r="Y460" s="8">
        <v>1250</v>
      </c>
      <c r="Z460" s="8">
        <v>1475</v>
      </c>
      <c r="AA460" s="8">
        <v>225</v>
      </c>
      <c r="AB460" s="7">
        <v>111582</v>
      </c>
      <c r="AC460" t="s">
        <v>1803</v>
      </c>
      <c r="AD460" s="8">
        <v>0</v>
      </c>
      <c r="AG460" t="s">
        <v>817</v>
      </c>
      <c r="AH460" t="s">
        <v>802</v>
      </c>
      <c r="AI460" t="s">
        <v>818</v>
      </c>
    </row>
    <row r="461" spans="1:35" hidden="1">
      <c r="A461" s="7">
        <v>460</v>
      </c>
      <c r="B461" t="s">
        <v>243</v>
      </c>
      <c r="C461" t="s">
        <v>244</v>
      </c>
      <c r="D461" s="7">
        <v>7134</v>
      </c>
      <c r="E461" t="s">
        <v>245</v>
      </c>
      <c r="F461" t="s">
        <v>246</v>
      </c>
      <c r="G461" t="s">
        <v>1267</v>
      </c>
      <c r="H461" t="s">
        <v>1798</v>
      </c>
      <c r="I461" s="7">
        <v>1165</v>
      </c>
      <c r="J461" s="7">
        <v>16280</v>
      </c>
      <c r="K461" s="7">
        <v>2</v>
      </c>
      <c r="L461" t="s">
        <v>247</v>
      </c>
      <c r="M461" t="s">
        <v>267</v>
      </c>
      <c r="N461" s="7">
        <v>789007</v>
      </c>
      <c r="O461" t="s">
        <v>1268</v>
      </c>
      <c r="P461" t="s">
        <v>1269</v>
      </c>
      <c r="S461" t="s">
        <v>1801</v>
      </c>
      <c r="T461" t="s">
        <v>1601</v>
      </c>
      <c r="U461" t="s">
        <v>1802</v>
      </c>
      <c r="V461" s="8">
        <v>0</v>
      </c>
      <c r="W461" s="7">
        <v>588115</v>
      </c>
      <c r="X461" t="s">
        <v>1803</v>
      </c>
      <c r="Y461" s="8">
        <v>0</v>
      </c>
      <c r="Z461" s="8">
        <v>0</v>
      </c>
      <c r="AA461" s="8">
        <v>0</v>
      </c>
      <c r="AB461" s="7">
        <v>111582</v>
      </c>
      <c r="AC461" t="s">
        <v>1803</v>
      </c>
      <c r="AD461" s="8">
        <v>0</v>
      </c>
      <c r="AG461" t="s">
        <v>828</v>
      </c>
      <c r="AH461" t="s">
        <v>802</v>
      </c>
      <c r="AI461" t="s">
        <v>803</v>
      </c>
    </row>
    <row r="462" spans="1:35" hidden="1">
      <c r="A462" s="7">
        <v>461</v>
      </c>
      <c r="B462" t="s">
        <v>243</v>
      </c>
      <c r="C462" t="s">
        <v>244</v>
      </c>
      <c r="D462" s="7">
        <v>7134</v>
      </c>
      <c r="E462" t="s">
        <v>245</v>
      </c>
      <c r="F462" t="s">
        <v>246</v>
      </c>
      <c r="G462" t="s">
        <v>1331</v>
      </c>
      <c r="H462" t="s">
        <v>633</v>
      </c>
      <c r="I462" s="7">
        <v>1165</v>
      </c>
      <c r="J462" s="7">
        <v>17428</v>
      </c>
      <c r="K462" s="7">
        <v>2</v>
      </c>
      <c r="L462" t="s">
        <v>247</v>
      </c>
      <c r="M462" t="s">
        <v>267</v>
      </c>
      <c r="N462" s="7">
        <v>789053</v>
      </c>
      <c r="O462" t="s">
        <v>1332</v>
      </c>
      <c r="P462" t="s">
        <v>1333</v>
      </c>
      <c r="S462" t="s">
        <v>1801</v>
      </c>
      <c r="T462" t="s">
        <v>1601</v>
      </c>
      <c r="U462" t="s">
        <v>1802</v>
      </c>
      <c r="V462" s="8">
        <v>0</v>
      </c>
      <c r="W462" s="7">
        <v>588115</v>
      </c>
      <c r="X462" t="s">
        <v>1803</v>
      </c>
      <c r="Y462" s="8">
        <v>0</v>
      </c>
      <c r="Z462" s="8">
        <v>0</v>
      </c>
      <c r="AA462" s="8">
        <v>0</v>
      </c>
      <c r="AB462" s="7">
        <v>111582</v>
      </c>
      <c r="AC462" t="s">
        <v>1803</v>
      </c>
      <c r="AD462" s="8">
        <v>0</v>
      </c>
      <c r="AG462" t="s">
        <v>828</v>
      </c>
      <c r="AH462" t="s">
        <v>802</v>
      </c>
      <c r="AI462" t="s">
        <v>803</v>
      </c>
    </row>
    <row r="463" spans="1:35" hidden="1">
      <c r="A463" s="7">
        <v>462</v>
      </c>
      <c r="B463" t="s">
        <v>243</v>
      </c>
      <c r="C463" t="s">
        <v>244</v>
      </c>
      <c r="D463" s="7">
        <v>7134</v>
      </c>
      <c r="E463" t="s">
        <v>245</v>
      </c>
      <c r="F463" t="s">
        <v>246</v>
      </c>
      <c r="G463" t="s">
        <v>1224</v>
      </c>
      <c r="H463" t="s">
        <v>649</v>
      </c>
      <c r="I463" s="7">
        <v>904</v>
      </c>
      <c r="J463" s="7">
        <v>9245</v>
      </c>
      <c r="K463" s="7">
        <v>1</v>
      </c>
      <c r="L463" t="s">
        <v>247</v>
      </c>
      <c r="M463" t="s">
        <v>261</v>
      </c>
      <c r="N463" s="7">
        <v>795397</v>
      </c>
      <c r="O463" t="s">
        <v>2043</v>
      </c>
      <c r="P463" t="s">
        <v>2044</v>
      </c>
      <c r="S463" t="s">
        <v>1801</v>
      </c>
      <c r="T463" t="s">
        <v>1601</v>
      </c>
      <c r="U463" t="s">
        <v>1802</v>
      </c>
      <c r="V463" s="8">
        <v>1250</v>
      </c>
      <c r="W463" s="7">
        <v>588115</v>
      </c>
      <c r="X463" t="s">
        <v>1803</v>
      </c>
      <c r="Y463" s="8">
        <v>1250</v>
      </c>
      <c r="Z463" s="8">
        <v>1475</v>
      </c>
      <c r="AA463" s="8">
        <v>225</v>
      </c>
      <c r="AB463" s="7">
        <v>111582</v>
      </c>
      <c r="AC463" t="s">
        <v>1803</v>
      </c>
      <c r="AD463" s="8">
        <v>0</v>
      </c>
      <c r="AG463" t="s">
        <v>817</v>
      </c>
      <c r="AH463" t="s">
        <v>802</v>
      </c>
      <c r="AI463" t="s">
        <v>818</v>
      </c>
    </row>
    <row r="464" spans="1:35" hidden="1">
      <c r="A464" s="7">
        <v>463</v>
      </c>
      <c r="B464" t="s">
        <v>243</v>
      </c>
      <c r="C464" t="s">
        <v>244</v>
      </c>
      <c r="D464" s="7">
        <v>7134</v>
      </c>
      <c r="E464" t="s">
        <v>245</v>
      </c>
      <c r="F464" t="s">
        <v>246</v>
      </c>
      <c r="G464" t="s">
        <v>1221</v>
      </c>
      <c r="H464" t="s">
        <v>1804</v>
      </c>
      <c r="I464" s="7">
        <v>1165</v>
      </c>
      <c r="J464" s="7">
        <v>86801</v>
      </c>
      <c r="K464" s="7">
        <v>9</v>
      </c>
      <c r="L464" t="s">
        <v>247</v>
      </c>
      <c r="M464" t="s">
        <v>252</v>
      </c>
      <c r="N464" s="7">
        <v>321779</v>
      </c>
      <c r="O464" t="s">
        <v>1222</v>
      </c>
      <c r="P464" t="s">
        <v>1223</v>
      </c>
      <c r="S464" t="s">
        <v>1801</v>
      </c>
      <c r="T464" t="s">
        <v>1601</v>
      </c>
      <c r="U464" t="s">
        <v>1802</v>
      </c>
      <c r="V464" s="8">
        <v>0</v>
      </c>
      <c r="W464" s="7">
        <v>588115</v>
      </c>
      <c r="X464" t="s">
        <v>1803</v>
      </c>
      <c r="Y464" s="8">
        <v>0</v>
      </c>
      <c r="Z464" s="8">
        <v>0</v>
      </c>
      <c r="AA464" s="8">
        <v>0</v>
      </c>
      <c r="AB464" s="7">
        <v>111582</v>
      </c>
      <c r="AC464" t="s">
        <v>1803</v>
      </c>
      <c r="AD464" s="8">
        <v>0</v>
      </c>
      <c r="AG464" t="s">
        <v>937</v>
      </c>
      <c r="AH464" t="s">
        <v>802</v>
      </c>
      <c r="AI464" t="s">
        <v>803</v>
      </c>
    </row>
    <row r="465" spans="1:35" hidden="1">
      <c r="A465" s="7">
        <v>464</v>
      </c>
      <c r="B465" t="s">
        <v>243</v>
      </c>
      <c r="C465" t="s">
        <v>244</v>
      </c>
      <c r="D465" s="7">
        <v>7134</v>
      </c>
      <c r="E465" t="s">
        <v>245</v>
      </c>
      <c r="F465" t="s">
        <v>246</v>
      </c>
      <c r="G465" t="s">
        <v>988</v>
      </c>
      <c r="H465" t="s">
        <v>1830</v>
      </c>
      <c r="I465" s="7">
        <v>1165</v>
      </c>
      <c r="J465" s="7">
        <v>75840</v>
      </c>
      <c r="K465" s="7">
        <v>8</v>
      </c>
      <c r="L465" t="s">
        <v>247</v>
      </c>
      <c r="M465" t="s">
        <v>261</v>
      </c>
      <c r="N465" s="7">
        <v>775224</v>
      </c>
      <c r="O465" t="s">
        <v>1007</v>
      </c>
      <c r="P465" t="s">
        <v>1008</v>
      </c>
      <c r="S465" t="s">
        <v>1801</v>
      </c>
      <c r="T465" t="s">
        <v>1601</v>
      </c>
      <c r="U465" t="s">
        <v>1802</v>
      </c>
      <c r="V465" s="8">
        <v>1250</v>
      </c>
      <c r="W465" s="7">
        <v>588115</v>
      </c>
      <c r="X465" t="s">
        <v>1803</v>
      </c>
      <c r="Y465" s="8">
        <v>1250</v>
      </c>
      <c r="Z465" s="8">
        <v>1475</v>
      </c>
      <c r="AA465" s="8">
        <v>225</v>
      </c>
      <c r="AB465" s="7">
        <v>111582</v>
      </c>
      <c r="AC465" t="s">
        <v>1803</v>
      </c>
      <c r="AD465" s="8">
        <v>0</v>
      </c>
      <c r="AG465" t="s">
        <v>801</v>
      </c>
      <c r="AH465" t="s">
        <v>802</v>
      </c>
      <c r="AI465" t="s">
        <v>818</v>
      </c>
    </row>
    <row r="466" spans="1:35" hidden="1">
      <c r="A466" s="7">
        <v>465</v>
      </c>
      <c r="B466" t="s">
        <v>243</v>
      </c>
      <c r="C466" t="s">
        <v>244</v>
      </c>
      <c r="D466" s="7">
        <v>7134</v>
      </c>
      <c r="E466" t="s">
        <v>245</v>
      </c>
      <c r="F466" t="s">
        <v>246</v>
      </c>
      <c r="G466" t="s">
        <v>2021</v>
      </c>
      <c r="H466" t="s">
        <v>612</v>
      </c>
      <c r="I466" s="7">
        <v>1165</v>
      </c>
      <c r="J466" s="7">
        <v>26172</v>
      </c>
      <c r="K466" s="7">
        <v>12</v>
      </c>
      <c r="L466" t="s">
        <v>247</v>
      </c>
      <c r="M466" t="s">
        <v>261</v>
      </c>
      <c r="N466" s="7">
        <v>744987</v>
      </c>
      <c r="O466" t="s">
        <v>2022</v>
      </c>
      <c r="P466" t="s">
        <v>2023</v>
      </c>
      <c r="S466" t="s">
        <v>1801</v>
      </c>
      <c r="T466" t="s">
        <v>1601</v>
      </c>
      <c r="U466" t="s">
        <v>1802</v>
      </c>
      <c r="V466" s="8">
        <v>0</v>
      </c>
      <c r="W466" s="7">
        <v>588115</v>
      </c>
      <c r="X466" t="s">
        <v>1803</v>
      </c>
      <c r="Y466" s="8">
        <v>0</v>
      </c>
      <c r="Z466" s="8">
        <v>0</v>
      </c>
      <c r="AA466" s="8">
        <v>0</v>
      </c>
      <c r="AB466" s="7">
        <v>111582</v>
      </c>
      <c r="AC466" t="s">
        <v>1803</v>
      </c>
      <c r="AD466" s="8">
        <v>0</v>
      </c>
      <c r="AG466" t="s">
        <v>801</v>
      </c>
      <c r="AH466" t="s">
        <v>802</v>
      </c>
      <c r="AI466" t="s">
        <v>803</v>
      </c>
    </row>
    <row r="467" spans="1:35" hidden="1">
      <c r="A467" s="7">
        <v>466</v>
      </c>
      <c r="B467" t="s">
        <v>243</v>
      </c>
      <c r="C467" t="s">
        <v>244</v>
      </c>
      <c r="D467" s="7">
        <v>7134</v>
      </c>
      <c r="E467" t="s">
        <v>245</v>
      </c>
      <c r="F467" t="s">
        <v>246</v>
      </c>
      <c r="G467" t="s">
        <v>996</v>
      </c>
      <c r="H467" t="s">
        <v>1814</v>
      </c>
      <c r="I467" s="7">
        <v>1165</v>
      </c>
      <c r="J467" s="7">
        <v>78727</v>
      </c>
      <c r="K467" s="7">
        <v>8</v>
      </c>
      <c r="L467" t="s">
        <v>247</v>
      </c>
      <c r="M467" t="s">
        <v>361</v>
      </c>
      <c r="N467" s="7">
        <v>3268</v>
      </c>
      <c r="O467" t="s">
        <v>997</v>
      </c>
      <c r="P467" t="s">
        <v>998</v>
      </c>
      <c r="S467" t="s">
        <v>1801</v>
      </c>
      <c r="T467" t="s">
        <v>1601</v>
      </c>
      <c r="U467" t="s">
        <v>1802</v>
      </c>
      <c r="V467" s="8">
        <v>0</v>
      </c>
      <c r="W467" s="7">
        <v>588115</v>
      </c>
      <c r="X467" t="s">
        <v>1803</v>
      </c>
      <c r="Y467" s="8">
        <v>0</v>
      </c>
      <c r="Z467" s="8">
        <v>0</v>
      </c>
      <c r="AA467" s="8">
        <v>0</v>
      </c>
      <c r="AB467" s="7">
        <v>111582</v>
      </c>
      <c r="AC467" t="s">
        <v>1803</v>
      </c>
      <c r="AD467" s="8">
        <v>0</v>
      </c>
      <c r="AG467" t="s">
        <v>823</v>
      </c>
      <c r="AH467" t="s">
        <v>802</v>
      </c>
      <c r="AI467" t="s">
        <v>803</v>
      </c>
    </row>
    <row r="468" spans="1:35" hidden="1">
      <c r="A468" s="7">
        <v>467</v>
      </c>
      <c r="B468" t="s">
        <v>243</v>
      </c>
      <c r="C468" t="s">
        <v>244</v>
      </c>
      <c r="D468" s="7">
        <v>7134</v>
      </c>
      <c r="E468" t="s">
        <v>245</v>
      </c>
      <c r="F468" t="s">
        <v>246</v>
      </c>
      <c r="G468" t="s">
        <v>1730</v>
      </c>
      <c r="H468" t="s">
        <v>1814</v>
      </c>
      <c r="I468" s="7">
        <v>1165</v>
      </c>
      <c r="J468" s="7">
        <v>19104</v>
      </c>
      <c r="K468" s="7">
        <v>3</v>
      </c>
      <c r="L468" t="s">
        <v>247</v>
      </c>
      <c r="M468" t="s">
        <v>261</v>
      </c>
      <c r="N468" s="7">
        <v>780308</v>
      </c>
      <c r="O468" t="s">
        <v>1989</v>
      </c>
      <c r="P468" t="s">
        <v>1990</v>
      </c>
      <c r="S468" t="s">
        <v>1801</v>
      </c>
      <c r="T468" t="s">
        <v>1601</v>
      </c>
      <c r="U468" t="s">
        <v>1802</v>
      </c>
      <c r="V468" s="8">
        <v>1250</v>
      </c>
      <c r="W468" s="7">
        <v>588115</v>
      </c>
      <c r="X468" t="s">
        <v>1803</v>
      </c>
      <c r="Y468" s="8">
        <v>1250</v>
      </c>
      <c r="Z468" s="8">
        <v>1475</v>
      </c>
      <c r="AA468" s="8">
        <v>225</v>
      </c>
      <c r="AB468" s="7">
        <v>111582</v>
      </c>
      <c r="AC468" t="s">
        <v>1803</v>
      </c>
      <c r="AD468" s="8">
        <v>0</v>
      </c>
      <c r="AG468" t="s">
        <v>817</v>
      </c>
      <c r="AH468" t="s">
        <v>802</v>
      </c>
      <c r="AI468" t="s">
        <v>818</v>
      </c>
    </row>
    <row r="469" spans="1:35" hidden="1">
      <c r="A469" s="7">
        <v>468</v>
      </c>
      <c r="B469" t="s">
        <v>243</v>
      </c>
      <c r="C469" t="s">
        <v>244</v>
      </c>
      <c r="D469" s="7">
        <v>7134</v>
      </c>
      <c r="E469" t="s">
        <v>245</v>
      </c>
      <c r="F469" t="s">
        <v>246</v>
      </c>
      <c r="G469" t="s">
        <v>263</v>
      </c>
      <c r="H469" t="s">
        <v>657</v>
      </c>
      <c r="I469" s="7">
        <v>856</v>
      </c>
      <c r="J469" s="7">
        <v>9669</v>
      </c>
      <c r="K469" s="7">
        <v>1</v>
      </c>
      <c r="L469" t="s">
        <v>247</v>
      </c>
      <c r="M469" t="s">
        <v>261</v>
      </c>
      <c r="N469" s="7">
        <v>796597</v>
      </c>
      <c r="O469" t="s">
        <v>2056</v>
      </c>
      <c r="P469" t="s">
        <v>2057</v>
      </c>
      <c r="S469" t="s">
        <v>1801</v>
      </c>
      <c r="T469" t="s">
        <v>1601</v>
      </c>
      <c r="U469" t="s">
        <v>1802</v>
      </c>
      <c r="V469" s="8">
        <v>1250</v>
      </c>
      <c r="W469" s="7">
        <v>588115</v>
      </c>
      <c r="X469" t="s">
        <v>1803</v>
      </c>
      <c r="Y469" s="8">
        <v>1250</v>
      </c>
      <c r="Z469" s="8">
        <v>1475</v>
      </c>
      <c r="AA469" s="8">
        <v>225</v>
      </c>
      <c r="AB469" s="7">
        <v>111582</v>
      </c>
      <c r="AC469" t="s">
        <v>1803</v>
      </c>
      <c r="AD469" s="8">
        <v>0</v>
      </c>
      <c r="AG469" t="s">
        <v>817</v>
      </c>
      <c r="AH469" t="s">
        <v>802</v>
      </c>
      <c r="AI469" t="s">
        <v>818</v>
      </c>
    </row>
    <row r="470" spans="1:35" hidden="1">
      <c r="A470" s="7">
        <v>469</v>
      </c>
      <c r="B470" t="s">
        <v>243</v>
      </c>
      <c r="C470" t="s">
        <v>244</v>
      </c>
      <c r="D470" s="7">
        <v>7134</v>
      </c>
      <c r="E470" t="s">
        <v>245</v>
      </c>
      <c r="F470" t="s">
        <v>246</v>
      </c>
      <c r="G470" t="s">
        <v>1428</v>
      </c>
      <c r="H470" t="s">
        <v>1887</v>
      </c>
      <c r="I470" s="7">
        <v>1165</v>
      </c>
      <c r="J470" s="7">
        <v>70000</v>
      </c>
      <c r="K470" s="7">
        <v>7</v>
      </c>
      <c r="L470" t="s">
        <v>247</v>
      </c>
      <c r="M470" t="s">
        <v>361</v>
      </c>
      <c r="N470" s="7">
        <v>3046</v>
      </c>
      <c r="O470" t="s">
        <v>1429</v>
      </c>
      <c r="P470" t="s">
        <v>1430</v>
      </c>
      <c r="S470" t="s">
        <v>1801</v>
      </c>
      <c r="T470" t="s">
        <v>1601</v>
      </c>
      <c r="U470" t="s">
        <v>1802</v>
      </c>
      <c r="V470" s="8">
        <v>1650</v>
      </c>
      <c r="W470" s="7">
        <v>588115</v>
      </c>
      <c r="X470" t="s">
        <v>1803</v>
      </c>
      <c r="Y470" s="8">
        <v>1650</v>
      </c>
      <c r="Z470" s="8">
        <v>1947</v>
      </c>
      <c r="AA470" s="8">
        <v>297</v>
      </c>
      <c r="AB470" s="7">
        <v>111582</v>
      </c>
      <c r="AC470" t="s">
        <v>1803</v>
      </c>
      <c r="AD470" s="8">
        <v>0</v>
      </c>
      <c r="AG470" t="s">
        <v>823</v>
      </c>
      <c r="AH470" t="s">
        <v>802</v>
      </c>
      <c r="AI470" t="s">
        <v>818</v>
      </c>
    </row>
    <row r="471" spans="1:35" hidden="1">
      <c r="A471" s="7">
        <v>470</v>
      </c>
      <c r="B471" t="s">
        <v>243</v>
      </c>
      <c r="C471" t="s">
        <v>244</v>
      </c>
      <c r="D471" s="7">
        <v>7134</v>
      </c>
      <c r="E471" t="s">
        <v>245</v>
      </c>
      <c r="F471" t="s">
        <v>246</v>
      </c>
      <c r="G471" t="s">
        <v>1457</v>
      </c>
      <c r="H471" t="s">
        <v>602</v>
      </c>
      <c r="I471" s="7">
        <v>881</v>
      </c>
      <c r="J471" s="7">
        <v>9962</v>
      </c>
      <c r="K471" s="7">
        <v>1</v>
      </c>
      <c r="L471" t="s">
        <v>247</v>
      </c>
      <c r="M471" t="s">
        <v>261</v>
      </c>
      <c r="N471" s="7">
        <v>796039</v>
      </c>
      <c r="O471" t="s">
        <v>1853</v>
      </c>
      <c r="P471" t="s">
        <v>1854</v>
      </c>
      <c r="S471" t="s">
        <v>1801</v>
      </c>
      <c r="T471" t="s">
        <v>1601</v>
      </c>
      <c r="U471" t="s">
        <v>1802</v>
      </c>
      <c r="V471" s="8">
        <v>1250</v>
      </c>
      <c r="W471" s="7">
        <v>588115</v>
      </c>
      <c r="X471" t="s">
        <v>1803</v>
      </c>
      <c r="Y471" s="8">
        <v>1250</v>
      </c>
      <c r="Z471" s="8">
        <v>1475</v>
      </c>
      <c r="AA471" s="8">
        <v>225</v>
      </c>
      <c r="AB471" s="7">
        <v>111582</v>
      </c>
      <c r="AC471" t="s">
        <v>1803</v>
      </c>
      <c r="AD471" s="8">
        <v>0</v>
      </c>
      <c r="AG471" t="s">
        <v>817</v>
      </c>
      <c r="AH471" t="s">
        <v>802</v>
      </c>
      <c r="AI471" t="s">
        <v>818</v>
      </c>
    </row>
    <row r="472" spans="1:35" hidden="1">
      <c r="A472" s="7">
        <v>471</v>
      </c>
      <c r="B472" t="s">
        <v>243</v>
      </c>
      <c r="C472" t="s">
        <v>244</v>
      </c>
      <c r="D472" s="7">
        <v>7134</v>
      </c>
      <c r="E472" t="s">
        <v>245</v>
      </c>
      <c r="F472" t="s">
        <v>246</v>
      </c>
      <c r="G472" t="s">
        <v>313</v>
      </c>
      <c r="H472" t="s">
        <v>1830</v>
      </c>
      <c r="I472" s="7">
        <v>1165</v>
      </c>
      <c r="J472" s="7">
        <v>3282</v>
      </c>
      <c r="K472" s="7">
        <v>1</v>
      </c>
      <c r="L472" t="s">
        <v>247</v>
      </c>
      <c r="M472" t="s">
        <v>261</v>
      </c>
      <c r="N472" s="7">
        <v>785189</v>
      </c>
      <c r="O472" t="s">
        <v>373</v>
      </c>
      <c r="P472" t="s">
        <v>374</v>
      </c>
      <c r="S472" t="s">
        <v>1801</v>
      </c>
      <c r="T472" t="s">
        <v>1601</v>
      </c>
      <c r="U472" t="s">
        <v>1802</v>
      </c>
      <c r="V472" s="8">
        <v>1250</v>
      </c>
      <c r="W472" s="7">
        <v>588115</v>
      </c>
      <c r="X472" t="s">
        <v>1803</v>
      </c>
      <c r="Y472" s="8">
        <v>1250</v>
      </c>
      <c r="Z472" s="8">
        <v>1475</v>
      </c>
      <c r="AA472" s="8">
        <v>225</v>
      </c>
      <c r="AB472" s="7">
        <v>111582</v>
      </c>
      <c r="AC472" t="s">
        <v>1803</v>
      </c>
      <c r="AD472" s="8">
        <v>0</v>
      </c>
      <c r="AG472" t="s">
        <v>801</v>
      </c>
      <c r="AH472" t="s">
        <v>802</v>
      </c>
      <c r="AI472" t="s">
        <v>818</v>
      </c>
    </row>
    <row r="473" spans="1:35" hidden="1">
      <c r="A473" s="7">
        <v>472</v>
      </c>
      <c r="B473" t="s">
        <v>243</v>
      </c>
      <c r="C473" t="s">
        <v>244</v>
      </c>
      <c r="D473" s="7">
        <v>7134</v>
      </c>
      <c r="E473" t="s">
        <v>245</v>
      </c>
      <c r="F473" t="s">
        <v>246</v>
      </c>
      <c r="G473" t="s">
        <v>248</v>
      </c>
      <c r="H473" t="s">
        <v>629</v>
      </c>
      <c r="I473" s="7">
        <v>850</v>
      </c>
      <c r="J473" s="7">
        <v>10959</v>
      </c>
      <c r="K473" s="7">
        <v>1</v>
      </c>
      <c r="L473" t="s">
        <v>247</v>
      </c>
      <c r="M473" t="s">
        <v>261</v>
      </c>
      <c r="N473" s="7">
        <v>795369</v>
      </c>
      <c r="O473" t="s">
        <v>1929</v>
      </c>
      <c r="P473" t="s">
        <v>1930</v>
      </c>
      <c r="Q473" t="s">
        <v>908</v>
      </c>
      <c r="R473" t="s">
        <v>909</v>
      </c>
      <c r="S473" t="s">
        <v>1801</v>
      </c>
      <c r="T473" t="s">
        <v>1601</v>
      </c>
      <c r="U473" t="s">
        <v>1802</v>
      </c>
      <c r="V473" s="8">
        <v>1250</v>
      </c>
      <c r="W473" s="7">
        <v>588115</v>
      </c>
      <c r="X473" t="s">
        <v>1803</v>
      </c>
      <c r="Y473" s="8">
        <v>1000</v>
      </c>
      <c r="Z473" s="8">
        <v>1475</v>
      </c>
      <c r="AA473" s="8">
        <v>225</v>
      </c>
      <c r="AB473" s="7">
        <v>111582</v>
      </c>
      <c r="AC473" t="s">
        <v>1803</v>
      </c>
      <c r="AD473" s="8">
        <v>250</v>
      </c>
      <c r="AG473" t="s">
        <v>817</v>
      </c>
      <c r="AH473" t="s">
        <v>802</v>
      </c>
      <c r="AI473" t="s">
        <v>818</v>
      </c>
    </row>
    <row r="474" spans="1:35" hidden="1">
      <c r="A474" s="7">
        <v>473</v>
      </c>
      <c r="B474" t="s">
        <v>243</v>
      </c>
      <c r="C474" t="s">
        <v>244</v>
      </c>
      <c r="D474" s="7">
        <v>7134</v>
      </c>
      <c r="E474" t="s">
        <v>245</v>
      </c>
      <c r="F474" t="s">
        <v>246</v>
      </c>
      <c r="G474" t="s">
        <v>954</v>
      </c>
      <c r="H474" t="s">
        <v>1835</v>
      </c>
      <c r="I474" s="7">
        <v>1165</v>
      </c>
      <c r="J474" s="7">
        <v>40000</v>
      </c>
      <c r="K474" s="7">
        <v>4</v>
      </c>
      <c r="L474" t="s">
        <v>247</v>
      </c>
      <c r="M474" t="s">
        <v>267</v>
      </c>
      <c r="N474" s="7">
        <v>789860</v>
      </c>
      <c r="O474" t="s">
        <v>955</v>
      </c>
      <c r="P474" t="s">
        <v>956</v>
      </c>
      <c r="S474" t="s">
        <v>1801</v>
      </c>
      <c r="T474" t="s">
        <v>1601</v>
      </c>
      <c r="U474" t="s">
        <v>1802</v>
      </c>
      <c r="V474" s="8">
        <v>0</v>
      </c>
      <c r="W474" s="7">
        <v>588115</v>
      </c>
      <c r="X474" t="s">
        <v>1803</v>
      </c>
      <c r="Y474" s="8">
        <v>0</v>
      </c>
      <c r="Z474" s="8">
        <v>0</v>
      </c>
      <c r="AA474" s="8">
        <v>0</v>
      </c>
      <c r="AB474" s="7">
        <v>111582</v>
      </c>
      <c r="AC474" t="s">
        <v>1803</v>
      </c>
      <c r="AD474" s="8">
        <v>0</v>
      </c>
      <c r="AG474" t="s">
        <v>828</v>
      </c>
      <c r="AH474" t="s">
        <v>802</v>
      </c>
      <c r="AI474" t="s">
        <v>803</v>
      </c>
    </row>
    <row r="475" spans="1:35" hidden="1">
      <c r="A475" s="7">
        <v>474</v>
      </c>
      <c r="B475" t="s">
        <v>243</v>
      </c>
      <c r="C475" t="s">
        <v>244</v>
      </c>
      <c r="D475" s="7">
        <v>7134</v>
      </c>
      <c r="E475" t="s">
        <v>245</v>
      </c>
      <c r="F475" t="s">
        <v>246</v>
      </c>
      <c r="G475" t="s">
        <v>1996</v>
      </c>
      <c r="H475" t="s">
        <v>578</v>
      </c>
      <c r="I475" s="7">
        <v>1160</v>
      </c>
      <c r="J475" s="7">
        <v>99850</v>
      </c>
      <c r="K475" s="7">
        <v>12</v>
      </c>
      <c r="L475" t="s">
        <v>247</v>
      </c>
      <c r="M475" t="s">
        <v>261</v>
      </c>
      <c r="N475" s="7">
        <v>423794</v>
      </c>
      <c r="O475" t="s">
        <v>1997</v>
      </c>
      <c r="P475" t="s">
        <v>1998</v>
      </c>
      <c r="Q475" t="s">
        <v>283</v>
      </c>
      <c r="R475" t="s">
        <v>1062</v>
      </c>
      <c r="S475" t="s">
        <v>1801</v>
      </c>
      <c r="T475" t="s">
        <v>1601</v>
      </c>
      <c r="U475" t="s">
        <v>1802</v>
      </c>
      <c r="V475" s="8">
        <v>1250</v>
      </c>
      <c r="W475" s="7">
        <v>588115</v>
      </c>
      <c r="X475" t="s">
        <v>1803</v>
      </c>
      <c r="Y475" s="8">
        <v>0</v>
      </c>
      <c r="Z475" s="8">
        <v>1475</v>
      </c>
      <c r="AA475" s="8">
        <v>225</v>
      </c>
      <c r="AB475" s="7">
        <v>111582</v>
      </c>
      <c r="AC475" t="s">
        <v>1803</v>
      </c>
      <c r="AD475" s="8">
        <v>1250</v>
      </c>
      <c r="AG475" t="s">
        <v>261</v>
      </c>
      <c r="AH475" t="s">
        <v>802</v>
      </c>
      <c r="AI475" t="s">
        <v>818</v>
      </c>
    </row>
    <row r="476" spans="1:35" hidden="1">
      <c r="A476" s="7">
        <v>475</v>
      </c>
      <c r="B476" t="s">
        <v>243</v>
      </c>
      <c r="C476" t="s">
        <v>244</v>
      </c>
      <c r="D476" s="7">
        <v>7134</v>
      </c>
      <c r="E476" t="s">
        <v>245</v>
      </c>
      <c r="F476" t="s">
        <v>246</v>
      </c>
      <c r="G476" t="s">
        <v>1457</v>
      </c>
      <c r="H476" t="s">
        <v>657</v>
      </c>
      <c r="I476" s="7">
        <v>892</v>
      </c>
      <c r="J476" s="7">
        <v>8226</v>
      </c>
      <c r="K476" s="7">
        <v>1</v>
      </c>
      <c r="L476" t="s">
        <v>247</v>
      </c>
      <c r="M476" t="s">
        <v>261</v>
      </c>
      <c r="N476" s="7">
        <v>796209</v>
      </c>
      <c r="O476" t="s">
        <v>1999</v>
      </c>
      <c r="P476" t="s">
        <v>2000</v>
      </c>
      <c r="Q476" t="s">
        <v>283</v>
      </c>
      <c r="R476" t="s">
        <v>1062</v>
      </c>
      <c r="S476" t="s">
        <v>1801</v>
      </c>
      <c r="T476" t="s">
        <v>1601</v>
      </c>
      <c r="U476" t="s">
        <v>1802</v>
      </c>
      <c r="V476" s="8">
        <v>1250</v>
      </c>
      <c r="W476" s="7">
        <v>588115</v>
      </c>
      <c r="X476" t="s">
        <v>1803</v>
      </c>
      <c r="Y476" s="8">
        <v>0</v>
      </c>
      <c r="Z476" s="8">
        <v>1475</v>
      </c>
      <c r="AA476" s="8">
        <v>225</v>
      </c>
      <c r="AB476" s="7">
        <v>111582</v>
      </c>
      <c r="AC476" t="s">
        <v>1803</v>
      </c>
      <c r="AD476" s="8">
        <v>1250</v>
      </c>
      <c r="AG476" t="s">
        <v>817</v>
      </c>
      <c r="AH476" t="s">
        <v>802</v>
      </c>
      <c r="AI476" t="s">
        <v>818</v>
      </c>
    </row>
    <row r="477" spans="1:35" hidden="1">
      <c r="A477" s="7">
        <v>476</v>
      </c>
      <c r="B477" t="s">
        <v>243</v>
      </c>
      <c r="C477" t="s">
        <v>244</v>
      </c>
      <c r="D477" s="7">
        <v>7134</v>
      </c>
      <c r="E477" t="s">
        <v>245</v>
      </c>
      <c r="F477" t="s">
        <v>246</v>
      </c>
      <c r="G477" t="s">
        <v>1542</v>
      </c>
      <c r="H477" t="s">
        <v>594</v>
      </c>
      <c r="I477" s="7">
        <v>1165</v>
      </c>
      <c r="J477" s="7">
        <v>80000</v>
      </c>
      <c r="K477" s="7">
        <v>8</v>
      </c>
      <c r="L477" t="s">
        <v>247</v>
      </c>
      <c r="M477" t="s">
        <v>361</v>
      </c>
      <c r="N477" s="7">
        <v>3269</v>
      </c>
      <c r="O477" t="s">
        <v>1543</v>
      </c>
      <c r="P477" t="s">
        <v>1544</v>
      </c>
      <c r="S477" t="s">
        <v>1801</v>
      </c>
      <c r="T477" t="s">
        <v>1601</v>
      </c>
      <c r="U477" t="s">
        <v>1802</v>
      </c>
      <c r="V477" s="8">
        <v>0</v>
      </c>
      <c r="W477" s="7">
        <v>588115</v>
      </c>
      <c r="X477" t="s">
        <v>1803</v>
      </c>
      <c r="Y477" s="8">
        <v>0</v>
      </c>
      <c r="Z477" s="8">
        <v>0</v>
      </c>
      <c r="AA477" s="8">
        <v>0</v>
      </c>
      <c r="AB477" s="7">
        <v>111582</v>
      </c>
      <c r="AC477" t="s">
        <v>1803</v>
      </c>
      <c r="AD477" s="8">
        <v>0</v>
      </c>
      <c r="AG477" t="s">
        <v>823</v>
      </c>
      <c r="AH477" t="s">
        <v>802</v>
      </c>
      <c r="AI477" t="s">
        <v>803</v>
      </c>
    </row>
    <row r="478" spans="1:35" hidden="1">
      <c r="A478" s="7">
        <v>477</v>
      </c>
      <c r="B478" t="s">
        <v>243</v>
      </c>
      <c r="C478" t="s">
        <v>244</v>
      </c>
      <c r="D478" s="7">
        <v>7134</v>
      </c>
      <c r="E478" t="s">
        <v>245</v>
      </c>
      <c r="F478" t="s">
        <v>246</v>
      </c>
      <c r="G478" t="s">
        <v>2049</v>
      </c>
      <c r="H478" t="s">
        <v>1814</v>
      </c>
      <c r="I478" s="7">
        <v>1165</v>
      </c>
      <c r="J478" s="7">
        <v>28469</v>
      </c>
      <c r="K478" s="7">
        <v>11</v>
      </c>
      <c r="L478" t="s">
        <v>247</v>
      </c>
      <c r="M478" t="s">
        <v>261</v>
      </c>
      <c r="N478" s="7">
        <v>733389</v>
      </c>
      <c r="O478" t="s">
        <v>2050</v>
      </c>
      <c r="P478" t="s">
        <v>2051</v>
      </c>
      <c r="S478" t="s">
        <v>1801</v>
      </c>
      <c r="T478" t="s">
        <v>1601</v>
      </c>
      <c r="U478" t="s">
        <v>1802</v>
      </c>
      <c r="V478" s="8">
        <v>1250</v>
      </c>
      <c r="W478" s="7">
        <v>588115</v>
      </c>
      <c r="X478" t="s">
        <v>1803</v>
      </c>
      <c r="Y478" s="8">
        <v>1250</v>
      </c>
      <c r="Z478" s="8">
        <v>1475</v>
      </c>
      <c r="AA478" s="8">
        <v>225</v>
      </c>
      <c r="AB478" s="7">
        <v>111582</v>
      </c>
      <c r="AC478" t="s">
        <v>1803</v>
      </c>
      <c r="AD478" s="8">
        <v>0</v>
      </c>
      <c r="AG478" t="s">
        <v>808</v>
      </c>
      <c r="AH478" t="s">
        <v>802</v>
      </c>
      <c r="AI478" t="s">
        <v>818</v>
      </c>
    </row>
    <row r="479" spans="1:35" hidden="1">
      <c r="A479" s="7">
        <v>478</v>
      </c>
      <c r="B479" t="s">
        <v>243</v>
      </c>
      <c r="C479" t="s">
        <v>244</v>
      </c>
      <c r="D479" s="7">
        <v>7134</v>
      </c>
      <c r="E479" t="s">
        <v>245</v>
      </c>
      <c r="F479" t="s">
        <v>246</v>
      </c>
      <c r="G479" t="s">
        <v>1305</v>
      </c>
      <c r="H479" t="s">
        <v>589</v>
      </c>
      <c r="I479" s="7">
        <v>1165</v>
      </c>
      <c r="J479" s="7">
        <v>50000</v>
      </c>
      <c r="K479" s="7">
        <v>5</v>
      </c>
      <c r="L479" t="s">
        <v>247</v>
      </c>
      <c r="M479" t="s">
        <v>261</v>
      </c>
      <c r="N479" s="7">
        <v>775502</v>
      </c>
      <c r="O479" t="s">
        <v>1845</v>
      </c>
      <c r="P479" t="s">
        <v>1846</v>
      </c>
      <c r="Q479" t="s">
        <v>870</v>
      </c>
      <c r="R479" t="s">
        <v>871</v>
      </c>
      <c r="S479" t="s">
        <v>1801</v>
      </c>
      <c r="T479" t="s">
        <v>1601</v>
      </c>
      <c r="U479" t="s">
        <v>1802</v>
      </c>
      <c r="V479" s="8">
        <v>1250</v>
      </c>
      <c r="W479" s="7">
        <v>588115</v>
      </c>
      <c r="X479" t="s">
        <v>1803</v>
      </c>
      <c r="Y479" s="8">
        <v>1000</v>
      </c>
      <c r="Z479" s="8">
        <v>1475</v>
      </c>
      <c r="AA479" s="8">
        <v>225</v>
      </c>
      <c r="AB479" s="7">
        <v>111582</v>
      </c>
      <c r="AC479" t="s">
        <v>1803</v>
      </c>
      <c r="AD479" s="8">
        <v>250</v>
      </c>
      <c r="AG479" t="s">
        <v>801</v>
      </c>
      <c r="AH479" t="s">
        <v>802</v>
      </c>
      <c r="AI479" t="s">
        <v>818</v>
      </c>
    </row>
    <row r="480" spans="1:35" hidden="1">
      <c r="A480" s="7">
        <v>479</v>
      </c>
      <c r="B480" t="s">
        <v>243</v>
      </c>
      <c r="C480" t="s">
        <v>244</v>
      </c>
      <c r="D480" s="7">
        <v>7134</v>
      </c>
      <c r="E480" t="s">
        <v>245</v>
      </c>
      <c r="F480" t="s">
        <v>246</v>
      </c>
      <c r="G480" t="s">
        <v>1017</v>
      </c>
      <c r="H480" t="s">
        <v>612</v>
      </c>
      <c r="I480" s="7">
        <v>1165</v>
      </c>
      <c r="J480" s="7">
        <v>34972</v>
      </c>
      <c r="K480" s="7">
        <v>12</v>
      </c>
      <c r="L480" t="s">
        <v>247</v>
      </c>
      <c r="M480" t="s">
        <v>261</v>
      </c>
      <c r="N480" s="7">
        <v>748690</v>
      </c>
      <c r="O480" t="s">
        <v>1858</v>
      </c>
      <c r="P480" t="s">
        <v>1859</v>
      </c>
      <c r="S480" t="s">
        <v>1801</v>
      </c>
      <c r="T480" t="s">
        <v>1601</v>
      </c>
      <c r="U480" t="s">
        <v>1802</v>
      </c>
      <c r="V480" s="8">
        <v>0</v>
      </c>
      <c r="W480" s="7">
        <v>588115</v>
      </c>
      <c r="X480" t="s">
        <v>1803</v>
      </c>
      <c r="Y480" s="8">
        <v>0</v>
      </c>
      <c r="Z480" s="8">
        <v>0</v>
      </c>
      <c r="AA480" s="8">
        <v>0</v>
      </c>
      <c r="AB480" s="7">
        <v>111582</v>
      </c>
      <c r="AC480" t="s">
        <v>1803</v>
      </c>
      <c r="AD480" s="8">
        <v>0</v>
      </c>
      <c r="AG480" t="s">
        <v>801</v>
      </c>
      <c r="AH480" t="s">
        <v>802</v>
      </c>
      <c r="AI480" t="s">
        <v>803</v>
      </c>
    </row>
    <row r="481" spans="1:35" hidden="1">
      <c r="A481" s="7">
        <v>480</v>
      </c>
      <c r="B481" t="s">
        <v>243</v>
      </c>
      <c r="C481" t="s">
        <v>244</v>
      </c>
      <c r="D481" s="7">
        <v>7134</v>
      </c>
      <c r="E481" t="s">
        <v>245</v>
      </c>
      <c r="F481" t="s">
        <v>246</v>
      </c>
      <c r="G481" t="s">
        <v>999</v>
      </c>
      <c r="H481" t="s">
        <v>594</v>
      </c>
      <c r="I481" s="7">
        <v>1165</v>
      </c>
      <c r="J481" s="7">
        <v>29220</v>
      </c>
      <c r="K481" s="7">
        <v>3</v>
      </c>
      <c r="L481" t="s">
        <v>247</v>
      </c>
      <c r="M481" t="s">
        <v>261</v>
      </c>
      <c r="N481" s="7">
        <v>790753</v>
      </c>
      <c r="O481" t="s">
        <v>1000</v>
      </c>
      <c r="P481" t="s">
        <v>1001</v>
      </c>
      <c r="S481" t="s">
        <v>1801</v>
      </c>
      <c r="T481" t="s">
        <v>1601</v>
      </c>
      <c r="U481" t="s">
        <v>1802</v>
      </c>
      <c r="V481" s="8">
        <v>1250</v>
      </c>
      <c r="W481" s="7">
        <v>588115</v>
      </c>
      <c r="X481" t="s">
        <v>1803</v>
      </c>
      <c r="Y481" s="8">
        <v>1250</v>
      </c>
      <c r="Z481" s="8">
        <v>1475</v>
      </c>
      <c r="AA481" s="8">
        <v>225</v>
      </c>
      <c r="AB481" s="7">
        <v>111582</v>
      </c>
      <c r="AC481" t="s">
        <v>1803</v>
      </c>
      <c r="AD481" s="8">
        <v>0</v>
      </c>
      <c r="AG481" t="s">
        <v>801</v>
      </c>
      <c r="AH481" t="s">
        <v>802</v>
      </c>
      <c r="AI481" t="s">
        <v>818</v>
      </c>
    </row>
    <row r="482" spans="1:35" hidden="1">
      <c r="A482" s="7">
        <v>481</v>
      </c>
      <c r="B482" t="s">
        <v>243</v>
      </c>
      <c r="C482" t="s">
        <v>244</v>
      </c>
      <c r="D482" s="7">
        <v>7134</v>
      </c>
      <c r="E482" t="s">
        <v>245</v>
      </c>
      <c r="F482" t="s">
        <v>246</v>
      </c>
      <c r="G482" t="s">
        <v>263</v>
      </c>
      <c r="H482" t="s">
        <v>594</v>
      </c>
      <c r="I482" s="7">
        <v>852</v>
      </c>
      <c r="J482" s="7">
        <v>10328</v>
      </c>
      <c r="K482" s="7">
        <v>1</v>
      </c>
      <c r="L482" t="s">
        <v>247</v>
      </c>
      <c r="M482" t="s">
        <v>261</v>
      </c>
      <c r="N482" s="7">
        <v>796224</v>
      </c>
      <c r="O482" t="s">
        <v>1943</v>
      </c>
      <c r="P482" t="s">
        <v>1944</v>
      </c>
      <c r="S482" t="s">
        <v>1801</v>
      </c>
      <c r="T482" t="s">
        <v>1601</v>
      </c>
      <c r="U482" t="s">
        <v>1802</v>
      </c>
      <c r="V482" s="8">
        <v>1250</v>
      </c>
      <c r="W482" s="7">
        <v>588115</v>
      </c>
      <c r="X482" t="s">
        <v>1803</v>
      </c>
      <c r="Y482" s="8">
        <v>1250</v>
      </c>
      <c r="Z482" s="8">
        <v>1475</v>
      </c>
      <c r="AA482" s="8">
        <v>225</v>
      </c>
      <c r="AB482" s="7">
        <v>111582</v>
      </c>
      <c r="AC482" t="s">
        <v>1803</v>
      </c>
      <c r="AD482" s="8">
        <v>0</v>
      </c>
      <c r="AG482" t="s">
        <v>817</v>
      </c>
      <c r="AH482" t="s">
        <v>802</v>
      </c>
      <c r="AI482" t="s">
        <v>818</v>
      </c>
    </row>
    <row r="483" spans="1:35" hidden="1">
      <c r="A483" s="7">
        <v>482</v>
      </c>
      <c r="B483" t="s">
        <v>243</v>
      </c>
      <c r="C483" t="s">
        <v>244</v>
      </c>
      <c r="D483" s="7">
        <v>7134</v>
      </c>
      <c r="E483" t="s">
        <v>245</v>
      </c>
      <c r="F483" t="s">
        <v>246</v>
      </c>
      <c r="G483" t="s">
        <v>1024</v>
      </c>
      <c r="H483" t="s">
        <v>607</v>
      </c>
      <c r="I483" s="7">
        <v>1165</v>
      </c>
      <c r="J483" s="7">
        <v>59230</v>
      </c>
      <c r="K483" s="7">
        <v>6</v>
      </c>
      <c r="L483" t="s">
        <v>247</v>
      </c>
      <c r="M483" t="s">
        <v>261</v>
      </c>
      <c r="N483" s="7">
        <v>785727</v>
      </c>
      <c r="O483" t="s">
        <v>1322</v>
      </c>
      <c r="P483" t="s">
        <v>1323</v>
      </c>
      <c r="S483" t="s">
        <v>1801</v>
      </c>
      <c r="T483" t="s">
        <v>1601</v>
      </c>
      <c r="U483" t="s">
        <v>1802</v>
      </c>
      <c r="V483" s="8">
        <v>0</v>
      </c>
      <c r="W483" s="7">
        <v>588115</v>
      </c>
      <c r="X483" t="s">
        <v>1803</v>
      </c>
      <c r="Y483" s="8">
        <v>0</v>
      </c>
      <c r="Z483" s="8">
        <v>0</v>
      </c>
      <c r="AA483" s="8">
        <v>0</v>
      </c>
      <c r="AB483" s="7">
        <v>111582</v>
      </c>
      <c r="AC483" t="s">
        <v>1803</v>
      </c>
      <c r="AD483" s="8">
        <v>0</v>
      </c>
      <c r="AG483" t="s">
        <v>801</v>
      </c>
      <c r="AH483" t="s">
        <v>802</v>
      </c>
      <c r="AI483" t="s">
        <v>803</v>
      </c>
    </row>
    <row r="484" spans="1:35" hidden="1">
      <c r="A484" s="7">
        <v>483</v>
      </c>
      <c r="B484" t="s">
        <v>243</v>
      </c>
      <c r="C484" t="s">
        <v>244</v>
      </c>
      <c r="D484" s="7">
        <v>7134</v>
      </c>
      <c r="E484" t="s">
        <v>245</v>
      </c>
      <c r="F484" t="s">
        <v>246</v>
      </c>
      <c r="G484" t="s">
        <v>1434</v>
      </c>
      <c r="H484" t="s">
        <v>1887</v>
      </c>
      <c r="I484" s="7">
        <v>1165</v>
      </c>
      <c r="J484" s="7">
        <v>100000</v>
      </c>
      <c r="K484" s="7">
        <v>10</v>
      </c>
      <c r="L484" t="s">
        <v>247</v>
      </c>
      <c r="M484" t="s">
        <v>252</v>
      </c>
      <c r="N484" s="7">
        <v>317507</v>
      </c>
      <c r="O484" t="s">
        <v>1435</v>
      </c>
      <c r="P484" t="s">
        <v>1436</v>
      </c>
      <c r="Q484" t="s">
        <v>1902</v>
      </c>
      <c r="R484" t="s">
        <v>1903</v>
      </c>
      <c r="S484" t="s">
        <v>1801</v>
      </c>
      <c r="T484" t="s">
        <v>1601</v>
      </c>
      <c r="U484" t="s">
        <v>1802</v>
      </c>
      <c r="V484" s="8">
        <v>0</v>
      </c>
      <c r="W484" s="7">
        <v>588115</v>
      </c>
      <c r="X484" t="s">
        <v>1803</v>
      </c>
      <c r="Y484" s="8">
        <v>0</v>
      </c>
      <c r="Z484" s="8">
        <v>0</v>
      </c>
      <c r="AA484" s="8">
        <v>0</v>
      </c>
      <c r="AB484" s="7">
        <v>111582</v>
      </c>
      <c r="AC484" t="s">
        <v>1803</v>
      </c>
      <c r="AD484" s="8">
        <v>0</v>
      </c>
      <c r="AG484" t="s">
        <v>937</v>
      </c>
      <c r="AH484" t="s">
        <v>802</v>
      </c>
      <c r="AI484" t="s">
        <v>803</v>
      </c>
    </row>
    <row r="485" spans="1:35" hidden="1">
      <c r="A485" s="7">
        <v>484</v>
      </c>
      <c r="B485" t="s">
        <v>243</v>
      </c>
      <c r="C485" t="s">
        <v>244</v>
      </c>
      <c r="D485" s="7">
        <v>7134</v>
      </c>
      <c r="E485" t="s">
        <v>245</v>
      </c>
      <c r="F485" t="s">
        <v>246</v>
      </c>
      <c r="G485" t="s">
        <v>284</v>
      </c>
      <c r="H485" t="s">
        <v>624</v>
      </c>
      <c r="I485" s="7">
        <v>1165</v>
      </c>
      <c r="J485" s="7">
        <v>1500</v>
      </c>
      <c r="K485" s="7">
        <v>1</v>
      </c>
      <c r="L485" t="s">
        <v>247</v>
      </c>
      <c r="M485" t="s">
        <v>252</v>
      </c>
      <c r="N485" s="7">
        <v>327811</v>
      </c>
      <c r="O485" t="s">
        <v>286</v>
      </c>
      <c r="P485" t="s">
        <v>287</v>
      </c>
      <c r="S485" t="s">
        <v>1801</v>
      </c>
      <c r="T485" t="s">
        <v>1601</v>
      </c>
      <c r="U485" t="s">
        <v>1802</v>
      </c>
      <c r="V485" s="8">
        <v>1250</v>
      </c>
      <c r="W485" s="7">
        <v>588115</v>
      </c>
      <c r="X485" t="s">
        <v>1803</v>
      </c>
      <c r="Y485" s="8">
        <v>1250</v>
      </c>
      <c r="Z485" s="8">
        <v>1475</v>
      </c>
      <c r="AA485" s="8">
        <v>225</v>
      </c>
      <c r="AB485" s="7">
        <v>111582</v>
      </c>
      <c r="AC485" t="s">
        <v>1803</v>
      </c>
      <c r="AD485" s="8">
        <v>0</v>
      </c>
      <c r="AG485" t="s">
        <v>937</v>
      </c>
      <c r="AH485" t="s">
        <v>802</v>
      </c>
      <c r="AI485" t="s">
        <v>818</v>
      </c>
    </row>
    <row r="486" spans="1:35" hidden="1">
      <c r="A486" s="7">
        <v>485</v>
      </c>
      <c r="B486" t="s">
        <v>243</v>
      </c>
      <c r="C486" t="s">
        <v>244</v>
      </c>
      <c r="D486" s="7">
        <v>7134</v>
      </c>
      <c r="E486" t="s">
        <v>245</v>
      </c>
      <c r="F486" t="s">
        <v>246</v>
      </c>
      <c r="G486" t="s">
        <v>1011</v>
      </c>
      <c r="H486" t="s">
        <v>1808</v>
      </c>
      <c r="I486" s="7">
        <v>1165</v>
      </c>
      <c r="J486" s="7">
        <v>6830</v>
      </c>
      <c r="K486" s="7">
        <v>5</v>
      </c>
      <c r="L486" t="s">
        <v>247</v>
      </c>
      <c r="M486" t="s">
        <v>261</v>
      </c>
      <c r="N486" s="7">
        <v>781826</v>
      </c>
      <c r="O486" t="s">
        <v>1462</v>
      </c>
      <c r="P486" t="s">
        <v>1463</v>
      </c>
      <c r="S486" t="s">
        <v>1801</v>
      </c>
      <c r="T486" t="s">
        <v>1601</v>
      </c>
      <c r="U486" t="s">
        <v>1802</v>
      </c>
      <c r="V486" s="8">
        <v>1250</v>
      </c>
      <c r="W486" s="7">
        <v>588115</v>
      </c>
      <c r="X486" t="s">
        <v>1803</v>
      </c>
      <c r="Y486" s="8">
        <v>1250</v>
      </c>
      <c r="Z486" s="8">
        <v>1475</v>
      </c>
      <c r="AA486" s="8">
        <v>225</v>
      </c>
      <c r="AB486" s="7">
        <v>111582</v>
      </c>
      <c r="AC486" t="s">
        <v>1803</v>
      </c>
      <c r="AD486" s="8">
        <v>0</v>
      </c>
      <c r="AG486" t="s">
        <v>808</v>
      </c>
      <c r="AH486" t="s">
        <v>802</v>
      </c>
      <c r="AI486" t="s">
        <v>818</v>
      </c>
    </row>
    <row r="487" spans="1:35" hidden="1">
      <c r="A487" s="7">
        <v>486</v>
      </c>
      <c r="B487" t="s">
        <v>243</v>
      </c>
      <c r="C487" t="s">
        <v>244</v>
      </c>
      <c r="D487" s="7">
        <v>7134</v>
      </c>
      <c r="E487" t="s">
        <v>245</v>
      </c>
      <c r="F487" t="s">
        <v>246</v>
      </c>
      <c r="G487" t="s">
        <v>248</v>
      </c>
      <c r="H487" t="s">
        <v>649</v>
      </c>
      <c r="I487" s="7">
        <v>851</v>
      </c>
      <c r="J487" s="7">
        <v>11000</v>
      </c>
      <c r="K487" s="7">
        <v>1</v>
      </c>
      <c r="L487" t="s">
        <v>247</v>
      </c>
      <c r="M487" t="s">
        <v>261</v>
      </c>
      <c r="N487" s="7">
        <v>798565</v>
      </c>
      <c r="O487" t="s">
        <v>1904</v>
      </c>
      <c r="P487" t="s">
        <v>1905</v>
      </c>
      <c r="Q487" t="s">
        <v>908</v>
      </c>
      <c r="R487" t="s">
        <v>909</v>
      </c>
      <c r="S487" t="s">
        <v>1801</v>
      </c>
      <c r="T487" t="s">
        <v>1601</v>
      </c>
      <c r="U487" t="s">
        <v>1802</v>
      </c>
      <c r="V487" s="8">
        <v>1250</v>
      </c>
      <c r="W487" s="7">
        <v>588115</v>
      </c>
      <c r="X487" t="s">
        <v>1803</v>
      </c>
      <c r="Y487" s="8">
        <v>1000</v>
      </c>
      <c r="Z487" s="8">
        <v>1475</v>
      </c>
      <c r="AA487" s="8">
        <v>225</v>
      </c>
      <c r="AB487" s="7">
        <v>111582</v>
      </c>
      <c r="AC487" t="s">
        <v>1803</v>
      </c>
      <c r="AD487" s="8">
        <v>250</v>
      </c>
      <c r="AG487" t="s">
        <v>817</v>
      </c>
      <c r="AH487" t="s">
        <v>802</v>
      </c>
      <c r="AI487" t="s">
        <v>818</v>
      </c>
    </row>
    <row r="488" spans="1:35" hidden="1">
      <c r="A488" s="7">
        <v>487</v>
      </c>
      <c r="B488" t="s">
        <v>243</v>
      </c>
      <c r="C488" t="s">
        <v>244</v>
      </c>
      <c r="D488" s="7">
        <v>7134</v>
      </c>
      <c r="E488" t="s">
        <v>245</v>
      </c>
      <c r="F488" t="s">
        <v>246</v>
      </c>
      <c r="G488" t="s">
        <v>1240</v>
      </c>
      <c r="H488" t="s">
        <v>1798</v>
      </c>
      <c r="I488" s="7">
        <v>1165</v>
      </c>
      <c r="J488" s="7">
        <v>58080</v>
      </c>
      <c r="K488" s="7">
        <v>6</v>
      </c>
      <c r="L488" t="s">
        <v>247</v>
      </c>
      <c r="M488" t="s">
        <v>261</v>
      </c>
      <c r="N488" s="7">
        <v>775222</v>
      </c>
      <c r="O488" t="s">
        <v>1241</v>
      </c>
      <c r="P488" t="s">
        <v>1242</v>
      </c>
      <c r="S488" t="s">
        <v>1801</v>
      </c>
      <c r="T488" t="s">
        <v>1601</v>
      </c>
      <c r="U488" t="s">
        <v>1802</v>
      </c>
      <c r="V488" s="8">
        <v>0</v>
      </c>
      <c r="W488" s="7">
        <v>588115</v>
      </c>
      <c r="X488" t="s">
        <v>1803</v>
      </c>
      <c r="Y488" s="8">
        <v>0</v>
      </c>
      <c r="Z488" s="8">
        <v>0</v>
      </c>
      <c r="AA488" s="8">
        <v>0</v>
      </c>
      <c r="AB488" s="7">
        <v>111582</v>
      </c>
      <c r="AC488" t="s">
        <v>1803</v>
      </c>
      <c r="AD488" s="8">
        <v>0</v>
      </c>
      <c r="AG488" t="s">
        <v>801</v>
      </c>
      <c r="AH488" t="s">
        <v>802</v>
      </c>
      <c r="AI488" t="s">
        <v>803</v>
      </c>
    </row>
    <row r="489" spans="1:35" hidden="1">
      <c r="A489" s="7">
        <v>488</v>
      </c>
      <c r="B489" t="s">
        <v>243</v>
      </c>
      <c r="C489" t="s">
        <v>244</v>
      </c>
      <c r="D489" s="7">
        <v>7134</v>
      </c>
      <c r="E489" t="s">
        <v>245</v>
      </c>
      <c r="F489" t="s">
        <v>246</v>
      </c>
      <c r="G489" t="s">
        <v>1733</v>
      </c>
      <c r="H489" t="s">
        <v>1835</v>
      </c>
      <c r="I489" s="7">
        <v>1165</v>
      </c>
      <c r="J489" s="7">
        <v>49722</v>
      </c>
      <c r="K489" s="7">
        <v>5</v>
      </c>
      <c r="L489" t="s">
        <v>247</v>
      </c>
      <c r="M489" t="s">
        <v>261</v>
      </c>
      <c r="N489" s="7">
        <v>774649</v>
      </c>
      <c r="O489" t="s">
        <v>2062</v>
      </c>
      <c r="P489" t="s">
        <v>2063</v>
      </c>
      <c r="S489" t="s">
        <v>1801</v>
      </c>
      <c r="T489" t="s">
        <v>1601</v>
      </c>
      <c r="U489" t="s">
        <v>1802</v>
      </c>
      <c r="V489" s="8">
        <v>1250</v>
      </c>
      <c r="W489" s="7">
        <v>588115</v>
      </c>
      <c r="X489" t="s">
        <v>1803</v>
      </c>
      <c r="Y489" s="8">
        <v>1250</v>
      </c>
      <c r="Z489" s="8">
        <v>1475</v>
      </c>
      <c r="AA489" s="8">
        <v>225</v>
      </c>
      <c r="AB489" s="7">
        <v>111582</v>
      </c>
      <c r="AC489" t="s">
        <v>1803</v>
      </c>
      <c r="AD489" s="8">
        <v>0</v>
      </c>
      <c r="AG489" t="s">
        <v>801</v>
      </c>
      <c r="AH489" t="s">
        <v>802</v>
      </c>
      <c r="AI489" t="s">
        <v>818</v>
      </c>
    </row>
    <row r="490" spans="1:35" hidden="1">
      <c r="A490" s="7">
        <v>489</v>
      </c>
      <c r="B490" t="s">
        <v>243</v>
      </c>
      <c r="C490" t="s">
        <v>244</v>
      </c>
      <c r="D490" s="7">
        <v>7134</v>
      </c>
      <c r="E490" t="s">
        <v>245</v>
      </c>
      <c r="F490" t="s">
        <v>246</v>
      </c>
      <c r="G490" t="s">
        <v>864</v>
      </c>
      <c r="H490" t="s">
        <v>594</v>
      </c>
      <c r="I490" s="7">
        <v>1165</v>
      </c>
      <c r="J490" s="7">
        <v>47806</v>
      </c>
      <c r="K490" s="7">
        <v>5</v>
      </c>
      <c r="L490" t="s">
        <v>247</v>
      </c>
      <c r="M490" t="s">
        <v>361</v>
      </c>
      <c r="N490" s="7">
        <v>3559</v>
      </c>
      <c r="O490" t="s">
        <v>865</v>
      </c>
      <c r="P490" t="s">
        <v>866</v>
      </c>
      <c r="S490" t="s">
        <v>1801</v>
      </c>
      <c r="T490" t="s">
        <v>1601</v>
      </c>
      <c r="U490" t="s">
        <v>1802</v>
      </c>
      <c r="V490" s="8">
        <v>1650</v>
      </c>
      <c r="W490" s="7">
        <v>588115</v>
      </c>
      <c r="X490" t="s">
        <v>1803</v>
      </c>
      <c r="Y490" s="8">
        <v>1650</v>
      </c>
      <c r="Z490" s="8">
        <v>1947</v>
      </c>
      <c r="AA490" s="8">
        <v>297</v>
      </c>
      <c r="AB490" s="7">
        <v>111582</v>
      </c>
      <c r="AC490" t="s">
        <v>1803</v>
      </c>
      <c r="AD490" s="8">
        <v>0</v>
      </c>
      <c r="AG490" t="s">
        <v>823</v>
      </c>
      <c r="AH490" t="s">
        <v>802</v>
      </c>
      <c r="AI490" t="s">
        <v>818</v>
      </c>
    </row>
    <row r="491" spans="1:35" hidden="1">
      <c r="A491" s="7">
        <v>490</v>
      </c>
      <c r="B491" t="s">
        <v>243</v>
      </c>
      <c r="C491" t="s">
        <v>244</v>
      </c>
      <c r="D491" s="7">
        <v>7134</v>
      </c>
      <c r="E491" t="s">
        <v>245</v>
      </c>
      <c r="F491" t="s">
        <v>246</v>
      </c>
      <c r="G491" t="s">
        <v>1589</v>
      </c>
      <c r="H491" t="s">
        <v>1827</v>
      </c>
      <c r="I491" s="7">
        <v>1165</v>
      </c>
      <c r="J491" s="7">
        <v>30000</v>
      </c>
      <c r="K491" s="7">
        <v>3</v>
      </c>
      <c r="L491" t="s">
        <v>247</v>
      </c>
      <c r="M491" t="s">
        <v>261</v>
      </c>
      <c r="N491" s="7">
        <v>790286</v>
      </c>
      <c r="O491" t="s">
        <v>1590</v>
      </c>
      <c r="P491" t="s">
        <v>1591</v>
      </c>
      <c r="Q491" t="s">
        <v>870</v>
      </c>
      <c r="R491" t="s">
        <v>871</v>
      </c>
      <c r="S491" t="s">
        <v>1801</v>
      </c>
      <c r="T491" t="s">
        <v>1601</v>
      </c>
      <c r="U491" t="s">
        <v>1802</v>
      </c>
      <c r="V491" s="8">
        <v>1250</v>
      </c>
      <c r="W491" s="7">
        <v>588115</v>
      </c>
      <c r="X491" t="s">
        <v>1803</v>
      </c>
      <c r="Y491" s="8">
        <v>1000</v>
      </c>
      <c r="Z491" s="8">
        <v>1475</v>
      </c>
      <c r="AA491" s="8">
        <v>225</v>
      </c>
      <c r="AB491" s="7">
        <v>111582</v>
      </c>
      <c r="AC491" t="s">
        <v>1803</v>
      </c>
      <c r="AD491" s="8">
        <v>250</v>
      </c>
      <c r="AG491" t="s">
        <v>801</v>
      </c>
      <c r="AH491" t="s">
        <v>802</v>
      </c>
      <c r="AI491" t="s">
        <v>818</v>
      </c>
    </row>
    <row r="492" spans="1:35" hidden="1">
      <c r="A492" s="7">
        <v>491</v>
      </c>
      <c r="B492" t="s">
        <v>243</v>
      </c>
      <c r="C492" t="s">
        <v>244</v>
      </c>
      <c r="D492" s="7">
        <v>7134</v>
      </c>
      <c r="E492" t="s">
        <v>245</v>
      </c>
      <c r="F492" t="s">
        <v>246</v>
      </c>
      <c r="G492" t="s">
        <v>829</v>
      </c>
      <c r="H492" t="s">
        <v>633</v>
      </c>
      <c r="I492" s="7">
        <v>863</v>
      </c>
      <c r="J492" s="7">
        <v>9967</v>
      </c>
      <c r="K492" s="7">
        <v>1</v>
      </c>
      <c r="L492" t="s">
        <v>247</v>
      </c>
      <c r="M492" t="s">
        <v>261</v>
      </c>
      <c r="N492" s="7">
        <v>796561</v>
      </c>
      <c r="O492" t="s">
        <v>2068</v>
      </c>
      <c r="P492" t="s">
        <v>2069</v>
      </c>
      <c r="S492" t="s">
        <v>1801</v>
      </c>
      <c r="T492" t="s">
        <v>1601</v>
      </c>
      <c r="U492" t="s">
        <v>1802</v>
      </c>
      <c r="V492" s="8">
        <v>1250</v>
      </c>
      <c r="W492" s="7">
        <v>588115</v>
      </c>
      <c r="X492" t="s">
        <v>1803</v>
      </c>
      <c r="Y492" s="8">
        <v>1250</v>
      </c>
      <c r="Z492" s="8">
        <v>1475</v>
      </c>
      <c r="AA492" s="8">
        <v>225</v>
      </c>
      <c r="AB492" s="7">
        <v>111582</v>
      </c>
      <c r="AC492" t="s">
        <v>1803</v>
      </c>
      <c r="AD492" s="8">
        <v>0</v>
      </c>
      <c r="AG492" t="s">
        <v>817</v>
      </c>
      <c r="AH492" t="s">
        <v>802</v>
      </c>
      <c r="AI492" t="s">
        <v>818</v>
      </c>
    </row>
    <row r="493" spans="1:35" hidden="1">
      <c r="A493" s="7">
        <v>492</v>
      </c>
      <c r="B493" t="s">
        <v>243</v>
      </c>
      <c r="C493" t="s">
        <v>244</v>
      </c>
      <c r="D493" s="7">
        <v>7134</v>
      </c>
      <c r="E493" t="s">
        <v>245</v>
      </c>
      <c r="F493" t="s">
        <v>246</v>
      </c>
      <c r="G493" t="s">
        <v>263</v>
      </c>
      <c r="H493" t="s">
        <v>607</v>
      </c>
      <c r="I493" s="7">
        <v>900</v>
      </c>
      <c r="J493" s="7">
        <v>9746</v>
      </c>
      <c r="K493" s="7">
        <v>1</v>
      </c>
      <c r="L493" t="s">
        <v>247</v>
      </c>
      <c r="M493" t="s">
        <v>261</v>
      </c>
      <c r="N493" s="7">
        <v>796591</v>
      </c>
      <c r="O493" t="s">
        <v>2072</v>
      </c>
      <c r="P493" t="s">
        <v>2073</v>
      </c>
      <c r="S493" t="s">
        <v>1801</v>
      </c>
      <c r="T493" t="s">
        <v>1601</v>
      </c>
      <c r="U493" t="s">
        <v>1802</v>
      </c>
      <c r="V493" s="8">
        <v>1250</v>
      </c>
      <c r="W493" s="7">
        <v>588115</v>
      </c>
      <c r="X493" t="s">
        <v>1803</v>
      </c>
      <c r="Y493" s="8">
        <v>1250</v>
      </c>
      <c r="Z493" s="8">
        <v>1475</v>
      </c>
      <c r="AA493" s="8">
        <v>225</v>
      </c>
      <c r="AB493" s="7">
        <v>111582</v>
      </c>
      <c r="AC493" t="s">
        <v>1803</v>
      </c>
      <c r="AD493" s="8">
        <v>0</v>
      </c>
      <c r="AG493" t="s">
        <v>817</v>
      </c>
      <c r="AH493" t="s">
        <v>802</v>
      </c>
      <c r="AI493" t="s">
        <v>818</v>
      </c>
    </row>
    <row r="494" spans="1:35" hidden="1">
      <c r="A494" s="7">
        <v>493</v>
      </c>
      <c r="B494" t="s">
        <v>243</v>
      </c>
      <c r="C494" t="s">
        <v>244</v>
      </c>
      <c r="D494" s="7">
        <v>7134</v>
      </c>
      <c r="E494" t="s">
        <v>245</v>
      </c>
      <c r="F494" t="s">
        <v>246</v>
      </c>
      <c r="G494" t="s">
        <v>885</v>
      </c>
      <c r="H494" t="s">
        <v>633</v>
      </c>
      <c r="I494" s="7">
        <v>872</v>
      </c>
      <c r="J494" s="7">
        <v>9304</v>
      </c>
      <c r="K494" s="7">
        <v>1</v>
      </c>
      <c r="L494" t="s">
        <v>247</v>
      </c>
      <c r="M494" t="s">
        <v>261</v>
      </c>
      <c r="N494" s="7">
        <v>796374</v>
      </c>
      <c r="O494" t="s">
        <v>1867</v>
      </c>
      <c r="P494" t="s">
        <v>1868</v>
      </c>
      <c r="S494" t="s">
        <v>1801</v>
      </c>
      <c r="T494" t="s">
        <v>1601</v>
      </c>
      <c r="U494" t="s">
        <v>1802</v>
      </c>
      <c r="V494" s="8">
        <v>1250</v>
      </c>
      <c r="W494" s="7">
        <v>588115</v>
      </c>
      <c r="X494" t="s">
        <v>1803</v>
      </c>
      <c r="Y494" s="8">
        <v>1250</v>
      </c>
      <c r="Z494" s="8">
        <v>1475</v>
      </c>
      <c r="AA494" s="8">
        <v>225</v>
      </c>
      <c r="AB494" s="7">
        <v>111582</v>
      </c>
      <c r="AC494" t="s">
        <v>1803</v>
      </c>
      <c r="AD494" s="8">
        <v>0</v>
      </c>
      <c r="AG494" t="s">
        <v>817</v>
      </c>
      <c r="AH494" t="s">
        <v>802</v>
      </c>
      <c r="AI494" t="s">
        <v>818</v>
      </c>
    </row>
    <row r="495" spans="1:35" hidden="1">
      <c r="A495" s="7">
        <v>494</v>
      </c>
      <c r="B495" t="s">
        <v>243</v>
      </c>
      <c r="C495" t="s">
        <v>244</v>
      </c>
      <c r="D495" s="7">
        <v>7134</v>
      </c>
      <c r="E495" t="s">
        <v>245</v>
      </c>
      <c r="F495" t="s">
        <v>246</v>
      </c>
      <c r="G495" t="s">
        <v>885</v>
      </c>
      <c r="H495" t="s">
        <v>629</v>
      </c>
      <c r="I495" s="7">
        <v>880</v>
      </c>
      <c r="J495" s="7">
        <v>9844</v>
      </c>
      <c r="K495" s="7">
        <v>1</v>
      </c>
      <c r="L495" t="s">
        <v>247</v>
      </c>
      <c r="M495" t="s">
        <v>261</v>
      </c>
      <c r="N495" s="7">
        <v>796315</v>
      </c>
      <c r="O495" t="s">
        <v>1865</v>
      </c>
      <c r="P495" t="s">
        <v>1866</v>
      </c>
      <c r="S495" t="s">
        <v>1801</v>
      </c>
      <c r="T495" t="s">
        <v>1601</v>
      </c>
      <c r="U495" t="s">
        <v>1802</v>
      </c>
      <c r="V495" s="8">
        <v>1250</v>
      </c>
      <c r="W495" s="7">
        <v>588115</v>
      </c>
      <c r="X495" t="s">
        <v>1803</v>
      </c>
      <c r="Y495" s="8">
        <v>1250</v>
      </c>
      <c r="Z495" s="8">
        <v>1475</v>
      </c>
      <c r="AA495" s="8">
        <v>225</v>
      </c>
      <c r="AB495" s="7">
        <v>111582</v>
      </c>
      <c r="AC495" t="s">
        <v>1803</v>
      </c>
      <c r="AD495" s="8">
        <v>0</v>
      </c>
      <c r="AG495" t="s">
        <v>817</v>
      </c>
      <c r="AH495" t="s">
        <v>802</v>
      </c>
      <c r="AI495" t="s">
        <v>818</v>
      </c>
    </row>
    <row r="496" spans="1:35" hidden="1">
      <c r="A496" s="7">
        <v>495</v>
      </c>
      <c r="B496" t="s">
        <v>243</v>
      </c>
      <c r="C496" t="s">
        <v>244</v>
      </c>
      <c r="D496" s="7">
        <v>7134</v>
      </c>
      <c r="E496" t="s">
        <v>245</v>
      </c>
      <c r="F496" t="s">
        <v>246</v>
      </c>
      <c r="G496" t="s">
        <v>885</v>
      </c>
      <c r="H496" t="s">
        <v>602</v>
      </c>
      <c r="I496" s="7">
        <v>876</v>
      </c>
      <c r="J496" s="7">
        <v>8818</v>
      </c>
      <c r="K496" s="7">
        <v>1</v>
      </c>
      <c r="L496" t="s">
        <v>247</v>
      </c>
      <c r="M496" t="s">
        <v>261</v>
      </c>
      <c r="N496" s="7">
        <v>796356</v>
      </c>
      <c r="O496" t="s">
        <v>2015</v>
      </c>
      <c r="P496" t="s">
        <v>2016</v>
      </c>
      <c r="S496" t="s">
        <v>1801</v>
      </c>
      <c r="T496" t="s">
        <v>1601</v>
      </c>
      <c r="U496" t="s">
        <v>1802</v>
      </c>
      <c r="V496" s="8">
        <v>1250</v>
      </c>
      <c r="W496" s="7">
        <v>588115</v>
      </c>
      <c r="X496" t="s">
        <v>1803</v>
      </c>
      <c r="Y496" s="8">
        <v>1250</v>
      </c>
      <c r="Z496" s="8">
        <v>1475</v>
      </c>
      <c r="AA496" s="8">
        <v>225</v>
      </c>
      <c r="AB496" s="7">
        <v>111582</v>
      </c>
      <c r="AC496" t="s">
        <v>1803</v>
      </c>
      <c r="AD496" s="8">
        <v>0</v>
      </c>
      <c r="AG496" t="s">
        <v>817</v>
      </c>
      <c r="AH496" t="s">
        <v>802</v>
      </c>
      <c r="AI496" t="s">
        <v>818</v>
      </c>
    </row>
    <row r="497" spans="1:35" hidden="1">
      <c r="A497" s="7">
        <v>496</v>
      </c>
      <c r="B497" t="s">
        <v>243</v>
      </c>
      <c r="C497" t="s">
        <v>244</v>
      </c>
      <c r="D497" s="7">
        <v>7134</v>
      </c>
      <c r="E497" t="s">
        <v>245</v>
      </c>
      <c r="F497" t="s">
        <v>246</v>
      </c>
      <c r="G497" t="s">
        <v>248</v>
      </c>
      <c r="H497" t="s">
        <v>649</v>
      </c>
      <c r="I497" s="7">
        <v>871</v>
      </c>
      <c r="J497" s="7">
        <v>10423</v>
      </c>
      <c r="K497" s="7">
        <v>1</v>
      </c>
      <c r="L497" t="s">
        <v>247</v>
      </c>
      <c r="M497" t="s">
        <v>261</v>
      </c>
      <c r="N497" s="7">
        <v>798842</v>
      </c>
      <c r="O497" t="s">
        <v>1849</v>
      </c>
      <c r="P497" t="s">
        <v>1850</v>
      </c>
      <c r="S497" t="s">
        <v>1801</v>
      </c>
      <c r="T497" t="s">
        <v>1601</v>
      </c>
      <c r="U497" t="s">
        <v>1802</v>
      </c>
      <c r="V497" s="8">
        <v>1250</v>
      </c>
      <c r="W497" s="7">
        <v>588115</v>
      </c>
      <c r="X497" t="s">
        <v>1803</v>
      </c>
      <c r="Y497" s="8">
        <v>1250</v>
      </c>
      <c r="Z497" s="8">
        <v>1475</v>
      </c>
      <c r="AA497" s="8">
        <v>225</v>
      </c>
      <c r="AB497" s="7">
        <v>111582</v>
      </c>
      <c r="AC497" t="s">
        <v>1803</v>
      </c>
      <c r="AD497" s="8">
        <v>0</v>
      </c>
      <c r="AG497" t="s">
        <v>817</v>
      </c>
      <c r="AH497" t="s">
        <v>802</v>
      </c>
      <c r="AI497" t="s">
        <v>818</v>
      </c>
    </row>
    <row r="498" spans="1:35" hidden="1">
      <c r="A498" s="7">
        <v>497</v>
      </c>
      <c r="B498" t="s">
        <v>243</v>
      </c>
      <c r="C498" t="s">
        <v>244</v>
      </c>
      <c r="D498" s="7">
        <v>7134</v>
      </c>
      <c r="E498" t="s">
        <v>245</v>
      </c>
      <c r="F498" t="s">
        <v>246</v>
      </c>
      <c r="G498" t="s">
        <v>363</v>
      </c>
      <c r="H498" t="s">
        <v>649</v>
      </c>
      <c r="I498" s="7">
        <v>857</v>
      </c>
      <c r="J498" s="7">
        <v>10040</v>
      </c>
      <c r="K498" s="7">
        <v>1</v>
      </c>
      <c r="L498" t="s">
        <v>247</v>
      </c>
      <c r="M498" t="s">
        <v>261</v>
      </c>
      <c r="N498" s="7">
        <v>797991</v>
      </c>
      <c r="O498" t="s">
        <v>1987</v>
      </c>
      <c r="P498" t="s">
        <v>1988</v>
      </c>
      <c r="S498" t="s">
        <v>1801</v>
      </c>
      <c r="T498" t="s">
        <v>1601</v>
      </c>
      <c r="U498" t="s">
        <v>1802</v>
      </c>
      <c r="V498" s="8">
        <v>1250</v>
      </c>
      <c r="W498" s="7">
        <v>588115</v>
      </c>
      <c r="X498" t="s">
        <v>1803</v>
      </c>
      <c r="Y498" s="8">
        <v>1250</v>
      </c>
      <c r="Z498" s="8">
        <v>1475</v>
      </c>
      <c r="AA498" s="8">
        <v>225</v>
      </c>
      <c r="AB498" s="7">
        <v>111582</v>
      </c>
      <c r="AC498" t="s">
        <v>1803</v>
      </c>
      <c r="AD498" s="8">
        <v>0</v>
      </c>
      <c r="AG498" t="s">
        <v>817</v>
      </c>
      <c r="AH498" t="s">
        <v>802</v>
      </c>
      <c r="AI498" t="s">
        <v>818</v>
      </c>
    </row>
    <row r="499" spans="1:35" hidden="1">
      <c r="A499" s="7">
        <v>498</v>
      </c>
      <c r="B499" t="s">
        <v>243</v>
      </c>
      <c r="C499" t="s">
        <v>244</v>
      </c>
      <c r="D499" s="7">
        <v>7134</v>
      </c>
      <c r="E499" t="s">
        <v>245</v>
      </c>
      <c r="F499" t="s">
        <v>246</v>
      </c>
      <c r="G499" t="s">
        <v>872</v>
      </c>
      <c r="H499" t="s">
        <v>1814</v>
      </c>
      <c r="I499" s="7">
        <v>1165</v>
      </c>
      <c r="J499" s="7">
        <v>90000</v>
      </c>
      <c r="K499" s="7">
        <v>7</v>
      </c>
      <c r="L499" t="s">
        <v>247</v>
      </c>
      <c r="M499" t="s">
        <v>261</v>
      </c>
      <c r="N499" s="7">
        <v>775227</v>
      </c>
      <c r="O499" t="s">
        <v>2054</v>
      </c>
      <c r="P499" t="s">
        <v>2055</v>
      </c>
      <c r="Q499" t="s">
        <v>908</v>
      </c>
      <c r="R499" t="s">
        <v>909</v>
      </c>
      <c r="S499" t="s">
        <v>1801</v>
      </c>
      <c r="T499" t="s">
        <v>1601</v>
      </c>
      <c r="U499" t="s">
        <v>1802</v>
      </c>
      <c r="V499" s="8">
        <v>0</v>
      </c>
      <c r="W499" s="7">
        <v>588115</v>
      </c>
      <c r="X499" t="s">
        <v>1803</v>
      </c>
      <c r="Y499" s="8">
        <v>0</v>
      </c>
      <c r="Z499" s="8">
        <v>0</v>
      </c>
      <c r="AA499" s="8">
        <v>0</v>
      </c>
      <c r="AB499" s="7">
        <v>111582</v>
      </c>
      <c r="AC499" t="s">
        <v>1803</v>
      </c>
      <c r="AD499" s="8">
        <v>0</v>
      </c>
      <c r="AG499" t="s">
        <v>801</v>
      </c>
      <c r="AH499" t="s">
        <v>802</v>
      </c>
      <c r="AI499" t="s">
        <v>803</v>
      </c>
    </row>
    <row r="500" spans="1:35" hidden="1">
      <c r="A500" s="7">
        <v>499</v>
      </c>
      <c r="B500" t="s">
        <v>243</v>
      </c>
      <c r="C500" t="s">
        <v>244</v>
      </c>
      <c r="D500" s="7">
        <v>7134</v>
      </c>
      <c r="E500" t="s">
        <v>245</v>
      </c>
      <c r="F500" t="s">
        <v>246</v>
      </c>
      <c r="G500" t="s">
        <v>1645</v>
      </c>
      <c r="H500" t="s">
        <v>633</v>
      </c>
      <c r="I500" s="7">
        <v>1165</v>
      </c>
      <c r="J500" s="7">
        <v>14500</v>
      </c>
      <c r="K500" s="7">
        <v>8</v>
      </c>
      <c r="L500" t="s">
        <v>247</v>
      </c>
      <c r="M500" t="s">
        <v>267</v>
      </c>
      <c r="N500" s="7">
        <v>758497</v>
      </c>
      <c r="O500" t="s">
        <v>2026</v>
      </c>
      <c r="P500" t="s">
        <v>2027</v>
      </c>
      <c r="S500" t="s">
        <v>1801</v>
      </c>
      <c r="T500" t="s">
        <v>1601</v>
      </c>
      <c r="U500" t="s">
        <v>1802</v>
      </c>
      <c r="V500" s="8">
        <v>1250</v>
      </c>
      <c r="W500" s="7">
        <v>588115</v>
      </c>
      <c r="X500" t="s">
        <v>1803</v>
      </c>
      <c r="Y500" s="8">
        <v>1250</v>
      </c>
      <c r="Z500" s="8">
        <v>1475</v>
      </c>
      <c r="AA500" s="8">
        <v>225</v>
      </c>
      <c r="AB500" s="7">
        <v>111582</v>
      </c>
      <c r="AC500" t="s">
        <v>1803</v>
      </c>
      <c r="AD500" s="8">
        <v>0</v>
      </c>
      <c r="AG500" t="s">
        <v>828</v>
      </c>
      <c r="AH500" t="s">
        <v>802</v>
      </c>
      <c r="AI500" t="s">
        <v>818</v>
      </c>
    </row>
    <row r="501" spans="1:35" hidden="1">
      <c r="A501" s="7">
        <v>500</v>
      </c>
      <c r="B501" t="s">
        <v>243</v>
      </c>
      <c r="C501" t="s">
        <v>244</v>
      </c>
      <c r="D501" s="7">
        <v>7134</v>
      </c>
      <c r="E501" t="s">
        <v>245</v>
      </c>
      <c r="F501" t="s">
        <v>246</v>
      </c>
      <c r="G501" t="s">
        <v>284</v>
      </c>
      <c r="H501" t="s">
        <v>649</v>
      </c>
      <c r="I501" s="7">
        <v>895</v>
      </c>
      <c r="J501" s="7">
        <v>10219</v>
      </c>
      <c r="K501" s="7">
        <v>1</v>
      </c>
      <c r="L501" t="s">
        <v>247</v>
      </c>
      <c r="M501" t="s">
        <v>261</v>
      </c>
      <c r="N501" s="7">
        <v>796093</v>
      </c>
      <c r="O501" t="s">
        <v>2028</v>
      </c>
      <c r="P501" t="s">
        <v>2029</v>
      </c>
      <c r="S501" t="s">
        <v>1801</v>
      </c>
      <c r="T501" t="s">
        <v>1601</v>
      </c>
      <c r="U501" t="s">
        <v>1802</v>
      </c>
      <c r="V501" s="8">
        <v>1250</v>
      </c>
      <c r="W501" s="7">
        <v>588115</v>
      </c>
      <c r="X501" t="s">
        <v>1803</v>
      </c>
      <c r="Y501" s="8">
        <v>1250</v>
      </c>
      <c r="Z501" s="8">
        <v>1475</v>
      </c>
      <c r="AA501" s="8">
        <v>225</v>
      </c>
      <c r="AB501" s="7">
        <v>111582</v>
      </c>
      <c r="AC501" t="s">
        <v>1803</v>
      </c>
      <c r="AD501" s="8">
        <v>0</v>
      </c>
      <c r="AG501" t="s">
        <v>817</v>
      </c>
      <c r="AH501" t="s">
        <v>802</v>
      </c>
      <c r="AI501" t="s">
        <v>818</v>
      </c>
    </row>
    <row r="502" spans="1:35" hidden="1">
      <c r="A502" s="7">
        <v>501</v>
      </c>
      <c r="B502" t="s">
        <v>243</v>
      </c>
      <c r="C502" t="s">
        <v>244</v>
      </c>
      <c r="D502" s="7">
        <v>7134</v>
      </c>
      <c r="E502" t="s">
        <v>245</v>
      </c>
      <c r="F502" t="s">
        <v>246</v>
      </c>
      <c r="G502" t="s">
        <v>333</v>
      </c>
      <c r="H502" t="s">
        <v>594</v>
      </c>
      <c r="I502" s="7">
        <v>876</v>
      </c>
      <c r="J502" s="7">
        <v>10126</v>
      </c>
      <c r="K502" s="7">
        <v>1</v>
      </c>
      <c r="L502" t="s">
        <v>247</v>
      </c>
      <c r="M502" t="s">
        <v>261</v>
      </c>
      <c r="N502" s="7">
        <v>796155</v>
      </c>
      <c r="O502" t="s">
        <v>1836</v>
      </c>
      <c r="P502" t="s">
        <v>1837</v>
      </c>
      <c r="S502" t="s">
        <v>1801</v>
      </c>
      <c r="T502" t="s">
        <v>1601</v>
      </c>
      <c r="U502" t="s">
        <v>1802</v>
      </c>
      <c r="V502" s="8">
        <v>1250</v>
      </c>
      <c r="W502" s="7">
        <v>588115</v>
      </c>
      <c r="X502" t="s">
        <v>1803</v>
      </c>
      <c r="Y502" s="8">
        <v>1250</v>
      </c>
      <c r="Z502" s="8">
        <v>1475</v>
      </c>
      <c r="AA502" s="8">
        <v>225</v>
      </c>
      <c r="AB502" s="7">
        <v>111582</v>
      </c>
      <c r="AC502" t="s">
        <v>1803</v>
      </c>
      <c r="AD502" s="8">
        <v>0</v>
      </c>
      <c r="AG502" t="s">
        <v>817</v>
      </c>
      <c r="AH502" t="s">
        <v>802</v>
      </c>
      <c r="AI502" t="s">
        <v>818</v>
      </c>
    </row>
    <row r="503" spans="1:35" hidden="1">
      <c r="A503" s="7">
        <v>502</v>
      </c>
      <c r="B503" t="s">
        <v>243</v>
      </c>
      <c r="C503" t="s">
        <v>244</v>
      </c>
      <c r="D503" s="7">
        <v>7134</v>
      </c>
      <c r="E503" t="s">
        <v>245</v>
      </c>
      <c r="F503" t="s">
        <v>246</v>
      </c>
      <c r="G503" t="s">
        <v>1128</v>
      </c>
      <c r="H503" t="s">
        <v>657</v>
      </c>
      <c r="I503" s="7">
        <v>1165</v>
      </c>
      <c r="J503" s="7">
        <v>30000</v>
      </c>
      <c r="K503" s="7">
        <v>5</v>
      </c>
      <c r="L503" t="s">
        <v>247</v>
      </c>
      <c r="M503" t="s">
        <v>261</v>
      </c>
      <c r="N503" s="7">
        <v>7085388</v>
      </c>
      <c r="O503" t="s">
        <v>1260</v>
      </c>
      <c r="P503" t="s">
        <v>1261</v>
      </c>
      <c r="S503" t="s">
        <v>1801</v>
      </c>
      <c r="T503" t="s">
        <v>1601</v>
      </c>
      <c r="U503" t="s">
        <v>1802</v>
      </c>
      <c r="V503" s="8">
        <v>1250</v>
      </c>
      <c r="W503" s="7">
        <v>588115</v>
      </c>
      <c r="X503" t="s">
        <v>1803</v>
      </c>
      <c r="Y503" s="8">
        <v>1250</v>
      </c>
      <c r="Z503" s="8">
        <v>1475</v>
      </c>
      <c r="AA503" s="8">
        <v>225</v>
      </c>
      <c r="AB503" s="7">
        <v>111582</v>
      </c>
      <c r="AC503" t="s">
        <v>1803</v>
      </c>
      <c r="AD503" s="8">
        <v>0</v>
      </c>
      <c r="AG503" t="s">
        <v>801</v>
      </c>
      <c r="AH503" t="s">
        <v>802</v>
      </c>
      <c r="AI503" t="s">
        <v>818</v>
      </c>
    </row>
    <row r="504" spans="1:35" hidden="1">
      <c r="A504" s="7">
        <v>503</v>
      </c>
      <c r="B504" t="s">
        <v>243</v>
      </c>
      <c r="C504" t="s">
        <v>244</v>
      </c>
      <c r="D504" s="7">
        <v>7134</v>
      </c>
      <c r="E504" t="s">
        <v>245</v>
      </c>
      <c r="F504" t="s">
        <v>246</v>
      </c>
      <c r="G504" t="s">
        <v>1027</v>
      </c>
      <c r="H504" t="s">
        <v>507</v>
      </c>
      <c r="I504" s="7">
        <v>1165</v>
      </c>
      <c r="J504" s="7">
        <v>71200</v>
      </c>
      <c r="K504" s="7">
        <v>7</v>
      </c>
      <c r="L504" t="s">
        <v>247</v>
      </c>
      <c r="M504" t="s">
        <v>261</v>
      </c>
      <c r="N504" s="7">
        <v>775229</v>
      </c>
      <c r="O504" t="s">
        <v>1028</v>
      </c>
      <c r="P504" t="s">
        <v>1029</v>
      </c>
      <c r="S504" t="s">
        <v>1801</v>
      </c>
      <c r="T504" t="s">
        <v>1601</v>
      </c>
      <c r="U504" t="s">
        <v>1802</v>
      </c>
      <c r="V504" s="8">
        <v>0</v>
      </c>
      <c r="W504" s="7">
        <v>588115</v>
      </c>
      <c r="X504" t="s">
        <v>1803</v>
      </c>
      <c r="Y504" s="8">
        <v>0</v>
      </c>
      <c r="Z504" s="8">
        <v>0</v>
      </c>
      <c r="AA504" s="8">
        <v>0</v>
      </c>
      <c r="AB504" s="7">
        <v>111582</v>
      </c>
      <c r="AC504" t="s">
        <v>1803</v>
      </c>
      <c r="AD504" s="8">
        <v>0</v>
      </c>
      <c r="AG504" t="s">
        <v>801</v>
      </c>
      <c r="AH504" t="s">
        <v>802</v>
      </c>
      <c r="AI504" t="s">
        <v>803</v>
      </c>
    </row>
    <row r="505" spans="1:35" hidden="1">
      <c r="A505" s="7">
        <v>504</v>
      </c>
      <c r="B505" t="s">
        <v>243</v>
      </c>
      <c r="C505" t="s">
        <v>244</v>
      </c>
      <c r="D505" s="7">
        <v>7134</v>
      </c>
      <c r="E505" t="s">
        <v>245</v>
      </c>
      <c r="F505" t="s">
        <v>246</v>
      </c>
      <c r="G505" t="s">
        <v>914</v>
      </c>
      <c r="H505" t="s">
        <v>1887</v>
      </c>
      <c r="I505" s="7">
        <v>779</v>
      </c>
      <c r="J505" s="7">
        <v>30000</v>
      </c>
      <c r="K505" s="7">
        <v>3</v>
      </c>
      <c r="L505" t="s">
        <v>247</v>
      </c>
      <c r="M505" t="s">
        <v>261</v>
      </c>
      <c r="N505" s="7">
        <v>780479</v>
      </c>
      <c r="O505" t="s">
        <v>1412</v>
      </c>
      <c r="P505" t="s">
        <v>1413</v>
      </c>
      <c r="S505" t="s">
        <v>1801</v>
      </c>
      <c r="T505" t="s">
        <v>1601</v>
      </c>
      <c r="U505" t="s">
        <v>1802</v>
      </c>
      <c r="V505" s="8">
        <v>1250</v>
      </c>
      <c r="W505" s="7">
        <v>588115</v>
      </c>
      <c r="X505" t="s">
        <v>1803</v>
      </c>
      <c r="Y505" s="8">
        <v>1250</v>
      </c>
      <c r="Z505" s="8">
        <v>1475</v>
      </c>
      <c r="AA505" s="8">
        <v>225</v>
      </c>
      <c r="AB505" s="7">
        <v>111582</v>
      </c>
      <c r="AC505" t="s">
        <v>1803</v>
      </c>
      <c r="AD505" s="8">
        <v>0</v>
      </c>
      <c r="AG505" t="s">
        <v>801</v>
      </c>
      <c r="AH505" t="s">
        <v>802</v>
      </c>
      <c r="AI505" t="s">
        <v>818</v>
      </c>
    </row>
    <row r="506" spans="1:35" hidden="1">
      <c r="A506" s="7">
        <v>505</v>
      </c>
      <c r="B506" t="s">
        <v>243</v>
      </c>
      <c r="C506" t="s">
        <v>244</v>
      </c>
      <c r="D506" s="7">
        <v>7134</v>
      </c>
      <c r="E506" t="s">
        <v>245</v>
      </c>
      <c r="F506" t="s">
        <v>246</v>
      </c>
      <c r="G506" t="s">
        <v>938</v>
      </c>
      <c r="H506" t="s">
        <v>578</v>
      </c>
      <c r="I506" s="7">
        <v>1165</v>
      </c>
      <c r="J506" s="7">
        <v>100000</v>
      </c>
      <c r="K506" s="7">
        <v>10</v>
      </c>
      <c r="L506" t="s">
        <v>247</v>
      </c>
      <c r="M506" t="s">
        <v>261</v>
      </c>
      <c r="N506" s="7">
        <v>764113</v>
      </c>
      <c r="O506" t="s">
        <v>940</v>
      </c>
      <c r="P506" t="s">
        <v>941</v>
      </c>
      <c r="S506" t="s">
        <v>1801</v>
      </c>
      <c r="T506" t="s">
        <v>1601</v>
      </c>
      <c r="U506" t="s">
        <v>1802</v>
      </c>
      <c r="V506" s="8">
        <v>0</v>
      </c>
      <c r="W506" s="7">
        <v>588115</v>
      </c>
      <c r="X506" t="s">
        <v>1803</v>
      </c>
      <c r="Y506" s="8">
        <v>0</v>
      </c>
      <c r="Z506" s="8">
        <v>0</v>
      </c>
      <c r="AA506" s="8">
        <v>0</v>
      </c>
      <c r="AB506" s="7">
        <v>111582</v>
      </c>
      <c r="AC506" t="s">
        <v>1803</v>
      </c>
      <c r="AD506" s="8">
        <v>0</v>
      </c>
      <c r="AG506" t="s">
        <v>801</v>
      </c>
      <c r="AH506" t="s">
        <v>802</v>
      </c>
      <c r="AI506" t="s">
        <v>803</v>
      </c>
    </row>
    <row r="507" spans="1:35" hidden="1">
      <c r="A507" s="7">
        <v>506</v>
      </c>
      <c r="B507" t="s">
        <v>243</v>
      </c>
      <c r="C507" t="s">
        <v>244</v>
      </c>
      <c r="D507" s="7">
        <v>7134</v>
      </c>
      <c r="E507" t="s">
        <v>245</v>
      </c>
      <c r="F507" t="s">
        <v>246</v>
      </c>
      <c r="G507" t="s">
        <v>1737</v>
      </c>
      <c r="H507" t="s">
        <v>1830</v>
      </c>
      <c r="I507" s="7">
        <v>1165</v>
      </c>
      <c r="J507" s="7">
        <v>27230</v>
      </c>
      <c r="K507" s="7">
        <v>4</v>
      </c>
      <c r="L507" t="s">
        <v>247</v>
      </c>
      <c r="M507" t="s">
        <v>261</v>
      </c>
      <c r="N507" s="7">
        <v>785017</v>
      </c>
      <c r="O507" t="s">
        <v>1738</v>
      </c>
      <c r="P507" t="s">
        <v>1739</v>
      </c>
      <c r="S507" t="s">
        <v>1801</v>
      </c>
      <c r="T507" t="s">
        <v>1601</v>
      </c>
      <c r="U507" t="s">
        <v>1802</v>
      </c>
      <c r="V507" s="8">
        <v>0</v>
      </c>
      <c r="W507" s="7">
        <v>588115</v>
      </c>
      <c r="X507" t="s">
        <v>1803</v>
      </c>
      <c r="Y507" s="8">
        <v>0</v>
      </c>
      <c r="Z507" s="8">
        <v>0</v>
      </c>
      <c r="AA507" s="8">
        <v>0</v>
      </c>
      <c r="AB507" s="7">
        <v>111582</v>
      </c>
      <c r="AC507" t="s">
        <v>1803</v>
      </c>
      <c r="AD507" s="8">
        <v>0</v>
      </c>
      <c r="AG507" t="s">
        <v>801</v>
      </c>
      <c r="AH507" t="s">
        <v>802</v>
      </c>
      <c r="AI507" t="s">
        <v>803</v>
      </c>
    </row>
    <row r="508" spans="1:35" hidden="1">
      <c r="A508" s="7">
        <v>507</v>
      </c>
      <c r="B508" t="s">
        <v>243</v>
      </c>
      <c r="C508" t="s">
        <v>244</v>
      </c>
      <c r="D508" s="7">
        <v>7134</v>
      </c>
      <c r="E508" t="s">
        <v>245</v>
      </c>
      <c r="F508" t="s">
        <v>246</v>
      </c>
      <c r="G508" t="s">
        <v>1457</v>
      </c>
      <c r="H508" t="s">
        <v>602</v>
      </c>
      <c r="I508" s="7">
        <v>876</v>
      </c>
      <c r="J508" s="7">
        <v>9816</v>
      </c>
      <c r="K508" s="7">
        <v>1</v>
      </c>
      <c r="L508" t="s">
        <v>247</v>
      </c>
      <c r="M508" t="s">
        <v>261</v>
      </c>
      <c r="N508" s="7">
        <v>780906</v>
      </c>
      <c r="O508" t="s">
        <v>2047</v>
      </c>
      <c r="P508" t="s">
        <v>2048</v>
      </c>
      <c r="S508" t="s">
        <v>1801</v>
      </c>
      <c r="T508" t="s">
        <v>1601</v>
      </c>
      <c r="U508" t="s">
        <v>1802</v>
      </c>
      <c r="V508" s="8">
        <v>1250</v>
      </c>
      <c r="W508" s="7">
        <v>588115</v>
      </c>
      <c r="X508" t="s">
        <v>1803</v>
      </c>
      <c r="Y508" s="8">
        <v>1250</v>
      </c>
      <c r="Z508" s="8">
        <v>1475</v>
      </c>
      <c r="AA508" s="8">
        <v>225</v>
      </c>
      <c r="AB508" s="7">
        <v>111582</v>
      </c>
      <c r="AC508" t="s">
        <v>1803</v>
      </c>
      <c r="AD508" s="8">
        <v>0</v>
      </c>
      <c r="AG508" t="s">
        <v>817</v>
      </c>
      <c r="AH508" t="s">
        <v>802</v>
      </c>
      <c r="AI508" t="s">
        <v>818</v>
      </c>
    </row>
    <row r="509" spans="1:35" hidden="1">
      <c r="A509" s="7">
        <v>508</v>
      </c>
      <c r="B509" t="s">
        <v>243</v>
      </c>
      <c r="C509" t="s">
        <v>244</v>
      </c>
      <c r="D509" s="7">
        <v>7134</v>
      </c>
      <c r="E509" t="s">
        <v>245</v>
      </c>
      <c r="F509" t="s">
        <v>246</v>
      </c>
      <c r="G509" t="s">
        <v>400</v>
      </c>
      <c r="H509" t="s">
        <v>629</v>
      </c>
      <c r="I509" s="7">
        <v>826</v>
      </c>
      <c r="J509" s="7">
        <v>9876</v>
      </c>
      <c r="K509" s="7">
        <v>1</v>
      </c>
      <c r="L509" t="s">
        <v>247</v>
      </c>
      <c r="M509" t="s">
        <v>261</v>
      </c>
      <c r="N509" s="7">
        <v>796523</v>
      </c>
      <c r="O509" t="s">
        <v>2045</v>
      </c>
      <c r="P509" t="s">
        <v>2046</v>
      </c>
      <c r="S509" t="s">
        <v>1801</v>
      </c>
      <c r="T509" t="s">
        <v>1601</v>
      </c>
      <c r="U509" t="s">
        <v>1802</v>
      </c>
      <c r="V509" s="8">
        <v>1250</v>
      </c>
      <c r="W509" s="7">
        <v>588115</v>
      </c>
      <c r="X509" t="s">
        <v>1803</v>
      </c>
      <c r="Y509" s="8">
        <v>1250</v>
      </c>
      <c r="Z509" s="8">
        <v>1475</v>
      </c>
      <c r="AA509" s="8">
        <v>225</v>
      </c>
      <c r="AB509" s="7">
        <v>111582</v>
      </c>
      <c r="AC509" t="s">
        <v>1803</v>
      </c>
      <c r="AD509" s="8">
        <v>0</v>
      </c>
      <c r="AG509" t="s">
        <v>817</v>
      </c>
      <c r="AH509" t="s">
        <v>802</v>
      </c>
      <c r="AI509" t="s">
        <v>818</v>
      </c>
    </row>
    <row r="510" spans="1:35" hidden="1">
      <c r="A510" s="7">
        <v>509</v>
      </c>
      <c r="B510" t="s">
        <v>243</v>
      </c>
      <c r="C510" t="s">
        <v>244</v>
      </c>
      <c r="D510" s="7">
        <v>7134</v>
      </c>
      <c r="E510" t="s">
        <v>245</v>
      </c>
      <c r="F510" t="s">
        <v>246</v>
      </c>
      <c r="G510" t="s">
        <v>924</v>
      </c>
      <c r="H510" t="s">
        <v>1827</v>
      </c>
      <c r="I510" s="7">
        <v>1165</v>
      </c>
      <c r="J510" s="7">
        <v>29883</v>
      </c>
      <c r="K510" s="7">
        <v>3</v>
      </c>
      <c r="L510" t="s">
        <v>247</v>
      </c>
      <c r="M510" t="s">
        <v>261</v>
      </c>
      <c r="N510" s="7">
        <v>790690</v>
      </c>
      <c r="O510" t="s">
        <v>925</v>
      </c>
      <c r="P510" t="s">
        <v>926</v>
      </c>
      <c r="S510" t="s">
        <v>1801</v>
      </c>
      <c r="T510" t="s">
        <v>1601</v>
      </c>
      <c r="U510" t="s">
        <v>1802</v>
      </c>
      <c r="V510" s="8">
        <v>1250</v>
      </c>
      <c r="W510" s="7">
        <v>588115</v>
      </c>
      <c r="X510" t="s">
        <v>1803</v>
      </c>
      <c r="Y510" s="8">
        <v>1250</v>
      </c>
      <c r="Z510" s="8">
        <v>1475</v>
      </c>
      <c r="AA510" s="8">
        <v>225</v>
      </c>
      <c r="AB510" s="7">
        <v>111582</v>
      </c>
      <c r="AC510" t="s">
        <v>1803</v>
      </c>
      <c r="AD510" s="8">
        <v>0</v>
      </c>
      <c r="AG510" t="s">
        <v>801</v>
      </c>
      <c r="AH510" t="s">
        <v>802</v>
      </c>
      <c r="AI510" t="s">
        <v>818</v>
      </c>
    </row>
    <row r="511" spans="1:35" hidden="1">
      <c r="A511" s="7">
        <v>510</v>
      </c>
      <c r="B511" t="s">
        <v>243</v>
      </c>
      <c r="C511" t="s">
        <v>244</v>
      </c>
      <c r="D511" s="7">
        <v>7134</v>
      </c>
      <c r="E511" t="s">
        <v>245</v>
      </c>
      <c r="F511" t="s">
        <v>246</v>
      </c>
      <c r="G511" t="s">
        <v>939</v>
      </c>
      <c r="H511" t="s">
        <v>1818</v>
      </c>
      <c r="I511" s="7">
        <v>900</v>
      </c>
      <c r="J511" s="7">
        <v>12550</v>
      </c>
      <c r="K511" s="7">
        <v>2</v>
      </c>
      <c r="L511" t="s">
        <v>247</v>
      </c>
      <c r="M511" t="s">
        <v>261</v>
      </c>
      <c r="N511" s="7">
        <v>778270</v>
      </c>
      <c r="O511" t="s">
        <v>2024</v>
      </c>
      <c r="P511" t="s">
        <v>2025</v>
      </c>
      <c r="S511" t="s">
        <v>1801</v>
      </c>
      <c r="T511" t="s">
        <v>1601</v>
      </c>
      <c r="U511" t="s">
        <v>1802</v>
      </c>
      <c r="V511" s="8">
        <v>0</v>
      </c>
      <c r="W511" s="7">
        <v>588115</v>
      </c>
      <c r="X511" t="s">
        <v>1803</v>
      </c>
      <c r="Y511" s="8">
        <v>0</v>
      </c>
      <c r="Z511" s="8">
        <v>0</v>
      </c>
      <c r="AA511" s="8">
        <v>0</v>
      </c>
      <c r="AB511" s="7">
        <v>111582</v>
      </c>
      <c r="AC511" t="s">
        <v>1803</v>
      </c>
      <c r="AD511" s="8">
        <v>0</v>
      </c>
      <c r="AG511" t="s">
        <v>808</v>
      </c>
      <c r="AH511" t="s">
        <v>802</v>
      </c>
      <c r="AI511" t="s">
        <v>803</v>
      </c>
    </row>
    <row r="512" spans="1:35" hidden="1">
      <c r="A512" s="7">
        <v>511</v>
      </c>
      <c r="B512" t="s">
        <v>243</v>
      </c>
      <c r="C512" t="s">
        <v>244</v>
      </c>
      <c r="D512" s="7">
        <v>7134</v>
      </c>
      <c r="E512" t="s">
        <v>245</v>
      </c>
      <c r="F512" t="s">
        <v>246</v>
      </c>
      <c r="G512" t="s">
        <v>1471</v>
      </c>
      <c r="H512" t="s">
        <v>589</v>
      </c>
      <c r="I512" s="7">
        <v>1165</v>
      </c>
      <c r="J512" s="7">
        <v>89768</v>
      </c>
      <c r="K512" s="7">
        <v>13</v>
      </c>
      <c r="L512" t="s">
        <v>247</v>
      </c>
      <c r="M512" t="s">
        <v>261</v>
      </c>
      <c r="N512" s="7">
        <v>744799</v>
      </c>
      <c r="O512" t="s">
        <v>1472</v>
      </c>
      <c r="P512" t="s">
        <v>1473</v>
      </c>
      <c r="S512" t="s">
        <v>1801</v>
      </c>
      <c r="T512" t="s">
        <v>1601</v>
      </c>
      <c r="U512" t="s">
        <v>1802</v>
      </c>
      <c r="V512" s="8">
        <v>0</v>
      </c>
      <c r="W512" s="7">
        <v>588115</v>
      </c>
      <c r="X512" t="s">
        <v>1803</v>
      </c>
      <c r="Y512" s="8">
        <v>0</v>
      </c>
      <c r="Z512" s="8">
        <v>0</v>
      </c>
      <c r="AA512" s="8">
        <v>0</v>
      </c>
      <c r="AB512" s="7">
        <v>111582</v>
      </c>
      <c r="AC512" t="s">
        <v>1803</v>
      </c>
      <c r="AD512" s="8">
        <v>0</v>
      </c>
      <c r="AG512" t="s">
        <v>801</v>
      </c>
      <c r="AH512" t="s">
        <v>802</v>
      </c>
      <c r="AI512" t="s">
        <v>803</v>
      </c>
    </row>
    <row r="513" spans="1:35" hidden="1">
      <c r="A513" s="7">
        <v>512</v>
      </c>
      <c r="B513" t="s">
        <v>243</v>
      </c>
      <c r="C513" t="s">
        <v>244</v>
      </c>
      <c r="D513" s="7">
        <v>7134</v>
      </c>
      <c r="E513" t="s">
        <v>245</v>
      </c>
      <c r="F513" t="s">
        <v>246</v>
      </c>
      <c r="G513" t="s">
        <v>1457</v>
      </c>
      <c r="H513" t="s">
        <v>602</v>
      </c>
      <c r="I513" s="7">
        <v>873</v>
      </c>
      <c r="J513" s="7">
        <v>9596</v>
      </c>
      <c r="K513" s="7">
        <v>1</v>
      </c>
      <c r="L513" t="s">
        <v>247</v>
      </c>
      <c r="M513" t="s">
        <v>261</v>
      </c>
      <c r="N513" s="7">
        <v>796463</v>
      </c>
      <c r="O513" t="s">
        <v>1880</v>
      </c>
      <c r="P513" t="s">
        <v>1881</v>
      </c>
      <c r="S513" t="s">
        <v>1801</v>
      </c>
      <c r="T513" t="s">
        <v>1601</v>
      </c>
      <c r="U513" t="s">
        <v>1802</v>
      </c>
      <c r="V513" s="8">
        <v>1250</v>
      </c>
      <c r="W513" s="7">
        <v>588115</v>
      </c>
      <c r="X513" t="s">
        <v>1803</v>
      </c>
      <c r="Y513" s="8">
        <v>1250</v>
      </c>
      <c r="Z513" s="8">
        <v>1475</v>
      </c>
      <c r="AA513" s="8">
        <v>225</v>
      </c>
      <c r="AB513" s="7">
        <v>111582</v>
      </c>
      <c r="AC513" t="s">
        <v>1803</v>
      </c>
      <c r="AD513" s="8">
        <v>0</v>
      </c>
      <c r="AG513" t="s">
        <v>817</v>
      </c>
      <c r="AH513" t="s">
        <v>802</v>
      </c>
      <c r="AI513" t="s">
        <v>818</v>
      </c>
    </row>
    <row r="514" spans="1:35" hidden="1">
      <c r="A514" s="7">
        <v>513</v>
      </c>
      <c r="B514" t="s">
        <v>243</v>
      </c>
      <c r="C514" t="s">
        <v>244</v>
      </c>
      <c r="D514" s="7">
        <v>7134</v>
      </c>
      <c r="E514" t="s">
        <v>245</v>
      </c>
      <c r="F514" t="s">
        <v>246</v>
      </c>
      <c r="G514" t="s">
        <v>881</v>
      </c>
      <c r="H514" t="s">
        <v>1855</v>
      </c>
      <c r="I514" s="7">
        <v>1165</v>
      </c>
      <c r="J514" s="7">
        <v>40000</v>
      </c>
      <c r="K514" s="7">
        <v>4</v>
      </c>
      <c r="L514" t="s">
        <v>247</v>
      </c>
      <c r="M514" t="s">
        <v>361</v>
      </c>
      <c r="N514" s="7">
        <v>5321</v>
      </c>
      <c r="O514" t="s">
        <v>1878</v>
      </c>
      <c r="P514" t="s">
        <v>1879</v>
      </c>
      <c r="S514" t="s">
        <v>1801</v>
      </c>
      <c r="T514" t="s">
        <v>1601</v>
      </c>
      <c r="U514" t="s">
        <v>1802</v>
      </c>
      <c r="V514" s="8">
        <v>0</v>
      </c>
      <c r="W514" s="7">
        <v>588115</v>
      </c>
      <c r="X514" t="s">
        <v>1803</v>
      </c>
      <c r="Y514" s="8">
        <v>0</v>
      </c>
      <c r="Z514" s="8">
        <v>0</v>
      </c>
      <c r="AA514" s="8">
        <v>0</v>
      </c>
      <c r="AB514" s="7">
        <v>111582</v>
      </c>
      <c r="AC514" t="s">
        <v>1803</v>
      </c>
      <c r="AD514" s="8">
        <v>0</v>
      </c>
      <c r="AG514" t="s">
        <v>823</v>
      </c>
      <c r="AH514" t="s">
        <v>802</v>
      </c>
      <c r="AI514" t="s">
        <v>803</v>
      </c>
    </row>
    <row r="515" spans="1:35" hidden="1">
      <c r="A515" s="7">
        <v>514</v>
      </c>
      <c r="B515" t="s">
        <v>243</v>
      </c>
      <c r="C515" t="s">
        <v>244</v>
      </c>
      <c r="D515" s="7">
        <v>7134</v>
      </c>
      <c r="E515" t="s">
        <v>245</v>
      </c>
      <c r="F515" t="s">
        <v>246</v>
      </c>
      <c r="G515" t="s">
        <v>1457</v>
      </c>
      <c r="H515" t="s">
        <v>649</v>
      </c>
      <c r="I515" s="7">
        <v>883</v>
      </c>
      <c r="J515" s="7">
        <v>11354</v>
      </c>
      <c r="K515" s="7">
        <v>1</v>
      </c>
      <c r="L515" t="s">
        <v>247</v>
      </c>
      <c r="M515" t="s">
        <v>261</v>
      </c>
      <c r="N515" s="7">
        <v>797234</v>
      </c>
      <c r="O515" t="s">
        <v>1885</v>
      </c>
      <c r="P515" t="s">
        <v>1886</v>
      </c>
      <c r="Q515" t="s">
        <v>908</v>
      </c>
      <c r="R515" t="s">
        <v>909</v>
      </c>
      <c r="S515" t="s">
        <v>1801</v>
      </c>
      <c r="T515" t="s">
        <v>1601</v>
      </c>
      <c r="U515" t="s">
        <v>1802</v>
      </c>
      <c r="V515" s="8">
        <v>1250</v>
      </c>
      <c r="W515" s="7">
        <v>588115</v>
      </c>
      <c r="X515" t="s">
        <v>1803</v>
      </c>
      <c r="Y515" s="8">
        <v>1000</v>
      </c>
      <c r="Z515" s="8">
        <v>1475</v>
      </c>
      <c r="AA515" s="8">
        <v>225</v>
      </c>
      <c r="AB515" s="7">
        <v>111582</v>
      </c>
      <c r="AC515" t="s">
        <v>1803</v>
      </c>
      <c r="AD515" s="8">
        <v>250</v>
      </c>
      <c r="AG515" t="s">
        <v>817</v>
      </c>
      <c r="AH515" t="s">
        <v>802</v>
      </c>
      <c r="AI515" t="s">
        <v>818</v>
      </c>
    </row>
    <row r="516" spans="1:35" hidden="1">
      <c r="A516" s="7">
        <v>515</v>
      </c>
      <c r="B516" t="s">
        <v>243</v>
      </c>
      <c r="C516" t="s">
        <v>244</v>
      </c>
      <c r="D516" s="7">
        <v>7134</v>
      </c>
      <c r="E516" t="s">
        <v>245</v>
      </c>
      <c r="F516" t="s">
        <v>246</v>
      </c>
      <c r="G516" t="s">
        <v>1218</v>
      </c>
      <c r="H516" t="s">
        <v>589</v>
      </c>
      <c r="I516" s="7">
        <v>1165</v>
      </c>
      <c r="J516" s="7">
        <v>130782</v>
      </c>
      <c r="K516" s="7">
        <v>13</v>
      </c>
      <c r="L516" t="s">
        <v>247</v>
      </c>
      <c r="M516" t="s">
        <v>261</v>
      </c>
      <c r="N516" s="7">
        <v>743217</v>
      </c>
      <c r="O516" t="s">
        <v>2039</v>
      </c>
      <c r="P516" t="s">
        <v>2040</v>
      </c>
      <c r="S516" t="s">
        <v>1801</v>
      </c>
      <c r="T516" t="s">
        <v>1601</v>
      </c>
      <c r="U516" t="s">
        <v>1802</v>
      </c>
      <c r="V516" s="8">
        <v>0</v>
      </c>
      <c r="W516" s="7">
        <v>588115</v>
      </c>
      <c r="X516" t="s">
        <v>1803</v>
      </c>
      <c r="Y516" s="8">
        <v>0</v>
      </c>
      <c r="Z516" s="8">
        <v>0</v>
      </c>
      <c r="AA516" s="8">
        <v>0</v>
      </c>
      <c r="AB516" s="7">
        <v>111582</v>
      </c>
      <c r="AC516" t="s">
        <v>1803</v>
      </c>
      <c r="AD516" s="8">
        <v>0</v>
      </c>
      <c r="AG516" t="s">
        <v>801</v>
      </c>
      <c r="AH516" t="s">
        <v>802</v>
      </c>
      <c r="AI516" t="s">
        <v>803</v>
      </c>
    </row>
    <row r="517" spans="1:35" hidden="1">
      <c r="A517" s="7">
        <v>516</v>
      </c>
      <c r="B517" t="s">
        <v>243</v>
      </c>
      <c r="C517" t="s">
        <v>244</v>
      </c>
      <c r="D517" s="7">
        <v>7134</v>
      </c>
      <c r="E517" t="s">
        <v>245</v>
      </c>
      <c r="F517" t="s">
        <v>246</v>
      </c>
      <c r="G517" t="s">
        <v>263</v>
      </c>
      <c r="H517" t="s">
        <v>624</v>
      </c>
      <c r="I517" s="7">
        <v>879</v>
      </c>
      <c r="J517" s="7">
        <v>9672</v>
      </c>
      <c r="K517" s="7">
        <v>1</v>
      </c>
      <c r="L517" t="s">
        <v>247</v>
      </c>
      <c r="M517" t="s">
        <v>261</v>
      </c>
      <c r="N517" s="7">
        <v>796172</v>
      </c>
      <c r="O517" t="s">
        <v>2007</v>
      </c>
      <c r="P517" t="s">
        <v>2008</v>
      </c>
      <c r="S517" t="s">
        <v>1801</v>
      </c>
      <c r="T517" t="s">
        <v>1601</v>
      </c>
      <c r="U517" t="s">
        <v>1802</v>
      </c>
      <c r="V517" s="8">
        <v>1250</v>
      </c>
      <c r="W517" s="7">
        <v>588115</v>
      </c>
      <c r="X517" t="s">
        <v>1803</v>
      </c>
      <c r="Y517" s="8">
        <v>1250</v>
      </c>
      <c r="Z517" s="8">
        <v>1475</v>
      </c>
      <c r="AA517" s="8">
        <v>225</v>
      </c>
      <c r="AB517" s="7">
        <v>111582</v>
      </c>
      <c r="AC517" t="s">
        <v>1803</v>
      </c>
      <c r="AD517" s="8">
        <v>0</v>
      </c>
      <c r="AG517" t="s">
        <v>817</v>
      </c>
      <c r="AH517" t="s">
        <v>802</v>
      </c>
      <c r="AI517" t="s">
        <v>818</v>
      </c>
    </row>
    <row r="518" spans="1:35" hidden="1">
      <c r="A518" s="7">
        <v>517</v>
      </c>
      <c r="B518" t="s">
        <v>243</v>
      </c>
      <c r="C518" t="s">
        <v>244</v>
      </c>
      <c r="D518" s="7">
        <v>7134</v>
      </c>
      <c r="E518" t="s">
        <v>245</v>
      </c>
      <c r="F518" t="s">
        <v>246</v>
      </c>
      <c r="G518" t="s">
        <v>293</v>
      </c>
      <c r="H518" t="s">
        <v>1808</v>
      </c>
      <c r="I518" s="7">
        <v>1165</v>
      </c>
      <c r="J518" s="7">
        <v>3287</v>
      </c>
      <c r="K518" s="7">
        <v>1</v>
      </c>
      <c r="L518" t="s">
        <v>247</v>
      </c>
      <c r="M518" t="s">
        <v>267</v>
      </c>
      <c r="N518" s="7">
        <v>789022</v>
      </c>
      <c r="O518" t="s">
        <v>461</v>
      </c>
      <c r="P518" t="s">
        <v>462</v>
      </c>
      <c r="S518" t="s">
        <v>1801</v>
      </c>
      <c r="T518" t="s">
        <v>1601</v>
      </c>
      <c r="U518" t="s">
        <v>1802</v>
      </c>
      <c r="V518" s="8">
        <v>1250</v>
      </c>
      <c r="W518" s="7">
        <v>588115</v>
      </c>
      <c r="X518" t="s">
        <v>1803</v>
      </c>
      <c r="Y518" s="8">
        <v>1250</v>
      </c>
      <c r="Z518" s="8">
        <v>1475</v>
      </c>
      <c r="AA518" s="8">
        <v>225</v>
      </c>
      <c r="AB518" s="7">
        <v>111582</v>
      </c>
      <c r="AC518" t="s">
        <v>1803</v>
      </c>
      <c r="AD518" s="8">
        <v>0</v>
      </c>
      <c r="AG518" t="s">
        <v>828</v>
      </c>
      <c r="AH518" t="s">
        <v>802</v>
      </c>
      <c r="AI518" t="s">
        <v>818</v>
      </c>
    </row>
    <row r="519" spans="1:35" hidden="1">
      <c r="A519" s="7">
        <v>518</v>
      </c>
      <c r="B519" t="s">
        <v>243</v>
      </c>
      <c r="C519" t="s">
        <v>244</v>
      </c>
      <c r="D519" s="7">
        <v>7134</v>
      </c>
      <c r="E519" t="s">
        <v>245</v>
      </c>
      <c r="F519" t="s">
        <v>246</v>
      </c>
      <c r="G519" t="s">
        <v>867</v>
      </c>
      <c r="H519" t="s">
        <v>1842</v>
      </c>
      <c r="I519" s="7">
        <v>1165</v>
      </c>
      <c r="J519" s="7">
        <v>30000</v>
      </c>
      <c r="K519" s="7">
        <v>3</v>
      </c>
      <c r="L519" t="s">
        <v>247</v>
      </c>
      <c r="M519" t="s">
        <v>261</v>
      </c>
      <c r="N519" s="7">
        <v>790571</v>
      </c>
      <c r="O519" t="s">
        <v>868</v>
      </c>
      <c r="P519" t="s">
        <v>869</v>
      </c>
      <c r="Q519" t="s">
        <v>870</v>
      </c>
      <c r="R519" t="s">
        <v>871</v>
      </c>
      <c r="S519" t="s">
        <v>1801</v>
      </c>
      <c r="T519" t="s">
        <v>1601</v>
      </c>
      <c r="U519" t="s">
        <v>1802</v>
      </c>
      <c r="V519" s="8">
        <v>1250</v>
      </c>
      <c r="W519" s="7">
        <v>588115</v>
      </c>
      <c r="X519" t="s">
        <v>1803</v>
      </c>
      <c r="Y519" s="8">
        <v>1000</v>
      </c>
      <c r="Z519" s="8">
        <v>1475</v>
      </c>
      <c r="AA519" s="8">
        <v>225</v>
      </c>
      <c r="AB519" s="7">
        <v>111582</v>
      </c>
      <c r="AC519" t="s">
        <v>1803</v>
      </c>
      <c r="AD519" s="8">
        <v>250</v>
      </c>
      <c r="AG519" t="s">
        <v>801</v>
      </c>
      <c r="AH519" t="s">
        <v>802</v>
      </c>
      <c r="AI519" t="s">
        <v>818</v>
      </c>
    </row>
    <row r="520" spans="1:35" hidden="1">
      <c r="A520" s="7">
        <v>519</v>
      </c>
      <c r="B520" t="s">
        <v>243</v>
      </c>
      <c r="C520" t="s">
        <v>244</v>
      </c>
      <c r="D520" s="7">
        <v>7134</v>
      </c>
      <c r="E520" t="s">
        <v>245</v>
      </c>
      <c r="F520" t="s">
        <v>246</v>
      </c>
      <c r="G520" t="s">
        <v>263</v>
      </c>
      <c r="H520" t="s">
        <v>607</v>
      </c>
      <c r="I520" s="7">
        <v>878</v>
      </c>
      <c r="J520" s="7">
        <v>9892</v>
      </c>
      <c r="K520" s="7">
        <v>1</v>
      </c>
      <c r="L520" t="s">
        <v>247</v>
      </c>
      <c r="M520" t="s">
        <v>261</v>
      </c>
      <c r="N520" s="7">
        <v>795754</v>
      </c>
      <c r="O520" t="s">
        <v>1933</v>
      </c>
      <c r="P520" t="s">
        <v>1934</v>
      </c>
      <c r="S520" t="s">
        <v>1801</v>
      </c>
      <c r="T520" t="s">
        <v>1601</v>
      </c>
      <c r="U520" t="s">
        <v>1802</v>
      </c>
      <c r="V520" s="8">
        <v>1250</v>
      </c>
      <c r="W520" s="7">
        <v>588115</v>
      </c>
      <c r="X520" t="s">
        <v>1803</v>
      </c>
      <c r="Y520" s="8">
        <v>1250</v>
      </c>
      <c r="Z520" s="8">
        <v>1475</v>
      </c>
      <c r="AA520" s="8">
        <v>225</v>
      </c>
      <c r="AB520" s="7">
        <v>111582</v>
      </c>
      <c r="AC520" t="s">
        <v>1803</v>
      </c>
      <c r="AD520" s="8">
        <v>0</v>
      </c>
      <c r="AG520" t="s">
        <v>817</v>
      </c>
      <c r="AH520" t="s">
        <v>802</v>
      </c>
      <c r="AI520" t="s">
        <v>818</v>
      </c>
    </row>
    <row r="521" spans="1:35" hidden="1">
      <c r="A521" s="7">
        <v>520</v>
      </c>
      <c r="B521" t="s">
        <v>243</v>
      </c>
      <c r="C521" t="s">
        <v>244</v>
      </c>
      <c r="D521" s="7">
        <v>7134</v>
      </c>
      <c r="E521" t="s">
        <v>245</v>
      </c>
      <c r="F521" t="s">
        <v>246</v>
      </c>
      <c r="G521" t="s">
        <v>363</v>
      </c>
      <c r="H521" t="s">
        <v>594</v>
      </c>
      <c r="I521" s="7">
        <v>908</v>
      </c>
      <c r="J521" s="7">
        <v>9958</v>
      </c>
      <c r="K521" s="7">
        <v>1</v>
      </c>
      <c r="L521" t="s">
        <v>247</v>
      </c>
      <c r="M521" t="s">
        <v>261</v>
      </c>
      <c r="N521" s="7">
        <v>797307</v>
      </c>
      <c r="O521" t="s">
        <v>1964</v>
      </c>
      <c r="P521" t="s">
        <v>1965</v>
      </c>
      <c r="S521" t="s">
        <v>1801</v>
      </c>
      <c r="T521" t="s">
        <v>1601</v>
      </c>
      <c r="U521" t="s">
        <v>1802</v>
      </c>
      <c r="V521" s="8">
        <v>1250</v>
      </c>
      <c r="W521" s="7">
        <v>588115</v>
      </c>
      <c r="X521" t="s">
        <v>1803</v>
      </c>
      <c r="Y521" s="8">
        <v>1250</v>
      </c>
      <c r="Z521" s="8">
        <v>1475</v>
      </c>
      <c r="AA521" s="8">
        <v>225</v>
      </c>
      <c r="AB521" s="7">
        <v>111582</v>
      </c>
      <c r="AC521" t="s">
        <v>1803</v>
      </c>
      <c r="AD521" s="8">
        <v>0</v>
      </c>
      <c r="AG521" t="s">
        <v>817</v>
      </c>
      <c r="AH521" t="s">
        <v>802</v>
      </c>
      <c r="AI521" t="s">
        <v>818</v>
      </c>
    </row>
    <row r="522" spans="1:35" hidden="1">
      <c r="A522" s="7">
        <v>521</v>
      </c>
      <c r="B522" t="s">
        <v>243</v>
      </c>
      <c r="C522" t="s">
        <v>244</v>
      </c>
      <c r="D522" s="7">
        <v>7134</v>
      </c>
      <c r="E522" t="s">
        <v>245</v>
      </c>
      <c r="F522" t="s">
        <v>246</v>
      </c>
      <c r="G522" t="s">
        <v>1416</v>
      </c>
      <c r="H522" t="s">
        <v>589</v>
      </c>
      <c r="I522" s="7">
        <v>1165</v>
      </c>
      <c r="J522" s="7">
        <v>65200</v>
      </c>
      <c r="K522" s="7">
        <v>10</v>
      </c>
      <c r="L522" t="s">
        <v>247</v>
      </c>
      <c r="M522" t="s">
        <v>261</v>
      </c>
      <c r="N522" s="7">
        <v>752459</v>
      </c>
      <c r="O522" t="s">
        <v>1417</v>
      </c>
      <c r="P522" t="s">
        <v>1418</v>
      </c>
      <c r="S522" t="s">
        <v>1801</v>
      </c>
      <c r="T522" t="s">
        <v>1601</v>
      </c>
      <c r="U522" t="s">
        <v>1802</v>
      </c>
      <c r="V522" s="8">
        <v>0</v>
      </c>
      <c r="W522" s="7">
        <v>588115</v>
      </c>
      <c r="X522" t="s">
        <v>1803</v>
      </c>
      <c r="Y522" s="8">
        <v>0</v>
      </c>
      <c r="Z522" s="8">
        <v>0</v>
      </c>
      <c r="AA522" s="8">
        <v>0</v>
      </c>
      <c r="AB522" s="7">
        <v>111582</v>
      </c>
      <c r="AC522" t="s">
        <v>1803</v>
      </c>
      <c r="AD522" s="8">
        <v>0</v>
      </c>
      <c r="AG522" t="s">
        <v>801</v>
      </c>
      <c r="AH522" t="s">
        <v>802</v>
      </c>
      <c r="AI522" t="s">
        <v>803</v>
      </c>
    </row>
    <row r="523" spans="1:35" hidden="1">
      <c r="A523" s="7">
        <v>522</v>
      </c>
      <c r="B523" t="s">
        <v>243</v>
      </c>
      <c r="C523" t="s">
        <v>244</v>
      </c>
      <c r="D523" s="7">
        <v>7134</v>
      </c>
      <c r="E523" t="s">
        <v>245</v>
      </c>
      <c r="F523" t="s">
        <v>246</v>
      </c>
      <c r="G523" t="s">
        <v>248</v>
      </c>
      <c r="H523" t="s">
        <v>1842</v>
      </c>
      <c r="I523" s="7">
        <v>1165</v>
      </c>
      <c r="J523" s="7">
        <v>5185</v>
      </c>
      <c r="K523" s="7">
        <v>1</v>
      </c>
      <c r="L523" t="s">
        <v>247</v>
      </c>
      <c r="M523" t="s">
        <v>261</v>
      </c>
      <c r="N523" s="7">
        <v>801400</v>
      </c>
      <c r="O523" t="s">
        <v>290</v>
      </c>
      <c r="P523" t="s">
        <v>291</v>
      </c>
      <c r="S523" t="s">
        <v>1801</v>
      </c>
      <c r="T523" t="s">
        <v>1601</v>
      </c>
      <c r="U523" t="s">
        <v>1802</v>
      </c>
      <c r="V523" s="8">
        <v>1250</v>
      </c>
      <c r="W523" s="7">
        <v>588115</v>
      </c>
      <c r="X523" t="s">
        <v>1803</v>
      </c>
      <c r="Y523" s="8">
        <v>1250</v>
      </c>
      <c r="Z523" s="8">
        <v>1475</v>
      </c>
      <c r="AA523" s="8">
        <v>225</v>
      </c>
      <c r="AB523" s="7">
        <v>111582</v>
      </c>
      <c r="AC523" t="s">
        <v>1803</v>
      </c>
      <c r="AD523" s="8">
        <v>0</v>
      </c>
      <c r="AG523" t="s">
        <v>801</v>
      </c>
      <c r="AH523" t="s">
        <v>802</v>
      </c>
      <c r="AI523" t="s">
        <v>818</v>
      </c>
    </row>
    <row r="524" spans="1:35" hidden="1">
      <c r="A524" s="7">
        <v>523</v>
      </c>
      <c r="B524" t="s">
        <v>243</v>
      </c>
      <c r="C524" t="s">
        <v>244</v>
      </c>
      <c r="D524" s="7">
        <v>7134</v>
      </c>
      <c r="E524" t="s">
        <v>245</v>
      </c>
      <c r="F524" t="s">
        <v>246</v>
      </c>
      <c r="G524" t="s">
        <v>1306</v>
      </c>
      <c r="H524" t="s">
        <v>649</v>
      </c>
      <c r="I524" s="7">
        <v>857</v>
      </c>
      <c r="J524" s="7">
        <v>10774</v>
      </c>
      <c r="K524" s="7">
        <v>1</v>
      </c>
      <c r="L524" t="s">
        <v>247</v>
      </c>
      <c r="M524" t="s">
        <v>261</v>
      </c>
      <c r="N524" s="7">
        <v>7079654</v>
      </c>
      <c r="O524" t="s">
        <v>1962</v>
      </c>
      <c r="P524" t="s">
        <v>1963</v>
      </c>
      <c r="S524" t="s">
        <v>1801</v>
      </c>
      <c r="T524" t="s">
        <v>1601</v>
      </c>
      <c r="U524" t="s">
        <v>1802</v>
      </c>
      <c r="V524" s="8">
        <v>1250</v>
      </c>
      <c r="W524" s="7">
        <v>588115</v>
      </c>
      <c r="X524" t="s">
        <v>1803</v>
      </c>
      <c r="Y524" s="8">
        <v>1250</v>
      </c>
      <c r="Z524" s="8">
        <v>1475</v>
      </c>
      <c r="AA524" s="8">
        <v>225</v>
      </c>
      <c r="AB524" s="7">
        <v>111582</v>
      </c>
      <c r="AC524" t="s">
        <v>1803</v>
      </c>
      <c r="AD524" s="8">
        <v>0</v>
      </c>
      <c r="AG524" t="s">
        <v>817</v>
      </c>
      <c r="AH524" t="s">
        <v>802</v>
      </c>
      <c r="AI524" t="s">
        <v>818</v>
      </c>
    </row>
    <row r="525" spans="1:35" hidden="1">
      <c r="A525" s="7">
        <v>524</v>
      </c>
      <c r="B525" t="s">
        <v>243</v>
      </c>
      <c r="C525" t="s">
        <v>244</v>
      </c>
      <c r="D525" s="7">
        <v>7134</v>
      </c>
      <c r="E525" t="s">
        <v>245</v>
      </c>
      <c r="F525" t="s">
        <v>246</v>
      </c>
      <c r="G525" t="s">
        <v>1356</v>
      </c>
      <c r="H525" t="s">
        <v>578</v>
      </c>
      <c r="I525" s="7">
        <v>687</v>
      </c>
      <c r="J525" s="7">
        <v>41447</v>
      </c>
      <c r="K525" s="7">
        <v>5</v>
      </c>
      <c r="L525" t="s">
        <v>247</v>
      </c>
      <c r="M525" t="s">
        <v>361</v>
      </c>
      <c r="N525" s="7">
        <v>3137</v>
      </c>
      <c r="O525" t="s">
        <v>1380</v>
      </c>
      <c r="P525" t="s">
        <v>1381</v>
      </c>
      <c r="S525" t="s">
        <v>1801</v>
      </c>
      <c r="T525" t="s">
        <v>1601</v>
      </c>
      <c r="U525" t="s">
        <v>1802</v>
      </c>
      <c r="V525" s="8">
        <v>1650</v>
      </c>
      <c r="W525" s="7">
        <v>588115</v>
      </c>
      <c r="X525" t="s">
        <v>1803</v>
      </c>
      <c r="Y525" s="8">
        <v>1650</v>
      </c>
      <c r="Z525" s="8">
        <v>1947</v>
      </c>
      <c r="AA525" s="8">
        <v>297</v>
      </c>
      <c r="AB525" s="7">
        <v>111582</v>
      </c>
      <c r="AC525" t="s">
        <v>1803</v>
      </c>
      <c r="AD525" s="8">
        <v>0</v>
      </c>
      <c r="AG525" t="s">
        <v>823</v>
      </c>
      <c r="AH525" t="s">
        <v>802</v>
      </c>
      <c r="AI525" t="s">
        <v>818</v>
      </c>
    </row>
    <row r="526" spans="1:35" hidden="1">
      <c r="A526" s="7">
        <v>525</v>
      </c>
      <c r="B526" t="s">
        <v>243</v>
      </c>
      <c r="C526" t="s">
        <v>244</v>
      </c>
      <c r="D526" s="7">
        <v>7134</v>
      </c>
      <c r="E526" t="s">
        <v>245</v>
      </c>
      <c r="F526" t="s">
        <v>246</v>
      </c>
      <c r="G526" t="s">
        <v>1685</v>
      </c>
      <c r="H526" t="s">
        <v>612</v>
      </c>
      <c r="I526" s="7">
        <v>799</v>
      </c>
      <c r="J526" s="7">
        <v>10000</v>
      </c>
      <c r="K526" s="7">
        <v>1</v>
      </c>
      <c r="L526" t="s">
        <v>247</v>
      </c>
      <c r="M526" t="s">
        <v>261</v>
      </c>
      <c r="N526" s="7">
        <v>780478</v>
      </c>
      <c r="O526" t="s">
        <v>2019</v>
      </c>
      <c r="P526" t="s">
        <v>2020</v>
      </c>
      <c r="S526" t="s">
        <v>1801</v>
      </c>
      <c r="T526" t="s">
        <v>1601</v>
      </c>
      <c r="U526" t="s">
        <v>1802</v>
      </c>
      <c r="V526" s="8">
        <v>1250</v>
      </c>
      <c r="W526" s="7">
        <v>588115</v>
      </c>
      <c r="X526" t="s">
        <v>1803</v>
      </c>
      <c r="Y526" s="8">
        <v>1250</v>
      </c>
      <c r="Z526" s="8">
        <v>1475</v>
      </c>
      <c r="AA526" s="8">
        <v>225</v>
      </c>
      <c r="AB526" s="7">
        <v>111582</v>
      </c>
      <c r="AC526" t="s">
        <v>1803</v>
      </c>
      <c r="AD526" s="8">
        <v>0</v>
      </c>
      <c r="AG526" t="s">
        <v>801</v>
      </c>
      <c r="AH526" t="s">
        <v>802</v>
      </c>
      <c r="AI526" t="s">
        <v>818</v>
      </c>
    </row>
    <row r="527" spans="1:35" hidden="1">
      <c r="A527" s="7">
        <v>526</v>
      </c>
      <c r="B527" t="s">
        <v>243</v>
      </c>
      <c r="C527" t="s">
        <v>244</v>
      </c>
      <c r="D527" s="7">
        <v>7134</v>
      </c>
      <c r="E527" t="s">
        <v>245</v>
      </c>
      <c r="F527" t="s">
        <v>246</v>
      </c>
      <c r="G527" t="s">
        <v>878</v>
      </c>
      <c r="H527" t="s">
        <v>589</v>
      </c>
      <c r="I527" s="7">
        <v>1165</v>
      </c>
      <c r="J527" s="7">
        <v>18528</v>
      </c>
      <c r="K527" s="7">
        <v>3</v>
      </c>
      <c r="L527" t="s">
        <v>247</v>
      </c>
      <c r="M527" t="s">
        <v>361</v>
      </c>
      <c r="N527" s="7">
        <v>5150</v>
      </c>
      <c r="O527" t="s">
        <v>2017</v>
      </c>
      <c r="P527" t="s">
        <v>2018</v>
      </c>
      <c r="S527" t="s">
        <v>1801</v>
      </c>
      <c r="T527" t="s">
        <v>1601</v>
      </c>
      <c r="U527" t="s">
        <v>1802</v>
      </c>
      <c r="V527" s="8">
        <v>1650</v>
      </c>
      <c r="W527" s="7">
        <v>588115</v>
      </c>
      <c r="X527" t="s">
        <v>1803</v>
      </c>
      <c r="Y527" s="8">
        <v>1650</v>
      </c>
      <c r="Z527" s="8">
        <v>1947</v>
      </c>
      <c r="AA527" s="8">
        <v>297</v>
      </c>
      <c r="AB527" s="7">
        <v>111582</v>
      </c>
      <c r="AC527" t="s">
        <v>1803</v>
      </c>
      <c r="AD527" s="8">
        <v>0</v>
      </c>
      <c r="AG527" t="s">
        <v>823</v>
      </c>
      <c r="AH527" t="s">
        <v>802</v>
      </c>
      <c r="AI527" t="s">
        <v>818</v>
      </c>
    </row>
    <row r="528" spans="1:35" hidden="1">
      <c r="A528" s="7">
        <v>527</v>
      </c>
      <c r="B528" t="s">
        <v>243</v>
      </c>
      <c r="C528" t="s">
        <v>244</v>
      </c>
      <c r="D528" s="7">
        <v>7134</v>
      </c>
      <c r="E528" t="s">
        <v>245</v>
      </c>
      <c r="F528" t="s">
        <v>246</v>
      </c>
      <c r="G528" t="s">
        <v>933</v>
      </c>
      <c r="H528" t="s">
        <v>629</v>
      </c>
      <c r="I528" s="7">
        <v>1165</v>
      </c>
      <c r="J528" s="7">
        <v>126648</v>
      </c>
      <c r="K528" s="7">
        <v>13</v>
      </c>
      <c r="L528" t="s">
        <v>247</v>
      </c>
      <c r="M528" t="s">
        <v>252</v>
      </c>
      <c r="N528" s="7">
        <v>316627</v>
      </c>
      <c r="O528" t="s">
        <v>935</v>
      </c>
      <c r="P528" t="s">
        <v>936</v>
      </c>
      <c r="Q528" t="s">
        <v>870</v>
      </c>
      <c r="R528" t="s">
        <v>871</v>
      </c>
      <c r="S528" t="s">
        <v>1801</v>
      </c>
      <c r="T528" t="s">
        <v>1601</v>
      </c>
      <c r="U528" t="s">
        <v>1802</v>
      </c>
      <c r="V528" s="8">
        <v>0</v>
      </c>
      <c r="W528" s="7">
        <v>588115</v>
      </c>
      <c r="X528" t="s">
        <v>1803</v>
      </c>
      <c r="Y528" s="8">
        <v>0</v>
      </c>
      <c r="Z528" s="8">
        <v>0</v>
      </c>
      <c r="AA528" s="8">
        <v>0</v>
      </c>
      <c r="AB528" s="7">
        <v>111582</v>
      </c>
      <c r="AC528" t="s">
        <v>1803</v>
      </c>
      <c r="AD528" s="8">
        <v>0</v>
      </c>
      <c r="AG528" t="s">
        <v>937</v>
      </c>
      <c r="AH528" t="s">
        <v>802</v>
      </c>
      <c r="AI528" t="s">
        <v>803</v>
      </c>
    </row>
    <row r="529" spans="1:35" hidden="1">
      <c r="A529" s="7">
        <v>528</v>
      </c>
      <c r="B529" t="s">
        <v>243</v>
      </c>
      <c r="C529" t="s">
        <v>244</v>
      </c>
      <c r="D529" s="7">
        <v>7134</v>
      </c>
      <c r="E529" t="s">
        <v>245</v>
      </c>
      <c r="F529" t="s">
        <v>246</v>
      </c>
      <c r="G529" t="s">
        <v>363</v>
      </c>
      <c r="H529" t="s">
        <v>629</v>
      </c>
      <c r="I529" s="7">
        <v>1165</v>
      </c>
      <c r="J529" s="7">
        <v>9500</v>
      </c>
      <c r="K529" s="7">
        <v>1</v>
      </c>
      <c r="L529" t="s">
        <v>247</v>
      </c>
      <c r="M529" t="s">
        <v>261</v>
      </c>
      <c r="N529" s="7">
        <v>785188</v>
      </c>
      <c r="O529" t="s">
        <v>383</v>
      </c>
      <c r="P529" t="s">
        <v>384</v>
      </c>
      <c r="S529" t="s">
        <v>1801</v>
      </c>
      <c r="T529" t="s">
        <v>1601</v>
      </c>
      <c r="U529" t="s">
        <v>1802</v>
      </c>
      <c r="V529" s="8">
        <v>1250</v>
      </c>
      <c r="W529" s="7">
        <v>588115</v>
      </c>
      <c r="X529" t="s">
        <v>1803</v>
      </c>
      <c r="Y529" s="8">
        <v>1250</v>
      </c>
      <c r="Z529" s="8">
        <v>1475</v>
      </c>
      <c r="AA529" s="8">
        <v>225</v>
      </c>
      <c r="AB529" s="7">
        <v>111582</v>
      </c>
      <c r="AC529" t="s">
        <v>1803</v>
      </c>
      <c r="AD529" s="8">
        <v>0</v>
      </c>
      <c r="AG529" t="s">
        <v>801</v>
      </c>
      <c r="AH529" t="s">
        <v>802</v>
      </c>
      <c r="AI529" t="s">
        <v>818</v>
      </c>
    </row>
    <row r="530" spans="1:35" hidden="1">
      <c r="A530" s="7">
        <v>529</v>
      </c>
      <c r="B530" t="s">
        <v>243</v>
      </c>
      <c r="C530" t="s">
        <v>244</v>
      </c>
      <c r="D530" s="7">
        <v>7134</v>
      </c>
      <c r="E530" t="s">
        <v>245</v>
      </c>
      <c r="F530" t="s">
        <v>246</v>
      </c>
      <c r="G530" t="s">
        <v>1145</v>
      </c>
      <c r="H530" t="s">
        <v>649</v>
      </c>
      <c r="I530" s="7">
        <v>1165</v>
      </c>
      <c r="J530" s="7">
        <v>61029</v>
      </c>
      <c r="K530" s="7">
        <v>10</v>
      </c>
      <c r="L530" t="s">
        <v>247</v>
      </c>
      <c r="M530" t="s">
        <v>252</v>
      </c>
      <c r="N530" s="7">
        <v>573195831</v>
      </c>
      <c r="O530" t="s">
        <v>1526</v>
      </c>
      <c r="P530" t="s">
        <v>1527</v>
      </c>
      <c r="S530" t="s">
        <v>1801</v>
      </c>
      <c r="T530" t="s">
        <v>1601</v>
      </c>
      <c r="U530" t="s">
        <v>1802</v>
      </c>
      <c r="V530" s="8">
        <v>0</v>
      </c>
      <c r="W530" s="7">
        <v>588115</v>
      </c>
      <c r="X530" t="s">
        <v>1803</v>
      </c>
      <c r="Y530" s="8">
        <v>0</v>
      </c>
      <c r="Z530" s="8">
        <v>0</v>
      </c>
      <c r="AA530" s="8">
        <v>0</v>
      </c>
      <c r="AB530" s="7">
        <v>111582</v>
      </c>
      <c r="AC530" t="s">
        <v>1803</v>
      </c>
      <c r="AD530" s="8">
        <v>0</v>
      </c>
      <c r="AG530" t="s">
        <v>937</v>
      </c>
      <c r="AH530" t="s">
        <v>802</v>
      </c>
      <c r="AI530" t="s">
        <v>803</v>
      </c>
    </row>
    <row r="531" spans="1:35" hidden="1">
      <c r="A531" s="7">
        <v>530</v>
      </c>
      <c r="B531" t="s">
        <v>243</v>
      </c>
      <c r="C531" t="s">
        <v>244</v>
      </c>
      <c r="D531" s="7">
        <v>7134</v>
      </c>
      <c r="E531" t="s">
        <v>245</v>
      </c>
      <c r="F531" t="s">
        <v>246</v>
      </c>
      <c r="G531" t="s">
        <v>1457</v>
      </c>
      <c r="H531" t="s">
        <v>598</v>
      </c>
      <c r="I531" s="7">
        <v>863</v>
      </c>
      <c r="J531" s="7">
        <v>9516</v>
      </c>
      <c r="K531" s="7">
        <v>1</v>
      </c>
      <c r="L531" t="s">
        <v>247</v>
      </c>
      <c r="M531" t="s">
        <v>261</v>
      </c>
      <c r="N531" s="7">
        <v>795333</v>
      </c>
      <c r="O531" t="s">
        <v>1971</v>
      </c>
      <c r="P531" t="s">
        <v>1972</v>
      </c>
      <c r="S531" t="s">
        <v>1801</v>
      </c>
      <c r="T531" t="s">
        <v>1601</v>
      </c>
      <c r="U531" t="s">
        <v>1802</v>
      </c>
      <c r="V531" s="8">
        <v>1250</v>
      </c>
      <c r="W531" s="7">
        <v>588115</v>
      </c>
      <c r="X531" t="s">
        <v>1803</v>
      </c>
      <c r="Y531" s="8">
        <v>1250</v>
      </c>
      <c r="Z531" s="8">
        <v>1475</v>
      </c>
      <c r="AA531" s="8">
        <v>225</v>
      </c>
      <c r="AB531" s="7">
        <v>111582</v>
      </c>
      <c r="AC531" t="s">
        <v>1803</v>
      </c>
      <c r="AD531" s="8">
        <v>0</v>
      </c>
      <c r="AG531" t="s">
        <v>817</v>
      </c>
      <c r="AH531" t="s">
        <v>802</v>
      </c>
      <c r="AI531" t="s">
        <v>818</v>
      </c>
    </row>
    <row r="532" spans="1:35" hidden="1">
      <c r="A532" s="7">
        <v>531</v>
      </c>
      <c r="B532" t="s">
        <v>243</v>
      </c>
      <c r="C532" t="s">
        <v>244</v>
      </c>
      <c r="D532" s="7">
        <v>7134</v>
      </c>
      <c r="E532" t="s">
        <v>245</v>
      </c>
      <c r="F532" t="s">
        <v>246</v>
      </c>
      <c r="G532" t="s">
        <v>263</v>
      </c>
      <c r="H532" t="s">
        <v>657</v>
      </c>
      <c r="I532" s="7">
        <v>897</v>
      </c>
      <c r="J532" s="7">
        <v>9704</v>
      </c>
      <c r="K532" s="7">
        <v>1</v>
      </c>
      <c r="L532" t="s">
        <v>247</v>
      </c>
      <c r="M532" t="s">
        <v>261</v>
      </c>
      <c r="N532" s="7">
        <v>796131</v>
      </c>
      <c r="O532" t="s">
        <v>1840</v>
      </c>
      <c r="P532" t="s">
        <v>1841</v>
      </c>
      <c r="S532" t="s">
        <v>1801</v>
      </c>
      <c r="T532" t="s">
        <v>1601</v>
      </c>
      <c r="U532" t="s">
        <v>1802</v>
      </c>
      <c r="V532" s="8">
        <v>1250</v>
      </c>
      <c r="W532" s="7">
        <v>588115</v>
      </c>
      <c r="X532" t="s">
        <v>1803</v>
      </c>
      <c r="Y532" s="8">
        <v>1250</v>
      </c>
      <c r="Z532" s="8">
        <v>1475</v>
      </c>
      <c r="AA532" s="8">
        <v>225</v>
      </c>
      <c r="AB532" s="7">
        <v>111582</v>
      </c>
      <c r="AC532" t="s">
        <v>1803</v>
      </c>
      <c r="AD532" s="8">
        <v>0</v>
      </c>
      <c r="AG532" t="s">
        <v>817</v>
      </c>
      <c r="AH532" t="s">
        <v>802</v>
      </c>
      <c r="AI532" t="s">
        <v>818</v>
      </c>
    </row>
    <row r="533" spans="1:35" hidden="1">
      <c r="A533" s="7">
        <v>532</v>
      </c>
      <c r="B533" t="s">
        <v>243</v>
      </c>
      <c r="C533" t="s">
        <v>244</v>
      </c>
      <c r="D533" s="7">
        <v>7134</v>
      </c>
      <c r="E533" t="s">
        <v>245</v>
      </c>
      <c r="F533" t="s">
        <v>246</v>
      </c>
      <c r="G533" t="s">
        <v>1471</v>
      </c>
      <c r="H533" t="s">
        <v>624</v>
      </c>
      <c r="I533" s="7">
        <v>1165</v>
      </c>
      <c r="J533" s="7">
        <v>114000</v>
      </c>
      <c r="K533" s="7">
        <v>13</v>
      </c>
      <c r="L533" t="s">
        <v>247</v>
      </c>
      <c r="M533" t="s">
        <v>261</v>
      </c>
      <c r="N533" s="7">
        <v>744800</v>
      </c>
      <c r="O533" t="s">
        <v>2070</v>
      </c>
      <c r="P533" t="s">
        <v>2071</v>
      </c>
      <c r="S533" t="s">
        <v>1801</v>
      </c>
      <c r="T533" t="s">
        <v>1601</v>
      </c>
      <c r="U533" t="s">
        <v>1802</v>
      </c>
      <c r="V533" s="8">
        <v>0</v>
      </c>
      <c r="W533" s="7">
        <v>588115</v>
      </c>
      <c r="X533" t="s">
        <v>1803</v>
      </c>
      <c r="Y533" s="8">
        <v>0</v>
      </c>
      <c r="Z533" s="8">
        <v>0</v>
      </c>
      <c r="AA533" s="8">
        <v>0</v>
      </c>
      <c r="AB533" s="7">
        <v>111582</v>
      </c>
      <c r="AC533" t="s">
        <v>1803</v>
      </c>
      <c r="AD533" s="8">
        <v>0</v>
      </c>
      <c r="AG533" t="s">
        <v>801</v>
      </c>
      <c r="AH533" t="s">
        <v>802</v>
      </c>
      <c r="AI533" t="s">
        <v>803</v>
      </c>
    </row>
    <row r="534" spans="1:35" hidden="1">
      <c r="A534" s="7">
        <v>533</v>
      </c>
      <c r="B534" t="s">
        <v>243</v>
      </c>
      <c r="C534" t="s">
        <v>244</v>
      </c>
      <c r="D534" s="7">
        <v>7134</v>
      </c>
      <c r="E534" t="s">
        <v>245</v>
      </c>
      <c r="F534" t="s">
        <v>246</v>
      </c>
      <c r="G534" t="s">
        <v>809</v>
      </c>
      <c r="H534" t="s">
        <v>657</v>
      </c>
      <c r="I534" s="7">
        <v>1165</v>
      </c>
      <c r="J534" s="7">
        <v>77805</v>
      </c>
      <c r="K534" s="7">
        <v>10</v>
      </c>
      <c r="L534" t="s">
        <v>247</v>
      </c>
      <c r="M534" t="s">
        <v>261</v>
      </c>
      <c r="N534" s="7">
        <v>753565</v>
      </c>
      <c r="O534" t="s">
        <v>811</v>
      </c>
      <c r="P534" t="s">
        <v>812</v>
      </c>
      <c r="S534" t="s">
        <v>1801</v>
      </c>
      <c r="T534" t="s">
        <v>1601</v>
      </c>
      <c r="U534" t="s">
        <v>1802</v>
      </c>
      <c r="V534" s="8">
        <v>0</v>
      </c>
      <c r="W534" s="7">
        <v>588115</v>
      </c>
      <c r="X534" t="s">
        <v>1803</v>
      </c>
      <c r="Y534" s="8">
        <v>0</v>
      </c>
      <c r="Z534" s="8">
        <v>0</v>
      </c>
      <c r="AA534" s="8">
        <v>0</v>
      </c>
      <c r="AB534" s="7">
        <v>111582</v>
      </c>
      <c r="AC534" t="s">
        <v>1803</v>
      </c>
      <c r="AD534" s="8">
        <v>0</v>
      </c>
      <c r="AG534" t="s">
        <v>801</v>
      </c>
      <c r="AH534" t="s">
        <v>802</v>
      </c>
      <c r="AI534" t="s">
        <v>803</v>
      </c>
    </row>
    <row r="535" spans="1:35" hidden="1">
      <c r="A535" s="7">
        <v>534</v>
      </c>
      <c r="B535" t="s">
        <v>243</v>
      </c>
      <c r="C535" t="s">
        <v>244</v>
      </c>
      <c r="D535" s="7">
        <v>7134</v>
      </c>
      <c r="E535" t="s">
        <v>245</v>
      </c>
      <c r="F535" t="s">
        <v>246</v>
      </c>
      <c r="G535" t="s">
        <v>970</v>
      </c>
      <c r="H535" t="s">
        <v>649</v>
      </c>
      <c r="I535" s="7">
        <v>1165</v>
      </c>
      <c r="J535" s="7">
        <v>10009</v>
      </c>
      <c r="K535" s="7">
        <v>1</v>
      </c>
      <c r="L535" t="s">
        <v>247</v>
      </c>
      <c r="M535" t="s">
        <v>261</v>
      </c>
      <c r="N535" s="7">
        <v>795389</v>
      </c>
      <c r="O535" t="s">
        <v>1973</v>
      </c>
      <c r="P535" t="s">
        <v>1974</v>
      </c>
      <c r="S535" t="s">
        <v>1801</v>
      </c>
      <c r="T535" t="s">
        <v>1601</v>
      </c>
      <c r="U535" t="s">
        <v>1802</v>
      </c>
      <c r="V535" s="8">
        <v>1250</v>
      </c>
      <c r="W535" s="7">
        <v>588115</v>
      </c>
      <c r="X535" t="s">
        <v>1803</v>
      </c>
      <c r="Y535" s="8">
        <v>1250</v>
      </c>
      <c r="Z535" s="8">
        <v>1475</v>
      </c>
      <c r="AA535" s="8">
        <v>225</v>
      </c>
      <c r="AB535" s="7">
        <v>111582</v>
      </c>
      <c r="AC535" t="s">
        <v>1803</v>
      </c>
      <c r="AD535" s="8">
        <v>0</v>
      </c>
      <c r="AG535" t="s">
        <v>817</v>
      </c>
      <c r="AH535" t="s">
        <v>802</v>
      </c>
      <c r="AI535" t="s">
        <v>818</v>
      </c>
    </row>
    <row r="536" spans="1:35" hidden="1">
      <c r="A536" s="7">
        <v>535</v>
      </c>
      <c r="B536" t="s">
        <v>243</v>
      </c>
      <c r="C536" t="s">
        <v>244</v>
      </c>
      <c r="D536" s="7">
        <v>7134</v>
      </c>
      <c r="E536" t="s">
        <v>245</v>
      </c>
      <c r="F536" t="s">
        <v>246</v>
      </c>
      <c r="G536" t="s">
        <v>1966</v>
      </c>
      <c r="H536" t="s">
        <v>1814</v>
      </c>
      <c r="I536" s="7">
        <v>1165</v>
      </c>
      <c r="J536" s="7">
        <v>46605</v>
      </c>
      <c r="K536" s="7">
        <v>12</v>
      </c>
      <c r="L536" t="s">
        <v>247</v>
      </c>
      <c r="M536" t="s">
        <v>261</v>
      </c>
      <c r="N536" s="7">
        <v>733488</v>
      </c>
      <c r="O536" t="s">
        <v>1967</v>
      </c>
      <c r="P536" t="s">
        <v>1968</v>
      </c>
      <c r="S536" t="s">
        <v>1801</v>
      </c>
      <c r="T536" t="s">
        <v>1601</v>
      </c>
      <c r="U536" t="s">
        <v>1802</v>
      </c>
      <c r="V536" s="8">
        <v>0</v>
      </c>
      <c r="W536" s="7">
        <v>588115</v>
      </c>
      <c r="X536" t="s">
        <v>1803</v>
      </c>
      <c r="Y536" s="8">
        <v>0</v>
      </c>
      <c r="Z536" s="8">
        <v>0</v>
      </c>
      <c r="AA536" s="8">
        <v>0</v>
      </c>
      <c r="AB536" s="7">
        <v>111582</v>
      </c>
      <c r="AC536" t="s">
        <v>1803</v>
      </c>
      <c r="AD536" s="8">
        <v>0</v>
      </c>
      <c r="AG536" t="s">
        <v>808</v>
      </c>
      <c r="AH536" t="s">
        <v>802</v>
      </c>
      <c r="AI536" t="s">
        <v>803</v>
      </c>
    </row>
    <row r="537" spans="1:35" hidden="1">
      <c r="A537" s="7">
        <v>536</v>
      </c>
      <c r="B537" t="s">
        <v>243</v>
      </c>
      <c r="C537" t="s">
        <v>244</v>
      </c>
      <c r="D537" s="7">
        <v>7134</v>
      </c>
      <c r="E537" t="s">
        <v>245</v>
      </c>
      <c r="F537" t="s">
        <v>246</v>
      </c>
      <c r="G537" t="s">
        <v>1457</v>
      </c>
      <c r="H537" t="s">
        <v>1830</v>
      </c>
      <c r="I537" s="7">
        <v>875</v>
      </c>
      <c r="J537" s="7">
        <v>10401</v>
      </c>
      <c r="K537" s="7">
        <v>1</v>
      </c>
      <c r="L537" t="s">
        <v>247</v>
      </c>
      <c r="M537" t="s">
        <v>261</v>
      </c>
      <c r="N537" s="7">
        <v>796123</v>
      </c>
      <c r="O537" t="s">
        <v>1969</v>
      </c>
      <c r="P537" t="s">
        <v>1970</v>
      </c>
      <c r="S537" t="s">
        <v>1801</v>
      </c>
      <c r="T537" t="s">
        <v>1601</v>
      </c>
      <c r="U537" t="s">
        <v>1802</v>
      </c>
      <c r="V537" s="8">
        <v>1250</v>
      </c>
      <c r="W537" s="7">
        <v>588115</v>
      </c>
      <c r="X537" t="s">
        <v>1803</v>
      </c>
      <c r="Y537" s="8">
        <v>1250</v>
      </c>
      <c r="Z537" s="8">
        <v>1475</v>
      </c>
      <c r="AA537" s="8">
        <v>225</v>
      </c>
      <c r="AB537" s="7">
        <v>111582</v>
      </c>
      <c r="AC537" t="s">
        <v>1803</v>
      </c>
      <c r="AD537" s="8">
        <v>0</v>
      </c>
      <c r="AG537" t="s">
        <v>817</v>
      </c>
      <c r="AH537" t="s">
        <v>802</v>
      </c>
      <c r="AI537" t="s">
        <v>818</v>
      </c>
    </row>
    <row r="538" spans="1:35" hidden="1">
      <c r="A538" s="7">
        <v>537</v>
      </c>
      <c r="B538" t="s">
        <v>243</v>
      </c>
      <c r="C538" t="s">
        <v>244</v>
      </c>
      <c r="D538" s="7">
        <v>7134</v>
      </c>
      <c r="E538" t="s">
        <v>245</v>
      </c>
      <c r="F538" t="s">
        <v>246</v>
      </c>
      <c r="G538" t="s">
        <v>278</v>
      </c>
      <c r="H538" t="s">
        <v>594</v>
      </c>
      <c r="I538" s="7">
        <v>829</v>
      </c>
      <c r="J538" s="7">
        <v>9817</v>
      </c>
      <c r="K538" s="7">
        <v>1</v>
      </c>
      <c r="L538" t="s">
        <v>247</v>
      </c>
      <c r="M538" t="s">
        <v>261</v>
      </c>
      <c r="N538" s="7">
        <v>795183</v>
      </c>
      <c r="O538" t="s">
        <v>1838</v>
      </c>
      <c r="P538" t="s">
        <v>1839</v>
      </c>
      <c r="S538" t="s">
        <v>1801</v>
      </c>
      <c r="T538" t="s">
        <v>1601</v>
      </c>
      <c r="U538" t="s">
        <v>1802</v>
      </c>
      <c r="V538" s="8">
        <v>1250</v>
      </c>
      <c r="W538" s="7">
        <v>588115</v>
      </c>
      <c r="X538" t="s">
        <v>1803</v>
      </c>
      <c r="Y538" s="8">
        <v>1250</v>
      </c>
      <c r="Z538" s="8">
        <v>1475</v>
      </c>
      <c r="AA538" s="8">
        <v>225</v>
      </c>
      <c r="AB538" s="7">
        <v>111582</v>
      </c>
      <c r="AC538" t="s">
        <v>1803</v>
      </c>
      <c r="AD538" s="8">
        <v>0</v>
      </c>
      <c r="AG538" t="s">
        <v>817</v>
      </c>
      <c r="AH538" t="s">
        <v>802</v>
      </c>
      <c r="AI538" t="s">
        <v>818</v>
      </c>
    </row>
    <row r="539" spans="1:35" hidden="1">
      <c r="A539" s="7">
        <v>538</v>
      </c>
      <c r="B539" t="s">
        <v>243</v>
      </c>
      <c r="C539" t="s">
        <v>244</v>
      </c>
      <c r="D539" s="7">
        <v>7134</v>
      </c>
      <c r="E539" t="s">
        <v>245</v>
      </c>
      <c r="F539" t="s">
        <v>246</v>
      </c>
      <c r="G539" t="s">
        <v>872</v>
      </c>
      <c r="H539" t="s">
        <v>1814</v>
      </c>
      <c r="I539" s="7">
        <v>1165</v>
      </c>
      <c r="J539" s="7">
        <v>19713</v>
      </c>
      <c r="K539" s="7">
        <v>3</v>
      </c>
      <c r="L539" t="s">
        <v>247</v>
      </c>
      <c r="M539" t="s">
        <v>261</v>
      </c>
      <c r="N539" s="7">
        <v>780622</v>
      </c>
      <c r="O539" t="s">
        <v>2001</v>
      </c>
      <c r="P539" t="s">
        <v>2002</v>
      </c>
      <c r="S539" t="s">
        <v>1801</v>
      </c>
      <c r="T539" t="s">
        <v>1601</v>
      </c>
      <c r="U539" t="s">
        <v>1802</v>
      </c>
      <c r="V539" s="8">
        <v>1250</v>
      </c>
      <c r="W539" s="7">
        <v>588115</v>
      </c>
      <c r="X539" t="s">
        <v>1803</v>
      </c>
      <c r="Y539" s="8">
        <v>1250</v>
      </c>
      <c r="Z539" s="8">
        <v>1475</v>
      </c>
      <c r="AA539" s="8">
        <v>225</v>
      </c>
      <c r="AB539" s="7">
        <v>111582</v>
      </c>
      <c r="AC539" t="s">
        <v>1803</v>
      </c>
      <c r="AD539" s="8">
        <v>0</v>
      </c>
      <c r="AG539" t="s">
        <v>817</v>
      </c>
      <c r="AH539" t="s">
        <v>802</v>
      </c>
      <c r="AI539" t="s">
        <v>818</v>
      </c>
    </row>
    <row r="540" spans="1:35" hidden="1">
      <c r="A540" s="7">
        <v>539</v>
      </c>
      <c r="B540" t="s">
        <v>243</v>
      </c>
      <c r="C540" t="s">
        <v>244</v>
      </c>
      <c r="D540" s="7">
        <v>7134</v>
      </c>
      <c r="E540" t="s">
        <v>245</v>
      </c>
      <c r="F540" t="s">
        <v>246</v>
      </c>
      <c r="G540" t="s">
        <v>248</v>
      </c>
      <c r="H540" t="s">
        <v>598</v>
      </c>
      <c r="I540" s="7">
        <v>893</v>
      </c>
      <c r="J540" s="7">
        <v>9911</v>
      </c>
      <c r="K540" s="7">
        <v>1</v>
      </c>
      <c r="L540" t="s">
        <v>247</v>
      </c>
      <c r="M540" t="s">
        <v>261</v>
      </c>
      <c r="N540" s="7">
        <v>798600</v>
      </c>
      <c r="O540" t="s">
        <v>1831</v>
      </c>
      <c r="P540" t="s">
        <v>1832</v>
      </c>
      <c r="S540" t="s">
        <v>1801</v>
      </c>
      <c r="T540" t="s">
        <v>1601</v>
      </c>
      <c r="U540" t="s">
        <v>1802</v>
      </c>
      <c r="V540" s="8">
        <v>1250</v>
      </c>
      <c r="W540" s="7">
        <v>588115</v>
      </c>
      <c r="X540" t="s">
        <v>1803</v>
      </c>
      <c r="Y540" s="8">
        <v>1250</v>
      </c>
      <c r="Z540" s="8">
        <v>1475</v>
      </c>
      <c r="AA540" s="8">
        <v>225</v>
      </c>
      <c r="AB540" s="7">
        <v>111582</v>
      </c>
      <c r="AC540" t="s">
        <v>1803</v>
      </c>
      <c r="AD540" s="8">
        <v>0</v>
      </c>
      <c r="AG540" t="s">
        <v>817</v>
      </c>
      <c r="AH540" t="s">
        <v>802</v>
      </c>
      <c r="AI540" t="s">
        <v>818</v>
      </c>
    </row>
    <row r="541" spans="1:35" hidden="1">
      <c r="A541" s="7">
        <v>540</v>
      </c>
      <c r="B541" t="s">
        <v>243</v>
      </c>
      <c r="C541" t="s">
        <v>244</v>
      </c>
      <c r="D541" s="7">
        <v>7134</v>
      </c>
      <c r="E541" t="s">
        <v>245</v>
      </c>
      <c r="F541" t="s">
        <v>246</v>
      </c>
      <c r="G541" t="s">
        <v>867</v>
      </c>
      <c r="H541" t="s">
        <v>1827</v>
      </c>
      <c r="I541" s="7">
        <v>1165</v>
      </c>
      <c r="J541" s="7">
        <v>10941</v>
      </c>
      <c r="K541" s="7">
        <v>2</v>
      </c>
      <c r="L541" t="s">
        <v>247</v>
      </c>
      <c r="M541" t="s">
        <v>398</v>
      </c>
      <c r="N541" s="7">
        <v>757950</v>
      </c>
      <c r="O541" t="s">
        <v>1828</v>
      </c>
      <c r="P541" t="s">
        <v>1829</v>
      </c>
      <c r="Q541" t="s">
        <v>870</v>
      </c>
      <c r="R541" t="s">
        <v>871</v>
      </c>
      <c r="S541" t="s">
        <v>1801</v>
      </c>
      <c r="T541" t="s">
        <v>1601</v>
      </c>
      <c r="U541" t="s">
        <v>1802</v>
      </c>
      <c r="V541" s="8">
        <v>0</v>
      </c>
      <c r="W541" s="7">
        <v>588115</v>
      </c>
      <c r="X541" t="s">
        <v>1803</v>
      </c>
      <c r="Y541" s="8">
        <v>0</v>
      </c>
      <c r="Z541" s="8">
        <v>0</v>
      </c>
      <c r="AA541" s="8">
        <v>0</v>
      </c>
      <c r="AB541" s="7">
        <v>111582</v>
      </c>
      <c r="AC541" t="s">
        <v>1803</v>
      </c>
      <c r="AD541" s="8">
        <v>0</v>
      </c>
      <c r="AG541" t="s">
        <v>1365</v>
      </c>
      <c r="AH541" t="s">
        <v>802</v>
      </c>
      <c r="AI541" t="s">
        <v>803</v>
      </c>
    </row>
    <row r="542" spans="1:35" hidden="1">
      <c r="A542" s="7">
        <v>541</v>
      </c>
      <c r="B542" t="s">
        <v>243</v>
      </c>
      <c r="C542" t="s">
        <v>244</v>
      </c>
      <c r="D542" s="7">
        <v>7134</v>
      </c>
      <c r="E542" t="s">
        <v>245</v>
      </c>
      <c r="F542" t="s">
        <v>246</v>
      </c>
      <c r="G542" t="s">
        <v>308</v>
      </c>
      <c r="H542" t="s">
        <v>1804</v>
      </c>
      <c r="I542" s="7">
        <v>1165</v>
      </c>
      <c r="J542" s="7">
        <v>10000</v>
      </c>
      <c r="K542" s="7">
        <v>1</v>
      </c>
      <c r="L542" t="s">
        <v>247</v>
      </c>
      <c r="M542" t="s">
        <v>252</v>
      </c>
      <c r="N542" s="7">
        <v>327885</v>
      </c>
      <c r="O542" t="s">
        <v>310</v>
      </c>
      <c r="P542" t="s">
        <v>311</v>
      </c>
      <c r="S542" t="s">
        <v>1801</v>
      </c>
      <c r="T542" t="s">
        <v>1601</v>
      </c>
      <c r="U542" t="s">
        <v>1802</v>
      </c>
      <c r="V542" s="8">
        <v>1250</v>
      </c>
      <c r="W542" s="7">
        <v>588115</v>
      </c>
      <c r="X542" t="s">
        <v>1803</v>
      </c>
      <c r="Y542" s="8">
        <v>1250</v>
      </c>
      <c r="Z542" s="8">
        <v>1475</v>
      </c>
      <c r="AA542" s="8">
        <v>225</v>
      </c>
      <c r="AB542" s="7">
        <v>111582</v>
      </c>
      <c r="AC542" t="s">
        <v>1803</v>
      </c>
      <c r="AD542" s="8">
        <v>0</v>
      </c>
      <c r="AG542" t="s">
        <v>937</v>
      </c>
      <c r="AH542" t="s">
        <v>802</v>
      </c>
      <c r="AI542" t="s">
        <v>818</v>
      </c>
    </row>
    <row r="543" spans="1:35" hidden="1">
      <c r="A543" s="7">
        <v>542</v>
      </c>
      <c r="B543" t="s">
        <v>243</v>
      </c>
      <c r="C543" t="s">
        <v>244</v>
      </c>
      <c r="D543" s="7">
        <v>7134</v>
      </c>
      <c r="E543" t="s">
        <v>245</v>
      </c>
      <c r="F543" t="s">
        <v>246</v>
      </c>
      <c r="G543" t="s">
        <v>263</v>
      </c>
      <c r="H543" t="s">
        <v>594</v>
      </c>
      <c r="I543" s="7">
        <v>895</v>
      </c>
      <c r="J543" s="7">
        <v>10537</v>
      </c>
      <c r="K543" s="7">
        <v>1</v>
      </c>
      <c r="L543" t="s">
        <v>247</v>
      </c>
      <c r="M543" t="s">
        <v>261</v>
      </c>
      <c r="N543" s="7">
        <v>796579</v>
      </c>
      <c r="O543" t="s">
        <v>2030</v>
      </c>
      <c r="P543" t="s">
        <v>2031</v>
      </c>
      <c r="S543" t="s">
        <v>1801</v>
      </c>
      <c r="T543" t="s">
        <v>1601</v>
      </c>
      <c r="U543" t="s">
        <v>1802</v>
      </c>
      <c r="V543" s="8">
        <v>1250</v>
      </c>
      <c r="W543" s="7">
        <v>588115</v>
      </c>
      <c r="X543" t="s">
        <v>1803</v>
      </c>
      <c r="Y543" s="8">
        <v>1250</v>
      </c>
      <c r="Z543" s="8">
        <v>1475</v>
      </c>
      <c r="AA543" s="8">
        <v>225</v>
      </c>
      <c r="AB543" s="7">
        <v>111582</v>
      </c>
      <c r="AC543" t="s">
        <v>1803</v>
      </c>
      <c r="AD543" s="8">
        <v>0</v>
      </c>
      <c r="AG543" t="s">
        <v>817</v>
      </c>
      <c r="AH543" t="s">
        <v>802</v>
      </c>
      <c r="AI543" t="s">
        <v>818</v>
      </c>
    </row>
    <row r="544" spans="1:35" hidden="1">
      <c r="A544" s="7">
        <v>543</v>
      </c>
      <c r="B544" t="s">
        <v>243</v>
      </c>
      <c r="C544" t="s">
        <v>244</v>
      </c>
      <c r="D544" s="7">
        <v>7134</v>
      </c>
      <c r="E544" t="s">
        <v>245</v>
      </c>
      <c r="F544" t="s">
        <v>246</v>
      </c>
      <c r="G544" t="s">
        <v>888</v>
      </c>
      <c r="H544" t="s">
        <v>1814</v>
      </c>
      <c r="I544" s="7">
        <v>1165</v>
      </c>
      <c r="J544" s="7">
        <v>70000</v>
      </c>
      <c r="K544" s="7">
        <v>7</v>
      </c>
      <c r="L544" t="s">
        <v>247</v>
      </c>
      <c r="M544" t="s">
        <v>267</v>
      </c>
      <c r="N544" s="7">
        <v>776290</v>
      </c>
      <c r="O544" t="s">
        <v>889</v>
      </c>
      <c r="P544" t="s">
        <v>890</v>
      </c>
      <c r="S544" t="s">
        <v>1801</v>
      </c>
      <c r="T544" t="s">
        <v>1601</v>
      </c>
      <c r="U544" t="s">
        <v>1802</v>
      </c>
      <c r="V544" s="8">
        <v>0</v>
      </c>
      <c r="W544" s="7">
        <v>588115</v>
      </c>
      <c r="X544" t="s">
        <v>1803</v>
      </c>
      <c r="Y544" s="8">
        <v>0</v>
      </c>
      <c r="Z544" s="8">
        <v>0</v>
      </c>
      <c r="AA544" s="8">
        <v>0</v>
      </c>
      <c r="AB544" s="7">
        <v>111582</v>
      </c>
      <c r="AC544" t="s">
        <v>1803</v>
      </c>
      <c r="AD544" s="8">
        <v>0</v>
      </c>
      <c r="AG544" t="s">
        <v>828</v>
      </c>
      <c r="AH544" t="s">
        <v>802</v>
      </c>
      <c r="AI544" t="s">
        <v>803</v>
      </c>
    </row>
    <row r="545" spans="1:35">
      <c r="A545" s="7">
        <v>544</v>
      </c>
      <c r="B545" t="s">
        <v>243</v>
      </c>
      <c r="C545" t="s">
        <v>244</v>
      </c>
      <c r="D545" s="7">
        <v>7134</v>
      </c>
      <c r="E545" t="s">
        <v>245</v>
      </c>
      <c r="F545" t="s">
        <v>246</v>
      </c>
      <c r="G545" t="s">
        <v>333</v>
      </c>
      <c r="H545" t="s">
        <v>1804</v>
      </c>
      <c r="I545" s="7">
        <v>1165</v>
      </c>
      <c r="J545" s="7">
        <v>3500</v>
      </c>
      <c r="K545" s="7">
        <v>1</v>
      </c>
      <c r="L545" t="s">
        <v>247</v>
      </c>
      <c r="M545" t="s">
        <v>252</v>
      </c>
      <c r="N545" s="7">
        <v>328462</v>
      </c>
      <c r="O545" t="s">
        <v>386</v>
      </c>
      <c r="P545" t="s">
        <v>387</v>
      </c>
      <c r="S545" t="s">
        <v>1801</v>
      </c>
      <c r="T545" t="s">
        <v>1601</v>
      </c>
      <c r="U545" t="s">
        <v>1802</v>
      </c>
      <c r="V545" s="8">
        <v>1250</v>
      </c>
      <c r="W545" s="7">
        <v>588115</v>
      </c>
      <c r="X545" t="s">
        <v>1803</v>
      </c>
      <c r="Y545" s="8">
        <v>1250</v>
      </c>
      <c r="Z545" s="8">
        <v>1475</v>
      </c>
      <c r="AA545" s="8">
        <v>225</v>
      </c>
      <c r="AB545" s="7">
        <v>111582</v>
      </c>
      <c r="AC545" t="s">
        <v>1803</v>
      </c>
      <c r="AD545" s="8">
        <v>0</v>
      </c>
      <c r="AG545" t="s">
        <v>937</v>
      </c>
      <c r="AH545" t="s">
        <v>802</v>
      </c>
      <c r="AI545" t="s">
        <v>818</v>
      </c>
    </row>
    <row r="546" spans="1:35" hidden="1">
      <c r="A546" s="7">
        <v>545</v>
      </c>
      <c r="B546" t="s">
        <v>243</v>
      </c>
      <c r="C546" t="s">
        <v>244</v>
      </c>
      <c r="D546" s="7">
        <v>7134</v>
      </c>
      <c r="E546" t="s">
        <v>245</v>
      </c>
      <c r="F546" t="s">
        <v>246</v>
      </c>
      <c r="G546" t="s">
        <v>1063</v>
      </c>
      <c r="H546" t="s">
        <v>1804</v>
      </c>
      <c r="I546" s="7">
        <v>1165</v>
      </c>
      <c r="J546" s="7">
        <v>70000</v>
      </c>
      <c r="K546" s="7">
        <v>7</v>
      </c>
      <c r="L546" t="s">
        <v>247</v>
      </c>
      <c r="M546" t="s">
        <v>261</v>
      </c>
      <c r="N546" s="7">
        <v>773701</v>
      </c>
      <c r="O546" t="s">
        <v>2074</v>
      </c>
      <c r="P546" t="s">
        <v>2075</v>
      </c>
      <c r="S546" t="s">
        <v>1801</v>
      </c>
      <c r="T546" t="s">
        <v>1601</v>
      </c>
      <c r="U546" t="s">
        <v>1802</v>
      </c>
      <c r="V546" s="8">
        <v>0</v>
      </c>
      <c r="W546" s="7">
        <v>588115</v>
      </c>
      <c r="X546" t="s">
        <v>1803</v>
      </c>
      <c r="Y546" s="8">
        <v>0</v>
      </c>
      <c r="Z546" s="8">
        <v>0</v>
      </c>
      <c r="AA546" s="8">
        <v>0</v>
      </c>
      <c r="AB546" s="7">
        <v>111582</v>
      </c>
      <c r="AC546" t="s">
        <v>1803</v>
      </c>
      <c r="AD546" s="8">
        <v>0</v>
      </c>
      <c r="AG546" t="s">
        <v>801</v>
      </c>
      <c r="AH546" t="s">
        <v>802</v>
      </c>
      <c r="AI546" t="s">
        <v>803</v>
      </c>
    </row>
    <row r="547" spans="1:35" hidden="1">
      <c r="A547" s="7">
        <v>546</v>
      </c>
      <c r="B547" t="s">
        <v>243</v>
      </c>
      <c r="C547" t="s">
        <v>244</v>
      </c>
      <c r="D547" s="7">
        <v>7134</v>
      </c>
      <c r="E547" t="s">
        <v>245</v>
      </c>
      <c r="F547" t="s">
        <v>246</v>
      </c>
      <c r="G547" t="s">
        <v>1955</v>
      </c>
      <c r="H547" t="s">
        <v>1804</v>
      </c>
      <c r="I547" s="7">
        <v>1165</v>
      </c>
      <c r="J547" s="7">
        <v>8430</v>
      </c>
      <c r="K547" s="7">
        <v>4</v>
      </c>
      <c r="L547" t="s">
        <v>247</v>
      </c>
      <c r="M547" t="s">
        <v>252</v>
      </c>
      <c r="N547" s="7">
        <v>324248</v>
      </c>
      <c r="O547" t="s">
        <v>1956</v>
      </c>
      <c r="P547" t="s">
        <v>1957</v>
      </c>
      <c r="S547" t="s">
        <v>1801</v>
      </c>
      <c r="T547" t="s">
        <v>1601</v>
      </c>
      <c r="U547" t="s">
        <v>1802</v>
      </c>
      <c r="V547" s="8">
        <v>0</v>
      </c>
      <c r="W547" s="7">
        <v>588115</v>
      </c>
      <c r="X547" t="s">
        <v>1803</v>
      </c>
      <c r="Y547" s="8">
        <v>0</v>
      </c>
      <c r="Z547" s="8">
        <v>0</v>
      </c>
      <c r="AA547" s="8">
        <v>0</v>
      </c>
      <c r="AB547" s="7">
        <v>111582</v>
      </c>
      <c r="AC547" t="s">
        <v>1803</v>
      </c>
      <c r="AD547" s="8">
        <v>0</v>
      </c>
      <c r="AG547" t="s">
        <v>937</v>
      </c>
      <c r="AH547" t="s">
        <v>802</v>
      </c>
      <c r="AI547" t="s">
        <v>803</v>
      </c>
    </row>
    <row r="548" spans="1:35" hidden="1">
      <c r="A548" s="7">
        <v>547</v>
      </c>
      <c r="B548" t="s">
        <v>243</v>
      </c>
      <c r="C548" t="s">
        <v>244</v>
      </c>
      <c r="D548" s="7">
        <v>7134</v>
      </c>
      <c r="E548" t="s">
        <v>245</v>
      </c>
      <c r="F548" t="s">
        <v>246</v>
      </c>
      <c r="G548" t="s">
        <v>263</v>
      </c>
      <c r="H548" t="s">
        <v>624</v>
      </c>
      <c r="I548" s="7">
        <v>887</v>
      </c>
      <c r="J548" s="7">
        <v>9760</v>
      </c>
      <c r="K548" s="7">
        <v>1</v>
      </c>
      <c r="L548" t="s">
        <v>247</v>
      </c>
      <c r="M548" t="s">
        <v>261</v>
      </c>
      <c r="N548" s="7">
        <v>796173</v>
      </c>
      <c r="O548" t="s">
        <v>1958</v>
      </c>
      <c r="P548" t="s">
        <v>1959</v>
      </c>
      <c r="S548" t="s">
        <v>1801</v>
      </c>
      <c r="T548" t="s">
        <v>1601</v>
      </c>
      <c r="U548" t="s">
        <v>1802</v>
      </c>
      <c r="V548" s="8">
        <v>1250</v>
      </c>
      <c r="W548" s="7">
        <v>588115</v>
      </c>
      <c r="X548" t="s">
        <v>1803</v>
      </c>
      <c r="Y548" s="8">
        <v>1250</v>
      </c>
      <c r="Z548" s="8">
        <v>1475</v>
      </c>
      <c r="AA548" s="8">
        <v>225</v>
      </c>
      <c r="AB548" s="7">
        <v>111582</v>
      </c>
      <c r="AC548" t="s">
        <v>1803</v>
      </c>
      <c r="AD548" s="8">
        <v>0</v>
      </c>
      <c r="AG548" t="s">
        <v>817</v>
      </c>
      <c r="AH548" t="s">
        <v>802</v>
      </c>
      <c r="AI548" t="s">
        <v>818</v>
      </c>
    </row>
    <row r="549" spans="1:35" hidden="1">
      <c r="A549" s="7">
        <v>548</v>
      </c>
      <c r="B549" t="s">
        <v>243</v>
      </c>
      <c r="C549" t="s">
        <v>244</v>
      </c>
      <c r="D549" s="7">
        <v>7134</v>
      </c>
      <c r="E549" t="s">
        <v>245</v>
      </c>
      <c r="F549" t="s">
        <v>246</v>
      </c>
      <c r="G549" t="s">
        <v>1906</v>
      </c>
      <c r="H549" t="s">
        <v>598</v>
      </c>
      <c r="I549" s="7">
        <v>1165</v>
      </c>
      <c r="J549" s="7">
        <v>4208</v>
      </c>
      <c r="K549" s="7">
        <v>2</v>
      </c>
      <c r="L549" t="s">
        <v>247</v>
      </c>
      <c r="M549" t="s">
        <v>252</v>
      </c>
      <c r="N549" s="7">
        <v>326401</v>
      </c>
      <c r="O549" t="s">
        <v>1907</v>
      </c>
      <c r="P549" t="s">
        <v>1908</v>
      </c>
      <c r="S549" t="s">
        <v>1801</v>
      </c>
      <c r="T549" t="s">
        <v>1601</v>
      </c>
      <c r="U549" t="s">
        <v>1802</v>
      </c>
      <c r="V549" s="8">
        <v>0</v>
      </c>
      <c r="W549" s="7">
        <v>588115</v>
      </c>
      <c r="X549" t="s">
        <v>1803</v>
      </c>
      <c r="Y549" s="8">
        <v>0</v>
      </c>
      <c r="Z549" s="8">
        <v>0</v>
      </c>
      <c r="AA549" s="8">
        <v>0</v>
      </c>
      <c r="AB549" s="7">
        <v>111582</v>
      </c>
      <c r="AC549" t="s">
        <v>1803</v>
      </c>
      <c r="AD549" s="8">
        <v>0</v>
      </c>
      <c r="AG549" t="s">
        <v>937</v>
      </c>
      <c r="AH549" t="s">
        <v>802</v>
      </c>
      <c r="AI549" t="s">
        <v>803</v>
      </c>
    </row>
    <row r="550" spans="1:35" hidden="1">
      <c r="A550" s="7">
        <v>549</v>
      </c>
      <c r="B550" t="s">
        <v>243</v>
      </c>
      <c r="C550" t="s">
        <v>244</v>
      </c>
      <c r="D550" s="7">
        <v>7134</v>
      </c>
      <c r="E550" t="s">
        <v>245</v>
      </c>
      <c r="F550" t="s">
        <v>246</v>
      </c>
      <c r="G550" t="s">
        <v>333</v>
      </c>
      <c r="H550" t="s">
        <v>607</v>
      </c>
      <c r="I550" s="7">
        <v>876</v>
      </c>
      <c r="J550" s="7">
        <v>10198</v>
      </c>
      <c r="K550" s="7">
        <v>1</v>
      </c>
      <c r="L550" t="s">
        <v>247</v>
      </c>
      <c r="M550" t="s">
        <v>261</v>
      </c>
      <c r="N550" s="7">
        <v>796542</v>
      </c>
      <c r="O550" t="s">
        <v>1833</v>
      </c>
      <c r="P550" t="s">
        <v>1834</v>
      </c>
      <c r="S550" t="s">
        <v>1801</v>
      </c>
      <c r="T550" t="s">
        <v>1601</v>
      </c>
      <c r="U550" t="s">
        <v>1802</v>
      </c>
      <c r="V550" s="8">
        <v>1250</v>
      </c>
      <c r="W550" s="7">
        <v>588115</v>
      </c>
      <c r="X550" t="s">
        <v>1803</v>
      </c>
      <c r="Y550" s="8">
        <v>1250</v>
      </c>
      <c r="Z550" s="8">
        <v>1475</v>
      </c>
      <c r="AA550" s="8">
        <v>225</v>
      </c>
      <c r="AB550" s="7">
        <v>111582</v>
      </c>
      <c r="AC550" t="s">
        <v>1803</v>
      </c>
      <c r="AD550" s="8">
        <v>0</v>
      </c>
      <c r="AG550" t="s">
        <v>817</v>
      </c>
      <c r="AH550" t="s">
        <v>802</v>
      </c>
      <c r="AI550" t="s">
        <v>818</v>
      </c>
    </row>
    <row r="551" spans="1:35" hidden="1">
      <c r="A551" s="7">
        <v>550</v>
      </c>
      <c r="B551" t="s">
        <v>243</v>
      </c>
      <c r="C551" t="s">
        <v>244</v>
      </c>
      <c r="D551" s="7">
        <v>7134</v>
      </c>
      <c r="E551" t="s">
        <v>245</v>
      </c>
      <c r="F551" t="s">
        <v>246</v>
      </c>
      <c r="G551" t="s">
        <v>1577</v>
      </c>
      <c r="H551" t="s">
        <v>1798</v>
      </c>
      <c r="I551" s="7">
        <v>1165</v>
      </c>
      <c r="J551" s="7">
        <v>40000</v>
      </c>
      <c r="K551" s="7">
        <v>4</v>
      </c>
      <c r="L551" t="s">
        <v>247</v>
      </c>
      <c r="M551" t="s">
        <v>361</v>
      </c>
      <c r="N551" s="7">
        <v>5392</v>
      </c>
      <c r="O551" t="s">
        <v>1578</v>
      </c>
      <c r="P551" t="s">
        <v>1579</v>
      </c>
      <c r="S551" t="s">
        <v>1801</v>
      </c>
      <c r="T551" t="s">
        <v>1601</v>
      </c>
      <c r="U551" t="s">
        <v>1802</v>
      </c>
      <c r="V551" s="8">
        <v>0</v>
      </c>
      <c r="W551" s="7">
        <v>588115</v>
      </c>
      <c r="X551" t="s">
        <v>1803</v>
      </c>
      <c r="Y551" s="8">
        <v>0</v>
      </c>
      <c r="Z551" s="8">
        <v>0</v>
      </c>
      <c r="AA551" s="8">
        <v>0</v>
      </c>
      <c r="AB551" s="7">
        <v>111582</v>
      </c>
      <c r="AC551" t="s">
        <v>1803</v>
      </c>
      <c r="AD551" s="8">
        <v>0</v>
      </c>
      <c r="AG551" t="s">
        <v>823</v>
      </c>
      <c r="AH551" t="s">
        <v>802</v>
      </c>
      <c r="AI551" t="s">
        <v>803</v>
      </c>
    </row>
    <row r="552" spans="1:35" hidden="1">
      <c r="A552" s="7">
        <v>551</v>
      </c>
      <c r="B552" t="s">
        <v>243</v>
      </c>
      <c r="C552" t="s">
        <v>244</v>
      </c>
      <c r="D552" s="7">
        <v>7134</v>
      </c>
      <c r="E552" t="s">
        <v>245</v>
      </c>
      <c r="F552" t="s">
        <v>246</v>
      </c>
      <c r="G552" t="s">
        <v>278</v>
      </c>
      <c r="H552" t="s">
        <v>649</v>
      </c>
      <c r="I552" s="7">
        <v>842</v>
      </c>
      <c r="J552" s="7">
        <v>11993</v>
      </c>
      <c r="K552" s="7">
        <v>1</v>
      </c>
      <c r="L552" t="s">
        <v>247</v>
      </c>
      <c r="M552" t="s">
        <v>261</v>
      </c>
      <c r="N552" s="7">
        <v>795055</v>
      </c>
      <c r="O552" t="s">
        <v>1949</v>
      </c>
      <c r="P552" t="s">
        <v>1950</v>
      </c>
      <c r="Q552" t="s">
        <v>908</v>
      </c>
      <c r="R552" t="s">
        <v>909</v>
      </c>
      <c r="S552" t="s">
        <v>1801</v>
      </c>
      <c r="T552" t="s">
        <v>1601</v>
      </c>
      <c r="U552" t="s">
        <v>1802</v>
      </c>
      <c r="V552" s="8">
        <v>1250</v>
      </c>
      <c r="W552" s="7">
        <v>588115</v>
      </c>
      <c r="X552" t="s">
        <v>1803</v>
      </c>
      <c r="Y552" s="8">
        <v>1000</v>
      </c>
      <c r="Z552" s="8">
        <v>1475</v>
      </c>
      <c r="AA552" s="8">
        <v>225</v>
      </c>
      <c r="AB552" s="7">
        <v>111582</v>
      </c>
      <c r="AC552" t="s">
        <v>1803</v>
      </c>
      <c r="AD552" s="8">
        <v>250</v>
      </c>
      <c r="AG552" t="s">
        <v>817</v>
      </c>
      <c r="AH552" t="s">
        <v>802</v>
      </c>
      <c r="AI552" t="s">
        <v>818</v>
      </c>
    </row>
    <row r="553" spans="1:35" hidden="1">
      <c r="A553" s="7">
        <v>552</v>
      </c>
      <c r="B553" t="s">
        <v>243</v>
      </c>
      <c r="C553" t="s">
        <v>244</v>
      </c>
      <c r="D553" s="7">
        <v>7134</v>
      </c>
      <c r="E553" t="s">
        <v>245</v>
      </c>
      <c r="F553" t="s">
        <v>246</v>
      </c>
      <c r="G553" t="s">
        <v>1705</v>
      </c>
      <c r="H553" t="s">
        <v>1830</v>
      </c>
      <c r="I553" s="7">
        <v>1165</v>
      </c>
      <c r="J553" s="7">
        <v>59900</v>
      </c>
      <c r="K553" s="7">
        <v>6</v>
      </c>
      <c r="L553" t="s">
        <v>247</v>
      </c>
      <c r="M553" t="s">
        <v>267</v>
      </c>
      <c r="N553" s="7">
        <v>777193</v>
      </c>
      <c r="O553" t="s">
        <v>1706</v>
      </c>
      <c r="P553" t="s">
        <v>1707</v>
      </c>
      <c r="S553" t="s">
        <v>1801</v>
      </c>
      <c r="T553" t="s">
        <v>1601</v>
      </c>
      <c r="U553" t="s">
        <v>1802</v>
      </c>
      <c r="V553" s="8">
        <v>0</v>
      </c>
      <c r="W553" s="7">
        <v>588115</v>
      </c>
      <c r="X553" t="s">
        <v>1803</v>
      </c>
      <c r="Y553" s="8">
        <v>0</v>
      </c>
      <c r="Z553" s="8">
        <v>0</v>
      </c>
      <c r="AA553" s="8">
        <v>0</v>
      </c>
      <c r="AB553" s="7">
        <v>111582</v>
      </c>
      <c r="AC553" t="s">
        <v>1803</v>
      </c>
      <c r="AD553" s="8">
        <v>0</v>
      </c>
      <c r="AG553" t="s">
        <v>828</v>
      </c>
      <c r="AH553" t="s">
        <v>802</v>
      </c>
      <c r="AI553" t="s">
        <v>803</v>
      </c>
    </row>
    <row r="554" spans="1:35" hidden="1">
      <c r="A554" s="7">
        <v>553</v>
      </c>
      <c r="B554" t="s">
        <v>243</v>
      </c>
      <c r="C554" t="s">
        <v>244</v>
      </c>
      <c r="D554" s="7">
        <v>7134</v>
      </c>
      <c r="E554" t="s">
        <v>245</v>
      </c>
      <c r="F554" t="s">
        <v>246</v>
      </c>
      <c r="G554" t="s">
        <v>1705</v>
      </c>
      <c r="H554" t="s">
        <v>1842</v>
      </c>
      <c r="I554" s="7">
        <v>1165</v>
      </c>
      <c r="J554" s="7">
        <v>67860</v>
      </c>
      <c r="K554" s="7">
        <v>7</v>
      </c>
      <c r="L554" t="s">
        <v>247</v>
      </c>
      <c r="M554" t="s">
        <v>267</v>
      </c>
      <c r="N554" s="7">
        <v>777193</v>
      </c>
      <c r="O554" t="s">
        <v>1706</v>
      </c>
      <c r="P554" t="s">
        <v>1707</v>
      </c>
      <c r="S554" t="s">
        <v>1801</v>
      </c>
      <c r="T554" t="s">
        <v>1601</v>
      </c>
      <c r="U554" t="s">
        <v>1802</v>
      </c>
      <c r="V554" s="8">
        <v>0</v>
      </c>
      <c r="W554" s="7">
        <v>588115</v>
      </c>
      <c r="X554" t="s">
        <v>1803</v>
      </c>
      <c r="Y554" s="8">
        <v>0</v>
      </c>
      <c r="Z554" s="8">
        <v>0</v>
      </c>
      <c r="AA554" s="8">
        <v>0</v>
      </c>
      <c r="AB554" s="7">
        <v>111582</v>
      </c>
      <c r="AC554" t="s">
        <v>1803</v>
      </c>
      <c r="AD554" s="8">
        <v>0</v>
      </c>
      <c r="AG554" t="s">
        <v>828</v>
      </c>
      <c r="AH554" t="s">
        <v>802</v>
      </c>
      <c r="AI554" t="s">
        <v>803</v>
      </c>
    </row>
    <row r="555" spans="1:35" hidden="1">
      <c r="A555" s="7">
        <v>554</v>
      </c>
      <c r="B555" t="s">
        <v>243</v>
      </c>
      <c r="C555" t="s">
        <v>244</v>
      </c>
      <c r="D555" s="7">
        <v>7134</v>
      </c>
      <c r="E555" t="s">
        <v>245</v>
      </c>
      <c r="F555" t="s">
        <v>246</v>
      </c>
      <c r="G555" t="s">
        <v>263</v>
      </c>
      <c r="H555" t="s">
        <v>602</v>
      </c>
      <c r="I555" s="7">
        <v>883</v>
      </c>
      <c r="J555" s="7">
        <v>9818</v>
      </c>
      <c r="K555" s="7">
        <v>1</v>
      </c>
      <c r="L555" t="s">
        <v>247</v>
      </c>
      <c r="M555" t="s">
        <v>261</v>
      </c>
      <c r="N555" s="7">
        <v>798650</v>
      </c>
      <c r="O555" t="s">
        <v>1939</v>
      </c>
      <c r="P555" t="s">
        <v>1940</v>
      </c>
      <c r="S555" t="s">
        <v>1801</v>
      </c>
      <c r="T555" t="s">
        <v>1601</v>
      </c>
      <c r="U555" t="s">
        <v>1802</v>
      </c>
      <c r="V555" s="8">
        <v>1250</v>
      </c>
      <c r="W555" s="7">
        <v>588115</v>
      </c>
      <c r="X555" t="s">
        <v>1803</v>
      </c>
      <c r="Y555" s="8">
        <v>1250</v>
      </c>
      <c r="Z555" s="8">
        <v>1475</v>
      </c>
      <c r="AA555" s="8">
        <v>225</v>
      </c>
      <c r="AB555" s="7">
        <v>111582</v>
      </c>
      <c r="AC555" t="s">
        <v>1803</v>
      </c>
      <c r="AD555" s="8">
        <v>0</v>
      </c>
      <c r="AG555" t="s">
        <v>817</v>
      </c>
      <c r="AH555" t="s">
        <v>802</v>
      </c>
      <c r="AI555" t="s">
        <v>818</v>
      </c>
    </row>
    <row r="556" spans="1:35" hidden="1">
      <c r="A556" s="7">
        <v>555</v>
      </c>
      <c r="B556" t="s">
        <v>243</v>
      </c>
      <c r="C556" t="s">
        <v>244</v>
      </c>
      <c r="D556" s="7">
        <v>7134</v>
      </c>
      <c r="E556" t="s">
        <v>245</v>
      </c>
      <c r="F556" t="s">
        <v>246</v>
      </c>
      <c r="G556" t="s">
        <v>1580</v>
      </c>
      <c r="H556" t="s">
        <v>1842</v>
      </c>
      <c r="I556" s="7">
        <v>1165</v>
      </c>
      <c r="J556" s="7">
        <v>79587</v>
      </c>
      <c r="K556" s="7">
        <v>8</v>
      </c>
      <c r="L556" t="s">
        <v>247</v>
      </c>
      <c r="M556" t="s">
        <v>361</v>
      </c>
      <c r="N556" s="7">
        <v>3489</v>
      </c>
      <c r="O556" t="s">
        <v>1581</v>
      </c>
      <c r="P556" t="s">
        <v>1582</v>
      </c>
      <c r="S556" t="s">
        <v>1801</v>
      </c>
      <c r="T556" t="s">
        <v>1601</v>
      </c>
      <c r="U556" t="s">
        <v>1802</v>
      </c>
      <c r="V556" s="8">
        <v>0</v>
      </c>
      <c r="W556" s="7">
        <v>588115</v>
      </c>
      <c r="X556" t="s">
        <v>1803</v>
      </c>
      <c r="Y556" s="8">
        <v>0</v>
      </c>
      <c r="Z556" s="8">
        <v>0</v>
      </c>
      <c r="AA556" s="8">
        <v>0</v>
      </c>
      <c r="AB556" s="7">
        <v>111582</v>
      </c>
      <c r="AC556" t="s">
        <v>1803</v>
      </c>
      <c r="AD556" s="8">
        <v>0</v>
      </c>
      <c r="AG556" t="s">
        <v>823</v>
      </c>
      <c r="AH556" t="s">
        <v>802</v>
      </c>
      <c r="AI556" t="s">
        <v>803</v>
      </c>
    </row>
    <row r="557" spans="1:35" hidden="1">
      <c r="A557" s="7">
        <v>556</v>
      </c>
      <c r="B557" t="s">
        <v>243</v>
      </c>
      <c r="C557" t="s">
        <v>244</v>
      </c>
      <c r="D557" s="7">
        <v>7134</v>
      </c>
      <c r="E557" t="s">
        <v>245</v>
      </c>
      <c r="F557" t="s">
        <v>246</v>
      </c>
      <c r="G557" t="s">
        <v>861</v>
      </c>
      <c r="H557" t="s">
        <v>1855</v>
      </c>
      <c r="I557" s="7">
        <v>1165</v>
      </c>
      <c r="J557" s="7">
        <v>40201</v>
      </c>
      <c r="K557" s="7">
        <v>6</v>
      </c>
      <c r="L557" t="s">
        <v>247</v>
      </c>
      <c r="M557" t="s">
        <v>261</v>
      </c>
      <c r="N557" s="7">
        <v>775577</v>
      </c>
      <c r="O557" t="s">
        <v>1307</v>
      </c>
      <c r="P557" t="s">
        <v>1308</v>
      </c>
      <c r="S557" t="s">
        <v>1801</v>
      </c>
      <c r="T557" t="s">
        <v>1601</v>
      </c>
      <c r="U557" t="s">
        <v>1802</v>
      </c>
      <c r="V557" s="8">
        <v>0</v>
      </c>
      <c r="W557" s="7">
        <v>588115</v>
      </c>
      <c r="X557" t="s">
        <v>1803</v>
      </c>
      <c r="Y557" s="8">
        <v>0</v>
      </c>
      <c r="Z557" s="8">
        <v>0</v>
      </c>
      <c r="AA557" s="8">
        <v>0</v>
      </c>
      <c r="AB557" s="7">
        <v>111582</v>
      </c>
      <c r="AC557" t="s">
        <v>1803</v>
      </c>
      <c r="AD557" s="8">
        <v>0</v>
      </c>
      <c r="AG557" t="s">
        <v>801</v>
      </c>
      <c r="AH557" t="s">
        <v>802</v>
      </c>
      <c r="AI557" t="s">
        <v>803</v>
      </c>
    </row>
    <row r="558" spans="1:35" hidden="1">
      <c r="A558" s="7">
        <v>557</v>
      </c>
      <c r="B558" t="s">
        <v>243</v>
      </c>
      <c r="C558" t="s">
        <v>244</v>
      </c>
      <c r="D558" s="7">
        <v>7134</v>
      </c>
      <c r="E558" t="s">
        <v>245</v>
      </c>
      <c r="F558" t="s">
        <v>246</v>
      </c>
      <c r="G558" t="s">
        <v>333</v>
      </c>
      <c r="H558" t="s">
        <v>612</v>
      </c>
      <c r="I558" s="7">
        <v>1165</v>
      </c>
      <c r="J558" s="7">
        <v>10000</v>
      </c>
      <c r="K558" s="7">
        <v>1</v>
      </c>
      <c r="L558" t="s">
        <v>247</v>
      </c>
      <c r="M558" t="s">
        <v>261</v>
      </c>
      <c r="N558" s="7">
        <v>800870</v>
      </c>
      <c r="O558" t="s">
        <v>448</v>
      </c>
      <c r="P558" t="s">
        <v>449</v>
      </c>
      <c r="S558" t="s">
        <v>1801</v>
      </c>
      <c r="T558" t="s">
        <v>1601</v>
      </c>
      <c r="U558" t="s">
        <v>1802</v>
      </c>
      <c r="V558" s="8">
        <v>1250</v>
      </c>
      <c r="W558" s="7">
        <v>588115</v>
      </c>
      <c r="X558" t="s">
        <v>1803</v>
      </c>
      <c r="Y558" s="8">
        <v>1250</v>
      </c>
      <c r="Z558" s="8">
        <v>1475</v>
      </c>
      <c r="AA558" s="8">
        <v>225</v>
      </c>
      <c r="AB558" s="7">
        <v>111582</v>
      </c>
      <c r="AC558" t="s">
        <v>1803</v>
      </c>
      <c r="AD558" s="8">
        <v>0</v>
      </c>
      <c r="AG558" t="s">
        <v>801</v>
      </c>
      <c r="AH558" t="s">
        <v>802</v>
      </c>
      <c r="AI558" t="s">
        <v>818</v>
      </c>
    </row>
    <row r="559" spans="1:35" hidden="1">
      <c r="A559" s="7">
        <v>558</v>
      </c>
      <c r="B559" t="s">
        <v>243</v>
      </c>
      <c r="C559" t="s">
        <v>244</v>
      </c>
      <c r="D559" s="7">
        <v>7134</v>
      </c>
      <c r="E559" t="s">
        <v>245</v>
      </c>
      <c r="F559" t="s">
        <v>246</v>
      </c>
      <c r="G559" t="s">
        <v>1180</v>
      </c>
      <c r="H559" t="s">
        <v>1798</v>
      </c>
      <c r="I559" s="7">
        <v>1165</v>
      </c>
      <c r="J559" s="7">
        <v>60000</v>
      </c>
      <c r="K559" s="7">
        <v>6</v>
      </c>
      <c r="L559" t="s">
        <v>247</v>
      </c>
      <c r="M559" t="s">
        <v>261</v>
      </c>
      <c r="N559" s="7">
        <v>774600</v>
      </c>
      <c r="O559" t="s">
        <v>1181</v>
      </c>
      <c r="P559" t="s">
        <v>1182</v>
      </c>
      <c r="S559" t="s">
        <v>1801</v>
      </c>
      <c r="T559" t="s">
        <v>1601</v>
      </c>
      <c r="U559" t="s">
        <v>1802</v>
      </c>
      <c r="V559" s="8">
        <v>0</v>
      </c>
      <c r="W559" s="7">
        <v>588115</v>
      </c>
      <c r="X559" t="s">
        <v>1803</v>
      </c>
      <c r="Y559" s="8">
        <v>0</v>
      </c>
      <c r="Z559" s="8">
        <v>0</v>
      </c>
      <c r="AA559" s="8">
        <v>0</v>
      </c>
      <c r="AB559" s="7">
        <v>111582</v>
      </c>
      <c r="AC559" t="s">
        <v>1803</v>
      </c>
      <c r="AD559" s="8">
        <v>0</v>
      </c>
      <c r="AG559" t="s">
        <v>801</v>
      </c>
      <c r="AH559" t="s">
        <v>802</v>
      </c>
      <c r="AI559" t="s">
        <v>803</v>
      </c>
    </row>
    <row r="560" spans="1:35" hidden="1">
      <c r="A560" s="7">
        <v>559</v>
      </c>
      <c r="B560" t="s">
        <v>243</v>
      </c>
      <c r="C560" t="s">
        <v>244</v>
      </c>
      <c r="D560" s="7">
        <v>7134</v>
      </c>
      <c r="E560" t="s">
        <v>245</v>
      </c>
      <c r="F560" t="s">
        <v>246</v>
      </c>
      <c r="G560" t="s">
        <v>1817</v>
      </c>
      <c r="H560" t="s">
        <v>1842</v>
      </c>
      <c r="I560" s="7">
        <v>1165</v>
      </c>
      <c r="J560" s="7">
        <v>24500</v>
      </c>
      <c r="K560" s="7">
        <v>2</v>
      </c>
      <c r="L560" t="s">
        <v>247</v>
      </c>
      <c r="M560" t="s">
        <v>261</v>
      </c>
      <c r="N560" s="7">
        <v>780786</v>
      </c>
      <c r="O560" t="s">
        <v>1847</v>
      </c>
      <c r="P560" t="s">
        <v>1848</v>
      </c>
      <c r="S560" t="s">
        <v>1801</v>
      </c>
      <c r="T560" t="s">
        <v>1601</v>
      </c>
      <c r="U560" t="s">
        <v>1802</v>
      </c>
      <c r="V560" s="8">
        <v>1250</v>
      </c>
      <c r="W560" s="7">
        <v>588115</v>
      </c>
      <c r="X560" t="s">
        <v>1803</v>
      </c>
      <c r="Y560" s="8">
        <v>1250</v>
      </c>
      <c r="Z560" s="8">
        <v>1475</v>
      </c>
      <c r="AA560" s="8">
        <v>225</v>
      </c>
      <c r="AB560" s="7">
        <v>111582</v>
      </c>
      <c r="AC560" t="s">
        <v>1803</v>
      </c>
      <c r="AD560" s="8">
        <v>0</v>
      </c>
      <c r="AG560" t="s">
        <v>817</v>
      </c>
      <c r="AH560" t="s">
        <v>802</v>
      </c>
      <c r="AI560" t="s">
        <v>818</v>
      </c>
    </row>
    <row r="561" spans="1:35" hidden="1">
      <c r="A561" s="7">
        <v>560</v>
      </c>
      <c r="B561" t="s">
        <v>243</v>
      </c>
      <c r="C561" t="s">
        <v>244</v>
      </c>
      <c r="D561" s="7">
        <v>7134</v>
      </c>
      <c r="E561" t="s">
        <v>245</v>
      </c>
      <c r="F561" t="s">
        <v>246</v>
      </c>
      <c r="G561" t="s">
        <v>263</v>
      </c>
      <c r="H561" t="s">
        <v>578</v>
      </c>
      <c r="I561" s="7">
        <v>872</v>
      </c>
      <c r="J561" s="7">
        <v>10179</v>
      </c>
      <c r="K561" s="7">
        <v>1</v>
      </c>
      <c r="L561" t="s">
        <v>247</v>
      </c>
      <c r="M561" t="s">
        <v>261</v>
      </c>
      <c r="N561" s="7">
        <v>796573</v>
      </c>
      <c r="O561" t="s">
        <v>2041</v>
      </c>
      <c r="P561" t="s">
        <v>2042</v>
      </c>
      <c r="S561" t="s">
        <v>1801</v>
      </c>
      <c r="T561" t="s">
        <v>1601</v>
      </c>
      <c r="U561" t="s">
        <v>1802</v>
      </c>
      <c r="V561" s="8">
        <v>1250</v>
      </c>
      <c r="W561" s="7">
        <v>588115</v>
      </c>
      <c r="X561" t="s">
        <v>1803</v>
      </c>
      <c r="Y561" s="8">
        <v>1250</v>
      </c>
      <c r="Z561" s="8">
        <v>1475</v>
      </c>
      <c r="AA561" s="8">
        <v>225</v>
      </c>
      <c r="AB561" s="7">
        <v>111582</v>
      </c>
      <c r="AC561" t="s">
        <v>1803</v>
      </c>
      <c r="AD561" s="8">
        <v>0</v>
      </c>
      <c r="AG561" t="s">
        <v>817</v>
      </c>
      <c r="AH561" t="s">
        <v>802</v>
      </c>
      <c r="AI561" t="s">
        <v>818</v>
      </c>
    </row>
    <row r="562" spans="1:35" hidden="1">
      <c r="A562" s="7">
        <v>561</v>
      </c>
      <c r="B562" t="s">
        <v>243</v>
      </c>
      <c r="C562" t="s">
        <v>244</v>
      </c>
      <c r="D562" s="7">
        <v>7134</v>
      </c>
      <c r="E562" t="s">
        <v>245</v>
      </c>
      <c r="F562" t="s">
        <v>246</v>
      </c>
      <c r="G562" t="s">
        <v>872</v>
      </c>
      <c r="H562" t="s">
        <v>1814</v>
      </c>
      <c r="I562" s="7">
        <v>1165</v>
      </c>
      <c r="J562" s="7">
        <v>15950</v>
      </c>
      <c r="K562" s="7">
        <v>3</v>
      </c>
      <c r="L562" t="s">
        <v>247</v>
      </c>
      <c r="M562" t="s">
        <v>261</v>
      </c>
      <c r="N562" s="7">
        <v>780621</v>
      </c>
      <c r="O562" t="s">
        <v>2076</v>
      </c>
      <c r="P562" t="s">
        <v>2077</v>
      </c>
      <c r="S562" t="s">
        <v>1801</v>
      </c>
      <c r="T562" t="s">
        <v>1601</v>
      </c>
      <c r="U562" t="s">
        <v>1802</v>
      </c>
      <c r="V562" s="8">
        <v>1250</v>
      </c>
      <c r="W562" s="7">
        <v>588115</v>
      </c>
      <c r="X562" t="s">
        <v>1803</v>
      </c>
      <c r="Y562" s="8">
        <v>1250</v>
      </c>
      <c r="Z562" s="8">
        <v>1475</v>
      </c>
      <c r="AA562" s="8">
        <v>225</v>
      </c>
      <c r="AB562" s="7">
        <v>111582</v>
      </c>
      <c r="AC562" t="s">
        <v>1803</v>
      </c>
      <c r="AD562" s="8">
        <v>0</v>
      </c>
      <c r="AG562" t="s">
        <v>817</v>
      </c>
      <c r="AH562" t="s">
        <v>802</v>
      </c>
      <c r="AI562" t="s">
        <v>818</v>
      </c>
    </row>
    <row r="563" spans="1:35" hidden="1">
      <c r="A563" s="7">
        <v>562</v>
      </c>
      <c r="B563" t="s">
        <v>243</v>
      </c>
      <c r="C563" t="s">
        <v>244</v>
      </c>
      <c r="D563" s="7">
        <v>7134</v>
      </c>
      <c r="E563" t="s">
        <v>245</v>
      </c>
      <c r="F563" t="s">
        <v>246</v>
      </c>
      <c r="G563" t="s">
        <v>1813</v>
      </c>
      <c r="H563" t="s">
        <v>1814</v>
      </c>
      <c r="I563" s="7">
        <v>1165</v>
      </c>
      <c r="J563" s="7">
        <v>26973</v>
      </c>
      <c r="K563" s="7">
        <v>3</v>
      </c>
      <c r="L563" t="s">
        <v>247</v>
      </c>
      <c r="M563" t="s">
        <v>261</v>
      </c>
      <c r="N563" s="7">
        <v>780309</v>
      </c>
      <c r="O563" t="s">
        <v>1815</v>
      </c>
      <c r="P563" t="s">
        <v>1816</v>
      </c>
      <c r="S563" t="s">
        <v>1801</v>
      </c>
      <c r="T563" t="s">
        <v>1601</v>
      </c>
      <c r="U563" t="s">
        <v>1802</v>
      </c>
      <c r="V563" s="8">
        <v>1250</v>
      </c>
      <c r="W563" s="7">
        <v>588115</v>
      </c>
      <c r="X563" t="s">
        <v>1803</v>
      </c>
      <c r="Y563" s="8">
        <v>1250</v>
      </c>
      <c r="Z563" s="8">
        <v>1475</v>
      </c>
      <c r="AA563" s="8">
        <v>225</v>
      </c>
      <c r="AB563" s="7">
        <v>111582</v>
      </c>
      <c r="AC563" t="s">
        <v>1803</v>
      </c>
      <c r="AD563" s="8">
        <v>0</v>
      </c>
      <c r="AG563" t="s">
        <v>817</v>
      </c>
      <c r="AH563" t="s">
        <v>802</v>
      </c>
      <c r="AI563" t="s">
        <v>818</v>
      </c>
    </row>
    <row r="564" spans="1:35" hidden="1">
      <c r="A564" s="7">
        <v>563</v>
      </c>
      <c r="B564" t="s">
        <v>243</v>
      </c>
      <c r="C564" t="s">
        <v>244</v>
      </c>
      <c r="D564" s="7">
        <v>7134</v>
      </c>
      <c r="E564" t="s">
        <v>245</v>
      </c>
      <c r="F564" t="s">
        <v>246</v>
      </c>
      <c r="G564" t="s">
        <v>333</v>
      </c>
      <c r="H564" t="s">
        <v>1804</v>
      </c>
      <c r="I564" s="7">
        <v>1165</v>
      </c>
      <c r="J564" s="7">
        <v>3200</v>
      </c>
      <c r="K564" s="7">
        <v>1</v>
      </c>
      <c r="L564" t="s">
        <v>247</v>
      </c>
      <c r="M564" t="s">
        <v>252</v>
      </c>
      <c r="N564" s="7">
        <v>328028</v>
      </c>
      <c r="O564" t="s">
        <v>335</v>
      </c>
      <c r="P564" t="s">
        <v>336</v>
      </c>
      <c r="S564" t="s">
        <v>1801</v>
      </c>
      <c r="T564" t="s">
        <v>1601</v>
      </c>
      <c r="U564" t="s">
        <v>1802</v>
      </c>
      <c r="V564" s="8">
        <v>1250</v>
      </c>
      <c r="W564" s="7">
        <v>588115</v>
      </c>
      <c r="X564" t="s">
        <v>1803</v>
      </c>
      <c r="Y564" s="8">
        <v>1250</v>
      </c>
      <c r="Z564" s="8">
        <v>1475</v>
      </c>
      <c r="AA564" s="8">
        <v>225</v>
      </c>
      <c r="AB564" s="7">
        <v>111582</v>
      </c>
      <c r="AC564" t="s">
        <v>1803</v>
      </c>
      <c r="AD564" s="8">
        <v>0</v>
      </c>
      <c r="AG564" t="s">
        <v>937</v>
      </c>
      <c r="AH564" t="s">
        <v>802</v>
      </c>
      <c r="AI564" t="s">
        <v>818</v>
      </c>
    </row>
    <row r="565" spans="1:35" hidden="1">
      <c r="A565" s="7">
        <v>564</v>
      </c>
      <c r="B565" t="s">
        <v>243</v>
      </c>
      <c r="C565" t="s">
        <v>244</v>
      </c>
      <c r="D565" s="7">
        <v>7134</v>
      </c>
      <c r="E565" t="s">
        <v>245</v>
      </c>
      <c r="F565" t="s">
        <v>246</v>
      </c>
      <c r="G565" t="s">
        <v>363</v>
      </c>
      <c r="H565" t="s">
        <v>657</v>
      </c>
      <c r="I565" s="7">
        <v>871</v>
      </c>
      <c r="J565" s="7">
        <v>10227</v>
      </c>
      <c r="K565" s="7">
        <v>1</v>
      </c>
      <c r="L565" t="s">
        <v>247</v>
      </c>
      <c r="M565" t="s">
        <v>261</v>
      </c>
      <c r="N565" s="7">
        <v>795237</v>
      </c>
      <c r="O565" t="s">
        <v>1960</v>
      </c>
      <c r="P565" t="s">
        <v>1961</v>
      </c>
      <c r="S565" t="s">
        <v>1801</v>
      </c>
      <c r="T565" t="s">
        <v>1601</v>
      </c>
      <c r="U565" t="s">
        <v>1802</v>
      </c>
      <c r="V565" s="8">
        <v>1250</v>
      </c>
      <c r="W565" s="7">
        <v>588115</v>
      </c>
      <c r="X565" t="s">
        <v>1803</v>
      </c>
      <c r="Y565" s="8">
        <v>1250</v>
      </c>
      <c r="Z565" s="8">
        <v>1475</v>
      </c>
      <c r="AA565" s="8">
        <v>225</v>
      </c>
      <c r="AB565" s="7">
        <v>111582</v>
      </c>
      <c r="AC565" t="s">
        <v>1803</v>
      </c>
      <c r="AD565" s="8">
        <v>0</v>
      </c>
      <c r="AG565" t="s">
        <v>817</v>
      </c>
      <c r="AH565" t="s">
        <v>802</v>
      </c>
      <c r="AI565" t="s">
        <v>818</v>
      </c>
    </row>
    <row r="566" spans="1:35" hidden="1">
      <c r="A566" s="7">
        <v>565</v>
      </c>
      <c r="B566" t="s">
        <v>243</v>
      </c>
      <c r="C566" t="s">
        <v>244</v>
      </c>
      <c r="D566" s="7">
        <v>7134</v>
      </c>
      <c r="E566" t="s">
        <v>245</v>
      </c>
      <c r="F566" t="s">
        <v>246</v>
      </c>
      <c r="G566" t="s">
        <v>1101</v>
      </c>
      <c r="H566" t="s">
        <v>1830</v>
      </c>
      <c r="I566" s="7">
        <v>1165</v>
      </c>
      <c r="J566" s="7">
        <v>29920</v>
      </c>
      <c r="K566" s="7">
        <v>3</v>
      </c>
      <c r="L566" t="s">
        <v>247</v>
      </c>
      <c r="M566" t="s">
        <v>361</v>
      </c>
      <c r="N566" s="7">
        <v>5597</v>
      </c>
      <c r="O566" t="s">
        <v>1419</v>
      </c>
      <c r="P566" t="s">
        <v>1420</v>
      </c>
      <c r="S566" t="s">
        <v>1801</v>
      </c>
      <c r="T566" t="s">
        <v>1601</v>
      </c>
      <c r="U566" t="s">
        <v>1802</v>
      </c>
      <c r="V566" s="8">
        <v>1650</v>
      </c>
      <c r="W566" s="7">
        <v>588115</v>
      </c>
      <c r="X566" t="s">
        <v>1803</v>
      </c>
      <c r="Y566" s="8">
        <v>1650</v>
      </c>
      <c r="Z566" s="8">
        <v>1947</v>
      </c>
      <c r="AA566" s="8">
        <v>297</v>
      </c>
      <c r="AB566" s="7">
        <v>111582</v>
      </c>
      <c r="AC566" t="s">
        <v>1803</v>
      </c>
      <c r="AD566" s="8">
        <v>0</v>
      </c>
      <c r="AG566" t="s">
        <v>823</v>
      </c>
      <c r="AH566" t="s">
        <v>802</v>
      </c>
      <c r="AI566" t="s">
        <v>818</v>
      </c>
    </row>
    <row r="567" spans="1:35" hidden="1">
      <c r="A567" s="7">
        <v>566</v>
      </c>
      <c r="B567" t="s">
        <v>243</v>
      </c>
      <c r="C567" t="s">
        <v>244</v>
      </c>
      <c r="D567" s="7">
        <v>7134</v>
      </c>
      <c r="E567" t="s">
        <v>245</v>
      </c>
      <c r="F567" t="s">
        <v>246</v>
      </c>
      <c r="G567" t="s">
        <v>278</v>
      </c>
      <c r="H567" t="s">
        <v>594</v>
      </c>
      <c r="I567" s="7">
        <v>840</v>
      </c>
      <c r="J567" s="7">
        <v>10481</v>
      </c>
      <c r="K567" s="7">
        <v>1</v>
      </c>
      <c r="L567" t="s">
        <v>247</v>
      </c>
      <c r="M567" t="s">
        <v>261</v>
      </c>
      <c r="N567" s="7">
        <v>795039</v>
      </c>
      <c r="O567" t="s">
        <v>1937</v>
      </c>
      <c r="P567" t="s">
        <v>1938</v>
      </c>
      <c r="S567" t="s">
        <v>1801</v>
      </c>
      <c r="T567" t="s">
        <v>1601</v>
      </c>
      <c r="U567" t="s">
        <v>1802</v>
      </c>
      <c r="V567" s="8">
        <v>1250</v>
      </c>
      <c r="W567" s="7">
        <v>588115</v>
      </c>
      <c r="X567" t="s">
        <v>1803</v>
      </c>
      <c r="Y567" s="8">
        <v>1250</v>
      </c>
      <c r="Z567" s="8">
        <v>1475</v>
      </c>
      <c r="AA567" s="8">
        <v>225</v>
      </c>
      <c r="AB567" s="7">
        <v>111582</v>
      </c>
      <c r="AC567" t="s">
        <v>1803</v>
      </c>
      <c r="AD567" s="8">
        <v>0</v>
      </c>
      <c r="AG567" t="s">
        <v>817</v>
      </c>
      <c r="AH567" t="s">
        <v>802</v>
      </c>
      <c r="AI567" t="s">
        <v>818</v>
      </c>
    </row>
    <row r="568" spans="1:35" hidden="1">
      <c r="A568" s="7">
        <v>567</v>
      </c>
      <c r="B568" t="s">
        <v>243</v>
      </c>
      <c r="C568" t="s">
        <v>244</v>
      </c>
      <c r="D568" s="7">
        <v>7134</v>
      </c>
      <c r="E568" t="s">
        <v>245</v>
      </c>
      <c r="F568" t="s">
        <v>246</v>
      </c>
      <c r="G568" t="s">
        <v>903</v>
      </c>
      <c r="H568" t="s">
        <v>657</v>
      </c>
      <c r="I568" s="7">
        <v>1165</v>
      </c>
      <c r="J568" s="7">
        <v>9961</v>
      </c>
      <c r="K568" s="7">
        <v>1</v>
      </c>
      <c r="L568" t="s">
        <v>247</v>
      </c>
      <c r="M568" t="s">
        <v>261</v>
      </c>
      <c r="N568" s="7">
        <v>790437</v>
      </c>
      <c r="O568" t="s">
        <v>1823</v>
      </c>
      <c r="P568" t="s">
        <v>1824</v>
      </c>
      <c r="Q568" t="s">
        <v>870</v>
      </c>
      <c r="R568" t="s">
        <v>871</v>
      </c>
      <c r="S568" t="s">
        <v>1801</v>
      </c>
      <c r="T568" t="s">
        <v>1601</v>
      </c>
      <c r="U568" t="s">
        <v>1802</v>
      </c>
      <c r="V568" s="8">
        <v>1250</v>
      </c>
      <c r="W568" s="7">
        <v>588115</v>
      </c>
      <c r="X568" t="s">
        <v>1803</v>
      </c>
      <c r="Y568" s="8">
        <v>1000</v>
      </c>
      <c r="Z568" s="8">
        <v>1475</v>
      </c>
      <c r="AA568" s="8">
        <v>225</v>
      </c>
      <c r="AB568" s="7">
        <v>111582</v>
      </c>
      <c r="AC568" t="s">
        <v>1803</v>
      </c>
      <c r="AD568" s="8">
        <v>250</v>
      </c>
      <c r="AG568" t="s">
        <v>801</v>
      </c>
      <c r="AH568" t="s">
        <v>802</v>
      </c>
      <c r="AI568" t="s">
        <v>818</v>
      </c>
    </row>
    <row r="569" spans="1:35" hidden="1">
      <c r="A569" s="7">
        <v>568</v>
      </c>
      <c r="B569" t="s">
        <v>243</v>
      </c>
      <c r="C569" t="s">
        <v>244</v>
      </c>
      <c r="D569" s="7">
        <v>7134</v>
      </c>
      <c r="E569" t="s">
        <v>245</v>
      </c>
      <c r="F569" t="s">
        <v>246</v>
      </c>
      <c r="G569" t="s">
        <v>1194</v>
      </c>
      <c r="H569" t="s">
        <v>1855</v>
      </c>
      <c r="I569" s="7">
        <v>1165</v>
      </c>
      <c r="J569" s="7">
        <v>70000</v>
      </c>
      <c r="K569" s="7">
        <v>7</v>
      </c>
      <c r="L569" t="s">
        <v>247</v>
      </c>
      <c r="M569" t="s">
        <v>267</v>
      </c>
      <c r="N569" s="7">
        <v>776069</v>
      </c>
      <c r="O569" t="s">
        <v>1493</v>
      </c>
      <c r="P569" t="s">
        <v>1494</v>
      </c>
      <c r="S569" t="s">
        <v>1801</v>
      </c>
      <c r="T569" t="s">
        <v>1601</v>
      </c>
      <c r="U569" t="s">
        <v>1802</v>
      </c>
      <c r="V569" s="8">
        <v>0</v>
      </c>
      <c r="W569" s="7">
        <v>588115</v>
      </c>
      <c r="X569" t="s">
        <v>1803</v>
      </c>
      <c r="Y569" s="8">
        <v>0</v>
      </c>
      <c r="Z569" s="8">
        <v>0</v>
      </c>
      <c r="AA569" s="8">
        <v>0</v>
      </c>
      <c r="AB569" s="7">
        <v>111582</v>
      </c>
      <c r="AC569" t="s">
        <v>1803</v>
      </c>
      <c r="AD569" s="8">
        <v>0</v>
      </c>
      <c r="AG569" t="s">
        <v>828</v>
      </c>
      <c r="AH569" t="s">
        <v>802</v>
      </c>
      <c r="AI569" t="s">
        <v>803</v>
      </c>
    </row>
    <row r="570" spans="1:35" hidden="1">
      <c r="A570" s="7">
        <v>569</v>
      </c>
      <c r="B570" t="s">
        <v>243</v>
      </c>
      <c r="C570" t="s">
        <v>244</v>
      </c>
      <c r="D570" s="7">
        <v>7134</v>
      </c>
      <c r="E570" t="s">
        <v>245</v>
      </c>
      <c r="F570" t="s">
        <v>246</v>
      </c>
      <c r="G570" t="s">
        <v>1328</v>
      </c>
      <c r="H570" t="s">
        <v>1855</v>
      </c>
      <c r="I570" s="7">
        <v>1165</v>
      </c>
      <c r="J570" s="7">
        <v>80000</v>
      </c>
      <c r="K570" s="7">
        <v>8</v>
      </c>
      <c r="L570" t="s">
        <v>247</v>
      </c>
      <c r="M570" t="s">
        <v>261</v>
      </c>
      <c r="N570" s="7">
        <v>773702</v>
      </c>
      <c r="O570" t="s">
        <v>1329</v>
      </c>
      <c r="P570" t="s">
        <v>1330</v>
      </c>
      <c r="S570" t="s">
        <v>1801</v>
      </c>
      <c r="T570" t="s">
        <v>1601</v>
      </c>
      <c r="U570" t="s">
        <v>1802</v>
      </c>
      <c r="V570" s="8">
        <v>1250</v>
      </c>
      <c r="W570" s="7">
        <v>588115</v>
      </c>
      <c r="X570" t="s">
        <v>1803</v>
      </c>
      <c r="Y570" s="8">
        <v>1250</v>
      </c>
      <c r="Z570" s="8">
        <v>1475</v>
      </c>
      <c r="AA570" s="8">
        <v>225</v>
      </c>
      <c r="AB570" s="7">
        <v>111582</v>
      </c>
      <c r="AC570" t="s">
        <v>1803</v>
      </c>
      <c r="AD570" s="8">
        <v>0</v>
      </c>
      <c r="AG570" t="s">
        <v>801</v>
      </c>
      <c r="AH570" t="s">
        <v>802</v>
      </c>
      <c r="AI570" t="s">
        <v>818</v>
      </c>
    </row>
    <row r="571" spans="1:35" hidden="1">
      <c r="A571" s="7">
        <v>570</v>
      </c>
      <c r="B571" t="s">
        <v>243</v>
      </c>
      <c r="C571" t="s">
        <v>244</v>
      </c>
      <c r="D571" s="7">
        <v>7134</v>
      </c>
      <c r="E571" t="s">
        <v>245</v>
      </c>
      <c r="F571" t="s">
        <v>246</v>
      </c>
      <c r="G571" t="s">
        <v>1328</v>
      </c>
      <c r="H571" t="s">
        <v>1835</v>
      </c>
      <c r="I571" s="7">
        <v>1165</v>
      </c>
      <c r="J571" s="7">
        <v>69900</v>
      </c>
      <c r="K571" s="7">
        <v>7</v>
      </c>
      <c r="L571" t="s">
        <v>247</v>
      </c>
      <c r="M571" t="s">
        <v>261</v>
      </c>
      <c r="N571" s="7">
        <v>773702</v>
      </c>
      <c r="O571" t="s">
        <v>1329</v>
      </c>
      <c r="P571" t="s">
        <v>1330</v>
      </c>
      <c r="S571" t="s">
        <v>1801</v>
      </c>
      <c r="T571" t="s">
        <v>1601</v>
      </c>
      <c r="U571" t="s">
        <v>1802</v>
      </c>
      <c r="V571" s="8">
        <v>0</v>
      </c>
      <c r="W571" s="7">
        <v>588115</v>
      </c>
      <c r="X571" t="s">
        <v>1803</v>
      </c>
      <c r="Y571" s="8">
        <v>0</v>
      </c>
      <c r="Z571" s="8">
        <v>0</v>
      </c>
      <c r="AA571" s="8">
        <v>0</v>
      </c>
      <c r="AB571" s="7">
        <v>111582</v>
      </c>
      <c r="AC571" t="s">
        <v>1803</v>
      </c>
      <c r="AD571" s="8">
        <v>0</v>
      </c>
      <c r="AG571" t="s">
        <v>801</v>
      </c>
      <c r="AH571" t="s">
        <v>802</v>
      </c>
      <c r="AI571" t="s">
        <v>803</v>
      </c>
    </row>
    <row r="572" spans="1:35" hidden="1">
      <c r="A572" s="7">
        <v>571</v>
      </c>
      <c r="B572" t="s">
        <v>243</v>
      </c>
      <c r="C572" t="s">
        <v>244</v>
      </c>
      <c r="D572" s="7">
        <v>7134</v>
      </c>
      <c r="E572" t="s">
        <v>245</v>
      </c>
      <c r="F572" t="s">
        <v>246</v>
      </c>
      <c r="G572" t="s">
        <v>263</v>
      </c>
      <c r="H572" t="s">
        <v>633</v>
      </c>
      <c r="I572" s="7">
        <v>875</v>
      </c>
      <c r="J572" s="7">
        <v>10662</v>
      </c>
      <c r="K572" s="7">
        <v>1</v>
      </c>
      <c r="L572" t="s">
        <v>247</v>
      </c>
      <c r="M572" t="s">
        <v>261</v>
      </c>
      <c r="N572" s="7">
        <v>796143</v>
      </c>
      <c r="O572" t="s">
        <v>2003</v>
      </c>
      <c r="P572" t="s">
        <v>2004</v>
      </c>
      <c r="S572" t="s">
        <v>1801</v>
      </c>
      <c r="T572" t="s">
        <v>1601</v>
      </c>
      <c r="U572" t="s">
        <v>1802</v>
      </c>
      <c r="V572" s="8">
        <v>1250</v>
      </c>
      <c r="W572" s="7">
        <v>588115</v>
      </c>
      <c r="X572" t="s">
        <v>1803</v>
      </c>
      <c r="Y572" s="8">
        <v>1250</v>
      </c>
      <c r="Z572" s="8">
        <v>1475</v>
      </c>
      <c r="AA572" s="8">
        <v>225</v>
      </c>
      <c r="AB572" s="7">
        <v>111582</v>
      </c>
      <c r="AC572" t="s">
        <v>1803</v>
      </c>
      <c r="AD572" s="8">
        <v>0</v>
      </c>
      <c r="AG572" t="s">
        <v>817</v>
      </c>
      <c r="AH572" t="s">
        <v>802</v>
      </c>
      <c r="AI572" t="s">
        <v>818</v>
      </c>
    </row>
    <row r="573" spans="1:35" hidden="1">
      <c r="A573" s="7">
        <v>572</v>
      </c>
      <c r="B573" t="s">
        <v>243</v>
      </c>
      <c r="C573" t="s">
        <v>244</v>
      </c>
      <c r="D573" s="7">
        <v>7134</v>
      </c>
      <c r="E573" t="s">
        <v>245</v>
      </c>
      <c r="F573" t="s">
        <v>246</v>
      </c>
      <c r="G573" t="s">
        <v>1817</v>
      </c>
      <c r="H573" t="s">
        <v>1818</v>
      </c>
      <c r="I573" s="7">
        <v>1165</v>
      </c>
      <c r="J573" s="7">
        <v>12500</v>
      </c>
      <c r="K573" s="7">
        <v>3</v>
      </c>
      <c r="L573" t="s">
        <v>247</v>
      </c>
      <c r="M573" t="s">
        <v>398</v>
      </c>
      <c r="N573" s="7">
        <v>767815</v>
      </c>
      <c r="O573" t="s">
        <v>1819</v>
      </c>
      <c r="P573" t="s">
        <v>1820</v>
      </c>
      <c r="S573" t="s">
        <v>1801</v>
      </c>
      <c r="T573" t="s">
        <v>1601</v>
      </c>
      <c r="U573" t="s">
        <v>1802</v>
      </c>
      <c r="V573" s="8">
        <v>1250</v>
      </c>
      <c r="W573" s="7">
        <v>588115</v>
      </c>
      <c r="X573" t="s">
        <v>1803</v>
      </c>
      <c r="Y573" s="8">
        <v>1250</v>
      </c>
      <c r="Z573" s="8">
        <v>1475</v>
      </c>
      <c r="AA573" s="8">
        <v>225</v>
      </c>
      <c r="AB573" s="7">
        <v>111582</v>
      </c>
      <c r="AC573" t="s">
        <v>1803</v>
      </c>
      <c r="AD573" s="8">
        <v>0</v>
      </c>
      <c r="AG573" t="s">
        <v>1365</v>
      </c>
      <c r="AH573" t="s">
        <v>802</v>
      </c>
      <c r="AI573" t="s">
        <v>818</v>
      </c>
    </row>
    <row r="574" spans="1:35" hidden="1">
      <c r="A574" s="7">
        <v>573</v>
      </c>
      <c r="B574" t="s">
        <v>243</v>
      </c>
      <c r="C574" t="s">
        <v>244</v>
      </c>
      <c r="D574" s="7">
        <v>7134</v>
      </c>
      <c r="E574" t="s">
        <v>245</v>
      </c>
      <c r="F574" t="s">
        <v>246</v>
      </c>
      <c r="G574" t="s">
        <v>363</v>
      </c>
      <c r="H574" t="s">
        <v>607</v>
      </c>
      <c r="I574" s="7">
        <v>873</v>
      </c>
      <c r="J574" s="7">
        <v>9828</v>
      </c>
      <c r="K574" s="7">
        <v>1</v>
      </c>
      <c r="L574" t="s">
        <v>247</v>
      </c>
      <c r="M574" t="s">
        <v>261</v>
      </c>
      <c r="N574" s="7">
        <v>798608</v>
      </c>
      <c r="O574" t="s">
        <v>1953</v>
      </c>
      <c r="P574" t="s">
        <v>1954</v>
      </c>
      <c r="S574" t="s">
        <v>1801</v>
      </c>
      <c r="T574" t="s">
        <v>1601</v>
      </c>
      <c r="U574" t="s">
        <v>1802</v>
      </c>
      <c r="V574" s="8">
        <v>1250</v>
      </c>
      <c r="W574" s="7">
        <v>588115</v>
      </c>
      <c r="X574" t="s">
        <v>1803</v>
      </c>
      <c r="Y574" s="8">
        <v>1250</v>
      </c>
      <c r="Z574" s="8">
        <v>1475</v>
      </c>
      <c r="AA574" s="8">
        <v>225</v>
      </c>
      <c r="AB574" s="7">
        <v>111582</v>
      </c>
      <c r="AC574" t="s">
        <v>1803</v>
      </c>
      <c r="AD574" s="8">
        <v>0</v>
      </c>
      <c r="AG574" t="s">
        <v>817</v>
      </c>
      <c r="AH574" t="s">
        <v>802</v>
      </c>
      <c r="AI574" t="s">
        <v>818</v>
      </c>
    </row>
    <row r="575" spans="1:35" hidden="1">
      <c r="A575" s="7">
        <v>574</v>
      </c>
      <c r="B575" t="s">
        <v>243</v>
      </c>
      <c r="C575" t="s">
        <v>244</v>
      </c>
      <c r="D575" s="7">
        <v>7134</v>
      </c>
      <c r="E575" t="s">
        <v>245</v>
      </c>
      <c r="F575" t="s">
        <v>246</v>
      </c>
      <c r="G575" t="s">
        <v>999</v>
      </c>
      <c r="H575" t="s">
        <v>1830</v>
      </c>
      <c r="I575" s="7">
        <v>1165</v>
      </c>
      <c r="J575" s="7">
        <v>30000</v>
      </c>
      <c r="K575" s="7">
        <v>3</v>
      </c>
      <c r="L575" t="s">
        <v>247</v>
      </c>
      <c r="M575" t="s">
        <v>261</v>
      </c>
      <c r="N575" s="7">
        <v>790578</v>
      </c>
      <c r="O575" t="s">
        <v>1119</v>
      </c>
      <c r="P575" t="s">
        <v>1120</v>
      </c>
      <c r="S575" t="s">
        <v>1801</v>
      </c>
      <c r="T575" t="s">
        <v>1601</v>
      </c>
      <c r="U575" t="s">
        <v>1802</v>
      </c>
      <c r="V575" s="8">
        <v>1250</v>
      </c>
      <c r="W575" s="7">
        <v>588115</v>
      </c>
      <c r="X575" t="s">
        <v>1803</v>
      </c>
      <c r="Y575" s="8">
        <v>1250</v>
      </c>
      <c r="Z575" s="8">
        <v>1475</v>
      </c>
      <c r="AA575" s="8">
        <v>225</v>
      </c>
      <c r="AB575" s="7">
        <v>111582</v>
      </c>
      <c r="AC575" t="s">
        <v>1803</v>
      </c>
      <c r="AD575" s="8">
        <v>0</v>
      </c>
      <c r="AG575" t="s">
        <v>801</v>
      </c>
      <c r="AH575" t="s">
        <v>802</v>
      </c>
      <c r="AI575" t="s">
        <v>818</v>
      </c>
    </row>
    <row r="576" spans="1:35" hidden="1">
      <c r="A576" s="7">
        <v>575</v>
      </c>
      <c r="B576" t="s">
        <v>243</v>
      </c>
      <c r="C576" t="s">
        <v>244</v>
      </c>
      <c r="D576" s="7">
        <v>7134</v>
      </c>
      <c r="E576" t="s">
        <v>245</v>
      </c>
      <c r="F576" t="s">
        <v>246</v>
      </c>
      <c r="G576" t="s">
        <v>1375</v>
      </c>
      <c r="H576" t="s">
        <v>1804</v>
      </c>
      <c r="I576" s="7">
        <v>1165</v>
      </c>
      <c r="J576" s="7">
        <v>120443</v>
      </c>
      <c r="K576" s="7">
        <v>12</v>
      </c>
      <c r="L576" t="s">
        <v>247</v>
      </c>
      <c r="M576" t="s">
        <v>267</v>
      </c>
      <c r="N576" s="7">
        <v>749388</v>
      </c>
      <c r="O576" t="s">
        <v>1935</v>
      </c>
      <c r="P576" t="s">
        <v>1936</v>
      </c>
      <c r="S576" t="s">
        <v>1801</v>
      </c>
      <c r="T576" t="s">
        <v>1601</v>
      </c>
      <c r="U576" t="s">
        <v>1802</v>
      </c>
      <c r="V576" s="8">
        <v>0</v>
      </c>
      <c r="W576" s="7">
        <v>588115</v>
      </c>
      <c r="X576" t="s">
        <v>1803</v>
      </c>
      <c r="Y576" s="8">
        <v>0</v>
      </c>
      <c r="Z576" s="8">
        <v>0</v>
      </c>
      <c r="AA576" s="8">
        <v>0</v>
      </c>
      <c r="AB576" s="7">
        <v>111582</v>
      </c>
      <c r="AC576" t="s">
        <v>1803</v>
      </c>
      <c r="AD576" s="8">
        <v>0</v>
      </c>
      <c r="AG576" t="s">
        <v>828</v>
      </c>
      <c r="AH576" t="s">
        <v>802</v>
      </c>
      <c r="AI576" t="s">
        <v>803</v>
      </c>
    </row>
    <row r="577" spans="1:35" hidden="1">
      <c r="A577" s="7">
        <v>576</v>
      </c>
      <c r="B577" t="s">
        <v>243</v>
      </c>
      <c r="C577" t="s">
        <v>244</v>
      </c>
      <c r="D577" s="7">
        <v>7134</v>
      </c>
      <c r="E577" t="s">
        <v>245</v>
      </c>
      <c r="F577" t="s">
        <v>246</v>
      </c>
      <c r="G577" t="s">
        <v>970</v>
      </c>
      <c r="H577" t="s">
        <v>1804</v>
      </c>
      <c r="I577" s="7">
        <v>1165</v>
      </c>
      <c r="J577" s="7">
        <v>4123</v>
      </c>
      <c r="K577" s="7">
        <v>1</v>
      </c>
      <c r="L577" t="s">
        <v>247</v>
      </c>
      <c r="M577" t="s">
        <v>261</v>
      </c>
      <c r="N577" s="7">
        <v>781429</v>
      </c>
      <c r="O577" t="s">
        <v>2058</v>
      </c>
      <c r="P577" t="s">
        <v>2059</v>
      </c>
      <c r="S577" t="s">
        <v>1801</v>
      </c>
      <c r="T577" t="s">
        <v>1601</v>
      </c>
      <c r="U577" t="s">
        <v>1802</v>
      </c>
      <c r="V577" s="8">
        <v>1250</v>
      </c>
      <c r="W577" s="7">
        <v>588115</v>
      </c>
      <c r="X577" t="s">
        <v>1803</v>
      </c>
      <c r="Y577" s="8">
        <v>1250</v>
      </c>
      <c r="Z577" s="8">
        <v>1475</v>
      </c>
      <c r="AA577" s="8">
        <v>225</v>
      </c>
      <c r="AB577" s="7">
        <v>111582</v>
      </c>
      <c r="AC577" t="s">
        <v>1803</v>
      </c>
      <c r="AD577" s="8">
        <v>0</v>
      </c>
      <c r="AG577" t="s">
        <v>817</v>
      </c>
      <c r="AH577" t="s">
        <v>802</v>
      </c>
      <c r="AI577" t="s">
        <v>818</v>
      </c>
    </row>
    <row r="578" spans="1:35" hidden="1">
      <c r="A578" s="7">
        <v>577</v>
      </c>
      <c r="B578" t="s">
        <v>243</v>
      </c>
      <c r="C578" t="s">
        <v>244</v>
      </c>
      <c r="D578" s="7">
        <v>7134</v>
      </c>
      <c r="E578" t="s">
        <v>245</v>
      </c>
      <c r="F578" t="s">
        <v>246</v>
      </c>
      <c r="G578" t="s">
        <v>1474</v>
      </c>
      <c r="H578" t="s">
        <v>1807</v>
      </c>
      <c r="I578" s="7">
        <v>1165</v>
      </c>
      <c r="J578" s="7">
        <v>60000</v>
      </c>
      <c r="K578" s="7">
        <v>6</v>
      </c>
      <c r="L578" t="s">
        <v>247</v>
      </c>
      <c r="M578" t="s">
        <v>261</v>
      </c>
      <c r="N578" s="7">
        <v>785386</v>
      </c>
      <c r="O578" t="s">
        <v>1564</v>
      </c>
      <c r="P578" t="s">
        <v>1565</v>
      </c>
      <c r="S578" t="s">
        <v>1801</v>
      </c>
      <c r="T578" t="s">
        <v>1601</v>
      </c>
      <c r="U578" t="s">
        <v>1802</v>
      </c>
      <c r="V578" s="8">
        <v>0</v>
      </c>
      <c r="W578" s="7">
        <v>588115</v>
      </c>
      <c r="X578" t="s">
        <v>1803</v>
      </c>
      <c r="Y578" s="8">
        <v>0</v>
      </c>
      <c r="Z578" s="8">
        <v>0</v>
      </c>
      <c r="AA578" s="8">
        <v>0</v>
      </c>
      <c r="AB578" s="7">
        <v>111582</v>
      </c>
      <c r="AC578" t="s">
        <v>1803</v>
      </c>
      <c r="AD578" s="8">
        <v>0</v>
      </c>
      <c r="AG578" t="s">
        <v>801</v>
      </c>
      <c r="AH578" t="s">
        <v>802</v>
      </c>
      <c r="AI578" t="s">
        <v>803</v>
      </c>
    </row>
    <row r="579" spans="1:35" hidden="1">
      <c r="A579" s="7">
        <v>578</v>
      </c>
      <c r="B579" t="s">
        <v>243</v>
      </c>
      <c r="C579" t="s">
        <v>244</v>
      </c>
      <c r="D579" s="7">
        <v>7134</v>
      </c>
      <c r="E579" t="s">
        <v>245</v>
      </c>
      <c r="F579" t="s">
        <v>246</v>
      </c>
      <c r="G579" t="s">
        <v>1474</v>
      </c>
      <c r="H579" t="s">
        <v>612</v>
      </c>
      <c r="I579" s="7">
        <v>1165</v>
      </c>
      <c r="J579" s="7">
        <v>70000</v>
      </c>
      <c r="K579" s="7">
        <v>7</v>
      </c>
      <c r="L579" t="s">
        <v>247</v>
      </c>
      <c r="M579" t="s">
        <v>261</v>
      </c>
      <c r="N579" s="7">
        <v>785386</v>
      </c>
      <c r="O579" t="s">
        <v>1564</v>
      </c>
      <c r="P579" t="s">
        <v>1565</v>
      </c>
      <c r="S579" t="s">
        <v>1801</v>
      </c>
      <c r="T579" t="s">
        <v>1601</v>
      </c>
      <c r="U579" t="s">
        <v>1802</v>
      </c>
      <c r="V579" s="8">
        <v>0</v>
      </c>
      <c r="W579" s="7">
        <v>588115</v>
      </c>
      <c r="X579" t="s">
        <v>1803</v>
      </c>
      <c r="Y579" s="8">
        <v>0</v>
      </c>
      <c r="Z579" s="8">
        <v>0</v>
      </c>
      <c r="AA579" s="8">
        <v>0</v>
      </c>
      <c r="AB579" s="7">
        <v>111582</v>
      </c>
      <c r="AC579" t="s">
        <v>1803</v>
      </c>
      <c r="AD579" s="8">
        <v>0</v>
      </c>
      <c r="AG579" t="s">
        <v>801</v>
      </c>
      <c r="AH579" t="s">
        <v>802</v>
      </c>
      <c r="AI579" t="s">
        <v>803</v>
      </c>
    </row>
    <row r="580" spans="1:35" hidden="1">
      <c r="A580" s="7">
        <v>579</v>
      </c>
      <c r="B580" t="s">
        <v>243</v>
      </c>
      <c r="C580" t="s">
        <v>244</v>
      </c>
      <c r="D580" s="7">
        <v>7134</v>
      </c>
      <c r="E580" t="s">
        <v>245</v>
      </c>
      <c r="F580" t="s">
        <v>246</v>
      </c>
      <c r="G580" t="s">
        <v>1305</v>
      </c>
      <c r="H580" t="s">
        <v>629</v>
      </c>
      <c r="I580" s="7">
        <v>1165</v>
      </c>
      <c r="J580" s="7">
        <v>39251</v>
      </c>
      <c r="K580" s="7">
        <v>5</v>
      </c>
      <c r="L580" t="s">
        <v>247</v>
      </c>
      <c r="M580" t="s">
        <v>261</v>
      </c>
      <c r="N580" s="7">
        <v>775459</v>
      </c>
      <c r="O580" t="s">
        <v>1569</v>
      </c>
      <c r="P580" t="s">
        <v>1570</v>
      </c>
      <c r="Q580" t="s">
        <v>870</v>
      </c>
      <c r="R580" t="s">
        <v>871</v>
      </c>
      <c r="S580" t="s">
        <v>1801</v>
      </c>
      <c r="T580" t="s">
        <v>1601</v>
      </c>
      <c r="U580" t="s">
        <v>1802</v>
      </c>
      <c r="V580" s="8">
        <v>1250</v>
      </c>
      <c r="W580" s="7">
        <v>588115</v>
      </c>
      <c r="X580" t="s">
        <v>1803</v>
      </c>
      <c r="Y580" s="8">
        <v>1000</v>
      </c>
      <c r="Z580" s="8">
        <v>1475</v>
      </c>
      <c r="AA580" s="8">
        <v>225</v>
      </c>
      <c r="AB580" s="7">
        <v>111582</v>
      </c>
      <c r="AC580" t="s">
        <v>1803</v>
      </c>
      <c r="AD580" s="8">
        <v>250</v>
      </c>
      <c r="AG580" t="s">
        <v>801</v>
      </c>
      <c r="AH580" t="s">
        <v>802</v>
      </c>
      <c r="AI580" t="s">
        <v>818</v>
      </c>
    </row>
    <row r="581" spans="1:35" hidden="1">
      <c r="A581" s="7">
        <v>580</v>
      </c>
      <c r="B581" t="s">
        <v>243</v>
      </c>
      <c r="C581" t="s">
        <v>244</v>
      </c>
      <c r="D581" s="7">
        <v>7134</v>
      </c>
      <c r="E581" t="s">
        <v>245</v>
      </c>
      <c r="F581" t="s">
        <v>246</v>
      </c>
      <c r="G581" t="s">
        <v>1085</v>
      </c>
      <c r="H581" t="s">
        <v>633</v>
      </c>
      <c r="I581" s="7">
        <v>1165</v>
      </c>
      <c r="J581" s="7">
        <v>38444</v>
      </c>
      <c r="K581" s="7">
        <v>4</v>
      </c>
      <c r="L581" t="s">
        <v>247</v>
      </c>
      <c r="M581" t="s">
        <v>261</v>
      </c>
      <c r="N581" s="7">
        <v>787041</v>
      </c>
      <c r="O581" t="s">
        <v>1151</v>
      </c>
      <c r="P581" t="s">
        <v>1152</v>
      </c>
      <c r="S581" t="s">
        <v>1801</v>
      </c>
      <c r="T581" t="s">
        <v>1601</v>
      </c>
      <c r="U581" t="s">
        <v>1802</v>
      </c>
      <c r="V581" s="8">
        <v>0</v>
      </c>
      <c r="W581" s="7">
        <v>588115</v>
      </c>
      <c r="X581" t="s">
        <v>1803</v>
      </c>
      <c r="Y581" s="8">
        <v>0</v>
      </c>
      <c r="Z581" s="8">
        <v>0</v>
      </c>
      <c r="AA581" s="8">
        <v>0</v>
      </c>
      <c r="AB581" s="7">
        <v>111582</v>
      </c>
      <c r="AC581" t="s">
        <v>1803</v>
      </c>
      <c r="AD581" s="8">
        <v>0</v>
      </c>
      <c r="AG581" t="s">
        <v>801</v>
      </c>
      <c r="AH581" t="s">
        <v>802</v>
      </c>
      <c r="AI581" t="s">
        <v>803</v>
      </c>
    </row>
    <row r="582" spans="1:35" hidden="1">
      <c r="A582" s="7">
        <v>581</v>
      </c>
      <c r="B582" t="s">
        <v>243</v>
      </c>
      <c r="C582" t="s">
        <v>244</v>
      </c>
      <c r="D582" s="7">
        <v>7134</v>
      </c>
      <c r="E582" t="s">
        <v>245</v>
      </c>
      <c r="F582" t="s">
        <v>246</v>
      </c>
      <c r="G582" t="s">
        <v>263</v>
      </c>
      <c r="H582" t="s">
        <v>649</v>
      </c>
      <c r="I582" s="7">
        <v>895</v>
      </c>
      <c r="J582" s="7">
        <v>9372</v>
      </c>
      <c r="K582" s="7">
        <v>1</v>
      </c>
      <c r="L582" t="s">
        <v>247</v>
      </c>
      <c r="M582" t="s">
        <v>261</v>
      </c>
      <c r="N582" s="7">
        <v>798680</v>
      </c>
      <c r="O582" t="s">
        <v>1856</v>
      </c>
      <c r="P582" t="s">
        <v>1857</v>
      </c>
      <c r="S582" t="s">
        <v>1801</v>
      </c>
      <c r="T582" t="s">
        <v>1601</v>
      </c>
      <c r="U582" t="s">
        <v>1802</v>
      </c>
      <c r="V582" s="8">
        <v>1250</v>
      </c>
      <c r="W582" s="7">
        <v>588115</v>
      </c>
      <c r="X582" t="s">
        <v>1803</v>
      </c>
      <c r="Y582" s="8">
        <v>1250</v>
      </c>
      <c r="Z582" s="8">
        <v>1475</v>
      </c>
      <c r="AA582" s="8">
        <v>225</v>
      </c>
      <c r="AB582" s="7">
        <v>111582</v>
      </c>
      <c r="AC582" t="s">
        <v>1803</v>
      </c>
      <c r="AD582" s="8">
        <v>0</v>
      </c>
      <c r="AG582" t="s">
        <v>817</v>
      </c>
      <c r="AH582" t="s">
        <v>802</v>
      </c>
      <c r="AI582" t="s">
        <v>818</v>
      </c>
    </row>
    <row r="583" spans="1:35" hidden="1">
      <c r="A583" s="7">
        <v>582</v>
      </c>
      <c r="B583" t="s">
        <v>243</v>
      </c>
      <c r="C583" t="s">
        <v>244</v>
      </c>
      <c r="D583" s="7">
        <v>7134</v>
      </c>
      <c r="E583" t="s">
        <v>245</v>
      </c>
      <c r="F583" t="s">
        <v>246</v>
      </c>
      <c r="G583" t="s">
        <v>1302</v>
      </c>
      <c r="H583" t="s">
        <v>507</v>
      </c>
      <c r="I583" s="7">
        <v>1165</v>
      </c>
      <c r="J583" s="7">
        <v>38187</v>
      </c>
      <c r="K583" s="7">
        <v>4</v>
      </c>
      <c r="L583" t="s">
        <v>247</v>
      </c>
      <c r="M583" t="s">
        <v>361</v>
      </c>
      <c r="N583" s="7">
        <v>5240</v>
      </c>
      <c r="O583" t="s">
        <v>1303</v>
      </c>
      <c r="P583" t="s">
        <v>1304</v>
      </c>
      <c r="S583" t="s">
        <v>1801</v>
      </c>
      <c r="T583" t="s">
        <v>1601</v>
      </c>
      <c r="U583" t="s">
        <v>1802</v>
      </c>
      <c r="V583" s="8">
        <v>0</v>
      </c>
      <c r="W583" s="7">
        <v>588115</v>
      </c>
      <c r="X583" t="s">
        <v>1803</v>
      </c>
      <c r="Y583" s="8">
        <v>0</v>
      </c>
      <c r="Z583" s="8">
        <v>0</v>
      </c>
      <c r="AA583" s="8">
        <v>0</v>
      </c>
      <c r="AB583" s="7">
        <v>111582</v>
      </c>
      <c r="AC583" t="s">
        <v>1803</v>
      </c>
      <c r="AD583" s="8">
        <v>0</v>
      </c>
      <c r="AG583" t="s">
        <v>823</v>
      </c>
      <c r="AH583" t="s">
        <v>802</v>
      </c>
      <c r="AI583" t="s">
        <v>803</v>
      </c>
    </row>
    <row r="584" spans="1:35" hidden="1">
      <c r="A584" s="7">
        <v>583</v>
      </c>
      <c r="B584" t="s">
        <v>243</v>
      </c>
      <c r="C584" t="s">
        <v>244</v>
      </c>
      <c r="D584" s="7">
        <v>7134</v>
      </c>
      <c r="E584" t="s">
        <v>245</v>
      </c>
      <c r="F584" t="s">
        <v>246</v>
      </c>
      <c r="G584" t="s">
        <v>861</v>
      </c>
      <c r="H584" t="s">
        <v>589</v>
      </c>
      <c r="I584" s="7">
        <v>951</v>
      </c>
      <c r="J584" s="7">
        <v>40000</v>
      </c>
      <c r="K584" s="7">
        <v>4</v>
      </c>
      <c r="L584" t="s">
        <v>247</v>
      </c>
      <c r="M584" t="s">
        <v>361</v>
      </c>
      <c r="N584" s="7">
        <v>4698</v>
      </c>
      <c r="O584" t="s">
        <v>1300</v>
      </c>
      <c r="P584" t="s">
        <v>1301</v>
      </c>
      <c r="S584" t="s">
        <v>1801</v>
      </c>
      <c r="T584" t="s">
        <v>1601</v>
      </c>
      <c r="U584" t="s">
        <v>1802</v>
      </c>
      <c r="V584" s="8">
        <v>0</v>
      </c>
      <c r="W584" s="7">
        <v>588115</v>
      </c>
      <c r="X584" t="s">
        <v>1803</v>
      </c>
      <c r="Y584" s="8">
        <v>0</v>
      </c>
      <c r="Z584" s="8">
        <v>0</v>
      </c>
      <c r="AA584" s="8">
        <v>0</v>
      </c>
      <c r="AB584" s="7">
        <v>111582</v>
      </c>
      <c r="AC584" t="s">
        <v>1803</v>
      </c>
      <c r="AD584" s="8">
        <v>0</v>
      </c>
      <c r="AG584" t="s">
        <v>823</v>
      </c>
      <c r="AH584" t="s">
        <v>802</v>
      </c>
      <c r="AI584" t="s">
        <v>803</v>
      </c>
    </row>
    <row r="585" spans="1:35" hidden="1">
      <c r="A585" s="7">
        <v>584</v>
      </c>
      <c r="B585" t="s">
        <v>243</v>
      </c>
      <c r="C585" t="s">
        <v>244</v>
      </c>
      <c r="D585" s="7">
        <v>7134</v>
      </c>
      <c r="E585" t="s">
        <v>245</v>
      </c>
      <c r="F585" t="s">
        <v>246</v>
      </c>
      <c r="G585" t="s">
        <v>333</v>
      </c>
      <c r="H585" t="s">
        <v>578</v>
      </c>
      <c r="I585" s="7">
        <v>898</v>
      </c>
      <c r="J585" s="7">
        <v>10237</v>
      </c>
      <c r="K585" s="7">
        <v>1</v>
      </c>
      <c r="L585" t="s">
        <v>247</v>
      </c>
      <c r="M585" t="s">
        <v>261</v>
      </c>
      <c r="N585" s="7">
        <v>796539</v>
      </c>
      <c r="O585" t="s">
        <v>1947</v>
      </c>
      <c r="P585" t="s">
        <v>1948</v>
      </c>
      <c r="S585" t="s">
        <v>1801</v>
      </c>
      <c r="T585" t="s">
        <v>1601</v>
      </c>
      <c r="U585" t="s">
        <v>1802</v>
      </c>
      <c r="V585" s="8">
        <v>1250</v>
      </c>
      <c r="W585" s="7">
        <v>588115</v>
      </c>
      <c r="X585" t="s">
        <v>1803</v>
      </c>
      <c r="Y585" s="8">
        <v>1250</v>
      </c>
      <c r="Z585" s="8">
        <v>1475</v>
      </c>
      <c r="AA585" s="8">
        <v>225</v>
      </c>
      <c r="AB585" s="7">
        <v>111582</v>
      </c>
      <c r="AC585" t="s">
        <v>1803</v>
      </c>
      <c r="AD585" s="8">
        <v>0</v>
      </c>
      <c r="AG585" t="s">
        <v>817</v>
      </c>
      <c r="AH585" t="s">
        <v>802</v>
      </c>
      <c r="AI585" t="s">
        <v>818</v>
      </c>
    </row>
    <row r="586" spans="1:35" hidden="1">
      <c r="A586" s="7">
        <v>585</v>
      </c>
      <c r="B586" t="s">
        <v>243</v>
      </c>
      <c r="C586" t="s">
        <v>244</v>
      </c>
      <c r="D586" s="7">
        <v>7134</v>
      </c>
      <c r="E586" t="s">
        <v>245</v>
      </c>
      <c r="F586" t="s">
        <v>246</v>
      </c>
      <c r="G586" t="s">
        <v>363</v>
      </c>
      <c r="H586" t="s">
        <v>649</v>
      </c>
      <c r="I586" s="7">
        <v>896</v>
      </c>
      <c r="J586" s="7">
        <v>10461</v>
      </c>
      <c r="K586" s="7">
        <v>1</v>
      </c>
      <c r="L586" t="s">
        <v>247</v>
      </c>
      <c r="M586" t="s">
        <v>261</v>
      </c>
      <c r="N586" s="7">
        <v>797421</v>
      </c>
      <c r="O586" t="s">
        <v>1860</v>
      </c>
      <c r="P586" t="s">
        <v>1861</v>
      </c>
      <c r="S586" t="s">
        <v>1801</v>
      </c>
      <c r="T586" t="s">
        <v>1601</v>
      </c>
      <c r="U586" t="s">
        <v>1802</v>
      </c>
      <c r="V586" s="8">
        <v>1250</v>
      </c>
      <c r="W586" s="7">
        <v>588115</v>
      </c>
      <c r="X586" t="s">
        <v>1803</v>
      </c>
      <c r="Y586" s="8">
        <v>1250</v>
      </c>
      <c r="Z586" s="8">
        <v>1475</v>
      </c>
      <c r="AA586" s="8">
        <v>225</v>
      </c>
      <c r="AB586" s="7">
        <v>111582</v>
      </c>
      <c r="AC586" t="s">
        <v>1803</v>
      </c>
      <c r="AD586" s="8">
        <v>0</v>
      </c>
      <c r="AG586" t="s">
        <v>817</v>
      </c>
      <c r="AH586" t="s">
        <v>802</v>
      </c>
      <c r="AI586" t="s">
        <v>818</v>
      </c>
    </row>
    <row r="587" spans="1:35" hidden="1">
      <c r="A587" s="7">
        <v>586</v>
      </c>
      <c r="B587" t="s">
        <v>243</v>
      </c>
      <c r="C587" t="s">
        <v>244</v>
      </c>
      <c r="D587" s="7">
        <v>7134</v>
      </c>
      <c r="E587" t="s">
        <v>245</v>
      </c>
      <c r="F587" t="s">
        <v>246</v>
      </c>
      <c r="G587" t="s">
        <v>1194</v>
      </c>
      <c r="H587" t="s">
        <v>1835</v>
      </c>
      <c r="I587" s="7">
        <v>1165</v>
      </c>
      <c r="J587" s="7">
        <v>89935</v>
      </c>
      <c r="K587" s="7">
        <v>9</v>
      </c>
      <c r="L587" t="s">
        <v>247</v>
      </c>
      <c r="M587" t="s">
        <v>261</v>
      </c>
      <c r="N587" s="7">
        <v>773372</v>
      </c>
      <c r="O587" t="s">
        <v>1195</v>
      </c>
      <c r="P587" t="s">
        <v>1196</v>
      </c>
      <c r="S587" t="s">
        <v>1801</v>
      </c>
      <c r="T587" t="s">
        <v>1601</v>
      </c>
      <c r="U587" t="s">
        <v>1802</v>
      </c>
      <c r="V587" s="8">
        <v>0</v>
      </c>
      <c r="W587" s="7">
        <v>588115</v>
      </c>
      <c r="X587" t="s">
        <v>1803</v>
      </c>
      <c r="Y587" s="8">
        <v>0</v>
      </c>
      <c r="Z587" s="8">
        <v>0</v>
      </c>
      <c r="AA587" s="8">
        <v>0</v>
      </c>
      <c r="AB587" s="7">
        <v>111582</v>
      </c>
      <c r="AC587" t="s">
        <v>1803</v>
      </c>
      <c r="AD587" s="8">
        <v>0</v>
      </c>
      <c r="AG587" t="s">
        <v>801</v>
      </c>
      <c r="AH587" t="s">
        <v>802</v>
      </c>
      <c r="AI587" t="s">
        <v>803</v>
      </c>
    </row>
    <row r="588" spans="1:35" hidden="1">
      <c r="A588" s="7">
        <v>587</v>
      </c>
      <c r="B588" t="s">
        <v>243</v>
      </c>
      <c r="C588" t="s">
        <v>244</v>
      </c>
      <c r="D588" s="7">
        <v>7134</v>
      </c>
      <c r="E588" t="s">
        <v>245</v>
      </c>
      <c r="F588" t="s">
        <v>246</v>
      </c>
      <c r="G588" t="s">
        <v>263</v>
      </c>
      <c r="H588" t="s">
        <v>602</v>
      </c>
      <c r="I588" s="7">
        <v>889</v>
      </c>
      <c r="J588" s="7">
        <v>9501</v>
      </c>
      <c r="K588" s="7">
        <v>1</v>
      </c>
      <c r="L588" t="s">
        <v>247</v>
      </c>
      <c r="M588" t="s">
        <v>261</v>
      </c>
      <c r="N588" s="7">
        <v>796130</v>
      </c>
      <c r="O588" t="s">
        <v>1951</v>
      </c>
      <c r="P588" t="s">
        <v>1952</v>
      </c>
      <c r="S588" t="s">
        <v>1801</v>
      </c>
      <c r="T588" t="s">
        <v>1601</v>
      </c>
      <c r="U588" t="s">
        <v>1802</v>
      </c>
      <c r="V588" s="8">
        <v>1250</v>
      </c>
      <c r="W588" s="7">
        <v>588115</v>
      </c>
      <c r="X588" t="s">
        <v>1803</v>
      </c>
      <c r="Y588" s="8">
        <v>1250</v>
      </c>
      <c r="Z588" s="8">
        <v>1475</v>
      </c>
      <c r="AA588" s="8">
        <v>225</v>
      </c>
      <c r="AB588" s="7">
        <v>111582</v>
      </c>
      <c r="AC588" t="s">
        <v>1803</v>
      </c>
      <c r="AD588" s="8">
        <v>0</v>
      </c>
      <c r="AG588" t="s">
        <v>817</v>
      </c>
      <c r="AH588" t="s">
        <v>802</v>
      </c>
      <c r="AI588" t="s">
        <v>818</v>
      </c>
    </row>
    <row r="589" spans="1:35" hidden="1">
      <c r="A589" s="7">
        <v>588</v>
      </c>
      <c r="B589" t="s">
        <v>243</v>
      </c>
      <c r="C589" t="s">
        <v>244</v>
      </c>
      <c r="D589" s="7">
        <v>7134</v>
      </c>
      <c r="E589" t="s">
        <v>245</v>
      </c>
      <c r="F589" t="s">
        <v>246</v>
      </c>
      <c r="G589" t="s">
        <v>1224</v>
      </c>
      <c r="H589" t="s">
        <v>649</v>
      </c>
      <c r="I589" s="7">
        <v>860</v>
      </c>
      <c r="J589" s="7">
        <v>9366</v>
      </c>
      <c r="K589" s="7">
        <v>1</v>
      </c>
      <c r="L589" t="s">
        <v>247</v>
      </c>
      <c r="M589" t="s">
        <v>261</v>
      </c>
      <c r="N589" s="7">
        <v>797770</v>
      </c>
      <c r="O589" t="s">
        <v>1821</v>
      </c>
      <c r="P589" t="s">
        <v>1822</v>
      </c>
      <c r="S589" t="s">
        <v>1801</v>
      </c>
      <c r="T589" t="s">
        <v>1601</v>
      </c>
      <c r="U589" t="s">
        <v>1802</v>
      </c>
      <c r="V589" s="8">
        <v>1250</v>
      </c>
      <c r="W589" s="7">
        <v>588115</v>
      </c>
      <c r="X589" t="s">
        <v>1803</v>
      </c>
      <c r="Y589" s="8">
        <v>1250</v>
      </c>
      <c r="Z589" s="8">
        <v>1475</v>
      </c>
      <c r="AA589" s="8">
        <v>225</v>
      </c>
      <c r="AB589" s="7">
        <v>111582</v>
      </c>
      <c r="AC589" t="s">
        <v>1803</v>
      </c>
      <c r="AD589" s="8">
        <v>0</v>
      </c>
      <c r="AG589" t="s">
        <v>817</v>
      </c>
      <c r="AH589" t="s">
        <v>802</v>
      </c>
      <c r="AI589" t="s">
        <v>818</v>
      </c>
    </row>
    <row r="590" spans="1:35" hidden="1">
      <c r="A590" s="7">
        <v>589</v>
      </c>
      <c r="B590" t="s">
        <v>243</v>
      </c>
      <c r="C590" t="s">
        <v>244</v>
      </c>
      <c r="D590" s="7">
        <v>7134</v>
      </c>
      <c r="E590" t="s">
        <v>245</v>
      </c>
      <c r="F590" t="s">
        <v>246</v>
      </c>
      <c r="G590" t="s">
        <v>1224</v>
      </c>
      <c r="H590" t="s">
        <v>649</v>
      </c>
      <c r="I590" s="7">
        <v>852</v>
      </c>
      <c r="J590" s="7">
        <v>9991</v>
      </c>
      <c r="K590" s="7">
        <v>1</v>
      </c>
      <c r="L590" t="s">
        <v>247</v>
      </c>
      <c r="M590" t="s">
        <v>261</v>
      </c>
      <c r="N590" s="7">
        <v>797765</v>
      </c>
      <c r="O590" t="s">
        <v>1809</v>
      </c>
      <c r="P590" t="s">
        <v>1810</v>
      </c>
      <c r="S590" t="s">
        <v>1801</v>
      </c>
      <c r="T590" t="s">
        <v>1601</v>
      </c>
      <c r="U590" t="s">
        <v>1802</v>
      </c>
      <c r="V590" s="8">
        <v>1250</v>
      </c>
      <c r="W590" s="7">
        <v>588115</v>
      </c>
      <c r="X590" t="s">
        <v>1803</v>
      </c>
      <c r="Y590" s="8">
        <v>1250</v>
      </c>
      <c r="Z590" s="8">
        <v>1475</v>
      </c>
      <c r="AA590" s="8">
        <v>225</v>
      </c>
      <c r="AB590" s="7">
        <v>111582</v>
      </c>
      <c r="AC590" t="s">
        <v>1803</v>
      </c>
      <c r="AD590" s="8">
        <v>0</v>
      </c>
      <c r="AG590" t="s">
        <v>817</v>
      </c>
      <c r="AH590" t="s">
        <v>802</v>
      </c>
      <c r="AI590" t="s">
        <v>818</v>
      </c>
    </row>
    <row r="591" spans="1:35" hidden="1">
      <c r="A591" s="7">
        <v>590</v>
      </c>
      <c r="B591" t="s">
        <v>243</v>
      </c>
      <c r="C591" t="s">
        <v>244</v>
      </c>
      <c r="D591" s="7">
        <v>7134</v>
      </c>
      <c r="E591" t="s">
        <v>245</v>
      </c>
      <c r="F591" t="s">
        <v>246</v>
      </c>
      <c r="G591" t="s">
        <v>1457</v>
      </c>
      <c r="H591" t="s">
        <v>1875</v>
      </c>
      <c r="I591" s="7">
        <v>860</v>
      </c>
      <c r="J591" s="7">
        <v>9621</v>
      </c>
      <c r="K591" s="7">
        <v>1</v>
      </c>
      <c r="L591" t="s">
        <v>247</v>
      </c>
      <c r="M591" t="s">
        <v>261</v>
      </c>
      <c r="N591" s="7">
        <v>798115</v>
      </c>
      <c r="O591" t="s">
        <v>1876</v>
      </c>
      <c r="P591" t="s">
        <v>1877</v>
      </c>
      <c r="S591" t="s">
        <v>1801</v>
      </c>
      <c r="T591" t="s">
        <v>1601</v>
      </c>
      <c r="U591" t="s">
        <v>1802</v>
      </c>
      <c r="V591" s="8">
        <v>1250</v>
      </c>
      <c r="W591" s="7">
        <v>588115</v>
      </c>
      <c r="X591" t="s">
        <v>1803</v>
      </c>
      <c r="Y591" s="8">
        <v>1250</v>
      </c>
      <c r="Z591" s="8">
        <v>1475</v>
      </c>
      <c r="AA591" s="8">
        <v>225</v>
      </c>
      <c r="AB591" s="7">
        <v>111582</v>
      </c>
      <c r="AC591" t="s">
        <v>1803</v>
      </c>
      <c r="AD591" s="8">
        <v>0</v>
      </c>
      <c r="AG591" t="s">
        <v>817</v>
      </c>
      <c r="AH591" t="s">
        <v>802</v>
      </c>
      <c r="AI591" t="s">
        <v>818</v>
      </c>
    </row>
    <row r="592" spans="1:35" hidden="1">
      <c r="A592" s="7">
        <v>591</v>
      </c>
      <c r="B592" t="s">
        <v>243</v>
      </c>
      <c r="C592" t="s">
        <v>244</v>
      </c>
      <c r="D592" s="7">
        <v>7134</v>
      </c>
      <c r="E592" t="s">
        <v>245</v>
      </c>
      <c r="F592" t="s">
        <v>246</v>
      </c>
      <c r="G592" t="s">
        <v>885</v>
      </c>
      <c r="H592" t="s">
        <v>633</v>
      </c>
      <c r="I592" s="7">
        <v>866</v>
      </c>
      <c r="J592" s="7">
        <v>10057</v>
      </c>
      <c r="K592" s="7">
        <v>1</v>
      </c>
      <c r="L592" t="s">
        <v>247</v>
      </c>
      <c r="M592" t="s">
        <v>261</v>
      </c>
      <c r="N592" s="7">
        <v>796366</v>
      </c>
      <c r="O592" t="s">
        <v>1871</v>
      </c>
      <c r="P592" t="s">
        <v>1872</v>
      </c>
      <c r="S592" t="s">
        <v>1801</v>
      </c>
      <c r="T592" t="s">
        <v>1601</v>
      </c>
      <c r="U592" t="s">
        <v>1802</v>
      </c>
      <c r="V592" s="8">
        <v>1250</v>
      </c>
      <c r="W592" s="7">
        <v>588115</v>
      </c>
      <c r="X592" t="s">
        <v>1803</v>
      </c>
      <c r="Y592" s="8">
        <v>1250</v>
      </c>
      <c r="Z592" s="8">
        <v>1475</v>
      </c>
      <c r="AA592" s="8">
        <v>225</v>
      </c>
      <c r="AB592" s="7">
        <v>111582</v>
      </c>
      <c r="AC592" t="s">
        <v>1803</v>
      </c>
      <c r="AD592" s="8">
        <v>0</v>
      </c>
      <c r="AG592" t="s">
        <v>817</v>
      </c>
      <c r="AH592" t="s">
        <v>802</v>
      </c>
      <c r="AI592" t="s">
        <v>818</v>
      </c>
    </row>
    <row r="593" spans="1:35" hidden="1">
      <c r="A593" s="7">
        <v>592</v>
      </c>
      <c r="B593" t="s">
        <v>243</v>
      </c>
      <c r="C593" t="s">
        <v>244</v>
      </c>
      <c r="D593" s="7">
        <v>7134</v>
      </c>
      <c r="E593" t="s">
        <v>245</v>
      </c>
      <c r="F593" t="s">
        <v>246</v>
      </c>
      <c r="G593" t="s">
        <v>1512</v>
      </c>
      <c r="H593" t="s">
        <v>633</v>
      </c>
      <c r="I593" s="7">
        <v>1165</v>
      </c>
      <c r="J593" s="7">
        <v>7377</v>
      </c>
      <c r="K593" s="7">
        <v>2</v>
      </c>
      <c r="L593" t="s">
        <v>247</v>
      </c>
      <c r="M593" t="s">
        <v>261</v>
      </c>
      <c r="N593" s="7">
        <v>771339</v>
      </c>
      <c r="O593" t="s">
        <v>1873</v>
      </c>
      <c r="P593" t="s">
        <v>1874</v>
      </c>
      <c r="S593" t="s">
        <v>1801</v>
      </c>
      <c r="T593" t="s">
        <v>1601</v>
      </c>
      <c r="U593" t="s">
        <v>1802</v>
      </c>
      <c r="V593" s="8">
        <v>1250</v>
      </c>
      <c r="W593" s="7">
        <v>588115</v>
      </c>
      <c r="X593" t="s">
        <v>1803</v>
      </c>
      <c r="Y593" s="8">
        <v>1250</v>
      </c>
      <c r="Z593" s="8">
        <v>1475</v>
      </c>
      <c r="AA593" s="8">
        <v>225</v>
      </c>
      <c r="AB593" s="7">
        <v>111582</v>
      </c>
      <c r="AC593" t="s">
        <v>1803</v>
      </c>
      <c r="AD593" s="8">
        <v>0</v>
      </c>
      <c r="AG593" t="s">
        <v>817</v>
      </c>
      <c r="AH593" t="s">
        <v>802</v>
      </c>
      <c r="AI593" t="s">
        <v>818</v>
      </c>
    </row>
    <row r="594" spans="1:35" hidden="1">
      <c r="A594" s="7">
        <v>593</v>
      </c>
      <c r="B594" t="s">
        <v>243</v>
      </c>
      <c r="C594" t="s">
        <v>244</v>
      </c>
      <c r="D594" s="7">
        <v>7134</v>
      </c>
      <c r="E594" t="s">
        <v>245</v>
      </c>
      <c r="F594" t="s">
        <v>246</v>
      </c>
      <c r="G594" t="s">
        <v>1202</v>
      </c>
      <c r="H594" t="s">
        <v>1807</v>
      </c>
      <c r="I594" s="7">
        <v>1165</v>
      </c>
      <c r="J594" s="7">
        <v>60000</v>
      </c>
      <c r="K594" s="7">
        <v>6</v>
      </c>
      <c r="L594" t="s">
        <v>247</v>
      </c>
      <c r="M594" t="s">
        <v>261</v>
      </c>
      <c r="N594" s="7">
        <v>774638</v>
      </c>
      <c r="O594" t="s">
        <v>1232</v>
      </c>
      <c r="P594" t="s">
        <v>1233</v>
      </c>
      <c r="S594" t="s">
        <v>1801</v>
      </c>
      <c r="T594" t="s">
        <v>1601</v>
      </c>
      <c r="U594" t="s">
        <v>1802</v>
      </c>
      <c r="V594" s="8">
        <v>0</v>
      </c>
      <c r="W594" s="7">
        <v>588115</v>
      </c>
      <c r="X594" t="s">
        <v>1803</v>
      </c>
      <c r="Y594" s="8">
        <v>0</v>
      </c>
      <c r="Z594" s="8">
        <v>0</v>
      </c>
      <c r="AA594" s="8">
        <v>0</v>
      </c>
      <c r="AB594" s="7">
        <v>111582</v>
      </c>
      <c r="AC594" t="s">
        <v>1803</v>
      </c>
      <c r="AD594" s="8">
        <v>0</v>
      </c>
      <c r="AG594" t="s">
        <v>801</v>
      </c>
      <c r="AH594" t="s">
        <v>802</v>
      </c>
      <c r="AI594" t="s">
        <v>803</v>
      </c>
    </row>
    <row r="595" spans="1:35" hidden="1">
      <c r="A595" s="7">
        <v>594</v>
      </c>
      <c r="B595" t="s">
        <v>243</v>
      </c>
      <c r="C595" t="s">
        <v>244</v>
      </c>
      <c r="D595" s="7">
        <v>7134</v>
      </c>
      <c r="E595" t="s">
        <v>245</v>
      </c>
      <c r="F595" t="s">
        <v>246</v>
      </c>
      <c r="G595" t="s">
        <v>263</v>
      </c>
      <c r="H595" t="s">
        <v>657</v>
      </c>
      <c r="I595" s="7">
        <v>856</v>
      </c>
      <c r="J595" s="7">
        <v>10060</v>
      </c>
      <c r="K595" s="7">
        <v>1</v>
      </c>
      <c r="L595" t="s">
        <v>247</v>
      </c>
      <c r="M595" t="s">
        <v>261</v>
      </c>
      <c r="N595" s="7">
        <v>796592</v>
      </c>
      <c r="O595" t="s">
        <v>1851</v>
      </c>
      <c r="P595" t="s">
        <v>1852</v>
      </c>
      <c r="S595" t="s">
        <v>1801</v>
      </c>
      <c r="T595" t="s">
        <v>1601</v>
      </c>
      <c r="U595" t="s">
        <v>1802</v>
      </c>
      <c r="V595" s="8">
        <v>1250</v>
      </c>
      <c r="W595" s="7">
        <v>588115</v>
      </c>
      <c r="X595" t="s">
        <v>1803</v>
      </c>
      <c r="Y595" s="8">
        <v>1250</v>
      </c>
      <c r="Z595" s="8">
        <v>1475</v>
      </c>
      <c r="AA595" s="8">
        <v>225</v>
      </c>
      <c r="AB595" s="7">
        <v>111582</v>
      </c>
      <c r="AC595" t="s">
        <v>1803</v>
      </c>
      <c r="AD595" s="8">
        <v>0</v>
      </c>
      <c r="AG595" t="s">
        <v>817</v>
      </c>
      <c r="AH595" t="s">
        <v>802</v>
      </c>
      <c r="AI595" t="s">
        <v>818</v>
      </c>
    </row>
    <row r="596" spans="1:35" hidden="1">
      <c r="A596" s="7">
        <v>595</v>
      </c>
      <c r="B596" t="s">
        <v>243</v>
      </c>
      <c r="C596" t="s">
        <v>244</v>
      </c>
      <c r="D596" s="7">
        <v>7134</v>
      </c>
      <c r="E596" t="s">
        <v>245</v>
      </c>
      <c r="F596" t="s">
        <v>246</v>
      </c>
      <c r="G596" t="s">
        <v>1264</v>
      </c>
      <c r="H596" t="s">
        <v>1842</v>
      </c>
      <c r="I596" s="7">
        <v>1165</v>
      </c>
      <c r="J596" s="7">
        <v>17974</v>
      </c>
      <c r="K596" s="7">
        <v>2</v>
      </c>
      <c r="L596" t="s">
        <v>247</v>
      </c>
      <c r="M596" t="s">
        <v>261</v>
      </c>
      <c r="N596" s="7">
        <v>781812</v>
      </c>
      <c r="O596" t="s">
        <v>1975</v>
      </c>
      <c r="P596" t="s">
        <v>1976</v>
      </c>
      <c r="S596" t="s">
        <v>1801</v>
      </c>
      <c r="T596" t="s">
        <v>1601</v>
      </c>
      <c r="U596" t="s">
        <v>1802</v>
      </c>
      <c r="V596" s="8">
        <v>1250</v>
      </c>
      <c r="W596" s="7">
        <v>588115</v>
      </c>
      <c r="X596" t="s">
        <v>1803</v>
      </c>
      <c r="Y596" s="8">
        <v>1250</v>
      </c>
      <c r="Z596" s="8">
        <v>1475</v>
      </c>
      <c r="AA596" s="8">
        <v>225</v>
      </c>
      <c r="AB596" s="7">
        <v>111582</v>
      </c>
      <c r="AC596" t="s">
        <v>1803</v>
      </c>
      <c r="AD596" s="8">
        <v>0</v>
      </c>
      <c r="AG596" t="s">
        <v>817</v>
      </c>
      <c r="AH596" t="s">
        <v>802</v>
      </c>
      <c r="AI596" t="s">
        <v>818</v>
      </c>
    </row>
    <row r="597" spans="1:35" hidden="1">
      <c r="A597" s="7">
        <v>596</v>
      </c>
      <c r="B597" t="s">
        <v>243</v>
      </c>
      <c r="C597" t="s">
        <v>244</v>
      </c>
      <c r="D597" s="7">
        <v>7134</v>
      </c>
      <c r="E597" t="s">
        <v>245</v>
      </c>
      <c r="F597" t="s">
        <v>246</v>
      </c>
      <c r="G597" t="s">
        <v>293</v>
      </c>
      <c r="H597" t="s">
        <v>1798</v>
      </c>
      <c r="I597" s="7">
        <v>1165</v>
      </c>
      <c r="J597" s="7">
        <v>4666</v>
      </c>
      <c r="K597" s="7">
        <v>1</v>
      </c>
      <c r="L597" t="s">
        <v>247</v>
      </c>
      <c r="M597" t="s">
        <v>267</v>
      </c>
      <c r="N597" s="7">
        <v>789021</v>
      </c>
      <c r="O597" t="s">
        <v>464</v>
      </c>
      <c r="P597" t="s">
        <v>465</v>
      </c>
      <c r="S597" t="s">
        <v>1801</v>
      </c>
      <c r="T597" t="s">
        <v>1601</v>
      </c>
      <c r="U597" t="s">
        <v>1802</v>
      </c>
      <c r="V597" s="8">
        <v>1250</v>
      </c>
      <c r="W597" s="7">
        <v>588115</v>
      </c>
      <c r="X597" t="s">
        <v>1803</v>
      </c>
      <c r="Y597" s="8">
        <v>1250</v>
      </c>
      <c r="Z597" s="8">
        <v>1475</v>
      </c>
      <c r="AA597" s="8">
        <v>225</v>
      </c>
      <c r="AB597" s="7">
        <v>111582</v>
      </c>
      <c r="AC597" t="s">
        <v>1803</v>
      </c>
      <c r="AD597" s="8">
        <v>0</v>
      </c>
      <c r="AG597" t="s">
        <v>828</v>
      </c>
      <c r="AH597" t="s">
        <v>802</v>
      </c>
      <c r="AI597" t="s">
        <v>818</v>
      </c>
    </row>
    <row r="598" spans="1:35" hidden="1">
      <c r="A598" s="7">
        <v>597</v>
      </c>
      <c r="B598" t="s">
        <v>243</v>
      </c>
      <c r="C598" t="s">
        <v>244</v>
      </c>
      <c r="D598" s="7">
        <v>7134</v>
      </c>
      <c r="E598" t="s">
        <v>245</v>
      </c>
      <c r="F598" t="s">
        <v>246</v>
      </c>
      <c r="G598" t="s">
        <v>1156</v>
      </c>
      <c r="H598" t="s">
        <v>1830</v>
      </c>
      <c r="I598" s="7">
        <v>1165</v>
      </c>
      <c r="J598" s="7">
        <v>50000</v>
      </c>
      <c r="K598" s="7">
        <v>5</v>
      </c>
      <c r="L598" t="s">
        <v>247</v>
      </c>
      <c r="M598" t="s">
        <v>252</v>
      </c>
      <c r="N598" s="7">
        <v>324809</v>
      </c>
      <c r="O598" t="s">
        <v>1157</v>
      </c>
      <c r="P598" t="s">
        <v>1158</v>
      </c>
      <c r="S598" t="s">
        <v>1801</v>
      </c>
      <c r="T598" t="s">
        <v>1601</v>
      </c>
      <c r="U598" t="s">
        <v>1802</v>
      </c>
      <c r="V598" s="8">
        <v>1250</v>
      </c>
      <c r="W598" s="7">
        <v>588115</v>
      </c>
      <c r="X598" t="s">
        <v>1803</v>
      </c>
      <c r="Y598" s="8">
        <v>1250</v>
      </c>
      <c r="Z598" s="8">
        <v>1475</v>
      </c>
      <c r="AA598" s="8">
        <v>225</v>
      </c>
      <c r="AB598" s="7">
        <v>111582</v>
      </c>
      <c r="AC598" t="s">
        <v>1803</v>
      </c>
      <c r="AD598" s="8">
        <v>0</v>
      </c>
      <c r="AG598" t="s">
        <v>937</v>
      </c>
      <c r="AH598" t="s">
        <v>802</v>
      </c>
      <c r="AI598" t="s">
        <v>818</v>
      </c>
    </row>
    <row r="599" spans="1:35" hidden="1">
      <c r="A599" s="7">
        <v>598</v>
      </c>
      <c r="B599" t="s">
        <v>243</v>
      </c>
      <c r="C599" t="s">
        <v>244</v>
      </c>
      <c r="D599" s="7">
        <v>7134</v>
      </c>
      <c r="E599" t="s">
        <v>245</v>
      </c>
      <c r="F599" t="s">
        <v>246</v>
      </c>
      <c r="G599" t="s">
        <v>1882</v>
      </c>
      <c r="H599" t="s">
        <v>1814</v>
      </c>
      <c r="I599" s="7">
        <v>1165</v>
      </c>
      <c r="J599" s="7">
        <v>16511</v>
      </c>
      <c r="K599" s="7">
        <v>11</v>
      </c>
      <c r="L599" t="s">
        <v>247</v>
      </c>
      <c r="M599" t="s">
        <v>261</v>
      </c>
      <c r="N599" s="7">
        <v>733302</v>
      </c>
      <c r="O599" t="s">
        <v>1883</v>
      </c>
      <c r="P599" t="s">
        <v>1884</v>
      </c>
      <c r="S599" t="s">
        <v>1801</v>
      </c>
      <c r="T599" t="s">
        <v>1601</v>
      </c>
      <c r="U599" t="s">
        <v>1802</v>
      </c>
      <c r="V599" s="8">
        <v>1250</v>
      </c>
      <c r="W599" s="7">
        <v>588115</v>
      </c>
      <c r="X599" t="s">
        <v>1803</v>
      </c>
      <c r="Y599" s="8">
        <v>1250</v>
      </c>
      <c r="Z599" s="8">
        <v>1475</v>
      </c>
      <c r="AA599" s="8">
        <v>225</v>
      </c>
      <c r="AB599" s="7">
        <v>111582</v>
      </c>
      <c r="AC599" t="s">
        <v>1803</v>
      </c>
      <c r="AD599" s="8">
        <v>0</v>
      </c>
      <c r="AG599" t="s">
        <v>808</v>
      </c>
      <c r="AH599" t="s">
        <v>802</v>
      </c>
      <c r="AI599" t="s">
        <v>818</v>
      </c>
    </row>
    <row r="600" spans="1:35" hidden="1">
      <c r="A600" s="7">
        <v>599</v>
      </c>
      <c r="B600" t="s">
        <v>243</v>
      </c>
      <c r="C600" t="s">
        <v>244</v>
      </c>
      <c r="D600" s="7">
        <v>7134</v>
      </c>
      <c r="E600" t="s">
        <v>245</v>
      </c>
      <c r="F600" t="s">
        <v>246</v>
      </c>
      <c r="G600" t="s">
        <v>1919</v>
      </c>
      <c r="H600" t="s">
        <v>598</v>
      </c>
      <c r="I600" s="7">
        <v>871</v>
      </c>
      <c r="J600" s="7">
        <v>10610</v>
      </c>
      <c r="K600" s="7">
        <v>1</v>
      </c>
      <c r="L600" t="s">
        <v>247</v>
      </c>
      <c r="M600" t="s">
        <v>261</v>
      </c>
      <c r="N600" s="7">
        <v>796555</v>
      </c>
      <c r="O600" t="s">
        <v>1920</v>
      </c>
      <c r="P600" t="s">
        <v>1921</v>
      </c>
      <c r="S600" t="s">
        <v>1801</v>
      </c>
      <c r="T600" t="s">
        <v>1601</v>
      </c>
      <c r="U600" t="s">
        <v>1802</v>
      </c>
      <c r="V600" s="8">
        <v>1250</v>
      </c>
      <c r="W600" s="7">
        <v>588115</v>
      </c>
      <c r="X600" t="s">
        <v>1803</v>
      </c>
      <c r="Y600" s="8">
        <v>1250</v>
      </c>
      <c r="Z600" s="8">
        <v>1475</v>
      </c>
      <c r="AA600" s="8">
        <v>225</v>
      </c>
      <c r="AB600" s="7">
        <v>111582</v>
      </c>
      <c r="AC600" t="s">
        <v>1803</v>
      </c>
      <c r="AD600" s="8">
        <v>0</v>
      </c>
      <c r="AG600" t="s">
        <v>817</v>
      </c>
      <c r="AH600" t="s">
        <v>802</v>
      </c>
      <c r="AI600" t="s">
        <v>818</v>
      </c>
    </row>
    <row r="601" spans="1:35" hidden="1">
      <c r="A601" s="7">
        <v>600</v>
      </c>
      <c r="B601" t="s">
        <v>243</v>
      </c>
      <c r="C601" t="s">
        <v>244</v>
      </c>
      <c r="D601" s="7">
        <v>7134</v>
      </c>
      <c r="E601" t="s">
        <v>245</v>
      </c>
      <c r="F601" t="s">
        <v>246</v>
      </c>
      <c r="G601" t="s">
        <v>872</v>
      </c>
      <c r="H601" t="s">
        <v>1808</v>
      </c>
      <c r="I601" s="7">
        <v>1165</v>
      </c>
      <c r="J601" s="7">
        <v>70000</v>
      </c>
      <c r="K601" s="7">
        <v>7</v>
      </c>
      <c r="L601" t="s">
        <v>247</v>
      </c>
      <c r="M601" t="s">
        <v>261</v>
      </c>
      <c r="N601" s="7">
        <v>775503</v>
      </c>
      <c r="O601" t="s">
        <v>1985</v>
      </c>
      <c r="P601" t="s">
        <v>1986</v>
      </c>
      <c r="S601" t="s">
        <v>1801</v>
      </c>
      <c r="T601" t="s">
        <v>1601</v>
      </c>
      <c r="U601" t="s">
        <v>1802</v>
      </c>
      <c r="V601" s="8">
        <v>0</v>
      </c>
      <c r="W601" s="7">
        <v>588115</v>
      </c>
      <c r="X601" t="s">
        <v>1803</v>
      </c>
      <c r="Y601" s="8">
        <v>0</v>
      </c>
      <c r="Z601" s="8">
        <v>0</v>
      </c>
      <c r="AA601" s="8">
        <v>0</v>
      </c>
      <c r="AB601" s="7">
        <v>111582</v>
      </c>
      <c r="AC601" t="s">
        <v>1803</v>
      </c>
      <c r="AD601" s="8">
        <v>0</v>
      </c>
      <c r="AG601" t="s">
        <v>801</v>
      </c>
      <c r="AH601" t="s">
        <v>802</v>
      </c>
      <c r="AI601" t="s">
        <v>803</v>
      </c>
    </row>
    <row r="602" spans="1:35" hidden="1">
      <c r="A602" s="7">
        <v>601</v>
      </c>
      <c r="B602" t="s">
        <v>243</v>
      </c>
      <c r="C602" t="s">
        <v>244</v>
      </c>
      <c r="D602" s="7">
        <v>7134</v>
      </c>
      <c r="E602" t="s">
        <v>245</v>
      </c>
      <c r="F602" t="s">
        <v>246</v>
      </c>
      <c r="G602" t="s">
        <v>363</v>
      </c>
      <c r="H602" t="s">
        <v>657</v>
      </c>
      <c r="I602" s="7">
        <v>877</v>
      </c>
      <c r="J602" s="7">
        <v>9983</v>
      </c>
      <c r="K602" s="7">
        <v>1</v>
      </c>
      <c r="L602" t="s">
        <v>247</v>
      </c>
      <c r="M602" t="s">
        <v>261</v>
      </c>
      <c r="N602" s="7">
        <v>797079</v>
      </c>
      <c r="O602" t="s">
        <v>1922</v>
      </c>
      <c r="P602" t="s">
        <v>1923</v>
      </c>
      <c r="S602" t="s">
        <v>1801</v>
      </c>
      <c r="T602" t="s">
        <v>1601</v>
      </c>
      <c r="U602" t="s">
        <v>1802</v>
      </c>
      <c r="V602" s="8">
        <v>1250</v>
      </c>
      <c r="W602" s="7">
        <v>588115</v>
      </c>
      <c r="X602" t="s">
        <v>1803</v>
      </c>
      <c r="Y602" s="8">
        <v>1250</v>
      </c>
      <c r="Z602" s="8">
        <v>1475</v>
      </c>
      <c r="AA602" s="8">
        <v>225</v>
      </c>
      <c r="AB602" s="7">
        <v>111582</v>
      </c>
      <c r="AC602" t="s">
        <v>1803</v>
      </c>
      <c r="AD602" s="8">
        <v>0</v>
      </c>
      <c r="AG602" t="s">
        <v>817</v>
      </c>
      <c r="AH602" t="s">
        <v>802</v>
      </c>
      <c r="AI602" t="s">
        <v>818</v>
      </c>
    </row>
    <row r="603" spans="1:35" hidden="1">
      <c r="A603" s="7">
        <v>602</v>
      </c>
      <c r="B603" t="s">
        <v>243</v>
      </c>
      <c r="C603" t="s">
        <v>244</v>
      </c>
      <c r="D603" s="7">
        <v>7134</v>
      </c>
      <c r="E603" t="s">
        <v>245</v>
      </c>
      <c r="F603" t="s">
        <v>246</v>
      </c>
      <c r="G603" t="s">
        <v>248</v>
      </c>
      <c r="H603" t="s">
        <v>1875</v>
      </c>
      <c r="I603" s="7">
        <v>854</v>
      </c>
      <c r="J603" s="7">
        <v>9763</v>
      </c>
      <c r="K603" s="7">
        <v>1</v>
      </c>
      <c r="L603" t="s">
        <v>247</v>
      </c>
      <c r="M603" t="s">
        <v>261</v>
      </c>
      <c r="N603" s="7">
        <v>795543</v>
      </c>
      <c r="O603" t="s">
        <v>1981</v>
      </c>
      <c r="P603" t="s">
        <v>1982</v>
      </c>
      <c r="S603" t="s">
        <v>1801</v>
      </c>
      <c r="T603" t="s">
        <v>1601</v>
      </c>
      <c r="U603" t="s">
        <v>1802</v>
      </c>
      <c r="V603" s="8">
        <v>1250</v>
      </c>
      <c r="W603" s="7">
        <v>588115</v>
      </c>
      <c r="X603" t="s">
        <v>1803</v>
      </c>
      <c r="Y603" s="8">
        <v>1250</v>
      </c>
      <c r="Z603" s="8">
        <v>1475</v>
      </c>
      <c r="AA603" s="8">
        <v>225</v>
      </c>
      <c r="AB603" s="7">
        <v>111582</v>
      </c>
      <c r="AC603" t="s">
        <v>1803</v>
      </c>
      <c r="AD603" s="8">
        <v>0</v>
      </c>
      <c r="AG603" t="s">
        <v>817</v>
      </c>
      <c r="AH603" t="s">
        <v>802</v>
      </c>
      <c r="AI603" t="s">
        <v>818</v>
      </c>
    </row>
    <row r="604" spans="1:35" hidden="1">
      <c r="A604" s="7">
        <v>603</v>
      </c>
      <c r="B604" t="s">
        <v>243</v>
      </c>
      <c r="C604" t="s">
        <v>244</v>
      </c>
      <c r="D604" s="7">
        <v>7134</v>
      </c>
      <c r="E604" t="s">
        <v>245</v>
      </c>
      <c r="F604" t="s">
        <v>246</v>
      </c>
      <c r="G604" t="s">
        <v>263</v>
      </c>
      <c r="H604" t="s">
        <v>594</v>
      </c>
      <c r="I604" s="7">
        <v>855</v>
      </c>
      <c r="J604" s="7">
        <v>10174</v>
      </c>
      <c r="K604" s="7">
        <v>1</v>
      </c>
      <c r="L604" t="s">
        <v>247</v>
      </c>
      <c r="M604" t="s">
        <v>261</v>
      </c>
      <c r="N604" s="7">
        <v>796598</v>
      </c>
      <c r="O604" t="s">
        <v>1983</v>
      </c>
      <c r="P604" t="s">
        <v>1984</v>
      </c>
      <c r="S604" t="s">
        <v>1801</v>
      </c>
      <c r="T604" t="s">
        <v>1601</v>
      </c>
      <c r="U604" t="s">
        <v>1802</v>
      </c>
      <c r="V604" s="8">
        <v>1250</v>
      </c>
      <c r="W604" s="7">
        <v>588115</v>
      </c>
      <c r="X604" t="s">
        <v>1803</v>
      </c>
      <c r="Y604" s="8">
        <v>1250</v>
      </c>
      <c r="Z604" s="8">
        <v>1475</v>
      </c>
      <c r="AA604" s="8">
        <v>225</v>
      </c>
      <c r="AB604" s="7">
        <v>111582</v>
      </c>
      <c r="AC604" t="s">
        <v>1803</v>
      </c>
      <c r="AD604" s="8">
        <v>0</v>
      </c>
      <c r="AG604" t="s">
        <v>817</v>
      </c>
      <c r="AH604" t="s">
        <v>802</v>
      </c>
      <c r="AI604" t="s">
        <v>818</v>
      </c>
    </row>
    <row r="605" spans="1:35" hidden="1">
      <c r="A605" s="7">
        <v>604</v>
      </c>
      <c r="B605" t="s">
        <v>243</v>
      </c>
      <c r="C605" t="s">
        <v>244</v>
      </c>
      <c r="D605" s="7">
        <v>7134</v>
      </c>
      <c r="E605" t="s">
        <v>245</v>
      </c>
      <c r="F605" t="s">
        <v>246</v>
      </c>
      <c r="G605" t="s">
        <v>1457</v>
      </c>
      <c r="H605" t="s">
        <v>657</v>
      </c>
      <c r="I605" s="7">
        <v>882</v>
      </c>
      <c r="J605" s="7">
        <v>9210</v>
      </c>
      <c r="K605" s="7">
        <v>1</v>
      </c>
      <c r="L605" t="s">
        <v>247</v>
      </c>
      <c r="M605" t="s">
        <v>261</v>
      </c>
      <c r="N605" s="7">
        <v>796468</v>
      </c>
      <c r="O605" t="s">
        <v>1991</v>
      </c>
      <c r="P605" t="s">
        <v>1992</v>
      </c>
      <c r="Q605" t="s">
        <v>283</v>
      </c>
      <c r="R605" t="s">
        <v>1062</v>
      </c>
      <c r="S605" t="s">
        <v>1801</v>
      </c>
      <c r="T605" t="s">
        <v>1601</v>
      </c>
      <c r="U605" t="s">
        <v>1802</v>
      </c>
      <c r="V605" s="8">
        <v>1250</v>
      </c>
      <c r="W605" s="7">
        <v>588115</v>
      </c>
      <c r="X605" t="s">
        <v>1803</v>
      </c>
      <c r="Y605" s="8">
        <v>0</v>
      </c>
      <c r="Z605" s="8">
        <v>1475</v>
      </c>
      <c r="AA605" s="8">
        <v>225</v>
      </c>
      <c r="AB605" s="7">
        <v>111582</v>
      </c>
      <c r="AC605" t="s">
        <v>1803</v>
      </c>
      <c r="AD605" s="8">
        <v>1250</v>
      </c>
      <c r="AG605" t="s">
        <v>817</v>
      </c>
      <c r="AH605" t="s">
        <v>802</v>
      </c>
      <c r="AI605" t="s">
        <v>818</v>
      </c>
    </row>
    <row r="606" spans="1:35" hidden="1">
      <c r="A606" s="7">
        <v>605</v>
      </c>
      <c r="B606" t="s">
        <v>243</v>
      </c>
      <c r="C606" t="s">
        <v>244</v>
      </c>
      <c r="D606" s="7">
        <v>7134</v>
      </c>
      <c r="E606" t="s">
        <v>245</v>
      </c>
      <c r="F606" t="s">
        <v>246</v>
      </c>
      <c r="G606" t="s">
        <v>248</v>
      </c>
      <c r="H606" t="s">
        <v>1830</v>
      </c>
      <c r="I606" s="7">
        <v>990</v>
      </c>
      <c r="J606" s="7">
        <v>10000</v>
      </c>
      <c r="K606" s="7">
        <v>1</v>
      </c>
      <c r="L606" t="s">
        <v>247</v>
      </c>
      <c r="M606" t="s">
        <v>261</v>
      </c>
      <c r="N606" s="7">
        <v>797124</v>
      </c>
      <c r="O606" t="s">
        <v>1924</v>
      </c>
      <c r="P606" t="s">
        <v>1925</v>
      </c>
      <c r="S606" t="s">
        <v>1801</v>
      </c>
      <c r="T606" t="s">
        <v>1601</v>
      </c>
      <c r="U606" t="s">
        <v>1802</v>
      </c>
      <c r="V606" s="8">
        <v>1250</v>
      </c>
      <c r="W606" s="7">
        <v>588115</v>
      </c>
      <c r="X606" t="s">
        <v>1803</v>
      </c>
      <c r="Y606" s="8">
        <v>1250</v>
      </c>
      <c r="Z606" s="8">
        <v>1475</v>
      </c>
      <c r="AA606" s="8">
        <v>225</v>
      </c>
      <c r="AB606" s="7">
        <v>111582</v>
      </c>
      <c r="AC606" t="s">
        <v>1803</v>
      </c>
      <c r="AD606" s="8">
        <v>0</v>
      </c>
      <c r="AG606" t="s">
        <v>817</v>
      </c>
      <c r="AH606" t="s">
        <v>802</v>
      </c>
      <c r="AI606" t="s">
        <v>818</v>
      </c>
    </row>
    <row r="607" spans="1:35" hidden="1">
      <c r="A607" s="7">
        <v>606</v>
      </c>
      <c r="B607" t="s">
        <v>243</v>
      </c>
      <c r="C607" t="s">
        <v>244</v>
      </c>
      <c r="D607" s="7">
        <v>7134</v>
      </c>
      <c r="E607" t="s">
        <v>245</v>
      </c>
      <c r="F607" t="s">
        <v>246</v>
      </c>
      <c r="G607" t="s">
        <v>1993</v>
      </c>
      <c r="H607" t="s">
        <v>607</v>
      </c>
      <c r="I607" s="7">
        <v>1165</v>
      </c>
      <c r="J607" s="7">
        <v>46732</v>
      </c>
      <c r="K607" s="7">
        <v>7</v>
      </c>
      <c r="L607" t="s">
        <v>247</v>
      </c>
      <c r="M607" t="s">
        <v>261</v>
      </c>
      <c r="N607" s="7">
        <v>764087</v>
      </c>
      <c r="O607" t="s">
        <v>1994</v>
      </c>
      <c r="P607" t="s">
        <v>1995</v>
      </c>
      <c r="S607" t="s">
        <v>1801</v>
      </c>
      <c r="T607" t="s">
        <v>1601</v>
      </c>
      <c r="U607" t="s">
        <v>1802</v>
      </c>
      <c r="V607" s="8">
        <v>0</v>
      </c>
      <c r="W607" s="7">
        <v>588115</v>
      </c>
      <c r="X607" t="s">
        <v>1803</v>
      </c>
      <c r="Y607" s="8">
        <v>0</v>
      </c>
      <c r="Z607" s="8">
        <v>0</v>
      </c>
      <c r="AA607" s="8">
        <v>0</v>
      </c>
      <c r="AB607" s="7">
        <v>111582</v>
      </c>
      <c r="AC607" t="s">
        <v>1803</v>
      </c>
      <c r="AD607" s="8">
        <v>0</v>
      </c>
      <c r="AG607" t="s">
        <v>801</v>
      </c>
      <c r="AH607" t="s">
        <v>802</v>
      </c>
      <c r="AI607" t="s">
        <v>803</v>
      </c>
    </row>
    <row r="608" spans="1:35" hidden="1">
      <c r="A608" s="7">
        <v>607</v>
      </c>
      <c r="B608" t="s">
        <v>243</v>
      </c>
      <c r="C608" t="s">
        <v>244</v>
      </c>
      <c r="D608" s="7">
        <v>7134</v>
      </c>
      <c r="E608" t="s">
        <v>245</v>
      </c>
      <c r="F608" t="s">
        <v>246</v>
      </c>
      <c r="G608" t="s">
        <v>1518</v>
      </c>
      <c r="H608" t="s">
        <v>1835</v>
      </c>
      <c r="I608" s="7">
        <v>1165</v>
      </c>
      <c r="J608" s="7">
        <v>80000</v>
      </c>
      <c r="K608" s="7">
        <v>8</v>
      </c>
      <c r="L608" t="s">
        <v>247</v>
      </c>
      <c r="M608" t="s">
        <v>261</v>
      </c>
      <c r="N608" s="7">
        <v>773203</v>
      </c>
      <c r="O608" t="s">
        <v>1519</v>
      </c>
      <c r="P608" t="s">
        <v>1520</v>
      </c>
      <c r="S608" t="s">
        <v>1801</v>
      </c>
      <c r="T608" t="s">
        <v>1601</v>
      </c>
      <c r="U608" t="s">
        <v>1802</v>
      </c>
      <c r="V608" s="8">
        <v>1250</v>
      </c>
      <c r="W608" s="7">
        <v>588115</v>
      </c>
      <c r="X608" t="s">
        <v>1803</v>
      </c>
      <c r="Y608" s="8">
        <v>1250</v>
      </c>
      <c r="Z608" s="8">
        <v>1475</v>
      </c>
      <c r="AA608" s="8">
        <v>225</v>
      </c>
      <c r="AB608" s="7">
        <v>111582</v>
      </c>
      <c r="AC608" t="s">
        <v>1803</v>
      </c>
      <c r="AD608" s="8">
        <v>0</v>
      </c>
      <c r="AG608" t="s">
        <v>801</v>
      </c>
      <c r="AH608" t="s">
        <v>802</v>
      </c>
      <c r="AI608" t="s">
        <v>818</v>
      </c>
    </row>
    <row r="609" spans="1:35" hidden="1">
      <c r="A609" s="7">
        <v>608</v>
      </c>
      <c r="B609" t="s">
        <v>243</v>
      </c>
      <c r="C609" t="s">
        <v>244</v>
      </c>
      <c r="D609" s="7">
        <v>7134</v>
      </c>
      <c r="E609" t="s">
        <v>245</v>
      </c>
      <c r="F609" t="s">
        <v>246</v>
      </c>
      <c r="G609" t="s">
        <v>1340</v>
      </c>
      <c r="H609" t="s">
        <v>594</v>
      </c>
      <c r="I609" s="7">
        <v>1165</v>
      </c>
      <c r="J609" s="7">
        <v>40000</v>
      </c>
      <c r="K609" s="7">
        <v>5</v>
      </c>
      <c r="L609" t="s">
        <v>247</v>
      </c>
      <c r="M609" t="s">
        <v>252</v>
      </c>
      <c r="N609" s="7">
        <v>322213</v>
      </c>
      <c r="O609" t="s">
        <v>1341</v>
      </c>
      <c r="P609" t="s">
        <v>1342</v>
      </c>
      <c r="S609" t="s">
        <v>1801</v>
      </c>
      <c r="T609" t="s">
        <v>1601</v>
      </c>
      <c r="U609" t="s">
        <v>1802</v>
      </c>
      <c r="V609" s="8">
        <v>1250</v>
      </c>
      <c r="W609" s="7">
        <v>588115</v>
      </c>
      <c r="X609" t="s">
        <v>1803</v>
      </c>
      <c r="Y609" s="8">
        <v>1250</v>
      </c>
      <c r="Z609" s="8">
        <v>1475</v>
      </c>
      <c r="AA609" s="8">
        <v>225</v>
      </c>
      <c r="AB609" s="7">
        <v>111582</v>
      </c>
      <c r="AC609" t="s">
        <v>1803</v>
      </c>
      <c r="AD609" s="8">
        <v>0</v>
      </c>
      <c r="AG609" t="s">
        <v>937</v>
      </c>
      <c r="AH609" t="s">
        <v>802</v>
      </c>
      <c r="AI609" t="s">
        <v>818</v>
      </c>
    </row>
    <row r="610" spans="1:35" hidden="1">
      <c r="A610" s="7">
        <v>609</v>
      </c>
      <c r="B610" t="s">
        <v>243</v>
      </c>
      <c r="C610" t="s">
        <v>244</v>
      </c>
      <c r="D610" s="7">
        <v>7134</v>
      </c>
      <c r="E610" t="s">
        <v>245</v>
      </c>
      <c r="F610" t="s">
        <v>246</v>
      </c>
      <c r="G610" t="s">
        <v>1137</v>
      </c>
      <c r="H610" t="s">
        <v>578</v>
      </c>
      <c r="I610" s="7">
        <v>1165</v>
      </c>
      <c r="J610" s="7">
        <v>70000</v>
      </c>
      <c r="K610" s="7">
        <v>7</v>
      </c>
      <c r="L610" t="s">
        <v>247</v>
      </c>
      <c r="M610" t="s">
        <v>252</v>
      </c>
      <c r="N610" s="7">
        <v>322564</v>
      </c>
      <c r="O610" t="s">
        <v>1138</v>
      </c>
      <c r="P610" t="s">
        <v>1139</v>
      </c>
      <c r="S610" t="s">
        <v>1801</v>
      </c>
      <c r="T610" t="s">
        <v>1601</v>
      </c>
      <c r="U610" t="s">
        <v>1802</v>
      </c>
      <c r="V610" s="8">
        <v>0</v>
      </c>
      <c r="W610" s="7">
        <v>588115</v>
      </c>
      <c r="X610" t="s">
        <v>1803</v>
      </c>
      <c r="Y610" s="8">
        <v>0</v>
      </c>
      <c r="Z610" s="8">
        <v>0</v>
      </c>
      <c r="AA610" s="8">
        <v>0</v>
      </c>
      <c r="AB610" s="7">
        <v>111582</v>
      </c>
      <c r="AC610" t="s">
        <v>1803</v>
      </c>
      <c r="AD610" s="8">
        <v>0</v>
      </c>
      <c r="AG610" t="s">
        <v>937</v>
      </c>
      <c r="AH610" t="s">
        <v>802</v>
      </c>
      <c r="AI610" t="s">
        <v>803</v>
      </c>
    </row>
    <row r="611" spans="1:35" hidden="1">
      <c r="A611" s="7">
        <v>610</v>
      </c>
      <c r="B611" t="s">
        <v>243</v>
      </c>
      <c r="C611" t="s">
        <v>244</v>
      </c>
      <c r="D611" s="7">
        <v>7134</v>
      </c>
      <c r="E611" t="s">
        <v>245</v>
      </c>
      <c r="F611" t="s">
        <v>246</v>
      </c>
      <c r="G611" t="s">
        <v>263</v>
      </c>
      <c r="H611" t="s">
        <v>594</v>
      </c>
      <c r="I611" s="7">
        <v>875</v>
      </c>
      <c r="J611" s="7">
        <v>10053</v>
      </c>
      <c r="K611" s="7">
        <v>1</v>
      </c>
      <c r="L611" t="s">
        <v>247</v>
      </c>
      <c r="M611" t="s">
        <v>261</v>
      </c>
      <c r="N611" s="7">
        <v>796599</v>
      </c>
      <c r="O611" t="s">
        <v>1900</v>
      </c>
      <c r="P611" t="s">
        <v>1901</v>
      </c>
      <c r="S611" t="s">
        <v>1801</v>
      </c>
      <c r="T611" t="s">
        <v>1601</v>
      </c>
      <c r="U611" t="s">
        <v>1802</v>
      </c>
      <c r="V611" s="8">
        <v>1250</v>
      </c>
      <c r="W611" s="7">
        <v>588115</v>
      </c>
      <c r="X611" t="s">
        <v>1803</v>
      </c>
      <c r="Y611" s="8">
        <v>1250</v>
      </c>
      <c r="Z611" s="8">
        <v>1475</v>
      </c>
      <c r="AA611" s="8">
        <v>225</v>
      </c>
      <c r="AB611" s="7">
        <v>111582</v>
      </c>
      <c r="AC611" t="s">
        <v>1803</v>
      </c>
      <c r="AD611" s="8">
        <v>0</v>
      </c>
      <c r="AG611" t="s">
        <v>817</v>
      </c>
      <c r="AH611" t="s">
        <v>802</v>
      </c>
      <c r="AI611" t="s">
        <v>818</v>
      </c>
    </row>
    <row r="612" spans="1:35" hidden="1">
      <c r="A612" s="7">
        <v>611</v>
      </c>
      <c r="B612" t="s">
        <v>243</v>
      </c>
      <c r="C612" t="s">
        <v>244</v>
      </c>
      <c r="D612" s="7">
        <v>7134</v>
      </c>
      <c r="E612" t="s">
        <v>245</v>
      </c>
      <c r="F612" t="s">
        <v>246</v>
      </c>
      <c r="G612" t="s">
        <v>846</v>
      </c>
      <c r="H612" t="s">
        <v>594</v>
      </c>
      <c r="I612" s="7">
        <v>1</v>
      </c>
      <c r="J612" s="7">
        <v>7784</v>
      </c>
      <c r="K612" s="7">
        <v>1</v>
      </c>
      <c r="L612" t="s">
        <v>247</v>
      </c>
      <c r="M612" t="s">
        <v>261</v>
      </c>
      <c r="N612" s="7">
        <v>785025</v>
      </c>
      <c r="O612" t="s">
        <v>421</v>
      </c>
      <c r="P612" t="s">
        <v>422</v>
      </c>
      <c r="Q612" t="s">
        <v>1902</v>
      </c>
      <c r="R612" t="s">
        <v>1903</v>
      </c>
      <c r="S612" t="s">
        <v>1801</v>
      </c>
      <c r="T612" t="s">
        <v>1601</v>
      </c>
      <c r="U612" t="s">
        <v>1802</v>
      </c>
      <c r="V612" s="8">
        <v>1250</v>
      </c>
      <c r="W612" s="7">
        <v>588115</v>
      </c>
      <c r="X612" t="s">
        <v>1803</v>
      </c>
      <c r="Y612" s="8">
        <v>0</v>
      </c>
      <c r="Z612" s="8">
        <v>1475</v>
      </c>
      <c r="AA612" s="8">
        <v>225</v>
      </c>
      <c r="AB612" s="7">
        <v>111582</v>
      </c>
      <c r="AC612" t="s">
        <v>1803</v>
      </c>
      <c r="AD612" s="8">
        <v>1250</v>
      </c>
      <c r="AG612" t="s">
        <v>801</v>
      </c>
      <c r="AH612" t="s">
        <v>802</v>
      </c>
      <c r="AI612" t="s">
        <v>818</v>
      </c>
    </row>
    <row r="613" spans="1:35" hidden="1">
      <c r="A613" s="7">
        <v>612</v>
      </c>
      <c r="B613" t="s">
        <v>243</v>
      </c>
      <c r="C613" t="s">
        <v>244</v>
      </c>
      <c r="D613" s="7">
        <v>7134</v>
      </c>
      <c r="E613" t="s">
        <v>245</v>
      </c>
      <c r="F613" t="s">
        <v>246</v>
      </c>
      <c r="G613" t="s">
        <v>1024</v>
      </c>
      <c r="H613" t="s">
        <v>1887</v>
      </c>
      <c r="I613" s="7">
        <v>979</v>
      </c>
      <c r="J613" s="7">
        <v>28600</v>
      </c>
      <c r="K613" s="7">
        <v>2</v>
      </c>
      <c r="L613" t="s">
        <v>247</v>
      </c>
      <c r="M613" t="s">
        <v>261</v>
      </c>
      <c r="N613" s="7">
        <v>782153</v>
      </c>
      <c r="O613" t="s">
        <v>1888</v>
      </c>
      <c r="P613" t="s">
        <v>1889</v>
      </c>
      <c r="S613" t="s">
        <v>1801</v>
      </c>
      <c r="T613" t="s">
        <v>1601</v>
      </c>
      <c r="U613" t="s">
        <v>1802</v>
      </c>
      <c r="V613" s="8">
        <v>1250</v>
      </c>
      <c r="W613" s="7">
        <v>588115</v>
      </c>
      <c r="X613" t="s">
        <v>1803</v>
      </c>
      <c r="Y613" s="8">
        <v>1250</v>
      </c>
      <c r="Z613" s="8">
        <v>1475</v>
      </c>
      <c r="AA613" s="8">
        <v>225</v>
      </c>
      <c r="AB613" s="7">
        <v>111582</v>
      </c>
      <c r="AC613" t="s">
        <v>1803</v>
      </c>
      <c r="AD613" s="8">
        <v>0</v>
      </c>
      <c r="AG613" t="s">
        <v>801</v>
      </c>
      <c r="AH613" t="s">
        <v>802</v>
      </c>
      <c r="AI613" t="s">
        <v>818</v>
      </c>
    </row>
    <row r="614" spans="1:35" hidden="1">
      <c r="A614" s="7">
        <v>613</v>
      </c>
      <c r="B614" t="s">
        <v>243</v>
      </c>
      <c r="C614" t="s">
        <v>244</v>
      </c>
      <c r="D614" s="7">
        <v>7134</v>
      </c>
      <c r="E614" t="s">
        <v>245</v>
      </c>
      <c r="F614" t="s">
        <v>246</v>
      </c>
      <c r="G614" t="s">
        <v>263</v>
      </c>
      <c r="H614" t="s">
        <v>602</v>
      </c>
      <c r="I614" s="7">
        <v>859</v>
      </c>
      <c r="J614" s="7">
        <v>9830</v>
      </c>
      <c r="K614" s="7">
        <v>1</v>
      </c>
      <c r="L614" t="s">
        <v>247</v>
      </c>
      <c r="M614" t="s">
        <v>261</v>
      </c>
      <c r="N614" s="7">
        <v>796174</v>
      </c>
      <c r="O614" t="s">
        <v>2005</v>
      </c>
      <c r="P614" t="s">
        <v>2006</v>
      </c>
      <c r="S614" t="s">
        <v>1801</v>
      </c>
      <c r="T614" t="s">
        <v>1601</v>
      </c>
      <c r="U614" t="s">
        <v>1802</v>
      </c>
      <c r="V614" s="8">
        <v>1250</v>
      </c>
      <c r="W614" s="7">
        <v>588115</v>
      </c>
      <c r="X614" t="s">
        <v>1803</v>
      </c>
      <c r="Y614" s="8">
        <v>1250</v>
      </c>
      <c r="Z614" s="8">
        <v>1475</v>
      </c>
      <c r="AA614" s="8">
        <v>225</v>
      </c>
      <c r="AB614" s="7">
        <v>111582</v>
      </c>
      <c r="AC614" t="s">
        <v>1803</v>
      </c>
      <c r="AD614" s="8">
        <v>0</v>
      </c>
      <c r="AG614" t="s">
        <v>817</v>
      </c>
      <c r="AH614" t="s">
        <v>802</v>
      </c>
      <c r="AI614" t="s">
        <v>818</v>
      </c>
    </row>
    <row r="615" spans="1:35" hidden="1">
      <c r="A615" s="7">
        <v>614</v>
      </c>
      <c r="B615" t="s">
        <v>243</v>
      </c>
      <c r="C615" t="s">
        <v>244</v>
      </c>
      <c r="D615" s="7">
        <v>7134</v>
      </c>
      <c r="E615" t="s">
        <v>245</v>
      </c>
      <c r="F615" t="s">
        <v>246</v>
      </c>
      <c r="G615" t="s">
        <v>263</v>
      </c>
      <c r="H615" t="s">
        <v>657</v>
      </c>
      <c r="I615" s="7">
        <v>883</v>
      </c>
      <c r="J615" s="7">
        <v>10090</v>
      </c>
      <c r="K615" s="7">
        <v>1</v>
      </c>
      <c r="L615" t="s">
        <v>247</v>
      </c>
      <c r="M615" t="s">
        <v>261</v>
      </c>
      <c r="N615" s="7">
        <v>796176</v>
      </c>
      <c r="O615" t="s">
        <v>2064</v>
      </c>
      <c r="P615" t="s">
        <v>2065</v>
      </c>
      <c r="S615" t="s">
        <v>1801</v>
      </c>
      <c r="T615" t="s">
        <v>1601</v>
      </c>
      <c r="U615" t="s">
        <v>1802</v>
      </c>
      <c r="V615" s="8">
        <v>1250</v>
      </c>
      <c r="W615" s="7">
        <v>588115</v>
      </c>
      <c r="X615" t="s">
        <v>1803</v>
      </c>
      <c r="Y615" s="8">
        <v>1250</v>
      </c>
      <c r="Z615" s="8">
        <v>1475</v>
      </c>
      <c r="AA615" s="8">
        <v>225</v>
      </c>
      <c r="AB615" s="7">
        <v>111582</v>
      </c>
      <c r="AC615" t="s">
        <v>1803</v>
      </c>
      <c r="AD615" s="8">
        <v>0</v>
      </c>
      <c r="AG615" t="s">
        <v>817</v>
      </c>
      <c r="AH615" t="s">
        <v>802</v>
      </c>
      <c r="AI615" t="s">
        <v>818</v>
      </c>
    </row>
    <row r="616" spans="1:35" hidden="1">
      <c r="A616" s="7">
        <v>615</v>
      </c>
      <c r="B616" t="s">
        <v>243</v>
      </c>
      <c r="C616" t="s">
        <v>244</v>
      </c>
      <c r="D616" s="7">
        <v>7134</v>
      </c>
      <c r="E616" t="s">
        <v>245</v>
      </c>
      <c r="F616" t="s">
        <v>246</v>
      </c>
      <c r="G616" t="s">
        <v>284</v>
      </c>
      <c r="H616" t="s">
        <v>633</v>
      </c>
      <c r="I616" s="7">
        <v>1165</v>
      </c>
      <c r="J616" s="7">
        <v>2877</v>
      </c>
      <c r="K616" s="7">
        <v>1</v>
      </c>
      <c r="L616" t="s">
        <v>247</v>
      </c>
      <c r="M616" t="s">
        <v>252</v>
      </c>
      <c r="N616" s="7">
        <v>327879</v>
      </c>
      <c r="O616" t="s">
        <v>349</v>
      </c>
      <c r="P616" t="s">
        <v>350</v>
      </c>
      <c r="S616" t="s">
        <v>1801</v>
      </c>
      <c r="T616" t="s">
        <v>1601</v>
      </c>
      <c r="U616" t="s">
        <v>1802</v>
      </c>
      <c r="V616" s="8">
        <v>1250</v>
      </c>
      <c r="W616" s="7">
        <v>588115</v>
      </c>
      <c r="X616" t="s">
        <v>1803</v>
      </c>
      <c r="Y616" s="8">
        <v>1250</v>
      </c>
      <c r="Z616" s="8">
        <v>1475</v>
      </c>
      <c r="AA616" s="8">
        <v>225</v>
      </c>
      <c r="AB616" s="7">
        <v>111582</v>
      </c>
      <c r="AC616" t="s">
        <v>1803</v>
      </c>
      <c r="AD616" s="8">
        <v>0</v>
      </c>
      <c r="AG616" t="s">
        <v>937</v>
      </c>
      <c r="AH616" t="s">
        <v>802</v>
      </c>
      <c r="AI616" t="s">
        <v>818</v>
      </c>
    </row>
    <row r="617" spans="1:35" hidden="1">
      <c r="A617" s="7">
        <v>616</v>
      </c>
      <c r="B617" t="s">
        <v>243</v>
      </c>
      <c r="C617" t="s">
        <v>244</v>
      </c>
      <c r="D617" s="7">
        <v>7134</v>
      </c>
      <c r="E617" t="s">
        <v>245</v>
      </c>
      <c r="F617" t="s">
        <v>246</v>
      </c>
      <c r="G617" t="s">
        <v>263</v>
      </c>
      <c r="H617" t="s">
        <v>594</v>
      </c>
      <c r="I617" s="7">
        <v>870</v>
      </c>
      <c r="J617" s="7">
        <v>10228</v>
      </c>
      <c r="K617" s="7">
        <v>1</v>
      </c>
      <c r="L617" t="s">
        <v>247</v>
      </c>
      <c r="M617" t="s">
        <v>261</v>
      </c>
      <c r="N617" s="7">
        <v>797774</v>
      </c>
      <c r="O617" t="s">
        <v>1941</v>
      </c>
      <c r="P617" t="s">
        <v>1942</v>
      </c>
      <c r="S617" t="s">
        <v>1801</v>
      </c>
      <c r="T617" t="s">
        <v>1601</v>
      </c>
      <c r="U617" t="s">
        <v>1802</v>
      </c>
      <c r="V617" s="8">
        <v>1250</v>
      </c>
      <c r="W617" s="7">
        <v>588115</v>
      </c>
      <c r="X617" t="s">
        <v>1803</v>
      </c>
      <c r="Y617" s="8">
        <v>1250</v>
      </c>
      <c r="Z617" s="8">
        <v>1475</v>
      </c>
      <c r="AA617" s="8">
        <v>225</v>
      </c>
      <c r="AB617" s="7">
        <v>111582</v>
      </c>
      <c r="AC617" t="s">
        <v>1803</v>
      </c>
      <c r="AD617" s="8">
        <v>0</v>
      </c>
      <c r="AG617" t="s">
        <v>817</v>
      </c>
      <c r="AH617" t="s">
        <v>802</v>
      </c>
      <c r="AI617" t="s">
        <v>818</v>
      </c>
    </row>
    <row r="618" spans="1:35" hidden="1">
      <c r="A618" s="7">
        <v>617</v>
      </c>
      <c r="B618" t="s">
        <v>243</v>
      </c>
      <c r="C618" t="s">
        <v>244</v>
      </c>
      <c r="D618" s="7">
        <v>7134</v>
      </c>
      <c r="E618" t="s">
        <v>245</v>
      </c>
      <c r="F618" t="s">
        <v>246</v>
      </c>
      <c r="G618" t="s">
        <v>363</v>
      </c>
      <c r="H618" t="s">
        <v>594</v>
      </c>
      <c r="I618" s="7">
        <v>876</v>
      </c>
      <c r="J618" s="7">
        <v>9622</v>
      </c>
      <c r="K618" s="7">
        <v>1</v>
      </c>
      <c r="L618" t="s">
        <v>247</v>
      </c>
      <c r="M618" t="s">
        <v>261</v>
      </c>
      <c r="N618" s="7">
        <v>797335</v>
      </c>
      <c r="O618" t="s">
        <v>1843</v>
      </c>
      <c r="P618" t="s">
        <v>1844</v>
      </c>
      <c r="S618" t="s">
        <v>1801</v>
      </c>
      <c r="T618" t="s">
        <v>1601</v>
      </c>
      <c r="U618" t="s">
        <v>1802</v>
      </c>
      <c r="V618" s="8">
        <v>1250</v>
      </c>
      <c r="W618" s="7">
        <v>588115</v>
      </c>
      <c r="X618" t="s">
        <v>1803</v>
      </c>
      <c r="Y618" s="8">
        <v>1250</v>
      </c>
      <c r="Z618" s="8">
        <v>1475</v>
      </c>
      <c r="AA618" s="8">
        <v>225</v>
      </c>
      <c r="AB618" s="7">
        <v>111582</v>
      </c>
      <c r="AC618" t="s">
        <v>1803</v>
      </c>
      <c r="AD618" s="8">
        <v>0</v>
      </c>
      <c r="AG618" t="s">
        <v>817</v>
      </c>
      <c r="AH618" t="s">
        <v>802</v>
      </c>
      <c r="AI618" t="s">
        <v>818</v>
      </c>
    </row>
    <row r="619" spans="1:35" hidden="1">
      <c r="A619" s="7">
        <v>618</v>
      </c>
      <c r="B619" t="s">
        <v>243</v>
      </c>
      <c r="C619" t="s">
        <v>244</v>
      </c>
      <c r="D619" s="7">
        <v>7134</v>
      </c>
      <c r="E619" t="s">
        <v>245</v>
      </c>
      <c r="F619" t="s">
        <v>246</v>
      </c>
      <c r="G619" t="s">
        <v>1862</v>
      </c>
      <c r="H619" t="s">
        <v>633</v>
      </c>
      <c r="I619" s="7">
        <v>1165</v>
      </c>
      <c r="J619" s="7">
        <v>9000</v>
      </c>
      <c r="K619" s="7">
        <v>1</v>
      </c>
      <c r="L619" t="s">
        <v>247</v>
      </c>
      <c r="M619" t="s">
        <v>261</v>
      </c>
      <c r="N619" s="7">
        <v>781694</v>
      </c>
      <c r="O619" t="s">
        <v>1863</v>
      </c>
      <c r="P619" t="s">
        <v>1864</v>
      </c>
      <c r="S619" t="s">
        <v>1801</v>
      </c>
      <c r="T619" t="s">
        <v>1601</v>
      </c>
      <c r="U619" t="s">
        <v>1802</v>
      </c>
      <c r="V619" s="8">
        <v>1250</v>
      </c>
      <c r="W619" s="7">
        <v>588115</v>
      </c>
      <c r="X619" t="s">
        <v>1803</v>
      </c>
      <c r="Y619" s="8">
        <v>1250</v>
      </c>
      <c r="Z619" s="8">
        <v>1475</v>
      </c>
      <c r="AA619" s="8">
        <v>225</v>
      </c>
      <c r="AB619" s="7">
        <v>111582</v>
      </c>
      <c r="AC619" t="s">
        <v>1803</v>
      </c>
      <c r="AD619" s="8">
        <v>0</v>
      </c>
      <c r="AG619" t="s">
        <v>817</v>
      </c>
      <c r="AH619" t="s">
        <v>802</v>
      </c>
      <c r="AI619" t="s">
        <v>818</v>
      </c>
    </row>
    <row r="620" spans="1:35" hidden="1">
      <c r="A620" s="7">
        <v>619</v>
      </c>
      <c r="B620" t="s">
        <v>243</v>
      </c>
      <c r="C620" t="s">
        <v>244</v>
      </c>
      <c r="D620" s="7">
        <v>7134</v>
      </c>
      <c r="E620" t="s">
        <v>245</v>
      </c>
      <c r="F620" t="s">
        <v>246</v>
      </c>
      <c r="G620" t="s">
        <v>278</v>
      </c>
      <c r="H620" t="s">
        <v>1827</v>
      </c>
      <c r="I620" s="7">
        <v>1165</v>
      </c>
      <c r="J620" s="7">
        <v>5800</v>
      </c>
      <c r="K620" s="7">
        <v>1</v>
      </c>
      <c r="L620" t="s">
        <v>247</v>
      </c>
      <c r="M620" t="s">
        <v>252</v>
      </c>
      <c r="N620" s="7">
        <v>328035</v>
      </c>
      <c r="O620" t="s">
        <v>2009</v>
      </c>
      <c r="P620" t="s">
        <v>2010</v>
      </c>
      <c r="S620" t="s">
        <v>1801</v>
      </c>
      <c r="T620" t="s">
        <v>1601</v>
      </c>
      <c r="U620" t="s">
        <v>1802</v>
      </c>
      <c r="V620" s="8">
        <v>1250</v>
      </c>
      <c r="W620" s="7">
        <v>588115</v>
      </c>
      <c r="X620" t="s">
        <v>1803</v>
      </c>
      <c r="Y620" s="8">
        <v>1250</v>
      </c>
      <c r="Z620" s="8">
        <v>1475</v>
      </c>
      <c r="AA620" s="8">
        <v>225</v>
      </c>
      <c r="AB620" s="7">
        <v>111582</v>
      </c>
      <c r="AC620" t="s">
        <v>1803</v>
      </c>
      <c r="AD620" s="8">
        <v>0</v>
      </c>
      <c r="AG620" t="s">
        <v>937</v>
      </c>
      <c r="AH620" t="s">
        <v>802</v>
      </c>
      <c r="AI620" t="s">
        <v>818</v>
      </c>
    </row>
    <row r="621" spans="1:35" hidden="1">
      <c r="A621" s="7">
        <v>620</v>
      </c>
      <c r="B621" t="s">
        <v>243</v>
      </c>
      <c r="C621" t="s">
        <v>244</v>
      </c>
      <c r="D621" s="7">
        <v>7134</v>
      </c>
      <c r="E621" t="s">
        <v>245</v>
      </c>
      <c r="F621" t="s">
        <v>246</v>
      </c>
      <c r="G621" t="s">
        <v>363</v>
      </c>
      <c r="H621" t="s">
        <v>649</v>
      </c>
      <c r="I621" s="7">
        <v>887</v>
      </c>
      <c r="J621" s="7">
        <v>11674</v>
      </c>
      <c r="K621" s="7">
        <v>1</v>
      </c>
      <c r="L621" t="s">
        <v>247</v>
      </c>
      <c r="M621" t="s">
        <v>261</v>
      </c>
      <c r="N621" s="7">
        <v>797100</v>
      </c>
      <c r="O621" t="s">
        <v>2013</v>
      </c>
      <c r="P621" t="s">
        <v>2014</v>
      </c>
      <c r="Q621" t="s">
        <v>908</v>
      </c>
      <c r="R621" t="s">
        <v>909</v>
      </c>
      <c r="S621" t="s">
        <v>1801</v>
      </c>
      <c r="T621" t="s">
        <v>1601</v>
      </c>
      <c r="U621" t="s">
        <v>1802</v>
      </c>
      <c r="V621" s="8">
        <v>1250</v>
      </c>
      <c r="W621" s="7">
        <v>588115</v>
      </c>
      <c r="X621" t="s">
        <v>1803</v>
      </c>
      <c r="Y621" s="8">
        <v>1000</v>
      </c>
      <c r="Z621" s="8">
        <v>1475</v>
      </c>
      <c r="AA621" s="8">
        <v>225</v>
      </c>
      <c r="AB621" s="7">
        <v>111582</v>
      </c>
      <c r="AC621" t="s">
        <v>1803</v>
      </c>
      <c r="AD621" s="8">
        <v>250</v>
      </c>
      <c r="AG621" t="s">
        <v>817</v>
      </c>
      <c r="AH621" t="s">
        <v>802</v>
      </c>
      <c r="AI621" t="s">
        <v>818</v>
      </c>
    </row>
    <row r="622" spans="1:35" hidden="1">
      <c r="A622" s="7">
        <v>621</v>
      </c>
      <c r="B622" t="s">
        <v>243</v>
      </c>
      <c r="C622" t="s">
        <v>244</v>
      </c>
      <c r="D622" s="7">
        <v>7134</v>
      </c>
      <c r="E622" t="s">
        <v>245</v>
      </c>
      <c r="F622" t="s">
        <v>246</v>
      </c>
      <c r="G622" t="s">
        <v>248</v>
      </c>
      <c r="H622" t="s">
        <v>1830</v>
      </c>
      <c r="I622" s="7">
        <v>970</v>
      </c>
      <c r="J622" s="7">
        <v>9642</v>
      </c>
      <c r="K622" s="7">
        <v>1</v>
      </c>
      <c r="L622" t="s">
        <v>247</v>
      </c>
      <c r="M622" t="s">
        <v>261</v>
      </c>
      <c r="N622" s="7">
        <v>797891</v>
      </c>
      <c r="O622" t="s">
        <v>2011</v>
      </c>
      <c r="P622" t="s">
        <v>2012</v>
      </c>
      <c r="S622" t="s">
        <v>1801</v>
      </c>
      <c r="T622" t="s">
        <v>1601</v>
      </c>
      <c r="U622" t="s">
        <v>1802</v>
      </c>
      <c r="V622" s="8">
        <v>1250</v>
      </c>
      <c r="W622" s="7">
        <v>588115</v>
      </c>
      <c r="X622" t="s">
        <v>1803</v>
      </c>
      <c r="Y622" s="8">
        <v>1250</v>
      </c>
      <c r="Z622" s="8">
        <v>1475</v>
      </c>
      <c r="AA622" s="8">
        <v>225</v>
      </c>
      <c r="AB622" s="7">
        <v>111582</v>
      </c>
      <c r="AC622" t="s">
        <v>1803</v>
      </c>
      <c r="AD622" s="8">
        <v>0</v>
      </c>
      <c r="AG622" t="s">
        <v>817</v>
      </c>
      <c r="AH622" t="s">
        <v>802</v>
      </c>
      <c r="AI622" t="s">
        <v>818</v>
      </c>
    </row>
    <row r="623" spans="1:35" hidden="1">
      <c r="A623" s="7">
        <v>622</v>
      </c>
      <c r="B623" t="s">
        <v>243</v>
      </c>
      <c r="C623" t="s">
        <v>244</v>
      </c>
      <c r="D623" s="7">
        <v>7134</v>
      </c>
      <c r="E623" t="s">
        <v>245</v>
      </c>
      <c r="F623" t="s">
        <v>246</v>
      </c>
      <c r="G623" t="s">
        <v>819</v>
      </c>
      <c r="H623" t="s">
        <v>1855</v>
      </c>
      <c r="I623" s="7">
        <v>1165</v>
      </c>
      <c r="J623" s="7">
        <v>52951</v>
      </c>
      <c r="K623" s="7">
        <v>8</v>
      </c>
      <c r="L623" t="s">
        <v>247</v>
      </c>
      <c r="M623" t="s">
        <v>261</v>
      </c>
      <c r="N623" s="7">
        <v>764717</v>
      </c>
      <c r="O623" t="s">
        <v>856</v>
      </c>
      <c r="P623" t="s">
        <v>857</v>
      </c>
      <c r="S623" t="s">
        <v>1801</v>
      </c>
      <c r="T623" t="s">
        <v>1601</v>
      </c>
      <c r="U623" t="s">
        <v>1802</v>
      </c>
      <c r="V623" s="8">
        <v>1250</v>
      </c>
      <c r="W623" s="7">
        <v>588115</v>
      </c>
      <c r="X623" t="s">
        <v>1803</v>
      </c>
      <c r="Y623" s="8">
        <v>1250</v>
      </c>
      <c r="Z623" s="8">
        <v>1475</v>
      </c>
      <c r="AA623" s="8">
        <v>225</v>
      </c>
      <c r="AB623" s="7">
        <v>111582</v>
      </c>
      <c r="AC623" t="s">
        <v>1803</v>
      </c>
      <c r="AD623" s="8">
        <v>0</v>
      </c>
      <c r="AG623" t="s">
        <v>801</v>
      </c>
      <c r="AH623" t="s">
        <v>802</v>
      </c>
      <c r="AI623" t="s">
        <v>818</v>
      </c>
    </row>
    <row r="624" spans="1:35" hidden="1">
      <c r="A624" s="7">
        <v>623</v>
      </c>
      <c r="B624" t="s">
        <v>243</v>
      </c>
      <c r="C624" t="s">
        <v>244</v>
      </c>
      <c r="D624" s="7">
        <v>7134</v>
      </c>
      <c r="E624" t="s">
        <v>245</v>
      </c>
      <c r="F624" t="s">
        <v>246</v>
      </c>
      <c r="G624" t="s">
        <v>248</v>
      </c>
      <c r="H624" t="s">
        <v>649</v>
      </c>
      <c r="I624" s="7">
        <v>901</v>
      </c>
      <c r="J624" s="7">
        <v>10673</v>
      </c>
      <c r="K624" s="7">
        <v>1</v>
      </c>
      <c r="L624" t="s">
        <v>247</v>
      </c>
      <c r="M624" t="s">
        <v>261</v>
      </c>
      <c r="N624" s="7">
        <v>798191</v>
      </c>
      <c r="O624" t="s">
        <v>2032</v>
      </c>
      <c r="P624" t="s">
        <v>2033</v>
      </c>
      <c r="S624" t="s">
        <v>1801</v>
      </c>
      <c r="T624" t="s">
        <v>1601</v>
      </c>
      <c r="U624" t="s">
        <v>1802</v>
      </c>
      <c r="V624" s="8">
        <v>1250</v>
      </c>
      <c r="W624" s="7">
        <v>588115</v>
      </c>
      <c r="X624" t="s">
        <v>1803</v>
      </c>
      <c r="Y624" s="8">
        <v>1250</v>
      </c>
      <c r="Z624" s="8">
        <v>1475</v>
      </c>
      <c r="AA624" s="8">
        <v>225</v>
      </c>
      <c r="AB624" s="7">
        <v>111582</v>
      </c>
      <c r="AC624" t="s">
        <v>1803</v>
      </c>
      <c r="AD624" s="8">
        <v>0</v>
      </c>
      <c r="AG624" t="s">
        <v>817</v>
      </c>
      <c r="AH624" t="s">
        <v>802</v>
      </c>
      <c r="AI624" t="s">
        <v>818</v>
      </c>
    </row>
    <row r="625" spans="1:35" hidden="1">
      <c r="A625" s="7">
        <v>624</v>
      </c>
      <c r="B625" t="s">
        <v>243</v>
      </c>
      <c r="C625" t="s">
        <v>244</v>
      </c>
      <c r="D625" s="7">
        <v>7134</v>
      </c>
      <c r="E625" t="s">
        <v>245</v>
      </c>
      <c r="F625" t="s">
        <v>246</v>
      </c>
      <c r="G625" t="s">
        <v>248</v>
      </c>
      <c r="H625" t="s">
        <v>657</v>
      </c>
      <c r="I625" s="7">
        <v>920</v>
      </c>
      <c r="J625" s="7">
        <v>9526</v>
      </c>
      <c r="K625" s="7">
        <v>1</v>
      </c>
      <c r="L625" t="s">
        <v>247</v>
      </c>
      <c r="M625" t="s">
        <v>261</v>
      </c>
      <c r="N625" s="7">
        <v>797967</v>
      </c>
      <c r="O625" t="s">
        <v>2034</v>
      </c>
      <c r="P625" t="s">
        <v>2035</v>
      </c>
      <c r="S625" t="s">
        <v>1801</v>
      </c>
      <c r="T625" t="s">
        <v>1601</v>
      </c>
      <c r="U625" t="s">
        <v>1802</v>
      </c>
      <c r="V625" s="8">
        <v>1250</v>
      </c>
      <c r="W625" s="7">
        <v>588115</v>
      </c>
      <c r="X625" t="s">
        <v>1803</v>
      </c>
      <c r="Y625" s="8">
        <v>1250</v>
      </c>
      <c r="Z625" s="8">
        <v>1475</v>
      </c>
      <c r="AA625" s="8">
        <v>225</v>
      </c>
      <c r="AB625" s="7">
        <v>111582</v>
      </c>
      <c r="AC625" t="s">
        <v>1803</v>
      </c>
      <c r="AD625" s="8">
        <v>0</v>
      </c>
      <c r="AG625" t="s">
        <v>817</v>
      </c>
      <c r="AH625" t="s">
        <v>802</v>
      </c>
      <c r="AI625" t="s">
        <v>818</v>
      </c>
    </row>
    <row r="626" spans="1:35" hidden="1">
      <c r="A626" s="7">
        <v>625</v>
      </c>
      <c r="B626" t="s">
        <v>243</v>
      </c>
      <c r="C626" t="s">
        <v>244</v>
      </c>
      <c r="D626" s="7">
        <v>7134</v>
      </c>
      <c r="E626" t="s">
        <v>245</v>
      </c>
      <c r="F626" t="s">
        <v>246</v>
      </c>
      <c r="G626" t="s">
        <v>843</v>
      </c>
      <c r="H626" t="s">
        <v>598</v>
      </c>
      <c r="I626" s="7">
        <v>1165</v>
      </c>
      <c r="J626" s="7">
        <v>9216</v>
      </c>
      <c r="K626" s="7">
        <v>1</v>
      </c>
      <c r="L626" t="s">
        <v>247</v>
      </c>
      <c r="M626" t="s">
        <v>261</v>
      </c>
      <c r="N626" s="7">
        <v>798339</v>
      </c>
      <c r="O626" t="s">
        <v>1909</v>
      </c>
      <c r="P626" t="s">
        <v>1910</v>
      </c>
      <c r="S626" t="s">
        <v>1801</v>
      </c>
      <c r="T626" t="s">
        <v>1601</v>
      </c>
      <c r="U626" t="s">
        <v>1802</v>
      </c>
      <c r="V626" s="8">
        <v>1250</v>
      </c>
      <c r="W626" s="7">
        <v>588115</v>
      </c>
      <c r="X626" t="s">
        <v>1803</v>
      </c>
      <c r="Y626" s="8">
        <v>1250</v>
      </c>
      <c r="Z626" s="8">
        <v>1475</v>
      </c>
      <c r="AA626" s="8">
        <v>225</v>
      </c>
      <c r="AB626" s="7">
        <v>111582</v>
      </c>
      <c r="AC626" t="s">
        <v>1803</v>
      </c>
      <c r="AD626" s="8">
        <v>0</v>
      </c>
      <c r="AG626" t="s">
        <v>817</v>
      </c>
      <c r="AH626" t="s">
        <v>802</v>
      </c>
      <c r="AI626" t="s">
        <v>818</v>
      </c>
    </row>
    <row r="627" spans="1:35" hidden="1">
      <c r="A627" s="7">
        <v>626</v>
      </c>
      <c r="B627" t="s">
        <v>243</v>
      </c>
      <c r="C627" t="s">
        <v>244</v>
      </c>
      <c r="D627" s="7">
        <v>7134</v>
      </c>
      <c r="E627" t="s">
        <v>245</v>
      </c>
      <c r="F627" t="s">
        <v>246</v>
      </c>
      <c r="G627" t="s">
        <v>1431</v>
      </c>
      <c r="H627" t="s">
        <v>1808</v>
      </c>
      <c r="I627" s="7">
        <v>965</v>
      </c>
      <c r="J627" s="7">
        <v>40143</v>
      </c>
      <c r="K627" s="7">
        <v>6</v>
      </c>
      <c r="L627" t="s">
        <v>247</v>
      </c>
      <c r="M627" t="s">
        <v>261</v>
      </c>
      <c r="N627" s="7">
        <v>775258</v>
      </c>
      <c r="O627" t="s">
        <v>1432</v>
      </c>
      <c r="P627" t="s">
        <v>1433</v>
      </c>
      <c r="S627" t="s">
        <v>1801</v>
      </c>
      <c r="T627" t="s">
        <v>1601</v>
      </c>
      <c r="U627" t="s">
        <v>1802</v>
      </c>
      <c r="V627" s="8">
        <v>0</v>
      </c>
      <c r="W627" s="7">
        <v>588115</v>
      </c>
      <c r="X627" t="s">
        <v>1803</v>
      </c>
      <c r="Y627" s="8">
        <v>0</v>
      </c>
      <c r="Z627" s="8">
        <v>0</v>
      </c>
      <c r="AA627" s="8">
        <v>0</v>
      </c>
      <c r="AB627" s="7">
        <v>111582</v>
      </c>
      <c r="AC627" t="s">
        <v>1803</v>
      </c>
      <c r="AD627" s="8">
        <v>0</v>
      </c>
      <c r="AG627" t="s">
        <v>801</v>
      </c>
      <c r="AH627" t="s">
        <v>802</v>
      </c>
      <c r="AI627" t="s">
        <v>803</v>
      </c>
    </row>
    <row r="628" spans="1:35" hidden="1">
      <c r="A628" s="7">
        <v>627</v>
      </c>
      <c r="B628" t="s">
        <v>243</v>
      </c>
      <c r="C628" t="s">
        <v>244</v>
      </c>
      <c r="D628" s="7">
        <v>7134</v>
      </c>
      <c r="E628" t="s">
        <v>245</v>
      </c>
      <c r="F628" t="s">
        <v>246</v>
      </c>
      <c r="G628" t="s">
        <v>278</v>
      </c>
      <c r="H628" t="s">
        <v>612</v>
      </c>
      <c r="I628" s="7">
        <v>1150</v>
      </c>
      <c r="J628" s="7">
        <v>3391</v>
      </c>
      <c r="K628" s="7">
        <v>1</v>
      </c>
      <c r="L628" t="s">
        <v>247</v>
      </c>
      <c r="M628" t="s">
        <v>261</v>
      </c>
      <c r="N628" s="7">
        <v>778127</v>
      </c>
      <c r="O628" t="s">
        <v>1945</v>
      </c>
      <c r="P628" t="s">
        <v>1946</v>
      </c>
      <c r="S628" t="s">
        <v>1801</v>
      </c>
      <c r="T628" t="s">
        <v>1601</v>
      </c>
      <c r="U628" t="s">
        <v>1802</v>
      </c>
      <c r="V628" s="8">
        <v>1250</v>
      </c>
      <c r="W628" s="7">
        <v>588115</v>
      </c>
      <c r="X628" t="s">
        <v>1803</v>
      </c>
      <c r="Y628" s="8">
        <v>1250</v>
      </c>
      <c r="Z628" s="8">
        <v>1475</v>
      </c>
      <c r="AA628" s="8">
        <v>225</v>
      </c>
      <c r="AB628" s="7">
        <v>111582</v>
      </c>
      <c r="AC628" t="s">
        <v>1803</v>
      </c>
      <c r="AD628" s="8">
        <v>0</v>
      </c>
      <c r="AG628" t="s">
        <v>808</v>
      </c>
      <c r="AH628" t="s">
        <v>802</v>
      </c>
      <c r="AI628" t="s">
        <v>818</v>
      </c>
    </row>
    <row r="629" spans="1:35" hidden="1">
      <c r="A629" s="7">
        <v>628</v>
      </c>
      <c r="B629" t="s">
        <v>243</v>
      </c>
      <c r="C629" t="s">
        <v>244</v>
      </c>
      <c r="D629" s="7">
        <v>7134</v>
      </c>
      <c r="E629" t="s">
        <v>245</v>
      </c>
      <c r="F629" t="s">
        <v>246</v>
      </c>
      <c r="G629" t="s">
        <v>1270</v>
      </c>
      <c r="H629" t="s">
        <v>1798</v>
      </c>
      <c r="I629" s="7">
        <v>1165</v>
      </c>
      <c r="J629" s="7">
        <v>32209</v>
      </c>
      <c r="K629" s="7">
        <v>5</v>
      </c>
      <c r="L629" t="s">
        <v>247</v>
      </c>
      <c r="M629" t="s">
        <v>267</v>
      </c>
      <c r="N629" s="7">
        <v>777456</v>
      </c>
      <c r="O629" t="s">
        <v>1799</v>
      </c>
      <c r="P629" t="s">
        <v>1800</v>
      </c>
      <c r="S629" t="s">
        <v>1801</v>
      </c>
      <c r="T629" t="s">
        <v>1601</v>
      </c>
      <c r="U629" t="s">
        <v>1802</v>
      </c>
      <c r="V629" s="8">
        <v>1250</v>
      </c>
      <c r="W629" s="7">
        <v>588115</v>
      </c>
      <c r="X629" t="s">
        <v>1803</v>
      </c>
      <c r="Y629" s="8">
        <v>1250</v>
      </c>
      <c r="Z629" s="8">
        <v>1475</v>
      </c>
      <c r="AA629" s="8">
        <v>225</v>
      </c>
      <c r="AB629" s="7">
        <v>111582</v>
      </c>
      <c r="AC629" t="s">
        <v>1803</v>
      </c>
      <c r="AD629" s="8">
        <v>0</v>
      </c>
      <c r="AG629" t="s">
        <v>828</v>
      </c>
      <c r="AH629" t="s">
        <v>802</v>
      </c>
      <c r="AI629" t="s">
        <v>818</v>
      </c>
    </row>
    <row r="630" spans="1:35" hidden="1">
      <c r="A630" s="7">
        <v>629</v>
      </c>
      <c r="B630" t="s">
        <v>243</v>
      </c>
      <c r="C630" t="s">
        <v>244</v>
      </c>
      <c r="D630" s="7">
        <v>7134</v>
      </c>
      <c r="E630" t="s">
        <v>245</v>
      </c>
      <c r="F630" t="s">
        <v>246</v>
      </c>
      <c r="G630" t="s">
        <v>1075</v>
      </c>
      <c r="H630" t="s">
        <v>1830</v>
      </c>
      <c r="I630" s="7">
        <v>1165</v>
      </c>
      <c r="J630" s="7">
        <v>60141</v>
      </c>
      <c r="K630" s="7">
        <v>13</v>
      </c>
      <c r="L630" t="s">
        <v>247</v>
      </c>
      <c r="M630" t="s">
        <v>261</v>
      </c>
      <c r="N630" s="7">
        <v>743562</v>
      </c>
      <c r="O630" t="s">
        <v>1977</v>
      </c>
      <c r="P630" t="s">
        <v>1978</v>
      </c>
      <c r="Q630" t="s">
        <v>870</v>
      </c>
      <c r="R630" t="s">
        <v>871</v>
      </c>
      <c r="S630" t="s">
        <v>1801</v>
      </c>
      <c r="T630" t="s">
        <v>1601</v>
      </c>
      <c r="U630" t="s">
        <v>1802</v>
      </c>
      <c r="V630" s="8">
        <v>0</v>
      </c>
      <c r="W630" s="7">
        <v>588115</v>
      </c>
      <c r="X630" t="s">
        <v>1803</v>
      </c>
      <c r="Y630" s="8">
        <v>0</v>
      </c>
      <c r="Z630" s="8">
        <v>0</v>
      </c>
      <c r="AA630" s="8">
        <v>0</v>
      </c>
      <c r="AB630" s="7">
        <v>111582</v>
      </c>
      <c r="AC630" t="s">
        <v>1803</v>
      </c>
      <c r="AD630" s="8">
        <v>0</v>
      </c>
      <c r="AG630" t="s">
        <v>801</v>
      </c>
      <c r="AH630" t="s">
        <v>802</v>
      </c>
      <c r="AI630" t="s">
        <v>803</v>
      </c>
    </row>
    <row r="631" spans="1:35" hidden="1">
      <c r="A631" s="7">
        <v>630</v>
      </c>
      <c r="B631" t="s">
        <v>243</v>
      </c>
      <c r="C631" t="s">
        <v>244</v>
      </c>
      <c r="D631" s="7">
        <v>7134</v>
      </c>
      <c r="E631" t="s">
        <v>245</v>
      </c>
      <c r="F631" t="s">
        <v>246</v>
      </c>
      <c r="G631" t="s">
        <v>1457</v>
      </c>
      <c r="H631" t="s">
        <v>602</v>
      </c>
      <c r="I631" s="7">
        <v>872</v>
      </c>
      <c r="J631" s="7">
        <v>10202</v>
      </c>
      <c r="K631" s="7">
        <v>1</v>
      </c>
      <c r="L631" t="s">
        <v>247</v>
      </c>
      <c r="M631" t="s">
        <v>261</v>
      </c>
      <c r="N631" s="7">
        <v>796466</v>
      </c>
      <c r="O631" t="s">
        <v>1979</v>
      </c>
      <c r="P631" t="s">
        <v>1980</v>
      </c>
      <c r="S631" t="s">
        <v>1801</v>
      </c>
      <c r="T631" t="s">
        <v>1601</v>
      </c>
      <c r="U631" t="s">
        <v>1802</v>
      </c>
      <c r="V631" s="8">
        <v>1250</v>
      </c>
      <c r="W631" s="7">
        <v>588115</v>
      </c>
      <c r="X631" t="s">
        <v>1803</v>
      </c>
      <c r="Y631" s="8">
        <v>1250</v>
      </c>
      <c r="Z631" s="8">
        <v>1475</v>
      </c>
      <c r="AA631" s="8">
        <v>225</v>
      </c>
      <c r="AB631" s="7">
        <v>111582</v>
      </c>
      <c r="AC631" t="s">
        <v>1803</v>
      </c>
      <c r="AD631" s="8">
        <v>0</v>
      </c>
      <c r="AG631" t="s">
        <v>817</v>
      </c>
      <c r="AH631" t="s">
        <v>802</v>
      </c>
      <c r="AI631" t="s">
        <v>818</v>
      </c>
    </row>
    <row r="632" spans="1:35" hidden="1">
      <c r="A632" s="7">
        <v>631</v>
      </c>
      <c r="B632" t="s">
        <v>243</v>
      </c>
      <c r="C632" t="s">
        <v>244</v>
      </c>
      <c r="D632" s="7">
        <v>7134</v>
      </c>
      <c r="E632" t="s">
        <v>245</v>
      </c>
      <c r="F632" t="s">
        <v>246</v>
      </c>
      <c r="G632" t="s">
        <v>363</v>
      </c>
      <c r="H632" t="s">
        <v>649</v>
      </c>
      <c r="I632" s="7">
        <v>933</v>
      </c>
      <c r="J632" s="7">
        <v>9906</v>
      </c>
      <c r="K632" s="7">
        <v>1</v>
      </c>
      <c r="L632" t="s">
        <v>247</v>
      </c>
      <c r="M632" t="s">
        <v>261</v>
      </c>
      <c r="N632" s="7">
        <v>798815</v>
      </c>
      <c r="O632" t="s">
        <v>1911</v>
      </c>
      <c r="P632" t="s">
        <v>1912</v>
      </c>
      <c r="S632" t="s">
        <v>1801</v>
      </c>
      <c r="T632" t="s">
        <v>1601</v>
      </c>
      <c r="U632" t="s">
        <v>1802</v>
      </c>
      <c r="V632" s="8">
        <v>1250</v>
      </c>
      <c r="W632" s="7">
        <v>588115</v>
      </c>
      <c r="X632" t="s">
        <v>1803</v>
      </c>
      <c r="Y632" s="8">
        <v>1250</v>
      </c>
      <c r="Z632" s="8">
        <v>1475</v>
      </c>
      <c r="AA632" s="8">
        <v>225</v>
      </c>
      <c r="AB632" s="7">
        <v>111582</v>
      </c>
      <c r="AC632" t="s">
        <v>1803</v>
      </c>
      <c r="AD632" s="8">
        <v>0</v>
      </c>
      <c r="AG632" t="s">
        <v>817</v>
      </c>
      <c r="AH632" t="s">
        <v>802</v>
      </c>
      <c r="AI632" t="s">
        <v>818</v>
      </c>
    </row>
    <row r="633" spans="1:35" hidden="1">
      <c r="A633" s="7">
        <v>632</v>
      </c>
      <c r="B633" t="s">
        <v>243</v>
      </c>
      <c r="C633" t="s">
        <v>244</v>
      </c>
      <c r="D633" s="7">
        <v>7134</v>
      </c>
      <c r="E633" t="s">
        <v>245</v>
      </c>
      <c r="F633" t="s">
        <v>246</v>
      </c>
      <c r="G633" t="s">
        <v>363</v>
      </c>
      <c r="H633" t="s">
        <v>657</v>
      </c>
      <c r="I633" s="7">
        <v>893</v>
      </c>
      <c r="J633" s="7">
        <v>9525</v>
      </c>
      <c r="K633" s="7">
        <v>1</v>
      </c>
      <c r="L633" t="s">
        <v>247</v>
      </c>
      <c r="M633" t="s">
        <v>261</v>
      </c>
      <c r="N633" s="7">
        <v>795270</v>
      </c>
      <c r="O633" t="s">
        <v>1811</v>
      </c>
      <c r="P633" t="s">
        <v>1812</v>
      </c>
      <c r="S633" t="s">
        <v>1801</v>
      </c>
      <c r="T633" t="s">
        <v>1601</v>
      </c>
      <c r="U633" t="s">
        <v>1802</v>
      </c>
      <c r="V633" s="8">
        <v>1250</v>
      </c>
      <c r="W633" s="7">
        <v>588115</v>
      </c>
      <c r="X633" t="s">
        <v>1803</v>
      </c>
      <c r="Y633" s="8">
        <v>1250</v>
      </c>
      <c r="Z633" s="8">
        <v>1475</v>
      </c>
      <c r="AA633" s="8">
        <v>225</v>
      </c>
      <c r="AB633" s="7">
        <v>111582</v>
      </c>
      <c r="AC633" t="s">
        <v>1803</v>
      </c>
      <c r="AD633" s="8">
        <v>0</v>
      </c>
      <c r="AG633" t="s">
        <v>817</v>
      </c>
      <c r="AH633" t="s">
        <v>802</v>
      </c>
      <c r="AI633" t="s">
        <v>818</v>
      </c>
    </row>
    <row r="634" spans="1:35" hidden="1">
      <c r="A634" s="7">
        <v>633</v>
      </c>
      <c r="B634" t="s">
        <v>243</v>
      </c>
      <c r="C634" t="s">
        <v>244</v>
      </c>
      <c r="D634" s="7">
        <v>7134</v>
      </c>
      <c r="E634" t="s">
        <v>245</v>
      </c>
      <c r="F634" t="s">
        <v>246</v>
      </c>
      <c r="G634" t="s">
        <v>1197</v>
      </c>
      <c r="H634" t="s">
        <v>633</v>
      </c>
      <c r="I634" s="7">
        <v>1165</v>
      </c>
      <c r="J634" s="7">
        <v>10086</v>
      </c>
      <c r="K634" s="7">
        <v>1</v>
      </c>
      <c r="L634" t="s">
        <v>247</v>
      </c>
      <c r="M634" t="s">
        <v>261</v>
      </c>
      <c r="N634" s="7">
        <v>796086</v>
      </c>
      <c r="O634" t="s">
        <v>1805</v>
      </c>
      <c r="P634" t="s">
        <v>1806</v>
      </c>
      <c r="S634" t="s">
        <v>1801</v>
      </c>
      <c r="T634" t="s">
        <v>1601</v>
      </c>
      <c r="U634" t="s">
        <v>1802</v>
      </c>
      <c r="V634" s="8">
        <v>1250</v>
      </c>
      <c r="W634" s="7">
        <v>588115</v>
      </c>
      <c r="X634" t="s">
        <v>1803</v>
      </c>
      <c r="Y634" s="8">
        <v>1250</v>
      </c>
      <c r="Z634" s="8">
        <v>1475</v>
      </c>
      <c r="AA634" s="8">
        <v>225</v>
      </c>
      <c r="AB634" s="7">
        <v>111582</v>
      </c>
      <c r="AC634" t="s">
        <v>1803</v>
      </c>
      <c r="AD634" s="8">
        <v>0</v>
      </c>
      <c r="AG634" t="s">
        <v>817</v>
      </c>
      <c r="AH634" t="s">
        <v>802</v>
      </c>
      <c r="AI634" t="s">
        <v>818</v>
      </c>
    </row>
    <row r="635" spans="1:35" hidden="1">
      <c r="A635" s="7">
        <v>634</v>
      </c>
      <c r="B635" t="s">
        <v>243</v>
      </c>
      <c r="C635" t="s">
        <v>244</v>
      </c>
      <c r="D635" s="7">
        <v>7134</v>
      </c>
      <c r="E635" t="s">
        <v>245</v>
      </c>
      <c r="F635" t="s">
        <v>246</v>
      </c>
      <c r="G635" t="s">
        <v>333</v>
      </c>
      <c r="H635" t="s">
        <v>1808</v>
      </c>
      <c r="I635" s="7">
        <v>1165</v>
      </c>
      <c r="J635" s="7">
        <v>9950</v>
      </c>
      <c r="K635" s="7">
        <v>1</v>
      </c>
      <c r="L635" t="s">
        <v>247</v>
      </c>
      <c r="M635" t="s">
        <v>261</v>
      </c>
      <c r="N635" s="7">
        <v>801727</v>
      </c>
      <c r="O635" t="s">
        <v>496</v>
      </c>
      <c r="P635" t="s">
        <v>497</v>
      </c>
      <c r="S635" t="s">
        <v>1801</v>
      </c>
      <c r="T635" t="s">
        <v>1601</v>
      </c>
      <c r="U635" t="s">
        <v>1802</v>
      </c>
      <c r="V635" s="8">
        <v>1250</v>
      </c>
      <c r="W635" s="7">
        <v>588115</v>
      </c>
      <c r="X635" t="s">
        <v>1803</v>
      </c>
      <c r="Y635" s="8">
        <v>1250</v>
      </c>
      <c r="Z635" s="8">
        <v>1475</v>
      </c>
      <c r="AA635" s="8">
        <v>225</v>
      </c>
      <c r="AB635" s="7">
        <v>111582</v>
      </c>
      <c r="AC635" t="s">
        <v>1803</v>
      </c>
      <c r="AD635" s="8">
        <v>0</v>
      </c>
      <c r="AG635" t="s">
        <v>801</v>
      </c>
      <c r="AH635" t="s">
        <v>802</v>
      </c>
      <c r="AI635" t="s">
        <v>818</v>
      </c>
    </row>
    <row r="636" spans="1:35" hidden="1">
      <c r="A636" s="7">
        <v>635</v>
      </c>
      <c r="B636" t="s">
        <v>243</v>
      </c>
      <c r="C636" t="s">
        <v>244</v>
      </c>
      <c r="D636" s="7">
        <v>7134</v>
      </c>
      <c r="E636" t="s">
        <v>245</v>
      </c>
      <c r="F636" t="s">
        <v>246</v>
      </c>
      <c r="G636" t="s">
        <v>248</v>
      </c>
      <c r="H636" t="s">
        <v>594</v>
      </c>
      <c r="I636" s="7">
        <v>980</v>
      </c>
      <c r="J636" s="7">
        <v>9570</v>
      </c>
      <c r="K636" s="7">
        <v>1</v>
      </c>
      <c r="L636" t="s">
        <v>247</v>
      </c>
      <c r="M636" t="s">
        <v>261</v>
      </c>
      <c r="N636" s="7">
        <v>797023</v>
      </c>
      <c r="O636" t="s">
        <v>1825</v>
      </c>
      <c r="P636" t="s">
        <v>1826</v>
      </c>
      <c r="S636" t="s">
        <v>1801</v>
      </c>
      <c r="T636" t="s">
        <v>1601</v>
      </c>
      <c r="U636" t="s">
        <v>1802</v>
      </c>
      <c r="V636" s="8">
        <v>1250</v>
      </c>
      <c r="W636" s="7">
        <v>588115</v>
      </c>
      <c r="X636" t="s">
        <v>1803</v>
      </c>
      <c r="Y636" s="8">
        <v>1250</v>
      </c>
      <c r="Z636" s="8">
        <v>1475</v>
      </c>
      <c r="AA636" s="8">
        <v>225</v>
      </c>
      <c r="AB636" s="7">
        <v>111582</v>
      </c>
      <c r="AC636" t="s">
        <v>1803</v>
      </c>
      <c r="AD636" s="8">
        <v>0</v>
      </c>
      <c r="AG636" t="s">
        <v>817</v>
      </c>
      <c r="AH636" t="s">
        <v>802</v>
      </c>
      <c r="AI636" t="s">
        <v>818</v>
      </c>
    </row>
    <row r="637" spans="1:35" hidden="1">
      <c r="A637" s="7">
        <v>636</v>
      </c>
      <c r="B637" t="s">
        <v>243</v>
      </c>
      <c r="C637" t="s">
        <v>244</v>
      </c>
      <c r="D637" s="7">
        <v>7134</v>
      </c>
      <c r="E637" t="s">
        <v>245</v>
      </c>
      <c r="F637" t="s">
        <v>246</v>
      </c>
      <c r="G637" t="s">
        <v>1256</v>
      </c>
      <c r="H637" t="s">
        <v>1830</v>
      </c>
      <c r="I637" s="7">
        <v>1165</v>
      </c>
      <c r="J637" s="7">
        <v>100000</v>
      </c>
      <c r="K637" s="7">
        <v>10</v>
      </c>
      <c r="L637" t="s">
        <v>247</v>
      </c>
      <c r="M637" t="s">
        <v>261</v>
      </c>
      <c r="N637" s="7">
        <v>761147</v>
      </c>
      <c r="O637" t="s">
        <v>1869</v>
      </c>
      <c r="P637" t="s">
        <v>1870</v>
      </c>
      <c r="S637" t="s">
        <v>1801</v>
      </c>
      <c r="T637" t="s">
        <v>1601</v>
      </c>
      <c r="U637" t="s">
        <v>1802</v>
      </c>
      <c r="V637" s="8">
        <v>0</v>
      </c>
      <c r="W637" s="7">
        <v>588115</v>
      </c>
      <c r="X637" t="s">
        <v>1803</v>
      </c>
      <c r="Y637" s="8">
        <v>0</v>
      </c>
      <c r="Z637" s="8">
        <v>0</v>
      </c>
      <c r="AA637" s="8">
        <v>0</v>
      </c>
      <c r="AB637" s="7">
        <v>111582</v>
      </c>
      <c r="AC637" t="s">
        <v>1803</v>
      </c>
      <c r="AD637" s="8">
        <v>0</v>
      </c>
      <c r="AG637" t="s">
        <v>801</v>
      </c>
      <c r="AH637" t="s">
        <v>802</v>
      </c>
      <c r="AI637" t="s">
        <v>803</v>
      </c>
    </row>
    <row r="638" spans="1:35" hidden="1">
      <c r="A638" s="7">
        <v>637</v>
      </c>
      <c r="B638" t="s">
        <v>243</v>
      </c>
      <c r="C638" t="s">
        <v>244</v>
      </c>
      <c r="D638" s="7">
        <v>7134</v>
      </c>
      <c r="E638" t="s">
        <v>245</v>
      </c>
      <c r="F638" t="s">
        <v>246</v>
      </c>
      <c r="G638" t="s">
        <v>1453</v>
      </c>
      <c r="H638" t="s">
        <v>578</v>
      </c>
      <c r="I638" s="7">
        <v>1165</v>
      </c>
      <c r="J638" s="7">
        <v>28765</v>
      </c>
      <c r="K638" s="7">
        <v>3</v>
      </c>
      <c r="L638" t="s">
        <v>247</v>
      </c>
      <c r="M638" t="s">
        <v>267</v>
      </c>
      <c r="N638" s="7">
        <v>789589</v>
      </c>
      <c r="O638" t="s">
        <v>1454</v>
      </c>
      <c r="P638" t="s">
        <v>1455</v>
      </c>
      <c r="S638" t="s">
        <v>1801</v>
      </c>
      <c r="T638" t="s">
        <v>1601</v>
      </c>
      <c r="U638" t="s">
        <v>1802</v>
      </c>
      <c r="V638" s="8">
        <v>1250</v>
      </c>
      <c r="W638" s="7">
        <v>588115</v>
      </c>
      <c r="X638" t="s">
        <v>1803</v>
      </c>
      <c r="Y638" s="8">
        <v>1250</v>
      </c>
      <c r="Z638" s="8">
        <v>1475</v>
      </c>
      <c r="AA638" s="8">
        <v>225</v>
      </c>
      <c r="AB638" s="7">
        <v>111582</v>
      </c>
      <c r="AC638" t="s">
        <v>1803</v>
      </c>
      <c r="AD638" s="8">
        <v>0</v>
      </c>
      <c r="AG638" t="s">
        <v>828</v>
      </c>
      <c r="AH638" t="s">
        <v>802</v>
      </c>
      <c r="AI638" t="s">
        <v>818</v>
      </c>
    </row>
    <row r="639" spans="1:35" hidden="1">
      <c r="A639" s="7">
        <v>638</v>
      </c>
      <c r="B639" t="s">
        <v>243</v>
      </c>
      <c r="C639" t="s">
        <v>244</v>
      </c>
      <c r="D639" s="7">
        <v>7134</v>
      </c>
      <c r="E639" t="s">
        <v>245</v>
      </c>
      <c r="F639" t="s">
        <v>246</v>
      </c>
      <c r="G639" t="s">
        <v>1577</v>
      </c>
      <c r="H639" t="s">
        <v>629</v>
      </c>
      <c r="I639" s="7">
        <v>1165</v>
      </c>
      <c r="J639" s="7">
        <v>17300</v>
      </c>
      <c r="K639" s="7">
        <v>4</v>
      </c>
      <c r="L639" t="s">
        <v>247</v>
      </c>
      <c r="M639" t="s">
        <v>361</v>
      </c>
      <c r="N639" s="7">
        <v>4910</v>
      </c>
      <c r="O639" t="s">
        <v>2052</v>
      </c>
      <c r="P639" t="s">
        <v>2053</v>
      </c>
      <c r="S639" t="s">
        <v>1801</v>
      </c>
      <c r="T639" t="s">
        <v>1601</v>
      </c>
      <c r="U639" t="s">
        <v>1802</v>
      </c>
      <c r="V639" s="8">
        <v>0</v>
      </c>
      <c r="W639" s="7">
        <v>588115</v>
      </c>
      <c r="X639" t="s">
        <v>1803</v>
      </c>
      <c r="Y639" s="8">
        <v>0</v>
      </c>
      <c r="Z639" s="8">
        <v>0</v>
      </c>
      <c r="AA639" s="8">
        <v>0</v>
      </c>
      <c r="AB639" s="7">
        <v>111582</v>
      </c>
      <c r="AC639" t="s">
        <v>1803</v>
      </c>
      <c r="AD639" s="8">
        <v>0</v>
      </c>
      <c r="AG639" t="s">
        <v>823</v>
      </c>
      <c r="AH639" t="s">
        <v>802</v>
      </c>
      <c r="AI639" t="s">
        <v>803</v>
      </c>
    </row>
    <row r="640" spans="1:35" hidden="1">
      <c r="A640" s="7">
        <v>639</v>
      </c>
      <c r="B640" t="s">
        <v>243</v>
      </c>
      <c r="C640" t="s">
        <v>244</v>
      </c>
      <c r="D640" s="7">
        <v>7134</v>
      </c>
      <c r="E640" t="s">
        <v>245</v>
      </c>
      <c r="F640" t="s">
        <v>246</v>
      </c>
      <c r="G640" t="s">
        <v>293</v>
      </c>
      <c r="H640" t="s">
        <v>649</v>
      </c>
      <c r="I640" s="7">
        <v>1165</v>
      </c>
      <c r="J640" s="7">
        <v>10000</v>
      </c>
      <c r="K640" s="7">
        <v>1</v>
      </c>
      <c r="L640" t="s">
        <v>247</v>
      </c>
      <c r="M640" t="s">
        <v>252</v>
      </c>
      <c r="N640" s="7">
        <v>327424</v>
      </c>
      <c r="O640" t="s">
        <v>380</v>
      </c>
      <c r="P640" t="s">
        <v>381</v>
      </c>
      <c r="S640" t="s">
        <v>1801</v>
      </c>
      <c r="T640" t="s">
        <v>1601</v>
      </c>
      <c r="U640" t="s">
        <v>1802</v>
      </c>
      <c r="V640" s="8">
        <v>1250</v>
      </c>
      <c r="W640" s="7">
        <v>588115</v>
      </c>
      <c r="X640" t="s">
        <v>1803</v>
      </c>
      <c r="Y640" s="8">
        <v>1250</v>
      </c>
      <c r="Z640" s="8">
        <v>1475</v>
      </c>
      <c r="AA640" s="8">
        <v>225</v>
      </c>
      <c r="AB640" s="7">
        <v>111582</v>
      </c>
      <c r="AC640" t="s">
        <v>1803</v>
      </c>
      <c r="AD640" s="8">
        <v>0</v>
      </c>
      <c r="AG640" t="s">
        <v>937</v>
      </c>
      <c r="AH640" t="s">
        <v>802</v>
      </c>
      <c r="AI640" t="s">
        <v>818</v>
      </c>
    </row>
    <row r="641" spans="1:35" hidden="1">
      <c r="A641" s="7">
        <v>640</v>
      </c>
      <c r="B641" t="s">
        <v>243</v>
      </c>
      <c r="C641" t="s">
        <v>244</v>
      </c>
      <c r="D641" s="7">
        <v>7134</v>
      </c>
      <c r="E641" t="s">
        <v>245</v>
      </c>
      <c r="F641" t="s">
        <v>246</v>
      </c>
      <c r="G641" t="s">
        <v>1224</v>
      </c>
      <c r="H641" t="s">
        <v>633</v>
      </c>
      <c r="I641" s="7">
        <v>906</v>
      </c>
      <c r="J641" s="7">
        <v>10171</v>
      </c>
      <c r="K641" s="7">
        <v>1</v>
      </c>
      <c r="L641" t="s">
        <v>247</v>
      </c>
      <c r="M641" t="s">
        <v>261</v>
      </c>
      <c r="N641" s="7">
        <v>795395</v>
      </c>
      <c r="O641" t="s">
        <v>1892</v>
      </c>
      <c r="P641" t="s">
        <v>1893</v>
      </c>
      <c r="S641" t="s">
        <v>1801</v>
      </c>
      <c r="T641" t="s">
        <v>1601</v>
      </c>
      <c r="U641" t="s">
        <v>1802</v>
      </c>
      <c r="V641" s="8">
        <v>1250</v>
      </c>
      <c r="W641" s="7">
        <v>588115</v>
      </c>
      <c r="X641" t="s">
        <v>1803</v>
      </c>
      <c r="Y641" s="8">
        <v>1250</v>
      </c>
      <c r="Z641" s="8">
        <v>1475</v>
      </c>
      <c r="AA641" s="8">
        <v>225</v>
      </c>
      <c r="AB641" s="7">
        <v>111582</v>
      </c>
      <c r="AC641" t="s">
        <v>1803</v>
      </c>
      <c r="AD641" s="8">
        <v>0</v>
      </c>
      <c r="AG641" t="s">
        <v>817</v>
      </c>
      <c r="AH641" t="s">
        <v>802</v>
      </c>
      <c r="AI641" t="s">
        <v>818</v>
      </c>
    </row>
    <row r="642" spans="1:35" hidden="1">
      <c r="A642" s="7">
        <v>641</v>
      </c>
      <c r="B642" t="s">
        <v>243</v>
      </c>
      <c r="C642" t="s">
        <v>244</v>
      </c>
      <c r="D642" s="7">
        <v>7134</v>
      </c>
      <c r="E642" t="s">
        <v>245</v>
      </c>
      <c r="F642" t="s">
        <v>246</v>
      </c>
      <c r="G642" t="s">
        <v>1457</v>
      </c>
      <c r="H642" t="s">
        <v>598</v>
      </c>
      <c r="I642" s="7">
        <v>890</v>
      </c>
      <c r="J642" s="7">
        <v>10100</v>
      </c>
      <c r="K642" s="7">
        <v>1</v>
      </c>
      <c r="L642" t="s">
        <v>247</v>
      </c>
      <c r="M642" t="s">
        <v>261</v>
      </c>
      <c r="N642" s="7">
        <v>795715</v>
      </c>
      <c r="O642" t="s">
        <v>1894</v>
      </c>
      <c r="P642" t="s">
        <v>1895</v>
      </c>
      <c r="S642" t="s">
        <v>1801</v>
      </c>
      <c r="T642" t="s">
        <v>1601</v>
      </c>
      <c r="U642" t="s">
        <v>1802</v>
      </c>
      <c r="V642" s="8">
        <v>1250</v>
      </c>
      <c r="W642" s="7">
        <v>588115</v>
      </c>
      <c r="X642" t="s">
        <v>1803</v>
      </c>
      <c r="Y642" s="8">
        <v>1250</v>
      </c>
      <c r="Z642" s="8">
        <v>1475</v>
      </c>
      <c r="AA642" s="8">
        <v>225</v>
      </c>
      <c r="AB642" s="7">
        <v>111582</v>
      </c>
      <c r="AC642" t="s">
        <v>1803</v>
      </c>
      <c r="AD642" s="8">
        <v>0</v>
      </c>
      <c r="AG642" t="s">
        <v>817</v>
      </c>
      <c r="AH642" t="s">
        <v>802</v>
      </c>
      <c r="AI642" t="s">
        <v>818</v>
      </c>
    </row>
    <row r="643" spans="1:35" hidden="1">
      <c r="A643" s="7">
        <v>642</v>
      </c>
      <c r="B643" t="s">
        <v>243</v>
      </c>
      <c r="C643" t="s">
        <v>244</v>
      </c>
      <c r="D643" s="7">
        <v>7134</v>
      </c>
      <c r="E643" t="s">
        <v>245</v>
      </c>
      <c r="F643" t="s">
        <v>246</v>
      </c>
      <c r="G643" t="s">
        <v>363</v>
      </c>
      <c r="H643" t="s">
        <v>629</v>
      </c>
      <c r="I643" s="7">
        <v>887</v>
      </c>
      <c r="J643" s="7">
        <v>10166</v>
      </c>
      <c r="K643" s="7">
        <v>1</v>
      </c>
      <c r="L643" t="s">
        <v>247</v>
      </c>
      <c r="M643" t="s">
        <v>261</v>
      </c>
      <c r="N643" s="7">
        <v>796300</v>
      </c>
      <c r="O643" t="s">
        <v>1896</v>
      </c>
      <c r="P643" t="s">
        <v>1897</v>
      </c>
      <c r="S643" t="s">
        <v>1801</v>
      </c>
      <c r="T643" t="s">
        <v>1601</v>
      </c>
      <c r="U643" t="s">
        <v>1802</v>
      </c>
      <c r="V643" s="8">
        <v>1250</v>
      </c>
      <c r="W643" s="7">
        <v>588115</v>
      </c>
      <c r="X643" t="s">
        <v>1803</v>
      </c>
      <c r="Y643" s="8">
        <v>1250</v>
      </c>
      <c r="Z643" s="8">
        <v>1475</v>
      </c>
      <c r="AA643" s="8">
        <v>225</v>
      </c>
      <c r="AB643" s="7">
        <v>111582</v>
      </c>
      <c r="AC643" t="s">
        <v>1803</v>
      </c>
      <c r="AD643" s="8">
        <v>0</v>
      </c>
      <c r="AG643" t="s">
        <v>817</v>
      </c>
      <c r="AH643" t="s">
        <v>802</v>
      </c>
      <c r="AI643" t="s">
        <v>818</v>
      </c>
    </row>
    <row r="644" spans="1:35" hidden="1">
      <c r="A644" s="7">
        <v>643</v>
      </c>
      <c r="B644" t="s">
        <v>243</v>
      </c>
      <c r="C644" t="s">
        <v>244</v>
      </c>
      <c r="D644" s="7">
        <v>7134</v>
      </c>
      <c r="E644" t="s">
        <v>245</v>
      </c>
      <c r="F644" t="s">
        <v>246</v>
      </c>
      <c r="G644" t="s">
        <v>363</v>
      </c>
      <c r="H644" t="s">
        <v>1875</v>
      </c>
      <c r="I644" s="7">
        <v>926</v>
      </c>
      <c r="J644" s="7">
        <v>9720</v>
      </c>
      <c r="K644" s="7">
        <v>1</v>
      </c>
      <c r="L644" t="s">
        <v>247</v>
      </c>
      <c r="M644" t="s">
        <v>261</v>
      </c>
      <c r="N644" s="7">
        <v>797316</v>
      </c>
      <c r="O644" t="s">
        <v>1898</v>
      </c>
      <c r="P644" t="s">
        <v>1899</v>
      </c>
      <c r="S644" t="s">
        <v>1801</v>
      </c>
      <c r="T644" t="s">
        <v>1601</v>
      </c>
      <c r="U644" t="s">
        <v>1802</v>
      </c>
      <c r="V644" s="8">
        <v>1250</v>
      </c>
      <c r="W644" s="7">
        <v>588115</v>
      </c>
      <c r="X644" t="s">
        <v>1803</v>
      </c>
      <c r="Y644" s="8">
        <v>1250</v>
      </c>
      <c r="Z644" s="8">
        <v>1475</v>
      </c>
      <c r="AA644" s="8">
        <v>225</v>
      </c>
      <c r="AB644" s="7">
        <v>111582</v>
      </c>
      <c r="AC644" t="s">
        <v>1803</v>
      </c>
      <c r="AD644" s="8">
        <v>0</v>
      </c>
      <c r="AG644" t="s">
        <v>817</v>
      </c>
      <c r="AH644" t="s">
        <v>802</v>
      </c>
      <c r="AI644" t="s">
        <v>818</v>
      </c>
    </row>
    <row r="645" spans="1:35" hidden="1">
      <c r="A645" s="7">
        <v>644</v>
      </c>
      <c r="B645" t="s">
        <v>243</v>
      </c>
      <c r="C645" t="s">
        <v>244</v>
      </c>
      <c r="D645" s="7">
        <v>7134</v>
      </c>
      <c r="E645" t="s">
        <v>245</v>
      </c>
      <c r="F645" t="s">
        <v>246</v>
      </c>
      <c r="G645" t="s">
        <v>308</v>
      </c>
      <c r="H645" t="s">
        <v>1830</v>
      </c>
      <c r="I645" s="7">
        <v>1165</v>
      </c>
      <c r="J645" s="7">
        <v>10000</v>
      </c>
      <c r="K645" s="7">
        <v>1</v>
      </c>
      <c r="L645" t="s">
        <v>247</v>
      </c>
      <c r="M645" t="s">
        <v>261</v>
      </c>
      <c r="N645" s="7">
        <v>792931</v>
      </c>
      <c r="O645" t="s">
        <v>355</v>
      </c>
      <c r="P645" t="s">
        <v>356</v>
      </c>
      <c r="S645" t="s">
        <v>1801</v>
      </c>
      <c r="T645" t="s">
        <v>1601</v>
      </c>
      <c r="U645" t="s">
        <v>1802</v>
      </c>
      <c r="V645" s="8">
        <v>1250</v>
      </c>
      <c r="W645" s="7">
        <v>588115</v>
      </c>
      <c r="X645" t="s">
        <v>1803</v>
      </c>
      <c r="Y645" s="8">
        <v>1250</v>
      </c>
      <c r="Z645" s="8">
        <v>1475</v>
      </c>
      <c r="AA645" s="8">
        <v>225</v>
      </c>
      <c r="AB645" s="7">
        <v>111582</v>
      </c>
      <c r="AC645" t="s">
        <v>1803</v>
      </c>
      <c r="AD645" s="8">
        <v>0</v>
      </c>
      <c r="AG645" t="s">
        <v>801</v>
      </c>
      <c r="AH645" t="s">
        <v>802</v>
      </c>
      <c r="AI645" t="s">
        <v>818</v>
      </c>
    </row>
    <row r="646" spans="1:35" hidden="1">
      <c r="A646" s="7">
        <v>645</v>
      </c>
      <c r="B646" t="s">
        <v>243</v>
      </c>
      <c r="C646" t="s">
        <v>244</v>
      </c>
      <c r="D646" s="7">
        <v>7134</v>
      </c>
      <c r="E646" t="s">
        <v>245</v>
      </c>
      <c r="F646" t="s">
        <v>246</v>
      </c>
      <c r="G646" t="s">
        <v>1393</v>
      </c>
      <c r="H646" t="s">
        <v>1818</v>
      </c>
      <c r="I646" s="7">
        <v>1165</v>
      </c>
      <c r="J646" s="7">
        <v>25000</v>
      </c>
      <c r="K646" s="7">
        <v>6</v>
      </c>
      <c r="L646" t="s">
        <v>247</v>
      </c>
      <c r="M646" t="s">
        <v>398</v>
      </c>
      <c r="N646" s="7">
        <v>750865</v>
      </c>
      <c r="O646" t="s">
        <v>1931</v>
      </c>
      <c r="P646" t="s">
        <v>1932</v>
      </c>
      <c r="S646" t="s">
        <v>1801</v>
      </c>
      <c r="T646" t="s">
        <v>1601</v>
      </c>
      <c r="U646" t="s">
        <v>1802</v>
      </c>
      <c r="V646" s="8">
        <v>0</v>
      </c>
      <c r="W646" s="7">
        <v>588115</v>
      </c>
      <c r="X646" t="s">
        <v>1803</v>
      </c>
      <c r="Y646" s="8">
        <v>0</v>
      </c>
      <c r="Z646" s="8">
        <v>0</v>
      </c>
      <c r="AA646" s="8">
        <v>0</v>
      </c>
      <c r="AB646" s="7">
        <v>111582</v>
      </c>
      <c r="AC646" t="s">
        <v>1803</v>
      </c>
      <c r="AD646" s="8">
        <v>0</v>
      </c>
      <c r="AG646" t="s">
        <v>1365</v>
      </c>
      <c r="AH646" t="s">
        <v>802</v>
      </c>
      <c r="AI646" t="s">
        <v>803</v>
      </c>
    </row>
    <row r="647" spans="1:35" hidden="1">
      <c r="A647" s="7">
        <v>646</v>
      </c>
      <c r="B647" t="s">
        <v>243</v>
      </c>
      <c r="C647" t="s">
        <v>244</v>
      </c>
      <c r="D647" s="7">
        <v>7134</v>
      </c>
      <c r="E647" t="s">
        <v>245</v>
      </c>
      <c r="F647" t="s">
        <v>246</v>
      </c>
      <c r="G647" t="s">
        <v>293</v>
      </c>
      <c r="H647" t="s">
        <v>1830</v>
      </c>
      <c r="I647" s="7">
        <v>1165</v>
      </c>
      <c r="J647" s="7">
        <v>10000</v>
      </c>
      <c r="K647" s="7">
        <v>1</v>
      </c>
      <c r="L647" t="s">
        <v>247</v>
      </c>
      <c r="M647" t="s">
        <v>398</v>
      </c>
      <c r="N647" s="7">
        <v>788228</v>
      </c>
      <c r="O647" t="s">
        <v>396</v>
      </c>
      <c r="P647" t="s">
        <v>397</v>
      </c>
      <c r="S647" t="s">
        <v>1801</v>
      </c>
      <c r="T647" t="s">
        <v>1601</v>
      </c>
      <c r="U647" t="s">
        <v>1802</v>
      </c>
      <c r="V647" s="8">
        <v>1250</v>
      </c>
      <c r="W647" s="7">
        <v>588115</v>
      </c>
      <c r="X647" t="s">
        <v>1803</v>
      </c>
      <c r="Y647" s="8">
        <v>1250</v>
      </c>
      <c r="Z647" s="8">
        <v>1475</v>
      </c>
      <c r="AA647" s="8">
        <v>225</v>
      </c>
      <c r="AB647" s="7">
        <v>111582</v>
      </c>
      <c r="AC647" t="s">
        <v>1803</v>
      </c>
      <c r="AD647" s="8">
        <v>0</v>
      </c>
      <c r="AG647" t="s">
        <v>1365</v>
      </c>
      <c r="AH647" t="s">
        <v>802</v>
      </c>
      <c r="AI647" t="s">
        <v>818</v>
      </c>
    </row>
    <row r="648" spans="1:35" hidden="1">
      <c r="A648" s="7">
        <v>647</v>
      </c>
      <c r="B648" t="s">
        <v>243</v>
      </c>
      <c r="C648" t="s">
        <v>244</v>
      </c>
      <c r="D648" s="7">
        <v>7134</v>
      </c>
      <c r="E648" t="s">
        <v>245</v>
      </c>
      <c r="F648" t="s">
        <v>246</v>
      </c>
      <c r="G648" t="s">
        <v>884</v>
      </c>
      <c r="H648" t="s">
        <v>2038</v>
      </c>
      <c r="I648" s="7">
        <v>1165</v>
      </c>
      <c r="J648" s="7">
        <v>54825</v>
      </c>
      <c r="K648" s="7">
        <v>6</v>
      </c>
      <c r="L648" t="s">
        <v>247</v>
      </c>
      <c r="M648" t="s">
        <v>361</v>
      </c>
      <c r="N648" s="7">
        <v>1810</v>
      </c>
      <c r="O648" t="s">
        <v>886</v>
      </c>
      <c r="P648" t="s">
        <v>887</v>
      </c>
      <c r="S648" t="s">
        <v>1801</v>
      </c>
      <c r="T648" t="s">
        <v>1601</v>
      </c>
      <c r="U648" t="s">
        <v>1802</v>
      </c>
      <c r="V648" s="8">
        <v>0</v>
      </c>
      <c r="W648" s="7">
        <v>588115</v>
      </c>
      <c r="X648" t="s">
        <v>1803</v>
      </c>
      <c r="Y648" s="8">
        <v>0</v>
      </c>
      <c r="Z648" s="8">
        <v>0</v>
      </c>
      <c r="AA648" s="8">
        <v>0</v>
      </c>
      <c r="AB648" s="7">
        <v>111582</v>
      </c>
      <c r="AC648" t="s">
        <v>1803</v>
      </c>
      <c r="AD648" s="8">
        <v>0</v>
      </c>
      <c r="AG648" t="s">
        <v>823</v>
      </c>
      <c r="AH648" t="s">
        <v>802</v>
      </c>
      <c r="AI648" t="s">
        <v>803</v>
      </c>
    </row>
    <row r="649" spans="1:35" hidden="1">
      <c r="A649" s="7">
        <v>648</v>
      </c>
      <c r="B649" t="s">
        <v>243</v>
      </c>
      <c r="C649" t="s">
        <v>244</v>
      </c>
      <c r="D649" s="7">
        <v>7134</v>
      </c>
      <c r="E649" t="s">
        <v>245</v>
      </c>
      <c r="F649" t="s">
        <v>246</v>
      </c>
      <c r="G649" t="s">
        <v>263</v>
      </c>
      <c r="H649" t="s">
        <v>657</v>
      </c>
      <c r="I649" s="7">
        <v>912</v>
      </c>
      <c r="J649" s="7">
        <v>10438</v>
      </c>
      <c r="K649" s="7">
        <v>1</v>
      </c>
      <c r="L649" t="s">
        <v>247</v>
      </c>
      <c r="M649" t="s">
        <v>261</v>
      </c>
      <c r="N649" s="7">
        <v>796249</v>
      </c>
      <c r="O649" t="s">
        <v>2066</v>
      </c>
      <c r="P649" t="s">
        <v>2067</v>
      </c>
      <c r="S649" t="s">
        <v>1801</v>
      </c>
      <c r="T649" t="s">
        <v>1601</v>
      </c>
      <c r="U649" t="s">
        <v>1802</v>
      </c>
      <c r="V649" s="8">
        <v>1250</v>
      </c>
      <c r="W649" s="7">
        <v>588115</v>
      </c>
      <c r="X649" t="s">
        <v>1803</v>
      </c>
      <c r="Y649" s="8">
        <v>1250</v>
      </c>
      <c r="Z649" s="8">
        <v>1475</v>
      </c>
      <c r="AA649" s="8">
        <v>225</v>
      </c>
      <c r="AB649" s="7">
        <v>111582</v>
      </c>
      <c r="AC649" t="s">
        <v>1803</v>
      </c>
      <c r="AD649" s="8">
        <v>0</v>
      </c>
      <c r="AG649" t="s">
        <v>817</v>
      </c>
      <c r="AH649" t="s">
        <v>802</v>
      </c>
      <c r="AI649" t="s">
        <v>818</v>
      </c>
    </row>
    <row r="650" spans="1:35" hidden="1">
      <c r="A650" s="7">
        <v>649</v>
      </c>
      <c r="B650" t="s">
        <v>243</v>
      </c>
      <c r="C650" t="s">
        <v>244</v>
      </c>
      <c r="D650" s="7">
        <v>7134</v>
      </c>
      <c r="E650" t="s">
        <v>245</v>
      </c>
      <c r="F650" t="s">
        <v>246</v>
      </c>
      <c r="G650" t="s">
        <v>248</v>
      </c>
      <c r="H650" t="s">
        <v>1798</v>
      </c>
      <c r="I650" s="7">
        <v>1165</v>
      </c>
      <c r="J650" s="7">
        <v>9000</v>
      </c>
      <c r="K650" s="7">
        <v>1</v>
      </c>
      <c r="L650" t="s">
        <v>247</v>
      </c>
      <c r="M650" t="s">
        <v>361</v>
      </c>
      <c r="N650" s="7">
        <v>91005790</v>
      </c>
      <c r="O650" t="s">
        <v>469</v>
      </c>
      <c r="P650" t="s">
        <v>470</v>
      </c>
      <c r="S650" t="s">
        <v>1801</v>
      </c>
      <c r="T650" t="s">
        <v>1601</v>
      </c>
      <c r="U650" t="s">
        <v>1802</v>
      </c>
      <c r="V650" s="8">
        <v>1650</v>
      </c>
      <c r="W650" s="7">
        <v>588115</v>
      </c>
      <c r="X650" t="s">
        <v>1803</v>
      </c>
      <c r="Y650" s="8">
        <v>1650</v>
      </c>
      <c r="Z650" s="8">
        <v>1947</v>
      </c>
      <c r="AA650" s="8">
        <v>297</v>
      </c>
      <c r="AB650" s="7">
        <v>111582</v>
      </c>
      <c r="AC650" t="s">
        <v>1803</v>
      </c>
      <c r="AD650" s="8">
        <v>0</v>
      </c>
      <c r="AG650" t="s">
        <v>823</v>
      </c>
      <c r="AH650" t="s">
        <v>802</v>
      </c>
      <c r="AI650" t="s">
        <v>818</v>
      </c>
    </row>
    <row r="651" spans="1:35" hidden="1">
      <c r="A651" s="7">
        <v>650</v>
      </c>
      <c r="B651" t="s">
        <v>243</v>
      </c>
      <c r="C651" t="s">
        <v>244</v>
      </c>
      <c r="D651" s="7">
        <v>7134</v>
      </c>
      <c r="E651" t="s">
        <v>245</v>
      </c>
      <c r="F651" t="s">
        <v>246</v>
      </c>
      <c r="G651" t="s">
        <v>1574</v>
      </c>
      <c r="H651" t="s">
        <v>649</v>
      </c>
      <c r="I651" s="7">
        <v>1165</v>
      </c>
      <c r="J651" s="7">
        <v>17600</v>
      </c>
      <c r="K651" s="7">
        <v>2</v>
      </c>
      <c r="L651" t="s">
        <v>247</v>
      </c>
      <c r="M651" t="s">
        <v>261</v>
      </c>
      <c r="N651" s="7">
        <v>792777</v>
      </c>
      <c r="O651" t="s">
        <v>1575</v>
      </c>
      <c r="P651" t="s">
        <v>1576</v>
      </c>
      <c r="Q651" t="s">
        <v>870</v>
      </c>
      <c r="R651" t="s">
        <v>871</v>
      </c>
      <c r="S651" t="s">
        <v>1801</v>
      </c>
      <c r="T651" t="s">
        <v>1601</v>
      </c>
      <c r="U651" t="s">
        <v>1802</v>
      </c>
      <c r="V651" s="8">
        <v>0</v>
      </c>
      <c r="W651" s="7">
        <v>588115</v>
      </c>
      <c r="X651" t="s">
        <v>1803</v>
      </c>
      <c r="Y651" s="8">
        <v>0</v>
      </c>
      <c r="Z651" s="8">
        <v>0</v>
      </c>
      <c r="AA651" s="8">
        <v>0</v>
      </c>
      <c r="AB651" s="7">
        <v>111582</v>
      </c>
      <c r="AC651" t="s">
        <v>1803</v>
      </c>
      <c r="AD651" s="8">
        <v>0</v>
      </c>
      <c r="AG651" t="s">
        <v>801</v>
      </c>
      <c r="AH651" t="s">
        <v>802</v>
      </c>
      <c r="AI651" t="s">
        <v>803</v>
      </c>
    </row>
    <row r="652" spans="1:35" hidden="1">
      <c r="A652" s="7">
        <v>651</v>
      </c>
      <c r="B652" t="s">
        <v>243</v>
      </c>
      <c r="C652" t="s">
        <v>244</v>
      </c>
      <c r="D652" s="7">
        <v>7134</v>
      </c>
      <c r="E652" t="s">
        <v>245</v>
      </c>
      <c r="F652" t="s">
        <v>246</v>
      </c>
      <c r="G652" t="s">
        <v>1153</v>
      </c>
      <c r="H652" t="s">
        <v>707</v>
      </c>
      <c r="I652" s="7">
        <v>1165</v>
      </c>
      <c r="J652" s="7">
        <v>89450</v>
      </c>
      <c r="K652" s="7">
        <v>9</v>
      </c>
      <c r="L652" t="s">
        <v>247</v>
      </c>
      <c r="M652" t="s">
        <v>261</v>
      </c>
      <c r="N652" s="7">
        <v>761864</v>
      </c>
      <c r="O652" t="s">
        <v>1173</v>
      </c>
      <c r="P652" t="s">
        <v>1174</v>
      </c>
      <c r="S652" t="s">
        <v>57</v>
      </c>
      <c r="T652" t="s">
        <v>727</v>
      </c>
      <c r="U652" t="s">
        <v>2082</v>
      </c>
      <c r="V652" s="8">
        <v>0</v>
      </c>
      <c r="W652" s="7">
        <v>588556</v>
      </c>
      <c r="X652" t="s">
        <v>3351</v>
      </c>
      <c r="Y652" s="8">
        <v>0</v>
      </c>
      <c r="Z652" s="8">
        <v>0</v>
      </c>
      <c r="AA652" s="8">
        <v>0</v>
      </c>
      <c r="AB652" s="7">
        <v>112023</v>
      </c>
      <c r="AC652" t="s">
        <v>3351</v>
      </c>
      <c r="AD652" s="8">
        <v>0</v>
      </c>
      <c r="AG652" t="s">
        <v>801</v>
      </c>
      <c r="AH652" t="s">
        <v>802</v>
      </c>
      <c r="AI652" t="s">
        <v>803</v>
      </c>
    </row>
    <row r="653" spans="1:35" hidden="1">
      <c r="A653" s="7">
        <v>652</v>
      </c>
      <c r="B653" t="s">
        <v>243</v>
      </c>
      <c r="C653" t="s">
        <v>244</v>
      </c>
      <c r="D653" s="7">
        <v>7134</v>
      </c>
      <c r="E653" t="s">
        <v>245</v>
      </c>
      <c r="F653" t="s">
        <v>246</v>
      </c>
      <c r="G653" t="s">
        <v>1053</v>
      </c>
      <c r="H653" t="s">
        <v>727</v>
      </c>
      <c r="I653" s="7">
        <v>1165</v>
      </c>
      <c r="J653" s="7">
        <v>50000</v>
      </c>
      <c r="K653" s="7">
        <v>5</v>
      </c>
      <c r="L653" t="s">
        <v>247</v>
      </c>
      <c r="M653" t="s">
        <v>267</v>
      </c>
      <c r="N653" s="7">
        <v>776633</v>
      </c>
      <c r="O653" t="s">
        <v>1171</v>
      </c>
      <c r="P653" t="s">
        <v>1172</v>
      </c>
      <c r="S653" t="s">
        <v>57</v>
      </c>
      <c r="T653" t="s">
        <v>727</v>
      </c>
      <c r="U653" t="s">
        <v>2082</v>
      </c>
      <c r="V653" s="8">
        <v>1250</v>
      </c>
      <c r="W653" s="7">
        <v>588556</v>
      </c>
      <c r="X653" t="s">
        <v>3351</v>
      </c>
      <c r="Y653" s="8">
        <v>1250</v>
      </c>
      <c r="Z653" s="8">
        <v>1475</v>
      </c>
      <c r="AA653" s="8">
        <v>225</v>
      </c>
      <c r="AB653" s="7">
        <v>112023</v>
      </c>
      <c r="AC653" t="s">
        <v>3351</v>
      </c>
      <c r="AD653" s="8">
        <v>0</v>
      </c>
      <c r="AG653" t="s">
        <v>828</v>
      </c>
      <c r="AH653" t="s">
        <v>802</v>
      </c>
      <c r="AI653" t="s">
        <v>818</v>
      </c>
    </row>
    <row r="654" spans="1:35" hidden="1">
      <c r="A654" s="7">
        <v>653</v>
      </c>
      <c r="B654" t="s">
        <v>243</v>
      </c>
      <c r="C654" t="s">
        <v>244</v>
      </c>
      <c r="D654" s="7">
        <v>7134</v>
      </c>
      <c r="E654" t="s">
        <v>245</v>
      </c>
      <c r="F654" t="s">
        <v>246</v>
      </c>
      <c r="G654" t="s">
        <v>278</v>
      </c>
      <c r="H654" t="s">
        <v>2104</v>
      </c>
      <c r="I654" s="7">
        <v>825</v>
      </c>
      <c r="J654" s="7">
        <v>9390</v>
      </c>
      <c r="K654" s="7">
        <v>1</v>
      </c>
      <c r="L654" t="s">
        <v>247</v>
      </c>
      <c r="M654" t="s">
        <v>261</v>
      </c>
      <c r="N654" s="7">
        <v>797853</v>
      </c>
      <c r="O654" t="s">
        <v>2208</v>
      </c>
      <c r="P654" t="s">
        <v>2209</v>
      </c>
      <c r="S654" t="s">
        <v>57</v>
      </c>
      <c r="T654" t="s">
        <v>727</v>
      </c>
      <c r="U654" t="s">
        <v>2082</v>
      </c>
      <c r="V654" s="8">
        <v>1250</v>
      </c>
      <c r="W654" s="7">
        <v>588556</v>
      </c>
      <c r="X654" t="s">
        <v>3351</v>
      </c>
      <c r="Y654" s="8">
        <v>1250</v>
      </c>
      <c r="Z654" s="8">
        <v>1475</v>
      </c>
      <c r="AA654" s="8">
        <v>225</v>
      </c>
      <c r="AB654" s="7">
        <v>112023</v>
      </c>
      <c r="AC654" t="s">
        <v>3351</v>
      </c>
      <c r="AD654" s="8">
        <v>0</v>
      </c>
      <c r="AG654" t="s">
        <v>817</v>
      </c>
      <c r="AH654" t="s">
        <v>802</v>
      </c>
      <c r="AI654" t="s">
        <v>818</v>
      </c>
    </row>
    <row r="655" spans="1:35" hidden="1">
      <c r="A655" s="7">
        <v>654</v>
      </c>
      <c r="B655" t="s">
        <v>243</v>
      </c>
      <c r="C655" t="s">
        <v>244</v>
      </c>
      <c r="D655" s="7">
        <v>7134</v>
      </c>
      <c r="E655" t="s">
        <v>245</v>
      </c>
      <c r="F655" t="s">
        <v>246</v>
      </c>
      <c r="G655" t="s">
        <v>2111</v>
      </c>
      <c r="H655" t="s">
        <v>683</v>
      </c>
      <c r="I655" s="7">
        <v>1165</v>
      </c>
      <c r="J655" s="7">
        <v>18189</v>
      </c>
      <c r="K655" s="7">
        <v>3</v>
      </c>
      <c r="L655" t="s">
        <v>247</v>
      </c>
      <c r="M655" t="s">
        <v>261</v>
      </c>
      <c r="N655" s="7">
        <v>770712</v>
      </c>
      <c r="O655" t="s">
        <v>2112</v>
      </c>
      <c r="P655" t="s">
        <v>2113</v>
      </c>
      <c r="S655" t="s">
        <v>57</v>
      </c>
      <c r="T655" t="s">
        <v>727</v>
      </c>
      <c r="U655" t="s">
        <v>2082</v>
      </c>
      <c r="V655" s="8">
        <v>1250</v>
      </c>
      <c r="W655" s="7">
        <v>588556</v>
      </c>
      <c r="X655" t="s">
        <v>3351</v>
      </c>
      <c r="Y655" s="8">
        <v>1250</v>
      </c>
      <c r="Z655" s="8">
        <v>1475</v>
      </c>
      <c r="AA655" s="8">
        <v>225</v>
      </c>
      <c r="AB655" s="7">
        <v>112023</v>
      </c>
      <c r="AC655" t="s">
        <v>3351</v>
      </c>
      <c r="AD655" s="8">
        <v>0</v>
      </c>
      <c r="AG655" t="s">
        <v>817</v>
      </c>
      <c r="AH655" t="s">
        <v>802</v>
      </c>
      <c r="AI655" t="s">
        <v>818</v>
      </c>
    </row>
    <row r="656" spans="1:35" hidden="1">
      <c r="A656" s="7">
        <v>655</v>
      </c>
      <c r="B656" t="s">
        <v>243</v>
      </c>
      <c r="C656" t="s">
        <v>244</v>
      </c>
      <c r="D656" s="7">
        <v>7134</v>
      </c>
      <c r="E656" t="s">
        <v>245</v>
      </c>
      <c r="F656" t="s">
        <v>246</v>
      </c>
      <c r="G656" t="s">
        <v>1457</v>
      </c>
      <c r="H656" t="s">
        <v>697</v>
      </c>
      <c r="I656" s="7">
        <v>871</v>
      </c>
      <c r="J656" s="7">
        <v>31804</v>
      </c>
      <c r="K656" s="7">
        <v>2</v>
      </c>
      <c r="L656" t="s">
        <v>247</v>
      </c>
      <c r="M656" t="s">
        <v>261</v>
      </c>
      <c r="N656" s="7">
        <v>780913</v>
      </c>
      <c r="O656" t="s">
        <v>2192</v>
      </c>
      <c r="P656" t="s">
        <v>2193</v>
      </c>
      <c r="Q656" t="s">
        <v>908</v>
      </c>
      <c r="R656" t="s">
        <v>909</v>
      </c>
      <c r="S656" t="s">
        <v>57</v>
      </c>
      <c r="T656" t="s">
        <v>727</v>
      </c>
      <c r="U656" t="s">
        <v>2082</v>
      </c>
      <c r="V656" s="8">
        <v>1250</v>
      </c>
      <c r="W656" s="7">
        <v>588556</v>
      </c>
      <c r="X656" t="s">
        <v>3351</v>
      </c>
      <c r="Y656" s="8">
        <v>1000</v>
      </c>
      <c r="Z656" s="8">
        <v>1475</v>
      </c>
      <c r="AA656" s="8">
        <v>225</v>
      </c>
      <c r="AB656" s="7">
        <v>112023</v>
      </c>
      <c r="AC656" t="s">
        <v>3351</v>
      </c>
      <c r="AD656" s="8">
        <v>250</v>
      </c>
      <c r="AG656" t="s">
        <v>817</v>
      </c>
      <c r="AH656" t="s">
        <v>802</v>
      </c>
      <c r="AI656" t="s">
        <v>818</v>
      </c>
    </row>
    <row r="657" spans="1:35" hidden="1">
      <c r="A657" s="7">
        <v>656</v>
      </c>
      <c r="B657" t="s">
        <v>243</v>
      </c>
      <c r="C657" t="s">
        <v>244</v>
      </c>
      <c r="D657" s="7">
        <v>7134</v>
      </c>
      <c r="E657" t="s">
        <v>245</v>
      </c>
      <c r="F657" t="s">
        <v>246</v>
      </c>
      <c r="G657" t="s">
        <v>412</v>
      </c>
      <c r="H657" t="s">
        <v>722</v>
      </c>
      <c r="I657" s="7">
        <v>1165</v>
      </c>
      <c r="J657" s="7">
        <v>6195</v>
      </c>
      <c r="K657" s="7">
        <v>1</v>
      </c>
      <c r="L657" t="s">
        <v>247</v>
      </c>
      <c r="M657" t="s">
        <v>261</v>
      </c>
      <c r="N657" s="7">
        <v>795726</v>
      </c>
      <c r="O657" t="s">
        <v>429</v>
      </c>
      <c r="P657" t="s">
        <v>430</v>
      </c>
      <c r="S657" t="s">
        <v>57</v>
      </c>
      <c r="T657" t="s">
        <v>727</v>
      </c>
      <c r="U657" t="s">
        <v>2082</v>
      </c>
      <c r="V657" s="8">
        <v>1250</v>
      </c>
      <c r="W657" s="7">
        <v>588556</v>
      </c>
      <c r="X657" t="s">
        <v>3351</v>
      </c>
      <c r="Y657" s="8">
        <v>1250</v>
      </c>
      <c r="Z657" s="8">
        <v>1475</v>
      </c>
      <c r="AA657" s="8">
        <v>225</v>
      </c>
      <c r="AB657" s="7">
        <v>112023</v>
      </c>
      <c r="AC657" t="s">
        <v>3351</v>
      </c>
      <c r="AD657" s="8">
        <v>0</v>
      </c>
      <c r="AG657" t="s">
        <v>817</v>
      </c>
      <c r="AH657" t="s">
        <v>802</v>
      </c>
      <c r="AI657" t="s">
        <v>818</v>
      </c>
    </row>
    <row r="658" spans="1:35" hidden="1">
      <c r="A658" s="7">
        <v>657</v>
      </c>
      <c r="B658" t="s">
        <v>243</v>
      </c>
      <c r="C658" t="s">
        <v>244</v>
      </c>
      <c r="D658" s="7">
        <v>7134</v>
      </c>
      <c r="E658" t="s">
        <v>245</v>
      </c>
      <c r="F658" t="s">
        <v>246</v>
      </c>
      <c r="G658" t="s">
        <v>1050</v>
      </c>
      <c r="H658" t="s">
        <v>2079</v>
      </c>
      <c r="I658" s="7">
        <v>1165</v>
      </c>
      <c r="J658" s="7">
        <v>40000</v>
      </c>
      <c r="K658" s="7">
        <v>4</v>
      </c>
      <c r="L658" t="s">
        <v>247</v>
      </c>
      <c r="M658" t="s">
        <v>361</v>
      </c>
      <c r="N658" s="7">
        <v>5472</v>
      </c>
      <c r="O658" t="s">
        <v>1051</v>
      </c>
      <c r="P658" t="s">
        <v>1052</v>
      </c>
      <c r="S658" t="s">
        <v>57</v>
      </c>
      <c r="T658" t="s">
        <v>727</v>
      </c>
      <c r="U658" t="s">
        <v>2082</v>
      </c>
      <c r="V658" s="8">
        <v>0</v>
      </c>
      <c r="W658" s="7">
        <v>588556</v>
      </c>
      <c r="X658" t="s">
        <v>3351</v>
      </c>
      <c r="Y658" s="8">
        <v>0</v>
      </c>
      <c r="Z658" s="8">
        <v>0</v>
      </c>
      <c r="AA658" s="8">
        <v>0</v>
      </c>
      <c r="AB658" s="7">
        <v>112023</v>
      </c>
      <c r="AC658" t="s">
        <v>3351</v>
      </c>
      <c r="AD658" s="8">
        <v>0</v>
      </c>
      <c r="AG658" t="s">
        <v>823</v>
      </c>
      <c r="AH658" t="s">
        <v>802</v>
      </c>
      <c r="AI658" t="s">
        <v>803</v>
      </c>
    </row>
    <row r="659" spans="1:35" hidden="1">
      <c r="A659" s="7">
        <v>658</v>
      </c>
      <c r="B659" t="s">
        <v>243</v>
      </c>
      <c r="C659" t="s">
        <v>244</v>
      </c>
      <c r="D659" s="7">
        <v>7134</v>
      </c>
      <c r="E659" t="s">
        <v>245</v>
      </c>
      <c r="F659" t="s">
        <v>246</v>
      </c>
      <c r="G659" t="s">
        <v>1194</v>
      </c>
      <c r="H659" t="s">
        <v>727</v>
      </c>
      <c r="I659" s="7">
        <v>1165</v>
      </c>
      <c r="J659" s="7">
        <v>100000</v>
      </c>
      <c r="K659" s="7">
        <v>10</v>
      </c>
      <c r="L659" t="s">
        <v>247</v>
      </c>
      <c r="M659" t="s">
        <v>261</v>
      </c>
      <c r="N659" s="7">
        <v>773372</v>
      </c>
      <c r="O659" t="s">
        <v>1195</v>
      </c>
      <c r="P659" t="s">
        <v>1196</v>
      </c>
      <c r="S659" t="s">
        <v>57</v>
      </c>
      <c r="T659" t="s">
        <v>727</v>
      </c>
      <c r="U659" t="s">
        <v>2082</v>
      </c>
      <c r="V659" s="8">
        <v>0</v>
      </c>
      <c r="W659" s="7">
        <v>588556</v>
      </c>
      <c r="X659" t="s">
        <v>3351</v>
      </c>
      <c r="Y659" s="8">
        <v>0</v>
      </c>
      <c r="Z659" s="8">
        <v>0</v>
      </c>
      <c r="AA659" s="8">
        <v>0</v>
      </c>
      <c r="AB659" s="7">
        <v>112023</v>
      </c>
      <c r="AC659" t="s">
        <v>3351</v>
      </c>
      <c r="AD659" s="8">
        <v>0</v>
      </c>
      <c r="AG659" t="s">
        <v>801</v>
      </c>
      <c r="AH659" t="s">
        <v>802</v>
      </c>
      <c r="AI659" t="s">
        <v>803</v>
      </c>
    </row>
    <row r="660" spans="1:35" hidden="1">
      <c r="A660" s="7">
        <v>659</v>
      </c>
      <c r="B660" t="s">
        <v>243</v>
      </c>
      <c r="C660" t="s">
        <v>244</v>
      </c>
      <c r="D660" s="7">
        <v>7134</v>
      </c>
      <c r="E660" t="s">
        <v>245</v>
      </c>
      <c r="F660" t="s">
        <v>246</v>
      </c>
      <c r="G660" t="s">
        <v>849</v>
      </c>
      <c r="H660" t="s">
        <v>1601</v>
      </c>
      <c r="I660" s="7">
        <v>1165</v>
      </c>
      <c r="J660" s="7">
        <v>38586</v>
      </c>
      <c r="K660" s="7">
        <v>4</v>
      </c>
      <c r="L660" t="s">
        <v>247</v>
      </c>
      <c r="M660" t="s">
        <v>267</v>
      </c>
      <c r="N660" s="7">
        <v>789775</v>
      </c>
      <c r="O660" t="s">
        <v>1402</v>
      </c>
      <c r="P660" t="s">
        <v>1403</v>
      </c>
      <c r="S660" t="s">
        <v>57</v>
      </c>
      <c r="T660" t="s">
        <v>727</v>
      </c>
      <c r="U660" t="s">
        <v>2082</v>
      </c>
      <c r="V660" s="8">
        <v>0</v>
      </c>
      <c r="W660" s="7">
        <v>588556</v>
      </c>
      <c r="X660" t="s">
        <v>3351</v>
      </c>
      <c r="Y660" s="8">
        <v>0</v>
      </c>
      <c r="Z660" s="8">
        <v>0</v>
      </c>
      <c r="AA660" s="8">
        <v>0</v>
      </c>
      <c r="AB660" s="7">
        <v>112023</v>
      </c>
      <c r="AC660" t="s">
        <v>3351</v>
      </c>
      <c r="AD660" s="8">
        <v>0</v>
      </c>
      <c r="AG660" t="s">
        <v>828</v>
      </c>
      <c r="AH660" t="s">
        <v>802</v>
      </c>
      <c r="AI660" t="s">
        <v>803</v>
      </c>
    </row>
    <row r="661" spans="1:35" hidden="1">
      <c r="A661" s="7">
        <v>660</v>
      </c>
      <c r="B661" t="s">
        <v>243</v>
      </c>
      <c r="C661" t="s">
        <v>244</v>
      </c>
      <c r="D661" s="7">
        <v>7134</v>
      </c>
      <c r="E661" t="s">
        <v>245</v>
      </c>
      <c r="F661" t="s">
        <v>246</v>
      </c>
      <c r="G661" t="s">
        <v>1375</v>
      </c>
      <c r="H661" t="s">
        <v>727</v>
      </c>
      <c r="I661" s="7">
        <v>1165</v>
      </c>
      <c r="J661" s="7">
        <v>132183</v>
      </c>
      <c r="K661" s="7">
        <v>13</v>
      </c>
      <c r="L661" t="s">
        <v>247</v>
      </c>
      <c r="M661" t="s">
        <v>267</v>
      </c>
      <c r="N661" s="7">
        <v>749388</v>
      </c>
      <c r="O661" t="s">
        <v>1935</v>
      </c>
      <c r="P661" t="s">
        <v>1936</v>
      </c>
      <c r="Q661" t="s">
        <v>908</v>
      </c>
      <c r="R661" t="s">
        <v>909</v>
      </c>
      <c r="S661" t="s">
        <v>57</v>
      </c>
      <c r="T661" t="s">
        <v>727</v>
      </c>
      <c r="U661" t="s">
        <v>2082</v>
      </c>
      <c r="V661" s="8">
        <v>0</v>
      </c>
      <c r="W661" s="7">
        <v>588556</v>
      </c>
      <c r="X661" t="s">
        <v>3351</v>
      </c>
      <c r="Y661" s="8">
        <v>0</v>
      </c>
      <c r="Z661" s="8">
        <v>0</v>
      </c>
      <c r="AA661" s="8">
        <v>0</v>
      </c>
      <c r="AB661" s="7">
        <v>112023</v>
      </c>
      <c r="AC661" t="s">
        <v>3351</v>
      </c>
      <c r="AD661" s="8">
        <v>0</v>
      </c>
      <c r="AG661" t="s">
        <v>828</v>
      </c>
      <c r="AH661" t="s">
        <v>802</v>
      </c>
      <c r="AI661" t="s">
        <v>803</v>
      </c>
    </row>
    <row r="662" spans="1:35" hidden="1">
      <c r="A662" s="7">
        <v>661</v>
      </c>
      <c r="B662" t="s">
        <v>243</v>
      </c>
      <c r="C662" t="s">
        <v>244</v>
      </c>
      <c r="D662" s="7">
        <v>7134</v>
      </c>
      <c r="E662" t="s">
        <v>245</v>
      </c>
      <c r="F662" t="s">
        <v>246</v>
      </c>
      <c r="G662" t="s">
        <v>1256</v>
      </c>
      <c r="H662" t="s">
        <v>1601</v>
      </c>
      <c r="I662" s="7">
        <v>750</v>
      </c>
      <c r="J662" s="7">
        <v>23720</v>
      </c>
      <c r="K662" s="7">
        <v>6</v>
      </c>
      <c r="L662" t="s">
        <v>247</v>
      </c>
      <c r="M662" t="s">
        <v>361</v>
      </c>
      <c r="N662" s="7">
        <v>2072</v>
      </c>
      <c r="O662" t="s">
        <v>2136</v>
      </c>
      <c r="P662" t="s">
        <v>2137</v>
      </c>
      <c r="S662" t="s">
        <v>57</v>
      </c>
      <c r="T662" t="s">
        <v>727</v>
      </c>
      <c r="U662" t="s">
        <v>2082</v>
      </c>
      <c r="V662" s="8">
        <v>0</v>
      </c>
      <c r="W662" s="7">
        <v>588556</v>
      </c>
      <c r="X662" t="s">
        <v>3351</v>
      </c>
      <c r="Y662" s="8">
        <v>0</v>
      </c>
      <c r="Z662" s="8">
        <v>0</v>
      </c>
      <c r="AA662" s="8">
        <v>0</v>
      </c>
      <c r="AB662" s="7">
        <v>112023</v>
      </c>
      <c r="AC662" t="s">
        <v>3351</v>
      </c>
      <c r="AD662" s="8">
        <v>0</v>
      </c>
      <c r="AG662" t="s">
        <v>823</v>
      </c>
      <c r="AH662" t="s">
        <v>802</v>
      </c>
      <c r="AI662" t="s">
        <v>803</v>
      </c>
    </row>
    <row r="663" spans="1:35" hidden="1">
      <c r="A663" s="7">
        <v>662</v>
      </c>
      <c r="B663" t="s">
        <v>243</v>
      </c>
      <c r="C663" t="s">
        <v>244</v>
      </c>
      <c r="D663" s="7">
        <v>7134</v>
      </c>
      <c r="E663" t="s">
        <v>245</v>
      </c>
      <c r="F663" t="s">
        <v>246</v>
      </c>
      <c r="G663" t="s">
        <v>1474</v>
      </c>
      <c r="H663" t="s">
        <v>2089</v>
      </c>
      <c r="I663" s="7">
        <v>1165</v>
      </c>
      <c r="J663" s="7">
        <v>80000</v>
      </c>
      <c r="K663" s="7">
        <v>8</v>
      </c>
      <c r="L663" t="s">
        <v>247</v>
      </c>
      <c r="M663" t="s">
        <v>261</v>
      </c>
      <c r="N663" s="7">
        <v>785386</v>
      </c>
      <c r="O663" t="s">
        <v>1564</v>
      </c>
      <c r="P663" t="s">
        <v>1565</v>
      </c>
      <c r="S663" t="s">
        <v>57</v>
      </c>
      <c r="T663" t="s">
        <v>727</v>
      </c>
      <c r="U663" t="s">
        <v>2082</v>
      </c>
      <c r="V663" s="8">
        <v>1250</v>
      </c>
      <c r="W663" s="7">
        <v>588556</v>
      </c>
      <c r="X663" t="s">
        <v>3351</v>
      </c>
      <c r="Y663" s="8">
        <v>1250</v>
      </c>
      <c r="Z663" s="8">
        <v>1475</v>
      </c>
      <c r="AA663" s="8">
        <v>225</v>
      </c>
      <c r="AB663" s="7">
        <v>112023</v>
      </c>
      <c r="AC663" t="s">
        <v>3351</v>
      </c>
      <c r="AD663" s="8">
        <v>0</v>
      </c>
      <c r="AG663" t="s">
        <v>801</v>
      </c>
      <c r="AH663" t="s">
        <v>802</v>
      </c>
      <c r="AI663" t="s">
        <v>818</v>
      </c>
    </row>
    <row r="664" spans="1:35" hidden="1">
      <c r="A664" s="7">
        <v>663</v>
      </c>
      <c r="B664" t="s">
        <v>243</v>
      </c>
      <c r="C664" t="s">
        <v>244</v>
      </c>
      <c r="D664" s="7">
        <v>7134</v>
      </c>
      <c r="E664" t="s">
        <v>245</v>
      </c>
      <c r="F664" t="s">
        <v>246</v>
      </c>
      <c r="G664" t="s">
        <v>263</v>
      </c>
      <c r="H664" t="s">
        <v>770</v>
      </c>
      <c r="I664" s="7">
        <v>1165</v>
      </c>
      <c r="J664" s="7">
        <v>3400</v>
      </c>
      <c r="K664" s="7">
        <v>1</v>
      </c>
      <c r="L664" t="s">
        <v>247</v>
      </c>
      <c r="M664" t="s">
        <v>267</v>
      </c>
      <c r="N664" s="7">
        <v>794594</v>
      </c>
      <c r="O664" t="s">
        <v>479</v>
      </c>
      <c r="P664" t="s">
        <v>480</v>
      </c>
      <c r="Q664" t="s">
        <v>870</v>
      </c>
      <c r="R664" t="s">
        <v>871</v>
      </c>
      <c r="S664" t="s">
        <v>57</v>
      </c>
      <c r="T664" t="s">
        <v>727</v>
      </c>
      <c r="U664" t="s">
        <v>2082</v>
      </c>
      <c r="V664" s="8">
        <v>1250</v>
      </c>
      <c r="W664" s="7">
        <v>588556</v>
      </c>
      <c r="X664" t="s">
        <v>3351</v>
      </c>
      <c r="Y664" s="8">
        <v>1000</v>
      </c>
      <c r="Z664" s="8">
        <v>1475</v>
      </c>
      <c r="AA664" s="8">
        <v>225</v>
      </c>
      <c r="AB664" s="7">
        <v>112023</v>
      </c>
      <c r="AC664" t="s">
        <v>3351</v>
      </c>
      <c r="AD664" s="8">
        <v>250</v>
      </c>
      <c r="AG664" t="s">
        <v>828</v>
      </c>
      <c r="AH664" t="s">
        <v>802</v>
      </c>
      <c r="AI664" t="s">
        <v>818</v>
      </c>
    </row>
    <row r="665" spans="1:35" hidden="1">
      <c r="A665" s="7">
        <v>664</v>
      </c>
      <c r="B665" t="s">
        <v>243</v>
      </c>
      <c r="C665" t="s">
        <v>244</v>
      </c>
      <c r="D665" s="7">
        <v>7134</v>
      </c>
      <c r="E665" t="s">
        <v>245</v>
      </c>
      <c r="F665" t="s">
        <v>246</v>
      </c>
      <c r="G665" t="s">
        <v>1224</v>
      </c>
      <c r="H665" t="s">
        <v>757</v>
      </c>
      <c r="I665" s="7">
        <v>850</v>
      </c>
      <c r="J665" s="7">
        <v>8228</v>
      </c>
      <c r="K665" s="7">
        <v>1</v>
      </c>
      <c r="L665" t="s">
        <v>247</v>
      </c>
      <c r="M665" t="s">
        <v>261</v>
      </c>
      <c r="N665" s="7">
        <v>797769</v>
      </c>
      <c r="O665" t="s">
        <v>2134</v>
      </c>
      <c r="P665" t="s">
        <v>2135</v>
      </c>
      <c r="S665" t="s">
        <v>57</v>
      </c>
      <c r="T665" t="s">
        <v>727</v>
      </c>
      <c r="U665" t="s">
        <v>2082</v>
      </c>
      <c r="V665" s="8">
        <v>1250</v>
      </c>
      <c r="W665" s="7">
        <v>588556</v>
      </c>
      <c r="X665" t="s">
        <v>3351</v>
      </c>
      <c r="Y665" s="8">
        <v>1250</v>
      </c>
      <c r="Z665" s="8">
        <v>1475</v>
      </c>
      <c r="AA665" s="8">
        <v>225</v>
      </c>
      <c r="AB665" s="7">
        <v>112023</v>
      </c>
      <c r="AC665" t="s">
        <v>3351</v>
      </c>
      <c r="AD665" s="8">
        <v>0</v>
      </c>
      <c r="AG665" t="s">
        <v>817</v>
      </c>
      <c r="AH665" t="s">
        <v>802</v>
      </c>
      <c r="AI665" t="s">
        <v>818</v>
      </c>
    </row>
    <row r="666" spans="1:35" hidden="1">
      <c r="A666" s="7">
        <v>665</v>
      </c>
      <c r="B666" t="s">
        <v>243</v>
      </c>
      <c r="C666" t="s">
        <v>244</v>
      </c>
      <c r="D666" s="7">
        <v>7134</v>
      </c>
      <c r="E666" t="s">
        <v>245</v>
      </c>
      <c r="F666" t="s">
        <v>246</v>
      </c>
      <c r="G666" t="s">
        <v>284</v>
      </c>
      <c r="H666" t="s">
        <v>757</v>
      </c>
      <c r="I666" s="7">
        <v>942</v>
      </c>
      <c r="J666" s="7">
        <v>9333</v>
      </c>
      <c r="K666" s="7">
        <v>1</v>
      </c>
      <c r="L666" t="s">
        <v>247</v>
      </c>
      <c r="M666" t="s">
        <v>261</v>
      </c>
      <c r="N666" s="7">
        <v>796014</v>
      </c>
      <c r="O666" t="s">
        <v>2174</v>
      </c>
      <c r="P666" t="s">
        <v>2175</v>
      </c>
      <c r="S666" t="s">
        <v>57</v>
      </c>
      <c r="T666" t="s">
        <v>727</v>
      </c>
      <c r="U666" t="s">
        <v>2082</v>
      </c>
      <c r="V666" s="8">
        <v>1250</v>
      </c>
      <c r="W666" s="7">
        <v>588556</v>
      </c>
      <c r="X666" t="s">
        <v>3351</v>
      </c>
      <c r="Y666" s="8">
        <v>1250</v>
      </c>
      <c r="Z666" s="8">
        <v>1475</v>
      </c>
      <c r="AA666" s="8">
        <v>225</v>
      </c>
      <c r="AB666" s="7">
        <v>112023</v>
      </c>
      <c r="AC666" t="s">
        <v>3351</v>
      </c>
      <c r="AD666" s="8">
        <v>0</v>
      </c>
      <c r="AG666" t="s">
        <v>817</v>
      </c>
      <c r="AH666" t="s">
        <v>802</v>
      </c>
      <c r="AI666" t="s">
        <v>818</v>
      </c>
    </row>
    <row r="667" spans="1:35" hidden="1">
      <c r="A667" s="7">
        <v>666</v>
      </c>
      <c r="B667" t="s">
        <v>243</v>
      </c>
      <c r="C667" t="s">
        <v>244</v>
      </c>
      <c r="D667" s="7">
        <v>7134</v>
      </c>
      <c r="E667" t="s">
        <v>245</v>
      </c>
      <c r="F667" t="s">
        <v>246</v>
      </c>
      <c r="G667" t="s">
        <v>2120</v>
      </c>
      <c r="H667" t="s">
        <v>1601</v>
      </c>
      <c r="I667" s="7">
        <v>1165</v>
      </c>
      <c r="J667" s="7">
        <v>14300</v>
      </c>
      <c r="K667" s="7">
        <v>3</v>
      </c>
      <c r="L667" t="s">
        <v>247</v>
      </c>
      <c r="M667" t="s">
        <v>267</v>
      </c>
      <c r="N667" s="7">
        <v>768168</v>
      </c>
      <c r="O667" t="s">
        <v>2121</v>
      </c>
      <c r="P667" t="s">
        <v>2122</v>
      </c>
      <c r="S667" t="s">
        <v>57</v>
      </c>
      <c r="T667" t="s">
        <v>727</v>
      </c>
      <c r="U667" t="s">
        <v>2082</v>
      </c>
      <c r="V667" s="8">
        <v>1250</v>
      </c>
      <c r="W667" s="7">
        <v>588556</v>
      </c>
      <c r="X667" t="s">
        <v>3351</v>
      </c>
      <c r="Y667" s="8">
        <v>1250</v>
      </c>
      <c r="Z667" s="8">
        <v>1475</v>
      </c>
      <c r="AA667" s="8">
        <v>225</v>
      </c>
      <c r="AB667" s="7">
        <v>112023</v>
      </c>
      <c r="AC667" t="s">
        <v>3351</v>
      </c>
      <c r="AD667" s="8">
        <v>0</v>
      </c>
      <c r="AG667" t="s">
        <v>1124</v>
      </c>
      <c r="AH667" t="s">
        <v>802</v>
      </c>
      <c r="AI667" t="s">
        <v>818</v>
      </c>
    </row>
    <row r="668" spans="1:35" hidden="1">
      <c r="A668" s="7">
        <v>667</v>
      </c>
      <c r="B668" t="s">
        <v>243</v>
      </c>
      <c r="C668" t="s">
        <v>244</v>
      </c>
      <c r="D668" s="7">
        <v>7134</v>
      </c>
      <c r="E668" t="s">
        <v>245</v>
      </c>
      <c r="F668" t="s">
        <v>246</v>
      </c>
      <c r="G668" t="s">
        <v>1188</v>
      </c>
      <c r="H668" t="s">
        <v>707</v>
      </c>
      <c r="I668" s="7">
        <v>1165</v>
      </c>
      <c r="J668" s="7">
        <v>90000</v>
      </c>
      <c r="K668" s="7">
        <v>9</v>
      </c>
      <c r="L668" t="s">
        <v>247</v>
      </c>
      <c r="M668" t="s">
        <v>261</v>
      </c>
      <c r="N668" s="7">
        <v>775456</v>
      </c>
      <c r="O668" t="s">
        <v>1189</v>
      </c>
      <c r="P668" t="s">
        <v>1190</v>
      </c>
      <c r="S668" t="s">
        <v>57</v>
      </c>
      <c r="T668" t="s">
        <v>727</v>
      </c>
      <c r="U668" t="s">
        <v>2082</v>
      </c>
      <c r="V668" s="8">
        <v>0</v>
      </c>
      <c r="W668" s="7">
        <v>588556</v>
      </c>
      <c r="X668" t="s">
        <v>3351</v>
      </c>
      <c r="Y668" s="8">
        <v>0</v>
      </c>
      <c r="Z668" s="8">
        <v>0</v>
      </c>
      <c r="AA668" s="8">
        <v>0</v>
      </c>
      <c r="AB668" s="7">
        <v>112023</v>
      </c>
      <c r="AC668" t="s">
        <v>3351</v>
      </c>
      <c r="AD668" s="8">
        <v>0</v>
      </c>
      <c r="AG668" t="s">
        <v>801</v>
      </c>
      <c r="AH668" t="s">
        <v>802</v>
      </c>
      <c r="AI668" t="s">
        <v>803</v>
      </c>
    </row>
    <row r="669" spans="1:35" hidden="1">
      <c r="A669" s="7">
        <v>668</v>
      </c>
      <c r="B669" t="s">
        <v>243</v>
      </c>
      <c r="C669" t="s">
        <v>244</v>
      </c>
      <c r="D669" s="7">
        <v>7134</v>
      </c>
      <c r="E669" t="s">
        <v>245</v>
      </c>
      <c r="F669" t="s">
        <v>246</v>
      </c>
      <c r="G669" t="s">
        <v>1197</v>
      </c>
      <c r="H669" t="s">
        <v>2092</v>
      </c>
      <c r="I669" s="7">
        <v>1165</v>
      </c>
      <c r="J669" s="7">
        <v>16187</v>
      </c>
      <c r="K669" s="7">
        <v>2</v>
      </c>
      <c r="L669" t="s">
        <v>247</v>
      </c>
      <c r="M669" t="s">
        <v>267</v>
      </c>
      <c r="N669" s="7">
        <v>789052</v>
      </c>
      <c r="O669" t="s">
        <v>1528</v>
      </c>
      <c r="P669" t="s">
        <v>1529</v>
      </c>
      <c r="Q669" t="s">
        <v>870</v>
      </c>
      <c r="R669" t="s">
        <v>871</v>
      </c>
      <c r="S669" t="s">
        <v>57</v>
      </c>
      <c r="T669" t="s">
        <v>727</v>
      </c>
      <c r="U669" t="s">
        <v>2082</v>
      </c>
      <c r="V669" s="8">
        <v>0</v>
      </c>
      <c r="W669" s="7">
        <v>588556</v>
      </c>
      <c r="X669" t="s">
        <v>3351</v>
      </c>
      <c r="Y669" s="8">
        <v>0</v>
      </c>
      <c r="Z669" s="8">
        <v>0</v>
      </c>
      <c r="AA669" s="8">
        <v>0</v>
      </c>
      <c r="AB669" s="7">
        <v>112023</v>
      </c>
      <c r="AC669" t="s">
        <v>3351</v>
      </c>
      <c r="AD669" s="8">
        <v>0</v>
      </c>
      <c r="AG669" t="s">
        <v>828</v>
      </c>
      <c r="AH669" t="s">
        <v>802</v>
      </c>
      <c r="AI669" t="s">
        <v>803</v>
      </c>
    </row>
    <row r="670" spans="1:35" hidden="1">
      <c r="A670" s="7">
        <v>669</v>
      </c>
      <c r="B670" t="s">
        <v>243</v>
      </c>
      <c r="C670" t="s">
        <v>244</v>
      </c>
      <c r="D670" s="7">
        <v>7134</v>
      </c>
      <c r="E670" t="s">
        <v>245</v>
      </c>
      <c r="F670" t="s">
        <v>246</v>
      </c>
      <c r="G670" t="s">
        <v>278</v>
      </c>
      <c r="H670" t="s">
        <v>2104</v>
      </c>
      <c r="I670" s="7">
        <v>1165</v>
      </c>
      <c r="J670" s="7">
        <v>12423</v>
      </c>
      <c r="K670" s="7">
        <v>1</v>
      </c>
      <c r="L670" t="s">
        <v>247</v>
      </c>
      <c r="M670" t="s">
        <v>252</v>
      </c>
      <c r="N670" s="7">
        <v>327370</v>
      </c>
      <c r="O670" t="s">
        <v>352</v>
      </c>
      <c r="P670" t="s">
        <v>353</v>
      </c>
      <c r="Q670" t="s">
        <v>908</v>
      </c>
      <c r="R670" t="s">
        <v>909</v>
      </c>
      <c r="S670" t="s">
        <v>57</v>
      </c>
      <c r="T670" t="s">
        <v>727</v>
      </c>
      <c r="U670" t="s">
        <v>2082</v>
      </c>
      <c r="V670" s="8">
        <v>1250</v>
      </c>
      <c r="W670" s="7">
        <v>588556</v>
      </c>
      <c r="X670" t="s">
        <v>3351</v>
      </c>
      <c r="Y670" s="8">
        <v>1000</v>
      </c>
      <c r="Z670" s="8">
        <v>1475</v>
      </c>
      <c r="AA670" s="8">
        <v>225</v>
      </c>
      <c r="AB670" s="7">
        <v>112023</v>
      </c>
      <c r="AC670" t="s">
        <v>3351</v>
      </c>
      <c r="AD670" s="8">
        <v>250</v>
      </c>
      <c r="AG670" t="s">
        <v>937</v>
      </c>
      <c r="AH670" t="s">
        <v>802</v>
      </c>
      <c r="AI670" t="s">
        <v>818</v>
      </c>
    </row>
    <row r="671" spans="1:35" hidden="1">
      <c r="A671" s="7">
        <v>670</v>
      </c>
      <c r="B671" t="s">
        <v>243</v>
      </c>
      <c r="C671" t="s">
        <v>244</v>
      </c>
      <c r="D671" s="7">
        <v>7134</v>
      </c>
      <c r="E671" t="s">
        <v>245</v>
      </c>
      <c r="F671" t="s">
        <v>246</v>
      </c>
      <c r="G671" t="s">
        <v>248</v>
      </c>
      <c r="H671" t="s">
        <v>2104</v>
      </c>
      <c r="I671" s="7">
        <v>970</v>
      </c>
      <c r="J671" s="7">
        <v>9680</v>
      </c>
      <c r="K671" s="7">
        <v>1</v>
      </c>
      <c r="L671" t="s">
        <v>247</v>
      </c>
      <c r="M671" t="s">
        <v>261</v>
      </c>
      <c r="N671" s="7">
        <v>797819</v>
      </c>
      <c r="O671" t="s">
        <v>2167</v>
      </c>
      <c r="P671" t="s">
        <v>2168</v>
      </c>
      <c r="S671" t="s">
        <v>57</v>
      </c>
      <c r="T671" t="s">
        <v>727</v>
      </c>
      <c r="U671" t="s">
        <v>2082</v>
      </c>
      <c r="V671" s="8">
        <v>1250</v>
      </c>
      <c r="W671" s="7">
        <v>588556</v>
      </c>
      <c r="X671" t="s">
        <v>3351</v>
      </c>
      <c r="Y671" s="8">
        <v>1250</v>
      </c>
      <c r="Z671" s="8">
        <v>1475</v>
      </c>
      <c r="AA671" s="8">
        <v>225</v>
      </c>
      <c r="AB671" s="7">
        <v>112023</v>
      </c>
      <c r="AC671" t="s">
        <v>3351</v>
      </c>
      <c r="AD671" s="8">
        <v>0</v>
      </c>
      <c r="AG671" t="s">
        <v>817</v>
      </c>
      <c r="AH671" t="s">
        <v>802</v>
      </c>
      <c r="AI671" t="s">
        <v>818</v>
      </c>
    </row>
    <row r="672" spans="1:35" hidden="1">
      <c r="A672" s="7">
        <v>671</v>
      </c>
      <c r="B672" t="s">
        <v>243</v>
      </c>
      <c r="C672" t="s">
        <v>244</v>
      </c>
      <c r="D672" s="7">
        <v>7134</v>
      </c>
      <c r="E672" t="s">
        <v>245</v>
      </c>
      <c r="F672" t="s">
        <v>246</v>
      </c>
      <c r="G672" t="s">
        <v>412</v>
      </c>
      <c r="H672" t="s">
        <v>722</v>
      </c>
      <c r="I672" s="7">
        <v>1165</v>
      </c>
      <c r="J672" s="7">
        <v>8434</v>
      </c>
      <c r="K672" s="7">
        <v>1</v>
      </c>
      <c r="L672" t="s">
        <v>247</v>
      </c>
      <c r="M672" t="s">
        <v>261</v>
      </c>
      <c r="N672" s="7">
        <v>795725</v>
      </c>
      <c r="O672" t="s">
        <v>414</v>
      </c>
      <c r="P672" t="s">
        <v>415</v>
      </c>
      <c r="S672" t="s">
        <v>57</v>
      </c>
      <c r="T672" t="s">
        <v>727</v>
      </c>
      <c r="U672" t="s">
        <v>2082</v>
      </c>
      <c r="V672" s="8">
        <v>1250</v>
      </c>
      <c r="W672" s="7">
        <v>588556</v>
      </c>
      <c r="X672" t="s">
        <v>3351</v>
      </c>
      <c r="Y672" s="8">
        <v>1250</v>
      </c>
      <c r="Z672" s="8">
        <v>1475</v>
      </c>
      <c r="AA672" s="8">
        <v>225</v>
      </c>
      <c r="AB672" s="7">
        <v>112023</v>
      </c>
      <c r="AC672" t="s">
        <v>3351</v>
      </c>
      <c r="AD672" s="8">
        <v>0</v>
      </c>
      <c r="AG672" t="s">
        <v>817</v>
      </c>
      <c r="AH672" t="s">
        <v>802</v>
      </c>
      <c r="AI672" t="s">
        <v>818</v>
      </c>
    </row>
    <row r="673" spans="1:35" hidden="1">
      <c r="A673" s="7">
        <v>672</v>
      </c>
      <c r="B673" t="s">
        <v>243</v>
      </c>
      <c r="C673" t="s">
        <v>244</v>
      </c>
      <c r="D673" s="7">
        <v>7134</v>
      </c>
      <c r="E673" t="s">
        <v>245</v>
      </c>
      <c r="F673" t="s">
        <v>246</v>
      </c>
      <c r="G673" t="s">
        <v>973</v>
      </c>
      <c r="H673" t="s">
        <v>2089</v>
      </c>
      <c r="I673" s="7">
        <v>1108</v>
      </c>
      <c r="J673" s="7">
        <v>30000</v>
      </c>
      <c r="K673" s="7">
        <v>3</v>
      </c>
      <c r="L673" t="s">
        <v>247</v>
      </c>
      <c r="M673" t="s">
        <v>361</v>
      </c>
      <c r="N673" s="7">
        <v>5897</v>
      </c>
      <c r="O673" t="s">
        <v>1002</v>
      </c>
      <c r="P673" t="s">
        <v>1003</v>
      </c>
      <c r="S673" t="s">
        <v>57</v>
      </c>
      <c r="T673" t="s">
        <v>727</v>
      </c>
      <c r="U673" t="s">
        <v>2082</v>
      </c>
      <c r="V673" s="8">
        <v>1650</v>
      </c>
      <c r="W673" s="7">
        <v>588556</v>
      </c>
      <c r="X673" t="s">
        <v>3351</v>
      </c>
      <c r="Y673" s="8">
        <v>1650</v>
      </c>
      <c r="Z673" s="8">
        <v>1947</v>
      </c>
      <c r="AA673" s="8">
        <v>297</v>
      </c>
      <c r="AB673" s="7">
        <v>112023</v>
      </c>
      <c r="AC673" t="s">
        <v>3351</v>
      </c>
      <c r="AD673" s="8">
        <v>0</v>
      </c>
      <c r="AG673" t="s">
        <v>823</v>
      </c>
      <c r="AH673" t="s">
        <v>802</v>
      </c>
      <c r="AI673" t="s">
        <v>818</v>
      </c>
    </row>
    <row r="674" spans="1:35" hidden="1">
      <c r="A674" s="7">
        <v>673</v>
      </c>
      <c r="B674" t="s">
        <v>243</v>
      </c>
      <c r="C674" t="s">
        <v>244</v>
      </c>
      <c r="D674" s="7">
        <v>7134</v>
      </c>
      <c r="E674" t="s">
        <v>245</v>
      </c>
      <c r="F674" t="s">
        <v>246</v>
      </c>
      <c r="G674" t="s">
        <v>1457</v>
      </c>
      <c r="H674" t="s">
        <v>757</v>
      </c>
      <c r="I674" s="7">
        <v>920</v>
      </c>
      <c r="J674" s="7">
        <v>9515</v>
      </c>
      <c r="K674" s="7">
        <v>1</v>
      </c>
      <c r="L674" t="s">
        <v>247</v>
      </c>
      <c r="M674" t="s">
        <v>261</v>
      </c>
      <c r="N674" s="7">
        <v>795771</v>
      </c>
      <c r="O674" t="s">
        <v>2162</v>
      </c>
      <c r="P674" t="s">
        <v>2163</v>
      </c>
      <c r="S674" t="s">
        <v>57</v>
      </c>
      <c r="T674" t="s">
        <v>727</v>
      </c>
      <c r="U674" t="s">
        <v>2082</v>
      </c>
      <c r="V674" s="8">
        <v>1250</v>
      </c>
      <c r="W674" s="7">
        <v>588556</v>
      </c>
      <c r="X674" t="s">
        <v>3351</v>
      </c>
      <c r="Y674" s="8">
        <v>1250</v>
      </c>
      <c r="Z674" s="8">
        <v>1475</v>
      </c>
      <c r="AA674" s="8">
        <v>225</v>
      </c>
      <c r="AB674" s="7">
        <v>112023</v>
      </c>
      <c r="AC674" t="s">
        <v>3351</v>
      </c>
      <c r="AD674" s="8">
        <v>0</v>
      </c>
      <c r="AG674" t="s">
        <v>817</v>
      </c>
      <c r="AH674" t="s">
        <v>802</v>
      </c>
      <c r="AI674" t="s">
        <v>818</v>
      </c>
    </row>
    <row r="675" spans="1:35" hidden="1">
      <c r="A675" s="7">
        <v>674</v>
      </c>
      <c r="B675" t="s">
        <v>243</v>
      </c>
      <c r="C675" t="s">
        <v>244</v>
      </c>
      <c r="D675" s="7">
        <v>7134</v>
      </c>
      <c r="E675" t="s">
        <v>245</v>
      </c>
      <c r="F675" t="s">
        <v>246</v>
      </c>
      <c r="G675" t="s">
        <v>1705</v>
      </c>
      <c r="H675" t="s">
        <v>770</v>
      </c>
      <c r="I675" s="7">
        <v>1165</v>
      </c>
      <c r="J675" s="7">
        <v>71500</v>
      </c>
      <c r="K675" s="7">
        <v>8</v>
      </c>
      <c r="L675" t="s">
        <v>247</v>
      </c>
      <c r="M675" t="s">
        <v>267</v>
      </c>
      <c r="N675" s="7">
        <v>777193</v>
      </c>
      <c r="O675" t="s">
        <v>1706</v>
      </c>
      <c r="P675" t="s">
        <v>1707</v>
      </c>
      <c r="S675" t="s">
        <v>57</v>
      </c>
      <c r="T675" t="s">
        <v>727</v>
      </c>
      <c r="U675" t="s">
        <v>2082</v>
      </c>
      <c r="V675" s="8">
        <v>1250</v>
      </c>
      <c r="W675" s="7">
        <v>588556</v>
      </c>
      <c r="X675" t="s">
        <v>3351</v>
      </c>
      <c r="Y675" s="8">
        <v>1250</v>
      </c>
      <c r="Z675" s="8">
        <v>1475</v>
      </c>
      <c r="AA675" s="8">
        <v>225</v>
      </c>
      <c r="AB675" s="7">
        <v>112023</v>
      </c>
      <c r="AC675" t="s">
        <v>3351</v>
      </c>
      <c r="AD675" s="8">
        <v>0</v>
      </c>
      <c r="AG675" t="s">
        <v>828</v>
      </c>
      <c r="AH675" t="s">
        <v>802</v>
      </c>
      <c r="AI675" t="s">
        <v>818</v>
      </c>
    </row>
    <row r="676" spans="1:35" hidden="1">
      <c r="A676" s="7">
        <v>675</v>
      </c>
      <c r="B676" t="s">
        <v>243</v>
      </c>
      <c r="C676" t="s">
        <v>244</v>
      </c>
      <c r="D676" s="7">
        <v>7134</v>
      </c>
      <c r="E676" t="s">
        <v>245</v>
      </c>
      <c r="F676" t="s">
        <v>246</v>
      </c>
      <c r="G676" t="s">
        <v>819</v>
      </c>
      <c r="H676" t="s">
        <v>2086</v>
      </c>
      <c r="I676" s="7">
        <v>1165</v>
      </c>
      <c r="J676" s="7">
        <v>70000</v>
      </c>
      <c r="K676" s="7">
        <v>7</v>
      </c>
      <c r="L676" t="s">
        <v>247</v>
      </c>
      <c r="M676" t="s">
        <v>361</v>
      </c>
      <c r="N676" s="7">
        <v>3152</v>
      </c>
      <c r="O676" t="s">
        <v>821</v>
      </c>
      <c r="P676" t="s">
        <v>822</v>
      </c>
      <c r="S676" t="s">
        <v>57</v>
      </c>
      <c r="T676" t="s">
        <v>727</v>
      </c>
      <c r="U676" t="s">
        <v>2082</v>
      </c>
      <c r="V676" s="8">
        <v>1650</v>
      </c>
      <c r="W676" s="7">
        <v>588556</v>
      </c>
      <c r="X676" t="s">
        <v>3351</v>
      </c>
      <c r="Y676" s="8">
        <v>1650</v>
      </c>
      <c r="Z676" s="8">
        <v>1947</v>
      </c>
      <c r="AA676" s="8">
        <v>297</v>
      </c>
      <c r="AB676" s="7">
        <v>112023</v>
      </c>
      <c r="AC676" t="s">
        <v>3351</v>
      </c>
      <c r="AD676" s="8">
        <v>0</v>
      </c>
      <c r="AG676" t="s">
        <v>823</v>
      </c>
      <c r="AH676" t="s">
        <v>802</v>
      </c>
      <c r="AI676" t="s">
        <v>818</v>
      </c>
    </row>
    <row r="677" spans="1:35" hidden="1">
      <c r="A677" s="7">
        <v>676</v>
      </c>
      <c r="B677" t="s">
        <v>243</v>
      </c>
      <c r="C677" t="s">
        <v>244</v>
      </c>
      <c r="D677" s="7">
        <v>7134</v>
      </c>
      <c r="E677" t="s">
        <v>245</v>
      </c>
      <c r="F677" t="s">
        <v>246</v>
      </c>
      <c r="G677" t="s">
        <v>1224</v>
      </c>
      <c r="H677" t="s">
        <v>2093</v>
      </c>
      <c r="I677" s="7">
        <v>852</v>
      </c>
      <c r="J677" s="7">
        <v>8800</v>
      </c>
      <c r="K677" s="7">
        <v>1</v>
      </c>
      <c r="L677" t="s">
        <v>247</v>
      </c>
      <c r="M677" t="s">
        <v>261</v>
      </c>
      <c r="N677" s="7">
        <v>795351</v>
      </c>
      <c r="O677" t="s">
        <v>2128</v>
      </c>
      <c r="P677" t="s">
        <v>2129</v>
      </c>
      <c r="S677" t="s">
        <v>57</v>
      </c>
      <c r="T677" t="s">
        <v>727</v>
      </c>
      <c r="U677" t="s">
        <v>2082</v>
      </c>
      <c r="V677" s="8">
        <v>1250</v>
      </c>
      <c r="W677" s="7">
        <v>588556</v>
      </c>
      <c r="X677" t="s">
        <v>3351</v>
      </c>
      <c r="Y677" s="8">
        <v>1250</v>
      </c>
      <c r="Z677" s="8">
        <v>1475</v>
      </c>
      <c r="AA677" s="8">
        <v>225</v>
      </c>
      <c r="AB677" s="7">
        <v>112023</v>
      </c>
      <c r="AC677" t="s">
        <v>3351</v>
      </c>
      <c r="AD677" s="8">
        <v>0</v>
      </c>
      <c r="AG677" t="s">
        <v>817</v>
      </c>
      <c r="AH677" t="s">
        <v>802</v>
      </c>
      <c r="AI677" t="s">
        <v>818</v>
      </c>
    </row>
    <row r="678" spans="1:35" hidden="1">
      <c r="A678" s="7">
        <v>677</v>
      </c>
      <c r="B678" t="s">
        <v>243</v>
      </c>
      <c r="C678" t="s">
        <v>244</v>
      </c>
      <c r="D678" s="7">
        <v>7134</v>
      </c>
      <c r="E678" t="s">
        <v>245</v>
      </c>
      <c r="F678" t="s">
        <v>246</v>
      </c>
      <c r="G678" t="s">
        <v>888</v>
      </c>
      <c r="H678" t="s">
        <v>727</v>
      </c>
      <c r="I678" s="7">
        <v>1165</v>
      </c>
      <c r="J678" s="7">
        <v>80000</v>
      </c>
      <c r="K678" s="7">
        <v>8</v>
      </c>
      <c r="L678" t="s">
        <v>247</v>
      </c>
      <c r="M678" t="s">
        <v>267</v>
      </c>
      <c r="N678" s="7">
        <v>776290</v>
      </c>
      <c r="O678" t="s">
        <v>889</v>
      </c>
      <c r="P678" t="s">
        <v>890</v>
      </c>
      <c r="S678" t="s">
        <v>57</v>
      </c>
      <c r="T678" t="s">
        <v>727</v>
      </c>
      <c r="U678" t="s">
        <v>2082</v>
      </c>
      <c r="V678" s="8">
        <v>1250</v>
      </c>
      <c r="W678" s="7">
        <v>588556</v>
      </c>
      <c r="X678" t="s">
        <v>3351</v>
      </c>
      <c r="Y678" s="8">
        <v>1250</v>
      </c>
      <c r="Z678" s="8">
        <v>1475</v>
      </c>
      <c r="AA678" s="8">
        <v>225</v>
      </c>
      <c r="AB678" s="7">
        <v>112023</v>
      </c>
      <c r="AC678" t="s">
        <v>3351</v>
      </c>
      <c r="AD678" s="8">
        <v>0</v>
      </c>
      <c r="AG678" t="s">
        <v>828</v>
      </c>
      <c r="AH678" t="s">
        <v>802</v>
      </c>
      <c r="AI678" t="s">
        <v>818</v>
      </c>
    </row>
    <row r="679" spans="1:35" hidden="1">
      <c r="A679" s="7">
        <v>678</v>
      </c>
      <c r="B679" t="s">
        <v>243</v>
      </c>
      <c r="C679" t="s">
        <v>244</v>
      </c>
      <c r="D679" s="7">
        <v>7134</v>
      </c>
      <c r="E679" t="s">
        <v>245</v>
      </c>
      <c r="F679" t="s">
        <v>246</v>
      </c>
      <c r="G679" t="s">
        <v>846</v>
      </c>
      <c r="H679" t="s">
        <v>722</v>
      </c>
      <c r="I679" s="7">
        <v>1165</v>
      </c>
      <c r="J679" s="7">
        <v>8505</v>
      </c>
      <c r="K679" s="7">
        <v>1</v>
      </c>
      <c r="L679" t="s">
        <v>247</v>
      </c>
      <c r="M679" t="s">
        <v>261</v>
      </c>
      <c r="N679" s="7">
        <v>795727</v>
      </c>
      <c r="O679" t="s">
        <v>2096</v>
      </c>
      <c r="P679" t="s">
        <v>2097</v>
      </c>
      <c r="S679" t="s">
        <v>57</v>
      </c>
      <c r="T679" t="s">
        <v>727</v>
      </c>
      <c r="U679" t="s">
        <v>2082</v>
      </c>
      <c r="V679" s="8">
        <v>1250</v>
      </c>
      <c r="W679" s="7">
        <v>588556</v>
      </c>
      <c r="X679" t="s">
        <v>3351</v>
      </c>
      <c r="Y679" s="8">
        <v>1250</v>
      </c>
      <c r="Z679" s="8">
        <v>1475</v>
      </c>
      <c r="AA679" s="8">
        <v>225</v>
      </c>
      <c r="AB679" s="7">
        <v>112023</v>
      </c>
      <c r="AC679" t="s">
        <v>3351</v>
      </c>
      <c r="AD679" s="8">
        <v>0</v>
      </c>
      <c r="AG679" t="s">
        <v>817</v>
      </c>
      <c r="AH679" t="s">
        <v>802</v>
      </c>
      <c r="AI679" t="s">
        <v>818</v>
      </c>
    </row>
    <row r="680" spans="1:35" hidden="1">
      <c r="A680" s="7">
        <v>679</v>
      </c>
      <c r="B680" t="s">
        <v>243</v>
      </c>
      <c r="C680" t="s">
        <v>244</v>
      </c>
      <c r="D680" s="7">
        <v>7134</v>
      </c>
      <c r="E680" t="s">
        <v>245</v>
      </c>
      <c r="F680" t="s">
        <v>246</v>
      </c>
      <c r="G680" t="s">
        <v>363</v>
      </c>
      <c r="H680" t="s">
        <v>2093</v>
      </c>
      <c r="I680" s="7">
        <v>872</v>
      </c>
      <c r="J680" s="7">
        <v>9563</v>
      </c>
      <c r="K680" s="7">
        <v>1</v>
      </c>
      <c r="L680" t="s">
        <v>247</v>
      </c>
      <c r="M680" t="s">
        <v>261</v>
      </c>
      <c r="N680" s="7">
        <v>798677</v>
      </c>
      <c r="O680" t="s">
        <v>2218</v>
      </c>
      <c r="P680" t="s">
        <v>2219</v>
      </c>
      <c r="S680" t="s">
        <v>57</v>
      </c>
      <c r="T680" t="s">
        <v>727</v>
      </c>
      <c r="U680" t="s">
        <v>2082</v>
      </c>
      <c r="V680" s="8">
        <v>1250</v>
      </c>
      <c r="W680" s="7">
        <v>588556</v>
      </c>
      <c r="X680" t="s">
        <v>3351</v>
      </c>
      <c r="Y680" s="8">
        <v>1250</v>
      </c>
      <c r="Z680" s="8">
        <v>1475</v>
      </c>
      <c r="AA680" s="8">
        <v>225</v>
      </c>
      <c r="AB680" s="7">
        <v>112023</v>
      </c>
      <c r="AC680" t="s">
        <v>3351</v>
      </c>
      <c r="AD680" s="8">
        <v>0</v>
      </c>
      <c r="AG680" t="s">
        <v>817</v>
      </c>
      <c r="AH680" t="s">
        <v>802</v>
      </c>
      <c r="AI680" t="s">
        <v>818</v>
      </c>
    </row>
    <row r="681" spans="1:35" hidden="1">
      <c r="A681" s="7">
        <v>680</v>
      </c>
      <c r="B681" t="s">
        <v>243</v>
      </c>
      <c r="C681" t="s">
        <v>244</v>
      </c>
      <c r="D681" s="7">
        <v>7134</v>
      </c>
      <c r="E681" t="s">
        <v>245</v>
      </c>
      <c r="F681" t="s">
        <v>246</v>
      </c>
      <c r="G681" t="s">
        <v>1256</v>
      </c>
      <c r="H681" t="s">
        <v>256</v>
      </c>
      <c r="I681" s="7">
        <v>1165</v>
      </c>
      <c r="J681" s="7">
        <v>59685</v>
      </c>
      <c r="K681" s="7">
        <v>6</v>
      </c>
      <c r="L681" t="s">
        <v>247</v>
      </c>
      <c r="M681" t="s">
        <v>361</v>
      </c>
      <c r="N681" s="7">
        <v>2073</v>
      </c>
      <c r="O681" t="s">
        <v>1258</v>
      </c>
      <c r="P681" t="s">
        <v>1259</v>
      </c>
      <c r="S681" t="s">
        <v>57</v>
      </c>
      <c r="T681" t="s">
        <v>727</v>
      </c>
      <c r="U681" t="s">
        <v>2082</v>
      </c>
      <c r="V681" s="8">
        <v>0</v>
      </c>
      <c r="W681" s="7">
        <v>588556</v>
      </c>
      <c r="X681" t="s">
        <v>3351</v>
      </c>
      <c r="Y681" s="8">
        <v>0</v>
      </c>
      <c r="Z681" s="8">
        <v>0</v>
      </c>
      <c r="AA681" s="8">
        <v>0</v>
      </c>
      <c r="AB681" s="7">
        <v>112023</v>
      </c>
      <c r="AC681" t="s">
        <v>3351</v>
      </c>
      <c r="AD681" s="8">
        <v>0</v>
      </c>
      <c r="AG681" t="s">
        <v>823</v>
      </c>
      <c r="AH681" t="s">
        <v>802</v>
      </c>
      <c r="AI681" t="s">
        <v>803</v>
      </c>
    </row>
    <row r="682" spans="1:35" hidden="1">
      <c r="A682" s="7">
        <v>681</v>
      </c>
      <c r="B682" t="s">
        <v>243</v>
      </c>
      <c r="C682" t="s">
        <v>244</v>
      </c>
      <c r="D682" s="7">
        <v>7134</v>
      </c>
      <c r="E682" t="s">
        <v>245</v>
      </c>
      <c r="F682" t="s">
        <v>246</v>
      </c>
      <c r="G682" t="s">
        <v>1252</v>
      </c>
      <c r="H682" t="s">
        <v>693</v>
      </c>
      <c r="I682" s="7">
        <v>1165</v>
      </c>
      <c r="J682" s="7">
        <v>25120</v>
      </c>
      <c r="K682" s="7">
        <v>11</v>
      </c>
      <c r="L682" t="s">
        <v>247</v>
      </c>
      <c r="M682" t="s">
        <v>261</v>
      </c>
      <c r="N682" s="7">
        <v>753617</v>
      </c>
      <c r="O682" t="s">
        <v>1254</v>
      </c>
      <c r="P682" t="s">
        <v>1255</v>
      </c>
      <c r="S682" t="s">
        <v>57</v>
      </c>
      <c r="T682" t="s">
        <v>727</v>
      </c>
      <c r="U682" t="s">
        <v>2082</v>
      </c>
      <c r="V682" s="8">
        <v>1250</v>
      </c>
      <c r="W682" s="7">
        <v>588556</v>
      </c>
      <c r="X682" t="s">
        <v>3351</v>
      </c>
      <c r="Y682" s="8">
        <v>1250</v>
      </c>
      <c r="Z682" s="8">
        <v>1475</v>
      </c>
      <c r="AA682" s="8">
        <v>225</v>
      </c>
      <c r="AB682" s="7">
        <v>112023</v>
      </c>
      <c r="AC682" t="s">
        <v>3351</v>
      </c>
      <c r="AD682" s="8">
        <v>0</v>
      </c>
      <c r="AG682" t="s">
        <v>801</v>
      </c>
      <c r="AH682" t="s">
        <v>802</v>
      </c>
      <c r="AI682" t="s">
        <v>818</v>
      </c>
    </row>
    <row r="683" spans="1:35" hidden="1">
      <c r="A683" s="7">
        <v>682</v>
      </c>
      <c r="B683" t="s">
        <v>243</v>
      </c>
      <c r="C683" t="s">
        <v>244</v>
      </c>
      <c r="D683" s="7">
        <v>7134</v>
      </c>
      <c r="E683" t="s">
        <v>245</v>
      </c>
      <c r="F683" t="s">
        <v>246</v>
      </c>
      <c r="G683" t="s">
        <v>550</v>
      </c>
      <c r="H683" t="s">
        <v>697</v>
      </c>
      <c r="I683" s="7">
        <v>1165</v>
      </c>
      <c r="J683" s="7">
        <v>10100</v>
      </c>
      <c r="K683" s="7">
        <v>1</v>
      </c>
      <c r="L683" t="s">
        <v>247</v>
      </c>
      <c r="M683" t="s">
        <v>252</v>
      </c>
      <c r="N683" s="7">
        <v>327621</v>
      </c>
      <c r="O683" t="s">
        <v>552</v>
      </c>
      <c r="P683" t="s">
        <v>553</v>
      </c>
      <c r="S683" t="s">
        <v>57</v>
      </c>
      <c r="T683" t="s">
        <v>727</v>
      </c>
      <c r="U683" t="s">
        <v>2082</v>
      </c>
      <c r="V683" s="8">
        <v>1250</v>
      </c>
      <c r="W683" s="7">
        <v>588556</v>
      </c>
      <c r="X683" t="s">
        <v>3351</v>
      </c>
      <c r="Y683" s="8">
        <v>1250</v>
      </c>
      <c r="Z683" s="8">
        <v>1475</v>
      </c>
      <c r="AA683" s="8">
        <v>225</v>
      </c>
      <c r="AB683" s="7">
        <v>112023</v>
      </c>
      <c r="AC683" t="s">
        <v>3351</v>
      </c>
      <c r="AD683" s="8">
        <v>0</v>
      </c>
      <c r="AG683" t="s">
        <v>937</v>
      </c>
      <c r="AH683" t="s">
        <v>802</v>
      </c>
      <c r="AI683" t="s">
        <v>818</v>
      </c>
    </row>
    <row r="684" spans="1:35" hidden="1">
      <c r="A684" s="7">
        <v>683</v>
      </c>
      <c r="B684" t="s">
        <v>243</v>
      </c>
      <c r="C684" t="s">
        <v>244</v>
      </c>
      <c r="D684" s="7">
        <v>7134</v>
      </c>
      <c r="E684" t="s">
        <v>245</v>
      </c>
      <c r="F684" t="s">
        <v>246</v>
      </c>
      <c r="G684" t="s">
        <v>263</v>
      </c>
      <c r="H684" t="s">
        <v>757</v>
      </c>
      <c r="I684" s="7">
        <v>955</v>
      </c>
      <c r="J684" s="7">
        <v>9005</v>
      </c>
      <c r="K684" s="7">
        <v>1</v>
      </c>
      <c r="L684" t="s">
        <v>247</v>
      </c>
      <c r="M684" t="s">
        <v>261</v>
      </c>
      <c r="N684" s="7">
        <v>798734</v>
      </c>
      <c r="O684" t="s">
        <v>2141</v>
      </c>
      <c r="P684" t="s">
        <v>2142</v>
      </c>
      <c r="S684" t="s">
        <v>57</v>
      </c>
      <c r="T684" t="s">
        <v>727</v>
      </c>
      <c r="U684" t="s">
        <v>2082</v>
      </c>
      <c r="V684" s="8">
        <v>1250</v>
      </c>
      <c r="W684" s="7">
        <v>588556</v>
      </c>
      <c r="X684" t="s">
        <v>3351</v>
      </c>
      <c r="Y684" s="8">
        <v>1250</v>
      </c>
      <c r="Z684" s="8">
        <v>1475</v>
      </c>
      <c r="AA684" s="8">
        <v>225</v>
      </c>
      <c r="AB684" s="7">
        <v>112023</v>
      </c>
      <c r="AC684" t="s">
        <v>3351</v>
      </c>
      <c r="AD684" s="8">
        <v>0</v>
      </c>
      <c r="AG684" t="s">
        <v>817</v>
      </c>
      <c r="AH684" t="s">
        <v>802</v>
      </c>
      <c r="AI684" t="s">
        <v>818</v>
      </c>
    </row>
    <row r="685" spans="1:35" hidden="1">
      <c r="A685" s="7">
        <v>684</v>
      </c>
      <c r="B685" t="s">
        <v>243</v>
      </c>
      <c r="C685" t="s">
        <v>244</v>
      </c>
      <c r="D685" s="7">
        <v>7134</v>
      </c>
      <c r="E685" t="s">
        <v>245</v>
      </c>
      <c r="F685" t="s">
        <v>246</v>
      </c>
      <c r="G685" t="s">
        <v>2143</v>
      </c>
      <c r="H685" t="s">
        <v>697</v>
      </c>
      <c r="I685" s="7">
        <v>1165</v>
      </c>
      <c r="J685" s="7">
        <v>46775</v>
      </c>
      <c r="K685" s="7">
        <v>6</v>
      </c>
      <c r="L685" t="s">
        <v>247</v>
      </c>
      <c r="M685" t="s">
        <v>261</v>
      </c>
      <c r="N685" s="7">
        <v>775458</v>
      </c>
      <c r="O685" t="s">
        <v>2144</v>
      </c>
      <c r="P685" t="s">
        <v>2145</v>
      </c>
      <c r="S685" t="s">
        <v>57</v>
      </c>
      <c r="T685" t="s">
        <v>727</v>
      </c>
      <c r="U685" t="s">
        <v>2082</v>
      </c>
      <c r="V685" s="8">
        <v>0</v>
      </c>
      <c r="W685" s="7">
        <v>588556</v>
      </c>
      <c r="X685" t="s">
        <v>3351</v>
      </c>
      <c r="Y685" s="8">
        <v>0</v>
      </c>
      <c r="Z685" s="8">
        <v>0</v>
      </c>
      <c r="AA685" s="8">
        <v>0</v>
      </c>
      <c r="AB685" s="7">
        <v>112023</v>
      </c>
      <c r="AC685" t="s">
        <v>3351</v>
      </c>
      <c r="AD685" s="8">
        <v>0</v>
      </c>
      <c r="AG685" t="s">
        <v>801</v>
      </c>
      <c r="AH685" t="s">
        <v>802</v>
      </c>
      <c r="AI685" t="s">
        <v>803</v>
      </c>
    </row>
    <row r="686" spans="1:35" hidden="1">
      <c r="A686" s="7">
        <v>685</v>
      </c>
      <c r="B686" t="s">
        <v>243</v>
      </c>
      <c r="C686" t="s">
        <v>244</v>
      </c>
      <c r="D686" s="7">
        <v>7134</v>
      </c>
      <c r="E686" t="s">
        <v>245</v>
      </c>
      <c r="F686" t="s">
        <v>246</v>
      </c>
      <c r="G686" t="s">
        <v>861</v>
      </c>
      <c r="H686" t="s">
        <v>739</v>
      </c>
      <c r="I686" s="7">
        <v>1165</v>
      </c>
      <c r="J686" s="7">
        <v>60000</v>
      </c>
      <c r="K686" s="7">
        <v>6</v>
      </c>
      <c r="L686" t="s">
        <v>247</v>
      </c>
      <c r="M686" t="s">
        <v>252</v>
      </c>
      <c r="N686" s="7">
        <v>323055</v>
      </c>
      <c r="O686" t="s">
        <v>971</v>
      </c>
      <c r="P686" t="s">
        <v>972</v>
      </c>
      <c r="S686" t="s">
        <v>57</v>
      </c>
      <c r="T686" t="s">
        <v>727</v>
      </c>
      <c r="U686" t="s">
        <v>2082</v>
      </c>
      <c r="V686" s="8">
        <v>0</v>
      </c>
      <c r="W686" s="7">
        <v>588556</v>
      </c>
      <c r="X686" t="s">
        <v>3351</v>
      </c>
      <c r="Y686" s="8">
        <v>0</v>
      </c>
      <c r="Z686" s="8">
        <v>0</v>
      </c>
      <c r="AA686" s="8">
        <v>0</v>
      </c>
      <c r="AB686" s="7">
        <v>112023</v>
      </c>
      <c r="AC686" t="s">
        <v>3351</v>
      </c>
      <c r="AD686" s="8">
        <v>0</v>
      </c>
      <c r="AG686" t="s">
        <v>937</v>
      </c>
      <c r="AH686" t="s">
        <v>802</v>
      </c>
      <c r="AI686" t="s">
        <v>803</v>
      </c>
    </row>
    <row r="687" spans="1:35" hidden="1">
      <c r="A687" s="7">
        <v>686</v>
      </c>
      <c r="B687" t="s">
        <v>243</v>
      </c>
      <c r="C687" t="s">
        <v>244</v>
      </c>
      <c r="D687" s="7">
        <v>7134</v>
      </c>
      <c r="E687" t="s">
        <v>245</v>
      </c>
      <c r="F687" t="s">
        <v>246</v>
      </c>
      <c r="G687" t="s">
        <v>2131</v>
      </c>
      <c r="H687" t="s">
        <v>2093</v>
      </c>
      <c r="I687" s="7">
        <v>1165</v>
      </c>
      <c r="J687" s="7">
        <v>14572</v>
      </c>
      <c r="K687" s="7">
        <v>2</v>
      </c>
      <c r="L687" t="s">
        <v>247</v>
      </c>
      <c r="M687" t="s">
        <v>261</v>
      </c>
      <c r="N687" s="7">
        <v>780244</v>
      </c>
      <c r="O687" t="s">
        <v>2132</v>
      </c>
      <c r="P687" t="s">
        <v>2133</v>
      </c>
      <c r="S687" t="s">
        <v>57</v>
      </c>
      <c r="T687" t="s">
        <v>727</v>
      </c>
      <c r="U687" t="s">
        <v>2082</v>
      </c>
      <c r="V687" s="8">
        <v>1250</v>
      </c>
      <c r="W687" s="7">
        <v>588556</v>
      </c>
      <c r="X687" t="s">
        <v>3351</v>
      </c>
      <c r="Y687" s="8">
        <v>1250</v>
      </c>
      <c r="Z687" s="8">
        <v>1475</v>
      </c>
      <c r="AA687" s="8">
        <v>225</v>
      </c>
      <c r="AB687" s="7">
        <v>112023</v>
      </c>
      <c r="AC687" t="s">
        <v>3351</v>
      </c>
      <c r="AD687" s="8">
        <v>0</v>
      </c>
      <c r="AG687" t="s">
        <v>817</v>
      </c>
      <c r="AH687" t="s">
        <v>802</v>
      </c>
      <c r="AI687" t="s">
        <v>818</v>
      </c>
    </row>
    <row r="688" spans="1:35" hidden="1">
      <c r="A688" s="7">
        <v>687</v>
      </c>
      <c r="B688" t="s">
        <v>243</v>
      </c>
      <c r="C688" t="s">
        <v>244</v>
      </c>
      <c r="D688" s="7">
        <v>7134</v>
      </c>
      <c r="E688" t="s">
        <v>245</v>
      </c>
      <c r="F688" t="s">
        <v>246</v>
      </c>
      <c r="G688" t="s">
        <v>293</v>
      </c>
      <c r="H688" t="s">
        <v>2152</v>
      </c>
      <c r="I688" s="7">
        <v>1150</v>
      </c>
      <c r="J688" s="7">
        <v>7754</v>
      </c>
      <c r="K688" s="7">
        <v>1</v>
      </c>
      <c r="L688" t="s">
        <v>247</v>
      </c>
      <c r="M688" t="s">
        <v>261</v>
      </c>
      <c r="N688" s="7">
        <v>778234</v>
      </c>
      <c r="O688" t="s">
        <v>2210</v>
      </c>
      <c r="P688" t="s">
        <v>2211</v>
      </c>
      <c r="Q688" t="s">
        <v>870</v>
      </c>
      <c r="R688" t="s">
        <v>871</v>
      </c>
      <c r="S688" t="s">
        <v>57</v>
      </c>
      <c r="T688" t="s">
        <v>727</v>
      </c>
      <c r="U688" t="s">
        <v>2082</v>
      </c>
      <c r="V688" s="8">
        <v>1250</v>
      </c>
      <c r="W688" s="7">
        <v>588556</v>
      </c>
      <c r="X688" t="s">
        <v>3351</v>
      </c>
      <c r="Y688" s="8">
        <v>1000</v>
      </c>
      <c r="Z688" s="8">
        <v>1475</v>
      </c>
      <c r="AA688" s="8">
        <v>225</v>
      </c>
      <c r="AB688" s="7">
        <v>112023</v>
      </c>
      <c r="AC688" t="s">
        <v>3351</v>
      </c>
      <c r="AD688" s="8">
        <v>250</v>
      </c>
      <c r="AG688" t="s">
        <v>808</v>
      </c>
      <c r="AH688" t="s">
        <v>802</v>
      </c>
      <c r="AI688" t="s">
        <v>818</v>
      </c>
    </row>
    <row r="689" spans="1:35" hidden="1">
      <c r="A689" s="7">
        <v>688</v>
      </c>
      <c r="B689" t="s">
        <v>243</v>
      </c>
      <c r="C689" t="s">
        <v>244</v>
      </c>
      <c r="D689" s="7">
        <v>7134</v>
      </c>
      <c r="E689" t="s">
        <v>245</v>
      </c>
      <c r="F689" t="s">
        <v>246</v>
      </c>
      <c r="G689" t="s">
        <v>2148</v>
      </c>
      <c r="H689" t="s">
        <v>2093</v>
      </c>
      <c r="I689" s="7">
        <v>1165</v>
      </c>
      <c r="J689" s="7">
        <v>7320</v>
      </c>
      <c r="K689" s="7">
        <v>5</v>
      </c>
      <c r="L689" t="s">
        <v>247</v>
      </c>
      <c r="M689" t="s">
        <v>252</v>
      </c>
      <c r="N689" s="7">
        <v>324484</v>
      </c>
      <c r="O689" t="s">
        <v>2149</v>
      </c>
      <c r="P689" t="s">
        <v>2150</v>
      </c>
      <c r="S689" t="s">
        <v>57</v>
      </c>
      <c r="T689" t="s">
        <v>727</v>
      </c>
      <c r="U689" t="s">
        <v>2082</v>
      </c>
      <c r="V689" s="8">
        <v>1250</v>
      </c>
      <c r="W689" s="7">
        <v>588556</v>
      </c>
      <c r="X689" t="s">
        <v>3351</v>
      </c>
      <c r="Y689" s="8">
        <v>1250</v>
      </c>
      <c r="Z689" s="8">
        <v>1475</v>
      </c>
      <c r="AA689" s="8">
        <v>225</v>
      </c>
      <c r="AB689" s="7">
        <v>112023</v>
      </c>
      <c r="AC689" t="s">
        <v>3351</v>
      </c>
      <c r="AD689" s="8">
        <v>0</v>
      </c>
      <c r="AG689" t="s">
        <v>937</v>
      </c>
      <c r="AH689" t="s">
        <v>802</v>
      </c>
      <c r="AI689" t="s">
        <v>818</v>
      </c>
    </row>
    <row r="690" spans="1:35" hidden="1">
      <c r="A690" s="7">
        <v>689</v>
      </c>
      <c r="B690" t="s">
        <v>243</v>
      </c>
      <c r="C690" t="s">
        <v>244</v>
      </c>
      <c r="D690" s="7">
        <v>7134</v>
      </c>
      <c r="E690" t="s">
        <v>245</v>
      </c>
      <c r="F690" t="s">
        <v>246</v>
      </c>
      <c r="G690" t="s">
        <v>363</v>
      </c>
      <c r="H690" t="s">
        <v>757</v>
      </c>
      <c r="I690" s="7">
        <v>824</v>
      </c>
      <c r="J690" s="7">
        <v>9500</v>
      </c>
      <c r="K690" s="7">
        <v>1</v>
      </c>
      <c r="L690" t="s">
        <v>247</v>
      </c>
      <c r="M690" t="s">
        <v>261</v>
      </c>
      <c r="N690" s="7">
        <v>795619</v>
      </c>
      <c r="O690" t="s">
        <v>2146</v>
      </c>
      <c r="P690" t="s">
        <v>2147</v>
      </c>
      <c r="S690" t="s">
        <v>57</v>
      </c>
      <c r="T690" t="s">
        <v>727</v>
      </c>
      <c r="U690" t="s">
        <v>2082</v>
      </c>
      <c r="V690" s="8">
        <v>1250</v>
      </c>
      <c r="W690" s="7">
        <v>588556</v>
      </c>
      <c r="X690" t="s">
        <v>3351</v>
      </c>
      <c r="Y690" s="8">
        <v>1250</v>
      </c>
      <c r="Z690" s="8">
        <v>1475</v>
      </c>
      <c r="AA690" s="8">
        <v>225</v>
      </c>
      <c r="AB690" s="7">
        <v>112023</v>
      </c>
      <c r="AC690" t="s">
        <v>3351</v>
      </c>
      <c r="AD690" s="8">
        <v>0</v>
      </c>
      <c r="AG690" t="s">
        <v>817</v>
      </c>
      <c r="AH690" t="s">
        <v>802</v>
      </c>
      <c r="AI690" t="s">
        <v>818</v>
      </c>
    </row>
    <row r="691" spans="1:35" hidden="1">
      <c r="A691" s="7">
        <v>690</v>
      </c>
      <c r="B691" t="s">
        <v>243</v>
      </c>
      <c r="C691" t="s">
        <v>244</v>
      </c>
      <c r="D691" s="7">
        <v>7134</v>
      </c>
      <c r="E691" t="s">
        <v>245</v>
      </c>
      <c r="F691" t="s">
        <v>246</v>
      </c>
      <c r="G691" t="s">
        <v>973</v>
      </c>
      <c r="H691" t="s">
        <v>2086</v>
      </c>
      <c r="I691" s="7">
        <v>1165</v>
      </c>
      <c r="J691" s="7">
        <v>28300</v>
      </c>
      <c r="K691" s="7">
        <v>3</v>
      </c>
      <c r="L691" t="s">
        <v>247</v>
      </c>
      <c r="M691" t="s">
        <v>267</v>
      </c>
      <c r="N691" s="7">
        <v>789109</v>
      </c>
      <c r="O691" t="s">
        <v>974</v>
      </c>
      <c r="P691" t="s">
        <v>975</v>
      </c>
      <c r="S691" t="s">
        <v>57</v>
      </c>
      <c r="T691" t="s">
        <v>727</v>
      </c>
      <c r="U691" t="s">
        <v>2082</v>
      </c>
      <c r="V691" s="8">
        <v>1250</v>
      </c>
      <c r="W691" s="7">
        <v>588556</v>
      </c>
      <c r="X691" t="s">
        <v>3351</v>
      </c>
      <c r="Y691" s="8">
        <v>1250</v>
      </c>
      <c r="Z691" s="8">
        <v>1475</v>
      </c>
      <c r="AA691" s="8">
        <v>225</v>
      </c>
      <c r="AB691" s="7">
        <v>112023</v>
      </c>
      <c r="AC691" t="s">
        <v>3351</v>
      </c>
      <c r="AD691" s="8">
        <v>0</v>
      </c>
      <c r="AG691" t="s">
        <v>828</v>
      </c>
      <c r="AH691" t="s">
        <v>802</v>
      </c>
      <c r="AI691" t="s">
        <v>818</v>
      </c>
    </row>
    <row r="692" spans="1:35" hidden="1">
      <c r="A692" s="7">
        <v>691</v>
      </c>
      <c r="B692" t="s">
        <v>243</v>
      </c>
      <c r="C692" t="s">
        <v>244</v>
      </c>
      <c r="D692" s="7">
        <v>7134</v>
      </c>
      <c r="E692" t="s">
        <v>245</v>
      </c>
      <c r="F692" t="s">
        <v>246</v>
      </c>
      <c r="G692" t="s">
        <v>2151</v>
      </c>
      <c r="H692" t="s">
        <v>2152</v>
      </c>
      <c r="I692" s="7">
        <v>1165</v>
      </c>
      <c r="J692" s="7">
        <v>28971</v>
      </c>
      <c r="K692" s="7">
        <v>10</v>
      </c>
      <c r="L692" t="s">
        <v>247</v>
      </c>
      <c r="M692" t="s">
        <v>261</v>
      </c>
      <c r="N692" s="7">
        <v>733360</v>
      </c>
      <c r="O692" t="s">
        <v>2153</v>
      </c>
      <c r="P692" t="s">
        <v>2154</v>
      </c>
      <c r="S692" t="s">
        <v>57</v>
      </c>
      <c r="T692" t="s">
        <v>727</v>
      </c>
      <c r="U692" t="s">
        <v>2082</v>
      </c>
      <c r="V692" s="8">
        <v>0</v>
      </c>
      <c r="W692" s="7">
        <v>588556</v>
      </c>
      <c r="X692" t="s">
        <v>3351</v>
      </c>
      <c r="Y692" s="8">
        <v>0</v>
      </c>
      <c r="Z692" s="8">
        <v>0</v>
      </c>
      <c r="AA692" s="8">
        <v>0</v>
      </c>
      <c r="AB692" s="7">
        <v>112023</v>
      </c>
      <c r="AC692" t="s">
        <v>3351</v>
      </c>
      <c r="AD692" s="8">
        <v>0</v>
      </c>
      <c r="AG692" t="s">
        <v>808</v>
      </c>
      <c r="AH692" t="s">
        <v>802</v>
      </c>
      <c r="AI692" t="s">
        <v>803</v>
      </c>
    </row>
    <row r="693" spans="1:35" hidden="1">
      <c r="A693" s="7">
        <v>692</v>
      </c>
      <c r="B693" t="s">
        <v>243</v>
      </c>
      <c r="C693" t="s">
        <v>244</v>
      </c>
      <c r="D693" s="7">
        <v>7134</v>
      </c>
      <c r="E693" t="s">
        <v>245</v>
      </c>
      <c r="F693" t="s">
        <v>246</v>
      </c>
      <c r="G693" t="s">
        <v>942</v>
      </c>
      <c r="H693" t="s">
        <v>2130</v>
      </c>
      <c r="I693" s="7">
        <v>1165</v>
      </c>
      <c r="J693" s="7">
        <v>14313</v>
      </c>
      <c r="K693" s="7">
        <v>2</v>
      </c>
      <c r="L693" t="s">
        <v>247</v>
      </c>
      <c r="M693" t="s">
        <v>261</v>
      </c>
      <c r="N693" s="7">
        <v>781830</v>
      </c>
      <c r="O693" t="s">
        <v>2157</v>
      </c>
      <c r="P693" t="s">
        <v>2158</v>
      </c>
      <c r="Q693" t="s">
        <v>870</v>
      </c>
      <c r="R693" t="s">
        <v>871</v>
      </c>
      <c r="S693" t="s">
        <v>57</v>
      </c>
      <c r="T693" t="s">
        <v>727</v>
      </c>
      <c r="U693" t="s">
        <v>2082</v>
      </c>
      <c r="V693" s="8">
        <v>1250</v>
      </c>
      <c r="W693" s="7">
        <v>588556</v>
      </c>
      <c r="X693" t="s">
        <v>3351</v>
      </c>
      <c r="Y693" s="8">
        <v>1000</v>
      </c>
      <c r="Z693" s="8">
        <v>1475</v>
      </c>
      <c r="AA693" s="8">
        <v>225</v>
      </c>
      <c r="AB693" s="7">
        <v>112023</v>
      </c>
      <c r="AC693" t="s">
        <v>3351</v>
      </c>
      <c r="AD693" s="8">
        <v>250</v>
      </c>
      <c r="AG693" t="s">
        <v>817</v>
      </c>
      <c r="AH693" t="s">
        <v>802</v>
      </c>
      <c r="AI693" t="s">
        <v>818</v>
      </c>
    </row>
    <row r="694" spans="1:35" hidden="1">
      <c r="A694" s="7">
        <v>693</v>
      </c>
      <c r="B694" t="s">
        <v>243</v>
      </c>
      <c r="C694" t="s">
        <v>244</v>
      </c>
      <c r="D694" s="7">
        <v>7134</v>
      </c>
      <c r="E694" t="s">
        <v>245</v>
      </c>
      <c r="F694" t="s">
        <v>246</v>
      </c>
      <c r="G694" t="s">
        <v>805</v>
      </c>
      <c r="H694" t="s">
        <v>722</v>
      </c>
      <c r="I694" s="7">
        <v>1165</v>
      </c>
      <c r="J694" s="7">
        <v>10300</v>
      </c>
      <c r="K694" s="7">
        <v>2</v>
      </c>
      <c r="L694" t="s">
        <v>247</v>
      </c>
      <c r="M694" t="s">
        <v>252</v>
      </c>
      <c r="N694" s="7">
        <v>326027</v>
      </c>
      <c r="O694" t="s">
        <v>2155</v>
      </c>
      <c r="P694" t="s">
        <v>2156</v>
      </c>
      <c r="S694" t="s">
        <v>57</v>
      </c>
      <c r="T694" t="s">
        <v>727</v>
      </c>
      <c r="U694" t="s">
        <v>2082</v>
      </c>
      <c r="V694" s="8">
        <v>0</v>
      </c>
      <c r="W694" s="7">
        <v>588556</v>
      </c>
      <c r="X694" t="s">
        <v>3351</v>
      </c>
      <c r="Y694" s="8">
        <v>0</v>
      </c>
      <c r="Z694" s="8">
        <v>0</v>
      </c>
      <c r="AA694" s="8">
        <v>0</v>
      </c>
      <c r="AB694" s="7">
        <v>112023</v>
      </c>
      <c r="AC694" t="s">
        <v>3351</v>
      </c>
      <c r="AD694" s="8">
        <v>0</v>
      </c>
      <c r="AG694" t="s">
        <v>937</v>
      </c>
      <c r="AH694" t="s">
        <v>802</v>
      </c>
      <c r="AI694" t="s">
        <v>803</v>
      </c>
    </row>
    <row r="695" spans="1:35" hidden="1">
      <c r="A695" s="7">
        <v>694</v>
      </c>
      <c r="B695" t="s">
        <v>243</v>
      </c>
      <c r="C695" t="s">
        <v>244</v>
      </c>
      <c r="D695" s="7">
        <v>7134</v>
      </c>
      <c r="E695" t="s">
        <v>245</v>
      </c>
      <c r="F695" t="s">
        <v>246</v>
      </c>
      <c r="G695" t="s">
        <v>2125</v>
      </c>
      <c r="H695" t="s">
        <v>2083</v>
      </c>
      <c r="I695" s="7">
        <v>1165</v>
      </c>
      <c r="J695" s="7">
        <v>105702</v>
      </c>
      <c r="K695" s="7">
        <v>13</v>
      </c>
      <c r="L695" t="s">
        <v>247</v>
      </c>
      <c r="M695" t="s">
        <v>261</v>
      </c>
      <c r="N695" s="7">
        <v>747832</v>
      </c>
      <c r="O695" t="s">
        <v>2126</v>
      </c>
      <c r="P695" t="s">
        <v>2127</v>
      </c>
      <c r="S695" t="s">
        <v>57</v>
      </c>
      <c r="T695" t="s">
        <v>727</v>
      </c>
      <c r="U695" t="s">
        <v>2082</v>
      </c>
      <c r="V695" s="8">
        <v>0</v>
      </c>
      <c r="W695" s="7">
        <v>588556</v>
      </c>
      <c r="X695" t="s">
        <v>3351</v>
      </c>
      <c r="Y695" s="8">
        <v>0</v>
      </c>
      <c r="Z695" s="8">
        <v>0</v>
      </c>
      <c r="AA695" s="8">
        <v>0</v>
      </c>
      <c r="AB695" s="7">
        <v>112023</v>
      </c>
      <c r="AC695" t="s">
        <v>3351</v>
      </c>
      <c r="AD695" s="8">
        <v>0</v>
      </c>
      <c r="AG695" t="s">
        <v>801</v>
      </c>
      <c r="AH695" t="s">
        <v>802</v>
      </c>
      <c r="AI695" t="s">
        <v>803</v>
      </c>
    </row>
    <row r="696" spans="1:35" hidden="1">
      <c r="A696" s="7">
        <v>695</v>
      </c>
      <c r="B696" t="s">
        <v>243</v>
      </c>
      <c r="C696" t="s">
        <v>244</v>
      </c>
      <c r="D696" s="7">
        <v>7134</v>
      </c>
      <c r="E696" t="s">
        <v>245</v>
      </c>
      <c r="F696" t="s">
        <v>246</v>
      </c>
      <c r="G696" t="s">
        <v>1615</v>
      </c>
      <c r="H696" t="s">
        <v>727</v>
      </c>
      <c r="I696" s="7">
        <v>1150</v>
      </c>
      <c r="J696" s="7">
        <v>3999</v>
      </c>
      <c r="K696" s="7">
        <v>1</v>
      </c>
      <c r="L696" t="s">
        <v>247</v>
      </c>
      <c r="M696" t="s">
        <v>261</v>
      </c>
      <c r="N696" s="7">
        <v>778137</v>
      </c>
      <c r="O696" t="s">
        <v>2183</v>
      </c>
      <c r="P696" t="s">
        <v>2184</v>
      </c>
      <c r="S696" t="s">
        <v>57</v>
      </c>
      <c r="T696" t="s">
        <v>727</v>
      </c>
      <c r="U696" t="s">
        <v>2082</v>
      </c>
      <c r="V696" s="8">
        <v>1250</v>
      </c>
      <c r="W696" s="7">
        <v>588556</v>
      </c>
      <c r="X696" t="s">
        <v>3351</v>
      </c>
      <c r="Y696" s="8">
        <v>1250</v>
      </c>
      <c r="Z696" s="8">
        <v>1475</v>
      </c>
      <c r="AA696" s="8">
        <v>225</v>
      </c>
      <c r="AB696" s="7">
        <v>112023</v>
      </c>
      <c r="AC696" t="s">
        <v>3351</v>
      </c>
      <c r="AD696" s="8">
        <v>0</v>
      </c>
      <c r="AG696" t="s">
        <v>808</v>
      </c>
      <c r="AH696" t="s">
        <v>802</v>
      </c>
      <c r="AI696" t="s">
        <v>818</v>
      </c>
    </row>
    <row r="697" spans="1:35" hidden="1">
      <c r="A697" s="7">
        <v>696</v>
      </c>
      <c r="B697" t="s">
        <v>243</v>
      </c>
      <c r="C697" t="s">
        <v>244</v>
      </c>
      <c r="D697" s="7">
        <v>7134</v>
      </c>
      <c r="E697" t="s">
        <v>245</v>
      </c>
      <c r="F697" t="s">
        <v>246</v>
      </c>
      <c r="G697" t="s">
        <v>1072</v>
      </c>
      <c r="H697" t="s">
        <v>2092</v>
      </c>
      <c r="I697" s="7">
        <v>1165</v>
      </c>
      <c r="J697" s="7">
        <v>70000</v>
      </c>
      <c r="K697" s="7">
        <v>7</v>
      </c>
      <c r="L697" t="s">
        <v>247</v>
      </c>
      <c r="M697" t="s">
        <v>261</v>
      </c>
      <c r="N697" s="7">
        <v>774648</v>
      </c>
      <c r="O697" t="s">
        <v>1549</v>
      </c>
      <c r="P697" t="s">
        <v>1550</v>
      </c>
      <c r="S697" t="s">
        <v>57</v>
      </c>
      <c r="T697" t="s">
        <v>727</v>
      </c>
      <c r="U697" t="s">
        <v>2082</v>
      </c>
      <c r="V697" s="8">
        <v>0</v>
      </c>
      <c r="W697" s="7">
        <v>588556</v>
      </c>
      <c r="X697" t="s">
        <v>3351</v>
      </c>
      <c r="Y697" s="8">
        <v>0</v>
      </c>
      <c r="Z697" s="8">
        <v>0</v>
      </c>
      <c r="AA697" s="8">
        <v>0</v>
      </c>
      <c r="AB697" s="7">
        <v>112023</v>
      </c>
      <c r="AC697" t="s">
        <v>3351</v>
      </c>
      <c r="AD697" s="8">
        <v>0</v>
      </c>
      <c r="AG697" t="s">
        <v>801</v>
      </c>
      <c r="AH697" t="s">
        <v>802</v>
      </c>
      <c r="AI697" t="s">
        <v>803</v>
      </c>
    </row>
    <row r="698" spans="1:35" hidden="1">
      <c r="A698" s="7">
        <v>697</v>
      </c>
      <c r="B698" t="s">
        <v>243</v>
      </c>
      <c r="C698" t="s">
        <v>244</v>
      </c>
      <c r="D698" s="7">
        <v>7134</v>
      </c>
      <c r="E698" t="s">
        <v>245</v>
      </c>
      <c r="F698" t="s">
        <v>246</v>
      </c>
      <c r="G698" t="s">
        <v>293</v>
      </c>
      <c r="H698" t="s">
        <v>683</v>
      </c>
      <c r="I698" s="7">
        <v>1165</v>
      </c>
      <c r="J698" s="7">
        <v>10000</v>
      </c>
      <c r="K698" s="7">
        <v>1</v>
      </c>
      <c r="L698" t="s">
        <v>247</v>
      </c>
      <c r="M698" t="s">
        <v>261</v>
      </c>
      <c r="N698" s="7">
        <v>801496</v>
      </c>
      <c r="O698" t="s">
        <v>455</v>
      </c>
      <c r="P698" t="s">
        <v>456</v>
      </c>
      <c r="Q698" t="s">
        <v>283</v>
      </c>
      <c r="R698" t="s">
        <v>1062</v>
      </c>
      <c r="S698" t="s">
        <v>57</v>
      </c>
      <c r="T698" t="s">
        <v>727</v>
      </c>
      <c r="U698" t="s">
        <v>2082</v>
      </c>
      <c r="V698" s="8">
        <v>1250</v>
      </c>
      <c r="W698" s="7">
        <v>588556</v>
      </c>
      <c r="X698" t="s">
        <v>3351</v>
      </c>
      <c r="Y698" s="8">
        <v>0</v>
      </c>
      <c r="Z698" s="8">
        <v>1475</v>
      </c>
      <c r="AA698" s="8">
        <v>225</v>
      </c>
      <c r="AB698" s="7">
        <v>112023</v>
      </c>
      <c r="AC698" t="s">
        <v>3351</v>
      </c>
      <c r="AD698" s="8">
        <v>1250</v>
      </c>
      <c r="AG698" t="s">
        <v>801</v>
      </c>
      <c r="AH698" t="s">
        <v>802</v>
      </c>
      <c r="AI698" t="s">
        <v>818</v>
      </c>
    </row>
    <row r="699" spans="1:35" hidden="1">
      <c r="A699" s="7">
        <v>698</v>
      </c>
      <c r="B699" t="s">
        <v>243</v>
      </c>
      <c r="C699" t="s">
        <v>244</v>
      </c>
      <c r="D699" s="7">
        <v>7134</v>
      </c>
      <c r="E699" t="s">
        <v>245</v>
      </c>
      <c r="F699" t="s">
        <v>246</v>
      </c>
      <c r="G699" t="s">
        <v>1530</v>
      </c>
      <c r="H699" t="s">
        <v>2079</v>
      </c>
      <c r="I699" s="7">
        <v>1165</v>
      </c>
      <c r="J699" s="7">
        <v>20000</v>
      </c>
      <c r="K699" s="7">
        <v>2</v>
      </c>
      <c r="L699" t="s">
        <v>247</v>
      </c>
      <c r="M699" t="s">
        <v>361</v>
      </c>
      <c r="N699" s="7">
        <v>6480</v>
      </c>
      <c r="O699" t="s">
        <v>1531</v>
      </c>
      <c r="P699" t="s">
        <v>1532</v>
      </c>
      <c r="S699" t="s">
        <v>57</v>
      </c>
      <c r="T699" t="s">
        <v>727</v>
      </c>
      <c r="U699" t="s">
        <v>2082</v>
      </c>
      <c r="V699" s="8">
        <v>0</v>
      </c>
      <c r="W699" s="7">
        <v>588556</v>
      </c>
      <c r="X699" t="s">
        <v>3351</v>
      </c>
      <c r="Y699" s="8">
        <v>0</v>
      </c>
      <c r="Z699" s="8">
        <v>0</v>
      </c>
      <c r="AA699" s="8">
        <v>0</v>
      </c>
      <c r="AB699" s="7">
        <v>112023</v>
      </c>
      <c r="AC699" t="s">
        <v>3351</v>
      </c>
      <c r="AD699" s="8">
        <v>0</v>
      </c>
      <c r="AG699" t="s">
        <v>823</v>
      </c>
      <c r="AH699" t="s">
        <v>802</v>
      </c>
      <c r="AI699" t="s">
        <v>803</v>
      </c>
    </row>
    <row r="700" spans="1:35" hidden="1">
      <c r="A700" s="7">
        <v>699</v>
      </c>
      <c r="B700" t="s">
        <v>243</v>
      </c>
      <c r="C700" t="s">
        <v>244</v>
      </c>
      <c r="D700" s="7">
        <v>7134</v>
      </c>
      <c r="E700" t="s">
        <v>245</v>
      </c>
      <c r="F700" t="s">
        <v>246</v>
      </c>
      <c r="G700" t="s">
        <v>1125</v>
      </c>
      <c r="H700" t="s">
        <v>2104</v>
      </c>
      <c r="I700" s="7">
        <v>1165</v>
      </c>
      <c r="J700" s="7">
        <v>68257</v>
      </c>
      <c r="K700" s="7">
        <v>7</v>
      </c>
      <c r="L700" t="s">
        <v>247</v>
      </c>
      <c r="M700" t="s">
        <v>361</v>
      </c>
      <c r="N700" s="7">
        <v>3261</v>
      </c>
      <c r="O700" t="s">
        <v>1126</v>
      </c>
      <c r="P700" t="s">
        <v>1127</v>
      </c>
      <c r="S700" t="s">
        <v>57</v>
      </c>
      <c r="T700" t="s">
        <v>727</v>
      </c>
      <c r="U700" t="s">
        <v>2082</v>
      </c>
      <c r="V700" s="8">
        <v>1650</v>
      </c>
      <c r="W700" s="7">
        <v>588556</v>
      </c>
      <c r="X700" t="s">
        <v>3351</v>
      </c>
      <c r="Y700" s="8">
        <v>1650</v>
      </c>
      <c r="Z700" s="8">
        <v>1947</v>
      </c>
      <c r="AA700" s="8">
        <v>297</v>
      </c>
      <c r="AB700" s="7">
        <v>112023</v>
      </c>
      <c r="AC700" t="s">
        <v>3351</v>
      </c>
      <c r="AD700" s="8">
        <v>0</v>
      </c>
      <c r="AG700" t="s">
        <v>823</v>
      </c>
      <c r="AH700" t="s">
        <v>802</v>
      </c>
      <c r="AI700" t="s">
        <v>818</v>
      </c>
    </row>
    <row r="701" spans="1:35" hidden="1">
      <c r="A701" s="7">
        <v>700</v>
      </c>
      <c r="B701" t="s">
        <v>243</v>
      </c>
      <c r="C701" t="s">
        <v>244</v>
      </c>
      <c r="D701" s="7">
        <v>7134</v>
      </c>
      <c r="E701" t="s">
        <v>245</v>
      </c>
      <c r="F701" t="s">
        <v>246</v>
      </c>
      <c r="G701" t="s">
        <v>263</v>
      </c>
      <c r="H701" t="s">
        <v>757</v>
      </c>
      <c r="I701" s="7">
        <v>892</v>
      </c>
      <c r="J701" s="7">
        <v>9400</v>
      </c>
      <c r="K701" s="7">
        <v>1</v>
      </c>
      <c r="L701" t="s">
        <v>247</v>
      </c>
      <c r="M701" t="s">
        <v>261</v>
      </c>
      <c r="N701" s="7">
        <v>796577</v>
      </c>
      <c r="O701" t="s">
        <v>2196</v>
      </c>
      <c r="P701" t="s">
        <v>2197</v>
      </c>
      <c r="S701" t="s">
        <v>57</v>
      </c>
      <c r="T701" t="s">
        <v>727</v>
      </c>
      <c r="U701" t="s">
        <v>2082</v>
      </c>
      <c r="V701" s="8">
        <v>1250</v>
      </c>
      <c r="W701" s="7">
        <v>588556</v>
      </c>
      <c r="X701" t="s">
        <v>3351</v>
      </c>
      <c r="Y701" s="8">
        <v>1250</v>
      </c>
      <c r="Z701" s="8">
        <v>1475</v>
      </c>
      <c r="AA701" s="8">
        <v>225</v>
      </c>
      <c r="AB701" s="7">
        <v>112023</v>
      </c>
      <c r="AC701" t="s">
        <v>3351</v>
      </c>
      <c r="AD701" s="8">
        <v>0</v>
      </c>
      <c r="AG701" t="s">
        <v>817</v>
      </c>
      <c r="AH701" t="s">
        <v>802</v>
      </c>
      <c r="AI701" t="s">
        <v>818</v>
      </c>
    </row>
    <row r="702" spans="1:35" hidden="1">
      <c r="A702" s="7">
        <v>701</v>
      </c>
      <c r="B702" t="s">
        <v>243</v>
      </c>
      <c r="C702" t="s">
        <v>244</v>
      </c>
      <c r="D702" s="7">
        <v>7134</v>
      </c>
      <c r="E702" t="s">
        <v>245</v>
      </c>
      <c r="F702" t="s">
        <v>246</v>
      </c>
      <c r="G702" t="s">
        <v>867</v>
      </c>
      <c r="H702" t="s">
        <v>2086</v>
      </c>
      <c r="I702" s="7">
        <v>1165</v>
      </c>
      <c r="J702" s="7">
        <v>40000</v>
      </c>
      <c r="K702" s="7">
        <v>4</v>
      </c>
      <c r="L702" t="s">
        <v>247</v>
      </c>
      <c r="M702" t="s">
        <v>261</v>
      </c>
      <c r="N702" s="7">
        <v>790571</v>
      </c>
      <c r="O702" t="s">
        <v>868</v>
      </c>
      <c r="P702" t="s">
        <v>869</v>
      </c>
      <c r="S702" t="s">
        <v>57</v>
      </c>
      <c r="T702" t="s">
        <v>727</v>
      </c>
      <c r="U702" t="s">
        <v>2082</v>
      </c>
      <c r="V702" s="8">
        <v>0</v>
      </c>
      <c r="W702" s="7">
        <v>588556</v>
      </c>
      <c r="X702" t="s">
        <v>3351</v>
      </c>
      <c r="Y702" s="8">
        <v>0</v>
      </c>
      <c r="Z702" s="8">
        <v>0</v>
      </c>
      <c r="AA702" s="8">
        <v>0</v>
      </c>
      <c r="AB702" s="7">
        <v>112023</v>
      </c>
      <c r="AC702" t="s">
        <v>3351</v>
      </c>
      <c r="AD702" s="8">
        <v>0</v>
      </c>
      <c r="AG702" t="s">
        <v>801</v>
      </c>
      <c r="AH702" t="s">
        <v>802</v>
      </c>
      <c r="AI702" t="s">
        <v>803</v>
      </c>
    </row>
    <row r="703" spans="1:35" hidden="1">
      <c r="A703" s="7">
        <v>702</v>
      </c>
      <c r="B703" t="s">
        <v>243</v>
      </c>
      <c r="C703" t="s">
        <v>244</v>
      </c>
      <c r="D703" s="7">
        <v>7134</v>
      </c>
      <c r="E703" t="s">
        <v>245</v>
      </c>
      <c r="F703" t="s">
        <v>246</v>
      </c>
      <c r="G703" t="s">
        <v>1224</v>
      </c>
      <c r="H703" t="s">
        <v>2104</v>
      </c>
      <c r="I703" s="7">
        <v>892</v>
      </c>
      <c r="J703" s="7">
        <v>8999</v>
      </c>
      <c r="K703" s="7">
        <v>1</v>
      </c>
      <c r="L703" t="s">
        <v>247</v>
      </c>
      <c r="M703" t="s">
        <v>261</v>
      </c>
      <c r="N703" s="7">
        <v>797897</v>
      </c>
      <c r="O703" t="s">
        <v>2202</v>
      </c>
      <c r="P703" t="s">
        <v>2203</v>
      </c>
      <c r="S703" t="s">
        <v>57</v>
      </c>
      <c r="T703" t="s">
        <v>727</v>
      </c>
      <c r="U703" t="s">
        <v>2082</v>
      </c>
      <c r="V703" s="8">
        <v>1250</v>
      </c>
      <c r="W703" s="7">
        <v>588556</v>
      </c>
      <c r="X703" t="s">
        <v>3351</v>
      </c>
      <c r="Y703" s="8">
        <v>1250</v>
      </c>
      <c r="Z703" s="8">
        <v>1475</v>
      </c>
      <c r="AA703" s="8">
        <v>225</v>
      </c>
      <c r="AB703" s="7">
        <v>112023</v>
      </c>
      <c r="AC703" t="s">
        <v>3351</v>
      </c>
      <c r="AD703" s="8">
        <v>0</v>
      </c>
      <c r="AG703" t="s">
        <v>817</v>
      </c>
      <c r="AH703" t="s">
        <v>802</v>
      </c>
      <c r="AI703" t="s">
        <v>818</v>
      </c>
    </row>
    <row r="704" spans="1:35" hidden="1">
      <c r="A704" s="7">
        <v>703</v>
      </c>
      <c r="B704" t="s">
        <v>243</v>
      </c>
      <c r="C704" t="s">
        <v>244</v>
      </c>
      <c r="D704" s="7">
        <v>7134</v>
      </c>
      <c r="E704" t="s">
        <v>245</v>
      </c>
      <c r="F704" t="s">
        <v>246</v>
      </c>
      <c r="G704" t="s">
        <v>1050</v>
      </c>
      <c r="H704" t="s">
        <v>770</v>
      </c>
      <c r="I704" s="7">
        <v>1165</v>
      </c>
      <c r="J704" s="7">
        <v>40000</v>
      </c>
      <c r="K704" s="7">
        <v>4</v>
      </c>
      <c r="L704" t="s">
        <v>247</v>
      </c>
      <c r="M704" t="s">
        <v>261</v>
      </c>
      <c r="N704" s="7">
        <v>787043</v>
      </c>
      <c r="O704" t="s">
        <v>1205</v>
      </c>
      <c r="P704" t="s">
        <v>1206</v>
      </c>
      <c r="S704" t="s">
        <v>57</v>
      </c>
      <c r="T704" t="s">
        <v>727</v>
      </c>
      <c r="U704" t="s">
        <v>2082</v>
      </c>
      <c r="V704" s="8">
        <v>0</v>
      </c>
      <c r="W704" s="7">
        <v>588556</v>
      </c>
      <c r="X704" t="s">
        <v>3351</v>
      </c>
      <c r="Y704" s="8">
        <v>0</v>
      </c>
      <c r="Z704" s="8">
        <v>0</v>
      </c>
      <c r="AA704" s="8">
        <v>0</v>
      </c>
      <c r="AB704" s="7">
        <v>112023</v>
      </c>
      <c r="AC704" t="s">
        <v>3351</v>
      </c>
      <c r="AD704" s="8">
        <v>0</v>
      </c>
      <c r="AG704" t="s">
        <v>801</v>
      </c>
      <c r="AH704" t="s">
        <v>802</v>
      </c>
      <c r="AI704" t="s">
        <v>803</v>
      </c>
    </row>
    <row r="705" spans="1:35" hidden="1">
      <c r="A705" s="7">
        <v>704</v>
      </c>
      <c r="B705" t="s">
        <v>243</v>
      </c>
      <c r="C705" t="s">
        <v>244</v>
      </c>
      <c r="D705" s="7">
        <v>7134</v>
      </c>
      <c r="E705" t="s">
        <v>245</v>
      </c>
      <c r="F705" t="s">
        <v>246</v>
      </c>
      <c r="G705" t="s">
        <v>2138</v>
      </c>
      <c r="H705" t="s">
        <v>256</v>
      </c>
      <c r="I705" s="7">
        <v>1165</v>
      </c>
      <c r="J705" s="7">
        <v>15001</v>
      </c>
      <c r="K705" s="7">
        <v>2</v>
      </c>
      <c r="L705" t="s">
        <v>247</v>
      </c>
      <c r="M705" t="s">
        <v>261</v>
      </c>
      <c r="N705" s="7">
        <v>781805</v>
      </c>
      <c r="O705" t="s">
        <v>2139</v>
      </c>
      <c r="P705" t="s">
        <v>2140</v>
      </c>
      <c r="S705" t="s">
        <v>57</v>
      </c>
      <c r="T705" t="s">
        <v>727</v>
      </c>
      <c r="U705" t="s">
        <v>2082</v>
      </c>
      <c r="V705" s="8">
        <v>1250</v>
      </c>
      <c r="W705" s="7">
        <v>588556</v>
      </c>
      <c r="X705" t="s">
        <v>3351</v>
      </c>
      <c r="Y705" s="8">
        <v>1250</v>
      </c>
      <c r="Z705" s="8">
        <v>1475</v>
      </c>
      <c r="AA705" s="8">
        <v>225</v>
      </c>
      <c r="AB705" s="7">
        <v>112023</v>
      </c>
      <c r="AC705" t="s">
        <v>3351</v>
      </c>
      <c r="AD705" s="8">
        <v>0</v>
      </c>
      <c r="AG705" t="s">
        <v>817</v>
      </c>
      <c r="AH705" t="s">
        <v>802</v>
      </c>
      <c r="AI705" t="s">
        <v>818</v>
      </c>
    </row>
    <row r="706" spans="1:35" hidden="1">
      <c r="A706" s="7">
        <v>705</v>
      </c>
      <c r="B706" t="s">
        <v>243</v>
      </c>
      <c r="C706" t="s">
        <v>244</v>
      </c>
      <c r="D706" s="7">
        <v>7134</v>
      </c>
      <c r="E706" t="s">
        <v>245</v>
      </c>
      <c r="F706" t="s">
        <v>246</v>
      </c>
      <c r="G706" t="s">
        <v>917</v>
      </c>
      <c r="H706" t="s">
        <v>2083</v>
      </c>
      <c r="I706" s="7">
        <v>1165</v>
      </c>
      <c r="J706" s="7">
        <v>30000</v>
      </c>
      <c r="K706" s="7">
        <v>3</v>
      </c>
      <c r="L706" t="s">
        <v>247</v>
      </c>
      <c r="M706" t="s">
        <v>361</v>
      </c>
      <c r="N706" s="7">
        <v>6199</v>
      </c>
      <c r="O706" t="s">
        <v>1592</v>
      </c>
      <c r="P706" t="s">
        <v>1593</v>
      </c>
      <c r="S706" t="s">
        <v>57</v>
      </c>
      <c r="T706" t="s">
        <v>727</v>
      </c>
      <c r="U706" t="s">
        <v>2082</v>
      </c>
      <c r="V706" s="8">
        <v>1650</v>
      </c>
      <c r="W706" s="7">
        <v>588556</v>
      </c>
      <c r="X706" t="s">
        <v>3351</v>
      </c>
      <c r="Y706" s="8">
        <v>1650</v>
      </c>
      <c r="Z706" s="8">
        <v>1947</v>
      </c>
      <c r="AA706" s="8">
        <v>297</v>
      </c>
      <c r="AB706" s="7">
        <v>112023</v>
      </c>
      <c r="AC706" t="s">
        <v>3351</v>
      </c>
      <c r="AD706" s="8">
        <v>0</v>
      </c>
      <c r="AG706" t="s">
        <v>823</v>
      </c>
      <c r="AH706" t="s">
        <v>802</v>
      </c>
      <c r="AI706" t="s">
        <v>818</v>
      </c>
    </row>
    <row r="707" spans="1:35" hidden="1">
      <c r="A707" s="7">
        <v>706</v>
      </c>
      <c r="B707" t="s">
        <v>243</v>
      </c>
      <c r="C707" t="s">
        <v>244</v>
      </c>
      <c r="D707" s="7">
        <v>7134</v>
      </c>
      <c r="E707" t="s">
        <v>245</v>
      </c>
      <c r="F707" t="s">
        <v>246</v>
      </c>
      <c r="G707" t="s">
        <v>1324</v>
      </c>
      <c r="H707" t="s">
        <v>707</v>
      </c>
      <c r="I707" s="7">
        <v>1165</v>
      </c>
      <c r="J707" s="7">
        <v>10500</v>
      </c>
      <c r="K707" s="7">
        <v>3</v>
      </c>
      <c r="L707" t="s">
        <v>247</v>
      </c>
      <c r="M707" t="s">
        <v>252</v>
      </c>
      <c r="N707" s="7">
        <v>326648</v>
      </c>
      <c r="O707" t="s">
        <v>1326</v>
      </c>
      <c r="P707" t="s">
        <v>1327</v>
      </c>
      <c r="S707" t="s">
        <v>57</v>
      </c>
      <c r="T707" t="s">
        <v>727</v>
      </c>
      <c r="U707" t="s">
        <v>2082</v>
      </c>
      <c r="V707" s="8">
        <v>1250</v>
      </c>
      <c r="W707" s="7">
        <v>588556</v>
      </c>
      <c r="X707" t="s">
        <v>3351</v>
      </c>
      <c r="Y707" s="8">
        <v>1250</v>
      </c>
      <c r="Z707" s="8">
        <v>1475</v>
      </c>
      <c r="AA707" s="8">
        <v>225</v>
      </c>
      <c r="AB707" s="7">
        <v>112023</v>
      </c>
      <c r="AC707" t="s">
        <v>3351</v>
      </c>
      <c r="AD707" s="8">
        <v>0</v>
      </c>
      <c r="AG707" t="s">
        <v>937</v>
      </c>
      <c r="AH707" t="s">
        <v>802</v>
      </c>
      <c r="AI707" t="s">
        <v>818</v>
      </c>
    </row>
    <row r="708" spans="1:35" hidden="1">
      <c r="A708" s="7">
        <v>707</v>
      </c>
      <c r="B708" t="s">
        <v>243</v>
      </c>
      <c r="C708" t="s">
        <v>244</v>
      </c>
      <c r="D708" s="7">
        <v>7134</v>
      </c>
      <c r="E708" t="s">
        <v>245</v>
      </c>
      <c r="F708" t="s">
        <v>246</v>
      </c>
      <c r="G708" t="s">
        <v>1038</v>
      </c>
      <c r="H708" t="s">
        <v>2164</v>
      </c>
      <c r="I708" s="7">
        <v>1165</v>
      </c>
      <c r="J708" s="7">
        <v>31102</v>
      </c>
      <c r="K708" s="7">
        <v>3</v>
      </c>
      <c r="L708" t="s">
        <v>247</v>
      </c>
      <c r="M708" t="s">
        <v>261</v>
      </c>
      <c r="N708" s="7">
        <v>771608</v>
      </c>
      <c r="O708" t="s">
        <v>2198</v>
      </c>
      <c r="P708" t="s">
        <v>2199</v>
      </c>
      <c r="S708" t="s">
        <v>57</v>
      </c>
      <c r="T708" t="s">
        <v>727</v>
      </c>
      <c r="U708" t="s">
        <v>2082</v>
      </c>
      <c r="V708" s="8">
        <v>1250</v>
      </c>
      <c r="W708" s="7">
        <v>588556</v>
      </c>
      <c r="X708" t="s">
        <v>3351</v>
      </c>
      <c r="Y708" s="8">
        <v>1250</v>
      </c>
      <c r="Z708" s="8">
        <v>1475</v>
      </c>
      <c r="AA708" s="8">
        <v>225</v>
      </c>
      <c r="AB708" s="7">
        <v>112023</v>
      </c>
      <c r="AC708" t="s">
        <v>3351</v>
      </c>
      <c r="AD708" s="8">
        <v>0</v>
      </c>
      <c r="AG708" t="s">
        <v>817</v>
      </c>
      <c r="AH708" t="s">
        <v>802</v>
      </c>
      <c r="AI708" t="s">
        <v>818</v>
      </c>
    </row>
    <row r="709" spans="1:35" hidden="1">
      <c r="A709" s="7">
        <v>708</v>
      </c>
      <c r="B709" t="s">
        <v>243</v>
      </c>
      <c r="C709" t="s">
        <v>244</v>
      </c>
      <c r="D709" s="7">
        <v>7134</v>
      </c>
      <c r="E709" t="s">
        <v>245</v>
      </c>
      <c r="F709" t="s">
        <v>246</v>
      </c>
      <c r="G709" t="s">
        <v>1224</v>
      </c>
      <c r="H709" t="s">
        <v>2104</v>
      </c>
      <c r="I709" s="7">
        <v>856</v>
      </c>
      <c r="J709" s="7">
        <v>9010</v>
      </c>
      <c r="K709" s="7">
        <v>1</v>
      </c>
      <c r="L709" t="s">
        <v>247</v>
      </c>
      <c r="M709" t="s">
        <v>261</v>
      </c>
      <c r="N709" s="7">
        <v>798595</v>
      </c>
      <c r="O709" t="s">
        <v>2200</v>
      </c>
      <c r="P709" t="s">
        <v>2201</v>
      </c>
      <c r="S709" t="s">
        <v>57</v>
      </c>
      <c r="T709" t="s">
        <v>727</v>
      </c>
      <c r="U709" t="s">
        <v>2082</v>
      </c>
      <c r="V709" s="8">
        <v>1250</v>
      </c>
      <c r="W709" s="7">
        <v>588556</v>
      </c>
      <c r="X709" t="s">
        <v>3351</v>
      </c>
      <c r="Y709" s="8">
        <v>1250</v>
      </c>
      <c r="Z709" s="8">
        <v>1475</v>
      </c>
      <c r="AA709" s="8">
        <v>225</v>
      </c>
      <c r="AB709" s="7">
        <v>112023</v>
      </c>
      <c r="AC709" t="s">
        <v>3351</v>
      </c>
      <c r="AD709" s="8">
        <v>0</v>
      </c>
      <c r="AG709" t="s">
        <v>817</v>
      </c>
      <c r="AH709" t="s">
        <v>802</v>
      </c>
      <c r="AI709" t="s">
        <v>818</v>
      </c>
    </row>
    <row r="710" spans="1:35" hidden="1">
      <c r="A710" s="7">
        <v>709</v>
      </c>
      <c r="B710" t="s">
        <v>243</v>
      </c>
      <c r="C710" t="s">
        <v>244</v>
      </c>
      <c r="D710" s="7">
        <v>7134</v>
      </c>
      <c r="E710" t="s">
        <v>245</v>
      </c>
      <c r="F710" t="s">
        <v>246</v>
      </c>
      <c r="G710" t="s">
        <v>1027</v>
      </c>
      <c r="H710" t="s">
        <v>739</v>
      </c>
      <c r="I710" s="7">
        <v>1165</v>
      </c>
      <c r="J710" s="7">
        <v>80000</v>
      </c>
      <c r="K710" s="7">
        <v>8</v>
      </c>
      <c r="L710" t="s">
        <v>247</v>
      </c>
      <c r="M710" t="s">
        <v>261</v>
      </c>
      <c r="N710" s="7">
        <v>775229</v>
      </c>
      <c r="O710" t="s">
        <v>1028</v>
      </c>
      <c r="P710" t="s">
        <v>1029</v>
      </c>
      <c r="S710" t="s">
        <v>57</v>
      </c>
      <c r="T710" t="s">
        <v>727</v>
      </c>
      <c r="U710" t="s">
        <v>2082</v>
      </c>
      <c r="V710" s="8">
        <v>1250</v>
      </c>
      <c r="W710" s="7">
        <v>588556</v>
      </c>
      <c r="X710" t="s">
        <v>3351</v>
      </c>
      <c r="Y710" s="8">
        <v>1250</v>
      </c>
      <c r="Z710" s="8">
        <v>1475</v>
      </c>
      <c r="AA710" s="8">
        <v>225</v>
      </c>
      <c r="AB710" s="7">
        <v>112023</v>
      </c>
      <c r="AC710" t="s">
        <v>3351</v>
      </c>
      <c r="AD710" s="8">
        <v>0</v>
      </c>
      <c r="AG710" t="s">
        <v>801</v>
      </c>
      <c r="AH710" t="s">
        <v>802</v>
      </c>
      <c r="AI710" t="s">
        <v>818</v>
      </c>
    </row>
    <row r="711" spans="1:35" hidden="1">
      <c r="A711" s="7">
        <v>710</v>
      </c>
      <c r="B711" t="s">
        <v>243</v>
      </c>
      <c r="C711" t="s">
        <v>244</v>
      </c>
      <c r="D711" s="7">
        <v>7134</v>
      </c>
      <c r="E711" t="s">
        <v>245</v>
      </c>
      <c r="F711" t="s">
        <v>246</v>
      </c>
      <c r="G711" t="s">
        <v>313</v>
      </c>
      <c r="H711" t="s">
        <v>2089</v>
      </c>
      <c r="I711" s="7">
        <v>1165</v>
      </c>
      <c r="J711" s="7">
        <v>9937</v>
      </c>
      <c r="K711" s="7">
        <v>2</v>
      </c>
      <c r="L711" t="s">
        <v>247</v>
      </c>
      <c r="M711" t="s">
        <v>361</v>
      </c>
      <c r="N711" s="7">
        <v>6118</v>
      </c>
      <c r="O711" t="s">
        <v>437</v>
      </c>
      <c r="P711" t="s">
        <v>438</v>
      </c>
      <c r="S711" t="s">
        <v>57</v>
      </c>
      <c r="T711" t="s">
        <v>727</v>
      </c>
      <c r="U711" t="s">
        <v>2082</v>
      </c>
      <c r="V711" s="8">
        <v>0</v>
      </c>
      <c r="W711" s="7">
        <v>588556</v>
      </c>
      <c r="X711" t="s">
        <v>3351</v>
      </c>
      <c r="Y711" s="8">
        <v>0</v>
      </c>
      <c r="Z711" s="8">
        <v>0</v>
      </c>
      <c r="AA711" s="8">
        <v>0</v>
      </c>
      <c r="AB711" s="7">
        <v>112023</v>
      </c>
      <c r="AC711" t="s">
        <v>3351</v>
      </c>
      <c r="AD711" s="8">
        <v>0</v>
      </c>
      <c r="AG711" t="s">
        <v>823</v>
      </c>
      <c r="AH711" t="s">
        <v>802</v>
      </c>
      <c r="AI711" t="s">
        <v>803</v>
      </c>
    </row>
    <row r="712" spans="1:35" hidden="1">
      <c r="A712" s="7">
        <v>711</v>
      </c>
      <c r="B712" t="s">
        <v>243</v>
      </c>
      <c r="C712" t="s">
        <v>244</v>
      </c>
      <c r="D712" s="7">
        <v>7134</v>
      </c>
      <c r="E712" t="s">
        <v>245</v>
      </c>
      <c r="F712" t="s">
        <v>246</v>
      </c>
      <c r="G712" t="s">
        <v>1226</v>
      </c>
      <c r="H712" t="s">
        <v>727</v>
      </c>
      <c r="I712" s="7">
        <v>1165</v>
      </c>
      <c r="J712" s="7">
        <v>89000</v>
      </c>
      <c r="K712" s="7">
        <v>9</v>
      </c>
      <c r="L712" t="s">
        <v>247</v>
      </c>
      <c r="M712" t="s">
        <v>361</v>
      </c>
      <c r="N712" s="7">
        <v>3187</v>
      </c>
      <c r="O712" t="s">
        <v>1262</v>
      </c>
      <c r="P712" t="s">
        <v>1263</v>
      </c>
      <c r="S712" t="s">
        <v>57</v>
      </c>
      <c r="T712" t="s">
        <v>727</v>
      </c>
      <c r="U712" t="s">
        <v>2082</v>
      </c>
      <c r="V712" s="8">
        <v>0</v>
      </c>
      <c r="W712" s="7">
        <v>588556</v>
      </c>
      <c r="X712" t="s">
        <v>3351</v>
      </c>
      <c r="Y712" s="8">
        <v>0</v>
      </c>
      <c r="Z712" s="8">
        <v>0</v>
      </c>
      <c r="AA712" s="8">
        <v>0</v>
      </c>
      <c r="AB712" s="7">
        <v>112023</v>
      </c>
      <c r="AC712" t="s">
        <v>3351</v>
      </c>
      <c r="AD712" s="8">
        <v>0</v>
      </c>
      <c r="AG712" t="s">
        <v>823</v>
      </c>
      <c r="AH712" t="s">
        <v>802</v>
      </c>
      <c r="AI712" t="s">
        <v>803</v>
      </c>
    </row>
    <row r="713" spans="1:35" hidden="1">
      <c r="A713" s="7">
        <v>712</v>
      </c>
      <c r="B713" t="s">
        <v>243</v>
      </c>
      <c r="C713" t="s">
        <v>244</v>
      </c>
      <c r="D713" s="7">
        <v>7134</v>
      </c>
      <c r="E713" t="s">
        <v>245</v>
      </c>
      <c r="F713" t="s">
        <v>246</v>
      </c>
      <c r="G713" t="s">
        <v>273</v>
      </c>
      <c r="H713" t="s">
        <v>727</v>
      </c>
      <c r="I713" s="7">
        <v>1165</v>
      </c>
      <c r="J713" s="7">
        <v>3417</v>
      </c>
      <c r="K713" s="7">
        <v>1</v>
      </c>
      <c r="L713" t="s">
        <v>247</v>
      </c>
      <c r="M713" t="s">
        <v>267</v>
      </c>
      <c r="N713" s="7">
        <v>789038</v>
      </c>
      <c r="O713" t="s">
        <v>458</v>
      </c>
      <c r="P713" t="s">
        <v>459</v>
      </c>
      <c r="Q713" t="s">
        <v>870</v>
      </c>
      <c r="R713" t="s">
        <v>871</v>
      </c>
      <c r="S713" t="s">
        <v>57</v>
      </c>
      <c r="T713" t="s">
        <v>727</v>
      </c>
      <c r="U713" t="s">
        <v>2082</v>
      </c>
      <c r="V713" s="8">
        <v>1250</v>
      </c>
      <c r="W713" s="7">
        <v>588556</v>
      </c>
      <c r="X713" t="s">
        <v>3351</v>
      </c>
      <c r="Y713" s="8">
        <v>1000</v>
      </c>
      <c r="Z713" s="8">
        <v>1475</v>
      </c>
      <c r="AA713" s="8">
        <v>225</v>
      </c>
      <c r="AB713" s="7">
        <v>112023</v>
      </c>
      <c r="AC713" t="s">
        <v>3351</v>
      </c>
      <c r="AD713" s="8">
        <v>250</v>
      </c>
      <c r="AG713" t="s">
        <v>828</v>
      </c>
      <c r="AH713" t="s">
        <v>802</v>
      </c>
      <c r="AI713" t="s">
        <v>818</v>
      </c>
    </row>
    <row r="714" spans="1:35" hidden="1">
      <c r="A714" s="7">
        <v>713</v>
      </c>
      <c r="B714" t="s">
        <v>243</v>
      </c>
      <c r="C714" t="s">
        <v>244</v>
      </c>
      <c r="D714" s="7">
        <v>7134</v>
      </c>
      <c r="E714" t="s">
        <v>245</v>
      </c>
      <c r="F714" t="s">
        <v>246</v>
      </c>
      <c r="G714" t="s">
        <v>1116</v>
      </c>
      <c r="H714" t="s">
        <v>2093</v>
      </c>
      <c r="I714" s="7">
        <v>1165</v>
      </c>
      <c r="J714" s="7">
        <v>12980</v>
      </c>
      <c r="K714" s="7">
        <v>2</v>
      </c>
      <c r="L714" t="s">
        <v>247</v>
      </c>
      <c r="M714" t="s">
        <v>261</v>
      </c>
      <c r="N714" s="7">
        <v>780231</v>
      </c>
      <c r="O714" t="s">
        <v>2094</v>
      </c>
      <c r="P714" t="s">
        <v>2095</v>
      </c>
      <c r="S714" t="s">
        <v>57</v>
      </c>
      <c r="T714" t="s">
        <v>727</v>
      </c>
      <c r="U714" t="s">
        <v>2082</v>
      </c>
      <c r="V714" s="8">
        <v>1250</v>
      </c>
      <c r="W714" s="7">
        <v>588556</v>
      </c>
      <c r="X714" t="s">
        <v>3351</v>
      </c>
      <c r="Y714" s="8">
        <v>1250</v>
      </c>
      <c r="Z714" s="8">
        <v>1475</v>
      </c>
      <c r="AA714" s="8">
        <v>225</v>
      </c>
      <c r="AB714" s="7">
        <v>112023</v>
      </c>
      <c r="AC714" t="s">
        <v>3351</v>
      </c>
      <c r="AD714" s="8">
        <v>0</v>
      </c>
      <c r="AG714" t="s">
        <v>817</v>
      </c>
      <c r="AH714" t="s">
        <v>802</v>
      </c>
      <c r="AI714" t="s">
        <v>818</v>
      </c>
    </row>
    <row r="715" spans="1:35" hidden="1">
      <c r="A715" s="7">
        <v>714</v>
      </c>
      <c r="B715" t="s">
        <v>243</v>
      </c>
      <c r="C715" t="s">
        <v>244</v>
      </c>
      <c r="D715" s="7">
        <v>7134</v>
      </c>
      <c r="E715" t="s">
        <v>245</v>
      </c>
      <c r="F715" t="s">
        <v>246</v>
      </c>
      <c r="G715" t="s">
        <v>1287</v>
      </c>
      <c r="H715" t="s">
        <v>722</v>
      </c>
      <c r="I715" s="7">
        <v>1165</v>
      </c>
      <c r="J715" s="7">
        <v>49630</v>
      </c>
      <c r="K715" s="7">
        <v>5</v>
      </c>
      <c r="L715" t="s">
        <v>247</v>
      </c>
      <c r="M715" t="s">
        <v>267</v>
      </c>
      <c r="N715" s="7">
        <v>776534</v>
      </c>
      <c r="O715" t="s">
        <v>1288</v>
      </c>
      <c r="P715" t="s">
        <v>1289</v>
      </c>
      <c r="S715" t="s">
        <v>57</v>
      </c>
      <c r="T715" t="s">
        <v>727</v>
      </c>
      <c r="U715" t="s">
        <v>2082</v>
      </c>
      <c r="V715" s="8">
        <v>1250</v>
      </c>
      <c r="W715" s="7">
        <v>588556</v>
      </c>
      <c r="X715" t="s">
        <v>3351</v>
      </c>
      <c r="Y715" s="8">
        <v>1250</v>
      </c>
      <c r="Z715" s="8">
        <v>1475</v>
      </c>
      <c r="AA715" s="8">
        <v>225</v>
      </c>
      <c r="AB715" s="7">
        <v>112023</v>
      </c>
      <c r="AC715" t="s">
        <v>3351</v>
      </c>
      <c r="AD715" s="8">
        <v>0</v>
      </c>
      <c r="AG715" t="s">
        <v>828</v>
      </c>
      <c r="AH715" t="s">
        <v>802</v>
      </c>
      <c r="AI715" t="s">
        <v>818</v>
      </c>
    </row>
    <row r="716" spans="1:35" hidden="1">
      <c r="A716" s="7">
        <v>715</v>
      </c>
      <c r="B716" t="s">
        <v>243</v>
      </c>
      <c r="C716" t="s">
        <v>244</v>
      </c>
      <c r="D716" s="7">
        <v>7134</v>
      </c>
      <c r="E716" t="s">
        <v>245</v>
      </c>
      <c r="F716" t="s">
        <v>246</v>
      </c>
      <c r="G716" t="s">
        <v>1614</v>
      </c>
      <c r="H716" t="s">
        <v>2092</v>
      </c>
      <c r="I716" s="7">
        <v>1165</v>
      </c>
      <c r="J716" s="7">
        <v>51168</v>
      </c>
      <c r="K716" s="7">
        <v>8</v>
      </c>
      <c r="L716" t="s">
        <v>247</v>
      </c>
      <c r="M716" t="s">
        <v>252</v>
      </c>
      <c r="N716" s="7">
        <v>320410</v>
      </c>
      <c r="O716" t="s">
        <v>1616</v>
      </c>
      <c r="P716" t="s">
        <v>1617</v>
      </c>
      <c r="S716" t="s">
        <v>57</v>
      </c>
      <c r="T716" t="s">
        <v>727</v>
      </c>
      <c r="U716" t="s">
        <v>2082</v>
      </c>
      <c r="V716" s="8">
        <v>1250</v>
      </c>
      <c r="W716" s="7">
        <v>588556</v>
      </c>
      <c r="X716" t="s">
        <v>3351</v>
      </c>
      <c r="Y716" s="8">
        <v>1250</v>
      </c>
      <c r="Z716" s="8">
        <v>1475</v>
      </c>
      <c r="AA716" s="8">
        <v>225</v>
      </c>
      <c r="AB716" s="7">
        <v>112023</v>
      </c>
      <c r="AC716" t="s">
        <v>3351</v>
      </c>
      <c r="AD716" s="8">
        <v>0</v>
      </c>
      <c r="AG716" t="s">
        <v>937</v>
      </c>
      <c r="AH716" t="s">
        <v>802</v>
      </c>
      <c r="AI716" t="s">
        <v>818</v>
      </c>
    </row>
    <row r="717" spans="1:35" hidden="1">
      <c r="A717" s="7">
        <v>716</v>
      </c>
      <c r="B717" t="s">
        <v>243</v>
      </c>
      <c r="C717" t="s">
        <v>244</v>
      </c>
      <c r="D717" s="7">
        <v>7134</v>
      </c>
      <c r="E717" t="s">
        <v>245</v>
      </c>
      <c r="F717" t="s">
        <v>246</v>
      </c>
      <c r="G717" t="s">
        <v>797</v>
      </c>
      <c r="H717" t="s">
        <v>722</v>
      </c>
      <c r="I717" s="7">
        <v>1165</v>
      </c>
      <c r="J717" s="7">
        <v>6742</v>
      </c>
      <c r="K717" s="7">
        <v>1</v>
      </c>
      <c r="L717" t="s">
        <v>247</v>
      </c>
      <c r="M717" t="s">
        <v>261</v>
      </c>
      <c r="N717" s="7">
        <v>707980091</v>
      </c>
      <c r="O717" t="s">
        <v>2116</v>
      </c>
      <c r="P717" t="s">
        <v>2117</v>
      </c>
      <c r="S717" t="s">
        <v>57</v>
      </c>
      <c r="T717" t="s">
        <v>727</v>
      </c>
      <c r="U717" t="s">
        <v>2082</v>
      </c>
      <c r="V717" s="8">
        <v>1250</v>
      </c>
      <c r="W717" s="7">
        <v>588556</v>
      </c>
      <c r="X717" t="s">
        <v>3351</v>
      </c>
      <c r="Y717" s="8">
        <v>1250</v>
      </c>
      <c r="Z717" s="8">
        <v>1475</v>
      </c>
      <c r="AA717" s="8">
        <v>225</v>
      </c>
      <c r="AB717" s="7">
        <v>112023</v>
      </c>
      <c r="AC717" t="s">
        <v>3351</v>
      </c>
      <c r="AD717" s="8">
        <v>0</v>
      </c>
      <c r="AG717" t="s">
        <v>817</v>
      </c>
      <c r="AH717" t="s">
        <v>802</v>
      </c>
      <c r="AI717" t="s">
        <v>818</v>
      </c>
    </row>
    <row r="718" spans="1:35" hidden="1">
      <c r="A718" s="7">
        <v>717</v>
      </c>
      <c r="B718" t="s">
        <v>243</v>
      </c>
      <c r="C718" t="s">
        <v>244</v>
      </c>
      <c r="D718" s="7">
        <v>7134</v>
      </c>
      <c r="E718" t="s">
        <v>245</v>
      </c>
      <c r="F718" t="s">
        <v>246</v>
      </c>
      <c r="G718" t="s">
        <v>1277</v>
      </c>
      <c r="H718" t="s">
        <v>697</v>
      </c>
      <c r="I718" s="7">
        <v>1165</v>
      </c>
      <c r="J718" s="7">
        <v>30000</v>
      </c>
      <c r="K718" s="7">
        <v>3</v>
      </c>
      <c r="L718" t="s">
        <v>247</v>
      </c>
      <c r="M718" t="s">
        <v>361</v>
      </c>
      <c r="N718" s="7">
        <v>5539</v>
      </c>
      <c r="O718" t="s">
        <v>1278</v>
      </c>
      <c r="P718" t="s">
        <v>1279</v>
      </c>
      <c r="S718" t="s">
        <v>57</v>
      </c>
      <c r="T718" t="s">
        <v>727</v>
      </c>
      <c r="U718" t="s">
        <v>2082</v>
      </c>
      <c r="V718" s="8">
        <v>1650</v>
      </c>
      <c r="W718" s="7">
        <v>588556</v>
      </c>
      <c r="X718" t="s">
        <v>3351</v>
      </c>
      <c r="Y718" s="8">
        <v>1650</v>
      </c>
      <c r="Z718" s="8">
        <v>1947</v>
      </c>
      <c r="AA718" s="8">
        <v>297</v>
      </c>
      <c r="AB718" s="7">
        <v>112023</v>
      </c>
      <c r="AC718" t="s">
        <v>3351</v>
      </c>
      <c r="AD718" s="8">
        <v>0</v>
      </c>
      <c r="AG718" t="s">
        <v>823</v>
      </c>
      <c r="AH718" t="s">
        <v>802</v>
      </c>
      <c r="AI718" t="s">
        <v>818</v>
      </c>
    </row>
    <row r="719" spans="1:35" hidden="1">
      <c r="A719" s="7">
        <v>718</v>
      </c>
      <c r="B719" t="s">
        <v>243</v>
      </c>
      <c r="C719" t="s">
        <v>244</v>
      </c>
      <c r="D719" s="7">
        <v>7134</v>
      </c>
      <c r="E719" t="s">
        <v>245</v>
      </c>
      <c r="F719" t="s">
        <v>246</v>
      </c>
      <c r="G719" t="s">
        <v>838</v>
      </c>
      <c r="H719" t="s">
        <v>693</v>
      </c>
      <c r="I719" s="7">
        <v>998</v>
      </c>
      <c r="J719" s="7">
        <v>126463</v>
      </c>
      <c r="K719" s="7">
        <v>12</v>
      </c>
      <c r="L719" t="s">
        <v>247</v>
      </c>
      <c r="M719" t="s">
        <v>261</v>
      </c>
      <c r="N719" s="7">
        <v>750061</v>
      </c>
      <c r="O719" t="s">
        <v>906</v>
      </c>
      <c r="P719" t="s">
        <v>907</v>
      </c>
      <c r="Q719" t="s">
        <v>908</v>
      </c>
      <c r="R719" t="s">
        <v>909</v>
      </c>
      <c r="S719" t="s">
        <v>57</v>
      </c>
      <c r="T719" t="s">
        <v>727</v>
      </c>
      <c r="U719" t="s">
        <v>2082</v>
      </c>
      <c r="V719" s="8">
        <v>0</v>
      </c>
      <c r="W719" s="7">
        <v>588556</v>
      </c>
      <c r="X719" t="s">
        <v>3351</v>
      </c>
      <c r="Y719" s="8">
        <v>0</v>
      </c>
      <c r="Z719" s="8">
        <v>0</v>
      </c>
      <c r="AA719" s="8">
        <v>0</v>
      </c>
      <c r="AB719" s="7">
        <v>112023</v>
      </c>
      <c r="AC719" t="s">
        <v>3351</v>
      </c>
      <c r="AD719" s="8">
        <v>0</v>
      </c>
      <c r="AG719" t="s">
        <v>801</v>
      </c>
      <c r="AH719" t="s">
        <v>802</v>
      </c>
      <c r="AI719" t="s">
        <v>803</v>
      </c>
    </row>
    <row r="720" spans="1:35" hidden="1">
      <c r="A720" s="7">
        <v>719</v>
      </c>
      <c r="B720" t="s">
        <v>243</v>
      </c>
      <c r="C720" t="s">
        <v>244</v>
      </c>
      <c r="D720" s="7">
        <v>7134</v>
      </c>
      <c r="E720" t="s">
        <v>245</v>
      </c>
      <c r="F720" t="s">
        <v>246</v>
      </c>
      <c r="G720" t="s">
        <v>852</v>
      </c>
      <c r="H720" t="s">
        <v>693</v>
      </c>
      <c r="I720" s="7">
        <v>1165</v>
      </c>
      <c r="J720" s="7">
        <v>129500</v>
      </c>
      <c r="K720" s="7">
        <v>13</v>
      </c>
      <c r="L720" t="s">
        <v>247</v>
      </c>
      <c r="M720" t="s">
        <v>261</v>
      </c>
      <c r="N720" s="7">
        <v>755374</v>
      </c>
      <c r="O720" t="s">
        <v>854</v>
      </c>
      <c r="P720" t="s">
        <v>855</v>
      </c>
      <c r="S720" t="s">
        <v>57</v>
      </c>
      <c r="T720" t="s">
        <v>727</v>
      </c>
      <c r="U720" t="s">
        <v>2082</v>
      </c>
      <c r="V720" s="8">
        <v>0</v>
      </c>
      <c r="W720" s="7">
        <v>588556</v>
      </c>
      <c r="X720" t="s">
        <v>3351</v>
      </c>
      <c r="Y720" s="8">
        <v>0</v>
      </c>
      <c r="Z720" s="8">
        <v>0</v>
      </c>
      <c r="AA720" s="8">
        <v>0</v>
      </c>
      <c r="AB720" s="7">
        <v>112023</v>
      </c>
      <c r="AC720" t="s">
        <v>3351</v>
      </c>
      <c r="AD720" s="8">
        <v>0</v>
      </c>
      <c r="AG720" t="s">
        <v>801</v>
      </c>
      <c r="AH720" t="s">
        <v>802</v>
      </c>
      <c r="AI720" t="s">
        <v>803</v>
      </c>
    </row>
    <row r="721" spans="1:35" hidden="1">
      <c r="A721" s="7">
        <v>720</v>
      </c>
      <c r="B721" t="s">
        <v>243</v>
      </c>
      <c r="C721" t="s">
        <v>244</v>
      </c>
      <c r="D721" s="7">
        <v>7134</v>
      </c>
      <c r="E721" t="s">
        <v>245</v>
      </c>
      <c r="F721" t="s">
        <v>246</v>
      </c>
      <c r="G721" t="s">
        <v>1628</v>
      </c>
      <c r="H721" t="s">
        <v>584</v>
      </c>
      <c r="I721" s="7">
        <v>1165</v>
      </c>
      <c r="J721" s="7">
        <v>19000</v>
      </c>
      <c r="K721" s="7">
        <v>2</v>
      </c>
      <c r="L721" t="s">
        <v>247</v>
      </c>
      <c r="M721" t="s">
        <v>261</v>
      </c>
      <c r="N721" s="7">
        <v>791455</v>
      </c>
      <c r="O721" t="s">
        <v>1629</v>
      </c>
      <c r="P721" t="s">
        <v>1630</v>
      </c>
      <c r="S721" t="s">
        <v>57</v>
      </c>
      <c r="T721" t="s">
        <v>727</v>
      </c>
      <c r="U721" t="s">
        <v>2082</v>
      </c>
      <c r="V721" s="8">
        <v>0</v>
      </c>
      <c r="W721" s="7">
        <v>588556</v>
      </c>
      <c r="X721" t="s">
        <v>3351</v>
      </c>
      <c r="Y721" s="8">
        <v>0</v>
      </c>
      <c r="Z721" s="8">
        <v>0</v>
      </c>
      <c r="AA721" s="8">
        <v>0</v>
      </c>
      <c r="AB721" s="7">
        <v>112023</v>
      </c>
      <c r="AC721" t="s">
        <v>3351</v>
      </c>
      <c r="AD721" s="8">
        <v>0</v>
      </c>
      <c r="AG721" t="s">
        <v>801</v>
      </c>
      <c r="AH721" t="s">
        <v>802</v>
      </c>
      <c r="AI721" t="s">
        <v>803</v>
      </c>
    </row>
    <row r="722" spans="1:35" hidden="1">
      <c r="A722" s="7">
        <v>721</v>
      </c>
      <c r="B722" t="s">
        <v>243</v>
      </c>
      <c r="C722" t="s">
        <v>244</v>
      </c>
      <c r="D722" s="7">
        <v>7134</v>
      </c>
      <c r="E722" t="s">
        <v>245</v>
      </c>
      <c r="F722" t="s">
        <v>246</v>
      </c>
      <c r="G722" t="s">
        <v>263</v>
      </c>
      <c r="H722" t="s">
        <v>757</v>
      </c>
      <c r="I722" s="7">
        <v>859</v>
      </c>
      <c r="J722" s="7">
        <v>9594</v>
      </c>
      <c r="K722" s="7">
        <v>1</v>
      </c>
      <c r="L722" t="s">
        <v>247</v>
      </c>
      <c r="M722" t="s">
        <v>261</v>
      </c>
      <c r="N722" s="7">
        <v>796581</v>
      </c>
      <c r="O722" t="s">
        <v>2206</v>
      </c>
      <c r="P722" t="s">
        <v>2207</v>
      </c>
      <c r="S722" t="s">
        <v>57</v>
      </c>
      <c r="T722" t="s">
        <v>727</v>
      </c>
      <c r="U722" t="s">
        <v>2082</v>
      </c>
      <c r="V722" s="8">
        <v>1250</v>
      </c>
      <c r="W722" s="7">
        <v>588556</v>
      </c>
      <c r="X722" t="s">
        <v>3351</v>
      </c>
      <c r="Y722" s="8">
        <v>1250</v>
      </c>
      <c r="Z722" s="8">
        <v>1475</v>
      </c>
      <c r="AA722" s="8">
        <v>225</v>
      </c>
      <c r="AB722" s="7">
        <v>112023</v>
      </c>
      <c r="AC722" t="s">
        <v>3351</v>
      </c>
      <c r="AD722" s="8">
        <v>0</v>
      </c>
      <c r="AG722" t="s">
        <v>817</v>
      </c>
      <c r="AH722" t="s">
        <v>802</v>
      </c>
      <c r="AI722" t="s">
        <v>818</v>
      </c>
    </row>
    <row r="723" spans="1:35" hidden="1">
      <c r="A723" s="7">
        <v>722</v>
      </c>
      <c r="B723" t="s">
        <v>243</v>
      </c>
      <c r="C723" t="s">
        <v>244</v>
      </c>
      <c r="D723" s="7">
        <v>7134</v>
      </c>
      <c r="E723" t="s">
        <v>245</v>
      </c>
      <c r="F723" t="s">
        <v>246</v>
      </c>
      <c r="G723" t="s">
        <v>861</v>
      </c>
      <c r="H723" t="s">
        <v>722</v>
      </c>
      <c r="I723" s="7">
        <v>970</v>
      </c>
      <c r="J723" s="7">
        <v>50000</v>
      </c>
      <c r="K723" s="7">
        <v>5</v>
      </c>
      <c r="L723" t="s">
        <v>247</v>
      </c>
      <c r="M723" t="s">
        <v>361</v>
      </c>
      <c r="N723" s="7">
        <v>4625</v>
      </c>
      <c r="O723" t="s">
        <v>1009</v>
      </c>
      <c r="P723" t="s">
        <v>1010</v>
      </c>
      <c r="S723" t="s">
        <v>57</v>
      </c>
      <c r="T723" t="s">
        <v>727</v>
      </c>
      <c r="U723" t="s">
        <v>2082</v>
      </c>
      <c r="V723" s="8">
        <v>1650</v>
      </c>
      <c r="W723" s="7">
        <v>588556</v>
      </c>
      <c r="X723" t="s">
        <v>3351</v>
      </c>
      <c r="Y723" s="8">
        <v>1650</v>
      </c>
      <c r="Z723" s="8">
        <v>1947</v>
      </c>
      <c r="AA723" s="8">
        <v>297</v>
      </c>
      <c r="AB723" s="7">
        <v>112023</v>
      </c>
      <c r="AC723" t="s">
        <v>3351</v>
      </c>
      <c r="AD723" s="8">
        <v>0</v>
      </c>
      <c r="AG723" t="s">
        <v>823</v>
      </c>
      <c r="AH723" t="s">
        <v>802</v>
      </c>
      <c r="AI723" t="s">
        <v>818</v>
      </c>
    </row>
    <row r="724" spans="1:35" hidden="1">
      <c r="A724" s="7">
        <v>723</v>
      </c>
      <c r="B724" t="s">
        <v>243</v>
      </c>
      <c r="C724" t="s">
        <v>244</v>
      </c>
      <c r="D724" s="7">
        <v>7134</v>
      </c>
      <c r="E724" t="s">
        <v>245</v>
      </c>
      <c r="F724" t="s">
        <v>246</v>
      </c>
      <c r="G724" t="s">
        <v>867</v>
      </c>
      <c r="H724" t="s">
        <v>1802</v>
      </c>
      <c r="I724" s="7">
        <v>1165</v>
      </c>
      <c r="J724" s="7">
        <v>50000</v>
      </c>
      <c r="K724" s="7">
        <v>5</v>
      </c>
      <c r="L724" t="s">
        <v>247</v>
      </c>
      <c r="M724" t="s">
        <v>361</v>
      </c>
      <c r="N724" s="7">
        <v>5598</v>
      </c>
      <c r="O724" t="s">
        <v>1655</v>
      </c>
      <c r="P724" t="s">
        <v>1656</v>
      </c>
      <c r="S724" t="s">
        <v>57</v>
      </c>
      <c r="T724" t="s">
        <v>727</v>
      </c>
      <c r="U724" t="s">
        <v>2082</v>
      </c>
      <c r="V724" s="8">
        <v>1650</v>
      </c>
      <c r="W724" s="7">
        <v>588556</v>
      </c>
      <c r="X724" t="s">
        <v>3351</v>
      </c>
      <c r="Y724" s="8">
        <v>1650</v>
      </c>
      <c r="Z724" s="8">
        <v>1947</v>
      </c>
      <c r="AA724" s="8">
        <v>297</v>
      </c>
      <c r="AB724" s="7">
        <v>112023</v>
      </c>
      <c r="AC724" t="s">
        <v>3351</v>
      </c>
      <c r="AD724" s="8">
        <v>0</v>
      </c>
      <c r="AG724" t="s">
        <v>823</v>
      </c>
      <c r="AH724" t="s">
        <v>802</v>
      </c>
      <c r="AI724" t="s">
        <v>818</v>
      </c>
    </row>
    <row r="725" spans="1:35" hidden="1">
      <c r="A725" s="7">
        <v>724</v>
      </c>
      <c r="B725" t="s">
        <v>243</v>
      </c>
      <c r="C725" t="s">
        <v>244</v>
      </c>
      <c r="D725" s="7">
        <v>7134</v>
      </c>
      <c r="E725" t="s">
        <v>245</v>
      </c>
      <c r="F725" t="s">
        <v>246</v>
      </c>
      <c r="G725" t="s">
        <v>2078</v>
      </c>
      <c r="H725" t="s">
        <v>2079</v>
      </c>
      <c r="I725" s="7">
        <v>1165</v>
      </c>
      <c r="J725" s="7">
        <v>15315</v>
      </c>
      <c r="K725" s="7">
        <v>2</v>
      </c>
      <c r="L725" t="s">
        <v>247</v>
      </c>
      <c r="M725" t="s">
        <v>261</v>
      </c>
      <c r="N725" s="7">
        <v>780141</v>
      </c>
      <c r="O725" t="s">
        <v>2080</v>
      </c>
      <c r="P725" t="s">
        <v>2081</v>
      </c>
      <c r="S725" t="s">
        <v>57</v>
      </c>
      <c r="T725" t="s">
        <v>727</v>
      </c>
      <c r="U725" t="s">
        <v>2082</v>
      </c>
      <c r="V725" s="8">
        <v>1250</v>
      </c>
      <c r="W725" s="7">
        <v>588556</v>
      </c>
      <c r="X725" t="s">
        <v>3351</v>
      </c>
      <c r="Y725" s="8">
        <v>1250</v>
      </c>
      <c r="Z725" s="8">
        <v>1475</v>
      </c>
      <c r="AA725" s="8">
        <v>225</v>
      </c>
      <c r="AB725" s="7">
        <v>112023</v>
      </c>
      <c r="AC725" t="s">
        <v>3351</v>
      </c>
      <c r="AD725" s="8">
        <v>0</v>
      </c>
      <c r="AG725" t="s">
        <v>817</v>
      </c>
      <c r="AH725" t="s">
        <v>802</v>
      </c>
      <c r="AI725" t="s">
        <v>818</v>
      </c>
    </row>
    <row r="726" spans="1:35" hidden="1">
      <c r="A726" s="7">
        <v>725</v>
      </c>
      <c r="B726" t="s">
        <v>243</v>
      </c>
      <c r="C726" t="s">
        <v>244</v>
      </c>
      <c r="D726" s="7">
        <v>7134</v>
      </c>
      <c r="E726" t="s">
        <v>245</v>
      </c>
      <c r="F726" t="s">
        <v>246</v>
      </c>
      <c r="G726" t="s">
        <v>982</v>
      </c>
      <c r="H726" t="s">
        <v>683</v>
      </c>
      <c r="I726" s="7">
        <v>1165</v>
      </c>
      <c r="J726" s="7">
        <v>25129</v>
      </c>
      <c r="K726" s="7">
        <v>4</v>
      </c>
      <c r="L726" t="s">
        <v>247</v>
      </c>
      <c r="M726" t="s">
        <v>261</v>
      </c>
      <c r="N726" s="7">
        <v>786107</v>
      </c>
      <c r="O726" t="s">
        <v>1407</v>
      </c>
      <c r="P726" t="s">
        <v>1408</v>
      </c>
      <c r="S726" t="s">
        <v>57</v>
      </c>
      <c r="T726" t="s">
        <v>727</v>
      </c>
      <c r="U726" t="s">
        <v>2082</v>
      </c>
      <c r="V726" s="8">
        <v>0</v>
      </c>
      <c r="W726" s="7">
        <v>588556</v>
      </c>
      <c r="X726" t="s">
        <v>3351</v>
      </c>
      <c r="Y726" s="8">
        <v>0</v>
      </c>
      <c r="Z726" s="8">
        <v>0</v>
      </c>
      <c r="AA726" s="8">
        <v>0</v>
      </c>
      <c r="AB726" s="7">
        <v>112023</v>
      </c>
      <c r="AC726" t="s">
        <v>3351</v>
      </c>
      <c r="AD726" s="8">
        <v>0</v>
      </c>
      <c r="AG726" t="s">
        <v>801</v>
      </c>
      <c r="AH726" t="s">
        <v>802</v>
      </c>
      <c r="AI726" t="s">
        <v>803</v>
      </c>
    </row>
    <row r="727" spans="1:35" hidden="1">
      <c r="A727" s="7">
        <v>726</v>
      </c>
      <c r="B727" t="s">
        <v>243</v>
      </c>
      <c r="C727" t="s">
        <v>244</v>
      </c>
      <c r="D727" s="7">
        <v>7134</v>
      </c>
      <c r="E727" t="s">
        <v>245</v>
      </c>
      <c r="F727" t="s">
        <v>246</v>
      </c>
      <c r="G727" t="s">
        <v>1080</v>
      </c>
      <c r="H727" t="s">
        <v>757</v>
      </c>
      <c r="I727" s="7">
        <v>1165</v>
      </c>
      <c r="J727" s="7">
        <v>80000</v>
      </c>
      <c r="K727" s="7">
        <v>8</v>
      </c>
      <c r="L727" t="s">
        <v>247</v>
      </c>
      <c r="M727" t="s">
        <v>252</v>
      </c>
      <c r="N727" s="7">
        <v>321778</v>
      </c>
      <c r="O727" t="s">
        <v>1081</v>
      </c>
      <c r="P727" t="s">
        <v>1082</v>
      </c>
      <c r="S727" t="s">
        <v>57</v>
      </c>
      <c r="T727" t="s">
        <v>727</v>
      </c>
      <c r="U727" t="s">
        <v>2082</v>
      </c>
      <c r="V727" s="8">
        <v>1250</v>
      </c>
      <c r="W727" s="7">
        <v>588556</v>
      </c>
      <c r="X727" t="s">
        <v>3351</v>
      </c>
      <c r="Y727" s="8">
        <v>1250</v>
      </c>
      <c r="Z727" s="8">
        <v>1475</v>
      </c>
      <c r="AA727" s="8">
        <v>225</v>
      </c>
      <c r="AB727" s="7">
        <v>112023</v>
      </c>
      <c r="AC727" t="s">
        <v>3351</v>
      </c>
      <c r="AD727" s="8">
        <v>0</v>
      </c>
      <c r="AG727" t="s">
        <v>937</v>
      </c>
      <c r="AH727" t="s">
        <v>802</v>
      </c>
      <c r="AI727" t="s">
        <v>818</v>
      </c>
    </row>
    <row r="728" spans="1:35" hidden="1">
      <c r="A728" s="7">
        <v>727</v>
      </c>
      <c r="B728" t="s">
        <v>243</v>
      </c>
      <c r="C728" t="s">
        <v>244</v>
      </c>
      <c r="D728" s="7">
        <v>7134</v>
      </c>
      <c r="E728" t="s">
        <v>245</v>
      </c>
      <c r="F728" t="s">
        <v>246</v>
      </c>
      <c r="G728" t="s">
        <v>263</v>
      </c>
      <c r="H728" t="s">
        <v>2104</v>
      </c>
      <c r="I728" s="7">
        <v>891</v>
      </c>
      <c r="J728" s="7">
        <v>9727</v>
      </c>
      <c r="K728" s="7">
        <v>1</v>
      </c>
      <c r="L728" t="s">
        <v>247</v>
      </c>
      <c r="M728" t="s">
        <v>261</v>
      </c>
      <c r="N728" s="7">
        <v>798678</v>
      </c>
      <c r="O728" t="s">
        <v>2105</v>
      </c>
      <c r="P728" t="s">
        <v>2106</v>
      </c>
      <c r="S728" t="s">
        <v>57</v>
      </c>
      <c r="T728" t="s">
        <v>727</v>
      </c>
      <c r="U728" t="s">
        <v>2082</v>
      </c>
      <c r="V728" s="8">
        <v>1250</v>
      </c>
      <c r="W728" s="7">
        <v>588556</v>
      </c>
      <c r="X728" t="s">
        <v>3351</v>
      </c>
      <c r="Y728" s="8">
        <v>1250</v>
      </c>
      <c r="Z728" s="8">
        <v>1475</v>
      </c>
      <c r="AA728" s="8">
        <v>225</v>
      </c>
      <c r="AB728" s="7">
        <v>112023</v>
      </c>
      <c r="AC728" t="s">
        <v>3351</v>
      </c>
      <c r="AD728" s="8">
        <v>0</v>
      </c>
      <c r="AG728" t="s">
        <v>817</v>
      </c>
      <c r="AH728" t="s">
        <v>802</v>
      </c>
      <c r="AI728" t="s">
        <v>818</v>
      </c>
    </row>
    <row r="729" spans="1:35" hidden="1">
      <c r="A729" s="7">
        <v>728</v>
      </c>
      <c r="B729" t="s">
        <v>243</v>
      </c>
      <c r="C729" t="s">
        <v>244</v>
      </c>
      <c r="D729" s="7">
        <v>7134</v>
      </c>
      <c r="E729" t="s">
        <v>245</v>
      </c>
      <c r="F729" t="s">
        <v>246</v>
      </c>
      <c r="G729" t="s">
        <v>1372</v>
      </c>
      <c r="H729" t="s">
        <v>2079</v>
      </c>
      <c r="I729" s="7">
        <v>1165</v>
      </c>
      <c r="J729" s="7">
        <v>40000</v>
      </c>
      <c r="K729" s="7">
        <v>4</v>
      </c>
      <c r="L729" t="s">
        <v>247</v>
      </c>
      <c r="M729" t="s">
        <v>267</v>
      </c>
      <c r="N729" s="7">
        <v>789881</v>
      </c>
      <c r="O729" t="s">
        <v>1782</v>
      </c>
      <c r="P729" t="s">
        <v>1783</v>
      </c>
      <c r="S729" t="s">
        <v>57</v>
      </c>
      <c r="T729" t="s">
        <v>727</v>
      </c>
      <c r="U729" t="s">
        <v>2082</v>
      </c>
      <c r="V729" s="8">
        <v>0</v>
      </c>
      <c r="W729" s="7">
        <v>588556</v>
      </c>
      <c r="X729" t="s">
        <v>3351</v>
      </c>
      <c r="Y729" s="8">
        <v>0</v>
      </c>
      <c r="Z729" s="8">
        <v>0</v>
      </c>
      <c r="AA729" s="8">
        <v>0</v>
      </c>
      <c r="AB729" s="7">
        <v>112023</v>
      </c>
      <c r="AC729" t="s">
        <v>3351</v>
      </c>
      <c r="AD729" s="8">
        <v>0</v>
      </c>
      <c r="AG729" t="s">
        <v>828</v>
      </c>
      <c r="AH729" t="s">
        <v>802</v>
      </c>
      <c r="AI729" t="s">
        <v>803</v>
      </c>
    </row>
    <row r="730" spans="1:35" hidden="1">
      <c r="A730" s="7">
        <v>729</v>
      </c>
      <c r="B730" t="s">
        <v>243</v>
      </c>
      <c r="C730" t="s">
        <v>244</v>
      </c>
      <c r="D730" s="7">
        <v>7134</v>
      </c>
      <c r="E730" t="s">
        <v>245</v>
      </c>
      <c r="F730" t="s">
        <v>246</v>
      </c>
      <c r="G730" t="s">
        <v>1366</v>
      </c>
      <c r="H730" t="s">
        <v>584</v>
      </c>
      <c r="I730" s="7">
        <v>1165</v>
      </c>
      <c r="J730" s="7">
        <v>139500</v>
      </c>
      <c r="K730" s="7">
        <v>14</v>
      </c>
      <c r="L730" t="s">
        <v>247</v>
      </c>
      <c r="M730" t="s">
        <v>261</v>
      </c>
      <c r="N730" s="7">
        <v>746572</v>
      </c>
      <c r="O730" t="s">
        <v>1367</v>
      </c>
      <c r="P730" t="s">
        <v>1368</v>
      </c>
      <c r="S730" t="s">
        <v>57</v>
      </c>
      <c r="T730" t="s">
        <v>727</v>
      </c>
      <c r="U730" t="s">
        <v>2082</v>
      </c>
      <c r="V730" s="8">
        <v>1250</v>
      </c>
      <c r="W730" s="7">
        <v>588556</v>
      </c>
      <c r="X730" t="s">
        <v>3351</v>
      </c>
      <c r="Y730" s="8">
        <v>1250</v>
      </c>
      <c r="Z730" s="8">
        <v>1475</v>
      </c>
      <c r="AA730" s="8">
        <v>225</v>
      </c>
      <c r="AB730" s="7">
        <v>112023</v>
      </c>
      <c r="AC730" t="s">
        <v>3351</v>
      </c>
      <c r="AD730" s="8">
        <v>0</v>
      </c>
      <c r="AG730" t="s">
        <v>801</v>
      </c>
      <c r="AH730" t="s">
        <v>802</v>
      </c>
      <c r="AI730" t="s">
        <v>818</v>
      </c>
    </row>
    <row r="731" spans="1:35" hidden="1">
      <c r="A731" s="7">
        <v>730</v>
      </c>
      <c r="B731" t="s">
        <v>243</v>
      </c>
      <c r="C731" t="s">
        <v>244</v>
      </c>
      <c r="D731" s="7">
        <v>7134</v>
      </c>
      <c r="E731" t="s">
        <v>245</v>
      </c>
      <c r="F731" t="s">
        <v>246</v>
      </c>
      <c r="G731" t="s">
        <v>1369</v>
      </c>
      <c r="H731" t="s">
        <v>770</v>
      </c>
      <c r="I731" s="7">
        <v>1165</v>
      </c>
      <c r="J731" s="7">
        <v>82537</v>
      </c>
      <c r="K731" s="7">
        <v>10</v>
      </c>
      <c r="L731" t="s">
        <v>247</v>
      </c>
      <c r="M731" t="s">
        <v>252</v>
      </c>
      <c r="N731" s="7">
        <v>319115</v>
      </c>
      <c r="O731" t="s">
        <v>1370</v>
      </c>
      <c r="P731" t="s">
        <v>1371</v>
      </c>
      <c r="Q731" t="s">
        <v>870</v>
      </c>
      <c r="R731" t="s">
        <v>871</v>
      </c>
      <c r="S731" t="s">
        <v>57</v>
      </c>
      <c r="T731" t="s">
        <v>727</v>
      </c>
      <c r="U731" t="s">
        <v>2082</v>
      </c>
      <c r="V731" s="8">
        <v>0</v>
      </c>
      <c r="W731" s="7">
        <v>588556</v>
      </c>
      <c r="X731" t="s">
        <v>3351</v>
      </c>
      <c r="Y731" s="8">
        <v>0</v>
      </c>
      <c r="Z731" s="8">
        <v>0</v>
      </c>
      <c r="AA731" s="8">
        <v>0</v>
      </c>
      <c r="AB731" s="7">
        <v>112023</v>
      </c>
      <c r="AC731" t="s">
        <v>3351</v>
      </c>
      <c r="AD731" s="8">
        <v>0</v>
      </c>
      <c r="AG731" t="s">
        <v>937</v>
      </c>
      <c r="AH731" t="s">
        <v>802</v>
      </c>
      <c r="AI731" t="s">
        <v>803</v>
      </c>
    </row>
    <row r="732" spans="1:35" hidden="1">
      <c r="A732" s="7">
        <v>731</v>
      </c>
      <c r="B732" t="s">
        <v>243</v>
      </c>
      <c r="C732" t="s">
        <v>244</v>
      </c>
      <c r="D732" s="7">
        <v>7134</v>
      </c>
      <c r="E732" t="s">
        <v>245</v>
      </c>
      <c r="F732" t="s">
        <v>246</v>
      </c>
      <c r="G732" t="s">
        <v>1202</v>
      </c>
      <c r="H732" t="s">
        <v>2079</v>
      </c>
      <c r="I732" s="7">
        <v>1165</v>
      </c>
      <c r="J732" s="7">
        <v>69820</v>
      </c>
      <c r="K732" s="7">
        <v>7</v>
      </c>
      <c r="L732" t="s">
        <v>247</v>
      </c>
      <c r="M732" t="s">
        <v>261</v>
      </c>
      <c r="N732" s="7">
        <v>775938</v>
      </c>
      <c r="O732" t="s">
        <v>1203</v>
      </c>
      <c r="P732" t="s">
        <v>1204</v>
      </c>
      <c r="S732" t="s">
        <v>57</v>
      </c>
      <c r="T732" t="s">
        <v>727</v>
      </c>
      <c r="U732" t="s">
        <v>2082</v>
      </c>
      <c r="V732" s="8">
        <v>0</v>
      </c>
      <c r="W732" s="7">
        <v>588556</v>
      </c>
      <c r="X732" t="s">
        <v>3351</v>
      </c>
      <c r="Y732" s="8">
        <v>0</v>
      </c>
      <c r="Z732" s="8">
        <v>0</v>
      </c>
      <c r="AA732" s="8">
        <v>0</v>
      </c>
      <c r="AB732" s="7">
        <v>112023</v>
      </c>
      <c r="AC732" t="s">
        <v>3351</v>
      </c>
      <c r="AD732" s="8">
        <v>0</v>
      </c>
      <c r="AG732" t="s">
        <v>801</v>
      </c>
      <c r="AH732" t="s">
        <v>802</v>
      </c>
      <c r="AI732" t="s">
        <v>803</v>
      </c>
    </row>
    <row r="733" spans="1:35" hidden="1">
      <c r="A733" s="7">
        <v>732</v>
      </c>
      <c r="B733" t="s">
        <v>243</v>
      </c>
      <c r="C733" t="s">
        <v>244</v>
      </c>
      <c r="D733" s="7">
        <v>7134</v>
      </c>
      <c r="E733" t="s">
        <v>245</v>
      </c>
      <c r="F733" t="s">
        <v>246</v>
      </c>
      <c r="G733" t="s">
        <v>2185</v>
      </c>
      <c r="H733" t="s">
        <v>1601</v>
      </c>
      <c r="I733" s="7">
        <v>1165</v>
      </c>
      <c r="J733" s="7">
        <v>16949</v>
      </c>
      <c r="K733" s="7">
        <v>3</v>
      </c>
      <c r="L733" t="s">
        <v>247</v>
      </c>
      <c r="M733" t="s">
        <v>267</v>
      </c>
      <c r="N733" s="7">
        <v>768939</v>
      </c>
      <c r="O733" t="s">
        <v>2186</v>
      </c>
      <c r="P733" t="s">
        <v>2187</v>
      </c>
      <c r="S733" t="s">
        <v>57</v>
      </c>
      <c r="T733" t="s">
        <v>727</v>
      </c>
      <c r="U733" t="s">
        <v>2082</v>
      </c>
      <c r="V733" s="8">
        <v>1250</v>
      </c>
      <c r="W733" s="7">
        <v>588556</v>
      </c>
      <c r="X733" t="s">
        <v>3351</v>
      </c>
      <c r="Y733" s="8">
        <v>1250</v>
      </c>
      <c r="Z733" s="8">
        <v>1475</v>
      </c>
      <c r="AA733" s="8">
        <v>225</v>
      </c>
      <c r="AB733" s="7">
        <v>112023</v>
      </c>
      <c r="AC733" t="s">
        <v>3351</v>
      </c>
      <c r="AD733" s="8">
        <v>0</v>
      </c>
      <c r="AG733" t="s">
        <v>1124</v>
      </c>
      <c r="AH733" t="s">
        <v>802</v>
      </c>
      <c r="AI733" t="s">
        <v>818</v>
      </c>
    </row>
    <row r="734" spans="1:35" hidden="1">
      <c r="A734" s="7">
        <v>733</v>
      </c>
      <c r="B734" t="s">
        <v>243</v>
      </c>
      <c r="C734" t="s">
        <v>244</v>
      </c>
      <c r="D734" s="7">
        <v>7134</v>
      </c>
      <c r="E734" t="s">
        <v>245</v>
      </c>
      <c r="F734" t="s">
        <v>246</v>
      </c>
      <c r="G734" t="s">
        <v>1512</v>
      </c>
      <c r="H734" t="s">
        <v>697</v>
      </c>
      <c r="I734" s="7">
        <v>1165</v>
      </c>
      <c r="J734" s="7">
        <v>71283</v>
      </c>
      <c r="K734" s="7">
        <v>7</v>
      </c>
      <c r="L734" t="s">
        <v>247</v>
      </c>
      <c r="M734" t="s">
        <v>261</v>
      </c>
      <c r="N734" s="7">
        <v>775228</v>
      </c>
      <c r="O734" t="s">
        <v>1513</v>
      </c>
      <c r="P734" t="s">
        <v>1514</v>
      </c>
      <c r="S734" t="s">
        <v>57</v>
      </c>
      <c r="T734" t="s">
        <v>727</v>
      </c>
      <c r="U734" t="s">
        <v>2082</v>
      </c>
      <c r="V734" s="8">
        <v>0</v>
      </c>
      <c r="W734" s="7">
        <v>588556</v>
      </c>
      <c r="X734" t="s">
        <v>3351</v>
      </c>
      <c r="Y734" s="8">
        <v>0</v>
      </c>
      <c r="Z734" s="8">
        <v>0</v>
      </c>
      <c r="AA734" s="8">
        <v>0</v>
      </c>
      <c r="AB734" s="7">
        <v>112023</v>
      </c>
      <c r="AC734" t="s">
        <v>3351</v>
      </c>
      <c r="AD734" s="8">
        <v>0</v>
      </c>
      <c r="AG734" t="s">
        <v>801</v>
      </c>
      <c r="AH734" t="s">
        <v>802</v>
      </c>
      <c r="AI734" t="s">
        <v>803</v>
      </c>
    </row>
    <row r="735" spans="1:35" hidden="1">
      <c r="A735" s="7">
        <v>734</v>
      </c>
      <c r="B735" t="s">
        <v>243</v>
      </c>
      <c r="C735" t="s">
        <v>244</v>
      </c>
      <c r="D735" s="7">
        <v>7134</v>
      </c>
      <c r="E735" t="s">
        <v>245</v>
      </c>
      <c r="F735" t="s">
        <v>246</v>
      </c>
      <c r="G735" t="s">
        <v>2159</v>
      </c>
      <c r="H735" t="s">
        <v>2086</v>
      </c>
      <c r="I735" s="7">
        <v>1165</v>
      </c>
      <c r="J735" s="7">
        <v>21206</v>
      </c>
      <c r="K735" s="7">
        <v>5</v>
      </c>
      <c r="L735" t="s">
        <v>247</v>
      </c>
      <c r="M735" t="s">
        <v>252</v>
      </c>
      <c r="N735" s="7">
        <v>324555</v>
      </c>
      <c r="O735" t="s">
        <v>2160</v>
      </c>
      <c r="P735" t="s">
        <v>2161</v>
      </c>
      <c r="S735" t="s">
        <v>57</v>
      </c>
      <c r="T735" t="s">
        <v>727</v>
      </c>
      <c r="U735" t="s">
        <v>2082</v>
      </c>
      <c r="V735" s="8">
        <v>1250</v>
      </c>
      <c r="W735" s="7">
        <v>588556</v>
      </c>
      <c r="X735" t="s">
        <v>3351</v>
      </c>
      <c r="Y735" s="8">
        <v>1250</v>
      </c>
      <c r="Z735" s="8">
        <v>1475</v>
      </c>
      <c r="AA735" s="8">
        <v>225</v>
      </c>
      <c r="AB735" s="7">
        <v>112023</v>
      </c>
      <c r="AC735" t="s">
        <v>3351</v>
      </c>
      <c r="AD735" s="8">
        <v>0</v>
      </c>
      <c r="AG735" t="s">
        <v>937</v>
      </c>
      <c r="AH735" t="s">
        <v>802</v>
      </c>
      <c r="AI735" t="s">
        <v>818</v>
      </c>
    </row>
    <row r="736" spans="1:35" hidden="1">
      <c r="A736" s="7">
        <v>735</v>
      </c>
      <c r="B736" t="s">
        <v>243</v>
      </c>
      <c r="C736" t="s">
        <v>244</v>
      </c>
      <c r="D736" s="7">
        <v>7134</v>
      </c>
      <c r="E736" t="s">
        <v>245</v>
      </c>
      <c r="F736" t="s">
        <v>246</v>
      </c>
      <c r="G736" t="s">
        <v>1024</v>
      </c>
      <c r="H736" t="s">
        <v>693</v>
      </c>
      <c r="I736" s="7">
        <v>1165</v>
      </c>
      <c r="J736" s="7">
        <v>70000</v>
      </c>
      <c r="K736" s="7">
        <v>7</v>
      </c>
      <c r="L736" t="s">
        <v>247</v>
      </c>
      <c r="M736" t="s">
        <v>261</v>
      </c>
      <c r="N736" s="7">
        <v>785727</v>
      </c>
      <c r="O736" t="s">
        <v>1322</v>
      </c>
      <c r="P736" t="s">
        <v>1323</v>
      </c>
      <c r="S736" t="s">
        <v>57</v>
      </c>
      <c r="T736" t="s">
        <v>727</v>
      </c>
      <c r="U736" t="s">
        <v>2082</v>
      </c>
      <c r="V736" s="8">
        <v>0</v>
      </c>
      <c r="W736" s="7">
        <v>588556</v>
      </c>
      <c r="X736" t="s">
        <v>3351</v>
      </c>
      <c r="Y736" s="8">
        <v>0</v>
      </c>
      <c r="Z736" s="8">
        <v>0</v>
      </c>
      <c r="AA736" s="8">
        <v>0</v>
      </c>
      <c r="AB736" s="7">
        <v>112023</v>
      </c>
      <c r="AC736" t="s">
        <v>3351</v>
      </c>
      <c r="AD736" s="8">
        <v>0</v>
      </c>
      <c r="AG736" t="s">
        <v>801</v>
      </c>
      <c r="AH736" t="s">
        <v>802</v>
      </c>
      <c r="AI736" t="s">
        <v>803</v>
      </c>
    </row>
    <row r="737" spans="1:35" hidden="1">
      <c r="A737" s="7">
        <v>736</v>
      </c>
      <c r="B737" t="s">
        <v>243</v>
      </c>
      <c r="C737" t="s">
        <v>244</v>
      </c>
      <c r="D737" s="7">
        <v>7134</v>
      </c>
      <c r="E737" t="s">
        <v>245</v>
      </c>
      <c r="F737" t="s">
        <v>246</v>
      </c>
      <c r="G737" t="s">
        <v>867</v>
      </c>
      <c r="H737" t="s">
        <v>1601</v>
      </c>
      <c r="I737" s="7">
        <v>1165</v>
      </c>
      <c r="J737" s="7">
        <v>22621</v>
      </c>
      <c r="K737" s="7">
        <v>3</v>
      </c>
      <c r="L737" t="s">
        <v>247</v>
      </c>
      <c r="M737" t="s">
        <v>361</v>
      </c>
      <c r="N737" s="7">
        <v>4895</v>
      </c>
      <c r="O737" t="s">
        <v>918</v>
      </c>
      <c r="P737" t="s">
        <v>919</v>
      </c>
      <c r="S737" t="s">
        <v>57</v>
      </c>
      <c r="T737" t="s">
        <v>727</v>
      </c>
      <c r="U737" t="s">
        <v>2082</v>
      </c>
      <c r="V737" s="8">
        <v>1650</v>
      </c>
      <c r="W737" s="7">
        <v>588556</v>
      </c>
      <c r="X737" t="s">
        <v>3351</v>
      </c>
      <c r="Y737" s="8">
        <v>1650</v>
      </c>
      <c r="Z737" s="8">
        <v>1947</v>
      </c>
      <c r="AA737" s="8">
        <v>297</v>
      </c>
      <c r="AB737" s="7">
        <v>112023</v>
      </c>
      <c r="AC737" t="s">
        <v>3351</v>
      </c>
      <c r="AD737" s="8">
        <v>0</v>
      </c>
      <c r="AG737" t="s">
        <v>823</v>
      </c>
      <c r="AH737" t="s">
        <v>802</v>
      </c>
      <c r="AI737" t="s">
        <v>818</v>
      </c>
    </row>
    <row r="738" spans="1:35" hidden="1">
      <c r="A738" s="7">
        <v>737</v>
      </c>
      <c r="B738" t="s">
        <v>243</v>
      </c>
      <c r="C738" t="s">
        <v>244</v>
      </c>
      <c r="D738" s="7">
        <v>7134</v>
      </c>
      <c r="E738" t="s">
        <v>245</v>
      </c>
      <c r="F738" t="s">
        <v>246</v>
      </c>
      <c r="G738" t="s">
        <v>1226</v>
      </c>
      <c r="H738" t="s">
        <v>2164</v>
      </c>
      <c r="I738" s="7">
        <v>1165</v>
      </c>
      <c r="J738" s="7">
        <v>21111</v>
      </c>
      <c r="K738" s="7">
        <v>3</v>
      </c>
      <c r="L738" t="s">
        <v>247</v>
      </c>
      <c r="M738" t="s">
        <v>267</v>
      </c>
      <c r="N738" s="7">
        <v>768046</v>
      </c>
      <c r="O738" t="s">
        <v>2216</v>
      </c>
      <c r="P738" t="s">
        <v>2217</v>
      </c>
      <c r="S738" t="s">
        <v>57</v>
      </c>
      <c r="T738" t="s">
        <v>727</v>
      </c>
      <c r="U738" t="s">
        <v>2082</v>
      </c>
      <c r="V738" s="8">
        <v>1250</v>
      </c>
      <c r="W738" s="7">
        <v>588556</v>
      </c>
      <c r="X738" t="s">
        <v>3351</v>
      </c>
      <c r="Y738" s="8">
        <v>1250</v>
      </c>
      <c r="Z738" s="8">
        <v>1475</v>
      </c>
      <c r="AA738" s="8">
        <v>225</v>
      </c>
      <c r="AB738" s="7">
        <v>112023</v>
      </c>
      <c r="AC738" t="s">
        <v>3351</v>
      </c>
      <c r="AD738" s="8">
        <v>0</v>
      </c>
      <c r="AG738" t="s">
        <v>1124</v>
      </c>
      <c r="AH738" t="s">
        <v>802</v>
      </c>
      <c r="AI738" t="s">
        <v>818</v>
      </c>
    </row>
    <row r="739" spans="1:35" hidden="1">
      <c r="A739" s="7">
        <v>738</v>
      </c>
      <c r="B739" t="s">
        <v>243</v>
      </c>
      <c r="C739" t="s">
        <v>244</v>
      </c>
      <c r="D739" s="7">
        <v>7134</v>
      </c>
      <c r="E739" t="s">
        <v>245</v>
      </c>
      <c r="F739" t="s">
        <v>246</v>
      </c>
      <c r="G739" t="s">
        <v>917</v>
      </c>
      <c r="H739" t="s">
        <v>584</v>
      </c>
      <c r="I739" s="7">
        <v>1065</v>
      </c>
      <c r="J739" s="7">
        <v>12890</v>
      </c>
      <c r="K739" s="7">
        <v>2</v>
      </c>
      <c r="L739" t="s">
        <v>247</v>
      </c>
      <c r="M739" t="s">
        <v>252</v>
      </c>
      <c r="N739" s="7">
        <v>1</v>
      </c>
      <c r="O739" t="s">
        <v>1778</v>
      </c>
      <c r="P739" t="s">
        <v>1779</v>
      </c>
      <c r="S739" t="s">
        <v>57</v>
      </c>
      <c r="T739" t="s">
        <v>727</v>
      </c>
      <c r="U739" t="s">
        <v>2082</v>
      </c>
      <c r="V739" s="8">
        <v>0</v>
      </c>
      <c r="W739" s="7">
        <v>588556</v>
      </c>
      <c r="X739" t="s">
        <v>3351</v>
      </c>
      <c r="Y739" s="8">
        <v>0</v>
      </c>
      <c r="Z739" s="8">
        <v>0</v>
      </c>
      <c r="AA739" s="8">
        <v>0</v>
      </c>
      <c r="AB739" s="7">
        <v>112023</v>
      </c>
      <c r="AC739" t="s">
        <v>3351</v>
      </c>
      <c r="AD739" s="8">
        <v>0</v>
      </c>
      <c r="AG739" t="s">
        <v>937</v>
      </c>
      <c r="AH739" t="s">
        <v>802</v>
      </c>
      <c r="AI739" t="s">
        <v>803</v>
      </c>
    </row>
    <row r="740" spans="1:35" hidden="1">
      <c r="A740" s="7">
        <v>739</v>
      </c>
      <c r="B740" t="s">
        <v>243</v>
      </c>
      <c r="C740" t="s">
        <v>244</v>
      </c>
      <c r="D740" s="7">
        <v>7134</v>
      </c>
      <c r="E740" t="s">
        <v>245</v>
      </c>
      <c r="F740" t="s">
        <v>246</v>
      </c>
      <c r="G740" t="s">
        <v>824</v>
      </c>
      <c r="H740" t="s">
        <v>2086</v>
      </c>
      <c r="I740" s="7">
        <v>1165</v>
      </c>
      <c r="J740" s="7">
        <v>50000</v>
      </c>
      <c r="K740" s="7">
        <v>5</v>
      </c>
      <c r="L740" t="s">
        <v>247</v>
      </c>
      <c r="M740" t="s">
        <v>261</v>
      </c>
      <c r="N740" s="7">
        <v>774598</v>
      </c>
      <c r="O740" t="s">
        <v>1538</v>
      </c>
      <c r="P740" t="s">
        <v>1539</v>
      </c>
      <c r="Q740" t="s">
        <v>870</v>
      </c>
      <c r="R740" t="s">
        <v>871</v>
      </c>
      <c r="S740" t="s">
        <v>57</v>
      </c>
      <c r="T740" t="s">
        <v>727</v>
      </c>
      <c r="U740" t="s">
        <v>2082</v>
      </c>
      <c r="V740" s="8">
        <v>1250</v>
      </c>
      <c r="W740" s="7">
        <v>588556</v>
      </c>
      <c r="X740" t="s">
        <v>3351</v>
      </c>
      <c r="Y740" s="8">
        <v>1000</v>
      </c>
      <c r="Z740" s="8">
        <v>1475</v>
      </c>
      <c r="AA740" s="8">
        <v>225</v>
      </c>
      <c r="AB740" s="7">
        <v>112023</v>
      </c>
      <c r="AC740" t="s">
        <v>3351</v>
      </c>
      <c r="AD740" s="8">
        <v>250</v>
      </c>
      <c r="AG740" t="s">
        <v>801</v>
      </c>
      <c r="AH740" t="s">
        <v>802</v>
      </c>
      <c r="AI740" t="s">
        <v>818</v>
      </c>
    </row>
    <row r="741" spans="1:35" hidden="1">
      <c r="A741" s="7">
        <v>740</v>
      </c>
      <c r="B741" t="s">
        <v>243</v>
      </c>
      <c r="C741" t="s">
        <v>244</v>
      </c>
      <c r="D741" s="7">
        <v>7134</v>
      </c>
      <c r="E741" t="s">
        <v>245</v>
      </c>
      <c r="F741" t="s">
        <v>246</v>
      </c>
      <c r="G741" t="s">
        <v>539</v>
      </c>
      <c r="H741" t="s">
        <v>1601</v>
      </c>
      <c r="I741" s="7">
        <v>1150</v>
      </c>
      <c r="J741" s="7">
        <v>3725</v>
      </c>
      <c r="K741" s="7">
        <v>1</v>
      </c>
      <c r="L741" t="s">
        <v>247</v>
      </c>
      <c r="M741" t="s">
        <v>261</v>
      </c>
      <c r="N741" s="7">
        <v>778389</v>
      </c>
      <c r="O741" t="s">
        <v>2204</v>
      </c>
      <c r="P741" t="s">
        <v>2205</v>
      </c>
      <c r="S741" t="s">
        <v>57</v>
      </c>
      <c r="T741" t="s">
        <v>727</v>
      </c>
      <c r="U741" t="s">
        <v>2082</v>
      </c>
      <c r="V741" s="8">
        <v>1250</v>
      </c>
      <c r="W741" s="7">
        <v>588556</v>
      </c>
      <c r="X741" t="s">
        <v>3351</v>
      </c>
      <c r="Y741" s="8">
        <v>1250</v>
      </c>
      <c r="Z741" s="8">
        <v>1475</v>
      </c>
      <c r="AA741" s="8">
        <v>225</v>
      </c>
      <c r="AB741" s="7">
        <v>112023</v>
      </c>
      <c r="AC741" t="s">
        <v>3351</v>
      </c>
      <c r="AD741" s="8">
        <v>0</v>
      </c>
      <c r="AG741" t="s">
        <v>808</v>
      </c>
      <c r="AH741" t="s">
        <v>802</v>
      </c>
      <c r="AI741" t="s">
        <v>818</v>
      </c>
    </row>
    <row r="742" spans="1:35" hidden="1">
      <c r="A742" s="7">
        <v>741</v>
      </c>
      <c r="B742" t="s">
        <v>243</v>
      </c>
      <c r="C742" t="s">
        <v>244</v>
      </c>
      <c r="D742" s="7">
        <v>7134</v>
      </c>
      <c r="E742" t="s">
        <v>245</v>
      </c>
      <c r="F742" t="s">
        <v>246</v>
      </c>
      <c r="G742" t="s">
        <v>1004</v>
      </c>
      <c r="H742" t="s">
        <v>2093</v>
      </c>
      <c r="I742" s="7">
        <v>1165</v>
      </c>
      <c r="J742" s="7">
        <v>30000</v>
      </c>
      <c r="K742" s="7">
        <v>3</v>
      </c>
      <c r="L742" t="s">
        <v>247</v>
      </c>
      <c r="M742" t="s">
        <v>361</v>
      </c>
      <c r="N742" s="7">
        <v>5651</v>
      </c>
      <c r="O742" t="s">
        <v>1378</v>
      </c>
      <c r="P742" t="s">
        <v>1379</v>
      </c>
      <c r="S742" t="s">
        <v>57</v>
      </c>
      <c r="T742" t="s">
        <v>727</v>
      </c>
      <c r="U742" t="s">
        <v>2082</v>
      </c>
      <c r="V742" s="8">
        <v>1650</v>
      </c>
      <c r="W742" s="7">
        <v>588556</v>
      </c>
      <c r="X742" t="s">
        <v>3351</v>
      </c>
      <c r="Y742" s="8">
        <v>1650</v>
      </c>
      <c r="Z742" s="8">
        <v>1947</v>
      </c>
      <c r="AA742" s="8">
        <v>297</v>
      </c>
      <c r="AB742" s="7">
        <v>112023</v>
      </c>
      <c r="AC742" t="s">
        <v>3351</v>
      </c>
      <c r="AD742" s="8">
        <v>0</v>
      </c>
      <c r="AG742" t="s">
        <v>823</v>
      </c>
      <c r="AH742" t="s">
        <v>802</v>
      </c>
      <c r="AI742" t="s">
        <v>818</v>
      </c>
    </row>
    <row r="743" spans="1:35" hidden="1">
      <c r="A743" s="7">
        <v>742</v>
      </c>
      <c r="B743" t="s">
        <v>243</v>
      </c>
      <c r="C743" t="s">
        <v>244</v>
      </c>
      <c r="D743" s="7">
        <v>7134</v>
      </c>
      <c r="E743" t="s">
        <v>245</v>
      </c>
      <c r="F743" t="s">
        <v>246</v>
      </c>
      <c r="G743" t="s">
        <v>954</v>
      </c>
      <c r="H743" t="s">
        <v>2089</v>
      </c>
      <c r="I743" s="7">
        <v>1165</v>
      </c>
      <c r="J743" s="7">
        <v>49245</v>
      </c>
      <c r="K743" s="7">
        <v>5</v>
      </c>
      <c r="L743" t="s">
        <v>247</v>
      </c>
      <c r="M743" t="s">
        <v>267</v>
      </c>
      <c r="N743" s="7">
        <v>789860</v>
      </c>
      <c r="O743" t="s">
        <v>955</v>
      </c>
      <c r="P743" t="s">
        <v>956</v>
      </c>
      <c r="S743" t="s">
        <v>57</v>
      </c>
      <c r="T743" t="s">
        <v>727</v>
      </c>
      <c r="U743" t="s">
        <v>2082</v>
      </c>
      <c r="V743" s="8">
        <v>1250</v>
      </c>
      <c r="W743" s="7">
        <v>588556</v>
      </c>
      <c r="X743" t="s">
        <v>3351</v>
      </c>
      <c r="Y743" s="8">
        <v>1250</v>
      </c>
      <c r="Z743" s="8">
        <v>1475</v>
      </c>
      <c r="AA743" s="8">
        <v>225</v>
      </c>
      <c r="AB743" s="7">
        <v>112023</v>
      </c>
      <c r="AC743" t="s">
        <v>3351</v>
      </c>
      <c r="AD743" s="8">
        <v>0</v>
      </c>
      <c r="AG743" t="s">
        <v>828</v>
      </c>
      <c r="AH743" t="s">
        <v>802</v>
      </c>
      <c r="AI743" t="s">
        <v>818</v>
      </c>
    </row>
    <row r="744" spans="1:35" hidden="1">
      <c r="A744" s="7">
        <v>743</v>
      </c>
      <c r="B744" t="s">
        <v>243</v>
      </c>
      <c r="C744" t="s">
        <v>244</v>
      </c>
      <c r="D744" s="7">
        <v>7134</v>
      </c>
      <c r="E744" t="s">
        <v>245</v>
      </c>
      <c r="F744" t="s">
        <v>246</v>
      </c>
      <c r="G744" t="s">
        <v>881</v>
      </c>
      <c r="H744" t="s">
        <v>2130</v>
      </c>
      <c r="I744" s="7">
        <v>1165</v>
      </c>
      <c r="J744" s="7">
        <v>28712</v>
      </c>
      <c r="K744" s="7">
        <v>3</v>
      </c>
      <c r="L744" t="s">
        <v>247</v>
      </c>
      <c r="M744" t="s">
        <v>361</v>
      </c>
      <c r="N744" s="7">
        <v>5319</v>
      </c>
      <c r="O744" t="s">
        <v>963</v>
      </c>
      <c r="P744" t="s">
        <v>964</v>
      </c>
      <c r="S744" t="s">
        <v>57</v>
      </c>
      <c r="T744" t="s">
        <v>727</v>
      </c>
      <c r="U744" t="s">
        <v>2082</v>
      </c>
      <c r="V744" s="8">
        <v>1650</v>
      </c>
      <c r="W744" s="7">
        <v>588556</v>
      </c>
      <c r="X744" t="s">
        <v>3351</v>
      </c>
      <c r="Y744" s="8">
        <v>1650</v>
      </c>
      <c r="Z744" s="8">
        <v>1947</v>
      </c>
      <c r="AA744" s="8">
        <v>297</v>
      </c>
      <c r="AB744" s="7">
        <v>112023</v>
      </c>
      <c r="AC744" t="s">
        <v>3351</v>
      </c>
      <c r="AD744" s="8">
        <v>0</v>
      </c>
      <c r="AG744" t="s">
        <v>823</v>
      </c>
      <c r="AH744" t="s">
        <v>802</v>
      </c>
      <c r="AI744" t="s">
        <v>818</v>
      </c>
    </row>
    <row r="745" spans="1:35" hidden="1">
      <c r="A745" s="7">
        <v>744</v>
      </c>
      <c r="B745" t="s">
        <v>243</v>
      </c>
      <c r="C745" t="s">
        <v>244</v>
      </c>
      <c r="D745" s="7">
        <v>7134</v>
      </c>
      <c r="E745" t="s">
        <v>245</v>
      </c>
      <c r="F745" t="s">
        <v>246</v>
      </c>
      <c r="G745" t="s">
        <v>902</v>
      </c>
      <c r="H745" t="s">
        <v>2089</v>
      </c>
      <c r="I745" s="7">
        <v>1165</v>
      </c>
      <c r="J745" s="7">
        <v>18531</v>
      </c>
      <c r="K745" s="7">
        <v>3</v>
      </c>
      <c r="L745" t="s">
        <v>247</v>
      </c>
      <c r="M745" t="s">
        <v>267</v>
      </c>
      <c r="N745" s="7">
        <v>789111</v>
      </c>
      <c r="O745" t="s">
        <v>904</v>
      </c>
      <c r="P745" t="s">
        <v>905</v>
      </c>
      <c r="S745" t="s">
        <v>57</v>
      </c>
      <c r="T745" t="s">
        <v>727</v>
      </c>
      <c r="U745" t="s">
        <v>2082</v>
      </c>
      <c r="V745" s="8">
        <v>1250</v>
      </c>
      <c r="W745" s="7">
        <v>588556</v>
      </c>
      <c r="X745" t="s">
        <v>3351</v>
      </c>
      <c r="Y745" s="8">
        <v>1250</v>
      </c>
      <c r="Z745" s="8">
        <v>1475</v>
      </c>
      <c r="AA745" s="8">
        <v>225</v>
      </c>
      <c r="AB745" s="7">
        <v>112023</v>
      </c>
      <c r="AC745" t="s">
        <v>3351</v>
      </c>
      <c r="AD745" s="8">
        <v>0</v>
      </c>
      <c r="AG745" t="s">
        <v>828</v>
      </c>
      <c r="AH745" t="s">
        <v>802</v>
      </c>
      <c r="AI745" t="s">
        <v>818</v>
      </c>
    </row>
    <row r="746" spans="1:35" hidden="1">
      <c r="A746" s="7">
        <v>745</v>
      </c>
      <c r="B746" t="s">
        <v>243</v>
      </c>
      <c r="C746" t="s">
        <v>244</v>
      </c>
      <c r="D746" s="7">
        <v>7134</v>
      </c>
      <c r="E746" t="s">
        <v>245</v>
      </c>
      <c r="F746" t="s">
        <v>246</v>
      </c>
      <c r="G746" t="s">
        <v>293</v>
      </c>
      <c r="H746" t="s">
        <v>770</v>
      </c>
      <c r="I746" s="7">
        <v>1165</v>
      </c>
      <c r="J746" s="7">
        <v>4360</v>
      </c>
      <c r="K746" s="7">
        <v>1</v>
      </c>
      <c r="L746" t="s">
        <v>247</v>
      </c>
      <c r="M746" t="s">
        <v>267</v>
      </c>
      <c r="N746" s="7">
        <v>789025</v>
      </c>
      <c r="O746" t="s">
        <v>499</v>
      </c>
      <c r="P746" t="s">
        <v>500</v>
      </c>
      <c r="S746" t="s">
        <v>57</v>
      </c>
      <c r="T746" t="s">
        <v>727</v>
      </c>
      <c r="U746" t="s">
        <v>2082</v>
      </c>
      <c r="V746" s="8">
        <v>1250</v>
      </c>
      <c r="W746" s="7">
        <v>588556</v>
      </c>
      <c r="X746" t="s">
        <v>3351</v>
      </c>
      <c r="Y746" s="8">
        <v>1250</v>
      </c>
      <c r="Z746" s="8">
        <v>1475</v>
      </c>
      <c r="AA746" s="8">
        <v>225</v>
      </c>
      <c r="AB746" s="7">
        <v>112023</v>
      </c>
      <c r="AC746" t="s">
        <v>3351</v>
      </c>
      <c r="AD746" s="8">
        <v>0</v>
      </c>
      <c r="AG746" t="s">
        <v>828</v>
      </c>
      <c r="AH746" t="s">
        <v>802</v>
      </c>
      <c r="AI746" t="s">
        <v>818</v>
      </c>
    </row>
    <row r="747" spans="1:35" hidden="1">
      <c r="A747" s="7">
        <v>746</v>
      </c>
      <c r="B747" t="s">
        <v>243</v>
      </c>
      <c r="C747" t="s">
        <v>244</v>
      </c>
      <c r="D747" s="7">
        <v>7134</v>
      </c>
      <c r="E747" t="s">
        <v>245</v>
      </c>
      <c r="F747" t="s">
        <v>246</v>
      </c>
      <c r="G747" t="s">
        <v>982</v>
      </c>
      <c r="H747" t="s">
        <v>2152</v>
      </c>
      <c r="I747" s="7">
        <v>1165</v>
      </c>
      <c r="J747" s="7">
        <v>47000</v>
      </c>
      <c r="K747" s="7">
        <v>5</v>
      </c>
      <c r="L747" t="s">
        <v>247</v>
      </c>
      <c r="M747" t="s">
        <v>261</v>
      </c>
      <c r="N747" s="7">
        <v>785383</v>
      </c>
      <c r="O747" t="s">
        <v>1426</v>
      </c>
      <c r="P747" t="s">
        <v>1427</v>
      </c>
      <c r="S747" t="s">
        <v>57</v>
      </c>
      <c r="T747" t="s">
        <v>727</v>
      </c>
      <c r="U747" t="s">
        <v>2082</v>
      </c>
      <c r="V747" s="8">
        <v>1250</v>
      </c>
      <c r="W747" s="7">
        <v>588556</v>
      </c>
      <c r="X747" t="s">
        <v>3351</v>
      </c>
      <c r="Y747" s="8">
        <v>1250</v>
      </c>
      <c r="Z747" s="8">
        <v>1475</v>
      </c>
      <c r="AA747" s="8">
        <v>225</v>
      </c>
      <c r="AB747" s="7">
        <v>112023</v>
      </c>
      <c r="AC747" t="s">
        <v>3351</v>
      </c>
      <c r="AD747" s="8">
        <v>0</v>
      </c>
      <c r="AG747" t="s">
        <v>801</v>
      </c>
      <c r="AH747" t="s">
        <v>802</v>
      </c>
      <c r="AI747" t="s">
        <v>818</v>
      </c>
    </row>
    <row r="748" spans="1:35" hidden="1">
      <c r="A748" s="7">
        <v>747</v>
      </c>
      <c r="B748" t="s">
        <v>243</v>
      </c>
      <c r="C748" t="s">
        <v>244</v>
      </c>
      <c r="D748" s="7">
        <v>7134</v>
      </c>
      <c r="E748" t="s">
        <v>245</v>
      </c>
      <c r="F748" t="s">
        <v>246</v>
      </c>
      <c r="G748" t="s">
        <v>1131</v>
      </c>
      <c r="H748" t="s">
        <v>2083</v>
      </c>
      <c r="I748" s="7">
        <v>1165</v>
      </c>
      <c r="J748" s="7">
        <v>28199</v>
      </c>
      <c r="K748" s="7">
        <v>3</v>
      </c>
      <c r="L748" t="s">
        <v>247</v>
      </c>
      <c r="M748" t="s">
        <v>361</v>
      </c>
      <c r="N748" s="7">
        <v>5114</v>
      </c>
      <c r="O748" t="s">
        <v>2172</v>
      </c>
      <c r="P748" t="s">
        <v>2173</v>
      </c>
      <c r="S748" t="s">
        <v>57</v>
      </c>
      <c r="T748" t="s">
        <v>727</v>
      </c>
      <c r="U748" t="s">
        <v>2082</v>
      </c>
      <c r="V748" s="8">
        <v>1650</v>
      </c>
      <c r="W748" s="7">
        <v>588556</v>
      </c>
      <c r="X748" t="s">
        <v>3351</v>
      </c>
      <c r="Y748" s="8">
        <v>1650</v>
      </c>
      <c r="Z748" s="8">
        <v>1947</v>
      </c>
      <c r="AA748" s="8">
        <v>297</v>
      </c>
      <c r="AB748" s="7">
        <v>112023</v>
      </c>
      <c r="AC748" t="s">
        <v>3351</v>
      </c>
      <c r="AD748" s="8">
        <v>0</v>
      </c>
      <c r="AG748" t="s">
        <v>823</v>
      </c>
      <c r="AH748" t="s">
        <v>802</v>
      </c>
      <c r="AI748" t="s">
        <v>818</v>
      </c>
    </row>
    <row r="749" spans="1:35" hidden="1">
      <c r="A749" s="7">
        <v>748</v>
      </c>
      <c r="B749" t="s">
        <v>243</v>
      </c>
      <c r="C749" t="s">
        <v>244</v>
      </c>
      <c r="D749" s="7">
        <v>7134</v>
      </c>
      <c r="E749" t="s">
        <v>245</v>
      </c>
      <c r="F749" t="s">
        <v>246</v>
      </c>
      <c r="G749" t="s">
        <v>293</v>
      </c>
      <c r="H749" t="s">
        <v>770</v>
      </c>
      <c r="I749" s="7">
        <v>1150</v>
      </c>
      <c r="J749" s="7">
        <v>6638</v>
      </c>
      <c r="K749" s="7">
        <v>1</v>
      </c>
      <c r="L749" t="s">
        <v>247</v>
      </c>
      <c r="M749" t="s">
        <v>261</v>
      </c>
      <c r="N749" s="7">
        <v>778220</v>
      </c>
      <c r="O749" t="s">
        <v>2194</v>
      </c>
      <c r="P749" t="s">
        <v>2195</v>
      </c>
      <c r="S749" t="s">
        <v>57</v>
      </c>
      <c r="T749" t="s">
        <v>727</v>
      </c>
      <c r="U749" t="s">
        <v>2082</v>
      </c>
      <c r="V749" s="8">
        <v>1250</v>
      </c>
      <c r="W749" s="7">
        <v>588556</v>
      </c>
      <c r="X749" t="s">
        <v>3351</v>
      </c>
      <c r="Y749" s="8">
        <v>1250</v>
      </c>
      <c r="Z749" s="8">
        <v>1475</v>
      </c>
      <c r="AA749" s="8">
        <v>225</v>
      </c>
      <c r="AB749" s="7">
        <v>112023</v>
      </c>
      <c r="AC749" t="s">
        <v>3351</v>
      </c>
      <c r="AD749" s="8">
        <v>0</v>
      </c>
      <c r="AG749" t="s">
        <v>808</v>
      </c>
      <c r="AH749" t="s">
        <v>802</v>
      </c>
      <c r="AI749" t="s">
        <v>818</v>
      </c>
    </row>
    <row r="750" spans="1:35" hidden="1">
      <c r="A750" s="7">
        <v>749</v>
      </c>
      <c r="B750" t="s">
        <v>243</v>
      </c>
      <c r="C750" t="s">
        <v>244</v>
      </c>
      <c r="D750" s="7">
        <v>7134</v>
      </c>
      <c r="E750" t="s">
        <v>245</v>
      </c>
      <c r="F750" t="s">
        <v>246</v>
      </c>
      <c r="G750" t="s">
        <v>938</v>
      </c>
      <c r="H750" t="s">
        <v>1601</v>
      </c>
      <c r="I750" s="7">
        <v>1165</v>
      </c>
      <c r="J750" s="7">
        <v>12607</v>
      </c>
      <c r="K750" s="7">
        <v>3</v>
      </c>
      <c r="L750" t="s">
        <v>247</v>
      </c>
      <c r="M750" t="s">
        <v>267</v>
      </c>
      <c r="N750" s="7">
        <v>768979</v>
      </c>
      <c r="O750" t="s">
        <v>2222</v>
      </c>
      <c r="P750" t="s">
        <v>2223</v>
      </c>
      <c r="S750" t="s">
        <v>57</v>
      </c>
      <c r="T750" t="s">
        <v>727</v>
      </c>
      <c r="U750" t="s">
        <v>2082</v>
      </c>
      <c r="V750" s="8">
        <v>1250</v>
      </c>
      <c r="W750" s="7">
        <v>588556</v>
      </c>
      <c r="X750" t="s">
        <v>3351</v>
      </c>
      <c r="Y750" s="8">
        <v>1250</v>
      </c>
      <c r="Z750" s="8">
        <v>1475</v>
      </c>
      <c r="AA750" s="8">
        <v>225</v>
      </c>
      <c r="AB750" s="7">
        <v>112023</v>
      </c>
      <c r="AC750" t="s">
        <v>3351</v>
      </c>
      <c r="AD750" s="8">
        <v>0</v>
      </c>
      <c r="AG750" t="s">
        <v>1124</v>
      </c>
      <c r="AH750" t="s">
        <v>802</v>
      </c>
      <c r="AI750" t="s">
        <v>818</v>
      </c>
    </row>
    <row r="751" spans="1:35" hidden="1">
      <c r="A751" s="7">
        <v>750</v>
      </c>
      <c r="B751" t="s">
        <v>243</v>
      </c>
      <c r="C751" t="s">
        <v>244</v>
      </c>
      <c r="D751" s="7">
        <v>7134</v>
      </c>
      <c r="E751" t="s">
        <v>245</v>
      </c>
      <c r="F751" t="s">
        <v>246</v>
      </c>
      <c r="G751" t="s">
        <v>1221</v>
      </c>
      <c r="H751" t="s">
        <v>1802</v>
      </c>
      <c r="I751" s="7">
        <v>1165</v>
      </c>
      <c r="J751" s="7">
        <v>99500</v>
      </c>
      <c r="K751" s="7">
        <v>10</v>
      </c>
      <c r="L751" t="s">
        <v>247</v>
      </c>
      <c r="M751" t="s">
        <v>252</v>
      </c>
      <c r="N751" s="7">
        <v>321779</v>
      </c>
      <c r="O751" t="s">
        <v>1222</v>
      </c>
      <c r="P751" t="s">
        <v>1223</v>
      </c>
      <c r="S751" t="s">
        <v>57</v>
      </c>
      <c r="T751" t="s">
        <v>727</v>
      </c>
      <c r="U751" t="s">
        <v>2082</v>
      </c>
      <c r="V751" s="8">
        <v>0</v>
      </c>
      <c r="W751" s="7">
        <v>588556</v>
      </c>
      <c r="X751" t="s">
        <v>3351</v>
      </c>
      <c r="Y751" s="8">
        <v>0</v>
      </c>
      <c r="Z751" s="8">
        <v>0</v>
      </c>
      <c r="AA751" s="8">
        <v>0</v>
      </c>
      <c r="AB751" s="7">
        <v>112023</v>
      </c>
      <c r="AC751" t="s">
        <v>3351</v>
      </c>
      <c r="AD751" s="8">
        <v>0</v>
      </c>
      <c r="AG751" t="s">
        <v>937</v>
      </c>
      <c r="AH751" t="s">
        <v>802</v>
      </c>
      <c r="AI751" t="s">
        <v>803</v>
      </c>
    </row>
    <row r="752" spans="1:35" hidden="1">
      <c r="A752" s="7">
        <v>751</v>
      </c>
      <c r="B752" t="s">
        <v>243</v>
      </c>
      <c r="C752" t="s">
        <v>244</v>
      </c>
      <c r="D752" s="7">
        <v>7134</v>
      </c>
      <c r="E752" t="s">
        <v>245</v>
      </c>
      <c r="F752" t="s">
        <v>246</v>
      </c>
      <c r="G752" t="s">
        <v>607</v>
      </c>
      <c r="H752" t="s">
        <v>770</v>
      </c>
      <c r="I752" s="7">
        <v>1150</v>
      </c>
      <c r="J752" s="7">
        <v>3067</v>
      </c>
      <c r="K752" s="7">
        <v>1</v>
      </c>
      <c r="L752" t="s">
        <v>247</v>
      </c>
      <c r="M752" t="s">
        <v>261</v>
      </c>
      <c r="N752" s="7">
        <v>778180</v>
      </c>
      <c r="O752" t="s">
        <v>2220</v>
      </c>
      <c r="P752" t="s">
        <v>2221</v>
      </c>
      <c r="S752" t="s">
        <v>57</v>
      </c>
      <c r="T752" t="s">
        <v>727</v>
      </c>
      <c r="U752" t="s">
        <v>2082</v>
      </c>
      <c r="V752" s="8">
        <v>1250</v>
      </c>
      <c r="W752" s="7">
        <v>588556</v>
      </c>
      <c r="X752" t="s">
        <v>3351</v>
      </c>
      <c r="Y752" s="8">
        <v>1250</v>
      </c>
      <c r="Z752" s="8">
        <v>1475</v>
      </c>
      <c r="AA752" s="8">
        <v>225</v>
      </c>
      <c r="AB752" s="7">
        <v>112023</v>
      </c>
      <c r="AC752" t="s">
        <v>3351</v>
      </c>
      <c r="AD752" s="8">
        <v>0</v>
      </c>
      <c r="AG752" t="s">
        <v>808</v>
      </c>
      <c r="AH752" t="s">
        <v>802</v>
      </c>
      <c r="AI752" t="s">
        <v>818</v>
      </c>
    </row>
    <row r="753" spans="1:35" hidden="1">
      <c r="A753" s="7">
        <v>752</v>
      </c>
      <c r="B753" t="s">
        <v>243</v>
      </c>
      <c r="C753" t="s">
        <v>244</v>
      </c>
      <c r="D753" s="7">
        <v>7134</v>
      </c>
      <c r="E753" t="s">
        <v>245</v>
      </c>
      <c r="F753" t="s">
        <v>246</v>
      </c>
      <c r="G753" t="s">
        <v>1457</v>
      </c>
      <c r="H753" t="s">
        <v>757</v>
      </c>
      <c r="I753" s="7">
        <v>879</v>
      </c>
      <c r="J753" s="7">
        <v>9515</v>
      </c>
      <c r="K753" s="7">
        <v>1</v>
      </c>
      <c r="L753" t="s">
        <v>247</v>
      </c>
      <c r="M753" t="s">
        <v>261</v>
      </c>
      <c r="N753" s="7">
        <v>796020</v>
      </c>
      <c r="O753" t="s">
        <v>2118</v>
      </c>
      <c r="P753" t="s">
        <v>2119</v>
      </c>
      <c r="S753" t="s">
        <v>57</v>
      </c>
      <c r="T753" t="s">
        <v>727</v>
      </c>
      <c r="U753" t="s">
        <v>2082</v>
      </c>
      <c r="V753" s="8">
        <v>1250</v>
      </c>
      <c r="W753" s="7">
        <v>588556</v>
      </c>
      <c r="X753" t="s">
        <v>3351</v>
      </c>
      <c r="Y753" s="8">
        <v>1250</v>
      </c>
      <c r="Z753" s="8">
        <v>1475</v>
      </c>
      <c r="AA753" s="8">
        <v>225</v>
      </c>
      <c r="AB753" s="7">
        <v>112023</v>
      </c>
      <c r="AC753" t="s">
        <v>3351</v>
      </c>
      <c r="AD753" s="8">
        <v>0</v>
      </c>
      <c r="AG753" t="s">
        <v>817</v>
      </c>
      <c r="AH753" t="s">
        <v>802</v>
      </c>
      <c r="AI753" t="s">
        <v>818</v>
      </c>
    </row>
    <row r="754" spans="1:35" hidden="1">
      <c r="A754" s="7">
        <v>753</v>
      </c>
      <c r="B754" t="s">
        <v>243</v>
      </c>
      <c r="C754" t="s">
        <v>244</v>
      </c>
      <c r="D754" s="7">
        <v>7134</v>
      </c>
      <c r="E754" t="s">
        <v>245</v>
      </c>
      <c r="F754" t="s">
        <v>246</v>
      </c>
      <c r="G754" t="s">
        <v>633</v>
      </c>
      <c r="H754" t="s">
        <v>697</v>
      </c>
      <c r="I754" s="7">
        <v>1165</v>
      </c>
      <c r="J754" s="7">
        <v>10000</v>
      </c>
      <c r="K754" s="7">
        <v>1</v>
      </c>
      <c r="L754" t="s">
        <v>247</v>
      </c>
      <c r="M754" t="s">
        <v>252</v>
      </c>
      <c r="N754" s="7">
        <v>327617</v>
      </c>
      <c r="O754" t="s">
        <v>639</v>
      </c>
      <c r="P754" t="s">
        <v>640</v>
      </c>
      <c r="S754" t="s">
        <v>57</v>
      </c>
      <c r="T754" t="s">
        <v>727</v>
      </c>
      <c r="U754" t="s">
        <v>2082</v>
      </c>
      <c r="V754" s="8">
        <v>1250</v>
      </c>
      <c r="W754" s="7">
        <v>588556</v>
      </c>
      <c r="X754" t="s">
        <v>3351</v>
      </c>
      <c r="Y754" s="8">
        <v>1250</v>
      </c>
      <c r="Z754" s="8">
        <v>1475</v>
      </c>
      <c r="AA754" s="8">
        <v>225</v>
      </c>
      <c r="AB754" s="7">
        <v>112023</v>
      </c>
      <c r="AC754" t="s">
        <v>3351</v>
      </c>
      <c r="AD754" s="8">
        <v>0</v>
      </c>
      <c r="AG754" t="s">
        <v>937</v>
      </c>
      <c r="AH754" t="s">
        <v>802</v>
      </c>
      <c r="AI754" t="s">
        <v>818</v>
      </c>
    </row>
    <row r="755" spans="1:35" hidden="1">
      <c r="A755" s="7">
        <v>754</v>
      </c>
      <c r="B755" t="s">
        <v>243</v>
      </c>
      <c r="C755" t="s">
        <v>244</v>
      </c>
      <c r="D755" s="7">
        <v>7134</v>
      </c>
      <c r="E755" t="s">
        <v>245</v>
      </c>
      <c r="F755" t="s">
        <v>246</v>
      </c>
      <c r="G755" t="s">
        <v>1457</v>
      </c>
      <c r="H755" t="s">
        <v>2093</v>
      </c>
      <c r="I755" s="7">
        <v>853</v>
      </c>
      <c r="J755" s="7">
        <v>10055</v>
      </c>
      <c r="K755" s="7">
        <v>1</v>
      </c>
      <c r="L755" t="s">
        <v>247</v>
      </c>
      <c r="M755" t="s">
        <v>261</v>
      </c>
      <c r="N755" s="7">
        <v>798028</v>
      </c>
      <c r="O755" t="s">
        <v>2123</v>
      </c>
      <c r="P755" t="s">
        <v>2124</v>
      </c>
      <c r="S755" t="s">
        <v>57</v>
      </c>
      <c r="T755" t="s">
        <v>727</v>
      </c>
      <c r="U755" t="s">
        <v>2082</v>
      </c>
      <c r="V755" s="8">
        <v>1250</v>
      </c>
      <c r="W755" s="7">
        <v>588556</v>
      </c>
      <c r="X755" t="s">
        <v>3351</v>
      </c>
      <c r="Y755" s="8">
        <v>1250</v>
      </c>
      <c r="Z755" s="8">
        <v>1475</v>
      </c>
      <c r="AA755" s="8">
        <v>225</v>
      </c>
      <c r="AB755" s="7">
        <v>112023</v>
      </c>
      <c r="AC755" t="s">
        <v>3351</v>
      </c>
      <c r="AD755" s="8">
        <v>0</v>
      </c>
      <c r="AG755" t="s">
        <v>817</v>
      </c>
      <c r="AH755" t="s">
        <v>802</v>
      </c>
      <c r="AI755" t="s">
        <v>818</v>
      </c>
    </row>
    <row r="756" spans="1:35" hidden="1">
      <c r="A756" s="7">
        <v>755</v>
      </c>
      <c r="B756" t="s">
        <v>243</v>
      </c>
      <c r="C756" t="s">
        <v>244</v>
      </c>
      <c r="D756" s="7">
        <v>7134</v>
      </c>
      <c r="E756" t="s">
        <v>245</v>
      </c>
      <c r="F756" t="s">
        <v>246</v>
      </c>
      <c r="G756" t="s">
        <v>555</v>
      </c>
      <c r="H756" t="s">
        <v>2092</v>
      </c>
      <c r="I756" s="7">
        <v>1165</v>
      </c>
      <c r="J756" s="7">
        <v>3150</v>
      </c>
      <c r="K756" s="7">
        <v>1</v>
      </c>
      <c r="L756" t="s">
        <v>247</v>
      </c>
      <c r="M756" t="s">
        <v>261</v>
      </c>
      <c r="N756" s="7">
        <v>785190</v>
      </c>
      <c r="O756" t="s">
        <v>563</v>
      </c>
      <c r="P756" t="s">
        <v>564</v>
      </c>
      <c r="S756" t="s">
        <v>57</v>
      </c>
      <c r="T756" t="s">
        <v>727</v>
      </c>
      <c r="U756" t="s">
        <v>2082</v>
      </c>
      <c r="V756" s="8">
        <v>1250</v>
      </c>
      <c r="W756" s="7">
        <v>588556</v>
      </c>
      <c r="X756" t="s">
        <v>3351</v>
      </c>
      <c r="Y756" s="8">
        <v>1250</v>
      </c>
      <c r="Z756" s="8">
        <v>1475</v>
      </c>
      <c r="AA756" s="8">
        <v>225</v>
      </c>
      <c r="AB756" s="7">
        <v>112023</v>
      </c>
      <c r="AC756" t="s">
        <v>3351</v>
      </c>
      <c r="AD756" s="8">
        <v>0</v>
      </c>
      <c r="AG756" t="s">
        <v>801</v>
      </c>
      <c r="AH756" t="s">
        <v>802</v>
      </c>
      <c r="AI756" t="s">
        <v>818</v>
      </c>
    </row>
    <row r="757" spans="1:35" hidden="1">
      <c r="A757" s="7">
        <v>756</v>
      </c>
      <c r="B757" t="s">
        <v>243</v>
      </c>
      <c r="C757" t="s">
        <v>244</v>
      </c>
      <c r="D757" s="7">
        <v>7134</v>
      </c>
      <c r="E757" t="s">
        <v>245</v>
      </c>
      <c r="F757" t="s">
        <v>246</v>
      </c>
      <c r="G757" t="s">
        <v>263</v>
      </c>
      <c r="H757" t="s">
        <v>2104</v>
      </c>
      <c r="I757" s="7">
        <v>877</v>
      </c>
      <c r="J757" s="7">
        <v>9368</v>
      </c>
      <c r="K757" s="7">
        <v>1</v>
      </c>
      <c r="L757" t="s">
        <v>247</v>
      </c>
      <c r="M757" t="s">
        <v>261</v>
      </c>
      <c r="N757" s="7">
        <v>798731</v>
      </c>
      <c r="O757" t="s">
        <v>2109</v>
      </c>
      <c r="P757" t="s">
        <v>2110</v>
      </c>
      <c r="S757" t="s">
        <v>57</v>
      </c>
      <c r="T757" t="s">
        <v>727</v>
      </c>
      <c r="U757" t="s">
        <v>2082</v>
      </c>
      <c r="V757" s="8">
        <v>1250</v>
      </c>
      <c r="W757" s="7">
        <v>588556</v>
      </c>
      <c r="X757" t="s">
        <v>3351</v>
      </c>
      <c r="Y757" s="8">
        <v>1250</v>
      </c>
      <c r="Z757" s="8">
        <v>1475</v>
      </c>
      <c r="AA757" s="8">
        <v>225</v>
      </c>
      <c r="AB757" s="7">
        <v>112023</v>
      </c>
      <c r="AC757" t="s">
        <v>3351</v>
      </c>
      <c r="AD757" s="8">
        <v>0</v>
      </c>
      <c r="AG757" t="s">
        <v>817</v>
      </c>
      <c r="AH757" t="s">
        <v>802</v>
      </c>
      <c r="AI757" t="s">
        <v>818</v>
      </c>
    </row>
    <row r="758" spans="1:35" hidden="1">
      <c r="A758" s="7">
        <v>757</v>
      </c>
      <c r="B758" t="s">
        <v>243</v>
      </c>
      <c r="C758" t="s">
        <v>244</v>
      </c>
      <c r="D758" s="7">
        <v>7134</v>
      </c>
      <c r="E758" t="s">
        <v>245</v>
      </c>
      <c r="F758" t="s">
        <v>246</v>
      </c>
      <c r="G758" t="s">
        <v>293</v>
      </c>
      <c r="H758" t="s">
        <v>1601</v>
      </c>
      <c r="I758" s="7">
        <v>1150</v>
      </c>
      <c r="J758" s="7">
        <v>7996</v>
      </c>
      <c r="K758" s="7">
        <v>1</v>
      </c>
      <c r="L758" t="s">
        <v>247</v>
      </c>
      <c r="M758" t="s">
        <v>261</v>
      </c>
      <c r="N758" s="7">
        <v>778219</v>
      </c>
      <c r="O758" t="s">
        <v>2090</v>
      </c>
      <c r="P758" t="s">
        <v>2091</v>
      </c>
      <c r="S758" t="s">
        <v>57</v>
      </c>
      <c r="T758" t="s">
        <v>727</v>
      </c>
      <c r="U758" t="s">
        <v>2082</v>
      </c>
      <c r="V758" s="8">
        <v>1250</v>
      </c>
      <c r="W758" s="7">
        <v>588556</v>
      </c>
      <c r="X758" t="s">
        <v>3351</v>
      </c>
      <c r="Y758" s="8">
        <v>1250</v>
      </c>
      <c r="Z758" s="8">
        <v>1475</v>
      </c>
      <c r="AA758" s="8">
        <v>225</v>
      </c>
      <c r="AB758" s="7">
        <v>112023</v>
      </c>
      <c r="AC758" t="s">
        <v>3351</v>
      </c>
      <c r="AD758" s="8">
        <v>0</v>
      </c>
      <c r="AG758" t="s">
        <v>808</v>
      </c>
      <c r="AH758" t="s">
        <v>802</v>
      </c>
      <c r="AI758" t="s">
        <v>818</v>
      </c>
    </row>
    <row r="759" spans="1:35" hidden="1">
      <c r="A759" s="7">
        <v>758</v>
      </c>
      <c r="B759" t="s">
        <v>243</v>
      </c>
      <c r="C759" t="s">
        <v>244</v>
      </c>
      <c r="D759" s="7">
        <v>7134</v>
      </c>
      <c r="E759" t="s">
        <v>245</v>
      </c>
      <c r="F759" t="s">
        <v>246</v>
      </c>
      <c r="G759" t="s">
        <v>1446</v>
      </c>
      <c r="H759" t="s">
        <v>683</v>
      </c>
      <c r="I759" s="7">
        <v>1165</v>
      </c>
      <c r="J759" s="7">
        <v>133800</v>
      </c>
      <c r="K759" s="7">
        <v>13</v>
      </c>
      <c r="L759" t="s">
        <v>247</v>
      </c>
      <c r="M759" t="s">
        <v>252</v>
      </c>
      <c r="N759" s="7">
        <v>319846</v>
      </c>
      <c r="O759" t="s">
        <v>1447</v>
      </c>
      <c r="P759" t="s">
        <v>1448</v>
      </c>
      <c r="Q759" t="s">
        <v>908</v>
      </c>
      <c r="R759" t="s">
        <v>909</v>
      </c>
      <c r="S759" t="s">
        <v>57</v>
      </c>
      <c r="T759" t="s">
        <v>727</v>
      </c>
      <c r="U759" t="s">
        <v>2082</v>
      </c>
      <c r="V759" s="8">
        <v>0</v>
      </c>
      <c r="W759" s="7">
        <v>588556</v>
      </c>
      <c r="X759" t="s">
        <v>3351</v>
      </c>
      <c r="Y759" s="8">
        <v>0</v>
      </c>
      <c r="Z759" s="8">
        <v>0</v>
      </c>
      <c r="AA759" s="8">
        <v>0</v>
      </c>
      <c r="AB759" s="7">
        <v>112023</v>
      </c>
      <c r="AC759" t="s">
        <v>3351</v>
      </c>
      <c r="AD759" s="8">
        <v>0</v>
      </c>
      <c r="AG759" t="s">
        <v>937</v>
      </c>
      <c r="AH759" t="s">
        <v>802</v>
      </c>
      <c r="AI759" t="s">
        <v>803</v>
      </c>
    </row>
    <row r="760" spans="1:35" hidden="1">
      <c r="A760" s="7">
        <v>759</v>
      </c>
      <c r="B760" t="s">
        <v>243</v>
      </c>
      <c r="C760" t="s">
        <v>244</v>
      </c>
      <c r="D760" s="7">
        <v>7134</v>
      </c>
      <c r="E760" t="s">
        <v>245</v>
      </c>
      <c r="F760" t="s">
        <v>246</v>
      </c>
      <c r="G760" t="s">
        <v>1457</v>
      </c>
      <c r="H760" t="s">
        <v>2104</v>
      </c>
      <c r="I760" s="7">
        <v>883</v>
      </c>
      <c r="J760" s="7">
        <v>10135</v>
      </c>
      <c r="K760" s="7">
        <v>1</v>
      </c>
      <c r="L760" t="s">
        <v>247</v>
      </c>
      <c r="M760" t="s">
        <v>261</v>
      </c>
      <c r="N760" s="7">
        <v>796008</v>
      </c>
      <c r="O760" t="s">
        <v>2178</v>
      </c>
      <c r="P760" t="s">
        <v>2179</v>
      </c>
      <c r="S760" t="s">
        <v>57</v>
      </c>
      <c r="T760" t="s">
        <v>727</v>
      </c>
      <c r="U760" t="s">
        <v>2082</v>
      </c>
      <c r="V760" s="8">
        <v>1250</v>
      </c>
      <c r="W760" s="7">
        <v>588556</v>
      </c>
      <c r="X760" t="s">
        <v>3351</v>
      </c>
      <c r="Y760" s="8">
        <v>1250</v>
      </c>
      <c r="Z760" s="8">
        <v>1475</v>
      </c>
      <c r="AA760" s="8">
        <v>225</v>
      </c>
      <c r="AB760" s="7">
        <v>112023</v>
      </c>
      <c r="AC760" t="s">
        <v>3351</v>
      </c>
      <c r="AD760" s="8">
        <v>0</v>
      </c>
      <c r="AG760" t="s">
        <v>817</v>
      </c>
      <c r="AH760" t="s">
        <v>802</v>
      </c>
      <c r="AI760" t="s">
        <v>818</v>
      </c>
    </row>
    <row r="761" spans="1:35" hidden="1">
      <c r="A761" s="7">
        <v>760</v>
      </c>
      <c r="B761" t="s">
        <v>243</v>
      </c>
      <c r="C761" t="s">
        <v>244</v>
      </c>
      <c r="D761" s="7">
        <v>7134</v>
      </c>
      <c r="E761" t="s">
        <v>245</v>
      </c>
      <c r="F761" t="s">
        <v>246</v>
      </c>
      <c r="G761" t="s">
        <v>878</v>
      </c>
      <c r="H761" t="s">
        <v>762</v>
      </c>
      <c r="I761" s="7">
        <v>1165</v>
      </c>
      <c r="J761" s="7">
        <v>60000</v>
      </c>
      <c r="K761" s="7">
        <v>6</v>
      </c>
      <c r="L761" t="s">
        <v>247</v>
      </c>
      <c r="M761" t="s">
        <v>261</v>
      </c>
      <c r="N761" s="7">
        <v>786320</v>
      </c>
      <c r="O761" t="s">
        <v>879</v>
      </c>
      <c r="P761" t="s">
        <v>880</v>
      </c>
      <c r="S761" t="s">
        <v>57</v>
      </c>
      <c r="T761" t="s">
        <v>727</v>
      </c>
      <c r="U761" t="s">
        <v>2082</v>
      </c>
      <c r="V761" s="8">
        <v>0</v>
      </c>
      <c r="W761" s="7">
        <v>588556</v>
      </c>
      <c r="X761" t="s">
        <v>3351</v>
      </c>
      <c r="Y761" s="8">
        <v>0</v>
      </c>
      <c r="Z761" s="8">
        <v>0</v>
      </c>
      <c r="AA761" s="8">
        <v>0</v>
      </c>
      <c r="AB761" s="7">
        <v>112023</v>
      </c>
      <c r="AC761" t="s">
        <v>3351</v>
      </c>
      <c r="AD761" s="8">
        <v>0</v>
      </c>
      <c r="AG761" t="s">
        <v>801</v>
      </c>
      <c r="AH761" t="s">
        <v>802</v>
      </c>
      <c r="AI761" t="s">
        <v>803</v>
      </c>
    </row>
    <row r="762" spans="1:35" hidden="1">
      <c r="A762" s="7">
        <v>761</v>
      </c>
      <c r="B762" t="s">
        <v>243</v>
      </c>
      <c r="C762" t="s">
        <v>244</v>
      </c>
      <c r="D762" s="7">
        <v>7134</v>
      </c>
      <c r="E762" t="s">
        <v>245</v>
      </c>
      <c r="F762" t="s">
        <v>246</v>
      </c>
      <c r="G762" t="s">
        <v>1343</v>
      </c>
      <c r="H762" t="s">
        <v>697</v>
      </c>
      <c r="I762" s="7">
        <v>1165</v>
      </c>
      <c r="J762" s="7">
        <v>115000</v>
      </c>
      <c r="K762" s="7">
        <v>12</v>
      </c>
      <c r="L762" t="s">
        <v>247</v>
      </c>
      <c r="M762" t="s">
        <v>261</v>
      </c>
      <c r="N762" s="7">
        <v>751799</v>
      </c>
      <c r="O762" t="s">
        <v>1344</v>
      </c>
      <c r="P762" t="s">
        <v>1345</v>
      </c>
      <c r="S762" t="s">
        <v>57</v>
      </c>
      <c r="T762" t="s">
        <v>727</v>
      </c>
      <c r="U762" t="s">
        <v>2082</v>
      </c>
      <c r="V762" s="8">
        <v>0</v>
      </c>
      <c r="W762" s="7">
        <v>588556</v>
      </c>
      <c r="X762" t="s">
        <v>3351</v>
      </c>
      <c r="Y762" s="8">
        <v>0</v>
      </c>
      <c r="Z762" s="8">
        <v>0</v>
      </c>
      <c r="AA762" s="8">
        <v>0</v>
      </c>
      <c r="AB762" s="7">
        <v>112023</v>
      </c>
      <c r="AC762" t="s">
        <v>3351</v>
      </c>
      <c r="AD762" s="8">
        <v>0</v>
      </c>
      <c r="AG762" t="s">
        <v>801</v>
      </c>
      <c r="AH762" t="s">
        <v>802</v>
      </c>
      <c r="AI762" t="s">
        <v>803</v>
      </c>
    </row>
    <row r="763" spans="1:35" hidden="1">
      <c r="A763" s="7">
        <v>762</v>
      </c>
      <c r="B763" t="s">
        <v>243</v>
      </c>
      <c r="C763" t="s">
        <v>244</v>
      </c>
      <c r="D763" s="7">
        <v>7134</v>
      </c>
      <c r="E763" t="s">
        <v>245</v>
      </c>
      <c r="F763" t="s">
        <v>246</v>
      </c>
      <c r="G763" t="s">
        <v>891</v>
      </c>
      <c r="H763" t="s">
        <v>770</v>
      </c>
      <c r="I763" s="7">
        <v>1165</v>
      </c>
      <c r="J763" s="7">
        <v>39890</v>
      </c>
      <c r="K763" s="7">
        <v>4</v>
      </c>
      <c r="L763" t="s">
        <v>247</v>
      </c>
      <c r="M763" t="s">
        <v>261</v>
      </c>
      <c r="N763" s="7">
        <v>785110</v>
      </c>
      <c r="O763" t="s">
        <v>892</v>
      </c>
      <c r="P763" t="s">
        <v>893</v>
      </c>
      <c r="Q763" t="s">
        <v>870</v>
      </c>
      <c r="R763" t="s">
        <v>871</v>
      </c>
      <c r="S763" t="s">
        <v>57</v>
      </c>
      <c r="T763" t="s">
        <v>727</v>
      </c>
      <c r="U763" t="s">
        <v>2082</v>
      </c>
      <c r="V763" s="8">
        <v>0</v>
      </c>
      <c r="W763" s="7">
        <v>588556</v>
      </c>
      <c r="X763" t="s">
        <v>3351</v>
      </c>
      <c r="Y763" s="8">
        <v>0</v>
      </c>
      <c r="Z763" s="8">
        <v>0</v>
      </c>
      <c r="AA763" s="8">
        <v>0</v>
      </c>
      <c r="AB763" s="7">
        <v>112023</v>
      </c>
      <c r="AC763" t="s">
        <v>3351</v>
      </c>
      <c r="AD763" s="8">
        <v>0</v>
      </c>
      <c r="AG763" t="s">
        <v>801</v>
      </c>
      <c r="AH763" t="s">
        <v>802</v>
      </c>
      <c r="AI763" t="s">
        <v>803</v>
      </c>
    </row>
    <row r="764" spans="1:35" hidden="1">
      <c r="A764" s="7">
        <v>763</v>
      </c>
      <c r="B764" t="s">
        <v>243</v>
      </c>
      <c r="C764" t="s">
        <v>244</v>
      </c>
      <c r="D764" s="7">
        <v>7134</v>
      </c>
      <c r="E764" t="s">
        <v>245</v>
      </c>
      <c r="F764" t="s">
        <v>246</v>
      </c>
      <c r="G764" t="s">
        <v>1041</v>
      </c>
      <c r="H764" t="s">
        <v>256</v>
      </c>
      <c r="I764" s="7">
        <v>1165</v>
      </c>
      <c r="J764" s="7">
        <v>29948</v>
      </c>
      <c r="K764" s="7">
        <v>3</v>
      </c>
      <c r="L764" t="s">
        <v>247</v>
      </c>
      <c r="M764" t="s">
        <v>267</v>
      </c>
      <c r="N764" s="7">
        <v>789619</v>
      </c>
      <c r="O764" t="s">
        <v>1042</v>
      </c>
      <c r="P764" t="s">
        <v>1043</v>
      </c>
      <c r="S764" t="s">
        <v>57</v>
      </c>
      <c r="T764" t="s">
        <v>727</v>
      </c>
      <c r="U764" t="s">
        <v>2082</v>
      </c>
      <c r="V764" s="8">
        <v>1250</v>
      </c>
      <c r="W764" s="7">
        <v>588556</v>
      </c>
      <c r="X764" t="s">
        <v>3351</v>
      </c>
      <c r="Y764" s="8">
        <v>1250</v>
      </c>
      <c r="Z764" s="8">
        <v>1475</v>
      </c>
      <c r="AA764" s="8">
        <v>225</v>
      </c>
      <c r="AB764" s="7">
        <v>112023</v>
      </c>
      <c r="AC764" t="s">
        <v>3351</v>
      </c>
      <c r="AD764" s="8">
        <v>0</v>
      </c>
      <c r="AG764" t="s">
        <v>828</v>
      </c>
      <c r="AH764" t="s">
        <v>802</v>
      </c>
      <c r="AI764" t="s">
        <v>818</v>
      </c>
    </row>
    <row r="765" spans="1:35" hidden="1">
      <c r="A765" s="7">
        <v>764</v>
      </c>
      <c r="B765" t="s">
        <v>243</v>
      </c>
      <c r="C765" t="s">
        <v>244</v>
      </c>
      <c r="D765" s="7">
        <v>7134</v>
      </c>
      <c r="E765" t="s">
        <v>245</v>
      </c>
      <c r="F765" t="s">
        <v>246</v>
      </c>
      <c r="G765" t="s">
        <v>363</v>
      </c>
      <c r="H765" t="s">
        <v>2093</v>
      </c>
      <c r="I765" s="7">
        <v>872</v>
      </c>
      <c r="J765" s="7">
        <v>9760</v>
      </c>
      <c r="K765" s="7">
        <v>1</v>
      </c>
      <c r="L765" t="s">
        <v>247</v>
      </c>
      <c r="M765" t="s">
        <v>261</v>
      </c>
      <c r="N765" s="7">
        <v>798610</v>
      </c>
      <c r="O765" t="s">
        <v>2107</v>
      </c>
      <c r="P765" t="s">
        <v>2108</v>
      </c>
      <c r="S765" t="s">
        <v>57</v>
      </c>
      <c r="T765" t="s">
        <v>727</v>
      </c>
      <c r="U765" t="s">
        <v>2082</v>
      </c>
      <c r="V765" s="8">
        <v>1250</v>
      </c>
      <c r="W765" s="7">
        <v>588556</v>
      </c>
      <c r="X765" t="s">
        <v>3351</v>
      </c>
      <c r="Y765" s="8">
        <v>1250</v>
      </c>
      <c r="Z765" s="8">
        <v>1475</v>
      </c>
      <c r="AA765" s="8">
        <v>225</v>
      </c>
      <c r="AB765" s="7">
        <v>112023</v>
      </c>
      <c r="AC765" t="s">
        <v>3351</v>
      </c>
      <c r="AD765" s="8">
        <v>0</v>
      </c>
      <c r="AG765" t="s">
        <v>817</v>
      </c>
      <c r="AH765" t="s">
        <v>802</v>
      </c>
      <c r="AI765" t="s">
        <v>818</v>
      </c>
    </row>
    <row r="766" spans="1:35" hidden="1">
      <c r="A766" s="7">
        <v>765</v>
      </c>
      <c r="B766" t="s">
        <v>243</v>
      </c>
      <c r="C766" t="s">
        <v>244</v>
      </c>
      <c r="D766" s="7">
        <v>7134</v>
      </c>
      <c r="E766" t="s">
        <v>245</v>
      </c>
      <c r="F766" t="s">
        <v>246</v>
      </c>
      <c r="G766" t="s">
        <v>849</v>
      </c>
      <c r="H766" t="s">
        <v>697</v>
      </c>
      <c r="I766" s="7">
        <v>1165</v>
      </c>
      <c r="J766" s="7">
        <v>60000</v>
      </c>
      <c r="K766" s="7">
        <v>6</v>
      </c>
      <c r="L766" t="s">
        <v>247</v>
      </c>
      <c r="M766" t="s">
        <v>261</v>
      </c>
      <c r="N766" s="7">
        <v>787042</v>
      </c>
      <c r="O766" t="s">
        <v>850</v>
      </c>
      <c r="P766" t="s">
        <v>851</v>
      </c>
      <c r="S766" t="s">
        <v>57</v>
      </c>
      <c r="T766" t="s">
        <v>727</v>
      </c>
      <c r="U766" t="s">
        <v>2082</v>
      </c>
      <c r="V766" s="8">
        <v>0</v>
      </c>
      <c r="W766" s="7">
        <v>588556</v>
      </c>
      <c r="X766" t="s">
        <v>3351</v>
      </c>
      <c r="Y766" s="8">
        <v>0</v>
      </c>
      <c r="Z766" s="8">
        <v>0</v>
      </c>
      <c r="AA766" s="8">
        <v>0</v>
      </c>
      <c r="AB766" s="7">
        <v>112023</v>
      </c>
      <c r="AC766" t="s">
        <v>3351</v>
      </c>
      <c r="AD766" s="8">
        <v>0</v>
      </c>
      <c r="AG766" t="s">
        <v>801</v>
      </c>
      <c r="AH766" t="s">
        <v>802</v>
      </c>
      <c r="AI766" t="s">
        <v>803</v>
      </c>
    </row>
    <row r="767" spans="1:35" hidden="1">
      <c r="A767" s="7">
        <v>766</v>
      </c>
      <c r="B767" t="s">
        <v>243</v>
      </c>
      <c r="C767" t="s">
        <v>244</v>
      </c>
      <c r="D767" s="7">
        <v>7134</v>
      </c>
      <c r="E767" t="s">
        <v>245</v>
      </c>
      <c r="F767" t="s">
        <v>246</v>
      </c>
      <c r="G767" t="s">
        <v>1559</v>
      </c>
      <c r="H767" t="s">
        <v>2089</v>
      </c>
      <c r="I767" s="7">
        <v>1165</v>
      </c>
      <c r="J767" s="7">
        <v>70000</v>
      </c>
      <c r="K767" s="7">
        <v>7</v>
      </c>
      <c r="L767" t="s">
        <v>247</v>
      </c>
      <c r="M767" t="s">
        <v>261</v>
      </c>
      <c r="N767" s="7">
        <v>785726</v>
      </c>
      <c r="O767" t="s">
        <v>1560</v>
      </c>
      <c r="P767" t="s">
        <v>1561</v>
      </c>
      <c r="S767" t="s">
        <v>57</v>
      </c>
      <c r="T767" t="s">
        <v>727</v>
      </c>
      <c r="U767" t="s">
        <v>2082</v>
      </c>
      <c r="V767" s="8">
        <v>0</v>
      </c>
      <c r="W767" s="7">
        <v>588556</v>
      </c>
      <c r="X767" t="s">
        <v>3351</v>
      </c>
      <c r="Y767" s="8">
        <v>0</v>
      </c>
      <c r="Z767" s="8">
        <v>0</v>
      </c>
      <c r="AA767" s="8">
        <v>0</v>
      </c>
      <c r="AB767" s="7">
        <v>112023</v>
      </c>
      <c r="AC767" t="s">
        <v>3351</v>
      </c>
      <c r="AD767" s="8">
        <v>0</v>
      </c>
      <c r="AG767" t="s">
        <v>801</v>
      </c>
      <c r="AH767" t="s">
        <v>802</v>
      </c>
      <c r="AI767" t="s">
        <v>803</v>
      </c>
    </row>
    <row r="768" spans="1:35" hidden="1">
      <c r="A768" s="7">
        <v>767</v>
      </c>
      <c r="B768" t="s">
        <v>243</v>
      </c>
      <c r="C768" t="s">
        <v>244</v>
      </c>
      <c r="D768" s="7">
        <v>7134</v>
      </c>
      <c r="E768" t="s">
        <v>245</v>
      </c>
      <c r="F768" t="s">
        <v>246</v>
      </c>
      <c r="G768" t="s">
        <v>1069</v>
      </c>
      <c r="H768" t="s">
        <v>689</v>
      </c>
      <c r="I768" s="7">
        <v>1150</v>
      </c>
      <c r="J768" s="7">
        <v>32500</v>
      </c>
      <c r="K768" s="7">
        <v>4</v>
      </c>
      <c r="L768" t="s">
        <v>247</v>
      </c>
      <c r="M768" t="s">
        <v>361</v>
      </c>
      <c r="N768" s="7">
        <v>5869</v>
      </c>
      <c r="O768" t="s">
        <v>2098</v>
      </c>
      <c r="P768" t="s">
        <v>2099</v>
      </c>
      <c r="S768" t="s">
        <v>57</v>
      </c>
      <c r="T768" t="s">
        <v>727</v>
      </c>
      <c r="U768" t="s">
        <v>2082</v>
      </c>
      <c r="V768" s="8">
        <v>0</v>
      </c>
      <c r="W768" s="7">
        <v>588556</v>
      </c>
      <c r="X768" t="s">
        <v>3351</v>
      </c>
      <c r="Y768" s="8">
        <v>0</v>
      </c>
      <c r="Z768" s="8">
        <v>0</v>
      </c>
      <c r="AA768" s="8">
        <v>0</v>
      </c>
      <c r="AB768" s="7">
        <v>112023</v>
      </c>
      <c r="AC768" t="s">
        <v>3351</v>
      </c>
      <c r="AD768" s="8">
        <v>0</v>
      </c>
      <c r="AG768" t="s">
        <v>823</v>
      </c>
      <c r="AH768" t="s">
        <v>802</v>
      </c>
      <c r="AI768" t="s">
        <v>803</v>
      </c>
    </row>
    <row r="769" spans="1:35" hidden="1">
      <c r="A769" s="7">
        <v>768</v>
      </c>
      <c r="B769" t="s">
        <v>243</v>
      </c>
      <c r="C769" t="s">
        <v>244</v>
      </c>
      <c r="D769" s="7">
        <v>7134</v>
      </c>
      <c r="E769" t="s">
        <v>245</v>
      </c>
      <c r="F769" t="s">
        <v>246</v>
      </c>
      <c r="G769" t="s">
        <v>1615</v>
      </c>
      <c r="H769" t="s">
        <v>770</v>
      </c>
      <c r="I769" s="7">
        <v>1150</v>
      </c>
      <c r="J769" s="7">
        <v>6031</v>
      </c>
      <c r="K769" s="7">
        <v>1</v>
      </c>
      <c r="L769" t="s">
        <v>247</v>
      </c>
      <c r="M769" t="s">
        <v>261</v>
      </c>
      <c r="N769" s="7">
        <v>778136</v>
      </c>
      <c r="O769" t="s">
        <v>2084</v>
      </c>
      <c r="P769" t="s">
        <v>2085</v>
      </c>
      <c r="S769" t="s">
        <v>57</v>
      </c>
      <c r="T769" t="s">
        <v>727</v>
      </c>
      <c r="U769" t="s">
        <v>2082</v>
      </c>
      <c r="V769" s="8">
        <v>1250</v>
      </c>
      <c r="W769" s="7">
        <v>588556</v>
      </c>
      <c r="X769" t="s">
        <v>3351</v>
      </c>
      <c r="Y769" s="8">
        <v>1250</v>
      </c>
      <c r="Z769" s="8">
        <v>1475</v>
      </c>
      <c r="AA769" s="8">
        <v>225</v>
      </c>
      <c r="AB769" s="7">
        <v>112023</v>
      </c>
      <c r="AC769" t="s">
        <v>3351</v>
      </c>
      <c r="AD769" s="8">
        <v>0</v>
      </c>
      <c r="AG769" t="s">
        <v>808</v>
      </c>
      <c r="AH769" t="s">
        <v>802</v>
      </c>
      <c r="AI769" t="s">
        <v>818</v>
      </c>
    </row>
    <row r="770" spans="1:35" hidden="1">
      <c r="A770" s="7">
        <v>769</v>
      </c>
      <c r="B770" t="s">
        <v>243</v>
      </c>
      <c r="C770" t="s">
        <v>244</v>
      </c>
      <c r="D770" s="7">
        <v>7134</v>
      </c>
      <c r="E770" t="s">
        <v>245</v>
      </c>
      <c r="F770" t="s">
        <v>246</v>
      </c>
      <c r="G770" t="s">
        <v>988</v>
      </c>
      <c r="H770" t="s">
        <v>693</v>
      </c>
      <c r="I770" s="7">
        <v>1165</v>
      </c>
      <c r="J770" s="7">
        <v>38654</v>
      </c>
      <c r="K770" s="7">
        <v>4</v>
      </c>
      <c r="L770" t="s">
        <v>247</v>
      </c>
      <c r="M770" t="s">
        <v>361</v>
      </c>
      <c r="N770" s="7">
        <v>3912</v>
      </c>
      <c r="O770" t="s">
        <v>2087</v>
      </c>
      <c r="P770" t="s">
        <v>2088</v>
      </c>
      <c r="S770" t="s">
        <v>57</v>
      </c>
      <c r="T770" t="s">
        <v>727</v>
      </c>
      <c r="U770" t="s">
        <v>2082</v>
      </c>
      <c r="V770" s="8">
        <v>0</v>
      </c>
      <c r="W770" s="7">
        <v>588556</v>
      </c>
      <c r="X770" t="s">
        <v>3351</v>
      </c>
      <c r="Y770" s="8">
        <v>0</v>
      </c>
      <c r="Z770" s="8">
        <v>0</v>
      </c>
      <c r="AA770" s="8">
        <v>0</v>
      </c>
      <c r="AB770" s="7">
        <v>112023</v>
      </c>
      <c r="AC770" t="s">
        <v>3351</v>
      </c>
      <c r="AD770" s="8">
        <v>0</v>
      </c>
      <c r="AG770" t="s">
        <v>823</v>
      </c>
      <c r="AH770" t="s">
        <v>802</v>
      </c>
      <c r="AI770" t="s">
        <v>803</v>
      </c>
    </row>
    <row r="771" spans="1:35" hidden="1">
      <c r="A771" s="7">
        <v>770</v>
      </c>
      <c r="B771" t="s">
        <v>243</v>
      </c>
      <c r="C771" t="s">
        <v>244</v>
      </c>
      <c r="D771" s="7">
        <v>7134</v>
      </c>
      <c r="E771" t="s">
        <v>245</v>
      </c>
      <c r="F771" t="s">
        <v>246</v>
      </c>
      <c r="G771" t="s">
        <v>527</v>
      </c>
      <c r="H771" t="s">
        <v>757</v>
      </c>
      <c r="I771" s="7">
        <v>950</v>
      </c>
      <c r="J771" s="7">
        <v>10978</v>
      </c>
      <c r="K771" s="7">
        <v>1</v>
      </c>
      <c r="L771" t="s">
        <v>247</v>
      </c>
      <c r="M771" t="s">
        <v>261</v>
      </c>
      <c r="N771" s="7">
        <v>795169</v>
      </c>
      <c r="O771" t="s">
        <v>2190</v>
      </c>
      <c r="P771" t="s">
        <v>2191</v>
      </c>
      <c r="Q771" t="s">
        <v>908</v>
      </c>
      <c r="R771" t="s">
        <v>909</v>
      </c>
      <c r="S771" t="s">
        <v>57</v>
      </c>
      <c r="T771" t="s">
        <v>727</v>
      </c>
      <c r="U771" t="s">
        <v>2082</v>
      </c>
      <c r="V771" s="8">
        <v>1250</v>
      </c>
      <c r="W771" s="7">
        <v>588556</v>
      </c>
      <c r="X771" t="s">
        <v>3351</v>
      </c>
      <c r="Y771" s="8">
        <v>1000</v>
      </c>
      <c r="Z771" s="8">
        <v>1475</v>
      </c>
      <c r="AA771" s="8">
        <v>225</v>
      </c>
      <c r="AB771" s="7">
        <v>112023</v>
      </c>
      <c r="AC771" t="s">
        <v>3351</v>
      </c>
      <c r="AD771" s="8">
        <v>250</v>
      </c>
      <c r="AG771" t="s">
        <v>817</v>
      </c>
      <c r="AH771" t="s">
        <v>802</v>
      </c>
      <c r="AI771" t="s">
        <v>818</v>
      </c>
    </row>
    <row r="772" spans="1:35" hidden="1">
      <c r="A772" s="7">
        <v>771</v>
      </c>
      <c r="B772" t="s">
        <v>243</v>
      </c>
      <c r="C772" t="s">
        <v>244</v>
      </c>
      <c r="D772" s="7">
        <v>7134</v>
      </c>
      <c r="E772" t="s">
        <v>245</v>
      </c>
      <c r="F772" t="s">
        <v>246</v>
      </c>
      <c r="G772" t="s">
        <v>248</v>
      </c>
      <c r="H772" t="s">
        <v>2093</v>
      </c>
      <c r="I772" s="7">
        <v>902</v>
      </c>
      <c r="J772" s="7">
        <v>8200</v>
      </c>
      <c r="K772" s="7">
        <v>1</v>
      </c>
      <c r="L772" t="s">
        <v>247</v>
      </c>
      <c r="M772" t="s">
        <v>261</v>
      </c>
      <c r="N772" s="7">
        <v>798566</v>
      </c>
      <c r="O772" t="s">
        <v>2176</v>
      </c>
      <c r="P772" t="s">
        <v>2177</v>
      </c>
      <c r="S772" t="s">
        <v>57</v>
      </c>
      <c r="T772" t="s">
        <v>727</v>
      </c>
      <c r="U772" t="s">
        <v>2082</v>
      </c>
      <c r="V772" s="8">
        <v>1250</v>
      </c>
      <c r="W772" s="7">
        <v>588556</v>
      </c>
      <c r="X772" t="s">
        <v>3351</v>
      </c>
      <c r="Y772" s="8">
        <v>1250</v>
      </c>
      <c r="Z772" s="8">
        <v>1475</v>
      </c>
      <c r="AA772" s="8">
        <v>225</v>
      </c>
      <c r="AB772" s="7">
        <v>112023</v>
      </c>
      <c r="AC772" t="s">
        <v>3351</v>
      </c>
      <c r="AD772" s="8">
        <v>0</v>
      </c>
      <c r="AG772" t="s">
        <v>817</v>
      </c>
      <c r="AH772" t="s">
        <v>802</v>
      </c>
      <c r="AI772" t="s">
        <v>818</v>
      </c>
    </row>
    <row r="773" spans="1:35" hidden="1">
      <c r="A773" s="7">
        <v>772</v>
      </c>
      <c r="B773" t="s">
        <v>243</v>
      </c>
      <c r="C773" t="s">
        <v>244</v>
      </c>
      <c r="D773" s="7">
        <v>7134</v>
      </c>
      <c r="E773" t="s">
        <v>245</v>
      </c>
      <c r="F773" t="s">
        <v>246</v>
      </c>
      <c r="G773" t="s">
        <v>543</v>
      </c>
      <c r="H773" t="s">
        <v>770</v>
      </c>
      <c r="I773" s="7">
        <v>1150</v>
      </c>
      <c r="J773" s="7">
        <v>3810</v>
      </c>
      <c r="K773" s="7">
        <v>1</v>
      </c>
      <c r="L773" t="s">
        <v>247</v>
      </c>
      <c r="M773" t="s">
        <v>261</v>
      </c>
      <c r="N773" s="7">
        <v>778181</v>
      </c>
      <c r="O773" t="s">
        <v>2188</v>
      </c>
      <c r="P773" t="s">
        <v>2189</v>
      </c>
      <c r="S773" t="s">
        <v>57</v>
      </c>
      <c r="T773" t="s">
        <v>727</v>
      </c>
      <c r="U773" t="s">
        <v>2082</v>
      </c>
      <c r="V773" s="8">
        <v>1250</v>
      </c>
      <c r="W773" s="7">
        <v>588556</v>
      </c>
      <c r="X773" t="s">
        <v>3351</v>
      </c>
      <c r="Y773" s="8">
        <v>1250</v>
      </c>
      <c r="Z773" s="8">
        <v>1475</v>
      </c>
      <c r="AA773" s="8">
        <v>225</v>
      </c>
      <c r="AB773" s="7">
        <v>112023</v>
      </c>
      <c r="AC773" t="s">
        <v>3351</v>
      </c>
      <c r="AD773" s="8">
        <v>0</v>
      </c>
      <c r="AG773" t="s">
        <v>808</v>
      </c>
      <c r="AH773" t="s">
        <v>802</v>
      </c>
      <c r="AI773" t="s">
        <v>818</v>
      </c>
    </row>
    <row r="774" spans="1:35" hidden="1">
      <c r="A774" s="7">
        <v>773</v>
      </c>
      <c r="B774" t="s">
        <v>243</v>
      </c>
      <c r="C774" t="s">
        <v>244</v>
      </c>
      <c r="D774" s="7">
        <v>7134</v>
      </c>
      <c r="E774" t="s">
        <v>245</v>
      </c>
      <c r="F774" t="s">
        <v>246</v>
      </c>
      <c r="G774" t="s">
        <v>594</v>
      </c>
      <c r="H774" t="s">
        <v>2164</v>
      </c>
      <c r="I774" s="7">
        <v>1165</v>
      </c>
      <c r="J774" s="7">
        <v>8895</v>
      </c>
      <c r="K774" s="7">
        <v>1</v>
      </c>
      <c r="L774" t="s">
        <v>247</v>
      </c>
      <c r="M774" t="s">
        <v>252</v>
      </c>
      <c r="N774" s="7">
        <v>326025</v>
      </c>
      <c r="O774" t="s">
        <v>596</v>
      </c>
      <c r="P774" t="s">
        <v>597</v>
      </c>
      <c r="S774" t="s">
        <v>57</v>
      </c>
      <c r="T774" t="s">
        <v>727</v>
      </c>
      <c r="U774" t="s">
        <v>2082</v>
      </c>
      <c r="V774" s="8">
        <v>1250</v>
      </c>
      <c r="W774" s="7">
        <v>588556</v>
      </c>
      <c r="X774" t="s">
        <v>3351</v>
      </c>
      <c r="Y774" s="8">
        <v>1250</v>
      </c>
      <c r="Z774" s="8">
        <v>1475</v>
      </c>
      <c r="AA774" s="8">
        <v>225</v>
      </c>
      <c r="AB774" s="7">
        <v>112023</v>
      </c>
      <c r="AC774" t="s">
        <v>3351</v>
      </c>
      <c r="AD774" s="8">
        <v>0</v>
      </c>
      <c r="AG774" t="s">
        <v>937</v>
      </c>
      <c r="AH774" t="s">
        <v>802</v>
      </c>
      <c r="AI774" t="s">
        <v>818</v>
      </c>
    </row>
    <row r="775" spans="1:35" hidden="1">
      <c r="A775" s="7">
        <v>774</v>
      </c>
      <c r="B775" t="s">
        <v>243</v>
      </c>
      <c r="C775" t="s">
        <v>244</v>
      </c>
      <c r="D775" s="7">
        <v>7134</v>
      </c>
      <c r="E775" t="s">
        <v>245</v>
      </c>
      <c r="F775" t="s">
        <v>246</v>
      </c>
      <c r="G775" t="s">
        <v>363</v>
      </c>
      <c r="H775" t="s">
        <v>2104</v>
      </c>
      <c r="I775" s="7">
        <v>859</v>
      </c>
      <c r="J775" s="7">
        <v>9617</v>
      </c>
      <c r="K775" s="7">
        <v>1</v>
      </c>
      <c r="L775" t="s">
        <v>247</v>
      </c>
      <c r="M775" t="s">
        <v>261</v>
      </c>
      <c r="N775" s="7">
        <v>795510</v>
      </c>
      <c r="O775" t="s">
        <v>2212</v>
      </c>
      <c r="P775" t="s">
        <v>2213</v>
      </c>
      <c r="S775" t="s">
        <v>57</v>
      </c>
      <c r="T775" t="s">
        <v>727</v>
      </c>
      <c r="U775" t="s">
        <v>2082</v>
      </c>
      <c r="V775" s="8">
        <v>1250</v>
      </c>
      <c r="W775" s="7">
        <v>588556</v>
      </c>
      <c r="X775" t="s">
        <v>3351</v>
      </c>
      <c r="Y775" s="8">
        <v>1250</v>
      </c>
      <c r="Z775" s="8">
        <v>1475</v>
      </c>
      <c r="AA775" s="8">
        <v>225</v>
      </c>
      <c r="AB775" s="7">
        <v>112023</v>
      </c>
      <c r="AC775" t="s">
        <v>3351</v>
      </c>
      <c r="AD775" s="8">
        <v>0</v>
      </c>
      <c r="AG775" t="s">
        <v>817</v>
      </c>
      <c r="AH775" t="s">
        <v>802</v>
      </c>
      <c r="AI775" t="s">
        <v>818</v>
      </c>
    </row>
    <row r="776" spans="1:35" hidden="1">
      <c r="A776" s="7">
        <v>775</v>
      </c>
      <c r="B776" t="s">
        <v>243</v>
      </c>
      <c r="C776" t="s">
        <v>244</v>
      </c>
      <c r="D776" s="7">
        <v>7134</v>
      </c>
      <c r="E776" t="s">
        <v>245</v>
      </c>
      <c r="F776" t="s">
        <v>246</v>
      </c>
      <c r="G776" t="s">
        <v>1807</v>
      </c>
      <c r="H776" t="s">
        <v>1601</v>
      </c>
      <c r="I776" s="7">
        <v>1150</v>
      </c>
      <c r="J776" s="7">
        <v>4575</v>
      </c>
      <c r="K776" s="7">
        <v>1</v>
      </c>
      <c r="L776" t="s">
        <v>247</v>
      </c>
      <c r="M776" t="s">
        <v>261</v>
      </c>
      <c r="N776" s="7">
        <v>778388</v>
      </c>
      <c r="O776" t="s">
        <v>2180</v>
      </c>
      <c r="P776" t="s">
        <v>2181</v>
      </c>
      <c r="S776" t="s">
        <v>57</v>
      </c>
      <c r="T776" t="s">
        <v>727</v>
      </c>
      <c r="U776" t="s">
        <v>2082</v>
      </c>
      <c r="V776" s="8">
        <v>1250</v>
      </c>
      <c r="W776" s="7">
        <v>588556</v>
      </c>
      <c r="X776" t="s">
        <v>3351</v>
      </c>
      <c r="Y776" s="8">
        <v>1250</v>
      </c>
      <c r="Z776" s="8">
        <v>1475</v>
      </c>
      <c r="AA776" s="8">
        <v>225</v>
      </c>
      <c r="AB776" s="7">
        <v>112023</v>
      </c>
      <c r="AC776" t="s">
        <v>3351</v>
      </c>
      <c r="AD776" s="8">
        <v>0</v>
      </c>
      <c r="AG776" t="s">
        <v>808</v>
      </c>
      <c r="AH776" t="s">
        <v>802</v>
      </c>
      <c r="AI776" t="s">
        <v>818</v>
      </c>
    </row>
    <row r="777" spans="1:35" hidden="1">
      <c r="A777" s="7">
        <v>776</v>
      </c>
      <c r="B777" t="s">
        <v>243</v>
      </c>
      <c r="C777" t="s">
        <v>244</v>
      </c>
      <c r="D777" s="7">
        <v>7134</v>
      </c>
      <c r="E777" t="s">
        <v>245</v>
      </c>
      <c r="F777" t="s">
        <v>246</v>
      </c>
      <c r="G777" t="s">
        <v>333</v>
      </c>
      <c r="H777" t="s">
        <v>689</v>
      </c>
      <c r="I777" s="7">
        <v>1165</v>
      </c>
      <c r="J777" s="7">
        <v>19400</v>
      </c>
      <c r="K777" s="7">
        <v>2</v>
      </c>
      <c r="L777" t="s">
        <v>247</v>
      </c>
      <c r="M777" t="s">
        <v>267</v>
      </c>
      <c r="N777" s="7">
        <v>789361</v>
      </c>
      <c r="O777" t="s">
        <v>485</v>
      </c>
      <c r="P777" t="s">
        <v>486</v>
      </c>
      <c r="S777" t="s">
        <v>57</v>
      </c>
      <c r="T777" t="s">
        <v>727</v>
      </c>
      <c r="U777" t="s">
        <v>2082</v>
      </c>
      <c r="V777" s="8">
        <v>0</v>
      </c>
      <c r="W777" s="7">
        <v>588556</v>
      </c>
      <c r="X777" t="s">
        <v>3351</v>
      </c>
      <c r="Y777" s="8">
        <v>0</v>
      </c>
      <c r="Z777" s="8">
        <v>0</v>
      </c>
      <c r="AA777" s="8">
        <v>0</v>
      </c>
      <c r="AB777" s="7">
        <v>112023</v>
      </c>
      <c r="AC777" t="s">
        <v>3351</v>
      </c>
      <c r="AD777" s="8">
        <v>0</v>
      </c>
      <c r="AG777" t="s">
        <v>828</v>
      </c>
      <c r="AH777" t="s">
        <v>802</v>
      </c>
      <c r="AI777" t="s">
        <v>803</v>
      </c>
    </row>
    <row r="778" spans="1:35" hidden="1">
      <c r="A778" s="7">
        <v>777</v>
      </c>
      <c r="B778" t="s">
        <v>243</v>
      </c>
      <c r="C778" t="s">
        <v>244</v>
      </c>
      <c r="D778" s="7">
        <v>7134</v>
      </c>
      <c r="E778" t="s">
        <v>245</v>
      </c>
      <c r="F778" t="s">
        <v>246</v>
      </c>
      <c r="G778" t="s">
        <v>1004</v>
      </c>
      <c r="H778" t="s">
        <v>2152</v>
      </c>
      <c r="I778" s="7">
        <v>1165</v>
      </c>
      <c r="J778" s="7">
        <v>30000</v>
      </c>
      <c r="K778" s="7">
        <v>3</v>
      </c>
      <c r="L778" t="s">
        <v>247</v>
      </c>
      <c r="M778" t="s">
        <v>361</v>
      </c>
      <c r="N778" s="7">
        <v>5607</v>
      </c>
      <c r="O778" t="s">
        <v>1351</v>
      </c>
      <c r="P778" t="s">
        <v>1352</v>
      </c>
      <c r="S778" t="s">
        <v>57</v>
      </c>
      <c r="T778" t="s">
        <v>727</v>
      </c>
      <c r="U778" t="s">
        <v>2082</v>
      </c>
      <c r="V778" s="8">
        <v>1650</v>
      </c>
      <c r="W778" s="7">
        <v>588556</v>
      </c>
      <c r="X778" t="s">
        <v>3351</v>
      </c>
      <c r="Y778" s="8">
        <v>1650</v>
      </c>
      <c r="Z778" s="8">
        <v>1947</v>
      </c>
      <c r="AA778" s="8">
        <v>297</v>
      </c>
      <c r="AB778" s="7">
        <v>112023</v>
      </c>
      <c r="AC778" t="s">
        <v>3351</v>
      </c>
      <c r="AD778" s="8">
        <v>0</v>
      </c>
      <c r="AG778" t="s">
        <v>823</v>
      </c>
      <c r="AH778" t="s">
        <v>802</v>
      </c>
      <c r="AI778" t="s">
        <v>818</v>
      </c>
    </row>
    <row r="779" spans="1:35" hidden="1">
      <c r="A779" s="7">
        <v>778</v>
      </c>
      <c r="B779" t="s">
        <v>243</v>
      </c>
      <c r="C779" t="s">
        <v>244</v>
      </c>
      <c r="D779" s="7">
        <v>7134</v>
      </c>
      <c r="E779" t="s">
        <v>245</v>
      </c>
      <c r="F779" t="s">
        <v>246</v>
      </c>
      <c r="G779" t="s">
        <v>1098</v>
      </c>
      <c r="H779" t="s">
        <v>1802</v>
      </c>
      <c r="I779" s="7">
        <v>1165</v>
      </c>
      <c r="J779" s="7">
        <v>95410</v>
      </c>
      <c r="K779" s="7">
        <v>10</v>
      </c>
      <c r="L779" t="s">
        <v>247</v>
      </c>
      <c r="M779" t="s">
        <v>361</v>
      </c>
      <c r="N779" s="7">
        <v>2135</v>
      </c>
      <c r="O779" t="s">
        <v>1099</v>
      </c>
      <c r="P779" t="s">
        <v>1100</v>
      </c>
      <c r="S779" t="s">
        <v>57</v>
      </c>
      <c r="T779" t="s">
        <v>727</v>
      </c>
      <c r="U779" t="s">
        <v>2082</v>
      </c>
      <c r="V779" s="8">
        <v>0</v>
      </c>
      <c r="W779" s="7">
        <v>588556</v>
      </c>
      <c r="X779" t="s">
        <v>3351</v>
      </c>
      <c r="Y779" s="8">
        <v>0</v>
      </c>
      <c r="Z779" s="8">
        <v>0</v>
      </c>
      <c r="AA779" s="8">
        <v>0</v>
      </c>
      <c r="AB779" s="7">
        <v>112023</v>
      </c>
      <c r="AC779" t="s">
        <v>3351</v>
      </c>
      <c r="AD779" s="8">
        <v>0</v>
      </c>
      <c r="AG779" t="s">
        <v>823</v>
      </c>
      <c r="AH779" t="s">
        <v>802</v>
      </c>
      <c r="AI779" t="s">
        <v>803</v>
      </c>
    </row>
    <row r="780" spans="1:35" hidden="1">
      <c r="A780" s="7">
        <v>779</v>
      </c>
      <c r="B780" t="s">
        <v>243</v>
      </c>
      <c r="C780" t="s">
        <v>244</v>
      </c>
      <c r="D780" s="7">
        <v>7134</v>
      </c>
      <c r="E780" t="s">
        <v>245</v>
      </c>
      <c r="F780" t="s">
        <v>246</v>
      </c>
      <c r="G780" t="s">
        <v>1072</v>
      </c>
      <c r="H780" t="s">
        <v>770</v>
      </c>
      <c r="I780" s="7">
        <v>1165</v>
      </c>
      <c r="J780" s="7">
        <v>70000</v>
      </c>
      <c r="K780" s="7">
        <v>7</v>
      </c>
      <c r="L780" t="s">
        <v>247</v>
      </c>
      <c r="M780" t="s">
        <v>261</v>
      </c>
      <c r="N780" s="7">
        <v>775225</v>
      </c>
      <c r="O780" t="s">
        <v>1211</v>
      </c>
      <c r="P780" t="s">
        <v>1212</v>
      </c>
      <c r="S780" t="s">
        <v>57</v>
      </c>
      <c r="T780" t="s">
        <v>727</v>
      </c>
      <c r="U780" t="s">
        <v>2082</v>
      </c>
      <c r="V780" s="8">
        <v>0</v>
      </c>
      <c r="W780" s="7">
        <v>588556</v>
      </c>
      <c r="X780" t="s">
        <v>3351</v>
      </c>
      <c r="Y780" s="8">
        <v>0</v>
      </c>
      <c r="Z780" s="8">
        <v>0</v>
      </c>
      <c r="AA780" s="8">
        <v>0</v>
      </c>
      <c r="AB780" s="7">
        <v>112023</v>
      </c>
      <c r="AC780" t="s">
        <v>3351</v>
      </c>
      <c r="AD780" s="8">
        <v>0</v>
      </c>
      <c r="AG780" t="s">
        <v>801</v>
      </c>
      <c r="AH780" t="s">
        <v>802</v>
      </c>
      <c r="AI780" t="s">
        <v>803</v>
      </c>
    </row>
    <row r="781" spans="1:35" hidden="1">
      <c r="A781" s="7">
        <v>780</v>
      </c>
      <c r="B781" t="s">
        <v>243</v>
      </c>
      <c r="C781" t="s">
        <v>244</v>
      </c>
      <c r="D781" s="7">
        <v>7134</v>
      </c>
      <c r="E781" t="s">
        <v>245</v>
      </c>
      <c r="F781" t="s">
        <v>246</v>
      </c>
      <c r="G781" t="s">
        <v>1072</v>
      </c>
      <c r="H781" t="s">
        <v>2182</v>
      </c>
      <c r="I781" s="7">
        <v>1165</v>
      </c>
      <c r="J781" s="7">
        <v>80000</v>
      </c>
      <c r="K781" s="7">
        <v>8</v>
      </c>
      <c r="L781" t="s">
        <v>247</v>
      </c>
      <c r="M781" t="s">
        <v>261</v>
      </c>
      <c r="N781" s="7">
        <v>775225</v>
      </c>
      <c r="O781" t="s">
        <v>1211</v>
      </c>
      <c r="P781" t="s">
        <v>1212</v>
      </c>
      <c r="S781" t="s">
        <v>57</v>
      </c>
      <c r="T781" t="s">
        <v>727</v>
      </c>
      <c r="U781" t="s">
        <v>2082</v>
      </c>
      <c r="V781" s="8">
        <v>1250</v>
      </c>
      <c r="W781" s="7">
        <v>588556</v>
      </c>
      <c r="X781" t="s">
        <v>3351</v>
      </c>
      <c r="Y781" s="8">
        <v>1250</v>
      </c>
      <c r="Z781" s="8">
        <v>1475</v>
      </c>
      <c r="AA781" s="8">
        <v>225</v>
      </c>
      <c r="AB781" s="7">
        <v>112023</v>
      </c>
      <c r="AC781" t="s">
        <v>3351</v>
      </c>
      <c r="AD781" s="8">
        <v>0</v>
      </c>
      <c r="AG781" t="s">
        <v>801</v>
      </c>
      <c r="AH781" t="s">
        <v>802</v>
      </c>
      <c r="AI781" t="s">
        <v>818</v>
      </c>
    </row>
    <row r="782" spans="1:35" hidden="1">
      <c r="A782" s="7">
        <v>781</v>
      </c>
      <c r="B782" t="s">
        <v>243</v>
      </c>
      <c r="C782" t="s">
        <v>244</v>
      </c>
      <c r="D782" s="7">
        <v>7134</v>
      </c>
      <c r="E782" t="s">
        <v>245</v>
      </c>
      <c r="F782" t="s">
        <v>246</v>
      </c>
      <c r="G782" t="s">
        <v>1660</v>
      </c>
      <c r="H782" t="s">
        <v>2086</v>
      </c>
      <c r="I782" s="7">
        <v>1165</v>
      </c>
      <c r="J782" s="7">
        <v>9707</v>
      </c>
      <c r="K782" s="7">
        <v>1</v>
      </c>
      <c r="L782" t="s">
        <v>247</v>
      </c>
      <c r="M782" t="s">
        <v>267</v>
      </c>
      <c r="N782" s="7">
        <v>794423</v>
      </c>
      <c r="O782" t="s">
        <v>2165</v>
      </c>
      <c r="P782" t="s">
        <v>2166</v>
      </c>
      <c r="S782" t="s">
        <v>57</v>
      </c>
      <c r="T782" t="s">
        <v>727</v>
      </c>
      <c r="U782" t="s">
        <v>2082</v>
      </c>
      <c r="V782" s="8">
        <v>1250</v>
      </c>
      <c r="W782" s="7">
        <v>588556</v>
      </c>
      <c r="X782" t="s">
        <v>3351</v>
      </c>
      <c r="Y782" s="8">
        <v>1250</v>
      </c>
      <c r="Z782" s="8">
        <v>1475</v>
      </c>
      <c r="AA782" s="8">
        <v>225</v>
      </c>
      <c r="AB782" s="7">
        <v>112023</v>
      </c>
      <c r="AC782" t="s">
        <v>3351</v>
      </c>
      <c r="AD782" s="8">
        <v>0</v>
      </c>
      <c r="AG782" t="s">
        <v>828</v>
      </c>
      <c r="AH782" t="s">
        <v>802</v>
      </c>
      <c r="AI782" t="s">
        <v>818</v>
      </c>
    </row>
    <row r="783" spans="1:35" hidden="1">
      <c r="A783" s="7">
        <v>782</v>
      </c>
      <c r="B783" t="s">
        <v>243</v>
      </c>
      <c r="C783" t="s">
        <v>244</v>
      </c>
      <c r="D783" s="7">
        <v>7134</v>
      </c>
      <c r="E783" t="s">
        <v>245</v>
      </c>
      <c r="F783" t="s">
        <v>246</v>
      </c>
      <c r="G783" t="s">
        <v>888</v>
      </c>
      <c r="H783" t="s">
        <v>770</v>
      </c>
      <c r="I783" s="7">
        <v>1165</v>
      </c>
      <c r="J783" s="7">
        <v>80000</v>
      </c>
      <c r="K783" s="7">
        <v>8</v>
      </c>
      <c r="L783" t="s">
        <v>247</v>
      </c>
      <c r="M783" t="s">
        <v>267</v>
      </c>
      <c r="N783" s="7">
        <v>776289</v>
      </c>
      <c r="O783" t="s">
        <v>1784</v>
      </c>
      <c r="P783" t="s">
        <v>1785</v>
      </c>
      <c r="S783" t="s">
        <v>57</v>
      </c>
      <c r="T783" t="s">
        <v>727</v>
      </c>
      <c r="U783" t="s">
        <v>2082</v>
      </c>
      <c r="V783" s="8">
        <v>1250</v>
      </c>
      <c r="W783" s="7">
        <v>588556</v>
      </c>
      <c r="X783" t="s">
        <v>3351</v>
      </c>
      <c r="Y783" s="8">
        <v>1250</v>
      </c>
      <c r="Z783" s="8">
        <v>1475</v>
      </c>
      <c r="AA783" s="8">
        <v>225</v>
      </c>
      <c r="AB783" s="7">
        <v>112023</v>
      </c>
      <c r="AC783" t="s">
        <v>3351</v>
      </c>
      <c r="AD783" s="8">
        <v>0</v>
      </c>
      <c r="AG783" t="s">
        <v>828</v>
      </c>
      <c r="AH783" t="s">
        <v>802</v>
      </c>
      <c r="AI783" t="s">
        <v>818</v>
      </c>
    </row>
    <row r="784" spans="1:35" hidden="1">
      <c r="A784" s="7">
        <v>783</v>
      </c>
      <c r="B784" t="s">
        <v>243</v>
      </c>
      <c r="C784" t="s">
        <v>244</v>
      </c>
      <c r="D784" s="7">
        <v>7134</v>
      </c>
      <c r="E784" t="s">
        <v>245</v>
      </c>
      <c r="F784" t="s">
        <v>246</v>
      </c>
      <c r="G784" t="s">
        <v>2226</v>
      </c>
      <c r="H784" t="s">
        <v>1601</v>
      </c>
      <c r="I784" s="7">
        <v>1165</v>
      </c>
      <c r="J784" s="7">
        <v>20680</v>
      </c>
      <c r="K784" s="7">
        <v>3</v>
      </c>
      <c r="L784" t="s">
        <v>247</v>
      </c>
      <c r="M784" t="s">
        <v>267</v>
      </c>
      <c r="N784" s="7">
        <v>768517</v>
      </c>
      <c r="O784" t="s">
        <v>2227</v>
      </c>
      <c r="P784" t="s">
        <v>2228</v>
      </c>
      <c r="S784" t="s">
        <v>57</v>
      </c>
      <c r="T784" t="s">
        <v>727</v>
      </c>
      <c r="U784" t="s">
        <v>2082</v>
      </c>
      <c r="V784" s="8">
        <v>1250</v>
      </c>
      <c r="W784" s="7">
        <v>588556</v>
      </c>
      <c r="X784" t="s">
        <v>3351</v>
      </c>
      <c r="Y784" s="8">
        <v>1250</v>
      </c>
      <c r="Z784" s="8">
        <v>1475</v>
      </c>
      <c r="AA784" s="8">
        <v>225</v>
      </c>
      <c r="AB784" s="7">
        <v>112023</v>
      </c>
      <c r="AC784" t="s">
        <v>3351</v>
      </c>
      <c r="AD784" s="8">
        <v>0</v>
      </c>
      <c r="AG784" t="s">
        <v>1124</v>
      </c>
      <c r="AH784" t="s">
        <v>802</v>
      </c>
      <c r="AI784" t="s">
        <v>818</v>
      </c>
    </row>
    <row r="785" spans="1:35" hidden="1">
      <c r="A785" s="7">
        <v>784</v>
      </c>
      <c r="B785" t="s">
        <v>243</v>
      </c>
      <c r="C785" t="s">
        <v>244</v>
      </c>
      <c r="D785" s="7">
        <v>7134</v>
      </c>
      <c r="E785" t="s">
        <v>245</v>
      </c>
      <c r="F785" t="s">
        <v>246</v>
      </c>
      <c r="G785" t="s">
        <v>861</v>
      </c>
      <c r="H785" t="s">
        <v>584</v>
      </c>
      <c r="I785" s="7">
        <v>1165</v>
      </c>
      <c r="J785" s="7">
        <v>72600</v>
      </c>
      <c r="K785" s="7">
        <v>7</v>
      </c>
      <c r="L785" t="s">
        <v>247</v>
      </c>
      <c r="M785" t="s">
        <v>252</v>
      </c>
      <c r="N785" s="7">
        <v>323056</v>
      </c>
      <c r="O785" t="s">
        <v>991</v>
      </c>
      <c r="P785" t="s">
        <v>992</v>
      </c>
      <c r="Q785" t="s">
        <v>908</v>
      </c>
      <c r="R785" t="s">
        <v>909</v>
      </c>
      <c r="S785" t="s">
        <v>57</v>
      </c>
      <c r="T785" t="s">
        <v>727</v>
      </c>
      <c r="U785" t="s">
        <v>2082</v>
      </c>
      <c r="V785" s="8">
        <v>0</v>
      </c>
      <c r="W785" s="7">
        <v>588556</v>
      </c>
      <c r="X785" t="s">
        <v>3351</v>
      </c>
      <c r="Y785" s="8">
        <v>0</v>
      </c>
      <c r="Z785" s="8">
        <v>0</v>
      </c>
      <c r="AA785" s="8">
        <v>0</v>
      </c>
      <c r="AB785" s="7">
        <v>112023</v>
      </c>
      <c r="AC785" t="s">
        <v>3351</v>
      </c>
      <c r="AD785" s="8">
        <v>0</v>
      </c>
      <c r="AG785" t="s">
        <v>937</v>
      </c>
      <c r="AH785" t="s">
        <v>802</v>
      </c>
      <c r="AI785" t="s">
        <v>803</v>
      </c>
    </row>
    <row r="786" spans="1:35" hidden="1">
      <c r="A786" s="7">
        <v>785</v>
      </c>
      <c r="B786" t="s">
        <v>243</v>
      </c>
      <c r="C786" t="s">
        <v>244</v>
      </c>
      <c r="D786" s="7">
        <v>7134</v>
      </c>
      <c r="E786" t="s">
        <v>245</v>
      </c>
      <c r="F786" t="s">
        <v>246</v>
      </c>
      <c r="G786" t="s">
        <v>1159</v>
      </c>
      <c r="H786" t="s">
        <v>2092</v>
      </c>
      <c r="I786" s="7">
        <v>1165</v>
      </c>
      <c r="J786" s="7">
        <v>60000</v>
      </c>
      <c r="K786" s="7">
        <v>6</v>
      </c>
      <c r="L786" t="s">
        <v>247</v>
      </c>
      <c r="M786" t="s">
        <v>261</v>
      </c>
      <c r="N786" s="7">
        <v>774647</v>
      </c>
      <c r="O786" t="s">
        <v>1160</v>
      </c>
      <c r="P786" t="s">
        <v>1161</v>
      </c>
      <c r="S786" t="s">
        <v>57</v>
      </c>
      <c r="T786" t="s">
        <v>727</v>
      </c>
      <c r="U786" t="s">
        <v>2082</v>
      </c>
      <c r="V786" s="8">
        <v>0</v>
      </c>
      <c r="W786" s="7">
        <v>588556</v>
      </c>
      <c r="X786" t="s">
        <v>3351</v>
      </c>
      <c r="Y786" s="8">
        <v>0</v>
      </c>
      <c r="Z786" s="8">
        <v>0</v>
      </c>
      <c r="AA786" s="8">
        <v>0</v>
      </c>
      <c r="AB786" s="7">
        <v>112023</v>
      </c>
      <c r="AC786" t="s">
        <v>3351</v>
      </c>
      <c r="AD786" s="8">
        <v>0</v>
      </c>
      <c r="AG786" t="s">
        <v>801</v>
      </c>
      <c r="AH786" t="s">
        <v>802</v>
      </c>
      <c r="AI786" t="s">
        <v>803</v>
      </c>
    </row>
    <row r="787" spans="1:35" hidden="1">
      <c r="A787" s="7">
        <v>786</v>
      </c>
      <c r="B787" t="s">
        <v>243</v>
      </c>
      <c r="C787" t="s">
        <v>244</v>
      </c>
      <c r="D787" s="7">
        <v>7134</v>
      </c>
      <c r="E787" t="s">
        <v>245</v>
      </c>
      <c r="F787" t="s">
        <v>246</v>
      </c>
      <c r="G787" t="s">
        <v>2169</v>
      </c>
      <c r="H787" t="s">
        <v>689</v>
      </c>
      <c r="I787" s="7">
        <v>1165</v>
      </c>
      <c r="J787" s="7">
        <v>79814</v>
      </c>
      <c r="K787" s="7">
        <v>8</v>
      </c>
      <c r="L787" t="s">
        <v>247</v>
      </c>
      <c r="M787" t="s">
        <v>361</v>
      </c>
      <c r="N787" s="7">
        <v>1300</v>
      </c>
      <c r="O787" t="s">
        <v>2170</v>
      </c>
      <c r="P787" t="s">
        <v>2171</v>
      </c>
      <c r="S787" t="s">
        <v>57</v>
      </c>
      <c r="T787" t="s">
        <v>727</v>
      </c>
      <c r="U787" t="s">
        <v>2082</v>
      </c>
      <c r="V787" s="8">
        <v>0</v>
      </c>
      <c r="W787" s="7">
        <v>588556</v>
      </c>
      <c r="X787" t="s">
        <v>3351</v>
      </c>
      <c r="Y787" s="8">
        <v>0</v>
      </c>
      <c r="Z787" s="8">
        <v>0</v>
      </c>
      <c r="AA787" s="8">
        <v>0</v>
      </c>
      <c r="AB787" s="7">
        <v>112023</v>
      </c>
      <c r="AC787" t="s">
        <v>3351</v>
      </c>
      <c r="AD787" s="8">
        <v>0</v>
      </c>
      <c r="AG787" t="s">
        <v>823</v>
      </c>
      <c r="AH787" t="s">
        <v>802</v>
      </c>
      <c r="AI787" t="s">
        <v>803</v>
      </c>
    </row>
    <row r="788" spans="1:35" hidden="1">
      <c r="A788" s="7">
        <v>787</v>
      </c>
      <c r="B788" t="s">
        <v>243</v>
      </c>
      <c r="C788" t="s">
        <v>244</v>
      </c>
      <c r="D788" s="7">
        <v>7134</v>
      </c>
      <c r="E788" t="s">
        <v>245</v>
      </c>
      <c r="F788" t="s">
        <v>246</v>
      </c>
      <c r="G788" t="s">
        <v>555</v>
      </c>
      <c r="H788" t="s">
        <v>693</v>
      </c>
      <c r="I788" s="7">
        <v>1165</v>
      </c>
      <c r="J788" s="7">
        <v>7600</v>
      </c>
      <c r="K788" s="7">
        <v>1</v>
      </c>
      <c r="L788" t="s">
        <v>247</v>
      </c>
      <c r="M788" t="s">
        <v>261</v>
      </c>
      <c r="N788" s="7">
        <v>801227</v>
      </c>
      <c r="O788" t="s">
        <v>557</v>
      </c>
      <c r="P788" t="s">
        <v>558</v>
      </c>
      <c r="S788" t="s">
        <v>57</v>
      </c>
      <c r="T788" t="s">
        <v>727</v>
      </c>
      <c r="U788" t="s">
        <v>2082</v>
      </c>
      <c r="V788" s="8">
        <v>1250</v>
      </c>
      <c r="W788" s="7">
        <v>588556</v>
      </c>
      <c r="X788" t="s">
        <v>3351</v>
      </c>
      <c r="Y788" s="8">
        <v>1250</v>
      </c>
      <c r="Z788" s="8">
        <v>1475</v>
      </c>
      <c r="AA788" s="8">
        <v>225</v>
      </c>
      <c r="AB788" s="7">
        <v>112023</v>
      </c>
      <c r="AC788" t="s">
        <v>3351</v>
      </c>
      <c r="AD788" s="8">
        <v>0</v>
      </c>
      <c r="AG788" t="s">
        <v>801</v>
      </c>
      <c r="AH788" t="s">
        <v>802</v>
      </c>
      <c r="AI788" t="s">
        <v>818</v>
      </c>
    </row>
    <row r="789" spans="1:35" hidden="1">
      <c r="A789" s="7">
        <v>788</v>
      </c>
      <c r="B789" t="s">
        <v>243</v>
      </c>
      <c r="C789" t="s">
        <v>244</v>
      </c>
      <c r="D789" s="7">
        <v>7134</v>
      </c>
      <c r="E789" t="s">
        <v>245</v>
      </c>
      <c r="F789" t="s">
        <v>246</v>
      </c>
      <c r="G789" t="s">
        <v>1063</v>
      </c>
      <c r="H789" t="s">
        <v>2182</v>
      </c>
      <c r="I789" s="7">
        <v>1165</v>
      </c>
      <c r="J789" s="7">
        <v>70000</v>
      </c>
      <c r="K789" s="7">
        <v>7</v>
      </c>
      <c r="L789" t="s">
        <v>247</v>
      </c>
      <c r="M789" t="s">
        <v>261</v>
      </c>
      <c r="N789" s="7">
        <v>773703</v>
      </c>
      <c r="O789" t="s">
        <v>1064</v>
      </c>
      <c r="P789" t="s">
        <v>1065</v>
      </c>
      <c r="S789" t="s">
        <v>57</v>
      </c>
      <c r="T789" t="s">
        <v>727</v>
      </c>
      <c r="U789" t="s">
        <v>2082</v>
      </c>
      <c r="V789" s="8">
        <v>0</v>
      </c>
      <c r="W789" s="7">
        <v>588556</v>
      </c>
      <c r="X789" t="s">
        <v>3351</v>
      </c>
      <c r="Y789" s="8">
        <v>0</v>
      </c>
      <c r="Z789" s="8">
        <v>0</v>
      </c>
      <c r="AA789" s="8">
        <v>0</v>
      </c>
      <c r="AB789" s="7">
        <v>112023</v>
      </c>
      <c r="AC789" t="s">
        <v>3351</v>
      </c>
      <c r="AD789" s="8">
        <v>0</v>
      </c>
      <c r="AG789" t="s">
        <v>801</v>
      </c>
      <c r="AH789" t="s">
        <v>802</v>
      </c>
      <c r="AI789" t="s">
        <v>803</v>
      </c>
    </row>
    <row r="790" spans="1:35" hidden="1">
      <c r="A790" s="7">
        <v>789</v>
      </c>
      <c r="B790" t="s">
        <v>243</v>
      </c>
      <c r="C790" t="s">
        <v>244</v>
      </c>
      <c r="D790" s="7">
        <v>7134</v>
      </c>
      <c r="E790" t="s">
        <v>245</v>
      </c>
      <c r="F790" t="s">
        <v>246</v>
      </c>
      <c r="G790" t="s">
        <v>248</v>
      </c>
      <c r="H790" t="s">
        <v>2089</v>
      </c>
      <c r="I790" s="7">
        <v>920</v>
      </c>
      <c r="J790" s="7">
        <v>27522</v>
      </c>
      <c r="K790" s="7">
        <v>2</v>
      </c>
      <c r="L790" t="s">
        <v>247</v>
      </c>
      <c r="M790" t="s">
        <v>261</v>
      </c>
      <c r="N790" s="7">
        <v>797967</v>
      </c>
      <c r="O790" t="s">
        <v>2034</v>
      </c>
      <c r="P790" t="s">
        <v>2035</v>
      </c>
      <c r="S790" t="s">
        <v>57</v>
      </c>
      <c r="T790" t="s">
        <v>727</v>
      </c>
      <c r="U790" t="s">
        <v>2082</v>
      </c>
      <c r="V790" s="8">
        <v>1250</v>
      </c>
      <c r="W790" s="7">
        <v>588556</v>
      </c>
      <c r="X790" t="s">
        <v>3351</v>
      </c>
      <c r="Y790" s="8">
        <v>1250</v>
      </c>
      <c r="Z790" s="8">
        <v>1475</v>
      </c>
      <c r="AA790" s="8">
        <v>225</v>
      </c>
      <c r="AB790" s="7">
        <v>112023</v>
      </c>
      <c r="AC790" t="s">
        <v>3351</v>
      </c>
      <c r="AD790" s="8">
        <v>0</v>
      </c>
      <c r="AG790" t="s">
        <v>817</v>
      </c>
      <c r="AH790" t="s">
        <v>802</v>
      </c>
      <c r="AI790" t="s">
        <v>818</v>
      </c>
    </row>
    <row r="791" spans="1:35" hidden="1">
      <c r="A791" s="7">
        <v>790</v>
      </c>
      <c r="B791" t="s">
        <v>243</v>
      </c>
      <c r="C791" t="s">
        <v>244</v>
      </c>
      <c r="D791" s="7">
        <v>7134</v>
      </c>
      <c r="E791" t="s">
        <v>245</v>
      </c>
      <c r="F791" t="s">
        <v>246</v>
      </c>
      <c r="G791" t="s">
        <v>1224</v>
      </c>
      <c r="H791" t="s">
        <v>2104</v>
      </c>
      <c r="I791" s="7">
        <v>876</v>
      </c>
      <c r="J791" s="7">
        <v>9528</v>
      </c>
      <c r="K791" s="7">
        <v>1</v>
      </c>
      <c r="L791" t="s">
        <v>247</v>
      </c>
      <c r="M791" t="s">
        <v>261</v>
      </c>
      <c r="N791" s="7">
        <v>797864</v>
      </c>
      <c r="O791" t="s">
        <v>2114</v>
      </c>
      <c r="P791" t="s">
        <v>2115</v>
      </c>
      <c r="S791" t="s">
        <v>57</v>
      </c>
      <c r="T791" t="s">
        <v>727</v>
      </c>
      <c r="U791" t="s">
        <v>2082</v>
      </c>
      <c r="V791" s="8">
        <v>1250</v>
      </c>
      <c r="W791" s="7">
        <v>588556</v>
      </c>
      <c r="X791" t="s">
        <v>3351</v>
      </c>
      <c r="Y791" s="8">
        <v>1250</v>
      </c>
      <c r="Z791" s="8">
        <v>1475</v>
      </c>
      <c r="AA791" s="8">
        <v>225</v>
      </c>
      <c r="AB791" s="7">
        <v>112023</v>
      </c>
      <c r="AC791" t="s">
        <v>3351</v>
      </c>
      <c r="AD791" s="8">
        <v>0</v>
      </c>
      <c r="AG791" t="s">
        <v>817</v>
      </c>
      <c r="AH791" t="s">
        <v>802</v>
      </c>
      <c r="AI791" t="s">
        <v>818</v>
      </c>
    </row>
    <row r="792" spans="1:35" hidden="1">
      <c r="A792" s="7">
        <v>791</v>
      </c>
      <c r="B792" t="s">
        <v>243</v>
      </c>
      <c r="C792" t="s">
        <v>244</v>
      </c>
      <c r="D792" s="7">
        <v>7134</v>
      </c>
      <c r="E792" t="s">
        <v>245</v>
      </c>
      <c r="F792" t="s">
        <v>246</v>
      </c>
      <c r="G792" t="s">
        <v>363</v>
      </c>
      <c r="H792" t="s">
        <v>2104</v>
      </c>
      <c r="I792" s="7">
        <v>899</v>
      </c>
      <c r="J792" s="7">
        <v>9210</v>
      </c>
      <c r="K792" s="7">
        <v>1</v>
      </c>
      <c r="L792" t="s">
        <v>247</v>
      </c>
      <c r="M792" t="s">
        <v>261</v>
      </c>
      <c r="N792" s="7">
        <v>795524</v>
      </c>
      <c r="O792" t="s">
        <v>2224</v>
      </c>
      <c r="P792" t="s">
        <v>2225</v>
      </c>
      <c r="S792" t="s">
        <v>57</v>
      </c>
      <c r="T792" t="s">
        <v>727</v>
      </c>
      <c r="U792" t="s">
        <v>2082</v>
      </c>
      <c r="V792" s="8">
        <v>1250</v>
      </c>
      <c r="W792" s="7">
        <v>588556</v>
      </c>
      <c r="X792" t="s">
        <v>3351</v>
      </c>
      <c r="Y792" s="8">
        <v>1250</v>
      </c>
      <c r="Z792" s="8">
        <v>1475</v>
      </c>
      <c r="AA792" s="8">
        <v>225</v>
      </c>
      <c r="AB792" s="7">
        <v>112023</v>
      </c>
      <c r="AC792" t="s">
        <v>3351</v>
      </c>
      <c r="AD792" s="8">
        <v>0</v>
      </c>
      <c r="AG792" t="s">
        <v>817</v>
      </c>
      <c r="AH792" t="s">
        <v>802</v>
      </c>
      <c r="AI792" t="s">
        <v>818</v>
      </c>
    </row>
    <row r="793" spans="1:35" hidden="1">
      <c r="A793" s="7">
        <v>792</v>
      </c>
      <c r="B793" t="s">
        <v>243</v>
      </c>
      <c r="C793" t="s">
        <v>244</v>
      </c>
      <c r="D793" s="7">
        <v>7134</v>
      </c>
      <c r="E793" t="s">
        <v>245</v>
      </c>
      <c r="F793" t="s">
        <v>246</v>
      </c>
      <c r="G793" t="s">
        <v>1535</v>
      </c>
      <c r="H793" t="s">
        <v>683</v>
      </c>
      <c r="I793" s="7">
        <v>1165</v>
      </c>
      <c r="J793" s="7">
        <v>98302</v>
      </c>
      <c r="K793" s="7">
        <v>9</v>
      </c>
      <c r="L793" t="s">
        <v>247</v>
      </c>
      <c r="M793" t="s">
        <v>267</v>
      </c>
      <c r="N793" s="7">
        <v>767284</v>
      </c>
      <c r="O793" t="s">
        <v>1536</v>
      </c>
      <c r="P793" t="s">
        <v>1537</v>
      </c>
      <c r="Q793" t="s">
        <v>908</v>
      </c>
      <c r="R793" t="s">
        <v>909</v>
      </c>
      <c r="S793" t="s">
        <v>57</v>
      </c>
      <c r="T793" t="s">
        <v>727</v>
      </c>
      <c r="U793" t="s">
        <v>2082</v>
      </c>
      <c r="V793" s="8">
        <v>0</v>
      </c>
      <c r="W793" s="7">
        <v>588556</v>
      </c>
      <c r="X793" t="s">
        <v>3351</v>
      </c>
      <c r="Y793" s="8">
        <v>0</v>
      </c>
      <c r="Z793" s="8">
        <v>0</v>
      </c>
      <c r="AA793" s="8">
        <v>0</v>
      </c>
      <c r="AB793" s="7">
        <v>112023</v>
      </c>
      <c r="AC793" t="s">
        <v>3351</v>
      </c>
      <c r="AD793" s="8">
        <v>0</v>
      </c>
      <c r="AG793" t="s">
        <v>828</v>
      </c>
      <c r="AH793" t="s">
        <v>802</v>
      </c>
      <c r="AI793" t="s">
        <v>803</v>
      </c>
    </row>
    <row r="794" spans="1:35" hidden="1">
      <c r="A794" s="7">
        <v>793</v>
      </c>
      <c r="B794" t="s">
        <v>243</v>
      </c>
      <c r="C794" t="s">
        <v>244</v>
      </c>
      <c r="D794" s="7">
        <v>7134</v>
      </c>
      <c r="E794" t="s">
        <v>245</v>
      </c>
      <c r="F794" t="s">
        <v>246</v>
      </c>
      <c r="G794" t="s">
        <v>248</v>
      </c>
      <c r="H794" t="s">
        <v>2104</v>
      </c>
      <c r="I794" s="7">
        <v>877</v>
      </c>
      <c r="J794" s="7">
        <v>10451</v>
      </c>
      <c r="K794" s="7">
        <v>1</v>
      </c>
      <c r="L794" t="s">
        <v>247</v>
      </c>
      <c r="M794" t="s">
        <v>261</v>
      </c>
      <c r="N794" s="7">
        <v>797670</v>
      </c>
      <c r="O794" t="s">
        <v>2214</v>
      </c>
      <c r="P794" t="s">
        <v>2215</v>
      </c>
      <c r="S794" t="s">
        <v>57</v>
      </c>
      <c r="T794" t="s">
        <v>727</v>
      </c>
      <c r="U794" t="s">
        <v>2082</v>
      </c>
      <c r="V794" s="8">
        <v>1250</v>
      </c>
      <c r="W794" s="7">
        <v>588556</v>
      </c>
      <c r="X794" t="s">
        <v>3351</v>
      </c>
      <c r="Y794" s="8">
        <v>1250</v>
      </c>
      <c r="Z794" s="8">
        <v>1475</v>
      </c>
      <c r="AA794" s="8">
        <v>225</v>
      </c>
      <c r="AB794" s="7">
        <v>112023</v>
      </c>
      <c r="AC794" t="s">
        <v>3351</v>
      </c>
      <c r="AD794" s="8">
        <v>0</v>
      </c>
      <c r="AG794" t="s">
        <v>817</v>
      </c>
      <c r="AH794" t="s">
        <v>802</v>
      </c>
      <c r="AI794" t="s">
        <v>818</v>
      </c>
    </row>
    <row r="795" spans="1:35" hidden="1">
      <c r="A795" s="7">
        <v>794</v>
      </c>
      <c r="B795" t="s">
        <v>243</v>
      </c>
      <c r="C795" t="s">
        <v>244</v>
      </c>
      <c r="D795" s="7">
        <v>7134</v>
      </c>
      <c r="E795" t="s">
        <v>245</v>
      </c>
      <c r="F795" t="s">
        <v>246</v>
      </c>
      <c r="G795" t="s">
        <v>867</v>
      </c>
      <c r="H795" t="s">
        <v>2092</v>
      </c>
      <c r="I795" s="7">
        <v>1165</v>
      </c>
      <c r="J795" s="7">
        <v>11358</v>
      </c>
      <c r="K795" s="7">
        <v>4</v>
      </c>
      <c r="L795" t="s">
        <v>247</v>
      </c>
      <c r="M795" t="s">
        <v>261</v>
      </c>
      <c r="N795" s="7">
        <v>787131</v>
      </c>
      <c r="O795" t="s">
        <v>2100</v>
      </c>
      <c r="P795" t="s">
        <v>2101</v>
      </c>
      <c r="S795" t="s">
        <v>57</v>
      </c>
      <c r="T795" t="s">
        <v>727</v>
      </c>
      <c r="U795" t="s">
        <v>2082</v>
      </c>
      <c r="V795" s="8">
        <v>0</v>
      </c>
      <c r="W795" s="7">
        <v>588556</v>
      </c>
      <c r="X795" t="s">
        <v>3351</v>
      </c>
      <c r="Y795" s="8">
        <v>0</v>
      </c>
      <c r="Z795" s="8">
        <v>0</v>
      </c>
      <c r="AA795" s="8">
        <v>0</v>
      </c>
      <c r="AB795" s="7">
        <v>112023</v>
      </c>
      <c r="AC795" t="s">
        <v>3351</v>
      </c>
      <c r="AD795" s="8">
        <v>0</v>
      </c>
      <c r="AG795" t="s">
        <v>801</v>
      </c>
      <c r="AH795" t="s">
        <v>802</v>
      </c>
      <c r="AI795" t="s">
        <v>803</v>
      </c>
    </row>
    <row r="796" spans="1:35" hidden="1">
      <c r="A796" s="7">
        <v>795</v>
      </c>
      <c r="B796" t="s">
        <v>243</v>
      </c>
      <c r="C796" t="s">
        <v>244</v>
      </c>
      <c r="D796" s="7">
        <v>7134</v>
      </c>
      <c r="E796" t="s">
        <v>245</v>
      </c>
      <c r="F796" t="s">
        <v>246</v>
      </c>
      <c r="G796" t="s">
        <v>263</v>
      </c>
      <c r="H796" t="s">
        <v>770</v>
      </c>
      <c r="I796" s="7">
        <v>1165</v>
      </c>
      <c r="J796" s="7">
        <v>4258</v>
      </c>
      <c r="K796" s="7">
        <v>1</v>
      </c>
      <c r="L796" t="s">
        <v>247</v>
      </c>
      <c r="M796" t="s">
        <v>267</v>
      </c>
      <c r="N796" s="7">
        <v>794595</v>
      </c>
      <c r="O796" t="s">
        <v>472</v>
      </c>
      <c r="P796" t="s">
        <v>473</v>
      </c>
      <c r="Q796" t="s">
        <v>870</v>
      </c>
      <c r="R796" t="s">
        <v>871</v>
      </c>
      <c r="S796" t="s">
        <v>57</v>
      </c>
      <c r="T796" t="s">
        <v>727</v>
      </c>
      <c r="U796" t="s">
        <v>2082</v>
      </c>
      <c r="V796" s="8">
        <v>1250</v>
      </c>
      <c r="W796" s="7">
        <v>588556</v>
      </c>
      <c r="X796" t="s">
        <v>3351</v>
      </c>
      <c r="Y796" s="8">
        <v>1000</v>
      </c>
      <c r="Z796" s="8">
        <v>1475</v>
      </c>
      <c r="AA796" s="8">
        <v>225</v>
      </c>
      <c r="AB796" s="7">
        <v>112023</v>
      </c>
      <c r="AC796" t="s">
        <v>3351</v>
      </c>
      <c r="AD796" s="8">
        <v>250</v>
      </c>
      <c r="AG796" t="s">
        <v>828</v>
      </c>
      <c r="AH796" t="s">
        <v>802</v>
      </c>
      <c r="AI796" t="s">
        <v>818</v>
      </c>
    </row>
    <row r="797" spans="1:35" hidden="1">
      <c r="A797" s="7">
        <v>796</v>
      </c>
      <c r="B797" t="s">
        <v>243</v>
      </c>
      <c r="C797" t="s">
        <v>244</v>
      </c>
      <c r="D797" s="7">
        <v>7134</v>
      </c>
      <c r="E797" t="s">
        <v>245</v>
      </c>
      <c r="F797" t="s">
        <v>246</v>
      </c>
      <c r="G797" t="s">
        <v>1085</v>
      </c>
      <c r="H797" t="s">
        <v>256</v>
      </c>
      <c r="I797" s="7">
        <v>1165</v>
      </c>
      <c r="J797" s="7">
        <v>40000</v>
      </c>
      <c r="K797" s="7">
        <v>4</v>
      </c>
      <c r="L797" t="s">
        <v>247</v>
      </c>
      <c r="M797" t="s">
        <v>252</v>
      </c>
      <c r="N797" s="7">
        <v>324355</v>
      </c>
      <c r="O797" t="s">
        <v>1086</v>
      </c>
      <c r="P797" t="s">
        <v>1087</v>
      </c>
      <c r="S797" t="s">
        <v>57</v>
      </c>
      <c r="T797" t="s">
        <v>727</v>
      </c>
      <c r="U797" t="s">
        <v>2082</v>
      </c>
      <c r="V797" s="8">
        <v>0</v>
      </c>
      <c r="W797" s="7">
        <v>588556</v>
      </c>
      <c r="X797" t="s">
        <v>3351</v>
      </c>
      <c r="Y797" s="8">
        <v>0</v>
      </c>
      <c r="Z797" s="8">
        <v>0</v>
      </c>
      <c r="AA797" s="8">
        <v>0</v>
      </c>
      <c r="AB797" s="7">
        <v>112023</v>
      </c>
      <c r="AC797" t="s">
        <v>3351</v>
      </c>
      <c r="AD797" s="8">
        <v>0</v>
      </c>
      <c r="AG797" t="s">
        <v>937</v>
      </c>
      <c r="AH797" t="s">
        <v>802</v>
      </c>
      <c r="AI797" t="s">
        <v>803</v>
      </c>
    </row>
    <row r="798" spans="1:35" hidden="1">
      <c r="A798" s="7">
        <v>797</v>
      </c>
      <c r="B798" t="s">
        <v>243</v>
      </c>
      <c r="C798" t="s">
        <v>244</v>
      </c>
      <c r="D798" s="7">
        <v>7134</v>
      </c>
      <c r="E798" t="s">
        <v>245</v>
      </c>
      <c r="F798" t="s">
        <v>246</v>
      </c>
      <c r="G798" t="s">
        <v>1113</v>
      </c>
      <c r="H798" t="s">
        <v>2083</v>
      </c>
      <c r="I798" s="7">
        <v>1165</v>
      </c>
      <c r="J798" s="7">
        <v>59000</v>
      </c>
      <c r="K798" s="7">
        <v>6</v>
      </c>
      <c r="L798" t="s">
        <v>247</v>
      </c>
      <c r="M798" t="s">
        <v>261</v>
      </c>
      <c r="N798" s="7">
        <v>775223</v>
      </c>
      <c r="O798" t="s">
        <v>1114</v>
      </c>
      <c r="P798" t="s">
        <v>1115</v>
      </c>
      <c r="S798" t="s">
        <v>57</v>
      </c>
      <c r="T798" t="s">
        <v>727</v>
      </c>
      <c r="U798" t="s">
        <v>2082</v>
      </c>
      <c r="V798" s="8">
        <v>0</v>
      </c>
      <c r="W798" s="7">
        <v>588556</v>
      </c>
      <c r="X798" t="s">
        <v>3351</v>
      </c>
      <c r="Y798" s="8">
        <v>0</v>
      </c>
      <c r="Z798" s="8">
        <v>0</v>
      </c>
      <c r="AA798" s="8">
        <v>0</v>
      </c>
      <c r="AB798" s="7">
        <v>112023</v>
      </c>
      <c r="AC798" t="s">
        <v>3351</v>
      </c>
      <c r="AD798" s="8">
        <v>0</v>
      </c>
      <c r="AG798" t="s">
        <v>801</v>
      </c>
      <c r="AH798" t="s">
        <v>802</v>
      </c>
      <c r="AI798" t="s">
        <v>803</v>
      </c>
    </row>
    <row r="799" spans="1:35" hidden="1">
      <c r="A799" s="7">
        <v>798</v>
      </c>
      <c r="B799" t="s">
        <v>243</v>
      </c>
      <c r="C799" t="s">
        <v>244</v>
      </c>
      <c r="D799" s="7">
        <v>7134</v>
      </c>
      <c r="E799" t="s">
        <v>245</v>
      </c>
      <c r="F799" t="s">
        <v>246</v>
      </c>
      <c r="G799" t="s">
        <v>273</v>
      </c>
      <c r="H799" t="s">
        <v>1601</v>
      </c>
      <c r="I799" s="7">
        <v>1165</v>
      </c>
      <c r="J799" s="7">
        <v>3462</v>
      </c>
      <c r="K799" s="7">
        <v>1</v>
      </c>
      <c r="L799" t="s">
        <v>247</v>
      </c>
      <c r="M799" t="s">
        <v>252</v>
      </c>
      <c r="N799" s="7">
        <v>327606</v>
      </c>
      <c r="O799" t="s">
        <v>299</v>
      </c>
      <c r="P799" t="s">
        <v>300</v>
      </c>
      <c r="S799" t="s">
        <v>57</v>
      </c>
      <c r="T799" t="s">
        <v>727</v>
      </c>
      <c r="U799" t="s">
        <v>2082</v>
      </c>
      <c r="V799" s="8">
        <v>1250</v>
      </c>
      <c r="W799" s="7">
        <v>588556</v>
      </c>
      <c r="X799" t="s">
        <v>3351</v>
      </c>
      <c r="Y799" s="8">
        <v>1250</v>
      </c>
      <c r="Z799" s="8">
        <v>1475</v>
      </c>
      <c r="AA799" s="8">
        <v>225</v>
      </c>
      <c r="AB799" s="7">
        <v>112023</v>
      </c>
      <c r="AC799" t="s">
        <v>3351</v>
      </c>
      <c r="AD799" s="8">
        <v>0</v>
      </c>
      <c r="AG799" t="s">
        <v>937</v>
      </c>
      <c r="AH799" t="s">
        <v>802</v>
      </c>
      <c r="AI799" t="s">
        <v>818</v>
      </c>
    </row>
    <row r="800" spans="1:35" hidden="1">
      <c r="A800" s="7">
        <v>799</v>
      </c>
      <c r="B800" t="s">
        <v>243</v>
      </c>
      <c r="C800" t="s">
        <v>244</v>
      </c>
      <c r="D800" s="7">
        <v>7134</v>
      </c>
      <c r="E800" t="s">
        <v>245</v>
      </c>
      <c r="F800" t="s">
        <v>246</v>
      </c>
      <c r="G800" t="s">
        <v>293</v>
      </c>
      <c r="H800" t="s">
        <v>770</v>
      </c>
      <c r="I800" s="7">
        <v>1165</v>
      </c>
      <c r="J800" s="7">
        <v>4350</v>
      </c>
      <c r="K800" s="7">
        <v>1</v>
      </c>
      <c r="L800" t="s">
        <v>247</v>
      </c>
      <c r="M800" t="s">
        <v>267</v>
      </c>
      <c r="N800" s="7">
        <v>789024</v>
      </c>
      <c r="O800" t="s">
        <v>482</v>
      </c>
      <c r="P800" t="s">
        <v>483</v>
      </c>
      <c r="S800" t="s">
        <v>57</v>
      </c>
      <c r="T800" t="s">
        <v>727</v>
      </c>
      <c r="U800" t="s">
        <v>2082</v>
      </c>
      <c r="V800" s="8">
        <v>1250</v>
      </c>
      <c r="W800" s="7">
        <v>588556</v>
      </c>
      <c r="X800" t="s">
        <v>3351</v>
      </c>
      <c r="Y800" s="8">
        <v>1250</v>
      </c>
      <c r="Z800" s="8">
        <v>1475</v>
      </c>
      <c r="AA800" s="8">
        <v>225</v>
      </c>
      <c r="AB800" s="7">
        <v>112023</v>
      </c>
      <c r="AC800" t="s">
        <v>3351</v>
      </c>
      <c r="AD800" s="8">
        <v>0</v>
      </c>
      <c r="AG800" t="s">
        <v>828</v>
      </c>
      <c r="AH800" t="s">
        <v>802</v>
      </c>
      <c r="AI800" t="s">
        <v>818</v>
      </c>
    </row>
    <row r="801" spans="1:35" hidden="1">
      <c r="A801" s="7">
        <v>800</v>
      </c>
      <c r="B801" t="s">
        <v>243</v>
      </c>
      <c r="C801" t="s">
        <v>244</v>
      </c>
      <c r="D801" s="7">
        <v>7134</v>
      </c>
      <c r="E801" t="s">
        <v>245</v>
      </c>
      <c r="F801" t="s">
        <v>246</v>
      </c>
      <c r="G801" t="s">
        <v>1521</v>
      </c>
      <c r="H801" t="s">
        <v>2104</v>
      </c>
      <c r="I801" s="7">
        <v>890</v>
      </c>
      <c r="J801" s="7">
        <v>39529</v>
      </c>
      <c r="K801" s="7">
        <v>5</v>
      </c>
      <c r="L801" t="s">
        <v>247</v>
      </c>
      <c r="M801" t="s">
        <v>261</v>
      </c>
      <c r="N801" s="7">
        <v>775800</v>
      </c>
      <c r="O801" t="s">
        <v>1522</v>
      </c>
      <c r="P801" t="s">
        <v>1523</v>
      </c>
      <c r="S801" t="s">
        <v>57</v>
      </c>
      <c r="T801" t="s">
        <v>727</v>
      </c>
      <c r="U801" t="s">
        <v>2082</v>
      </c>
      <c r="V801" s="8">
        <v>1250</v>
      </c>
      <c r="W801" s="7">
        <v>588556</v>
      </c>
      <c r="X801" t="s">
        <v>3351</v>
      </c>
      <c r="Y801" s="8">
        <v>1250</v>
      </c>
      <c r="Z801" s="8">
        <v>1475</v>
      </c>
      <c r="AA801" s="8">
        <v>225</v>
      </c>
      <c r="AB801" s="7">
        <v>112023</v>
      </c>
      <c r="AC801" t="s">
        <v>3351</v>
      </c>
      <c r="AD801" s="8">
        <v>0</v>
      </c>
      <c r="AG801" t="s">
        <v>801</v>
      </c>
      <c r="AH801" t="s">
        <v>802</v>
      </c>
      <c r="AI801" t="s">
        <v>818</v>
      </c>
    </row>
    <row r="802" spans="1:35" hidden="1">
      <c r="A802" s="7">
        <v>801</v>
      </c>
      <c r="B802" t="s">
        <v>243</v>
      </c>
      <c r="C802" t="s">
        <v>244</v>
      </c>
      <c r="D802" s="7">
        <v>7134</v>
      </c>
      <c r="E802" t="s">
        <v>245</v>
      </c>
      <c r="F802" t="s">
        <v>246</v>
      </c>
      <c r="G802" t="s">
        <v>846</v>
      </c>
      <c r="H802" t="s">
        <v>722</v>
      </c>
      <c r="I802" s="7">
        <v>1165</v>
      </c>
      <c r="J802" s="7">
        <v>7201</v>
      </c>
      <c r="K802" s="7">
        <v>1</v>
      </c>
      <c r="L802" t="s">
        <v>247</v>
      </c>
      <c r="M802" t="s">
        <v>261</v>
      </c>
      <c r="N802" s="7">
        <v>798560</v>
      </c>
      <c r="O802" t="s">
        <v>2102</v>
      </c>
      <c r="P802" t="s">
        <v>2103</v>
      </c>
      <c r="S802" t="s">
        <v>57</v>
      </c>
      <c r="T802" t="s">
        <v>727</v>
      </c>
      <c r="U802" t="s">
        <v>2082</v>
      </c>
      <c r="V802" s="8">
        <v>1250</v>
      </c>
      <c r="W802" s="7">
        <v>588556</v>
      </c>
      <c r="X802" t="s">
        <v>3351</v>
      </c>
      <c r="Y802" s="8">
        <v>1250</v>
      </c>
      <c r="Z802" s="8">
        <v>1475</v>
      </c>
      <c r="AA802" s="8">
        <v>225</v>
      </c>
      <c r="AB802" s="7">
        <v>112023</v>
      </c>
      <c r="AC802" t="s">
        <v>3351</v>
      </c>
      <c r="AD802" s="8">
        <v>0</v>
      </c>
      <c r="AG802" t="s">
        <v>817</v>
      </c>
      <c r="AH802" t="s">
        <v>802</v>
      </c>
      <c r="AI802" t="s">
        <v>818</v>
      </c>
    </row>
    <row r="803" spans="1:35" hidden="1">
      <c r="A803" s="7">
        <v>802</v>
      </c>
      <c r="B803" t="s">
        <v>243</v>
      </c>
      <c r="C803" t="s">
        <v>244</v>
      </c>
      <c r="D803" s="7">
        <v>7134</v>
      </c>
      <c r="E803" t="s">
        <v>245</v>
      </c>
      <c r="F803" t="s">
        <v>246</v>
      </c>
      <c r="G803" t="s">
        <v>419</v>
      </c>
      <c r="H803" t="s">
        <v>762</v>
      </c>
      <c r="I803" s="7">
        <v>1165</v>
      </c>
      <c r="J803" s="7">
        <v>13874</v>
      </c>
      <c r="K803" s="7">
        <v>2</v>
      </c>
      <c r="L803" t="s">
        <v>247</v>
      </c>
      <c r="M803" t="s">
        <v>261</v>
      </c>
      <c r="N803" s="7">
        <v>785025</v>
      </c>
      <c r="O803" t="s">
        <v>421</v>
      </c>
      <c r="P803" t="s">
        <v>422</v>
      </c>
      <c r="S803" t="s">
        <v>57</v>
      </c>
      <c r="T803" t="s">
        <v>727</v>
      </c>
      <c r="U803" t="s">
        <v>2082</v>
      </c>
      <c r="V803" s="8">
        <v>0</v>
      </c>
      <c r="W803" s="7">
        <v>588556</v>
      </c>
      <c r="X803" t="s">
        <v>3351</v>
      </c>
      <c r="Y803" s="8">
        <v>0</v>
      </c>
      <c r="Z803" s="8">
        <v>0</v>
      </c>
      <c r="AA803" s="8">
        <v>0</v>
      </c>
      <c r="AB803" s="7">
        <v>112023</v>
      </c>
      <c r="AC803" t="s">
        <v>3351</v>
      </c>
      <c r="AD803" s="8">
        <v>0</v>
      </c>
      <c r="AG803" t="s">
        <v>801</v>
      </c>
      <c r="AH803" t="s">
        <v>802</v>
      </c>
      <c r="AI803" t="s">
        <v>803</v>
      </c>
    </row>
    <row r="804" spans="1:35" hidden="1">
      <c r="A804" s="7">
        <v>803</v>
      </c>
      <c r="B804" t="s">
        <v>243</v>
      </c>
      <c r="C804" t="s">
        <v>244</v>
      </c>
      <c r="D804" s="7">
        <v>7134</v>
      </c>
      <c r="E804" t="s">
        <v>245</v>
      </c>
      <c r="F804" t="s">
        <v>246</v>
      </c>
      <c r="G804" t="s">
        <v>1137</v>
      </c>
      <c r="H804" t="s">
        <v>2092</v>
      </c>
      <c r="I804" s="7">
        <v>1165</v>
      </c>
      <c r="J804" s="7">
        <v>80000</v>
      </c>
      <c r="K804" s="7">
        <v>8</v>
      </c>
      <c r="L804" t="s">
        <v>247</v>
      </c>
      <c r="M804" t="s">
        <v>252</v>
      </c>
      <c r="N804" s="7">
        <v>322564</v>
      </c>
      <c r="O804" t="s">
        <v>1138</v>
      </c>
      <c r="P804" t="s">
        <v>1139</v>
      </c>
      <c r="S804" t="s">
        <v>57</v>
      </c>
      <c r="T804" t="s">
        <v>727</v>
      </c>
      <c r="U804" t="s">
        <v>2082</v>
      </c>
      <c r="V804" s="8">
        <v>1250</v>
      </c>
      <c r="W804" s="7">
        <v>588556</v>
      </c>
      <c r="X804" t="s">
        <v>3351</v>
      </c>
      <c r="Y804" s="8">
        <v>1250</v>
      </c>
      <c r="Z804" s="8">
        <v>1475</v>
      </c>
      <c r="AA804" s="8">
        <v>225</v>
      </c>
      <c r="AB804" s="7">
        <v>112023</v>
      </c>
      <c r="AC804" t="s">
        <v>3351</v>
      </c>
      <c r="AD804" s="8">
        <v>0</v>
      </c>
      <c r="AG804" t="s">
        <v>937</v>
      </c>
      <c r="AH804" t="s">
        <v>802</v>
      </c>
      <c r="AI804" t="s">
        <v>818</v>
      </c>
    </row>
    <row r="805" spans="1:35" hidden="1">
      <c r="A805" s="7">
        <v>804</v>
      </c>
      <c r="B805" t="s">
        <v>243</v>
      </c>
      <c r="C805" t="s">
        <v>244</v>
      </c>
      <c r="D805" s="7">
        <v>7134</v>
      </c>
      <c r="E805" t="s">
        <v>245</v>
      </c>
      <c r="F805" t="s">
        <v>246</v>
      </c>
      <c r="G805" t="s">
        <v>1518</v>
      </c>
      <c r="H805" t="s">
        <v>727</v>
      </c>
      <c r="I805" s="7">
        <v>1165</v>
      </c>
      <c r="J805" s="7">
        <v>90000</v>
      </c>
      <c r="K805" s="7">
        <v>9</v>
      </c>
      <c r="L805" t="s">
        <v>247</v>
      </c>
      <c r="M805" t="s">
        <v>261</v>
      </c>
      <c r="N805" s="7">
        <v>773203</v>
      </c>
      <c r="O805" t="s">
        <v>1519</v>
      </c>
      <c r="P805" t="s">
        <v>1520</v>
      </c>
      <c r="S805" t="s">
        <v>57</v>
      </c>
      <c r="T805" t="s">
        <v>727</v>
      </c>
      <c r="U805" t="s">
        <v>2082</v>
      </c>
      <c r="V805" s="8">
        <v>0</v>
      </c>
      <c r="W805" s="7">
        <v>588556</v>
      </c>
      <c r="X805" t="s">
        <v>3351</v>
      </c>
      <c r="Y805" s="8">
        <v>0</v>
      </c>
      <c r="Z805" s="8">
        <v>0</v>
      </c>
      <c r="AA805" s="8">
        <v>0</v>
      </c>
      <c r="AB805" s="7">
        <v>112023</v>
      </c>
      <c r="AC805" t="s">
        <v>3351</v>
      </c>
      <c r="AD805" s="8">
        <v>0</v>
      </c>
      <c r="AG805" t="s">
        <v>801</v>
      </c>
      <c r="AH805" t="s">
        <v>802</v>
      </c>
      <c r="AI805" t="s">
        <v>803</v>
      </c>
    </row>
    <row r="806" spans="1:35" hidden="1">
      <c r="A806" s="7">
        <v>805</v>
      </c>
      <c r="B806" t="s">
        <v>243</v>
      </c>
      <c r="C806" t="s">
        <v>244</v>
      </c>
      <c r="D806" s="7">
        <v>7134</v>
      </c>
      <c r="E806" t="s">
        <v>245</v>
      </c>
      <c r="F806" t="s">
        <v>246</v>
      </c>
      <c r="G806" t="s">
        <v>363</v>
      </c>
      <c r="H806" t="s">
        <v>2086</v>
      </c>
      <c r="I806" s="7">
        <v>1165</v>
      </c>
      <c r="J806" s="7">
        <v>2261</v>
      </c>
      <c r="K806" s="7">
        <v>1</v>
      </c>
      <c r="L806" t="s">
        <v>247</v>
      </c>
      <c r="M806" t="s">
        <v>252</v>
      </c>
      <c r="N806" s="7">
        <v>327825</v>
      </c>
      <c r="O806" t="s">
        <v>365</v>
      </c>
      <c r="P806" t="s">
        <v>366</v>
      </c>
      <c r="Q806" t="s">
        <v>870</v>
      </c>
      <c r="R806" t="s">
        <v>871</v>
      </c>
      <c r="S806" t="s">
        <v>57</v>
      </c>
      <c r="T806" t="s">
        <v>727</v>
      </c>
      <c r="U806" t="s">
        <v>2082</v>
      </c>
      <c r="V806" s="8">
        <v>1250</v>
      </c>
      <c r="W806" s="7">
        <v>588556</v>
      </c>
      <c r="X806" t="s">
        <v>3351</v>
      </c>
      <c r="Y806" s="8">
        <v>1000</v>
      </c>
      <c r="Z806" s="8">
        <v>1475</v>
      </c>
      <c r="AA806" s="8">
        <v>225</v>
      </c>
      <c r="AB806" s="7">
        <v>112023</v>
      </c>
      <c r="AC806" t="s">
        <v>3351</v>
      </c>
      <c r="AD806" s="8">
        <v>250</v>
      </c>
      <c r="AG806" t="s">
        <v>937</v>
      </c>
      <c r="AH806" t="s">
        <v>802</v>
      </c>
      <c r="AI806" t="s">
        <v>818</v>
      </c>
    </row>
    <row r="807" spans="1:35" hidden="1">
      <c r="A807" s="7">
        <v>806</v>
      </c>
      <c r="B807" t="s">
        <v>243</v>
      </c>
      <c r="C807" t="s">
        <v>244</v>
      </c>
      <c r="D807" s="7">
        <v>7134</v>
      </c>
      <c r="E807" t="s">
        <v>245</v>
      </c>
      <c r="F807" t="s">
        <v>246</v>
      </c>
      <c r="G807" t="s">
        <v>948</v>
      </c>
      <c r="H807" t="s">
        <v>2093</v>
      </c>
      <c r="I807" s="7">
        <v>1165</v>
      </c>
      <c r="J807" s="7">
        <v>47950</v>
      </c>
      <c r="K807" s="7">
        <v>5</v>
      </c>
      <c r="L807" t="s">
        <v>247</v>
      </c>
      <c r="M807" t="s">
        <v>261</v>
      </c>
      <c r="N807" s="7">
        <v>774650</v>
      </c>
      <c r="O807" t="s">
        <v>949</v>
      </c>
      <c r="P807" t="s">
        <v>950</v>
      </c>
      <c r="S807" t="s">
        <v>57</v>
      </c>
      <c r="T807" t="s">
        <v>727</v>
      </c>
      <c r="U807" t="s">
        <v>2082</v>
      </c>
      <c r="V807" s="8">
        <v>1250</v>
      </c>
      <c r="W807" s="7">
        <v>588556</v>
      </c>
      <c r="X807" t="s">
        <v>3351</v>
      </c>
      <c r="Y807" s="8">
        <v>1250</v>
      </c>
      <c r="Z807" s="8">
        <v>1475</v>
      </c>
      <c r="AA807" s="8">
        <v>225</v>
      </c>
      <c r="AB807" s="7">
        <v>112023</v>
      </c>
      <c r="AC807" t="s">
        <v>3351</v>
      </c>
      <c r="AD807" s="8">
        <v>0</v>
      </c>
      <c r="AG807" t="s">
        <v>801</v>
      </c>
      <c r="AH807" t="s">
        <v>802</v>
      </c>
      <c r="AI807" t="s">
        <v>818</v>
      </c>
    </row>
    <row r="808" spans="1:35" hidden="1">
      <c r="A808" s="7">
        <v>807</v>
      </c>
      <c r="B808" t="s">
        <v>243</v>
      </c>
      <c r="C808" t="s">
        <v>244</v>
      </c>
      <c r="D808" s="7">
        <v>7134</v>
      </c>
      <c r="E808" t="s">
        <v>245</v>
      </c>
      <c r="F808" t="s">
        <v>246</v>
      </c>
      <c r="G808" t="s">
        <v>1153</v>
      </c>
      <c r="H808" t="s">
        <v>2164</v>
      </c>
      <c r="I808" s="7">
        <v>1165</v>
      </c>
      <c r="J808" s="7">
        <v>130219</v>
      </c>
      <c r="K808" s="7">
        <v>13</v>
      </c>
      <c r="L808" t="s">
        <v>247</v>
      </c>
      <c r="M808" t="s">
        <v>252</v>
      </c>
      <c r="N808" s="7">
        <v>320346</v>
      </c>
      <c r="O808" t="s">
        <v>1154</v>
      </c>
      <c r="P808" t="s">
        <v>1155</v>
      </c>
      <c r="S808" t="s">
        <v>57</v>
      </c>
      <c r="T808" t="s">
        <v>727</v>
      </c>
      <c r="U808" t="s">
        <v>2082</v>
      </c>
      <c r="V808" s="8">
        <v>0</v>
      </c>
      <c r="W808" s="7">
        <v>588556</v>
      </c>
      <c r="X808" t="s">
        <v>3351</v>
      </c>
      <c r="Y808" s="8">
        <v>0</v>
      </c>
      <c r="Z808" s="8">
        <v>0</v>
      </c>
      <c r="AA808" s="8">
        <v>0</v>
      </c>
      <c r="AB808" s="7">
        <v>112023</v>
      </c>
      <c r="AC808" t="s">
        <v>3351</v>
      </c>
      <c r="AD808" s="8">
        <v>0</v>
      </c>
      <c r="AG808" t="s">
        <v>937</v>
      </c>
      <c r="AH808" t="s">
        <v>802</v>
      </c>
      <c r="AI808" t="s">
        <v>803</v>
      </c>
    </row>
    <row r="809" spans="1:35" hidden="1">
      <c r="A809" s="7">
        <v>808</v>
      </c>
      <c r="B809" t="s">
        <v>243</v>
      </c>
      <c r="C809" t="s">
        <v>244</v>
      </c>
      <c r="D809" s="7">
        <v>7134</v>
      </c>
      <c r="E809" t="s">
        <v>245</v>
      </c>
      <c r="F809" t="s">
        <v>246</v>
      </c>
      <c r="G809" t="s">
        <v>1156</v>
      </c>
      <c r="H809" t="s">
        <v>707</v>
      </c>
      <c r="I809" s="7">
        <v>1165</v>
      </c>
      <c r="J809" s="7">
        <v>60000</v>
      </c>
      <c r="K809" s="7">
        <v>6</v>
      </c>
      <c r="L809" t="s">
        <v>247</v>
      </c>
      <c r="M809" t="s">
        <v>252</v>
      </c>
      <c r="N809" s="7">
        <v>324809</v>
      </c>
      <c r="O809" t="s">
        <v>1157</v>
      </c>
      <c r="P809" t="s">
        <v>1158</v>
      </c>
      <c r="S809" t="s">
        <v>57</v>
      </c>
      <c r="T809" t="s">
        <v>727</v>
      </c>
      <c r="U809" t="s">
        <v>2082</v>
      </c>
      <c r="V809" s="8">
        <v>0</v>
      </c>
      <c r="W809" s="7">
        <v>588556</v>
      </c>
      <c r="X809" t="s">
        <v>3351</v>
      </c>
      <c r="Y809" s="8">
        <v>0</v>
      </c>
      <c r="Z809" s="8">
        <v>0</v>
      </c>
      <c r="AA809" s="8">
        <v>0</v>
      </c>
      <c r="AB809" s="7">
        <v>112023</v>
      </c>
      <c r="AC809" t="s">
        <v>3351</v>
      </c>
      <c r="AD809" s="8">
        <v>0</v>
      </c>
      <c r="AG809" t="s">
        <v>937</v>
      </c>
      <c r="AH809" t="s">
        <v>802</v>
      </c>
      <c r="AI809" t="s">
        <v>803</v>
      </c>
    </row>
    <row r="810" spans="1:35" hidden="1">
      <c r="A810" s="7">
        <v>809</v>
      </c>
      <c r="B810" t="s">
        <v>243</v>
      </c>
      <c r="C810" t="s">
        <v>244</v>
      </c>
      <c r="D810" s="7">
        <v>7134</v>
      </c>
      <c r="E810" t="s">
        <v>245</v>
      </c>
      <c r="F810" t="s">
        <v>246</v>
      </c>
      <c r="G810" t="s">
        <v>1551</v>
      </c>
      <c r="H810" t="s">
        <v>3138</v>
      </c>
      <c r="I810" s="7">
        <v>1165</v>
      </c>
      <c r="J810" s="7">
        <v>93865</v>
      </c>
      <c r="K810" s="7">
        <v>9</v>
      </c>
      <c r="L810" t="s">
        <v>247</v>
      </c>
      <c r="M810" t="s">
        <v>252</v>
      </c>
      <c r="N810" s="7">
        <v>322476</v>
      </c>
      <c r="O810" t="s">
        <v>1552</v>
      </c>
      <c r="P810" t="s">
        <v>1553</v>
      </c>
      <c r="Q810" t="s">
        <v>908</v>
      </c>
      <c r="R810" t="s">
        <v>909</v>
      </c>
      <c r="S810" t="s">
        <v>152</v>
      </c>
      <c r="T810" t="s">
        <v>3078</v>
      </c>
      <c r="U810" t="s">
        <v>3076</v>
      </c>
      <c r="V810" s="8">
        <v>0</v>
      </c>
      <c r="W810" s="7">
        <v>588732</v>
      </c>
      <c r="X810" t="s">
        <v>3352</v>
      </c>
      <c r="Y810" s="8">
        <v>0</v>
      </c>
      <c r="Z810" s="8">
        <v>0</v>
      </c>
      <c r="AA810" s="8">
        <v>0</v>
      </c>
      <c r="AB810" s="7">
        <v>112199</v>
      </c>
      <c r="AC810" t="s">
        <v>3352</v>
      </c>
      <c r="AD810" s="8">
        <v>0</v>
      </c>
      <c r="AG810" t="s">
        <v>937</v>
      </c>
      <c r="AH810" t="s">
        <v>802</v>
      </c>
      <c r="AI810" t="s">
        <v>803</v>
      </c>
    </row>
    <row r="811" spans="1:35" hidden="1">
      <c r="A811" s="7">
        <v>810</v>
      </c>
      <c r="B811" t="s">
        <v>243</v>
      </c>
      <c r="C811" t="s">
        <v>244</v>
      </c>
      <c r="D811" s="7">
        <v>7134</v>
      </c>
      <c r="E811" t="s">
        <v>245</v>
      </c>
      <c r="F811" t="s">
        <v>246</v>
      </c>
      <c r="G811" t="s">
        <v>1439</v>
      </c>
      <c r="H811" t="s">
        <v>727</v>
      </c>
      <c r="I811" s="7">
        <v>1165</v>
      </c>
      <c r="J811" s="7">
        <v>100000</v>
      </c>
      <c r="K811" s="7">
        <v>10</v>
      </c>
      <c r="L811" t="s">
        <v>247</v>
      </c>
      <c r="M811" t="s">
        <v>261</v>
      </c>
      <c r="N811" s="7">
        <v>765716</v>
      </c>
      <c r="O811" t="s">
        <v>1440</v>
      </c>
      <c r="P811" t="s">
        <v>1441</v>
      </c>
      <c r="S811" t="s">
        <v>152</v>
      </c>
      <c r="T811" t="s">
        <v>3078</v>
      </c>
      <c r="U811" t="s">
        <v>3076</v>
      </c>
      <c r="V811" s="8">
        <v>0</v>
      </c>
      <c r="W811" s="7">
        <v>588732</v>
      </c>
      <c r="X811" t="s">
        <v>3352</v>
      </c>
      <c r="Y811" s="8">
        <v>0</v>
      </c>
      <c r="Z811" s="8">
        <v>0</v>
      </c>
      <c r="AA811" s="8">
        <v>0</v>
      </c>
      <c r="AB811" s="7">
        <v>112199</v>
      </c>
      <c r="AC811" t="s">
        <v>3352</v>
      </c>
      <c r="AD811" s="8">
        <v>0</v>
      </c>
      <c r="AG811" t="s">
        <v>801</v>
      </c>
      <c r="AH811" t="s">
        <v>802</v>
      </c>
      <c r="AI811" t="s">
        <v>803</v>
      </c>
    </row>
    <row r="812" spans="1:35" hidden="1">
      <c r="A812" s="7">
        <v>811</v>
      </c>
      <c r="B812" t="s">
        <v>243</v>
      </c>
      <c r="C812" t="s">
        <v>244</v>
      </c>
      <c r="D812" s="7">
        <v>7134</v>
      </c>
      <c r="E812" t="s">
        <v>245</v>
      </c>
      <c r="F812" t="s">
        <v>246</v>
      </c>
      <c r="G812" t="s">
        <v>3143</v>
      </c>
      <c r="H812" t="s">
        <v>2086</v>
      </c>
      <c r="I812" s="7">
        <v>1165</v>
      </c>
      <c r="J812" s="7">
        <v>22817</v>
      </c>
      <c r="K812" s="7">
        <v>3</v>
      </c>
      <c r="L812" t="s">
        <v>247</v>
      </c>
      <c r="M812" t="s">
        <v>261</v>
      </c>
      <c r="N812" s="7">
        <v>771277</v>
      </c>
      <c r="O812" t="s">
        <v>3144</v>
      </c>
      <c r="P812" t="s">
        <v>3145</v>
      </c>
      <c r="S812" t="s">
        <v>152</v>
      </c>
      <c r="T812" t="s">
        <v>3078</v>
      </c>
      <c r="U812" t="s">
        <v>3076</v>
      </c>
      <c r="V812" s="8">
        <v>1250</v>
      </c>
      <c r="W812" s="7">
        <v>588732</v>
      </c>
      <c r="X812" t="s">
        <v>3352</v>
      </c>
      <c r="Y812" s="8">
        <v>1250</v>
      </c>
      <c r="Z812" s="8">
        <v>1475</v>
      </c>
      <c r="AA812" s="8">
        <v>225</v>
      </c>
      <c r="AB812" s="7">
        <v>112199</v>
      </c>
      <c r="AC812" t="s">
        <v>3352</v>
      </c>
      <c r="AD812" s="8">
        <v>0</v>
      </c>
      <c r="AG812" t="s">
        <v>817</v>
      </c>
      <c r="AH812" t="s">
        <v>802</v>
      </c>
      <c r="AI812" t="s">
        <v>818</v>
      </c>
    </row>
    <row r="813" spans="1:35" hidden="1">
      <c r="A813" s="7">
        <v>812</v>
      </c>
      <c r="B813" t="s">
        <v>243</v>
      </c>
      <c r="C813" t="s">
        <v>244</v>
      </c>
      <c r="D813" s="7">
        <v>7134</v>
      </c>
      <c r="E813" t="s">
        <v>245</v>
      </c>
      <c r="F813" t="s">
        <v>246</v>
      </c>
      <c r="G813" t="s">
        <v>3099</v>
      </c>
      <c r="H813" t="s">
        <v>2086</v>
      </c>
      <c r="I813" s="7">
        <v>1165</v>
      </c>
      <c r="J813" s="7">
        <v>31856</v>
      </c>
      <c r="K813" s="7">
        <v>11</v>
      </c>
      <c r="L813" t="s">
        <v>247</v>
      </c>
      <c r="M813" t="s">
        <v>261</v>
      </c>
      <c r="N813" s="7">
        <v>752345</v>
      </c>
      <c r="O813" t="s">
        <v>3100</v>
      </c>
      <c r="P813" t="s">
        <v>3101</v>
      </c>
      <c r="S813" t="s">
        <v>152</v>
      </c>
      <c r="T813" t="s">
        <v>3078</v>
      </c>
      <c r="U813" t="s">
        <v>3076</v>
      </c>
      <c r="V813" s="8">
        <v>1250</v>
      </c>
      <c r="W813" s="7">
        <v>588732</v>
      </c>
      <c r="X813" t="s">
        <v>3352</v>
      </c>
      <c r="Y813" s="8">
        <v>1250</v>
      </c>
      <c r="Z813" s="8">
        <v>1475</v>
      </c>
      <c r="AA813" s="8">
        <v>225</v>
      </c>
      <c r="AB813" s="7">
        <v>112199</v>
      </c>
      <c r="AC813" t="s">
        <v>3352</v>
      </c>
      <c r="AD813" s="8">
        <v>0</v>
      </c>
      <c r="AG813" t="s">
        <v>801</v>
      </c>
      <c r="AH813" t="s">
        <v>802</v>
      </c>
      <c r="AI813" t="s">
        <v>818</v>
      </c>
    </row>
    <row r="814" spans="1:35" hidden="1">
      <c r="A814" s="7">
        <v>813</v>
      </c>
      <c r="B814" t="s">
        <v>243</v>
      </c>
      <c r="C814" t="s">
        <v>244</v>
      </c>
      <c r="D814" s="7">
        <v>7134</v>
      </c>
      <c r="E814" t="s">
        <v>245</v>
      </c>
      <c r="F814" t="s">
        <v>246</v>
      </c>
      <c r="G814" t="s">
        <v>1035</v>
      </c>
      <c r="H814" t="s">
        <v>3074</v>
      </c>
      <c r="I814" s="7">
        <v>1165</v>
      </c>
      <c r="J814" s="7">
        <v>48284</v>
      </c>
      <c r="K814" s="7">
        <v>3</v>
      </c>
      <c r="L814" t="s">
        <v>247</v>
      </c>
      <c r="M814" t="s">
        <v>261</v>
      </c>
      <c r="N814" s="7">
        <v>781804</v>
      </c>
      <c r="O814" t="s">
        <v>1036</v>
      </c>
      <c r="P814" t="s">
        <v>1037</v>
      </c>
      <c r="S814" t="s">
        <v>152</v>
      </c>
      <c r="T814" t="s">
        <v>3078</v>
      </c>
      <c r="U814" t="s">
        <v>3076</v>
      </c>
      <c r="V814" s="8">
        <v>1250</v>
      </c>
      <c r="W814" s="7">
        <v>588732</v>
      </c>
      <c r="X814" t="s">
        <v>3352</v>
      </c>
      <c r="Y814" s="8">
        <v>1250</v>
      </c>
      <c r="Z814" s="8">
        <v>1475</v>
      </c>
      <c r="AA814" s="8">
        <v>225</v>
      </c>
      <c r="AB814" s="7">
        <v>112199</v>
      </c>
      <c r="AC814" t="s">
        <v>3352</v>
      </c>
      <c r="AD814" s="8">
        <v>0</v>
      </c>
      <c r="AG814" t="s">
        <v>817</v>
      </c>
      <c r="AH814" t="s">
        <v>802</v>
      </c>
      <c r="AI814" t="s">
        <v>818</v>
      </c>
    </row>
    <row r="815" spans="1:35" hidden="1">
      <c r="A815" s="7">
        <v>814</v>
      </c>
      <c r="B815" t="s">
        <v>243</v>
      </c>
      <c r="C815" t="s">
        <v>244</v>
      </c>
      <c r="D815" s="7">
        <v>7134</v>
      </c>
      <c r="E815" t="s">
        <v>245</v>
      </c>
      <c r="F815" t="s">
        <v>246</v>
      </c>
      <c r="G815" t="s">
        <v>1041</v>
      </c>
      <c r="H815" t="s">
        <v>3106</v>
      </c>
      <c r="I815" s="7">
        <v>1165</v>
      </c>
      <c r="J815" s="7">
        <v>39500</v>
      </c>
      <c r="K815" s="7">
        <v>4</v>
      </c>
      <c r="L815" t="s">
        <v>247</v>
      </c>
      <c r="M815" t="s">
        <v>267</v>
      </c>
      <c r="N815" s="7">
        <v>789619</v>
      </c>
      <c r="O815" t="s">
        <v>1042</v>
      </c>
      <c r="P815" t="s">
        <v>1043</v>
      </c>
      <c r="S815" t="s">
        <v>152</v>
      </c>
      <c r="T815" t="s">
        <v>3078</v>
      </c>
      <c r="U815" t="s">
        <v>3076</v>
      </c>
      <c r="V815" s="8">
        <v>0</v>
      </c>
      <c r="W815" s="7">
        <v>588732</v>
      </c>
      <c r="X815" t="s">
        <v>3352</v>
      </c>
      <c r="Y815" s="8">
        <v>0</v>
      </c>
      <c r="Z815" s="8">
        <v>0</v>
      </c>
      <c r="AA815" s="8">
        <v>0</v>
      </c>
      <c r="AB815" s="7">
        <v>112199</v>
      </c>
      <c r="AC815" t="s">
        <v>3352</v>
      </c>
      <c r="AD815" s="8">
        <v>0</v>
      </c>
      <c r="AG815" t="s">
        <v>828</v>
      </c>
      <c r="AH815" t="s">
        <v>802</v>
      </c>
      <c r="AI815" t="s">
        <v>803</v>
      </c>
    </row>
    <row r="816" spans="1:35" hidden="1">
      <c r="A816" s="7">
        <v>815</v>
      </c>
      <c r="B816" t="s">
        <v>243</v>
      </c>
      <c r="C816" t="s">
        <v>244</v>
      </c>
      <c r="D816" s="7">
        <v>7134</v>
      </c>
      <c r="E816" t="s">
        <v>245</v>
      </c>
      <c r="F816" t="s">
        <v>246</v>
      </c>
      <c r="G816" t="s">
        <v>878</v>
      </c>
      <c r="H816" t="s">
        <v>3086</v>
      </c>
      <c r="I816" s="7">
        <v>1165</v>
      </c>
      <c r="J816" s="7">
        <v>70367</v>
      </c>
      <c r="K816" s="7">
        <v>7</v>
      </c>
      <c r="L816" t="s">
        <v>247</v>
      </c>
      <c r="M816" t="s">
        <v>261</v>
      </c>
      <c r="N816" s="7">
        <v>786320</v>
      </c>
      <c r="O816" t="s">
        <v>879</v>
      </c>
      <c r="P816" t="s">
        <v>880</v>
      </c>
      <c r="S816" t="s">
        <v>152</v>
      </c>
      <c r="T816" t="s">
        <v>3078</v>
      </c>
      <c r="U816" t="s">
        <v>3076</v>
      </c>
      <c r="V816" s="8">
        <v>0</v>
      </c>
      <c r="W816" s="7">
        <v>588732</v>
      </c>
      <c r="X816" t="s">
        <v>3352</v>
      </c>
      <c r="Y816" s="8">
        <v>0</v>
      </c>
      <c r="Z816" s="8">
        <v>0</v>
      </c>
      <c r="AA816" s="8">
        <v>0</v>
      </c>
      <c r="AB816" s="7">
        <v>112199</v>
      </c>
      <c r="AC816" t="s">
        <v>3352</v>
      </c>
      <c r="AD816" s="8">
        <v>0</v>
      </c>
      <c r="AG816" t="s">
        <v>801</v>
      </c>
      <c r="AH816" t="s">
        <v>802</v>
      </c>
      <c r="AI816" t="s">
        <v>803</v>
      </c>
    </row>
    <row r="817" spans="1:35" hidden="1">
      <c r="A817" s="7">
        <v>816</v>
      </c>
      <c r="B817" t="s">
        <v>243</v>
      </c>
      <c r="C817" t="s">
        <v>244</v>
      </c>
      <c r="D817" s="7">
        <v>7134</v>
      </c>
      <c r="E817" t="s">
        <v>245</v>
      </c>
      <c r="F817" t="s">
        <v>246</v>
      </c>
      <c r="G817" t="s">
        <v>824</v>
      </c>
      <c r="H817" t="s">
        <v>3086</v>
      </c>
      <c r="I817" s="7">
        <v>116</v>
      </c>
      <c r="J817" s="7">
        <v>90000</v>
      </c>
      <c r="K817" s="7">
        <v>9</v>
      </c>
      <c r="L817" t="s">
        <v>247</v>
      </c>
      <c r="M817" t="s">
        <v>267</v>
      </c>
      <c r="N817" s="7">
        <v>1</v>
      </c>
      <c r="O817" t="s">
        <v>826</v>
      </c>
      <c r="P817" t="s">
        <v>827</v>
      </c>
      <c r="S817" t="s">
        <v>152</v>
      </c>
      <c r="T817" t="s">
        <v>3078</v>
      </c>
      <c r="U817" t="s">
        <v>3076</v>
      </c>
      <c r="V817" s="8">
        <v>0</v>
      </c>
      <c r="W817" s="7">
        <v>588732</v>
      </c>
      <c r="X817" t="s">
        <v>3352</v>
      </c>
      <c r="Y817" s="8">
        <v>0</v>
      </c>
      <c r="Z817" s="8">
        <v>0</v>
      </c>
      <c r="AA817" s="8">
        <v>0</v>
      </c>
      <c r="AB817" s="7">
        <v>112199</v>
      </c>
      <c r="AC817" t="s">
        <v>3352</v>
      </c>
      <c r="AD817" s="8">
        <v>0</v>
      </c>
      <c r="AG817" t="s">
        <v>828</v>
      </c>
      <c r="AH817" t="s">
        <v>802</v>
      </c>
      <c r="AI817" t="s">
        <v>803</v>
      </c>
    </row>
    <row r="818" spans="1:35" hidden="1">
      <c r="A818" s="7">
        <v>817</v>
      </c>
      <c r="B818" t="s">
        <v>243</v>
      </c>
      <c r="C818" t="s">
        <v>244</v>
      </c>
      <c r="D818" s="7">
        <v>7134</v>
      </c>
      <c r="E818" t="s">
        <v>245</v>
      </c>
      <c r="F818" t="s">
        <v>246</v>
      </c>
      <c r="G818" t="s">
        <v>531</v>
      </c>
      <c r="H818" t="s">
        <v>3098</v>
      </c>
      <c r="I818" s="7">
        <v>1152</v>
      </c>
      <c r="J818" s="7">
        <v>9890</v>
      </c>
      <c r="K818" s="7">
        <v>1</v>
      </c>
      <c r="L818" t="s">
        <v>247</v>
      </c>
      <c r="M818" t="s">
        <v>261</v>
      </c>
      <c r="N818" s="7">
        <v>800848</v>
      </c>
      <c r="O818" t="s">
        <v>2590</v>
      </c>
      <c r="P818" t="s">
        <v>2591</v>
      </c>
      <c r="Q818" t="s">
        <v>870</v>
      </c>
      <c r="R818" t="s">
        <v>871</v>
      </c>
      <c r="S818" t="s">
        <v>152</v>
      </c>
      <c r="T818" t="s">
        <v>3078</v>
      </c>
      <c r="U818" t="s">
        <v>3076</v>
      </c>
      <c r="V818" s="8">
        <v>1250</v>
      </c>
      <c r="W818" s="7">
        <v>588732</v>
      </c>
      <c r="X818" t="s">
        <v>3352</v>
      </c>
      <c r="Y818" s="8">
        <v>1000</v>
      </c>
      <c r="Z818" s="8">
        <v>1475</v>
      </c>
      <c r="AA818" s="8">
        <v>225</v>
      </c>
      <c r="AB818" s="7">
        <v>112199</v>
      </c>
      <c r="AC818" t="s">
        <v>3352</v>
      </c>
      <c r="AD818" s="8">
        <v>250</v>
      </c>
      <c r="AG818" t="s">
        <v>801</v>
      </c>
      <c r="AH818" t="s">
        <v>802</v>
      </c>
      <c r="AI818" t="s">
        <v>818</v>
      </c>
    </row>
    <row r="819" spans="1:35" hidden="1">
      <c r="A819" s="7">
        <v>818</v>
      </c>
      <c r="B819" t="s">
        <v>243</v>
      </c>
      <c r="C819" t="s">
        <v>244</v>
      </c>
      <c r="D819" s="7">
        <v>7134</v>
      </c>
      <c r="E819" t="s">
        <v>245</v>
      </c>
      <c r="F819" t="s">
        <v>246</v>
      </c>
      <c r="G819" t="s">
        <v>248</v>
      </c>
      <c r="H819" t="s">
        <v>3112</v>
      </c>
      <c r="I819" s="7">
        <v>1165</v>
      </c>
      <c r="J819" s="7">
        <v>5584</v>
      </c>
      <c r="K819" s="7">
        <v>2</v>
      </c>
      <c r="L819" t="s">
        <v>247</v>
      </c>
      <c r="M819" t="s">
        <v>252</v>
      </c>
      <c r="N819" s="7">
        <v>327337</v>
      </c>
      <c r="O819" t="s">
        <v>250</v>
      </c>
      <c r="P819" t="s">
        <v>251</v>
      </c>
      <c r="S819" t="s">
        <v>152</v>
      </c>
      <c r="T819" t="s">
        <v>3078</v>
      </c>
      <c r="U819" t="s">
        <v>3076</v>
      </c>
      <c r="V819" s="8">
        <v>0</v>
      </c>
      <c r="W819" s="7">
        <v>588732</v>
      </c>
      <c r="X819" t="s">
        <v>3352</v>
      </c>
      <c r="Y819" s="8">
        <v>0</v>
      </c>
      <c r="Z819" s="8">
        <v>0</v>
      </c>
      <c r="AA819" s="8">
        <v>0</v>
      </c>
      <c r="AB819" s="7">
        <v>112199</v>
      </c>
      <c r="AC819" t="s">
        <v>3352</v>
      </c>
      <c r="AD819" s="8">
        <v>0</v>
      </c>
      <c r="AG819" t="s">
        <v>937</v>
      </c>
      <c r="AH819" t="s">
        <v>802</v>
      </c>
      <c r="AI819" t="s">
        <v>803</v>
      </c>
    </row>
    <row r="820" spans="1:35" hidden="1">
      <c r="A820" s="7">
        <v>819</v>
      </c>
      <c r="B820" t="s">
        <v>243</v>
      </c>
      <c r="C820" t="s">
        <v>244</v>
      </c>
      <c r="D820" s="7">
        <v>7134</v>
      </c>
      <c r="E820" t="s">
        <v>245</v>
      </c>
      <c r="F820" t="s">
        <v>246</v>
      </c>
      <c r="G820" t="s">
        <v>1264</v>
      </c>
      <c r="H820" t="s">
        <v>3080</v>
      </c>
      <c r="I820" s="7">
        <v>1165</v>
      </c>
      <c r="J820" s="7">
        <v>40977</v>
      </c>
      <c r="K820" s="7">
        <v>6</v>
      </c>
      <c r="L820" t="s">
        <v>247</v>
      </c>
      <c r="M820" t="s">
        <v>261</v>
      </c>
      <c r="N820" s="7">
        <v>774651</v>
      </c>
      <c r="O820" t="s">
        <v>1265</v>
      </c>
      <c r="P820" t="s">
        <v>1266</v>
      </c>
      <c r="S820" t="s">
        <v>152</v>
      </c>
      <c r="T820" t="s">
        <v>3078</v>
      </c>
      <c r="U820" t="s">
        <v>3076</v>
      </c>
      <c r="V820" s="8">
        <v>0</v>
      </c>
      <c r="W820" s="7">
        <v>588732</v>
      </c>
      <c r="X820" t="s">
        <v>3352</v>
      </c>
      <c r="Y820" s="8">
        <v>0</v>
      </c>
      <c r="Z820" s="8">
        <v>0</v>
      </c>
      <c r="AA820" s="8">
        <v>0</v>
      </c>
      <c r="AB820" s="7">
        <v>112199</v>
      </c>
      <c r="AC820" t="s">
        <v>3352</v>
      </c>
      <c r="AD820" s="8">
        <v>0</v>
      </c>
      <c r="AG820" t="s">
        <v>801</v>
      </c>
      <c r="AH820" t="s">
        <v>802</v>
      </c>
      <c r="AI820" t="s">
        <v>803</v>
      </c>
    </row>
    <row r="821" spans="1:35" hidden="1">
      <c r="A821" s="7">
        <v>820</v>
      </c>
      <c r="B821" t="s">
        <v>243</v>
      </c>
      <c r="C821" t="s">
        <v>244</v>
      </c>
      <c r="D821" s="7">
        <v>7134</v>
      </c>
      <c r="E821" t="s">
        <v>245</v>
      </c>
      <c r="F821" t="s">
        <v>246</v>
      </c>
      <c r="G821" t="s">
        <v>927</v>
      </c>
      <c r="H821" t="s">
        <v>2854</v>
      </c>
      <c r="I821" s="7">
        <v>1165</v>
      </c>
      <c r="J821" s="7">
        <v>80000</v>
      </c>
      <c r="K821" s="7">
        <v>8</v>
      </c>
      <c r="L821" t="s">
        <v>247</v>
      </c>
      <c r="M821" t="s">
        <v>361</v>
      </c>
      <c r="N821" s="7">
        <v>3488</v>
      </c>
      <c r="O821" t="s">
        <v>928</v>
      </c>
      <c r="P821" t="s">
        <v>929</v>
      </c>
      <c r="S821" t="s">
        <v>152</v>
      </c>
      <c r="T821" t="s">
        <v>3078</v>
      </c>
      <c r="U821" t="s">
        <v>3076</v>
      </c>
      <c r="V821" s="8">
        <v>0</v>
      </c>
      <c r="W821" s="7">
        <v>588732</v>
      </c>
      <c r="X821" t="s">
        <v>3352</v>
      </c>
      <c r="Y821" s="8">
        <v>0</v>
      </c>
      <c r="Z821" s="8">
        <v>0</v>
      </c>
      <c r="AA821" s="8">
        <v>0</v>
      </c>
      <c r="AB821" s="7">
        <v>112199</v>
      </c>
      <c r="AC821" t="s">
        <v>3352</v>
      </c>
      <c r="AD821" s="8">
        <v>0</v>
      </c>
      <c r="AG821" t="s">
        <v>823</v>
      </c>
      <c r="AH821" t="s">
        <v>802</v>
      </c>
      <c r="AI821" t="s">
        <v>803</v>
      </c>
    </row>
    <row r="822" spans="1:35" hidden="1">
      <c r="A822" s="7">
        <v>821</v>
      </c>
      <c r="B822" t="s">
        <v>243</v>
      </c>
      <c r="C822" t="s">
        <v>244</v>
      </c>
      <c r="D822" s="7">
        <v>7134</v>
      </c>
      <c r="E822" t="s">
        <v>245</v>
      </c>
      <c r="F822" t="s">
        <v>246</v>
      </c>
      <c r="G822" t="s">
        <v>1737</v>
      </c>
      <c r="H822" t="s">
        <v>3097</v>
      </c>
      <c r="I822" s="7">
        <v>978</v>
      </c>
      <c r="J822" s="7">
        <v>20870</v>
      </c>
      <c r="K822" s="7">
        <v>4</v>
      </c>
      <c r="L822" t="s">
        <v>247</v>
      </c>
      <c r="M822" t="s">
        <v>361</v>
      </c>
      <c r="N822" s="7">
        <v>5247</v>
      </c>
      <c r="O822" t="s">
        <v>3132</v>
      </c>
      <c r="P822" t="s">
        <v>3133</v>
      </c>
      <c r="S822" t="s">
        <v>152</v>
      </c>
      <c r="T822" t="s">
        <v>3078</v>
      </c>
      <c r="U822" t="s">
        <v>3076</v>
      </c>
      <c r="V822" s="8">
        <v>0</v>
      </c>
      <c r="W822" s="7">
        <v>588732</v>
      </c>
      <c r="X822" t="s">
        <v>3352</v>
      </c>
      <c r="Y822" s="8">
        <v>0</v>
      </c>
      <c r="Z822" s="8">
        <v>0</v>
      </c>
      <c r="AA822" s="8">
        <v>0</v>
      </c>
      <c r="AB822" s="7">
        <v>112199</v>
      </c>
      <c r="AC822" t="s">
        <v>3352</v>
      </c>
      <c r="AD822" s="8">
        <v>0</v>
      </c>
      <c r="AG822" t="s">
        <v>823</v>
      </c>
      <c r="AH822" t="s">
        <v>802</v>
      </c>
      <c r="AI822" t="s">
        <v>803</v>
      </c>
    </row>
    <row r="823" spans="1:35" hidden="1">
      <c r="A823" s="7">
        <v>822</v>
      </c>
      <c r="B823" t="s">
        <v>243</v>
      </c>
      <c r="C823" t="s">
        <v>244</v>
      </c>
      <c r="D823" s="7">
        <v>7134</v>
      </c>
      <c r="E823" t="s">
        <v>245</v>
      </c>
      <c r="F823" t="s">
        <v>246</v>
      </c>
      <c r="G823" t="s">
        <v>1221</v>
      </c>
      <c r="H823" t="s">
        <v>3077</v>
      </c>
      <c r="I823" s="7">
        <v>1165</v>
      </c>
      <c r="J823" s="7">
        <v>105442</v>
      </c>
      <c r="K823" s="7">
        <v>11</v>
      </c>
      <c r="L823" t="s">
        <v>247</v>
      </c>
      <c r="M823" t="s">
        <v>252</v>
      </c>
      <c r="N823" s="7">
        <v>321779</v>
      </c>
      <c r="O823" t="s">
        <v>1222</v>
      </c>
      <c r="P823" t="s">
        <v>1223</v>
      </c>
      <c r="S823" t="s">
        <v>152</v>
      </c>
      <c r="T823" t="s">
        <v>3078</v>
      </c>
      <c r="U823" t="s">
        <v>3076</v>
      </c>
      <c r="V823" s="8">
        <v>1250</v>
      </c>
      <c r="W823" s="7">
        <v>588732</v>
      </c>
      <c r="X823" t="s">
        <v>3352</v>
      </c>
      <c r="Y823" s="8">
        <v>1250</v>
      </c>
      <c r="Z823" s="8">
        <v>1475</v>
      </c>
      <c r="AA823" s="8">
        <v>225</v>
      </c>
      <c r="AB823" s="7">
        <v>112199</v>
      </c>
      <c r="AC823" t="s">
        <v>3352</v>
      </c>
      <c r="AD823" s="8">
        <v>0</v>
      </c>
      <c r="AG823" t="s">
        <v>937</v>
      </c>
      <c r="AH823" t="s">
        <v>802</v>
      </c>
      <c r="AI823" t="s">
        <v>818</v>
      </c>
    </row>
    <row r="824" spans="1:35" hidden="1">
      <c r="A824" s="7">
        <v>823</v>
      </c>
      <c r="B824" t="s">
        <v>243</v>
      </c>
      <c r="C824" t="s">
        <v>244</v>
      </c>
      <c r="D824" s="7">
        <v>7134</v>
      </c>
      <c r="E824" t="s">
        <v>245</v>
      </c>
      <c r="F824" t="s">
        <v>246</v>
      </c>
      <c r="G824" t="s">
        <v>867</v>
      </c>
      <c r="H824" t="s">
        <v>2086</v>
      </c>
      <c r="I824" s="7">
        <v>1165</v>
      </c>
      <c r="J824" s="7">
        <v>6822</v>
      </c>
      <c r="K824" s="7">
        <v>2</v>
      </c>
      <c r="L824" t="s">
        <v>247</v>
      </c>
      <c r="M824" t="s">
        <v>261</v>
      </c>
      <c r="N824" s="7">
        <v>782778</v>
      </c>
      <c r="O824" t="s">
        <v>3149</v>
      </c>
      <c r="P824" t="s">
        <v>3150</v>
      </c>
      <c r="S824" t="s">
        <v>152</v>
      </c>
      <c r="T824" t="s">
        <v>3078</v>
      </c>
      <c r="U824" t="s">
        <v>3076</v>
      </c>
      <c r="V824" s="8">
        <v>1250</v>
      </c>
      <c r="W824" s="7">
        <v>588732</v>
      </c>
      <c r="X824" t="s">
        <v>3352</v>
      </c>
      <c r="Y824" s="8">
        <v>1250</v>
      </c>
      <c r="Z824" s="8">
        <v>1475</v>
      </c>
      <c r="AA824" s="8">
        <v>225</v>
      </c>
      <c r="AB824" s="7">
        <v>112199</v>
      </c>
      <c r="AC824" t="s">
        <v>3352</v>
      </c>
      <c r="AD824" s="8">
        <v>0</v>
      </c>
      <c r="AG824" t="s">
        <v>817</v>
      </c>
      <c r="AH824" t="s">
        <v>802</v>
      </c>
      <c r="AI824" t="s">
        <v>818</v>
      </c>
    </row>
    <row r="825" spans="1:35" hidden="1">
      <c r="A825" s="7">
        <v>824</v>
      </c>
      <c r="B825" t="s">
        <v>243</v>
      </c>
      <c r="C825" t="s">
        <v>244</v>
      </c>
      <c r="D825" s="7">
        <v>7134</v>
      </c>
      <c r="E825" t="s">
        <v>245</v>
      </c>
      <c r="F825" t="s">
        <v>246</v>
      </c>
      <c r="G825" t="s">
        <v>1305</v>
      </c>
      <c r="H825" t="s">
        <v>3078</v>
      </c>
      <c r="I825" s="7">
        <v>1165</v>
      </c>
      <c r="J825" s="7">
        <v>40040</v>
      </c>
      <c r="K825" s="7">
        <v>7</v>
      </c>
      <c r="L825" t="s">
        <v>247</v>
      </c>
      <c r="M825" t="s">
        <v>252</v>
      </c>
      <c r="N825" s="7">
        <v>323147</v>
      </c>
      <c r="O825" t="s">
        <v>1504</v>
      </c>
      <c r="P825" t="s">
        <v>1505</v>
      </c>
      <c r="S825" t="s">
        <v>152</v>
      </c>
      <c r="T825" t="s">
        <v>3078</v>
      </c>
      <c r="U825" t="s">
        <v>3076</v>
      </c>
      <c r="V825" s="8">
        <v>0</v>
      </c>
      <c r="W825" s="7">
        <v>588732</v>
      </c>
      <c r="X825" t="s">
        <v>3352</v>
      </c>
      <c r="Y825" s="8">
        <v>0</v>
      </c>
      <c r="Z825" s="8">
        <v>0</v>
      </c>
      <c r="AA825" s="8">
        <v>0</v>
      </c>
      <c r="AB825" s="7">
        <v>112199</v>
      </c>
      <c r="AC825" t="s">
        <v>3352</v>
      </c>
      <c r="AD825" s="8">
        <v>0</v>
      </c>
      <c r="AG825" t="s">
        <v>937</v>
      </c>
      <c r="AH825" t="s">
        <v>802</v>
      </c>
      <c r="AI825" t="s">
        <v>803</v>
      </c>
    </row>
    <row r="826" spans="1:35" hidden="1">
      <c r="A826" s="7">
        <v>825</v>
      </c>
      <c r="B826" t="s">
        <v>243</v>
      </c>
      <c r="C826" t="s">
        <v>244</v>
      </c>
      <c r="D826" s="7">
        <v>7134</v>
      </c>
      <c r="E826" t="s">
        <v>245</v>
      </c>
      <c r="F826" t="s">
        <v>246</v>
      </c>
      <c r="G826" t="s">
        <v>3123</v>
      </c>
      <c r="H826" t="s">
        <v>3112</v>
      </c>
      <c r="I826" s="7">
        <v>1165</v>
      </c>
      <c r="J826" s="7">
        <v>7107</v>
      </c>
      <c r="K826" s="7">
        <v>3</v>
      </c>
      <c r="L826" t="s">
        <v>247</v>
      </c>
      <c r="M826" t="s">
        <v>398</v>
      </c>
      <c r="N826" s="7">
        <v>767709</v>
      </c>
      <c r="O826" t="s">
        <v>3124</v>
      </c>
      <c r="P826" t="s">
        <v>3125</v>
      </c>
      <c r="Q826" t="s">
        <v>870</v>
      </c>
      <c r="R826" t="s">
        <v>871</v>
      </c>
      <c r="S826" t="s">
        <v>152</v>
      </c>
      <c r="T826" t="s">
        <v>3078</v>
      </c>
      <c r="U826" t="s">
        <v>3076</v>
      </c>
      <c r="V826" s="8">
        <v>1250</v>
      </c>
      <c r="W826" s="7">
        <v>588732</v>
      </c>
      <c r="X826" t="s">
        <v>3352</v>
      </c>
      <c r="Y826" s="8">
        <v>1000</v>
      </c>
      <c r="Z826" s="8">
        <v>1475</v>
      </c>
      <c r="AA826" s="8">
        <v>225</v>
      </c>
      <c r="AB826" s="7">
        <v>112199</v>
      </c>
      <c r="AC826" t="s">
        <v>3352</v>
      </c>
      <c r="AD826" s="8">
        <v>250</v>
      </c>
      <c r="AG826" t="s">
        <v>1365</v>
      </c>
      <c r="AH826" t="s">
        <v>802</v>
      </c>
      <c r="AI826" t="s">
        <v>818</v>
      </c>
    </row>
    <row r="827" spans="1:35" hidden="1">
      <c r="A827" s="7">
        <v>826</v>
      </c>
      <c r="B827" t="s">
        <v>243</v>
      </c>
      <c r="C827" t="s">
        <v>244</v>
      </c>
      <c r="D827" s="7">
        <v>7134</v>
      </c>
      <c r="E827" t="s">
        <v>245</v>
      </c>
      <c r="F827" t="s">
        <v>246</v>
      </c>
      <c r="G827" t="s">
        <v>1004</v>
      </c>
      <c r="H827" t="s">
        <v>3074</v>
      </c>
      <c r="I827" s="7">
        <v>1150</v>
      </c>
      <c r="J827" s="7">
        <v>32672</v>
      </c>
      <c r="K827" s="7">
        <v>3</v>
      </c>
      <c r="L827" t="s">
        <v>247</v>
      </c>
      <c r="M827" t="s">
        <v>361</v>
      </c>
      <c r="N827" s="7">
        <v>5709</v>
      </c>
      <c r="O827" t="s">
        <v>1005</v>
      </c>
      <c r="P827" t="s">
        <v>1006</v>
      </c>
      <c r="Q827" t="s">
        <v>908</v>
      </c>
      <c r="R827" t="s">
        <v>909</v>
      </c>
      <c r="S827" t="s">
        <v>152</v>
      </c>
      <c r="T827" t="s">
        <v>3078</v>
      </c>
      <c r="U827" t="s">
        <v>3076</v>
      </c>
      <c r="V827" s="8">
        <v>1650</v>
      </c>
      <c r="W827" s="7">
        <v>588732</v>
      </c>
      <c r="X827" t="s">
        <v>3352</v>
      </c>
      <c r="Y827" s="8">
        <v>1320</v>
      </c>
      <c r="Z827" s="8">
        <v>1947</v>
      </c>
      <c r="AA827" s="8">
        <v>297</v>
      </c>
      <c r="AB827" s="7">
        <v>112199</v>
      </c>
      <c r="AC827" t="s">
        <v>3352</v>
      </c>
      <c r="AD827" s="8">
        <v>330</v>
      </c>
      <c r="AG827" t="s">
        <v>823</v>
      </c>
      <c r="AH827" t="s">
        <v>802</v>
      </c>
      <c r="AI827" t="s">
        <v>818</v>
      </c>
    </row>
    <row r="828" spans="1:35" hidden="1">
      <c r="A828" s="7">
        <v>827</v>
      </c>
      <c r="B828" t="s">
        <v>243</v>
      </c>
      <c r="C828" t="s">
        <v>244</v>
      </c>
      <c r="D828" s="7">
        <v>7134</v>
      </c>
      <c r="E828" t="s">
        <v>245</v>
      </c>
      <c r="F828" t="s">
        <v>246</v>
      </c>
      <c r="G828" t="s">
        <v>293</v>
      </c>
      <c r="H828" t="s">
        <v>3089</v>
      </c>
      <c r="I828" s="7">
        <v>1165</v>
      </c>
      <c r="J828" s="7">
        <v>5658</v>
      </c>
      <c r="K828" s="7">
        <v>2</v>
      </c>
      <c r="L828" t="s">
        <v>247</v>
      </c>
      <c r="M828" t="s">
        <v>267</v>
      </c>
      <c r="N828" s="7">
        <v>789025</v>
      </c>
      <c r="O828" t="s">
        <v>499</v>
      </c>
      <c r="P828" t="s">
        <v>500</v>
      </c>
      <c r="S828" t="s">
        <v>152</v>
      </c>
      <c r="T828" t="s">
        <v>3078</v>
      </c>
      <c r="U828" t="s">
        <v>3076</v>
      </c>
      <c r="V828" s="8">
        <v>0</v>
      </c>
      <c r="W828" s="7">
        <v>588732</v>
      </c>
      <c r="X828" t="s">
        <v>3352</v>
      </c>
      <c r="Y828" s="8">
        <v>0</v>
      </c>
      <c r="Z828" s="8">
        <v>0</v>
      </c>
      <c r="AA828" s="8">
        <v>0</v>
      </c>
      <c r="AB828" s="7">
        <v>112199</v>
      </c>
      <c r="AC828" t="s">
        <v>3352</v>
      </c>
      <c r="AD828" s="8">
        <v>0</v>
      </c>
      <c r="AG828" t="s">
        <v>828</v>
      </c>
      <c r="AH828" t="s">
        <v>802</v>
      </c>
      <c r="AI828" t="s">
        <v>803</v>
      </c>
    </row>
    <row r="829" spans="1:35" hidden="1">
      <c r="A829" s="7">
        <v>828</v>
      </c>
      <c r="B829" t="s">
        <v>243</v>
      </c>
      <c r="C829" t="s">
        <v>244</v>
      </c>
      <c r="D829" s="7">
        <v>7134</v>
      </c>
      <c r="E829" t="s">
        <v>245</v>
      </c>
      <c r="F829" t="s">
        <v>246</v>
      </c>
      <c r="G829" t="s">
        <v>1428</v>
      </c>
      <c r="H829" t="s">
        <v>3104</v>
      </c>
      <c r="I829" s="7">
        <v>1165</v>
      </c>
      <c r="J829" s="7">
        <v>80000</v>
      </c>
      <c r="K829" s="7">
        <v>8</v>
      </c>
      <c r="L829" t="s">
        <v>247</v>
      </c>
      <c r="M829" t="s">
        <v>361</v>
      </c>
      <c r="N829" s="7">
        <v>3046</v>
      </c>
      <c r="O829" t="s">
        <v>1429</v>
      </c>
      <c r="P829" t="s">
        <v>1430</v>
      </c>
      <c r="S829" t="s">
        <v>152</v>
      </c>
      <c r="T829" t="s">
        <v>3078</v>
      </c>
      <c r="U829" t="s">
        <v>3076</v>
      </c>
      <c r="V829" s="8">
        <v>0</v>
      </c>
      <c r="W829" s="7">
        <v>588732</v>
      </c>
      <c r="X829" t="s">
        <v>3352</v>
      </c>
      <c r="Y829" s="8">
        <v>0</v>
      </c>
      <c r="Z829" s="8">
        <v>0</v>
      </c>
      <c r="AA829" s="8">
        <v>0</v>
      </c>
      <c r="AB829" s="7">
        <v>112199</v>
      </c>
      <c r="AC829" t="s">
        <v>3352</v>
      </c>
      <c r="AD829" s="8">
        <v>0</v>
      </c>
      <c r="AG829" t="s">
        <v>823</v>
      </c>
      <c r="AH829" t="s">
        <v>802</v>
      </c>
      <c r="AI829" t="s">
        <v>803</v>
      </c>
    </row>
    <row r="830" spans="1:35" hidden="1">
      <c r="A830" s="7">
        <v>829</v>
      </c>
      <c r="B830" t="s">
        <v>243</v>
      </c>
      <c r="C830" t="s">
        <v>244</v>
      </c>
      <c r="D830" s="7">
        <v>7134</v>
      </c>
      <c r="E830" t="s">
        <v>245</v>
      </c>
      <c r="F830" t="s">
        <v>246</v>
      </c>
      <c r="G830" t="s">
        <v>263</v>
      </c>
      <c r="H830" t="s">
        <v>3102</v>
      </c>
      <c r="I830" s="7">
        <v>856</v>
      </c>
      <c r="J830" s="7">
        <v>29717</v>
      </c>
      <c r="K830" s="7">
        <v>2</v>
      </c>
      <c r="L830" t="s">
        <v>247</v>
      </c>
      <c r="M830" t="s">
        <v>261</v>
      </c>
      <c r="N830" s="7">
        <v>796597</v>
      </c>
      <c r="O830" t="s">
        <v>2056</v>
      </c>
      <c r="P830" t="s">
        <v>2057</v>
      </c>
      <c r="S830" t="s">
        <v>152</v>
      </c>
      <c r="T830" t="s">
        <v>3078</v>
      </c>
      <c r="U830" t="s">
        <v>3076</v>
      </c>
      <c r="V830" s="8">
        <v>1250</v>
      </c>
      <c r="W830" s="7">
        <v>588732</v>
      </c>
      <c r="X830" t="s">
        <v>3352</v>
      </c>
      <c r="Y830" s="8">
        <v>1250</v>
      </c>
      <c r="Z830" s="8">
        <v>1475</v>
      </c>
      <c r="AA830" s="8">
        <v>225</v>
      </c>
      <c r="AB830" s="7">
        <v>112199</v>
      </c>
      <c r="AC830" t="s">
        <v>3352</v>
      </c>
      <c r="AD830" s="8">
        <v>0</v>
      </c>
      <c r="AG830" t="s">
        <v>817</v>
      </c>
      <c r="AH830" t="s">
        <v>802</v>
      </c>
      <c r="AI830" t="s">
        <v>818</v>
      </c>
    </row>
    <row r="831" spans="1:35" hidden="1">
      <c r="A831" s="7">
        <v>830</v>
      </c>
      <c r="B831" t="s">
        <v>243</v>
      </c>
      <c r="C831" t="s">
        <v>244</v>
      </c>
      <c r="D831" s="7">
        <v>7134</v>
      </c>
      <c r="E831" t="s">
        <v>245</v>
      </c>
      <c r="F831" t="s">
        <v>246</v>
      </c>
      <c r="G831" t="s">
        <v>1618</v>
      </c>
      <c r="H831" t="s">
        <v>417</v>
      </c>
      <c r="I831" s="7">
        <v>890</v>
      </c>
      <c r="J831" s="7">
        <v>60158</v>
      </c>
      <c r="K831" s="7">
        <v>7</v>
      </c>
      <c r="L831" t="s">
        <v>247</v>
      </c>
      <c r="M831" t="s">
        <v>261</v>
      </c>
      <c r="N831" s="7">
        <v>775977</v>
      </c>
      <c r="O831" t="s">
        <v>1620</v>
      </c>
      <c r="P831" t="s">
        <v>1621</v>
      </c>
      <c r="S831" t="s">
        <v>152</v>
      </c>
      <c r="T831" t="s">
        <v>3078</v>
      </c>
      <c r="U831" t="s">
        <v>3076</v>
      </c>
      <c r="V831" s="8">
        <v>0</v>
      </c>
      <c r="W831" s="7">
        <v>588732</v>
      </c>
      <c r="X831" t="s">
        <v>3352</v>
      </c>
      <c r="Y831" s="8">
        <v>0</v>
      </c>
      <c r="Z831" s="8">
        <v>0</v>
      </c>
      <c r="AA831" s="8">
        <v>0</v>
      </c>
      <c r="AB831" s="7">
        <v>112199</v>
      </c>
      <c r="AC831" t="s">
        <v>3352</v>
      </c>
      <c r="AD831" s="8">
        <v>0</v>
      </c>
      <c r="AG831" t="s">
        <v>801</v>
      </c>
      <c r="AH831" t="s">
        <v>802</v>
      </c>
      <c r="AI831" t="s">
        <v>803</v>
      </c>
    </row>
    <row r="832" spans="1:35" hidden="1">
      <c r="A832" s="7">
        <v>831</v>
      </c>
      <c r="B832" t="s">
        <v>243</v>
      </c>
      <c r="C832" t="s">
        <v>244</v>
      </c>
      <c r="D832" s="7">
        <v>7134</v>
      </c>
      <c r="E832" t="s">
        <v>245</v>
      </c>
      <c r="F832" t="s">
        <v>246</v>
      </c>
      <c r="G832" t="s">
        <v>248</v>
      </c>
      <c r="H832" t="s">
        <v>3122</v>
      </c>
      <c r="I832" s="7">
        <v>850</v>
      </c>
      <c r="J832" s="7">
        <v>30094</v>
      </c>
      <c r="K832" s="7">
        <v>2</v>
      </c>
      <c r="L832" t="s">
        <v>247</v>
      </c>
      <c r="M832" t="s">
        <v>261</v>
      </c>
      <c r="N832" s="7">
        <v>795369</v>
      </c>
      <c r="O832" t="s">
        <v>1929</v>
      </c>
      <c r="P832" t="s">
        <v>1930</v>
      </c>
      <c r="S832" t="s">
        <v>152</v>
      </c>
      <c r="T832" t="s">
        <v>3078</v>
      </c>
      <c r="U832" t="s">
        <v>3076</v>
      </c>
      <c r="V832" s="8">
        <v>1250</v>
      </c>
      <c r="W832" s="7">
        <v>588732</v>
      </c>
      <c r="X832" t="s">
        <v>3352</v>
      </c>
      <c r="Y832" s="8">
        <v>1250</v>
      </c>
      <c r="Z832" s="8">
        <v>1475</v>
      </c>
      <c r="AA832" s="8">
        <v>225</v>
      </c>
      <c r="AB832" s="7">
        <v>112199</v>
      </c>
      <c r="AC832" t="s">
        <v>3352</v>
      </c>
      <c r="AD832" s="8">
        <v>0</v>
      </c>
      <c r="AG832" t="s">
        <v>817</v>
      </c>
      <c r="AH832" t="s">
        <v>802</v>
      </c>
      <c r="AI832" t="s">
        <v>818</v>
      </c>
    </row>
    <row r="833" spans="1:35" hidden="1">
      <c r="A833" s="7">
        <v>832</v>
      </c>
      <c r="B833" t="s">
        <v>243</v>
      </c>
      <c r="C833" t="s">
        <v>244</v>
      </c>
      <c r="D833" s="7">
        <v>7134</v>
      </c>
      <c r="E833" t="s">
        <v>245</v>
      </c>
      <c r="F833" t="s">
        <v>246</v>
      </c>
      <c r="G833" t="s">
        <v>1072</v>
      </c>
      <c r="H833" t="s">
        <v>3138</v>
      </c>
      <c r="I833" s="7">
        <v>1165</v>
      </c>
      <c r="J833" s="7">
        <v>69611</v>
      </c>
      <c r="K833" s="7">
        <v>7</v>
      </c>
      <c r="L833" t="s">
        <v>247</v>
      </c>
      <c r="M833" t="s">
        <v>261</v>
      </c>
      <c r="N833" s="7">
        <v>774685</v>
      </c>
      <c r="O833" t="s">
        <v>1073</v>
      </c>
      <c r="P833" t="s">
        <v>1074</v>
      </c>
      <c r="S833" t="s">
        <v>152</v>
      </c>
      <c r="T833" t="s">
        <v>3078</v>
      </c>
      <c r="U833" t="s">
        <v>3076</v>
      </c>
      <c r="V833" s="8">
        <v>0</v>
      </c>
      <c r="W833" s="7">
        <v>588732</v>
      </c>
      <c r="X833" t="s">
        <v>3352</v>
      </c>
      <c r="Y833" s="8">
        <v>0</v>
      </c>
      <c r="Z833" s="8">
        <v>0</v>
      </c>
      <c r="AA833" s="8">
        <v>0</v>
      </c>
      <c r="AB833" s="7">
        <v>112199</v>
      </c>
      <c r="AC833" t="s">
        <v>3352</v>
      </c>
      <c r="AD833" s="8">
        <v>0</v>
      </c>
      <c r="AG833" t="s">
        <v>801</v>
      </c>
      <c r="AH833" t="s">
        <v>802</v>
      </c>
      <c r="AI833" t="s">
        <v>803</v>
      </c>
    </row>
    <row r="834" spans="1:35" hidden="1">
      <c r="A834" s="7">
        <v>833</v>
      </c>
      <c r="B834" t="s">
        <v>243</v>
      </c>
      <c r="C834" t="s">
        <v>244</v>
      </c>
      <c r="D834" s="7">
        <v>7134</v>
      </c>
      <c r="E834" t="s">
        <v>245</v>
      </c>
      <c r="F834" t="s">
        <v>246</v>
      </c>
      <c r="G834" t="s">
        <v>1104</v>
      </c>
      <c r="H834" t="s">
        <v>3098</v>
      </c>
      <c r="I834" s="7">
        <v>1165</v>
      </c>
      <c r="J834" s="7">
        <v>58203</v>
      </c>
      <c r="K834" s="7">
        <v>6</v>
      </c>
      <c r="L834" t="s">
        <v>247</v>
      </c>
      <c r="M834" t="s">
        <v>361</v>
      </c>
      <c r="N834" s="7">
        <v>3267</v>
      </c>
      <c r="O834" t="s">
        <v>1105</v>
      </c>
      <c r="P834" t="s">
        <v>1106</v>
      </c>
      <c r="S834" t="s">
        <v>152</v>
      </c>
      <c r="T834" t="s">
        <v>3078</v>
      </c>
      <c r="U834" t="s">
        <v>3076</v>
      </c>
      <c r="V834" s="8">
        <v>0</v>
      </c>
      <c r="W834" s="7">
        <v>588732</v>
      </c>
      <c r="X834" t="s">
        <v>3352</v>
      </c>
      <c r="Y834" s="8">
        <v>0</v>
      </c>
      <c r="Z834" s="8">
        <v>0</v>
      </c>
      <c r="AA834" s="8">
        <v>0</v>
      </c>
      <c r="AB834" s="7">
        <v>112199</v>
      </c>
      <c r="AC834" t="s">
        <v>3352</v>
      </c>
      <c r="AD834" s="8">
        <v>0</v>
      </c>
      <c r="AG834" t="s">
        <v>823</v>
      </c>
      <c r="AH834" t="s">
        <v>802</v>
      </c>
      <c r="AI834" t="s">
        <v>803</v>
      </c>
    </row>
    <row r="835" spans="1:35" hidden="1">
      <c r="A835" s="7">
        <v>834</v>
      </c>
      <c r="B835" t="s">
        <v>243</v>
      </c>
      <c r="C835" t="s">
        <v>244</v>
      </c>
      <c r="D835" s="7">
        <v>7134</v>
      </c>
      <c r="E835" t="s">
        <v>245</v>
      </c>
      <c r="F835" t="s">
        <v>246</v>
      </c>
      <c r="G835" t="s">
        <v>657</v>
      </c>
      <c r="H835" t="s">
        <v>3098</v>
      </c>
      <c r="I835" s="7">
        <v>1165</v>
      </c>
      <c r="J835" s="7">
        <v>10000</v>
      </c>
      <c r="K835" s="7">
        <v>1</v>
      </c>
      <c r="L835" t="s">
        <v>247</v>
      </c>
      <c r="M835" t="s">
        <v>261</v>
      </c>
      <c r="N835" s="7">
        <v>802597</v>
      </c>
      <c r="O835" t="s">
        <v>659</v>
      </c>
      <c r="P835" t="s">
        <v>660</v>
      </c>
      <c r="S835" t="s">
        <v>152</v>
      </c>
      <c r="T835" t="s">
        <v>3078</v>
      </c>
      <c r="U835" t="s">
        <v>3076</v>
      </c>
      <c r="V835" s="8">
        <v>1250</v>
      </c>
      <c r="W835" s="7">
        <v>588732</v>
      </c>
      <c r="X835" t="s">
        <v>3352</v>
      </c>
      <c r="Y835" s="8">
        <v>1250</v>
      </c>
      <c r="Z835" s="8">
        <v>1475</v>
      </c>
      <c r="AA835" s="8">
        <v>225</v>
      </c>
      <c r="AB835" s="7">
        <v>112199</v>
      </c>
      <c r="AC835" t="s">
        <v>3352</v>
      </c>
      <c r="AD835" s="8">
        <v>0</v>
      </c>
      <c r="AG835" t="s">
        <v>801</v>
      </c>
      <c r="AH835" t="s">
        <v>802</v>
      </c>
      <c r="AI835" t="s">
        <v>818</v>
      </c>
    </row>
    <row r="836" spans="1:35" hidden="1">
      <c r="A836" s="7">
        <v>835</v>
      </c>
      <c r="B836" t="s">
        <v>243</v>
      </c>
      <c r="C836" t="s">
        <v>244</v>
      </c>
      <c r="D836" s="7">
        <v>7134</v>
      </c>
      <c r="E836" t="s">
        <v>245</v>
      </c>
      <c r="F836" t="s">
        <v>246</v>
      </c>
      <c r="G836" t="s">
        <v>1202</v>
      </c>
      <c r="H836" t="s">
        <v>3078</v>
      </c>
      <c r="I836" s="7">
        <v>1165</v>
      </c>
      <c r="J836" s="7">
        <v>80000</v>
      </c>
      <c r="K836" s="7">
        <v>8</v>
      </c>
      <c r="L836" t="s">
        <v>247</v>
      </c>
      <c r="M836" t="s">
        <v>261</v>
      </c>
      <c r="N836" s="7">
        <v>775938</v>
      </c>
      <c r="O836" t="s">
        <v>1203</v>
      </c>
      <c r="P836" t="s">
        <v>1204</v>
      </c>
      <c r="S836" t="s">
        <v>152</v>
      </c>
      <c r="T836" t="s">
        <v>3078</v>
      </c>
      <c r="U836" t="s">
        <v>3076</v>
      </c>
      <c r="V836" s="8">
        <v>1250</v>
      </c>
      <c r="W836" s="7">
        <v>588732</v>
      </c>
      <c r="X836" t="s">
        <v>3352</v>
      </c>
      <c r="Y836" s="8">
        <v>1250</v>
      </c>
      <c r="Z836" s="8">
        <v>1475</v>
      </c>
      <c r="AA836" s="8">
        <v>225</v>
      </c>
      <c r="AB836" s="7">
        <v>112199</v>
      </c>
      <c r="AC836" t="s">
        <v>3352</v>
      </c>
      <c r="AD836" s="8">
        <v>0</v>
      </c>
      <c r="AG836" t="s">
        <v>801</v>
      </c>
      <c r="AH836" t="s">
        <v>802</v>
      </c>
      <c r="AI836" t="s">
        <v>818</v>
      </c>
    </row>
    <row r="837" spans="1:35" hidden="1">
      <c r="A837" s="7">
        <v>836</v>
      </c>
      <c r="B837" t="s">
        <v>243</v>
      </c>
      <c r="C837" t="s">
        <v>244</v>
      </c>
      <c r="D837" s="7">
        <v>7134</v>
      </c>
      <c r="E837" t="s">
        <v>245</v>
      </c>
      <c r="F837" t="s">
        <v>246</v>
      </c>
      <c r="G837" t="s">
        <v>284</v>
      </c>
      <c r="H837" t="s">
        <v>3138</v>
      </c>
      <c r="I837" s="7">
        <v>1165</v>
      </c>
      <c r="J837" s="7">
        <v>2000</v>
      </c>
      <c r="K837" s="7">
        <v>2</v>
      </c>
      <c r="L837" t="s">
        <v>247</v>
      </c>
      <c r="M837" t="s">
        <v>252</v>
      </c>
      <c r="N837" s="7">
        <v>327811</v>
      </c>
      <c r="O837" t="s">
        <v>286</v>
      </c>
      <c r="P837" t="s">
        <v>287</v>
      </c>
      <c r="S837" t="s">
        <v>152</v>
      </c>
      <c r="T837" t="s">
        <v>3078</v>
      </c>
      <c r="U837" t="s">
        <v>3076</v>
      </c>
      <c r="V837" s="8">
        <v>0</v>
      </c>
      <c r="W837" s="7">
        <v>588732</v>
      </c>
      <c r="X837" t="s">
        <v>3352</v>
      </c>
      <c r="Y837" s="8">
        <v>0</v>
      </c>
      <c r="Z837" s="8">
        <v>0</v>
      </c>
      <c r="AA837" s="8">
        <v>0</v>
      </c>
      <c r="AB837" s="7">
        <v>112199</v>
      </c>
      <c r="AC837" t="s">
        <v>3352</v>
      </c>
      <c r="AD837" s="8">
        <v>0</v>
      </c>
      <c r="AG837" t="s">
        <v>937</v>
      </c>
      <c r="AH837" t="s">
        <v>802</v>
      </c>
      <c r="AI837" t="s">
        <v>803</v>
      </c>
    </row>
    <row r="838" spans="1:35" hidden="1">
      <c r="A838" s="7">
        <v>837</v>
      </c>
      <c r="B838" t="s">
        <v>243</v>
      </c>
      <c r="C838" t="s">
        <v>244</v>
      </c>
      <c r="D838" s="7">
        <v>7134</v>
      </c>
      <c r="E838" t="s">
        <v>245</v>
      </c>
      <c r="F838" t="s">
        <v>246</v>
      </c>
      <c r="G838" t="s">
        <v>825</v>
      </c>
      <c r="H838" t="s">
        <v>3097</v>
      </c>
      <c r="I838" s="7">
        <v>1165</v>
      </c>
      <c r="J838" s="7">
        <v>30000</v>
      </c>
      <c r="K838" s="7">
        <v>3</v>
      </c>
      <c r="L838" t="s">
        <v>247</v>
      </c>
      <c r="M838" t="s">
        <v>361</v>
      </c>
      <c r="N838" s="7">
        <v>6349</v>
      </c>
      <c r="O838" t="s">
        <v>1694</v>
      </c>
      <c r="P838" t="s">
        <v>1695</v>
      </c>
      <c r="S838" t="s">
        <v>152</v>
      </c>
      <c r="T838" t="s">
        <v>3078</v>
      </c>
      <c r="U838" t="s">
        <v>3076</v>
      </c>
      <c r="V838" s="8">
        <v>1650</v>
      </c>
      <c r="W838" s="7">
        <v>588732</v>
      </c>
      <c r="X838" t="s">
        <v>3352</v>
      </c>
      <c r="Y838" s="8">
        <v>1650</v>
      </c>
      <c r="Z838" s="8">
        <v>1947</v>
      </c>
      <c r="AA838" s="8">
        <v>297</v>
      </c>
      <c r="AB838" s="7">
        <v>112199</v>
      </c>
      <c r="AC838" t="s">
        <v>3352</v>
      </c>
      <c r="AD838" s="8">
        <v>0</v>
      </c>
      <c r="AG838" t="s">
        <v>823</v>
      </c>
      <c r="AH838" t="s">
        <v>802</v>
      </c>
      <c r="AI838" t="s">
        <v>818</v>
      </c>
    </row>
    <row r="839" spans="1:35" hidden="1">
      <c r="A839" s="7">
        <v>838</v>
      </c>
      <c r="B839" t="s">
        <v>243</v>
      </c>
      <c r="C839" t="s">
        <v>244</v>
      </c>
      <c r="D839" s="7">
        <v>7134</v>
      </c>
      <c r="E839" t="s">
        <v>245</v>
      </c>
      <c r="F839" t="s">
        <v>246</v>
      </c>
      <c r="G839" t="s">
        <v>1686</v>
      </c>
      <c r="H839" t="s">
        <v>3074</v>
      </c>
      <c r="I839" s="7">
        <v>1165</v>
      </c>
      <c r="J839" s="7">
        <v>93594</v>
      </c>
      <c r="K839" s="7">
        <v>9</v>
      </c>
      <c r="L839" t="s">
        <v>247</v>
      </c>
      <c r="M839" t="s">
        <v>361</v>
      </c>
      <c r="N839" s="7">
        <v>1907</v>
      </c>
      <c r="O839" t="s">
        <v>1687</v>
      </c>
      <c r="P839" t="s">
        <v>1688</v>
      </c>
      <c r="Q839" t="s">
        <v>908</v>
      </c>
      <c r="R839" t="s">
        <v>909</v>
      </c>
      <c r="S839" t="s">
        <v>152</v>
      </c>
      <c r="T839" t="s">
        <v>3078</v>
      </c>
      <c r="U839" t="s">
        <v>3076</v>
      </c>
      <c r="V839" s="8">
        <v>0</v>
      </c>
      <c r="W839" s="7">
        <v>588732</v>
      </c>
      <c r="X839" t="s">
        <v>3352</v>
      </c>
      <c r="Y839" s="8">
        <v>0</v>
      </c>
      <c r="Z839" s="8">
        <v>0</v>
      </c>
      <c r="AA839" s="8">
        <v>0</v>
      </c>
      <c r="AB839" s="7">
        <v>112199</v>
      </c>
      <c r="AC839" t="s">
        <v>3352</v>
      </c>
      <c r="AD839" s="8">
        <v>0</v>
      </c>
      <c r="AG839" t="s">
        <v>823</v>
      </c>
      <c r="AH839" t="s">
        <v>802</v>
      </c>
      <c r="AI839" t="s">
        <v>803</v>
      </c>
    </row>
    <row r="840" spans="1:35" hidden="1">
      <c r="A840" s="7">
        <v>839</v>
      </c>
      <c r="B840" t="s">
        <v>243</v>
      </c>
      <c r="C840" t="s">
        <v>244</v>
      </c>
      <c r="D840" s="7">
        <v>7134</v>
      </c>
      <c r="E840" t="s">
        <v>245</v>
      </c>
      <c r="F840" t="s">
        <v>246</v>
      </c>
      <c r="G840" t="s">
        <v>1372</v>
      </c>
      <c r="H840" t="s">
        <v>3089</v>
      </c>
      <c r="I840" s="7">
        <v>1165</v>
      </c>
      <c r="J840" s="7">
        <v>41862</v>
      </c>
      <c r="K840" s="7">
        <v>5</v>
      </c>
      <c r="L840" t="s">
        <v>247</v>
      </c>
      <c r="M840" t="s">
        <v>267</v>
      </c>
      <c r="N840" s="7">
        <v>789881</v>
      </c>
      <c r="O840" t="s">
        <v>1782</v>
      </c>
      <c r="P840" t="s">
        <v>1783</v>
      </c>
      <c r="S840" t="s">
        <v>152</v>
      </c>
      <c r="T840" t="s">
        <v>3078</v>
      </c>
      <c r="U840" t="s">
        <v>3076</v>
      </c>
      <c r="V840" s="8">
        <v>1250</v>
      </c>
      <c r="W840" s="7">
        <v>588732</v>
      </c>
      <c r="X840" t="s">
        <v>3352</v>
      </c>
      <c r="Y840" s="8">
        <v>1250</v>
      </c>
      <c r="Z840" s="8">
        <v>1475</v>
      </c>
      <c r="AA840" s="8">
        <v>225</v>
      </c>
      <c r="AB840" s="7">
        <v>112199</v>
      </c>
      <c r="AC840" t="s">
        <v>3352</v>
      </c>
      <c r="AD840" s="8">
        <v>0</v>
      </c>
      <c r="AG840" t="s">
        <v>828</v>
      </c>
      <c r="AH840" t="s">
        <v>802</v>
      </c>
      <c r="AI840" t="s">
        <v>818</v>
      </c>
    </row>
    <row r="841" spans="1:35" hidden="1">
      <c r="A841" s="7">
        <v>840</v>
      </c>
      <c r="B841" t="s">
        <v>243</v>
      </c>
      <c r="C841" t="s">
        <v>244</v>
      </c>
      <c r="D841" s="7">
        <v>7134</v>
      </c>
      <c r="E841" t="s">
        <v>245</v>
      </c>
      <c r="F841" t="s">
        <v>246</v>
      </c>
      <c r="G841" t="s">
        <v>1197</v>
      </c>
      <c r="H841" t="s">
        <v>1602</v>
      </c>
      <c r="I841" s="7">
        <v>1165</v>
      </c>
      <c r="J841" s="7">
        <v>30000</v>
      </c>
      <c r="K841" s="7">
        <v>3</v>
      </c>
      <c r="L841" t="s">
        <v>247</v>
      </c>
      <c r="M841" t="s">
        <v>361</v>
      </c>
      <c r="N841" s="7">
        <v>6475</v>
      </c>
      <c r="O841" t="s">
        <v>1198</v>
      </c>
      <c r="P841" t="s">
        <v>1199</v>
      </c>
      <c r="S841" t="s">
        <v>152</v>
      </c>
      <c r="T841" t="s">
        <v>3078</v>
      </c>
      <c r="U841" t="s">
        <v>3076</v>
      </c>
      <c r="V841" s="8">
        <v>1650</v>
      </c>
      <c r="W841" s="7">
        <v>588732</v>
      </c>
      <c r="X841" t="s">
        <v>3352</v>
      </c>
      <c r="Y841" s="8">
        <v>1650</v>
      </c>
      <c r="Z841" s="8">
        <v>1947</v>
      </c>
      <c r="AA841" s="8">
        <v>297</v>
      </c>
      <c r="AB841" s="7">
        <v>112199</v>
      </c>
      <c r="AC841" t="s">
        <v>3352</v>
      </c>
      <c r="AD841" s="8">
        <v>0</v>
      </c>
      <c r="AG841" t="s">
        <v>823</v>
      </c>
      <c r="AH841" t="s">
        <v>802</v>
      </c>
      <c r="AI841" t="s">
        <v>818</v>
      </c>
    </row>
    <row r="842" spans="1:35" hidden="1">
      <c r="A842" s="7">
        <v>841</v>
      </c>
      <c r="B842" t="s">
        <v>243</v>
      </c>
      <c r="C842" t="s">
        <v>244</v>
      </c>
      <c r="D842" s="7">
        <v>7134</v>
      </c>
      <c r="E842" t="s">
        <v>245</v>
      </c>
      <c r="F842" t="s">
        <v>246</v>
      </c>
      <c r="G842" t="s">
        <v>1691</v>
      </c>
      <c r="H842" t="s">
        <v>2854</v>
      </c>
      <c r="I842" s="7">
        <v>987</v>
      </c>
      <c r="J842" s="7">
        <v>59442</v>
      </c>
      <c r="K842" s="7">
        <v>6</v>
      </c>
      <c r="L842" t="s">
        <v>247</v>
      </c>
      <c r="M842" t="s">
        <v>361</v>
      </c>
      <c r="N842" s="7">
        <v>3036</v>
      </c>
      <c r="O842" t="s">
        <v>1692</v>
      </c>
      <c r="P842" t="s">
        <v>1693</v>
      </c>
      <c r="S842" t="s">
        <v>152</v>
      </c>
      <c r="T842" t="s">
        <v>3078</v>
      </c>
      <c r="U842" t="s">
        <v>3076</v>
      </c>
      <c r="V842" s="8">
        <v>0</v>
      </c>
      <c r="W842" s="7">
        <v>588732</v>
      </c>
      <c r="X842" t="s">
        <v>3352</v>
      </c>
      <c r="Y842" s="8">
        <v>0</v>
      </c>
      <c r="Z842" s="8">
        <v>0</v>
      </c>
      <c r="AA842" s="8">
        <v>0</v>
      </c>
      <c r="AB842" s="7">
        <v>112199</v>
      </c>
      <c r="AC842" t="s">
        <v>3352</v>
      </c>
      <c r="AD842" s="8">
        <v>0</v>
      </c>
      <c r="AG842" t="s">
        <v>823</v>
      </c>
      <c r="AH842" t="s">
        <v>802</v>
      </c>
      <c r="AI842" t="s">
        <v>803</v>
      </c>
    </row>
    <row r="843" spans="1:35" hidden="1">
      <c r="A843" s="7">
        <v>842</v>
      </c>
      <c r="B843" t="s">
        <v>243</v>
      </c>
      <c r="C843" t="s">
        <v>244</v>
      </c>
      <c r="D843" s="7">
        <v>7134</v>
      </c>
      <c r="E843" t="s">
        <v>245</v>
      </c>
      <c r="F843" t="s">
        <v>246</v>
      </c>
      <c r="G843" t="s">
        <v>864</v>
      </c>
      <c r="H843" t="s">
        <v>3092</v>
      </c>
      <c r="I843" s="7">
        <v>1165</v>
      </c>
      <c r="J843" s="7">
        <v>57734</v>
      </c>
      <c r="K843" s="7">
        <v>6</v>
      </c>
      <c r="L843" t="s">
        <v>247</v>
      </c>
      <c r="M843" t="s">
        <v>361</v>
      </c>
      <c r="N843" s="7">
        <v>3559</v>
      </c>
      <c r="O843" t="s">
        <v>865</v>
      </c>
      <c r="P843" t="s">
        <v>866</v>
      </c>
      <c r="S843" t="s">
        <v>152</v>
      </c>
      <c r="T843" t="s">
        <v>3078</v>
      </c>
      <c r="U843" t="s">
        <v>3076</v>
      </c>
      <c r="V843" s="8">
        <v>0</v>
      </c>
      <c r="W843" s="7">
        <v>588732</v>
      </c>
      <c r="X843" t="s">
        <v>3352</v>
      </c>
      <c r="Y843" s="8">
        <v>0</v>
      </c>
      <c r="Z843" s="8">
        <v>0</v>
      </c>
      <c r="AA843" s="8">
        <v>0</v>
      </c>
      <c r="AB843" s="7">
        <v>112199</v>
      </c>
      <c r="AC843" t="s">
        <v>3352</v>
      </c>
      <c r="AD843" s="8">
        <v>0</v>
      </c>
      <c r="AG843" t="s">
        <v>823</v>
      </c>
      <c r="AH843" t="s">
        <v>802</v>
      </c>
      <c r="AI843" t="s">
        <v>803</v>
      </c>
    </row>
    <row r="844" spans="1:35" hidden="1">
      <c r="A844" s="7">
        <v>843</v>
      </c>
      <c r="B844" t="s">
        <v>243</v>
      </c>
      <c r="C844" t="s">
        <v>244</v>
      </c>
      <c r="D844" s="7">
        <v>7134</v>
      </c>
      <c r="E844" t="s">
        <v>245</v>
      </c>
      <c r="F844" t="s">
        <v>246</v>
      </c>
      <c r="G844" t="s">
        <v>649</v>
      </c>
      <c r="H844" t="s">
        <v>3106</v>
      </c>
      <c r="I844" s="7">
        <v>1165</v>
      </c>
      <c r="J844" s="7">
        <v>6109</v>
      </c>
      <c r="K844" s="7">
        <v>1</v>
      </c>
      <c r="L844" t="s">
        <v>247</v>
      </c>
      <c r="M844" t="s">
        <v>261</v>
      </c>
      <c r="N844" s="7">
        <v>778143</v>
      </c>
      <c r="O844" t="s">
        <v>651</v>
      </c>
      <c r="P844" t="s">
        <v>652</v>
      </c>
      <c r="S844" t="s">
        <v>152</v>
      </c>
      <c r="T844" t="s">
        <v>3078</v>
      </c>
      <c r="U844" t="s">
        <v>3076</v>
      </c>
      <c r="V844" s="8">
        <v>1250</v>
      </c>
      <c r="W844" s="7">
        <v>588732</v>
      </c>
      <c r="X844" t="s">
        <v>3352</v>
      </c>
      <c r="Y844" s="8">
        <v>1250</v>
      </c>
      <c r="Z844" s="8">
        <v>1475</v>
      </c>
      <c r="AA844" s="8">
        <v>225</v>
      </c>
      <c r="AB844" s="7">
        <v>112199</v>
      </c>
      <c r="AC844" t="s">
        <v>3352</v>
      </c>
      <c r="AD844" s="8">
        <v>0</v>
      </c>
      <c r="AG844" t="s">
        <v>808</v>
      </c>
      <c r="AH844" t="s">
        <v>802</v>
      </c>
      <c r="AI844" t="s">
        <v>818</v>
      </c>
    </row>
    <row r="845" spans="1:35" hidden="1">
      <c r="A845" s="7">
        <v>844</v>
      </c>
      <c r="B845" t="s">
        <v>243</v>
      </c>
      <c r="C845" t="s">
        <v>244</v>
      </c>
      <c r="D845" s="7">
        <v>7134</v>
      </c>
      <c r="E845" t="s">
        <v>245</v>
      </c>
      <c r="F845" t="s">
        <v>246</v>
      </c>
      <c r="G845" t="s">
        <v>957</v>
      </c>
      <c r="H845" t="s">
        <v>3112</v>
      </c>
      <c r="I845" s="7">
        <v>1165</v>
      </c>
      <c r="J845" s="7">
        <v>29863</v>
      </c>
      <c r="K845" s="7">
        <v>3</v>
      </c>
      <c r="L845" t="s">
        <v>247</v>
      </c>
      <c r="M845" t="s">
        <v>361</v>
      </c>
      <c r="N845" s="7">
        <v>5353</v>
      </c>
      <c r="O845" t="s">
        <v>1598</v>
      </c>
      <c r="P845" t="s">
        <v>1599</v>
      </c>
      <c r="Q845" t="s">
        <v>870</v>
      </c>
      <c r="R845" t="s">
        <v>871</v>
      </c>
      <c r="S845" t="s">
        <v>152</v>
      </c>
      <c r="T845" t="s">
        <v>3078</v>
      </c>
      <c r="U845" t="s">
        <v>3076</v>
      </c>
      <c r="V845" s="8">
        <v>1650</v>
      </c>
      <c r="W845" s="7">
        <v>588732</v>
      </c>
      <c r="X845" t="s">
        <v>3352</v>
      </c>
      <c r="Y845" s="8">
        <v>1320</v>
      </c>
      <c r="Z845" s="8">
        <v>1947</v>
      </c>
      <c r="AA845" s="8">
        <v>297</v>
      </c>
      <c r="AB845" s="7">
        <v>112199</v>
      </c>
      <c r="AC845" t="s">
        <v>3352</v>
      </c>
      <c r="AD845" s="8">
        <v>330</v>
      </c>
      <c r="AG845" t="s">
        <v>823</v>
      </c>
      <c r="AH845" t="s">
        <v>802</v>
      </c>
      <c r="AI845" t="s">
        <v>818</v>
      </c>
    </row>
    <row r="846" spans="1:35" hidden="1">
      <c r="A846" s="7">
        <v>845</v>
      </c>
      <c r="B846" t="s">
        <v>243</v>
      </c>
      <c r="C846" t="s">
        <v>244</v>
      </c>
      <c r="D846" s="7">
        <v>7134</v>
      </c>
      <c r="E846" t="s">
        <v>245</v>
      </c>
      <c r="F846" t="s">
        <v>246</v>
      </c>
      <c r="G846" t="s">
        <v>501</v>
      </c>
      <c r="H846" t="s">
        <v>3105</v>
      </c>
      <c r="I846" s="7">
        <v>1165</v>
      </c>
      <c r="J846" s="7">
        <v>2512</v>
      </c>
      <c r="K846" s="7">
        <v>1</v>
      </c>
      <c r="L846" t="s">
        <v>247</v>
      </c>
      <c r="M846" t="s">
        <v>252</v>
      </c>
      <c r="N846" s="7">
        <v>328807</v>
      </c>
      <c r="O846" t="s">
        <v>503</v>
      </c>
      <c r="P846" t="s">
        <v>504</v>
      </c>
      <c r="Q846" t="s">
        <v>870</v>
      </c>
      <c r="R846" t="s">
        <v>871</v>
      </c>
      <c r="S846" t="s">
        <v>152</v>
      </c>
      <c r="T846" t="s">
        <v>3078</v>
      </c>
      <c r="U846" t="s">
        <v>3076</v>
      </c>
      <c r="V846" s="8">
        <v>1250</v>
      </c>
      <c r="W846" s="7">
        <v>588732</v>
      </c>
      <c r="X846" t="s">
        <v>3352</v>
      </c>
      <c r="Y846" s="8">
        <v>1000</v>
      </c>
      <c r="Z846" s="8">
        <v>1475</v>
      </c>
      <c r="AA846" s="8">
        <v>225</v>
      </c>
      <c r="AB846" s="7">
        <v>112199</v>
      </c>
      <c r="AC846" t="s">
        <v>3352</v>
      </c>
      <c r="AD846" s="8">
        <v>250</v>
      </c>
      <c r="AG846" t="s">
        <v>937</v>
      </c>
      <c r="AH846" t="s">
        <v>802</v>
      </c>
      <c r="AI846" t="s">
        <v>818</v>
      </c>
    </row>
    <row r="847" spans="1:35" hidden="1">
      <c r="A847" s="7">
        <v>846</v>
      </c>
      <c r="B847" t="s">
        <v>243</v>
      </c>
      <c r="C847" t="s">
        <v>244</v>
      </c>
      <c r="D847" s="7">
        <v>7134</v>
      </c>
      <c r="E847" t="s">
        <v>245</v>
      </c>
      <c r="F847" t="s">
        <v>246</v>
      </c>
      <c r="G847" t="s">
        <v>419</v>
      </c>
      <c r="H847" t="s">
        <v>3089</v>
      </c>
      <c r="I847" s="7">
        <v>1165</v>
      </c>
      <c r="J847" s="7">
        <v>30024</v>
      </c>
      <c r="K847" s="7">
        <v>3</v>
      </c>
      <c r="L847" t="s">
        <v>247</v>
      </c>
      <c r="M847" t="s">
        <v>261</v>
      </c>
      <c r="N847" s="7">
        <v>785976</v>
      </c>
      <c r="O847" t="s">
        <v>1338</v>
      </c>
      <c r="P847" t="s">
        <v>1339</v>
      </c>
      <c r="S847" t="s">
        <v>152</v>
      </c>
      <c r="T847" t="s">
        <v>3078</v>
      </c>
      <c r="U847" t="s">
        <v>3076</v>
      </c>
      <c r="V847" s="8">
        <v>1250</v>
      </c>
      <c r="W847" s="7">
        <v>588732</v>
      </c>
      <c r="X847" t="s">
        <v>3352</v>
      </c>
      <c r="Y847" s="8">
        <v>1250</v>
      </c>
      <c r="Z847" s="8">
        <v>1475</v>
      </c>
      <c r="AA847" s="8">
        <v>225</v>
      </c>
      <c r="AB847" s="7">
        <v>112199</v>
      </c>
      <c r="AC847" t="s">
        <v>3352</v>
      </c>
      <c r="AD847" s="8">
        <v>0</v>
      </c>
      <c r="AG847" t="s">
        <v>801</v>
      </c>
      <c r="AH847" t="s">
        <v>802</v>
      </c>
      <c r="AI847" t="s">
        <v>818</v>
      </c>
    </row>
    <row r="848" spans="1:35" hidden="1">
      <c r="A848" s="7">
        <v>847</v>
      </c>
      <c r="B848" t="s">
        <v>243</v>
      </c>
      <c r="C848" t="s">
        <v>244</v>
      </c>
      <c r="D848" s="7">
        <v>7134</v>
      </c>
      <c r="E848" t="s">
        <v>245</v>
      </c>
      <c r="F848" t="s">
        <v>246</v>
      </c>
      <c r="G848" t="s">
        <v>3129</v>
      </c>
      <c r="H848" t="s">
        <v>3105</v>
      </c>
      <c r="I848" s="7">
        <v>1165</v>
      </c>
      <c r="J848" s="7">
        <v>9764</v>
      </c>
      <c r="K848" s="7">
        <v>2</v>
      </c>
      <c r="L848" t="s">
        <v>247</v>
      </c>
      <c r="M848" t="s">
        <v>261</v>
      </c>
      <c r="N848" s="7">
        <v>780233</v>
      </c>
      <c r="O848" t="s">
        <v>3130</v>
      </c>
      <c r="P848" t="s">
        <v>3131</v>
      </c>
      <c r="S848" t="s">
        <v>152</v>
      </c>
      <c r="T848" t="s">
        <v>3078</v>
      </c>
      <c r="U848" t="s">
        <v>3076</v>
      </c>
      <c r="V848" s="8">
        <v>1250</v>
      </c>
      <c r="W848" s="7">
        <v>588732</v>
      </c>
      <c r="X848" t="s">
        <v>3352</v>
      </c>
      <c r="Y848" s="8">
        <v>1250</v>
      </c>
      <c r="Z848" s="8">
        <v>1475</v>
      </c>
      <c r="AA848" s="8">
        <v>225</v>
      </c>
      <c r="AB848" s="7">
        <v>112199</v>
      </c>
      <c r="AC848" t="s">
        <v>3352</v>
      </c>
      <c r="AD848" s="8">
        <v>0</v>
      </c>
      <c r="AG848" t="s">
        <v>817</v>
      </c>
      <c r="AH848" t="s">
        <v>802</v>
      </c>
      <c r="AI848" t="s">
        <v>818</v>
      </c>
    </row>
    <row r="849" spans="1:35" hidden="1">
      <c r="A849" s="7">
        <v>848</v>
      </c>
      <c r="B849" t="s">
        <v>243</v>
      </c>
      <c r="C849" t="s">
        <v>244</v>
      </c>
      <c r="D849" s="7">
        <v>7134</v>
      </c>
      <c r="E849" t="s">
        <v>245</v>
      </c>
      <c r="F849" t="s">
        <v>246</v>
      </c>
      <c r="G849" t="s">
        <v>501</v>
      </c>
      <c r="H849" t="s">
        <v>3086</v>
      </c>
      <c r="I849" s="7">
        <v>733</v>
      </c>
      <c r="J849" s="7">
        <v>20000</v>
      </c>
      <c r="K849" s="7">
        <v>2</v>
      </c>
      <c r="L849" t="s">
        <v>247</v>
      </c>
      <c r="M849" t="s">
        <v>261</v>
      </c>
      <c r="N849" s="7">
        <v>801200</v>
      </c>
      <c r="O849" t="s">
        <v>3113</v>
      </c>
      <c r="P849" t="s">
        <v>3114</v>
      </c>
      <c r="Q849" t="s">
        <v>3115</v>
      </c>
      <c r="R849" t="s">
        <v>3116</v>
      </c>
      <c r="S849" t="s">
        <v>152</v>
      </c>
      <c r="T849" t="s">
        <v>3078</v>
      </c>
      <c r="U849" t="s">
        <v>3076</v>
      </c>
      <c r="V849" s="8">
        <v>0</v>
      </c>
      <c r="W849" s="7">
        <v>588732</v>
      </c>
      <c r="X849" t="s">
        <v>3352</v>
      </c>
      <c r="Y849" s="8">
        <v>0</v>
      </c>
      <c r="Z849" s="8">
        <v>0</v>
      </c>
      <c r="AA849" s="8">
        <v>0</v>
      </c>
      <c r="AB849" s="7">
        <v>112199</v>
      </c>
      <c r="AC849" t="s">
        <v>3352</v>
      </c>
      <c r="AD849" s="8">
        <v>0</v>
      </c>
      <c r="AG849" t="s">
        <v>801</v>
      </c>
      <c r="AH849" t="s">
        <v>802</v>
      </c>
      <c r="AI849" t="s">
        <v>803</v>
      </c>
    </row>
    <row r="850" spans="1:35" hidden="1">
      <c r="A850" s="7">
        <v>849</v>
      </c>
      <c r="B850" t="s">
        <v>243</v>
      </c>
      <c r="C850" t="s">
        <v>244</v>
      </c>
      <c r="D850" s="7">
        <v>7134</v>
      </c>
      <c r="E850" t="s">
        <v>245</v>
      </c>
      <c r="F850" t="s">
        <v>246</v>
      </c>
      <c r="G850" t="s">
        <v>1053</v>
      </c>
      <c r="H850" t="s">
        <v>3074</v>
      </c>
      <c r="I850" s="7">
        <v>965</v>
      </c>
      <c r="J850" s="7">
        <v>49600</v>
      </c>
      <c r="K850" s="7">
        <v>5</v>
      </c>
      <c r="L850" t="s">
        <v>247</v>
      </c>
      <c r="M850" t="s">
        <v>361</v>
      </c>
      <c r="N850" s="7">
        <v>4608</v>
      </c>
      <c r="O850" t="s">
        <v>1054</v>
      </c>
      <c r="P850" t="s">
        <v>1055</v>
      </c>
      <c r="S850" t="s">
        <v>152</v>
      </c>
      <c r="T850" t="s">
        <v>3078</v>
      </c>
      <c r="U850" t="s">
        <v>3076</v>
      </c>
      <c r="V850" s="8">
        <v>1650</v>
      </c>
      <c r="W850" s="7">
        <v>588732</v>
      </c>
      <c r="X850" t="s">
        <v>3352</v>
      </c>
      <c r="Y850" s="8">
        <v>1650</v>
      </c>
      <c r="Z850" s="8">
        <v>1947</v>
      </c>
      <c r="AA850" s="8">
        <v>297</v>
      </c>
      <c r="AB850" s="7">
        <v>112199</v>
      </c>
      <c r="AC850" t="s">
        <v>3352</v>
      </c>
      <c r="AD850" s="8">
        <v>0</v>
      </c>
      <c r="AG850" t="s">
        <v>823</v>
      </c>
      <c r="AH850" t="s">
        <v>802</v>
      </c>
      <c r="AI850" t="s">
        <v>818</v>
      </c>
    </row>
    <row r="851" spans="1:35" hidden="1">
      <c r="A851" s="7">
        <v>850</v>
      </c>
      <c r="B851" t="s">
        <v>243</v>
      </c>
      <c r="C851" t="s">
        <v>244</v>
      </c>
      <c r="D851" s="7">
        <v>7134</v>
      </c>
      <c r="E851" t="s">
        <v>245</v>
      </c>
      <c r="F851" t="s">
        <v>246</v>
      </c>
      <c r="G851" t="s">
        <v>3117</v>
      </c>
      <c r="H851" t="s">
        <v>3096</v>
      </c>
      <c r="I851" s="7">
        <v>984</v>
      </c>
      <c r="J851" s="7">
        <v>77874</v>
      </c>
      <c r="K851" s="7">
        <v>8</v>
      </c>
      <c r="L851" t="s">
        <v>247</v>
      </c>
      <c r="M851" t="s">
        <v>361</v>
      </c>
      <c r="N851" s="7">
        <v>2096</v>
      </c>
      <c r="O851" t="s">
        <v>3118</v>
      </c>
      <c r="P851" t="s">
        <v>3119</v>
      </c>
      <c r="S851" t="s">
        <v>152</v>
      </c>
      <c r="T851" t="s">
        <v>3078</v>
      </c>
      <c r="U851" t="s">
        <v>3076</v>
      </c>
      <c r="V851" s="8">
        <v>0</v>
      </c>
      <c r="W851" s="7">
        <v>588732</v>
      </c>
      <c r="X851" t="s">
        <v>3352</v>
      </c>
      <c r="Y851" s="8">
        <v>0</v>
      </c>
      <c r="Z851" s="8">
        <v>0</v>
      </c>
      <c r="AA851" s="8">
        <v>0</v>
      </c>
      <c r="AB851" s="7">
        <v>112199</v>
      </c>
      <c r="AC851" t="s">
        <v>3352</v>
      </c>
      <c r="AD851" s="8">
        <v>0</v>
      </c>
      <c r="AG851" t="s">
        <v>823</v>
      </c>
      <c r="AH851" t="s">
        <v>802</v>
      </c>
      <c r="AI851" t="s">
        <v>803</v>
      </c>
    </row>
    <row r="852" spans="1:35" hidden="1">
      <c r="A852" s="7">
        <v>851</v>
      </c>
      <c r="B852" t="s">
        <v>243</v>
      </c>
      <c r="C852" t="s">
        <v>244</v>
      </c>
      <c r="D852" s="7">
        <v>7134</v>
      </c>
      <c r="E852" t="s">
        <v>245</v>
      </c>
      <c r="F852" t="s">
        <v>246</v>
      </c>
      <c r="G852" t="s">
        <v>1128</v>
      </c>
      <c r="H852" t="s">
        <v>3108</v>
      </c>
      <c r="I852" s="7">
        <v>1165</v>
      </c>
      <c r="J852" s="7">
        <v>36345</v>
      </c>
      <c r="K852" s="7">
        <v>6</v>
      </c>
      <c r="L852" t="s">
        <v>247</v>
      </c>
      <c r="M852" t="s">
        <v>261</v>
      </c>
      <c r="N852" s="7">
        <v>7085388</v>
      </c>
      <c r="O852" t="s">
        <v>1260</v>
      </c>
      <c r="P852" t="s">
        <v>1261</v>
      </c>
      <c r="S852" t="s">
        <v>152</v>
      </c>
      <c r="T852" t="s">
        <v>3078</v>
      </c>
      <c r="U852" t="s">
        <v>3076</v>
      </c>
      <c r="V852" s="8">
        <v>0</v>
      </c>
      <c r="W852" s="7">
        <v>588732</v>
      </c>
      <c r="X852" t="s">
        <v>3352</v>
      </c>
      <c r="Y852" s="8">
        <v>0</v>
      </c>
      <c r="Z852" s="8">
        <v>0</v>
      </c>
      <c r="AA852" s="8">
        <v>0</v>
      </c>
      <c r="AB852" s="7">
        <v>112199</v>
      </c>
      <c r="AC852" t="s">
        <v>3352</v>
      </c>
      <c r="AD852" s="8">
        <v>0</v>
      </c>
      <c r="AG852" t="s">
        <v>801</v>
      </c>
      <c r="AH852" t="s">
        <v>802</v>
      </c>
      <c r="AI852" t="s">
        <v>803</v>
      </c>
    </row>
    <row r="853" spans="1:35" hidden="1">
      <c r="A853" s="7">
        <v>852</v>
      </c>
      <c r="B853" t="s">
        <v>243</v>
      </c>
      <c r="C853" t="s">
        <v>244</v>
      </c>
      <c r="D853" s="7">
        <v>7134</v>
      </c>
      <c r="E853" t="s">
        <v>245</v>
      </c>
      <c r="F853" t="s">
        <v>246</v>
      </c>
      <c r="G853" t="s">
        <v>982</v>
      </c>
      <c r="H853" t="s">
        <v>3090</v>
      </c>
      <c r="I853" s="7">
        <v>1165</v>
      </c>
      <c r="J853" s="7">
        <v>31959</v>
      </c>
      <c r="K853" s="7">
        <v>4</v>
      </c>
      <c r="L853" t="s">
        <v>247</v>
      </c>
      <c r="M853" t="s">
        <v>261</v>
      </c>
      <c r="N853" s="7">
        <v>787434</v>
      </c>
      <c r="O853" t="s">
        <v>983</v>
      </c>
      <c r="P853" t="s">
        <v>984</v>
      </c>
      <c r="S853" t="s">
        <v>152</v>
      </c>
      <c r="T853" t="s">
        <v>3078</v>
      </c>
      <c r="U853" t="s">
        <v>3076</v>
      </c>
      <c r="V853" s="8">
        <v>0</v>
      </c>
      <c r="W853" s="7">
        <v>588732</v>
      </c>
      <c r="X853" t="s">
        <v>3352</v>
      </c>
      <c r="Y853" s="8">
        <v>0</v>
      </c>
      <c r="Z853" s="8">
        <v>0</v>
      </c>
      <c r="AA853" s="8">
        <v>0</v>
      </c>
      <c r="AB853" s="7">
        <v>112199</v>
      </c>
      <c r="AC853" t="s">
        <v>3352</v>
      </c>
      <c r="AD853" s="8">
        <v>0</v>
      </c>
      <c r="AG853" t="s">
        <v>801</v>
      </c>
      <c r="AH853" t="s">
        <v>802</v>
      </c>
      <c r="AI853" t="s">
        <v>803</v>
      </c>
    </row>
    <row r="854" spans="1:35" hidden="1">
      <c r="A854" s="7">
        <v>853</v>
      </c>
      <c r="B854" t="s">
        <v>243</v>
      </c>
      <c r="C854" t="s">
        <v>244</v>
      </c>
      <c r="D854" s="7">
        <v>7134</v>
      </c>
      <c r="E854" t="s">
        <v>245</v>
      </c>
      <c r="F854" t="s">
        <v>246</v>
      </c>
      <c r="G854" t="s">
        <v>1134</v>
      </c>
      <c r="H854" t="s">
        <v>3080</v>
      </c>
      <c r="I854" s="7">
        <v>1165</v>
      </c>
      <c r="J854" s="7">
        <v>80312</v>
      </c>
      <c r="K854" s="7">
        <v>9</v>
      </c>
      <c r="L854" t="s">
        <v>247</v>
      </c>
      <c r="M854" t="s">
        <v>261</v>
      </c>
      <c r="N854" s="7">
        <v>761341</v>
      </c>
      <c r="O854" t="s">
        <v>1135</v>
      </c>
      <c r="P854" t="s">
        <v>1136</v>
      </c>
      <c r="S854" t="s">
        <v>152</v>
      </c>
      <c r="T854" t="s">
        <v>3078</v>
      </c>
      <c r="U854" t="s">
        <v>3076</v>
      </c>
      <c r="V854" s="8">
        <v>0</v>
      </c>
      <c r="W854" s="7">
        <v>588732</v>
      </c>
      <c r="X854" t="s">
        <v>3352</v>
      </c>
      <c r="Y854" s="8">
        <v>0</v>
      </c>
      <c r="Z854" s="8">
        <v>0</v>
      </c>
      <c r="AA854" s="8">
        <v>0</v>
      </c>
      <c r="AB854" s="7">
        <v>112199</v>
      </c>
      <c r="AC854" t="s">
        <v>3352</v>
      </c>
      <c r="AD854" s="8">
        <v>0</v>
      </c>
      <c r="AG854" t="s">
        <v>801</v>
      </c>
      <c r="AH854" t="s">
        <v>802</v>
      </c>
      <c r="AI854" t="s">
        <v>803</v>
      </c>
    </row>
    <row r="855" spans="1:35" hidden="1">
      <c r="A855" s="7">
        <v>854</v>
      </c>
      <c r="B855" t="s">
        <v>243</v>
      </c>
      <c r="C855" t="s">
        <v>244</v>
      </c>
      <c r="D855" s="7">
        <v>7134</v>
      </c>
      <c r="E855" t="s">
        <v>245</v>
      </c>
      <c r="F855" t="s">
        <v>246</v>
      </c>
      <c r="G855" t="s">
        <v>273</v>
      </c>
      <c r="H855" t="s">
        <v>3138</v>
      </c>
      <c r="I855" s="7">
        <v>1165</v>
      </c>
      <c r="J855" s="7">
        <v>6486</v>
      </c>
      <c r="K855" s="7">
        <v>1</v>
      </c>
      <c r="L855" t="s">
        <v>247</v>
      </c>
      <c r="M855" t="s">
        <v>261</v>
      </c>
      <c r="N855" s="7">
        <v>798838</v>
      </c>
      <c r="O855" t="s">
        <v>445</v>
      </c>
      <c r="P855" t="s">
        <v>446</v>
      </c>
      <c r="S855" t="s">
        <v>152</v>
      </c>
      <c r="T855" t="s">
        <v>3078</v>
      </c>
      <c r="U855" t="s">
        <v>3076</v>
      </c>
      <c r="V855" s="8">
        <v>1250</v>
      </c>
      <c r="W855" s="7">
        <v>588732</v>
      </c>
      <c r="X855" t="s">
        <v>3352</v>
      </c>
      <c r="Y855" s="8">
        <v>1250</v>
      </c>
      <c r="Z855" s="8">
        <v>1475</v>
      </c>
      <c r="AA855" s="8">
        <v>225</v>
      </c>
      <c r="AB855" s="7">
        <v>112199</v>
      </c>
      <c r="AC855" t="s">
        <v>3352</v>
      </c>
      <c r="AD855" s="8">
        <v>0</v>
      </c>
      <c r="AG855" t="s">
        <v>817</v>
      </c>
      <c r="AH855" t="s">
        <v>802</v>
      </c>
      <c r="AI855" t="s">
        <v>818</v>
      </c>
    </row>
    <row r="856" spans="1:35" hidden="1">
      <c r="A856" s="7">
        <v>855</v>
      </c>
      <c r="B856" t="s">
        <v>243</v>
      </c>
      <c r="C856" t="s">
        <v>244</v>
      </c>
      <c r="D856" s="7">
        <v>7134</v>
      </c>
      <c r="E856" t="s">
        <v>245</v>
      </c>
      <c r="F856" t="s">
        <v>246</v>
      </c>
      <c r="G856" t="s">
        <v>939</v>
      </c>
      <c r="H856" t="s">
        <v>3102</v>
      </c>
      <c r="I856" s="7">
        <v>900</v>
      </c>
      <c r="J856" s="7">
        <v>19409</v>
      </c>
      <c r="K856" s="7">
        <v>3</v>
      </c>
      <c r="L856" t="s">
        <v>247</v>
      </c>
      <c r="M856" t="s">
        <v>261</v>
      </c>
      <c r="N856" s="7">
        <v>778270</v>
      </c>
      <c r="O856" t="s">
        <v>2024</v>
      </c>
      <c r="P856" t="s">
        <v>2025</v>
      </c>
      <c r="S856" t="s">
        <v>152</v>
      </c>
      <c r="T856" t="s">
        <v>3078</v>
      </c>
      <c r="U856" t="s">
        <v>3076</v>
      </c>
      <c r="V856" s="8">
        <v>1250</v>
      </c>
      <c r="W856" s="7">
        <v>588732</v>
      </c>
      <c r="X856" t="s">
        <v>3352</v>
      </c>
      <c r="Y856" s="8">
        <v>1250</v>
      </c>
      <c r="Z856" s="8">
        <v>1475</v>
      </c>
      <c r="AA856" s="8">
        <v>225</v>
      </c>
      <c r="AB856" s="7">
        <v>112199</v>
      </c>
      <c r="AC856" t="s">
        <v>3352</v>
      </c>
      <c r="AD856" s="8">
        <v>0</v>
      </c>
      <c r="AG856" t="s">
        <v>808</v>
      </c>
      <c r="AH856" t="s">
        <v>802</v>
      </c>
      <c r="AI856" t="s">
        <v>818</v>
      </c>
    </row>
    <row r="857" spans="1:35" hidden="1">
      <c r="A857" s="7">
        <v>856</v>
      </c>
      <c r="B857" t="s">
        <v>243</v>
      </c>
      <c r="C857" t="s">
        <v>244</v>
      </c>
      <c r="D857" s="7">
        <v>7134</v>
      </c>
      <c r="E857" t="s">
        <v>245</v>
      </c>
      <c r="F857" t="s">
        <v>246</v>
      </c>
      <c r="G857" t="s">
        <v>910</v>
      </c>
      <c r="H857" t="s">
        <v>3108</v>
      </c>
      <c r="I857" s="7">
        <v>1165</v>
      </c>
      <c r="J857" s="7">
        <v>28584</v>
      </c>
      <c r="K857" s="7">
        <v>3</v>
      </c>
      <c r="L857" t="s">
        <v>247</v>
      </c>
      <c r="M857" t="s">
        <v>261</v>
      </c>
      <c r="N857" s="7">
        <v>792098</v>
      </c>
      <c r="O857" t="s">
        <v>911</v>
      </c>
      <c r="P857" t="s">
        <v>912</v>
      </c>
      <c r="S857" t="s">
        <v>152</v>
      </c>
      <c r="T857" t="s">
        <v>3078</v>
      </c>
      <c r="U857" t="s">
        <v>3076</v>
      </c>
      <c r="V857" s="8">
        <v>1250</v>
      </c>
      <c r="W857" s="7">
        <v>588732</v>
      </c>
      <c r="X857" t="s">
        <v>3352</v>
      </c>
      <c r="Y857" s="8">
        <v>1250</v>
      </c>
      <c r="Z857" s="8">
        <v>1475</v>
      </c>
      <c r="AA857" s="8">
        <v>225</v>
      </c>
      <c r="AB857" s="7">
        <v>112199</v>
      </c>
      <c r="AC857" t="s">
        <v>3352</v>
      </c>
      <c r="AD857" s="8">
        <v>0</v>
      </c>
      <c r="AG857" t="s">
        <v>801</v>
      </c>
      <c r="AH857" t="s">
        <v>802</v>
      </c>
      <c r="AI857" t="s">
        <v>818</v>
      </c>
    </row>
    <row r="858" spans="1:35" hidden="1">
      <c r="A858" s="7">
        <v>857</v>
      </c>
      <c r="B858" t="s">
        <v>243</v>
      </c>
      <c r="C858" t="s">
        <v>244</v>
      </c>
      <c r="D858" s="7">
        <v>7134</v>
      </c>
      <c r="E858" t="s">
        <v>245</v>
      </c>
      <c r="F858" t="s">
        <v>246</v>
      </c>
      <c r="G858" t="s">
        <v>924</v>
      </c>
      <c r="H858" t="s">
        <v>3092</v>
      </c>
      <c r="I858" s="7">
        <v>1165</v>
      </c>
      <c r="J858" s="7">
        <v>39501</v>
      </c>
      <c r="K858" s="7">
        <v>4</v>
      </c>
      <c r="L858" t="s">
        <v>247</v>
      </c>
      <c r="M858" t="s">
        <v>261</v>
      </c>
      <c r="N858" s="7">
        <v>790690</v>
      </c>
      <c r="O858" t="s">
        <v>925</v>
      </c>
      <c r="P858" t="s">
        <v>926</v>
      </c>
      <c r="S858" t="s">
        <v>152</v>
      </c>
      <c r="T858" t="s">
        <v>3078</v>
      </c>
      <c r="U858" t="s">
        <v>3076</v>
      </c>
      <c r="V858" s="8">
        <v>0</v>
      </c>
      <c r="W858" s="7">
        <v>588732</v>
      </c>
      <c r="X858" t="s">
        <v>3352</v>
      </c>
      <c r="Y858" s="8">
        <v>0</v>
      </c>
      <c r="Z858" s="8">
        <v>0</v>
      </c>
      <c r="AA858" s="8">
        <v>0</v>
      </c>
      <c r="AB858" s="7">
        <v>112199</v>
      </c>
      <c r="AC858" t="s">
        <v>3352</v>
      </c>
      <c r="AD858" s="8">
        <v>0</v>
      </c>
      <c r="AG858" t="s">
        <v>801</v>
      </c>
      <c r="AH858" t="s">
        <v>802</v>
      </c>
      <c r="AI858" t="s">
        <v>803</v>
      </c>
    </row>
    <row r="859" spans="1:35" hidden="1">
      <c r="A859" s="7">
        <v>858</v>
      </c>
      <c r="B859" t="s">
        <v>243</v>
      </c>
      <c r="C859" t="s">
        <v>244</v>
      </c>
      <c r="D859" s="7">
        <v>7134</v>
      </c>
      <c r="E859" t="s">
        <v>245</v>
      </c>
      <c r="F859" t="s">
        <v>246</v>
      </c>
      <c r="G859" t="s">
        <v>3079</v>
      </c>
      <c r="H859" t="s">
        <v>3080</v>
      </c>
      <c r="I859" s="7">
        <v>1165</v>
      </c>
      <c r="J859" s="7">
        <v>68000</v>
      </c>
      <c r="K859" s="7">
        <v>4</v>
      </c>
      <c r="L859" t="s">
        <v>247</v>
      </c>
      <c r="M859" t="s">
        <v>261</v>
      </c>
      <c r="N859" s="7">
        <v>782620</v>
      </c>
      <c r="O859" t="s">
        <v>3081</v>
      </c>
      <c r="P859" t="s">
        <v>3082</v>
      </c>
      <c r="S859" t="s">
        <v>152</v>
      </c>
      <c r="T859" t="s">
        <v>3078</v>
      </c>
      <c r="U859" t="s">
        <v>3076</v>
      </c>
      <c r="V859" s="8">
        <v>1250</v>
      </c>
      <c r="W859" s="7">
        <v>588732</v>
      </c>
      <c r="X859" t="s">
        <v>3352</v>
      </c>
      <c r="Y859" s="8">
        <v>1250</v>
      </c>
      <c r="Z859" s="8">
        <v>1475</v>
      </c>
      <c r="AA859" s="8">
        <v>225</v>
      </c>
      <c r="AB859" s="7">
        <v>112199</v>
      </c>
      <c r="AC859" t="s">
        <v>3352</v>
      </c>
      <c r="AD859" s="8">
        <v>0</v>
      </c>
      <c r="AG859" t="s">
        <v>801</v>
      </c>
      <c r="AH859" t="s">
        <v>802</v>
      </c>
      <c r="AI859" t="s">
        <v>818</v>
      </c>
    </row>
    <row r="860" spans="1:35" hidden="1">
      <c r="A860" s="7">
        <v>859</v>
      </c>
      <c r="B860" t="s">
        <v>243</v>
      </c>
      <c r="C860" t="s">
        <v>244</v>
      </c>
      <c r="D860" s="7">
        <v>7134</v>
      </c>
      <c r="E860" t="s">
        <v>245</v>
      </c>
      <c r="F860" t="s">
        <v>246</v>
      </c>
      <c r="G860" t="s">
        <v>881</v>
      </c>
      <c r="H860" t="s">
        <v>3086</v>
      </c>
      <c r="I860" s="7">
        <v>1165</v>
      </c>
      <c r="J860" s="7">
        <v>50000</v>
      </c>
      <c r="K860" s="7">
        <v>5</v>
      </c>
      <c r="L860" t="s">
        <v>247</v>
      </c>
      <c r="M860" t="s">
        <v>361</v>
      </c>
      <c r="N860" s="7">
        <v>5321</v>
      </c>
      <c r="O860" t="s">
        <v>1878</v>
      </c>
      <c r="P860" t="s">
        <v>1879</v>
      </c>
      <c r="S860" t="s">
        <v>152</v>
      </c>
      <c r="T860" t="s">
        <v>3078</v>
      </c>
      <c r="U860" t="s">
        <v>3076</v>
      </c>
      <c r="V860" s="8">
        <v>1650</v>
      </c>
      <c r="W860" s="7">
        <v>588732</v>
      </c>
      <c r="X860" t="s">
        <v>3352</v>
      </c>
      <c r="Y860" s="8">
        <v>1650</v>
      </c>
      <c r="Z860" s="8">
        <v>1947</v>
      </c>
      <c r="AA860" s="8">
        <v>297</v>
      </c>
      <c r="AB860" s="7">
        <v>112199</v>
      </c>
      <c r="AC860" t="s">
        <v>3352</v>
      </c>
      <c r="AD860" s="8">
        <v>0</v>
      </c>
      <c r="AG860" t="s">
        <v>823</v>
      </c>
      <c r="AH860" t="s">
        <v>802</v>
      </c>
      <c r="AI860" t="s">
        <v>818</v>
      </c>
    </row>
    <row r="861" spans="1:35" hidden="1">
      <c r="A861" s="7">
        <v>860</v>
      </c>
      <c r="B861" t="s">
        <v>243</v>
      </c>
      <c r="C861" t="s">
        <v>244</v>
      </c>
      <c r="D861" s="7">
        <v>7134</v>
      </c>
      <c r="E861" t="s">
        <v>245</v>
      </c>
      <c r="F861" t="s">
        <v>246</v>
      </c>
      <c r="G861" t="s">
        <v>824</v>
      </c>
      <c r="H861" t="s">
        <v>3112</v>
      </c>
      <c r="I861" s="7">
        <v>1165</v>
      </c>
      <c r="J861" s="7">
        <v>18584</v>
      </c>
      <c r="K861" s="7">
        <v>3</v>
      </c>
      <c r="L861" t="s">
        <v>247</v>
      </c>
      <c r="M861" t="s">
        <v>261</v>
      </c>
      <c r="N861" s="7">
        <v>780502</v>
      </c>
      <c r="O861" t="s">
        <v>3139</v>
      </c>
      <c r="P861" t="s">
        <v>3140</v>
      </c>
      <c r="S861" t="s">
        <v>152</v>
      </c>
      <c r="T861" t="s">
        <v>3078</v>
      </c>
      <c r="U861" t="s">
        <v>3076</v>
      </c>
      <c r="V861" s="8">
        <v>1250</v>
      </c>
      <c r="W861" s="7">
        <v>588732</v>
      </c>
      <c r="X861" t="s">
        <v>3352</v>
      </c>
      <c r="Y861" s="8">
        <v>1250</v>
      </c>
      <c r="Z861" s="8">
        <v>1475</v>
      </c>
      <c r="AA861" s="8">
        <v>225</v>
      </c>
      <c r="AB861" s="7">
        <v>112199</v>
      </c>
      <c r="AC861" t="s">
        <v>3352</v>
      </c>
      <c r="AD861" s="8">
        <v>0</v>
      </c>
      <c r="AG861" t="s">
        <v>817</v>
      </c>
      <c r="AH861" t="s">
        <v>802</v>
      </c>
      <c r="AI861" t="s">
        <v>818</v>
      </c>
    </row>
    <row r="862" spans="1:35" hidden="1">
      <c r="A862" s="7">
        <v>861</v>
      </c>
      <c r="B862" t="s">
        <v>243</v>
      </c>
      <c r="C862" t="s">
        <v>244</v>
      </c>
      <c r="D862" s="7">
        <v>7134</v>
      </c>
      <c r="E862" t="s">
        <v>245</v>
      </c>
      <c r="F862" t="s">
        <v>246</v>
      </c>
      <c r="G862" t="s">
        <v>1471</v>
      </c>
      <c r="H862" t="s">
        <v>3090</v>
      </c>
      <c r="I862" s="7">
        <v>1165</v>
      </c>
      <c r="J862" s="7">
        <v>91755</v>
      </c>
      <c r="K862" s="7">
        <v>14</v>
      </c>
      <c r="L862" t="s">
        <v>247</v>
      </c>
      <c r="M862" t="s">
        <v>261</v>
      </c>
      <c r="N862" s="7">
        <v>744799</v>
      </c>
      <c r="O862" t="s">
        <v>1472</v>
      </c>
      <c r="P862" t="s">
        <v>1473</v>
      </c>
      <c r="S862" t="s">
        <v>152</v>
      </c>
      <c r="T862" t="s">
        <v>3078</v>
      </c>
      <c r="U862" t="s">
        <v>3076</v>
      </c>
      <c r="V862" s="8">
        <v>1250</v>
      </c>
      <c r="W862" s="7">
        <v>588732</v>
      </c>
      <c r="X862" t="s">
        <v>3352</v>
      </c>
      <c r="Y862" s="8">
        <v>1250</v>
      </c>
      <c r="Z862" s="8">
        <v>1475</v>
      </c>
      <c r="AA862" s="8">
        <v>225</v>
      </c>
      <c r="AB862" s="7">
        <v>112199</v>
      </c>
      <c r="AC862" t="s">
        <v>3352</v>
      </c>
      <c r="AD862" s="8">
        <v>0</v>
      </c>
      <c r="AG862" t="s">
        <v>801</v>
      </c>
      <c r="AH862" t="s">
        <v>802</v>
      </c>
      <c r="AI862" t="s">
        <v>818</v>
      </c>
    </row>
    <row r="863" spans="1:35" hidden="1">
      <c r="A863" s="7">
        <v>862</v>
      </c>
      <c r="B863" t="s">
        <v>243</v>
      </c>
      <c r="C863" t="s">
        <v>244</v>
      </c>
      <c r="D863" s="7">
        <v>7134</v>
      </c>
      <c r="E863" t="s">
        <v>245</v>
      </c>
      <c r="F863" t="s">
        <v>246</v>
      </c>
      <c r="G863" t="s">
        <v>797</v>
      </c>
      <c r="H863" t="s">
        <v>2086</v>
      </c>
      <c r="I863" s="7">
        <v>1165</v>
      </c>
      <c r="J863" s="7">
        <v>8574</v>
      </c>
      <c r="K863" s="7">
        <v>2</v>
      </c>
      <c r="L863" t="s">
        <v>247</v>
      </c>
      <c r="M863" t="s">
        <v>252</v>
      </c>
      <c r="N863" s="7">
        <v>327226</v>
      </c>
      <c r="O863" t="s">
        <v>1743</v>
      </c>
      <c r="P863" t="s">
        <v>1744</v>
      </c>
      <c r="S863" t="s">
        <v>152</v>
      </c>
      <c r="T863" t="s">
        <v>3078</v>
      </c>
      <c r="U863" t="s">
        <v>3076</v>
      </c>
      <c r="V863" s="8">
        <v>0</v>
      </c>
      <c r="W863" s="7">
        <v>588732</v>
      </c>
      <c r="X863" t="s">
        <v>3352</v>
      </c>
      <c r="Y863" s="8">
        <v>0</v>
      </c>
      <c r="Z863" s="8">
        <v>0</v>
      </c>
      <c r="AA863" s="8">
        <v>0</v>
      </c>
      <c r="AB863" s="7">
        <v>112199</v>
      </c>
      <c r="AC863" t="s">
        <v>3352</v>
      </c>
      <c r="AD863" s="8">
        <v>0</v>
      </c>
      <c r="AG863" t="s">
        <v>937</v>
      </c>
      <c r="AH863" t="s">
        <v>802</v>
      </c>
      <c r="AI863" t="s">
        <v>803</v>
      </c>
    </row>
    <row r="864" spans="1:35" hidden="1">
      <c r="A864" s="7">
        <v>863</v>
      </c>
      <c r="B864" t="s">
        <v>243</v>
      </c>
      <c r="C864" t="s">
        <v>244</v>
      </c>
      <c r="D864" s="7">
        <v>7134</v>
      </c>
      <c r="E864" t="s">
        <v>245</v>
      </c>
      <c r="F864" t="s">
        <v>246</v>
      </c>
      <c r="G864" t="s">
        <v>589</v>
      </c>
      <c r="H864" t="s">
        <v>3089</v>
      </c>
      <c r="I864" s="7">
        <v>1165</v>
      </c>
      <c r="J864" s="7">
        <v>10000</v>
      </c>
      <c r="K864" s="7">
        <v>1</v>
      </c>
      <c r="L864" t="s">
        <v>247</v>
      </c>
      <c r="M864" t="s">
        <v>261</v>
      </c>
      <c r="N864" s="7">
        <v>802530</v>
      </c>
      <c r="O864" t="s">
        <v>591</v>
      </c>
      <c r="P864" t="s">
        <v>592</v>
      </c>
      <c r="Q864" t="s">
        <v>870</v>
      </c>
      <c r="R864" t="s">
        <v>871</v>
      </c>
      <c r="S864" t="s">
        <v>152</v>
      </c>
      <c r="T864" t="s">
        <v>3078</v>
      </c>
      <c r="U864" t="s">
        <v>3076</v>
      </c>
      <c r="V864" s="8">
        <v>1250</v>
      </c>
      <c r="W864" s="7">
        <v>588732</v>
      </c>
      <c r="X864" t="s">
        <v>3352</v>
      </c>
      <c r="Y864" s="8">
        <v>1000</v>
      </c>
      <c r="Z864" s="8">
        <v>1475</v>
      </c>
      <c r="AA864" s="8">
        <v>225</v>
      </c>
      <c r="AB864" s="7">
        <v>112199</v>
      </c>
      <c r="AC864" t="s">
        <v>3352</v>
      </c>
      <c r="AD864" s="8">
        <v>250</v>
      </c>
      <c r="AG864" t="s">
        <v>801</v>
      </c>
      <c r="AH864" t="s">
        <v>802</v>
      </c>
      <c r="AI864" t="s">
        <v>818</v>
      </c>
    </row>
    <row r="865" spans="1:35" hidden="1">
      <c r="A865" s="7">
        <v>864</v>
      </c>
      <c r="B865" t="s">
        <v>243</v>
      </c>
      <c r="C865" t="s">
        <v>244</v>
      </c>
      <c r="D865" s="7">
        <v>7134</v>
      </c>
      <c r="E865" t="s">
        <v>245</v>
      </c>
      <c r="F865" t="s">
        <v>246</v>
      </c>
      <c r="G865" t="s">
        <v>531</v>
      </c>
      <c r="H865" t="s">
        <v>3111</v>
      </c>
      <c r="I865" s="7">
        <v>1165</v>
      </c>
      <c r="J865" s="7">
        <v>8250</v>
      </c>
      <c r="K865" s="7">
        <v>1</v>
      </c>
      <c r="L865" t="s">
        <v>247</v>
      </c>
      <c r="M865" t="s">
        <v>261</v>
      </c>
      <c r="N865" s="7">
        <v>801228</v>
      </c>
      <c r="O865" t="s">
        <v>533</v>
      </c>
      <c r="P865" t="s">
        <v>534</v>
      </c>
      <c r="Q865" t="s">
        <v>870</v>
      </c>
      <c r="R865" t="s">
        <v>871</v>
      </c>
      <c r="S865" t="s">
        <v>152</v>
      </c>
      <c r="T865" t="s">
        <v>3078</v>
      </c>
      <c r="U865" t="s">
        <v>3076</v>
      </c>
      <c r="V865" s="8">
        <v>1250</v>
      </c>
      <c r="W865" s="7">
        <v>588732</v>
      </c>
      <c r="X865" t="s">
        <v>3352</v>
      </c>
      <c r="Y865" s="8">
        <v>1000</v>
      </c>
      <c r="Z865" s="8">
        <v>1475</v>
      </c>
      <c r="AA865" s="8">
        <v>225</v>
      </c>
      <c r="AB865" s="7">
        <v>112199</v>
      </c>
      <c r="AC865" t="s">
        <v>3352</v>
      </c>
      <c r="AD865" s="8">
        <v>250</v>
      </c>
      <c r="AG865" t="s">
        <v>801</v>
      </c>
      <c r="AH865" t="s">
        <v>802</v>
      </c>
      <c r="AI865" t="s">
        <v>818</v>
      </c>
    </row>
    <row r="866" spans="1:35" hidden="1">
      <c r="A866" s="7">
        <v>865</v>
      </c>
      <c r="B866" t="s">
        <v>243</v>
      </c>
      <c r="C866" t="s">
        <v>244</v>
      </c>
      <c r="D866" s="7">
        <v>7134</v>
      </c>
      <c r="E866" t="s">
        <v>245</v>
      </c>
      <c r="F866" t="s">
        <v>246</v>
      </c>
      <c r="G866" t="s">
        <v>1050</v>
      </c>
      <c r="H866" t="s">
        <v>3074</v>
      </c>
      <c r="I866" s="7">
        <v>1165</v>
      </c>
      <c r="J866" s="7">
        <v>39614</v>
      </c>
      <c r="K866" s="7">
        <v>4</v>
      </c>
      <c r="L866" t="s">
        <v>247</v>
      </c>
      <c r="M866" t="s">
        <v>361</v>
      </c>
      <c r="N866" s="7">
        <v>5471</v>
      </c>
      <c r="O866" t="s">
        <v>3153</v>
      </c>
      <c r="P866" t="s">
        <v>3154</v>
      </c>
      <c r="S866" t="s">
        <v>152</v>
      </c>
      <c r="T866" t="s">
        <v>3078</v>
      </c>
      <c r="U866" t="s">
        <v>3076</v>
      </c>
      <c r="V866" s="8">
        <v>0</v>
      </c>
      <c r="W866" s="7">
        <v>588732</v>
      </c>
      <c r="X866" t="s">
        <v>3352</v>
      </c>
      <c r="Y866" s="8">
        <v>0</v>
      </c>
      <c r="Z866" s="8">
        <v>0</v>
      </c>
      <c r="AA866" s="8">
        <v>0</v>
      </c>
      <c r="AB866" s="7">
        <v>112199</v>
      </c>
      <c r="AC866" t="s">
        <v>3352</v>
      </c>
      <c r="AD866" s="8">
        <v>0</v>
      </c>
      <c r="AG866" t="s">
        <v>823</v>
      </c>
      <c r="AH866" t="s">
        <v>802</v>
      </c>
      <c r="AI866" t="s">
        <v>803</v>
      </c>
    </row>
    <row r="867" spans="1:35" hidden="1">
      <c r="A867" s="7">
        <v>866</v>
      </c>
      <c r="B867" t="s">
        <v>243</v>
      </c>
      <c r="C867" t="s">
        <v>244</v>
      </c>
      <c r="D867" s="7">
        <v>7134</v>
      </c>
      <c r="E867" t="s">
        <v>245</v>
      </c>
      <c r="F867" t="s">
        <v>246</v>
      </c>
      <c r="G867" t="s">
        <v>1095</v>
      </c>
      <c r="H867" t="s">
        <v>3121</v>
      </c>
      <c r="I867" s="7">
        <v>990</v>
      </c>
      <c r="J867" s="7">
        <v>18737</v>
      </c>
      <c r="K867" s="7">
        <v>7</v>
      </c>
      <c r="L867" t="s">
        <v>247</v>
      </c>
      <c r="M867" t="s">
        <v>261</v>
      </c>
      <c r="N867" s="7">
        <v>775773</v>
      </c>
      <c r="O867" t="s">
        <v>1096</v>
      </c>
      <c r="P867" t="s">
        <v>1097</v>
      </c>
      <c r="S867" t="s">
        <v>152</v>
      </c>
      <c r="T867" t="s">
        <v>3078</v>
      </c>
      <c r="U867" t="s">
        <v>3076</v>
      </c>
      <c r="V867" s="8">
        <v>0</v>
      </c>
      <c r="W867" s="7">
        <v>588732</v>
      </c>
      <c r="X867" t="s">
        <v>3352</v>
      </c>
      <c r="Y867" s="8">
        <v>0</v>
      </c>
      <c r="Z867" s="8">
        <v>0</v>
      </c>
      <c r="AA867" s="8">
        <v>0</v>
      </c>
      <c r="AB867" s="7">
        <v>112199</v>
      </c>
      <c r="AC867" t="s">
        <v>3352</v>
      </c>
      <c r="AD867" s="8">
        <v>0</v>
      </c>
      <c r="AG867" t="s">
        <v>801</v>
      </c>
      <c r="AH867" t="s">
        <v>802</v>
      </c>
      <c r="AI867" t="s">
        <v>803</v>
      </c>
    </row>
    <row r="868" spans="1:35" hidden="1">
      <c r="A868" s="7">
        <v>867</v>
      </c>
      <c r="B868" t="s">
        <v>243</v>
      </c>
      <c r="C868" t="s">
        <v>244</v>
      </c>
      <c r="D868" s="7">
        <v>7134</v>
      </c>
      <c r="E868" t="s">
        <v>245</v>
      </c>
      <c r="F868" t="s">
        <v>246</v>
      </c>
      <c r="G868" t="s">
        <v>1091</v>
      </c>
      <c r="H868" t="s">
        <v>417</v>
      </c>
      <c r="I868" s="7">
        <v>1165</v>
      </c>
      <c r="J868" s="7">
        <v>7032</v>
      </c>
      <c r="K868" s="7">
        <v>3</v>
      </c>
      <c r="L868" t="s">
        <v>247</v>
      </c>
      <c r="M868" t="s">
        <v>261</v>
      </c>
      <c r="N868" s="7">
        <v>781175</v>
      </c>
      <c r="O868" t="s">
        <v>1093</v>
      </c>
      <c r="P868" t="s">
        <v>1094</v>
      </c>
      <c r="Q868" t="s">
        <v>870</v>
      </c>
      <c r="R868" t="s">
        <v>871</v>
      </c>
      <c r="S868" t="s">
        <v>152</v>
      </c>
      <c r="T868" t="s">
        <v>3078</v>
      </c>
      <c r="U868" t="s">
        <v>3076</v>
      </c>
      <c r="V868" s="8">
        <v>1250</v>
      </c>
      <c r="W868" s="7">
        <v>588732</v>
      </c>
      <c r="X868" t="s">
        <v>3352</v>
      </c>
      <c r="Y868" s="8">
        <v>1000</v>
      </c>
      <c r="Z868" s="8">
        <v>1475</v>
      </c>
      <c r="AA868" s="8">
        <v>225</v>
      </c>
      <c r="AB868" s="7">
        <v>112199</v>
      </c>
      <c r="AC868" t="s">
        <v>3352</v>
      </c>
      <c r="AD868" s="8">
        <v>250</v>
      </c>
      <c r="AG868" t="s">
        <v>808</v>
      </c>
      <c r="AH868" t="s">
        <v>802</v>
      </c>
      <c r="AI868" t="s">
        <v>818</v>
      </c>
    </row>
    <row r="869" spans="1:35" hidden="1">
      <c r="A869" s="7">
        <v>868</v>
      </c>
      <c r="B869" t="s">
        <v>243</v>
      </c>
      <c r="C869" t="s">
        <v>244</v>
      </c>
      <c r="D869" s="7">
        <v>7134</v>
      </c>
      <c r="E869" t="s">
        <v>245</v>
      </c>
      <c r="F869" t="s">
        <v>246</v>
      </c>
      <c r="G869" t="s">
        <v>1088</v>
      </c>
      <c r="H869" t="s">
        <v>1803</v>
      </c>
      <c r="I869" s="7">
        <v>890</v>
      </c>
      <c r="J869" s="7">
        <v>31082</v>
      </c>
      <c r="K869" s="7">
        <v>5</v>
      </c>
      <c r="L869" t="s">
        <v>247</v>
      </c>
      <c r="M869" t="s">
        <v>267</v>
      </c>
      <c r="N869" s="7">
        <v>789142</v>
      </c>
      <c r="O869" t="s">
        <v>1089</v>
      </c>
      <c r="P869" t="s">
        <v>1090</v>
      </c>
      <c r="S869" t="s">
        <v>152</v>
      </c>
      <c r="T869" t="s">
        <v>3078</v>
      </c>
      <c r="U869" t="s">
        <v>3076</v>
      </c>
      <c r="V869" s="8">
        <v>1250</v>
      </c>
      <c r="W869" s="7">
        <v>588732</v>
      </c>
      <c r="X869" t="s">
        <v>3352</v>
      </c>
      <c r="Y869" s="8">
        <v>1250</v>
      </c>
      <c r="Z869" s="8">
        <v>1475</v>
      </c>
      <c r="AA869" s="8">
        <v>225</v>
      </c>
      <c r="AB869" s="7">
        <v>112199</v>
      </c>
      <c r="AC869" t="s">
        <v>3352</v>
      </c>
      <c r="AD869" s="8">
        <v>0</v>
      </c>
      <c r="AG869" t="s">
        <v>828</v>
      </c>
      <c r="AH869" t="s">
        <v>802</v>
      </c>
      <c r="AI869" t="s">
        <v>818</v>
      </c>
    </row>
    <row r="870" spans="1:35" hidden="1">
      <c r="A870" s="7">
        <v>869</v>
      </c>
      <c r="B870" t="s">
        <v>243</v>
      </c>
      <c r="C870" t="s">
        <v>244</v>
      </c>
      <c r="D870" s="7">
        <v>7134</v>
      </c>
      <c r="E870" t="s">
        <v>245</v>
      </c>
      <c r="F870" t="s">
        <v>246</v>
      </c>
      <c r="G870" t="s">
        <v>867</v>
      </c>
      <c r="H870" t="s">
        <v>3102</v>
      </c>
      <c r="I870" s="7">
        <v>1165</v>
      </c>
      <c r="J870" s="7">
        <v>50000</v>
      </c>
      <c r="K870" s="7">
        <v>5</v>
      </c>
      <c r="L870" t="s">
        <v>247</v>
      </c>
      <c r="M870" t="s">
        <v>261</v>
      </c>
      <c r="N870" s="7">
        <v>790571</v>
      </c>
      <c r="O870" t="s">
        <v>868</v>
      </c>
      <c r="P870" t="s">
        <v>869</v>
      </c>
      <c r="S870" t="s">
        <v>152</v>
      </c>
      <c r="T870" t="s">
        <v>3078</v>
      </c>
      <c r="U870" t="s">
        <v>3076</v>
      </c>
      <c r="V870" s="8">
        <v>1250</v>
      </c>
      <c r="W870" s="7">
        <v>588732</v>
      </c>
      <c r="X870" t="s">
        <v>3352</v>
      </c>
      <c r="Y870" s="8">
        <v>1250</v>
      </c>
      <c r="Z870" s="8">
        <v>1475</v>
      </c>
      <c r="AA870" s="8">
        <v>225</v>
      </c>
      <c r="AB870" s="7">
        <v>112199</v>
      </c>
      <c r="AC870" t="s">
        <v>3352</v>
      </c>
      <c r="AD870" s="8">
        <v>0</v>
      </c>
      <c r="AG870" t="s">
        <v>801</v>
      </c>
      <c r="AH870" t="s">
        <v>802</v>
      </c>
      <c r="AI870" t="s">
        <v>818</v>
      </c>
    </row>
    <row r="871" spans="1:35" hidden="1">
      <c r="A871" s="7">
        <v>870</v>
      </c>
      <c r="B871" t="s">
        <v>243</v>
      </c>
      <c r="C871" t="s">
        <v>244</v>
      </c>
      <c r="D871" s="7">
        <v>7134</v>
      </c>
      <c r="E871" t="s">
        <v>245</v>
      </c>
      <c r="F871" t="s">
        <v>246</v>
      </c>
      <c r="G871" t="s">
        <v>293</v>
      </c>
      <c r="H871" t="s">
        <v>3089</v>
      </c>
      <c r="I871" s="7">
        <v>1165</v>
      </c>
      <c r="J871" s="7">
        <v>10000</v>
      </c>
      <c r="K871" s="7">
        <v>2</v>
      </c>
      <c r="L871" t="s">
        <v>247</v>
      </c>
      <c r="M871" t="s">
        <v>267</v>
      </c>
      <c r="N871" s="7">
        <v>789022</v>
      </c>
      <c r="O871" t="s">
        <v>461</v>
      </c>
      <c r="P871" t="s">
        <v>462</v>
      </c>
      <c r="S871" t="s">
        <v>152</v>
      </c>
      <c r="T871" t="s">
        <v>3078</v>
      </c>
      <c r="U871" t="s">
        <v>3076</v>
      </c>
      <c r="V871" s="8">
        <v>0</v>
      </c>
      <c r="W871" s="7">
        <v>588732</v>
      </c>
      <c r="X871" t="s">
        <v>3352</v>
      </c>
      <c r="Y871" s="8">
        <v>0</v>
      </c>
      <c r="Z871" s="8">
        <v>0</v>
      </c>
      <c r="AA871" s="8">
        <v>0</v>
      </c>
      <c r="AB871" s="7">
        <v>112199</v>
      </c>
      <c r="AC871" t="s">
        <v>3352</v>
      </c>
      <c r="AD871" s="8">
        <v>0</v>
      </c>
      <c r="AG871" t="s">
        <v>828</v>
      </c>
      <c r="AH871" t="s">
        <v>802</v>
      </c>
      <c r="AI871" t="s">
        <v>803</v>
      </c>
    </row>
    <row r="872" spans="1:35" hidden="1">
      <c r="A872" s="7">
        <v>871</v>
      </c>
      <c r="B872" t="s">
        <v>243</v>
      </c>
      <c r="C872" t="s">
        <v>244</v>
      </c>
      <c r="D872" s="7">
        <v>7134</v>
      </c>
      <c r="E872" t="s">
        <v>245</v>
      </c>
      <c r="F872" t="s">
        <v>246</v>
      </c>
      <c r="G872" t="s">
        <v>363</v>
      </c>
      <c r="H872" t="s">
        <v>3097</v>
      </c>
      <c r="I872" s="7">
        <v>908</v>
      </c>
      <c r="J872" s="7">
        <v>29848</v>
      </c>
      <c r="K872" s="7">
        <v>2</v>
      </c>
      <c r="L872" t="s">
        <v>247</v>
      </c>
      <c r="M872" t="s">
        <v>261</v>
      </c>
      <c r="N872" s="7">
        <v>797307</v>
      </c>
      <c r="O872" t="s">
        <v>1964</v>
      </c>
      <c r="P872" t="s">
        <v>1965</v>
      </c>
      <c r="S872" t="s">
        <v>152</v>
      </c>
      <c r="T872" t="s">
        <v>3078</v>
      </c>
      <c r="U872" t="s">
        <v>3076</v>
      </c>
      <c r="V872" s="8">
        <v>1250</v>
      </c>
      <c r="W872" s="7">
        <v>588732</v>
      </c>
      <c r="X872" t="s">
        <v>3352</v>
      </c>
      <c r="Y872" s="8">
        <v>1250</v>
      </c>
      <c r="Z872" s="8">
        <v>1475</v>
      </c>
      <c r="AA872" s="8">
        <v>225</v>
      </c>
      <c r="AB872" s="7">
        <v>112199</v>
      </c>
      <c r="AC872" t="s">
        <v>3352</v>
      </c>
      <c r="AD872" s="8">
        <v>0</v>
      </c>
      <c r="AG872" t="s">
        <v>817</v>
      </c>
      <c r="AH872" t="s">
        <v>802</v>
      </c>
      <c r="AI872" t="s">
        <v>818</v>
      </c>
    </row>
    <row r="873" spans="1:35" hidden="1">
      <c r="A873" s="7">
        <v>872</v>
      </c>
      <c r="B873" t="s">
        <v>243</v>
      </c>
      <c r="C873" t="s">
        <v>244</v>
      </c>
      <c r="D873" s="7">
        <v>7134</v>
      </c>
      <c r="E873" t="s">
        <v>245</v>
      </c>
      <c r="F873" t="s">
        <v>246</v>
      </c>
      <c r="G873" t="s">
        <v>273</v>
      </c>
      <c r="H873" t="s">
        <v>3108</v>
      </c>
      <c r="I873" s="7">
        <v>920</v>
      </c>
      <c r="J873" s="7">
        <v>3336</v>
      </c>
      <c r="K873" s="7">
        <v>2</v>
      </c>
      <c r="L873" t="s">
        <v>247</v>
      </c>
      <c r="M873" t="s">
        <v>252</v>
      </c>
      <c r="N873" s="7">
        <v>327482</v>
      </c>
      <c r="O873" t="s">
        <v>3134</v>
      </c>
      <c r="P873" t="s">
        <v>3135</v>
      </c>
      <c r="S873" t="s">
        <v>152</v>
      </c>
      <c r="T873" t="s">
        <v>3078</v>
      </c>
      <c r="U873" t="s">
        <v>3076</v>
      </c>
      <c r="V873" s="8">
        <v>0</v>
      </c>
      <c r="W873" s="7">
        <v>588732</v>
      </c>
      <c r="X873" t="s">
        <v>3352</v>
      </c>
      <c r="Y873" s="8">
        <v>0</v>
      </c>
      <c r="Z873" s="8">
        <v>0</v>
      </c>
      <c r="AA873" s="8">
        <v>0</v>
      </c>
      <c r="AB873" s="7">
        <v>112199</v>
      </c>
      <c r="AC873" t="s">
        <v>3352</v>
      </c>
      <c r="AD873" s="8">
        <v>0</v>
      </c>
      <c r="AG873" t="s">
        <v>937</v>
      </c>
      <c r="AH873" t="s">
        <v>802</v>
      </c>
      <c r="AI873" t="s">
        <v>803</v>
      </c>
    </row>
    <row r="874" spans="1:35" hidden="1">
      <c r="A874" s="7">
        <v>873</v>
      </c>
      <c r="B874" t="s">
        <v>243</v>
      </c>
      <c r="C874" t="s">
        <v>244</v>
      </c>
      <c r="D874" s="7">
        <v>7134</v>
      </c>
      <c r="E874" t="s">
        <v>245</v>
      </c>
      <c r="F874" t="s">
        <v>246</v>
      </c>
      <c r="G874" t="s">
        <v>293</v>
      </c>
      <c r="H874" t="s">
        <v>3092</v>
      </c>
      <c r="I874" s="7">
        <v>1160</v>
      </c>
      <c r="J874" s="7">
        <v>1700</v>
      </c>
      <c r="K874" s="7">
        <v>1</v>
      </c>
      <c r="L874" t="s">
        <v>247</v>
      </c>
      <c r="M874" t="s">
        <v>267</v>
      </c>
      <c r="N874" s="7">
        <v>784698</v>
      </c>
      <c r="O874" t="s">
        <v>306</v>
      </c>
      <c r="P874" t="s">
        <v>307</v>
      </c>
      <c r="S874" t="s">
        <v>152</v>
      </c>
      <c r="T874" t="s">
        <v>3078</v>
      </c>
      <c r="U874" t="s">
        <v>3076</v>
      </c>
      <c r="V874" s="8">
        <v>1250</v>
      </c>
      <c r="W874" s="7">
        <v>588732</v>
      </c>
      <c r="X874" t="s">
        <v>3352</v>
      </c>
      <c r="Y874" s="8">
        <v>1250</v>
      </c>
      <c r="Z874" s="8">
        <v>1475</v>
      </c>
      <c r="AA874" s="8">
        <v>225</v>
      </c>
      <c r="AB874" s="7">
        <v>112199</v>
      </c>
      <c r="AC874" t="s">
        <v>3352</v>
      </c>
      <c r="AD874" s="8">
        <v>0</v>
      </c>
      <c r="AG874" t="s">
        <v>1124</v>
      </c>
      <c r="AH874" t="s">
        <v>802</v>
      </c>
      <c r="AI874" t="s">
        <v>818</v>
      </c>
    </row>
    <row r="875" spans="1:35" hidden="1">
      <c r="A875" s="7">
        <v>874</v>
      </c>
      <c r="B875" t="s">
        <v>243</v>
      </c>
      <c r="C875" t="s">
        <v>244</v>
      </c>
      <c r="D875" s="7">
        <v>7134</v>
      </c>
      <c r="E875" t="s">
        <v>245</v>
      </c>
      <c r="F875" t="s">
        <v>246</v>
      </c>
      <c r="G875" t="s">
        <v>1128</v>
      </c>
      <c r="H875" t="s">
        <v>3136</v>
      </c>
      <c r="I875" s="7">
        <v>1165</v>
      </c>
      <c r="J875" s="7">
        <v>29360</v>
      </c>
      <c r="K875" s="7">
        <v>6</v>
      </c>
      <c r="L875" t="s">
        <v>247</v>
      </c>
      <c r="M875" t="s">
        <v>252</v>
      </c>
      <c r="N875" s="7">
        <v>322598</v>
      </c>
      <c r="O875" t="s">
        <v>1129</v>
      </c>
      <c r="P875" t="s">
        <v>1130</v>
      </c>
      <c r="S875" t="s">
        <v>152</v>
      </c>
      <c r="T875" t="s">
        <v>3078</v>
      </c>
      <c r="U875" t="s">
        <v>3076</v>
      </c>
      <c r="V875" s="8">
        <v>0</v>
      </c>
      <c r="W875" s="7">
        <v>588732</v>
      </c>
      <c r="X875" t="s">
        <v>3352</v>
      </c>
      <c r="Y875" s="8">
        <v>0</v>
      </c>
      <c r="Z875" s="8">
        <v>0</v>
      </c>
      <c r="AA875" s="8">
        <v>0</v>
      </c>
      <c r="AB875" s="7">
        <v>112199</v>
      </c>
      <c r="AC875" t="s">
        <v>3352</v>
      </c>
      <c r="AD875" s="8">
        <v>0</v>
      </c>
      <c r="AG875" t="s">
        <v>937</v>
      </c>
      <c r="AH875" t="s">
        <v>802</v>
      </c>
      <c r="AI875" t="s">
        <v>803</v>
      </c>
    </row>
    <row r="876" spans="1:35" hidden="1">
      <c r="A876" s="7">
        <v>875</v>
      </c>
      <c r="B876" t="s">
        <v>243</v>
      </c>
      <c r="C876" t="s">
        <v>244</v>
      </c>
      <c r="D876" s="7">
        <v>7134</v>
      </c>
      <c r="E876" t="s">
        <v>245</v>
      </c>
      <c r="F876" t="s">
        <v>246</v>
      </c>
      <c r="G876" t="s">
        <v>1416</v>
      </c>
      <c r="H876" t="s">
        <v>3090</v>
      </c>
      <c r="I876" s="7">
        <v>1165</v>
      </c>
      <c r="J876" s="7">
        <v>71120</v>
      </c>
      <c r="K876" s="7">
        <v>11</v>
      </c>
      <c r="L876" t="s">
        <v>247</v>
      </c>
      <c r="M876" t="s">
        <v>261</v>
      </c>
      <c r="N876" s="7">
        <v>752459</v>
      </c>
      <c r="O876" t="s">
        <v>1417</v>
      </c>
      <c r="P876" t="s">
        <v>1418</v>
      </c>
      <c r="S876" t="s">
        <v>152</v>
      </c>
      <c r="T876" t="s">
        <v>3078</v>
      </c>
      <c r="U876" t="s">
        <v>3076</v>
      </c>
      <c r="V876" s="8">
        <v>1250</v>
      </c>
      <c r="W876" s="7">
        <v>588732</v>
      </c>
      <c r="X876" t="s">
        <v>3352</v>
      </c>
      <c r="Y876" s="8">
        <v>1250</v>
      </c>
      <c r="Z876" s="8">
        <v>1475</v>
      </c>
      <c r="AA876" s="8">
        <v>225</v>
      </c>
      <c r="AB876" s="7">
        <v>112199</v>
      </c>
      <c r="AC876" t="s">
        <v>3352</v>
      </c>
      <c r="AD876" s="8">
        <v>0</v>
      </c>
      <c r="AG876" t="s">
        <v>801</v>
      </c>
      <c r="AH876" t="s">
        <v>802</v>
      </c>
      <c r="AI876" t="s">
        <v>818</v>
      </c>
    </row>
    <row r="877" spans="1:35" hidden="1">
      <c r="A877" s="7">
        <v>876</v>
      </c>
      <c r="B877" t="s">
        <v>243</v>
      </c>
      <c r="C877" t="s">
        <v>244</v>
      </c>
      <c r="D877" s="7">
        <v>7134</v>
      </c>
      <c r="E877" t="s">
        <v>245</v>
      </c>
      <c r="F877" t="s">
        <v>246</v>
      </c>
      <c r="G877" t="s">
        <v>1773</v>
      </c>
      <c r="H877" t="s">
        <v>2854</v>
      </c>
      <c r="I877" s="7">
        <v>1165</v>
      </c>
      <c r="J877" s="7">
        <v>31200</v>
      </c>
      <c r="K877" s="7">
        <v>3</v>
      </c>
      <c r="L877" t="s">
        <v>247</v>
      </c>
      <c r="M877" t="s">
        <v>361</v>
      </c>
      <c r="N877" s="7">
        <v>4921</v>
      </c>
      <c r="O877" t="s">
        <v>1774</v>
      </c>
      <c r="P877" t="s">
        <v>1775</v>
      </c>
      <c r="Q877" t="s">
        <v>908</v>
      </c>
      <c r="R877" t="s">
        <v>909</v>
      </c>
      <c r="S877" t="s">
        <v>152</v>
      </c>
      <c r="T877" t="s">
        <v>3078</v>
      </c>
      <c r="U877" t="s">
        <v>3076</v>
      </c>
      <c r="V877" s="8">
        <v>1650</v>
      </c>
      <c r="W877" s="7">
        <v>588732</v>
      </c>
      <c r="X877" t="s">
        <v>3352</v>
      </c>
      <c r="Y877" s="8">
        <v>1320</v>
      </c>
      <c r="Z877" s="8">
        <v>1947</v>
      </c>
      <c r="AA877" s="8">
        <v>297</v>
      </c>
      <c r="AB877" s="7">
        <v>112199</v>
      </c>
      <c r="AC877" t="s">
        <v>3352</v>
      </c>
      <c r="AD877" s="8">
        <v>330</v>
      </c>
      <c r="AG877" t="s">
        <v>823</v>
      </c>
      <c r="AH877" t="s">
        <v>802</v>
      </c>
      <c r="AI877" t="s">
        <v>818</v>
      </c>
    </row>
    <row r="878" spans="1:35" hidden="1">
      <c r="A878" s="7">
        <v>877</v>
      </c>
      <c r="B878" t="s">
        <v>243</v>
      </c>
      <c r="C878" t="s">
        <v>244</v>
      </c>
      <c r="D878" s="7">
        <v>7134</v>
      </c>
      <c r="E878" t="s">
        <v>245</v>
      </c>
      <c r="F878" t="s">
        <v>246</v>
      </c>
      <c r="G878" t="s">
        <v>248</v>
      </c>
      <c r="H878" t="s">
        <v>1803</v>
      </c>
      <c r="I878" s="7">
        <v>1165</v>
      </c>
      <c r="J878" s="7">
        <v>10270</v>
      </c>
      <c r="K878" s="7">
        <v>2</v>
      </c>
      <c r="L878" t="s">
        <v>247</v>
      </c>
      <c r="M878" t="s">
        <v>261</v>
      </c>
      <c r="N878" s="7">
        <v>801400</v>
      </c>
      <c r="O878" t="s">
        <v>290</v>
      </c>
      <c r="P878" t="s">
        <v>291</v>
      </c>
      <c r="S878" t="s">
        <v>152</v>
      </c>
      <c r="T878" t="s">
        <v>3078</v>
      </c>
      <c r="U878" t="s">
        <v>3076</v>
      </c>
      <c r="V878" s="8">
        <v>0</v>
      </c>
      <c r="W878" s="7">
        <v>588732</v>
      </c>
      <c r="X878" t="s">
        <v>3352</v>
      </c>
      <c r="Y878" s="8">
        <v>0</v>
      </c>
      <c r="Z878" s="8">
        <v>0</v>
      </c>
      <c r="AA878" s="8">
        <v>0</v>
      </c>
      <c r="AB878" s="7">
        <v>112199</v>
      </c>
      <c r="AC878" t="s">
        <v>3352</v>
      </c>
      <c r="AD878" s="8">
        <v>0</v>
      </c>
      <c r="AG878" t="s">
        <v>801</v>
      </c>
      <c r="AH878" t="s">
        <v>802</v>
      </c>
      <c r="AI878" t="s">
        <v>803</v>
      </c>
    </row>
    <row r="879" spans="1:35" hidden="1">
      <c r="A879" s="7">
        <v>878</v>
      </c>
      <c r="B879" t="s">
        <v>243</v>
      </c>
      <c r="C879" t="s">
        <v>244</v>
      </c>
      <c r="D879" s="7">
        <v>7134</v>
      </c>
      <c r="E879" t="s">
        <v>245</v>
      </c>
      <c r="F879" t="s">
        <v>246</v>
      </c>
      <c r="G879" t="s">
        <v>1116</v>
      </c>
      <c r="H879" t="s">
        <v>1803</v>
      </c>
      <c r="I879" s="7">
        <v>1165</v>
      </c>
      <c r="J879" s="7">
        <v>41170</v>
      </c>
      <c r="K879" s="7">
        <v>5</v>
      </c>
      <c r="L879" t="s">
        <v>247</v>
      </c>
      <c r="M879" t="s">
        <v>261</v>
      </c>
      <c r="N879" s="7">
        <v>786160</v>
      </c>
      <c r="O879" t="s">
        <v>1117</v>
      </c>
      <c r="P879" t="s">
        <v>1118</v>
      </c>
      <c r="Q879" t="s">
        <v>870</v>
      </c>
      <c r="R879" t="s">
        <v>871</v>
      </c>
      <c r="S879" t="s">
        <v>152</v>
      </c>
      <c r="T879" t="s">
        <v>3078</v>
      </c>
      <c r="U879" t="s">
        <v>3076</v>
      </c>
      <c r="V879" s="8">
        <v>1250</v>
      </c>
      <c r="W879" s="7">
        <v>588732</v>
      </c>
      <c r="X879" t="s">
        <v>3352</v>
      </c>
      <c r="Y879" s="8">
        <v>1000</v>
      </c>
      <c r="Z879" s="8">
        <v>1475</v>
      </c>
      <c r="AA879" s="8">
        <v>225</v>
      </c>
      <c r="AB879" s="7">
        <v>112199</v>
      </c>
      <c r="AC879" t="s">
        <v>3352</v>
      </c>
      <c r="AD879" s="8">
        <v>250</v>
      </c>
      <c r="AG879" t="s">
        <v>801</v>
      </c>
      <c r="AH879" t="s">
        <v>802</v>
      </c>
      <c r="AI879" t="s">
        <v>818</v>
      </c>
    </row>
    <row r="880" spans="1:35" hidden="1">
      <c r="A880" s="7">
        <v>879</v>
      </c>
      <c r="B880" t="s">
        <v>243</v>
      </c>
      <c r="C880" t="s">
        <v>244</v>
      </c>
      <c r="D880" s="7">
        <v>7134</v>
      </c>
      <c r="E880" t="s">
        <v>245</v>
      </c>
      <c r="F880" t="s">
        <v>246</v>
      </c>
      <c r="G880" t="s">
        <v>293</v>
      </c>
      <c r="H880" t="s">
        <v>3121</v>
      </c>
      <c r="I880" s="7">
        <v>1150</v>
      </c>
      <c r="J880" s="7">
        <v>6650</v>
      </c>
      <c r="K880" s="7">
        <v>1</v>
      </c>
      <c r="L880" t="s">
        <v>247</v>
      </c>
      <c r="M880" t="s">
        <v>261</v>
      </c>
      <c r="N880" s="7">
        <v>778233</v>
      </c>
      <c r="O880" t="s">
        <v>3141</v>
      </c>
      <c r="P880" t="s">
        <v>3142</v>
      </c>
      <c r="Q880" t="s">
        <v>870</v>
      </c>
      <c r="R880" t="s">
        <v>871</v>
      </c>
      <c r="S880" t="s">
        <v>152</v>
      </c>
      <c r="T880" t="s">
        <v>3078</v>
      </c>
      <c r="U880" t="s">
        <v>3076</v>
      </c>
      <c r="V880" s="8">
        <v>1250</v>
      </c>
      <c r="W880" s="7">
        <v>588732</v>
      </c>
      <c r="X880" t="s">
        <v>3352</v>
      </c>
      <c r="Y880" s="8">
        <v>1000</v>
      </c>
      <c r="Z880" s="8">
        <v>1475</v>
      </c>
      <c r="AA880" s="8">
        <v>225</v>
      </c>
      <c r="AB880" s="7">
        <v>112199</v>
      </c>
      <c r="AC880" t="s">
        <v>3352</v>
      </c>
      <c r="AD880" s="8">
        <v>250</v>
      </c>
      <c r="AG880" t="s">
        <v>808</v>
      </c>
      <c r="AH880" t="s">
        <v>802</v>
      </c>
      <c r="AI880" t="s">
        <v>818</v>
      </c>
    </row>
    <row r="881" spans="1:35" hidden="1">
      <c r="A881" s="7">
        <v>880</v>
      </c>
      <c r="B881" t="s">
        <v>243</v>
      </c>
      <c r="C881" t="s">
        <v>244</v>
      </c>
      <c r="D881" s="7">
        <v>7134</v>
      </c>
      <c r="E881" t="s">
        <v>245</v>
      </c>
      <c r="F881" t="s">
        <v>246</v>
      </c>
      <c r="G881" t="s">
        <v>999</v>
      </c>
      <c r="H881" t="s">
        <v>3104</v>
      </c>
      <c r="I881" s="7">
        <v>1165</v>
      </c>
      <c r="J881" s="7">
        <v>42500</v>
      </c>
      <c r="K881" s="7">
        <v>4</v>
      </c>
      <c r="L881" t="s">
        <v>247</v>
      </c>
      <c r="M881" t="s">
        <v>261</v>
      </c>
      <c r="N881" s="7">
        <v>790578</v>
      </c>
      <c r="O881" t="s">
        <v>1119</v>
      </c>
      <c r="P881" t="s">
        <v>1120</v>
      </c>
      <c r="Q881" t="s">
        <v>908</v>
      </c>
      <c r="R881" t="s">
        <v>909</v>
      </c>
      <c r="S881" t="s">
        <v>152</v>
      </c>
      <c r="T881" t="s">
        <v>3078</v>
      </c>
      <c r="U881" t="s">
        <v>3076</v>
      </c>
      <c r="V881" s="8">
        <v>0</v>
      </c>
      <c r="W881" s="7">
        <v>588732</v>
      </c>
      <c r="X881" t="s">
        <v>3352</v>
      </c>
      <c r="Y881" s="8">
        <v>0</v>
      </c>
      <c r="Z881" s="8">
        <v>0</v>
      </c>
      <c r="AA881" s="8">
        <v>0</v>
      </c>
      <c r="AB881" s="7">
        <v>112199</v>
      </c>
      <c r="AC881" t="s">
        <v>3352</v>
      </c>
      <c r="AD881" s="8">
        <v>0</v>
      </c>
      <c r="AG881" t="s">
        <v>801</v>
      </c>
      <c r="AH881" t="s">
        <v>802</v>
      </c>
      <c r="AI881" t="s">
        <v>803</v>
      </c>
    </row>
    <row r="882" spans="1:35" hidden="1">
      <c r="A882" s="7">
        <v>881</v>
      </c>
      <c r="B882" t="s">
        <v>243</v>
      </c>
      <c r="C882" t="s">
        <v>244</v>
      </c>
      <c r="D882" s="7">
        <v>7134</v>
      </c>
      <c r="E882" t="s">
        <v>245</v>
      </c>
      <c r="F882" t="s">
        <v>246</v>
      </c>
      <c r="G882" t="s">
        <v>263</v>
      </c>
      <c r="H882" t="s">
        <v>3089</v>
      </c>
      <c r="I882" s="7">
        <v>897</v>
      </c>
      <c r="J882" s="7">
        <v>29486</v>
      </c>
      <c r="K882" s="7">
        <v>2</v>
      </c>
      <c r="L882" t="s">
        <v>247</v>
      </c>
      <c r="M882" t="s">
        <v>261</v>
      </c>
      <c r="N882" s="7">
        <v>796131</v>
      </c>
      <c r="O882" t="s">
        <v>1840</v>
      </c>
      <c r="P882" t="s">
        <v>1841</v>
      </c>
      <c r="S882" t="s">
        <v>152</v>
      </c>
      <c r="T882" t="s">
        <v>3078</v>
      </c>
      <c r="U882" t="s">
        <v>3076</v>
      </c>
      <c r="V882" s="8">
        <v>1250</v>
      </c>
      <c r="W882" s="7">
        <v>588732</v>
      </c>
      <c r="X882" t="s">
        <v>3352</v>
      </c>
      <c r="Y882" s="8">
        <v>1250</v>
      </c>
      <c r="Z882" s="8">
        <v>1475</v>
      </c>
      <c r="AA882" s="8">
        <v>225</v>
      </c>
      <c r="AB882" s="7">
        <v>112199</v>
      </c>
      <c r="AC882" t="s">
        <v>3352</v>
      </c>
      <c r="AD882" s="8">
        <v>0</v>
      </c>
      <c r="AG882" t="s">
        <v>817</v>
      </c>
      <c r="AH882" t="s">
        <v>802</v>
      </c>
      <c r="AI882" t="s">
        <v>818</v>
      </c>
    </row>
    <row r="883" spans="1:35" hidden="1">
      <c r="A883" s="7">
        <v>882</v>
      </c>
      <c r="B883" t="s">
        <v>243</v>
      </c>
      <c r="C883" t="s">
        <v>244</v>
      </c>
      <c r="D883" s="7">
        <v>7134</v>
      </c>
      <c r="E883" t="s">
        <v>245</v>
      </c>
      <c r="F883" t="s">
        <v>246</v>
      </c>
      <c r="G883" t="s">
        <v>3126</v>
      </c>
      <c r="H883" t="s">
        <v>3096</v>
      </c>
      <c r="I883" s="7">
        <v>1165</v>
      </c>
      <c r="J883" s="7">
        <v>30984</v>
      </c>
      <c r="K883" s="7">
        <v>3</v>
      </c>
      <c r="L883" t="s">
        <v>247</v>
      </c>
      <c r="M883" t="s">
        <v>261</v>
      </c>
      <c r="N883" s="7">
        <v>771812</v>
      </c>
      <c r="O883" t="s">
        <v>3127</v>
      </c>
      <c r="P883" t="s">
        <v>3128</v>
      </c>
      <c r="S883" t="s">
        <v>152</v>
      </c>
      <c r="T883" t="s">
        <v>3078</v>
      </c>
      <c r="U883" t="s">
        <v>3076</v>
      </c>
      <c r="V883" s="8">
        <v>1250</v>
      </c>
      <c r="W883" s="7">
        <v>588732</v>
      </c>
      <c r="X883" t="s">
        <v>3352</v>
      </c>
      <c r="Y883" s="8">
        <v>1250</v>
      </c>
      <c r="Z883" s="8">
        <v>1475</v>
      </c>
      <c r="AA883" s="8">
        <v>225</v>
      </c>
      <c r="AB883" s="7">
        <v>112199</v>
      </c>
      <c r="AC883" t="s">
        <v>3352</v>
      </c>
      <c r="AD883" s="8">
        <v>0</v>
      </c>
      <c r="AG883" t="s">
        <v>817</v>
      </c>
      <c r="AH883" t="s">
        <v>802</v>
      </c>
      <c r="AI883" t="s">
        <v>818</v>
      </c>
    </row>
    <row r="884" spans="1:35" hidden="1">
      <c r="A884" s="7">
        <v>883</v>
      </c>
      <c r="B884" t="s">
        <v>243</v>
      </c>
      <c r="C884" t="s">
        <v>244</v>
      </c>
      <c r="D884" s="7">
        <v>7134</v>
      </c>
      <c r="E884" t="s">
        <v>245</v>
      </c>
      <c r="F884" t="s">
        <v>246</v>
      </c>
      <c r="G884" t="s">
        <v>3083</v>
      </c>
      <c r="H884" t="s">
        <v>2086</v>
      </c>
      <c r="I884" s="7">
        <v>1165</v>
      </c>
      <c r="J884" s="7">
        <v>7312</v>
      </c>
      <c r="K884" s="7">
        <v>2</v>
      </c>
      <c r="L884" t="s">
        <v>247</v>
      </c>
      <c r="M884" t="s">
        <v>261</v>
      </c>
      <c r="N884" s="7">
        <v>782713</v>
      </c>
      <c r="O884" t="s">
        <v>3084</v>
      </c>
      <c r="P884" t="s">
        <v>3085</v>
      </c>
      <c r="S884" t="s">
        <v>152</v>
      </c>
      <c r="T884" t="s">
        <v>3078</v>
      </c>
      <c r="U884" t="s">
        <v>3076</v>
      </c>
      <c r="V884" s="8">
        <v>1250</v>
      </c>
      <c r="W884" s="7">
        <v>588732</v>
      </c>
      <c r="X884" t="s">
        <v>3352</v>
      </c>
      <c r="Y884" s="8">
        <v>1250</v>
      </c>
      <c r="Z884" s="8">
        <v>1475</v>
      </c>
      <c r="AA884" s="8">
        <v>225</v>
      </c>
      <c r="AB884" s="7">
        <v>112199</v>
      </c>
      <c r="AC884" t="s">
        <v>3352</v>
      </c>
      <c r="AD884" s="8">
        <v>0</v>
      </c>
      <c r="AG884" t="s">
        <v>817</v>
      </c>
      <c r="AH884" t="s">
        <v>802</v>
      </c>
      <c r="AI884" t="s">
        <v>818</v>
      </c>
    </row>
    <row r="885" spans="1:35" hidden="1">
      <c r="A885" s="7">
        <v>884</v>
      </c>
      <c r="B885" t="s">
        <v>243</v>
      </c>
      <c r="C885" t="s">
        <v>244</v>
      </c>
      <c r="D885" s="7">
        <v>7134</v>
      </c>
      <c r="E885" t="s">
        <v>245</v>
      </c>
      <c r="F885" t="s">
        <v>246</v>
      </c>
      <c r="G885" t="s">
        <v>649</v>
      </c>
      <c r="H885" t="s">
        <v>3106</v>
      </c>
      <c r="I885" s="7">
        <v>1165</v>
      </c>
      <c r="J885" s="7">
        <v>5054</v>
      </c>
      <c r="K885" s="7">
        <v>1</v>
      </c>
      <c r="L885" t="s">
        <v>247</v>
      </c>
      <c r="M885" t="s">
        <v>261</v>
      </c>
      <c r="N885" s="7">
        <v>778995</v>
      </c>
      <c r="O885" t="s">
        <v>681</v>
      </c>
      <c r="P885" t="s">
        <v>682</v>
      </c>
      <c r="S885" t="s">
        <v>152</v>
      </c>
      <c r="T885" t="s">
        <v>3078</v>
      </c>
      <c r="U885" t="s">
        <v>3076</v>
      </c>
      <c r="V885" s="8">
        <v>1250</v>
      </c>
      <c r="W885" s="7">
        <v>588732</v>
      </c>
      <c r="X885" t="s">
        <v>3352</v>
      </c>
      <c r="Y885" s="8">
        <v>1250</v>
      </c>
      <c r="Z885" s="8">
        <v>1475</v>
      </c>
      <c r="AA885" s="8">
        <v>225</v>
      </c>
      <c r="AB885" s="7">
        <v>112199</v>
      </c>
      <c r="AC885" t="s">
        <v>3352</v>
      </c>
      <c r="AD885" s="8">
        <v>0</v>
      </c>
      <c r="AG885" t="s">
        <v>808</v>
      </c>
      <c r="AH885" t="s">
        <v>802</v>
      </c>
      <c r="AI885" t="s">
        <v>818</v>
      </c>
    </row>
    <row r="886" spans="1:35" hidden="1">
      <c r="A886" s="7">
        <v>885</v>
      </c>
      <c r="B886" t="s">
        <v>243</v>
      </c>
      <c r="C886" t="s">
        <v>244</v>
      </c>
      <c r="D886" s="7">
        <v>7134</v>
      </c>
      <c r="E886" t="s">
        <v>245</v>
      </c>
      <c r="F886" t="s">
        <v>246</v>
      </c>
      <c r="G886" t="s">
        <v>1128</v>
      </c>
      <c r="H886" t="s">
        <v>3095</v>
      </c>
      <c r="I886" s="7">
        <v>1165</v>
      </c>
      <c r="J886" s="7">
        <v>28908</v>
      </c>
      <c r="K886" s="7">
        <v>6</v>
      </c>
      <c r="L886" t="s">
        <v>247</v>
      </c>
      <c r="M886" t="s">
        <v>252</v>
      </c>
      <c r="N886" s="7">
        <v>322625</v>
      </c>
      <c r="O886" t="s">
        <v>1683</v>
      </c>
      <c r="P886" t="s">
        <v>1684</v>
      </c>
      <c r="S886" t="s">
        <v>152</v>
      </c>
      <c r="T886" t="s">
        <v>3078</v>
      </c>
      <c r="U886" t="s">
        <v>3076</v>
      </c>
      <c r="V886" s="8">
        <v>0</v>
      </c>
      <c r="W886" s="7">
        <v>588732</v>
      </c>
      <c r="X886" t="s">
        <v>3352</v>
      </c>
      <c r="Y886" s="8">
        <v>0</v>
      </c>
      <c r="Z886" s="8">
        <v>0</v>
      </c>
      <c r="AA886" s="8">
        <v>0</v>
      </c>
      <c r="AB886" s="7">
        <v>112199</v>
      </c>
      <c r="AC886" t="s">
        <v>3352</v>
      </c>
      <c r="AD886" s="8">
        <v>0</v>
      </c>
      <c r="AG886" t="s">
        <v>937</v>
      </c>
      <c r="AH886" t="s">
        <v>802</v>
      </c>
      <c r="AI886" t="s">
        <v>803</v>
      </c>
    </row>
    <row r="887" spans="1:35" hidden="1">
      <c r="A887" s="7">
        <v>886</v>
      </c>
      <c r="B887" t="s">
        <v>243</v>
      </c>
      <c r="C887" t="s">
        <v>244</v>
      </c>
      <c r="D887" s="7">
        <v>7134</v>
      </c>
      <c r="E887" t="s">
        <v>245</v>
      </c>
      <c r="F887" t="s">
        <v>246</v>
      </c>
      <c r="G887" t="s">
        <v>1457</v>
      </c>
      <c r="H887" t="s">
        <v>3074</v>
      </c>
      <c r="I887" s="7">
        <v>875</v>
      </c>
      <c r="J887" s="7">
        <v>30000</v>
      </c>
      <c r="K887" s="7">
        <v>2</v>
      </c>
      <c r="L887" t="s">
        <v>247</v>
      </c>
      <c r="M887" t="s">
        <v>261</v>
      </c>
      <c r="N887" s="7">
        <v>796123</v>
      </c>
      <c r="O887" t="s">
        <v>1969</v>
      </c>
      <c r="P887" t="s">
        <v>1970</v>
      </c>
      <c r="S887" t="s">
        <v>152</v>
      </c>
      <c r="T887" t="s">
        <v>3078</v>
      </c>
      <c r="U887" t="s">
        <v>3076</v>
      </c>
      <c r="V887" s="8">
        <v>1250</v>
      </c>
      <c r="W887" s="7">
        <v>588732</v>
      </c>
      <c r="X887" t="s">
        <v>3352</v>
      </c>
      <c r="Y887" s="8">
        <v>1250</v>
      </c>
      <c r="Z887" s="8">
        <v>1475</v>
      </c>
      <c r="AA887" s="8">
        <v>225</v>
      </c>
      <c r="AB887" s="7">
        <v>112199</v>
      </c>
      <c r="AC887" t="s">
        <v>3352</v>
      </c>
      <c r="AD887" s="8">
        <v>0</v>
      </c>
      <c r="AG887" t="s">
        <v>817</v>
      </c>
      <c r="AH887" t="s">
        <v>802</v>
      </c>
      <c r="AI887" t="s">
        <v>818</v>
      </c>
    </row>
    <row r="888" spans="1:35" hidden="1">
      <c r="A888" s="7">
        <v>887</v>
      </c>
      <c r="B888" t="s">
        <v>243</v>
      </c>
      <c r="C888" t="s">
        <v>244</v>
      </c>
      <c r="D888" s="7">
        <v>7134</v>
      </c>
      <c r="E888" t="s">
        <v>245</v>
      </c>
      <c r="F888" t="s">
        <v>246</v>
      </c>
      <c r="G888" t="s">
        <v>1044</v>
      </c>
      <c r="H888" t="s">
        <v>2854</v>
      </c>
      <c r="I888" s="7">
        <v>1165</v>
      </c>
      <c r="J888" s="7">
        <v>25120</v>
      </c>
      <c r="K888" s="7">
        <v>4</v>
      </c>
      <c r="L888" t="s">
        <v>247</v>
      </c>
      <c r="M888" t="s">
        <v>361</v>
      </c>
      <c r="N888" s="7">
        <v>4929</v>
      </c>
      <c r="O888" t="s">
        <v>1250</v>
      </c>
      <c r="P888" t="s">
        <v>1251</v>
      </c>
      <c r="S888" t="s">
        <v>152</v>
      </c>
      <c r="T888" t="s">
        <v>3078</v>
      </c>
      <c r="U888" t="s">
        <v>3076</v>
      </c>
      <c r="V888" s="8">
        <v>0</v>
      </c>
      <c r="W888" s="7">
        <v>588732</v>
      </c>
      <c r="X888" t="s">
        <v>3352</v>
      </c>
      <c r="Y888" s="8">
        <v>0</v>
      </c>
      <c r="Z888" s="8">
        <v>0</v>
      </c>
      <c r="AA888" s="8">
        <v>0</v>
      </c>
      <c r="AB888" s="7">
        <v>112199</v>
      </c>
      <c r="AC888" t="s">
        <v>3352</v>
      </c>
      <c r="AD888" s="8">
        <v>0</v>
      </c>
      <c r="AG888" t="s">
        <v>823</v>
      </c>
      <c r="AH888" t="s">
        <v>802</v>
      </c>
      <c r="AI888" t="s">
        <v>803</v>
      </c>
    </row>
    <row r="889" spans="1:35">
      <c r="A889" s="7">
        <v>888</v>
      </c>
      <c r="B889" t="s">
        <v>243</v>
      </c>
      <c r="C889" t="s">
        <v>244</v>
      </c>
      <c r="D889" s="7">
        <v>7134</v>
      </c>
      <c r="E889" t="s">
        <v>245</v>
      </c>
      <c r="F889" t="s">
        <v>246</v>
      </c>
      <c r="G889" t="s">
        <v>333</v>
      </c>
      <c r="H889" t="s">
        <v>3112</v>
      </c>
      <c r="I889" s="7">
        <v>1165</v>
      </c>
      <c r="J889" s="7">
        <v>3550</v>
      </c>
      <c r="K889" s="7">
        <v>2</v>
      </c>
      <c r="L889" t="s">
        <v>247</v>
      </c>
      <c r="M889" t="s">
        <v>252</v>
      </c>
      <c r="N889" s="7">
        <v>328462</v>
      </c>
      <c r="O889" t="s">
        <v>386</v>
      </c>
      <c r="P889" t="s">
        <v>387</v>
      </c>
      <c r="S889" t="s">
        <v>152</v>
      </c>
      <c r="T889" t="s">
        <v>3078</v>
      </c>
      <c r="U889" t="s">
        <v>3076</v>
      </c>
      <c r="V889" s="8">
        <v>0</v>
      </c>
      <c r="W889" s="7">
        <v>588732</v>
      </c>
      <c r="X889" t="s">
        <v>3352</v>
      </c>
      <c r="Y889" s="8">
        <v>0</v>
      </c>
      <c r="Z889" s="8">
        <v>0</v>
      </c>
      <c r="AA889" s="8">
        <v>0</v>
      </c>
      <c r="AB889" s="7">
        <v>112199</v>
      </c>
      <c r="AC889" t="s">
        <v>3352</v>
      </c>
      <c r="AD889" s="8">
        <v>0</v>
      </c>
      <c r="AG889" t="s">
        <v>937</v>
      </c>
      <c r="AH889" t="s">
        <v>802</v>
      </c>
      <c r="AI889" t="s">
        <v>803</v>
      </c>
    </row>
    <row r="890" spans="1:35" hidden="1">
      <c r="A890" s="7">
        <v>889</v>
      </c>
      <c r="B890" t="s">
        <v>243</v>
      </c>
      <c r="C890" t="s">
        <v>244</v>
      </c>
      <c r="D890" s="7">
        <v>7134</v>
      </c>
      <c r="E890" t="s">
        <v>245</v>
      </c>
      <c r="F890" t="s">
        <v>246</v>
      </c>
      <c r="G890" t="s">
        <v>308</v>
      </c>
      <c r="H890" t="s">
        <v>3098</v>
      </c>
      <c r="I890" s="7">
        <v>1165</v>
      </c>
      <c r="J890" s="7">
        <v>20000</v>
      </c>
      <c r="K890" s="7">
        <v>2</v>
      </c>
      <c r="L890" t="s">
        <v>247</v>
      </c>
      <c r="M890" t="s">
        <v>252</v>
      </c>
      <c r="N890" s="7">
        <v>327885</v>
      </c>
      <c r="O890" t="s">
        <v>310</v>
      </c>
      <c r="P890" t="s">
        <v>311</v>
      </c>
      <c r="S890" t="s">
        <v>152</v>
      </c>
      <c r="T890" t="s">
        <v>3078</v>
      </c>
      <c r="U890" t="s">
        <v>3076</v>
      </c>
      <c r="V890" s="8">
        <v>0</v>
      </c>
      <c r="W890" s="7">
        <v>588732</v>
      </c>
      <c r="X890" t="s">
        <v>3352</v>
      </c>
      <c r="Y890" s="8">
        <v>0</v>
      </c>
      <c r="Z890" s="8">
        <v>0</v>
      </c>
      <c r="AA890" s="8">
        <v>0</v>
      </c>
      <c r="AB890" s="7">
        <v>112199</v>
      </c>
      <c r="AC890" t="s">
        <v>3352</v>
      </c>
      <c r="AD890" s="8">
        <v>0</v>
      </c>
      <c r="AG890" t="s">
        <v>937</v>
      </c>
      <c r="AH890" t="s">
        <v>802</v>
      </c>
      <c r="AI890" t="s">
        <v>803</v>
      </c>
    </row>
    <row r="891" spans="1:35" hidden="1">
      <c r="A891" s="7">
        <v>890</v>
      </c>
      <c r="B891" t="s">
        <v>243</v>
      </c>
      <c r="C891" t="s">
        <v>244</v>
      </c>
      <c r="D891" s="7">
        <v>7134</v>
      </c>
      <c r="E891" t="s">
        <v>245</v>
      </c>
      <c r="F891" t="s">
        <v>246</v>
      </c>
      <c r="G891" t="s">
        <v>988</v>
      </c>
      <c r="H891" t="s">
        <v>3092</v>
      </c>
      <c r="I891" s="7">
        <v>1165</v>
      </c>
      <c r="J891" s="7">
        <v>86880</v>
      </c>
      <c r="K891" s="7">
        <v>9</v>
      </c>
      <c r="L891" t="s">
        <v>247</v>
      </c>
      <c r="M891" t="s">
        <v>261</v>
      </c>
      <c r="N891" s="7">
        <v>775226</v>
      </c>
      <c r="O891" t="s">
        <v>989</v>
      </c>
      <c r="P891" t="s">
        <v>990</v>
      </c>
      <c r="S891" t="s">
        <v>152</v>
      </c>
      <c r="T891" t="s">
        <v>3078</v>
      </c>
      <c r="U891" t="s">
        <v>3076</v>
      </c>
      <c r="V891" s="8">
        <v>0</v>
      </c>
      <c r="W891" s="7">
        <v>588732</v>
      </c>
      <c r="X891" t="s">
        <v>3352</v>
      </c>
      <c r="Y891" s="8">
        <v>0</v>
      </c>
      <c r="Z891" s="8">
        <v>0</v>
      </c>
      <c r="AA891" s="8">
        <v>0</v>
      </c>
      <c r="AB891" s="7">
        <v>112199</v>
      </c>
      <c r="AC891" t="s">
        <v>3352</v>
      </c>
      <c r="AD891" s="8">
        <v>0</v>
      </c>
      <c r="AG891" t="s">
        <v>801</v>
      </c>
      <c r="AH891" t="s">
        <v>802</v>
      </c>
      <c r="AI891" t="s">
        <v>803</v>
      </c>
    </row>
    <row r="892" spans="1:35" hidden="1">
      <c r="A892" s="7">
        <v>891</v>
      </c>
      <c r="B892" t="s">
        <v>243</v>
      </c>
      <c r="C892" t="s">
        <v>244</v>
      </c>
      <c r="D892" s="7">
        <v>7134</v>
      </c>
      <c r="E892" t="s">
        <v>245</v>
      </c>
      <c r="F892" t="s">
        <v>246</v>
      </c>
      <c r="G892" t="s">
        <v>732</v>
      </c>
      <c r="H892" t="s">
        <v>3095</v>
      </c>
      <c r="I892" s="7">
        <v>1165</v>
      </c>
      <c r="J892" s="7">
        <v>10000</v>
      </c>
      <c r="K892" s="7">
        <v>1</v>
      </c>
      <c r="L892" t="s">
        <v>247</v>
      </c>
      <c r="M892" t="s">
        <v>252</v>
      </c>
      <c r="N892" s="7">
        <v>328672</v>
      </c>
      <c r="O892" t="s">
        <v>748</v>
      </c>
      <c r="P892" t="s">
        <v>749</v>
      </c>
      <c r="S892" t="s">
        <v>152</v>
      </c>
      <c r="T892" t="s">
        <v>3078</v>
      </c>
      <c r="U892" t="s">
        <v>3076</v>
      </c>
      <c r="V892" s="8">
        <v>1250</v>
      </c>
      <c r="W892" s="7">
        <v>588732</v>
      </c>
      <c r="X892" t="s">
        <v>3352</v>
      </c>
      <c r="Y892" s="8">
        <v>1250</v>
      </c>
      <c r="Z892" s="8">
        <v>1475</v>
      </c>
      <c r="AA892" s="8">
        <v>225</v>
      </c>
      <c r="AB892" s="7">
        <v>112199</v>
      </c>
      <c r="AC892" t="s">
        <v>3352</v>
      </c>
      <c r="AD892" s="8">
        <v>0</v>
      </c>
      <c r="AG892" t="s">
        <v>937</v>
      </c>
      <c r="AH892" t="s">
        <v>802</v>
      </c>
      <c r="AI892" t="s">
        <v>818</v>
      </c>
    </row>
    <row r="893" spans="1:35" hidden="1">
      <c r="A893" s="7">
        <v>892</v>
      </c>
      <c r="B893" t="s">
        <v>243</v>
      </c>
      <c r="C893" t="s">
        <v>244</v>
      </c>
      <c r="D893" s="7">
        <v>7134</v>
      </c>
      <c r="E893" t="s">
        <v>245</v>
      </c>
      <c r="F893" t="s">
        <v>246</v>
      </c>
      <c r="G893" t="s">
        <v>732</v>
      </c>
      <c r="H893" t="s">
        <v>3096</v>
      </c>
      <c r="I893" s="7">
        <v>1165</v>
      </c>
      <c r="J893" s="7">
        <v>9639</v>
      </c>
      <c r="K893" s="7">
        <v>1</v>
      </c>
      <c r="L893" t="s">
        <v>247</v>
      </c>
      <c r="M893" t="s">
        <v>252</v>
      </c>
      <c r="N893" s="7">
        <v>326024</v>
      </c>
      <c r="O893" t="s">
        <v>734</v>
      </c>
      <c r="P893" t="s">
        <v>735</v>
      </c>
      <c r="S893" t="s">
        <v>152</v>
      </c>
      <c r="T893" t="s">
        <v>3078</v>
      </c>
      <c r="U893" t="s">
        <v>3076</v>
      </c>
      <c r="V893" s="8">
        <v>1250</v>
      </c>
      <c r="W893" s="7">
        <v>588732</v>
      </c>
      <c r="X893" t="s">
        <v>3352</v>
      </c>
      <c r="Y893" s="8">
        <v>1250</v>
      </c>
      <c r="Z893" s="8">
        <v>1475</v>
      </c>
      <c r="AA893" s="8">
        <v>225</v>
      </c>
      <c r="AB893" s="7">
        <v>112199</v>
      </c>
      <c r="AC893" t="s">
        <v>3352</v>
      </c>
      <c r="AD893" s="8">
        <v>0</v>
      </c>
      <c r="AG893" t="s">
        <v>937</v>
      </c>
      <c r="AH893" t="s">
        <v>802</v>
      </c>
      <c r="AI893" t="s">
        <v>818</v>
      </c>
    </row>
    <row r="894" spans="1:35" hidden="1">
      <c r="A894" s="7">
        <v>893</v>
      </c>
      <c r="B894" t="s">
        <v>243</v>
      </c>
      <c r="C894" t="s">
        <v>244</v>
      </c>
      <c r="D894" s="7">
        <v>7134</v>
      </c>
      <c r="E894" t="s">
        <v>245</v>
      </c>
      <c r="F894" t="s">
        <v>246</v>
      </c>
      <c r="G894" t="s">
        <v>3137</v>
      </c>
      <c r="H894" t="s">
        <v>2086</v>
      </c>
      <c r="I894" s="7">
        <v>1165</v>
      </c>
      <c r="J894" s="7">
        <v>23373</v>
      </c>
      <c r="K894" s="7">
        <v>9</v>
      </c>
      <c r="L894" t="s">
        <v>247</v>
      </c>
      <c r="M894" t="s">
        <v>267</v>
      </c>
      <c r="N894" s="7">
        <v>749302</v>
      </c>
      <c r="O894" t="s">
        <v>2373</v>
      </c>
      <c r="P894" t="s">
        <v>2374</v>
      </c>
      <c r="S894" t="s">
        <v>152</v>
      </c>
      <c r="T894" t="s">
        <v>3078</v>
      </c>
      <c r="U894" t="s">
        <v>3076</v>
      </c>
      <c r="V894" s="8">
        <v>0</v>
      </c>
      <c r="W894" s="7">
        <v>588732</v>
      </c>
      <c r="X894" t="s">
        <v>3352</v>
      </c>
      <c r="Y894" s="8">
        <v>0</v>
      </c>
      <c r="Z894" s="8">
        <v>0</v>
      </c>
      <c r="AA894" s="8">
        <v>0</v>
      </c>
      <c r="AB894" s="7">
        <v>112199</v>
      </c>
      <c r="AC894" t="s">
        <v>3352</v>
      </c>
      <c r="AD894" s="8">
        <v>0</v>
      </c>
      <c r="AG894" t="s">
        <v>828</v>
      </c>
      <c r="AH894" t="s">
        <v>802</v>
      </c>
      <c r="AI894" t="s">
        <v>803</v>
      </c>
    </row>
    <row r="895" spans="1:35" hidden="1">
      <c r="A895" s="7">
        <v>894</v>
      </c>
      <c r="B895" t="s">
        <v>243</v>
      </c>
      <c r="C895" t="s">
        <v>244</v>
      </c>
      <c r="D895" s="7">
        <v>7134</v>
      </c>
      <c r="E895" t="s">
        <v>245</v>
      </c>
      <c r="F895" t="s">
        <v>246</v>
      </c>
      <c r="G895" t="s">
        <v>263</v>
      </c>
      <c r="H895" t="s">
        <v>3104</v>
      </c>
      <c r="I895" s="7">
        <v>883</v>
      </c>
      <c r="J895" s="7">
        <v>29668</v>
      </c>
      <c r="K895" s="7">
        <v>2</v>
      </c>
      <c r="L895" t="s">
        <v>247</v>
      </c>
      <c r="M895" t="s">
        <v>261</v>
      </c>
      <c r="N895" s="7">
        <v>798650</v>
      </c>
      <c r="O895" t="s">
        <v>1939</v>
      </c>
      <c r="P895" t="s">
        <v>1940</v>
      </c>
      <c r="S895" t="s">
        <v>152</v>
      </c>
      <c r="T895" t="s">
        <v>3078</v>
      </c>
      <c r="U895" t="s">
        <v>3076</v>
      </c>
      <c r="V895" s="8">
        <v>1250</v>
      </c>
      <c r="W895" s="7">
        <v>588732</v>
      </c>
      <c r="X895" t="s">
        <v>3352</v>
      </c>
      <c r="Y895" s="8">
        <v>1250</v>
      </c>
      <c r="Z895" s="8">
        <v>1475</v>
      </c>
      <c r="AA895" s="8">
        <v>225</v>
      </c>
      <c r="AB895" s="7">
        <v>112199</v>
      </c>
      <c r="AC895" t="s">
        <v>3352</v>
      </c>
      <c r="AD895" s="8">
        <v>0</v>
      </c>
      <c r="AG895" t="s">
        <v>817</v>
      </c>
      <c r="AH895" t="s">
        <v>802</v>
      </c>
      <c r="AI895" t="s">
        <v>818</v>
      </c>
    </row>
    <row r="896" spans="1:35" hidden="1">
      <c r="A896" s="7">
        <v>895</v>
      </c>
      <c r="B896" t="s">
        <v>243</v>
      </c>
      <c r="C896" t="s">
        <v>244</v>
      </c>
      <c r="D896" s="7">
        <v>7134</v>
      </c>
      <c r="E896" t="s">
        <v>245</v>
      </c>
      <c r="F896" t="s">
        <v>246</v>
      </c>
      <c r="G896" t="s">
        <v>333</v>
      </c>
      <c r="H896" t="s">
        <v>3078</v>
      </c>
      <c r="I896" s="7">
        <v>869</v>
      </c>
      <c r="J896" s="7">
        <v>26987</v>
      </c>
      <c r="K896" s="7">
        <v>2</v>
      </c>
      <c r="L896" t="s">
        <v>247</v>
      </c>
      <c r="M896" t="s">
        <v>261</v>
      </c>
      <c r="N896" s="7">
        <v>796545</v>
      </c>
      <c r="O896" t="s">
        <v>3151</v>
      </c>
      <c r="P896" t="s">
        <v>3152</v>
      </c>
      <c r="Q896" t="s">
        <v>283</v>
      </c>
      <c r="R896" t="s">
        <v>1062</v>
      </c>
      <c r="S896" t="s">
        <v>152</v>
      </c>
      <c r="T896" t="s">
        <v>3078</v>
      </c>
      <c r="U896" t="s">
        <v>3076</v>
      </c>
      <c r="V896" s="8">
        <v>1250</v>
      </c>
      <c r="W896" s="7">
        <v>588732</v>
      </c>
      <c r="X896" t="s">
        <v>3352</v>
      </c>
      <c r="Y896" s="8">
        <v>0</v>
      </c>
      <c r="Z896" s="8">
        <v>1475</v>
      </c>
      <c r="AA896" s="8">
        <v>225</v>
      </c>
      <c r="AB896" s="7">
        <v>112199</v>
      </c>
      <c r="AC896" t="s">
        <v>3352</v>
      </c>
      <c r="AD896" s="8">
        <v>1250</v>
      </c>
      <c r="AG896" t="s">
        <v>817</v>
      </c>
      <c r="AH896" t="s">
        <v>802</v>
      </c>
      <c r="AI896" t="s">
        <v>818</v>
      </c>
    </row>
    <row r="897" spans="1:35" hidden="1">
      <c r="A897" s="7">
        <v>896</v>
      </c>
      <c r="B897" t="s">
        <v>243</v>
      </c>
      <c r="C897" t="s">
        <v>244</v>
      </c>
      <c r="D897" s="7">
        <v>7134</v>
      </c>
      <c r="E897" t="s">
        <v>245</v>
      </c>
      <c r="F897" t="s">
        <v>246</v>
      </c>
      <c r="G897" t="s">
        <v>1580</v>
      </c>
      <c r="H897" t="s">
        <v>3108</v>
      </c>
      <c r="I897" s="7">
        <v>1165</v>
      </c>
      <c r="J897" s="7">
        <v>89300</v>
      </c>
      <c r="K897" s="7">
        <v>9</v>
      </c>
      <c r="L897" t="s">
        <v>247</v>
      </c>
      <c r="M897" t="s">
        <v>361</v>
      </c>
      <c r="N897" s="7">
        <v>3489</v>
      </c>
      <c r="O897" t="s">
        <v>1581</v>
      </c>
      <c r="P897" t="s">
        <v>1582</v>
      </c>
      <c r="S897" t="s">
        <v>152</v>
      </c>
      <c r="T897" t="s">
        <v>3078</v>
      </c>
      <c r="U897" t="s">
        <v>3076</v>
      </c>
      <c r="V897" s="8">
        <v>0</v>
      </c>
      <c r="W897" s="7">
        <v>588732</v>
      </c>
      <c r="X897" t="s">
        <v>3352</v>
      </c>
      <c r="Y897" s="8">
        <v>0</v>
      </c>
      <c r="Z897" s="8">
        <v>0</v>
      </c>
      <c r="AA897" s="8">
        <v>0</v>
      </c>
      <c r="AB897" s="7">
        <v>112199</v>
      </c>
      <c r="AC897" t="s">
        <v>3352</v>
      </c>
      <c r="AD897" s="8">
        <v>0</v>
      </c>
      <c r="AG897" t="s">
        <v>823</v>
      </c>
      <c r="AH897" t="s">
        <v>802</v>
      </c>
      <c r="AI897" t="s">
        <v>803</v>
      </c>
    </row>
    <row r="898" spans="1:35" hidden="1">
      <c r="A898" s="7">
        <v>897</v>
      </c>
      <c r="B898" t="s">
        <v>243</v>
      </c>
      <c r="C898" t="s">
        <v>244</v>
      </c>
      <c r="D898" s="7">
        <v>7134</v>
      </c>
      <c r="E898" t="s">
        <v>245</v>
      </c>
      <c r="F898" t="s">
        <v>246</v>
      </c>
      <c r="G898" t="s">
        <v>1180</v>
      </c>
      <c r="H898" t="s">
        <v>1803</v>
      </c>
      <c r="I898" s="7">
        <v>1165</v>
      </c>
      <c r="J898" s="7">
        <v>69300</v>
      </c>
      <c r="K898" s="7">
        <v>7</v>
      </c>
      <c r="L898" t="s">
        <v>247</v>
      </c>
      <c r="M898" t="s">
        <v>261</v>
      </c>
      <c r="N898" s="7">
        <v>774600</v>
      </c>
      <c r="O898" t="s">
        <v>1181</v>
      </c>
      <c r="P898" t="s">
        <v>1182</v>
      </c>
      <c r="S898" t="s">
        <v>152</v>
      </c>
      <c r="T898" t="s">
        <v>3078</v>
      </c>
      <c r="U898" t="s">
        <v>3076</v>
      </c>
      <c r="V898" s="8">
        <v>0</v>
      </c>
      <c r="W898" s="7">
        <v>588732</v>
      </c>
      <c r="X898" t="s">
        <v>3352</v>
      </c>
      <c r="Y898" s="8">
        <v>0</v>
      </c>
      <c r="Z898" s="8">
        <v>0</v>
      </c>
      <c r="AA898" s="8">
        <v>0</v>
      </c>
      <c r="AB898" s="7">
        <v>112199</v>
      </c>
      <c r="AC898" t="s">
        <v>3352</v>
      </c>
      <c r="AD898" s="8">
        <v>0</v>
      </c>
      <c r="AG898" t="s">
        <v>801</v>
      </c>
      <c r="AH898" t="s">
        <v>802</v>
      </c>
      <c r="AI898" t="s">
        <v>803</v>
      </c>
    </row>
    <row r="899" spans="1:35" hidden="1">
      <c r="A899" s="7">
        <v>898</v>
      </c>
      <c r="B899" t="s">
        <v>243</v>
      </c>
      <c r="C899" t="s">
        <v>244</v>
      </c>
      <c r="D899" s="7">
        <v>7134</v>
      </c>
      <c r="E899" t="s">
        <v>245</v>
      </c>
      <c r="F899" t="s">
        <v>246</v>
      </c>
      <c r="G899" t="s">
        <v>273</v>
      </c>
      <c r="H899" t="s">
        <v>3138</v>
      </c>
      <c r="I899" s="7">
        <v>1165</v>
      </c>
      <c r="J899" s="7">
        <v>1981</v>
      </c>
      <c r="K899" s="7">
        <v>1</v>
      </c>
      <c r="L899" t="s">
        <v>247</v>
      </c>
      <c r="M899" t="s">
        <v>261</v>
      </c>
      <c r="N899" s="7">
        <v>796641</v>
      </c>
      <c r="O899" t="s">
        <v>275</v>
      </c>
      <c r="P899" t="s">
        <v>276</v>
      </c>
      <c r="S899" t="s">
        <v>152</v>
      </c>
      <c r="T899" t="s">
        <v>3078</v>
      </c>
      <c r="U899" t="s">
        <v>3076</v>
      </c>
      <c r="V899" s="8">
        <v>1250</v>
      </c>
      <c r="W899" s="7">
        <v>588732</v>
      </c>
      <c r="X899" t="s">
        <v>3352</v>
      </c>
      <c r="Y899" s="8">
        <v>1250</v>
      </c>
      <c r="Z899" s="8">
        <v>1475</v>
      </c>
      <c r="AA899" s="8">
        <v>225</v>
      </c>
      <c r="AB899" s="7">
        <v>112199</v>
      </c>
      <c r="AC899" t="s">
        <v>3352</v>
      </c>
      <c r="AD899" s="8">
        <v>0</v>
      </c>
      <c r="AG899" t="s">
        <v>817</v>
      </c>
      <c r="AH899" t="s">
        <v>802</v>
      </c>
      <c r="AI899" t="s">
        <v>818</v>
      </c>
    </row>
    <row r="900" spans="1:35" hidden="1">
      <c r="A900" s="7">
        <v>899</v>
      </c>
      <c r="B900" t="s">
        <v>243</v>
      </c>
      <c r="C900" t="s">
        <v>244</v>
      </c>
      <c r="D900" s="7">
        <v>7134</v>
      </c>
      <c r="E900" t="s">
        <v>245</v>
      </c>
      <c r="F900" t="s">
        <v>246</v>
      </c>
      <c r="G900" t="s">
        <v>1450</v>
      </c>
      <c r="H900" t="s">
        <v>3111</v>
      </c>
      <c r="I900" s="7">
        <v>2500</v>
      </c>
      <c r="J900" s="7">
        <v>29650</v>
      </c>
      <c r="K900" s="7">
        <v>3</v>
      </c>
      <c r="L900" t="s">
        <v>247</v>
      </c>
      <c r="M900" t="s">
        <v>261</v>
      </c>
      <c r="N900" s="7">
        <v>792320</v>
      </c>
      <c r="O900" t="s">
        <v>1460</v>
      </c>
      <c r="P900" t="s">
        <v>1461</v>
      </c>
      <c r="S900" t="s">
        <v>152</v>
      </c>
      <c r="T900" t="s">
        <v>3078</v>
      </c>
      <c r="U900" t="s">
        <v>3076</v>
      </c>
      <c r="V900" s="8">
        <v>1250</v>
      </c>
      <c r="W900" s="7">
        <v>588732</v>
      </c>
      <c r="X900" t="s">
        <v>3352</v>
      </c>
      <c r="Y900" s="8">
        <v>1250</v>
      </c>
      <c r="Z900" s="8">
        <v>1475</v>
      </c>
      <c r="AA900" s="8">
        <v>225</v>
      </c>
      <c r="AB900" s="7">
        <v>112199</v>
      </c>
      <c r="AC900" t="s">
        <v>3352</v>
      </c>
      <c r="AD900" s="8">
        <v>0</v>
      </c>
      <c r="AG900" t="s">
        <v>801</v>
      </c>
      <c r="AH900" t="s">
        <v>802</v>
      </c>
      <c r="AI900" t="s">
        <v>818</v>
      </c>
    </row>
    <row r="901" spans="1:35" hidden="1">
      <c r="A901" s="7">
        <v>900</v>
      </c>
      <c r="B901" t="s">
        <v>243</v>
      </c>
      <c r="C901" t="s">
        <v>244</v>
      </c>
      <c r="D901" s="7">
        <v>7134</v>
      </c>
      <c r="E901" t="s">
        <v>245</v>
      </c>
      <c r="F901" t="s">
        <v>246</v>
      </c>
      <c r="G901" t="s">
        <v>878</v>
      </c>
      <c r="H901" t="s">
        <v>3086</v>
      </c>
      <c r="I901" s="7">
        <v>1150</v>
      </c>
      <c r="J901" s="7">
        <v>41000</v>
      </c>
      <c r="K901" s="7">
        <v>5</v>
      </c>
      <c r="L901" t="s">
        <v>247</v>
      </c>
      <c r="M901" t="s">
        <v>261</v>
      </c>
      <c r="N901" s="7">
        <v>787826</v>
      </c>
      <c r="O901" t="s">
        <v>3087</v>
      </c>
      <c r="P901" t="s">
        <v>3088</v>
      </c>
      <c r="S901" t="s">
        <v>152</v>
      </c>
      <c r="T901" t="s">
        <v>3078</v>
      </c>
      <c r="U901" t="s">
        <v>3076</v>
      </c>
      <c r="V901" s="8">
        <v>1250</v>
      </c>
      <c r="W901" s="7">
        <v>588732</v>
      </c>
      <c r="X901" t="s">
        <v>3352</v>
      </c>
      <c r="Y901" s="8">
        <v>1250</v>
      </c>
      <c r="Z901" s="8">
        <v>1475</v>
      </c>
      <c r="AA901" s="8">
        <v>225</v>
      </c>
      <c r="AB901" s="7">
        <v>112199</v>
      </c>
      <c r="AC901" t="s">
        <v>3352</v>
      </c>
      <c r="AD901" s="8">
        <v>0</v>
      </c>
      <c r="AG901" t="s">
        <v>801</v>
      </c>
      <c r="AH901" t="s">
        <v>802</v>
      </c>
      <c r="AI901" t="s">
        <v>818</v>
      </c>
    </row>
    <row r="902" spans="1:35" hidden="1">
      <c r="A902" s="7">
        <v>901</v>
      </c>
      <c r="B902" t="s">
        <v>243</v>
      </c>
      <c r="C902" t="s">
        <v>244</v>
      </c>
      <c r="D902" s="7">
        <v>7134</v>
      </c>
      <c r="E902" t="s">
        <v>245</v>
      </c>
      <c r="F902" t="s">
        <v>246</v>
      </c>
      <c r="G902" t="s">
        <v>263</v>
      </c>
      <c r="H902" t="s">
        <v>3097</v>
      </c>
      <c r="I902" s="7">
        <v>872</v>
      </c>
      <c r="J902" s="7">
        <v>26266</v>
      </c>
      <c r="K902" s="7">
        <v>2</v>
      </c>
      <c r="L902" t="s">
        <v>247</v>
      </c>
      <c r="M902" t="s">
        <v>261</v>
      </c>
      <c r="N902" s="7">
        <v>796573</v>
      </c>
      <c r="O902" t="s">
        <v>2041</v>
      </c>
      <c r="P902" t="s">
        <v>2042</v>
      </c>
      <c r="S902" t="s">
        <v>152</v>
      </c>
      <c r="T902" t="s">
        <v>3078</v>
      </c>
      <c r="U902" t="s">
        <v>3076</v>
      </c>
      <c r="V902" s="8">
        <v>1250</v>
      </c>
      <c r="W902" s="7">
        <v>588732</v>
      </c>
      <c r="X902" t="s">
        <v>3352</v>
      </c>
      <c r="Y902" s="8">
        <v>1250</v>
      </c>
      <c r="Z902" s="8">
        <v>1475</v>
      </c>
      <c r="AA902" s="8">
        <v>225</v>
      </c>
      <c r="AB902" s="7">
        <v>112199</v>
      </c>
      <c r="AC902" t="s">
        <v>3352</v>
      </c>
      <c r="AD902" s="8">
        <v>0</v>
      </c>
      <c r="AG902" t="s">
        <v>817</v>
      </c>
      <c r="AH902" t="s">
        <v>802</v>
      </c>
      <c r="AI902" t="s">
        <v>818</v>
      </c>
    </row>
    <row r="903" spans="1:35" hidden="1">
      <c r="A903" s="7">
        <v>902</v>
      </c>
      <c r="B903" t="s">
        <v>243</v>
      </c>
      <c r="C903" t="s">
        <v>244</v>
      </c>
      <c r="D903" s="7">
        <v>7134</v>
      </c>
      <c r="E903" t="s">
        <v>245</v>
      </c>
      <c r="F903" t="s">
        <v>246</v>
      </c>
      <c r="G903" t="s">
        <v>1197</v>
      </c>
      <c r="H903" t="s">
        <v>3089</v>
      </c>
      <c r="I903" s="7">
        <v>1165</v>
      </c>
      <c r="J903" s="7">
        <v>19466</v>
      </c>
      <c r="K903" s="7">
        <v>3</v>
      </c>
      <c r="L903" t="s">
        <v>247</v>
      </c>
      <c r="M903" t="s">
        <v>267</v>
      </c>
      <c r="N903" s="7">
        <v>789052</v>
      </c>
      <c r="O903" t="s">
        <v>1528</v>
      </c>
      <c r="P903" t="s">
        <v>1529</v>
      </c>
      <c r="S903" t="s">
        <v>152</v>
      </c>
      <c r="T903" t="s">
        <v>3078</v>
      </c>
      <c r="U903" t="s">
        <v>3076</v>
      </c>
      <c r="V903" s="8">
        <v>1250</v>
      </c>
      <c r="W903" s="7">
        <v>588732</v>
      </c>
      <c r="X903" t="s">
        <v>3352</v>
      </c>
      <c r="Y903" s="8">
        <v>1250</v>
      </c>
      <c r="Z903" s="8">
        <v>1475</v>
      </c>
      <c r="AA903" s="8">
        <v>225</v>
      </c>
      <c r="AB903" s="7">
        <v>112199</v>
      </c>
      <c r="AC903" t="s">
        <v>3352</v>
      </c>
      <c r="AD903" s="8">
        <v>0</v>
      </c>
      <c r="AG903" t="s">
        <v>828</v>
      </c>
      <c r="AH903" t="s">
        <v>802</v>
      </c>
      <c r="AI903" t="s">
        <v>818</v>
      </c>
    </row>
    <row r="904" spans="1:35" hidden="1">
      <c r="A904" s="7">
        <v>903</v>
      </c>
      <c r="B904" t="s">
        <v>243</v>
      </c>
      <c r="C904" t="s">
        <v>244</v>
      </c>
      <c r="D904" s="7">
        <v>7134</v>
      </c>
      <c r="E904" t="s">
        <v>245</v>
      </c>
      <c r="F904" t="s">
        <v>246</v>
      </c>
      <c r="G904" t="s">
        <v>1382</v>
      </c>
      <c r="H904" t="s">
        <v>3074</v>
      </c>
      <c r="I904" s="7">
        <v>1165</v>
      </c>
      <c r="J904" s="7">
        <v>37880</v>
      </c>
      <c r="K904" s="7">
        <v>4</v>
      </c>
      <c r="L904" t="s">
        <v>247</v>
      </c>
      <c r="M904" t="s">
        <v>361</v>
      </c>
      <c r="N904" s="7">
        <v>4952</v>
      </c>
      <c r="O904" t="s">
        <v>1383</v>
      </c>
      <c r="P904" t="s">
        <v>1384</v>
      </c>
      <c r="S904" t="s">
        <v>152</v>
      </c>
      <c r="T904" t="s">
        <v>3078</v>
      </c>
      <c r="U904" t="s">
        <v>3076</v>
      </c>
      <c r="V904" s="8">
        <v>0</v>
      </c>
      <c r="W904" s="7">
        <v>588732</v>
      </c>
      <c r="X904" t="s">
        <v>3352</v>
      </c>
      <c r="Y904" s="8">
        <v>0</v>
      </c>
      <c r="Z904" s="8">
        <v>0</v>
      </c>
      <c r="AA904" s="8">
        <v>0</v>
      </c>
      <c r="AB904" s="7">
        <v>112199</v>
      </c>
      <c r="AC904" t="s">
        <v>3352</v>
      </c>
      <c r="AD904" s="8">
        <v>0</v>
      </c>
      <c r="AG904" t="s">
        <v>823</v>
      </c>
      <c r="AH904" t="s">
        <v>802</v>
      </c>
      <c r="AI904" t="s">
        <v>803</v>
      </c>
    </row>
    <row r="905" spans="1:35" hidden="1">
      <c r="A905" s="7">
        <v>904</v>
      </c>
      <c r="B905" t="s">
        <v>243</v>
      </c>
      <c r="C905" t="s">
        <v>244</v>
      </c>
      <c r="D905" s="7">
        <v>7134</v>
      </c>
      <c r="E905" t="s">
        <v>245</v>
      </c>
      <c r="F905" t="s">
        <v>246</v>
      </c>
      <c r="G905" t="s">
        <v>1479</v>
      </c>
      <c r="H905" t="s">
        <v>3106</v>
      </c>
      <c r="I905" s="7">
        <v>1165</v>
      </c>
      <c r="J905" s="7">
        <v>18637</v>
      </c>
      <c r="K905" s="7">
        <v>3</v>
      </c>
      <c r="L905" t="s">
        <v>247</v>
      </c>
      <c r="M905" t="s">
        <v>261</v>
      </c>
      <c r="N905" s="7">
        <v>792099</v>
      </c>
      <c r="O905" t="s">
        <v>1480</v>
      </c>
      <c r="P905" t="s">
        <v>1481</v>
      </c>
      <c r="S905" t="s">
        <v>152</v>
      </c>
      <c r="T905" t="s">
        <v>3078</v>
      </c>
      <c r="U905" t="s">
        <v>3076</v>
      </c>
      <c r="V905" s="8">
        <v>1250</v>
      </c>
      <c r="W905" s="7">
        <v>588732</v>
      </c>
      <c r="X905" t="s">
        <v>3352</v>
      </c>
      <c r="Y905" s="8">
        <v>1250</v>
      </c>
      <c r="Z905" s="8">
        <v>1475</v>
      </c>
      <c r="AA905" s="8">
        <v>225</v>
      </c>
      <c r="AB905" s="7">
        <v>112199</v>
      </c>
      <c r="AC905" t="s">
        <v>3352</v>
      </c>
      <c r="AD905" s="8">
        <v>0</v>
      </c>
      <c r="AG905" t="s">
        <v>801</v>
      </c>
      <c r="AH905" t="s">
        <v>802</v>
      </c>
      <c r="AI905" t="s">
        <v>818</v>
      </c>
    </row>
    <row r="906" spans="1:35" hidden="1">
      <c r="A906" s="7">
        <v>905</v>
      </c>
      <c r="B906" t="s">
        <v>243</v>
      </c>
      <c r="C906" t="s">
        <v>244</v>
      </c>
      <c r="D906" s="7">
        <v>7134</v>
      </c>
      <c r="E906" t="s">
        <v>245</v>
      </c>
      <c r="F906" t="s">
        <v>246</v>
      </c>
      <c r="G906" t="s">
        <v>333</v>
      </c>
      <c r="H906" t="s">
        <v>3112</v>
      </c>
      <c r="I906" s="7">
        <v>1165</v>
      </c>
      <c r="J906" s="7">
        <v>4890</v>
      </c>
      <c r="K906" s="7">
        <v>2</v>
      </c>
      <c r="L906" t="s">
        <v>247</v>
      </c>
      <c r="M906" t="s">
        <v>252</v>
      </c>
      <c r="N906" s="7">
        <v>328028</v>
      </c>
      <c r="O906" t="s">
        <v>335</v>
      </c>
      <c r="P906" t="s">
        <v>336</v>
      </c>
      <c r="S906" t="s">
        <v>152</v>
      </c>
      <c r="T906" t="s">
        <v>3078</v>
      </c>
      <c r="U906" t="s">
        <v>3076</v>
      </c>
      <c r="V906" s="8">
        <v>0</v>
      </c>
      <c r="W906" s="7">
        <v>588732</v>
      </c>
      <c r="X906" t="s">
        <v>3352</v>
      </c>
      <c r="Y906" s="8">
        <v>0</v>
      </c>
      <c r="Z906" s="8">
        <v>0</v>
      </c>
      <c r="AA906" s="8">
        <v>0</v>
      </c>
      <c r="AB906" s="7">
        <v>112199</v>
      </c>
      <c r="AC906" t="s">
        <v>3352</v>
      </c>
      <c r="AD906" s="8">
        <v>0</v>
      </c>
      <c r="AG906" t="s">
        <v>937</v>
      </c>
      <c r="AH906" t="s">
        <v>802</v>
      </c>
      <c r="AI906" t="s">
        <v>803</v>
      </c>
    </row>
    <row r="907" spans="1:35" hidden="1">
      <c r="A907" s="7">
        <v>906</v>
      </c>
      <c r="B907" t="s">
        <v>243</v>
      </c>
      <c r="C907" t="s">
        <v>244</v>
      </c>
      <c r="D907" s="7">
        <v>7134</v>
      </c>
      <c r="E907" t="s">
        <v>245</v>
      </c>
      <c r="F907" t="s">
        <v>246</v>
      </c>
      <c r="G907" t="s">
        <v>263</v>
      </c>
      <c r="H907" t="s">
        <v>3089</v>
      </c>
      <c r="I907" s="7">
        <v>1165</v>
      </c>
      <c r="J907" s="7">
        <v>4762</v>
      </c>
      <c r="K907" s="7">
        <v>2</v>
      </c>
      <c r="L907" t="s">
        <v>247</v>
      </c>
      <c r="M907" t="s">
        <v>267</v>
      </c>
      <c r="N907" s="7">
        <v>794594</v>
      </c>
      <c r="O907" t="s">
        <v>479</v>
      </c>
      <c r="P907" t="s">
        <v>480</v>
      </c>
      <c r="S907" t="s">
        <v>152</v>
      </c>
      <c r="T907" t="s">
        <v>3078</v>
      </c>
      <c r="U907" t="s">
        <v>3076</v>
      </c>
      <c r="V907" s="8">
        <v>0</v>
      </c>
      <c r="W907" s="7">
        <v>588732</v>
      </c>
      <c r="X907" t="s">
        <v>3352</v>
      </c>
      <c r="Y907" s="8">
        <v>0</v>
      </c>
      <c r="Z907" s="8">
        <v>0</v>
      </c>
      <c r="AA907" s="8">
        <v>0</v>
      </c>
      <c r="AB907" s="7">
        <v>112199</v>
      </c>
      <c r="AC907" t="s">
        <v>3352</v>
      </c>
      <c r="AD907" s="8">
        <v>0</v>
      </c>
      <c r="AG907" t="s">
        <v>828</v>
      </c>
      <c r="AH907" t="s">
        <v>802</v>
      </c>
      <c r="AI907" t="s">
        <v>803</v>
      </c>
    </row>
    <row r="908" spans="1:35" hidden="1">
      <c r="A908" s="7">
        <v>907</v>
      </c>
      <c r="B908" t="s">
        <v>243</v>
      </c>
      <c r="C908" t="s">
        <v>244</v>
      </c>
      <c r="D908" s="7">
        <v>7134</v>
      </c>
      <c r="E908" t="s">
        <v>245</v>
      </c>
      <c r="F908" t="s">
        <v>246</v>
      </c>
      <c r="G908" t="s">
        <v>1156</v>
      </c>
      <c r="H908" t="s">
        <v>3092</v>
      </c>
      <c r="I908" s="7">
        <v>1165</v>
      </c>
      <c r="J908" s="7">
        <v>9324</v>
      </c>
      <c r="K908" s="7">
        <v>4</v>
      </c>
      <c r="L908" t="s">
        <v>247</v>
      </c>
      <c r="M908" t="s">
        <v>252</v>
      </c>
      <c r="N908" s="7">
        <v>324754</v>
      </c>
      <c r="O908" t="s">
        <v>1477</v>
      </c>
      <c r="P908" t="s">
        <v>1478</v>
      </c>
      <c r="Q908" t="s">
        <v>870</v>
      </c>
      <c r="R908" t="s">
        <v>871</v>
      </c>
      <c r="S908" t="s">
        <v>152</v>
      </c>
      <c r="T908" t="s">
        <v>3078</v>
      </c>
      <c r="U908" t="s">
        <v>3076</v>
      </c>
      <c r="V908" s="8">
        <v>0</v>
      </c>
      <c r="W908" s="7">
        <v>588732</v>
      </c>
      <c r="X908" t="s">
        <v>3352</v>
      </c>
      <c r="Y908" s="8">
        <v>0</v>
      </c>
      <c r="Z908" s="8">
        <v>0</v>
      </c>
      <c r="AA908" s="8">
        <v>0</v>
      </c>
      <c r="AB908" s="7">
        <v>112199</v>
      </c>
      <c r="AC908" t="s">
        <v>3352</v>
      </c>
      <c r="AD908" s="8">
        <v>0</v>
      </c>
      <c r="AG908" t="s">
        <v>937</v>
      </c>
      <c r="AH908" t="s">
        <v>802</v>
      </c>
      <c r="AI908" t="s">
        <v>803</v>
      </c>
    </row>
    <row r="909" spans="1:35" hidden="1">
      <c r="A909" s="7">
        <v>908</v>
      </c>
      <c r="B909" t="s">
        <v>243</v>
      </c>
      <c r="C909" t="s">
        <v>244</v>
      </c>
      <c r="D909" s="7">
        <v>7134</v>
      </c>
      <c r="E909" t="s">
        <v>245</v>
      </c>
      <c r="F909" t="s">
        <v>246</v>
      </c>
      <c r="G909" t="s">
        <v>1101</v>
      </c>
      <c r="H909" t="s">
        <v>3074</v>
      </c>
      <c r="I909" s="7">
        <v>1165</v>
      </c>
      <c r="J909" s="7">
        <v>40000</v>
      </c>
      <c r="K909" s="7">
        <v>4</v>
      </c>
      <c r="L909" t="s">
        <v>247</v>
      </c>
      <c r="M909" t="s">
        <v>361</v>
      </c>
      <c r="N909" s="7">
        <v>5597</v>
      </c>
      <c r="O909" t="s">
        <v>1419</v>
      </c>
      <c r="P909" t="s">
        <v>1420</v>
      </c>
      <c r="S909" t="s">
        <v>152</v>
      </c>
      <c r="T909" t="s">
        <v>3078</v>
      </c>
      <c r="U909" t="s">
        <v>3076</v>
      </c>
      <c r="V909" s="8">
        <v>0</v>
      </c>
      <c r="W909" s="7">
        <v>588732</v>
      </c>
      <c r="X909" t="s">
        <v>3352</v>
      </c>
      <c r="Y909" s="8">
        <v>0</v>
      </c>
      <c r="Z909" s="8">
        <v>0</v>
      </c>
      <c r="AA909" s="8">
        <v>0</v>
      </c>
      <c r="AB909" s="7">
        <v>112199</v>
      </c>
      <c r="AC909" t="s">
        <v>3352</v>
      </c>
      <c r="AD909" s="8">
        <v>0</v>
      </c>
      <c r="AG909" t="s">
        <v>823</v>
      </c>
      <c r="AH909" t="s">
        <v>802</v>
      </c>
      <c r="AI909" t="s">
        <v>803</v>
      </c>
    </row>
    <row r="910" spans="1:35" hidden="1">
      <c r="A910" s="7">
        <v>909</v>
      </c>
      <c r="B910" t="s">
        <v>243</v>
      </c>
      <c r="C910" t="s">
        <v>244</v>
      </c>
      <c r="D910" s="7">
        <v>7134</v>
      </c>
      <c r="E910" t="s">
        <v>245</v>
      </c>
      <c r="F910" t="s">
        <v>246</v>
      </c>
      <c r="G910" t="s">
        <v>3107</v>
      </c>
      <c r="H910" t="s">
        <v>3108</v>
      </c>
      <c r="I910" s="7">
        <v>1165</v>
      </c>
      <c r="J910" s="7">
        <v>13626</v>
      </c>
      <c r="K910" s="7">
        <v>5</v>
      </c>
      <c r="L910" t="s">
        <v>247</v>
      </c>
      <c r="M910" t="s">
        <v>261</v>
      </c>
      <c r="N910" s="7">
        <v>781991</v>
      </c>
      <c r="O910" t="s">
        <v>3109</v>
      </c>
      <c r="P910" t="s">
        <v>3110</v>
      </c>
      <c r="S910" t="s">
        <v>152</v>
      </c>
      <c r="T910" t="s">
        <v>3078</v>
      </c>
      <c r="U910" t="s">
        <v>3076</v>
      </c>
      <c r="V910" s="8">
        <v>1250</v>
      </c>
      <c r="W910" s="7">
        <v>588732</v>
      </c>
      <c r="X910" t="s">
        <v>3352</v>
      </c>
      <c r="Y910" s="8">
        <v>1250</v>
      </c>
      <c r="Z910" s="8">
        <v>1475</v>
      </c>
      <c r="AA910" s="8">
        <v>225</v>
      </c>
      <c r="AB910" s="7">
        <v>112199</v>
      </c>
      <c r="AC910" t="s">
        <v>3352</v>
      </c>
      <c r="AD910" s="8">
        <v>0</v>
      </c>
      <c r="AG910" t="s">
        <v>808</v>
      </c>
      <c r="AH910" t="s">
        <v>802</v>
      </c>
      <c r="AI910" t="s">
        <v>818</v>
      </c>
    </row>
    <row r="911" spans="1:35" hidden="1">
      <c r="A911" s="7">
        <v>910</v>
      </c>
      <c r="B911" t="s">
        <v>243</v>
      </c>
      <c r="C911" t="s">
        <v>244</v>
      </c>
      <c r="D911" s="7">
        <v>7134</v>
      </c>
      <c r="E911" t="s">
        <v>245</v>
      </c>
      <c r="F911" t="s">
        <v>246</v>
      </c>
      <c r="G911" t="s">
        <v>263</v>
      </c>
      <c r="H911" t="s">
        <v>2854</v>
      </c>
      <c r="I911" s="7">
        <v>1165</v>
      </c>
      <c r="J911" s="7">
        <v>2832</v>
      </c>
      <c r="K911" s="7">
        <v>1</v>
      </c>
      <c r="L911" t="s">
        <v>247</v>
      </c>
      <c r="M911" t="s">
        <v>267</v>
      </c>
      <c r="N911" s="7">
        <v>784699</v>
      </c>
      <c r="O911" t="s">
        <v>265</v>
      </c>
      <c r="P911" t="s">
        <v>266</v>
      </c>
      <c r="S911" t="s">
        <v>152</v>
      </c>
      <c r="T911" t="s">
        <v>3078</v>
      </c>
      <c r="U911" t="s">
        <v>3076</v>
      </c>
      <c r="V911" s="8">
        <v>1250</v>
      </c>
      <c r="W911" s="7">
        <v>588732</v>
      </c>
      <c r="X911" t="s">
        <v>3352</v>
      </c>
      <c r="Y911" s="8">
        <v>1250</v>
      </c>
      <c r="Z911" s="8">
        <v>1475</v>
      </c>
      <c r="AA911" s="8">
        <v>225</v>
      </c>
      <c r="AB911" s="7">
        <v>112199</v>
      </c>
      <c r="AC911" t="s">
        <v>3352</v>
      </c>
      <c r="AD911" s="8">
        <v>0</v>
      </c>
      <c r="AG911" t="s">
        <v>1124</v>
      </c>
      <c r="AH911" t="s">
        <v>802</v>
      </c>
      <c r="AI911" t="s">
        <v>818</v>
      </c>
    </row>
    <row r="912" spans="1:35" hidden="1">
      <c r="A912" s="7">
        <v>911</v>
      </c>
      <c r="B912" t="s">
        <v>243</v>
      </c>
      <c r="C912" t="s">
        <v>244</v>
      </c>
      <c r="D912" s="7">
        <v>7134</v>
      </c>
      <c r="E912" t="s">
        <v>245</v>
      </c>
      <c r="F912" t="s">
        <v>246</v>
      </c>
      <c r="G912" t="s">
        <v>1194</v>
      </c>
      <c r="H912" t="s">
        <v>3092</v>
      </c>
      <c r="I912" s="7">
        <v>1165</v>
      </c>
      <c r="J912" s="7">
        <v>80000</v>
      </c>
      <c r="K912" s="7">
        <v>8</v>
      </c>
      <c r="L912" t="s">
        <v>247</v>
      </c>
      <c r="M912" t="s">
        <v>267</v>
      </c>
      <c r="N912" s="7">
        <v>776069</v>
      </c>
      <c r="O912" t="s">
        <v>1493</v>
      </c>
      <c r="P912" t="s">
        <v>1494</v>
      </c>
      <c r="S912" t="s">
        <v>152</v>
      </c>
      <c r="T912" t="s">
        <v>3078</v>
      </c>
      <c r="U912" t="s">
        <v>3076</v>
      </c>
      <c r="V912" s="8">
        <v>1250</v>
      </c>
      <c r="W912" s="7">
        <v>588732</v>
      </c>
      <c r="X912" t="s">
        <v>3352</v>
      </c>
      <c r="Y912" s="8">
        <v>1250</v>
      </c>
      <c r="Z912" s="8">
        <v>1475</v>
      </c>
      <c r="AA912" s="8">
        <v>225</v>
      </c>
      <c r="AB912" s="7">
        <v>112199</v>
      </c>
      <c r="AC912" t="s">
        <v>3352</v>
      </c>
      <c r="AD912" s="8">
        <v>0</v>
      </c>
      <c r="AG912" t="s">
        <v>828</v>
      </c>
      <c r="AH912" t="s">
        <v>802</v>
      </c>
      <c r="AI912" t="s">
        <v>818</v>
      </c>
    </row>
    <row r="913" spans="1:35" hidden="1">
      <c r="A913" s="7">
        <v>912</v>
      </c>
      <c r="B913" t="s">
        <v>243</v>
      </c>
      <c r="C913" t="s">
        <v>244</v>
      </c>
      <c r="D913" s="7">
        <v>7134</v>
      </c>
      <c r="E913" t="s">
        <v>245</v>
      </c>
      <c r="F913" t="s">
        <v>246</v>
      </c>
      <c r="G913" t="s">
        <v>1085</v>
      </c>
      <c r="H913" t="s">
        <v>3077</v>
      </c>
      <c r="I913" s="7">
        <v>1165</v>
      </c>
      <c r="J913" s="7">
        <v>49775</v>
      </c>
      <c r="K913" s="7">
        <v>5</v>
      </c>
      <c r="L913" t="s">
        <v>247</v>
      </c>
      <c r="M913" t="s">
        <v>261</v>
      </c>
      <c r="N913" s="7">
        <v>787041</v>
      </c>
      <c r="O913" t="s">
        <v>1151</v>
      </c>
      <c r="P913" t="s">
        <v>1152</v>
      </c>
      <c r="S913" t="s">
        <v>152</v>
      </c>
      <c r="T913" t="s">
        <v>3078</v>
      </c>
      <c r="U913" t="s">
        <v>3076</v>
      </c>
      <c r="V913" s="8">
        <v>1250</v>
      </c>
      <c r="W913" s="7">
        <v>588732</v>
      </c>
      <c r="X913" t="s">
        <v>3352</v>
      </c>
      <c r="Y913" s="8">
        <v>1250</v>
      </c>
      <c r="Z913" s="8">
        <v>1475</v>
      </c>
      <c r="AA913" s="8">
        <v>225</v>
      </c>
      <c r="AB913" s="7">
        <v>112199</v>
      </c>
      <c r="AC913" t="s">
        <v>3352</v>
      </c>
      <c r="AD913" s="8">
        <v>0</v>
      </c>
      <c r="AG913" t="s">
        <v>801</v>
      </c>
      <c r="AH913" t="s">
        <v>802</v>
      </c>
      <c r="AI913" t="s">
        <v>818</v>
      </c>
    </row>
    <row r="914" spans="1:35" hidden="1">
      <c r="A914" s="7">
        <v>913</v>
      </c>
      <c r="B914" t="s">
        <v>243</v>
      </c>
      <c r="C914" t="s">
        <v>244</v>
      </c>
      <c r="D914" s="7">
        <v>7134</v>
      </c>
      <c r="E914" t="s">
        <v>245</v>
      </c>
      <c r="F914" t="s">
        <v>246</v>
      </c>
      <c r="G914" t="s">
        <v>1302</v>
      </c>
      <c r="H914" t="s">
        <v>3106</v>
      </c>
      <c r="I914" s="7">
        <v>1165</v>
      </c>
      <c r="J914" s="7">
        <v>45000</v>
      </c>
      <c r="K914" s="7">
        <v>5</v>
      </c>
      <c r="L914" t="s">
        <v>247</v>
      </c>
      <c r="M914" t="s">
        <v>361</v>
      </c>
      <c r="N914" s="7">
        <v>5240</v>
      </c>
      <c r="O914" t="s">
        <v>1303</v>
      </c>
      <c r="P914" t="s">
        <v>1304</v>
      </c>
      <c r="S914" t="s">
        <v>152</v>
      </c>
      <c r="T914" t="s">
        <v>3078</v>
      </c>
      <c r="U914" t="s">
        <v>3076</v>
      </c>
      <c r="V914" s="8">
        <v>1650</v>
      </c>
      <c r="W914" s="7">
        <v>588732</v>
      </c>
      <c r="X914" t="s">
        <v>3352</v>
      </c>
      <c r="Y914" s="8">
        <v>1650</v>
      </c>
      <c r="Z914" s="8">
        <v>1947</v>
      </c>
      <c r="AA914" s="8">
        <v>297</v>
      </c>
      <c r="AB914" s="7">
        <v>112199</v>
      </c>
      <c r="AC914" t="s">
        <v>3352</v>
      </c>
      <c r="AD914" s="8">
        <v>0</v>
      </c>
      <c r="AG914" t="s">
        <v>823</v>
      </c>
      <c r="AH914" t="s">
        <v>802</v>
      </c>
      <c r="AI914" t="s">
        <v>818</v>
      </c>
    </row>
    <row r="915" spans="1:35" hidden="1">
      <c r="A915" s="7">
        <v>914</v>
      </c>
      <c r="B915" t="s">
        <v>243</v>
      </c>
      <c r="C915" t="s">
        <v>244</v>
      </c>
      <c r="D915" s="7">
        <v>7134</v>
      </c>
      <c r="E915" t="s">
        <v>245</v>
      </c>
      <c r="F915" t="s">
        <v>246</v>
      </c>
      <c r="G915" t="s">
        <v>263</v>
      </c>
      <c r="H915" t="s">
        <v>3097</v>
      </c>
      <c r="I915" s="7">
        <v>889</v>
      </c>
      <c r="J915" s="7">
        <v>29600</v>
      </c>
      <c r="K915" s="7">
        <v>2</v>
      </c>
      <c r="L915" t="s">
        <v>247</v>
      </c>
      <c r="M915" t="s">
        <v>261</v>
      </c>
      <c r="N915" s="7">
        <v>796130</v>
      </c>
      <c r="O915" t="s">
        <v>1951</v>
      </c>
      <c r="P915" t="s">
        <v>1952</v>
      </c>
      <c r="S915" t="s">
        <v>152</v>
      </c>
      <c r="T915" t="s">
        <v>3078</v>
      </c>
      <c r="U915" t="s">
        <v>3076</v>
      </c>
      <c r="V915" s="8">
        <v>1250</v>
      </c>
      <c r="W915" s="7">
        <v>588732</v>
      </c>
      <c r="X915" t="s">
        <v>3352</v>
      </c>
      <c r="Y915" s="8">
        <v>1250</v>
      </c>
      <c r="Z915" s="8">
        <v>1475</v>
      </c>
      <c r="AA915" s="8">
        <v>225</v>
      </c>
      <c r="AB915" s="7">
        <v>112199</v>
      </c>
      <c r="AC915" t="s">
        <v>3352</v>
      </c>
      <c r="AD915" s="8">
        <v>0</v>
      </c>
      <c r="AG915" t="s">
        <v>817</v>
      </c>
      <c r="AH915" t="s">
        <v>802</v>
      </c>
      <c r="AI915" t="s">
        <v>818</v>
      </c>
    </row>
    <row r="916" spans="1:35" hidden="1">
      <c r="A916" s="7">
        <v>915</v>
      </c>
      <c r="B916" t="s">
        <v>243</v>
      </c>
      <c r="C916" t="s">
        <v>244</v>
      </c>
      <c r="D916" s="7">
        <v>7134</v>
      </c>
      <c r="E916" t="s">
        <v>245</v>
      </c>
      <c r="F916" t="s">
        <v>246</v>
      </c>
      <c r="G916" t="s">
        <v>1640</v>
      </c>
      <c r="H916" t="s">
        <v>3098</v>
      </c>
      <c r="I916" s="7">
        <v>951</v>
      </c>
      <c r="J916" s="7">
        <v>120000</v>
      </c>
      <c r="K916" s="7">
        <v>12</v>
      </c>
      <c r="L916" t="s">
        <v>247</v>
      </c>
      <c r="M916" t="s">
        <v>261</v>
      </c>
      <c r="N916" s="7">
        <v>761716</v>
      </c>
      <c r="O916" t="s">
        <v>1642</v>
      </c>
      <c r="P916" t="s">
        <v>1643</v>
      </c>
      <c r="S916" t="s">
        <v>152</v>
      </c>
      <c r="T916" t="s">
        <v>3078</v>
      </c>
      <c r="U916" t="s">
        <v>3076</v>
      </c>
      <c r="V916" s="8">
        <v>0</v>
      </c>
      <c r="W916" s="7">
        <v>588732</v>
      </c>
      <c r="X916" t="s">
        <v>3352</v>
      </c>
      <c r="Y916" s="8">
        <v>0</v>
      </c>
      <c r="Z916" s="8">
        <v>0</v>
      </c>
      <c r="AA916" s="8">
        <v>0</v>
      </c>
      <c r="AB916" s="7">
        <v>112199</v>
      </c>
      <c r="AC916" t="s">
        <v>3352</v>
      </c>
      <c r="AD916" s="8">
        <v>0</v>
      </c>
      <c r="AG916" t="s">
        <v>801</v>
      </c>
      <c r="AH916" t="s">
        <v>802</v>
      </c>
      <c r="AI916" t="s">
        <v>803</v>
      </c>
    </row>
    <row r="917" spans="1:35" hidden="1">
      <c r="A917" s="7">
        <v>916</v>
      </c>
      <c r="B917" t="s">
        <v>243</v>
      </c>
      <c r="C917" t="s">
        <v>244</v>
      </c>
      <c r="D917" s="7">
        <v>7134</v>
      </c>
      <c r="E917" t="s">
        <v>245</v>
      </c>
      <c r="F917" t="s">
        <v>246</v>
      </c>
      <c r="G917" t="s">
        <v>867</v>
      </c>
      <c r="H917" t="s">
        <v>3077</v>
      </c>
      <c r="I917" s="7">
        <v>983</v>
      </c>
      <c r="J917" s="7">
        <v>28881</v>
      </c>
      <c r="K917" s="7">
        <v>5</v>
      </c>
      <c r="L917" t="s">
        <v>247</v>
      </c>
      <c r="M917" t="s">
        <v>267</v>
      </c>
      <c r="N917" s="7">
        <v>789173</v>
      </c>
      <c r="O917" t="s">
        <v>1175</v>
      </c>
      <c r="P917" t="s">
        <v>1176</v>
      </c>
      <c r="S917" t="s">
        <v>152</v>
      </c>
      <c r="T917" t="s">
        <v>3078</v>
      </c>
      <c r="U917" t="s">
        <v>3076</v>
      </c>
      <c r="V917" s="8">
        <v>1250</v>
      </c>
      <c r="W917" s="7">
        <v>588732</v>
      </c>
      <c r="X917" t="s">
        <v>3352</v>
      </c>
      <c r="Y917" s="8">
        <v>1250</v>
      </c>
      <c r="Z917" s="8">
        <v>1475</v>
      </c>
      <c r="AA917" s="8">
        <v>225</v>
      </c>
      <c r="AB917" s="7">
        <v>112199</v>
      </c>
      <c r="AC917" t="s">
        <v>3352</v>
      </c>
      <c r="AD917" s="8">
        <v>0</v>
      </c>
      <c r="AG917" t="s">
        <v>828</v>
      </c>
      <c r="AH917" t="s">
        <v>802</v>
      </c>
      <c r="AI917" t="s">
        <v>818</v>
      </c>
    </row>
    <row r="918" spans="1:35" hidden="1">
      <c r="A918" s="7">
        <v>917</v>
      </c>
      <c r="B918" t="s">
        <v>243</v>
      </c>
      <c r="C918" t="s">
        <v>244</v>
      </c>
      <c r="D918" s="7">
        <v>7134</v>
      </c>
      <c r="E918" t="s">
        <v>245</v>
      </c>
      <c r="F918" t="s">
        <v>246</v>
      </c>
      <c r="G918" t="s">
        <v>3146</v>
      </c>
      <c r="H918" t="s">
        <v>2854</v>
      </c>
      <c r="I918" s="7">
        <v>1165</v>
      </c>
      <c r="J918" s="7">
        <v>100000</v>
      </c>
      <c r="K918" s="7">
        <v>10</v>
      </c>
      <c r="L918" t="s">
        <v>247</v>
      </c>
      <c r="M918" t="s">
        <v>252</v>
      </c>
      <c r="N918" s="7">
        <v>320280</v>
      </c>
      <c r="O918" t="s">
        <v>3147</v>
      </c>
      <c r="P918" t="s">
        <v>3148</v>
      </c>
      <c r="S918" t="s">
        <v>152</v>
      </c>
      <c r="T918" t="s">
        <v>3078</v>
      </c>
      <c r="U918" t="s">
        <v>3076</v>
      </c>
      <c r="V918" s="8">
        <v>0</v>
      </c>
      <c r="W918" s="7">
        <v>588732</v>
      </c>
      <c r="X918" t="s">
        <v>3352</v>
      </c>
      <c r="Y918" s="8">
        <v>0</v>
      </c>
      <c r="Z918" s="8">
        <v>0</v>
      </c>
      <c r="AA918" s="8">
        <v>0</v>
      </c>
      <c r="AB918" s="7">
        <v>112199</v>
      </c>
      <c r="AC918" t="s">
        <v>3352</v>
      </c>
      <c r="AD918" s="8">
        <v>0</v>
      </c>
      <c r="AG918" t="s">
        <v>937</v>
      </c>
      <c r="AH918" t="s">
        <v>802</v>
      </c>
      <c r="AI918" t="s">
        <v>803</v>
      </c>
    </row>
    <row r="919" spans="1:35" hidden="1">
      <c r="A919" s="7">
        <v>918</v>
      </c>
      <c r="B919" t="s">
        <v>243</v>
      </c>
      <c r="C919" t="s">
        <v>244</v>
      </c>
      <c r="D919" s="7">
        <v>7134</v>
      </c>
      <c r="E919" t="s">
        <v>245</v>
      </c>
      <c r="F919" t="s">
        <v>246</v>
      </c>
      <c r="G919" t="s">
        <v>872</v>
      </c>
      <c r="H919" t="s">
        <v>3092</v>
      </c>
      <c r="I919" s="7">
        <v>1165</v>
      </c>
      <c r="J919" s="7">
        <v>77889</v>
      </c>
      <c r="K919" s="7">
        <v>8</v>
      </c>
      <c r="L919" t="s">
        <v>247</v>
      </c>
      <c r="M919" t="s">
        <v>261</v>
      </c>
      <c r="N919" s="7">
        <v>775503</v>
      </c>
      <c r="O919" t="s">
        <v>1985</v>
      </c>
      <c r="P919" t="s">
        <v>1986</v>
      </c>
      <c r="S919" t="s">
        <v>152</v>
      </c>
      <c r="T919" t="s">
        <v>3078</v>
      </c>
      <c r="U919" t="s">
        <v>3076</v>
      </c>
      <c r="V919" s="8">
        <v>1250</v>
      </c>
      <c r="W919" s="7">
        <v>588732</v>
      </c>
      <c r="X919" t="s">
        <v>3352</v>
      </c>
      <c r="Y919" s="8">
        <v>1250</v>
      </c>
      <c r="Z919" s="8">
        <v>1475</v>
      </c>
      <c r="AA919" s="8">
        <v>225</v>
      </c>
      <c r="AB919" s="7">
        <v>112199</v>
      </c>
      <c r="AC919" t="s">
        <v>3352</v>
      </c>
      <c r="AD919" s="8">
        <v>0</v>
      </c>
      <c r="AG919" t="s">
        <v>801</v>
      </c>
      <c r="AH919" t="s">
        <v>802</v>
      </c>
      <c r="AI919" t="s">
        <v>818</v>
      </c>
    </row>
    <row r="920" spans="1:35" hidden="1">
      <c r="A920" s="7">
        <v>919</v>
      </c>
      <c r="B920" t="s">
        <v>243</v>
      </c>
      <c r="C920" t="s">
        <v>244</v>
      </c>
      <c r="D920" s="7">
        <v>7134</v>
      </c>
      <c r="E920" t="s">
        <v>245</v>
      </c>
      <c r="F920" t="s">
        <v>246</v>
      </c>
      <c r="G920" t="s">
        <v>293</v>
      </c>
      <c r="H920" t="s">
        <v>3086</v>
      </c>
      <c r="I920" s="7">
        <v>1165</v>
      </c>
      <c r="J920" s="7">
        <v>11232</v>
      </c>
      <c r="K920" s="7">
        <v>2</v>
      </c>
      <c r="L920" t="s">
        <v>247</v>
      </c>
      <c r="M920" t="s">
        <v>267</v>
      </c>
      <c r="N920" s="7">
        <v>789021</v>
      </c>
      <c r="O920" t="s">
        <v>464</v>
      </c>
      <c r="P920" t="s">
        <v>465</v>
      </c>
      <c r="S920" t="s">
        <v>152</v>
      </c>
      <c r="T920" t="s">
        <v>3078</v>
      </c>
      <c r="U920" t="s">
        <v>3076</v>
      </c>
      <c r="V920" s="8">
        <v>0</v>
      </c>
      <c r="W920" s="7">
        <v>588732</v>
      </c>
      <c r="X920" t="s">
        <v>3352</v>
      </c>
      <c r="Y920" s="8">
        <v>0</v>
      </c>
      <c r="Z920" s="8">
        <v>0</v>
      </c>
      <c r="AA920" s="8">
        <v>0</v>
      </c>
      <c r="AB920" s="7">
        <v>112199</v>
      </c>
      <c r="AC920" t="s">
        <v>3352</v>
      </c>
      <c r="AD920" s="8">
        <v>0</v>
      </c>
      <c r="AG920" t="s">
        <v>828</v>
      </c>
      <c r="AH920" t="s">
        <v>802</v>
      </c>
      <c r="AI920" t="s">
        <v>803</v>
      </c>
    </row>
    <row r="921" spans="1:35" hidden="1">
      <c r="A921" s="7">
        <v>920</v>
      </c>
      <c r="B921" t="s">
        <v>243</v>
      </c>
      <c r="C921" t="s">
        <v>244</v>
      </c>
      <c r="D921" s="7">
        <v>7134</v>
      </c>
      <c r="E921" t="s">
        <v>245</v>
      </c>
      <c r="F921" t="s">
        <v>246</v>
      </c>
      <c r="G921" t="s">
        <v>363</v>
      </c>
      <c r="H921" t="s">
        <v>3112</v>
      </c>
      <c r="I921" s="7">
        <v>877</v>
      </c>
      <c r="J921" s="7">
        <v>29623</v>
      </c>
      <c r="K921" s="7">
        <v>2</v>
      </c>
      <c r="L921" t="s">
        <v>247</v>
      </c>
      <c r="M921" t="s">
        <v>261</v>
      </c>
      <c r="N921" s="7">
        <v>797079</v>
      </c>
      <c r="O921" t="s">
        <v>1922</v>
      </c>
      <c r="P921" t="s">
        <v>1923</v>
      </c>
      <c r="S921" t="s">
        <v>152</v>
      </c>
      <c r="T921" t="s">
        <v>3078</v>
      </c>
      <c r="U921" t="s">
        <v>3076</v>
      </c>
      <c r="V921" s="8">
        <v>1250</v>
      </c>
      <c r="W921" s="7">
        <v>588732</v>
      </c>
      <c r="X921" t="s">
        <v>3352</v>
      </c>
      <c r="Y921" s="8">
        <v>1250</v>
      </c>
      <c r="Z921" s="8">
        <v>1475</v>
      </c>
      <c r="AA921" s="8">
        <v>225</v>
      </c>
      <c r="AB921" s="7">
        <v>112199</v>
      </c>
      <c r="AC921" t="s">
        <v>3352</v>
      </c>
      <c r="AD921" s="8">
        <v>0</v>
      </c>
      <c r="AG921" t="s">
        <v>817</v>
      </c>
      <c r="AH921" t="s">
        <v>802</v>
      </c>
      <c r="AI921" t="s">
        <v>818</v>
      </c>
    </row>
    <row r="922" spans="1:35" hidden="1">
      <c r="A922" s="7">
        <v>921</v>
      </c>
      <c r="B922" t="s">
        <v>243</v>
      </c>
      <c r="C922" t="s">
        <v>244</v>
      </c>
      <c r="D922" s="7">
        <v>7134</v>
      </c>
      <c r="E922" t="s">
        <v>245</v>
      </c>
      <c r="F922" t="s">
        <v>246</v>
      </c>
      <c r="G922" t="s">
        <v>248</v>
      </c>
      <c r="H922" t="s">
        <v>3106</v>
      </c>
      <c r="I922" s="7">
        <v>990</v>
      </c>
      <c r="J922" s="7">
        <v>29464</v>
      </c>
      <c r="K922" s="7">
        <v>2</v>
      </c>
      <c r="L922" t="s">
        <v>247</v>
      </c>
      <c r="M922" t="s">
        <v>261</v>
      </c>
      <c r="N922" s="7">
        <v>797124</v>
      </c>
      <c r="O922" t="s">
        <v>1924</v>
      </c>
      <c r="P922" t="s">
        <v>1925</v>
      </c>
      <c r="S922" t="s">
        <v>152</v>
      </c>
      <c r="T922" t="s">
        <v>3078</v>
      </c>
      <c r="U922" t="s">
        <v>3076</v>
      </c>
      <c r="V922" s="8">
        <v>1250</v>
      </c>
      <c r="W922" s="7">
        <v>588732</v>
      </c>
      <c r="X922" t="s">
        <v>3352</v>
      </c>
      <c r="Y922" s="8">
        <v>1250</v>
      </c>
      <c r="Z922" s="8">
        <v>1475</v>
      </c>
      <c r="AA922" s="8">
        <v>225</v>
      </c>
      <c r="AB922" s="7">
        <v>112199</v>
      </c>
      <c r="AC922" t="s">
        <v>3352</v>
      </c>
      <c r="AD922" s="8">
        <v>0</v>
      </c>
      <c r="AG922" t="s">
        <v>817</v>
      </c>
      <c r="AH922" t="s">
        <v>802</v>
      </c>
      <c r="AI922" t="s">
        <v>818</v>
      </c>
    </row>
    <row r="923" spans="1:35" hidden="1">
      <c r="A923" s="7">
        <v>922</v>
      </c>
      <c r="B923" t="s">
        <v>243</v>
      </c>
      <c r="C923" t="s">
        <v>244</v>
      </c>
      <c r="D923" s="7">
        <v>7134</v>
      </c>
      <c r="E923" t="s">
        <v>245</v>
      </c>
      <c r="F923" t="s">
        <v>246</v>
      </c>
      <c r="G923" t="s">
        <v>1580</v>
      </c>
      <c r="H923" t="s">
        <v>3095</v>
      </c>
      <c r="I923" s="7">
        <v>1165</v>
      </c>
      <c r="J923" s="7">
        <v>20100</v>
      </c>
      <c r="K923" s="7">
        <v>3</v>
      </c>
      <c r="L923" t="s">
        <v>247</v>
      </c>
      <c r="M923" t="s">
        <v>261</v>
      </c>
      <c r="N923" s="7">
        <v>771204</v>
      </c>
      <c r="O923" t="s">
        <v>2935</v>
      </c>
      <c r="P923" t="s">
        <v>2936</v>
      </c>
      <c r="S923" t="s">
        <v>152</v>
      </c>
      <c r="T923" t="s">
        <v>3078</v>
      </c>
      <c r="U923" t="s">
        <v>3076</v>
      </c>
      <c r="V923" s="8">
        <v>1250</v>
      </c>
      <c r="W923" s="7">
        <v>588732</v>
      </c>
      <c r="X923" t="s">
        <v>3352</v>
      </c>
      <c r="Y923" s="8">
        <v>1250</v>
      </c>
      <c r="Z923" s="8">
        <v>1475</v>
      </c>
      <c r="AA923" s="8">
        <v>225</v>
      </c>
      <c r="AB923" s="7">
        <v>112199</v>
      </c>
      <c r="AC923" t="s">
        <v>3352</v>
      </c>
      <c r="AD923" s="8">
        <v>0</v>
      </c>
      <c r="AG923" t="s">
        <v>817</v>
      </c>
      <c r="AH923" t="s">
        <v>802</v>
      </c>
      <c r="AI923" t="s">
        <v>818</v>
      </c>
    </row>
    <row r="924" spans="1:35" hidden="1">
      <c r="A924" s="7">
        <v>923</v>
      </c>
      <c r="B924" t="s">
        <v>243</v>
      </c>
      <c r="C924" t="s">
        <v>244</v>
      </c>
      <c r="D924" s="7">
        <v>7134</v>
      </c>
      <c r="E924" t="s">
        <v>245</v>
      </c>
      <c r="F924" t="s">
        <v>246</v>
      </c>
      <c r="G924" t="s">
        <v>293</v>
      </c>
      <c r="H924" t="s">
        <v>3089</v>
      </c>
      <c r="I924" s="7">
        <v>1165</v>
      </c>
      <c r="J924" s="7">
        <v>6451</v>
      </c>
      <c r="K924" s="7">
        <v>2</v>
      </c>
      <c r="L924" t="s">
        <v>247</v>
      </c>
      <c r="M924" t="s">
        <v>267</v>
      </c>
      <c r="N924" s="7">
        <v>789024</v>
      </c>
      <c r="O924" t="s">
        <v>482</v>
      </c>
      <c r="P924" t="s">
        <v>483</v>
      </c>
      <c r="S924" t="s">
        <v>152</v>
      </c>
      <c r="T924" t="s">
        <v>3078</v>
      </c>
      <c r="U924" t="s">
        <v>3076</v>
      </c>
      <c r="V924" s="8">
        <v>0</v>
      </c>
      <c r="W924" s="7">
        <v>588732</v>
      </c>
      <c r="X924" t="s">
        <v>3352</v>
      </c>
      <c r="Y924" s="8">
        <v>0</v>
      </c>
      <c r="Z924" s="8">
        <v>0</v>
      </c>
      <c r="AA924" s="8">
        <v>0</v>
      </c>
      <c r="AB924" s="7">
        <v>112199</v>
      </c>
      <c r="AC924" t="s">
        <v>3352</v>
      </c>
      <c r="AD924" s="8">
        <v>0</v>
      </c>
      <c r="AG924" t="s">
        <v>828</v>
      </c>
      <c r="AH924" t="s">
        <v>802</v>
      </c>
      <c r="AI924" t="s">
        <v>803</v>
      </c>
    </row>
    <row r="925" spans="1:35" hidden="1">
      <c r="A925" s="7">
        <v>924</v>
      </c>
      <c r="B925" t="s">
        <v>243</v>
      </c>
      <c r="C925" t="s">
        <v>244</v>
      </c>
      <c r="D925" s="7">
        <v>7134</v>
      </c>
      <c r="E925" t="s">
        <v>245</v>
      </c>
      <c r="F925" t="s">
        <v>246</v>
      </c>
      <c r="G925" t="s">
        <v>1340</v>
      </c>
      <c r="H925" t="s">
        <v>3086</v>
      </c>
      <c r="I925" s="7">
        <v>1165</v>
      </c>
      <c r="J925" s="7">
        <v>42917</v>
      </c>
      <c r="K925" s="7">
        <v>6</v>
      </c>
      <c r="L925" t="s">
        <v>247</v>
      </c>
      <c r="M925" t="s">
        <v>252</v>
      </c>
      <c r="N925" s="7">
        <v>322213</v>
      </c>
      <c r="O925" t="s">
        <v>1341</v>
      </c>
      <c r="P925" t="s">
        <v>1342</v>
      </c>
      <c r="S925" t="s">
        <v>152</v>
      </c>
      <c r="T925" t="s">
        <v>3078</v>
      </c>
      <c r="U925" t="s">
        <v>3076</v>
      </c>
      <c r="V925" s="8">
        <v>0</v>
      </c>
      <c r="W925" s="7">
        <v>588732</v>
      </c>
      <c r="X925" t="s">
        <v>3352</v>
      </c>
      <c r="Y925" s="8">
        <v>0</v>
      </c>
      <c r="Z925" s="8">
        <v>0</v>
      </c>
      <c r="AA925" s="8">
        <v>0</v>
      </c>
      <c r="AB925" s="7">
        <v>112199</v>
      </c>
      <c r="AC925" t="s">
        <v>3352</v>
      </c>
      <c r="AD925" s="8">
        <v>0</v>
      </c>
      <c r="AG925" t="s">
        <v>937</v>
      </c>
      <c r="AH925" t="s">
        <v>802</v>
      </c>
      <c r="AI925" t="s">
        <v>803</v>
      </c>
    </row>
    <row r="926" spans="1:35" hidden="1">
      <c r="A926" s="7">
        <v>925</v>
      </c>
      <c r="B926" t="s">
        <v>243</v>
      </c>
      <c r="C926" t="s">
        <v>244</v>
      </c>
      <c r="D926" s="7">
        <v>7134</v>
      </c>
      <c r="E926" t="s">
        <v>245</v>
      </c>
      <c r="F926" t="s">
        <v>246</v>
      </c>
      <c r="G926" t="s">
        <v>1137</v>
      </c>
      <c r="H926" t="s">
        <v>3086</v>
      </c>
      <c r="I926" s="7">
        <v>1165</v>
      </c>
      <c r="J926" s="7">
        <v>90000</v>
      </c>
      <c r="K926" s="7">
        <v>9</v>
      </c>
      <c r="L926" t="s">
        <v>247</v>
      </c>
      <c r="M926" t="s">
        <v>252</v>
      </c>
      <c r="N926" s="7">
        <v>322564</v>
      </c>
      <c r="O926" t="s">
        <v>1138</v>
      </c>
      <c r="P926" t="s">
        <v>1139</v>
      </c>
      <c r="S926" t="s">
        <v>152</v>
      </c>
      <c r="T926" t="s">
        <v>3078</v>
      </c>
      <c r="U926" t="s">
        <v>3076</v>
      </c>
      <c r="V926" s="8">
        <v>0</v>
      </c>
      <c r="W926" s="7">
        <v>588732</v>
      </c>
      <c r="X926" t="s">
        <v>3352</v>
      </c>
      <c r="Y926" s="8">
        <v>0</v>
      </c>
      <c r="Z926" s="8">
        <v>0</v>
      </c>
      <c r="AA926" s="8">
        <v>0</v>
      </c>
      <c r="AB926" s="7">
        <v>112199</v>
      </c>
      <c r="AC926" t="s">
        <v>3352</v>
      </c>
      <c r="AD926" s="8">
        <v>0</v>
      </c>
      <c r="AG926" t="s">
        <v>937</v>
      </c>
      <c r="AH926" t="s">
        <v>802</v>
      </c>
      <c r="AI926" t="s">
        <v>803</v>
      </c>
    </row>
    <row r="927" spans="1:35" hidden="1">
      <c r="A927" s="7">
        <v>926</v>
      </c>
      <c r="B927" t="s">
        <v>243</v>
      </c>
      <c r="C927" t="s">
        <v>244</v>
      </c>
      <c r="D927" s="7">
        <v>7134</v>
      </c>
      <c r="E927" t="s">
        <v>245</v>
      </c>
      <c r="F927" t="s">
        <v>246</v>
      </c>
      <c r="G927" t="s">
        <v>263</v>
      </c>
      <c r="H927" t="s">
        <v>3104</v>
      </c>
      <c r="I927" s="7">
        <v>859</v>
      </c>
      <c r="J927" s="7">
        <v>30216</v>
      </c>
      <c r="K927" s="7">
        <v>2</v>
      </c>
      <c r="L927" t="s">
        <v>247</v>
      </c>
      <c r="M927" t="s">
        <v>261</v>
      </c>
      <c r="N927" s="7">
        <v>796174</v>
      </c>
      <c r="O927" t="s">
        <v>2005</v>
      </c>
      <c r="P927" t="s">
        <v>2006</v>
      </c>
      <c r="S927" t="s">
        <v>152</v>
      </c>
      <c r="T927" t="s">
        <v>3078</v>
      </c>
      <c r="U927" t="s">
        <v>3076</v>
      </c>
      <c r="V927" s="8">
        <v>1250</v>
      </c>
      <c r="W927" s="7">
        <v>588732</v>
      </c>
      <c r="X927" t="s">
        <v>3352</v>
      </c>
      <c r="Y927" s="8">
        <v>1250</v>
      </c>
      <c r="Z927" s="8">
        <v>1475</v>
      </c>
      <c r="AA927" s="8">
        <v>225</v>
      </c>
      <c r="AB927" s="7">
        <v>112199</v>
      </c>
      <c r="AC927" t="s">
        <v>3352</v>
      </c>
      <c r="AD927" s="8">
        <v>0</v>
      </c>
      <c r="AG927" t="s">
        <v>817</v>
      </c>
      <c r="AH927" t="s">
        <v>802</v>
      </c>
      <c r="AI927" t="s">
        <v>818</v>
      </c>
    </row>
    <row r="928" spans="1:35" hidden="1">
      <c r="A928" s="7">
        <v>927</v>
      </c>
      <c r="B928" t="s">
        <v>243</v>
      </c>
      <c r="C928" t="s">
        <v>244</v>
      </c>
      <c r="D928" s="7">
        <v>7134</v>
      </c>
      <c r="E928" t="s">
        <v>245</v>
      </c>
      <c r="F928" t="s">
        <v>246</v>
      </c>
      <c r="G928" t="s">
        <v>1044</v>
      </c>
      <c r="H928" t="s">
        <v>3121</v>
      </c>
      <c r="I928" s="7">
        <v>1165</v>
      </c>
      <c r="J928" s="7">
        <v>34623</v>
      </c>
      <c r="K928" s="7">
        <v>4</v>
      </c>
      <c r="L928" t="s">
        <v>247</v>
      </c>
      <c r="M928" t="s">
        <v>361</v>
      </c>
      <c r="N928" s="7">
        <v>4930</v>
      </c>
      <c r="O928" t="s">
        <v>1604</v>
      </c>
      <c r="P928" t="s">
        <v>1605</v>
      </c>
      <c r="S928" t="s">
        <v>152</v>
      </c>
      <c r="T928" t="s">
        <v>3078</v>
      </c>
      <c r="U928" t="s">
        <v>3076</v>
      </c>
      <c r="V928" s="8">
        <v>0</v>
      </c>
      <c r="W928" s="7">
        <v>588732</v>
      </c>
      <c r="X928" t="s">
        <v>3352</v>
      </c>
      <c r="Y928" s="8">
        <v>0</v>
      </c>
      <c r="Z928" s="8">
        <v>0</v>
      </c>
      <c r="AA928" s="8">
        <v>0</v>
      </c>
      <c r="AB928" s="7">
        <v>112199</v>
      </c>
      <c r="AC928" t="s">
        <v>3352</v>
      </c>
      <c r="AD928" s="8">
        <v>0</v>
      </c>
      <c r="AG928" t="s">
        <v>823</v>
      </c>
      <c r="AH928" t="s">
        <v>802</v>
      </c>
      <c r="AI928" t="s">
        <v>803</v>
      </c>
    </row>
    <row r="929" spans="1:35" hidden="1">
      <c r="A929" s="7">
        <v>928</v>
      </c>
      <c r="B929" t="s">
        <v>243</v>
      </c>
      <c r="C929" t="s">
        <v>244</v>
      </c>
      <c r="D929" s="7">
        <v>7134</v>
      </c>
      <c r="E929" t="s">
        <v>245</v>
      </c>
      <c r="F929" t="s">
        <v>246</v>
      </c>
      <c r="G929" t="s">
        <v>829</v>
      </c>
      <c r="H929" t="s">
        <v>3096</v>
      </c>
      <c r="I929" s="7">
        <v>1165</v>
      </c>
      <c r="J929" s="7">
        <v>28336</v>
      </c>
      <c r="K929" s="7">
        <v>3</v>
      </c>
      <c r="L929" t="s">
        <v>247</v>
      </c>
      <c r="M929" t="s">
        <v>361</v>
      </c>
      <c r="N929" s="7">
        <v>6183</v>
      </c>
      <c r="O929" t="s">
        <v>1500</v>
      </c>
      <c r="P929" t="s">
        <v>1501</v>
      </c>
      <c r="S929" t="s">
        <v>152</v>
      </c>
      <c r="T929" t="s">
        <v>3078</v>
      </c>
      <c r="U929" t="s">
        <v>3076</v>
      </c>
      <c r="V929" s="8">
        <v>1650</v>
      </c>
      <c r="W929" s="7">
        <v>588732</v>
      </c>
      <c r="X929" t="s">
        <v>3352</v>
      </c>
      <c r="Y929" s="8">
        <v>1650</v>
      </c>
      <c r="Z929" s="8">
        <v>1947</v>
      </c>
      <c r="AA929" s="8">
        <v>297</v>
      </c>
      <c r="AB929" s="7">
        <v>112199</v>
      </c>
      <c r="AC929" t="s">
        <v>3352</v>
      </c>
      <c r="AD929" s="8">
        <v>0</v>
      </c>
      <c r="AG929" t="s">
        <v>823</v>
      </c>
      <c r="AH929" t="s">
        <v>802</v>
      </c>
      <c r="AI929" t="s">
        <v>818</v>
      </c>
    </row>
    <row r="930" spans="1:35" hidden="1">
      <c r="A930" s="7">
        <v>929</v>
      </c>
      <c r="B930" t="s">
        <v>243</v>
      </c>
      <c r="C930" t="s">
        <v>244</v>
      </c>
      <c r="D930" s="7">
        <v>7134</v>
      </c>
      <c r="E930" t="s">
        <v>245</v>
      </c>
      <c r="F930" t="s">
        <v>246</v>
      </c>
      <c r="G930" t="s">
        <v>1085</v>
      </c>
      <c r="H930" t="s">
        <v>3111</v>
      </c>
      <c r="I930" s="7">
        <v>1165</v>
      </c>
      <c r="J930" s="7">
        <v>49244</v>
      </c>
      <c r="K930" s="7">
        <v>5</v>
      </c>
      <c r="L930" t="s">
        <v>247</v>
      </c>
      <c r="M930" t="s">
        <v>252</v>
      </c>
      <c r="N930" s="7">
        <v>324355</v>
      </c>
      <c r="O930" t="s">
        <v>1086</v>
      </c>
      <c r="P930" t="s">
        <v>1087</v>
      </c>
      <c r="S930" t="s">
        <v>152</v>
      </c>
      <c r="T930" t="s">
        <v>3078</v>
      </c>
      <c r="U930" t="s">
        <v>3076</v>
      </c>
      <c r="V930" s="8">
        <v>1250</v>
      </c>
      <c r="W930" s="7">
        <v>588732</v>
      </c>
      <c r="X930" t="s">
        <v>3352</v>
      </c>
      <c r="Y930" s="8">
        <v>1250</v>
      </c>
      <c r="Z930" s="8">
        <v>1475</v>
      </c>
      <c r="AA930" s="8">
        <v>225</v>
      </c>
      <c r="AB930" s="7">
        <v>112199</v>
      </c>
      <c r="AC930" t="s">
        <v>3352</v>
      </c>
      <c r="AD930" s="8">
        <v>0</v>
      </c>
      <c r="AG930" t="s">
        <v>937</v>
      </c>
      <c r="AH930" t="s">
        <v>802</v>
      </c>
      <c r="AI930" t="s">
        <v>818</v>
      </c>
    </row>
    <row r="931" spans="1:35" hidden="1">
      <c r="A931" s="7">
        <v>930</v>
      </c>
      <c r="B931" t="s">
        <v>243</v>
      </c>
      <c r="C931" t="s">
        <v>244</v>
      </c>
      <c r="D931" s="7">
        <v>7134</v>
      </c>
      <c r="E931" t="s">
        <v>245</v>
      </c>
      <c r="F931" t="s">
        <v>246</v>
      </c>
      <c r="G931" t="s">
        <v>263</v>
      </c>
      <c r="H931" t="s">
        <v>3089</v>
      </c>
      <c r="I931" s="7">
        <v>1165</v>
      </c>
      <c r="J931" s="7">
        <v>5502</v>
      </c>
      <c r="K931" s="7">
        <v>2</v>
      </c>
      <c r="L931" t="s">
        <v>247</v>
      </c>
      <c r="M931" t="s">
        <v>267</v>
      </c>
      <c r="N931" s="7">
        <v>794595</v>
      </c>
      <c r="O931" t="s">
        <v>472</v>
      </c>
      <c r="P931" t="s">
        <v>473</v>
      </c>
      <c r="S931" t="s">
        <v>152</v>
      </c>
      <c r="T931" t="s">
        <v>3078</v>
      </c>
      <c r="U931" t="s">
        <v>3076</v>
      </c>
      <c r="V931" s="8">
        <v>0</v>
      </c>
      <c r="W931" s="7">
        <v>588732</v>
      </c>
      <c r="X931" t="s">
        <v>3352</v>
      </c>
      <c r="Y931" s="8">
        <v>0</v>
      </c>
      <c r="Z931" s="8">
        <v>0</v>
      </c>
      <c r="AA931" s="8">
        <v>0</v>
      </c>
      <c r="AB931" s="7">
        <v>112199</v>
      </c>
      <c r="AC931" t="s">
        <v>3352</v>
      </c>
      <c r="AD931" s="8">
        <v>0</v>
      </c>
      <c r="AG931" t="s">
        <v>828</v>
      </c>
      <c r="AH931" t="s">
        <v>802</v>
      </c>
      <c r="AI931" t="s">
        <v>803</v>
      </c>
    </row>
    <row r="932" spans="1:35" hidden="1">
      <c r="A932" s="7">
        <v>931</v>
      </c>
      <c r="B932" t="s">
        <v>243</v>
      </c>
      <c r="C932" t="s">
        <v>244</v>
      </c>
      <c r="D932" s="7">
        <v>7134</v>
      </c>
      <c r="E932" t="s">
        <v>245</v>
      </c>
      <c r="F932" t="s">
        <v>246</v>
      </c>
      <c r="G932" t="s">
        <v>1011</v>
      </c>
      <c r="H932" t="s">
        <v>3098</v>
      </c>
      <c r="I932" s="7">
        <v>1165</v>
      </c>
      <c r="J932" s="7">
        <v>65000</v>
      </c>
      <c r="K932" s="7">
        <v>6</v>
      </c>
      <c r="L932" t="s">
        <v>247</v>
      </c>
      <c r="M932" t="s">
        <v>261</v>
      </c>
      <c r="N932" s="7">
        <v>773865</v>
      </c>
      <c r="O932" t="s">
        <v>1012</v>
      </c>
      <c r="P932" t="s">
        <v>1013</v>
      </c>
      <c r="Q932" t="s">
        <v>908</v>
      </c>
      <c r="R932" t="s">
        <v>909</v>
      </c>
      <c r="S932" t="s">
        <v>152</v>
      </c>
      <c r="T932" t="s">
        <v>3078</v>
      </c>
      <c r="U932" t="s">
        <v>3076</v>
      </c>
      <c r="V932" s="8">
        <v>0</v>
      </c>
      <c r="W932" s="7">
        <v>588732</v>
      </c>
      <c r="X932" t="s">
        <v>3352</v>
      </c>
      <c r="Y932" s="8">
        <v>0</v>
      </c>
      <c r="Z932" s="8">
        <v>0</v>
      </c>
      <c r="AA932" s="8">
        <v>0</v>
      </c>
      <c r="AB932" s="7">
        <v>112199</v>
      </c>
      <c r="AC932" t="s">
        <v>3352</v>
      </c>
      <c r="AD932" s="8">
        <v>0</v>
      </c>
      <c r="AG932" t="s">
        <v>801</v>
      </c>
      <c r="AH932" t="s">
        <v>802</v>
      </c>
      <c r="AI932" t="s">
        <v>803</v>
      </c>
    </row>
    <row r="933" spans="1:35" hidden="1">
      <c r="A933" s="7">
        <v>932</v>
      </c>
      <c r="B933" t="s">
        <v>243</v>
      </c>
      <c r="C933" t="s">
        <v>244</v>
      </c>
      <c r="D933" s="7">
        <v>7134</v>
      </c>
      <c r="E933" t="s">
        <v>245</v>
      </c>
      <c r="F933" t="s">
        <v>246</v>
      </c>
      <c r="G933" t="s">
        <v>885</v>
      </c>
      <c r="H933" t="s">
        <v>1602</v>
      </c>
      <c r="I933" s="7">
        <v>1165</v>
      </c>
      <c r="J933" s="7">
        <v>19258</v>
      </c>
      <c r="K933" s="7">
        <v>2</v>
      </c>
      <c r="L933" t="s">
        <v>247</v>
      </c>
      <c r="M933" t="s">
        <v>261</v>
      </c>
      <c r="N933" s="7">
        <v>790132</v>
      </c>
      <c r="O933" t="s">
        <v>1760</v>
      </c>
      <c r="P933" t="s">
        <v>1761</v>
      </c>
      <c r="S933" t="s">
        <v>152</v>
      </c>
      <c r="T933" t="s">
        <v>3078</v>
      </c>
      <c r="U933" t="s">
        <v>3076</v>
      </c>
      <c r="V933" s="8">
        <v>0</v>
      </c>
      <c r="W933" s="7">
        <v>588732</v>
      </c>
      <c r="X933" t="s">
        <v>3352</v>
      </c>
      <c r="Y933" s="8">
        <v>0</v>
      </c>
      <c r="Z933" s="8">
        <v>0</v>
      </c>
      <c r="AA933" s="8">
        <v>0</v>
      </c>
      <c r="AB933" s="7">
        <v>112199</v>
      </c>
      <c r="AC933" t="s">
        <v>3352</v>
      </c>
      <c r="AD933" s="8">
        <v>0</v>
      </c>
      <c r="AG933" t="s">
        <v>801</v>
      </c>
      <c r="AH933" t="s">
        <v>802</v>
      </c>
      <c r="AI933" t="s">
        <v>803</v>
      </c>
    </row>
    <row r="934" spans="1:35" hidden="1">
      <c r="A934" s="7">
        <v>933</v>
      </c>
      <c r="B934" t="s">
        <v>243</v>
      </c>
      <c r="C934" t="s">
        <v>244</v>
      </c>
      <c r="D934" s="7">
        <v>7134</v>
      </c>
      <c r="E934" t="s">
        <v>245</v>
      </c>
      <c r="F934" t="s">
        <v>246</v>
      </c>
      <c r="G934" t="s">
        <v>363</v>
      </c>
      <c r="H934" t="s">
        <v>3097</v>
      </c>
      <c r="I934" s="7">
        <v>876</v>
      </c>
      <c r="J934" s="7">
        <v>29221</v>
      </c>
      <c r="K934" s="7">
        <v>2</v>
      </c>
      <c r="L934" t="s">
        <v>247</v>
      </c>
      <c r="M934" t="s">
        <v>261</v>
      </c>
      <c r="N934" s="7">
        <v>797335</v>
      </c>
      <c r="O934" t="s">
        <v>1843</v>
      </c>
      <c r="P934" t="s">
        <v>1844</v>
      </c>
      <c r="S934" t="s">
        <v>152</v>
      </c>
      <c r="T934" t="s">
        <v>3078</v>
      </c>
      <c r="U934" t="s">
        <v>3076</v>
      </c>
      <c r="V934" s="8">
        <v>1250</v>
      </c>
      <c r="W934" s="7">
        <v>588732</v>
      </c>
      <c r="X934" t="s">
        <v>3352</v>
      </c>
      <c r="Y934" s="8">
        <v>1250</v>
      </c>
      <c r="Z934" s="8">
        <v>1475</v>
      </c>
      <c r="AA934" s="8">
        <v>225</v>
      </c>
      <c r="AB934" s="7">
        <v>112199</v>
      </c>
      <c r="AC934" t="s">
        <v>3352</v>
      </c>
      <c r="AD934" s="8">
        <v>0</v>
      </c>
      <c r="AG934" t="s">
        <v>817</v>
      </c>
      <c r="AH934" t="s">
        <v>802</v>
      </c>
      <c r="AI934" t="s">
        <v>818</v>
      </c>
    </row>
    <row r="935" spans="1:35" hidden="1">
      <c r="A935" s="7">
        <v>934</v>
      </c>
      <c r="B935" t="s">
        <v>243</v>
      </c>
      <c r="C935" t="s">
        <v>244</v>
      </c>
      <c r="D935" s="7">
        <v>7134</v>
      </c>
      <c r="E935" t="s">
        <v>245</v>
      </c>
      <c r="F935" t="s">
        <v>246</v>
      </c>
      <c r="G935" t="s">
        <v>3103</v>
      </c>
      <c r="H935" t="s">
        <v>3104</v>
      </c>
      <c r="I935" s="7">
        <v>1165</v>
      </c>
      <c r="J935" s="7">
        <v>51212</v>
      </c>
      <c r="K935" s="7">
        <v>6</v>
      </c>
      <c r="L935" t="s">
        <v>247</v>
      </c>
      <c r="M935" t="s">
        <v>361</v>
      </c>
      <c r="N935" s="7">
        <v>3445</v>
      </c>
      <c r="O935" t="s">
        <v>2819</v>
      </c>
      <c r="P935" t="s">
        <v>2820</v>
      </c>
      <c r="S935" t="s">
        <v>152</v>
      </c>
      <c r="T935" t="s">
        <v>3078</v>
      </c>
      <c r="U935" t="s">
        <v>3076</v>
      </c>
      <c r="V935" s="8">
        <v>0</v>
      </c>
      <c r="W935" s="7">
        <v>588732</v>
      </c>
      <c r="X935" t="s">
        <v>3352</v>
      </c>
      <c r="Y935" s="8">
        <v>0</v>
      </c>
      <c r="Z935" s="8">
        <v>0</v>
      </c>
      <c r="AA935" s="8">
        <v>0</v>
      </c>
      <c r="AB935" s="7">
        <v>112199</v>
      </c>
      <c r="AC935" t="s">
        <v>3352</v>
      </c>
      <c r="AD935" s="8">
        <v>0</v>
      </c>
      <c r="AG935" t="s">
        <v>823</v>
      </c>
      <c r="AH935" t="s">
        <v>802</v>
      </c>
      <c r="AI935" t="s">
        <v>803</v>
      </c>
    </row>
    <row r="936" spans="1:35" hidden="1">
      <c r="A936" s="7">
        <v>935</v>
      </c>
      <c r="B936" t="s">
        <v>243</v>
      </c>
      <c r="C936" t="s">
        <v>244</v>
      </c>
      <c r="D936" s="7">
        <v>7134</v>
      </c>
      <c r="E936" t="s">
        <v>245</v>
      </c>
      <c r="F936" t="s">
        <v>246</v>
      </c>
      <c r="G936" t="s">
        <v>1474</v>
      </c>
      <c r="H936" t="s">
        <v>3120</v>
      </c>
      <c r="I936" s="7">
        <v>1165</v>
      </c>
      <c r="J936" s="7">
        <v>34648</v>
      </c>
      <c r="K936" s="7">
        <v>5</v>
      </c>
      <c r="L936" t="s">
        <v>247</v>
      </c>
      <c r="M936" t="s">
        <v>267</v>
      </c>
      <c r="N936" s="7">
        <v>776764</v>
      </c>
      <c r="O936" t="s">
        <v>1475</v>
      </c>
      <c r="P936" t="s">
        <v>1476</v>
      </c>
      <c r="Q936" t="s">
        <v>3115</v>
      </c>
      <c r="R936" t="s">
        <v>3116</v>
      </c>
      <c r="S936" t="s">
        <v>152</v>
      </c>
      <c r="T936" t="s">
        <v>3078</v>
      </c>
      <c r="U936" t="s">
        <v>3076</v>
      </c>
      <c r="V936" s="8">
        <v>1250</v>
      </c>
      <c r="W936" s="7">
        <v>588732</v>
      </c>
      <c r="X936" t="s">
        <v>3352</v>
      </c>
      <c r="Y936" s="8">
        <v>1000</v>
      </c>
      <c r="Z936" s="8">
        <v>1475</v>
      </c>
      <c r="AA936" s="8">
        <v>225</v>
      </c>
      <c r="AB936" s="7">
        <v>112199</v>
      </c>
      <c r="AC936" t="s">
        <v>3352</v>
      </c>
      <c r="AD936" s="8">
        <v>250</v>
      </c>
      <c r="AG936" t="s">
        <v>828</v>
      </c>
      <c r="AH936" t="s">
        <v>802</v>
      </c>
      <c r="AI936" t="s">
        <v>818</v>
      </c>
    </row>
    <row r="937" spans="1:35" hidden="1">
      <c r="A937" s="7">
        <v>936</v>
      </c>
      <c r="B937" t="s">
        <v>243</v>
      </c>
      <c r="C937" t="s">
        <v>244</v>
      </c>
      <c r="D937" s="7">
        <v>7134</v>
      </c>
      <c r="E937" t="s">
        <v>245</v>
      </c>
      <c r="F937" t="s">
        <v>246</v>
      </c>
      <c r="G937" t="s">
        <v>898</v>
      </c>
      <c r="H937" t="s">
        <v>3120</v>
      </c>
      <c r="I937" s="7">
        <v>1165</v>
      </c>
      <c r="J937" s="7">
        <v>49778</v>
      </c>
      <c r="K937" s="7">
        <v>5</v>
      </c>
      <c r="L937" t="s">
        <v>247</v>
      </c>
      <c r="M937" t="s">
        <v>361</v>
      </c>
      <c r="N937" s="7">
        <v>5355</v>
      </c>
      <c r="O937" t="s">
        <v>1213</v>
      </c>
      <c r="P937" t="s">
        <v>1214</v>
      </c>
      <c r="Q937" t="s">
        <v>3115</v>
      </c>
      <c r="R937" t="s">
        <v>3116</v>
      </c>
      <c r="S937" t="s">
        <v>152</v>
      </c>
      <c r="T937" t="s">
        <v>3078</v>
      </c>
      <c r="U937" t="s">
        <v>3076</v>
      </c>
      <c r="V937" s="8">
        <v>1650</v>
      </c>
      <c r="W937" s="7">
        <v>588732</v>
      </c>
      <c r="X937" t="s">
        <v>3352</v>
      </c>
      <c r="Y937" s="8">
        <v>1320</v>
      </c>
      <c r="Z937" s="8">
        <v>1947</v>
      </c>
      <c r="AA937" s="8">
        <v>297</v>
      </c>
      <c r="AB937" s="7">
        <v>112199</v>
      </c>
      <c r="AC937" t="s">
        <v>3352</v>
      </c>
      <c r="AD937" s="8">
        <v>330</v>
      </c>
      <c r="AG937" t="s">
        <v>823</v>
      </c>
      <c r="AH937" t="s">
        <v>802</v>
      </c>
      <c r="AI937" t="s">
        <v>818</v>
      </c>
    </row>
    <row r="938" spans="1:35" hidden="1">
      <c r="A938" s="7">
        <v>937</v>
      </c>
      <c r="B938" t="s">
        <v>243</v>
      </c>
      <c r="C938" t="s">
        <v>244</v>
      </c>
      <c r="D938" s="7">
        <v>7134</v>
      </c>
      <c r="E938" t="s">
        <v>245</v>
      </c>
      <c r="F938" t="s">
        <v>246</v>
      </c>
      <c r="G938" t="s">
        <v>1319</v>
      </c>
      <c r="H938" t="s">
        <v>2182</v>
      </c>
      <c r="I938" s="7">
        <v>1165</v>
      </c>
      <c r="J938" s="7">
        <v>7008</v>
      </c>
      <c r="K938" s="7">
        <v>3</v>
      </c>
      <c r="L938" t="s">
        <v>247</v>
      </c>
      <c r="M938" t="s">
        <v>261</v>
      </c>
      <c r="N938" s="7">
        <v>790950</v>
      </c>
      <c r="O938" t="s">
        <v>2548</v>
      </c>
      <c r="P938" t="s">
        <v>2549</v>
      </c>
      <c r="Q938" t="s">
        <v>870</v>
      </c>
      <c r="R938" t="s">
        <v>871</v>
      </c>
      <c r="S938" t="s">
        <v>152</v>
      </c>
      <c r="T938" t="s">
        <v>3078</v>
      </c>
      <c r="U938" t="s">
        <v>3076</v>
      </c>
      <c r="V938" s="8">
        <v>1250</v>
      </c>
      <c r="W938" s="7">
        <v>588732</v>
      </c>
      <c r="X938" t="s">
        <v>3352</v>
      </c>
      <c r="Y938" s="8">
        <v>1000</v>
      </c>
      <c r="Z938" s="8">
        <v>1475</v>
      </c>
      <c r="AA938" s="8">
        <v>225</v>
      </c>
      <c r="AB938" s="7">
        <v>112199</v>
      </c>
      <c r="AC938" t="s">
        <v>3352</v>
      </c>
      <c r="AD938" s="8">
        <v>250</v>
      </c>
      <c r="AG938" t="s">
        <v>801</v>
      </c>
      <c r="AH938" t="s">
        <v>802</v>
      </c>
      <c r="AI938" t="s">
        <v>818</v>
      </c>
    </row>
    <row r="939" spans="1:35" hidden="1">
      <c r="A939" s="7">
        <v>938</v>
      </c>
      <c r="B939" t="s">
        <v>243</v>
      </c>
      <c r="C939" t="s">
        <v>244</v>
      </c>
      <c r="D939" s="7">
        <v>7134</v>
      </c>
      <c r="E939" t="s">
        <v>245</v>
      </c>
      <c r="F939" t="s">
        <v>246</v>
      </c>
      <c r="G939" t="s">
        <v>248</v>
      </c>
      <c r="H939" t="s">
        <v>3078</v>
      </c>
      <c r="I939" s="7">
        <v>980</v>
      </c>
      <c r="J939" s="7">
        <v>29426</v>
      </c>
      <c r="K939" s="7">
        <v>2</v>
      </c>
      <c r="L939" t="s">
        <v>247</v>
      </c>
      <c r="M939" t="s">
        <v>261</v>
      </c>
      <c r="N939" s="7">
        <v>797023</v>
      </c>
      <c r="O939" t="s">
        <v>1825</v>
      </c>
      <c r="P939" t="s">
        <v>1826</v>
      </c>
      <c r="S939" t="s">
        <v>152</v>
      </c>
      <c r="T939" t="s">
        <v>3078</v>
      </c>
      <c r="U939" t="s">
        <v>3076</v>
      </c>
      <c r="V939" s="8">
        <v>1250</v>
      </c>
      <c r="W939" s="7">
        <v>588732</v>
      </c>
      <c r="X939" t="s">
        <v>3352</v>
      </c>
      <c r="Y939" s="8">
        <v>1250</v>
      </c>
      <c r="Z939" s="8">
        <v>1475</v>
      </c>
      <c r="AA939" s="8">
        <v>225</v>
      </c>
      <c r="AB939" s="7">
        <v>112199</v>
      </c>
      <c r="AC939" t="s">
        <v>3352</v>
      </c>
      <c r="AD939" s="8">
        <v>0</v>
      </c>
      <c r="AG939" t="s">
        <v>817</v>
      </c>
      <c r="AH939" t="s">
        <v>802</v>
      </c>
      <c r="AI939" t="s">
        <v>818</v>
      </c>
    </row>
    <row r="940" spans="1:35" hidden="1">
      <c r="A940" s="7">
        <v>939</v>
      </c>
      <c r="B940" t="s">
        <v>243</v>
      </c>
      <c r="C940" t="s">
        <v>244</v>
      </c>
      <c r="D940" s="7">
        <v>7134</v>
      </c>
      <c r="E940" t="s">
        <v>245</v>
      </c>
      <c r="F940" t="s">
        <v>246</v>
      </c>
      <c r="G940" t="s">
        <v>957</v>
      </c>
      <c r="H940" t="s">
        <v>3102</v>
      </c>
      <c r="I940" s="7">
        <v>1165</v>
      </c>
      <c r="J940" s="7">
        <v>40000</v>
      </c>
      <c r="K940" s="7">
        <v>4</v>
      </c>
      <c r="L940" t="s">
        <v>247</v>
      </c>
      <c r="M940" t="s">
        <v>361</v>
      </c>
      <c r="N940" s="7">
        <v>5342</v>
      </c>
      <c r="O940" t="s">
        <v>1209</v>
      </c>
      <c r="P940" t="s">
        <v>1210</v>
      </c>
      <c r="S940" t="s">
        <v>152</v>
      </c>
      <c r="T940" t="s">
        <v>3078</v>
      </c>
      <c r="U940" t="s">
        <v>3076</v>
      </c>
      <c r="V940" s="8">
        <v>0</v>
      </c>
      <c r="W940" s="7">
        <v>588732</v>
      </c>
      <c r="X940" t="s">
        <v>3352</v>
      </c>
      <c r="Y940" s="8">
        <v>0</v>
      </c>
      <c r="Z940" s="8">
        <v>0</v>
      </c>
      <c r="AA940" s="8">
        <v>0</v>
      </c>
      <c r="AB940" s="7">
        <v>112199</v>
      </c>
      <c r="AC940" t="s">
        <v>3352</v>
      </c>
      <c r="AD940" s="8">
        <v>0</v>
      </c>
      <c r="AG940" t="s">
        <v>823</v>
      </c>
      <c r="AH940" t="s">
        <v>802</v>
      </c>
      <c r="AI940" t="s">
        <v>803</v>
      </c>
    </row>
    <row r="941" spans="1:35" hidden="1">
      <c r="A941" s="7">
        <v>940</v>
      </c>
      <c r="B941" t="s">
        <v>243</v>
      </c>
      <c r="C941" t="s">
        <v>244</v>
      </c>
      <c r="D941" s="7">
        <v>7134</v>
      </c>
      <c r="E941" t="s">
        <v>245</v>
      </c>
      <c r="F941" t="s">
        <v>246</v>
      </c>
      <c r="G941" t="s">
        <v>293</v>
      </c>
      <c r="H941" t="s">
        <v>3096</v>
      </c>
      <c r="I941" s="7">
        <v>1165</v>
      </c>
      <c r="J941" s="7">
        <v>20000</v>
      </c>
      <c r="K941" s="7">
        <v>2</v>
      </c>
      <c r="L941" t="s">
        <v>247</v>
      </c>
      <c r="M941" t="s">
        <v>252</v>
      </c>
      <c r="N941" s="7">
        <v>327424</v>
      </c>
      <c r="O941" t="s">
        <v>380</v>
      </c>
      <c r="P941" t="s">
        <v>381</v>
      </c>
      <c r="S941" t="s">
        <v>152</v>
      </c>
      <c r="T941" t="s">
        <v>3078</v>
      </c>
      <c r="U941" t="s">
        <v>3076</v>
      </c>
      <c r="V941" s="8">
        <v>0</v>
      </c>
      <c r="W941" s="7">
        <v>588732</v>
      </c>
      <c r="X941" t="s">
        <v>3352</v>
      </c>
      <c r="Y941" s="8">
        <v>0</v>
      </c>
      <c r="Z941" s="8">
        <v>0</v>
      </c>
      <c r="AA941" s="8">
        <v>0</v>
      </c>
      <c r="AB941" s="7">
        <v>112199</v>
      </c>
      <c r="AC941" t="s">
        <v>3352</v>
      </c>
      <c r="AD941" s="8">
        <v>0</v>
      </c>
      <c r="AG941" t="s">
        <v>937</v>
      </c>
      <c r="AH941" t="s">
        <v>802</v>
      </c>
      <c r="AI941" t="s">
        <v>803</v>
      </c>
    </row>
    <row r="942" spans="1:35" hidden="1">
      <c r="A942" s="7">
        <v>941</v>
      </c>
      <c r="B942" t="s">
        <v>243</v>
      </c>
      <c r="C942" t="s">
        <v>244</v>
      </c>
      <c r="D942" s="7">
        <v>7134</v>
      </c>
      <c r="E942" t="s">
        <v>245</v>
      </c>
      <c r="F942" t="s">
        <v>246</v>
      </c>
      <c r="G942" t="s">
        <v>1566</v>
      </c>
      <c r="H942" t="s">
        <v>3095</v>
      </c>
      <c r="I942" s="7">
        <v>1165</v>
      </c>
      <c r="J942" s="7">
        <v>23168</v>
      </c>
      <c r="K942" s="7">
        <v>3</v>
      </c>
      <c r="L942" t="s">
        <v>247</v>
      </c>
      <c r="M942" t="s">
        <v>261</v>
      </c>
      <c r="N942" s="7">
        <v>781813</v>
      </c>
      <c r="O942" t="s">
        <v>1567</v>
      </c>
      <c r="P942" t="s">
        <v>1568</v>
      </c>
      <c r="S942" t="s">
        <v>152</v>
      </c>
      <c r="T942" t="s">
        <v>3078</v>
      </c>
      <c r="U942" t="s">
        <v>3076</v>
      </c>
      <c r="V942" s="8">
        <v>1250</v>
      </c>
      <c r="W942" s="7">
        <v>588732</v>
      </c>
      <c r="X942" t="s">
        <v>3352</v>
      </c>
      <c r="Y942" s="8">
        <v>1250</v>
      </c>
      <c r="Z942" s="8">
        <v>1475</v>
      </c>
      <c r="AA942" s="8">
        <v>225</v>
      </c>
      <c r="AB942" s="7">
        <v>112199</v>
      </c>
      <c r="AC942" t="s">
        <v>3352</v>
      </c>
      <c r="AD942" s="8">
        <v>0</v>
      </c>
      <c r="AG942" t="s">
        <v>817</v>
      </c>
      <c r="AH942" t="s">
        <v>802</v>
      </c>
      <c r="AI942" t="s">
        <v>818</v>
      </c>
    </row>
    <row r="943" spans="1:35" hidden="1">
      <c r="A943" s="7">
        <v>942</v>
      </c>
      <c r="B943" t="s">
        <v>243</v>
      </c>
      <c r="C943" t="s">
        <v>244</v>
      </c>
      <c r="D943" s="7">
        <v>7134</v>
      </c>
      <c r="E943" t="s">
        <v>245</v>
      </c>
      <c r="F943" t="s">
        <v>246</v>
      </c>
      <c r="G943" t="s">
        <v>1353</v>
      </c>
      <c r="H943" t="s">
        <v>3092</v>
      </c>
      <c r="I943" s="7">
        <v>1165</v>
      </c>
      <c r="J943" s="7">
        <v>90000</v>
      </c>
      <c r="K943" s="7">
        <v>9</v>
      </c>
      <c r="L943" t="s">
        <v>247</v>
      </c>
      <c r="M943" t="s">
        <v>267</v>
      </c>
      <c r="N943" s="7">
        <v>766569</v>
      </c>
      <c r="O943" t="s">
        <v>1354</v>
      </c>
      <c r="P943" t="s">
        <v>1355</v>
      </c>
      <c r="S943" t="s">
        <v>152</v>
      </c>
      <c r="T943" t="s">
        <v>3078</v>
      </c>
      <c r="U943" t="s">
        <v>3076</v>
      </c>
      <c r="V943" s="8">
        <v>0</v>
      </c>
      <c r="W943" s="7">
        <v>588732</v>
      </c>
      <c r="X943" t="s">
        <v>3352</v>
      </c>
      <c r="Y943" s="8">
        <v>0</v>
      </c>
      <c r="Z943" s="8">
        <v>0</v>
      </c>
      <c r="AA943" s="8">
        <v>0</v>
      </c>
      <c r="AB943" s="7">
        <v>112199</v>
      </c>
      <c r="AC943" t="s">
        <v>3352</v>
      </c>
      <c r="AD943" s="8">
        <v>0</v>
      </c>
      <c r="AG943" t="s">
        <v>828</v>
      </c>
      <c r="AH943" t="s">
        <v>802</v>
      </c>
      <c r="AI943" t="s">
        <v>803</v>
      </c>
    </row>
    <row r="944" spans="1:35" hidden="1">
      <c r="A944" s="7">
        <v>943</v>
      </c>
      <c r="B944" t="s">
        <v>243</v>
      </c>
      <c r="C944" t="s">
        <v>244</v>
      </c>
      <c r="D944" s="7">
        <v>7134</v>
      </c>
      <c r="E944" t="s">
        <v>245</v>
      </c>
      <c r="F944" t="s">
        <v>246</v>
      </c>
      <c r="G944" t="s">
        <v>308</v>
      </c>
      <c r="H944" t="s">
        <v>3080</v>
      </c>
      <c r="I944" s="7">
        <v>1165</v>
      </c>
      <c r="J944" s="7">
        <v>19670</v>
      </c>
      <c r="K944" s="7">
        <v>2</v>
      </c>
      <c r="L944" t="s">
        <v>247</v>
      </c>
      <c r="M944" t="s">
        <v>261</v>
      </c>
      <c r="N944" s="7">
        <v>792931</v>
      </c>
      <c r="O944" t="s">
        <v>355</v>
      </c>
      <c r="P944" t="s">
        <v>356</v>
      </c>
      <c r="S944" t="s">
        <v>152</v>
      </c>
      <c r="T944" t="s">
        <v>3078</v>
      </c>
      <c r="U944" t="s">
        <v>3076</v>
      </c>
      <c r="V944" s="8">
        <v>0</v>
      </c>
      <c r="W944" s="7">
        <v>588732</v>
      </c>
      <c r="X944" t="s">
        <v>3352</v>
      </c>
      <c r="Y944" s="8">
        <v>0</v>
      </c>
      <c r="Z944" s="8">
        <v>0</v>
      </c>
      <c r="AA944" s="8">
        <v>0</v>
      </c>
      <c r="AB944" s="7">
        <v>112199</v>
      </c>
      <c r="AC944" t="s">
        <v>3352</v>
      </c>
      <c r="AD944" s="8">
        <v>0</v>
      </c>
      <c r="AG944" t="s">
        <v>801</v>
      </c>
      <c r="AH944" t="s">
        <v>802</v>
      </c>
      <c r="AI944" t="s">
        <v>803</v>
      </c>
    </row>
    <row r="945" spans="1:35" hidden="1">
      <c r="A945" s="7">
        <v>944</v>
      </c>
      <c r="B945" t="s">
        <v>243</v>
      </c>
      <c r="C945" t="s">
        <v>244</v>
      </c>
      <c r="D945" s="7">
        <v>7134</v>
      </c>
      <c r="E945" t="s">
        <v>245</v>
      </c>
      <c r="F945" t="s">
        <v>246</v>
      </c>
      <c r="G945" t="s">
        <v>3091</v>
      </c>
      <c r="H945" t="s">
        <v>3092</v>
      </c>
      <c r="I945" s="7">
        <v>1165</v>
      </c>
      <c r="J945" s="7">
        <v>11700</v>
      </c>
      <c r="K945" s="7">
        <v>3</v>
      </c>
      <c r="L945" t="s">
        <v>247</v>
      </c>
      <c r="M945" t="s">
        <v>261</v>
      </c>
      <c r="N945" s="7">
        <v>770887</v>
      </c>
      <c r="O945" t="s">
        <v>3093</v>
      </c>
      <c r="P945" t="s">
        <v>3094</v>
      </c>
      <c r="S945" t="s">
        <v>152</v>
      </c>
      <c r="T945" t="s">
        <v>3078</v>
      </c>
      <c r="U945" t="s">
        <v>3076</v>
      </c>
      <c r="V945" s="8">
        <v>1250</v>
      </c>
      <c r="W945" s="7">
        <v>588732</v>
      </c>
      <c r="X945" t="s">
        <v>3352</v>
      </c>
      <c r="Y945" s="8">
        <v>1250</v>
      </c>
      <c r="Z945" s="8">
        <v>1475</v>
      </c>
      <c r="AA945" s="8">
        <v>225</v>
      </c>
      <c r="AB945" s="7">
        <v>112199</v>
      </c>
      <c r="AC945" t="s">
        <v>3352</v>
      </c>
      <c r="AD945" s="8">
        <v>0</v>
      </c>
      <c r="AG945" t="s">
        <v>817</v>
      </c>
      <c r="AH945" t="s">
        <v>802</v>
      </c>
      <c r="AI945" t="s">
        <v>818</v>
      </c>
    </row>
    <row r="946" spans="1:35" hidden="1">
      <c r="A946" s="7">
        <v>945</v>
      </c>
      <c r="B946" t="s">
        <v>243</v>
      </c>
      <c r="C946" t="s">
        <v>244</v>
      </c>
      <c r="D946" s="7">
        <v>7134</v>
      </c>
      <c r="E946" t="s">
        <v>245</v>
      </c>
      <c r="F946" t="s">
        <v>246</v>
      </c>
      <c r="G946" t="s">
        <v>1372</v>
      </c>
      <c r="H946" t="s">
        <v>1803</v>
      </c>
      <c r="I946" s="7">
        <v>1152</v>
      </c>
      <c r="J946" s="7">
        <v>33396</v>
      </c>
      <c r="K946" s="7">
        <v>4</v>
      </c>
      <c r="L946" t="s">
        <v>247</v>
      </c>
      <c r="M946" t="s">
        <v>261</v>
      </c>
      <c r="N946" s="7">
        <v>787971</v>
      </c>
      <c r="O946" t="s">
        <v>1373</v>
      </c>
      <c r="P946" t="s">
        <v>1374</v>
      </c>
      <c r="Q946" t="s">
        <v>870</v>
      </c>
      <c r="R946" t="s">
        <v>871</v>
      </c>
      <c r="S946" t="s">
        <v>152</v>
      </c>
      <c r="T946" t="s">
        <v>3078</v>
      </c>
      <c r="U946" t="s">
        <v>3076</v>
      </c>
      <c r="V946" s="8">
        <v>0</v>
      </c>
      <c r="W946" s="7">
        <v>588732</v>
      </c>
      <c r="X946" t="s">
        <v>3352</v>
      </c>
      <c r="Y946" s="8">
        <v>0</v>
      </c>
      <c r="Z946" s="8">
        <v>0</v>
      </c>
      <c r="AA946" s="8">
        <v>0</v>
      </c>
      <c r="AB946" s="7">
        <v>112199</v>
      </c>
      <c r="AC946" t="s">
        <v>3352</v>
      </c>
      <c r="AD946" s="8">
        <v>0</v>
      </c>
      <c r="AG946" t="s">
        <v>801</v>
      </c>
      <c r="AH946" t="s">
        <v>802</v>
      </c>
      <c r="AI946" t="s">
        <v>803</v>
      </c>
    </row>
    <row r="947" spans="1:35" hidden="1">
      <c r="A947" s="7">
        <v>946</v>
      </c>
      <c r="B947" t="s">
        <v>243</v>
      </c>
      <c r="C947" t="s">
        <v>244</v>
      </c>
      <c r="D947" s="7">
        <v>7134</v>
      </c>
      <c r="E947" t="s">
        <v>245</v>
      </c>
      <c r="F947" t="s">
        <v>246</v>
      </c>
      <c r="G947" t="s">
        <v>1273</v>
      </c>
      <c r="H947" t="s">
        <v>3108</v>
      </c>
      <c r="I947" s="7">
        <v>1165</v>
      </c>
      <c r="J947" s="7">
        <v>17500</v>
      </c>
      <c r="K947" s="7">
        <v>5</v>
      </c>
      <c r="L947" t="s">
        <v>247</v>
      </c>
      <c r="M947" t="s">
        <v>252</v>
      </c>
      <c r="N947" s="7">
        <v>324906</v>
      </c>
      <c r="O947" t="s">
        <v>1275</v>
      </c>
      <c r="P947" t="s">
        <v>1276</v>
      </c>
      <c r="S947" t="s">
        <v>152</v>
      </c>
      <c r="T947" t="s">
        <v>3078</v>
      </c>
      <c r="U947" t="s">
        <v>3076</v>
      </c>
      <c r="V947" s="8">
        <v>1250</v>
      </c>
      <c r="W947" s="7">
        <v>588732</v>
      </c>
      <c r="X947" t="s">
        <v>3352</v>
      </c>
      <c r="Y947" s="8">
        <v>1250</v>
      </c>
      <c r="Z947" s="8">
        <v>1475</v>
      </c>
      <c r="AA947" s="8">
        <v>225</v>
      </c>
      <c r="AB947" s="7">
        <v>112199</v>
      </c>
      <c r="AC947" t="s">
        <v>3352</v>
      </c>
      <c r="AD947" s="8">
        <v>0</v>
      </c>
      <c r="AG947" t="s">
        <v>937</v>
      </c>
      <c r="AH947" t="s">
        <v>802</v>
      </c>
      <c r="AI947" t="s">
        <v>818</v>
      </c>
    </row>
    <row r="948" spans="1:35" hidden="1">
      <c r="A948" s="7">
        <v>947</v>
      </c>
      <c r="B948" t="s">
        <v>243</v>
      </c>
      <c r="C948" t="s">
        <v>244</v>
      </c>
      <c r="D948" s="7">
        <v>7134</v>
      </c>
      <c r="E948" t="s">
        <v>245</v>
      </c>
      <c r="F948" t="s">
        <v>246</v>
      </c>
      <c r="G948" t="s">
        <v>248</v>
      </c>
      <c r="H948" t="s">
        <v>3074</v>
      </c>
      <c r="I948" s="7">
        <v>1165</v>
      </c>
      <c r="J948" s="7">
        <v>10500</v>
      </c>
      <c r="K948" s="7">
        <v>2</v>
      </c>
      <c r="L948" t="s">
        <v>247</v>
      </c>
      <c r="M948" t="s">
        <v>361</v>
      </c>
      <c r="N948" s="7">
        <v>91005790</v>
      </c>
      <c r="O948" t="s">
        <v>469</v>
      </c>
      <c r="P948" t="s">
        <v>470</v>
      </c>
      <c r="S948" t="s">
        <v>152</v>
      </c>
      <c r="T948" t="s">
        <v>3078</v>
      </c>
      <c r="U948" t="s">
        <v>3076</v>
      </c>
      <c r="V948" s="8">
        <v>0</v>
      </c>
      <c r="W948" s="7">
        <v>588732</v>
      </c>
      <c r="X948" t="s">
        <v>3352</v>
      </c>
      <c r="Y948" s="8">
        <v>0</v>
      </c>
      <c r="Z948" s="8">
        <v>0</v>
      </c>
      <c r="AA948" s="8">
        <v>0</v>
      </c>
      <c r="AB948" s="7">
        <v>112199</v>
      </c>
      <c r="AC948" t="s">
        <v>3352</v>
      </c>
      <c r="AD948" s="8">
        <v>0</v>
      </c>
      <c r="AG948" t="s">
        <v>823</v>
      </c>
      <c r="AH948" t="s">
        <v>802</v>
      </c>
      <c r="AI948" t="s">
        <v>803</v>
      </c>
    </row>
    <row r="949" spans="1:35" hidden="1">
      <c r="A949" s="7">
        <v>948</v>
      </c>
      <c r="B949" t="s">
        <v>243</v>
      </c>
      <c r="C949" t="s">
        <v>244</v>
      </c>
      <c r="D949" s="7">
        <v>7134</v>
      </c>
      <c r="E949" t="s">
        <v>245</v>
      </c>
      <c r="F949" t="s">
        <v>246</v>
      </c>
      <c r="G949" t="s">
        <v>248</v>
      </c>
      <c r="H949" t="s">
        <v>3097</v>
      </c>
      <c r="I949" s="7">
        <v>902</v>
      </c>
      <c r="J949" s="7">
        <v>31092</v>
      </c>
      <c r="K949" s="7">
        <v>2</v>
      </c>
      <c r="L949" t="s">
        <v>247</v>
      </c>
      <c r="M949" t="s">
        <v>261</v>
      </c>
      <c r="N949" s="7">
        <v>798566</v>
      </c>
      <c r="O949" t="s">
        <v>2176</v>
      </c>
      <c r="P949" t="s">
        <v>2177</v>
      </c>
      <c r="Q949" t="s">
        <v>908</v>
      </c>
      <c r="R949" t="s">
        <v>909</v>
      </c>
      <c r="S949" t="s">
        <v>152</v>
      </c>
      <c r="T949" t="s">
        <v>3078</v>
      </c>
      <c r="U949" t="s">
        <v>3076</v>
      </c>
      <c r="V949" s="8">
        <v>1250</v>
      </c>
      <c r="W949" s="7">
        <v>588732</v>
      </c>
      <c r="X949" t="s">
        <v>3352</v>
      </c>
      <c r="Y949" s="8">
        <v>1000</v>
      </c>
      <c r="Z949" s="8">
        <v>1475</v>
      </c>
      <c r="AA949" s="8">
        <v>225</v>
      </c>
      <c r="AB949" s="7">
        <v>112199</v>
      </c>
      <c r="AC949" t="s">
        <v>3352</v>
      </c>
      <c r="AD949" s="8">
        <v>250</v>
      </c>
      <c r="AG949" t="s">
        <v>817</v>
      </c>
      <c r="AH949" t="s">
        <v>802</v>
      </c>
      <c r="AI949" t="s">
        <v>818</v>
      </c>
    </row>
    <row r="950" spans="1:35" hidden="1">
      <c r="A950" s="7">
        <v>949</v>
      </c>
      <c r="B950" t="s">
        <v>243</v>
      </c>
      <c r="C950" t="s">
        <v>244</v>
      </c>
      <c r="D950" s="7">
        <v>7134</v>
      </c>
      <c r="E950" t="s">
        <v>245</v>
      </c>
      <c r="F950" t="s">
        <v>246</v>
      </c>
      <c r="G950" t="s">
        <v>722</v>
      </c>
      <c r="H950" t="s">
        <v>3369</v>
      </c>
      <c r="I950" s="7">
        <v>1165</v>
      </c>
      <c r="J950" s="7">
        <v>9199</v>
      </c>
      <c r="K950" s="7">
        <v>1</v>
      </c>
      <c r="L950" t="s">
        <v>247</v>
      </c>
      <c r="M950" t="s">
        <v>252</v>
      </c>
      <c r="N950" s="7">
        <v>328673</v>
      </c>
      <c r="O950" t="s">
        <v>780</v>
      </c>
      <c r="P950" t="s">
        <v>781</v>
      </c>
      <c r="S950" t="s">
        <v>211</v>
      </c>
      <c r="T950" t="s">
        <v>3354</v>
      </c>
      <c r="U950" t="s">
        <v>3355</v>
      </c>
      <c r="V950" s="8">
        <v>1250</v>
      </c>
      <c r="W950" s="7">
        <v>589181</v>
      </c>
      <c r="X950" t="s">
        <v>3725</v>
      </c>
      <c r="Y950" s="8">
        <v>1250</v>
      </c>
      <c r="Z950" s="8">
        <v>1475</v>
      </c>
      <c r="AA950" s="8">
        <v>225</v>
      </c>
      <c r="AB950" s="7">
        <v>112648</v>
      </c>
      <c r="AC950" t="s">
        <v>3725</v>
      </c>
      <c r="AD950" s="8">
        <v>0</v>
      </c>
      <c r="AG950" t="s">
        <v>937</v>
      </c>
      <c r="AH950" t="s">
        <v>802</v>
      </c>
      <c r="AI950" t="s">
        <v>818</v>
      </c>
    </row>
    <row r="951" spans="1:35" hidden="1">
      <c r="A951" s="7">
        <v>950</v>
      </c>
      <c r="B951" t="s">
        <v>243</v>
      </c>
      <c r="C951" t="s">
        <v>244</v>
      </c>
      <c r="D951" s="7">
        <v>7134</v>
      </c>
      <c r="E951" t="s">
        <v>245</v>
      </c>
      <c r="F951" t="s">
        <v>246</v>
      </c>
      <c r="G951" t="s">
        <v>1202</v>
      </c>
      <c r="H951" t="s">
        <v>3377</v>
      </c>
      <c r="I951" s="7">
        <v>1165</v>
      </c>
      <c r="J951" s="7">
        <v>70000</v>
      </c>
      <c r="K951" s="7">
        <v>7</v>
      </c>
      <c r="L951" t="s">
        <v>247</v>
      </c>
      <c r="M951" t="s">
        <v>261</v>
      </c>
      <c r="N951" s="7">
        <v>774638</v>
      </c>
      <c r="O951" t="s">
        <v>1232</v>
      </c>
      <c r="P951" t="s">
        <v>1233</v>
      </c>
      <c r="S951" t="s">
        <v>211</v>
      </c>
      <c r="T951" t="s">
        <v>3354</v>
      </c>
      <c r="U951" t="s">
        <v>3355</v>
      </c>
      <c r="V951" s="8">
        <v>0</v>
      </c>
      <c r="W951" s="7">
        <v>589181</v>
      </c>
      <c r="X951" t="s">
        <v>3725</v>
      </c>
      <c r="Y951" s="8">
        <v>0</v>
      </c>
      <c r="Z951" s="8">
        <v>0</v>
      </c>
      <c r="AA951" s="8">
        <v>0</v>
      </c>
      <c r="AB951" s="7">
        <v>112648</v>
      </c>
      <c r="AC951" t="s">
        <v>3725</v>
      </c>
      <c r="AD951" s="8">
        <v>0</v>
      </c>
      <c r="AG951" t="s">
        <v>801</v>
      </c>
      <c r="AH951" t="s">
        <v>802</v>
      </c>
      <c r="AI951" t="s">
        <v>803</v>
      </c>
    </row>
    <row r="952" spans="1:35" hidden="1">
      <c r="A952" s="7">
        <v>951</v>
      </c>
      <c r="B952" t="s">
        <v>243</v>
      </c>
      <c r="C952" t="s">
        <v>244</v>
      </c>
      <c r="D952" s="7">
        <v>7134</v>
      </c>
      <c r="E952" t="s">
        <v>245</v>
      </c>
      <c r="F952" t="s">
        <v>246</v>
      </c>
      <c r="G952" t="s">
        <v>1053</v>
      </c>
      <c r="H952" t="s">
        <v>3356</v>
      </c>
      <c r="I952" s="7">
        <v>1165</v>
      </c>
      <c r="J952" s="7">
        <v>60000</v>
      </c>
      <c r="K952" s="7">
        <v>6</v>
      </c>
      <c r="L952" t="s">
        <v>247</v>
      </c>
      <c r="M952" t="s">
        <v>267</v>
      </c>
      <c r="N952" s="7">
        <v>776633</v>
      </c>
      <c r="O952" t="s">
        <v>1171</v>
      </c>
      <c r="P952" t="s">
        <v>1172</v>
      </c>
      <c r="S952" t="s">
        <v>211</v>
      </c>
      <c r="T952" t="s">
        <v>3354</v>
      </c>
      <c r="U952" t="s">
        <v>3355</v>
      </c>
      <c r="V952" s="8">
        <v>0</v>
      </c>
      <c r="W952" s="7">
        <v>589181</v>
      </c>
      <c r="X952" t="s">
        <v>3725</v>
      </c>
      <c r="Y952" s="8">
        <v>0</v>
      </c>
      <c r="Z952" s="8">
        <v>0</v>
      </c>
      <c r="AA952" s="8">
        <v>0</v>
      </c>
      <c r="AB952" s="7">
        <v>112648</v>
      </c>
      <c r="AC952" t="s">
        <v>3725</v>
      </c>
      <c r="AD952" s="8">
        <v>0</v>
      </c>
      <c r="AG952" t="s">
        <v>828</v>
      </c>
      <c r="AH952" t="s">
        <v>802</v>
      </c>
      <c r="AI952" t="s">
        <v>803</v>
      </c>
    </row>
    <row r="953" spans="1:35" hidden="1">
      <c r="A953" s="7">
        <v>952</v>
      </c>
      <c r="B953" t="s">
        <v>243</v>
      </c>
      <c r="C953" t="s">
        <v>244</v>
      </c>
      <c r="D953" s="7">
        <v>7134</v>
      </c>
      <c r="E953" t="s">
        <v>245</v>
      </c>
      <c r="F953" t="s">
        <v>246</v>
      </c>
      <c r="G953" t="s">
        <v>1457</v>
      </c>
      <c r="H953" t="s">
        <v>3361</v>
      </c>
      <c r="I953" s="7">
        <v>895</v>
      </c>
      <c r="J953" s="7">
        <v>31561</v>
      </c>
      <c r="K953" s="7">
        <v>2</v>
      </c>
      <c r="L953" t="s">
        <v>247</v>
      </c>
      <c r="M953" t="s">
        <v>261</v>
      </c>
      <c r="N953" s="7">
        <v>780902</v>
      </c>
      <c r="O953" t="s">
        <v>2623</v>
      </c>
      <c r="P953" t="s">
        <v>2624</v>
      </c>
      <c r="Q953" t="s">
        <v>908</v>
      </c>
      <c r="R953" t="s">
        <v>909</v>
      </c>
      <c r="S953" t="s">
        <v>211</v>
      </c>
      <c r="T953" t="s">
        <v>3354</v>
      </c>
      <c r="U953" t="s">
        <v>3355</v>
      </c>
      <c r="V953" s="8">
        <v>1250</v>
      </c>
      <c r="W953" s="7">
        <v>589181</v>
      </c>
      <c r="X953" t="s">
        <v>3725</v>
      </c>
      <c r="Y953" s="8">
        <v>1000</v>
      </c>
      <c r="Z953" s="8">
        <v>1475</v>
      </c>
      <c r="AA953" s="8">
        <v>225</v>
      </c>
      <c r="AB953" s="7">
        <v>112648</v>
      </c>
      <c r="AC953" t="s">
        <v>3725</v>
      </c>
      <c r="AD953" s="8">
        <v>250</v>
      </c>
      <c r="AG953" t="s">
        <v>817</v>
      </c>
      <c r="AH953" t="s">
        <v>802</v>
      </c>
      <c r="AI953" t="s">
        <v>818</v>
      </c>
    </row>
    <row r="954" spans="1:35" hidden="1">
      <c r="A954" s="7">
        <v>953</v>
      </c>
      <c r="B954" t="s">
        <v>243</v>
      </c>
      <c r="C954" t="s">
        <v>244</v>
      </c>
      <c r="D954" s="7">
        <v>7134</v>
      </c>
      <c r="E954" t="s">
        <v>245</v>
      </c>
      <c r="F954" t="s">
        <v>246</v>
      </c>
      <c r="G954" t="s">
        <v>914</v>
      </c>
      <c r="H954" t="s">
        <v>3360</v>
      </c>
      <c r="I954" s="7">
        <v>1165</v>
      </c>
      <c r="J954" s="7">
        <v>11515</v>
      </c>
      <c r="K954" s="7">
        <v>3</v>
      </c>
      <c r="L954" t="s">
        <v>247</v>
      </c>
      <c r="M954" t="s">
        <v>261</v>
      </c>
      <c r="N954" s="7">
        <v>791456</v>
      </c>
      <c r="O954" t="s">
        <v>3396</v>
      </c>
      <c r="P954" t="s">
        <v>3397</v>
      </c>
      <c r="S954" t="s">
        <v>211</v>
      </c>
      <c r="T954" t="s">
        <v>3354</v>
      </c>
      <c r="U954" t="s">
        <v>3355</v>
      </c>
      <c r="V954" s="8">
        <v>1250</v>
      </c>
      <c r="W954" s="7">
        <v>589181</v>
      </c>
      <c r="X954" t="s">
        <v>3725</v>
      </c>
      <c r="Y954" s="8">
        <v>1250</v>
      </c>
      <c r="Z954" s="8">
        <v>1475</v>
      </c>
      <c r="AA954" s="8">
        <v>225</v>
      </c>
      <c r="AB954" s="7">
        <v>112648</v>
      </c>
      <c r="AC954" t="s">
        <v>3725</v>
      </c>
      <c r="AD954" s="8">
        <v>0</v>
      </c>
      <c r="AG954" t="s">
        <v>801</v>
      </c>
      <c r="AH954" t="s">
        <v>802</v>
      </c>
      <c r="AI954" t="s">
        <v>818</v>
      </c>
    </row>
    <row r="955" spans="1:35" hidden="1">
      <c r="A955" s="7">
        <v>954</v>
      </c>
      <c r="B955" t="s">
        <v>243</v>
      </c>
      <c r="C955" t="s">
        <v>244</v>
      </c>
      <c r="D955" s="7">
        <v>7134</v>
      </c>
      <c r="E955" t="s">
        <v>245</v>
      </c>
      <c r="F955" t="s">
        <v>246</v>
      </c>
      <c r="G955" t="s">
        <v>539</v>
      </c>
      <c r="H955" t="s">
        <v>3354</v>
      </c>
      <c r="I955" s="7">
        <v>1165</v>
      </c>
      <c r="J955" s="7">
        <v>7654</v>
      </c>
      <c r="K955" s="7">
        <v>1</v>
      </c>
      <c r="L955" t="s">
        <v>247</v>
      </c>
      <c r="M955" t="s">
        <v>267</v>
      </c>
      <c r="N955" s="7">
        <v>784079</v>
      </c>
      <c r="O955" t="s">
        <v>541</v>
      </c>
      <c r="P955" t="s">
        <v>542</v>
      </c>
      <c r="S955" t="s">
        <v>211</v>
      </c>
      <c r="T955" t="s">
        <v>3354</v>
      </c>
      <c r="U955" t="s">
        <v>3355</v>
      </c>
      <c r="V955" s="8">
        <v>1250</v>
      </c>
      <c r="W955" s="7">
        <v>589181</v>
      </c>
      <c r="X955" t="s">
        <v>3725</v>
      </c>
      <c r="Y955" s="8">
        <v>1250</v>
      </c>
      <c r="Z955" s="8">
        <v>1475</v>
      </c>
      <c r="AA955" s="8">
        <v>225</v>
      </c>
      <c r="AB955" s="7">
        <v>112648</v>
      </c>
      <c r="AC955" t="s">
        <v>3725</v>
      </c>
      <c r="AD955" s="8">
        <v>0</v>
      </c>
      <c r="AG955" t="s">
        <v>1124</v>
      </c>
      <c r="AH955" t="s">
        <v>802</v>
      </c>
      <c r="AI955" t="s">
        <v>818</v>
      </c>
    </row>
    <row r="956" spans="1:35" hidden="1">
      <c r="A956" s="7">
        <v>955</v>
      </c>
      <c r="B956" t="s">
        <v>243</v>
      </c>
      <c r="C956" t="s">
        <v>244</v>
      </c>
      <c r="D956" s="7">
        <v>7134</v>
      </c>
      <c r="E956" t="s">
        <v>245</v>
      </c>
      <c r="F956" t="s">
        <v>246</v>
      </c>
      <c r="G956" t="s">
        <v>3108</v>
      </c>
      <c r="H956" t="s">
        <v>3371</v>
      </c>
      <c r="I956" s="7">
        <v>1165</v>
      </c>
      <c r="J956" s="7">
        <v>6718</v>
      </c>
      <c r="K956" s="7">
        <v>1</v>
      </c>
      <c r="L956" t="s">
        <v>247</v>
      </c>
      <c r="M956" t="s">
        <v>361</v>
      </c>
      <c r="N956" s="7">
        <v>7892</v>
      </c>
      <c r="O956" t="s">
        <v>3260</v>
      </c>
      <c r="P956" t="s">
        <v>3261</v>
      </c>
      <c r="S956" t="s">
        <v>211</v>
      </c>
      <c r="T956" t="s">
        <v>3354</v>
      </c>
      <c r="U956" t="s">
        <v>3355</v>
      </c>
      <c r="V956" s="8">
        <v>1650</v>
      </c>
      <c r="W956" s="7">
        <v>589181</v>
      </c>
      <c r="X956" t="s">
        <v>3725</v>
      </c>
      <c r="Y956" s="8">
        <v>1650</v>
      </c>
      <c r="Z956" s="8">
        <v>1947</v>
      </c>
      <c r="AA956" s="8">
        <v>297</v>
      </c>
      <c r="AB956" s="7">
        <v>112648</v>
      </c>
      <c r="AC956" t="s">
        <v>3725</v>
      </c>
      <c r="AD956" s="8">
        <v>0</v>
      </c>
      <c r="AG956" t="s">
        <v>823</v>
      </c>
      <c r="AH956" t="s">
        <v>802</v>
      </c>
      <c r="AI956" t="s">
        <v>818</v>
      </c>
    </row>
    <row r="957" spans="1:35" hidden="1">
      <c r="A957" s="7">
        <v>956</v>
      </c>
      <c r="B957" t="s">
        <v>243</v>
      </c>
      <c r="C957" t="s">
        <v>244</v>
      </c>
      <c r="D957" s="7">
        <v>7134</v>
      </c>
      <c r="E957" t="s">
        <v>245</v>
      </c>
      <c r="F957" t="s">
        <v>246</v>
      </c>
      <c r="G957" t="s">
        <v>333</v>
      </c>
      <c r="H957" t="s">
        <v>418</v>
      </c>
      <c r="I957" s="7">
        <v>898</v>
      </c>
      <c r="J957" s="7">
        <v>30000</v>
      </c>
      <c r="K957" s="7">
        <v>2</v>
      </c>
      <c r="L957" t="s">
        <v>247</v>
      </c>
      <c r="M957" t="s">
        <v>261</v>
      </c>
      <c r="N957" s="7">
        <v>796539</v>
      </c>
      <c r="O957" t="s">
        <v>1947</v>
      </c>
      <c r="P957" t="s">
        <v>1948</v>
      </c>
      <c r="S957" t="s">
        <v>211</v>
      </c>
      <c r="T957" t="s">
        <v>3354</v>
      </c>
      <c r="U957" t="s">
        <v>3355</v>
      </c>
      <c r="V957" s="8">
        <v>1250</v>
      </c>
      <c r="W957" s="7">
        <v>589181</v>
      </c>
      <c r="X957" t="s">
        <v>3725</v>
      </c>
      <c r="Y957" s="8">
        <v>1250</v>
      </c>
      <c r="Z957" s="8">
        <v>1475</v>
      </c>
      <c r="AA957" s="8">
        <v>225</v>
      </c>
      <c r="AB957" s="7">
        <v>112648</v>
      </c>
      <c r="AC957" t="s">
        <v>3725</v>
      </c>
      <c r="AD957" s="8">
        <v>0</v>
      </c>
      <c r="AG957" t="s">
        <v>817</v>
      </c>
      <c r="AH957" t="s">
        <v>802</v>
      </c>
      <c r="AI957" t="s">
        <v>818</v>
      </c>
    </row>
    <row r="958" spans="1:35" hidden="1">
      <c r="A958" s="7">
        <v>957</v>
      </c>
      <c r="B958" t="s">
        <v>243</v>
      </c>
      <c r="C958" t="s">
        <v>244</v>
      </c>
      <c r="D958" s="7">
        <v>7134</v>
      </c>
      <c r="E958" t="s">
        <v>245</v>
      </c>
      <c r="F958" t="s">
        <v>246</v>
      </c>
      <c r="G958" t="s">
        <v>516</v>
      </c>
      <c r="H958" t="s">
        <v>3369</v>
      </c>
      <c r="I958" s="7">
        <v>1165</v>
      </c>
      <c r="J958" s="7">
        <v>9685</v>
      </c>
      <c r="K958" s="7">
        <v>1</v>
      </c>
      <c r="L958" t="s">
        <v>247</v>
      </c>
      <c r="M958" t="s">
        <v>261</v>
      </c>
      <c r="N958" s="7">
        <v>796644</v>
      </c>
      <c r="O958" t="s">
        <v>576</v>
      </c>
      <c r="P958" t="s">
        <v>577</v>
      </c>
      <c r="S958" t="s">
        <v>211</v>
      </c>
      <c r="T958" t="s">
        <v>3354</v>
      </c>
      <c r="U958" t="s">
        <v>3355</v>
      </c>
      <c r="V958" s="8">
        <v>1250</v>
      </c>
      <c r="W958" s="7">
        <v>589181</v>
      </c>
      <c r="X958" t="s">
        <v>3725</v>
      </c>
      <c r="Y958" s="8">
        <v>1250</v>
      </c>
      <c r="Z958" s="8">
        <v>1475</v>
      </c>
      <c r="AA958" s="8">
        <v>225</v>
      </c>
      <c r="AB958" s="7">
        <v>112648</v>
      </c>
      <c r="AC958" t="s">
        <v>3725</v>
      </c>
      <c r="AD958" s="8">
        <v>0</v>
      </c>
      <c r="AG958" t="s">
        <v>817</v>
      </c>
      <c r="AH958" t="s">
        <v>802</v>
      </c>
      <c r="AI958" t="s">
        <v>818</v>
      </c>
    </row>
    <row r="959" spans="1:35" hidden="1">
      <c r="A959" s="7">
        <v>958</v>
      </c>
      <c r="B959" t="s">
        <v>243</v>
      </c>
      <c r="C959" t="s">
        <v>244</v>
      </c>
      <c r="D959" s="7">
        <v>7134</v>
      </c>
      <c r="E959" t="s">
        <v>245</v>
      </c>
      <c r="F959" t="s">
        <v>246</v>
      </c>
      <c r="G959" t="s">
        <v>861</v>
      </c>
      <c r="H959" t="s">
        <v>3370</v>
      </c>
      <c r="I959" s="7">
        <v>951</v>
      </c>
      <c r="J959" s="7">
        <v>49582</v>
      </c>
      <c r="K959" s="7">
        <v>5</v>
      </c>
      <c r="L959" t="s">
        <v>247</v>
      </c>
      <c r="M959" t="s">
        <v>361</v>
      </c>
      <c r="N959" s="7">
        <v>4698</v>
      </c>
      <c r="O959" t="s">
        <v>1300</v>
      </c>
      <c r="P959" t="s">
        <v>1301</v>
      </c>
      <c r="S959" t="s">
        <v>211</v>
      </c>
      <c r="T959" t="s">
        <v>3354</v>
      </c>
      <c r="U959" t="s">
        <v>3355</v>
      </c>
      <c r="V959" s="8">
        <v>1650</v>
      </c>
      <c r="W959" s="7">
        <v>589181</v>
      </c>
      <c r="X959" t="s">
        <v>3725</v>
      </c>
      <c r="Y959" s="8">
        <v>1650</v>
      </c>
      <c r="Z959" s="8">
        <v>1947</v>
      </c>
      <c r="AA959" s="8">
        <v>297</v>
      </c>
      <c r="AB959" s="7">
        <v>112648</v>
      </c>
      <c r="AC959" t="s">
        <v>3725</v>
      </c>
      <c r="AD959" s="8">
        <v>0</v>
      </c>
      <c r="AG959" t="s">
        <v>823</v>
      </c>
      <c r="AH959" t="s">
        <v>802</v>
      </c>
      <c r="AI959" t="s">
        <v>818</v>
      </c>
    </row>
    <row r="960" spans="1:35" hidden="1">
      <c r="A960" s="7">
        <v>959</v>
      </c>
      <c r="B960" t="s">
        <v>243</v>
      </c>
      <c r="C960" t="s">
        <v>244</v>
      </c>
      <c r="D960" s="7">
        <v>7134</v>
      </c>
      <c r="E960" t="s">
        <v>245</v>
      </c>
      <c r="F960" t="s">
        <v>246</v>
      </c>
      <c r="G960" t="s">
        <v>328</v>
      </c>
      <c r="H960" t="s">
        <v>3382</v>
      </c>
      <c r="I960" s="7">
        <v>1165</v>
      </c>
      <c r="J960" s="7">
        <v>5401</v>
      </c>
      <c r="K960" s="7">
        <v>1</v>
      </c>
      <c r="L960" t="s">
        <v>247</v>
      </c>
      <c r="M960" t="s">
        <v>261</v>
      </c>
      <c r="N960" s="7">
        <v>780645</v>
      </c>
      <c r="O960" t="s">
        <v>3411</v>
      </c>
      <c r="P960" t="s">
        <v>3412</v>
      </c>
      <c r="Q960" t="s">
        <v>870</v>
      </c>
      <c r="R960" t="s">
        <v>871</v>
      </c>
      <c r="S960" t="s">
        <v>211</v>
      </c>
      <c r="T960" t="s">
        <v>3354</v>
      </c>
      <c r="U960" t="s">
        <v>3355</v>
      </c>
      <c r="V960" s="8">
        <v>1250</v>
      </c>
      <c r="W960" s="7">
        <v>589181</v>
      </c>
      <c r="X960" t="s">
        <v>3725</v>
      </c>
      <c r="Y960" s="8">
        <v>1000</v>
      </c>
      <c r="Z960" s="8">
        <v>1475</v>
      </c>
      <c r="AA960" s="8">
        <v>225</v>
      </c>
      <c r="AB960" s="7">
        <v>112648</v>
      </c>
      <c r="AC960" t="s">
        <v>3725</v>
      </c>
      <c r="AD960" s="8">
        <v>250</v>
      </c>
      <c r="AG960" t="s">
        <v>817</v>
      </c>
      <c r="AH960" t="s">
        <v>802</v>
      </c>
      <c r="AI960" t="s">
        <v>818</v>
      </c>
    </row>
    <row r="961" spans="1:35" hidden="1">
      <c r="A961" s="7">
        <v>960</v>
      </c>
      <c r="B961" t="s">
        <v>243</v>
      </c>
      <c r="C961" t="s">
        <v>244</v>
      </c>
      <c r="D961" s="7">
        <v>7134</v>
      </c>
      <c r="E961" t="s">
        <v>245</v>
      </c>
      <c r="F961" t="s">
        <v>246</v>
      </c>
      <c r="G961" t="s">
        <v>1457</v>
      </c>
      <c r="H961" t="s">
        <v>3361</v>
      </c>
      <c r="I961" s="7">
        <v>871</v>
      </c>
      <c r="J961" s="7">
        <v>53470</v>
      </c>
      <c r="K961" s="7">
        <v>3</v>
      </c>
      <c r="L961" t="s">
        <v>247</v>
      </c>
      <c r="M961" t="s">
        <v>261</v>
      </c>
      <c r="N961" s="7">
        <v>780913</v>
      </c>
      <c r="O961" t="s">
        <v>2192</v>
      </c>
      <c r="P961" t="s">
        <v>2193</v>
      </c>
      <c r="Q961" t="s">
        <v>908</v>
      </c>
      <c r="R961" t="s">
        <v>909</v>
      </c>
      <c r="S961" t="s">
        <v>211</v>
      </c>
      <c r="T961" t="s">
        <v>3354</v>
      </c>
      <c r="U961" t="s">
        <v>3355</v>
      </c>
      <c r="V961" s="8">
        <v>1250</v>
      </c>
      <c r="W961" s="7">
        <v>589181</v>
      </c>
      <c r="X961" t="s">
        <v>3725</v>
      </c>
      <c r="Y961" s="8">
        <v>1000</v>
      </c>
      <c r="Z961" s="8">
        <v>1475</v>
      </c>
      <c r="AA961" s="8">
        <v>225</v>
      </c>
      <c r="AB961" s="7">
        <v>112648</v>
      </c>
      <c r="AC961" t="s">
        <v>3725</v>
      </c>
      <c r="AD961" s="8">
        <v>250</v>
      </c>
      <c r="AG961" t="s">
        <v>817</v>
      </c>
      <c r="AH961" t="s">
        <v>802</v>
      </c>
      <c r="AI961" t="s">
        <v>818</v>
      </c>
    </row>
    <row r="962" spans="1:35" hidden="1">
      <c r="A962" s="7">
        <v>961</v>
      </c>
      <c r="B962" t="s">
        <v>243</v>
      </c>
      <c r="C962" t="s">
        <v>244</v>
      </c>
      <c r="D962" s="7">
        <v>7134</v>
      </c>
      <c r="E962" t="s">
        <v>245</v>
      </c>
      <c r="F962" t="s">
        <v>246</v>
      </c>
      <c r="G962" t="s">
        <v>1457</v>
      </c>
      <c r="H962" t="s">
        <v>418</v>
      </c>
      <c r="I962" s="7">
        <v>895</v>
      </c>
      <c r="J962" s="7">
        <v>30000</v>
      </c>
      <c r="K962" s="7">
        <v>2</v>
      </c>
      <c r="L962" t="s">
        <v>247</v>
      </c>
      <c r="M962" t="s">
        <v>261</v>
      </c>
      <c r="N962" s="7">
        <v>780905</v>
      </c>
      <c r="O962" t="s">
        <v>3417</v>
      </c>
      <c r="P962" t="s">
        <v>3418</v>
      </c>
      <c r="S962" t="s">
        <v>211</v>
      </c>
      <c r="T962" t="s">
        <v>3354</v>
      </c>
      <c r="U962" t="s">
        <v>3355</v>
      </c>
      <c r="V962" s="8">
        <v>1250</v>
      </c>
      <c r="W962" s="7">
        <v>589181</v>
      </c>
      <c r="X962" t="s">
        <v>3725</v>
      </c>
      <c r="Y962" s="8">
        <v>1250</v>
      </c>
      <c r="Z962" s="8">
        <v>1475</v>
      </c>
      <c r="AA962" s="8">
        <v>225</v>
      </c>
      <c r="AB962" s="7">
        <v>112648</v>
      </c>
      <c r="AC962" t="s">
        <v>3725</v>
      </c>
      <c r="AD962" s="8">
        <v>0</v>
      </c>
      <c r="AG962" t="s">
        <v>817</v>
      </c>
      <c r="AH962" t="s">
        <v>802</v>
      </c>
      <c r="AI962" t="s">
        <v>818</v>
      </c>
    </row>
    <row r="963" spans="1:35" hidden="1">
      <c r="A963" s="7">
        <v>962</v>
      </c>
      <c r="B963" t="s">
        <v>243</v>
      </c>
      <c r="C963" t="s">
        <v>244</v>
      </c>
      <c r="D963" s="7">
        <v>7134</v>
      </c>
      <c r="E963" t="s">
        <v>245</v>
      </c>
      <c r="F963" t="s">
        <v>246</v>
      </c>
      <c r="G963" t="s">
        <v>263</v>
      </c>
      <c r="H963" t="s">
        <v>3360</v>
      </c>
      <c r="I963" s="7">
        <v>875</v>
      </c>
      <c r="J963" s="7">
        <v>29591</v>
      </c>
      <c r="K963" s="7">
        <v>2</v>
      </c>
      <c r="L963" t="s">
        <v>247</v>
      </c>
      <c r="M963" t="s">
        <v>261</v>
      </c>
      <c r="N963" s="7">
        <v>796143</v>
      </c>
      <c r="O963" t="s">
        <v>2003</v>
      </c>
      <c r="P963" t="s">
        <v>2004</v>
      </c>
      <c r="S963" t="s">
        <v>211</v>
      </c>
      <c r="T963" t="s">
        <v>3354</v>
      </c>
      <c r="U963" t="s">
        <v>3355</v>
      </c>
      <c r="V963" s="8">
        <v>1250</v>
      </c>
      <c r="W963" s="7">
        <v>589181</v>
      </c>
      <c r="X963" t="s">
        <v>3725</v>
      </c>
      <c r="Y963" s="8">
        <v>1250</v>
      </c>
      <c r="Z963" s="8">
        <v>1475</v>
      </c>
      <c r="AA963" s="8">
        <v>225</v>
      </c>
      <c r="AB963" s="7">
        <v>112648</v>
      </c>
      <c r="AC963" t="s">
        <v>3725</v>
      </c>
      <c r="AD963" s="8">
        <v>0</v>
      </c>
      <c r="AG963" t="s">
        <v>817</v>
      </c>
      <c r="AH963" t="s">
        <v>802</v>
      </c>
      <c r="AI963" t="s">
        <v>818</v>
      </c>
    </row>
    <row r="964" spans="1:35" hidden="1">
      <c r="A964" s="7">
        <v>963</v>
      </c>
      <c r="B964" t="s">
        <v>243</v>
      </c>
      <c r="C964" t="s">
        <v>244</v>
      </c>
      <c r="D964" s="7">
        <v>7134</v>
      </c>
      <c r="E964" t="s">
        <v>245</v>
      </c>
      <c r="F964" t="s">
        <v>246</v>
      </c>
      <c r="G964" t="s">
        <v>829</v>
      </c>
      <c r="H964" t="s">
        <v>3382</v>
      </c>
      <c r="I964" s="7">
        <v>1165</v>
      </c>
      <c r="J964" s="7">
        <v>27000</v>
      </c>
      <c r="K964" s="7">
        <v>3</v>
      </c>
      <c r="L964" t="s">
        <v>247</v>
      </c>
      <c r="M964" t="s">
        <v>261</v>
      </c>
      <c r="N964" s="7">
        <v>792074</v>
      </c>
      <c r="O964" t="s">
        <v>830</v>
      </c>
      <c r="P964" t="s">
        <v>831</v>
      </c>
      <c r="Q964" t="s">
        <v>870</v>
      </c>
      <c r="R964" t="s">
        <v>871</v>
      </c>
      <c r="S964" t="s">
        <v>211</v>
      </c>
      <c r="T964" t="s">
        <v>3354</v>
      </c>
      <c r="U964" t="s">
        <v>3355</v>
      </c>
      <c r="V964" s="8">
        <v>1250</v>
      </c>
      <c r="W964" s="7">
        <v>589181</v>
      </c>
      <c r="X964" t="s">
        <v>3725</v>
      </c>
      <c r="Y964" s="8">
        <v>1000</v>
      </c>
      <c r="Z964" s="8">
        <v>1475</v>
      </c>
      <c r="AA964" s="8">
        <v>225</v>
      </c>
      <c r="AB964" s="7">
        <v>112648</v>
      </c>
      <c r="AC964" t="s">
        <v>3725</v>
      </c>
      <c r="AD964" s="8">
        <v>250</v>
      </c>
      <c r="AG964" t="s">
        <v>801</v>
      </c>
      <c r="AH964" t="s">
        <v>802</v>
      </c>
      <c r="AI964" t="s">
        <v>818</v>
      </c>
    </row>
    <row r="965" spans="1:35" hidden="1">
      <c r="A965" s="7">
        <v>964</v>
      </c>
      <c r="B965" t="s">
        <v>243</v>
      </c>
      <c r="C965" t="s">
        <v>244</v>
      </c>
      <c r="D965" s="7">
        <v>7134</v>
      </c>
      <c r="E965" t="s">
        <v>245</v>
      </c>
      <c r="F965" t="s">
        <v>246</v>
      </c>
      <c r="G965" t="s">
        <v>278</v>
      </c>
      <c r="H965" t="s">
        <v>3353</v>
      </c>
      <c r="I965" s="7">
        <v>840</v>
      </c>
      <c r="J965" s="7">
        <v>30000</v>
      </c>
      <c r="K965" s="7">
        <v>2</v>
      </c>
      <c r="L965" t="s">
        <v>247</v>
      </c>
      <c r="M965" t="s">
        <v>261</v>
      </c>
      <c r="N965" s="7">
        <v>795039</v>
      </c>
      <c r="O965" t="s">
        <v>1937</v>
      </c>
      <c r="P965" t="s">
        <v>1938</v>
      </c>
      <c r="S965" t="s">
        <v>211</v>
      </c>
      <c r="T965" t="s">
        <v>3354</v>
      </c>
      <c r="U965" t="s">
        <v>3355</v>
      </c>
      <c r="V965" s="8">
        <v>1250</v>
      </c>
      <c r="W965" s="7">
        <v>589181</v>
      </c>
      <c r="X965" t="s">
        <v>3725</v>
      </c>
      <c r="Y965" s="8">
        <v>1250</v>
      </c>
      <c r="Z965" s="8">
        <v>1475</v>
      </c>
      <c r="AA965" s="8">
        <v>225</v>
      </c>
      <c r="AB965" s="7">
        <v>112648</v>
      </c>
      <c r="AC965" t="s">
        <v>3725</v>
      </c>
      <c r="AD965" s="8">
        <v>0</v>
      </c>
      <c r="AG965" t="s">
        <v>817</v>
      </c>
      <c r="AH965" t="s">
        <v>802</v>
      </c>
      <c r="AI965" t="s">
        <v>818</v>
      </c>
    </row>
    <row r="966" spans="1:35" hidden="1">
      <c r="A966" s="7">
        <v>965</v>
      </c>
      <c r="B966" t="s">
        <v>243</v>
      </c>
      <c r="C966" t="s">
        <v>244</v>
      </c>
      <c r="D966" s="7">
        <v>7134</v>
      </c>
      <c r="E966" t="s">
        <v>245</v>
      </c>
      <c r="F966" t="s">
        <v>246</v>
      </c>
      <c r="G966" t="s">
        <v>584</v>
      </c>
      <c r="H966" t="s">
        <v>3356</v>
      </c>
      <c r="I966" s="7">
        <v>1165</v>
      </c>
      <c r="J966" s="7">
        <v>9900</v>
      </c>
      <c r="K966" s="7">
        <v>1</v>
      </c>
      <c r="L966" t="s">
        <v>247</v>
      </c>
      <c r="M966" t="s">
        <v>261</v>
      </c>
      <c r="N966" s="7">
        <v>802127</v>
      </c>
      <c r="O966" t="s">
        <v>586</v>
      </c>
      <c r="P966" t="s">
        <v>587</v>
      </c>
      <c r="Q966" t="s">
        <v>870</v>
      </c>
      <c r="R966" t="s">
        <v>871</v>
      </c>
      <c r="S966" t="s">
        <v>211</v>
      </c>
      <c r="T966" t="s">
        <v>3354</v>
      </c>
      <c r="U966" t="s">
        <v>3355</v>
      </c>
      <c r="V966" s="8">
        <v>1250</v>
      </c>
      <c r="W966" s="7">
        <v>589181</v>
      </c>
      <c r="X966" t="s">
        <v>3725</v>
      </c>
      <c r="Y966" s="8">
        <v>1000</v>
      </c>
      <c r="Z966" s="8">
        <v>1475</v>
      </c>
      <c r="AA966" s="8">
        <v>225</v>
      </c>
      <c r="AB966" s="7">
        <v>112648</v>
      </c>
      <c r="AC966" t="s">
        <v>3725</v>
      </c>
      <c r="AD966" s="8">
        <v>250</v>
      </c>
      <c r="AG966" t="s">
        <v>801</v>
      </c>
      <c r="AH966" t="s">
        <v>802</v>
      </c>
      <c r="AI966" t="s">
        <v>818</v>
      </c>
    </row>
    <row r="967" spans="1:35" hidden="1">
      <c r="A967" s="7">
        <v>966</v>
      </c>
      <c r="B967" t="s">
        <v>243</v>
      </c>
      <c r="C967" t="s">
        <v>244</v>
      </c>
      <c r="D967" s="7">
        <v>7134</v>
      </c>
      <c r="E967" t="s">
        <v>245</v>
      </c>
      <c r="F967" t="s">
        <v>246</v>
      </c>
      <c r="G967" t="s">
        <v>1474</v>
      </c>
      <c r="H967" t="s">
        <v>418</v>
      </c>
      <c r="I967" s="7">
        <v>1165</v>
      </c>
      <c r="J967" s="7">
        <v>90000</v>
      </c>
      <c r="K967" s="7">
        <v>9</v>
      </c>
      <c r="L967" t="s">
        <v>247</v>
      </c>
      <c r="M967" t="s">
        <v>261</v>
      </c>
      <c r="N967" s="7">
        <v>785386</v>
      </c>
      <c r="O967" t="s">
        <v>1564</v>
      </c>
      <c r="P967" t="s">
        <v>1565</v>
      </c>
      <c r="S967" t="s">
        <v>211</v>
      </c>
      <c r="T967" t="s">
        <v>3354</v>
      </c>
      <c r="U967" t="s">
        <v>3355</v>
      </c>
      <c r="V967" s="8">
        <v>0</v>
      </c>
      <c r="W967" s="7">
        <v>589181</v>
      </c>
      <c r="X967" t="s">
        <v>3725</v>
      </c>
      <c r="Y967" s="8">
        <v>0</v>
      </c>
      <c r="Z967" s="8">
        <v>0</v>
      </c>
      <c r="AA967" s="8">
        <v>0</v>
      </c>
      <c r="AB967" s="7">
        <v>112648</v>
      </c>
      <c r="AC967" t="s">
        <v>3725</v>
      </c>
      <c r="AD967" s="8">
        <v>0</v>
      </c>
      <c r="AG967" t="s">
        <v>801</v>
      </c>
      <c r="AH967" t="s">
        <v>802</v>
      </c>
      <c r="AI967" t="s">
        <v>803</v>
      </c>
    </row>
    <row r="968" spans="1:35" hidden="1">
      <c r="A968" s="7">
        <v>967</v>
      </c>
      <c r="B968" t="s">
        <v>243</v>
      </c>
      <c r="C968" t="s">
        <v>244</v>
      </c>
      <c r="D968" s="7">
        <v>7134</v>
      </c>
      <c r="E968" t="s">
        <v>245</v>
      </c>
      <c r="F968" t="s">
        <v>246</v>
      </c>
      <c r="G968" t="s">
        <v>1551</v>
      </c>
      <c r="H968" t="s">
        <v>2853</v>
      </c>
      <c r="I968" s="7">
        <v>1165</v>
      </c>
      <c r="J968" s="7">
        <v>12880</v>
      </c>
      <c r="K968" s="7">
        <v>8</v>
      </c>
      <c r="L968" t="s">
        <v>247</v>
      </c>
      <c r="M968" t="s">
        <v>252</v>
      </c>
      <c r="N968" s="7">
        <v>322498</v>
      </c>
      <c r="O968" t="s">
        <v>3375</v>
      </c>
      <c r="P968" t="s">
        <v>3376</v>
      </c>
      <c r="S968" t="s">
        <v>211</v>
      </c>
      <c r="T968" t="s">
        <v>3354</v>
      </c>
      <c r="U968" t="s">
        <v>3355</v>
      </c>
      <c r="V968" s="8">
        <v>1250</v>
      </c>
      <c r="W968" s="7">
        <v>589181</v>
      </c>
      <c r="X968" t="s">
        <v>3725</v>
      </c>
      <c r="Y968" s="8">
        <v>1250</v>
      </c>
      <c r="Z968" s="8">
        <v>1475</v>
      </c>
      <c r="AA968" s="8">
        <v>225</v>
      </c>
      <c r="AB968" s="7">
        <v>112648</v>
      </c>
      <c r="AC968" t="s">
        <v>3725</v>
      </c>
      <c r="AD968" s="8">
        <v>0</v>
      </c>
      <c r="AG968" t="s">
        <v>937</v>
      </c>
      <c r="AH968" t="s">
        <v>802</v>
      </c>
      <c r="AI968" t="s">
        <v>818</v>
      </c>
    </row>
    <row r="969" spans="1:35" hidden="1">
      <c r="A969" s="7">
        <v>968</v>
      </c>
      <c r="B969" t="s">
        <v>243</v>
      </c>
      <c r="C969" t="s">
        <v>244</v>
      </c>
      <c r="D969" s="7">
        <v>7134</v>
      </c>
      <c r="E969" t="s">
        <v>245</v>
      </c>
      <c r="F969" t="s">
        <v>246</v>
      </c>
      <c r="G969" t="s">
        <v>1188</v>
      </c>
      <c r="H969" t="s">
        <v>3370</v>
      </c>
      <c r="I969" s="7">
        <v>1165</v>
      </c>
      <c r="J969" s="7">
        <v>100000</v>
      </c>
      <c r="K969" s="7">
        <v>10</v>
      </c>
      <c r="L969" t="s">
        <v>247</v>
      </c>
      <c r="M969" t="s">
        <v>261</v>
      </c>
      <c r="N969" s="7">
        <v>775456</v>
      </c>
      <c r="O969" t="s">
        <v>1189</v>
      </c>
      <c r="P969" t="s">
        <v>1190</v>
      </c>
      <c r="S969" t="s">
        <v>211</v>
      </c>
      <c r="T969" t="s">
        <v>3354</v>
      </c>
      <c r="U969" t="s">
        <v>3355</v>
      </c>
      <c r="V969" s="8">
        <v>0</v>
      </c>
      <c r="W969" s="7">
        <v>589181</v>
      </c>
      <c r="X969" t="s">
        <v>3725</v>
      </c>
      <c r="Y969" s="8">
        <v>0</v>
      </c>
      <c r="Z969" s="8">
        <v>0</v>
      </c>
      <c r="AA969" s="8">
        <v>0</v>
      </c>
      <c r="AB969" s="7">
        <v>112648</v>
      </c>
      <c r="AC969" t="s">
        <v>3725</v>
      </c>
      <c r="AD969" s="8">
        <v>0</v>
      </c>
      <c r="AG969" t="s">
        <v>801</v>
      </c>
      <c r="AH969" t="s">
        <v>802</v>
      </c>
      <c r="AI969" t="s">
        <v>803</v>
      </c>
    </row>
    <row r="970" spans="1:35" hidden="1">
      <c r="A970" s="7">
        <v>969</v>
      </c>
      <c r="B970" t="s">
        <v>243</v>
      </c>
      <c r="C970" t="s">
        <v>244</v>
      </c>
      <c r="D970" s="7">
        <v>7134</v>
      </c>
      <c r="E970" t="s">
        <v>245</v>
      </c>
      <c r="F970" t="s">
        <v>246</v>
      </c>
      <c r="G970" t="s">
        <v>584</v>
      </c>
      <c r="H970" t="s">
        <v>688</v>
      </c>
      <c r="I970" s="7">
        <v>1165</v>
      </c>
      <c r="J970" s="7">
        <v>3855</v>
      </c>
      <c r="K970" s="7">
        <v>1</v>
      </c>
      <c r="L970" t="s">
        <v>247</v>
      </c>
      <c r="M970" t="s">
        <v>261</v>
      </c>
      <c r="N970" s="7">
        <v>802873</v>
      </c>
      <c r="O970" t="s">
        <v>642</v>
      </c>
      <c r="P970" t="s">
        <v>643</v>
      </c>
      <c r="S970" t="s">
        <v>211</v>
      </c>
      <c r="T970" t="s">
        <v>3354</v>
      </c>
      <c r="U970" t="s">
        <v>3355</v>
      </c>
      <c r="V970" s="8">
        <v>1250</v>
      </c>
      <c r="W970" s="7">
        <v>589181</v>
      </c>
      <c r="X970" t="s">
        <v>3725</v>
      </c>
      <c r="Y970" s="8">
        <v>1250</v>
      </c>
      <c r="Z970" s="8">
        <v>1475</v>
      </c>
      <c r="AA970" s="8">
        <v>225</v>
      </c>
      <c r="AB970" s="7">
        <v>112648</v>
      </c>
      <c r="AC970" t="s">
        <v>3725</v>
      </c>
      <c r="AD970" s="8">
        <v>0</v>
      </c>
      <c r="AG970" t="s">
        <v>801</v>
      </c>
      <c r="AH970" t="s">
        <v>802</v>
      </c>
      <c r="AI970" t="s">
        <v>818</v>
      </c>
    </row>
    <row r="971" spans="1:35" hidden="1">
      <c r="A971" s="7">
        <v>970</v>
      </c>
      <c r="B971" t="s">
        <v>243</v>
      </c>
      <c r="C971" t="s">
        <v>244</v>
      </c>
      <c r="D971" s="7">
        <v>7134</v>
      </c>
      <c r="E971" t="s">
        <v>245</v>
      </c>
      <c r="F971" t="s">
        <v>246</v>
      </c>
      <c r="G971" t="s">
        <v>278</v>
      </c>
      <c r="H971" t="s">
        <v>3360</v>
      </c>
      <c r="I971" s="7">
        <v>1165</v>
      </c>
      <c r="J971" s="7">
        <v>20000</v>
      </c>
      <c r="K971" s="7">
        <v>2</v>
      </c>
      <c r="L971" t="s">
        <v>247</v>
      </c>
      <c r="M971" t="s">
        <v>252</v>
      </c>
      <c r="N971" s="7">
        <v>327370</v>
      </c>
      <c r="O971" t="s">
        <v>352</v>
      </c>
      <c r="P971" t="s">
        <v>353</v>
      </c>
      <c r="Q971" t="s">
        <v>283</v>
      </c>
      <c r="R971" t="s">
        <v>1062</v>
      </c>
      <c r="S971" t="s">
        <v>211</v>
      </c>
      <c r="T971" t="s">
        <v>3354</v>
      </c>
      <c r="U971" t="s">
        <v>3355</v>
      </c>
      <c r="V971" s="8">
        <v>0</v>
      </c>
      <c r="W971" s="7">
        <v>589181</v>
      </c>
      <c r="X971" t="s">
        <v>3725</v>
      </c>
      <c r="Y971" s="8">
        <v>0</v>
      </c>
      <c r="Z971" s="8">
        <v>0</v>
      </c>
      <c r="AA971" s="8">
        <v>0</v>
      </c>
      <c r="AB971" s="7">
        <v>112648</v>
      </c>
      <c r="AC971" t="s">
        <v>3725</v>
      </c>
      <c r="AD971" s="8">
        <v>0</v>
      </c>
      <c r="AG971" t="s">
        <v>937</v>
      </c>
      <c r="AH971" t="s">
        <v>802</v>
      </c>
      <c r="AI971" t="s">
        <v>803</v>
      </c>
    </row>
    <row r="972" spans="1:35" hidden="1">
      <c r="A972" s="7">
        <v>971</v>
      </c>
      <c r="B972" t="s">
        <v>243</v>
      </c>
      <c r="C972" t="s">
        <v>244</v>
      </c>
      <c r="D972" s="7">
        <v>7134</v>
      </c>
      <c r="E972" t="s">
        <v>245</v>
      </c>
      <c r="F972" t="s">
        <v>246</v>
      </c>
      <c r="G972" t="s">
        <v>543</v>
      </c>
      <c r="H972" t="s">
        <v>3369</v>
      </c>
      <c r="I972" s="7">
        <v>1165</v>
      </c>
      <c r="J972" s="7">
        <v>6573</v>
      </c>
      <c r="K972" s="7">
        <v>1</v>
      </c>
      <c r="L972" t="s">
        <v>247</v>
      </c>
      <c r="M972" t="s">
        <v>261</v>
      </c>
      <c r="N972" s="7">
        <v>796647</v>
      </c>
      <c r="O972" t="s">
        <v>545</v>
      </c>
      <c r="P972" t="s">
        <v>546</v>
      </c>
      <c r="S972" t="s">
        <v>211</v>
      </c>
      <c r="T972" t="s">
        <v>3354</v>
      </c>
      <c r="U972" t="s">
        <v>3355</v>
      </c>
      <c r="V972" s="8">
        <v>1250</v>
      </c>
      <c r="W972" s="7">
        <v>589181</v>
      </c>
      <c r="X972" t="s">
        <v>3725</v>
      </c>
      <c r="Y972" s="8">
        <v>1250</v>
      </c>
      <c r="Z972" s="8">
        <v>1475</v>
      </c>
      <c r="AA972" s="8">
        <v>225</v>
      </c>
      <c r="AB972" s="7">
        <v>112648</v>
      </c>
      <c r="AC972" t="s">
        <v>3725</v>
      </c>
      <c r="AD972" s="8">
        <v>0</v>
      </c>
      <c r="AG972" t="s">
        <v>817</v>
      </c>
      <c r="AH972" t="s">
        <v>802</v>
      </c>
      <c r="AI972" t="s">
        <v>818</v>
      </c>
    </row>
    <row r="973" spans="1:35" hidden="1">
      <c r="A973" s="7">
        <v>972</v>
      </c>
      <c r="B973" t="s">
        <v>243</v>
      </c>
      <c r="C973" t="s">
        <v>244</v>
      </c>
      <c r="D973" s="7">
        <v>7134</v>
      </c>
      <c r="E973" t="s">
        <v>245</v>
      </c>
      <c r="F973" t="s">
        <v>246</v>
      </c>
      <c r="G973" t="s">
        <v>1457</v>
      </c>
      <c r="H973" t="s">
        <v>3361</v>
      </c>
      <c r="I973" s="7">
        <v>877</v>
      </c>
      <c r="J973" s="7">
        <v>32670</v>
      </c>
      <c r="K973" s="7">
        <v>2</v>
      </c>
      <c r="L973" t="s">
        <v>247</v>
      </c>
      <c r="M973" t="s">
        <v>261</v>
      </c>
      <c r="N973" s="7">
        <v>796498</v>
      </c>
      <c r="O973" t="s">
        <v>3391</v>
      </c>
      <c r="P973" t="s">
        <v>3392</v>
      </c>
      <c r="Q973" t="s">
        <v>908</v>
      </c>
      <c r="R973" t="s">
        <v>909</v>
      </c>
      <c r="S973" t="s">
        <v>211</v>
      </c>
      <c r="T973" t="s">
        <v>3354</v>
      </c>
      <c r="U973" t="s">
        <v>3355</v>
      </c>
      <c r="V973" s="8">
        <v>1250</v>
      </c>
      <c r="W973" s="7">
        <v>589181</v>
      </c>
      <c r="X973" t="s">
        <v>3725</v>
      </c>
      <c r="Y973" s="8">
        <v>1000</v>
      </c>
      <c r="Z973" s="8">
        <v>1475</v>
      </c>
      <c r="AA973" s="8">
        <v>225</v>
      </c>
      <c r="AB973" s="7">
        <v>112648</v>
      </c>
      <c r="AC973" t="s">
        <v>3725</v>
      </c>
      <c r="AD973" s="8">
        <v>250</v>
      </c>
      <c r="AG973" t="s">
        <v>817</v>
      </c>
      <c r="AH973" t="s">
        <v>802</v>
      </c>
      <c r="AI973" t="s">
        <v>818</v>
      </c>
    </row>
    <row r="974" spans="1:35" hidden="1">
      <c r="A974" s="7">
        <v>973</v>
      </c>
      <c r="B974" t="s">
        <v>243</v>
      </c>
      <c r="C974" t="s">
        <v>244</v>
      </c>
      <c r="D974" s="7">
        <v>7134</v>
      </c>
      <c r="E974" t="s">
        <v>245</v>
      </c>
      <c r="F974" t="s">
        <v>246</v>
      </c>
      <c r="G974" t="s">
        <v>1063</v>
      </c>
      <c r="H974" t="s">
        <v>688</v>
      </c>
      <c r="I974" s="7">
        <v>1165</v>
      </c>
      <c r="J974" s="7">
        <v>90000</v>
      </c>
      <c r="K974" s="7">
        <v>9</v>
      </c>
      <c r="L974" t="s">
        <v>247</v>
      </c>
      <c r="M974" t="s">
        <v>261</v>
      </c>
      <c r="N974" s="7">
        <v>773701</v>
      </c>
      <c r="O974" t="s">
        <v>2074</v>
      </c>
      <c r="P974" t="s">
        <v>2075</v>
      </c>
      <c r="S974" t="s">
        <v>211</v>
      </c>
      <c r="T974" t="s">
        <v>3354</v>
      </c>
      <c r="U974" t="s">
        <v>3355</v>
      </c>
      <c r="V974" s="8">
        <v>0</v>
      </c>
      <c r="W974" s="7">
        <v>589181</v>
      </c>
      <c r="X974" t="s">
        <v>3725</v>
      </c>
      <c r="Y974" s="8">
        <v>0</v>
      </c>
      <c r="Z974" s="8">
        <v>0</v>
      </c>
      <c r="AA974" s="8">
        <v>0</v>
      </c>
      <c r="AB974" s="7">
        <v>112648</v>
      </c>
      <c r="AC974" t="s">
        <v>3725</v>
      </c>
      <c r="AD974" s="8">
        <v>0</v>
      </c>
      <c r="AG974" t="s">
        <v>801</v>
      </c>
      <c r="AH974" t="s">
        <v>802</v>
      </c>
      <c r="AI974" t="s">
        <v>803</v>
      </c>
    </row>
    <row r="975" spans="1:35" hidden="1">
      <c r="A975" s="7">
        <v>974</v>
      </c>
      <c r="B975" t="s">
        <v>243</v>
      </c>
      <c r="C975" t="s">
        <v>244</v>
      </c>
      <c r="D975" s="7">
        <v>7134</v>
      </c>
      <c r="E975" t="s">
        <v>245</v>
      </c>
      <c r="F975" t="s">
        <v>246</v>
      </c>
      <c r="G975" t="s">
        <v>819</v>
      </c>
      <c r="H975" t="s">
        <v>3413</v>
      </c>
      <c r="I975" s="7">
        <v>1165</v>
      </c>
      <c r="J975" s="7">
        <v>79500</v>
      </c>
      <c r="K975" s="7">
        <v>8</v>
      </c>
      <c r="L975" t="s">
        <v>247</v>
      </c>
      <c r="M975" t="s">
        <v>361</v>
      </c>
      <c r="N975" s="7">
        <v>3152</v>
      </c>
      <c r="O975" t="s">
        <v>821</v>
      </c>
      <c r="P975" t="s">
        <v>822</v>
      </c>
      <c r="S975" t="s">
        <v>211</v>
      </c>
      <c r="T975" t="s">
        <v>3354</v>
      </c>
      <c r="U975" t="s">
        <v>3355</v>
      </c>
      <c r="V975" s="8">
        <v>0</v>
      </c>
      <c r="W975" s="7">
        <v>589181</v>
      </c>
      <c r="X975" t="s">
        <v>3725</v>
      </c>
      <c r="Y975" s="8">
        <v>0</v>
      </c>
      <c r="Z975" s="8">
        <v>0</v>
      </c>
      <c r="AA975" s="8">
        <v>0</v>
      </c>
      <c r="AB975" s="7">
        <v>112648</v>
      </c>
      <c r="AC975" t="s">
        <v>3725</v>
      </c>
      <c r="AD975" s="8">
        <v>0</v>
      </c>
      <c r="AG975" t="s">
        <v>823</v>
      </c>
      <c r="AH975" t="s">
        <v>802</v>
      </c>
      <c r="AI975" t="s">
        <v>803</v>
      </c>
    </row>
    <row r="976" spans="1:35" hidden="1">
      <c r="A976" s="7">
        <v>975</v>
      </c>
      <c r="B976" t="s">
        <v>243</v>
      </c>
      <c r="C976" t="s">
        <v>244</v>
      </c>
      <c r="D976" s="7">
        <v>7134</v>
      </c>
      <c r="E976" t="s">
        <v>245</v>
      </c>
      <c r="F976" t="s">
        <v>246</v>
      </c>
      <c r="G976" t="s">
        <v>512</v>
      </c>
      <c r="H976" t="s">
        <v>3378</v>
      </c>
      <c r="I976" s="7">
        <v>1165</v>
      </c>
      <c r="J976" s="7">
        <v>2389</v>
      </c>
      <c r="K976" s="7">
        <v>1</v>
      </c>
      <c r="L976" t="s">
        <v>247</v>
      </c>
      <c r="M976" t="s">
        <v>261</v>
      </c>
      <c r="N976" s="7">
        <v>796642</v>
      </c>
      <c r="O976" t="s">
        <v>514</v>
      </c>
      <c r="P976" t="s">
        <v>515</v>
      </c>
      <c r="S976" t="s">
        <v>211</v>
      </c>
      <c r="T976" t="s">
        <v>3354</v>
      </c>
      <c r="U976" t="s">
        <v>3355</v>
      </c>
      <c r="V976" s="8">
        <v>1250</v>
      </c>
      <c r="W976" s="7">
        <v>589181</v>
      </c>
      <c r="X976" t="s">
        <v>3725</v>
      </c>
      <c r="Y976" s="8">
        <v>1250</v>
      </c>
      <c r="Z976" s="8">
        <v>1475</v>
      </c>
      <c r="AA976" s="8">
        <v>225</v>
      </c>
      <c r="AB976" s="7">
        <v>112648</v>
      </c>
      <c r="AC976" t="s">
        <v>3725</v>
      </c>
      <c r="AD976" s="8">
        <v>0</v>
      </c>
      <c r="AG976" t="s">
        <v>817</v>
      </c>
      <c r="AH976" t="s">
        <v>802</v>
      </c>
      <c r="AI976" t="s">
        <v>818</v>
      </c>
    </row>
    <row r="977" spans="1:35" hidden="1">
      <c r="A977" s="7">
        <v>976</v>
      </c>
      <c r="B977" t="s">
        <v>243</v>
      </c>
      <c r="C977" t="s">
        <v>244</v>
      </c>
      <c r="D977" s="7">
        <v>7134</v>
      </c>
      <c r="E977" t="s">
        <v>245</v>
      </c>
      <c r="F977" t="s">
        <v>246</v>
      </c>
      <c r="G977" t="s">
        <v>278</v>
      </c>
      <c r="H977" t="s">
        <v>3354</v>
      </c>
      <c r="I977" s="7">
        <v>842</v>
      </c>
      <c r="J977" s="7">
        <v>32928</v>
      </c>
      <c r="K977" s="7">
        <v>2</v>
      </c>
      <c r="L977" t="s">
        <v>247</v>
      </c>
      <c r="M977" t="s">
        <v>261</v>
      </c>
      <c r="N977" s="7">
        <v>795055</v>
      </c>
      <c r="O977" t="s">
        <v>1949</v>
      </c>
      <c r="P977" t="s">
        <v>1950</v>
      </c>
      <c r="Q977" t="s">
        <v>908</v>
      </c>
      <c r="R977" t="s">
        <v>909</v>
      </c>
      <c r="S977" t="s">
        <v>211</v>
      </c>
      <c r="T977" t="s">
        <v>3354</v>
      </c>
      <c r="U977" t="s">
        <v>3355</v>
      </c>
      <c r="V977" s="8">
        <v>1250</v>
      </c>
      <c r="W977" s="7">
        <v>589181</v>
      </c>
      <c r="X977" t="s">
        <v>3725</v>
      </c>
      <c r="Y977" s="8">
        <v>1000</v>
      </c>
      <c r="Z977" s="8">
        <v>1475</v>
      </c>
      <c r="AA977" s="8">
        <v>225</v>
      </c>
      <c r="AB977" s="7">
        <v>112648</v>
      </c>
      <c r="AC977" t="s">
        <v>3725</v>
      </c>
      <c r="AD977" s="8">
        <v>250</v>
      </c>
      <c r="AG977" t="s">
        <v>817</v>
      </c>
      <c r="AH977" t="s">
        <v>802</v>
      </c>
      <c r="AI977" t="s">
        <v>818</v>
      </c>
    </row>
    <row r="978" spans="1:35" hidden="1">
      <c r="A978" s="7">
        <v>977</v>
      </c>
      <c r="B978" t="s">
        <v>243</v>
      </c>
      <c r="C978" t="s">
        <v>244</v>
      </c>
      <c r="D978" s="7">
        <v>7134</v>
      </c>
      <c r="E978" t="s">
        <v>245</v>
      </c>
      <c r="F978" t="s">
        <v>246</v>
      </c>
      <c r="G978" t="s">
        <v>263</v>
      </c>
      <c r="H978" t="s">
        <v>418</v>
      </c>
      <c r="I978" s="7">
        <v>887</v>
      </c>
      <c r="J978" s="7">
        <v>31438</v>
      </c>
      <c r="K978" s="7">
        <v>2</v>
      </c>
      <c r="L978" t="s">
        <v>247</v>
      </c>
      <c r="M978" t="s">
        <v>261</v>
      </c>
      <c r="N978" s="7">
        <v>796173</v>
      </c>
      <c r="O978" t="s">
        <v>1958</v>
      </c>
      <c r="P978" t="s">
        <v>1959</v>
      </c>
      <c r="Q978" t="s">
        <v>908</v>
      </c>
      <c r="R978" t="s">
        <v>909</v>
      </c>
      <c r="S978" t="s">
        <v>211</v>
      </c>
      <c r="T978" t="s">
        <v>3354</v>
      </c>
      <c r="U978" t="s">
        <v>3355</v>
      </c>
      <c r="V978" s="8">
        <v>1250</v>
      </c>
      <c r="W978" s="7">
        <v>589181</v>
      </c>
      <c r="X978" t="s">
        <v>3725</v>
      </c>
      <c r="Y978" s="8">
        <v>1000</v>
      </c>
      <c r="Z978" s="8">
        <v>1475</v>
      </c>
      <c r="AA978" s="8">
        <v>225</v>
      </c>
      <c r="AB978" s="7">
        <v>112648</v>
      </c>
      <c r="AC978" t="s">
        <v>3725</v>
      </c>
      <c r="AD978" s="8">
        <v>250</v>
      </c>
      <c r="AG978" t="s">
        <v>817</v>
      </c>
      <c r="AH978" t="s">
        <v>802</v>
      </c>
      <c r="AI978" t="s">
        <v>818</v>
      </c>
    </row>
    <row r="979" spans="1:35" hidden="1">
      <c r="A979" s="7">
        <v>978</v>
      </c>
      <c r="B979" t="s">
        <v>243</v>
      </c>
      <c r="C979" t="s">
        <v>244</v>
      </c>
      <c r="D979" s="7">
        <v>7134</v>
      </c>
      <c r="E979" t="s">
        <v>245</v>
      </c>
      <c r="F979" t="s">
        <v>246</v>
      </c>
      <c r="G979" t="s">
        <v>507</v>
      </c>
      <c r="H979" t="s">
        <v>3361</v>
      </c>
      <c r="I979" s="7">
        <v>1165</v>
      </c>
      <c r="J979" s="7">
        <v>5637</v>
      </c>
      <c r="K979" s="7">
        <v>1</v>
      </c>
      <c r="L979" t="s">
        <v>247</v>
      </c>
      <c r="M979" t="s">
        <v>261</v>
      </c>
      <c r="N979" s="7">
        <v>798249</v>
      </c>
      <c r="O979" t="s">
        <v>509</v>
      </c>
      <c r="P979" t="s">
        <v>510</v>
      </c>
      <c r="S979" t="s">
        <v>211</v>
      </c>
      <c r="T979" t="s">
        <v>3354</v>
      </c>
      <c r="U979" t="s">
        <v>3355</v>
      </c>
      <c r="V979" s="8">
        <v>1250</v>
      </c>
      <c r="W979" s="7">
        <v>589181</v>
      </c>
      <c r="X979" t="s">
        <v>3725</v>
      </c>
      <c r="Y979" s="8">
        <v>1250</v>
      </c>
      <c r="Z979" s="8">
        <v>1475</v>
      </c>
      <c r="AA979" s="8">
        <v>225</v>
      </c>
      <c r="AB979" s="7">
        <v>112648</v>
      </c>
      <c r="AC979" t="s">
        <v>3725</v>
      </c>
      <c r="AD979" s="8">
        <v>0</v>
      </c>
      <c r="AG979" t="s">
        <v>817</v>
      </c>
      <c r="AH979" t="s">
        <v>802</v>
      </c>
      <c r="AI979" t="s">
        <v>818</v>
      </c>
    </row>
    <row r="980" spans="1:35" hidden="1">
      <c r="A980" s="7">
        <v>979</v>
      </c>
      <c r="B980" t="s">
        <v>243</v>
      </c>
      <c r="C980" t="s">
        <v>244</v>
      </c>
      <c r="D980" s="7">
        <v>7134</v>
      </c>
      <c r="E980" t="s">
        <v>245</v>
      </c>
      <c r="F980" t="s">
        <v>246</v>
      </c>
      <c r="G980" t="s">
        <v>1226</v>
      </c>
      <c r="H980" t="s">
        <v>3383</v>
      </c>
      <c r="I980" s="7">
        <v>1165</v>
      </c>
      <c r="J980" s="7">
        <v>77120</v>
      </c>
      <c r="K980" s="7">
        <v>9</v>
      </c>
      <c r="L980" t="s">
        <v>247</v>
      </c>
      <c r="M980" t="s">
        <v>261</v>
      </c>
      <c r="N980" s="7">
        <v>765111</v>
      </c>
      <c r="O980" t="s">
        <v>3013</v>
      </c>
      <c r="P980" t="s">
        <v>3014</v>
      </c>
      <c r="S980" t="s">
        <v>211</v>
      </c>
      <c r="T980" t="s">
        <v>3354</v>
      </c>
      <c r="U980" t="s">
        <v>3355</v>
      </c>
      <c r="V980" s="8">
        <v>0</v>
      </c>
      <c r="W980" s="7">
        <v>589181</v>
      </c>
      <c r="X980" t="s">
        <v>3725</v>
      </c>
      <c r="Y980" s="8">
        <v>0</v>
      </c>
      <c r="Z980" s="8">
        <v>0</v>
      </c>
      <c r="AA980" s="8">
        <v>0</v>
      </c>
      <c r="AB980" s="7">
        <v>112648</v>
      </c>
      <c r="AC980" t="s">
        <v>3725</v>
      </c>
      <c r="AD980" s="8">
        <v>0</v>
      </c>
      <c r="AG980" t="s">
        <v>801</v>
      </c>
      <c r="AH980" t="s">
        <v>802</v>
      </c>
      <c r="AI980" t="s">
        <v>803</v>
      </c>
    </row>
    <row r="981" spans="1:35" hidden="1">
      <c r="A981" s="7">
        <v>980</v>
      </c>
      <c r="B981" t="s">
        <v>243</v>
      </c>
      <c r="C981" t="s">
        <v>244</v>
      </c>
      <c r="D981" s="7">
        <v>7134</v>
      </c>
      <c r="E981" t="s">
        <v>245</v>
      </c>
      <c r="F981" t="s">
        <v>246</v>
      </c>
      <c r="G981" t="s">
        <v>419</v>
      </c>
      <c r="H981" t="s">
        <v>688</v>
      </c>
      <c r="I981" s="7">
        <v>1165</v>
      </c>
      <c r="J981" s="7">
        <v>20000</v>
      </c>
      <c r="K981" s="7">
        <v>2</v>
      </c>
      <c r="L981" t="s">
        <v>247</v>
      </c>
      <c r="M981" t="s">
        <v>361</v>
      </c>
      <c r="N981" s="7">
        <v>6367</v>
      </c>
      <c r="O981" t="s">
        <v>1788</v>
      </c>
      <c r="P981" t="s">
        <v>1789</v>
      </c>
      <c r="S981" t="s">
        <v>211</v>
      </c>
      <c r="T981" t="s">
        <v>3354</v>
      </c>
      <c r="U981" t="s">
        <v>3355</v>
      </c>
      <c r="V981" s="8">
        <v>0</v>
      </c>
      <c r="W981" s="7">
        <v>589181</v>
      </c>
      <c r="X981" t="s">
        <v>3725</v>
      </c>
      <c r="Y981" s="8">
        <v>0</v>
      </c>
      <c r="Z981" s="8">
        <v>0</v>
      </c>
      <c r="AA981" s="8">
        <v>0</v>
      </c>
      <c r="AB981" s="7">
        <v>112648</v>
      </c>
      <c r="AC981" t="s">
        <v>3725</v>
      </c>
      <c r="AD981" s="8">
        <v>0</v>
      </c>
      <c r="AG981" t="s">
        <v>823</v>
      </c>
      <c r="AH981" t="s">
        <v>802</v>
      </c>
      <c r="AI981" t="s">
        <v>803</v>
      </c>
    </row>
    <row r="982" spans="1:35" hidden="1">
      <c r="A982" s="7">
        <v>981</v>
      </c>
      <c r="B982" t="s">
        <v>243</v>
      </c>
      <c r="C982" t="s">
        <v>244</v>
      </c>
      <c r="D982" s="7">
        <v>7134</v>
      </c>
      <c r="E982" t="s">
        <v>245</v>
      </c>
      <c r="F982" t="s">
        <v>246</v>
      </c>
      <c r="G982" t="s">
        <v>1252</v>
      </c>
      <c r="H982" t="s">
        <v>2082</v>
      </c>
      <c r="I982" s="7">
        <v>1165</v>
      </c>
      <c r="J982" s="7">
        <v>27941</v>
      </c>
      <c r="K982" s="7">
        <v>12</v>
      </c>
      <c r="L982" t="s">
        <v>247</v>
      </c>
      <c r="M982" t="s">
        <v>261</v>
      </c>
      <c r="N982" s="7">
        <v>753617</v>
      </c>
      <c r="O982" t="s">
        <v>1254</v>
      </c>
      <c r="P982" t="s">
        <v>1255</v>
      </c>
      <c r="S982" t="s">
        <v>211</v>
      </c>
      <c r="T982" t="s">
        <v>3354</v>
      </c>
      <c r="U982" t="s">
        <v>3355</v>
      </c>
      <c r="V982" s="8">
        <v>0</v>
      </c>
      <c r="W982" s="7">
        <v>589181</v>
      </c>
      <c r="X982" t="s">
        <v>3725</v>
      </c>
      <c r="Y982" s="8">
        <v>0</v>
      </c>
      <c r="Z982" s="8">
        <v>0</v>
      </c>
      <c r="AA982" s="8">
        <v>0</v>
      </c>
      <c r="AB982" s="7">
        <v>112648</v>
      </c>
      <c r="AC982" t="s">
        <v>3725</v>
      </c>
      <c r="AD982" s="8">
        <v>0</v>
      </c>
      <c r="AG982" t="s">
        <v>801</v>
      </c>
      <c r="AH982" t="s">
        <v>802</v>
      </c>
      <c r="AI982" t="s">
        <v>803</v>
      </c>
    </row>
    <row r="983" spans="1:35" hidden="1">
      <c r="A983" s="7">
        <v>982</v>
      </c>
      <c r="B983" t="s">
        <v>243</v>
      </c>
      <c r="C983" t="s">
        <v>244</v>
      </c>
      <c r="D983" s="7">
        <v>7134</v>
      </c>
      <c r="E983" t="s">
        <v>245</v>
      </c>
      <c r="F983" t="s">
        <v>246</v>
      </c>
      <c r="G983" t="s">
        <v>702</v>
      </c>
      <c r="H983" t="s">
        <v>3366</v>
      </c>
      <c r="I983" s="7">
        <v>1165</v>
      </c>
      <c r="J983" s="7">
        <v>6000</v>
      </c>
      <c r="K983" s="7">
        <v>1</v>
      </c>
      <c r="L983" t="s">
        <v>247</v>
      </c>
      <c r="M983" t="s">
        <v>261</v>
      </c>
      <c r="N983" s="7">
        <v>807227</v>
      </c>
      <c r="O983" t="s">
        <v>704</v>
      </c>
      <c r="P983" t="s">
        <v>705</v>
      </c>
      <c r="S983" t="s">
        <v>211</v>
      </c>
      <c r="T983" t="s">
        <v>3354</v>
      </c>
      <c r="U983" t="s">
        <v>3355</v>
      </c>
      <c r="V983" s="8">
        <v>1250</v>
      </c>
      <c r="W983" s="7">
        <v>589181</v>
      </c>
      <c r="X983" t="s">
        <v>3725</v>
      </c>
      <c r="Y983" s="8">
        <v>1250</v>
      </c>
      <c r="Z983" s="8">
        <v>1475</v>
      </c>
      <c r="AA983" s="8">
        <v>225</v>
      </c>
      <c r="AB983" s="7">
        <v>112648</v>
      </c>
      <c r="AC983" t="s">
        <v>3725</v>
      </c>
      <c r="AD983" s="8">
        <v>0</v>
      </c>
      <c r="AG983" t="s">
        <v>801</v>
      </c>
      <c r="AH983" t="s">
        <v>802</v>
      </c>
      <c r="AI983" t="s">
        <v>818</v>
      </c>
    </row>
    <row r="984" spans="1:35" hidden="1">
      <c r="A984" s="7">
        <v>983</v>
      </c>
      <c r="B984" t="s">
        <v>243</v>
      </c>
      <c r="C984" t="s">
        <v>244</v>
      </c>
      <c r="D984" s="7">
        <v>7134</v>
      </c>
      <c r="E984" t="s">
        <v>245</v>
      </c>
      <c r="F984" t="s">
        <v>246</v>
      </c>
      <c r="G984" t="s">
        <v>263</v>
      </c>
      <c r="H984" t="s">
        <v>418</v>
      </c>
      <c r="I984" s="7">
        <v>895</v>
      </c>
      <c r="J984" s="7">
        <v>31298</v>
      </c>
      <c r="K984" s="7">
        <v>2</v>
      </c>
      <c r="L984" t="s">
        <v>247</v>
      </c>
      <c r="M984" t="s">
        <v>261</v>
      </c>
      <c r="N984" s="7">
        <v>796579</v>
      </c>
      <c r="O984" t="s">
        <v>2030</v>
      </c>
      <c r="P984" t="s">
        <v>2031</v>
      </c>
      <c r="Q984" t="s">
        <v>908</v>
      </c>
      <c r="R984" t="s">
        <v>909</v>
      </c>
      <c r="S984" t="s">
        <v>211</v>
      </c>
      <c r="T984" t="s">
        <v>3354</v>
      </c>
      <c r="U984" t="s">
        <v>3355</v>
      </c>
      <c r="V984" s="8">
        <v>1250</v>
      </c>
      <c r="W984" s="7">
        <v>589181</v>
      </c>
      <c r="X984" t="s">
        <v>3725</v>
      </c>
      <c r="Y984" s="8">
        <v>1000</v>
      </c>
      <c r="Z984" s="8">
        <v>1475</v>
      </c>
      <c r="AA984" s="8">
        <v>225</v>
      </c>
      <c r="AB984" s="7">
        <v>112648</v>
      </c>
      <c r="AC984" t="s">
        <v>3725</v>
      </c>
      <c r="AD984" s="8">
        <v>250</v>
      </c>
      <c r="AG984" t="s">
        <v>817</v>
      </c>
      <c r="AH984" t="s">
        <v>802</v>
      </c>
      <c r="AI984" t="s">
        <v>818</v>
      </c>
    </row>
    <row r="985" spans="1:35" hidden="1">
      <c r="A985" s="7">
        <v>984</v>
      </c>
      <c r="B985" t="s">
        <v>243</v>
      </c>
      <c r="C985" t="s">
        <v>244</v>
      </c>
      <c r="D985" s="7">
        <v>7134</v>
      </c>
      <c r="E985" t="s">
        <v>245</v>
      </c>
      <c r="F985" t="s">
        <v>246</v>
      </c>
      <c r="G985" t="s">
        <v>819</v>
      </c>
      <c r="H985" t="s">
        <v>3413</v>
      </c>
      <c r="I985" s="7">
        <v>1165</v>
      </c>
      <c r="J985" s="7">
        <v>65655</v>
      </c>
      <c r="K985" s="7">
        <v>9</v>
      </c>
      <c r="L985" t="s">
        <v>247</v>
      </c>
      <c r="M985" t="s">
        <v>261</v>
      </c>
      <c r="N985" s="7">
        <v>764716</v>
      </c>
      <c r="O985" t="s">
        <v>847</v>
      </c>
      <c r="P985" t="s">
        <v>848</v>
      </c>
      <c r="S985" t="s">
        <v>211</v>
      </c>
      <c r="T985" t="s">
        <v>3354</v>
      </c>
      <c r="U985" t="s">
        <v>3355</v>
      </c>
      <c r="V985" s="8">
        <v>0</v>
      </c>
      <c r="W985" s="7">
        <v>589181</v>
      </c>
      <c r="X985" t="s">
        <v>3725</v>
      </c>
      <c r="Y985" s="8">
        <v>0</v>
      </c>
      <c r="Z985" s="8">
        <v>0</v>
      </c>
      <c r="AA985" s="8">
        <v>0</v>
      </c>
      <c r="AB985" s="7">
        <v>112648</v>
      </c>
      <c r="AC985" t="s">
        <v>3725</v>
      </c>
      <c r="AD985" s="8">
        <v>0</v>
      </c>
      <c r="AG985" t="s">
        <v>801</v>
      </c>
      <c r="AH985" t="s">
        <v>802</v>
      </c>
      <c r="AI985" t="s">
        <v>803</v>
      </c>
    </row>
    <row r="986" spans="1:35" hidden="1">
      <c r="A986" s="7">
        <v>985</v>
      </c>
      <c r="B986" t="s">
        <v>243</v>
      </c>
      <c r="C986" t="s">
        <v>244</v>
      </c>
      <c r="D986" s="7">
        <v>7134</v>
      </c>
      <c r="E986" t="s">
        <v>245</v>
      </c>
      <c r="F986" t="s">
        <v>246</v>
      </c>
      <c r="G986" t="s">
        <v>550</v>
      </c>
      <c r="H986" t="s">
        <v>3377</v>
      </c>
      <c r="I986" s="7">
        <v>1165</v>
      </c>
      <c r="J986" s="7">
        <v>20000</v>
      </c>
      <c r="K986" s="7">
        <v>2</v>
      </c>
      <c r="L986" t="s">
        <v>247</v>
      </c>
      <c r="M986" t="s">
        <v>252</v>
      </c>
      <c r="N986" s="7">
        <v>327621</v>
      </c>
      <c r="O986" t="s">
        <v>552</v>
      </c>
      <c r="P986" t="s">
        <v>553</v>
      </c>
      <c r="S986" t="s">
        <v>211</v>
      </c>
      <c r="T986" t="s">
        <v>3354</v>
      </c>
      <c r="U986" t="s">
        <v>3355</v>
      </c>
      <c r="V986" s="8">
        <v>0</v>
      </c>
      <c r="W986" s="7">
        <v>589181</v>
      </c>
      <c r="X986" t="s">
        <v>3725</v>
      </c>
      <c r="Y986" s="8">
        <v>0</v>
      </c>
      <c r="Z986" s="8">
        <v>0</v>
      </c>
      <c r="AA986" s="8">
        <v>0</v>
      </c>
      <c r="AB986" s="7">
        <v>112648</v>
      </c>
      <c r="AC986" t="s">
        <v>3725</v>
      </c>
      <c r="AD986" s="8">
        <v>0</v>
      </c>
      <c r="AG986" t="s">
        <v>937</v>
      </c>
      <c r="AH986" t="s">
        <v>802</v>
      </c>
      <c r="AI986" t="s">
        <v>803</v>
      </c>
    </row>
    <row r="987" spans="1:35" hidden="1">
      <c r="A987" s="7">
        <v>986</v>
      </c>
      <c r="B987" t="s">
        <v>243</v>
      </c>
      <c r="C987" t="s">
        <v>244</v>
      </c>
      <c r="D987" s="7">
        <v>7134</v>
      </c>
      <c r="E987" t="s">
        <v>245</v>
      </c>
      <c r="F987" t="s">
        <v>246</v>
      </c>
      <c r="G987" t="s">
        <v>278</v>
      </c>
      <c r="H987" t="s">
        <v>418</v>
      </c>
      <c r="I987" s="7">
        <v>829</v>
      </c>
      <c r="J987" s="7">
        <v>29119</v>
      </c>
      <c r="K987" s="7">
        <v>2</v>
      </c>
      <c r="L987" t="s">
        <v>247</v>
      </c>
      <c r="M987" t="s">
        <v>261</v>
      </c>
      <c r="N987" s="7">
        <v>795183</v>
      </c>
      <c r="O987" t="s">
        <v>1838</v>
      </c>
      <c r="P987" t="s">
        <v>1839</v>
      </c>
      <c r="S987" t="s">
        <v>211</v>
      </c>
      <c r="T987" t="s">
        <v>3354</v>
      </c>
      <c r="U987" t="s">
        <v>3355</v>
      </c>
      <c r="V987" s="8">
        <v>1250</v>
      </c>
      <c r="W987" s="7">
        <v>589181</v>
      </c>
      <c r="X987" t="s">
        <v>3725</v>
      </c>
      <c r="Y987" s="8">
        <v>1250</v>
      </c>
      <c r="Z987" s="8">
        <v>1475</v>
      </c>
      <c r="AA987" s="8">
        <v>225</v>
      </c>
      <c r="AB987" s="7">
        <v>112648</v>
      </c>
      <c r="AC987" t="s">
        <v>3725</v>
      </c>
      <c r="AD987" s="8">
        <v>0</v>
      </c>
      <c r="AG987" t="s">
        <v>817</v>
      </c>
      <c r="AH987" t="s">
        <v>802</v>
      </c>
      <c r="AI987" t="s">
        <v>818</v>
      </c>
    </row>
    <row r="988" spans="1:35" hidden="1">
      <c r="A988" s="7">
        <v>987</v>
      </c>
      <c r="B988" t="s">
        <v>243</v>
      </c>
      <c r="C988" t="s">
        <v>244</v>
      </c>
      <c r="D988" s="7">
        <v>7134</v>
      </c>
      <c r="E988" t="s">
        <v>245</v>
      </c>
      <c r="F988" t="s">
        <v>246</v>
      </c>
      <c r="G988" t="s">
        <v>257</v>
      </c>
      <c r="H988" t="s">
        <v>3360</v>
      </c>
      <c r="I988" s="7">
        <v>1165</v>
      </c>
      <c r="J988" s="7">
        <v>3359</v>
      </c>
      <c r="K988" s="7">
        <v>1</v>
      </c>
      <c r="L988" t="s">
        <v>247</v>
      </c>
      <c r="M988" t="s">
        <v>267</v>
      </c>
      <c r="N988" s="7">
        <v>784731</v>
      </c>
      <c r="O988" t="s">
        <v>409</v>
      </c>
      <c r="P988" t="s">
        <v>410</v>
      </c>
      <c r="Q988" t="s">
        <v>870</v>
      </c>
      <c r="R988" t="s">
        <v>871</v>
      </c>
      <c r="S988" t="s">
        <v>211</v>
      </c>
      <c r="T988" t="s">
        <v>3354</v>
      </c>
      <c r="U988" t="s">
        <v>3355</v>
      </c>
      <c r="V988" s="8">
        <v>1250</v>
      </c>
      <c r="W988" s="7">
        <v>589181</v>
      </c>
      <c r="X988" t="s">
        <v>3725</v>
      </c>
      <c r="Y988" s="8">
        <v>1000</v>
      </c>
      <c r="Z988" s="8">
        <v>1475</v>
      </c>
      <c r="AA988" s="8">
        <v>225</v>
      </c>
      <c r="AB988" s="7">
        <v>112648</v>
      </c>
      <c r="AC988" t="s">
        <v>3725</v>
      </c>
      <c r="AD988" s="8">
        <v>250</v>
      </c>
      <c r="AG988" t="s">
        <v>1124</v>
      </c>
      <c r="AH988" t="s">
        <v>802</v>
      </c>
      <c r="AI988" t="s">
        <v>818</v>
      </c>
    </row>
    <row r="989" spans="1:35" hidden="1">
      <c r="A989" s="7">
        <v>988</v>
      </c>
      <c r="B989" t="s">
        <v>243</v>
      </c>
      <c r="C989" t="s">
        <v>244</v>
      </c>
      <c r="D989" s="7">
        <v>7134</v>
      </c>
      <c r="E989" t="s">
        <v>245</v>
      </c>
      <c r="F989" t="s">
        <v>246</v>
      </c>
      <c r="G989" t="s">
        <v>257</v>
      </c>
      <c r="H989" t="s">
        <v>3360</v>
      </c>
      <c r="I989" s="7">
        <v>1165</v>
      </c>
      <c r="J989" s="7">
        <v>3359</v>
      </c>
      <c r="K989" s="7">
        <v>1</v>
      </c>
      <c r="L989" t="s">
        <v>247</v>
      </c>
      <c r="M989" t="s">
        <v>261</v>
      </c>
      <c r="N989" s="7">
        <v>795278</v>
      </c>
      <c r="O989" t="s">
        <v>259</v>
      </c>
      <c r="P989" t="s">
        <v>260</v>
      </c>
      <c r="Q989" t="s">
        <v>870</v>
      </c>
      <c r="R989" t="s">
        <v>871</v>
      </c>
      <c r="S989" t="s">
        <v>211</v>
      </c>
      <c r="T989" t="s">
        <v>3354</v>
      </c>
      <c r="U989" t="s">
        <v>3355</v>
      </c>
      <c r="V989" s="8">
        <v>1250</v>
      </c>
      <c r="W989" s="7">
        <v>589181</v>
      </c>
      <c r="X989" t="s">
        <v>3725</v>
      </c>
      <c r="Y989" s="8">
        <v>1000</v>
      </c>
      <c r="Z989" s="8">
        <v>1475</v>
      </c>
      <c r="AA989" s="8">
        <v>225</v>
      </c>
      <c r="AB989" s="7">
        <v>112648</v>
      </c>
      <c r="AC989" t="s">
        <v>3725</v>
      </c>
      <c r="AD989" s="8">
        <v>250</v>
      </c>
      <c r="AG989" t="s">
        <v>817</v>
      </c>
      <c r="AH989" t="s">
        <v>802</v>
      </c>
      <c r="AI989" t="s">
        <v>818</v>
      </c>
    </row>
    <row r="990" spans="1:35" hidden="1">
      <c r="A990" s="7">
        <v>989</v>
      </c>
      <c r="B990" t="s">
        <v>243</v>
      </c>
      <c r="C990" t="s">
        <v>244</v>
      </c>
      <c r="D990" s="7">
        <v>7134</v>
      </c>
      <c r="E990" t="s">
        <v>245</v>
      </c>
      <c r="F990" t="s">
        <v>246</v>
      </c>
      <c r="G990" t="s">
        <v>1615</v>
      </c>
      <c r="H990" t="s">
        <v>2082</v>
      </c>
      <c r="I990" s="7">
        <v>1150</v>
      </c>
      <c r="J990" s="7">
        <v>8433</v>
      </c>
      <c r="K990" s="7">
        <v>2</v>
      </c>
      <c r="L990" t="s">
        <v>247</v>
      </c>
      <c r="M990" t="s">
        <v>261</v>
      </c>
      <c r="N990" s="7">
        <v>778137</v>
      </c>
      <c r="O990" t="s">
        <v>2183</v>
      </c>
      <c r="P990" t="s">
        <v>2184</v>
      </c>
      <c r="S990" t="s">
        <v>211</v>
      </c>
      <c r="T990" t="s">
        <v>3354</v>
      </c>
      <c r="U990" t="s">
        <v>3355</v>
      </c>
      <c r="V990" s="8">
        <v>0</v>
      </c>
      <c r="W990" s="7">
        <v>589181</v>
      </c>
      <c r="X990" t="s">
        <v>3725</v>
      </c>
      <c r="Y990" s="8">
        <v>0</v>
      </c>
      <c r="Z990" s="8">
        <v>0</v>
      </c>
      <c r="AA990" s="8">
        <v>0</v>
      </c>
      <c r="AB990" s="7">
        <v>112648</v>
      </c>
      <c r="AC990" t="s">
        <v>3725</v>
      </c>
      <c r="AD990" s="8">
        <v>0</v>
      </c>
      <c r="AG990" t="s">
        <v>808</v>
      </c>
      <c r="AH990" t="s">
        <v>802</v>
      </c>
      <c r="AI990" t="s">
        <v>803</v>
      </c>
    </row>
    <row r="991" spans="1:35" hidden="1">
      <c r="A991" s="7">
        <v>990</v>
      </c>
      <c r="B991" t="s">
        <v>243</v>
      </c>
      <c r="C991" t="s">
        <v>244</v>
      </c>
      <c r="D991" s="7">
        <v>7134</v>
      </c>
      <c r="E991" t="s">
        <v>245</v>
      </c>
      <c r="F991" t="s">
        <v>246</v>
      </c>
      <c r="G991" t="s">
        <v>1356</v>
      </c>
      <c r="H991" t="s">
        <v>3383</v>
      </c>
      <c r="I991" s="7">
        <v>687</v>
      </c>
      <c r="J991" s="7">
        <v>47566</v>
      </c>
      <c r="K991" s="7">
        <v>6</v>
      </c>
      <c r="L991" t="s">
        <v>247</v>
      </c>
      <c r="M991" t="s">
        <v>361</v>
      </c>
      <c r="N991" s="7">
        <v>3137</v>
      </c>
      <c r="O991" t="s">
        <v>1380</v>
      </c>
      <c r="P991" t="s">
        <v>1381</v>
      </c>
      <c r="S991" t="s">
        <v>211</v>
      </c>
      <c r="T991" t="s">
        <v>3354</v>
      </c>
      <c r="U991" t="s">
        <v>3355</v>
      </c>
      <c r="V991" s="8">
        <v>0</v>
      </c>
      <c r="W991" s="7">
        <v>589181</v>
      </c>
      <c r="X991" t="s">
        <v>3725</v>
      </c>
      <c r="Y991" s="8">
        <v>0</v>
      </c>
      <c r="Z991" s="8">
        <v>0</v>
      </c>
      <c r="AA991" s="8">
        <v>0</v>
      </c>
      <c r="AB991" s="7">
        <v>112648</v>
      </c>
      <c r="AC991" t="s">
        <v>3725</v>
      </c>
      <c r="AD991" s="8">
        <v>0</v>
      </c>
      <c r="AG991" t="s">
        <v>823</v>
      </c>
      <c r="AH991" t="s">
        <v>802</v>
      </c>
      <c r="AI991" t="s">
        <v>803</v>
      </c>
    </row>
    <row r="992" spans="1:35" hidden="1">
      <c r="A992" s="7">
        <v>991</v>
      </c>
      <c r="B992" t="s">
        <v>243</v>
      </c>
      <c r="C992" t="s">
        <v>244</v>
      </c>
      <c r="D992" s="7">
        <v>7134</v>
      </c>
      <c r="E992" t="s">
        <v>245</v>
      </c>
      <c r="F992" t="s">
        <v>246</v>
      </c>
      <c r="G992" t="s">
        <v>1628</v>
      </c>
      <c r="H992" t="s">
        <v>3369</v>
      </c>
      <c r="I992" s="7">
        <v>1165</v>
      </c>
      <c r="J992" s="7">
        <v>19775</v>
      </c>
      <c r="K992" s="7">
        <v>2</v>
      </c>
      <c r="L992" t="s">
        <v>247</v>
      </c>
      <c r="M992" t="s">
        <v>361</v>
      </c>
      <c r="N992" s="7">
        <v>5921</v>
      </c>
      <c r="O992" t="s">
        <v>2713</v>
      </c>
      <c r="P992" t="s">
        <v>2714</v>
      </c>
      <c r="Q992" t="s">
        <v>870</v>
      </c>
      <c r="R992" t="s">
        <v>871</v>
      </c>
      <c r="S992" t="s">
        <v>211</v>
      </c>
      <c r="T992" t="s">
        <v>3354</v>
      </c>
      <c r="U992" t="s">
        <v>3355</v>
      </c>
      <c r="V992" s="8">
        <v>0</v>
      </c>
      <c r="W992" s="7">
        <v>589181</v>
      </c>
      <c r="X992" t="s">
        <v>3725</v>
      </c>
      <c r="Y992" s="8">
        <v>0</v>
      </c>
      <c r="Z992" s="8">
        <v>0</v>
      </c>
      <c r="AA992" s="8">
        <v>0</v>
      </c>
      <c r="AB992" s="7">
        <v>112648</v>
      </c>
      <c r="AC992" t="s">
        <v>3725</v>
      </c>
      <c r="AD992" s="8">
        <v>0</v>
      </c>
      <c r="AG992" t="s">
        <v>823</v>
      </c>
      <c r="AH992" t="s">
        <v>802</v>
      </c>
      <c r="AI992" t="s">
        <v>803</v>
      </c>
    </row>
    <row r="993" spans="1:35" hidden="1">
      <c r="A993" s="7">
        <v>992</v>
      </c>
      <c r="B993" t="s">
        <v>243</v>
      </c>
      <c r="C993" t="s">
        <v>244</v>
      </c>
      <c r="D993" s="7">
        <v>7134</v>
      </c>
      <c r="E993" t="s">
        <v>245</v>
      </c>
      <c r="F993" t="s">
        <v>246</v>
      </c>
      <c r="G993" t="s">
        <v>1072</v>
      </c>
      <c r="H993" t="s">
        <v>3377</v>
      </c>
      <c r="I993" s="7">
        <v>1165</v>
      </c>
      <c r="J993" s="7">
        <v>80000</v>
      </c>
      <c r="K993" s="7">
        <v>8</v>
      </c>
      <c r="L993" t="s">
        <v>247</v>
      </c>
      <c r="M993" t="s">
        <v>261</v>
      </c>
      <c r="N993" s="7">
        <v>774648</v>
      </c>
      <c r="O993" t="s">
        <v>1549</v>
      </c>
      <c r="P993" t="s">
        <v>1550</v>
      </c>
      <c r="S993" t="s">
        <v>211</v>
      </c>
      <c r="T993" t="s">
        <v>3354</v>
      </c>
      <c r="U993" t="s">
        <v>3355</v>
      </c>
      <c r="V993" s="8">
        <v>1250</v>
      </c>
      <c r="W993" s="7">
        <v>589181</v>
      </c>
      <c r="X993" t="s">
        <v>3725</v>
      </c>
      <c r="Y993" s="8">
        <v>1250</v>
      </c>
      <c r="Z993" s="8">
        <v>1475</v>
      </c>
      <c r="AA993" s="8">
        <v>225</v>
      </c>
      <c r="AB993" s="7">
        <v>112648</v>
      </c>
      <c r="AC993" t="s">
        <v>3725</v>
      </c>
      <c r="AD993" s="8">
        <v>0</v>
      </c>
      <c r="AG993" t="s">
        <v>801</v>
      </c>
      <c r="AH993" t="s">
        <v>802</v>
      </c>
      <c r="AI993" t="s">
        <v>818</v>
      </c>
    </row>
    <row r="994" spans="1:35" hidden="1">
      <c r="A994" s="7">
        <v>993</v>
      </c>
      <c r="B994" t="s">
        <v>243</v>
      </c>
      <c r="C994" t="s">
        <v>244</v>
      </c>
      <c r="D994" s="7">
        <v>7134</v>
      </c>
      <c r="E994" t="s">
        <v>245</v>
      </c>
      <c r="F994" t="s">
        <v>246</v>
      </c>
      <c r="G994" t="s">
        <v>1685</v>
      </c>
      <c r="H994" t="s">
        <v>3360</v>
      </c>
      <c r="I994" s="7">
        <v>799</v>
      </c>
      <c r="J994" s="7">
        <v>30000</v>
      </c>
      <c r="K994" s="7">
        <v>3</v>
      </c>
      <c r="L994" t="s">
        <v>247</v>
      </c>
      <c r="M994" t="s">
        <v>261</v>
      </c>
      <c r="N994" s="7">
        <v>780478</v>
      </c>
      <c r="O994" t="s">
        <v>2019</v>
      </c>
      <c r="P994" t="s">
        <v>2020</v>
      </c>
      <c r="S994" t="s">
        <v>211</v>
      </c>
      <c r="T994" t="s">
        <v>3354</v>
      </c>
      <c r="U994" t="s">
        <v>3355</v>
      </c>
      <c r="V994" s="8">
        <v>1250</v>
      </c>
      <c r="W994" s="7">
        <v>589181</v>
      </c>
      <c r="X994" t="s">
        <v>3725</v>
      </c>
      <c r="Y994" s="8">
        <v>1250</v>
      </c>
      <c r="Z994" s="8">
        <v>1475</v>
      </c>
      <c r="AA994" s="8">
        <v>225</v>
      </c>
      <c r="AB994" s="7">
        <v>112648</v>
      </c>
      <c r="AC994" t="s">
        <v>3725</v>
      </c>
      <c r="AD994" s="8">
        <v>0</v>
      </c>
      <c r="AG994" t="s">
        <v>801</v>
      </c>
      <c r="AH994" t="s">
        <v>802</v>
      </c>
      <c r="AI994" t="s">
        <v>818</v>
      </c>
    </row>
    <row r="995" spans="1:35" hidden="1">
      <c r="A995" s="7">
        <v>994</v>
      </c>
      <c r="B995" t="s">
        <v>243</v>
      </c>
      <c r="C995" t="s">
        <v>244</v>
      </c>
      <c r="D995" s="7">
        <v>7134</v>
      </c>
      <c r="E995" t="s">
        <v>245</v>
      </c>
      <c r="F995" t="s">
        <v>246</v>
      </c>
      <c r="G995" t="s">
        <v>293</v>
      </c>
      <c r="H995" t="s">
        <v>3377</v>
      </c>
      <c r="I995" s="7">
        <v>1165</v>
      </c>
      <c r="J995" s="7">
        <v>20000</v>
      </c>
      <c r="K995" s="7">
        <v>2</v>
      </c>
      <c r="L995" t="s">
        <v>247</v>
      </c>
      <c r="M995" t="s">
        <v>261</v>
      </c>
      <c r="N995" s="7">
        <v>801496</v>
      </c>
      <c r="O995" t="s">
        <v>455</v>
      </c>
      <c r="P995" t="s">
        <v>456</v>
      </c>
      <c r="S995" t="s">
        <v>211</v>
      </c>
      <c r="T995" t="s">
        <v>3354</v>
      </c>
      <c r="U995" t="s">
        <v>3355</v>
      </c>
      <c r="V995" s="8">
        <v>0</v>
      </c>
      <c r="W995" s="7">
        <v>589181</v>
      </c>
      <c r="X995" t="s">
        <v>3725</v>
      </c>
      <c r="Y995" s="8">
        <v>0</v>
      </c>
      <c r="Z995" s="8">
        <v>0</v>
      </c>
      <c r="AA995" s="8">
        <v>0</v>
      </c>
      <c r="AB995" s="7">
        <v>112648</v>
      </c>
      <c r="AC995" t="s">
        <v>3725</v>
      </c>
      <c r="AD995" s="8">
        <v>0</v>
      </c>
      <c r="AG995" t="s">
        <v>801</v>
      </c>
      <c r="AH995" t="s">
        <v>802</v>
      </c>
      <c r="AI995" t="s">
        <v>803</v>
      </c>
    </row>
    <row r="996" spans="1:35" hidden="1">
      <c r="A996" s="7">
        <v>995</v>
      </c>
      <c r="B996" t="s">
        <v>243</v>
      </c>
      <c r="C996" t="s">
        <v>244</v>
      </c>
      <c r="D996" s="7">
        <v>7134</v>
      </c>
      <c r="E996" t="s">
        <v>245</v>
      </c>
      <c r="F996" t="s">
        <v>246</v>
      </c>
      <c r="G996" t="s">
        <v>263</v>
      </c>
      <c r="H996" t="s">
        <v>3371</v>
      </c>
      <c r="I996" s="7">
        <v>878</v>
      </c>
      <c r="J996" s="7">
        <v>29738</v>
      </c>
      <c r="K996" s="7">
        <v>2</v>
      </c>
      <c r="L996" t="s">
        <v>247</v>
      </c>
      <c r="M996" t="s">
        <v>261</v>
      </c>
      <c r="N996" s="7">
        <v>795754</v>
      </c>
      <c r="O996" t="s">
        <v>1933</v>
      </c>
      <c r="P996" t="s">
        <v>1934</v>
      </c>
      <c r="S996" t="s">
        <v>211</v>
      </c>
      <c r="T996" t="s">
        <v>3354</v>
      </c>
      <c r="U996" t="s">
        <v>3355</v>
      </c>
      <c r="V996" s="8">
        <v>1250</v>
      </c>
      <c r="W996" s="7">
        <v>589181</v>
      </c>
      <c r="X996" t="s">
        <v>3725</v>
      </c>
      <c r="Y996" s="8">
        <v>1250</v>
      </c>
      <c r="Z996" s="8">
        <v>1475</v>
      </c>
      <c r="AA996" s="8">
        <v>225</v>
      </c>
      <c r="AB996" s="7">
        <v>112648</v>
      </c>
      <c r="AC996" t="s">
        <v>3725</v>
      </c>
      <c r="AD996" s="8">
        <v>0</v>
      </c>
      <c r="AG996" t="s">
        <v>817</v>
      </c>
      <c r="AH996" t="s">
        <v>802</v>
      </c>
      <c r="AI996" t="s">
        <v>818</v>
      </c>
    </row>
    <row r="997" spans="1:35" hidden="1">
      <c r="A997" s="7">
        <v>996</v>
      </c>
      <c r="B997" t="s">
        <v>243</v>
      </c>
      <c r="C997" t="s">
        <v>244</v>
      </c>
      <c r="D997" s="7">
        <v>7134</v>
      </c>
      <c r="E997" t="s">
        <v>245</v>
      </c>
      <c r="F997" t="s">
        <v>246</v>
      </c>
      <c r="G997" t="s">
        <v>263</v>
      </c>
      <c r="H997" t="s">
        <v>3382</v>
      </c>
      <c r="I997" s="7">
        <v>879</v>
      </c>
      <c r="J997" s="7">
        <v>30000</v>
      </c>
      <c r="K997" s="7">
        <v>2</v>
      </c>
      <c r="L997" t="s">
        <v>247</v>
      </c>
      <c r="M997" t="s">
        <v>261</v>
      </c>
      <c r="N997" s="7">
        <v>796172</v>
      </c>
      <c r="O997" t="s">
        <v>2007</v>
      </c>
      <c r="P997" t="s">
        <v>2008</v>
      </c>
      <c r="S997" t="s">
        <v>211</v>
      </c>
      <c r="T997" t="s">
        <v>3354</v>
      </c>
      <c r="U997" t="s">
        <v>3355</v>
      </c>
      <c r="V997" s="8">
        <v>1250</v>
      </c>
      <c r="W997" s="7">
        <v>589181</v>
      </c>
      <c r="X997" t="s">
        <v>3725</v>
      </c>
      <c r="Y997" s="8">
        <v>1250</v>
      </c>
      <c r="Z997" s="8">
        <v>1475</v>
      </c>
      <c r="AA997" s="8">
        <v>225</v>
      </c>
      <c r="AB997" s="7">
        <v>112648</v>
      </c>
      <c r="AC997" t="s">
        <v>3725</v>
      </c>
      <c r="AD997" s="8">
        <v>0</v>
      </c>
      <c r="AG997" t="s">
        <v>817</v>
      </c>
      <c r="AH997" t="s">
        <v>802</v>
      </c>
      <c r="AI997" t="s">
        <v>818</v>
      </c>
    </row>
    <row r="998" spans="1:35" hidden="1">
      <c r="A998" s="7">
        <v>997</v>
      </c>
      <c r="B998" t="s">
        <v>243</v>
      </c>
      <c r="C998" t="s">
        <v>244</v>
      </c>
      <c r="D998" s="7">
        <v>7134</v>
      </c>
      <c r="E998" t="s">
        <v>245</v>
      </c>
      <c r="F998" t="s">
        <v>246</v>
      </c>
      <c r="G998" t="s">
        <v>363</v>
      </c>
      <c r="H998" t="s">
        <v>418</v>
      </c>
      <c r="I998" s="7">
        <v>972</v>
      </c>
      <c r="J998" s="7">
        <v>30000</v>
      </c>
      <c r="K998" s="7">
        <v>2</v>
      </c>
      <c r="L998" t="s">
        <v>247</v>
      </c>
      <c r="M998" t="s">
        <v>261</v>
      </c>
      <c r="N998" s="7">
        <v>798816</v>
      </c>
      <c r="O998" t="s">
        <v>3364</v>
      </c>
      <c r="P998" t="s">
        <v>3365</v>
      </c>
      <c r="S998" t="s">
        <v>211</v>
      </c>
      <c r="T998" t="s">
        <v>3354</v>
      </c>
      <c r="U998" t="s">
        <v>3355</v>
      </c>
      <c r="V998" s="8">
        <v>1250</v>
      </c>
      <c r="W998" s="7">
        <v>589181</v>
      </c>
      <c r="X998" t="s">
        <v>3725</v>
      </c>
      <c r="Y998" s="8">
        <v>1250</v>
      </c>
      <c r="Z998" s="8">
        <v>1475</v>
      </c>
      <c r="AA998" s="8">
        <v>225</v>
      </c>
      <c r="AB998" s="7">
        <v>112648</v>
      </c>
      <c r="AC998" t="s">
        <v>3725</v>
      </c>
      <c r="AD998" s="8">
        <v>0</v>
      </c>
      <c r="AG998" t="s">
        <v>817</v>
      </c>
      <c r="AH998" t="s">
        <v>802</v>
      </c>
      <c r="AI998" t="s">
        <v>818</v>
      </c>
    </row>
    <row r="999" spans="1:35" hidden="1">
      <c r="A999" s="7">
        <v>998</v>
      </c>
      <c r="B999" t="s">
        <v>243</v>
      </c>
      <c r="C999" t="s">
        <v>244</v>
      </c>
      <c r="D999" s="7">
        <v>7134</v>
      </c>
      <c r="E999" t="s">
        <v>245</v>
      </c>
      <c r="F999" t="s">
        <v>246</v>
      </c>
      <c r="G999" t="s">
        <v>727</v>
      </c>
      <c r="H999" t="s">
        <v>3361</v>
      </c>
      <c r="I999" s="7">
        <v>1165</v>
      </c>
      <c r="J999" s="7">
        <v>2240</v>
      </c>
      <c r="K999" s="7">
        <v>1</v>
      </c>
      <c r="L999" t="s">
        <v>247</v>
      </c>
      <c r="M999" t="s">
        <v>261</v>
      </c>
      <c r="N999" s="7">
        <v>778198</v>
      </c>
      <c r="O999" t="s">
        <v>745</v>
      </c>
      <c r="P999" t="s">
        <v>746</v>
      </c>
      <c r="S999" t="s">
        <v>211</v>
      </c>
      <c r="T999" t="s">
        <v>3354</v>
      </c>
      <c r="U999" t="s">
        <v>3355</v>
      </c>
      <c r="V999" s="8">
        <v>1250</v>
      </c>
      <c r="W999" s="7">
        <v>589181</v>
      </c>
      <c r="X999" t="s">
        <v>3725</v>
      </c>
      <c r="Y999" s="8">
        <v>1250</v>
      </c>
      <c r="Z999" s="8">
        <v>1475</v>
      </c>
      <c r="AA999" s="8">
        <v>225</v>
      </c>
      <c r="AB999" s="7">
        <v>112648</v>
      </c>
      <c r="AC999" t="s">
        <v>3725</v>
      </c>
      <c r="AD999" s="8">
        <v>0</v>
      </c>
      <c r="AG999" t="s">
        <v>808</v>
      </c>
      <c r="AH999" t="s">
        <v>802</v>
      </c>
      <c r="AI999" t="s">
        <v>818</v>
      </c>
    </row>
    <row r="1000" spans="1:35" hidden="1">
      <c r="A1000" s="7">
        <v>999</v>
      </c>
      <c r="B1000" t="s">
        <v>243</v>
      </c>
      <c r="C1000" t="s">
        <v>244</v>
      </c>
      <c r="D1000" s="7">
        <v>7134</v>
      </c>
      <c r="E1000" t="s">
        <v>245</v>
      </c>
      <c r="F1000" t="s">
        <v>246</v>
      </c>
      <c r="G1000" t="s">
        <v>1050</v>
      </c>
      <c r="H1000" t="s">
        <v>3353</v>
      </c>
      <c r="I1000" s="7">
        <v>1165</v>
      </c>
      <c r="J1000" s="7">
        <v>50000</v>
      </c>
      <c r="K1000" s="7">
        <v>5</v>
      </c>
      <c r="L1000" t="s">
        <v>247</v>
      </c>
      <c r="M1000" t="s">
        <v>261</v>
      </c>
      <c r="N1000" s="7">
        <v>787043</v>
      </c>
      <c r="O1000" t="s">
        <v>1205</v>
      </c>
      <c r="P1000" t="s">
        <v>1206</v>
      </c>
      <c r="S1000" t="s">
        <v>211</v>
      </c>
      <c r="T1000" t="s">
        <v>3354</v>
      </c>
      <c r="U1000" t="s">
        <v>3355</v>
      </c>
      <c r="V1000" s="8">
        <v>1250</v>
      </c>
      <c r="W1000" s="7">
        <v>589181</v>
      </c>
      <c r="X1000" t="s">
        <v>3725</v>
      </c>
      <c r="Y1000" s="8">
        <v>1250</v>
      </c>
      <c r="Z1000" s="8">
        <v>1475</v>
      </c>
      <c r="AA1000" s="8">
        <v>225</v>
      </c>
      <c r="AB1000" s="7">
        <v>112648</v>
      </c>
      <c r="AC1000" t="s">
        <v>3725</v>
      </c>
      <c r="AD1000" s="8">
        <v>0</v>
      </c>
      <c r="AG1000" t="s">
        <v>801</v>
      </c>
      <c r="AH1000" t="s">
        <v>802</v>
      </c>
      <c r="AI1000" t="s">
        <v>818</v>
      </c>
    </row>
    <row r="1001" spans="1:35" hidden="1">
      <c r="A1001" s="7">
        <v>1000</v>
      </c>
      <c r="B1001" t="s">
        <v>243</v>
      </c>
      <c r="C1001" t="s">
        <v>244</v>
      </c>
      <c r="D1001" s="7">
        <v>7134</v>
      </c>
      <c r="E1001" t="s">
        <v>245</v>
      </c>
      <c r="F1001" t="s">
        <v>246</v>
      </c>
      <c r="G1001" t="s">
        <v>707</v>
      </c>
      <c r="H1001" t="s">
        <v>3353</v>
      </c>
      <c r="I1001" s="7">
        <v>1165</v>
      </c>
      <c r="J1001" s="7">
        <v>9451</v>
      </c>
      <c r="K1001" s="7">
        <v>1</v>
      </c>
      <c r="L1001" t="s">
        <v>247</v>
      </c>
      <c r="M1001" t="s">
        <v>252</v>
      </c>
      <c r="N1001" s="7">
        <v>327640</v>
      </c>
      <c r="O1001" t="s">
        <v>755</v>
      </c>
      <c r="P1001" t="s">
        <v>756</v>
      </c>
      <c r="S1001" t="s">
        <v>211</v>
      </c>
      <c r="T1001" t="s">
        <v>3354</v>
      </c>
      <c r="U1001" t="s">
        <v>3355</v>
      </c>
      <c r="V1001" s="8">
        <v>1250</v>
      </c>
      <c r="W1001" s="7">
        <v>589181</v>
      </c>
      <c r="X1001" t="s">
        <v>3725</v>
      </c>
      <c r="Y1001" s="8">
        <v>1250</v>
      </c>
      <c r="Z1001" s="8">
        <v>1475</v>
      </c>
      <c r="AA1001" s="8">
        <v>225</v>
      </c>
      <c r="AB1001" s="7">
        <v>112648</v>
      </c>
      <c r="AC1001" t="s">
        <v>3725</v>
      </c>
      <c r="AD1001" s="8">
        <v>0</v>
      </c>
      <c r="AG1001" t="s">
        <v>937</v>
      </c>
      <c r="AH1001" t="s">
        <v>802</v>
      </c>
      <c r="AI1001" t="s">
        <v>818</v>
      </c>
    </row>
    <row r="1002" spans="1:35" hidden="1">
      <c r="A1002" s="7">
        <v>1001</v>
      </c>
      <c r="B1002" t="s">
        <v>243</v>
      </c>
      <c r="C1002" t="s">
        <v>244</v>
      </c>
      <c r="D1002" s="7">
        <v>7134</v>
      </c>
      <c r="E1002" t="s">
        <v>245</v>
      </c>
      <c r="F1002" t="s">
        <v>246</v>
      </c>
      <c r="G1002" t="s">
        <v>867</v>
      </c>
      <c r="H1002" t="s">
        <v>3097</v>
      </c>
      <c r="I1002" s="7">
        <v>1165</v>
      </c>
      <c r="J1002" s="7">
        <v>4102</v>
      </c>
      <c r="K1002" s="7">
        <v>5</v>
      </c>
      <c r="L1002" t="s">
        <v>247</v>
      </c>
      <c r="M1002" t="s">
        <v>252</v>
      </c>
      <c r="N1002" s="7">
        <v>324356</v>
      </c>
      <c r="O1002" t="s">
        <v>3402</v>
      </c>
      <c r="P1002" t="s">
        <v>3403</v>
      </c>
      <c r="S1002" t="s">
        <v>211</v>
      </c>
      <c r="T1002" t="s">
        <v>3354</v>
      </c>
      <c r="U1002" t="s">
        <v>3355</v>
      </c>
      <c r="V1002" s="8">
        <v>1250</v>
      </c>
      <c r="W1002" s="7">
        <v>589181</v>
      </c>
      <c r="X1002" t="s">
        <v>3725</v>
      </c>
      <c r="Y1002" s="8">
        <v>1250</v>
      </c>
      <c r="Z1002" s="8">
        <v>1475</v>
      </c>
      <c r="AA1002" s="8">
        <v>225</v>
      </c>
      <c r="AB1002" s="7">
        <v>112648</v>
      </c>
      <c r="AC1002" t="s">
        <v>3725</v>
      </c>
      <c r="AD1002" s="8">
        <v>0</v>
      </c>
      <c r="AG1002" t="s">
        <v>937</v>
      </c>
      <c r="AH1002" t="s">
        <v>802</v>
      </c>
      <c r="AI1002" t="s">
        <v>818</v>
      </c>
    </row>
    <row r="1003" spans="1:35" hidden="1">
      <c r="A1003" s="7">
        <v>1002</v>
      </c>
      <c r="B1003" t="s">
        <v>243</v>
      </c>
      <c r="C1003" t="s">
        <v>244</v>
      </c>
      <c r="D1003" s="7">
        <v>7134</v>
      </c>
      <c r="E1003" t="s">
        <v>245</v>
      </c>
      <c r="F1003" t="s">
        <v>246</v>
      </c>
      <c r="G1003" t="s">
        <v>1457</v>
      </c>
      <c r="H1003" t="s">
        <v>3361</v>
      </c>
      <c r="I1003" s="7">
        <v>876</v>
      </c>
      <c r="J1003" s="7">
        <v>30942</v>
      </c>
      <c r="K1003" s="7">
        <v>2</v>
      </c>
      <c r="L1003" t="s">
        <v>247</v>
      </c>
      <c r="M1003" t="s">
        <v>261</v>
      </c>
      <c r="N1003" s="7">
        <v>780906</v>
      </c>
      <c r="O1003" t="s">
        <v>2047</v>
      </c>
      <c r="P1003" t="s">
        <v>2048</v>
      </c>
      <c r="Q1003" t="s">
        <v>908</v>
      </c>
      <c r="R1003" t="s">
        <v>909</v>
      </c>
      <c r="S1003" t="s">
        <v>211</v>
      </c>
      <c r="T1003" t="s">
        <v>3354</v>
      </c>
      <c r="U1003" t="s">
        <v>3355</v>
      </c>
      <c r="V1003" s="8">
        <v>1250</v>
      </c>
      <c r="W1003" s="7">
        <v>589181</v>
      </c>
      <c r="X1003" t="s">
        <v>3725</v>
      </c>
      <c r="Y1003" s="8">
        <v>1000</v>
      </c>
      <c r="Z1003" s="8">
        <v>1475</v>
      </c>
      <c r="AA1003" s="8">
        <v>225</v>
      </c>
      <c r="AB1003" s="7">
        <v>112648</v>
      </c>
      <c r="AC1003" t="s">
        <v>3725</v>
      </c>
      <c r="AD1003" s="8">
        <v>250</v>
      </c>
      <c r="AG1003" t="s">
        <v>817</v>
      </c>
      <c r="AH1003" t="s">
        <v>802</v>
      </c>
      <c r="AI1003" t="s">
        <v>818</v>
      </c>
    </row>
    <row r="1004" spans="1:35" hidden="1">
      <c r="A1004" s="7">
        <v>1003</v>
      </c>
      <c r="B1004" t="s">
        <v>243</v>
      </c>
      <c r="C1004" t="s">
        <v>244</v>
      </c>
      <c r="D1004" s="7">
        <v>7134</v>
      </c>
      <c r="E1004" t="s">
        <v>245</v>
      </c>
      <c r="F1004" t="s">
        <v>246</v>
      </c>
      <c r="G1004" t="s">
        <v>263</v>
      </c>
      <c r="H1004" t="s">
        <v>3361</v>
      </c>
      <c r="I1004" s="7">
        <v>875</v>
      </c>
      <c r="J1004" s="7">
        <v>32648</v>
      </c>
      <c r="K1004" s="7">
        <v>2</v>
      </c>
      <c r="L1004" t="s">
        <v>247</v>
      </c>
      <c r="M1004" t="s">
        <v>261</v>
      </c>
      <c r="N1004" s="7">
        <v>796126</v>
      </c>
      <c r="O1004" t="s">
        <v>3419</v>
      </c>
      <c r="P1004" t="s">
        <v>3420</v>
      </c>
      <c r="Q1004" t="s">
        <v>908</v>
      </c>
      <c r="R1004" t="s">
        <v>909</v>
      </c>
      <c r="S1004" t="s">
        <v>211</v>
      </c>
      <c r="T1004" t="s">
        <v>3354</v>
      </c>
      <c r="U1004" t="s">
        <v>3355</v>
      </c>
      <c r="V1004" s="8">
        <v>1250</v>
      </c>
      <c r="W1004" s="7">
        <v>589181</v>
      </c>
      <c r="X1004" t="s">
        <v>3725</v>
      </c>
      <c r="Y1004" s="8">
        <v>1000</v>
      </c>
      <c r="Z1004" s="8">
        <v>1475</v>
      </c>
      <c r="AA1004" s="8">
        <v>225</v>
      </c>
      <c r="AB1004" s="7">
        <v>112648</v>
      </c>
      <c r="AC1004" t="s">
        <v>3725</v>
      </c>
      <c r="AD1004" s="8">
        <v>250</v>
      </c>
      <c r="AG1004" t="s">
        <v>817</v>
      </c>
      <c r="AH1004" t="s">
        <v>802</v>
      </c>
      <c r="AI1004" t="s">
        <v>818</v>
      </c>
    </row>
    <row r="1005" spans="1:35" hidden="1">
      <c r="A1005" s="7">
        <v>1004</v>
      </c>
      <c r="B1005" t="s">
        <v>243</v>
      </c>
      <c r="C1005" t="s">
        <v>244</v>
      </c>
      <c r="D1005" s="7">
        <v>7134</v>
      </c>
      <c r="E1005" t="s">
        <v>245</v>
      </c>
      <c r="F1005" t="s">
        <v>246</v>
      </c>
      <c r="G1005" t="s">
        <v>727</v>
      </c>
      <c r="H1005" t="s">
        <v>3361</v>
      </c>
      <c r="I1005" s="7">
        <v>1165</v>
      </c>
      <c r="J1005" s="7">
        <v>3379</v>
      </c>
      <c r="K1005" s="7">
        <v>1</v>
      </c>
      <c r="L1005" t="s">
        <v>247</v>
      </c>
      <c r="M1005" t="s">
        <v>261</v>
      </c>
      <c r="N1005" s="7">
        <v>778953</v>
      </c>
      <c r="O1005" t="s">
        <v>783</v>
      </c>
      <c r="P1005" t="s">
        <v>784</v>
      </c>
      <c r="S1005" t="s">
        <v>211</v>
      </c>
      <c r="T1005" t="s">
        <v>3354</v>
      </c>
      <c r="U1005" t="s">
        <v>3355</v>
      </c>
      <c r="V1005" s="8">
        <v>1250</v>
      </c>
      <c r="W1005" s="7">
        <v>589181</v>
      </c>
      <c r="X1005" t="s">
        <v>3725</v>
      </c>
      <c r="Y1005" s="8">
        <v>1250</v>
      </c>
      <c r="Z1005" s="8">
        <v>1475</v>
      </c>
      <c r="AA1005" s="8">
        <v>225</v>
      </c>
      <c r="AB1005" s="7">
        <v>112648</v>
      </c>
      <c r="AC1005" t="s">
        <v>3725</v>
      </c>
      <c r="AD1005" s="8">
        <v>0</v>
      </c>
      <c r="AG1005" t="s">
        <v>808</v>
      </c>
      <c r="AH1005" t="s">
        <v>802</v>
      </c>
      <c r="AI1005" t="s">
        <v>818</v>
      </c>
    </row>
    <row r="1006" spans="1:35" hidden="1">
      <c r="A1006" s="7">
        <v>1005</v>
      </c>
      <c r="B1006" t="s">
        <v>243</v>
      </c>
      <c r="C1006" t="s">
        <v>244</v>
      </c>
      <c r="D1006" s="7">
        <v>7134</v>
      </c>
      <c r="E1006" t="s">
        <v>245</v>
      </c>
      <c r="F1006" t="s">
        <v>246</v>
      </c>
      <c r="G1006" t="s">
        <v>3379</v>
      </c>
      <c r="H1006" t="s">
        <v>418</v>
      </c>
      <c r="I1006" s="7">
        <v>1165</v>
      </c>
      <c r="J1006" s="7">
        <v>30321</v>
      </c>
      <c r="K1006" s="7">
        <v>9</v>
      </c>
      <c r="L1006" t="s">
        <v>247</v>
      </c>
      <c r="M1006" t="s">
        <v>361</v>
      </c>
      <c r="N1006" s="7">
        <v>1782</v>
      </c>
      <c r="O1006" t="s">
        <v>3380</v>
      </c>
      <c r="P1006" t="s">
        <v>3381</v>
      </c>
      <c r="S1006" t="s">
        <v>211</v>
      </c>
      <c r="T1006" t="s">
        <v>3354</v>
      </c>
      <c r="U1006" t="s">
        <v>3355</v>
      </c>
      <c r="V1006" s="8">
        <v>0</v>
      </c>
      <c r="W1006" s="7">
        <v>589181</v>
      </c>
      <c r="X1006" t="s">
        <v>3725</v>
      </c>
      <c r="Y1006" s="8">
        <v>0</v>
      </c>
      <c r="Z1006" s="8">
        <v>0</v>
      </c>
      <c r="AA1006" s="8">
        <v>0</v>
      </c>
      <c r="AB1006" s="7">
        <v>112648</v>
      </c>
      <c r="AC1006" t="s">
        <v>3725</v>
      </c>
      <c r="AD1006" s="8">
        <v>0</v>
      </c>
      <c r="AG1006" t="s">
        <v>823</v>
      </c>
      <c r="AH1006" t="s">
        <v>802</v>
      </c>
      <c r="AI1006" t="s">
        <v>803</v>
      </c>
    </row>
    <row r="1007" spans="1:35" hidden="1">
      <c r="A1007" s="7">
        <v>1006</v>
      </c>
      <c r="B1007" t="s">
        <v>243</v>
      </c>
      <c r="C1007" t="s">
        <v>244</v>
      </c>
      <c r="D1007" s="7">
        <v>7134</v>
      </c>
      <c r="E1007" t="s">
        <v>245</v>
      </c>
      <c r="F1007" t="s">
        <v>246</v>
      </c>
      <c r="G1007" t="s">
        <v>938</v>
      </c>
      <c r="H1007" t="s">
        <v>3377</v>
      </c>
      <c r="I1007" s="7">
        <v>1165</v>
      </c>
      <c r="J1007" s="7">
        <v>124176</v>
      </c>
      <c r="K1007" s="7">
        <v>13</v>
      </c>
      <c r="L1007" t="s">
        <v>247</v>
      </c>
      <c r="M1007" t="s">
        <v>261</v>
      </c>
      <c r="N1007" s="7">
        <v>764113</v>
      </c>
      <c r="O1007" t="s">
        <v>940</v>
      </c>
      <c r="P1007" t="s">
        <v>941</v>
      </c>
      <c r="S1007" t="s">
        <v>211</v>
      </c>
      <c r="T1007" t="s">
        <v>3354</v>
      </c>
      <c r="U1007" t="s">
        <v>3355</v>
      </c>
      <c r="V1007" s="8">
        <v>0</v>
      </c>
      <c r="W1007" s="7">
        <v>589181</v>
      </c>
      <c r="X1007" t="s">
        <v>3725</v>
      </c>
      <c r="Y1007" s="8">
        <v>0</v>
      </c>
      <c r="Z1007" s="8">
        <v>0</v>
      </c>
      <c r="AA1007" s="8">
        <v>0</v>
      </c>
      <c r="AB1007" s="7">
        <v>112648</v>
      </c>
      <c r="AC1007" t="s">
        <v>3725</v>
      </c>
      <c r="AD1007" s="8">
        <v>0</v>
      </c>
      <c r="AG1007" t="s">
        <v>801</v>
      </c>
      <c r="AH1007" t="s">
        <v>802</v>
      </c>
      <c r="AI1007" t="s">
        <v>803</v>
      </c>
    </row>
    <row r="1008" spans="1:35" hidden="1">
      <c r="A1008" s="7">
        <v>1007</v>
      </c>
      <c r="B1008" t="s">
        <v>243</v>
      </c>
      <c r="C1008" t="s">
        <v>244</v>
      </c>
      <c r="D1008" s="7">
        <v>7134</v>
      </c>
      <c r="E1008" t="s">
        <v>245</v>
      </c>
      <c r="F1008" t="s">
        <v>246</v>
      </c>
      <c r="G1008" t="s">
        <v>914</v>
      </c>
      <c r="H1008" t="s">
        <v>3382</v>
      </c>
      <c r="I1008" s="7">
        <v>779</v>
      </c>
      <c r="J1008" s="7">
        <v>53031</v>
      </c>
      <c r="K1008" s="7">
        <v>4</v>
      </c>
      <c r="L1008" t="s">
        <v>247</v>
      </c>
      <c r="M1008" t="s">
        <v>261</v>
      </c>
      <c r="N1008" s="7">
        <v>780479</v>
      </c>
      <c r="O1008" t="s">
        <v>1412</v>
      </c>
      <c r="P1008" t="s">
        <v>1413</v>
      </c>
      <c r="S1008" t="s">
        <v>211</v>
      </c>
      <c r="T1008" t="s">
        <v>3354</v>
      </c>
      <c r="U1008" t="s">
        <v>3355</v>
      </c>
      <c r="V1008" s="8">
        <v>1250</v>
      </c>
      <c r="W1008" s="7">
        <v>589181</v>
      </c>
      <c r="X1008" t="s">
        <v>3725</v>
      </c>
      <c r="Y1008" s="8">
        <v>1250</v>
      </c>
      <c r="Z1008" s="8">
        <v>1475</v>
      </c>
      <c r="AA1008" s="8">
        <v>225</v>
      </c>
      <c r="AB1008" s="7">
        <v>112648</v>
      </c>
      <c r="AC1008" t="s">
        <v>3725</v>
      </c>
      <c r="AD1008" s="8">
        <v>0</v>
      </c>
      <c r="AG1008" t="s">
        <v>801</v>
      </c>
      <c r="AH1008" t="s">
        <v>802</v>
      </c>
      <c r="AI1008" t="s">
        <v>818</v>
      </c>
    </row>
    <row r="1009" spans="1:35" hidden="1">
      <c r="A1009" s="7">
        <v>1008</v>
      </c>
      <c r="B1009" t="s">
        <v>243</v>
      </c>
      <c r="C1009" t="s">
        <v>244</v>
      </c>
      <c r="D1009" s="7">
        <v>7134</v>
      </c>
      <c r="E1009" t="s">
        <v>245</v>
      </c>
      <c r="F1009" t="s">
        <v>246</v>
      </c>
      <c r="G1009" t="s">
        <v>1027</v>
      </c>
      <c r="H1009" t="s">
        <v>3383</v>
      </c>
      <c r="I1009" s="7">
        <v>1165</v>
      </c>
      <c r="J1009" s="7">
        <v>90000</v>
      </c>
      <c r="K1009" s="7">
        <v>9</v>
      </c>
      <c r="L1009" t="s">
        <v>247</v>
      </c>
      <c r="M1009" t="s">
        <v>261</v>
      </c>
      <c r="N1009" s="7">
        <v>775229</v>
      </c>
      <c r="O1009" t="s">
        <v>1028</v>
      </c>
      <c r="P1009" t="s">
        <v>1029</v>
      </c>
      <c r="S1009" t="s">
        <v>211</v>
      </c>
      <c r="T1009" t="s">
        <v>3354</v>
      </c>
      <c r="U1009" t="s">
        <v>3355</v>
      </c>
      <c r="V1009" s="8">
        <v>0</v>
      </c>
      <c r="W1009" s="7">
        <v>589181</v>
      </c>
      <c r="X1009" t="s">
        <v>3725</v>
      </c>
      <c r="Y1009" s="8">
        <v>0</v>
      </c>
      <c r="Z1009" s="8">
        <v>0</v>
      </c>
      <c r="AA1009" s="8">
        <v>0</v>
      </c>
      <c r="AB1009" s="7">
        <v>112648</v>
      </c>
      <c r="AC1009" t="s">
        <v>3725</v>
      </c>
      <c r="AD1009" s="8">
        <v>0</v>
      </c>
      <c r="AG1009" t="s">
        <v>801</v>
      </c>
      <c r="AH1009" t="s">
        <v>802</v>
      </c>
      <c r="AI1009" t="s">
        <v>803</v>
      </c>
    </row>
    <row r="1010" spans="1:35" hidden="1">
      <c r="A1010" s="7">
        <v>1009</v>
      </c>
      <c r="B1010" t="s">
        <v>243</v>
      </c>
      <c r="C1010" t="s">
        <v>244</v>
      </c>
      <c r="D1010" s="7">
        <v>7134</v>
      </c>
      <c r="E1010" t="s">
        <v>245</v>
      </c>
      <c r="F1010" t="s">
        <v>246</v>
      </c>
      <c r="G1010" t="s">
        <v>333</v>
      </c>
      <c r="H1010" t="s">
        <v>3378</v>
      </c>
      <c r="I1010" s="7">
        <v>876</v>
      </c>
      <c r="J1010" s="7">
        <v>29173</v>
      </c>
      <c r="K1010" s="7">
        <v>2</v>
      </c>
      <c r="L1010" t="s">
        <v>247</v>
      </c>
      <c r="M1010" t="s">
        <v>261</v>
      </c>
      <c r="N1010" s="7">
        <v>796155</v>
      </c>
      <c r="O1010" t="s">
        <v>1836</v>
      </c>
      <c r="P1010" t="s">
        <v>1837</v>
      </c>
      <c r="S1010" t="s">
        <v>211</v>
      </c>
      <c r="T1010" t="s">
        <v>3354</v>
      </c>
      <c r="U1010" t="s">
        <v>3355</v>
      </c>
      <c r="V1010" s="8">
        <v>1250</v>
      </c>
      <c r="W1010" s="7">
        <v>589181</v>
      </c>
      <c r="X1010" t="s">
        <v>3725</v>
      </c>
      <c r="Y1010" s="8">
        <v>1250</v>
      </c>
      <c r="Z1010" s="8">
        <v>1475</v>
      </c>
      <c r="AA1010" s="8">
        <v>225</v>
      </c>
      <c r="AB1010" s="7">
        <v>112648</v>
      </c>
      <c r="AC1010" t="s">
        <v>3725</v>
      </c>
      <c r="AD1010" s="8">
        <v>0</v>
      </c>
      <c r="AG1010" t="s">
        <v>817</v>
      </c>
      <c r="AH1010" t="s">
        <v>802</v>
      </c>
      <c r="AI1010" t="s">
        <v>818</v>
      </c>
    </row>
    <row r="1011" spans="1:35" hidden="1">
      <c r="A1011" s="7">
        <v>1010</v>
      </c>
      <c r="B1011" t="s">
        <v>243</v>
      </c>
      <c r="C1011" t="s">
        <v>244</v>
      </c>
      <c r="D1011" s="7">
        <v>7134</v>
      </c>
      <c r="E1011" t="s">
        <v>245</v>
      </c>
      <c r="F1011" t="s">
        <v>246</v>
      </c>
      <c r="G1011" t="s">
        <v>727</v>
      </c>
      <c r="H1011" t="s">
        <v>3361</v>
      </c>
      <c r="I1011" s="7">
        <v>1165</v>
      </c>
      <c r="J1011" s="7">
        <v>2717</v>
      </c>
      <c r="K1011" s="7">
        <v>1</v>
      </c>
      <c r="L1011" t="s">
        <v>247</v>
      </c>
      <c r="M1011" t="s">
        <v>261</v>
      </c>
      <c r="N1011" s="7">
        <v>778993</v>
      </c>
      <c r="O1011" t="s">
        <v>737</v>
      </c>
      <c r="P1011" t="s">
        <v>738</v>
      </c>
      <c r="S1011" t="s">
        <v>211</v>
      </c>
      <c r="T1011" t="s">
        <v>3354</v>
      </c>
      <c r="U1011" t="s">
        <v>3355</v>
      </c>
      <c r="V1011" s="8">
        <v>1250</v>
      </c>
      <c r="W1011" s="7">
        <v>589181</v>
      </c>
      <c r="X1011" t="s">
        <v>3725</v>
      </c>
      <c r="Y1011" s="8">
        <v>1250</v>
      </c>
      <c r="Z1011" s="8">
        <v>1475</v>
      </c>
      <c r="AA1011" s="8">
        <v>225</v>
      </c>
      <c r="AB1011" s="7">
        <v>112648</v>
      </c>
      <c r="AC1011" t="s">
        <v>3725</v>
      </c>
      <c r="AD1011" s="8">
        <v>0</v>
      </c>
      <c r="AG1011" t="s">
        <v>808</v>
      </c>
      <c r="AH1011" t="s">
        <v>802</v>
      </c>
      <c r="AI1011" t="s">
        <v>818</v>
      </c>
    </row>
    <row r="1012" spans="1:35" hidden="1">
      <c r="A1012" s="7">
        <v>1011</v>
      </c>
      <c r="B1012" t="s">
        <v>243</v>
      </c>
      <c r="C1012" t="s">
        <v>244</v>
      </c>
      <c r="D1012" s="7">
        <v>7134</v>
      </c>
      <c r="E1012" t="s">
        <v>245</v>
      </c>
      <c r="F1012" t="s">
        <v>246</v>
      </c>
      <c r="G1012" t="s">
        <v>832</v>
      </c>
      <c r="H1012" t="s">
        <v>3360</v>
      </c>
      <c r="I1012" s="7">
        <v>1165</v>
      </c>
      <c r="J1012" s="7">
        <v>39753</v>
      </c>
      <c r="K1012" s="7">
        <v>5</v>
      </c>
      <c r="L1012" t="s">
        <v>247</v>
      </c>
      <c r="M1012" t="s">
        <v>261</v>
      </c>
      <c r="N1012" s="7">
        <v>786108</v>
      </c>
      <c r="O1012" t="s">
        <v>833</v>
      </c>
      <c r="P1012" t="s">
        <v>834</v>
      </c>
      <c r="S1012" t="s">
        <v>211</v>
      </c>
      <c r="T1012" t="s">
        <v>3354</v>
      </c>
      <c r="U1012" t="s">
        <v>3355</v>
      </c>
      <c r="V1012" s="8">
        <v>1250</v>
      </c>
      <c r="W1012" s="7">
        <v>589181</v>
      </c>
      <c r="X1012" t="s">
        <v>3725</v>
      </c>
      <c r="Y1012" s="8">
        <v>1250</v>
      </c>
      <c r="Z1012" s="8">
        <v>1475</v>
      </c>
      <c r="AA1012" s="8">
        <v>225</v>
      </c>
      <c r="AB1012" s="7">
        <v>112648</v>
      </c>
      <c r="AC1012" t="s">
        <v>3725</v>
      </c>
      <c r="AD1012" s="8">
        <v>0</v>
      </c>
      <c r="AG1012" t="s">
        <v>801</v>
      </c>
      <c r="AH1012" t="s">
        <v>802</v>
      </c>
      <c r="AI1012" t="s">
        <v>818</v>
      </c>
    </row>
    <row r="1013" spans="1:35" hidden="1">
      <c r="A1013" s="7">
        <v>1012</v>
      </c>
      <c r="B1013" t="s">
        <v>243</v>
      </c>
      <c r="C1013" t="s">
        <v>244</v>
      </c>
      <c r="D1013" s="7">
        <v>7134</v>
      </c>
      <c r="E1013" t="s">
        <v>245</v>
      </c>
      <c r="F1013" t="s">
        <v>246</v>
      </c>
      <c r="G1013" t="s">
        <v>727</v>
      </c>
      <c r="H1013" t="s">
        <v>3413</v>
      </c>
      <c r="I1013" s="7">
        <v>1165</v>
      </c>
      <c r="J1013" s="7">
        <v>2267</v>
      </c>
      <c r="K1013" s="7">
        <v>1</v>
      </c>
      <c r="L1013" t="s">
        <v>247</v>
      </c>
      <c r="M1013" t="s">
        <v>267</v>
      </c>
      <c r="N1013" s="7">
        <v>806131</v>
      </c>
      <c r="O1013" t="s">
        <v>776</v>
      </c>
      <c r="P1013" t="s">
        <v>777</v>
      </c>
      <c r="S1013" t="s">
        <v>211</v>
      </c>
      <c r="T1013" t="s">
        <v>3354</v>
      </c>
      <c r="U1013" t="s">
        <v>3355</v>
      </c>
      <c r="V1013" s="8">
        <v>1250</v>
      </c>
      <c r="W1013" s="7">
        <v>589181</v>
      </c>
      <c r="X1013" t="s">
        <v>3725</v>
      </c>
      <c r="Y1013" s="8">
        <v>1250</v>
      </c>
      <c r="Z1013" s="8">
        <v>1475</v>
      </c>
      <c r="AA1013" s="8">
        <v>225</v>
      </c>
      <c r="AB1013" s="7">
        <v>112648</v>
      </c>
      <c r="AC1013" t="s">
        <v>3725</v>
      </c>
      <c r="AD1013" s="8">
        <v>0</v>
      </c>
      <c r="AG1013" t="s">
        <v>828</v>
      </c>
      <c r="AH1013" t="s">
        <v>802</v>
      </c>
      <c r="AI1013" t="s">
        <v>818</v>
      </c>
    </row>
    <row r="1014" spans="1:35" hidden="1">
      <c r="A1014" s="7">
        <v>1013</v>
      </c>
      <c r="B1014" t="s">
        <v>243</v>
      </c>
      <c r="C1014" t="s">
        <v>244</v>
      </c>
      <c r="D1014" s="7">
        <v>7134</v>
      </c>
      <c r="E1014" t="s">
        <v>245</v>
      </c>
      <c r="F1014" t="s">
        <v>246</v>
      </c>
      <c r="G1014" t="s">
        <v>284</v>
      </c>
      <c r="H1014" t="s">
        <v>3354</v>
      </c>
      <c r="I1014" s="7">
        <v>895</v>
      </c>
      <c r="J1014" s="7">
        <v>30000</v>
      </c>
      <c r="K1014" s="7">
        <v>2</v>
      </c>
      <c r="L1014" t="s">
        <v>247</v>
      </c>
      <c r="M1014" t="s">
        <v>261</v>
      </c>
      <c r="N1014" s="7">
        <v>796093</v>
      </c>
      <c r="O1014" t="s">
        <v>2028</v>
      </c>
      <c r="P1014" t="s">
        <v>2029</v>
      </c>
      <c r="S1014" t="s">
        <v>211</v>
      </c>
      <c r="T1014" t="s">
        <v>3354</v>
      </c>
      <c r="U1014" t="s">
        <v>3355</v>
      </c>
      <c r="V1014" s="8">
        <v>1250</v>
      </c>
      <c r="W1014" s="7">
        <v>589181</v>
      </c>
      <c r="X1014" t="s">
        <v>3725</v>
      </c>
      <c r="Y1014" s="8">
        <v>1250</v>
      </c>
      <c r="Z1014" s="8">
        <v>1475</v>
      </c>
      <c r="AA1014" s="8">
        <v>225</v>
      </c>
      <c r="AB1014" s="7">
        <v>112648</v>
      </c>
      <c r="AC1014" t="s">
        <v>3725</v>
      </c>
      <c r="AD1014" s="8">
        <v>0</v>
      </c>
      <c r="AG1014" t="s">
        <v>817</v>
      </c>
      <c r="AH1014" t="s">
        <v>802</v>
      </c>
      <c r="AI1014" t="s">
        <v>818</v>
      </c>
    </row>
    <row r="1015" spans="1:35" hidden="1">
      <c r="A1015" s="7">
        <v>1014</v>
      </c>
      <c r="B1015" t="s">
        <v>243</v>
      </c>
      <c r="C1015" t="s">
        <v>244</v>
      </c>
      <c r="D1015" s="7">
        <v>7134</v>
      </c>
      <c r="E1015" t="s">
        <v>245</v>
      </c>
      <c r="F1015" t="s">
        <v>246</v>
      </c>
      <c r="G1015" t="s">
        <v>328</v>
      </c>
      <c r="H1015" t="s">
        <v>3097</v>
      </c>
      <c r="I1015" s="7">
        <v>1165</v>
      </c>
      <c r="J1015" s="7">
        <v>4668</v>
      </c>
      <c r="K1015" s="7">
        <v>1</v>
      </c>
      <c r="L1015" t="s">
        <v>247</v>
      </c>
      <c r="M1015" t="s">
        <v>267</v>
      </c>
      <c r="N1015" s="7">
        <v>784362</v>
      </c>
      <c r="O1015" t="s">
        <v>330</v>
      </c>
      <c r="P1015" t="s">
        <v>331</v>
      </c>
      <c r="S1015" t="s">
        <v>211</v>
      </c>
      <c r="T1015" t="s">
        <v>3354</v>
      </c>
      <c r="U1015" t="s">
        <v>3355</v>
      </c>
      <c r="V1015" s="8">
        <v>1250</v>
      </c>
      <c r="W1015" s="7">
        <v>589181</v>
      </c>
      <c r="X1015" t="s">
        <v>3725</v>
      </c>
      <c r="Y1015" s="8">
        <v>1250</v>
      </c>
      <c r="Z1015" s="8">
        <v>1475</v>
      </c>
      <c r="AA1015" s="8">
        <v>225</v>
      </c>
      <c r="AB1015" s="7">
        <v>112648</v>
      </c>
      <c r="AC1015" t="s">
        <v>3725</v>
      </c>
      <c r="AD1015" s="8">
        <v>0</v>
      </c>
      <c r="AG1015" t="s">
        <v>1124</v>
      </c>
      <c r="AH1015" t="s">
        <v>802</v>
      </c>
      <c r="AI1015" t="s">
        <v>818</v>
      </c>
    </row>
    <row r="1016" spans="1:35" hidden="1">
      <c r="A1016" s="7">
        <v>1015</v>
      </c>
      <c r="B1016" t="s">
        <v>243</v>
      </c>
      <c r="C1016" t="s">
        <v>244</v>
      </c>
      <c r="D1016" s="7">
        <v>7134</v>
      </c>
      <c r="E1016" t="s">
        <v>245</v>
      </c>
      <c r="F1016" t="s">
        <v>246</v>
      </c>
      <c r="G1016" t="s">
        <v>278</v>
      </c>
      <c r="H1016" t="s">
        <v>3366</v>
      </c>
      <c r="I1016" s="7">
        <v>1165</v>
      </c>
      <c r="J1016" s="7">
        <v>7000</v>
      </c>
      <c r="K1016" s="7">
        <v>2</v>
      </c>
      <c r="L1016" t="s">
        <v>247</v>
      </c>
      <c r="M1016" t="s">
        <v>267</v>
      </c>
      <c r="N1016" s="7">
        <v>789037</v>
      </c>
      <c r="O1016" t="s">
        <v>451</v>
      </c>
      <c r="P1016" t="s">
        <v>452</v>
      </c>
      <c r="S1016" t="s">
        <v>211</v>
      </c>
      <c r="T1016" t="s">
        <v>3354</v>
      </c>
      <c r="U1016" t="s">
        <v>3355</v>
      </c>
      <c r="V1016" s="8">
        <v>0</v>
      </c>
      <c r="W1016" s="7">
        <v>589181</v>
      </c>
      <c r="X1016" t="s">
        <v>3725</v>
      </c>
      <c r="Y1016" s="8">
        <v>0</v>
      </c>
      <c r="Z1016" s="8">
        <v>0</v>
      </c>
      <c r="AA1016" s="8">
        <v>0</v>
      </c>
      <c r="AB1016" s="7">
        <v>112648</v>
      </c>
      <c r="AC1016" t="s">
        <v>3725</v>
      </c>
      <c r="AD1016" s="8">
        <v>0</v>
      </c>
      <c r="AG1016" t="s">
        <v>828</v>
      </c>
      <c r="AH1016" t="s">
        <v>802</v>
      </c>
      <c r="AI1016" t="s">
        <v>803</v>
      </c>
    </row>
    <row r="1017" spans="1:35" hidden="1">
      <c r="A1017" s="7">
        <v>1016</v>
      </c>
      <c r="B1017" t="s">
        <v>243</v>
      </c>
      <c r="C1017" t="s">
        <v>244</v>
      </c>
      <c r="D1017" s="7">
        <v>7134</v>
      </c>
      <c r="E1017" t="s">
        <v>245</v>
      </c>
      <c r="F1017" t="s">
        <v>246</v>
      </c>
      <c r="G1017" t="s">
        <v>872</v>
      </c>
      <c r="H1017" t="s">
        <v>3354</v>
      </c>
      <c r="I1017" s="7">
        <v>1165</v>
      </c>
      <c r="J1017" s="7">
        <v>93120</v>
      </c>
      <c r="K1017" s="7">
        <v>9</v>
      </c>
      <c r="L1017" t="s">
        <v>247</v>
      </c>
      <c r="M1017" t="s">
        <v>261</v>
      </c>
      <c r="N1017" s="7">
        <v>775227</v>
      </c>
      <c r="O1017" t="s">
        <v>2054</v>
      </c>
      <c r="P1017" t="s">
        <v>2055</v>
      </c>
      <c r="Q1017" t="s">
        <v>908</v>
      </c>
      <c r="R1017" t="s">
        <v>909</v>
      </c>
      <c r="S1017" t="s">
        <v>211</v>
      </c>
      <c r="T1017" t="s">
        <v>3354</v>
      </c>
      <c r="U1017" t="s">
        <v>3355</v>
      </c>
      <c r="V1017" s="8">
        <v>0</v>
      </c>
      <c r="W1017" s="7">
        <v>589181</v>
      </c>
      <c r="X1017" t="s">
        <v>3725</v>
      </c>
      <c r="Y1017" s="8">
        <v>0</v>
      </c>
      <c r="Z1017" s="8">
        <v>0</v>
      </c>
      <c r="AA1017" s="8">
        <v>0</v>
      </c>
      <c r="AB1017" s="7">
        <v>112648</v>
      </c>
      <c r="AC1017" t="s">
        <v>3725</v>
      </c>
      <c r="AD1017" s="8">
        <v>0</v>
      </c>
      <c r="AG1017" t="s">
        <v>801</v>
      </c>
      <c r="AH1017" t="s">
        <v>802</v>
      </c>
      <c r="AI1017" t="s">
        <v>803</v>
      </c>
    </row>
    <row r="1018" spans="1:35" hidden="1">
      <c r="A1018" s="7">
        <v>1017</v>
      </c>
      <c r="B1018" t="s">
        <v>243</v>
      </c>
      <c r="C1018" t="s">
        <v>244</v>
      </c>
      <c r="D1018" s="7">
        <v>7134</v>
      </c>
      <c r="E1018" t="s">
        <v>245</v>
      </c>
      <c r="F1018" t="s">
        <v>246</v>
      </c>
      <c r="G1018" t="s">
        <v>1614</v>
      </c>
      <c r="H1018" t="s">
        <v>3386</v>
      </c>
      <c r="I1018" s="7">
        <v>1165</v>
      </c>
      <c r="J1018" s="7">
        <v>59940</v>
      </c>
      <c r="K1018" s="7">
        <v>9</v>
      </c>
      <c r="L1018" t="s">
        <v>247</v>
      </c>
      <c r="M1018" t="s">
        <v>252</v>
      </c>
      <c r="N1018" s="7">
        <v>320410</v>
      </c>
      <c r="O1018" t="s">
        <v>1616</v>
      </c>
      <c r="P1018" t="s">
        <v>1617</v>
      </c>
      <c r="S1018" t="s">
        <v>211</v>
      </c>
      <c r="T1018" t="s">
        <v>3354</v>
      </c>
      <c r="U1018" t="s">
        <v>3355</v>
      </c>
      <c r="V1018" s="8">
        <v>0</v>
      </c>
      <c r="W1018" s="7">
        <v>589181</v>
      </c>
      <c r="X1018" t="s">
        <v>3725</v>
      </c>
      <c r="Y1018" s="8">
        <v>0</v>
      </c>
      <c r="Z1018" s="8">
        <v>0</v>
      </c>
      <c r="AA1018" s="8">
        <v>0</v>
      </c>
      <c r="AB1018" s="7">
        <v>112648</v>
      </c>
      <c r="AC1018" t="s">
        <v>3725</v>
      </c>
      <c r="AD1018" s="8">
        <v>0</v>
      </c>
      <c r="AG1018" t="s">
        <v>937</v>
      </c>
      <c r="AH1018" t="s">
        <v>802</v>
      </c>
      <c r="AI1018" t="s">
        <v>803</v>
      </c>
    </row>
    <row r="1019" spans="1:35" hidden="1">
      <c r="A1019" s="7">
        <v>1018</v>
      </c>
      <c r="B1019" t="s">
        <v>243</v>
      </c>
      <c r="C1019" t="s">
        <v>244</v>
      </c>
      <c r="D1019" s="7">
        <v>7134</v>
      </c>
      <c r="E1019" t="s">
        <v>245</v>
      </c>
      <c r="F1019" t="s">
        <v>246</v>
      </c>
      <c r="G1019" t="s">
        <v>885</v>
      </c>
      <c r="H1019" t="s">
        <v>3354</v>
      </c>
      <c r="I1019" s="7">
        <v>872</v>
      </c>
      <c r="J1019" s="7">
        <v>32928</v>
      </c>
      <c r="K1019" s="7">
        <v>2</v>
      </c>
      <c r="L1019" t="s">
        <v>247</v>
      </c>
      <c r="M1019" t="s">
        <v>261</v>
      </c>
      <c r="N1019" s="7">
        <v>796374</v>
      </c>
      <c r="O1019" t="s">
        <v>1867</v>
      </c>
      <c r="P1019" t="s">
        <v>1868</v>
      </c>
      <c r="Q1019" t="s">
        <v>908</v>
      </c>
      <c r="R1019" t="s">
        <v>909</v>
      </c>
      <c r="S1019" t="s">
        <v>211</v>
      </c>
      <c r="T1019" t="s">
        <v>3354</v>
      </c>
      <c r="U1019" t="s">
        <v>3355</v>
      </c>
      <c r="V1019" s="8">
        <v>1250</v>
      </c>
      <c r="W1019" s="7">
        <v>589181</v>
      </c>
      <c r="X1019" t="s">
        <v>3725</v>
      </c>
      <c r="Y1019" s="8">
        <v>1000</v>
      </c>
      <c r="Z1019" s="8">
        <v>1475</v>
      </c>
      <c r="AA1019" s="8">
        <v>225</v>
      </c>
      <c r="AB1019" s="7">
        <v>112648</v>
      </c>
      <c r="AC1019" t="s">
        <v>3725</v>
      </c>
      <c r="AD1019" s="8">
        <v>250</v>
      </c>
      <c r="AG1019" t="s">
        <v>817</v>
      </c>
      <c r="AH1019" t="s">
        <v>802</v>
      </c>
      <c r="AI1019" t="s">
        <v>818</v>
      </c>
    </row>
    <row r="1020" spans="1:35" hidden="1">
      <c r="A1020" s="7">
        <v>1019</v>
      </c>
      <c r="B1020" t="s">
        <v>243</v>
      </c>
      <c r="C1020" t="s">
        <v>244</v>
      </c>
      <c r="D1020" s="7">
        <v>7134</v>
      </c>
      <c r="E1020" t="s">
        <v>245</v>
      </c>
      <c r="F1020" t="s">
        <v>246</v>
      </c>
      <c r="G1020" t="s">
        <v>1224</v>
      </c>
      <c r="H1020" t="s">
        <v>3361</v>
      </c>
      <c r="I1020" s="7">
        <v>875</v>
      </c>
      <c r="J1020" s="7">
        <v>30000</v>
      </c>
      <c r="K1020" s="7">
        <v>2</v>
      </c>
      <c r="L1020" t="s">
        <v>247</v>
      </c>
      <c r="M1020" t="s">
        <v>261</v>
      </c>
      <c r="N1020" s="7">
        <v>798072</v>
      </c>
      <c r="O1020" t="s">
        <v>3400</v>
      </c>
      <c r="P1020" t="s">
        <v>3401</v>
      </c>
      <c r="S1020" t="s">
        <v>211</v>
      </c>
      <c r="T1020" t="s">
        <v>3354</v>
      </c>
      <c r="U1020" t="s">
        <v>3355</v>
      </c>
      <c r="V1020" s="8">
        <v>1250</v>
      </c>
      <c r="W1020" s="7">
        <v>589181</v>
      </c>
      <c r="X1020" t="s">
        <v>3725</v>
      </c>
      <c r="Y1020" s="8">
        <v>1250</v>
      </c>
      <c r="Z1020" s="8">
        <v>1475</v>
      </c>
      <c r="AA1020" s="8">
        <v>225</v>
      </c>
      <c r="AB1020" s="7">
        <v>112648</v>
      </c>
      <c r="AC1020" t="s">
        <v>3725</v>
      </c>
      <c r="AD1020" s="8">
        <v>0</v>
      </c>
      <c r="AG1020" t="s">
        <v>817</v>
      </c>
      <c r="AH1020" t="s">
        <v>802</v>
      </c>
      <c r="AI1020" t="s">
        <v>818</v>
      </c>
    </row>
    <row r="1021" spans="1:35" hidden="1">
      <c r="A1021" s="7">
        <v>1020</v>
      </c>
      <c r="B1021" t="s">
        <v>243</v>
      </c>
      <c r="C1021" t="s">
        <v>244</v>
      </c>
      <c r="D1021" s="7">
        <v>7134</v>
      </c>
      <c r="E1021" t="s">
        <v>245</v>
      </c>
      <c r="F1021" t="s">
        <v>246</v>
      </c>
      <c r="G1021" t="s">
        <v>363</v>
      </c>
      <c r="H1021" t="s">
        <v>2082</v>
      </c>
      <c r="I1021" s="7">
        <v>875</v>
      </c>
      <c r="J1021" s="7">
        <v>30000</v>
      </c>
      <c r="K1021" s="7">
        <v>2</v>
      </c>
      <c r="L1021" t="s">
        <v>247</v>
      </c>
      <c r="M1021" t="s">
        <v>261</v>
      </c>
      <c r="N1021" s="7">
        <v>795315</v>
      </c>
      <c r="O1021" t="s">
        <v>3289</v>
      </c>
      <c r="P1021" t="s">
        <v>3290</v>
      </c>
      <c r="S1021" t="s">
        <v>211</v>
      </c>
      <c r="T1021" t="s">
        <v>3354</v>
      </c>
      <c r="U1021" t="s">
        <v>3355</v>
      </c>
      <c r="V1021" s="8">
        <v>1250</v>
      </c>
      <c r="W1021" s="7">
        <v>589181</v>
      </c>
      <c r="X1021" t="s">
        <v>3725</v>
      </c>
      <c r="Y1021" s="8">
        <v>1250</v>
      </c>
      <c r="Z1021" s="8">
        <v>1475</v>
      </c>
      <c r="AA1021" s="8">
        <v>225</v>
      </c>
      <c r="AB1021" s="7">
        <v>112648</v>
      </c>
      <c r="AC1021" t="s">
        <v>3725</v>
      </c>
      <c r="AD1021" s="8">
        <v>0</v>
      </c>
      <c r="AG1021" t="s">
        <v>817</v>
      </c>
      <c r="AH1021" t="s">
        <v>802</v>
      </c>
      <c r="AI1021" t="s">
        <v>818</v>
      </c>
    </row>
    <row r="1022" spans="1:35" hidden="1">
      <c r="A1022" s="7">
        <v>1021</v>
      </c>
      <c r="B1022" t="s">
        <v>243</v>
      </c>
      <c r="C1022" t="s">
        <v>244</v>
      </c>
      <c r="D1022" s="7">
        <v>7134</v>
      </c>
      <c r="E1022" t="s">
        <v>245</v>
      </c>
      <c r="F1022" t="s">
        <v>246</v>
      </c>
      <c r="G1022" t="s">
        <v>683</v>
      </c>
      <c r="H1022" t="s">
        <v>3378</v>
      </c>
      <c r="I1022" s="7">
        <v>221001</v>
      </c>
      <c r="J1022" s="7">
        <v>1266</v>
      </c>
      <c r="K1022" s="7">
        <v>1</v>
      </c>
      <c r="L1022" t="s">
        <v>247</v>
      </c>
      <c r="M1022" t="s">
        <v>252</v>
      </c>
      <c r="N1022" s="7">
        <v>327542</v>
      </c>
      <c r="O1022" t="s">
        <v>713</v>
      </c>
      <c r="P1022" t="s">
        <v>714</v>
      </c>
      <c r="S1022" t="s">
        <v>211</v>
      </c>
      <c r="T1022" t="s">
        <v>3354</v>
      </c>
      <c r="U1022" t="s">
        <v>3355</v>
      </c>
      <c r="V1022" s="8">
        <v>1250</v>
      </c>
      <c r="W1022" s="7">
        <v>589181</v>
      </c>
      <c r="X1022" t="s">
        <v>3725</v>
      </c>
      <c r="Y1022" s="8">
        <v>1250</v>
      </c>
      <c r="Z1022" s="8">
        <v>1475</v>
      </c>
      <c r="AA1022" s="8">
        <v>225</v>
      </c>
      <c r="AB1022" s="7">
        <v>112648</v>
      </c>
      <c r="AC1022" t="s">
        <v>3725</v>
      </c>
      <c r="AD1022" s="8">
        <v>0</v>
      </c>
      <c r="AG1022" t="s">
        <v>937</v>
      </c>
      <c r="AH1022" t="s">
        <v>802</v>
      </c>
      <c r="AI1022" t="s">
        <v>818</v>
      </c>
    </row>
    <row r="1023" spans="1:35" hidden="1">
      <c r="A1023" s="7">
        <v>1022</v>
      </c>
      <c r="B1023" t="s">
        <v>243</v>
      </c>
      <c r="C1023" t="s">
        <v>244</v>
      </c>
      <c r="D1023" s="7">
        <v>7134</v>
      </c>
      <c r="E1023" t="s">
        <v>245</v>
      </c>
      <c r="F1023" t="s">
        <v>246</v>
      </c>
      <c r="G1023" t="s">
        <v>612</v>
      </c>
      <c r="H1023" t="s">
        <v>3395</v>
      </c>
      <c r="I1023" s="7">
        <v>1165</v>
      </c>
      <c r="J1023" s="7">
        <v>10000</v>
      </c>
      <c r="K1023" s="7">
        <v>1</v>
      </c>
      <c r="L1023" t="s">
        <v>247</v>
      </c>
      <c r="M1023" t="s">
        <v>261</v>
      </c>
      <c r="N1023" s="7">
        <v>803547</v>
      </c>
      <c r="O1023" t="s">
        <v>614</v>
      </c>
      <c r="P1023" t="s">
        <v>615</v>
      </c>
      <c r="S1023" t="s">
        <v>211</v>
      </c>
      <c r="T1023" t="s">
        <v>3354</v>
      </c>
      <c r="U1023" t="s">
        <v>3355</v>
      </c>
      <c r="V1023" s="8">
        <v>1250</v>
      </c>
      <c r="W1023" s="7">
        <v>589181</v>
      </c>
      <c r="X1023" t="s">
        <v>3725</v>
      </c>
      <c r="Y1023" s="8">
        <v>1250</v>
      </c>
      <c r="Z1023" s="8">
        <v>1475</v>
      </c>
      <c r="AA1023" s="8">
        <v>225</v>
      </c>
      <c r="AB1023" s="7">
        <v>112648</v>
      </c>
      <c r="AC1023" t="s">
        <v>3725</v>
      </c>
      <c r="AD1023" s="8">
        <v>0</v>
      </c>
      <c r="AG1023" t="s">
        <v>801</v>
      </c>
      <c r="AH1023" t="s">
        <v>802</v>
      </c>
      <c r="AI1023" t="s">
        <v>818</v>
      </c>
    </row>
    <row r="1024" spans="1:35" hidden="1">
      <c r="A1024" s="7">
        <v>1023</v>
      </c>
      <c r="B1024" t="s">
        <v>243</v>
      </c>
      <c r="C1024" t="s">
        <v>244</v>
      </c>
      <c r="D1024" s="7">
        <v>7134</v>
      </c>
      <c r="E1024" t="s">
        <v>245</v>
      </c>
      <c r="F1024" t="s">
        <v>246</v>
      </c>
      <c r="G1024" t="s">
        <v>829</v>
      </c>
      <c r="H1024" t="s">
        <v>3353</v>
      </c>
      <c r="I1024" s="7">
        <v>863</v>
      </c>
      <c r="J1024" s="7">
        <v>30000</v>
      </c>
      <c r="K1024" s="7">
        <v>2</v>
      </c>
      <c r="L1024" t="s">
        <v>247</v>
      </c>
      <c r="M1024" t="s">
        <v>261</v>
      </c>
      <c r="N1024" s="7">
        <v>796561</v>
      </c>
      <c r="O1024" t="s">
        <v>2068</v>
      </c>
      <c r="P1024" t="s">
        <v>2069</v>
      </c>
      <c r="S1024" t="s">
        <v>211</v>
      </c>
      <c r="T1024" t="s">
        <v>3354</v>
      </c>
      <c r="U1024" t="s">
        <v>3355</v>
      </c>
      <c r="V1024" s="8">
        <v>1250</v>
      </c>
      <c r="W1024" s="7">
        <v>589181</v>
      </c>
      <c r="X1024" t="s">
        <v>3725</v>
      </c>
      <c r="Y1024" s="8">
        <v>1250</v>
      </c>
      <c r="Z1024" s="8">
        <v>1475</v>
      </c>
      <c r="AA1024" s="8">
        <v>225</v>
      </c>
      <c r="AB1024" s="7">
        <v>112648</v>
      </c>
      <c r="AC1024" t="s">
        <v>3725</v>
      </c>
      <c r="AD1024" s="8">
        <v>0</v>
      </c>
      <c r="AG1024" t="s">
        <v>817</v>
      </c>
      <c r="AH1024" t="s">
        <v>802</v>
      </c>
      <c r="AI1024" t="s">
        <v>818</v>
      </c>
    </row>
    <row r="1025" spans="1:35" hidden="1">
      <c r="A1025" s="7">
        <v>1024</v>
      </c>
      <c r="B1025" t="s">
        <v>243</v>
      </c>
      <c r="C1025" t="s">
        <v>244</v>
      </c>
      <c r="D1025" s="7">
        <v>7134</v>
      </c>
      <c r="E1025" t="s">
        <v>245</v>
      </c>
      <c r="F1025" t="s">
        <v>246</v>
      </c>
      <c r="G1025" t="s">
        <v>770</v>
      </c>
      <c r="H1025" t="s">
        <v>2853</v>
      </c>
      <c r="I1025" s="7">
        <v>1190</v>
      </c>
      <c r="J1025" s="7">
        <v>6270</v>
      </c>
      <c r="K1025" s="7">
        <v>1</v>
      </c>
      <c r="L1025" t="s">
        <v>247</v>
      </c>
      <c r="M1025" t="s">
        <v>261</v>
      </c>
      <c r="N1025" s="7">
        <v>802410</v>
      </c>
      <c r="O1025" t="s">
        <v>3387</v>
      </c>
      <c r="P1025" t="s">
        <v>3388</v>
      </c>
      <c r="S1025" t="s">
        <v>211</v>
      </c>
      <c r="T1025" t="s">
        <v>3354</v>
      </c>
      <c r="U1025" t="s">
        <v>3355</v>
      </c>
      <c r="V1025" s="8">
        <v>1250</v>
      </c>
      <c r="W1025" s="7">
        <v>589181</v>
      </c>
      <c r="X1025" t="s">
        <v>3725</v>
      </c>
      <c r="Y1025" s="8">
        <v>1250</v>
      </c>
      <c r="Z1025" s="8">
        <v>1475</v>
      </c>
      <c r="AA1025" s="8">
        <v>225</v>
      </c>
      <c r="AB1025" s="7">
        <v>112648</v>
      </c>
      <c r="AC1025" t="s">
        <v>3725</v>
      </c>
      <c r="AD1025" s="8">
        <v>0</v>
      </c>
      <c r="AG1025" t="s">
        <v>801</v>
      </c>
      <c r="AH1025" t="s">
        <v>802</v>
      </c>
      <c r="AI1025" t="s">
        <v>818</v>
      </c>
    </row>
    <row r="1026" spans="1:35" hidden="1">
      <c r="A1026" s="7">
        <v>1025</v>
      </c>
      <c r="B1026" t="s">
        <v>243</v>
      </c>
      <c r="C1026" t="s">
        <v>244</v>
      </c>
      <c r="D1026" s="7">
        <v>7134</v>
      </c>
      <c r="E1026" t="s">
        <v>245</v>
      </c>
      <c r="F1026" t="s">
        <v>246</v>
      </c>
      <c r="G1026" t="s">
        <v>1240</v>
      </c>
      <c r="H1026" t="s">
        <v>3366</v>
      </c>
      <c r="I1026" s="7">
        <v>1165</v>
      </c>
      <c r="J1026" s="7">
        <v>66680</v>
      </c>
      <c r="K1026" s="7">
        <v>7</v>
      </c>
      <c r="L1026" t="s">
        <v>247</v>
      </c>
      <c r="M1026" t="s">
        <v>261</v>
      </c>
      <c r="N1026" s="7">
        <v>775222</v>
      </c>
      <c r="O1026" t="s">
        <v>1241</v>
      </c>
      <c r="P1026" t="s">
        <v>1242</v>
      </c>
      <c r="S1026" t="s">
        <v>211</v>
      </c>
      <c r="T1026" t="s">
        <v>3354</v>
      </c>
      <c r="U1026" t="s">
        <v>3355</v>
      </c>
      <c r="V1026" s="8">
        <v>0</v>
      </c>
      <c r="W1026" s="7">
        <v>589181</v>
      </c>
      <c r="X1026" t="s">
        <v>3725</v>
      </c>
      <c r="Y1026" s="8">
        <v>0</v>
      </c>
      <c r="Z1026" s="8">
        <v>0</v>
      </c>
      <c r="AA1026" s="8">
        <v>0</v>
      </c>
      <c r="AB1026" s="7">
        <v>112648</v>
      </c>
      <c r="AC1026" t="s">
        <v>3725</v>
      </c>
      <c r="AD1026" s="8">
        <v>0</v>
      </c>
      <c r="AG1026" t="s">
        <v>801</v>
      </c>
      <c r="AH1026" t="s">
        <v>802</v>
      </c>
      <c r="AI1026" t="s">
        <v>803</v>
      </c>
    </row>
    <row r="1027" spans="1:35" hidden="1">
      <c r="A1027" s="7">
        <v>1026</v>
      </c>
      <c r="B1027" t="s">
        <v>243</v>
      </c>
      <c r="C1027" t="s">
        <v>244</v>
      </c>
      <c r="D1027" s="7">
        <v>7134</v>
      </c>
      <c r="E1027" t="s">
        <v>245</v>
      </c>
      <c r="F1027" t="s">
        <v>246</v>
      </c>
      <c r="G1027" t="s">
        <v>1906</v>
      </c>
      <c r="H1027" t="s">
        <v>3354</v>
      </c>
      <c r="I1027" s="7">
        <v>1165</v>
      </c>
      <c r="J1027" s="7">
        <v>5336</v>
      </c>
      <c r="K1027" s="7">
        <v>3</v>
      </c>
      <c r="L1027" t="s">
        <v>247</v>
      </c>
      <c r="M1027" t="s">
        <v>252</v>
      </c>
      <c r="N1027" s="7">
        <v>326624</v>
      </c>
      <c r="O1027" t="s">
        <v>3389</v>
      </c>
      <c r="P1027" t="s">
        <v>3390</v>
      </c>
      <c r="Q1027" t="s">
        <v>870</v>
      </c>
      <c r="R1027" t="s">
        <v>871</v>
      </c>
      <c r="S1027" t="s">
        <v>211</v>
      </c>
      <c r="T1027" t="s">
        <v>3354</v>
      </c>
      <c r="U1027" t="s">
        <v>3355</v>
      </c>
      <c r="V1027" s="8">
        <v>1250</v>
      </c>
      <c r="W1027" s="7">
        <v>589181</v>
      </c>
      <c r="X1027" t="s">
        <v>3725</v>
      </c>
      <c r="Y1027" s="8">
        <v>1000</v>
      </c>
      <c r="Z1027" s="8">
        <v>1475</v>
      </c>
      <c r="AA1027" s="8">
        <v>225</v>
      </c>
      <c r="AB1027" s="7">
        <v>112648</v>
      </c>
      <c r="AC1027" t="s">
        <v>3725</v>
      </c>
      <c r="AD1027" s="8">
        <v>250</v>
      </c>
      <c r="AG1027" t="s">
        <v>937</v>
      </c>
      <c r="AH1027" t="s">
        <v>802</v>
      </c>
      <c r="AI1027" t="s">
        <v>818</v>
      </c>
    </row>
    <row r="1028" spans="1:35" hidden="1">
      <c r="A1028" s="7">
        <v>1027</v>
      </c>
      <c r="B1028" t="s">
        <v>243</v>
      </c>
      <c r="C1028" t="s">
        <v>244</v>
      </c>
      <c r="D1028" s="7">
        <v>7134</v>
      </c>
      <c r="E1028" t="s">
        <v>245</v>
      </c>
      <c r="F1028" t="s">
        <v>246</v>
      </c>
      <c r="G1028" t="s">
        <v>657</v>
      </c>
      <c r="H1028" t="s">
        <v>3356</v>
      </c>
      <c r="I1028" s="7">
        <v>1165</v>
      </c>
      <c r="J1028" s="7">
        <v>20395</v>
      </c>
      <c r="K1028" s="7">
        <v>2</v>
      </c>
      <c r="L1028" t="s">
        <v>247</v>
      </c>
      <c r="M1028" t="s">
        <v>261</v>
      </c>
      <c r="N1028" s="7">
        <v>802355</v>
      </c>
      <c r="O1028" t="s">
        <v>666</v>
      </c>
      <c r="P1028" t="s">
        <v>667</v>
      </c>
      <c r="S1028" t="s">
        <v>211</v>
      </c>
      <c r="T1028" t="s">
        <v>3354</v>
      </c>
      <c r="U1028" t="s">
        <v>3355</v>
      </c>
      <c r="V1028" s="8">
        <v>0</v>
      </c>
      <c r="W1028" s="7">
        <v>589181</v>
      </c>
      <c r="X1028" t="s">
        <v>3725</v>
      </c>
      <c r="Y1028" s="8">
        <v>0</v>
      </c>
      <c r="Z1028" s="8">
        <v>0</v>
      </c>
      <c r="AA1028" s="8">
        <v>0</v>
      </c>
      <c r="AB1028" s="7">
        <v>112648</v>
      </c>
      <c r="AC1028" t="s">
        <v>3725</v>
      </c>
      <c r="AD1028" s="8">
        <v>0</v>
      </c>
      <c r="AG1028" t="s">
        <v>801</v>
      </c>
      <c r="AH1028" t="s">
        <v>802</v>
      </c>
      <c r="AI1028" t="s">
        <v>803</v>
      </c>
    </row>
    <row r="1029" spans="1:35" hidden="1">
      <c r="A1029" s="7">
        <v>1028</v>
      </c>
      <c r="B1029" t="s">
        <v>243</v>
      </c>
      <c r="C1029" t="s">
        <v>244</v>
      </c>
      <c r="D1029" s="7">
        <v>7134</v>
      </c>
      <c r="E1029" t="s">
        <v>245</v>
      </c>
      <c r="F1029" t="s">
        <v>246</v>
      </c>
      <c r="G1029" t="s">
        <v>263</v>
      </c>
      <c r="H1029" t="s">
        <v>3406</v>
      </c>
      <c r="I1029" s="7">
        <v>852</v>
      </c>
      <c r="J1029" s="7">
        <v>29269</v>
      </c>
      <c r="K1029" s="7">
        <v>2</v>
      </c>
      <c r="L1029" t="s">
        <v>247</v>
      </c>
      <c r="M1029" t="s">
        <v>261</v>
      </c>
      <c r="N1029" s="7">
        <v>796224</v>
      </c>
      <c r="O1029" t="s">
        <v>1943</v>
      </c>
      <c r="P1029" t="s">
        <v>1944</v>
      </c>
      <c r="S1029" t="s">
        <v>211</v>
      </c>
      <c r="T1029" t="s">
        <v>3354</v>
      </c>
      <c r="U1029" t="s">
        <v>3355</v>
      </c>
      <c r="V1029" s="8">
        <v>1250</v>
      </c>
      <c r="W1029" s="7">
        <v>589181</v>
      </c>
      <c r="X1029" t="s">
        <v>3725</v>
      </c>
      <c r="Y1029" s="8">
        <v>1250</v>
      </c>
      <c r="Z1029" s="8">
        <v>1475</v>
      </c>
      <c r="AA1029" s="8">
        <v>225</v>
      </c>
      <c r="AB1029" s="7">
        <v>112648</v>
      </c>
      <c r="AC1029" t="s">
        <v>3725</v>
      </c>
      <c r="AD1029" s="8">
        <v>0</v>
      </c>
      <c r="AG1029" t="s">
        <v>817</v>
      </c>
      <c r="AH1029" t="s">
        <v>802</v>
      </c>
      <c r="AI1029" t="s">
        <v>818</v>
      </c>
    </row>
    <row r="1030" spans="1:35" hidden="1">
      <c r="A1030" s="7">
        <v>1029</v>
      </c>
      <c r="B1030" t="s">
        <v>243</v>
      </c>
      <c r="C1030" t="s">
        <v>244</v>
      </c>
      <c r="D1030" s="7">
        <v>7134</v>
      </c>
      <c r="E1030" t="s">
        <v>245</v>
      </c>
      <c r="F1030" t="s">
        <v>246</v>
      </c>
      <c r="G1030" t="s">
        <v>1542</v>
      </c>
      <c r="H1030" t="s">
        <v>3366</v>
      </c>
      <c r="I1030" s="7">
        <v>1165</v>
      </c>
      <c r="J1030" s="7">
        <v>90000</v>
      </c>
      <c r="K1030" s="7">
        <v>9</v>
      </c>
      <c r="L1030" t="s">
        <v>247</v>
      </c>
      <c r="M1030" t="s">
        <v>361</v>
      </c>
      <c r="N1030" s="7">
        <v>3269</v>
      </c>
      <c r="O1030" t="s">
        <v>1543</v>
      </c>
      <c r="P1030" t="s">
        <v>1544</v>
      </c>
      <c r="S1030" t="s">
        <v>211</v>
      </c>
      <c r="T1030" t="s">
        <v>3354</v>
      </c>
      <c r="U1030" t="s">
        <v>3355</v>
      </c>
      <c r="V1030" s="8">
        <v>0</v>
      </c>
      <c r="W1030" s="7">
        <v>589181</v>
      </c>
      <c r="X1030" t="s">
        <v>3725</v>
      </c>
      <c r="Y1030" s="8">
        <v>0</v>
      </c>
      <c r="Z1030" s="8">
        <v>0</v>
      </c>
      <c r="AA1030" s="8">
        <v>0</v>
      </c>
      <c r="AB1030" s="7">
        <v>112648</v>
      </c>
      <c r="AC1030" t="s">
        <v>3725</v>
      </c>
      <c r="AD1030" s="8">
        <v>0</v>
      </c>
      <c r="AG1030" t="s">
        <v>823</v>
      </c>
      <c r="AH1030" t="s">
        <v>802</v>
      </c>
      <c r="AI1030" t="s">
        <v>803</v>
      </c>
    </row>
    <row r="1031" spans="1:35" hidden="1">
      <c r="A1031" s="7">
        <v>1030</v>
      </c>
      <c r="B1031" t="s">
        <v>243</v>
      </c>
      <c r="C1031" t="s">
        <v>244</v>
      </c>
      <c r="D1031" s="7">
        <v>7134</v>
      </c>
      <c r="E1031" t="s">
        <v>245</v>
      </c>
      <c r="F1031" t="s">
        <v>246</v>
      </c>
      <c r="G1031" t="s">
        <v>1488</v>
      </c>
      <c r="H1031" t="s">
        <v>3356</v>
      </c>
      <c r="I1031" s="7">
        <v>1165</v>
      </c>
      <c r="J1031" s="7">
        <v>29000</v>
      </c>
      <c r="K1031" s="7">
        <v>3</v>
      </c>
      <c r="L1031" t="s">
        <v>247</v>
      </c>
      <c r="M1031" t="s">
        <v>361</v>
      </c>
      <c r="N1031" s="7">
        <v>5577</v>
      </c>
      <c r="O1031" t="s">
        <v>1489</v>
      </c>
      <c r="P1031" t="s">
        <v>1490</v>
      </c>
      <c r="S1031" t="s">
        <v>211</v>
      </c>
      <c r="T1031" t="s">
        <v>3354</v>
      </c>
      <c r="U1031" t="s">
        <v>3355</v>
      </c>
      <c r="V1031" s="8">
        <v>1650</v>
      </c>
      <c r="W1031" s="7">
        <v>589181</v>
      </c>
      <c r="X1031" t="s">
        <v>3725</v>
      </c>
      <c r="Y1031" s="8">
        <v>1650</v>
      </c>
      <c r="Z1031" s="8">
        <v>1947</v>
      </c>
      <c r="AA1031" s="8">
        <v>297</v>
      </c>
      <c r="AB1031" s="7">
        <v>112648</v>
      </c>
      <c r="AC1031" t="s">
        <v>3725</v>
      </c>
      <c r="AD1031" s="8">
        <v>0</v>
      </c>
      <c r="AG1031" t="s">
        <v>823</v>
      </c>
      <c r="AH1031" t="s">
        <v>802</v>
      </c>
      <c r="AI1031" t="s">
        <v>818</v>
      </c>
    </row>
    <row r="1032" spans="1:35" hidden="1">
      <c r="A1032" s="7">
        <v>1031</v>
      </c>
      <c r="B1032" t="s">
        <v>243</v>
      </c>
      <c r="C1032" t="s">
        <v>244</v>
      </c>
      <c r="D1032" s="7">
        <v>7134</v>
      </c>
      <c r="E1032" t="s">
        <v>245</v>
      </c>
      <c r="F1032" t="s">
        <v>246</v>
      </c>
      <c r="G1032" t="s">
        <v>898</v>
      </c>
      <c r="H1032" t="s">
        <v>3354</v>
      </c>
      <c r="I1032" s="7">
        <v>1165</v>
      </c>
      <c r="J1032" s="7">
        <v>29594</v>
      </c>
      <c r="K1032" s="7">
        <v>4</v>
      </c>
      <c r="L1032" t="s">
        <v>247</v>
      </c>
      <c r="M1032" t="s">
        <v>361</v>
      </c>
      <c r="N1032" s="7">
        <v>5320</v>
      </c>
      <c r="O1032" t="s">
        <v>900</v>
      </c>
      <c r="P1032" t="s">
        <v>901</v>
      </c>
      <c r="S1032" t="s">
        <v>211</v>
      </c>
      <c r="T1032" t="s">
        <v>3354</v>
      </c>
      <c r="U1032" t="s">
        <v>3355</v>
      </c>
      <c r="V1032" s="8">
        <v>0</v>
      </c>
      <c r="W1032" s="7">
        <v>589181</v>
      </c>
      <c r="X1032" t="s">
        <v>3725</v>
      </c>
      <c r="Y1032" s="8">
        <v>0</v>
      </c>
      <c r="Z1032" s="8">
        <v>0</v>
      </c>
      <c r="AA1032" s="8">
        <v>0</v>
      </c>
      <c r="AB1032" s="7">
        <v>112648</v>
      </c>
      <c r="AC1032" t="s">
        <v>3725</v>
      </c>
      <c r="AD1032" s="8">
        <v>0</v>
      </c>
      <c r="AG1032" t="s">
        <v>823</v>
      </c>
      <c r="AH1032" t="s">
        <v>802</v>
      </c>
      <c r="AI1032" t="s">
        <v>803</v>
      </c>
    </row>
    <row r="1033" spans="1:35" hidden="1">
      <c r="A1033" s="7">
        <v>1032</v>
      </c>
      <c r="B1033" t="s">
        <v>243</v>
      </c>
      <c r="C1033" t="s">
        <v>244</v>
      </c>
      <c r="D1033" s="7">
        <v>7134</v>
      </c>
      <c r="E1033" t="s">
        <v>245</v>
      </c>
      <c r="F1033" t="s">
        <v>246</v>
      </c>
      <c r="G1033" t="s">
        <v>1088</v>
      </c>
      <c r="H1033" t="s">
        <v>3386</v>
      </c>
      <c r="I1033" s="7">
        <v>1165</v>
      </c>
      <c r="J1033" s="7">
        <v>42910</v>
      </c>
      <c r="K1033" s="7">
        <v>5</v>
      </c>
      <c r="L1033" t="s">
        <v>247</v>
      </c>
      <c r="M1033" t="s">
        <v>261</v>
      </c>
      <c r="N1033" s="7">
        <v>787433</v>
      </c>
      <c r="O1033" t="s">
        <v>3398</v>
      </c>
      <c r="P1033" t="s">
        <v>3399</v>
      </c>
      <c r="S1033" t="s">
        <v>211</v>
      </c>
      <c r="T1033" t="s">
        <v>3354</v>
      </c>
      <c r="U1033" t="s">
        <v>3355</v>
      </c>
      <c r="V1033" s="8">
        <v>1250</v>
      </c>
      <c r="W1033" s="7">
        <v>589181</v>
      </c>
      <c r="X1033" t="s">
        <v>3725</v>
      </c>
      <c r="Y1033" s="8">
        <v>1250</v>
      </c>
      <c r="Z1033" s="8">
        <v>1475</v>
      </c>
      <c r="AA1033" s="8">
        <v>225</v>
      </c>
      <c r="AB1033" s="7">
        <v>112648</v>
      </c>
      <c r="AC1033" t="s">
        <v>3725</v>
      </c>
      <c r="AD1033" s="8">
        <v>0</v>
      </c>
      <c r="AG1033" t="s">
        <v>801</v>
      </c>
      <c r="AH1033" t="s">
        <v>802</v>
      </c>
      <c r="AI1033" t="s">
        <v>818</v>
      </c>
    </row>
    <row r="1034" spans="1:35" hidden="1">
      <c r="A1034" s="7">
        <v>1033</v>
      </c>
      <c r="B1034" t="s">
        <v>243</v>
      </c>
      <c r="C1034" t="s">
        <v>244</v>
      </c>
      <c r="D1034" s="7">
        <v>7134</v>
      </c>
      <c r="E1034" t="s">
        <v>245</v>
      </c>
      <c r="F1034" t="s">
        <v>246</v>
      </c>
      <c r="G1034" t="s">
        <v>1457</v>
      </c>
      <c r="H1034" t="s">
        <v>3361</v>
      </c>
      <c r="I1034" s="7">
        <v>877</v>
      </c>
      <c r="J1034" s="7">
        <v>29163</v>
      </c>
      <c r="K1034" s="7">
        <v>2</v>
      </c>
      <c r="L1034" t="s">
        <v>247</v>
      </c>
      <c r="M1034" t="s">
        <v>261</v>
      </c>
      <c r="N1034" s="7">
        <v>796072</v>
      </c>
      <c r="O1034" t="s">
        <v>3367</v>
      </c>
      <c r="P1034" t="s">
        <v>3368</v>
      </c>
      <c r="S1034" t="s">
        <v>211</v>
      </c>
      <c r="T1034" t="s">
        <v>3354</v>
      </c>
      <c r="U1034" t="s">
        <v>3355</v>
      </c>
      <c r="V1034" s="8">
        <v>1250</v>
      </c>
      <c r="W1034" s="7">
        <v>589181</v>
      </c>
      <c r="X1034" t="s">
        <v>3725</v>
      </c>
      <c r="Y1034" s="8">
        <v>1250</v>
      </c>
      <c r="Z1034" s="8">
        <v>1475</v>
      </c>
      <c r="AA1034" s="8">
        <v>225</v>
      </c>
      <c r="AB1034" s="7">
        <v>112648</v>
      </c>
      <c r="AC1034" t="s">
        <v>3725</v>
      </c>
      <c r="AD1034" s="8">
        <v>0</v>
      </c>
      <c r="AG1034" t="s">
        <v>817</v>
      </c>
      <c r="AH1034" t="s">
        <v>802</v>
      </c>
      <c r="AI1034" t="s">
        <v>818</v>
      </c>
    </row>
    <row r="1035" spans="1:35" hidden="1">
      <c r="A1035" s="7">
        <v>1034</v>
      </c>
      <c r="B1035" t="s">
        <v>243</v>
      </c>
      <c r="C1035" t="s">
        <v>244</v>
      </c>
      <c r="D1035" s="7">
        <v>7134</v>
      </c>
      <c r="E1035" t="s">
        <v>245</v>
      </c>
      <c r="F1035" t="s">
        <v>246</v>
      </c>
      <c r="G1035" t="s">
        <v>624</v>
      </c>
      <c r="H1035" t="s">
        <v>3369</v>
      </c>
      <c r="I1035" s="7">
        <v>1165</v>
      </c>
      <c r="J1035" s="7">
        <v>5084</v>
      </c>
      <c r="K1035" s="7">
        <v>1</v>
      </c>
      <c r="L1035" t="s">
        <v>247</v>
      </c>
      <c r="M1035" t="s">
        <v>261</v>
      </c>
      <c r="N1035" s="7">
        <v>798262</v>
      </c>
      <c r="O1035" t="s">
        <v>626</v>
      </c>
      <c r="P1035" t="s">
        <v>627</v>
      </c>
      <c r="S1035" t="s">
        <v>211</v>
      </c>
      <c r="T1035" t="s">
        <v>3354</v>
      </c>
      <c r="U1035" t="s">
        <v>3355</v>
      </c>
      <c r="V1035" s="8">
        <v>1250</v>
      </c>
      <c r="W1035" s="7">
        <v>589181</v>
      </c>
      <c r="X1035" t="s">
        <v>3725</v>
      </c>
      <c r="Y1035" s="8">
        <v>1250</v>
      </c>
      <c r="Z1035" s="8">
        <v>1475</v>
      </c>
      <c r="AA1035" s="8">
        <v>225</v>
      </c>
      <c r="AB1035" s="7">
        <v>112648</v>
      </c>
      <c r="AC1035" t="s">
        <v>3725</v>
      </c>
      <c r="AD1035" s="8">
        <v>0</v>
      </c>
      <c r="AG1035" t="s">
        <v>817</v>
      </c>
      <c r="AH1035" t="s">
        <v>802</v>
      </c>
      <c r="AI1035" t="s">
        <v>818</v>
      </c>
    </row>
    <row r="1036" spans="1:35" hidden="1">
      <c r="A1036" s="7">
        <v>1035</v>
      </c>
      <c r="B1036" t="s">
        <v>243</v>
      </c>
      <c r="C1036" t="s">
        <v>244</v>
      </c>
      <c r="D1036" s="7">
        <v>7134</v>
      </c>
      <c r="E1036" t="s">
        <v>245</v>
      </c>
      <c r="F1036" t="s">
        <v>246</v>
      </c>
      <c r="G1036" t="s">
        <v>996</v>
      </c>
      <c r="H1036" t="s">
        <v>3382</v>
      </c>
      <c r="I1036" s="7">
        <v>1165</v>
      </c>
      <c r="J1036" s="7">
        <v>90000</v>
      </c>
      <c r="K1036" s="7">
        <v>9</v>
      </c>
      <c r="L1036" t="s">
        <v>247</v>
      </c>
      <c r="M1036" t="s">
        <v>361</v>
      </c>
      <c r="N1036" s="7">
        <v>3268</v>
      </c>
      <c r="O1036" t="s">
        <v>997</v>
      </c>
      <c r="P1036" t="s">
        <v>998</v>
      </c>
      <c r="S1036" t="s">
        <v>211</v>
      </c>
      <c r="T1036" t="s">
        <v>3354</v>
      </c>
      <c r="U1036" t="s">
        <v>3355</v>
      </c>
      <c r="V1036" s="8">
        <v>0</v>
      </c>
      <c r="W1036" s="7">
        <v>589181</v>
      </c>
      <c r="X1036" t="s">
        <v>3725</v>
      </c>
      <c r="Y1036" s="8">
        <v>0</v>
      </c>
      <c r="Z1036" s="8">
        <v>0</v>
      </c>
      <c r="AA1036" s="8">
        <v>0</v>
      </c>
      <c r="AB1036" s="7">
        <v>112648</v>
      </c>
      <c r="AC1036" t="s">
        <v>3725</v>
      </c>
      <c r="AD1036" s="8">
        <v>0</v>
      </c>
      <c r="AG1036" t="s">
        <v>823</v>
      </c>
      <c r="AH1036" t="s">
        <v>802</v>
      </c>
      <c r="AI1036" t="s">
        <v>803</v>
      </c>
    </row>
    <row r="1037" spans="1:35" hidden="1">
      <c r="A1037" s="7">
        <v>1036</v>
      </c>
      <c r="B1037" t="s">
        <v>243</v>
      </c>
      <c r="C1037" t="s">
        <v>244</v>
      </c>
      <c r="D1037" s="7">
        <v>7134</v>
      </c>
      <c r="E1037" t="s">
        <v>245</v>
      </c>
      <c r="F1037" t="s">
        <v>246</v>
      </c>
      <c r="G1037" t="s">
        <v>913</v>
      </c>
      <c r="H1037" t="s">
        <v>3371</v>
      </c>
      <c r="I1037" s="7">
        <v>1165</v>
      </c>
      <c r="J1037" s="7">
        <v>60000</v>
      </c>
      <c r="K1037" s="7">
        <v>6</v>
      </c>
      <c r="L1037" t="s">
        <v>247</v>
      </c>
      <c r="M1037" t="s">
        <v>361</v>
      </c>
      <c r="N1037" s="7">
        <v>3564</v>
      </c>
      <c r="O1037" t="s">
        <v>915</v>
      </c>
      <c r="P1037" t="s">
        <v>916</v>
      </c>
      <c r="S1037" t="s">
        <v>211</v>
      </c>
      <c r="T1037" t="s">
        <v>3354</v>
      </c>
      <c r="U1037" t="s">
        <v>3355</v>
      </c>
      <c r="V1037" s="8">
        <v>0</v>
      </c>
      <c r="W1037" s="7">
        <v>589181</v>
      </c>
      <c r="X1037" t="s">
        <v>3725</v>
      </c>
      <c r="Y1037" s="8">
        <v>0</v>
      </c>
      <c r="Z1037" s="8">
        <v>0</v>
      </c>
      <c r="AA1037" s="8">
        <v>0</v>
      </c>
      <c r="AB1037" s="7">
        <v>112648</v>
      </c>
      <c r="AC1037" t="s">
        <v>3725</v>
      </c>
      <c r="AD1037" s="8">
        <v>0</v>
      </c>
      <c r="AG1037" t="s">
        <v>823</v>
      </c>
      <c r="AH1037" t="s">
        <v>802</v>
      </c>
      <c r="AI1037" t="s">
        <v>803</v>
      </c>
    </row>
    <row r="1038" spans="1:35" hidden="1">
      <c r="A1038" s="7">
        <v>1037</v>
      </c>
      <c r="B1038" t="s">
        <v>243</v>
      </c>
      <c r="C1038" t="s">
        <v>244</v>
      </c>
      <c r="D1038" s="7">
        <v>7134</v>
      </c>
      <c r="E1038" t="s">
        <v>245</v>
      </c>
      <c r="F1038" t="s">
        <v>246</v>
      </c>
      <c r="G1038" t="s">
        <v>363</v>
      </c>
      <c r="H1038" t="s">
        <v>3378</v>
      </c>
      <c r="I1038" s="7">
        <v>909</v>
      </c>
      <c r="J1038" s="7">
        <v>30000</v>
      </c>
      <c r="K1038" s="7">
        <v>2</v>
      </c>
      <c r="L1038" t="s">
        <v>247</v>
      </c>
      <c r="M1038" t="s">
        <v>261</v>
      </c>
      <c r="N1038" s="7">
        <v>797308</v>
      </c>
      <c r="O1038" t="s">
        <v>3404</v>
      </c>
      <c r="P1038" t="s">
        <v>3405</v>
      </c>
      <c r="S1038" t="s">
        <v>211</v>
      </c>
      <c r="T1038" t="s">
        <v>3354</v>
      </c>
      <c r="U1038" t="s">
        <v>3355</v>
      </c>
      <c r="V1038" s="8">
        <v>1250</v>
      </c>
      <c r="W1038" s="7">
        <v>589181</v>
      </c>
      <c r="X1038" t="s">
        <v>3725</v>
      </c>
      <c r="Y1038" s="8">
        <v>1250</v>
      </c>
      <c r="Z1038" s="8">
        <v>1475</v>
      </c>
      <c r="AA1038" s="8">
        <v>225</v>
      </c>
      <c r="AB1038" s="7">
        <v>112648</v>
      </c>
      <c r="AC1038" t="s">
        <v>3725</v>
      </c>
      <c r="AD1038" s="8">
        <v>0</v>
      </c>
      <c r="AG1038" t="s">
        <v>817</v>
      </c>
      <c r="AH1038" t="s">
        <v>802</v>
      </c>
      <c r="AI1038" t="s">
        <v>818</v>
      </c>
    </row>
    <row r="1039" spans="1:35" hidden="1">
      <c r="A1039" s="7">
        <v>1038</v>
      </c>
      <c r="B1039" t="s">
        <v>243</v>
      </c>
      <c r="C1039" t="s">
        <v>244</v>
      </c>
      <c r="D1039" s="7">
        <v>7134</v>
      </c>
      <c r="E1039" t="s">
        <v>245</v>
      </c>
      <c r="F1039" t="s">
        <v>246</v>
      </c>
      <c r="G1039" t="s">
        <v>1121</v>
      </c>
      <c r="H1039" t="s">
        <v>3383</v>
      </c>
      <c r="I1039" s="7">
        <v>1165</v>
      </c>
      <c r="J1039" s="7">
        <v>30331</v>
      </c>
      <c r="K1039" s="7">
        <v>3</v>
      </c>
      <c r="L1039" t="s">
        <v>247</v>
      </c>
      <c r="M1039" t="s">
        <v>267</v>
      </c>
      <c r="N1039" s="7">
        <v>768518</v>
      </c>
      <c r="O1039" t="s">
        <v>1122</v>
      </c>
      <c r="P1039" t="s">
        <v>1123</v>
      </c>
      <c r="S1039" t="s">
        <v>211</v>
      </c>
      <c r="T1039" t="s">
        <v>3354</v>
      </c>
      <c r="U1039" t="s">
        <v>3355</v>
      </c>
      <c r="V1039" s="8">
        <v>1250</v>
      </c>
      <c r="W1039" s="7">
        <v>589181</v>
      </c>
      <c r="X1039" t="s">
        <v>3725</v>
      </c>
      <c r="Y1039" s="8">
        <v>1250</v>
      </c>
      <c r="Z1039" s="8">
        <v>1475</v>
      </c>
      <c r="AA1039" s="8">
        <v>225</v>
      </c>
      <c r="AB1039" s="7">
        <v>112648</v>
      </c>
      <c r="AC1039" t="s">
        <v>3725</v>
      </c>
      <c r="AD1039" s="8">
        <v>0</v>
      </c>
      <c r="AG1039" t="s">
        <v>1124</v>
      </c>
      <c r="AH1039" t="s">
        <v>802</v>
      </c>
      <c r="AI1039" t="s">
        <v>818</v>
      </c>
    </row>
    <row r="1040" spans="1:35" hidden="1">
      <c r="A1040" s="7">
        <v>1039</v>
      </c>
      <c r="B1040" t="s">
        <v>243</v>
      </c>
      <c r="C1040" t="s">
        <v>244</v>
      </c>
      <c r="D1040" s="7">
        <v>7134</v>
      </c>
      <c r="E1040" t="s">
        <v>245</v>
      </c>
      <c r="F1040" t="s">
        <v>246</v>
      </c>
      <c r="G1040" t="s">
        <v>727</v>
      </c>
      <c r="H1040" t="s">
        <v>3361</v>
      </c>
      <c r="I1040" s="7">
        <v>1165</v>
      </c>
      <c r="J1040" s="7">
        <v>3514</v>
      </c>
      <c r="K1040" s="7">
        <v>1</v>
      </c>
      <c r="L1040" t="s">
        <v>247</v>
      </c>
      <c r="M1040" t="s">
        <v>261</v>
      </c>
      <c r="N1040" s="7">
        <v>778956</v>
      </c>
      <c r="O1040" t="s">
        <v>751</v>
      </c>
      <c r="P1040" t="s">
        <v>752</v>
      </c>
      <c r="S1040" t="s">
        <v>211</v>
      </c>
      <c r="T1040" t="s">
        <v>3354</v>
      </c>
      <c r="U1040" t="s">
        <v>3355</v>
      </c>
      <c r="V1040" s="8">
        <v>1250</v>
      </c>
      <c r="W1040" s="7">
        <v>589181</v>
      </c>
      <c r="X1040" t="s">
        <v>3725</v>
      </c>
      <c r="Y1040" s="8">
        <v>1250</v>
      </c>
      <c r="Z1040" s="8">
        <v>1475</v>
      </c>
      <c r="AA1040" s="8">
        <v>225</v>
      </c>
      <c r="AB1040" s="7">
        <v>112648</v>
      </c>
      <c r="AC1040" t="s">
        <v>3725</v>
      </c>
      <c r="AD1040" s="8">
        <v>0</v>
      </c>
      <c r="AG1040" t="s">
        <v>808</v>
      </c>
      <c r="AH1040" t="s">
        <v>802</v>
      </c>
      <c r="AI1040" t="s">
        <v>818</v>
      </c>
    </row>
    <row r="1041" spans="1:35" hidden="1">
      <c r="A1041" s="7">
        <v>1040</v>
      </c>
      <c r="B1041" t="s">
        <v>243</v>
      </c>
      <c r="C1041" t="s">
        <v>244</v>
      </c>
      <c r="D1041" s="7">
        <v>7134</v>
      </c>
      <c r="E1041" t="s">
        <v>245</v>
      </c>
      <c r="F1041" t="s">
        <v>246</v>
      </c>
      <c r="G1041" t="s">
        <v>1457</v>
      </c>
      <c r="H1041" t="s">
        <v>3361</v>
      </c>
      <c r="I1041" s="7">
        <v>865</v>
      </c>
      <c r="J1041" s="7">
        <v>31726</v>
      </c>
      <c r="K1041" s="7">
        <v>2</v>
      </c>
      <c r="L1041" t="s">
        <v>247</v>
      </c>
      <c r="M1041" t="s">
        <v>261</v>
      </c>
      <c r="N1041" s="7">
        <v>796163</v>
      </c>
      <c r="O1041" t="s">
        <v>3384</v>
      </c>
      <c r="P1041" t="s">
        <v>3385</v>
      </c>
      <c r="Q1041" t="s">
        <v>908</v>
      </c>
      <c r="R1041" t="s">
        <v>909</v>
      </c>
      <c r="S1041" t="s">
        <v>211</v>
      </c>
      <c r="T1041" t="s">
        <v>3354</v>
      </c>
      <c r="U1041" t="s">
        <v>3355</v>
      </c>
      <c r="V1041" s="8">
        <v>1250</v>
      </c>
      <c r="W1041" s="7">
        <v>589181</v>
      </c>
      <c r="X1041" t="s">
        <v>3725</v>
      </c>
      <c r="Y1041" s="8">
        <v>1000</v>
      </c>
      <c r="Z1041" s="8">
        <v>1475</v>
      </c>
      <c r="AA1041" s="8">
        <v>225</v>
      </c>
      <c r="AB1041" s="7">
        <v>112648</v>
      </c>
      <c r="AC1041" t="s">
        <v>3725</v>
      </c>
      <c r="AD1041" s="8">
        <v>250</v>
      </c>
      <c r="AG1041" t="s">
        <v>817</v>
      </c>
      <c r="AH1041" t="s">
        <v>802</v>
      </c>
      <c r="AI1041" t="s">
        <v>818</v>
      </c>
    </row>
    <row r="1042" spans="1:35" hidden="1">
      <c r="A1042" s="7">
        <v>1041</v>
      </c>
      <c r="B1042" t="s">
        <v>243</v>
      </c>
      <c r="C1042" t="s">
        <v>244</v>
      </c>
      <c r="D1042" s="7">
        <v>7134</v>
      </c>
      <c r="E1042" t="s">
        <v>245</v>
      </c>
      <c r="F1042" t="s">
        <v>246</v>
      </c>
      <c r="G1042" t="s">
        <v>921</v>
      </c>
      <c r="H1042" t="s">
        <v>2082</v>
      </c>
      <c r="I1042" s="7">
        <v>1165</v>
      </c>
      <c r="J1042" s="7">
        <v>27854</v>
      </c>
      <c r="K1042" s="7">
        <v>3</v>
      </c>
      <c r="L1042" t="s">
        <v>247</v>
      </c>
      <c r="M1042" t="s">
        <v>361</v>
      </c>
      <c r="N1042" s="7">
        <v>6116</v>
      </c>
      <c r="O1042" t="s">
        <v>1890</v>
      </c>
      <c r="P1042" t="s">
        <v>1891</v>
      </c>
      <c r="S1042" t="s">
        <v>211</v>
      </c>
      <c r="T1042" t="s">
        <v>3354</v>
      </c>
      <c r="U1042" t="s">
        <v>3355</v>
      </c>
      <c r="V1042" s="8">
        <v>1650</v>
      </c>
      <c r="W1042" s="7">
        <v>589181</v>
      </c>
      <c r="X1042" t="s">
        <v>3725</v>
      </c>
      <c r="Y1042" s="8">
        <v>1650</v>
      </c>
      <c r="Z1042" s="8">
        <v>1947</v>
      </c>
      <c r="AA1042" s="8">
        <v>297</v>
      </c>
      <c r="AB1042" s="7">
        <v>112648</v>
      </c>
      <c r="AC1042" t="s">
        <v>3725</v>
      </c>
      <c r="AD1042" s="8">
        <v>0</v>
      </c>
      <c r="AG1042" t="s">
        <v>823</v>
      </c>
      <c r="AH1042" t="s">
        <v>802</v>
      </c>
      <c r="AI1042" t="s">
        <v>818</v>
      </c>
    </row>
    <row r="1043" spans="1:35" hidden="1">
      <c r="A1043" s="7">
        <v>1042</v>
      </c>
      <c r="B1043" t="s">
        <v>243</v>
      </c>
      <c r="C1043" t="s">
        <v>244</v>
      </c>
      <c r="D1043" s="7">
        <v>7134</v>
      </c>
      <c r="E1043" t="s">
        <v>245</v>
      </c>
      <c r="F1043" t="s">
        <v>246</v>
      </c>
      <c r="G1043" t="s">
        <v>1551</v>
      </c>
      <c r="H1043" t="s">
        <v>3369</v>
      </c>
      <c r="I1043" s="7">
        <v>1165</v>
      </c>
      <c r="J1043" s="7">
        <v>101143</v>
      </c>
      <c r="K1043" s="7">
        <v>10</v>
      </c>
      <c r="L1043" t="s">
        <v>247</v>
      </c>
      <c r="M1043" t="s">
        <v>252</v>
      </c>
      <c r="N1043" s="7">
        <v>322476</v>
      </c>
      <c r="O1043" t="s">
        <v>1552</v>
      </c>
      <c r="P1043" t="s">
        <v>1553</v>
      </c>
      <c r="S1043" t="s">
        <v>211</v>
      </c>
      <c r="T1043" t="s">
        <v>3354</v>
      </c>
      <c r="U1043" t="s">
        <v>3355</v>
      </c>
      <c r="V1043" s="8">
        <v>0</v>
      </c>
      <c r="W1043" s="7">
        <v>589181</v>
      </c>
      <c r="X1043" t="s">
        <v>3725</v>
      </c>
      <c r="Y1043" s="8">
        <v>0</v>
      </c>
      <c r="Z1043" s="8">
        <v>0</v>
      </c>
      <c r="AA1043" s="8">
        <v>0</v>
      </c>
      <c r="AB1043" s="7">
        <v>112648</v>
      </c>
      <c r="AC1043" t="s">
        <v>3725</v>
      </c>
      <c r="AD1043" s="8">
        <v>0</v>
      </c>
      <c r="AG1043" t="s">
        <v>937</v>
      </c>
      <c r="AH1043" t="s">
        <v>802</v>
      </c>
      <c r="AI1043" t="s">
        <v>803</v>
      </c>
    </row>
    <row r="1044" spans="1:35" hidden="1">
      <c r="A1044" s="7">
        <v>1043</v>
      </c>
      <c r="B1044" t="s">
        <v>243</v>
      </c>
      <c r="C1044" t="s">
        <v>244</v>
      </c>
      <c r="D1044" s="7">
        <v>7134</v>
      </c>
      <c r="E1044" t="s">
        <v>245</v>
      </c>
      <c r="F1044" t="s">
        <v>246</v>
      </c>
      <c r="G1044" t="s">
        <v>543</v>
      </c>
      <c r="H1044" t="s">
        <v>2082</v>
      </c>
      <c r="I1044" s="7">
        <v>1150</v>
      </c>
      <c r="J1044" s="7">
        <v>9633</v>
      </c>
      <c r="K1044" s="7">
        <v>2</v>
      </c>
      <c r="L1044" t="s">
        <v>247</v>
      </c>
      <c r="M1044" t="s">
        <v>261</v>
      </c>
      <c r="N1044" s="7">
        <v>778181</v>
      </c>
      <c r="O1044" t="s">
        <v>2188</v>
      </c>
      <c r="P1044" t="s">
        <v>2189</v>
      </c>
      <c r="S1044" t="s">
        <v>211</v>
      </c>
      <c r="T1044" t="s">
        <v>3354</v>
      </c>
      <c r="U1044" t="s">
        <v>3355</v>
      </c>
      <c r="V1044" s="8">
        <v>0</v>
      </c>
      <c r="W1044" s="7">
        <v>589181</v>
      </c>
      <c r="X1044" t="s">
        <v>3725</v>
      </c>
      <c r="Y1044" s="8">
        <v>0</v>
      </c>
      <c r="Z1044" s="8">
        <v>0</v>
      </c>
      <c r="AA1044" s="8">
        <v>0</v>
      </c>
      <c r="AB1044" s="7">
        <v>112648</v>
      </c>
      <c r="AC1044" t="s">
        <v>3725</v>
      </c>
      <c r="AD1044" s="8">
        <v>0</v>
      </c>
      <c r="AG1044" t="s">
        <v>808</v>
      </c>
      <c r="AH1044" t="s">
        <v>802</v>
      </c>
      <c r="AI1044" t="s">
        <v>803</v>
      </c>
    </row>
    <row r="1045" spans="1:35" hidden="1">
      <c r="A1045" s="7">
        <v>1044</v>
      </c>
      <c r="B1045" t="s">
        <v>243</v>
      </c>
      <c r="C1045" t="s">
        <v>244</v>
      </c>
      <c r="D1045" s="7">
        <v>7134</v>
      </c>
      <c r="E1045" t="s">
        <v>245</v>
      </c>
      <c r="F1045" t="s">
        <v>246</v>
      </c>
      <c r="G1045" t="s">
        <v>248</v>
      </c>
      <c r="H1045" t="s">
        <v>3372</v>
      </c>
      <c r="I1045" s="7">
        <v>877</v>
      </c>
      <c r="J1045" s="7">
        <v>31390</v>
      </c>
      <c r="K1045" s="7">
        <v>2</v>
      </c>
      <c r="L1045" t="s">
        <v>247</v>
      </c>
      <c r="M1045" t="s">
        <v>261</v>
      </c>
      <c r="N1045" s="7">
        <v>798914</v>
      </c>
      <c r="O1045" t="s">
        <v>3373</v>
      </c>
      <c r="P1045" t="s">
        <v>3374</v>
      </c>
      <c r="Q1045" t="s">
        <v>908</v>
      </c>
      <c r="R1045" t="s">
        <v>909</v>
      </c>
      <c r="S1045" t="s">
        <v>211</v>
      </c>
      <c r="T1045" t="s">
        <v>3354</v>
      </c>
      <c r="U1045" t="s">
        <v>3355</v>
      </c>
      <c r="V1045" s="8">
        <v>1250</v>
      </c>
      <c r="W1045" s="7">
        <v>589181</v>
      </c>
      <c r="X1045" t="s">
        <v>3725</v>
      </c>
      <c r="Y1045" s="8">
        <v>1000</v>
      </c>
      <c r="Z1045" s="8">
        <v>1475</v>
      </c>
      <c r="AA1045" s="8">
        <v>225</v>
      </c>
      <c r="AB1045" s="7">
        <v>112648</v>
      </c>
      <c r="AC1045" t="s">
        <v>3725</v>
      </c>
      <c r="AD1045" s="8">
        <v>250</v>
      </c>
      <c r="AG1045" t="s">
        <v>817</v>
      </c>
      <c r="AH1045" t="s">
        <v>802</v>
      </c>
      <c r="AI1045" t="s">
        <v>818</v>
      </c>
    </row>
    <row r="1046" spans="1:35" hidden="1">
      <c r="A1046" s="7">
        <v>1045</v>
      </c>
      <c r="B1046" t="s">
        <v>243</v>
      </c>
      <c r="C1046" t="s">
        <v>244</v>
      </c>
      <c r="D1046" s="7">
        <v>7134</v>
      </c>
      <c r="E1046" t="s">
        <v>245</v>
      </c>
      <c r="F1046" t="s">
        <v>246</v>
      </c>
      <c r="G1046" t="s">
        <v>1571</v>
      </c>
      <c r="H1046" t="s">
        <v>3361</v>
      </c>
      <c r="I1046" s="7">
        <v>1165</v>
      </c>
      <c r="J1046" s="7">
        <v>16009</v>
      </c>
      <c r="K1046" s="7">
        <v>3</v>
      </c>
      <c r="L1046" t="s">
        <v>247</v>
      </c>
      <c r="M1046" t="s">
        <v>261</v>
      </c>
      <c r="N1046" s="7">
        <v>771605</v>
      </c>
      <c r="O1046" t="s">
        <v>3421</v>
      </c>
      <c r="P1046" t="s">
        <v>3422</v>
      </c>
      <c r="S1046" t="s">
        <v>211</v>
      </c>
      <c r="T1046" t="s">
        <v>3354</v>
      </c>
      <c r="U1046" t="s">
        <v>3355</v>
      </c>
      <c r="V1046" s="8">
        <v>1250</v>
      </c>
      <c r="W1046" s="7">
        <v>589181</v>
      </c>
      <c r="X1046" t="s">
        <v>3725</v>
      </c>
      <c r="Y1046" s="8">
        <v>1250</v>
      </c>
      <c r="Z1046" s="8">
        <v>1475</v>
      </c>
      <c r="AA1046" s="8">
        <v>225</v>
      </c>
      <c r="AB1046" s="7">
        <v>112648</v>
      </c>
      <c r="AC1046" t="s">
        <v>3725</v>
      </c>
      <c r="AD1046" s="8">
        <v>0</v>
      </c>
      <c r="AG1046" t="s">
        <v>817</v>
      </c>
      <c r="AH1046" t="s">
        <v>802</v>
      </c>
      <c r="AI1046" t="s">
        <v>818</v>
      </c>
    </row>
    <row r="1047" spans="1:35" hidden="1">
      <c r="A1047" s="7">
        <v>1046</v>
      </c>
      <c r="B1047" t="s">
        <v>243</v>
      </c>
      <c r="C1047" t="s">
        <v>244</v>
      </c>
      <c r="D1047" s="7">
        <v>7134</v>
      </c>
      <c r="E1047" t="s">
        <v>245</v>
      </c>
      <c r="F1047" t="s">
        <v>246</v>
      </c>
      <c r="G1047" t="s">
        <v>527</v>
      </c>
      <c r="H1047" t="s">
        <v>3370</v>
      </c>
      <c r="I1047" s="7">
        <v>950</v>
      </c>
      <c r="J1047" s="7">
        <v>30691</v>
      </c>
      <c r="K1047" s="7">
        <v>2</v>
      </c>
      <c r="L1047" t="s">
        <v>247</v>
      </c>
      <c r="M1047" t="s">
        <v>261</v>
      </c>
      <c r="N1047" s="7">
        <v>795169</v>
      </c>
      <c r="O1047" t="s">
        <v>2190</v>
      </c>
      <c r="P1047" t="s">
        <v>2191</v>
      </c>
      <c r="S1047" t="s">
        <v>211</v>
      </c>
      <c r="T1047" t="s">
        <v>3354</v>
      </c>
      <c r="U1047" t="s">
        <v>3355</v>
      </c>
      <c r="V1047" s="8">
        <v>1250</v>
      </c>
      <c r="W1047" s="7">
        <v>589181</v>
      </c>
      <c r="X1047" t="s">
        <v>3725</v>
      </c>
      <c r="Y1047" s="8">
        <v>1250</v>
      </c>
      <c r="Z1047" s="8">
        <v>1475</v>
      </c>
      <c r="AA1047" s="8">
        <v>225</v>
      </c>
      <c r="AB1047" s="7">
        <v>112648</v>
      </c>
      <c r="AC1047" t="s">
        <v>3725</v>
      </c>
      <c r="AD1047" s="8">
        <v>0</v>
      </c>
      <c r="AG1047" t="s">
        <v>817</v>
      </c>
      <c r="AH1047" t="s">
        <v>802</v>
      </c>
      <c r="AI1047" t="s">
        <v>818</v>
      </c>
    </row>
    <row r="1048" spans="1:35" hidden="1">
      <c r="A1048" s="7">
        <v>1047</v>
      </c>
      <c r="B1048" t="s">
        <v>243</v>
      </c>
      <c r="C1048" t="s">
        <v>244</v>
      </c>
      <c r="D1048" s="7">
        <v>7134</v>
      </c>
      <c r="E1048" t="s">
        <v>245</v>
      </c>
      <c r="F1048" t="s">
        <v>246</v>
      </c>
      <c r="G1048" t="s">
        <v>263</v>
      </c>
      <c r="H1048" t="s">
        <v>688</v>
      </c>
      <c r="I1048" s="7">
        <v>912</v>
      </c>
      <c r="J1048" s="7">
        <v>29766</v>
      </c>
      <c r="K1048" s="7">
        <v>2</v>
      </c>
      <c r="L1048" t="s">
        <v>247</v>
      </c>
      <c r="M1048" t="s">
        <v>261</v>
      </c>
      <c r="N1048" s="7">
        <v>796249</v>
      </c>
      <c r="O1048" t="s">
        <v>2066</v>
      </c>
      <c r="P1048" t="s">
        <v>2067</v>
      </c>
      <c r="S1048" t="s">
        <v>211</v>
      </c>
      <c r="T1048" t="s">
        <v>3354</v>
      </c>
      <c r="U1048" t="s">
        <v>3355</v>
      </c>
      <c r="V1048" s="8">
        <v>1250</v>
      </c>
      <c r="W1048" s="7">
        <v>589181</v>
      </c>
      <c r="X1048" t="s">
        <v>3725</v>
      </c>
      <c r="Y1048" s="8">
        <v>1250</v>
      </c>
      <c r="Z1048" s="8">
        <v>1475</v>
      </c>
      <c r="AA1048" s="8">
        <v>225</v>
      </c>
      <c r="AB1048" s="7">
        <v>112648</v>
      </c>
      <c r="AC1048" t="s">
        <v>3725</v>
      </c>
      <c r="AD1048" s="8">
        <v>0</v>
      </c>
      <c r="AG1048" t="s">
        <v>817</v>
      </c>
      <c r="AH1048" t="s">
        <v>802</v>
      </c>
      <c r="AI1048" t="s">
        <v>818</v>
      </c>
    </row>
    <row r="1049" spans="1:35" hidden="1">
      <c r="A1049" s="7">
        <v>1048</v>
      </c>
      <c r="B1049" t="s">
        <v>243</v>
      </c>
      <c r="C1049" t="s">
        <v>244</v>
      </c>
      <c r="D1049" s="7">
        <v>7134</v>
      </c>
      <c r="E1049" t="s">
        <v>245</v>
      </c>
      <c r="F1049" t="s">
        <v>246</v>
      </c>
      <c r="G1049" t="s">
        <v>293</v>
      </c>
      <c r="H1049" t="s">
        <v>3386</v>
      </c>
      <c r="I1049" s="7">
        <v>1165</v>
      </c>
      <c r="J1049" s="7">
        <v>24686</v>
      </c>
      <c r="K1049" s="7">
        <v>2</v>
      </c>
      <c r="L1049" t="s">
        <v>247</v>
      </c>
      <c r="M1049" t="s">
        <v>398</v>
      </c>
      <c r="N1049" s="7">
        <v>788228</v>
      </c>
      <c r="O1049" t="s">
        <v>396</v>
      </c>
      <c r="P1049" t="s">
        <v>397</v>
      </c>
      <c r="S1049" t="s">
        <v>211</v>
      </c>
      <c r="T1049" t="s">
        <v>3354</v>
      </c>
      <c r="U1049" t="s">
        <v>3355</v>
      </c>
      <c r="V1049" s="8">
        <v>0</v>
      </c>
      <c r="W1049" s="7">
        <v>589181</v>
      </c>
      <c r="X1049" t="s">
        <v>3725</v>
      </c>
      <c r="Y1049" s="8">
        <v>0</v>
      </c>
      <c r="Z1049" s="8">
        <v>0</v>
      </c>
      <c r="AA1049" s="8">
        <v>0</v>
      </c>
      <c r="AB1049" s="7">
        <v>112648</v>
      </c>
      <c r="AC1049" t="s">
        <v>3725</v>
      </c>
      <c r="AD1049" s="8">
        <v>0</v>
      </c>
      <c r="AG1049" t="s">
        <v>1365</v>
      </c>
      <c r="AH1049" t="s">
        <v>802</v>
      </c>
      <c r="AI1049" t="s">
        <v>803</v>
      </c>
    </row>
    <row r="1050" spans="1:35" hidden="1">
      <c r="A1050" s="7">
        <v>1049</v>
      </c>
      <c r="B1050" t="s">
        <v>243</v>
      </c>
      <c r="C1050" t="s">
        <v>244</v>
      </c>
      <c r="D1050" s="7">
        <v>7134</v>
      </c>
      <c r="E1050" t="s">
        <v>245</v>
      </c>
      <c r="F1050" t="s">
        <v>246</v>
      </c>
      <c r="G1050" t="s">
        <v>914</v>
      </c>
      <c r="H1050" t="s">
        <v>3377</v>
      </c>
      <c r="I1050" s="7">
        <v>1165</v>
      </c>
      <c r="J1050" s="7">
        <v>15569</v>
      </c>
      <c r="K1050" s="7">
        <v>3</v>
      </c>
      <c r="L1050" t="s">
        <v>247</v>
      </c>
      <c r="M1050" t="s">
        <v>267</v>
      </c>
      <c r="N1050" s="7">
        <v>789054</v>
      </c>
      <c r="O1050" t="s">
        <v>1768</v>
      </c>
      <c r="P1050" t="s">
        <v>1769</v>
      </c>
      <c r="S1050" t="s">
        <v>211</v>
      </c>
      <c r="T1050" t="s">
        <v>3354</v>
      </c>
      <c r="U1050" t="s">
        <v>3355</v>
      </c>
      <c r="V1050" s="8">
        <v>1250</v>
      </c>
      <c r="W1050" s="7">
        <v>589181</v>
      </c>
      <c r="X1050" t="s">
        <v>3725</v>
      </c>
      <c r="Y1050" s="8">
        <v>1250</v>
      </c>
      <c r="Z1050" s="8">
        <v>1475</v>
      </c>
      <c r="AA1050" s="8">
        <v>225</v>
      </c>
      <c r="AB1050" s="7">
        <v>112648</v>
      </c>
      <c r="AC1050" t="s">
        <v>3725</v>
      </c>
      <c r="AD1050" s="8">
        <v>0</v>
      </c>
      <c r="AG1050" t="s">
        <v>828</v>
      </c>
      <c r="AH1050" t="s">
        <v>802</v>
      </c>
      <c r="AI1050" t="s">
        <v>818</v>
      </c>
    </row>
    <row r="1051" spans="1:35" hidden="1">
      <c r="A1051" s="7">
        <v>1050</v>
      </c>
      <c r="B1051" t="s">
        <v>243</v>
      </c>
      <c r="C1051" t="s">
        <v>244</v>
      </c>
      <c r="D1051" s="7">
        <v>7134</v>
      </c>
      <c r="E1051" t="s">
        <v>245</v>
      </c>
      <c r="F1051" t="s">
        <v>246</v>
      </c>
      <c r="G1051" t="s">
        <v>527</v>
      </c>
      <c r="H1051" t="s">
        <v>3354</v>
      </c>
      <c r="I1051" s="7">
        <v>1165</v>
      </c>
      <c r="J1051" s="7">
        <v>5058</v>
      </c>
      <c r="K1051" s="7">
        <v>1</v>
      </c>
      <c r="L1051" t="s">
        <v>247</v>
      </c>
      <c r="M1051" t="s">
        <v>261</v>
      </c>
      <c r="N1051" s="7">
        <v>796631</v>
      </c>
      <c r="O1051" t="s">
        <v>537</v>
      </c>
      <c r="P1051" t="s">
        <v>538</v>
      </c>
      <c r="S1051" t="s">
        <v>211</v>
      </c>
      <c r="T1051" t="s">
        <v>3354</v>
      </c>
      <c r="U1051" t="s">
        <v>3355</v>
      </c>
      <c r="V1051" s="8">
        <v>1250</v>
      </c>
      <c r="W1051" s="7">
        <v>589181</v>
      </c>
      <c r="X1051" t="s">
        <v>3725</v>
      </c>
      <c r="Y1051" s="8">
        <v>1250</v>
      </c>
      <c r="Z1051" s="8">
        <v>1475</v>
      </c>
      <c r="AA1051" s="8">
        <v>225</v>
      </c>
      <c r="AB1051" s="7">
        <v>112648</v>
      </c>
      <c r="AC1051" t="s">
        <v>3725</v>
      </c>
      <c r="AD1051" s="8">
        <v>0</v>
      </c>
      <c r="AG1051" t="s">
        <v>817</v>
      </c>
      <c r="AH1051" t="s">
        <v>802</v>
      </c>
      <c r="AI1051" t="s">
        <v>818</v>
      </c>
    </row>
    <row r="1052" spans="1:35" hidden="1">
      <c r="A1052" s="7">
        <v>1051</v>
      </c>
      <c r="B1052" t="s">
        <v>243</v>
      </c>
      <c r="C1052" t="s">
        <v>244</v>
      </c>
      <c r="D1052" s="7">
        <v>7134</v>
      </c>
      <c r="E1052" t="s">
        <v>245</v>
      </c>
      <c r="F1052" t="s">
        <v>246</v>
      </c>
      <c r="G1052" t="s">
        <v>1506</v>
      </c>
      <c r="H1052" t="s">
        <v>3361</v>
      </c>
      <c r="I1052" s="7">
        <v>1165</v>
      </c>
      <c r="J1052" s="7">
        <v>16555</v>
      </c>
      <c r="K1052" s="7">
        <v>3</v>
      </c>
      <c r="L1052" t="s">
        <v>247</v>
      </c>
      <c r="M1052" t="s">
        <v>261</v>
      </c>
      <c r="N1052" s="7">
        <v>770327</v>
      </c>
      <c r="O1052" t="s">
        <v>1507</v>
      </c>
      <c r="P1052" t="s">
        <v>1508</v>
      </c>
      <c r="S1052" t="s">
        <v>211</v>
      </c>
      <c r="T1052" t="s">
        <v>3354</v>
      </c>
      <c r="U1052" t="s">
        <v>3355</v>
      </c>
      <c r="V1052" s="8">
        <v>1250</v>
      </c>
      <c r="W1052" s="7">
        <v>589181</v>
      </c>
      <c r="X1052" t="s">
        <v>3725</v>
      </c>
      <c r="Y1052" s="8">
        <v>1250</v>
      </c>
      <c r="Z1052" s="8">
        <v>1475</v>
      </c>
      <c r="AA1052" s="8">
        <v>225</v>
      </c>
      <c r="AB1052" s="7">
        <v>112648</v>
      </c>
      <c r="AC1052" t="s">
        <v>3725</v>
      </c>
      <c r="AD1052" s="8">
        <v>0</v>
      </c>
      <c r="AG1052" t="s">
        <v>817</v>
      </c>
      <c r="AH1052" t="s">
        <v>802</v>
      </c>
      <c r="AI1052" t="s">
        <v>818</v>
      </c>
    </row>
    <row r="1053" spans="1:35" hidden="1">
      <c r="A1053" s="7">
        <v>1052</v>
      </c>
      <c r="B1053" t="s">
        <v>243</v>
      </c>
      <c r="C1053" t="s">
        <v>244</v>
      </c>
      <c r="D1053" s="7">
        <v>7134</v>
      </c>
      <c r="E1053" t="s">
        <v>245</v>
      </c>
      <c r="F1053" t="s">
        <v>246</v>
      </c>
      <c r="G1053" t="s">
        <v>308</v>
      </c>
      <c r="H1053" t="s">
        <v>3371</v>
      </c>
      <c r="I1053" s="7">
        <v>1165</v>
      </c>
      <c r="J1053" s="7">
        <v>28857</v>
      </c>
      <c r="K1053" s="7">
        <v>3</v>
      </c>
      <c r="L1053" t="s">
        <v>247</v>
      </c>
      <c r="M1053" t="s">
        <v>261</v>
      </c>
      <c r="N1053" s="7">
        <v>792931</v>
      </c>
      <c r="O1053" t="s">
        <v>355</v>
      </c>
      <c r="P1053" t="s">
        <v>356</v>
      </c>
      <c r="S1053" t="s">
        <v>211</v>
      </c>
      <c r="T1053" t="s">
        <v>3354</v>
      </c>
      <c r="U1053" t="s">
        <v>3355</v>
      </c>
      <c r="V1053" s="8">
        <v>1250</v>
      </c>
      <c r="W1053" s="7">
        <v>589181</v>
      </c>
      <c r="X1053" t="s">
        <v>3725</v>
      </c>
      <c r="Y1053" s="8">
        <v>1250</v>
      </c>
      <c r="Z1053" s="8">
        <v>1475</v>
      </c>
      <c r="AA1053" s="8">
        <v>225</v>
      </c>
      <c r="AB1053" s="7">
        <v>112648</v>
      </c>
      <c r="AC1053" t="s">
        <v>3725</v>
      </c>
      <c r="AD1053" s="8">
        <v>0</v>
      </c>
      <c r="AG1053" t="s">
        <v>801</v>
      </c>
      <c r="AH1053" t="s">
        <v>802</v>
      </c>
      <c r="AI1053" t="s">
        <v>818</v>
      </c>
    </row>
    <row r="1054" spans="1:35" hidden="1">
      <c r="A1054" s="7">
        <v>1053</v>
      </c>
      <c r="B1054" t="s">
        <v>243</v>
      </c>
      <c r="C1054" t="s">
        <v>244</v>
      </c>
      <c r="D1054" s="7">
        <v>7134</v>
      </c>
      <c r="E1054" t="s">
        <v>245</v>
      </c>
      <c r="F1054" t="s">
        <v>246</v>
      </c>
      <c r="G1054" t="s">
        <v>1807</v>
      </c>
      <c r="H1054" t="s">
        <v>688</v>
      </c>
      <c r="I1054" s="7">
        <v>1150</v>
      </c>
      <c r="J1054" s="7">
        <v>9949</v>
      </c>
      <c r="K1054" s="7">
        <v>2</v>
      </c>
      <c r="L1054" t="s">
        <v>247</v>
      </c>
      <c r="M1054" t="s">
        <v>261</v>
      </c>
      <c r="N1054" s="7">
        <v>778388</v>
      </c>
      <c r="O1054" t="s">
        <v>2180</v>
      </c>
      <c r="P1054" t="s">
        <v>2181</v>
      </c>
      <c r="S1054" t="s">
        <v>211</v>
      </c>
      <c r="T1054" t="s">
        <v>3354</v>
      </c>
      <c r="U1054" t="s">
        <v>3355</v>
      </c>
      <c r="V1054" s="8">
        <v>0</v>
      </c>
      <c r="W1054" s="7">
        <v>589181</v>
      </c>
      <c r="X1054" t="s">
        <v>3725</v>
      </c>
      <c r="Y1054" s="8">
        <v>0</v>
      </c>
      <c r="Z1054" s="8">
        <v>0</v>
      </c>
      <c r="AA1054" s="8">
        <v>0</v>
      </c>
      <c r="AB1054" s="7">
        <v>112648</v>
      </c>
      <c r="AC1054" t="s">
        <v>3725</v>
      </c>
      <c r="AD1054" s="8">
        <v>0</v>
      </c>
      <c r="AG1054" t="s">
        <v>808</v>
      </c>
      <c r="AH1054" t="s">
        <v>802</v>
      </c>
      <c r="AI1054" t="s">
        <v>803</v>
      </c>
    </row>
    <row r="1055" spans="1:35" hidden="1">
      <c r="A1055" s="7">
        <v>1054</v>
      </c>
      <c r="B1055" t="s">
        <v>243</v>
      </c>
      <c r="C1055" t="s">
        <v>244</v>
      </c>
      <c r="D1055" s="7">
        <v>7134</v>
      </c>
      <c r="E1055" t="s">
        <v>245</v>
      </c>
      <c r="F1055" t="s">
        <v>246</v>
      </c>
      <c r="G1055" t="s">
        <v>1004</v>
      </c>
      <c r="H1055" t="s">
        <v>3357</v>
      </c>
      <c r="I1055" s="7">
        <v>1165</v>
      </c>
      <c r="J1055" s="7">
        <v>36168</v>
      </c>
      <c r="K1055" s="7">
        <v>4</v>
      </c>
      <c r="L1055" t="s">
        <v>247</v>
      </c>
      <c r="M1055" t="s">
        <v>361</v>
      </c>
      <c r="N1055" s="7">
        <v>5607</v>
      </c>
      <c r="O1055" t="s">
        <v>1351</v>
      </c>
      <c r="P1055" t="s">
        <v>1352</v>
      </c>
      <c r="S1055" t="s">
        <v>211</v>
      </c>
      <c r="T1055" t="s">
        <v>3354</v>
      </c>
      <c r="U1055" t="s">
        <v>3355</v>
      </c>
      <c r="V1055" s="8">
        <v>0</v>
      </c>
      <c r="W1055" s="7">
        <v>589181</v>
      </c>
      <c r="X1055" t="s">
        <v>3725</v>
      </c>
      <c r="Y1055" s="8">
        <v>0</v>
      </c>
      <c r="Z1055" s="8">
        <v>0</v>
      </c>
      <c r="AA1055" s="8">
        <v>0</v>
      </c>
      <c r="AB1055" s="7">
        <v>112648</v>
      </c>
      <c r="AC1055" t="s">
        <v>3725</v>
      </c>
      <c r="AD1055" s="8">
        <v>0</v>
      </c>
      <c r="AG1055" t="s">
        <v>823</v>
      </c>
      <c r="AH1055" t="s">
        <v>802</v>
      </c>
      <c r="AI1055" t="s">
        <v>803</v>
      </c>
    </row>
    <row r="1056" spans="1:35" hidden="1">
      <c r="A1056" s="7">
        <v>1055</v>
      </c>
      <c r="B1056" t="s">
        <v>243</v>
      </c>
      <c r="C1056" t="s">
        <v>244</v>
      </c>
      <c r="D1056" s="7">
        <v>7134</v>
      </c>
      <c r="E1056" t="s">
        <v>245</v>
      </c>
      <c r="F1056" t="s">
        <v>246</v>
      </c>
      <c r="G1056" t="s">
        <v>363</v>
      </c>
      <c r="H1056" t="s">
        <v>3366</v>
      </c>
      <c r="I1056" s="7">
        <v>926</v>
      </c>
      <c r="J1056" s="7">
        <v>29684</v>
      </c>
      <c r="K1056" s="7">
        <v>2</v>
      </c>
      <c r="L1056" t="s">
        <v>247</v>
      </c>
      <c r="M1056" t="s">
        <v>261</v>
      </c>
      <c r="N1056" s="7">
        <v>797316</v>
      </c>
      <c r="O1056" t="s">
        <v>1898</v>
      </c>
      <c r="P1056" t="s">
        <v>1899</v>
      </c>
      <c r="S1056" t="s">
        <v>211</v>
      </c>
      <c r="T1056" t="s">
        <v>3354</v>
      </c>
      <c r="U1056" t="s">
        <v>3355</v>
      </c>
      <c r="V1056" s="8">
        <v>1250</v>
      </c>
      <c r="W1056" s="7">
        <v>589181</v>
      </c>
      <c r="X1056" t="s">
        <v>3725</v>
      </c>
      <c r="Y1056" s="8">
        <v>1250</v>
      </c>
      <c r="Z1056" s="8">
        <v>1475</v>
      </c>
      <c r="AA1056" s="8">
        <v>225</v>
      </c>
      <c r="AB1056" s="7">
        <v>112648</v>
      </c>
      <c r="AC1056" t="s">
        <v>3725</v>
      </c>
      <c r="AD1056" s="8">
        <v>0</v>
      </c>
      <c r="AG1056" t="s">
        <v>817</v>
      </c>
      <c r="AH1056" t="s">
        <v>802</v>
      </c>
      <c r="AI1056" t="s">
        <v>818</v>
      </c>
    </row>
    <row r="1057" spans="1:35" hidden="1">
      <c r="A1057" s="7">
        <v>1056</v>
      </c>
      <c r="B1057" t="s">
        <v>243</v>
      </c>
      <c r="C1057" t="s">
        <v>244</v>
      </c>
      <c r="D1057" s="7">
        <v>7134</v>
      </c>
      <c r="E1057" t="s">
        <v>245</v>
      </c>
      <c r="F1057" t="s">
        <v>246</v>
      </c>
      <c r="G1057" t="s">
        <v>1453</v>
      </c>
      <c r="H1057" t="s">
        <v>3371</v>
      </c>
      <c r="I1057" s="7">
        <v>1165</v>
      </c>
      <c r="J1057" s="7">
        <v>38800</v>
      </c>
      <c r="K1057" s="7">
        <v>4</v>
      </c>
      <c r="L1057" t="s">
        <v>247</v>
      </c>
      <c r="M1057" t="s">
        <v>267</v>
      </c>
      <c r="N1057" s="7">
        <v>789589</v>
      </c>
      <c r="O1057" t="s">
        <v>1454</v>
      </c>
      <c r="P1057" t="s">
        <v>1455</v>
      </c>
      <c r="S1057" t="s">
        <v>211</v>
      </c>
      <c r="T1057" t="s">
        <v>3354</v>
      </c>
      <c r="U1057" t="s">
        <v>3355</v>
      </c>
      <c r="V1057" s="8">
        <v>0</v>
      </c>
      <c r="W1057" s="7">
        <v>589181</v>
      </c>
      <c r="X1057" t="s">
        <v>3725</v>
      </c>
      <c r="Y1057" s="8">
        <v>0</v>
      </c>
      <c r="Z1057" s="8">
        <v>0</v>
      </c>
      <c r="AA1057" s="8">
        <v>0</v>
      </c>
      <c r="AB1057" s="7">
        <v>112648</v>
      </c>
      <c r="AC1057" t="s">
        <v>3725</v>
      </c>
      <c r="AD1057" s="8">
        <v>0</v>
      </c>
      <c r="AG1057" t="s">
        <v>828</v>
      </c>
      <c r="AH1057" t="s">
        <v>802</v>
      </c>
      <c r="AI1057" t="s">
        <v>803</v>
      </c>
    </row>
    <row r="1058" spans="1:35" hidden="1">
      <c r="A1058" s="7">
        <v>1057</v>
      </c>
      <c r="B1058" t="s">
        <v>243</v>
      </c>
      <c r="C1058" t="s">
        <v>244</v>
      </c>
      <c r="D1058" s="7">
        <v>7134</v>
      </c>
      <c r="E1058" t="s">
        <v>245</v>
      </c>
      <c r="F1058" t="s">
        <v>246</v>
      </c>
      <c r="G1058" t="s">
        <v>1457</v>
      </c>
      <c r="H1058" t="s">
        <v>3354</v>
      </c>
      <c r="I1058" s="7">
        <v>890</v>
      </c>
      <c r="J1058" s="7">
        <v>30000</v>
      </c>
      <c r="K1058" s="7">
        <v>2</v>
      </c>
      <c r="L1058" t="s">
        <v>247</v>
      </c>
      <c r="M1058" t="s">
        <v>261</v>
      </c>
      <c r="N1058" s="7">
        <v>795715</v>
      </c>
      <c r="O1058" t="s">
        <v>1894</v>
      </c>
      <c r="P1058" t="s">
        <v>1895</v>
      </c>
      <c r="S1058" t="s">
        <v>211</v>
      </c>
      <c r="T1058" t="s">
        <v>3354</v>
      </c>
      <c r="U1058" t="s">
        <v>3355</v>
      </c>
      <c r="V1058" s="8">
        <v>1250</v>
      </c>
      <c r="W1058" s="7">
        <v>589181</v>
      </c>
      <c r="X1058" t="s">
        <v>3725</v>
      </c>
      <c r="Y1058" s="8">
        <v>1250</v>
      </c>
      <c r="Z1058" s="8">
        <v>1475</v>
      </c>
      <c r="AA1058" s="8">
        <v>225</v>
      </c>
      <c r="AB1058" s="7">
        <v>112648</v>
      </c>
      <c r="AC1058" t="s">
        <v>3725</v>
      </c>
      <c r="AD1058" s="8">
        <v>0</v>
      </c>
      <c r="AG1058" t="s">
        <v>817</v>
      </c>
      <c r="AH1058" t="s">
        <v>802</v>
      </c>
      <c r="AI1058" t="s">
        <v>818</v>
      </c>
    </row>
    <row r="1059" spans="1:35" hidden="1">
      <c r="A1059" s="7">
        <v>1058</v>
      </c>
      <c r="B1059" t="s">
        <v>243</v>
      </c>
      <c r="C1059" t="s">
        <v>244</v>
      </c>
      <c r="D1059" s="7">
        <v>7134</v>
      </c>
      <c r="E1059" t="s">
        <v>245</v>
      </c>
      <c r="F1059" t="s">
        <v>246</v>
      </c>
      <c r="G1059" t="s">
        <v>1356</v>
      </c>
      <c r="H1059" t="s">
        <v>3353</v>
      </c>
      <c r="I1059" s="7">
        <v>1165</v>
      </c>
      <c r="J1059" s="7">
        <v>97131</v>
      </c>
      <c r="K1059" s="7">
        <v>10</v>
      </c>
      <c r="L1059" t="s">
        <v>247</v>
      </c>
      <c r="M1059" t="s">
        <v>261</v>
      </c>
      <c r="N1059" s="7">
        <v>763919</v>
      </c>
      <c r="O1059" t="s">
        <v>1357</v>
      </c>
      <c r="P1059" t="s">
        <v>1358</v>
      </c>
      <c r="S1059" t="s">
        <v>211</v>
      </c>
      <c r="T1059" t="s">
        <v>3354</v>
      </c>
      <c r="U1059" t="s">
        <v>3355</v>
      </c>
      <c r="V1059" s="8">
        <v>0</v>
      </c>
      <c r="W1059" s="7">
        <v>589181</v>
      </c>
      <c r="X1059" t="s">
        <v>3725</v>
      </c>
      <c r="Y1059" s="8">
        <v>0</v>
      </c>
      <c r="Z1059" s="8">
        <v>0</v>
      </c>
      <c r="AA1059" s="8">
        <v>0</v>
      </c>
      <c r="AB1059" s="7">
        <v>112648</v>
      </c>
      <c r="AC1059" t="s">
        <v>3725</v>
      </c>
      <c r="AD1059" s="8">
        <v>0</v>
      </c>
      <c r="AG1059" t="s">
        <v>801</v>
      </c>
      <c r="AH1059" t="s">
        <v>802</v>
      </c>
      <c r="AI1059" t="s">
        <v>803</v>
      </c>
    </row>
    <row r="1060" spans="1:35" hidden="1">
      <c r="A1060" s="7">
        <v>1059</v>
      </c>
      <c r="B1060" t="s">
        <v>243</v>
      </c>
      <c r="C1060" t="s">
        <v>244</v>
      </c>
      <c r="D1060" s="7">
        <v>7134</v>
      </c>
      <c r="E1060" t="s">
        <v>245</v>
      </c>
      <c r="F1060" t="s">
        <v>246</v>
      </c>
      <c r="G1060" t="s">
        <v>278</v>
      </c>
      <c r="H1060" t="s">
        <v>3353</v>
      </c>
      <c r="I1060" s="7">
        <v>1165</v>
      </c>
      <c r="J1060" s="7">
        <v>2898</v>
      </c>
      <c r="K1060" s="7">
        <v>2</v>
      </c>
      <c r="L1060" t="s">
        <v>247</v>
      </c>
      <c r="M1060" t="s">
        <v>267</v>
      </c>
      <c r="N1060" s="7">
        <v>793736</v>
      </c>
      <c r="O1060" t="s">
        <v>441</v>
      </c>
      <c r="P1060" t="s">
        <v>442</v>
      </c>
      <c r="S1060" t="s">
        <v>211</v>
      </c>
      <c r="T1060" t="s">
        <v>3354</v>
      </c>
      <c r="U1060" t="s">
        <v>3355</v>
      </c>
      <c r="V1060" s="8">
        <v>0</v>
      </c>
      <c r="W1060" s="7">
        <v>589181</v>
      </c>
      <c r="X1060" t="s">
        <v>3725</v>
      </c>
      <c r="Y1060" s="8">
        <v>0</v>
      </c>
      <c r="Z1060" s="8">
        <v>0</v>
      </c>
      <c r="AA1060" s="8">
        <v>0</v>
      </c>
      <c r="AB1060" s="7">
        <v>112648</v>
      </c>
      <c r="AC1060" t="s">
        <v>3725</v>
      </c>
      <c r="AD1060" s="8">
        <v>0</v>
      </c>
      <c r="AG1060" t="s">
        <v>828</v>
      </c>
      <c r="AH1060" t="s">
        <v>802</v>
      </c>
      <c r="AI1060" t="s">
        <v>803</v>
      </c>
    </row>
    <row r="1061" spans="1:35" hidden="1">
      <c r="A1061" s="7">
        <v>1060</v>
      </c>
      <c r="B1061" t="s">
        <v>243</v>
      </c>
      <c r="C1061" t="s">
        <v>244</v>
      </c>
      <c r="D1061" s="7">
        <v>7134</v>
      </c>
      <c r="E1061" t="s">
        <v>245</v>
      </c>
      <c r="F1061" t="s">
        <v>246</v>
      </c>
      <c r="G1061" t="s">
        <v>861</v>
      </c>
      <c r="H1061" t="s">
        <v>3361</v>
      </c>
      <c r="I1061" s="7">
        <v>1165</v>
      </c>
      <c r="J1061" s="7">
        <v>93327</v>
      </c>
      <c r="K1061" s="7">
        <v>10</v>
      </c>
      <c r="L1061" t="s">
        <v>247</v>
      </c>
      <c r="M1061" t="s">
        <v>252</v>
      </c>
      <c r="N1061" s="7">
        <v>323056</v>
      </c>
      <c r="O1061" t="s">
        <v>991</v>
      </c>
      <c r="P1061" t="s">
        <v>992</v>
      </c>
      <c r="S1061" t="s">
        <v>211</v>
      </c>
      <c r="T1061" t="s">
        <v>3354</v>
      </c>
      <c r="U1061" t="s">
        <v>3355</v>
      </c>
      <c r="V1061" s="8">
        <v>0</v>
      </c>
      <c r="W1061" s="7">
        <v>589181</v>
      </c>
      <c r="X1061" t="s">
        <v>3725</v>
      </c>
      <c r="Y1061" s="8">
        <v>0</v>
      </c>
      <c r="Z1061" s="8">
        <v>0</v>
      </c>
      <c r="AA1061" s="8">
        <v>0</v>
      </c>
      <c r="AB1061" s="7">
        <v>112648</v>
      </c>
      <c r="AC1061" t="s">
        <v>3725</v>
      </c>
      <c r="AD1061" s="8">
        <v>0</v>
      </c>
      <c r="AG1061" t="s">
        <v>937</v>
      </c>
      <c r="AH1061" t="s">
        <v>802</v>
      </c>
      <c r="AI1061" t="s">
        <v>803</v>
      </c>
    </row>
    <row r="1062" spans="1:35" hidden="1">
      <c r="A1062" s="7">
        <v>1061</v>
      </c>
      <c r="B1062" t="s">
        <v>243</v>
      </c>
      <c r="C1062" t="s">
        <v>244</v>
      </c>
      <c r="D1062" s="7">
        <v>7134</v>
      </c>
      <c r="E1062" t="s">
        <v>245</v>
      </c>
      <c r="F1062" t="s">
        <v>246</v>
      </c>
      <c r="G1062" t="s">
        <v>539</v>
      </c>
      <c r="H1062" t="s">
        <v>688</v>
      </c>
      <c r="I1062" s="7">
        <v>925</v>
      </c>
      <c r="J1062" s="7">
        <v>29615</v>
      </c>
      <c r="K1062" s="7">
        <v>2</v>
      </c>
      <c r="L1062" t="s">
        <v>247</v>
      </c>
      <c r="M1062" t="s">
        <v>261</v>
      </c>
      <c r="N1062" s="7">
        <v>796086</v>
      </c>
      <c r="O1062" t="s">
        <v>1805</v>
      </c>
      <c r="P1062" t="s">
        <v>1806</v>
      </c>
      <c r="S1062" t="s">
        <v>211</v>
      </c>
      <c r="T1062" t="s">
        <v>3354</v>
      </c>
      <c r="U1062" t="s">
        <v>3355</v>
      </c>
      <c r="V1062" s="8">
        <v>1250</v>
      </c>
      <c r="W1062" s="7">
        <v>589181</v>
      </c>
      <c r="X1062" t="s">
        <v>3725</v>
      </c>
      <c r="Y1062" s="8">
        <v>1250</v>
      </c>
      <c r="Z1062" s="8">
        <v>1475</v>
      </c>
      <c r="AA1062" s="8">
        <v>225</v>
      </c>
      <c r="AB1062" s="7">
        <v>112648</v>
      </c>
      <c r="AC1062" t="s">
        <v>3725</v>
      </c>
      <c r="AD1062" s="8">
        <v>0</v>
      </c>
      <c r="AG1062" t="s">
        <v>817</v>
      </c>
      <c r="AH1062" t="s">
        <v>802</v>
      </c>
      <c r="AI1062" t="s">
        <v>818</v>
      </c>
    </row>
    <row r="1063" spans="1:35" hidden="1">
      <c r="A1063" s="7">
        <v>1062</v>
      </c>
      <c r="B1063" t="s">
        <v>243</v>
      </c>
      <c r="C1063" t="s">
        <v>244</v>
      </c>
      <c r="D1063" s="7">
        <v>7134</v>
      </c>
      <c r="E1063" t="s">
        <v>245</v>
      </c>
      <c r="F1063" t="s">
        <v>246</v>
      </c>
      <c r="G1063" t="s">
        <v>363</v>
      </c>
      <c r="H1063" t="s">
        <v>688</v>
      </c>
      <c r="I1063" s="7">
        <v>893</v>
      </c>
      <c r="J1063" s="7">
        <v>32800</v>
      </c>
      <c r="K1063" s="7">
        <v>2</v>
      </c>
      <c r="L1063" t="s">
        <v>247</v>
      </c>
      <c r="M1063" t="s">
        <v>261</v>
      </c>
      <c r="N1063" s="7">
        <v>795270</v>
      </c>
      <c r="O1063" t="s">
        <v>1811</v>
      </c>
      <c r="P1063" t="s">
        <v>1812</v>
      </c>
      <c r="Q1063" t="s">
        <v>908</v>
      </c>
      <c r="R1063" t="s">
        <v>909</v>
      </c>
      <c r="S1063" t="s">
        <v>211</v>
      </c>
      <c r="T1063" t="s">
        <v>3354</v>
      </c>
      <c r="U1063" t="s">
        <v>3355</v>
      </c>
      <c r="V1063" s="8">
        <v>1250</v>
      </c>
      <c r="W1063" s="7">
        <v>589181</v>
      </c>
      <c r="X1063" t="s">
        <v>3725</v>
      </c>
      <c r="Y1063" s="8">
        <v>1000</v>
      </c>
      <c r="Z1063" s="8">
        <v>1475</v>
      </c>
      <c r="AA1063" s="8">
        <v>225</v>
      </c>
      <c r="AB1063" s="7">
        <v>112648</v>
      </c>
      <c r="AC1063" t="s">
        <v>3725</v>
      </c>
      <c r="AD1063" s="8">
        <v>250</v>
      </c>
      <c r="AG1063" t="s">
        <v>817</v>
      </c>
      <c r="AH1063" t="s">
        <v>802</v>
      </c>
      <c r="AI1063" t="s">
        <v>818</v>
      </c>
    </row>
    <row r="1064" spans="1:35" hidden="1">
      <c r="A1064" s="7">
        <v>1063</v>
      </c>
      <c r="B1064" t="s">
        <v>243</v>
      </c>
      <c r="C1064" t="s">
        <v>244</v>
      </c>
      <c r="D1064" s="7">
        <v>7134</v>
      </c>
      <c r="E1064" t="s">
        <v>245</v>
      </c>
      <c r="F1064" t="s">
        <v>246</v>
      </c>
      <c r="G1064" t="s">
        <v>1457</v>
      </c>
      <c r="H1064" t="s">
        <v>3361</v>
      </c>
      <c r="I1064" s="7">
        <v>872</v>
      </c>
      <c r="J1064" s="7">
        <v>34540</v>
      </c>
      <c r="K1064" s="7">
        <v>2</v>
      </c>
      <c r="L1064" t="s">
        <v>247</v>
      </c>
      <c r="M1064" t="s">
        <v>261</v>
      </c>
      <c r="N1064" s="7">
        <v>796120</v>
      </c>
      <c r="O1064" t="s">
        <v>3409</v>
      </c>
      <c r="P1064" t="s">
        <v>3410</v>
      </c>
      <c r="Q1064" t="s">
        <v>908</v>
      </c>
      <c r="R1064" t="s">
        <v>909</v>
      </c>
      <c r="S1064" t="s">
        <v>211</v>
      </c>
      <c r="T1064" t="s">
        <v>3354</v>
      </c>
      <c r="U1064" t="s">
        <v>3355</v>
      </c>
      <c r="V1064" s="8">
        <v>1250</v>
      </c>
      <c r="W1064" s="7">
        <v>589181</v>
      </c>
      <c r="X1064" t="s">
        <v>3725</v>
      </c>
      <c r="Y1064" s="8">
        <v>1000</v>
      </c>
      <c r="Z1064" s="8">
        <v>1475</v>
      </c>
      <c r="AA1064" s="8">
        <v>225</v>
      </c>
      <c r="AB1064" s="7">
        <v>112648</v>
      </c>
      <c r="AC1064" t="s">
        <v>3725</v>
      </c>
      <c r="AD1064" s="8">
        <v>250</v>
      </c>
      <c r="AG1064" t="s">
        <v>817</v>
      </c>
      <c r="AH1064" t="s">
        <v>802</v>
      </c>
      <c r="AI1064" t="s">
        <v>818</v>
      </c>
    </row>
    <row r="1065" spans="1:35" hidden="1">
      <c r="A1065" s="7">
        <v>1064</v>
      </c>
      <c r="B1065" t="s">
        <v>243</v>
      </c>
      <c r="C1065" t="s">
        <v>244</v>
      </c>
      <c r="D1065" s="7">
        <v>7134</v>
      </c>
      <c r="E1065" t="s">
        <v>245</v>
      </c>
      <c r="F1065" t="s">
        <v>246</v>
      </c>
      <c r="G1065" t="s">
        <v>1280</v>
      </c>
      <c r="H1065" t="s">
        <v>3382</v>
      </c>
      <c r="I1065" s="7">
        <v>920</v>
      </c>
      <c r="J1065" s="7">
        <v>81308</v>
      </c>
      <c r="K1065" s="7">
        <v>10</v>
      </c>
      <c r="L1065" t="s">
        <v>247</v>
      </c>
      <c r="M1065" t="s">
        <v>361</v>
      </c>
      <c r="N1065" s="7">
        <v>1344</v>
      </c>
      <c r="O1065" t="s">
        <v>1281</v>
      </c>
      <c r="P1065" t="s">
        <v>1282</v>
      </c>
      <c r="S1065" t="s">
        <v>211</v>
      </c>
      <c r="T1065" t="s">
        <v>3354</v>
      </c>
      <c r="U1065" t="s">
        <v>3355</v>
      </c>
      <c r="V1065" s="8">
        <v>0</v>
      </c>
      <c r="W1065" s="7">
        <v>589181</v>
      </c>
      <c r="X1065" t="s">
        <v>3725</v>
      </c>
      <c r="Y1065" s="8">
        <v>0</v>
      </c>
      <c r="Z1065" s="8">
        <v>0</v>
      </c>
      <c r="AA1065" s="8">
        <v>0</v>
      </c>
      <c r="AB1065" s="7">
        <v>112648</v>
      </c>
      <c r="AC1065" t="s">
        <v>3725</v>
      </c>
      <c r="AD1065" s="8">
        <v>0</v>
      </c>
      <c r="AG1065" t="s">
        <v>823</v>
      </c>
      <c r="AH1065" t="s">
        <v>802</v>
      </c>
      <c r="AI1065" t="s">
        <v>803</v>
      </c>
    </row>
    <row r="1066" spans="1:35" hidden="1">
      <c r="A1066" s="7">
        <v>1065</v>
      </c>
      <c r="B1066" t="s">
        <v>243</v>
      </c>
      <c r="C1066" t="s">
        <v>244</v>
      </c>
      <c r="D1066" s="7">
        <v>7134</v>
      </c>
      <c r="E1066" t="s">
        <v>245</v>
      </c>
      <c r="F1066" t="s">
        <v>246</v>
      </c>
      <c r="G1066" t="s">
        <v>819</v>
      </c>
      <c r="H1066" t="s">
        <v>3377</v>
      </c>
      <c r="I1066" s="7">
        <v>1165</v>
      </c>
      <c r="J1066" s="7">
        <v>64138</v>
      </c>
      <c r="K1066" s="7">
        <v>9</v>
      </c>
      <c r="L1066" t="s">
        <v>247</v>
      </c>
      <c r="M1066" t="s">
        <v>261</v>
      </c>
      <c r="N1066" s="7">
        <v>764717</v>
      </c>
      <c r="O1066" t="s">
        <v>856</v>
      </c>
      <c r="P1066" t="s">
        <v>857</v>
      </c>
      <c r="S1066" t="s">
        <v>211</v>
      </c>
      <c r="T1066" t="s">
        <v>3354</v>
      </c>
      <c r="U1066" t="s">
        <v>3355</v>
      </c>
      <c r="V1066" s="8">
        <v>0</v>
      </c>
      <c r="W1066" s="7">
        <v>589181</v>
      </c>
      <c r="X1066" t="s">
        <v>3725</v>
      </c>
      <c r="Y1066" s="8">
        <v>0</v>
      </c>
      <c r="Z1066" s="8">
        <v>0</v>
      </c>
      <c r="AA1066" s="8">
        <v>0</v>
      </c>
      <c r="AB1066" s="7">
        <v>112648</v>
      </c>
      <c r="AC1066" t="s">
        <v>3725</v>
      </c>
      <c r="AD1066" s="8">
        <v>0</v>
      </c>
      <c r="AG1066" t="s">
        <v>801</v>
      </c>
      <c r="AH1066" t="s">
        <v>802</v>
      </c>
      <c r="AI1066" t="s">
        <v>803</v>
      </c>
    </row>
    <row r="1067" spans="1:35" hidden="1">
      <c r="A1067" s="7">
        <v>1066</v>
      </c>
      <c r="B1067" t="s">
        <v>243</v>
      </c>
      <c r="C1067" t="s">
        <v>244</v>
      </c>
      <c r="D1067" s="7">
        <v>7134</v>
      </c>
      <c r="E1067" t="s">
        <v>245</v>
      </c>
      <c r="F1067" t="s">
        <v>246</v>
      </c>
      <c r="G1067" t="s">
        <v>1085</v>
      </c>
      <c r="H1067" t="s">
        <v>2082</v>
      </c>
      <c r="I1067" s="7">
        <v>1165</v>
      </c>
      <c r="J1067" s="7">
        <v>29870</v>
      </c>
      <c r="K1067" s="7">
        <v>4</v>
      </c>
      <c r="L1067" t="s">
        <v>247</v>
      </c>
      <c r="M1067" t="s">
        <v>361</v>
      </c>
      <c r="N1067" s="7">
        <v>5352</v>
      </c>
      <c r="O1067" t="s">
        <v>1229</v>
      </c>
      <c r="P1067" t="s">
        <v>1230</v>
      </c>
      <c r="S1067" t="s">
        <v>211</v>
      </c>
      <c r="T1067" t="s">
        <v>3354</v>
      </c>
      <c r="U1067" t="s">
        <v>3355</v>
      </c>
      <c r="V1067" s="8">
        <v>0</v>
      </c>
      <c r="W1067" s="7">
        <v>589181</v>
      </c>
      <c r="X1067" t="s">
        <v>3725</v>
      </c>
      <c r="Y1067" s="8">
        <v>0</v>
      </c>
      <c r="Z1067" s="8">
        <v>0</v>
      </c>
      <c r="AA1067" s="8">
        <v>0</v>
      </c>
      <c r="AB1067" s="7">
        <v>112648</v>
      </c>
      <c r="AC1067" t="s">
        <v>3725</v>
      </c>
      <c r="AD1067" s="8">
        <v>0</v>
      </c>
      <c r="AG1067" t="s">
        <v>823</v>
      </c>
      <c r="AH1067" t="s">
        <v>802</v>
      </c>
      <c r="AI1067" t="s">
        <v>803</v>
      </c>
    </row>
    <row r="1068" spans="1:35" hidden="1">
      <c r="A1068" s="7">
        <v>1067</v>
      </c>
      <c r="B1068" t="s">
        <v>243</v>
      </c>
      <c r="C1068" t="s">
        <v>244</v>
      </c>
      <c r="D1068" s="7">
        <v>7134</v>
      </c>
      <c r="E1068" t="s">
        <v>245</v>
      </c>
      <c r="F1068" t="s">
        <v>246</v>
      </c>
      <c r="G1068" t="s">
        <v>689</v>
      </c>
      <c r="H1068" t="s">
        <v>3382</v>
      </c>
      <c r="I1068" s="7">
        <v>1165</v>
      </c>
      <c r="J1068" s="7">
        <v>9589</v>
      </c>
      <c r="K1068" s="7">
        <v>1</v>
      </c>
      <c r="L1068" t="s">
        <v>247</v>
      </c>
      <c r="M1068" t="s">
        <v>261</v>
      </c>
      <c r="N1068" s="7">
        <v>802650</v>
      </c>
      <c r="O1068" t="s">
        <v>716</v>
      </c>
      <c r="P1068" t="s">
        <v>717</v>
      </c>
      <c r="S1068" t="s">
        <v>211</v>
      </c>
      <c r="T1068" t="s">
        <v>3354</v>
      </c>
      <c r="U1068" t="s">
        <v>3355</v>
      </c>
      <c r="V1068" s="8">
        <v>1250</v>
      </c>
      <c r="W1068" s="7">
        <v>589181</v>
      </c>
      <c r="X1068" t="s">
        <v>3725</v>
      </c>
      <c r="Y1068" s="8">
        <v>1250</v>
      </c>
      <c r="Z1068" s="8">
        <v>1475</v>
      </c>
      <c r="AA1068" s="8">
        <v>225</v>
      </c>
      <c r="AB1068" s="7">
        <v>112648</v>
      </c>
      <c r="AC1068" t="s">
        <v>3725</v>
      </c>
      <c r="AD1068" s="8">
        <v>0</v>
      </c>
      <c r="AG1068" t="s">
        <v>801</v>
      </c>
      <c r="AH1068" t="s">
        <v>802</v>
      </c>
      <c r="AI1068" t="s">
        <v>818</v>
      </c>
    </row>
    <row r="1069" spans="1:35" hidden="1">
      <c r="A1069" s="7">
        <v>1068</v>
      </c>
      <c r="B1069" t="s">
        <v>243</v>
      </c>
      <c r="C1069" t="s">
        <v>244</v>
      </c>
      <c r="D1069" s="7">
        <v>7134</v>
      </c>
      <c r="E1069" t="s">
        <v>245</v>
      </c>
      <c r="F1069" t="s">
        <v>246</v>
      </c>
      <c r="G1069" t="s">
        <v>1293</v>
      </c>
      <c r="H1069" t="s">
        <v>3357</v>
      </c>
      <c r="I1069" s="7">
        <v>1165</v>
      </c>
      <c r="J1069" s="7">
        <v>91137</v>
      </c>
      <c r="K1069" s="7">
        <v>13</v>
      </c>
      <c r="L1069" t="s">
        <v>247</v>
      </c>
      <c r="M1069" t="s">
        <v>261</v>
      </c>
      <c r="N1069" s="7">
        <v>750149</v>
      </c>
      <c r="O1069" t="s">
        <v>3358</v>
      </c>
      <c r="P1069" t="s">
        <v>3359</v>
      </c>
      <c r="S1069" t="s">
        <v>211</v>
      </c>
      <c r="T1069" t="s">
        <v>3354</v>
      </c>
      <c r="U1069" t="s">
        <v>3355</v>
      </c>
      <c r="V1069" s="8">
        <v>0</v>
      </c>
      <c r="W1069" s="7">
        <v>589181</v>
      </c>
      <c r="X1069" t="s">
        <v>3725</v>
      </c>
      <c r="Y1069" s="8">
        <v>0</v>
      </c>
      <c r="Z1069" s="8">
        <v>0</v>
      </c>
      <c r="AA1069" s="8">
        <v>0</v>
      </c>
      <c r="AB1069" s="7">
        <v>112648</v>
      </c>
      <c r="AC1069" t="s">
        <v>3725</v>
      </c>
      <c r="AD1069" s="8">
        <v>0</v>
      </c>
      <c r="AG1069" t="s">
        <v>801</v>
      </c>
      <c r="AH1069" t="s">
        <v>802</v>
      </c>
      <c r="AI1069" t="s">
        <v>803</v>
      </c>
    </row>
    <row r="1070" spans="1:35" hidden="1">
      <c r="A1070" s="7">
        <v>1069</v>
      </c>
      <c r="B1070" t="s">
        <v>243</v>
      </c>
      <c r="C1070" t="s">
        <v>244</v>
      </c>
      <c r="D1070" s="7">
        <v>7134</v>
      </c>
      <c r="E1070" t="s">
        <v>245</v>
      </c>
      <c r="F1070" t="s">
        <v>246</v>
      </c>
      <c r="G1070" t="s">
        <v>3414</v>
      </c>
      <c r="H1070" t="s">
        <v>3361</v>
      </c>
      <c r="I1070" s="7">
        <v>1165</v>
      </c>
      <c r="J1070" s="7">
        <v>57744</v>
      </c>
      <c r="K1070" s="7">
        <v>13</v>
      </c>
      <c r="L1070" t="s">
        <v>247</v>
      </c>
      <c r="M1070" t="s">
        <v>252</v>
      </c>
      <c r="N1070" s="7">
        <v>317884</v>
      </c>
      <c r="O1070" t="s">
        <v>3415</v>
      </c>
      <c r="P1070" t="s">
        <v>3416</v>
      </c>
      <c r="S1070" t="s">
        <v>211</v>
      </c>
      <c r="T1070" t="s">
        <v>3354</v>
      </c>
      <c r="U1070" t="s">
        <v>3355</v>
      </c>
      <c r="V1070" s="8">
        <v>0</v>
      </c>
      <c r="W1070" s="7">
        <v>589181</v>
      </c>
      <c r="X1070" t="s">
        <v>3725</v>
      </c>
      <c r="Y1070" s="8">
        <v>0</v>
      </c>
      <c r="Z1070" s="8">
        <v>0</v>
      </c>
      <c r="AA1070" s="8">
        <v>0</v>
      </c>
      <c r="AB1070" s="7">
        <v>112648</v>
      </c>
      <c r="AC1070" t="s">
        <v>3725</v>
      </c>
      <c r="AD1070" s="8">
        <v>0</v>
      </c>
      <c r="AG1070" t="s">
        <v>937</v>
      </c>
      <c r="AH1070" t="s">
        <v>802</v>
      </c>
      <c r="AI1070" t="s">
        <v>803</v>
      </c>
    </row>
    <row r="1071" spans="1:35" hidden="1">
      <c r="A1071" s="7">
        <v>1070</v>
      </c>
      <c r="B1071" t="s">
        <v>243</v>
      </c>
      <c r="C1071" t="s">
        <v>244</v>
      </c>
      <c r="D1071" s="7">
        <v>7134</v>
      </c>
      <c r="E1071" t="s">
        <v>245</v>
      </c>
      <c r="F1071" t="s">
        <v>246</v>
      </c>
      <c r="G1071" t="s">
        <v>885</v>
      </c>
      <c r="H1071" t="s">
        <v>3354</v>
      </c>
      <c r="I1071" s="7">
        <v>1165</v>
      </c>
      <c r="J1071" s="7">
        <v>26261</v>
      </c>
      <c r="K1071" s="7">
        <v>3</v>
      </c>
      <c r="L1071" t="s">
        <v>247</v>
      </c>
      <c r="M1071" t="s">
        <v>261</v>
      </c>
      <c r="N1071" s="7">
        <v>790132</v>
      </c>
      <c r="O1071" t="s">
        <v>1760</v>
      </c>
      <c r="P1071" t="s">
        <v>1761</v>
      </c>
      <c r="S1071" t="s">
        <v>211</v>
      </c>
      <c r="T1071" t="s">
        <v>3354</v>
      </c>
      <c r="U1071" t="s">
        <v>3355</v>
      </c>
      <c r="V1071" s="8">
        <v>1250</v>
      </c>
      <c r="W1071" s="7">
        <v>589181</v>
      </c>
      <c r="X1071" t="s">
        <v>3725</v>
      </c>
      <c r="Y1071" s="8">
        <v>1250</v>
      </c>
      <c r="Z1071" s="8">
        <v>1475</v>
      </c>
      <c r="AA1071" s="8">
        <v>225</v>
      </c>
      <c r="AB1071" s="7">
        <v>112648</v>
      </c>
      <c r="AC1071" t="s">
        <v>3725</v>
      </c>
      <c r="AD1071" s="8">
        <v>0</v>
      </c>
      <c r="AG1071" t="s">
        <v>801</v>
      </c>
      <c r="AH1071" t="s">
        <v>802</v>
      </c>
      <c r="AI1071" t="s">
        <v>818</v>
      </c>
    </row>
    <row r="1072" spans="1:35" hidden="1">
      <c r="A1072" s="7">
        <v>1071</v>
      </c>
      <c r="B1072" t="s">
        <v>243</v>
      </c>
      <c r="C1072" t="s">
        <v>244</v>
      </c>
      <c r="D1072" s="7">
        <v>7134</v>
      </c>
      <c r="E1072" t="s">
        <v>245</v>
      </c>
      <c r="F1072" t="s">
        <v>246</v>
      </c>
      <c r="G1072" t="s">
        <v>543</v>
      </c>
      <c r="H1072" t="s">
        <v>3369</v>
      </c>
      <c r="I1072" s="7">
        <v>1165</v>
      </c>
      <c r="J1072" s="7">
        <v>6087</v>
      </c>
      <c r="K1072" s="7">
        <v>1</v>
      </c>
      <c r="L1072" t="s">
        <v>247</v>
      </c>
      <c r="M1072" t="s">
        <v>261</v>
      </c>
      <c r="N1072" s="7">
        <v>798272</v>
      </c>
      <c r="O1072" t="s">
        <v>569</v>
      </c>
      <c r="P1072" t="s">
        <v>570</v>
      </c>
      <c r="S1072" t="s">
        <v>211</v>
      </c>
      <c r="T1072" t="s">
        <v>3354</v>
      </c>
      <c r="U1072" t="s">
        <v>3355</v>
      </c>
      <c r="V1072" s="8">
        <v>1250</v>
      </c>
      <c r="W1072" s="7">
        <v>589181</v>
      </c>
      <c r="X1072" t="s">
        <v>3725</v>
      </c>
      <c r="Y1072" s="8">
        <v>1250</v>
      </c>
      <c r="Z1072" s="8">
        <v>1475</v>
      </c>
      <c r="AA1072" s="8">
        <v>225</v>
      </c>
      <c r="AB1072" s="7">
        <v>112648</v>
      </c>
      <c r="AC1072" t="s">
        <v>3725</v>
      </c>
      <c r="AD1072" s="8">
        <v>0</v>
      </c>
      <c r="AG1072" t="s">
        <v>817</v>
      </c>
      <c r="AH1072" t="s">
        <v>802</v>
      </c>
      <c r="AI1072" t="s">
        <v>818</v>
      </c>
    </row>
    <row r="1073" spans="1:35" hidden="1">
      <c r="A1073" s="7">
        <v>1072</v>
      </c>
      <c r="B1073" t="s">
        <v>243</v>
      </c>
      <c r="C1073" t="s">
        <v>244</v>
      </c>
      <c r="D1073" s="7">
        <v>7134</v>
      </c>
      <c r="E1073" t="s">
        <v>245</v>
      </c>
      <c r="F1073" t="s">
        <v>246</v>
      </c>
      <c r="G1073" t="s">
        <v>1457</v>
      </c>
      <c r="H1073" t="s">
        <v>3361</v>
      </c>
      <c r="I1073" s="7">
        <v>875</v>
      </c>
      <c r="J1073" s="7">
        <v>32540</v>
      </c>
      <c r="K1073" s="7">
        <v>2</v>
      </c>
      <c r="L1073" t="s">
        <v>247</v>
      </c>
      <c r="M1073" t="s">
        <v>261</v>
      </c>
      <c r="N1073" s="7">
        <v>796499</v>
      </c>
      <c r="O1073" t="s">
        <v>3393</v>
      </c>
      <c r="P1073" t="s">
        <v>3394</v>
      </c>
      <c r="Q1073" t="s">
        <v>1917</v>
      </c>
      <c r="R1073" t="s">
        <v>1918</v>
      </c>
      <c r="S1073" t="s">
        <v>211</v>
      </c>
      <c r="T1073" t="s">
        <v>3354</v>
      </c>
      <c r="U1073" t="s">
        <v>3355</v>
      </c>
      <c r="V1073" s="8">
        <v>1250</v>
      </c>
      <c r="W1073" s="7">
        <v>589181</v>
      </c>
      <c r="X1073" t="s">
        <v>3725</v>
      </c>
      <c r="Y1073" s="8">
        <v>0</v>
      </c>
      <c r="Z1073" s="8">
        <v>1475</v>
      </c>
      <c r="AA1073" s="8">
        <v>225</v>
      </c>
      <c r="AB1073" s="7">
        <v>112648</v>
      </c>
      <c r="AC1073" t="s">
        <v>3725</v>
      </c>
      <c r="AD1073" s="8">
        <v>1250</v>
      </c>
      <c r="AG1073" t="s">
        <v>817</v>
      </c>
      <c r="AH1073" t="s">
        <v>802</v>
      </c>
      <c r="AI1073" t="s">
        <v>818</v>
      </c>
    </row>
    <row r="1074" spans="1:35" hidden="1">
      <c r="A1074" s="7">
        <v>1073</v>
      </c>
      <c r="B1074" t="s">
        <v>243</v>
      </c>
      <c r="C1074" t="s">
        <v>244</v>
      </c>
      <c r="D1074" s="7">
        <v>7134</v>
      </c>
      <c r="E1074" t="s">
        <v>245</v>
      </c>
      <c r="F1074" t="s">
        <v>246</v>
      </c>
      <c r="G1074" t="s">
        <v>1011</v>
      </c>
      <c r="H1074" t="s">
        <v>2853</v>
      </c>
      <c r="I1074" s="7">
        <v>1165</v>
      </c>
      <c r="J1074" s="7">
        <v>70000</v>
      </c>
      <c r="K1074" s="7">
        <v>7</v>
      </c>
      <c r="L1074" t="s">
        <v>247</v>
      </c>
      <c r="M1074" t="s">
        <v>261</v>
      </c>
      <c r="N1074" s="7">
        <v>773865</v>
      </c>
      <c r="O1074" t="s">
        <v>1012</v>
      </c>
      <c r="P1074" t="s">
        <v>1013</v>
      </c>
      <c r="S1074" t="s">
        <v>211</v>
      </c>
      <c r="T1074" t="s">
        <v>3354</v>
      </c>
      <c r="U1074" t="s">
        <v>3355</v>
      </c>
      <c r="V1074" s="8">
        <v>0</v>
      </c>
      <c r="W1074" s="7">
        <v>589181</v>
      </c>
      <c r="X1074" t="s">
        <v>3725</v>
      </c>
      <c r="Y1074" s="8">
        <v>0</v>
      </c>
      <c r="Z1074" s="8">
        <v>0</v>
      </c>
      <c r="AA1074" s="8">
        <v>0</v>
      </c>
      <c r="AB1074" s="7">
        <v>112648</v>
      </c>
      <c r="AC1074" t="s">
        <v>3725</v>
      </c>
      <c r="AD1074" s="8">
        <v>0</v>
      </c>
      <c r="AG1074" t="s">
        <v>801</v>
      </c>
      <c r="AH1074" t="s">
        <v>802</v>
      </c>
      <c r="AI1074" t="s">
        <v>803</v>
      </c>
    </row>
    <row r="1075" spans="1:35" hidden="1">
      <c r="A1075" s="7">
        <v>1074</v>
      </c>
      <c r="B1075" t="s">
        <v>243</v>
      </c>
      <c r="C1075" t="s">
        <v>244</v>
      </c>
      <c r="D1075" s="7">
        <v>7134</v>
      </c>
      <c r="E1075" t="s">
        <v>245</v>
      </c>
      <c r="F1075" t="s">
        <v>246</v>
      </c>
      <c r="G1075" t="s">
        <v>263</v>
      </c>
      <c r="H1075" t="s">
        <v>3360</v>
      </c>
      <c r="I1075" s="7">
        <v>870</v>
      </c>
      <c r="J1075" s="7">
        <v>30000</v>
      </c>
      <c r="K1075" s="7">
        <v>2</v>
      </c>
      <c r="L1075" t="s">
        <v>247</v>
      </c>
      <c r="M1075" t="s">
        <v>261</v>
      </c>
      <c r="N1075" s="7">
        <v>797774</v>
      </c>
      <c r="O1075" t="s">
        <v>1941</v>
      </c>
      <c r="P1075" t="s">
        <v>1942</v>
      </c>
      <c r="S1075" t="s">
        <v>211</v>
      </c>
      <c r="T1075" t="s">
        <v>3354</v>
      </c>
      <c r="U1075" t="s">
        <v>3355</v>
      </c>
      <c r="V1075" s="8">
        <v>1250</v>
      </c>
      <c r="W1075" s="7">
        <v>589181</v>
      </c>
      <c r="X1075" t="s">
        <v>3725</v>
      </c>
      <c r="Y1075" s="8">
        <v>1250</v>
      </c>
      <c r="Z1075" s="8">
        <v>1475</v>
      </c>
      <c r="AA1075" s="8">
        <v>225</v>
      </c>
      <c r="AB1075" s="7">
        <v>112648</v>
      </c>
      <c r="AC1075" t="s">
        <v>3725</v>
      </c>
      <c r="AD1075" s="8">
        <v>0</v>
      </c>
      <c r="AG1075" t="s">
        <v>817</v>
      </c>
      <c r="AH1075" t="s">
        <v>802</v>
      </c>
      <c r="AI1075" t="s">
        <v>818</v>
      </c>
    </row>
    <row r="1076" spans="1:35" hidden="1">
      <c r="A1076" s="7">
        <v>1075</v>
      </c>
      <c r="B1076" t="s">
        <v>243</v>
      </c>
      <c r="C1076" t="s">
        <v>244</v>
      </c>
      <c r="D1076" s="7">
        <v>7134</v>
      </c>
      <c r="E1076" t="s">
        <v>245</v>
      </c>
      <c r="F1076" t="s">
        <v>246</v>
      </c>
      <c r="G1076" t="s">
        <v>1113</v>
      </c>
      <c r="H1076" t="s">
        <v>3383</v>
      </c>
      <c r="I1076" s="7">
        <v>1165</v>
      </c>
      <c r="J1076" s="7">
        <v>69500</v>
      </c>
      <c r="K1076" s="7">
        <v>7</v>
      </c>
      <c r="L1076" t="s">
        <v>247</v>
      </c>
      <c r="M1076" t="s">
        <v>261</v>
      </c>
      <c r="N1076" s="7">
        <v>775223</v>
      </c>
      <c r="O1076" t="s">
        <v>1114</v>
      </c>
      <c r="P1076" t="s">
        <v>1115</v>
      </c>
      <c r="S1076" t="s">
        <v>211</v>
      </c>
      <c r="T1076" t="s">
        <v>3354</v>
      </c>
      <c r="U1076" t="s">
        <v>3355</v>
      </c>
      <c r="V1076" s="8">
        <v>0</v>
      </c>
      <c r="W1076" s="7">
        <v>589181</v>
      </c>
      <c r="X1076" t="s">
        <v>3725</v>
      </c>
      <c r="Y1076" s="8">
        <v>0</v>
      </c>
      <c r="Z1076" s="8">
        <v>0</v>
      </c>
      <c r="AA1076" s="8">
        <v>0</v>
      </c>
      <c r="AB1076" s="7">
        <v>112648</v>
      </c>
      <c r="AC1076" t="s">
        <v>3725</v>
      </c>
      <c r="AD1076" s="8">
        <v>0</v>
      </c>
      <c r="AG1076" t="s">
        <v>801</v>
      </c>
      <c r="AH1076" t="s">
        <v>802</v>
      </c>
      <c r="AI1076" t="s">
        <v>803</v>
      </c>
    </row>
    <row r="1077" spans="1:35" hidden="1">
      <c r="A1077" s="7">
        <v>1076</v>
      </c>
      <c r="B1077" t="s">
        <v>243</v>
      </c>
      <c r="C1077" t="s">
        <v>244</v>
      </c>
      <c r="D1077" s="7">
        <v>7134</v>
      </c>
      <c r="E1077" t="s">
        <v>245</v>
      </c>
      <c r="F1077" t="s">
        <v>246</v>
      </c>
      <c r="G1077" t="s">
        <v>273</v>
      </c>
      <c r="H1077" t="s">
        <v>3372</v>
      </c>
      <c r="I1077" s="7">
        <v>1165</v>
      </c>
      <c r="J1077" s="7">
        <v>5729</v>
      </c>
      <c r="K1077" s="7">
        <v>2</v>
      </c>
      <c r="L1077" t="s">
        <v>247</v>
      </c>
      <c r="M1077" t="s">
        <v>252</v>
      </c>
      <c r="N1077" s="7">
        <v>327606</v>
      </c>
      <c r="O1077" t="s">
        <v>299</v>
      </c>
      <c r="P1077" t="s">
        <v>300</v>
      </c>
      <c r="S1077" t="s">
        <v>211</v>
      </c>
      <c r="T1077" t="s">
        <v>3354</v>
      </c>
      <c r="U1077" t="s">
        <v>3355</v>
      </c>
      <c r="V1077" s="8">
        <v>0</v>
      </c>
      <c r="W1077" s="7">
        <v>589181</v>
      </c>
      <c r="X1077" t="s">
        <v>3725</v>
      </c>
      <c r="Y1077" s="8">
        <v>0</v>
      </c>
      <c r="Z1077" s="8">
        <v>0</v>
      </c>
      <c r="AA1077" s="8">
        <v>0</v>
      </c>
      <c r="AB1077" s="7">
        <v>112648</v>
      </c>
      <c r="AC1077" t="s">
        <v>3725</v>
      </c>
      <c r="AD1077" s="8">
        <v>0</v>
      </c>
      <c r="AG1077" t="s">
        <v>937</v>
      </c>
      <c r="AH1077" t="s">
        <v>802</v>
      </c>
      <c r="AI1077" t="s">
        <v>803</v>
      </c>
    </row>
    <row r="1078" spans="1:35" hidden="1">
      <c r="A1078" s="7">
        <v>1077</v>
      </c>
      <c r="B1078" t="s">
        <v>243</v>
      </c>
      <c r="C1078" t="s">
        <v>244</v>
      </c>
      <c r="D1078" s="7">
        <v>7134</v>
      </c>
      <c r="E1078" t="s">
        <v>245</v>
      </c>
      <c r="F1078" t="s">
        <v>246</v>
      </c>
      <c r="G1078" t="s">
        <v>1024</v>
      </c>
      <c r="H1078" t="s">
        <v>418</v>
      </c>
      <c r="I1078" s="7">
        <v>979</v>
      </c>
      <c r="J1078" s="7">
        <v>41767</v>
      </c>
      <c r="K1078" s="7">
        <v>3</v>
      </c>
      <c r="L1078" t="s">
        <v>247</v>
      </c>
      <c r="M1078" t="s">
        <v>261</v>
      </c>
      <c r="N1078" s="7">
        <v>782153</v>
      </c>
      <c r="O1078" t="s">
        <v>1888</v>
      </c>
      <c r="P1078" t="s">
        <v>1889</v>
      </c>
      <c r="S1078" t="s">
        <v>211</v>
      </c>
      <c r="T1078" t="s">
        <v>3354</v>
      </c>
      <c r="U1078" t="s">
        <v>3355</v>
      </c>
      <c r="V1078" s="8">
        <v>1250</v>
      </c>
      <c r="W1078" s="7">
        <v>589181</v>
      </c>
      <c r="X1078" t="s">
        <v>3725</v>
      </c>
      <c r="Y1078" s="8">
        <v>1250</v>
      </c>
      <c r="Z1078" s="8">
        <v>1475</v>
      </c>
      <c r="AA1078" s="8">
        <v>225</v>
      </c>
      <c r="AB1078" s="7">
        <v>112648</v>
      </c>
      <c r="AC1078" t="s">
        <v>3725</v>
      </c>
      <c r="AD1078" s="8">
        <v>0</v>
      </c>
      <c r="AG1078" t="s">
        <v>801</v>
      </c>
      <c r="AH1078" t="s">
        <v>802</v>
      </c>
      <c r="AI1078" t="s">
        <v>818</v>
      </c>
    </row>
    <row r="1079" spans="1:35" hidden="1">
      <c r="A1079" s="7">
        <v>1078</v>
      </c>
      <c r="B1079" t="s">
        <v>243</v>
      </c>
      <c r="C1079" t="s">
        <v>244</v>
      </c>
      <c r="D1079" s="7">
        <v>7134</v>
      </c>
      <c r="E1079" t="s">
        <v>245</v>
      </c>
      <c r="F1079" t="s">
        <v>246</v>
      </c>
      <c r="G1079" t="s">
        <v>885</v>
      </c>
      <c r="H1079" t="s">
        <v>3361</v>
      </c>
      <c r="I1079" s="7">
        <v>869</v>
      </c>
      <c r="J1079" s="7">
        <v>32013</v>
      </c>
      <c r="K1079" s="7">
        <v>2</v>
      </c>
      <c r="L1079" t="s">
        <v>247</v>
      </c>
      <c r="M1079" t="s">
        <v>261</v>
      </c>
      <c r="N1079" s="7">
        <v>796369</v>
      </c>
      <c r="O1079" t="s">
        <v>3362</v>
      </c>
      <c r="P1079" t="s">
        <v>3363</v>
      </c>
      <c r="Q1079" t="s">
        <v>908</v>
      </c>
      <c r="R1079" t="s">
        <v>909</v>
      </c>
      <c r="S1079" t="s">
        <v>211</v>
      </c>
      <c r="T1079" t="s">
        <v>3354</v>
      </c>
      <c r="U1079" t="s">
        <v>3355</v>
      </c>
      <c r="V1079" s="8">
        <v>1250</v>
      </c>
      <c r="W1079" s="7">
        <v>589181</v>
      </c>
      <c r="X1079" t="s">
        <v>3725</v>
      </c>
      <c r="Y1079" s="8">
        <v>1000</v>
      </c>
      <c r="Z1079" s="8">
        <v>1475</v>
      </c>
      <c r="AA1079" s="8">
        <v>225</v>
      </c>
      <c r="AB1079" s="7">
        <v>112648</v>
      </c>
      <c r="AC1079" t="s">
        <v>3725</v>
      </c>
      <c r="AD1079" s="8">
        <v>250</v>
      </c>
      <c r="AG1079" t="s">
        <v>817</v>
      </c>
      <c r="AH1079" t="s">
        <v>802</v>
      </c>
      <c r="AI1079" t="s">
        <v>818</v>
      </c>
    </row>
    <row r="1080" spans="1:35" hidden="1">
      <c r="A1080" s="7">
        <v>1079</v>
      </c>
      <c r="B1080" t="s">
        <v>243</v>
      </c>
      <c r="C1080" t="s">
        <v>244</v>
      </c>
      <c r="D1080" s="7">
        <v>7134</v>
      </c>
      <c r="E1080" t="s">
        <v>245</v>
      </c>
      <c r="F1080" t="s">
        <v>246</v>
      </c>
      <c r="G1080" t="s">
        <v>722</v>
      </c>
      <c r="H1080" t="s">
        <v>418</v>
      </c>
      <c r="I1080" s="7">
        <v>1175</v>
      </c>
      <c r="J1080" s="7">
        <v>5700</v>
      </c>
      <c r="K1080" s="7">
        <v>1</v>
      </c>
      <c r="L1080" t="s">
        <v>247</v>
      </c>
      <c r="M1080" t="s">
        <v>261</v>
      </c>
      <c r="N1080" s="7">
        <v>802984</v>
      </c>
      <c r="O1080" t="s">
        <v>724</v>
      </c>
      <c r="P1080" t="s">
        <v>725</v>
      </c>
      <c r="Q1080" t="s">
        <v>283</v>
      </c>
      <c r="R1080" t="s">
        <v>1062</v>
      </c>
      <c r="S1080" t="s">
        <v>211</v>
      </c>
      <c r="T1080" t="s">
        <v>3354</v>
      </c>
      <c r="U1080" t="s">
        <v>3355</v>
      </c>
      <c r="V1080" s="8">
        <v>1250</v>
      </c>
      <c r="W1080" s="7">
        <v>589181</v>
      </c>
      <c r="X1080" t="s">
        <v>3725</v>
      </c>
      <c r="Y1080" s="8">
        <v>0</v>
      </c>
      <c r="Z1080" s="8">
        <v>1475</v>
      </c>
      <c r="AA1080" s="8">
        <v>225</v>
      </c>
      <c r="AB1080" s="7">
        <v>112648</v>
      </c>
      <c r="AC1080" t="s">
        <v>3725</v>
      </c>
      <c r="AD1080" s="8">
        <v>1250</v>
      </c>
      <c r="AG1080" t="s">
        <v>801</v>
      </c>
      <c r="AH1080" t="s">
        <v>802</v>
      </c>
      <c r="AI1080" t="s">
        <v>818</v>
      </c>
    </row>
    <row r="1081" spans="1:35" hidden="1">
      <c r="A1081" s="7">
        <v>1080</v>
      </c>
      <c r="B1081" t="s">
        <v>243</v>
      </c>
      <c r="C1081" t="s">
        <v>244</v>
      </c>
      <c r="D1081" s="7">
        <v>7134</v>
      </c>
      <c r="E1081" t="s">
        <v>245</v>
      </c>
      <c r="F1081" t="s">
        <v>246</v>
      </c>
      <c r="G1081" t="s">
        <v>846</v>
      </c>
      <c r="H1081" t="s">
        <v>3369</v>
      </c>
      <c r="I1081" s="7">
        <v>1165</v>
      </c>
      <c r="J1081" s="7">
        <v>7483</v>
      </c>
      <c r="K1081" s="7">
        <v>2</v>
      </c>
      <c r="L1081" t="s">
        <v>247</v>
      </c>
      <c r="M1081" t="s">
        <v>261</v>
      </c>
      <c r="N1081" s="7">
        <v>798560</v>
      </c>
      <c r="O1081" t="s">
        <v>2102</v>
      </c>
      <c r="P1081" t="s">
        <v>2103</v>
      </c>
      <c r="S1081" t="s">
        <v>211</v>
      </c>
      <c r="T1081" t="s">
        <v>3354</v>
      </c>
      <c r="U1081" t="s">
        <v>3355</v>
      </c>
      <c r="V1081" s="8">
        <v>1250</v>
      </c>
      <c r="W1081" s="7">
        <v>589181</v>
      </c>
      <c r="X1081" t="s">
        <v>3725</v>
      </c>
      <c r="Y1081" s="8">
        <v>1250</v>
      </c>
      <c r="Z1081" s="8">
        <v>1475</v>
      </c>
      <c r="AA1081" s="8">
        <v>225</v>
      </c>
      <c r="AB1081" s="7">
        <v>112648</v>
      </c>
      <c r="AC1081" t="s">
        <v>3725</v>
      </c>
      <c r="AD1081" s="8">
        <v>0</v>
      </c>
      <c r="AG1081" t="s">
        <v>817</v>
      </c>
      <c r="AH1081" t="s">
        <v>802</v>
      </c>
      <c r="AI1081" t="s">
        <v>818</v>
      </c>
    </row>
    <row r="1082" spans="1:35" hidden="1">
      <c r="A1082" s="7">
        <v>1081</v>
      </c>
      <c r="B1082" t="s">
        <v>243</v>
      </c>
      <c r="C1082" t="s">
        <v>244</v>
      </c>
      <c r="D1082" s="7">
        <v>7134</v>
      </c>
      <c r="E1082" t="s">
        <v>245</v>
      </c>
      <c r="F1082" t="s">
        <v>246</v>
      </c>
      <c r="G1082" t="s">
        <v>263</v>
      </c>
      <c r="H1082" t="s">
        <v>3366</v>
      </c>
      <c r="I1082" s="7">
        <v>875</v>
      </c>
      <c r="J1082" s="7">
        <v>29486</v>
      </c>
      <c r="K1082" s="7">
        <v>2</v>
      </c>
      <c r="L1082" t="s">
        <v>247</v>
      </c>
      <c r="M1082" t="s">
        <v>261</v>
      </c>
      <c r="N1082" s="7">
        <v>796599</v>
      </c>
      <c r="O1082" t="s">
        <v>1900</v>
      </c>
      <c r="P1082" t="s">
        <v>1901</v>
      </c>
      <c r="S1082" t="s">
        <v>211</v>
      </c>
      <c r="T1082" t="s">
        <v>3354</v>
      </c>
      <c r="U1082" t="s">
        <v>3355</v>
      </c>
      <c r="V1082" s="8">
        <v>1250</v>
      </c>
      <c r="W1082" s="7">
        <v>589181</v>
      </c>
      <c r="X1082" t="s">
        <v>3725</v>
      </c>
      <c r="Y1082" s="8">
        <v>1250</v>
      </c>
      <c r="Z1082" s="8">
        <v>1475</v>
      </c>
      <c r="AA1082" s="8">
        <v>225</v>
      </c>
      <c r="AB1082" s="7">
        <v>112648</v>
      </c>
      <c r="AC1082" t="s">
        <v>3725</v>
      </c>
      <c r="AD1082" s="8">
        <v>0</v>
      </c>
      <c r="AG1082" t="s">
        <v>817</v>
      </c>
      <c r="AH1082" t="s">
        <v>802</v>
      </c>
      <c r="AI1082" t="s">
        <v>818</v>
      </c>
    </row>
    <row r="1083" spans="1:35" hidden="1">
      <c r="A1083" s="7">
        <v>1082</v>
      </c>
      <c r="B1083" t="s">
        <v>243</v>
      </c>
      <c r="C1083" t="s">
        <v>244</v>
      </c>
      <c r="D1083" s="7">
        <v>7134</v>
      </c>
      <c r="E1083" t="s">
        <v>245</v>
      </c>
      <c r="F1083" t="s">
        <v>246</v>
      </c>
      <c r="G1083" t="s">
        <v>419</v>
      </c>
      <c r="H1083" t="s">
        <v>3395</v>
      </c>
      <c r="I1083" s="7">
        <v>1165</v>
      </c>
      <c r="J1083" s="7">
        <v>25788</v>
      </c>
      <c r="K1083" s="7">
        <v>3</v>
      </c>
      <c r="L1083" t="s">
        <v>247</v>
      </c>
      <c r="M1083" t="s">
        <v>261</v>
      </c>
      <c r="N1083" s="7">
        <v>785025</v>
      </c>
      <c r="O1083" t="s">
        <v>421</v>
      </c>
      <c r="P1083" t="s">
        <v>422</v>
      </c>
      <c r="S1083" t="s">
        <v>211</v>
      </c>
      <c r="T1083" t="s">
        <v>3354</v>
      </c>
      <c r="U1083" t="s">
        <v>3355</v>
      </c>
      <c r="V1083" s="8">
        <v>1250</v>
      </c>
      <c r="W1083" s="7">
        <v>589181</v>
      </c>
      <c r="X1083" t="s">
        <v>3725</v>
      </c>
      <c r="Y1083" s="8">
        <v>1250</v>
      </c>
      <c r="Z1083" s="8">
        <v>1475</v>
      </c>
      <c r="AA1083" s="8">
        <v>225</v>
      </c>
      <c r="AB1083" s="7">
        <v>112648</v>
      </c>
      <c r="AC1083" t="s">
        <v>3725</v>
      </c>
      <c r="AD1083" s="8">
        <v>0</v>
      </c>
      <c r="AG1083" t="s">
        <v>801</v>
      </c>
      <c r="AH1083" t="s">
        <v>802</v>
      </c>
      <c r="AI1083" t="s">
        <v>818</v>
      </c>
    </row>
    <row r="1084" spans="1:35" hidden="1">
      <c r="A1084" s="7">
        <v>1083</v>
      </c>
      <c r="B1084" t="s">
        <v>243</v>
      </c>
      <c r="C1084" t="s">
        <v>244</v>
      </c>
      <c r="D1084" s="7">
        <v>7134</v>
      </c>
      <c r="E1084" t="s">
        <v>245</v>
      </c>
      <c r="F1084" t="s">
        <v>246</v>
      </c>
      <c r="G1084" t="s">
        <v>1153</v>
      </c>
      <c r="H1084" t="s">
        <v>2082</v>
      </c>
      <c r="I1084" s="7">
        <v>1165</v>
      </c>
      <c r="J1084" s="7">
        <v>139000</v>
      </c>
      <c r="K1084" s="7">
        <v>14</v>
      </c>
      <c r="L1084" t="s">
        <v>247</v>
      </c>
      <c r="M1084" t="s">
        <v>252</v>
      </c>
      <c r="N1084" s="7">
        <v>320346</v>
      </c>
      <c r="O1084" t="s">
        <v>1154</v>
      </c>
      <c r="P1084" t="s">
        <v>1155</v>
      </c>
      <c r="S1084" t="s">
        <v>211</v>
      </c>
      <c r="T1084" t="s">
        <v>3354</v>
      </c>
      <c r="U1084" t="s">
        <v>3355</v>
      </c>
      <c r="V1084" s="8">
        <v>1250</v>
      </c>
      <c r="W1084" s="7">
        <v>589181</v>
      </c>
      <c r="X1084" t="s">
        <v>3725</v>
      </c>
      <c r="Y1084" s="8">
        <v>1250</v>
      </c>
      <c r="Z1084" s="8">
        <v>1475</v>
      </c>
      <c r="AA1084" s="8">
        <v>225</v>
      </c>
      <c r="AB1084" s="7">
        <v>112648</v>
      </c>
      <c r="AC1084" t="s">
        <v>3725</v>
      </c>
      <c r="AD1084" s="8">
        <v>0</v>
      </c>
      <c r="AG1084" t="s">
        <v>937</v>
      </c>
      <c r="AH1084" t="s">
        <v>802</v>
      </c>
      <c r="AI1084" t="s">
        <v>818</v>
      </c>
    </row>
    <row r="1085" spans="1:35" hidden="1">
      <c r="A1085" s="7">
        <v>1084</v>
      </c>
      <c r="B1085" t="s">
        <v>243</v>
      </c>
      <c r="C1085" t="s">
        <v>244</v>
      </c>
      <c r="D1085" s="7">
        <v>7134</v>
      </c>
      <c r="E1085" t="s">
        <v>245</v>
      </c>
      <c r="F1085" t="s">
        <v>246</v>
      </c>
      <c r="G1085" t="s">
        <v>849</v>
      </c>
      <c r="H1085" t="s">
        <v>2082</v>
      </c>
      <c r="I1085" s="7">
        <v>1165</v>
      </c>
      <c r="J1085" s="7">
        <v>48800</v>
      </c>
      <c r="K1085" s="7">
        <v>5</v>
      </c>
      <c r="L1085" t="s">
        <v>247</v>
      </c>
      <c r="M1085" t="s">
        <v>361</v>
      </c>
      <c r="N1085" s="7">
        <v>5065</v>
      </c>
      <c r="O1085" t="s">
        <v>1291</v>
      </c>
      <c r="P1085" t="s">
        <v>1292</v>
      </c>
      <c r="S1085" t="s">
        <v>211</v>
      </c>
      <c r="T1085" t="s">
        <v>3354</v>
      </c>
      <c r="U1085" t="s">
        <v>3355</v>
      </c>
      <c r="V1085" s="8">
        <v>1650</v>
      </c>
      <c r="W1085" s="7">
        <v>589181</v>
      </c>
      <c r="X1085" t="s">
        <v>3725</v>
      </c>
      <c r="Y1085" s="8">
        <v>1650</v>
      </c>
      <c r="Z1085" s="8">
        <v>1947</v>
      </c>
      <c r="AA1085" s="8">
        <v>297</v>
      </c>
      <c r="AB1085" s="7">
        <v>112648</v>
      </c>
      <c r="AC1085" t="s">
        <v>3725</v>
      </c>
      <c r="AD1085" s="8">
        <v>0</v>
      </c>
      <c r="AG1085" t="s">
        <v>823</v>
      </c>
      <c r="AH1085" t="s">
        <v>802</v>
      </c>
      <c r="AI1085" t="s">
        <v>818</v>
      </c>
    </row>
    <row r="1086" spans="1:35" hidden="1">
      <c r="A1086" s="7">
        <v>1085</v>
      </c>
      <c r="B1086" t="s">
        <v>243</v>
      </c>
      <c r="C1086" t="s">
        <v>244</v>
      </c>
      <c r="D1086" s="7">
        <v>7134</v>
      </c>
      <c r="E1086" t="s">
        <v>245</v>
      </c>
      <c r="F1086" t="s">
        <v>246</v>
      </c>
      <c r="G1086" t="s">
        <v>903</v>
      </c>
      <c r="H1086" t="s">
        <v>3361</v>
      </c>
      <c r="I1086" s="7">
        <v>856</v>
      </c>
      <c r="J1086" s="7">
        <v>31383</v>
      </c>
      <c r="K1086" s="7">
        <v>2</v>
      </c>
      <c r="L1086" t="s">
        <v>247</v>
      </c>
      <c r="M1086" t="s">
        <v>261</v>
      </c>
      <c r="N1086" s="7">
        <v>796501</v>
      </c>
      <c r="O1086" t="s">
        <v>3407</v>
      </c>
      <c r="P1086" t="s">
        <v>3408</v>
      </c>
      <c r="Q1086" t="s">
        <v>908</v>
      </c>
      <c r="R1086" t="s">
        <v>909</v>
      </c>
      <c r="S1086" t="s">
        <v>211</v>
      </c>
      <c r="T1086" t="s">
        <v>3354</v>
      </c>
      <c r="U1086" t="s">
        <v>3355</v>
      </c>
      <c r="V1086" s="8">
        <v>1250</v>
      </c>
      <c r="W1086" s="7">
        <v>589181</v>
      </c>
      <c r="X1086" t="s">
        <v>3725</v>
      </c>
      <c r="Y1086" s="8">
        <v>1000</v>
      </c>
      <c r="Z1086" s="8">
        <v>1475</v>
      </c>
      <c r="AA1086" s="8">
        <v>225</v>
      </c>
      <c r="AB1086" s="7">
        <v>112648</v>
      </c>
      <c r="AC1086" t="s">
        <v>3725</v>
      </c>
      <c r="AD1086" s="8">
        <v>250</v>
      </c>
      <c r="AG1086" t="s">
        <v>817</v>
      </c>
      <c r="AH1086" t="s">
        <v>802</v>
      </c>
      <c r="AI1086" t="s">
        <v>818</v>
      </c>
    </row>
    <row r="1087" spans="1:35" hidden="1">
      <c r="A1087" s="7">
        <v>1086</v>
      </c>
      <c r="B1087" t="s">
        <v>243</v>
      </c>
      <c r="C1087" t="s">
        <v>244</v>
      </c>
      <c r="D1087" s="7">
        <v>7134</v>
      </c>
      <c r="E1087" t="s">
        <v>245</v>
      </c>
      <c r="F1087" t="s">
        <v>246</v>
      </c>
      <c r="G1087" t="s">
        <v>872</v>
      </c>
      <c r="H1087" t="s">
        <v>3383</v>
      </c>
      <c r="I1087" s="7">
        <v>1165</v>
      </c>
      <c r="J1087" s="7">
        <v>88900</v>
      </c>
      <c r="K1087" s="7">
        <v>9</v>
      </c>
      <c r="L1087" t="s">
        <v>247</v>
      </c>
      <c r="M1087" t="s">
        <v>261</v>
      </c>
      <c r="N1087" s="7">
        <v>775503</v>
      </c>
      <c r="O1087" t="s">
        <v>1985</v>
      </c>
      <c r="P1087" t="s">
        <v>1986</v>
      </c>
      <c r="S1087" t="s">
        <v>211</v>
      </c>
      <c r="T1087" t="s">
        <v>3354</v>
      </c>
      <c r="U1087" t="s">
        <v>3355</v>
      </c>
      <c r="V1087" s="8">
        <v>0</v>
      </c>
      <c r="W1087" s="7">
        <v>589181</v>
      </c>
      <c r="X1087" t="s">
        <v>3725</v>
      </c>
      <c r="Y1087" s="8">
        <v>0</v>
      </c>
      <c r="Z1087" s="8">
        <v>0</v>
      </c>
      <c r="AA1087" s="8">
        <v>0</v>
      </c>
      <c r="AB1087" s="7">
        <v>112648</v>
      </c>
      <c r="AC1087" t="s">
        <v>3725</v>
      </c>
      <c r="AD1087" s="8">
        <v>0</v>
      </c>
      <c r="AG1087" t="s">
        <v>801</v>
      </c>
      <c r="AH1087" t="s">
        <v>802</v>
      </c>
      <c r="AI1087" t="s">
        <v>803</v>
      </c>
    </row>
    <row r="1088" spans="1:35" hidden="1">
      <c r="A1088" s="7">
        <v>1087</v>
      </c>
      <c r="B1088" t="s">
        <v>243</v>
      </c>
      <c r="C1088" t="s">
        <v>244</v>
      </c>
      <c r="D1088" s="7">
        <v>7134</v>
      </c>
      <c r="E1088" t="s">
        <v>245</v>
      </c>
      <c r="F1088" t="s">
        <v>246</v>
      </c>
      <c r="G1088" t="s">
        <v>248</v>
      </c>
      <c r="H1088" t="s">
        <v>2853</v>
      </c>
      <c r="I1088" s="7">
        <v>854</v>
      </c>
      <c r="J1088" s="7">
        <v>30037</v>
      </c>
      <c r="K1088" s="7">
        <v>2</v>
      </c>
      <c r="L1088" t="s">
        <v>247</v>
      </c>
      <c r="M1088" t="s">
        <v>261</v>
      </c>
      <c r="N1088" s="7">
        <v>795543</v>
      </c>
      <c r="O1088" t="s">
        <v>1981</v>
      </c>
      <c r="P1088" t="s">
        <v>1982</v>
      </c>
      <c r="S1088" t="s">
        <v>211</v>
      </c>
      <c r="T1088" t="s">
        <v>3354</v>
      </c>
      <c r="U1088" t="s">
        <v>3355</v>
      </c>
      <c r="V1088" s="8">
        <v>1250</v>
      </c>
      <c r="W1088" s="7">
        <v>589181</v>
      </c>
      <c r="X1088" t="s">
        <v>3725</v>
      </c>
      <c r="Y1088" s="8">
        <v>1250</v>
      </c>
      <c r="Z1088" s="8">
        <v>1475</v>
      </c>
      <c r="AA1088" s="8">
        <v>225</v>
      </c>
      <c r="AB1088" s="7">
        <v>112648</v>
      </c>
      <c r="AC1088" t="s">
        <v>3725</v>
      </c>
      <c r="AD1088" s="8">
        <v>0</v>
      </c>
      <c r="AG1088" t="s">
        <v>817</v>
      </c>
      <c r="AH1088" t="s">
        <v>802</v>
      </c>
      <c r="AI1088" t="s">
        <v>818</v>
      </c>
    </row>
    <row r="1089" spans="1:35" hidden="1">
      <c r="A1089" s="7">
        <v>1088</v>
      </c>
      <c r="B1089" t="s">
        <v>243</v>
      </c>
      <c r="C1089" t="s">
        <v>244</v>
      </c>
      <c r="D1089" s="7">
        <v>7134</v>
      </c>
      <c r="E1089" t="s">
        <v>245</v>
      </c>
      <c r="F1089" t="s">
        <v>246</v>
      </c>
      <c r="G1089" t="s">
        <v>263</v>
      </c>
      <c r="H1089" t="s">
        <v>418</v>
      </c>
      <c r="I1089" s="7">
        <v>855</v>
      </c>
      <c r="J1089" s="7">
        <v>31293</v>
      </c>
      <c r="K1089" s="7">
        <v>2</v>
      </c>
      <c r="L1089" t="s">
        <v>247</v>
      </c>
      <c r="M1089" t="s">
        <v>261</v>
      </c>
      <c r="N1089" s="7">
        <v>796598</v>
      </c>
      <c r="O1089" t="s">
        <v>1983</v>
      </c>
      <c r="P1089" t="s">
        <v>1984</v>
      </c>
      <c r="Q1089" t="s">
        <v>908</v>
      </c>
      <c r="R1089" t="s">
        <v>909</v>
      </c>
      <c r="S1089" t="s">
        <v>211</v>
      </c>
      <c r="T1089" t="s">
        <v>3354</v>
      </c>
      <c r="U1089" t="s">
        <v>3355</v>
      </c>
      <c r="V1089" s="8">
        <v>1250</v>
      </c>
      <c r="W1089" s="7">
        <v>589181</v>
      </c>
      <c r="X1089" t="s">
        <v>3725</v>
      </c>
      <c r="Y1089" s="8">
        <v>1000</v>
      </c>
      <c r="Z1089" s="8">
        <v>1475</v>
      </c>
      <c r="AA1089" s="8">
        <v>225</v>
      </c>
      <c r="AB1089" s="7">
        <v>112648</v>
      </c>
      <c r="AC1089" t="s">
        <v>3725</v>
      </c>
      <c r="AD1089" s="8">
        <v>250</v>
      </c>
      <c r="AG1089" t="s">
        <v>817</v>
      </c>
      <c r="AH1089" t="s">
        <v>802</v>
      </c>
      <c r="AI1089" t="s">
        <v>818</v>
      </c>
    </row>
    <row r="1090" spans="1:35" hidden="1">
      <c r="A1090" s="7">
        <v>1089</v>
      </c>
      <c r="B1090" t="s">
        <v>243</v>
      </c>
      <c r="C1090" t="s">
        <v>244</v>
      </c>
      <c r="D1090" s="7">
        <v>7134</v>
      </c>
      <c r="E1090" t="s">
        <v>245</v>
      </c>
      <c r="F1090" t="s">
        <v>246</v>
      </c>
      <c r="G1090" t="s">
        <v>1645</v>
      </c>
      <c r="H1090" t="s">
        <v>3377</v>
      </c>
      <c r="I1090" s="7">
        <v>1165</v>
      </c>
      <c r="J1090" s="7">
        <v>53514</v>
      </c>
      <c r="K1090" s="7">
        <v>10</v>
      </c>
      <c r="L1090" t="s">
        <v>247</v>
      </c>
      <c r="M1090" t="s">
        <v>261</v>
      </c>
      <c r="N1090" s="7">
        <v>762665</v>
      </c>
      <c r="O1090" t="s">
        <v>1714</v>
      </c>
      <c r="P1090" t="s">
        <v>1715</v>
      </c>
      <c r="S1090" t="s">
        <v>211</v>
      </c>
      <c r="T1090" t="s">
        <v>3354</v>
      </c>
      <c r="U1090" t="s">
        <v>3355</v>
      </c>
      <c r="V1090" s="8">
        <v>0</v>
      </c>
      <c r="W1090" s="7">
        <v>589181</v>
      </c>
      <c r="X1090" t="s">
        <v>3725</v>
      </c>
      <c r="Y1090" s="8">
        <v>0</v>
      </c>
      <c r="Z1090" s="8">
        <v>0</v>
      </c>
      <c r="AA1090" s="8">
        <v>0</v>
      </c>
      <c r="AB1090" s="7">
        <v>112648</v>
      </c>
      <c r="AC1090" t="s">
        <v>3725</v>
      </c>
      <c r="AD1090" s="8">
        <v>0</v>
      </c>
      <c r="AG1090" t="s">
        <v>801</v>
      </c>
      <c r="AH1090" t="s">
        <v>802</v>
      </c>
      <c r="AI1090" t="s">
        <v>803</v>
      </c>
    </row>
    <row r="1091" spans="1:35" hidden="1">
      <c r="A1091" s="7">
        <v>1090</v>
      </c>
      <c r="B1091" t="s">
        <v>243</v>
      </c>
      <c r="C1091" t="s">
        <v>244</v>
      </c>
      <c r="D1091" s="7">
        <v>7134</v>
      </c>
      <c r="E1091" t="s">
        <v>245</v>
      </c>
      <c r="F1091" t="s">
        <v>246</v>
      </c>
      <c r="G1091" t="s">
        <v>1457</v>
      </c>
      <c r="H1091" t="s">
        <v>3423</v>
      </c>
      <c r="I1091" s="7">
        <v>853</v>
      </c>
      <c r="J1091" s="7">
        <v>30595</v>
      </c>
      <c r="K1091" s="7">
        <v>2</v>
      </c>
      <c r="L1091" t="s">
        <v>247</v>
      </c>
      <c r="M1091" t="s">
        <v>261</v>
      </c>
      <c r="N1091" s="7">
        <v>798028</v>
      </c>
      <c r="O1091" t="s">
        <v>2123</v>
      </c>
      <c r="P1091" t="s">
        <v>2124</v>
      </c>
      <c r="S1091" t="s">
        <v>212</v>
      </c>
      <c r="T1091" t="s">
        <v>3423</v>
      </c>
      <c r="U1091" t="s">
        <v>3426</v>
      </c>
      <c r="V1091" s="8">
        <v>1250</v>
      </c>
      <c r="W1091" s="7">
        <v>589182</v>
      </c>
      <c r="X1091" t="s">
        <v>3725</v>
      </c>
      <c r="Y1091" s="8">
        <v>1250</v>
      </c>
      <c r="Z1091" s="8">
        <v>1475</v>
      </c>
      <c r="AA1091" s="8">
        <v>225</v>
      </c>
      <c r="AB1091" s="7">
        <v>112649</v>
      </c>
      <c r="AC1091" t="s">
        <v>3725</v>
      </c>
      <c r="AD1091" s="8">
        <v>0</v>
      </c>
      <c r="AG1091" t="s">
        <v>817</v>
      </c>
      <c r="AH1091" t="s">
        <v>802</v>
      </c>
      <c r="AI1091" t="s">
        <v>818</v>
      </c>
    </row>
    <row r="1092" spans="1:35" hidden="1">
      <c r="A1092" s="7">
        <v>1091</v>
      </c>
      <c r="B1092" t="s">
        <v>243</v>
      </c>
      <c r="C1092" t="s">
        <v>244</v>
      </c>
      <c r="D1092" s="7">
        <v>7134</v>
      </c>
      <c r="E1092" t="s">
        <v>245</v>
      </c>
      <c r="F1092" t="s">
        <v>246</v>
      </c>
      <c r="G1092" t="s">
        <v>954</v>
      </c>
      <c r="H1092" t="s">
        <v>3423</v>
      </c>
      <c r="I1092" s="7">
        <v>1165</v>
      </c>
      <c r="J1092" s="7">
        <v>60000</v>
      </c>
      <c r="K1092" s="7">
        <v>6</v>
      </c>
      <c r="L1092" t="s">
        <v>247</v>
      </c>
      <c r="M1092" t="s">
        <v>267</v>
      </c>
      <c r="N1092" s="7">
        <v>789860</v>
      </c>
      <c r="O1092" t="s">
        <v>955</v>
      </c>
      <c r="P1092" t="s">
        <v>956</v>
      </c>
      <c r="S1092" t="s">
        <v>212</v>
      </c>
      <c r="T1092" t="s">
        <v>3423</v>
      </c>
      <c r="U1092" t="s">
        <v>3426</v>
      </c>
      <c r="V1092" s="8">
        <v>0</v>
      </c>
      <c r="W1092" s="7">
        <v>589182</v>
      </c>
      <c r="X1092" t="s">
        <v>3725</v>
      </c>
      <c r="Y1092" s="8">
        <v>0</v>
      </c>
      <c r="Z1092" s="8">
        <v>0</v>
      </c>
      <c r="AA1092" s="8">
        <v>0</v>
      </c>
      <c r="AB1092" s="7">
        <v>112649</v>
      </c>
      <c r="AC1092" t="s">
        <v>3725</v>
      </c>
      <c r="AD1092" s="8">
        <v>0</v>
      </c>
      <c r="AG1092" t="s">
        <v>828</v>
      </c>
      <c r="AH1092" t="s">
        <v>802</v>
      </c>
      <c r="AI1092" t="s">
        <v>803</v>
      </c>
    </row>
    <row r="1093" spans="1:35" hidden="1">
      <c r="A1093" s="7">
        <v>1092</v>
      </c>
      <c r="B1093" t="s">
        <v>243</v>
      </c>
      <c r="C1093" t="s">
        <v>244</v>
      </c>
      <c r="D1093" s="7">
        <v>7134</v>
      </c>
      <c r="E1093" t="s">
        <v>245</v>
      </c>
      <c r="F1093" t="s">
        <v>246</v>
      </c>
      <c r="G1093" t="s">
        <v>885</v>
      </c>
      <c r="H1093" t="s">
        <v>3423</v>
      </c>
      <c r="I1093" s="7">
        <v>876</v>
      </c>
      <c r="J1093" s="7">
        <v>30701</v>
      </c>
      <c r="K1093" s="7">
        <v>2</v>
      </c>
      <c r="L1093" t="s">
        <v>247</v>
      </c>
      <c r="M1093" t="s">
        <v>261</v>
      </c>
      <c r="N1093" s="7">
        <v>796356</v>
      </c>
      <c r="O1093" t="s">
        <v>2015</v>
      </c>
      <c r="P1093" t="s">
        <v>2016</v>
      </c>
      <c r="S1093" t="s">
        <v>212</v>
      </c>
      <c r="T1093" t="s">
        <v>3423</v>
      </c>
      <c r="U1093" t="s">
        <v>3426</v>
      </c>
      <c r="V1093" s="8">
        <v>1250</v>
      </c>
      <c r="W1093" s="7">
        <v>589182</v>
      </c>
      <c r="X1093" t="s">
        <v>3725</v>
      </c>
      <c r="Y1093" s="8">
        <v>1250</v>
      </c>
      <c r="Z1093" s="8">
        <v>1475</v>
      </c>
      <c r="AA1093" s="8">
        <v>225</v>
      </c>
      <c r="AB1093" s="7">
        <v>112649</v>
      </c>
      <c r="AC1093" t="s">
        <v>3725</v>
      </c>
      <c r="AD1093" s="8">
        <v>0</v>
      </c>
      <c r="AG1093" t="s">
        <v>817</v>
      </c>
      <c r="AH1093" t="s">
        <v>802</v>
      </c>
      <c r="AI1093" t="s">
        <v>818</v>
      </c>
    </row>
    <row r="1094" spans="1:35" hidden="1">
      <c r="A1094" s="7">
        <v>1093</v>
      </c>
      <c r="B1094" t="s">
        <v>243</v>
      </c>
      <c r="C1094" t="s">
        <v>244</v>
      </c>
      <c r="D1094" s="7">
        <v>7134</v>
      </c>
      <c r="E1094" t="s">
        <v>245</v>
      </c>
      <c r="F1094" t="s">
        <v>246</v>
      </c>
      <c r="G1094" t="s">
        <v>1224</v>
      </c>
      <c r="H1094" t="s">
        <v>3423</v>
      </c>
      <c r="I1094" s="7">
        <v>892</v>
      </c>
      <c r="J1094" s="7">
        <v>30412</v>
      </c>
      <c r="K1094" s="7">
        <v>2</v>
      </c>
      <c r="L1094" t="s">
        <v>247</v>
      </c>
      <c r="M1094" t="s">
        <v>261</v>
      </c>
      <c r="N1094" s="7">
        <v>797897</v>
      </c>
      <c r="O1094" t="s">
        <v>2202</v>
      </c>
      <c r="P1094" t="s">
        <v>2203</v>
      </c>
      <c r="S1094" t="s">
        <v>212</v>
      </c>
      <c r="T1094" t="s">
        <v>3423</v>
      </c>
      <c r="U1094" t="s">
        <v>3426</v>
      </c>
      <c r="V1094" s="8">
        <v>1250</v>
      </c>
      <c r="W1094" s="7">
        <v>589182</v>
      </c>
      <c r="X1094" t="s">
        <v>3725</v>
      </c>
      <c r="Y1094" s="8">
        <v>1250</v>
      </c>
      <c r="Z1094" s="8">
        <v>1475</v>
      </c>
      <c r="AA1094" s="8">
        <v>225</v>
      </c>
      <c r="AB1094" s="7">
        <v>112649</v>
      </c>
      <c r="AC1094" t="s">
        <v>3725</v>
      </c>
      <c r="AD1094" s="8">
        <v>0</v>
      </c>
      <c r="AG1094" t="s">
        <v>817</v>
      </c>
      <c r="AH1094" t="s">
        <v>802</v>
      </c>
      <c r="AI1094" t="s">
        <v>818</v>
      </c>
    </row>
    <row r="1095" spans="1:35" hidden="1">
      <c r="A1095" s="7">
        <v>1094</v>
      </c>
      <c r="B1095" t="s">
        <v>243</v>
      </c>
      <c r="C1095" t="s">
        <v>244</v>
      </c>
      <c r="D1095" s="7">
        <v>7134</v>
      </c>
      <c r="E1095" t="s">
        <v>245</v>
      </c>
      <c r="F1095" t="s">
        <v>246</v>
      </c>
      <c r="G1095" t="s">
        <v>885</v>
      </c>
      <c r="H1095" t="s">
        <v>3423</v>
      </c>
      <c r="I1095" s="7">
        <v>871</v>
      </c>
      <c r="J1095" s="7">
        <v>31530</v>
      </c>
      <c r="K1095" s="7">
        <v>2</v>
      </c>
      <c r="L1095" t="s">
        <v>247</v>
      </c>
      <c r="M1095" t="s">
        <v>261</v>
      </c>
      <c r="N1095" s="7">
        <v>796350</v>
      </c>
      <c r="O1095" t="s">
        <v>3424</v>
      </c>
      <c r="P1095" t="s">
        <v>3425</v>
      </c>
      <c r="Q1095" t="s">
        <v>908</v>
      </c>
      <c r="R1095" t="s">
        <v>909</v>
      </c>
      <c r="S1095" t="s">
        <v>212</v>
      </c>
      <c r="T1095" t="s">
        <v>3423</v>
      </c>
      <c r="U1095" t="s">
        <v>3426</v>
      </c>
      <c r="V1095" s="8">
        <v>1250</v>
      </c>
      <c r="W1095" s="7">
        <v>589182</v>
      </c>
      <c r="X1095" t="s">
        <v>3725</v>
      </c>
      <c r="Y1095" s="8">
        <v>1000</v>
      </c>
      <c r="Z1095" s="8">
        <v>1475</v>
      </c>
      <c r="AA1095" s="8">
        <v>225</v>
      </c>
      <c r="AB1095" s="7">
        <v>112649</v>
      </c>
      <c r="AC1095" t="s">
        <v>3725</v>
      </c>
      <c r="AD1095" s="8">
        <v>250</v>
      </c>
      <c r="AG1095" t="s">
        <v>817</v>
      </c>
      <c r="AH1095" t="s">
        <v>802</v>
      </c>
      <c r="AI1095" t="s">
        <v>818</v>
      </c>
    </row>
    <row r="1096" spans="1:35" hidden="1">
      <c r="A1096" s="7">
        <v>1095</v>
      </c>
      <c r="B1096" t="s">
        <v>243</v>
      </c>
      <c r="C1096" t="s">
        <v>244</v>
      </c>
      <c r="D1096" s="7">
        <v>7134</v>
      </c>
      <c r="E1096" t="s">
        <v>245</v>
      </c>
      <c r="F1096" t="s">
        <v>246</v>
      </c>
      <c r="G1096" t="s">
        <v>269</v>
      </c>
      <c r="H1096" t="s">
        <v>2082</v>
      </c>
      <c r="I1096" s="7">
        <v>1165</v>
      </c>
      <c r="J1096" s="7">
        <v>6700</v>
      </c>
      <c r="K1096" s="7">
        <v>3</v>
      </c>
      <c r="L1096" t="s">
        <v>247</v>
      </c>
      <c r="M1096" t="s">
        <v>252</v>
      </c>
      <c r="N1096" s="7">
        <v>327724</v>
      </c>
      <c r="O1096" t="s">
        <v>3427</v>
      </c>
      <c r="P1096" t="s">
        <v>3428</v>
      </c>
      <c r="S1096" t="s">
        <v>212</v>
      </c>
      <c r="T1096" t="s">
        <v>3423</v>
      </c>
      <c r="U1096" t="s">
        <v>3426</v>
      </c>
      <c r="V1096" s="8">
        <v>1250</v>
      </c>
      <c r="W1096" s="7">
        <v>589182</v>
      </c>
      <c r="X1096" t="s">
        <v>3725</v>
      </c>
      <c r="Y1096" s="8">
        <v>1250</v>
      </c>
      <c r="Z1096" s="8">
        <v>1475</v>
      </c>
      <c r="AA1096" s="8">
        <v>225</v>
      </c>
      <c r="AB1096" s="7">
        <v>112649</v>
      </c>
      <c r="AC1096" t="s">
        <v>3725</v>
      </c>
      <c r="AD1096" s="8">
        <v>0</v>
      </c>
      <c r="AG1096" t="s">
        <v>937</v>
      </c>
      <c r="AH1096" t="s">
        <v>802</v>
      </c>
      <c r="AI1096" t="s">
        <v>818</v>
      </c>
    </row>
    <row r="1097" spans="1:35" hidden="1">
      <c r="A1097" s="7">
        <v>1096</v>
      </c>
      <c r="B1097" t="s">
        <v>243</v>
      </c>
      <c r="C1097" t="s">
        <v>244</v>
      </c>
      <c r="D1097" s="7">
        <v>7134</v>
      </c>
      <c r="E1097" t="s">
        <v>245</v>
      </c>
      <c r="F1097" t="s">
        <v>246</v>
      </c>
      <c r="G1097" t="s">
        <v>363</v>
      </c>
      <c r="H1097" t="s">
        <v>3423</v>
      </c>
      <c r="I1097" s="7">
        <v>824</v>
      </c>
      <c r="J1097" s="7">
        <v>32200</v>
      </c>
      <c r="K1097" s="7">
        <v>2</v>
      </c>
      <c r="L1097" t="s">
        <v>247</v>
      </c>
      <c r="M1097" t="s">
        <v>261</v>
      </c>
      <c r="N1097" s="7">
        <v>795619</v>
      </c>
      <c r="O1097" t="s">
        <v>2146</v>
      </c>
      <c r="P1097" t="s">
        <v>2147</v>
      </c>
      <c r="Q1097" t="s">
        <v>908</v>
      </c>
      <c r="R1097" t="s">
        <v>909</v>
      </c>
      <c r="S1097" t="s">
        <v>212</v>
      </c>
      <c r="T1097" t="s">
        <v>3423</v>
      </c>
      <c r="U1097" t="s">
        <v>3426</v>
      </c>
      <c r="V1097" s="8">
        <v>1250</v>
      </c>
      <c r="W1097" s="7">
        <v>589182</v>
      </c>
      <c r="X1097" t="s">
        <v>3725</v>
      </c>
      <c r="Y1097" s="8">
        <v>1000</v>
      </c>
      <c r="Z1097" s="8">
        <v>1475</v>
      </c>
      <c r="AA1097" s="8">
        <v>225</v>
      </c>
      <c r="AB1097" s="7">
        <v>112649</v>
      </c>
      <c r="AC1097" t="s">
        <v>3725</v>
      </c>
      <c r="AD1097" s="8">
        <v>250</v>
      </c>
      <c r="AG1097" t="s">
        <v>817</v>
      </c>
      <c r="AH1097" t="s">
        <v>802</v>
      </c>
      <c r="AI1097" t="s">
        <v>818</v>
      </c>
    </row>
    <row r="1098" spans="1:35" hidden="1">
      <c r="A1098" s="7">
        <v>1097</v>
      </c>
      <c r="B1098" t="s">
        <v>243</v>
      </c>
      <c r="C1098" t="s">
        <v>244</v>
      </c>
      <c r="D1098" s="7">
        <v>7134</v>
      </c>
      <c r="E1098" t="s">
        <v>245</v>
      </c>
      <c r="F1098" t="s">
        <v>246</v>
      </c>
      <c r="G1098" t="s">
        <v>1224</v>
      </c>
      <c r="H1098" t="s">
        <v>3423</v>
      </c>
      <c r="I1098" s="7">
        <v>856</v>
      </c>
      <c r="J1098" s="7">
        <v>29890</v>
      </c>
      <c r="K1098" s="7">
        <v>2</v>
      </c>
      <c r="L1098" t="s">
        <v>247</v>
      </c>
      <c r="M1098" t="s">
        <v>261</v>
      </c>
      <c r="N1098" s="7">
        <v>795389</v>
      </c>
      <c r="O1098" t="s">
        <v>1973</v>
      </c>
      <c r="P1098" t="s">
        <v>1974</v>
      </c>
      <c r="S1098" t="s">
        <v>212</v>
      </c>
      <c r="T1098" t="s">
        <v>3423</v>
      </c>
      <c r="U1098" t="s">
        <v>3426</v>
      </c>
      <c r="V1098" s="8">
        <v>1250</v>
      </c>
      <c r="W1098" s="7">
        <v>589182</v>
      </c>
      <c r="X1098" t="s">
        <v>3725</v>
      </c>
      <c r="Y1098" s="8">
        <v>1250</v>
      </c>
      <c r="Z1098" s="8">
        <v>1475</v>
      </c>
      <c r="AA1098" s="8">
        <v>225</v>
      </c>
      <c r="AB1098" s="7">
        <v>112649</v>
      </c>
      <c r="AC1098" t="s">
        <v>3725</v>
      </c>
      <c r="AD1098" s="8">
        <v>0</v>
      </c>
      <c r="AG1098" t="s">
        <v>817</v>
      </c>
      <c r="AH1098" t="s">
        <v>802</v>
      </c>
      <c r="AI1098" t="s">
        <v>818</v>
      </c>
    </row>
    <row r="1099" spans="1:35" hidden="1">
      <c r="A1099" s="7">
        <v>1098</v>
      </c>
      <c r="B1099" t="s">
        <v>243</v>
      </c>
      <c r="C1099" t="s">
        <v>244</v>
      </c>
      <c r="D1099" s="7">
        <v>7134</v>
      </c>
      <c r="E1099" t="s">
        <v>245</v>
      </c>
      <c r="F1099" t="s">
        <v>246</v>
      </c>
      <c r="G1099" t="s">
        <v>2148</v>
      </c>
      <c r="H1099" t="s">
        <v>3423</v>
      </c>
      <c r="I1099" s="7">
        <v>1165</v>
      </c>
      <c r="J1099" s="7">
        <v>9749</v>
      </c>
      <c r="K1099" s="7">
        <v>6</v>
      </c>
      <c r="L1099" t="s">
        <v>247</v>
      </c>
      <c r="M1099" t="s">
        <v>252</v>
      </c>
      <c r="N1099" s="7">
        <v>324484</v>
      </c>
      <c r="O1099" t="s">
        <v>2149</v>
      </c>
      <c r="P1099" t="s">
        <v>2150</v>
      </c>
      <c r="S1099" t="s">
        <v>212</v>
      </c>
      <c r="T1099" t="s">
        <v>3423</v>
      </c>
      <c r="U1099" t="s">
        <v>3426</v>
      </c>
      <c r="V1099" s="8">
        <v>0</v>
      </c>
      <c r="W1099" s="7">
        <v>589182</v>
      </c>
      <c r="X1099" t="s">
        <v>3725</v>
      </c>
      <c r="Y1099" s="8">
        <v>0</v>
      </c>
      <c r="Z1099" s="8">
        <v>0</v>
      </c>
      <c r="AA1099" s="8">
        <v>0</v>
      </c>
      <c r="AB1099" s="7">
        <v>112649</v>
      </c>
      <c r="AC1099" t="s">
        <v>3725</v>
      </c>
      <c r="AD1099" s="8">
        <v>0</v>
      </c>
      <c r="AG1099" t="s">
        <v>937</v>
      </c>
      <c r="AH1099" t="s">
        <v>802</v>
      </c>
      <c r="AI1099" t="s">
        <v>803</v>
      </c>
    </row>
    <row r="1100" spans="1:35" hidden="1">
      <c r="A1100" s="7">
        <v>1099</v>
      </c>
      <c r="B1100" t="s">
        <v>243</v>
      </c>
      <c r="C1100" t="s">
        <v>244</v>
      </c>
      <c r="D1100" s="7">
        <v>7134</v>
      </c>
      <c r="E1100" t="s">
        <v>245</v>
      </c>
      <c r="F1100" t="s">
        <v>246</v>
      </c>
      <c r="G1100" t="s">
        <v>1101</v>
      </c>
      <c r="H1100" t="s">
        <v>3423</v>
      </c>
      <c r="I1100" s="7">
        <v>1123</v>
      </c>
      <c r="J1100" s="7">
        <v>20113</v>
      </c>
      <c r="K1100" s="7">
        <v>4</v>
      </c>
      <c r="L1100" t="s">
        <v>247</v>
      </c>
      <c r="M1100" t="s">
        <v>261</v>
      </c>
      <c r="N1100" s="7">
        <v>785680</v>
      </c>
      <c r="O1100" t="s">
        <v>1102</v>
      </c>
      <c r="P1100" t="s">
        <v>1103</v>
      </c>
      <c r="Q1100" t="s">
        <v>870</v>
      </c>
      <c r="R1100" t="s">
        <v>871</v>
      </c>
      <c r="S1100" t="s">
        <v>212</v>
      </c>
      <c r="T1100" t="s">
        <v>3423</v>
      </c>
      <c r="U1100" t="s">
        <v>3426</v>
      </c>
      <c r="V1100" s="8">
        <v>0</v>
      </c>
      <c r="W1100" s="7">
        <v>589182</v>
      </c>
      <c r="X1100" t="s">
        <v>3725</v>
      </c>
      <c r="Y1100" s="8">
        <v>0</v>
      </c>
      <c r="Z1100" s="8">
        <v>0</v>
      </c>
      <c r="AA1100" s="8">
        <v>0</v>
      </c>
      <c r="AB1100" s="7">
        <v>112649</v>
      </c>
      <c r="AC1100" t="s">
        <v>3725</v>
      </c>
      <c r="AD1100" s="8">
        <v>0</v>
      </c>
      <c r="AG1100" t="s">
        <v>801</v>
      </c>
      <c r="AH1100" t="s">
        <v>802</v>
      </c>
      <c r="AI1100" t="s">
        <v>803</v>
      </c>
    </row>
    <row r="1101" spans="1:35" hidden="1">
      <c r="A1101" s="7">
        <v>1100</v>
      </c>
      <c r="B1101" t="s">
        <v>243</v>
      </c>
      <c r="C1101" t="s">
        <v>244</v>
      </c>
      <c r="D1101" s="7">
        <v>7134</v>
      </c>
      <c r="E1101" t="s">
        <v>245</v>
      </c>
      <c r="F1101" t="s">
        <v>246</v>
      </c>
      <c r="G1101" t="s">
        <v>853</v>
      </c>
      <c r="H1101" t="s">
        <v>3734</v>
      </c>
      <c r="I1101" s="7">
        <v>5800</v>
      </c>
      <c r="J1101" s="7">
        <v>13000</v>
      </c>
      <c r="K1101" s="7">
        <v>3</v>
      </c>
      <c r="L1101" t="s">
        <v>247</v>
      </c>
      <c r="M1101" t="s">
        <v>267</v>
      </c>
      <c r="N1101" s="7">
        <v>793458</v>
      </c>
      <c r="O1101" t="s">
        <v>1748</v>
      </c>
      <c r="P1101" t="s">
        <v>1749</v>
      </c>
      <c r="Q1101" t="s">
        <v>870</v>
      </c>
      <c r="R1101" t="s">
        <v>871</v>
      </c>
      <c r="S1101" t="s">
        <v>3726</v>
      </c>
      <c r="T1101" t="s">
        <v>3727</v>
      </c>
      <c r="U1101" t="s">
        <v>3728</v>
      </c>
      <c r="V1101" s="8">
        <v>1250</v>
      </c>
      <c r="W1101" s="7">
        <v>589463</v>
      </c>
      <c r="X1101" t="s">
        <v>4441</v>
      </c>
      <c r="Y1101" s="8">
        <v>1000</v>
      </c>
      <c r="Z1101" s="8">
        <v>1475</v>
      </c>
      <c r="AA1101" s="8">
        <v>225</v>
      </c>
      <c r="AB1101" s="7">
        <v>112930</v>
      </c>
      <c r="AC1101" t="s">
        <v>4441</v>
      </c>
      <c r="AD1101" s="8">
        <v>250</v>
      </c>
      <c r="AG1101" t="s">
        <v>828</v>
      </c>
      <c r="AH1101" t="s">
        <v>802</v>
      </c>
      <c r="AI1101" t="s">
        <v>818</v>
      </c>
    </row>
    <row r="1102" spans="1:35" hidden="1">
      <c r="A1102" s="7">
        <v>1101</v>
      </c>
      <c r="B1102" t="s">
        <v>243</v>
      </c>
      <c r="C1102" t="s">
        <v>244</v>
      </c>
      <c r="D1102" s="7">
        <v>7134</v>
      </c>
      <c r="E1102" t="s">
        <v>245</v>
      </c>
      <c r="F1102" t="s">
        <v>246</v>
      </c>
      <c r="G1102" t="s">
        <v>1640</v>
      </c>
      <c r="H1102" t="s">
        <v>3731</v>
      </c>
      <c r="I1102" s="7">
        <v>951</v>
      </c>
      <c r="J1102" s="7">
        <v>130187</v>
      </c>
      <c r="K1102" s="7">
        <v>13</v>
      </c>
      <c r="L1102" t="s">
        <v>247</v>
      </c>
      <c r="M1102" t="s">
        <v>261</v>
      </c>
      <c r="N1102" s="7">
        <v>761716</v>
      </c>
      <c r="O1102" t="s">
        <v>1642</v>
      </c>
      <c r="P1102" t="s">
        <v>1643</v>
      </c>
      <c r="S1102" t="s">
        <v>3726</v>
      </c>
      <c r="T1102" t="s">
        <v>3727</v>
      </c>
      <c r="U1102" t="s">
        <v>3728</v>
      </c>
      <c r="V1102" s="8">
        <v>0</v>
      </c>
      <c r="W1102" s="7">
        <v>589463</v>
      </c>
      <c r="X1102" t="s">
        <v>4441</v>
      </c>
      <c r="Y1102" s="8">
        <v>0</v>
      </c>
      <c r="Z1102" s="8">
        <v>0</v>
      </c>
      <c r="AA1102" s="8">
        <v>0</v>
      </c>
      <c r="AB1102" s="7">
        <v>112930</v>
      </c>
      <c r="AC1102" t="s">
        <v>4441</v>
      </c>
      <c r="AD1102" s="8">
        <v>0</v>
      </c>
      <c r="AG1102" t="s">
        <v>801</v>
      </c>
      <c r="AH1102" t="s">
        <v>802</v>
      </c>
      <c r="AI1102" t="s">
        <v>803</v>
      </c>
    </row>
    <row r="1103" spans="1:35" hidden="1">
      <c r="A1103" s="7">
        <v>1102</v>
      </c>
      <c r="B1103" t="s">
        <v>243</v>
      </c>
      <c r="C1103" t="s">
        <v>244</v>
      </c>
      <c r="D1103" s="7">
        <v>7134</v>
      </c>
      <c r="E1103" t="s">
        <v>245</v>
      </c>
      <c r="F1103" t="s">
        <v>246</v>
      </c>
      <c r="G1103" t="s">
        <v>885</v>
      </c>
      <c r="H1103" t="s">
        <v>3158</v>
      </c>
      <c r="I1103" s="7">
        <v>866</v>
      </c>
      <c r="J1103" s="7">
        <v>30000</v>
      </c>
      <c r="K1103" s="7">
        <v>2</v>
      </c>
      <c r="L1103" t="s">
        <v>247</v>
      </c>
      <c r="M1103" t="s">
        <v>261</v>
      </c>
      <c r="N1103" s="7">
        <v>796366</v>
      </c>
      <c r="O1103" t="s">
        <v>1871</v>
      </c>
      <c r="P1103" t="s">
        <v>1872</v>
      </c>
      <c r="S1103" t="s">
        <v>3726</v>
      </c>
      <c r="T1103" t="s">
        <v>3727</v>
      </c>
      <c r="U1103" t="s">
        <v>3728</v>
      </c>
      <c r="V1103" s="8">
        <v>1250</v>
      </c>
      <c r="W1103" s="7">
        <v>589463</v>
      </c>
      <c r="X1103" t="s">
        <v>4441</v>
      </c>
      <c r="Y1103" s="8">
        <v>1250</v>
      </c>
      <c r="Z1103" s="8">
        <v>1475</v>
      </c>
      <c r="AA1103" s="8">
        <v>225</v>
      </c>
      <c r="AB1103" s="7">
        <v>112930</v>
      </c>
      <c r="AC1103" t="s">
        <v>4441</v>
      </c>
      <c r="AD1103" s="8">
        <v>0</v>
      </c>
      <c r="AG1103" t="s">
        <v>817</v>
      </c>
      <c r="AH1103" t="s">
        <v>802</v>
      </c>
      <c r="AI1103" t="s">
        <v>818</v>
      </c>
    </row>
    <row r="1104" spans="1:35" hidden="1">
      <c r="A1104" s="7">
        <v>1103</v>
      </c>
      <c r="B1104" t="s">
        <v>243</v>
      </c>
      <c r="C1104" t="s">
        <v>244</v>
      </c>
      <c r="D1104" s="7">
        <v>7134</v>
      </c>
      <c r="E1104" t="s">
        <v>245</v>
      </c>
      <c r="F1104" t="s">
        <v>246</v>
      </c>
      <c r="G1104" t="s">
        <v>1457</v>
      </c>
      <c r="H1104" t="s">
        <v>3729</v>
      </c>
      <c r="I1104" s="7">
        <v>860</v>
      </c>
      <c r="J1104" s="7">
        <v>34717</v>
      </c>
      <c r="K1104" s="7">
        <v>2</v>
      </c>
      <c r="L1104" t="s">
        <v>247</v>
      </c>
      <c r="M1104" t="s">
        <v>261</v>
      </c>
      <c r="N1104" s="7">
        <v>798115</v>
      </c>
      <c r="O1104" t="s">
        <v>1876</v>
      </c>
      <c r="P1104" t="s">
        <v>1877</v>
      </c>
      <c r="Q1104" t="s">
        <v>908</v>
      </c>
      <c r="R1104" t="s">
        <v>909</v>
      </c>
      <c r="S1104" t="s">
        <v>3726</v>
      </c>
      <c r="T1104" t="s">
        <v>3727</v>
      </c>
      <c r="U1104" t="s">
        <v>3728</v>
      </c>
      <c r="V1104" s="8">
        <v>1250</v>
      </c>
      <c r="W1104" s="7">
        <v>589463</v>
      </c>
      <c r="X1104" t="s">
        <v>4441</v>
      </c>
      <c r="Y1104" s="8">
        <v>1000</v>
      </c>
      <c r="Z1104" s="8">
        <v>1475</v>
      </c>
      <c r="AA1104" s="8">
        <v>225</v>
      </c>
      <c r="AB1104" s="7">
        <v>112930</v>
      </c>
      <c r="AC1104" t="s">
        <v>4441</v>
      </c>
      <c r="AD1104" s="8">
        <v>250</v>
      </c>
      <c r="AG1104" t="s">
        <v>817</v>
      </c>
      <c r="AH1104" t="s">
        <v>802</v>
      </c>
      <c r="AI1104" t="s">
        <v>818</v>
      </c>
    </row>
    <row r="1105" spans="1:35" hidden="1">
      <c r="A1105" s="7">
        <v>1104</v>
      </c>
      <c r="B1105" t="s">
        <v>243</v>
      </c>
      <c r="C1105" t="s">
        <v>244</v>
      </c>
      <c r="D1105" s="7">
        <v>7134</v>
      </c>
      <c r="E1105" t="s">
        <v>245</v>
      </c>
      <c r="F1105" t="s">
        <v>246</v>
      </c>
      <c r="G1105" t="s">
        <v>1421</v>
      </c>
      <c r="H1105" t="s">
        <v>3076</v>
      </c>
      <c r="I1105" s="7">
        <v>1165</v>
      </c>
      <c r="J1105" s="7">
        <v>83817</v>
      </c>
      <c r="K1105" s="7">
        <v>11</v>
      </c>
      <c r="L1105" t="s">
        <v>247</v>
      </c>
      <c r="M1105" t="s">
        <v>252</v>
      </c>
      <c r="N1105" s="7">
        <v>319649</v>
      </c>
      <c r="O1105" t="s">
        <v>1422</v>
      </c>
      <c r="P1105" t="s">
        <v>1423</v>
      </c>
      <c r="S1105" t="s">
        <v>3726</v>
      </c>
      <c r="T1105" t="s">
        <v>3727</v>
      </c>
      <c r="U1105" t="s">
        <v>3728</v>
      </c>
      <c r="V1105" s="8">
        <v>1250</v>
      </c>
      <c r="W1105" s="7">
        <v>589463</v>
      </c>
      <c r="X1105" t="s">
        <v>4441</v>
      </c>
      <c r="Y1105" s="8">
        <v>1250</v>
      </c>
      <c r="Z1105" s="8">
        <v>1475</v>
      </c>
      <c r="AA1105" s="8">
        <v>225</v>
      </c>
      <c r="AB1105" s="7">
        <v>112930</v>
      </c>
      <c r="AC1105" t="s">
        <v>4441</v>
      </c>
      <c r="AD1105" s="8">
        <v>0</v>
      </c>
      <c r="AG1105" t="s">
        <v>937</v>
      </c>
      <c r="AH1105" t="s">
        <v>802</v>
      </c>
      <c r="AI1105" t="s">
        <v>818</v>
      </c>
    </row>
    <row r="1106" spans="1:35" hidden="1">
      <c r="A1106" s="7">
        <v>1105</v>
      </c>
      <c r="B1106" t="s">
        <v>243</v>
      </c>
      <c r="C1106" t="s">
        <v>244</v>
      </c>
      <c r="D1106" s="7">
        <v>7134</v>
      </c>
      <c r="E1106" t="s">
        <v>245</v>
      </c>
      <c r="F1106" t="s">
        <v>246</v>
      </c>
      <c r="G1106" t="s">
        <v>1396</v>
      </c>
      <c r="H1106" t="s">
        <v>3737</v>
      </c>
      <c r="I1106" s="7">
        <v>1165</v>
      </c>
      <c r="J1106" s="7">
        <v>16373</v>
      </c>
      <c r="K1106" s="7">
        <v>3</v>
      </c>
      <c r="L1106" t="s">
        <v>247</v>
      </c>
      <c r="M1106" t="s">
        <v>361</v>
      </c>
      <c r="N1106" s="7">
        <v>5926</v>
      </c>
      <c r="O1106" t="s">
        <v>1397</v>
      </c>
      <c r="P1106" t="s">
        <v>1398</v>
      </c>
      <c r="S1106" t="s">
        <v>3726</v>
      </c>
      <c r="T1106" t="s">
        <v>3727</v>
      </c>
      <c r="U1106" t="s">
        <v>3728</v>
      </c>
      <c r="V1106" s="8">
        <v>1650</v>
      </c>
      <c r="W1106" s="7">
        <v>589463</v>
      </c>
      <c r="X1106" t="s">
        <v>4441</v>
      </c>
      <c r="Y1106" s="8">
        <v>1650</v>
      </c>
      <c r="Z1106" s="8">
        <v>1947</v>
      </c>
      <c r="AA1106" s="8">
        <v>297</v>
      </c>
      <c r="AB1106" s="7">
        <v>112930</v>
      </c>
      <c r="AC1106" t="s">
        <v>4441</v>
      </c>
      <c r="AD1106" s="8">
        <v>0</v>
      </c>
      <c r="AG1106" t="s">
        <v>823</v>
      </c>
      <c r="AH1106" t="s">
        <v>802</v>
      </c>
      <c r="AI1106" t="s">
        <v>818</v>
      </c>
    </row>
    <row r="1107" spans="1:35" hidden="1">
      <c r="A1107" s="7">
        <v>1106</v>
      </c>
      <c r="B1107" t="s">
        <v>243</v>
      </c>
      <c r="C1107" t="s">
        <v>244</v>
      </c>
      <c r="D1107" s="7">
        <v>7134</v>
      </c>
      <c r="E1107" t="s">
        <v>245</v>
      </c>
      <c r="F1107" t="s">
        <v>246</v>
      </c>
      <c r="G1107" t="s">
        <v>1224</v>
      </c>
      <c r="H1107" t="s">
        <v>3076</v>
      </c>
      <c r="I1107" s="7">
        <v>852</v>
      </c>
      <c r="J1107" s="7">
        <v>32100</v>
      </c>
      <c r="K1107" s="7">
        <v>2</v>
      </c>
      <c r="L1107" t="s">
        <v>247</v>
      </c>
      <c r="M1107" t="s">
        <v>261</v>
      </c>
      <c r="N1107" s="7">
        <v>797765</v>
      </c>
      <c r="O1107" t="s">
        <v>1809</v>
      </c>
      <c r="P1107" t="s">
        <v>1810</v>
      </c>
      <c r="Q1107" t="s">
        <v>908</v>
      </c>
      <c r="R1107" t="s">
        <v>909</v>
      </c>
      <c r="S1107" t="s">
        <v>3726</v>
      </c>
      <c r="T1107" t="s">
        <v>3727</v>
      </c>
      <c r="U1107" t="s">
        <v>3728</v>
      </c>
      <c r="V1107" s="8">
        <v>1250</v>
      </c>
      <c r="W1107" s="7">
        <v>589463</v>
      </c>
      <c r="X1107" t="s">
        <v>4441</v>
      </c>
      <c r="Y1107" s="8">
        <v>1000</v>
      </c>
      <c r="Z1107" s="8">
        <v>1475</v>
      </c>
      <c r="AA1107" s="8">
        <v>225</v>
      </c>
      <c r="AB1107" s="7">
        <v>112930</v>
      </c>
      <c r="AC1107" t="s">
        <v>4441</v>
      </c>
      <c r="AD1107" s="8">
        <v>250</v>
      </c>
      <c r="AG1107" t="s">
        <v>817</v>
      </c>
      <c r="AH1107" t="s">
        <v>802</v>
      </c>
      <c r="AI1107" t="s">
        <v>818</v>
      </c>
    </row>
    <row r="1108" spans="1:35" hidden="1">
      <c r="A1108" s="7">
        <v>1107</v>
      </c>
      <c r="B1108" t="s">
        <v>243</v>
      </c>
      <c r="C1108" t="s">
        <v>244</v>
      </c>
      <c r="D1108" s="7">
        <v>7134</v>
      </c>
      <c r="E1108" t="s">
        <v>245</v>
      </c>
      <c r="F1108" t="s">
        <v>246</v>
      </c>
      <c r="G1108" t="s">
        <v>278</v>
      </c>
      <c r="H1108" t="s">
        <v>3729</v>
      </c>
      <c r="I1108" s="7">
        <v>825</v>
      </c>
      <c r="J1108" s="7">
        <v>32109</v>
      </c>
      <c r="K1108" s="7">
        <v>2</v>
      </c>
      <c r="L1108" t="s">
        <v>247</v>
      </c>
      <c r="M1108" t="s">
        <v>261</v>
      </c>
      <c r="N1108" s="7">
        <v>797853</v>
      </c>
      <c r="O1108" t="s">
        <v>2208</v>
      </c>
      <c r="P1108" t="s">
        <v>2209</v>
      </c>
      <c r="Q1108" t="s">
        <v>908</v>
      </c>
      <c r="R1108" t="s">
        <v>909</v>
      </c>
      <c r="S1108" t="s">
        <v>3726</v>
      </c>
      <c r="T1108" t="s">
        <v>3727</v>
      </c>
      <c r="U1108" t="s">
        <v>3728</v>
      </c>
      <c r="V1108" s="8">
        <v>1250</v>
      </c>
      <c r="W1108" s="7">
        <v>589463</v>
      </c>
      <c r="X1108" t="s">
        <v>4441</v>
      </c>
      <c r="Y1108" s="8">
        <v>1000</v>
      </c>
      <c r="Z1108" s="8">
        <v>1475</v>
      </c>
      <c r="AA1108" s="8">
        <v>225</v>
      </c>
      <c r="AB1108" s="7">
        <v>112930</v>
      </c>
      <c r="AC1108" t="s">
        <v>4441</v>
      </c>
      <c r="AD1108" s="8">
        <v>250</v>
      </c>
      <c r="AG1108" t="s">
        <v>817</v>
      </c>
      <c r="AH1108" t="s">
        <v>802</v>
      </c>
      <c r="AI1108" t="s">
        <v>818</v>
      </c>
    </row>
    <row r="1109" spans="1:35" hidden="1">
      <c r="A1109" s="7">
        <v>1108</v>
      </c>
      <c r="B1109" t="s">
        <v>243</v>
      </c>
      <c r="C1109" t="s">
        <v>244</v>
      </c>
      <c r="D1109" s="7">
        <v>7134</v>
      </c>
      <c r="E1109" t="s">
        <v>245</v>
      </c>
      <c r="F1109" t="s">
        <v>246</v>
      </c>
      <c r="G1109" t="s">
        <v>1302</v>
      </c>
      <c r="H1109" t="s">
        <v>3744</v>
      </c>
      <c r="I1109" s="7">
        <v>1165</v>
      </c>
      <c r="J1109" s="7">
        <v>51150</v>
      </c>
      <c r="K1109" s="7">
        <v>6</v>
      </c>
      <c r="L1109" t="s">
        <v>247</v>
      </c>
      <c r="M1109" t="s">
        <v>361</v>
      </c>
      <c r="N1109" s="7">
        <v>5240</v>
      </c>
      <c r="O1109" t="s">
        <v>1303</v>
      </c>
      <c r="P1109" t="s">
        <v>1304</v>
      </c>
      <c r="S1109" t="s">
        <v>3726</v>
      </c>
      <c r="T1109" t="s">
        <v>3727</v>
      </c>
      <c r="U1109" t="s">
        <v>3728</v>
      </c>
      <c r="V1109" s="8">
        <v>0</v>
      </c>
      <c r="W1109" s="7">
        <v>589463</v>
      </c>
      <c r="X1109" t="s">
        <v>4441</v>
      </c>
      <c r="Y1109" s="8">
        <v>0</v>
      </c>
      <c r="Z1109" s="8">
        <v>0</v>
      </c>
      <c r="AA1109" s="8">
        <v>0</v>
      </c>
      <c r="AB1109" s="7">
        <v>112930</v>
      </c>
      <c r="AC1109" t="s">
        <v>4441</v>
      </c>
      <c r="AD1109" s="8">
        <v>0</v>
      </c>
      <c r="AG1109" t="s">
        <v>823</v>
      </c>
      <c r="AH1109" t="s">
        <v>802</v>
      </c>
      <c r="AI1109" t="s">
        <v>803</v>
      </c>
    </row>
    <row r="1110" spans="1:35" hidden="1">
      <c r="A1110" s="7">
        <v>1109</v>
      </c>
      <c r="B1110" t="s">
        <v>243</v>
      </c>
      <c r="C1110" t="s">
        <v>244</v>
      </c>
      <c r="D1110" s="7">
        <v>7134</v>
      </c>
      <c r="E1110" t="s">
        <v>245</v>
      </c>
      <c r="F1110" t="s">
        <v>246</v>
      </c>
      <c r="G1110" t="s">
        <v>263</v>
      </c>
      <c r="H1110" t="s">
        <v>3076</v>
      </c>
      <c r="I1110" s="7">
        <v>895</v>
      </c>
      <c r="J1110" s="7">
        <v>29936</v>
      </c>
      <c r="K1110" s="7">
        <v>2</v>
      </c>
      <c r="L1110" t="s">
        <v>247</v>
      </c>
      <c r="M1110" t="s">
        <v>261</v>
      </c>
      <c r="N1110" s="7">
        <v>798680</v>
      </c>
      <c r="O1110" t="s">
        <v>1856</v>
      </c>
      <c r="P1110" t="s">
        <v>1857</v>
      </c>
      <c r="S1110" t="s">
        <v>3726</v>
      </c>
      <c r="T1110" t="s">
        <v>3727</v>
      </c>
      <c r="U1110" t="s">
        <v>3728</v>
      </c>
      <c r="V1110" s="8">
        <v>1250</v>
      </c>
      <c r="W1110" s="7">
        <v>589463</v>
      </c>
      <c r="X1110" t="s">
        <v>4441</v>
      </c>
      <c r="Y1110" s="8">
        <v>1250</v>
      </c>
      <c r="Z1110" s="8">
        <v>1475</v>
      </c>
      <c r="AA1110" s="8">
        <v>225</v>
      </c>
      <c r="AB1110" s="7">
        <v>112930</v>
      </c>
      <c r="AC1110" t="s">
        <v>4441</v>
      </c>
      <c r="AD1110" s="8">
        <v>0</v>
      </c>
      <c r="AG1110" t="s">
        <v>817</v>
      </c>
      <c r="AH1110" t="s">
        <v>802</v>
      </c>
      <c r="AI1110" t="s">
        <v>818</v>
      </c>
    </row>
    <row r="1111" spans="1:35" hidden="1">
      <c r="A1111" s="7">
        <v>1110</v>
      </c>
      <c r="B1111" t="s">
        <v>243</v>
      </c>
      <c r="C1111" t="s">
        <v>244</v>
      </c>
      <c r="D1111" s="7">
        <v>7134</v>
      </c>
      <c r="E1111" t="s">
        <v>245</v>
      </c>
      <c r="F1111" t="s">
        <v>246</v>
      </c>
      <c r="G1111" t="s">
        <v>293</v>
      </c>
      <c r="H1111" t="s">
        <v>3457</v>
      </c>
      <c r="I1111" s="7">
        <v>1165</v>
      </c>
      <c r="J1111" s="7">
        <v>7749</v>
      </c>
      <c r="K1111" s="7">
        <v>1</v>
      </c>
      <c r="L1111" t="s">
        <v>247</v>
      </c>
      <c r="M1111" t="s">
        <v>267</v>
      </c>
      <c r="N1111" s="7">
        <v>784996</v>
      </c>
      <c r="O1111" t="s">
        <v>295</v>
      </c>
      <c r="P1111" t="s">
        <v>296</v>
      </c>
      <c r="Q1111" t="s">
        <v>870</v>
      </c>
      <c r="R1111" t="s">
        <v>871</v>
      </c>
      <c r="S1111" t="s">
        <v>3726</v>
      </c>
      <c r="T1111" t="s">
        <v>3727</v>
      </c>
      <c r="U1111" t="s">
        <v>3728</v>
      </c>
      <c r="V1111" s="8">
        <v>1250</v>
      </c>
      <c r="W1111" s="7">
        <v>589463</v>
      </c>
      <c r="X1111" t="s">
        <v>4441</v>
      </c>
      <c r="Y1111" s="8">
        <v>1000</v>
      </c>
      <c r="Z1111" s="8">
        <v>1475</v>
      </c>
      <c r="AA1111" s="8">
        <v>225</v>
      </c>
      <c r="AB1111" s="7">
        <v>112930</v>
      </c>
      <c r="AC1111" t="s">
        <v>4441</v>
      </c>
      <c r="AD1111" s="8">
        <v>250</v>
      </c>
      <c r="AG1111" t="s">
        <v>828</v>
      </c>
      <c r="AH1111" t="s">
        <v>802</v>
      </c>
      <c r="AI1111" t="s">
        <v>818</v>
      </c>
    </row>
    <row r="1112" spans="1:35" hidden="1">
      <c r="A1112" s="7">
        <v>1111</v>
      </c>
      <c r="B1112" t="s">
        <v>243</v>
      </c>
      <c r="C1112" t="s">
        <v>244</v>
      </c>
      <c r="D1112" s="7">
        <v>7134</v>
      </c>
      <c r="E1112" t="s">
        <v>245</v>
      </c>
      <c r="F1112" t="s">
        <v>246</v>
      </c>
      <c r="G1112" t="s">
        <v>985</v>
      </c>
      <c r="H1112" t="s">
        <v>3741</v>
      </c>
      <c r="I1112" s="7">
        <v>1165</v>
      </c>
      <c r="J1112" s="7">
        <v>90000</v>
      </c>
      <c r="K1112" s="7">
        <v>9</v>
      </c>
      <c r="L1112" t="s">
        <v>247</v>
      </c>
      <c r="M1112" t="s">
        <v>361</v>
      </c>
      <c r="N1112" s="7">
        <v>2040</v>
      </c>
      <c r="O1112" t="s">
        <v>986</v>
      </c>
      <c r="P1112" t="s">
        <v>987</v>
      </c>
      <c r="S1112" t="s">
        <v>3726</v>
      </c>
      <c r="T1112" t="s">
        <v>3727</v>
      </c>
      <c r="U1112" t="s">
        <v>3728</v>
      </c>
      <c r="V1112" s="8">
        <v>0</v>
      </c>
      <c r="W1112" s="7">
        <v>589463</v>
      </c>
      <c r="X1112" t="s">
        <v>4441</v>
      </c>
      <c r="Y1112" s="8">
        <v>0</v>
      </c>
      <c r="Z1112" s="8">
        <v>0</v>
      </c>
      <c r="AA1112" s="8">
        <v>0</v>
      </c>
      <c r="AB1112" s="7">
        <v>112930</v>
      </c>
      <c r="AC1112" t="s">
        <v>4441</v>
      </c>
      <c r="AD1112" s="8">
        <v>0</v>
      </c>
      <c r="AG1112" t="s">
        <v>823</v>
      </c>
      <c r="AH1112" t="s">
        <v>802</v>
      </c>
      <c r="AI1112" t="s">
        <v>803</v>
      </c>
    </row>
    <row r="1113" spans="1:35" hidden="1">
      <c r="A1113" s="7">
        <v>1112</v>
      </c>
      <c r="B1113" t="s">
        <v>243</v>
      </c>
      <c r="C1113" t="s">
        <v>244</v>
      </c>
      <c r="D1113" s="7">
        <v>7134</v>
      </c>
      <c r="E1113" t="s">
        <v>245</v>
      </c>
      <c r="F1113" t="s">
        <v>246</v>
      </c>
      <c r="G1113" t="s">
        <v>1224</v>
      </c>
      <c r="H1113" t="s">
        <v>3729</v>
      </c>
      <c r="I1113" s="7">
        <v>860</v>
      </c>
      <c r="J1113" s="7">
        <v>32009</v>
      </c>
      <c r="K1113" s="7">
        <v>2</v>
      </c>
      <c r="L1113" t="s">
        <v>247</v>
      </c>
      <c r="M1113" t="s">
        <v>261</v>
      </c>
      <c r="N1113" s="7">
        <v>797770</v>
      </c>
      <c r="O1113" t="s">
        <v>1821</v>
      </c>
      <c r="P1113" t="s">
        <v>1822</v>
      </c>
      <c r="Q1113" t="s">
        <v>908</v>
      </c>
      <c r="R1113" t="s">
        <v>909</v>
      </c>
      <c r="S1113" t="s">
        <v>3726</v>
      </c>
      <c r="T1113" t="s">
        <v>3727</v>
      </c>
      <c r="U1113" t="s">
        <v>3728</v>
      </c>
      <c r="V1113" s="8">
        <v>1250</v>
      </c>
      <c r="W1113" s="7">
        <v>589463</v>
      </c>
      <c r="X1113" t="s">
        <v>4441</v>
      </c>
      <c r="Y1113" s="8">
        <v>1000</v>
      </c>
      <c r="Z1113" s="8">
        <v>1475</v>
      </c>
      <c r="AA1113" s="8">
        <v>225</v>
      </c>
      <c r="AB1113" s="7">
        <v>112930</v>
      </c>
      <c r="AC1113" t="s">
        <v>4441</v>
      </c>
      <c r="AD1113" s="8">
        <v>250</v>
      </c>
      <c r="AG1113" t="s">
        <v>817</v>
      </c>
      <c r="AH1113" t="s">
        <v>802</v>
      </c>
      <c r="AI1113" t="s">
        <v>818</v>
      </c>
    </row>
    <row r="1114" spans="1:35" hidden="1">
      <c r="A1114" s="7">
        <v>1113</v>
      </c>
      <c r="B1114" t="s">
        <v>243</v>
      </c>
      <c r="C1114" t="s">
        <v>244</v>
      </c>
      <c r="D1114" s="7">
        <v>7134</v>
      </c>
      <c r="E1114" t="s">
        <v>245</v>
      </c>
      <c r="F1114" t="s">
        <v>246</v>
      </c>
      <c r="G1114" t="s">
        <v>849</v>
      </c>
      <c r="H1114" t="s">
        <v>3158</v>
      </c>
      <c r="I1114" s="7">
        <v>1165</v>
      </c>
      <c r="J1114" s="7">
        <v>53510</v>
      </c>
      <c r="K1114" s="7">
        <v>6</v>
      </c>
      <c r="L1114" t="s">
        <v>247</v>
      </c>
      <c r="M1114" t="s">
        <v>267</v>
      </c>
      <c r="N1114" s="7">
        <v>789775</v>
      </c>
      <c r="O1114" t="s">
        <v>1402</v>
      </c>
      <c r="P1114" t="s">
        <v>1403</v>
      </c>
      <c r="Q1114" t="s">
        <v>283</v>
      </c>
      <c r="R1114" t="s">
        <v>1062</v>
      </c>
      <c r="S1114" t="s">
        <v>3726</v>
      </c>
      <c r="T1114" t="s">
        <v>3727</v>
      </c>
      <c r="U1114" t="s">
        <v>3728</v>
      </c>
      <c r="V1114" s="8">
        <v>0</v>
      </c>
      <c r="W1114" s="7">
        <v>589463</v>
      </c>
      <c r="X1114" t="s">
        <v>4441</v>
      </c>
      <c r="Y1114" s="8">
        <v>0</v>
      </c>
      <c r="Z1114" s="8">
        <v>0</v>
      </c>
      <c r="AA1114" s="8">
        <v>0</v>
      </c>
      <c r="AB1114" s="7">
        <v>112930</v>
      </c>
      <c r="AC1114" t="s">
        <v>4441</v>
      </c>
      <c r="AD1114" s="8">
        <v>0</v>
      </c>
      <c r="AG1114" t="s">
        <v>828</v>
      </c>
      <c r="AH1114" t="s">
        <v>802</v>
      </c>
      <c r="AI1114" t="s">
        <v>803</v>
      </c>
    </row>
    <row r="1115" spans="1:35" hidden="1">
      <c r="A1115" s="7">
        <v>1114</v>
      </c>
      <c r="B1115" t="s">
        <v>243</v>
      </c>
      <c r="C1115" t="s">
        <v>244</v>
      </c>
      <c r="D1115" s="7">
        <v>7134</v>
      </c>
      <c r="E1115" t="s">
        <v>245</v>
      </c>
      <c r="F1115" t="s">
        <v>246</v>
      </c>
      <c r="G1115" t="s">
        <v>278</v>
      </c>
      <c r="H1115" t="s">
        <v>3737</v>
      </c>
      <c r="I1115" s="7">
        <v>1165</v>
      </c>
      <c r="J1115" s="7">
        <v>30000</v>
      </c>
      <c r="K1115" s="7">
        <v>3</v>
      </c>
      <c r="L1115" t="s">
        <v>247</v>
      </c>
      <c r="M1115" t="s">
        <v>252</v>
      </c>
      <c r="N1115" s="7">
        <v>327370</v>
      </c>
      <c r="O1115" t="s">
        <v>352</v>
      </c>
      <c r="P1115" t="s">
        <v>353</v>
      </c>
      <c r="S1115" t="s">
        <v>3726</v>
      </c>
      <c r="T1115" t="s">
        <v>3727</v>
      </c>
      <c r="U1115" t="s">
        <v>3728</v>
      </c>
      <c r="V1115" s="8">
        <v>1250</v>
      </c>
      <c r="W1115" s="7">
        <v>589463</v>
      </c>
      <c r="X1115" t="s">
        <v>4441</v>
      </c>
      <c r="Y1115" s="8">
        <v>1250</v>
      </c>
      <c r="Z1115" s="8">
        <v>1475</v>
      </c>
      <c r="AA1115" s="8">
        <v>225</v>
      </c>
      <c r="AB1115" s="7">
        <v>112930</v>
      </c>
      <c r="AC1115" t="s">
        <v>4441</v>
      </c>
      <c r="AD1115" s="8">
        <v>0</v>
      </c>
      <c r="AG1115" t="s">
        <v>937</v>
      </c>
      <c r="AH1115" t="s">
        <v>802</v>
      </c>
      <c r="AI1115" t="s">
        <v>818</v>
      </c>
    </row>
    <row r="1116" spans="1:35" hidden="1">
      <c r="A1116" s="7">
        <v>1115</v>
      </c>
      <c r="B1116" t="s">
        <v>243</v>
      </c>
      <c r="C1116" t="s">
        <v>244</v>
      </c>
      <c r="D1116" s="7">
        <v>7134</v>
      </c>
      <c r="E1116" t="s">
        <v>245</v>
      </c>
      <c r="F1116" t="s">
        <v>246</v>
      </c>
      <c r="G1116" t="s">
        <v>1194</v>
      </c>
      <c r="H1116" t="s">
        <v>3735</v>
      </c>
      <c r="I1116" s="7">
        <v>1165</v>
      </c>
      <c r="J1116" s="7">
        <v>108570</v>
      </c>
      <c r="K1116" s="7">
        <v>11</v>
      </c>
      <c r="L1116" t="s">
        <v>247</v>
      </c>
      <c r="M1116" t="s">
        <v>261</v>
      </c>
      <c r="N1116" s="7">
        <v>773372</v>
      </c>
      <c r="O1116" t="s">
        <v>1195</v>
      </c>
      <c r="P1116" t="s">
        <v>1196</v>
      </c>
      <c r="S1116" t="s">
        <v>3726</v>
      </c>
      <c r="T1116" t="s">
        <v>3727</v>
      </c>
      <c r="U1116" t="s">
        <v>3728</v>
      </c>
      <c r="V1116" s="8">
        <v>1250</v>
      </c>
      <c r="W1116" s="7">
        <v>589463</v>
      </c>
      <c r="X1116" t="s">
        <v>4441</v>
      </c>
      <c r="Y1116" s="8">
        <v>1250</v>
      </c>
      <c r="Z1116" s="8">
        <v>1475</v>
      </c>
      <c r="AA1116" s="8">
        <v>225</v>
      </c>
      <c r="AB1116" s="7">
        <v>112930</v>
      </c>
      <c r="AC1116" t="s">
        <v>4441</v>
      </c>
      <c r="AD1116" s="8">
        <v>0</v>
      </c>
      <c r="AG1116" t="s">
        <v>801</v>
      </c>
      <c r="AH1116" t="s">
        <v>802</v>
      </c>
      <c r="AI1116" t="s">
        <v>818</v>
      </c>
    </row>
    <row r="1117" spans="1:35" hidden="1">
      <c r="A1117" s="7">
        <v>1116</v>
      </c>
      <c r="B1117" t="s">
        <v>243</v>
      </c>
      <c r="C1117" t="s">
        <v>244</v>
      </c>
      <c r="D1117" s="7">
        <v>7134</v>
      </c>
      <c r="E1117" t="s">
        <v>245</v>
      </c>
      <c r="F1117" t="s">
        <v>246</v>
      </c>
      <c r="G1117" t="s">
        <v>333</v>
      </c>
      <c r="H1117" t="s">
        <v>3351</v>
      </c>
      <c r="I1117" s="7">
        <v>1165</v>
      </c>
      <c r="J1117" s="7">
        <v>8361</v>
      </c>
      <c r="K1117" s="7">
        <v>3</v>
      </c>
      <c r="L1117" t="s">
        <v>247</v>
      </c>
      <c r="M1117" t="s">
        <v>252</v>
      </c>
      <c r="N1117" s="7">
        <v>328028</v>
      </c>
      <c r="O1117" t="s">
        <v>335</v>
      </c>
      <c r="P1117" t="s">
        <v>336</v>
      </c>
      <c r="S1117" t="s">
        <v>3726</v>
      </c>
      <c r="T1117" t="s">
        <v>3727</v>
      </c>
      <c r="U1117" t="s">
        <v>3728</v>
      </c>
      <c r="V1117" s="8">
        <v>1250</v>
      </c>
      <c r="W1117" s="7">
        <v>589463</v>
      </c>
      <c r="X1117" t="s">
        <v>4441</v>
      </c>
      <c r="Y1117" s="8">
        <v>1250</v>
      </c>
      <c r="Z1117" s="8">
        <v>1475</v>
      </c>
      <c r="AA1117" s="8">
        <v>225</v>
      </c>
      <c r="AB1117" s="7">
        <v>112930</v>
      </c>
      <c r="AC1117" t="s">
        <v>4441</v>
      </c>
      <c r="AD1117" s="8">
        <v>0</v>
      </c>
      <c r="AG1117" t="s">
        <v>937</v>
      </c>
      <c r="AH1117" t="s">
        <v>802</v>
      </c>
      <c r="AI1117" t="s">
        <v>818</v>
      </c>
    </row>
    <row r="1118" spans="1:35" hidden="1">
      <c r="A1118" s="7">
        <v>1117</v>
      </c>
      <c r="B1118" t="s">
        <v>243</v>
      </c>
      <c r="C1118" t="s">
        <v>244</v>
      </c>
      <c r="D1118" s="7">
        <v>7134</v>
      </c>
      <c r="E1118" t="s">
        <v>245</v>
      </c>
      <c r="F1118" t="s">
        <v>246</v>
      </c>
      <c r="G1118" t="s">
        <v>1224</v>
      </c>
      <c r="H1118" t="s">
        <v>3734</v>
      </c>
      <c r="I1118" s="7">
        <v>850</v>
      </c>
      <c r="J1118" s="7">
        <v>30000</v>
      </c>
      <c r="K1118" s="7">
        <v>2</v>
      </c>
      <c r="L1118" t="s">
        <v>247</v>
      </c>
      <c r="M1118" t="s">
        <v>261</v>
      </c>
      <c r="N1118" s="7">
        <v>797769</v>
      </c>
      <c r="O1118" t="s">
        <v>2134</v>
      </c>
      <c r="P1118" t="s">
        <v>2135</v>
      </c>
      <c r="S1118" t="s">
        <v>3726</v>
      </c>
      <c r="T1118" t="s">
        <v>3727</v>
      </c>
      <c r="U1118" t="s">
        <v>3728</v>
      </c>
      <c r="V1118" s="8">
        <v>1250</v>
      </c>
      <c r="W1118" s="7">
        <v>589463</v>
      </c>
      <c r="X1118" t="s">
        <v>4441</v>
      </c>
      <c r="Y1118" s="8">
        <v>1250</v>
      </c>
      <c r="Z1118" s="8">
        <v>1475</v>
      </c>
      <c r="AA1118" s="8">
        <v>225</v>
      </c>
      <c r="AB1118" s="7">
        <v>112930</v>
      </c>
      <c r="AC1118" t="s">
        <v>4441</v>
      </c>
      <c r="AD1118" s="8">
        <v>0</v>
      </c>
      <c r="AG1118" t="s">
        <v>817</v>
      </c>
      <c r="AH1118" t="s">
        <v>802</v>
      </c>
      <c r="AI1118" t="s">
        <v>818</v>
      </c>
    </row>
    <row r="1119" spans="1:35" hidden="1">
      <c r="A1119" s="7">
        <v>1118</v>
      </c>
      <c r="B1119" t="s">
        <v>243</v>
      </c>
      <c r="C1119" t="s">
        <v>244</v>
      </c>
      <c r="D1119" s="7">
        <v>7134</v>
      </c>
      <c r="E1119" t="s">
        <v>245</v>
      </c>
      <c r="F1119" t="s">
        <v>246</v>
      </c>
      <c r="G1119" t="s">
        <v>1101</v>
      </c>
      <c r="H1119" t="s">
        <v>3737</v>
      </c>
      <c r="I1119" s="7">
        <v>1165</v>
      </c>
      <c r="J1119" s="7">
        <v>50000</v>
      </c>
      <c r="K1119" s="7">
        <v>5</v>
      </c>
      <c r="L1119" t="s">
        <v>247</v>
      </c>
      <c r="M1119" t="s">
        <v>361</v>
      </c>
      <c r="N1119" s="7">
        <v>5597</v>
      </c>
      <c r="O1119" t="s">
        <v>1419</v>
      </c>
      <c r="P1119" t="s">
        <v>1420</v>
      </c>
      <c r="S1119" t="s">
        <v>3726</v>
      </c>
      <c r="T1119" t="s">
        <v>3727</v>
      </c>
      <c r="U1119" t="s">
        <v>3728</v>
      </c>
      <c r="V1119" s="8">
        <v>1650</v>
      </c>
      <c r="W1119" s="7">
        <v>589463</v>
      </c>
      <c r="X1119" t="s">
        <v>4441</v>
      </c>
      <c r="Y1119" s="8">
        <v>1650</v>
      </c>
      <c r="Z1119" s="8">
        <v>1947</v>
      </c>
      <c r="AA1119" s="8">
        <v>297</v>
      </c>
      <c r="AB1119" s="7">
        <v>112930</v>
      </c>
      <c r="AC1119" t="s">
        <v>4441</v>
      </c>
      <c r="AD1119" s="8">
        <v>0</v>
      </c>
      <c r="AG1119" t="s">
        <v>823</v>
      </c>
      <c r="AH1119" t="s">
        <v>802</v>
      </c>
      <c r="AI1119" t="s">
        <v>818</v>
      </c>
    </row>
    <row r="1120" spans="1:35" hidden="1">
      <c r="A1120" s="7">
        <v>1119</v>
      </c>
      <c r="B1120" t="s">
        <v>243</v>
      </c>
      <c r="C1120" t="s">
        <v>244</v>
      </c>
      <c r="D1120" s="7">
        <v>7134</v>
      </c>
      <c r="E1120" t="s">
        <v>245</v>
      </c>
      <c r="F1120" t="s">
        <v>246</v>
      </c>
      <c r="G1120" t="s">
        <v>284</v>
      </c>
      <c r="H1120" t="s">
        <v>3734</v>
      </c>
      <c r="I1120" s="7">
        <v>942</v>
      </c>
      <c r="J1120" s="7">
        <v>30000</v>
      </c>
      <c r="K1120" s="7">
        <v>2</v>
      </c>
      <c r="L1120" t="s">
        <v>247</v>
      </c>
      <c r="M1120" t="s">
        <v>261</v>
      </c>
      <c r="N1120" s="7">
        <v>796014</v>
      </c>
      <c r="O1120" t="s">
        <v>2174</v>
      </c>
      <c r="P1120" t="s">
        <v>2175</v>
      </c>
      <c r="S1120" t="s">
        <v>3726</v>
      </c>
      <c r="T1120" t="s">
        <v>3727</v>
      </c>
      <c r="U1120" t="s">
        <v>3728</v>
      </c>
      <c r="V1120" s="8">
        <v>1250</v>
      </c>
      <c r="W1120" s="7">
        <v>589463</v>
      </c>
      <c r="X1120" t="s">
        <v>4441</v>
      </c>
      <c r="Y1120" s="8">
        <v>1250</v>
      </c>
      <c r="Z1120" s="8">
        <v>1475</v>
      </c>
      <c r="AA1120" s="8">
        <v>225</v>
      </c>
      <c r="AB1120" s="7">
        <v>112930</v>
      </c>
      <c r="AC1120" t="s">
        <v>4441</v>
      </c>
      <c r="AD1120" s="8">
        <v>0</v>
      </c>
      <c r="AG1120" t="s">
        <v>817</v>
      </c>
      <c r="AH1120" t="s">
        <v>802</v>
      </c>
      <c r="AI1120" t="s">
        <v>818</v>
      </c>
    </row>
    <row r="1121" spans="1:35" hidden="1">
      <c r="A1121" s="7">
        <v>1120</v>
      </c>
      <c r="B1121" t="s">
        <v>243</v>
      </c>
      <c r="C1121" t="s">
        <v>244</v>
      </c>
      <c r="D1121" s="7">
        <v>7134</v>
      </c>
      <c r="E1121" t="s">
        <v>245</v>
      </c>
      <c r="F1121" t="s">
        <v>246</v>
      </c>
      <c r="G1121" t="s">
        <v>363</v>
      </c>
      <c r="H1121" t="s">
        <v>3738</v>
      </c>
      <c r="I1121" s="7">
        <v>873</v>
      </c>
      <c r="J1121" s="7">
        <v>29448</v>
      </c>
      <c r="K1121" s="7">
        <v>2</v>
      </c>
      <c r="L1121" t="s">
        <v>247</v>
      </c>
      <c r="M1121" t="s">
        <v>261</v>
      </c>
      <c r="N1121" s="7">
        <v>798608</v>
      </c>
      <c r="O1121" t="s">
        <v>1953</v>
      </c>
      <c r="P1121" t="s">
        <v>1954</v>
      </c>
      <c r="S1121" t="s">
        <v>3726</v>
      </c>
      <c r="T1121" t="s">
        <v>3727</v>
      </c>
      <c r="U1121" t="s">
        <v>3728</v>
      </c>
      <c r="V1121" s="8">
        <v>1250</v>
      </c>
      <c r="W1121" s="7">
        <v>589463</v>
      </c>
      <c r="X1121" t="s">
        <v>4441</v>
      </c>
      <c r="Y1121" s="8">
        <v>1250</v>
      </c>
      <c r="Z1121" s="8">
        <v>1475</v>
      </c>
      <c r="AA1121" s="8">
        <v>225</v>
      </c>
      <c r="AB1121" s="7">
        <v>112930</v>
      </c>
      <c r="AC1121" t="s">
        <v>4441</v>
      </c>
      <c r="AD1121" s="8">
        <v>0</v>
      </c>
      <c r="AG1121" t="s">
        <v>817</v>
      </c>
      <c r="AH1121" t="s">
        <v>802</v>
      </c>
      <c r="AI1121" t="s">
        <v>818</v>
      </c>
    </row>
    <row r="1122" spans="1:35" hidden="1">
      <c r="A1122" s="7">
        <v>1121</v>
      </c>
      <c r="B1122" t="s">
        <v>243</v>
      </c>
      <c r="C1122" t="s">
        <v>244</v>
      </c>
      <c r="D1122" s="7">
        <v>7134</v>
      </c>
      <c r="E1122" t="s">
        <v>245</v>
      </c>
      <c r="F1122" t="s">
        <v>246</v>
      </c>
      <c r="G1122" t="s">
        <v>1474</v>
      </c>
      <c r="H1122" t="s">
        <v>3735</v>
      </c>
      <c r="I1122" s="7">
        <v>1165</v>
      </c>
      <c r="J1122" s="7">
        <v>103617</v>
      </c>
      <c r="K1122" s="7">
        <v>10</v>
      </c>
      <c r="L1122" t="s">
        <v>247</v>
      </c>
      <c r="M1122" t="s">
        <v>261</v>
      </c>
      <c r="N1122" s="7">
        <v>785386</v>
      </c>
      <c r="O1122" t="s">
        <v>1564</v>
      </c>
      <c r="P1122" t="s">
        <v>1565</v>
      </c>
      <c r="Q1122" t="s">
        <v>908</v>
      </c>
      <c r="R1122" t="s">
        <v>909</v>
      </c>
      <c r="S1122" t="s">
        <v>3726</v>
      </c>
      <c r="T1122" t="s">
        <v>3727</v>
      </c>
      <c r="U1122" t="s">
        <v>3728</v>
      </c>
      <c r="V1122" s="8">
        <v>0</v>
      </c>
      <c r="W1122" s="7">
        <v>589463</v>
      </c>
      <c r="X1122" t="s">
        <v>4441</v>
      </c>
      <c r="Y1122" s="8">
        <v>0</v>
      </c>
      <c r="Z1122" s="8">
        <v>0</v>
      </c>
      <c r="AA1122" s="8">
        <v>0</v>
      </c>
      <c r="AB1122" s="7">
        <v>112930</v>
      </c>
      <c r="AC1122" t="s">
        <v>4441</v>
      </c>
      <c r="AD1122" s="8">
        <v>0</v>
      </c>
      <c r="AG1122" t="s">
        <v>801</v>
      </c>
      <c r="AH1122" t="s">
        <v>802</v>
      </c>
      <c r="AI1122" t="s">
        <v>803</v>
      </c>
    </row>
    <row r="1123" spans="1:35" hidden="1">
      <c r="A1123" s="7">
        <v>1122</v>
      </c>
      <c r="B1123" t="s">
        <v>243</v>
      </c>
      <c r="C1123" t="s">
        <v>244</v>
      </c>
      <c r="D1123" s="7">
        <v>7134</v>
      </c>
      <c r="E1123" t="s">
        <v>245</v>
      </c>
      <c r="F1123" t="s">
        <v>246</v>
      </c>
      <c r="G1123" t="s">
        <v>1328</v>
      </c>
      <c r="H1123" t="s">
        <v>3732</v>
      </c>
      <c r="I1123" s="7">
        <v>1165</v>
      </c>
      <c r="J1123" s="7">
        <v>106456</v>
      </c>
      <c r="K1123" s="7">
        <v>10</v>
      </c>
      <c r="L1123" t="s">
        <v>247</v>
      </c>
      <c r="M1123" t="s">
        <v>261</v>
      </c>
      <c r="N1123" s="7">
        <v>773702</v>
      </c>
      <c r="O1123" t="s">
        <v>1329</v>
      </c>
      <c r="P1123" t="s">
        <v>1330</v>
      </c>
      <c r="Q1123" t="s">
        <v>908</v>
      </c>
      <c r="R1123" t="s">
        <v>909</v>
      </c>
      <c r="S1123" t="s">
        <v>3726</v>
      </c>
      <c r="T1123" t="s">
        <v>3727</v>
      </c>
      <c r="U1123" t="s">
        <v>3728</v>
      </c>
      <c r="V1123" s="8">
        <v>0</v>
      </c>
      <c r="W1123" s="7">
        <v>589463</v>
      </c>
      <c r="X1123" t="s">
        <v>4441</v>
      </c>
      <c r="Y1123" s="8">
        <v>0</v>
      </c>
      <c r="Z1123" s="8">
        <v>0</v>
      </c>
      <c r="AA1123" s="8">
        <v>0</v>
      </c>
      <c r="AB1123" s="7">
        <v>112930</v>
      </c>
      <c r="AC1123" t="s">
        <v>4441</v>
      </c>
      <c r="AD1123" s="8">
        <v>0</v>
      </c>
      <c r="AG1123" t="s">
        <v>801</v>
      </c>
      <c r="AH1123" t="s">
        <v>802</v>
      </c>
      <c r="AI1123" t="s">
        <v>803</v>
      </c>
    </row>
    <row r="1124" spans="1:35" hidden="1">
      <c r="A1124" s="7">
        <v>1123</v>
      </c>
      <c r="B1124" t="s">
        <v>243</v>
      </c>
      <c r="C1124" t="s">
        <v>244</v>
      </c>
      <c r="D1124" s="7">
        <v>7134</v>
      </c>
      <c r="E1124" t="s">
        <v>245</v>
      </c>
      <c r="F1124" t="s">
        <v>246</v>
      </c>
      <c r="G1124" t="s">
        <v>1004</v>
      </c>
      <c r="H1124" t="s">
        <v>3729</v>
      </c>
      <c r="I1124" s="7">
        <v>1165</v>
      </c>
      <c r="J1124" s="7">
        <v>30000</v>
      </c>
      <c r="K1124" s="7">
        <v>3</v>
      </c>
      <c r="L1124" t="s">
        <v>247</v>
      </c>
      <c r="M1124" t="s">
        <v>361</v>
      </c>
      <c r="N1124" s="7">
        <v>6182</v>
      </c>
      <c r="O1124" t="s">
        <v>1183</v>
      </c>
      <c r="P1124" t="s">
        <v>1184</v>
      </c>
      <c r="S1124" t="s">
        <v>3726</v>
      </c>
      <c r="T1124" t="s">
        <v>3727</v>
      </c>
      <c r="U1124" t="s">
        <v>3728</v>
      </c>
      <c r="V1124" s="8">
        <v>1650</v>
      </c>
      <c r="W1124" s="7">
        <v>589463</v>
      </c>
      <c r="X1124" t="s">
        <v>4441</v>
      </c>
      <c r="Y1124" s="8">
        <v>1650</v>
      </c>
      <c r="Z1124" s="8">
        <v>1947</v>
      </c>
      <c r="AA1124" s="8">
        <v>297</v>
      </c>
      <c r="AB1124" s="7">
        <v>112930</v>
      </c>
      <c r="AC1124" t="s">
        <v>4441</v>
      </c>
      <c r="AD1124" s="8">
        <v>0</v>
      </c>
      <c r="AG1124" t="s">
        <v>823</v>
      </c>
      <c r="AH1124" t="s">
        <v>802</v>
      </c>
      <c r="AI1124" t="s">
        <v>818</v>
      </c>
    </row>
    <row r="1125" spans="1:35" hidden="1">
      <c r="A1125" s="7">
        <v>1124</v>
      </c>
      <c r="B1125" t="s">
        <v>243</v>
      </c>
      <c r="C1125" t="s">
        <v>244</v>
      </c>
      <c r="D1125" s="7">
        <v>7134</v>
      </c>
      <c r="E1125" t="s">
        <v>245</v>
      </c>
      <c r="F1125" t="s">
        <v>246</v>
      </c>
      <c r="G1125" t="s">
        <v>293</v>
      </c>
      <c r="H1125" t="s">
        <v>3731</v>
      </c>
      <c r="I1125" s="7">
        <v>1150</v>
      </c>
      <c r="J1125" s="7">
        <v>13820</v>
      </c>
      <c r="K1125" s="7">
        <v>3</v>
      </c>
      <c r="L1125" t="s">
        <v>247</v>
      </c>
      <c r="M1125" t="s">
        <v>261</v>
      </c>
      <c r="N1125" s="7">
        <v>778234</v>
      </c>
      <c r="O1125" t="s">
        <v>2210</v>
      </c>
      <c r="P1125" t="s">
        <v>2211</v>
      </c>
      <c r="S1125" t="s">
        <v>3726</v>
      </c>
      <c r="T1125" t="s">
        <v>3727</v>
      </c>
      <c r="U1125" t="s">
        <v>3728</v>
      </c>
      <c r="V1125" s="8">
        <v>1250</v>
      </c>
      <c r="W1125" s="7">
        <v>589463</v>
      </c>
      <c r="X1125" t="s">
        <v>4441</v>
      </c>
      <c r="Y1125" s="8">
        <v>1250</v>
      </c>
      <c r="Z1125" s="8">
        <v>1475</v>
      </c>
      <c r="AA1125" s="8">
        <v>225</v>
      </c>
      <c r="AB1125" s="7">
        <v>112930</v>
      </c>
      <c r="AC1125" t="s">
        <v>4441</v>
      </c>
      <c r="AD1125" s="8">
        <v>0</v>
      </c>
      <c r="AG1125" t="s">
        <v>808</v>
      </c>
      <c r="AH1125" t="s">
        <v>802</v>
      </c>
      <c r="AI1125" t="s">
        <v>818</v>
      </c>
    </row>
    <row r="1126" spans="1:35" hidden="1">
      <c r="A1126" s="7">
        <v>1125</v>
      </c>
      <c r="B1126" t="s">
        <v>243</v>
      </c>
      <c r="C1126" t="s">
        <v>244</v>
      </c>
      <c r="D1126" s="7">
        <v>7134</v>
      </c>
      <c r="E1126" t="s">
        <v>245</v>
      </c>
      <c r="F1126" t="s">
        <v>246</v>
      </c>
      <c r="G1126" t="s">
        <v>263</v>
      </c>
      <c r="H1126" t="s">
        <v>3734</v>
      </c>
      <c r="I1126" s="7">
        <v>955</v>
      </c>
      <c r="J1126" s="7">
        <v>31200</v>
      </c>
      <c r="K1126" s="7">
        <v>2</v>
      </c>
      <c r="L1126" t="s">
        <v>247</v>
      </c>
      <c r="M1126" t="s">
        <v>261</v>
      </c>
      <c r="N1126" s="7">
        <v>798734</v>
      </c>
      <c r="O1126" t="s">
        <v>2141</v>
      </c>
      <c r="P1126" t="s">
        <v>2142</v>
      </c>
      <c r="Q1126" t="s">
        <v>908</v>
      </c>
      <c r="R1126" t="s">
        <v>909</v>
      </c>
      <c r="S1126" t="s">
        <v>3726</v>
      </c>
      <c r="T1126" t="s">
        <v>3727</v>
      </c>
      <c r="U1126" t="s">
        <v>3728</v>
      </c>
      <c r="V1126" s="8">
        <v>1250</v>
      </c>
      <c r="W1126" s="7">
        <v>589463</v>
      </c>
      <c r="X1126" t="s">
        <v>4441</v>
      </c>
      <c r="Y1126" s="8">
        <v>1000</v>
      </c>
      <c r="Z1126" s="8">
        <v>1475</v>
      </c>
      <c r="AA1126" s="8">
        <v>225</v>
      </c>
      <c r="AB1126" s="7">
        <v>112930</v>
      </c>
      <c r="AC1126" t="s">
        <v>4441</v>
      </c>
      <c r="AD1126" s="8">
        <v>250</v>
      </c>
      <c r="AG1126" t="s">
        <v>817</v>
      </c>
      <c r="AH1126" t="s">
        <v>802</v>
      </c>
      <c r="AI1126" t="s">
        <v>818</v>
      </c>
    </row>
    <row r="1127" spans="1:35" hidden="1">
      <c r="A1127" s="7">
        <v>1126</v>
      </c>
      <c r="B1127" t="s">
        <v>243</v>
      </c>
      <c r="C1127" t="s">
        <v>244</v>
      </c>
      <c r="D1127" s="7">
        <v>7134</v>
      </c>
      <c r="E1127" t="s">
        <v>245</v>
      </c>
      <c r="F1127" t="s">
        <v>246</v>
      </c>
      <c r="G1127" t="s">
        <v>363</v>
      </c>
      <c r="H1127" t="s">
        <v>3738</v>
      </c>
      <c r="I1127" s="7">
        <v>872</v>
      </c>
      <c r="J1127" s="7">
        <v>30094</v>
      </c>
      <c r="K1127" s="7">
        <v>2</v>
      </c>
      <c r="L1127" t="s">
        <v>247</v>
      </c>
      <c r="M1127" t="s">
        <v>261</v>
      </c>
      <c r="N1127" s="7">
        <v>798677</v>
      </c>
      <c r="O1127" t="s">
        <v>2218</v>
      </c>
      <c r="P1127" t="s">
        <v>2219</v>
      </c>
      <c r="S1127" t="s">
        <v>3726</v>
      </c>
      <c r="T1127" t="s">
        <v>3727</v>
      </c>
      <c r="U1127" t="s">
        <v>3728</v>
      </c>
      <c r="V1127" s="8">
        <v>1250</v>
      </c>
      <c r="W1127" s="7">
        <v>589463</v>
      </c>
      <c r="X1127" t="s">
        <v>4441</v>
      </c>
      <c r="Y1127" s="8">
        <v>1250</v>
      </c>
      <c r="Z1127" s="8">
        <v>1475</v>
      </c>
      <c r="AA1127" s="8">
        <v>225</v>
      </c>
      <c r="AB1127" s="7">
        <v>112930</v>
      </c>
      <c r="AC1127" t="s">
        <v>4441</v>
      </c>
      <c r="AD1127" s="8">
        <v>0</v>
      </c>
      <c r="AG1127" t="s">
        <v>817</v>
      </c>
      <c r="AH1127" t="s">
        <v>802</v>
      </c>
      <c r="AI1127" t="s">
        <v>818</v>
      </c>
    </row>
    <row r="1128" spans="1:35" hidden="1">
      <c r="A1128" s="7">
        <v>1127</v>
      </c>
      <c r="B1128" t="s">
        <v>243</v>
      </c>
      <c r="C1128" t="s">
        <v>244</v>
      </c>
      <c r="D1128" s="7">
        <v>7134</v>
      </c>
      <c r="E1128" t="s">
        <v>245</v>
      </c>
      <c r="F1128" t="s">
        <v>246</v>
      </c>
      <c r="G1128" t="s">
        <v>3108</v>
      </c>
      <c r="H1128" t="s">
        <v>3744</v>
      </c>
      <c r="I1128" s="7">
        <v>1165</v>
      </c>
      <c r="J1128" s="7">
        <v>4877</v>
      </c>
      <c r="K1128" s="7">
        <v>1</v>
      </c>
      <c r="L1128" t="s">
        <v>247</v>
      </c>
      <c r="M1128" t="s">
        <v>361</v>
      </c>
      <c r="N1128" s="7">
        <v>8133</v>
      </c>
      <c r="O1128" t="s">
        <v>3451</v>
      </c>
      <c r="P1128" t="s">
        <v>3452</v>
      </c>
      <c r="S1128" t="s">
        <v>3726</v>
      </c>
      <c r="T1128" t="s">
        <v>3727</v>
      </c>
      <c r="U1128" t="s">
        <v>3728</v>
      </c>
      <c r="V1128" s="8">
        <v>1650</v>
      </c>
      <c r="W1128" s="7">
        <v>589463</v>
      </c>
      <c r="X1128" t="s">
        <v>4441</v>
      </c>
      <c r="Y1128" s="8">
        <v>1650</v>
      </c>
      <c r="Z1128" s="8">
        <v>1947</v>
      </c>
      <c r="AA1128" s="8">
        <v>297</v>
      </c>
      <c r="AB1128" s="7">
        <v>112930</v>
      </c>
      <c r="AC1128" t="s">
        <v>4441</v>
      </c>
      <c r="AD1128" s="8">
        <v>0</v>
      </c>
      <c r="AG1128" t="s">
        <v>823</v>
      </c>
      <c r="AH1128" t="s">
        <v>802</v>
      </c>
      <c r="AI1128" t="s">
        <v>818</v>
      </c>
    </row>
    <row r="1129" spans="1:35" hidden="1">
      <c r="A1129" s="7">
        <v>1128</v>
      </c>
      <c r="B1129" t="s">
        <v>243</v>
      </c>
      <c r="C1129" t="s">
        <v>244</v>
      </c>
      <c r="D1129" s="7">
        <v>7134</v>
      </c>
      <c r="E1129" t="s">
        <v>245</v>
      </c>
      <c r="F1129" t="s">
        <v>246</v>
      </c>
      <c r="G1129" t="s">
        <v>973</v>
      </c>
      <c r="H1129" t="s">
        <v>3734</v>
      </c>
      <c r="I1129" s="7">
        <v>1165</v>
      </c>
      <c r="J1129" s="7">
        <v>35782</v>
      </c>
      <c r="K1129" s="7">
        <v>4</v>
      </c>
      <c r="L1129" t="s">
        <v>247</v>
      </c>
      <c r="M1129" t="s">
        <v>267</v>
      </c>
      <c r="N1129" s="7">
        <v>789109</v>
      </c>
      <c r="O1129" t="s">
        <v>974</v>
      </c>
      <c r="P1129" t="s">
        <v>975</v>
      </c>
      <c r="Q1129" t="s">
        <v>870</v>
      </c>
      <c r="R1129" t="s">
        <v>871</v>
      </c>
      <c r="S1129" t="s">
        <v>3726</v>
      </c>
      <c r="T1129" t="s">
        <v>3727</v>
      </c>
      <c r="U1129" t="s">
        <v>3728</v>
      </c>
      <c r="V1129" s="8">
        <v>0</v>
      </c>
      <c r="W1129" s="7">
        <v>589463</v>
      </c>
      <c r="X1129" t="s">
        <v>4441</v>
      </c>
      <c r="Y1129" s="8">
        <v>0</v>
      </c>
      <c r="Z1129" s="8">
        <v>0</v>
      </c>
      <c r="AA1129" s="8">
        <v>0</v>
      </c>
      <c r="AB1129" s="7">
        <v>112930</v>
      </c>
      <c r="AC1129" t="s">
        <v>4441</v>
      </c>
      <c r="AD1129" s="8">
        <v>0</v>
      </c>
      <c r="AG1129" t="s">
        <v>828</v>
      </c>
      <c r="AH1129" t="s">
        <v>802</v>
      </c>
      <c r="AI1129" t="s">
        <v>803</v>
      </c>
    </row>
    <row r="1130" spans="1:35" hidden="1">
      <c r="A1130" s="7">
        <v>1129</v>
      </c>
      <c r="B1130" t="s">
        <v>243</v>
      </c>
      <c r="C1130" t="s">
        <v>244</v>
      </c>
      <c r="D1130" s="7">
        <v>7134</v>
      </c>
      <c r="E1130" t="s">
        <v>245</v>
      </c>
      <c r="F1130" t="s">
        <v>246</v>
      </c>
      <c r="G1130" t="s">
        <v>999</v>
      </c>
      <c r="H1130" t="s">
        <v>3730</v>
      </c>
      <c r="I1130" s="7">
        <v>1165</v>
      </c>
      <c r="J1130" s="7">
        <v>30500</v>
      </c>
      <c r="K1130" s="7">
        <v>4</v>
      </c>
      <c r="L1130" t="s">
        <v>247</v>
      </c>
      <c r="M1130" t="s">
        <v>261</v>
      </c>
      <c r="N1130" s="7">
        <v>790577</v>
      </c>
      <c r="O1130" t="s">
        <v>1083</v>
      </c>
      <c r="P1130" t="s">
        <v>1084</v>
      </c>
      <c r="Q1130" t="s">
        <v>870</v>
      </c>
      <c r="R1130" t="s">
        <v>871</v>
      </c>
      <c r="S1130" t="s">
        <v>3726</v>
      </c>
      <c r="T1130" t="s">
        <v>3727</v>
      </c>
      <c r="U1130" t="s">
        <v>3728</v>
      </c>
      <c r="V1130" s="8">
        <v>0</v>
      </c>
      <c r="W1130" s="7">
        <v>589463</v>
      </c>
      <c r="X1130" t="s">
        <v>4441</v>
      </c>
      <c r="Y1130" s="8">
        <v>0</v>
      </c>
      <c r="Z1130" s="8">
        <v>0</v>
      </c>
      <c r="AA1130" s="8">
        <v>0</v>
      </c>
      <c r="AB1130" s="7">
        <v>112930</v>
      </c>
      <c r="AC1130" t="s">
        <v>4441</v>
      </c>
      <c r="AD1130" s="8">
        <v>0</v>
      </c>
      <c r="AG1130" t="s">
        <v>801</v>
      </c>
      <c r="AH1130" t="s">
        <v>802</v>
      </c>
      <c r="AI1130" t="s">
        <v>803</v>
      </c>
    </row>
    <row r="1131" spans="1:35" hidden="1">
      <c r="A1131" s="7">
        <v>1130</v>
      </c>
      <c r="B1131" t="s">
        <v>243</v>
      </c>
      <c r="C1131" t="s">
        <v>244</v>
      </c>
      <c r="D1131" s="7">
        <v>7134</v>
      </c>
      <c r="E1131" t="s">
        <v>245</v>
      </c>
      <c r="F1131" t="s">
        <v>246</v>
      </c>
      <c r="G1131" t="s">
        <v>999</v>
      </c>
      <c r="H1131" t="s">
        <v>3351</v>
      </c>
      <c r="I1131" s="7">
        <v>1165</v>
      </c>
      <c r="J1131" s="7">
        <v>50000</v>
      </c>
      <c r="K1131" s="7">
        <v>5</v>
      </c>
      <c r="L1131" t="s">
        <v>247</v>
      </c>
      <c r="M1131" t="s">
        <v>261</v>
      </c>
      <c r="N1131" s="7">
        <v>790578</v>
      </c>
      <c r="O1131" t="s">
        <v>1119</v>
      </c>
      <c r="P1131" t="s">
        <v>1120</v>
      </c>
      <c r="Q1131" t="s">
        <v>870</v>
      </c>
      <c r="R1131" t="s">
        <v>871</v>
      </c>
      <c r="S1131" t="s">
        <v>3726</v>
      </c>
      <c r="T1131" t="s">
        <v>3727</v>
      </c>
      <c r="U1131" t="s">
        <v>3728</v>
      </c>
      <c r="V1131" s="8">
        <v>1250</v>
      </c>
      <c r="W1131" s="7">
        <v>589463</v>
      </c>
      <c r="X1131" t="s">
        <v>4441</v>
      </c>
      <c r="Y1131" s="8">
        <v>1000</v>
      </c>
      <c r="Z1131" s="8">
        <v>1475</v>
      </c>
      <c r="AA1131" s="8">
        <v>225</v>
      </c>
      <c r="AB1131" s="7">
        <v>112930</v>
      </c>
      <c r="AC1131" t="s">
        <v>4441</v>
      </c>
      <c r="AD1131" s="8">
        <v>250</v>
      </c>
      <c r="AG1131" t="s">
        <v>801</v>
      </c>
      <c r="AH1131" t="s">
        <v>802</v>
      </c>
      <c r="AI1131" t="s">
        <v>818</v>
      </c>
    </row>
    <row r="1132" spans="1:35" hidden="1">
      <c r="A1132" s="7">
        <v>1131</v>
      </c>
      <c r="B1132" t="s">
        <v>243</v>
      </c>
      <c r="C1132" t="s">
        <v>244</v>
      </c>
      <c r="D1132" s="7">
        <v>7134</v>
      </c>
      <c r="E1132" t="s">
        <v>245</v>
      </c>
      <c r="F1132" t="s">
        <v>246</v>
      </c>
      <c r="G1132" t="s">
        <v>1069</v>
      </c>
      <c r="H1132" t="s">
        <v>3732</v>
      </c>
      <c r="I1132" s="7">
        <v>1165</v>
      </c>
      <c r="J1132" s="7">
        <v>23200</v>
      </c>
      <c r="K1132" s="7">
        <v>4</v>
      </c>
      <c r="L1132" t="s">
        <v>247</v>
      </c>
      <c r="M1132" t="s">
        <v>267</v>
      </c>
      <c r="N1132" s="7">
        <v>789051</v>
      </c>
      <c r="O1132" t="s">
        <v>1780</v>
      </c>
      <c r="P1132" t="s">
        <v>1781</v>
      </c>
      <c r="S1132" t="s">
        <v>3726</v>
      </c>
      <c r="T1132" t="s">
        <v>3727</v>
      </c>
      <c r="U1132" t="s">
        <v>3728</v>
      </c>
      <c r="V1132" s="8">
        <v>0</v>
      </c>
      <c r="W1132" s="7">
        <v>589463</v>
      </c>
      <c r="X1132" t="s">
        <v>4441</v>
      </c>
      <c r="Y1132" s="8">
        <v>0</v>
      </c>
      <c r="Z1132" s="8">
        <v>0</v>
      </c>
      <c r="AA1132" s="8">
        <v>0</v>
      </c>
      <c r="AB1132" s="7">
        <v>112930</v>
      </c>
      <c r="AC1132" t="s">
        <v>4441</v>
      </c>
      <c r="AD1132" s="8">
        <v>0</v>
      </c>
      <c r="AG1132" t="s">
        <v>828</v>
      </c>
      <c r="AH1132" t="s">
        <v>802</v>
      </c>
      <c r="AI1132" t="s">
        <v>803</v>
      </c>
    </row>
    <row r="1133" spans="1:35" hidden="1">
      <c r="A1133" s="7">
        <v>1132</v>
      </c>
      <c r="B1133" t="s">
        <v>243</v>
      </c>
      <c r="C1133" t="s">
        <v>244</v>
      </c>
      <c r="D1133" s="7">
        <v>7134</v>
      </c>
      <c r="E1133" t="s">
        <v>245</v>
      </c>
      <c r="F1133" t="s">
        <v>246</v>
      </c>
      <c r="G1133" t="s">
        <v>1145</v>
      </c>
      <c r="H1133" t="s">
        <v>3746</v>
      </c>
      <c r="I1133" s="7">
        <v>1165</v>
      </c>
      <c r="J1133" s="7">
        <v>71847</v>
      </c>
      <c r="K1133" s="7">
        <v>12</v>
      </c>
      <c r="L1133" t="s">
        <v>247</v>
      </c>
      <c r="M1133" t="s">
        <v>252</v>
      </c>
      <c r="N1133" s="7">
        <v>573195831</v>
      </c>
      <c r="O1133" t="s">
        <v>1526</v>
      </c>
      <c r="P1133" t="s">
        <v>1527</v>
      </c>
      <c r="S1133" t="s">
        <v>3726</v>
      </c>
      <c r="T1133" t="s">
        <v>3727</v>
      </c>
      <c r="U1133" t="s">
        <v>3728</v>
      </c>
      <c r="V1133" s="8">
        <v>0</v>
      </c>
      <c r="W1133" s="7">
        <v>589463</v>
      </c>
      <c r="X1133" t="s">
        <v>4441</v>
      </c>
      <c r="Y1133" s="8">
        <v>0</v>
      </c>
      <c r="Z1133" s="8">
        <v>0</v>
      </c>
      <c r="AA1133" s="8">
        <v>0</v>
      </c>
      <c r="AB1133" s="7">
        <v>112930</v>
      </c>
      <c r="AC1133" t="s">
        <v>4441</v>
      </c>
      <c r="AD1133" s="8">
        <v>0</v>
      </c>
      <c r="AG1133" t="s">
        <v>937</v>
      </c>
      <c r="AH1133" t="s">
        <v>802</v>
      </c>
      <c r="AI1133" t="s">
        <v>803</v>
      </c>
    </row>
    <row r="1134" spans="1:35" hidden="1">
      <c r="A1134" s="7">
        <v>1133</v>
      </c>
      <c r="B1134" t="s">
        <v>243</v>
      </c>
      <c r="C1134" t="s">
        <v>244</v>
      </c>
      <c r="D1134" s="7">
        <v>7134</v>
      </c>
      <c r="E1134" t="s">
        <v>245</v>
      </c>
      <c r="F1134" t="s">
        <v>246</v>
      </c>
      <c r="G1134" t="s">
        <v>594</v>
      </c>
      <c r="H1134" t="s">
        <v>3730</v>
      </c>
      <c r="I1134" s="7">
        <v>1165</v>
      </c>
      <c r="J1134" s="7">
        <v>8082</v>
      </c>
      <c r="K1134" s="7">
        <v>2</v>
      </c>
      <c r="L1134" t="s">
        <v>247</v>
      </c>
      <c r="M1134" t="s">
        <v>361</v>
      </c>
      <c r="N1134" s="7">
        <v>7532</v>
      </c>
      <c r="O1134" t="s">
        <v>670</v>
      </c>
      <c r="P1134" t="s">
        <v>671</v>
      </c>
      <c r="S1134" t="s">
        <v>3726</v>
      </c>
      <c r="T1134" t="s">
        <v>3727</v>
      </c>
      <c r="U1134" t="s">
        <v>3728</v>
      </c>
      <c r="V1134" s="8">
        <v>0</v>
      </c>
      <c r="W1134" s="7">
        <v>589463</v>
      </c>
      <c r="X1134" t="s">
        <v>4441</v>
      </c>
      <c r="Y1134" s="8">
        <v>0</v>
      </c>
      <c r="Z1134" s="8">
        <v>0</v>
      </c>
      <c r="AA1134" s="8">
        <v>0</v>
      </c>
      <c r="AB1134" s="7">
        <v>112930</v>
      </c>
      <c r="AC1134" t="s">
        <v>4441</v>
      </c>
      <c r="AD1134" s="8">
        <v>0</v>
      </c>
      <c r="AG1134" t="s">
        <v>823</v>
      </c>
      <c r="AH1134" t="s">
        <v>802</v>
      </c>
      <c r="AI1134" t="s">
        <v>803</v>
      </c>
    </row>
    <row r="1135" spans="1:35" hidden="1">
      <c r="A1135" s="7">
        <v>1134</v>
      </c>
      <c r="B1135" t="s">
        <v>243</v>
      </c>
      <c r="C1135" t="s">
        <v>244</v>
      </c>
      <c r="D1135" s="7">
        <v>7134</v>
      </c>
      <c r="E1135" t="s">
        <v>245</v>
      </c>
      <c r="F1135" t="s">
        <v>246</v>
      </c>
      <c r="G1135" t="s">
        <v>293</v>
      </c>
      <c r="H1135" t="s">
        <v>3730</v>
      </c>
      <c r="I1135" s="7">
        <v>1165</v>
      </c>
      <c r="J1135" s="7">
        <v>40000</v>
      </c>
      <c r="K1135" s="7">
        <v>4</v>
      </c>
      <c r="L1135" t="s">
        <v>247</v>
      </c>
      <c r="M1135" t="s">
        <v>361</v>
      </c>
      <c r="N1135" s="7">
        <v>6960</v>
      </c>
      <c r="O1135" t="s">
        <v>359</v>
      </c>
      <c r="P1135" t="s">
        <v>360</v>
      </c>
      <c r="S1135" t="s">
        <v>3726</v>
      </c>
      <c r="T1135" t="s">
        <v>3727</v>
      </c>
      <c r="U1135" t="s">
        <v>3728</v>
      </c>
      <c r="V1135" s="8">
        <v>0</v>
      </c>
      <c r="W1135" s="7">
        <v>589463</v>
      </c>
      <c r="X1135" t="s">
        <v>4441</v>
      </c>
      <c r="Y1135" s="8">
        <v>0</v>
      </c>
      <c r="Z1135" s="8">
        <v>0</v>
      </c>
      <c r="AA1135" s="8">
        <v>0</v>
      </c>
      <c r="AB1135" s="7">
        <v>112930</v>
      </c>
      <c r="AC1135" t="s">
        <v>4441</v>
      </c>
      <c r="AD1135" s="8">
        <v>0</v>
      </c>
      <c r="AG1135" t="s">
        <v>823</v>
      </c>
      <c r="AH1135" t="s">
        <v>802</v>
      </c>
      <c r="AI1135" t="s">
        <v>803</v>
      </c>
    </row>
    <row r="1136" spans="1:35" hidden="1">
      <c r="A1136" s="7">
        <v>1135</v>
      </c>
      <c r="B1136" t="s">
        <v>243</v>
      </c>
      <c r="C1136" t="s">
        <v>244</v>
      </c>
      <c r="D1136" s="7">
        <v>7134</v>
      </c>
      <c r="E1136" t="s">
        <v>245</v>
      </c>
      <c r="F1136" t="s">
        <v>246</v>
      </c>
      <c r="G1136" t="s">
        <v>263</v>
      </c>
      <c r="H1136" t="s">
        <v>3756</v>
      </c>
      <c r="I1136" s="7">
        <v>39</v>
      </c>
      <c r="J1136" s="7">
        <v>1818</v>
      </c>
      <c r="K1136" s="7">
        <v>3</v>
      </c>
      <c r="L1136" t="s">
        <v>247</v>
      </c>
      <c r="M1136" t="s">
        <v>252</v>
      </c>
      <c r="N1136" s="7">
        <v>328435</v>
      </c>
      <c r="O1136" t="s">
        <v>3757</v>
      </c>
      <c r="P1136" t="s">
        <v>3758</v>
      </c>
      <c r="S1136" t="s">
        <v>3726</v>
      </c>
      <c r="T1136" t="s">
        <v>3727</v>
      </c>
      <c r="U1136" t="s">
        <v>3728</v>
      </c>
      <c r="V1136" s="8">
        <v>1250</v>
      </c>
      <c r="W1136" s="7">
        <v>589463</v>
      </c>
      <c r="X1136" t="s">
        <v>4441</v>
      </c>
      <c r="Y1136" s="8">
        <v>1250</v>
      </c>
      <c r="Z1136" s="8">
        <v>1475</v>
      </c>
      <c r="AA1136" s="8">
        <v>225</v>
      </c>
      <c r="AB1136" s="7">
        <v>112930</v>
      </c>
      <c r="AC1136" t="s">
        <v>4441</v>
      </c>
      <c r="AD1136" s="8">
        <v>0</v>
      </c>
      <c r="AG1136" t="s">
        <v>937</v>
      </c>
      <c r="AH1136" t="s">
        <v>802</v>
      </c>
      <c r="AI1136" t="s">
        <v>818</v>
      </c>
    </row>
    <row r="1137" spans="1:35" hidden="1">
      <c r="A1137" s="7">
        <v>1136</v>
      </c>
      <c r="B1137" t="s">
        <v>243</v>
      </c>
      <c r="C1137" t="s">
        <v>244</v>
      </c>
      <c r="D1137" s="7">
        <v>7134</v>
      </c>
      <c r="E1137" t="s">
        <v>245</v>
      </c>
      <c r="F1137" t="s">
        <v>246</v>
      </c>
      <c r="G1137" t="s">
        <v>308</v>
      </c>
      <c r="H1137" t="s">
        <v>3737</v>
      </c>
      <c r="I1137" s="7">
        <v>1165</v>
      </c>
      <c r="J1137" s="7">
        <v>30000</v>
      </c>
      <c r="K1137" s="7">
        <v>4</v>
      </c>
      <c r="L1137" t="s">
        <v>247</v>
      </c>
      <c r="M1137" t="s">
        <v>252</v>
      </c>
      <c r="N1137" s="7">
        <v>327885</v>
      </c>
      <c r="O1137" t="s">
        <v>310</v>
      </c>
      <c r="P1137" t="s">
        <v>311</v>
      </c>
      <c r="S1137" t="s">
        <v>3726</v>
      </c>
      <c r="T1137" t="s">
        <v>3727</v>
      </c>
      <c r="U1137" t="s">
        <v>3728</v>
      </c>
      <c r="V1137" s="8">
        <v>0</v>
      </c>
      <c r="W1137" s="7">
        <v>589463</v>
      </c>
      <c r="X1137" t="s">
        <v>4441</v>
      </c>
      <c r="Y1137" s="8">
        <v>0</v>
      </c>
      <c r="Z1137" s="8">
        <v>0</v>
      </c>
      <c r="AA1137" s="8">
        <v>0</v>
      </c>
      <c r="AB1137" s="7">
        <v>112930</v>
      </c>
      <c r="AC1137" t="s">
        <v>4441</v>
      </c>
      <c r="AD1137" s="8">
        <v>0</v>
      </c>
      <c r="AG1137" t="s">
        <v>937</v>
      </c>
      <c r="AH1137" t="s">
        <v>802</v>
      </c>
      <c r="AI1137" t="s">
        <v>803</v>
      </c>
    </row>
    <row r="1138" spans="1:35">
      <c r="A1138" s="7">
        <v>1137</v>
      </c>
      <c r="B1138" t="s">
        <v>243</v>
      </c>
      <c r="C1138" t="s">
        <v>244</v>
      </c>
      <c r="D1138" s="7">
        <v>7134</v>
      </c>
      <c r="E1138" t="s">
        <v>245</v>
      </c>
      <c r="F1138" t="s">
        <v>246</v>
      </c>
      <c r="G1138" t="s">
        <v>333</v>
      </c>
      <c r="H1138" t="s">
        <v>3351</v>
      </c>
      <c r="I1138" s="7">
        <v>1165</v>
      </c>
      <c r="J1138" s="7">
        <v>6719</v>
      </c>
      <c r="K1138" s="7">
        <v>3</v>
      </c>
      <c r="L1138" t="s">
        <v>247</v>
      </c>
      <c r="M1138" t="s">
        <v>252</v>
      </c>
      <c r="N1138" s="7">
        <v>328462</v>
      </c>
      <c r="O1138" t="s">
        <v>386</v>
      </c>
      <c r="P1138" t="s">
        <v>387</v>
      </c>
      <c r="S1138" t="s">
        <v>3726</v>
      </c>
      <c r="T1138" t="s">
        <v>3727</v>
      </c>
      <c r="U1138" t="s">
        <v>3728</v>
      </c>
      <c r="V1138" s="8">
        <v>1250</v>
      </c>
      <c r="W1138" s="7">
        <v>589463</v>
      </c>
      <c r="X1138" t="s">
        <v>4441</v>
      </c>
      <c r="Y1138" s="8">
        <v>1250</v>
      </c>
      <c r="Z1138" s="8">
        <v>1475</v>
      </c>
      <c r="AA1138" s="8">
        <v>225</v>
      </c>
      <c r="AB1138" s="7">
        <v>112930</v>
      </c>
      <c r="AC1138" t="s">
        <v>4441</v>
      </c>
      <c r="AD1138" s="8">
        <v>0</v>
      </c>
      <c r="AG1138" t="s">
        <v>937</v>
      </c>
      <c r="AH1138" t="s">
        <v>802</v>
      </c>
      <c r="AI1138" t="s">
        <v>818</v>
      </c>
    </row>
    <row r="1139" spans="1:35" hidden="1">
      <c r="A1139" s="7">
        <v>1138</v>
      </c>
      <c r="B1139" t="s">
        <v>243</v>
      </c>
      <c r="C1139" t="s">
        <v>244</v>
      </c>
      <c r="D1139" s="7">
        <v>7134</v>
      </c>
      <c r="E1139" t="s">
        <v>245</v>
      </c>
      <c r="F1139" t="s">
        <v>246</v>
      </c>
      <c r="G1139" t="s">
        <v>867</v>
      </c>
      <c r="H1139" t="s">
        <v>3739</v>
      </c>
      <c r="I1139" s="7">
        <v>1165</v>
      </c>
      <c r="J1139" s="7">
        <v>30048</v>
      </c>
      <c r="K1139" s="7">
        <v>4</v>
      </c>
      <c r="L1139" t="s">
        <v>247</v>
      </c>
      <c r="M1139" t="s">
        <v>361</v>
      </c>
      <c r="N1139" s="7">
        <v>4898</v>
      </c>
      <c r="O1139" t="s">
        <v>1444</v>
      </c>
      <c r="P1139" t="s">
        <v>1445</v>
      </c>
      <c r="S1139" t="s">
        <v>3726</v>
      </c>
      <c r="T1139" t="s">
        <v>3727</v>
      </c>
      <c r="U1139" t="s">
        <v>3728</v>
      </c>
      <c r="V1139" s="8">
        <v>0</v>
      </c>
      <c r="W1139" s="7">
        <v>589463</v>
      </c>
      <c r="X1139" t="s">
        <v>4441</v>
      </c>
      <c r="Y1139" s="8">
        <v>0</v>
      </c>
      <c r="Z1139" s="8">
        <v>0</v>
      </c>
      <c r="AA1139" s="8">
        <v>0</v>
      </c>
      <c r="AB1139" s="7">
        <v>112930</v>
      </c>
      <c r="AC1139" t="s">
        <v>4441</v>
      </c>
      <c r="AD1139" s="8">
        <v>0</v>
      </c>
      <c r="AG1139" t="s">
        <v>823</v>
      </c>
      <c r="AH1139" t="s">
        <v>802</v>
      </c>
      <c r="AI1139" t="s">
        <v>803</v>
      </c>
    </row>
    <row r="1140" spans="1:35" hidden="1">
      <c r="A1140" s="7">
        <v>1139</v>
      </c>
      <c r="B1140" t="s">
        <v>243</v>
      </c>
      <c r="C1140" t="s">
        <v>244</v>
      </c>
      <c r="D1140" s="7">
        <v>7134</v>
      </c>
      <c r="E1140" t="s">
        <v>245</v>
      </c>
      <c r="F1140" t="s">
        <v>246</v>
      </c>
      <c r="G1140" t="s">
        <v>363</v>
      </c>
      <c r="H1140" t="s">
        <v>3739</v>
      </c>
      <c r="I1140" s="7">
        <v>856</v>
      </c>
      <c r="J1140" s="7">
        <v>33158</v>
      </c>
      <c r="K1140" s="7">
        <v>2</v>
      </c>
      <c r="L1140" t="s">
        <v>247</v>
      </c>
      <c r="M1140" t="s">
        <v>261</v>
      </c>
      <c r="N1140" s="7">
        <v>798674</v>
      </c>
      <c r="O1140" t="s">
        <v>3761</v>
      </c>
      <c r="P1140" t="s">
        <v>3762</v>
      </c>
      <c r="Q1140" t="s">
        <v>908</v>
      </c>
      <c r="R1140" t="s">
        <v>909</v>
      </c>
      <c r="S1140" t="s">
        <v>3726</v>
      </c>
      <c r="T1140" t="s">
        <v>3727</v>
      </c>
      <c r="U1140" t="s">
        <v>3728</v>
      </c>
      <c r="V1140" s="8">
        <v>1250</v>
      </c>
      <c r="W1140" s="7">
        <v>589463</v>
      </c>
      <c r="X1140" t="s">
        <v>4441</v>
      </c>
      <c r="Y1140" s="8">
        <v>1000</v>
      </c>
      <c r="Z1140" s="8">
        <v>1475</v>
      </c>
      <c r="AA1140" s="8">
        <v>225</v>
      </c>
      <c r="AB1140" s="7">
        <v>112930</v>
      </c>
      <c r="AC1140" t="s">
        <v>4441</v>
      </c>
      <c r="AD1140" s="8">
        <v>250</v>
      </c>
      <c r="AG1140" t="s">
        <v>817</v>
      </c>
      <c r="AH1140" t="s">
        <v>802</v>
      </c>
      <c r="AI1140" t="s">
        <v>818</v>
      </c>
    </row>
    <row r="1141" spans="1:35" hidden="1">
      <c r="A1141" s="7">
        <v>1140</v>
      </c>
      <c r="B1141" t="s">
        <v>243</v>
      </c>
      <c r="C1141" t="s">
        <v>244</v>
      </c>
      <c r="D1141" s="7">
        <v>7134</v>
      </c>
      <c r="E1141" t="s">
        <v>245</v>
      </c>
      <c r="F1141" t="s">
        <v>246</v>
      </c>
      <c r="G1141" t="s">
        <v>732</v>
      </c>
      <c r="H1141" t="s">
        <v>3733</v>
      </c>
      <c r="I1141" s="7">
        <v>1165</v>
      </c>
      <c r="J1141" s="7">
        <v>20000</v>
      </c>
      <c r="K1141" s="7">
        <v>2</v>
      </c>
      <c r="L1141" t="s">
        <v>247</v>
      </c>
      <c r="M1141" t="s">
        <v>252</v>
      </c>
      <c r="N1141" s="7">
        <v>328672</v>
      </c>
      <c r="O1141" t="s">
        <v>748</v>
      </c>
      <c r="P1141" t="s">
        <v>749</v>
      </c>
      <c r="S1141" t="s">
        <v>3726</v>
      </c>
      <c r="T1141" t="s">
        <v>3727</v>
      </c>
      <c r="U1141" t="s">
        <v>3728</v>
      </c>
      <c r="V1141" s="8">
        <v>0</v>
      </c>
      <c r="W1141" s="7">
        <v>589463</v>
      </c>
      <c r="X1141" t="s">
        <v>4441</v>
      </c>
      <c r="Y1141" s="8">
        <v>0</v>
      </c>
      <c r="Z1141" s="8">
        <v>0</v>
      </c>
      <c r="AA1141" s="8">
        <v>0</v>
      </c>
      <c r="AB1141" s="7">
        <v>112930</v>
      </c>
      <c r="AC1141" t="s">
        <v>4441</v>
      </c>
      <c r="AD1141" s="8">
        <v>0</v>
      </c>
      <c r="AG1141" t="s">
        <v>937</v>
      </c>
      <c r="AH1141" t="s">
        <v>802</v>
      </c>
      <c r="AI1141" t="s">
        <v>803</v>
      </c>
    </row>
    <row r="1142" spans="1:35" hidden="1">
      <c r="A1142" s="7">
        <v>1141</v>
      </c>
      <c r="B1142" t="s">
        <v>243</v>
      </c>
      <c r="C1142" t="s">
        <v>244</v>
      </c>
      <c r="D1142" s="7">
        <v>7134</v>
      </c>
      <c r="E1142" t="s">
        <v>245</v>
      </c>
      <c r="F1142" t="s">
        <v>246</v>
      </c>
      <c r="G1142" t="s">
        <v>732</v>
      </c>
      <c r="H1142" t="s">
        <v>3739</v>
      </c>
      <c r="I1142" s="7">
        <v>1165</v>
      </c>
      <c r="J1142" s="7">
        <v>20000</v>
      </c>
      <c r="K1142" s="7">
        <v>2</v>
      </c>
      <c r="L1142" t="s">
        <v>247</v>
      </c>
      <c r="M1142" t="s">
        <v>252</v>
      </c>
      <c r="N1142" s="7">
        <v>326024</v>
      </c>
      <c r="O1142" t="s">
        <v>734</v>
      </c>
      <c r="P1142" t="s">
        <v>735</v>
      </c>
      <c r="S1142" t="s">
        <v>3726</v>
      </c>
      <c r="T1142" t="s">
        <v>3727</v>
      </c>
      <c r="U1142" t="s">
        <v>3728</v>
      </c>
      <c r="V1142" s="8">
        <v>0</v>
      </c>
      <c r="W1142" s="7">
        <v>589463</v>
      </c>
      <c r="X1142" t="s">
        <v>4441</v>
      </c>
      <c r="Y1142" s="8">
        <v>0</v>
      </c>
      <c r="Z1142" s="8">
        <v>0</v>
      </c>
      <c r="AA1142" s="8">
        <v>0</v>
      </c>
      <c r="AB1142" s="7">
        <v>112930</v>
      </c>
      <c r="AC1142" t="s">
        <v>4441</v>
      </c>
      <c r="AD1142" s="8">
        <v>0</v>
      </c>
      <c r="AG1142" t="s">
        <v>937</v>
      </c>
      <c r="AH1142" t="s">
        <v>802</v>
      </c>
      <c r="AI1142" t="s">
        <v>803</v>
      </c>
    </row>
    <row r="1143" spans="1:35" hidden="1">
      <c r="A1143" s="7">
        <v>1142</v>
      </c>
      <c r="B1143" t="s">
        <v>243</v>
      </c>
      <c r="C1143" t="s">
        <v>244</v>
      </c>
      <c r="D1143" s="7">
        <v>7134</v>
      </c>
      <c r="E1143" t="s">
        <v>245</v>
      </c>
      <c r="F1143" t="s">
        <v>246</v>
      </c>
      <c r="G1143" t="s">
        <v>1691</v>
      </c>
      <c r="H1143" t="s">
        <v>3741</v>
      </c>
      <c r="I1143" s="7">
        <v>990</v>
      </c>
      <c r="J1143" s="7">
        <v>19848</v>
      </c>
      <c r="K1143" s="7">
        <v>8</v>
      </c>
      <c r="L1143" t="s">
        <v>247</v>
      </c>
      <c r="M1143" t="s">
        <v>252</v>
      </c>
      <c r="N1143" s="7">
        <v>322403</v>
      </c>
      <c r="O1143" t="s">
        <v>3742</v>
      </c>
      <c r="P1143" t="s">
        <v>3743</v>
      </c>
      <c r="S1143" t="s">
        <v>3726</v>
      </c>
      <c r="T1143" t="s">
        <v>3727</v>
      </c>
      <c r="U1143" t="s">
        <v>3728</v>
      </c>
      <c r="V1143" s="8">
        <v>1250</v>
      </c>
      <c r="W1143" s="7">
        <v>589463</v>
      </c>
      <c r="X1143" t="s">
        <v>4441</v>
      </c>
      <c r="Y1143" s="8">
        <v>1250</v>
      </c>
      <c r="Z1143" s="8">
        <v>1475</v>
      </c>
      <c r="AA1143" s="8">
        <v>225</v>
      </c>
      <c r="AB1143" s="7">
        <v>112930</v>
      </c>
      <c r="AC1143" t="s">
        <v>4441</v>
      </c>
      <c r="AD1143" s="8">
        <v>0</v>
      </c>
      <c r="AG1143" t="s">
        <v>937</v>
      </c>
      <c r="AH1143" t="s">
        <v>802</v>
      </c>
      <c r="AI1143" t="s">
        <v>818</v>
      </c>
    </row>
    <row r="1144" spans="1:35" hidden="1">
      <c r="A1144" s="7">
        <v>1143</v>
      </c>
      <c r="B1144" t="s">
        <v>243</v>
      </c>
      <c r="C1144" t="s">
        <v>244</v>
      </c>
      <c r="D1144" s="7">
        <v>7134</v>
      </c>
      <c r="E1144" t="s">
        <v>245</v>
      </c>
      <c r="F1144" t="s">
        <v>246</v>
      </c>
      <c r="G1144" t="s">
        <v>263</v>
      </c>
      <c r="H1144" t="s">
        <v>3739</v>
      </c>
      <c r="I1144" s="7">
        <v>871</v>
      </c>
      <c r="J1144" s="7">
        <v>32623</v>
      </c>
      <c r="K1144" s="7">
        <v>2</v>
      </c>
      <c r="L1144" t="s">
        <v>247</v>
      </c>
      <c r="M1144" t="s">
        <v>261</v>
      </c>
      <c r="N1144" s="7">
        <v>796125</v>
      </c>
      <c r="O1144" t="s">
        <v>3754</v>
      </c>
      <c r="P1144" t="s">
        <v>3755</v>
      </c>
      <c r="Q1144" t="s">
        <v>908</v>
      </c>
      <c r="R1144" t="s">
        <v>909</v>
      </c>
      <c r="S1144" t="s">
        <v>3726</v>
      </c>
      <c r="T1144" t="s">
        <v>3727</v>
      </c>
      <c r="U1144" t="s">
        <v>3728</v>
      </c>
      <c r="V1144" s="8">
        <v>1250</v>
      </c>
      <c r="W1144" s="7">
        <v>589463</v>
      </c>
      <c r="X1144" t="s">
        <v>4441</v>
      </c>
      <c r="Y1144" s="8">
        <v>1000</v>
      </c>
      <c r="Z1144" s="8">
        <v>1475</v>
      </c>
      <c r="AA1144" s="8">
        <v>225</v>
      </c>
      <c r="AB1144" s="7">
        <v>112930</v>
      </c>
      <c r="AC1144" t="s">
        <v>4441</v>
      </c>
      <c r="AD1144" s="8">
        <v>250</v>
      </c>
      <c r="AG1144" t="s">
        <v>817</v>
      </c>
      <c r="AH1144" t="s">
        <v>802</v>
      </c>
      <c r="AI1144" t="s">
        <v>818</v>
      </c>
    </row>
    <row r="1145" spans="1:35" hidden="1">
      <c r="A1145" s="7">
        <v>1144</v>
      </c>
      <c r="B1145" t="s">
        <v>243</v>
      </c>
      <c r="C1145" t="s">
        <v>244</v>
      </c>
      <c r="D1145" s="7">
        <v>7134</v>
      </c>
      <c r="E1145" t="s">
        <v>245</v>
      </c>
      <c r="F1145" t="s">
        <v>246</v>
      </c>
      <c r="G1145" t="s">
        <v>333</v>
      </c>
      <c r="H1145" t="s">
        <v>3730</v>
      </c>
      <c r="I1145" s="7">
        <v>876</v>
      </c>
      <c r="J1145" s="7">
        <v>31894</v>
      </c>
      <c r="K1145" s="7">
        <v>2</v>
      </c>
      <c r="L1145" t="s">
        <v>247</v>
      </c>
      <c r="M1145" t="s">
        <v>261</v>
      </c>
      <c r="N1145" s="7">
        <v>796542</v>
      </c>
      <c r="O1145" t="s">
        <v>1833</v>
      </c>
      <c r="P1145" t="s">
        <v>1834</v>
      </c>
      <c r="Q1145" t="s">
        <v>908</v>
      </c>
      <c r="R1145" t="s">
        <v>909</v>
      </c>
      <c r="S1145" t="s">
        <v>3726</v>
      </c>
      <c r="T1145" t="s">
        <v>3727</v>
      </c>
      <c r="U1145" t="s">
        <v>3728</v>
      </c>
      <c r="V1145" s="8">
        <v>1250</v>
      </c>
      <c r="W1145" s="7">
        <v>589463</v>
      </c>
      <c r="X1145" t="s">
        <v>4441</v>
      </c>
      <c r="Y1145" s="8">
        <v>1000</v>
      </c>
      <c r="Z1145" s="8">
        <v>1475</v>
      </c>
      <c r="AA1145" s="8">
        <v>225</v>
      </c>
      <c r="AB1145" s="7">
        <v>112930</v>
      </c>
      <c r="AC1145" t="s">
        <v>4441</v>
      </c>
      <c r="AD1145" s="8">
        <v>250</v>
      </c>
      <c r="AG1145" t="s">
        <v>817</v>
      </c>
      <c r="AH1145" t="s">
        <v>802</v>
      </c>
      <c r="AI1145" t="s">
        <v>818</v>
      </c>
    </row>
    <row r="1146" spans="1:35" hidden="1">
      <c r="A1146" s="7">
        <v>1145</v>
      </c>
      <c r="B1146" t="s">
        <v>243</v>
      </c>
      <c r="C1146" t="s">
        <v>244</v>
      </c>
      <c r="D1146" s="7">
        <v>7134</v>
      </c>
      <c r="E1146" t="s">
        <v>245</v>
      </c>
      <c r="F1146" t="s">
        <v>246</v>
      </c>
      <c r="G1146" t="s">
        <v>1906</v>
      </c>
      <c r="H1146" t="s">
        <v>3351</v>
      </c>
      <c r="I1146" s="7">
        <v>1165</v>
      </c>
      <c r="J1146" s="7">
        <v>7555</v>
      </c>
      <c r="K1146" s="7">
        <v>4</v>
      </c>
      <c r="L1146" t="s">
        <v>247</v>
      </c>
      <c r="M1146" t="s">
        <v>252</v>
      </c>
      <c r="N1146" s="7">
        <v>326401</v>
      </c>
      <c r="O1146" t="s">
        <v>1907</v>
      </c>
      <c r="P1146" t="s">
        <v>1908</v>
      </c>
      <c r="S1146" t="s">
        <v>3726</v>
      </c>
      <c r="T1146" t="s">
        <v>3727</v>
      </c>
      <c r="U1146" t="s">
        <v>3728</v>
      </c>
      <c r="V1146" s="8">
        <v>0</v>
      </c>
      <c r="W1146" s="7">
        <v>589463</v>
      </c>
      <c r="X1146" t="s">
        <v>4441</v>
      </c>
      <c r="Y1146" s="8">
        <v>0</v>
      </c>
      <c r="Z1146" s="8">
        <v>0</v>
      </c>
      <c r="AA1146" s="8">
        <v>0</v>
      </c>
      <c r="AB1146" s="7">
        <v>112930</v>
      </c>
      <c r="AC1146" t="s">
        <v>4441</v>
      </c>
      <c r="AD1146" s="8">
        <v>0</v>
      </c>
      <c r="AG1146" t="s">
        <v>937</v>
      </c>
      <c r="AH1146" t="s">
        <v>802</v>
      </c>
      <c r="AI1146" t="s">
        <v>803</v>
      </c>
    </row>
    <row r="1147" spans="1:35" hidden="1">
      <c r="A1147" s="7">
        <v>1146</v>
      </c>
      <c r="B1147" t="s">
        <v>243</v>
      </c>
      <c r="C1147" t="s">
        <v>244</v>
      </c>
      <c r="D1147" s="7">
        <v>7134</v>
      </c>
      <c r="E1147" t="s">
        <v>245</v>
      </c>
      <c r="F1147" t="s">
        <v>246</v>
      </c>
      <c r="G1147" t="s">
        <v>1705</v>
      </c>
      <c r="H1147" t="s">
        <v>3746</v>
      </c>
      <c r="I1147" s="7">
        <v>1165</v>
      </c>
      <c r="J1147" s="7">
        <v>86750</v>
      </c>
      <c r="K1147" s="7">
        <v>9</v>
      </c>
      <c r="L1147" t="s">
        <v>247</v>
      </c>
      <c r="M1147" t="s">
        <v>267</v>
      </c>
      <c r="N1147" s="7">
        <v>777193</v>
      </c>
      <c r="O1147" t="s">
        <v>1706</v>
      </c>
      <c r="P1147" t="s">
        <v>1707</v>
      </c>
      <c r="S1147" t="s">
        <v>3726</v>
      </c>
      <c r="T1147" t="s">
        <v>3727</v>
      </c>
      <c r="U1147" t="s">
        <v>3728</v>
      </c>
      <c r="V1147" s="8">
        <v>0</v>
      </c>
      <c r="W1147" s="7">
        <v>589463</v>
      </c>
      <c r="X1147" t="s">
        <v>4441</v>
      </c>
      <c r="Y1147" s="8">
        <v>0</v>
      </c>
      <c r="Z1147" s="8">
        <v>0</v>
      </c>
      <c r="AA1147" s="8">
        <v>0</v>
      </c>
      <c r="AB1147" s="7">
        <v>112930</v>
      </c>
      <c r="AC1147" t="s">
        <v>4441</v>
      </c>
      <c r="AD1147" s="8">
        <v>0</v>
      </c>
      <c r="AG1147" t="s">
        <v>828</v>
      </c>
      <c r="AH1147" t="s">
        <v>802</v>
      </c>
      <c r="AI1147" t="s">
        <v>803</v>
      </c>
    </row>
    <row r="1148" spans="1:35" hidden="1">
      <c r="A1148" s="7">
        <v>1147</v>
      </c>
      <c r="B1148" t="s">
        <v>243</v>
      </c>
      <c r="C1148" t="s">
        <v>244</v>
      </c>
      <c r="D1148" s="7">
        <v>7134</v>
      </c>
      <c r="E1148" t="s">
        <v>245</v>
      </c>
      <c r="F1148" t="s">
        <v>246</v>
      </c>
      <c r="G1148" t="s">
        <v>707</v>
      </c>
      <c r="H1148" t="s">
        <v>3740</v>
      </c>
      <c r="I1148" s="7">
        <v>1165</v>
      </c>
      <c r="J1148" s="7">
        <v>9541</v>
      </c>
      <c r="K1148" s="7">
        <v>1</v>
      </c>
      <c r="L1148" t="s">
        <v>247</v>
      </c>
      <c r="M1148" t="s">
        <v>361</v>
      </c>
      <c r="N1148" s="7">
        <v>8108</v>
      </c>
      <c r="O1148" t="s">
        <v>709</v>
      </c>
      <c r="P1148" t="s">
        <v>710</v>
      </c>
      <c r="S1148" t="s">
        <v>3726</v>
      </c>
      <c r="T1148" t="s">
        <v>3727</v>
      </c>
      <c r="U1148" t="s">
        <v>3728</v>
      </c>
      <c r="V1148" s="8">
        <v>1650</v>
      </c>
      <c r="W1148" s="7">
        <v>589463</v>
      </c>
      <c r="X1148" t="s">
        <v>4441</v>
      </c>
      <c r="Y1148" s="8">
        <v>1650</v>
      </c>
      <c r="Z1148" s="8">
        <v>1947</v>
      </c>
      <c r="AA1148" s="8">
        <v>297</v>
      </c>
      <c r="AB1148" s="7">
        <v>112930</v>
      </c>
      <c r="AC1148" t="s">
        <v>4441</v>
      </c>
      <c r="AD1148" s="8">
        <v>0</v>
      </c>
      <c r="AG1148" t="s">
        <v>823</v>
      </c>
      <c r="AH1148" t="s">
        <v>802</v>
      </c>
      <c r="AI1148" t="s">
        <v>818</v>
      </c>
    </row>
    <row r="1149" spans="1:35" hidden="1">
      <c r="A1149" s="7">
        <v>1148</v>
      </c>
      <c r="B1149" t="s">
        <v>243</v>
      </c>
      <c r="C1149" t="s">
        <v>244</v>
      </c>
      <c r="D1149" s="7">
        <v>7134</v>
      </c>
      <c r="E1149" t="s">
        <v>245</v>
      </c>
      <c r="F1149" t="s">
        <v>246</v>
      </c>
      <c r="G1149" t="s">
        <v>1580</v>
      </c>
      <c r="H1149" t="s">
        <v>3745</v>
      </c>
      <c r="I1149" s="7">
        <v>1165</v>
      </c>
      <c r="J1149" s="7">
        <v>99693</v>
      </c>
      <c r="K1149" s="7">
        <v>10</v>
      </c>
      <c r="L1149" t="s">
        <v>247</v>
      </c>
      <c r="M1149" t="s">
        <v>361</v>
      </c>
      <c r="N1149" s="7">
        <v>3489</v>
      </c>
      <c r="O1149" t="s">
        <v>1581</v>
      </c>
      <c r="P1149" t="s">
        <v>1582</v>
      </c>
      <c r="S1149" t="s">
        <v>3726</v>
      </c>
      <c r="T1149" t="s">
        <v>3727</v>
      </c>
      <c r="U1149" t="s">
        <v>3728</v>
      </c>
      <c r="V1149" s="8">
        <v>0</v>
      </c>
      <c r="W1149" s="7">
        <v>589463</v>
      </c>
      <c r="X1149" t="s">
        <v>4441</v>
      </c>
      <c r="Y1149" s="8">
        <v>0</v>
      </c>
      <c r="Z1149" s="8">
        <v>0</v>
      </c>
      <c r="AA1149" s="8">
        <v>0</v>
      </c>
      <c r="AB1149" s="7">
        <v>112930</v>
      </c>
      <c r="AC1149" t="s">
        <v>4441</v>
      </c>
      <c r="AD1149" s="8">
        <v>0</v>
      </c>
      <c r="AG1149" t="s">
        <v>823</v>
      </c>
      <c r="AH1149" t="s">
        <v>802</v>
      </c>
      <c r="AI1149" t="s">
        <v>803</v>
      </c>
    </row>
    <row r="1150" spans="1:35" hidden="1">
      <c r="A1150" s="7">
        <v>1149</v>
      </c>
      <c r="B1150" t="s">
        <v>243</v>
      </c>
      <c r="C1150" t="s">
        <v>244</v>
      </c>
      <c r="D1150" s="7">
        <v>7134</v>
      </c>
      <c r="E1150" t="s">
        <v>245</v>
      </c>
      <c r="F1150" t="s">
        <v>246</v>
      </c>
      <c r="G1150" t="s">
        <v>1457</v>
      </c>
      <c r="H1150" t="s">
        <v>3731</v>
      </c>
      <c r="I1150" s="7">
        <v>920</v>
      </c>
      <c r="J1150" s="7">
        <v>32281</v>
      </c>
      <c r="K1150" s="7">
        <v>2</v>
      </c>
      <c r="L1150" t="s">
        <v>247</v>
      </c>
      <c r="M1150" t="s">
        <v>261</v>
      </c>
      <c r="N1150" s="7">
        <v>795771</v>
      </c>
      <c r="O1150" t="s">
        <v>2162</v>
      </c>
      <c r="P1150" t="s">
        <v>2163</v>
      </c>
      <c r="Q1150" t="s">
        <v>908</v>
      </c>
      <c r="R1150" t="s">
        <v>909</v>
      </c>
      <c r="S1150" t="s">
        <v>3726</v>
      </c>
      <c r="T1150" t="s">
        <v>3727</v>
      </c>
      <c r="U1150" t="s">
        <v>3728</v>
      </c>
      <c r="V1150" s="8">
        <v>1250</v>
      </c>
      <c r="W1150" s="7">
        <v>589463</v>
      </c>
      <c r="X1150" t="s">
        <v>4441</v>
      </c>
      <c r="Y1150" s="8">
        <v>1000</v>
      </c>
      <c r="Z1150" s="8">
        <v>1475</v>
      </c>
      <c r="AA1150" s="8">
        <v>225</v>
      </c>
      <c r="AB1150" s="7">
        <v>112930</v>
      </c>
      <c r="AC1150" t="s">
        <v>4441</v>
      </c>
      <c r="AD1150" s="8">
        <v>250</v>
      </c>
      <c r="AG1150" t="s">
        <v>817</v>
      </c>
      <c r="AH1150" t="s">
        <v>802</v>
      </c>
      <c r="AI1150" t="s">
        <v>818</v>
      </c>
    </row>
    <row r="1151" spans="1:35" hidden="1">
      <c r="A1151" s="7">
        <v>1150</v>
      </c>
      <c r="B1151" t="s">
        <v>243</v>
      </c>
      <c r="C1151" t="s">
        <v>244</v>
      </c>
      <c r="D1151" s="7">
        <v>7134</v>
      </c>
      <c r="E1151" t="s">
        <v>245</v>
      </c>
      <c r="F1151" t="s">
        <v>246</v>
      </c>
      <c r="G1151" t="s">
        <v>248</v>
      </c>
      <c r="H1151" t="s">
        <v>3729</v>
      </c>
      <c r="I1151" s="7">
        <v>970</v>
      </c>
      <c r="J1151" s="7">
        <v>29300</v>
      </c>
      <c r="K1151" s="7">
        <v>2</v>
      </c>
      <c r="L1151" t="s">
        <v>247</v>
      </c>
      <c r="M1151" t="s">
        <v>261</v>
      </c>
      <c r="N1151" s="7">
        <v>797819</v>
      </c>
      <c r="O1151" t="s">
        <v>2167</v>
      </c>
      <c r="P1151" t="s">
        <v>2168</v>
      </c>
      <c r="S1151" t="s">
        <v>3726</v>
      </c>
      <c r="T1151" t="s">
        <v>3727</v>
      </c>
      <c r="U1151" t="s">
        <v>3728</v>
      </c>
      <c r="V1151" s="8">
        <v>1250</v>
      </c>
      <c r="W1151" s="7">
        <v>589463</v>
      </c>
      <c r="X1151" t="s">
        <v>4441</v>
      </c>
      <c r="Y1151" s="8">
        <v>1250</v>
      </c>
      <c r="Z1151" s="8">
        <v>1475</v>
      </c>
      <c r="AA1151" s="8">
        <v>225</v>
      </c>
      <c r="AB1151" s="7">
        <v>112930</v>
      </c>
      <c r="AC1151" t="s">
        <v>4441</v>
      </c>
      <c r="AD1151" s="8">
        <v>0</v>
      </c>
      <c r="AG1151" t="s">
        <v>817</v>
      </c>
      <c r="AH1151" t="s">
        <v>802</v>
      </c>
      <c r="AI1151" t="s">
        <v>818</v>
      </c>
    </row>
    <row r="1152" spans="1:35" hidden="1">
      <c r="A1152" s="7">
        <v>1151</v>
      </c>
      <c r="B1152" t="s">
        <v>243</v>
      </c>
      <c r="C1152" t="s">
        <v>244</v>
      </c>
      <c r="D1152" s="7">
        <v>7134</v>
      </c>
      <c r="E1152" t="s">
        <v>245</v>
      </c>
      <c r="F1152" t="s">
        <v>246</v>
      </c>
      <c r="G1152" t="s">
        <v>333</v>
      </c>
      <c r="H1152" t="s">
        <v>3750</v>
      </c>
      <c r="I1152" s="7">
        <v>1165</v>
      </c>
      <c r="J1152" s="7">
        <v>29627</v>
      </c>
      <c r="K1152" s="7">
        <v>3</v>
      </c>
      <c r="L1152" t="s">
        <v>247</v>
      </c>
      <c r="M1152" t="s">
        <v>261</v>
      </c>
      <c r="N1152" s="7">
        <v>800870</v>
      </c>
      <c r="O1152" t="s">
        <v>448</v>
      </c>
      <c r="P1152" t="s">
        <v>449</v>
      </c>
      <c r="S1152" t="s">
        <v>3726</v>
      </c>
      <c r="T1152" t="s">
        <v>3727</v>
      </c>
      <c r="U1152" t="s">
        <v>3728</v>
      </c>
      <c r="V1152" s="8">
        <v>1250</v>
      </c>
      <c r="W1152" s="7">
        <v>589463</v>
      </c>
      <c r="X1152" t="s">
        <v>4441</v>
      </c>
      <c r="Y1152" s="8">
        <v>1250</v>
      </c>
      <c r="Z1152" s="8">
        <v>1475</v>
      </c>
      <c r="AA1152" s="8">
        <v>225</v>
      </c>
      <c r="AB1152" s="7">
        <v>112930</v>
      </c>
      <c r="AC1152" t="s">
        <v>4441</v>
      </c>
      <c r="AD1152" s="8">
        <v>0</v>
      </c>
      <c r="AG1152" t="s">
        <v>801</v>
      </c>
      <c r="AH1152" t="s">
        <v>802</v>
      </c>
      <c r="AI1152" t="s">
        <v>818</v>
      </c>
    </row>
    <row r="1153" spans="1:35" hidden="1">
      <c r="A1153" s="7">
        <v>1152</v>
      </c>
      <c r="B1153" t="s">
        <v>243</v>
      </c>
      <c r="C1153" t="s">
        <v>244</v>
      </c>
      <c r="D1153" s="7">
        <v>7134</v>
      </c>
      <c r="E1153" t="s">
        <v>245</v>
      </c>
      <c r="F1153" t="s">
        <v>246</v>
      </c>
      <c r="G1153" t="s">
        <v>1727</v>
      </c>
      <c r="H1153" t="s">
        <v>3730</v>
      </c>
      <c r="I1153" s="7">
        <v>1165</v>
      </c>
      <c r="J1153" s="7">
        <v>55378</v>
      </c>
      <c r="K1153" s="7">
        <v>10</v>
      </c>
      <c r="L1153" t="s">
        <v>247</v>
      </c>
      <c r="M1153" t="s">
        <v>252</v>
      </c>
      <c r="N1153" s="7">
        <v>320359</v>
      </c>
      <c r="O1153" t="s">
        <v>1728</v>
      </c>
      <c r="P1153" t="s">
        <v>1729</v>
      </c>
      <c r="S1153" t="s">
        <v>3726</v>
      </c>
      <c r="T1153" t="s">
        <v>3727</v>
      </c>
      <c r="U1153" t="s">
        <v>3728</v>
      </c>
      <c r="V1153" s="8">
        <v>0</v>
      </c>
      <c r="W1153" s="7">
        <v>589463</v>
      </c>
      <c r="X1153" t="s">
        <v>4441</v>
      </c>
      <c r="Y1153" s="8">
        <v>0</v>
      </c>
      <c r="Z1153" s="8">
        <v>0</v>
      </c>
      <c r="AA1153" s="8">
        <v>0</v>
      </c>
      <c r="AB1153" s="7">
        <v>112930</v>
      </c>
      <c r="AC1153" t="s">
        <v>4441</v>
      </c>
      <c r="AD1153" s="8">
        <v>0</v>
      </c>
      <c r="AG1153" t="s">
        <v>937</v>
      </c>
      <c r="AH1153" t="s">
        <v>802</v>
      </c>
      <c r="AI1153" t="s">
        <v>803</v>
      </c>
    </row>
    <row r="1154" spans="1:35" hidden="1">
      <c r="A1154" s="7">
        <v>1153</v>
      </c>
      <c r="B1154" t="s">
        <v>243</v>
      </c>
      <c r="C1154" t="s">
        <v>244</v>
      </c>
      <c r="D1154" s="7">
        <v>7134</v>
      </c>
      <c r="E1154" t="s">
        <v>245</v>
      </c>
      <c r="F1154" t="s">
        <v>246</v>
      </c>
      <c r="G1154" t="s">
        <v>1116</v>
      </c>
      <c r="H1154" t="s">
        <v>3746</v>
      </c>
      <c r="I1154" s="7">
        <v>1165</v>
      </c>
      <c r="J1154" s="7">
        <v>50000</v>
      </c>
      <c r="K1154" s="7">
        <v>6</v>
      </c>
      <c r="L1154" t="s">
        <v>247</v>
      </c>
      <c r="M1154" t="s">
        <v>261</v>
      </c>
      <c r="N1154" s="7">
        <v>786160</v>
      </c>
      <c r="O1154" t="s">
        <v>1117</v>
      </c>
      <c r="P1154" t="s">
        <v>1118</v>
      </c>
      <c r="S1154" t="s">
        <v>3726</v>
      </c>
      <c r="T1154" t="s">
        <v>3727</v>
      </c>
      <c r="U1154" t="s">
        <v>3728</v>
      </c>
      <c r="V1154" s="8">
        <v>0</v>
      </c>
      <c r="W1154" s="7">
        <v>589463</v>
      </c>
      <c r="X1154" t="s">
        <v>4441</v>
      </c>
      <c r="Y1154" s="8">
        <v>0</v>
      </c>
      <c r="Z1154" s="8">
        <v>0</v>
      </c>
      <c r="AA1154" s="8">
        <v>0</v>
      </c>
      <c r="AB1154" s="7">
        <v>112930</v>
      </c>
      <c r="AC1154" t="s">
        <v>4441</v>
      </c>
      <c r="AD1154" s="8">
        <v>0</v>
      </c>
      <c r="AG1154" t="s">
        <v>801</v>
      </c>
      <c r="AH1154" t="s">
        <v>802</v>
      </c>
      <c r="AI1154" t="s">
        <v>803</v>
      </c>
    </row>
    <row r="1155" spans="1:35" hidden="1">
      <c r="A1155" s="7">
        <v>1154</v>
      </c>
      <c r="B1155" t="s">
        <v>243</v>
      </c>
      <c r="C1155" t="s">
        <v>244</v>
      </c>
      <c r="D1155" s="7">
        <v>7134</v>
      </c>
      <c r="E1155" t="s">
        <v>245</v>
      </c>
      <c r="F1155" t="s">
        <v>246</v>
      </c>
      <c r="G1155" t="s">
        <v>1306</v>
      </c>
      <c r="H1155" t="s">
        <v>3076</v>
      </c>
      <c r="I1155" s="7">
        <v>857</v>
      </c>
      <c r="J1155" s="7">
        <v>31720</v>
      </c>
      <c r="K1155" s="7">
        <v>2</v>
      </c>
      <c r="L1155" t="s">
        <v>247</v>
      </c>
      <c r="M1155" t="s">
        <v>261</v>
      </c>
      <c r="N1155" s="7">
        <v>7079654</v>
      </c>
      <c r="O1155" t="s">
        <v>1962</v>
      </c>
      <c r="P1155" t="s">
        <v>1963</v>
      </c>
      <c r="Q1155" t="s">
        <v>908</v>
      </c>
      <c r="R1155" t="s">
        <v>909</v>
      </c>
      <c r="S1155" t="s">
        <v>3726</v>
      </c>
      <c r="T1155" t="s">
        <v>3727</v>
      </c>
      <c r="U1155" t="s">
        <v>3728</v>
      </c>
      <c r="V1155" s="8">
        <v>1250</v>
      </c>
      <c r="W1155" s="7">
        <v>589463</v>
      </c>
      <c r="X1155" t="s">
        <v>4441</v>
      </c>
      <c r="Y1155" s="8">
        <v>1000</v>
      </c>
      <c r="Z1155" s="8">
        <v>1475</v>
      </c>
      <c r="AA1155" s="8">
        <v>225</v>
      </c>
      <c r="AB1155" s="7">
        <v>112930</v>
      </c>
      <c r="AC1155" t="s">
        <v>4441</v>
      </c>
      <c r="AD1155" s="8">
        <v>250</v>
      </c>
      <c r="AG1155" t="s">
        <v>817</v>
      </c>
      <c r="AH1155" t="s">
        <v>802</v>
      </c>
      <c r="AI1155" t="s">
        <v>818</v>
      </c>
    </row>
    <row r="1156" spans="1:35" hidden="1">
      <c r="A1156" s="7">
        <v>1155</v>
      </c>
      <c r="B1156" t="s">
        <v>243</v>
      </c>
      <c r="C1156" t="s">
        <v>244</v>
      </c>
      <c r="D1156" s="7">
        <v>7134</v>
      </c>
      <c r="E1156" t="s">
        <v>245</v>
      </c>
      <c r="F1156" t="s">
        <v>246</v>
      </c>
      <c r="G1156" t="s">
        <v>1773</v>
      </c>
      <c r="H1156" t="s">
        <v>3076</v>
      </c>
      <c r="I1156" s="7">
        <v>1165</v>
      </c>
      <c r="J1156" s="7">
        <v>40623</v>
      </c>
      <c r="K1156" s="7">
        <v>4</v>
      </c>
      <c r="L1156" t="s">
        <v>247</v>
      </c>
      <c r="M1156" t="s">
        <v>361</v>
      </c>
      <c r="N1156" s="7">
        <v>4921</v>
      </c>
      <c r="O1156" t="s">
        <v>1774</v>
      </c>
      <c r="P1156" t="s">
        <v>1775</v>
      </c>
      <c r="S1156" t="s">
        <v>3726</v>
      </c>
      <c r="T1156" t="s">
        <v>3727</v>
      </c>
      <c r="U1156" t="s">
        <v>3728</v>
      </c>
      <c r="V1156" s="8">
        <v>0</v>
      </c>
      <c r="W1156" s="7">
        <v>589463</v>
      </c>
      <c r="X1156" t="s">
        <v>4441</v>
      </c>
      <c r="Y1156" s="8">
        <v>0</v>
      </c>
      <c r="Z1156" s="8">
        <v>0</v>
      </c>
      <c r="AA1156" s="8">
        <v>0</v>
      </c>
      <c r="AB1156" s="7">
        <v>112930</v>
      </c>
      <c r="AC1156" t="s">
        <v>4441</v>
      </c>
      <c r="AD1156" s="8">
        <v>0</v>
      </c>
      <c r="AG1156" t="s">
        <v>823</v>
      </c>
      <c r="AH1156" t="s">
        <v>802</v>
      </c>
      <c r="AI1156" t="s">
        <v>803</v>
      </c>
    </row>
    <row r="1157" spans="1:35" hidden="1">
      <c r="A1157" s="7">
        <v>1156</v>
      </c>
      <c r="B1157" t="s">
        <v>243</v>
      </c>
      <c r="C1157" t="s">
        <v>244</v>
      </c>
      <c r="D1157" s="7">
        <v>7134</v>
      </c>
      <c r="E1157" t="s">
        <v>245</v>
      </c>
      <c r="F1157" t="s">
        <v>246</v>
      </c>
      <c r="G1157" t="s">
        <v>1530</v>
      </c>
      <c r="H1157" t="s">
        <v>3158</v>
      </c>
      <c r="I1157" s="7">
        <v>1165</v>
      </c>
      <c r="J1157" s="7">
        <v>21120</v>
      </c>
      <c r="K1157" s="7">
        <v>3</v>
      </c>
      <c r="L1157" t="s">
        <v>247</v>
      </c>
      <c r="M1157" t="s">
        <v>361</v>
      </c>
      <c r="N1157" s="7">
        <v>6480</v>
      </c>
      <c r="O1157" t="s">
        <v>1531</v>
      </c>
      <c r="P1157" t="s">
        <v>1532</v>
      </c>
      <c r="S1157" t="s">
        <v>3726</v>
      </c>
      <c r="T1157" t="s">
        <v>3727</v>
      </c>
      <c r="U1157" t="s">
        <v>3728</v>
      </c>
      <c r="V1157" s="8">
        <v>1650</v>
      </c>
      <c r="W1157" s="7">
        <v>589463</v>
      </c>
      <c r="X1157" t="s">
        <v>4441</v>
      </c>
      <c r="Y1157" s="8">
        <v>1650</v>
      </c>
      <c r="Z1157" s="8">
        <v>1947</v>
      </c>
      <c r="AA1157" s="8">
        <v>297</v>
      </c>
      <c r="AB1157" s="7">
        <v>112930</v>
      </c>
      <c r="AC1157" t="s">
        <v>4441</v>
      </c>
      <c r="AD1157" s="8">
        <v>0</v>
      </c>
      <c r="AG1157" t="s">
        <v>823</v>
      </c>
      <c r="AH1157" t="s">
        <v>802</v>
      </c>
      <c r="AI1157" t="s">
        <v>818</v>
      </c>
    </row>
    <row r="1158" spans="1:35" hidden="1">
      <c r="A1158" s="7">
        <v>1157</v>
      </c>
      <c r="B1158" t="s">
        <v>243</v>
      </c>
      <c r="C1158" t="s">
        <v>244</v>
      </c>
      <c r="D1158" s="7">
        <v>7134</v>
      </c>
      <c r="E1158" t="s">
        <v>245</v>
      </c>
      <c r="F1158" t="s">
        <v>246</v>
      </c>
      <c r="G1158" t="s">
        <v>809</v>
      </c>
      <c r="H1158" t="s">
        <v>3740</v>
      </c>
      <c r="I1158" s="7">
        <v>1165</v>
      </c>
      <c r="J1158" s="7">
        <v>89335</v>
      </c>
      <c r="K1158" s="7">
        <v>12</v>
      </c>
      <c r="L1158" t="s">
        <v>247</v>
      </c>
      <c r="M1158" t="s">
        <v>261</v>
      </c>
      <c r="N1158" s="7">
        <v>754077</v>
      </c>
      <c r="O1158" t="s">
        <v>1140</v>
      </c>
      <c r="P1158" t="s">
        <v>1141</v>
      </c>
      <c r="S1158" t="s">
        <v>3726</v>
      </c>
      <c r="T1158" t="s">
        <v>3727</v>
      </c>
      <c r="U1158" t="s">
        <v>3728</v>
      </c>
      <c r="V1158" s="8">
        <v>0</v>
      </c>
      <c r="W1158" s="7">
        <v>589463</v>
      </c>
      <c r="X1158" t="s">
        <v>4441</v>
      </c>
      <c r="Y1158" s="8">
        <v>0</v>
      </c>
      <c r="Z1158" s="8">
        <v>0</v>
      </c>
      <c r="AA1158" s="8">
        <v>0</v>
      </c>
      <c r="AB1158" s="7">
        <v>112930</v>
      </c>
      <c r="AC1158" t="s">
        <v>4441</v>
      </c>
      <c r="AD1158" s="8">
        <v>0</v>
      </c>
      <c r="AG1158" t="s">
        <v>801</v>
      </c>
      <c r="AH1158" t="s">
        <v>802</v>
      </c>
      <c r="AI1158" t="s">
        <v>803</v>
      </c>
    </row>
    <row r="1159" spans="1:35" hidden="1">
      <c r="A1159" s="7">
        <v>1158</v>
      </c>
      <c r="B1159" t="s">
        <v>243</v>
      </c>
      <c r="C1159" t="s">
        <v>244</v>
      </c>
      <c r="D1159" s="7">
        <v>7134</v>
      </c>
      <c r="E1159" t="s">
        <v>245</v>
      </c>
      <c r="F1159" t="s">
        <v>246</v>
      </c>
      <c r="G1159" t="s">
        <v>313</v>
      </c>
      <c r="H1159" t="s">
        <v>3741</v>
      </c>
      <c r="I1159" s="7">
        <v>1165</v>
      </c>
      <c r="J1159" s="7">
        <v>8545</v>
      </c>
      <c r="K1159" s="7">
        <v>2</v>
      </c>
      <c r="L1159" t="s">
        <v>247</v>
      </c>
      <c r="M1159" t="s">
        <v>261</v>
      </c>
      <c r="N1159" s="7">
        <v>797216</v>
      </c>
      <c r="O1159" t="s">
        <v>315</v>
      </c>
      <c r="P1159" t="s">
        <v>316</v>
      </c>
      <c r="S1159" t="s">
        <v>3726</v>
      </c>
      <c r="T1159" t="s">
        <v>3727</v>
      </c>
      <c r="U1159" t="s">
        <v>3728</v>
      </c>
      <c r="V1159" s="8">
        <v>1250</v>
      </c>
      <c r="W1159" s="7">
        <v>589463</v>
      </c>
      <c r="X1159" t="s">
        <v>4441</v>
      </c>
      <c r="Y1159" s="8">
        <v>1250</v>
      </c>
      <c r="Z1159" s="8">
        <v>1475</v>
      </c>
      <c r="AA1159" s="8">
        <v>225</v>
      </c>
      <c r="AB1159" s="7">
        <v>112930</v>
      </c>
      <c r="AC1159" t="s">
        <v>4441</v>
      </c>
      <c r="AD1159" s="8">
        <v>0</v>
      </c>
      <c r="AG1159" t="s">
        <v>817</v>
      </c>
      <c r="AH1159" t="s">
        <v>802</v>
      </c>
      <c r="AI1159" t="s">
        <v>818</v>
      </c>
    </row>
    <row r="1160" spans="1:35" hidden="1">
      <c r="A1160" s="7">
        <v>1159</v>
      </c>
      <c r="B1160" t="s">
        <v>243</v>
      </c>
      <c r="C1160" t="s">
        <v>244</v>
      </c>
      <c r="D1160" s="7">
        <v>7134</v>
      </c>
      <c r="E1160" t="s">
        <v>245</v>
      </c>
      <c r="F1160" t="s">
        <v>246</v>
      </c>
      <c r="G1160" t="s">
        <v>263</v>
      </c>
      <c r="H1160" t="s">
        <v>3076</v>
      </c>
      <c r="I1160" s="7">
        <v>892</v>
      </c>
      <c r="J1160" s="7">
        <v>31120</v>
      </c>
      <c r="K1160" s="7">
        <v>2</v>
      </c>
      <c r="L1160" t="s">
        <v>247</v>
      </c>
      <c r="M1160" t="s">
        <v>261</v>
      </c>
      <c r="N1160" s="7">
        <v>796577</v>
      </c>
      <c r="O1160" t="s">
        <v>2196</v>
      </c>
      <c r="P1160" t="s">
        <v>2197</v>
      </c>
      <c r="Q1160" t="s">
        <v>908</v>
      </c>
      <c r="R1160" t="s">
        <v>909</v>
      </c>
      <c r="S1160" t="s">
        <v>3726</v>
      </c>
      <c r="T1160" t="s">
        <v>3727</v>
      </c>
      <c r="U1160" t="s">
        <v>3728</v>
      </c>
      <c r="V1160" s="8">
        <v>1250</v>
      </c>
      <c r="W1160" s="7">
        <v>589463</v>
      </c>
      <c r="X1160" t="s">
        <v>4441</v>
      </c>
      <c r="Y1160" s="8">
        <v>1000</v>
      </c>
      <c r="Z1160" s="8">
        <v>1475</v>
      </c>
      <c r="AA1160" s="8">
        <v>225</v>
      </c>
      <c r="AB1160" s="7">
        <v>112930</v>
      </c>
      <c r="AC1160" t="s">
        <v>4441</v>
      </c>
      <c r="AD1160" s="8">
        <v>250</v>
      </c>
      <c r="AG1160" t="s">
        <v>817</v>
      </c>
      <c r="AH1160" t="s">
        <v>802</v>
      </c>
      <c r="AI1160" t="s">
        <v>818</v>
      </c>
    </row>
    <row r="1161" spans="1:35" hidden="1">
      <c r="A1161" s="7">
        <v>1160</v>
      </c>
      <c r="B1161" t="s">
        <v>243</v>
      </c>
      <c r="C1161" t="s">
        <v>244</v>
      </c>
      <c r="D1161" s="7">
        <v>7134</v>
      </c>
      <c r="E1161" t="s">
        <v>245</v>
      </c>
      <c r="F1161" t="s">
        <v>246</v>
      </c>
      <c r="G1161" t="s">
        <v>269</v>
      </c>
      <c r="H1161" t="s">
        <v>3750</v>
      </c>
      <c r="I1161" s="7">
        <v>1165</v>
      </c>
      <c r="J1161" s="7">
        <v>7421</v>
      </c>
      <c r="K1161" s="7">
        <v>3</v>
      </c>
      <c r="L1161" t="s">
        <v>247</v>
      </c>
      <c r="M1161" t="s">
        <v>252</v>
      </c>
      <c r="N1161" s="7">
        <v>327338</v>
      </c>
      <c r="O1161" t="s">
        <v>271</v>
      </c>
      <c r="P1161" t="s">
        <v>272</v>
      </c>
      <c r="S1161" t="s">
        <v>3726</v>
      </c>
      <c r="T1161" t="s">
        <v>3727</v>
      </c>
      <c r="U1161" t="s">
        <v>3728</v>
      </c>
      <c r="V1161" s="8">
        <v>1250</v>
      </c>
      <c r="W1161" s="7">
        <v>589463</v>
      </c>
      <c r="X1161" t="s">
        <v>4441</v>
      </c>
      <c r="Y1161" s="8">
        <v>1250</v>
      </c>
      <c r="Z1161" s="8">
        <v>1475</v>
      </c>
      <c r="AA1161" s="8">
        <v>225</v>
      </c>
      <c r="AB1161" s="7">
        <v>112930</v>
      </c>
      <c r="AC1161" t="s">
        <v>4441</v>
      </c>
      <c r="AD1161" s="8">
        <v>0</v>
      </c>
      <c r="AG1161" t="s">
        <v>937</v>
      </c>
      <c r="AH1161" t="s">
        <v>802</v>
      </c>
      <c r="AI1161" t="s">
        <v>818</v>
      </c>
    </row>
    <row r="1162" spans="1:35" hidden="1">
      <c r="A1162" s="7">
        <v>1161</v>
      </c>
      <c r="B1162" t="s">
        <v>243</v>
      </c>
      <c r="C1162" t="s">
        <v>244</v>
      </c>
      <c r="D1162" s="7">
        <v>7134</v>
      </c>
      <c r="E1162" t="s">
        <v>245</v>
      </c>
      <c r="F1162" t="s">
        <v>246</v>
      </c>
      <c r="G1162" t="s">
        <v>602</v>
      </c>
      <c r="H1162" t="s">
        <v>3457</v>
      </c>
      <c r="I1162" s="7">
        <v>1165</v>
      </c>
      <c r="J1162" s="7">
        <v>4838</v>
      </c>
      <c r="K1162" s="7">
        <v>1</v>
      </c>
      <c r="L1162" t="s">
        <v>247</v>
      </c>
      <c r="M1162" t="s">
        <v>261</v>
      </c>
      <c r="N1162" s="7">
        <v>796763</v>
      </c>
      <c r="O1162" t="s">
        <v>618</v>
      </c>
      <c r="P1162" t="s">
        <v>619</v>
      </c>
      <c r="S1162" t="s">
        <v>3726</v>
      </c>
      <c r="T1162" t="s">
        <v>3727</v>
      </c>
      <c r="U1162" t="s">
        <v>3728</v>
      </c>
      <c r="V1162" s="8">
        <v>1250</v>
      </c>
      <c r="W1162" s="7">
        <v>589463</v>
      </c>
      <c r="X1162" t="s">
        <v>4441</v>
      </c>
      <c r="Y1162" s="8">
        <v>1250</v>
      </c>
      <c r="Z1162" s="8">
        <v>1475</v>
      </c>
      <c r="AA1162" s="8">
        <v>225</v>
      </c>
      <c r="AB1162" s="7">
        <v>112930</v>
      </c>
      <c r="AC1162" t="s">
        <v>4441</v>
      </c>
      <c r="AD1162" s="8">
        <v>0</v>
      </c>
      <c r="AG1162" t="s">
        <v>817</v>
      </c>
      <c r="AH1162" t="s">
        <v>802</v>
      </c>
      <c r="AI1162" t="s">
        <v>818</v>
      </c>
    </row>
    <row r="1163" spans="1:35" hidden="1">
      <c r="A1163" s="7">
        <v>1162</v>
      </c>
      <c r="B1163" t="s">
        <v>243</v>
      </c>
      <c r="C1163" t="s">
        <v>244</v>
      </c>
      <c r="D1163" s="7">
        <v>7134</v>
      </c>
      <c r="E1163" t="s">
        <v>245</v>
      </c>
      <c r="F1163" t="s">
        <v>246</v>
      </c>
      <c r="G1163" t="s">
        <v>1004</v>
      </c>
      <c r="H1163" t="s">
        <v>3738</v>
      </c>
      <c r="I1163" s="7">
        <v>1165</v>
      </c>
      <c r="J1163" s="7">
        <v>30000</v>
      </c>
      <c r="K1163" s="7">
        <v>3</v>
      </c>
      <c r="L1163" t="s">
        <v>247</v>
      </c>
      <c r="M1163" t="s">
        <v>361</v>
      </c>
      <c r="N1163" s="7">
        <v>6191</v>
      </c>
      <c r="O1163" t="s">
        <v>1030</v>
      </c>
      <c r="P1163" t="s">
        <v>1031</v>
      </c>
      <c r="S1163" t="s">
        <v>3726</v>
      </c>
      <c r="T1163" t="s">
        <v>3727</v>
      </c>
      <c r="U1163" t="s">
        <v>3728</v>
      </c>
      <c r="V1163" s="8">
        <v>1650</v>
      </c>
      <c r="W1163" s="7">
        <v>589463</v>
      </c>
      <c r="X1163" t="s">
        <v>4441</v>
      </c>
      <c r="Y1163" s="8">
        <v>1650</v>
      </c>
      <c r="Z1163" s="8">
        <v>1947</v>
      </c>
      <c r="AA1163" s="8">
        <v>297</v>
      </c>
      <c r="AB1163" s="7">
        <v>112930</v>
      </c>
      <c r="AC1163" t="s">
        <v>4441</v>
      </c>
      <c r="AD1163" s="8">
        <v>0</v>
      </c>
      <c r="AG1163" t="s">
        <v>823</v>
      </c>
      <c r="AH1163" t="s">
        <v>802</v>
      </c>
      <c r="AI1163" t="s">
        <v>818</v>
      </c>
    </row>
    <row r="1164" spans="1:35" hidden="1">
      <c r="A1164" s="7">
        <v>1163</v>
      </c>
      <c r="B1164" t="s">
        <v>243</v>
      </c>
      <c r="C1164" t="s">
        <v>244</v>
      </c>
      <c r="D1164" s="7">
        <v>7134</v>
      </c>
      <c r="E1164" t="s">
        <v>245</v>
      </c>
      <c r="F1164" t="s">
        <v>246</v>
      </c>
      <c r="G1164" t="s">
        <v>400</v>
      </c>
      <c r="H1164" t="s">
        <v>3730</v>
      </c>
      <c r="I1164" s="7">
        <v>826</v>
      </c>
      <c r="J1164" s="7">
        <v>33162</v>
      </c>
      <c r="K1164" s="7">
        <v>2</v>
      </c>
      <c r="L1164" t="s">
        <v>247</v>
      </c>
      <c r="M1164" t="s">
        <v>261</v>
      </c>
      <c r="N1164" s="7">
        <v>796523</v>
      </c>
      <c r="O1164" t="s">
        <v>2045</v>
      </c>
      <c r="P1164" t="s">
        <v>2046</v>
      </c>
      <c r="Q1164" t="s">
        <v>908</v>
      </c>
      <c r="R1164" t="s">
        <v>909</v>
      </c>
      <c r="S1164" t="s">
        <v>3726</v>
      </c>
      <c r="T1164" t="s">
        <v>3727</v>
      </c>
      <c r="U1164" t="s">
        <v>3728</v>
      </c>
      <c r="V1164" s="8">
        <v>1250</v>
      </c>
      <c r="W1164" s="7">
        <v>589463</v>
      </c>
      <c r="X1164" t="s">
        <v>4441</v>
      </c>
      <c r="Y1164" s="8">
        <v>1000</v>
      </c>
      <c r="Z1164" s="8">
        <v>1475</v>
      </c>
      <c r="AA1164" s="8">
        <v>225</v>
      </c>
      <c r="AB1164" s="7">
        <v>112930</v>
      </c>
      <c r="AC1164" t="s">
        <v>4441</v>
      </c>
      <c r="AD1164" s="8">
        <v>250</v>
      </c>
      <c r="AG1164" t="s">
        <v>817</v>
      </c>
      <c r="AH1164" t="s">
        <v>802</v>
      </c>
      <c r="AI1164" t="s">
        <v>818</v>
      </c>
    </row>
    <row r="1165" spans="1:35" hidden="1">
      <c r="A1165" s="7">
        <v>1164</v>
      </c>
      <c r="B1165" t="s">
        <v>243</v>
      </c>
      <c r="C1165" t="s">
        <v>244</v>
      </c>
      <c r="D1165" s="7">
        <v>7134</v>
      </c>
      <c r="E1165" t="s">
        <v>245</v>
      </c>
      <c r="F1165" t="s">
        <v>246</v>
      </c>
      <c r="G1165" t="s">
        <v>1131</v>
      </c>
      <c r="H1165" t="s">
        <v>3738</v>
      </c>
      <c r="I1165" s="7">
        <v>1165</v>
      </c>
      <c r="J1165" s="7">
        <v>27927</v>
      </c>
      <c r="K1165" s="7">
        <v>4</v>
      </c>
      <c r="L1165" t="s">
        <v>247</v>
      </c>
      <c r="M1165" t="s">
        <v>361</v>
      </c>
      <c r="N1165" s="7">
        <v>5097</v>
      </c>
      <c r="O1165" t="s">
        <v>1132</v>
      </c>
      <c r="P1165" t="s">
        <v>1133</v>
      </c>
      <c r="S1165" t="s">
        <v>3726</v>
      </c>
      <c r="T1165" t="s">
        <v>3727</v>
      </c>
      <c r="U1165" t="s">
        <v>3728</v>
      </c>
      <c r="V1165" s="8">
        <v>0</v>
      </c>
      <c r="W1165" s="7">
        <v>589463</v>
      </c>
      <c r="X1165" t="s">
        <v>4441</v>
      </c>
      <c r="Y1165" s="8">
        <v>0</v>
      </c>
      <c r="Z1165" s="8">
        <v>0</v>
      </c>
      <c r="AA1165" s="8">
        <v>0</v>
      </c>
      <c r="AB1165" s="7">
        <v>112930</v>
      </c>
      <c r="AC1165" t="s">
        <v>4441</v>
      </c>
      <c r="AD1165" s="8">
        <v>0</v>
      </c>
      <c r="AG1165" t="s">
        <v>823</v>
      </c>
      <c r="AH1165" t="s">
        <v>802</v>
      </c>
      <c r="AI1165" t="s">
        <v>803</v>
      </c>
    </row>
    <row r="1166" spans="1:35" hidden="1">
      <c r="A1166" s="7">
        <v>1165</v>
      </c>
      <c r="B1166" t="s">
        <v>243</v>
      </c>
      <c r="C1166" t="s">
        <v>244</v>
      </c>
      <c r="D1166" s="7">
        <v>7134</v>
      </c>
      <c r="E1166" t="s">
        <v>245</v>
      </c>
      <c r="F1166" t="s">
        <v>246</v>
      </c>
      <c r="G1166" t="s">
        <v>1134</v>
      </c>
      <c r="H1166" t="s">
        <v>3731</v>
      </c>
      <c r="I1166" s="7">
        <v>1165</v>
      </c>
      <c r="J1166" s="7">
        <v>90000</v>
      </c>
      <c r="K1166" s="7">
        <v>10</v>
      </c>
      <c r="L1166" t="s">
        <v>247</v>
      </c>
      <c r="M1166" t="s">
        <v>261</v>
      </c>
      <c r="N1166" s="7">
        <v>761341</v>
      </c>
      <c r="O1166" t="s">
        <v>1135</v>
      </c>
      <c r="P1166" t="s">
        <v>1136</v>
      </c>
      <c r="S1166" t="s">
        <v>3726</v>
      </c>
      <c r="T1166" t="s">
        <v>3727</v>
      </c>
      <c r="U1166" t="s">
        <v>3728</v>
      </c>
      <c r="V1166" s="8">
        <v>0</v>
      </c>
      <c r="W1166" s="7">
        <v>589463</v>
      </c>
      <c r="X1166" t="s">
        <v>4441</v>
      </c>
      <c r="Y1166" s="8">
        <v>0</v>
      </c>
      <c r="Z1166" s="8">
        <v>0</v>
      </c>
      <c r="AA1166" s="8">
        <v>0</v>
      </c>
      <c r="AB1166" s="7">
        <v>112930</v>
      </c>
      <c r="AC1166" t="s">
        <v>4441</v>
      </c>
      <c r="AD1166" s="8">
        <v>0</v>
      </c>
      <c r="AG1166" t="s">
        <v>801</v>
      </c>
      <c r="AH1166" t="s">
        <v>802</v>
      </c>
      <c r="AI1166" t="s">
        <v>803</v>
      </c>
    </row>
    <row r="1167" spans="1:35" hidden="1">
      <c r="A1167" s="7">
        <v>1166</v>
      </c>
      <c r="B1167" t="s">
        <v>243</v>
      </c>
      <c r="C1167" t="s">
        <v>244</v>
      </c>
      <c r="D1167" s="7">
        <v>7134</v>
      </c>
      <c r="E1167" t="s">
        <v>245</v>
      </c>
      <c r="F1167" t="s">
        <v>246</v>
      </c>
      <c r="G1167" t="s">
        <v>645</v>
      </c>
      <c r="H1167" t="s">
        <v>3729</v>
      </c>
      <c r="I1167" s="7">
        <v>1165</v>
      </c>
      <c r="J1167" s="7">
        <v>2236</v>
      </c>
      <c r="K1167" s="7">
        <v>1</v>
      </c>
      <c r="L1167" t="s">
        <v>247</v>
      </c>
      <c r="M1167" t="s">
        <v>361</v>
      </c>
      <c r="N1167" s="7">
        <v>7590</v>
      </c>
      <c r="O1167" t="s">
        <v>647</v>
      </c>
      <c r="P1167" t="s">
        <v>648</v>
      </c>
      <c r="Q1167" t="s">
        <v>870</v>
      </c>
      <c r="R1167" t="s">
        <v>871</v>
      </c>
      <c r="S1167" t="s">
        <v>3726</v>
      </c>
      <c r="T1167" t="s">
        <v>3727</v>
      </c>
      <c r="U1167" t="s">
        <v>3728</v>
      </c>
      <c r="V1167" s="8">
        <v>1650</v>
      </c>
      <c r="W1167" s="7">
        <v>589463</v>
      </c>
      <c r="X1167" t="s">
        <v>4441</v>
      </c>
      <c r="Y1167" s="8">
        <v>1320</v>
      </c>
      <c r="Z1167" s="8">
        <v>1947</v>
      </c>
      <c r="AA1167" s="8">
        <v>297</v>
      </c>
      <c r="AB1167" s="7">
        <v>112930</v>
      </c>
      <c r="AC1167" t="s">
        <v>4441</v>
      </c>
      <c r="AD1167" s="8">
        <v>330</v>
      </c>
      <c r="AG1167" t="s">
        <v>823</v>
      </c>
      <c r="AH1167" t="s">
        <v>802</v>
      </c>
      <c r="AI1167" t="s">
        <v>818</v>
      </c>
    </row>
    <row r="1168" spans="1:35" hidden="1">
      <c r="A1168" s="7">
        <v>1167</v>
      </c>
      <c r="B1168" t="s">
        <v>243</v>
      </c>
      <c r="C1168" t="s">
        <v>244</v>
      </c>
      <c r="D1168" s="7">
        <v>7134</v>
      </c>
      <c r="E1168" t="s">
        <v>245</v>
      </c>
      <c r="F1168" t="s">
        <v>246</v>
      </c>
      <c r="G1168" t="s">
        <v>861</v>
      </c>
      <c r="H1168" t="s">
        <v>3744</v>
      </c>
      <c r="I1168" s="7">
        <v>968</v>
      </c>
      <c r="J1168" s="7">
        <v>59072</v>
      </c>
      <c r="K1168" s="7">
        <v>6</v>
      </c>
      <c r="L1168" t="s">
        <v>247</v>
      </c>
      <c r="M1168" t="s">
        <v>261</v>
      </c>
      <c r="N1168" s="7">
        <v>775157</v>
      </c>
      <c r="O1168" t="s">
        <v>862</v>
      </c>
      <c r="P1168" t="s">
        <v>863</v>
      </c>
      <c r="Q1168" t="s">
        <v>870</v>
      </c>
      <c r="R1168" t="s">
        <v>871</v>
      </c>
      <c r="S1168" t="s">
        <v>3726</v>
      </c>
      <c r="T1168" t="s">
        <v>3727</v>
      </c>
      <c r="U1168" t="s">
        <v>3728</v>
      </c>
      <c r="V1168" s="8">
        <v>0</v>
      </c>
      <c r="W1168" s="7">
        <v>589463</v>
      </c>
      <c r="X1168" t="s">
        <v>4441</v>
      </c>
      <c r="Y1168" s="8">
        <v>0</v>
      </c>
      <c r="Z1168" s="8">
        <v>0</v>
      </c>
      <c r="AA1168" s="8">
        <v>0</v>
      </c>
      <c r="AB1168" s="7">
        <v>112930</v>
      </c>
      <c r="AC1168" t="s">
        <v>4441</v>
      </c>
      <c r="AD1168" s="8">
        <v>0</v>
      </c>
      <c r="AG1168" t="s">
        <v>801</v>
      </c>
      <c r="AH1168" t="s">
        <v>802</v>
      </c>
      <c r="AI1168" t="s">
        <v>803</v>
      </c>
    </row>
    <row r="1169" spans="1:35" hidden="1">
      <c r="A1169" s="7">
        <v>1168</v>
      </c>
      <c r="B1169" t="s">
        <v>243</v>
      </c>
      <c r="C1169" t="s">
        <v>244</v>
      </c>
      <c r="D1169" s="7">
        <v>7134</v>
      </c>
      <c r="E1169" t="s">
        <v>245</v>
      </c>
      <c r="F1169" t="s">
        <v>246</v>
      </c>
      <c r="G1169" t="s">
        <v>1270</v>
      </c>
      <c r="H1169" t="s">
        <v>3749</v>
      </c>
      <c r="I1169" s="7">
        <v>1150</v>
      </c>
      <c r="J1169" s="7">
        <v>45510</v>
      </c>
      <c r="K1169" s="7">
        <v>7</v>
      </c>
      <c r="L1169" t="s">
        <v>247</v>
      </c>
      <c r="M1169" t="s">
        <v>267</v>
      </c>
      <c r="N1169" s="7">
        <v>777300</v>
      </c>
      <c r="O1169" t="s">
        <v>1391</v>
      </c>
      <c r="P1169" t="s">
        <v>1392</v>
      </c>
      <c r="S1169" t="s">
        <v>3726</v>
      </c>
      <c r="T1169" t="s">
        <v>3727</v>
      </c>
      <c r="U1169" t="s">
        <v>3728</v>
      </c>
      <c r="V1169" s="8">
        <v>0</v>
      </c>
      <c r="W1169" s="7">
        <v>589463</v>
      </c>
      <c r="X1169" t="s">
        <v>4441</v>
      </c>
      <c r="Y1169" s="8">
        <v>0</v>
      </c>
      <c r="Z1169" s="8">
        <v>0</v>
      </c>
      <c r="AA1169" s="8">
        <v>0</v>
      </c>
      <c r="AB1169" s="7">
        <v>112930</v>
      </c>
      <c r="AC1169" t="s">
        <v>4441</v>
      </c>
      <c r="AD1169" s="8">
        <v>0</v>
      </c>
      <c r="AG1169" t="s">
        <v>828</v>
      </c>
      <c r="AH1169" t="s">
        <v>802</v>
      </c>
      <c r="AI1169" t="s">
        <v>803</v>
      </c>
    </row>
    <row r="1170" spans="1:35" hidden="1">
      <c r="A1170" s="7">
        <v>1169</v>
      </c>
      <c r="B1170" t="s">
        <v>243</v>
      </c>
      <c r="C1170" t="s">
        <v>244</v>
      </c>
      <c r="D1170" s="7">
        <v>7134</v>
      </c>
      <c r="E1170" t="s">
        <v>245</v>
      </c>
      <c r="F1170" t="s">
        <v>246</v>
      </c>
      <c r="G1170" t="s">
        <v>1393</v>
      </c>
      <c r="H1170" t="s">
        <v>3750</v>
      </c>
      <c r="I1170" s="7">
        <v>1165</v>
      </c>
      <c r="J1170" s="7">
        <v>45006</v>
      </c>
      <c r="K1170" s="7">
        <v>14</v>
      </c>
      <c r="L1170" t="s">
        <v>247</v>
      </c>
      <c r="M1170" t="s">
        <v>261</v>
      </c>
      <c r="N1170" s="7">
        <v>743974</v>
      </c>
      <c r="O1170" t="s">
        <v>1394</v>
      </c>
      <c r="P1170" t="s">
        <v>1395</v>
      </c>
      <c r="S1170" t="s">
        <v>3726</v>
      </c>
      <c r="T1170" t="s">
        <v>3727</v>
      </c>
      <c r="U1170" t="s">
        <v>3728</v>
      </c>
      <c r="V1170" s="8">
        <v>1250</v>
      </c>
      <c r="W1170" s="7">
        <v>589463</v>
      </c>
      <c r="X1170" t="s">
        <v>4441</v>
      </c>
      <c r="Y1170" s="8">
        <v>1250</v>
      </c>
      <c r="Z1170" s="8">
        <v>1475</v>
      </c>
      <c r="AA1170" s="8">
        <v>225</v>
      </c>
      <c r="AB1170" s="7">
        <v>112930</v>
      </c>
      <c r="AC1170" t="s">
        <v>4441</v>
      </c>
      <c r="AD1170" s="8">
        <v>0</v>
      </c>
      <c r="AG1170" t="s">
        <v>801</v>
      </c>
      <c r="AH1170" t="s">
        <v>802</v>
      </c>
      <c r="AI1170" t="s">
        <v>818</v>
      </c>
    </row>
    <row r="1171" spans="1:35" hidden="1">
      <c r="A1171" s="7">
        <v>1170</v>
      </c>
      <c r="B1171" t="s">
        <v>243</v>
      </c>
      <c r="C1171" t="s">
        <v>244</v>
      </c>
      <c r="D1171" s="7">
        <v>7134</v>
      </c>
      <c r="E1171" t="s">
        <v>245</v>
      </c>
      <c r="F1171" t="s">
        <v>246</v>
      </c>
      <c r="G1171" t="s">
        <v>881</v>
      </c>
      <c r="H1171" t="s">
        <v>3736</v>
      </c>
      <c r="I1171" s="7">
        <v>1165</v>
      </c>
      <c r="J1171" s="7">
        <v>62000</v>
      </c>
      <c r="K1171" s="7">
        <v>6</v>
      </c>
      <c r="L1171" t="s">
        <v>247</v>
      </c>
      <c r="M1171" t="s">
        <v>361</v>
      </c>
      <c r="N1171" s="7">
        <v>5321</v>
      </c>
      <c r="O1171" t="s">
        <v>1878</v>
      </c>
      <c r="P1171" t="s">
        <v>1879</v>
      </c>
      <c r="Q1171" t="s">
        <v>908</v>
      </c>
      <c r="R1171" t="s">
        <v>909</v>
      </c>
      <c r="S1171" t="s">
        <v>3726</v>
      </c>
      <c r="T1171" t="s">
        <v>3727</v>
      </c>
      <c r="U1171" t="s">
        <v>3728</v>
      </c>
      <c r="V1171" s="8">
        <v>0</v>
      </c>
      <c r="W1171" s="7">
        <v>589463</v>
      </c>
      <c r="X1171" t="s">
        <v>4441</v>
      </c>
      <c r="Y1171" s="8">
        <v>0</v>
      </c>
      <c r="Z1171" s="8">
        <v>0</v>
      </c>
      <c r="AA1171" s="8">
        <v>0</v>
      </c>
      <c r="AB1171" s="7">
        <v>112930</v>
      </c>
      <c r="AC1171" t="s">
        <v>4441</v>
      </c>
      <c r="AD1171" s="8">
        <v>0</v>
      </c>
      <c r="AG1171" t="s">
        <v>823</v>
      </c>
      <c r="AH1171" t="s">
        <v>802</v>
      </c>
      <c r="AI1171" t="s">
        <v>803</v>
      </c>
    </row>
    <row r="1172" spans="1:35" hidden="1">
      <c r="A1172" s="7">
        <v>1171</v>
      </c>
      <c r="B1172" t="s">
        <v>243</v>
      </c>
      <c r="C1172" t="s">
        <v>244</v>
      </c>
      <c r="D1172" s="7">
        <v>7134</v>
      </c>
      <c r="E1172" t="s">
        <v>245</v>
      </c>
      <c r="F1172" t="s">
        <v>246</v>
      </c>
      <c r="G1172" t="s">
        <v>852</v>
      </c>
      <c r="H1172" t="s">
        <v>3734</v>
      </c>
      <c r="I1172" s="7">
        <v>1165</v>
      </c>
      <c r="J1172" s="7">
        <v>140863</v>
      </c>
      <c r="K1172" s="7">
        <v>14</v>
      </c>
      <c r="L1172" t="s">
        <v>247</v>
      </c>
      <c r="M1172" t="s">
        <v>261</v>
      </c>
      <c r="N1172" s="7">
        <v>755374</v>
      </c>
      <c r="O1172" t="s">
        <v>854</v>
      </c>
      <c r="P1172" t="s">
        <v>855</v>
      </c>
      <c r="S1172" t="s">
        <v>3726</v>
      </c>
      <c r="T1172" t="s">
        <v>3727</v>
      </c>
      <c r="U1172" t="s">
        <v>3728</v>
      </c>
      <c r="V1172" s="8">
        <v>1250</v>
      </c>
      <c r="W1172" s="7">
        <v>589463</v>
      </c>
      <c r="X1172" t="s">
        <v>4441</v>
      </c>
      <c r="Y1172" s="8">
        <v>1250</v>
      </c>
      <c r="Z1172" s="8">
        <v>1475</v>
      </c>
      <c r="AA1172" s="8">
        <v>225</v>
      </c>
      <c r="AB1172" s="7">
        <v>112930</v>
      </c>
      <c r="AC1172" t="s">
        <v>4441</v>
      </c>
      <c r="AD1172" s="8">
        <v>0</v>
      </c>
      <c r="AG1172" t="s">
        <v>801</v>
      </c>
      <c r="AH1172" t="s">
        <v>802</v>
      </c>
      <c r="AI1172" t="s">
        <v>818</v>
      </c>
    </row>
    <row r="1173" spans="1:35" hidden="1">
      <c r="A1173" s="7">
        <v>1172</v>
      </c>
      <c r="B1173" t="s">
        <v>243</v>
      </c>
      <c r="C1173" t="s">
        <v>244</v>
      </c>
      <c r="D1173" s="7">
        <v>7134</v>
      </c>
      <c r="E1173" t="s">
        <v>245</v>
      </c>
      <c r="F1173" t="s">
        <v>246</v>
      </c>
      <c r="G1173" t="s">
        <v>263</v>
      </c>
      <c r="H1173" t="s">
        <v>3076</v>
      </c>
      <c r="I1173" s="7">
        <v>859</v>
      </c>
      <c r="J1173" s="7">
        <v>32102</v>
      </c>
      <c r="K1173" s="7">
        <v>2</v>
      </c>
      <c r="L1173" t="s">
        <v>247</v>
      </c>
      <c r="M1173" t="s">
        <v>261</v>
      </c>
      <c r="N1173" s="7">
        <v>796581</v>
      </c>
      <c r="O1173" t="s">
        <v>2206</v>
      </c>
      <c r="P1173" t="s">
        <v>2207</v>
      </c>
      <c r="Q1173" t="s">
        <v>908</v>
      </c>
      <c r="R1173" t="s">
        <v>909</v>
      </c>
      <c r="S1173" t="s">
        <v>3726</v>
      </c>
      <c r="T1173" t="s">
        <v>3727</v>
      </c>
      <c r="U1173" t="s">
        <v>3728</v>
      </c>
      <c r="V1173" s="8">
        <v>1250</v>
      </c>
      <c r="W1173" s="7">
        <v>589463</v>
      </c>
      <c r="X1173" t="s">
        <v>4441</v>
      </c>
      <c r="Y1173" s="8">
        <v>1000</v>
      </c>
      <c r="Z1173" s="8">
        <v>1475</v>
      </c>
      <c r="AA1173" s="8">
        <v>225</v>
      </c>
      <c r="AB1173" s="7">
        <v>112930</v>
      </c>
      <c r="AC1173" t="s">
        <v>4441</v>
      </c>
      <c r="AD1173" s="8">
        <v>250</v>
      </c>
      <c r="AG1173" t="s">
        <v>817</v>
      </c>
      <c r="AH1173" t="s">
        <v>802</v>
      </c>
      <c r="AI1173" t="s">
        <v>818</v>
      </c>
    </row>
    <row r="1174" spans="1:35" hidden="1">
      <c r="A1174" s="7">
        <v>1173</v>
      </c>
      <c r="B1174" t="s">
        <v>243</v>
      </c>
      <c r="C1174" t="s">
        <v>244</v>
      </c>
      <c r="D1174" s="7">
        <v>7134</v>
      </c>
      <c r="E1174" t="s">
        <v>245</v>
      </c>
      <c r="F1174" t="s">
        <v>246</v>
      </c>
      <c r="G1174" t="s">
        <v>1066</v>
      </c>
      <c r="H1174" t="s">
        <v>3733</v>
      </c>
      <c r="I1174" s="7">
        <v>1165</v>
      </c>
      <c r="J1174" s="7">
        <v>110655</v>
      </c>
      <c r="K1174" s="7">
        <v>11</v>
      </c>
      <c r="L1174" t="s">
        <v>247</v>
      </c>
      <c r="M1174" t="s">
        <v>252</v>
      </c>
      <c r="N1174" s="7">
        <v>317851</v>
      </c>
      <c r="O1174" t="s">
        <v>1067</v>
      </c>
      <c r="P1174" t="s">
        <v>1068</v>
      </c>
      <c r="S1174" t="s">
        <v>3726</v>
      </c>
      <c r="T1174" t="s">
        <v>3727</v>
      </c>
      <c r="U1174" t="s">
        <v>3728</v>
      </c>
      <c r="V1174" s="8">
        <v>1250</v>
      </c>
      <c r="W1174" s="7">
        <v>589463</v>
      </c>
      <c r="X1174" t="s">
        <v>4441</v>
      </c>
      <c r="Y1174" s="8">
        <v>1250</v>
      </c>
      <c r="Z1174" s="8">
        <v>1475</v>
      </c>
      <c r="AA1174" s="8">
        <v>225</v>
      </c>
      <c r="AB1174" s="7">
        <v>112930</v>
      </c>
      <c r="AC1174" t="s">
        <v>4441</v>
      </c>
      <c r="AD1174" s="8">
        <v>0</v>
      </c>
      <c r="AG1174" t="s">
        <v>937</v>
      </c>
      <c r="AH1174" t="s">
        <v>802</v>
      </c>
      <c r="AI1174" t="s">
        <v>818</v>
      </c>
    </row>
    <row r="1175" spans="1:35" hidden="1">
      <c r="A1175" s="7">
        <v>1174</v>
      </c>
      <c r="B1175" t="s">
        <v>243</v>
      </c>
      <c r="C1175" t="s">
        <v>244</v>
      </c>
      <c r="D1175" s="7">
        <v>7134</v>
      </c>
      <c r="E1175" t="s">
        <v>245</v>
      </c>
      <c r="F1175" t="s">
        <v>246</v>
      </c>
      <c r="G1175" t="s">
        <v>885</v>
      </c>
      <c r="H1175" t="s">
        <v>3076</v>
      </c>
      <c r="I1175" s="7">
        <v>880</v>
      </c>
      <c r="J1175" s="7">
        <v>32201</v>
      </c>
      <c r="K1175" s="7">
        <v>2</v>
      </c>
      <c r="L1175" t="s">
        <v>247</v>
      </c>
      <c r="M1175" t="s">
        <v>261</v>
      </c>
      <c r="N1175" s="7">
        <v>796315</v>
      </c>
      <c r="O1175" t="s">
        <v>1865</v>
      </c>
      <c r="P1175" t="s">
        <v>1866</v>
      </c>
      <c r="Q1175" t="s">
        <v>908</v>
      </c>
      <c r="R1175" t="s">
        <v>909</v>
      </c>
      <c r="S1175" t="s">
        <v>3726</v>
      </c>
      <c r="T1175" t="s">
        <v>3727</v>
      </c>
      <c r="U1175" t="s">
        <v>3728</v>
      </c>
      <c r="V1175" s="8">
        <v>1250</v>
      </c>
      <c r="W1175" s="7">
        <v>589463</v>
      </c>
      <c r="X1175" t="s">
        <v>4441</v>
      </c>
      <c r="Y1175" s="8">
        <v>1000</v>
      </c>
      <c r="Z1175" s="8">
        <v>1475</v>
      </c>
      <c r="AA1175" s="8">
        <v>225</v>
      </c>
      <c r="AB1175" s="7">
        <v>112930</v>
      </c>
      <c r="AC1175" t="s">
        <v>4441</v>
      </c>
      <c r="AD1175" s="8">
        <v>250</v>
      </c>
      <c r="AG1175" t="s">
        <v>817</v>
      </c>
      <c r="AH1175" t="s">
        <v>802</v>
      </c>
      <c r="AI1175" t="s">
        <v>818</v>
      </c>
    </row>
    <row r="1176" spans="1:35" hidden="1">
      <c r="A1176" s="7">
        <v>1175</v>
      </c>
      <c r="B1176" t="s">
        <v>243</v>
      </c>
      <c r="C1176" t="s">
        <v>244</v>
      </c>
      <c r="D1176" s="7">
        <v>7134</v>
      </c>
      <c r="E1176" t="s">
        <v>245</v>
      </c>
      <c r="F1176" t="s">
        <v>246</v>
      </c>
      <c r="G1176" t="s">
        <v>263</v>
      </c>
      <c r="H1176" t="s">
        <v>3729</v>
      </c>
      <c r="I1176" s="7">
        <v>900</v>
      </c>
      <c r="J1176" s="7">
        <v>30360</v>
      </c>
      <c r="K1176" s="7">
        <v>2</v>
      </c>
      <c r="L1176" t="s">
        <v>247</v>
      </c>
      <c r="M1176" t="s">
        <v>261</v>
      </c>
      <c r="N1176" s="7">
        <v>796591</v>
      </c>
      <c r="O1176" t="s">
        <v>2072</v>
      </c>
      <c r="P1176" t="s">
        <v>2073</v>
      </c>
      <c r="S1176" t="s">
        <v>3726</v>
      </c>
      <c r="T1176" t="s">
        <v>3727</v>
      </c>
      <c r="U1176" t="s">
        <v>3728</v>
      </c>
      <c r="V1176" s="8">
        <v>1250</v>
      </c>
      <c r="W1176" s="7">
        <v>589463</v>
      </c>
      <c r="X1176" t="s">
        <v>4441</v>
      </c>
      <c r="Y1176" s="8">
        <v>1250</v>
      </c>
      <c r="Z1176" s="8">
        <v>1475</v>
      </c>
      <c r="AA1176" s="8">
        <v>225</v>
      </c>
      <c r="AB1176" s="7">
        <v>112930</v>
      </c>
      <c r="AC1176" t="s">
        <v>4441</v>
      </c>
      <c r="AD1176" s="8">
        <v>0</v>
      </c>
      <c r="AG1176" t="s">
        <v>817</v>
      </c>
      <c r="AH1176" t="s">
        <v>802</v>
      </c>
      <c r="AI1176" t="s">
        <v>818</v>
      </c>
    </row>
    <row r="1177" spans="1:35" hidden="1">
      <c r="A1177" s="7">
        <v>1176</v>
      </c>
      <c r="B1177" t="s">
        <v>243</v>
      </c>
      <c r="C1177" t="s">
        <v>244</v>
      </c>
      <c r="D1177" s="7">
        <v>7134</v>
      </c>
      <c r="E1177" t="s">
        <v>245</v>
      </c>
      <c r="F1177" t="s">
        <v>246</v>
      </c>
      <c r="G1177" t="s">
        <v>867</v>
      </c>
      <c r="H1177" t="s">
        <v>3740</v>
      </c>
      <c r="I1177" s="7">
        <v>1165</v>
      </c>
      <c r="J1177" s="7">
        <v>59800</v>
      </c>
      <c r="K1177" s="7">
        <v>6</v>
      </c>
      <c r="L1177" t="s">
        <v>247</v>
      </c>
      <c r="M1177" t="s">
        <v>361</v>
      </c>
      <c r="N1177" s="7">
        <v>5598</v>
      </c>
      <c r="O1177" t="s">
        <v>1655</v>
      </c>
      <c r="P1177" t="s">
        <v>1656</v>
      </c>
      <c r="S1177" t="s">
        <v>3726</v>
      </c>
      <c r="T1177" t="s">
        <v>3727</v>
      </c>
      <c r="U1177" t="s">
        <v>3728</v>
      </c>
      <c r="V1177" s="8">
        <v>0</v>
      </c>
      <c r="W1177" s="7">
        <v>589463</v>
      </c>
      <c r="X1177" t="s">
        <v>4441</v>
      </c>
      <c r="Y1177" s="8">
        <v>0</v>
      </c>
      <c r="Z1177" s="8">
        <v>0</v>
      </c>
      <c r="AA1177" s="8">
        <v>0</v>
      </c>
      <c r="AB1177" s="7">
        <v>112930</v>
      </c>
      <c r="AC1177" t="s">
        <v>4441</v>
      </c>
      <c r="AD1177" s="8">
        <v>0</v>
      </c>
      <c r="AG1177" t="s">
        <v>823</v>
      </c>
      <c r="AH1177" t="s">
        <v>802</v>
      </c>
      <c r="AI1177" t="s">
        <v>803</v>
      </c>
    </row>
    <row r="1178" spans="1:35" hidden="1">
      <c r="A1178" s="7">
        <v>1177</v>
      </c>
      <c r="B1178" t="s">
        <v>243</v>
      </c>
      <c r="C1178" t="s">
        <v>244</v>
      </c>
      <c r="D1178" s="7">
        <v>7134</v>
      </c>
      <c r="E1178" t="s">
        <v>245</v>
      </c>
      <c r="F1178" t="s">
        <v>246</v>
      </c>
      <c r="G1178" t="s">
        <v>248</v>
      </c>
      <c r="H1178" t="s">
        <v>3737</v>
      </c>
      <c r="I1178" s="7">
        <v>871</v>
      </c>
      <c r="J1178" s="7">
        <v>26218</v>
      </c>
      <c r="K1178" s="7">
        <v>2</v>
      </c>
      <c r="L1178" t="s">
        <v>247</v>
      </c>
      <c r="M1178" t="s">
        <v>261</v>
      </c>
      <c r="N1178" s="7">
        <v>798842</v>
      </c>
      <c r="O1178" t="s">
        <v>1849</v>
      </c>
      <c r="P1178" t="s">
        <v>1850</v>
      </c>
      <c r="S1178" t="s">
        <v>3726</v>
      </c>
      <c r="T1178" t="s">
        <v>3727</v>
      </c>
      <c r="U1178" t="s">
        <v>3728</v>
      </c>
      <c r="V1178" s="8">
        <v>1250</v>
      </c>
      <c r="W1178" s="7">
        <v>589463</v>
      </c>
      <c r="X1178" t="s">
        <v>4441</v>
      </c>
      <c r="Y1178" s="8">
        <v>1250</v>
      </c>
      <c r="Z1178" s="8">
        <v>1475</v>
      </c>
      <c r="AA1178" s="8">
        <v>225</v>
      </c>
      <c r="AB1178" s="7">
        <v>112930</v>
      </c>
      <c r="AC1178" t="s">
        <v>4441</v>
      </c>
      <c r="AD1178" s="8">
        <v>0</v>
      </c>
      <c r="AG1178" t="s">
        <v>817</v>
      </c>
      <c r="AH1178" t="s">
        <v>802</v>
      </c>
      <c r="AI1178" t="s">
        <v>818</v>
      </c>
    </row>
    <row r="1179" spans="1:35" hidden="1">
      <c r="A1179" s="7">
        <v>1178</v>
      </c>
      <c r="B1179" t="s">
        <v>243</v>
      </c>
      <c r="C1179" t="s">
        <v>244</v>
      </c>
      <c r="D1179" s="7">
        <v>7134</v>
      </c>
      <c r="E1179" t="s">
        <v>245</v>
      </c>
      <c r="F1179" t="s">
        <v>246</v>
      </c>
      <c r="G1179" t="s">
        <v>1305</v>
      </c>
      <c r="H1179" t="s">
        <v>3733</v>
      </c>
      <c r="I1179" s="7">
        <v>1165</v>
      </c>
      <c r="J1179" s="7">
        <v>50133</v>
      </c>
      <c r="K1179" s="7">
        <v>8</v>
      </c>
      <c r="L1179" t="s">
        <v>247</v>
      </c>
      <c r="M1179" t="s">
        <v>261</v>
      </c>
      <c r="N1179" s="7">
        <v>775577</v>
      </c>
      <c r="O1179" t="s">
        <v>1307</v>
      </c>
      <c r="P1179" t="s">
        <v>1308</v>
      </c>
      <c r="S1179" t="s">
        <v>3726</v>
      </c>
      <c r="T1179" t="s">
        <v>3727</v>
      </c>
      <c r="U1179" t="s">
        <v>3728</v>
      </c>
      <c r="V1179" s="8">
        <v>1250</v>
      </c>
      <c r="W1179" s="7">
        <v>589463</v>
      </c>
      <c r="X1179" t="s">
        <v>4441</v>
      </c>
      <c r="Y1179" s="8">
        <v>1250</v>
      </c>
      <c r="Z1179" s="8">
        <v>1475</v>
      </c>
      <c r="AA1179" s="8">
        <v>225</v>
      </c>
      <c r="AB1179" s="7">
        <v>112930</v>
      </c>
      <c r="AC1179" t="s">
        <v>4441</v>
      </c>
      <c r="AD1179" s="8">
        <v>0</v>
      </c>
      <c r="AG1179" t="s">
        <v>801</v>
      </c>
      <c r="AH1179" t="s">
        <v>802</v>
      </c>
      <c r="AI1179" t="s">
        <v>818</v>
      </c>
    </row>
    <row r="1180" spans="1:35" hidden="1">
      <c r="A1180" s="7">
        <v>1179</v>
      </c>
      <c r="B1180" t="s">
        <v>243</v>
      </c>
      <c r="C1180" t="s">
        <v>244</v>
      </c>
      <c r="D1180" s="7">
        <v>7134</v>
      </c>
      <c r="E1180" t="s">
        <v>245</v>
      </c>
      <c r="F1180" t="s">
        <v>246</v>
      </c>
      <c r="G1180" t="s">
        <v>1457</v>
      </c>
      <c r="H1180" t="s">
        <v>3739</v>
      </c>
      <c r="I1180" s="7">
        <v>867</v>
      </c>
      <c r="J1180" s="7">
        <v>31200</v>
      </c>
      <c r="K1180" s="7">
        <v>2</v>
      </c>
      <c r="L1180" t="s">
        <v>247</v>
      </c>
      <c r="M1180" t="s">
        <v>261</v>
      </c>
      <c r="N1180" s="7">
        <v>796077</v>
      </c>
      <c r="O1180" t="s">
        <v>3747</v>
      </c>
      <c r="P1180" t="s">
        <v>3748</v>
      </c>
      <c r="Q1180" t="s">
        <v>908</v>
      </c>
      <c r="R1180" t="s">
        <v>909</v>
      </c>
      <c r="S1180" t="s">
        <v>3726</v>
      </c>
      <c r="T1180" t="s">
        <v>3727</v>
      </c>
      <c r="U1180" t="s">
        <v>3728</v>
      </c>
      <c r="V1180" s="8">
        <v>1250</v>
      </c>
      <c r="W1180" s="7">
        <v>589463</v>
      </c>
      <c r="X1180" t="s">
        <v>4441</v>
      </c>
      <c r="Y1180" s="8">
        <v>1000</v>
      </c>
      <c r="Z1180" s="8">
        <v>1475</v>
      </c>
      <c r="AA1180" s="8">
        <v>225</v>
      </c>
      <c r="AB1180" s="7">
        <v>112930</v>
      </c>
      <c r="AC1180" t="s">
        <v>4441</v>
      </c>
      <c r="AD1180" s="8">
        <v>250</v>
      </c>
      <c r="AG1180" t="s">
        <v>817</v>
      </c>
      <c r="AH1180" t="s">
        <v>802</v>
      </c>
      <c r="AI1180" t="s">
        <v>818</v>
      </c>
    </row>
    <row r="1181" spans="1:35" hidden="1">
      <c r="A1181" s="7">
        <v>1180</v>
      </c>
      <c r="B1181" t="s">
        <v>243</v>
      </c>
      <c r="C1181" t="s">
        <v>244</v>
      </c>
      <c r="D1181" s="7">
        <v>7134</v>
      </c>
      <c r="E1181" t="s">
        <v>245</v>
      </c>
      <c r="F1181" t="s">
        <v>246</v>
      </c>
      <c r="G1181" t="s">
        <v>1104</v>
      </c>
      <c r="H1181" t="s">
        <v>3734</v>
      </c>
      <c r="I1181" s="7">
        <v>1165</v>
      </c>
      <c r="J1181" s="7">
        <v>67479</v>
      </c>
      <c r="K1181" s="7">
        <v>7</v>
      </c>
      <c r="L1181" t="s">
        <v>247</v>
      </c>
      <c r="M1181" t="s">
        <v>361</v>
      </c>
      <c r="N1181" s="7">
        <v>3267</v>
      </c>
      <c r="O1181" t="s">
        <v>1105</v>
      </c>
      <c r="P1181" t="s">
        <v>1106</v>
      </c>
      <c r="S1181" t="s">
        <v>3726</v>
      </c>
      <c r="T1181" t="s">
        <v>3727</v>
      </c>
      <c r="U1181" t="s">
        <v>3728</v>
      </c>
      <c r="V1181" s="8">
        <v>1650</v>
      </c>
      <c r="W1181" s="7">
        <v>589463</v>
      </c>
      <c r="X1181" t="s">
        <v>4441</v>
      </c>
      <c r="Y1181" s="8">
        <v>1650</v>
      </c>
      <c r="Z1181" s="8">
        <v>1947</v>
      </c>
      <c r="AA1181" s="8">
        <v>297</v>
      </c>
      <c r="AB1181" s="7">
        <v>112930</v>
      </c>
      <c r="AC1181" t="s">
        <v>4441</v>
      </c>
      <c r="AD1181" s="8">
        <v>0</v>
      </c>
      <c r="AG1181" t="s">
        <v>823</v>
      </c>
      <c r="AH1181" t="s">
        <v>802</v>
      </c>
      <c r="AI1181" t="s">
        <v>818</v>
      </c>
    </row>
    <row r="1182" spans="1:35" hidden="1">
      <c r="A1182" s="7">
        <v>1181</v>
      </c>
      <c r="B1182" t="s">
        <v>243</v>
      </c>
      <c r="C1182" t="s">
        <v>244</v>
      </c>
      <c r="D1182" s="7">
        <v>7134</v>
      </c>
      <c r="E1182" t="s">
        <v>245</v>
      </c>
      <c r="F1182" t="s">
        <v>246</v>
      </c>
      <c r="G1182" t="s">
        <v>864</v>
      </c>
      <c r="H1182" t="s">
        <v>3731</v>
      </c>
      <c r="I1182" s="7">
        <v>1165</v>
      </c>
      <c r="J1182" s="7">
        <v>41400</v>
      </c>
      <c r="K1182" s="7">
        <v>6</v>
      </c>
      <c r="L1182" t="s">
        <v>247</v>
      </c>
      <c r="M1182" t="s">
        <v>361</v>
      </c>
      <c r="N1182" s="7">
        <v>3911</v>
      </c>
      <c r="O1182" t="s">
        <v>1317</v>
      </c>
      <c r="P1182" t="s">
        <v>1318</v>
      </c>
      <c r="S1182" t="s">
        <v>3726</v>
      </c>
      <c r="T1182" t="s">
        <v>3727</v>
      </c>
      <c r="U1182" t="s">
        <v>3728</v>
      </c>
      <c r="V1182" s="8">
        <v>0</v>
      </c>
      <c r="W1182" s="7">
        <v>589463</v>
      </c>
      <c r="X1182" t="s">
        <v>4441</v>
      </c>
      <c r="Y1182" s="8">
        <v>0</v>
      </c>
      <c r="Z1182" s="8">
        <v>0</v>
      </c>
      <c r="AA1182" s="8">
        <v>0</v>
      </c>
      <c r="AB1182" s="7">
        <v>112930</v>
      </c>
      <c r="AC1182" t="s">
        <v>4441</v>
      </c>
      <c r="AD1182" s="8">
        <v>0</v>
      </c>
      <c r="AG1182" t="s">
        <v>823</v>
      </c>
      <c r="AH1182" t="s">
        <v>802</v>
      </c>
      <c r="AI1182" t="s">
        <v>803</v>
      </c>
    </row>
    <row r="1183" spans="1:35" hidden="1">
      <c r="A1183" s="7">
        <v>1182</v>
      </c>
      <c r="B1183" t="s">
        <v>243</v>
      </c>
      <c r="C1183" t="s">
        <v>244</v>
      </c>
      <c r="D1183" s="7">
        <v>7134</v>
      </c>
      <c r="E1183" t="s">
        <v>245</v>
      </c>
      <c r="F1183" t="s">
        <v>246</v>
      </c>
      <c r="G1183" t="s">
        <v>3763</v>
      </c>
      <c r="H1183" t="s">
        <v>3735</v>
      </c>
      <c r="I1183" s="7">
        <v>1165</v>
      </c>
      <c r="J1183" s="7">
        <v>78586</v>
      </c>
      <c r="K1183" s="7">
        <v>9</v>
      </c>
      <c r="L1183" t="s">
        <v>247</v>
      </c>
      <c r="M1183" t="s">
        <v>361</v>
      </c>
      <c r="N1183" s="7">
        <v>2146</v>
      </c>
      <c r="O1183" t="s">
        <v>2772</v>
      </c>
      <c r="P1183" t="s">
        <v>2773</v>
      </c>
      <c r="S1183" t="s">
        <v>3726</v>
      </c>
      <c r="T1183" t="s">
        <v>3727</v>
      </c>
      <c r="U1183" t="s">
        <v>3728</v>
      </c>
      <c r="V1183" s="8">
        <v>0</v>
      </c>
      <c r="W1183" s="7">
        <v>589463</v>
      </c>
      <c r="X1183" t="s">
        <v>4441</v>
      </c>
      <c r="Y1183" s="8">
        <v>0</v>
      </c>
      <c r="Z1183" s="8">
        <v>0</v>
      </c>
      <c r="AA1183" s="8">
        <v>0</v>
      </c>
      <c r="AB1183" s="7">
        <v>112930</v>
      </c>
      <c r="AC1183" t="s">
        <v>4441</v>
      </c>
      <c r="AD1183" s="8">
        <v>0</v>
      </c>
      <c r="AG1183" t="s">
        <v>823</v>
      </c>
      <c r="AH1183" t="s">
        <v>802</v>
      </c>
      <c r="AI1183" t="s">
        <v>803</v>
      </c>
    </row>
    <row r="1184" spans="1:35" hidden="1">
      <c r="A1184" s="7">
        <v>1183</v>
      </c>
      <c r="B1184" t="s">
        <v>243</v>
      </c>
      <c r="C1184" t="s">
        <v>244</v>
      </c>
      <c r="D1184" s="7">
        <v>7134</v>
      </c>
      <c r="E1184" t="s">
        <v>245</v>
      </c>
      <c r="F1184" t="s">
        <v>246</v>
      </c>
      <c r="G1184" t="s">
        <v>1512</v>
      </c>
      <c r="H1184" t="s">
        <v>3076</v>
      </c>
      <c r="I1184" s="7">
        <v>1165</v>
      </c>
      <c r="J1184" s="7">
        <v>90000</v>
      </c>
      <c r="K1184" s="7">
        <v>9</v>
      </c>
      <c r="L1184" t="s">
        <v>247</v>
      </c>
      <c r="M1184" t="s">
        <v>261</v>
      </c>
      <c r="N1184" s="7">
        <v>775228</v>
      </c>
      <c r="O1184" t="s">
        <v>1513</v>
      </c>
      <c r="P1184" t="s">
        <v>1514</v>
      </c>
      <c r="S1184" t="s">
        <v>3726</v>
      </c>
      <c r="T1184" t="s">
        <v>3727</v>
      </c>
      <c r="U1184" t="s">
        <v>3728</v>
      </c>
      <c r="V1184" s="8">
        <v>0</v>
      </c>
      <c r="W1184" s="7">
        <v>589463</v>
      </c>
      <c r="X1184" t="s">
        <v>4441</v>
      </c>
      <c r="Y1184" s="8">
        <v>0</v>
      </c>
      <c r="Z1184" s="8">
        <v>0</v>
      </c>
      <c r="AA1184" s="8">
        <v>0</v>
      </c>
      <c r="AB1184" s="7">
        <v>112930</v>
      </c>
      <c r="AC1184" t="s">
        <v>4441</v>
      </c>
      <c r="AD1184" s="8">
        <v>0</v>
      </c>
      <c r="AG1184" t="s">
        <v>801</v>
      </c>
      <c r="AH1184" t="s">
        <v>802</v>
      </c>
      <c r="AI1184" t="s">
        <v>803</v>
      </c>
    </row>
    <row r="1185" spans="1:35" hidden="1">
      <c r="A1185" s="7">
        <v>1184</v>
      </c>
      <c r="B1185" t="s">
        <v>243</v>
      </c>
      <c r="C1185" t="s">
        <v>244</v>
      </c>
      <c r="D1185" s="7">
        <v>7134</v>
      </c>
      <c r="E1185" t="s">
        <v>245</v>
      </c>
      <c r="F1185" t="s">
        <v>246</v>
      </c>
      <c r="G1185" t="s">
        <v>602</v>
      </c>
      <c r="H1185" t="s">
        <v>3729</v>
      </c>
      <c r="I1185" s="7">
        <v>1165</v>
      </c>
      <c r="J1185" s="7">
        <v>6552</v>
      </c>
      <c r="K1185" s="7">
        <v>1</v>
      </c>
      <c r="L1185" t="s">
        <v>247</v>
      </c>
      <c r="M1185" t="s">
        <v>261</v>
      </c>
      <c r="N1185" s="7">
        <v>797572</v>
      </c>
      <c r="O1185" t="s">
        <v>604</v>
      </c>
      <c r="P1185" t="s">
        <v>605</v>
      </c>
      <c r="S1185" t="s">
        <v>3726</v>
      </c>
      <c r="T1185" t="s">
        <v>3727</v>
      </c>
      <c r="U1185" t="s">
        <v>3728</v>
      </c>
      <c r="V1185" s="8">
        <v>1250</v>
      </c>
      <c r="W1185" s="7">
        <v>589463</v>
      </c>
      <c r="X1185" t="s">
        <v>4441</v>
      </c>
      <c r="Y1185" s="8">
        <v>1250</v>
      </c>
      <c r="Z1185" s="8">
        <v>1475</v>
      </c>
      <c r="AA1185" s="8">
        <v>225</v>
      </c>
      <c r="AB1185" s="7">
        <v>112930</v>
      </c>
      <c r="AC1185" t="s">
        <v>4441</v>
      </c>
      <c r="AD1185" s="8">
        <v>0</v>
      </c>
      <c r="AG1185" t="s">
        <v>801</v>
      </c>
      <c r="AH1185" t="s">
        <v>802</v>
      </c>
      <c r="AI1185" t="s">
        <v>818</v>
      </c>
    </row>
    <row r="1186" spans="1:35" hidden="1">
      <c r="A1186" s="7">
        <v>1185</v>
      </c>
      <c r="B1186" t="s">
        <v>243</v>
      </c>
      <c r="C1186" t="s">
        <v>244</v>
      </c>
      <c r="D1186" s="7">
        <v>7134</v>
      </c>
      <c r="E1186" t="s">
        <v>245</v>
      </c>
      <c r="F1186" t="s">
        <v>246</v>
      </c>
      <c r="G1186" t="s">
        <v>248</v>
      </c>
      <c r="H1186" t="s">
        <v>3729</v>
      </c>
      <c r="I1186" s="7">
        <v>851</v>
      </c>
      <c r="J1186" s="7">
        <v>29253</v>
      </c>
      <c r="K1186" s="7">
        <v>2</v>
      </c>
      <c r="L1186" t="s">
        <v>247</v>
      </c>
      <c r="M1186" t="s">
        <v>261</v>
      </c>
      <c r="N1186" s="7">
        <v>798565</v>
      </c>
      <c r="O1186" t="s">
        <v>1904</v>
      </c>
      <c r="P1186" t="s">
        <v>1905</v>
      </c>
      <c r="S1186" t="s">
        <v>3726</v>
      </c>
      <c r="T1186" t="s">
        <v>3727</v>
      </c>
      <c r="U1186" t="s">
        <v>3728</v>
      </c>
      <c r="V1186" s="8">
        <v>1250</v>
      </c>
      <c r="W1186" s="7">
        <v>589463</v>
      </c>
      <c r="X1186" t="s">
        <v>4441</v>
      </c>
      <c r="Y1186" s="8">
        <v>1250</v>
      </c>
      <c r="Z1186" s="8">
        <v>1475</v>
      </c>
      <c r="AA1186" s="8">
        <v>225</v>
      </c>
      <c r="AB1186" s="7">
        <v>112930</v>
      </c>
      <c r="AC1186" t="s">
        <v>4441</v>
      </c>
      <c r="AD1186" s="8">
        <v>0</v>
      </c>
      <c r="AG1186" t="s">
        <v>817</v>
      </c>
      <c r="AH1186" t="s">
        <v>802</v>
      </c>
      <c r="AI1186" t="s">
        <v>818</v>
      </c>
    </row>
    <row r="1187" spans="1:35" hidden="1">
      <c r="A1187" s="7">
        <v>1186</v>
      </c>
      <c r="B1187" t="s">
        <v>243</v>
      </c>
      <c r="C1187" t="s">
        <v>244</v>
      </c>
      <c r="D1187" s="7">
        <v>7134</v>
      </c>
      <c r="E1187" t="s">
        <v>245</v>
      </c>
      <c r="F1187" t="s">
        <v>246</v>
      </c>
      <c r="G1187" t="s">
        <v>1589</v>
      </c>
      <c r="H1187" t="s">
        <v>3751</v>
      </c>
      <c r="I1187" s="7">
        <v>1165</v>
      </c>
      <c r="J1187" s="7">
        <v>50000</v>
      </c>
      <c r="K1187" s="7">
        <v>5</v>
      </c>
      <c r="L1187" t="s">
        <v>247</v>
      </c>
      <c r="M1187" t="s">
        <v>261</v>
      </c>
      <c r="N1187" s="7">
        <v>790286</v>
      </c>
      <c r="O1187" t="s">
        <v>1590</v>
      </c>
      <c r="P1187" t="s">
        <v>1591</v>
      </c>
      <c r="Q1187" t="s">
        <v>1902</v>
      </c>
      <c r="R1187" t="s">
        <v>1903</v>
      </c>
      <c r="S1187" t="s">
        <v>3726</v>
      </c>
      <c r="T1187" t="s">
        <v>3727</v>
      </c>
      <c r="U1187" t="s">
        <v>3728</v>
      </c>
      <c r="V1187" s="8">
        <v>1250</v>
      </c>
      <c r="W1187" s="7">
        <v>589463</v>
      </c>
      <c r="X1187" t="s">
        <v>4441</v>
      </c>
      <c r="Y1187" s="8">
        <v>0</v>
      </c>
      <c r="Z1187" s="8">
        <v>1475</v>
      </c>
      <c r="AA1187" s="8">
        <v>225</v>
      </c>
      <c r="AB1187" s="7">
        <v>112930</v>
      </c>
      <c r="AC1187" t="s">
        <v>4441</v>
      </c>
      <c r="AD1187" s="8">
        <v>1250</v>
      </c>
      <c r="AG1187" t="s">
        <v>801</v>
      </c>
      <c r="AH1187" t="s">
        <v>802</v>
      </c>
      <c r="AI1187" t="s">
        <v>818</v>
      </c>
    </row>
    <row r="1188" spans="1:35" hidden="1">
      <c r="A1188" s="7">
        <v>1187</v>
      </c>
      <c r="B1188" t="s">
        <v>243</v>
      </c>
      <c r="C1188" t="s">
        <v>244</v>
      </c>
      <c r="D1188" s="7">
        <v>7134</v>
      </c>
      <c r="E1188" t="s">
        <v>245</v>
      </c>
      <c r="F1188" t="s">
        <v>246</v>
      </c>
      <c r="G1188" t="s">
        <v>727</v>
      </c>
      <c r="H1188" t="s">
        <v>3740</v>
      </c>
      <c r="I1188" s="7">
        <v>1165</v>
      </c>
      <c r="J1188" s="7">
        <v>6500</v>
      </c>
      <c r="K1188" s="7">
        <v>1</v>
      </c>
      <c r="L1188" t="s">
        <v>247</v>
      </c>
      <c r="M1188" t="s">
        <v>361</v>
      </c>
      <c r="N1188" s="7">
        <v>8144</v>
      </c>
      <c r="O1188" t="s">
        <v>729</v>
      </c>
      <c r="P1188" t="s">
        <v>730</v>
      </c>
      <c r="S1188" t="s">
        <v>3726</v>
      </c>
      <c r="T1188" t="s">
        <v>3727</v>
      </c>
      <c r="U1188" t="s">
        <v>3728</v>
      </c>
      <c r="V1188" s="8">
        <v>1650</v>
      </c>
      <c r="W1188" s="7">
        <v>589463</v>
      </c>
      <c r="X1188" t="s">
        <v>4441</v>
      </c>
      <c r="Y1188" s="8">
        <v>1650</v>
      </c>
      <c r="Z1188" s="8">
        <v>1947</v>
      </c>
      <c r="AA1188" s="8">
        <v>297</v>
      </c>
      <c r="AB1188" s="7">
        <v>112930</v>
      </c>
      <c r="AC1188" t="s">
        <v>4441</v>
      </c>
      <c r="AD1188" s="8">
        <v>0</v>
      </c>
      <c r="AG1188" t="s">
        <v>823</v>
      </c>
      <c r="AH1188" t="s">
        <v>802</v>
      </c>
      <c r="AI1188" t="s">
        <v>818</v>
      </c>
    </row>
    <row r="1189" spans="1:35" hidden="1">
      <c r="A1189" s="7">
        <v>1188</v>
      </c>
      <c r="B1189" t="s">
        <v>243</v>
      </c>
      <c r="C1189" t="s">
        <v>244</v>
      </c>
      <c r="D1189" s="7">
        <v>7134</v>
      </c>
      <c r="E1189" t="s">
        <v>245</v>
      </c>
      <c r="F1189" t="s">
        <v>246</v>
      </c>
      <c r="G1189" t="s">
        <v>1691</v>
      </c>
      <c r="H1189" t="s">
        <v>3736</v>
      </c>
      <c r="I1189" s="7">
        <v>987</v>
      </c>
      <c r="J1189" s="7">
        <v>59916</v>
      </c>
      <c r="K1189" s="7">
        <v>7</v>
      </c>
      <c r="L1189" t="s">
        <v>247</v>
      </c>
      <c r="M1189" t="s">
        <v>361</v>
      </c>
      <c r="N1189" s="7">
        <v>3036</v>
      </c>
      <c r="O1189" t="s">
        <v>1692</v>
      </c>
      <c r="P1189" t="s">
        <v>1693</v>
      </c>
      <c r="S1189" t="s">
        <v>3726</v>
      </c>
      <c r="T1189" t="s">
        <v>3727</v>
      </c>
      <c r="U1189" t="s">
        <v>3728</v>
      </c>
      <c r="V1189" s="8">
        <v>1650</v>
      </c>
      <c r="W1189" s="7">
        <v>589463</v>
      </c>
      <c r="X1189" t="s">
        <v>4441</v>
      </c>
      <c r="Y1189" s="8">
        <v>1650</v>
      </c>
      <c r="Z1189" s="8">
        <v>1947</v>
      </c>
      <c r="AA1189" s="8">
        <v>297</v>
      </c>
      <c r="AB1189" s="7">
        <v>112930</v>
      </c>
      <c r="AC1189" t="s">
        <v>4441</v>
      </c>
      <c r="AD1189" s="8">
        <v>0</v>
      </c>
      <c r="AG1189" t="s">
        <v>823</v>
      </c>
      <c r="AH1189" t="s">
        <v>802</v>
      </c>
      <c r="AI1189" t="s">
        <v>818</v>
      </c>
    </row>
    <row r="1190" spans="1:35" hidden="1">
      <c r="A1190" s="7">
        <v>1189</v>
      </c>
      <c r="B1190" t="s">
        <v>243</v>
      </c>
      <c r="C1190" t="s">
        <v>244</v>
      </c>
      <c r="D1190" s="7">
        <v>7134</v>
      </c>
      <c r="E1190" t="s">
        <v>245</v>
      </c>
      <c r="F1190" t="s">
        <v>246</v>
      </c>
      <c r="G1190" t="s">
        <v>263</v>
      </c>
      <c r="H1190" t="s">
        <v>3729</v>
      </c>
      <c r="I1190" s="7">
        <v>891</v>
      </c>
      <c r="J1190" s="7">
        <v>29545</v>
      </c>
      <c r="K1190" s="7">
        <v>2</v>
      </c>
      <c r="L1190" t="s">
        <v>247</v>
      </c>
      <c r="M1190" t="s">
        <v>261</v>
      </c>
      <c r="N1190" s="7">
        <v>798678</v>
      </c>
      <c r="O1190" t="s">
        <v>2105</v>
      </c>
      <c r="P1190" t="s">
        <v>2106</v>
      </c>
      <c r="S1190" t="s">
        <v>3726</v>
      </c>
      <c r="T1190" t="s">
        <v>3727</v>
      </c>
      <c r="U1190" t="s">
        <v>3728</v>
      </c>
      <c r="V1190" s="8">
        <v>1250</v>
      </c>
      <c r="W1190" s="7">
        <v>589463</v>
      </c>
      <c r="X1190" t="s">
        <v>4441</v>
      </c>
      <c r="Y1190" s="8">
        <v>1250</v>
      </c>
      <c r="Z1190" s="8">
        <v>1475</v>
      </c>
      <c r="AA1190" s="8">
        <v>225</v>
      </c>
      <c r="AB1190" s="7">
        <v>112930</v>
      </c>
      <c r="AC1190" t="s">
        <v>4441</v>
      </c>
      <c r="AD1190" s="8">
        <v>0</v>
      </c>
      <c r="AG1190" t="s">
        <v>817</v>
      </c>
      <c r="AH1190" t="s">
        <v>802</v>
      </c>
      <c r="AI1190" t="s">
        <v>818</v>
      </c>
    </row>
    <row r="1191" spans="1:35" hidden="1">
      <c r="A1191" s="7">
        <v>1190</v>
      </c>
      <c r="B1191" t="s">
        <v>243</v>
      </c>
      <c r="C1191" t="s">
        <v>244</v>
      </c>
      <c r="D1191" s="7">
        <v>7134</v>
      </c>
      <c r="E1191" t="s">
        <v>245</v>
      </c>
      <c r="F1191" t="s">
        <v>246</v>
      </c>
      <c r="G1191" t="s">
        <v>1004</v>
      </c>
      <c r="H1191" t="s">
        <v>3351</v>
      </c>
      <c r="I1191" s="7">
        <v>1165</v>
      </c>
      <c r="J1191" s="7">
        <v>50000</v>
      </c>
      <c r="K1191" s="7">
        <v>5</v>
      </c>
      <c r="L1191" t="s">
        <v>247</v>
      </c>
      <c r="M1191" t="s">
        <v>361</v>
      </c>
      <c r="N1191" s="7">
        <v>5651</v>
      </c>
      <c r="O1191" t="s">
        <v>1378</v>
      </c>
      <c r="P1191" t="s">
        <v>1379</v>
      </c>
      <c r="S1191" t="s">
        <v>3726</v>
      </c>
      <c r="T1191" t="s">
        <v>3727</v>
      </c>
      <c r="U1191" t="s">
        <v>3728</v>
      </c>
      <c r="V1191" s="8">
        <v>1650</v>
      </c>
      <c r="W1191" s="7">
        <v>589463</v>
      </c>
      <c r="X1191" t="s">
        <v>4441</v>
      </c>
      <c r="Y1191" s="8">
        <v>1650</v>
      </c>
      <c r="Z1191" s="8">
        <v>1947</v>
      </c>
      <c r="AA1191" s="8">
        <v>297</v>
      </c>
      <c r="AB1191" s="7">
        <v>112930</v>
      </c>
      <c r="AC1191" t="s">
        <v>4441</v>
      </c>
      <c r="AD1191" s="8">
        <v>0</v>
      </c>
      <c r="AG1191" t="s">
        <v>823</v>
      </c>
      <c r="AH1191" t="s">
        <v>802</v>
      </c>
      <c r="AI1191" t="s">
        <v>818</v>
      </c>
    </row>
    <row r="1192" spans="1:35" hidden="1">
      <c r="A1192" s="7">
        <v>1191</v>
      </c>
      <c r="B1192" t="s">
        <v>243</v>
      </c>
      <c r="C1192" t="s">
        <v>244</v>
      </c>
      <c r="D1192" s="7">
        <v>7134</v>
      </c>
      <c r="E1192" t="s">
        <v>245</v>
      </c>
      <c r="F1192" t="s">
        <v>246</v>
      </c>
      <c r="G1192" t="s">
        <v>248</v>
      </c>
      <c r="H1192" t="s">
        <v>3076</v>
      </c>
      <c r="I1192" s="7">
        <v>850</v>
      </c>
      <c r="J1192" s="7">
        <v>50120</v>
      </c>
      <c r="K1192" s="7">
        <v>3</v>
      </c>
      <c r="L1192" t="s">
        <v>247</v>
      </c>
      <c r="M1192" t="s">
        <v>261</v>
      </c>
      <c r="N1192" s="7">
        <v>795369</v>
      </c>
      <c r="O1192" t="s">
        <v>1929</v>
      </c>
      <c r="P1192" t="s">
        <v>1930</v>
      </c>
      <c r="S1192" t="s">
        <v>3726</v>
      </c>
      <c r="T1192" t="s">
        <v>3727</v>
      </c>
      <c r="U1192" t="s">
        <v>3728</v>
      </c>
      <c r="V1192" s="8">
        <v>1250</v>
      </c>
      <c r="W1192" s="7">
        <v>589463</v>
      </c>
      <c r="X1192" t="s">
        <v>4441</v>
      </c>
      <c r="Y1192" s="8">
        <v>1250</v>
      </c>
      <c r="Z1192" s="8">
        <v>1475</v>
      </c>
      <c r="AA1192" s="8">
        <v>225</v>
      </c>
      <c r="AB1192" s="7">
        <v>112930</v>
      </c>
      <c r="AC1192" t="s">
        <v>4441</v>
      </c>
      <c r="AD1192" s="8">
        <v>0</v>
      </c>
      <c r="AG1192" t="s">
        <v>817</v>
      </c>
      <c r="AH1192" t="s">
        <v>802</v>
      </c>
      <c r="AI1192" t="s">
        <v>818</v>
      </c>
    </row>
    <row r="1193" spans="1:35" hidden="1">
      <c r="A1193" s="7">
        <v>1192</v>
      </c>
      <c r="B1193" t="s">
        <v>243</v>
      </c>
      <c r="C1193" t="s">
        <v>244</v>
      </c>
      <c r="D1193" s="7">
        <v>7134</v>
      </c>
      <c r="E1193" t="s">
        <v>245</v>
      </c>
      <c r="F1193" t="s">
        <v>246</v>
      </c>
      <c r="G1193" t="s">
        <v>263</v>
      </c>
      <c r="H1193" t="s">
        <v>3739</v>
      </c>
      <c r="I1193" s="7">
        <v>874</v>
      </c>
      <c r="J1193" s="7">
        <v>33157</v>
      </c>
      <c r="K1193" s="7">
        <v>2</v>
      </c>
      <c r="L1193" t="s">
        <v>247</v>
      </c>
      <c r="M1193" t="s">
        <v>261</v>
      </c>
      <c r="N1193" s="7">
        <v>795680</v>
      </c>
      <c r="O1193" t="s">
        <v>3759</v>
      </c>
      <c r="P1193" t="s">
        <v>3760</v>
      </c>
      <c r="Q1193" t="s">
        <v>908</v>
      </c>
      <c r="R1193" t="s">
        <v>909</v>
      </c>
      <c r="S1193" t="s">
        <v>3726</v>
      </c>
      <c r="T1193" t="s">
        <v>3727</v>
      </c>
      <c r="U1193" t="s">
        <v>3728</v>
      </c>
      <c r="V1193" s="8">
        <v>1250</v>
      </c>
      <c r="W1193" s="7">
        <v>589463</v>
      </c>
      <c r="X1193" t="s">
        <v>4441</v>
      </c>
      <c r="Y1193" s="8">
        <v>1000</v>
      </c>
      <c r="Z1193" s="8">
        <v>1475</v>
      </c>
      <c r="AA1193" s="8">
        <v>225</v>
      </c>
      <c r="AB1193" s="7">
        <v>112930</v>
      </c>
      <c r="AC1193" t="s">
        <v>4441</v>
      </c>
      <c r="AD1193" s="8">
        <v>250</v>
      </c>
      <c r="AG1193" t="s">
        <v>817</v>
      </c>
      <c r="AH1193" t="s">
        <v>802</v>
      </c>
      <c r="AI1193" t="s">
        <v>818</v>
      </c>
    </row>
    <row r="1194" spans="1:35" hidden="1">
      <c r="A1194" s="7">
        <v>1193</v>
      </c>
      <c r="B1194" t="s">
        <v>243</v>
      </c>
      <c r="C1194" t="s">
        <v>244</v>
      </c>
      <c r="D1194" s="7">
        <v>7134</v>
      </c>
      <c r="E1194" t="s">
        <v>245</v>
      </c>
      <c r="F1194" t="s">
        <v>246</v>
      </c>
      <c r="G1194" t="s">
        <v>313</v>
      </c>
      <c r="H1194" t="s">
        <v>3740</v>
      </c>
      <c r="I1194" s="7">
        <v>1165</v>
      </c>
      <c r="J1194" s="7">
        <v>7061</v>
      </c>
      <c r="K1194" s="7">
        <v>3</v>
      </c>
      <c r="L1194" t="s">
        <v>247</v>
      </c>
      <c r="M1194" t="s">
        <v>261</v>
      </c>
      <c r="N1194" s="7">
        <v>785189</v>
      </c>
      <c r="O1194" t="s">
        <v>373</v>
      </c>
      <c r="P1194" t="s">
        <v>374</v>
      </c>
      <c r="S1194" t="s">
        <v>3726</v>
      </c>
      <c r="T1194" t="s">
        <v>3727</v>
      </c>
      <c r="U1194" t="s">
        <v>3728</v>
      </c>
      <c r="V1194" s="8">
        <v>1250</v>
      </c>
      <c r="W1194" s="7">
        <v>589463</v>
      </c>
      <c r="X1194" t="s">
        <v>4441</v>
      </c>
      <c r="Y1194" s="8">
        <v>1250</v>
      </c>
      <c r="Z1194" s="8">
        <v>1475</v>
      </c>
      <c r="AA1194" s="8">
        <v>225</v>
      </c>
      <c r="AB1194" s="7">
        <v>112930</v>
      </c>
      <c r="AC1194" t="s">
        <v>4441</v>
      </c>
      <c r="AD1194" s="8">
        <v>0</v>
      </c>
      <c r="AG1194" t="s">
        <v>801</v>
      </c>
      <c r="AH1194" t="s">
        <v>802</v>
      </c>
      <c r="AI1194" t="s">
        <v>818</v>
      </c>
    </row>
    <row r="1195" spans="1:35" hidden="1">
      <c r="A1195" s="7">
        <v>1194</v>
      </c>
      <c r="B1195" t="s">
        <v>243</v>
      </c>
      <c r="C1195" t="s">
        <v>244</v>
      </c>
      <c r="D1195" s="7">
        <v>7134</v>
      </c>
      <c r="E1195" t="s">
        <v>245</v>
      </c>
      <c r="F1195" t="s">
        <v>246</v>
      </c>
      <c r="G1195" t="s">
        <v>539</v>
      </c>
      <c r="H1195" t="s">
        <v>3737</v>
      </c>
      <c r="I1195" s="7">
        <v>1150</v>
      </c>
      <c r="J1195" s="7">
        <v>9980</v>
      </c>
      <c r="K1195" s="7">
        <v>3</v>
      </c>
      <c r="L1195" t="s">
        <v>247</v>
      </c>
      <c r="M1195" t="s">
        <v>261</v>
      </c>
      <c r="N1195" s="7">
        <v>778389</v>
      </c>
      <c r="O1195" t="s">
        <v>2204</v>
      </c>
      <c r="P1195" t="s">
        <v>2205</v>
      </c>
      <c r="S1195" t="s">
        <v>3726</v>
      </c>
      <c r="T1195" t="s">
        <v>3727</v>
      </c>
      <c r="U1195" t="s">
        <v>3728</v>
      </c>
      <c r="V1195" s="8">
        <v>1250</v>
      </c>
      <c r="W1195" s="7">
        <v>589463</v>
      </c>
      <c r="X1195" t="s">
        <v>4441</v>
      </c>
      <c r="Y1195" s="8">
        <v>1250</v>
      </c>
      <c r="Z1195" s="8">
        <v>1475</v>
      </c>
      <c r="AA1195" s="8">
        <v>225</v>
      </c>
      <c r="AB1195" s="7">
        <v>112930</v>
      </c>
      <c r="AC1195" t="s">
        <v>4441</v>
      </c>
      <c r="AD1195" s="8">
        <v>0</v>
      </c>
      <c r="AG1195" t="s">
        <v>808</v>
      </c>
      <c r="AH1195" t="s">
        <v>802</v>
      </c>
      <c r="AI1195" t="s">
        <v>818</v>
      </c>
    </row>
    <row r="1196" spans="1:35" hidden="1">
      <c r="A1196" s="7">
        <v>1195</v>
      </c>
      <c r="B1196" t="s">
        <v>243</v>
      </c>
      <c r="C1196" t="s">
        <v>244</v>
      </c>
      <c r="D1196" s="7">
        <v>7134</v>
      </c>
      <c r="E1196" t="s">
        <v>245</v>
      </c>
      <c r="F1196" t="s">
        <v>246</v>
      </c>
      <c r="G1196" t="s">
        <v>982</v>
      </c>
      <c r="H1196" t="s">
        <v>3735</v>
      </c>
      <c r="I1196" s="7">
        <v>1165</v>
      </c>
      <c r="J1196" s="7">
        <v>70000</v>
      </c>
      <c r="K1196" s="7">
        <v>7</v>
      </c>
      <c r="L1196" t="s">
        <v>247</v>
      </c>
      <c r="M1196" t="s">
        <v>261</v>
      </c>
      <c r="N1196" s="7">
        <v>790285</v>
      </c>
      <c r="O1196" t="s">
        <v>1673</v>
      </c>
      <c r="P1196" t="s">
        <v>1674</v>
      </c>
      <c r="S1196" t="s">
        <v>3726</v>
      </c>
      <c r="T1196" t="s">
        <v>3727</v>
      </c>
      <c r="U1196" t="s">
        <v>3728</v>
      </c>
      <c r="V1196" s="8">
        <v>0</v>
      </c>
      <c r="W1196" s="7">
        <v>589463</v>
      </c>
      <c r="X1196" t="s">
        <v>4441</v>
      </c>
      <c r="Y1196" s="8">
        <v>0</v>
      </c>
      <c r="Z1196" s="8">
        <v>0</v>
      </c>
      <c r="AA1196" s="8">
        <v>0</v>
      </c>
      <c r="AB1196" s="7">
        <v>112930</v>
      </c>
      <c r="AC1196" t="s">
        <v>4441</v>
      </c>
      <c r="AD1196" s="8">
        <v>0</v>
      </c>
      <c r="AG1196" t="s">
        <v>801</v>
      </c>
      <c r="AH1196" t="s">
        <v>802</v>
      </c>
      <c r="AI1196" t="s">
        <v>803</v>
      </c>
    </row>
    <row r="1197" spans="1:35" hidden="1">
      <c r="A1197" s="7">
        <v>1196</v>
      </c>
      <c r="B1197" t="s">
        <v>243</v>
      </c>
      <c r="C1197" t="s">
        <v>244</v>
      </c>
      <c r="D1197" s="7">
        <v>7134</v>
      </c>
      <c r="E1197" t="s">
        <v>245</v>
      </c>
      <c r="F1197" t="s">
        <v>246</v>
      </c>
      <c r="G1197" t="s">
        <v>824</v>
      </c>
      <c r="H1197" t="s">
        <v>3736</v>
      </c>
      <c r="I1197" s="7">
        <v>1165</v>
      </c>
      <c r="J1197" s="7">
        <v>60000</v>
      </c>
      <c r="K1197" s="7">
        <v>8</v>
      </c>
      <c r="L1197" t="s">
        <v>247</v>
      </c>
      <c r="M1197" t="s">
        <v>261</v>
      </c>
      <c r="N1197" s="7">
        <v>774598</v>
      </c>
      <c r="O1197" t="s">
        <v>1538</v>
      </c>
      <c r="P1197" t="s">
        <v>1539</v>
      </c>
      <c r="S1197" t="s">
        <v>3726</v>
      </c>
      <c r="T1197" t="s">
        <v>3727</v>
      </c>
      <c r="U1197" t="s">
        <v>3728</v>
      </c>
      <c r="V1197" s="8">
        <v>1250</v>
      </c>
      <c r="W1197" s="7">
        <v>589463</v>
      </c>
      <c r="X1197" t="s">
        <v>4441</v>
      </c>
      <c r="Y1197" s="8">
        <v>1250</v>
      </c>
      <c r="Z1197" s="8">
        <v>1475</v>
      </c>
      <c r="AA1197" s="8">
        <v>225</v>
      </c>
      <c r="AB1197" s="7">
        <v>112930</v>
      </c>
      <c r="AC1197" t="s">
        <v>4441</v>
      </c>
      <c r="AD1197" s="8">
        <v>0</v>
      </c>
      <c r="AG1197" t="s">
        <v>801</v>
      </c>
      <c r="AH1197" t="s">
        <v>802</v>
      </c>
      <c r="AI1197" t="s">
        <v>818</v>
      </c>
    </row>
    <row r="1198" spans="1:35" hidden="1">
      <c r="A1198" s="7">
        <v>1197</v>
      </c>
      <c r="B1198" t="s">
        <v>243</v>
      </c>
      <c r="C1198" t="s">
        <v>244</v>
      </c>
      <c r="D1198" s="7">
        <v>7134</v>
      </c>
      <c r="E1198" t="s">
        <v>245</v>
      </c>
      <c r="F1198" t="s">
        <v>246</v>
      </c>
      <c r="G1198" t="s">
        <v>917</v>
      </c>
      <c r="H1198" t="s">
        <v>3738</v>
      </c>
      <c r="I1198" s="7">
        <v>1065</v>
      </c>
      <c r="J1198" s="7">
        <v>18800</v>
      </c>
      <c r="K1198" s="7">
        <v>3</v>
      </c>
      <c r="L1198" t="s">
        <v>247</v>
      </c>
      <c r="M1198" t="s">
        <v>252</v>
      </c>
      <c r="N1198" s="7">
        <v>327119</v>
      </c>
      <c r="O1198" t="s">
        <v>1778</v>
      </c>
      <c r="P1198" t="s">
        <v>1779</v>
      </c>
      <c r="Q1198" t="s">
        <v>870</v>
      </c>
      <c r="R1198" t="s">
        <v>871</v>
      </c>
      <c r="S1198" t="s">
        <v>3726</v>
      </c>
      <c r="T1198" t="s">
        <v>3727</v>
      </c>
      <c r="U1198" t="s">
        <v>3728</v>
      </c>
      <c r="V1198" s="8">
        <v>1250</v>
      </c>
      <c r="W1198" s="7">
        <v>589463</v>
      </c>
      <c r="X1198" t="s">
        <v>4441</v>
      </c>
      <c r="Y1198" s="8">
        <v>1000</v>
      </c>
      <c r="Z1198" s="8">
        <v>1475</v>
      </c>
      <c r="AA1198" s="8">
        <v>225</v>
      </c>
      <c r="AB1198" s="7">
        <v>112930</v>
      </c>
      <c r="AC1198" t="s">
        <v>4441</v>
      </c>
      <c r="AD1198" s="8">
        <v>250</v>
      </c>
      <c r="AG1198" t="s">
        <v>937</v>
      </c>
      <c r="AH1198" t="s">
        <v>802</v>
      </c>
      <c r="AI1198" t="s">
        <v>818</v>
      </c>
    </row>
    <row r="1199" spans="1:35" hidden="1">
      <c r="A1199" s="7">
        <v>1198</v>
      </c>
      <c r="B1199" t="s">
        <v>243</v>
      </c>
      <c r="C1199" t="s">
        <v>244</v>
      </c>
      <c r="D1199" s="7">
        <v>7134</v>
      </c>
      <c r="E1199" t="s">
        <v>245</v>
      </c>
      <c r="F1199" t="s">
        <v>246</v>
      </c>
      <c r="G1199" t="s">
        <v>1305</v>
      </c>
      <c r="H1199" t="s">
        <v>3731</v>
      </c>
      <c r="I1199" s="7">
        <v>1165</v>
      </c>
      <c r="J1199" s="7">
        <v>50296</v>
      </c>
      <c r="K1199" s="7">
        <v>7</v>
      </c>
      <c r="L1199" t="s">
        <v>247</v>
      </c>
      <c r="M1199" t="s">
        <v>261</v>
      </c>
      <c r="N1199" s="7">
        <v>775502</v>
      </c>
      <c r="O1199" t="s">
        <v>1845</v>
      </c>
      <c r="P1199" t="s">
        <v>1846</v>
      </c>
      <c r="Q1199" t="s">
        <v>870</v>
      </c>
      <c r="R1199" t="s">
        <v>871</v>
      </c>
      <c r="S1199" t="s">
        <v>3726</v>
      </c>
      <c r="T1199" t="s">
        <v>3727</v>
      </c>
      <c r="U1199" t="s">
        <v>3728</v>
      </c>
      <c r="V1199" s="8">
        <v>0</v>
      </c>
      <c r="W1199" s="7">
        <v>589463</v>
      </c>
      <c r="X1199" t="s">
        <v>4441</v>
      </c>
      <c r="Y1199" s="8">
        <v>0</v>
      </c>
      <c r="Z1199" s="8">
        <v>0</v>
      </c>
      <c r="AA1199" s="8">
        <v>0</v>
      </c>
      <c r="AB1199" s="7">
        <v>112930</v>
      </c>
      <c r="AC1199" t="s">
        <v>4441</v>
      </c>
      <c r="AD1199" s="8">
        <v>0</v>
      </c>
      <c r="AG1199" t="s">
        <v>801</v>
      </c>
      <c r="AH1199" t="s">
        <v>802</v>
      </c>
      <c r="AI1199" t="s">
        <v>803</v>
      </c>
    </row>
    <row r="1200" spans="1:35" hidden="1">
      <c r="A1200" s="7">
        <v>1199</v>
      </c>
      <c r="B1200" t="s">
        <v>243</v>
      </c>
      <c r="C1200" t="s">
        <v>244</v>
      </c>
      <c r="D1200" s="7">
        <v>7134</v>
      </c>
      <c r="E1200" t="s">
        <v>245</v>
      </c>
      <c r="F1200" t="s">
        <v>246</v>
      </c>
      <c r="G1200" t="s">
        <v>293</v>
      </c>
      <c r="H1200" t="s">
        <v>3731</v>
      </c>
      <c r="I1200" s="7">
        <v>1150</v>
      </c>
      <c r="J1200" s="7">
        <v>13390</v>
      </c>
      <c r="K1200" s="7">
        <v>3</v>
      </c>
      <c r="L1200" t="s">
        <v>247</v>
      </c>
      <c r="M1200" t="s">
        <v>261</v>
      </c>
      <c r="N1200" s="7">
        <v>778220</v>
      </c>
      <c r="O1200" t="s">
        <v>2194</v>
      </c>
      <c r="P1200" t="s">
        <v>2195</v>
      </c>
      <c r="S1200" t="s">
        <v>3726</v>
      </c>
      <c r="T1200" t="s">
        <v>3727</v>
      </c>
      <c r="U1200" t="s">
        <v>3728</v>
      </c>
      <c r="V1200" s="8">
        <v>1250</v>
      </c>
      <c r="W1200" s="7">
        <v>589463</v>
      </c>
      <c r="X1200" t="s">
        <v>4441</v>
      </c>
      <c r="Y1200" s="8">
        <v>1250</v>
      </c>
      <c r="Z1200" s="8">
        <v>1475</v>
      </c>
      <c r="AA1200" s="8">
        <v>225</v>
      </c>
      <c r="AB1200" s="7">
        <v>112930</v>
      </c>
      <c r="AC1200" t="s">
        <v>4441</v>
      </c>
      <c r="AD1200" s="8">
        <v>0</v>
      </c>
      <c r="AG1200" t="s">
        <v>808</v>
      </c>
      <c r="AH1200" t="s">
        <v>802</v>
      </c>
      <c r="AI1200" t="s">
        <v>818</v>
      </c>
    </row>
    <row r="1201" spans="1:35" hidden="1">
      <c r="A1201" s="7">
        <v>1200</v>
      </c>
      <c r="B1201" t="s">
        <v>243</v>
      </c>
      <c r="C1201" t="s">
        <v>244</v>
      </c>
      <c r="D1201" s="7">
        <v>7134</v>
      </c>
      <c r="E1201" t="s">
        <v>245</v>
      </c>
      <c r="F1201" t="s">
        <v>246</v>
      </c>
      <c r="G1201" t="s">
        <v>1004</v>
      </c>
      <c r="H1201" t="s">
        <v>3750</v>
      </c>
      <c r="I1201" s="7">
        <v>1150</v>
      </c>
      <c r="J1201" s="7">
        <v>41100</v>
      </c>
      <c r="K1201" s="7">
        <v>4</v>
      </c>
      <c r="L1201" t="s">
        <v>247</v>
      </c>
      <c r="M1201" t="s">
        <v>361</v>
      </c>
      <c r="N1201" s="7">
        <v>5709</v>
      </c>
      <c r="O1201" t="s">
        <v>1005</v>
      </c>
      <c r="P1201" t="s">
        <v>1006</v>
      </c>
      <c r="S1201" t="s">
        <v>3726</v>
      </c>
      <c r="T1201" t="s">
        <v>3727</v>
      </c>
      <c r="U1201" t="s">
        <v>3728</v>
      </c>
      <c r="V1201" s="8">
        <v>0</v>
      </c>
      <c r="W1201" s="7">
        <v>589463</v>
      </c>
      <c r="X1201" t="s">
        <v>4441</v>
      </c>
      <c r="Y1201" s="8">
        <v>0</v>
      </c>
      <c r="Z1201" s="8">
        <v>0</v>
      </c>
      <c r="AA1201" s="8">
        <v>0</v>
      </c>
      <c r="AB1201" s="7">
        <v>112930</v>
      </c>
      <c r="AC1201" t="s">
        <v>4441</v>
      </c>
      <c r="AD1201" s="8">
        <v>0</v>
      </c>
      <c r="AG1201" t="s">
        <v>823</v>
      </c>
      <c r="AH1201" t="s">
        <v>802</v>
      </c>
      <c r="AI1201" t="s">
        <v>803</v>
      </c>
    </row>
    <row r="1202" spans="1:35" hidden="1">
      <c r="A1202" s="7">
        <v>1201</v>
      </c>
      <c r="B1202" t="s">
        <v>243</v>
      </c>
      <c r="C1202" t="s">
        <v>244</v>
      </c>
      <c r="D1202" s="7">
        <v>7134</v>
      </c>
      <c r="E1202" t="s">
        <v>245</v>
      </c>
      <c r="F1202" t="s">
        <v>246</v>
      </c>
      <c r="G1202" t="s">
        <v>1428</v>
      </c>
      <c r="H1202" t="s">
        <v>3735</v>
      </c>
      <c r="I1202" s="7">
        <v>1165</v>
      </c>
      <c r="J1202" s="7">
        <v>88110</v>
      </c>
      <c r="K1202" s="7">
        <v>9</v>
      </c>
      <c r="L1202" t="s">
        <v>247</v>
      </c>
      <c r="M1202" t="s">
        <v>361</v>
      </c>
      <c r="N1202" s="7">
        <v>3046</v>
      </c>
      <c r="O1202" t="s">
        <v>1429</v>
      </c>
      <c r="P1202" t="s">
        <v>1430</v>
      </c>
      <c r="S1202" t="s">
        <v>3726</v>
      </c>
      <c r="T1202" t="s">
        <v>3727</v>
      </c>
      <c r="U1202" t="s">
        <v>3728</v>
      </c>
      <c r="V1202" s="8">
        <v>0</v>
      </c>
      <c r="W1202" s="7">
        <v>589463</v>
      </c>
      <c r="X1202" t="s">
        <v>4441</v>
      </c>
      <c r="Y1202" s="8">
        <v>0</v>
      </c>
      <c r="Z1202" s="8">
        <v>0</v>
      </c>
      <c r="AA1202" s="8">
        <v>0</v>
      </c>
      <c r="AB1202" s="7">
        <v>112930</v>
      </c>
      <c r="AC1202" t="s">
        <v>4441</v>
      </c>
      <c r="AD1202" s="8">
        <v>0</v>
      </c>
      <c r="AG1202" t="s">
        <v>823</v>
      </c>
      <c r="AH1202" t="s">
        <v>802</v>
      </c>
      <c r="AI1202" t="s">
        <v>803</v>
      </c>
    </row>
    <row r="1203" spans="1:35" hidden="1">
      <c r="A1203" s="7">
        <v>1202</v>
      </c>
      <c r="B1203" t="s">
        <v>243</v>
      </c>
      <c r="C1203" t="s">
        <v>244</v>
      </c>
      <c r="D1203" s="7">
        <v>7134</v>
      </c>
      <c r="E1203" t="s">
        <v>245</v>
      </c>
      <c r="F1203" t="s">
        <v>246</v>
      </c>
      <c r="G1203" t="s">
        <v>1224</v>
      </c>
      <c r="H1203" t="s">
        <v>3732</v>
      </c>
      <c r="I1203" s="7">
        <v>904</v>
      </c>
      <c r="J1203" s="7">
        <v>31160</v>
      </c>
      <c r="K1203" s="7">
        <v>2</v>
      </c>
      <c r="L1203" t="s">
        <v>247</v>
      </c>
      <c r="M1203" t="s">
        <v>261</v>
      </c>
      <c r="N1203" s="7">
        <v>795397</v>
      </c>
      <c r="O1203" t="s">
        <v>2043</v>
      </c>
      <c r="P1203" t="s">
        <v>2044</v>
      </c>
      <c r="Q1203" t="s">
        <v>908</v>
      </c>
      <c r="R1203" t="s">
        <v>909</v>
      </c>
      <c r="S1203" t="s">
        <v>3726</v>
      </c>
      <c r="T1203" t="s">
        <v>3727</v>
      </c>
      <c r="U1203" t="s">
        <v>3728</v>
      </c>
      <c r="V1203" s="8">
        <v>1250</v>
      </c>
      <c r="W1203" s="7">
        <v>589463</v>
      </c>
      <c r="X1203" t="s">
        <v>4441</v>
      </c>
      <c r="Y1203" s="8">
        <v>1000</v>
      </c>
      <c r="Z1203" s="8">
        <v>1475</v>
      </c>
      <c r="AA1203" s="8">
        <v>225</v>
      </c>
      <c r="AB1203" s="7">
        <v>112930</v>
      </c>
      <c r="AC1203" t="s">
        <v>4441</v>
      </c>
      <c r="AD1203" s="8">
        <v>250</v>
      </c>
      <c r="AG1203" t="s">
        <v>817</v>
      </c>
      <c r="AH1203" t="s">
        <v>802</v>
      </c>
      <c r="AI1203" t="s">
        <v>818</v>
      </c>
    </row>
    <row r="1204" spans="1:35" hidden="1">
      <c r="A1204" s="7">
        <v>1203</v>
      </c>
      <c r="B1204" t="s">
        <v>243</v>
      </c>
      <c r="C1204" t="s">
        <v>244</v>
      </c>
      <c r="D1204" s="7">
        <v>7134</v>
      </c>
      <c r="E1204" t="s">
        <v>245</v>
      </c>
      <c r="F1204" t="s">
        <v>246</v>
      </c>
      <c r="G1204" t="s">
        <v>1267</v>
      </c>
      <c r="H1204" t="s">
        <v>3729</v>
      </c>
      <c r="I1204" s="7">
        <v>1165</v>
      </c>
      <c r="J1204" s="7">
        <v>28027</v>
      </c>
      <c r="K1204" s="7">
        <v>4</v>
      </c>
      <c r="L1204" t="s">
        <v>247</v>
      </c>
      <c r="M1204" t="s">
        <v>267</v>
      </c>
      <c r="N1204" s="7">
        <v>789007</v>
      </c>
      <c r="O1204" t="s">
        <v>1268</v>
      </c>
      <c r="P1204" t="s">
        <v>1269</v>
      </c>
      <c r="S1204" t="s">
        <v>3726</v>
      </c>
      <c r="T1204" t="s">
        <v>3727</v>
      </c>
      <c r="U1204" t="s">
        <v>3728</v>
      </c>
      <c r="V1204" s="8">
        <v>0</v>
      </c>
      <c r="W1204" s="7">
        <v>589463</v>
      </c>
      <c r="X1204" t="s">
        <v>4441</v>
      </c>
      <c r="Y1204" s="8">
        <v>0</v>
      </c>
      <c r="Z1204" s="8">
        <v>0</v>
      </c>
      <c r="AA1204" s="8">
        <v>0</v>
      </c>
      <c r="AB1204" s="7">
        <v>112930</v>
      </c>
      <c r="AC1204" t="s">
        <v>4441</v>
      </c>
      <c r="AD1204" s="8">
        <v>0</v>
      </c>
      <c r="AG1204" t="s">
        <v>828</v>
      </c>
      <c r="AH1204" t="s">
        <v>802</v>
      </c>
      <c r="AI1204" t="s">
        <v>803</v>
      </c>
    </row>
    <row r="1205" spans="1:35" hidden="1">
      <c r="A1205" s="7">
        <v>1204</v>
      </c>
      <c r="B1205" t="s">
        <v>243</v>
      </c>
      <c r="C1205" t="s">
        <v>244</v>
      </c>
      <c r="D1205" s="7">
        <v>7134</v>
      </c>
      <c r="E1205" t="s">
        <v>245</v>
      </c>
      <c r="F1205" t="s">
        <v>246</v>
      </c>
      <c r="G1205" t="s">
        <v>1331</v>
      </c>
      <c r="H1205" t="s">
        <v>3736</v>
      </c>
      <c r="I1205" s="7">
        <v>1165</v>
      </c>
      <c r="J1205" s="7">
        <v>31904</v>
      </c>
      <c r="K1205" s="7">
        <v>4</v>
      </c>
      <c r="L1205" t="s">
        <v>247</v>
      </c>
      <c r="M1205" t="s">
        <v>267</v>
      </c>
      <c r="N1205" s="7">
        <v>789053</v>
      </c>
      <c r="O1205" t="s">
        <v>1332</v>
      </c>
      <c r="P1205" t="s">
        <v>1333</v>
      </c>
      <c r="S1205" t="s">
        <v>3726</v>
      </c>
      <c r="T1205" t="s">
        <v>3727</v>
      </c>
      <c r="U1205" t="s">
        <v>3728</v>
      </c>
      <c r="V1205" s="8">
        <v>0</v>
      </c>
      <c r="W1205" s="7">
        <v>589463</v>
      </c>
      <c r="X1205" t="s">
        <v>4441</v>
      </c>
      <c r="Y1205" s="8">
        <v>0</v>
      </c>
      <c r="Z1205" s="8">
        <v>0</v>
      </c>
      <c r="AA1205" s="8">
        <v>0</v>
      </c>
      <c r="AB1205" s="7">
        <v>112930</v>
      </c>
      <c r="AC1205" t="s">
        <v>4441</v>
      </c>
      <c r="AD1205" s="8">
        <v>0</v>
      </c>
      <c r="AG1205" t="s">
        <v>828</v>
      </c>
      <c r="AH1205" t="s">
        <v>802</v>
      </c>
      <c r="AI1205" t="s">
        <v>803</v>
      </c>
    </row>
    <row r="1206" spans="1:35" hidden="1">
      <c r="A1206" s="7">
        <v>1205</v>
      </c>
      <c r="B1206" t="s">
        <v>243</v>
      </c>
      <c r="C1206" t="s">
        <v>244</v>
      </c>
      <c r="D1206" s="7">
        <v>7134</v>
      </c>
      <c r="E1206" t="s">
        <v>245</v>
      </c>
      <c r="F1206" t="s">
        <v>246</v>
      </c>
      <c r="G1206" t="s">
        <v>1457</v>
      </c>
      <c r="H1206" t="s">
        <v>3739</v>
      </c>
      <c r="I1206" s="7">
        <v>879</v>
      </c>
      <c r="J1206" s="7">
        <v>29990</v>
      </c>
      <c r="K1206" s="7">
        <v>2</v>
      </c>
      <c r="L1206" t="s">
        <v>247</v>
      </c>
      <c r="M1206" t="s">
        <v>261</v>
      </c>
      <c r="N1206" s="7">
        <v>796020</v>
      </c>
      <c r="O1206" t="s">
        <v>2118</v>
      </c>
      <c r="P1206" t="s">
        <v>2119</v>
      </c>
      <c r="S1206" t="s">
        <v>3726</v>
      </c>
      <c r="T1206" t="s">
        <v>3727</v>
      </c>
      <c r="U1206" t="s">
        <v>3728</v>
      </c>
      <c r="V1206" s="8">
        <v>1250</v>
      </c>
      <c r="W1206" s="7">
        <v>589463</v>
      </c>
      <c r="X1206" t="s">
        <v>4441</v>
      </c>
      <c r="Y1206" s="8">
        <v>1250</v>
      </c>
      <c r="Z1206" s="8">
        <v>1475</v>
      </c>
      <c r="AA1206" s="8">
        <v>225</v>
      </c>
      <c r="AB1206" s="7">
        <v>112930</v>
      </c>
      <c r="AC1206" t="s">
        <v>4441</v>
      </c>
      <c r="AD1206" s="8">
        <v>0</v>
      </c>
      <c r="AG1206" t="s">
        <v>817</v>
      </c>
      <c r="AH1206" t="s">
        <v>802</v>
      </c>
      <c r="AI1206" t="s">
        <v>818</v>
      </c>
    </row>
    <row r="1207" spans="1:35" hidden="1">
      <c r="A1207" s="7">
        <v>1206</v>
      </c>
      <c r="B1207" t="s">
        <v>243</v>
      </c>
      <c r="C1207" t="s">
        <v>244</v>
      </c>
      <c r="D1207" s="7">
        <v>7134</v>
      </c>
      <c r="E1207" t="s">
        <v>245</v>
      </c>
      <c r="F1207" t="s">
        <v>246</v>
      </c>
      <c r="G1207" t="s">
        <v>1737</v>
      </c>
      <c r="H1207" t="s">
        <v>3740</v>
      </c>
      <c r="I1207" s="7">
        <v>978</v>
      </c>
      <c r="J1207" s="7">
        <v>25714</v>
      </c>
      <c r="K1207" s="7">
        <v>5</v>
      </c>
      <c r="L1207" t="s">
        <v>247</v>
      </c>
      <c r="M1207" t="s">
        <v>361</v>
      </c>
      <c r="N1207" s="7">
        <v>5247</v>
      </c>
      <c r="O1207" t="s">
        <v>3132</v>
      </c>
      <c r="P1207" t="s">
        <v>3133</v>
      </c>
      <c r="S1207" t="s">
        <v>3726</v>
      </c>
      <c r="T1207" t="s">
        <v>3727</v>
      </c>
      <c r="U1207" t="s">
        <v>3728</v>
      </c>
      <c r="V1207" s="8">
        <v>1650</v>
      </c>
      <c r="W1207" s="7">
        <v>589463</v>
      </c>
      <c r="X1207" t="s">
        <v>4441</v>
      </c>
      <c r="Y1207" s="8">
        <v>1650</v>
      </c>
      <c r="Z1207" s="8">
        <v>1947</v>
      </c>
      <c r="AA1207" s="8">
        <v>297</v>
      </c>
      <c r="AB1207" s="7">
        <v>112930</v>
      </c>
      <c r="AC1207" t="s">
        <v>4441</v>
      </c>
      <c r="AD1207" s="8">
        <v>0</v>
      </c>
      <c r="AG1207" t="s">
        <v>823</v>
      </c>
      <c r="AH1207" t="s">
        <v>802</v>
      </c>
      <c r="AI1207" t="s">
        <v>818</v>
      </c>
    </row>
    <row r="1208" spans="1:35" hidden="1">
      <c r="A1208" s="7">
        <v>1207</v>
      </c>
      <c r="B1208" t="s">
        <v>243</v>
      </c>
      <c r="C1208" t="s">
        <v>244</v>
      </c>
      <c r="D1208" s="7">
        <v>7134</v>
      </c>
      <c r="E1208" t="s">
        <v>245</v>
      </c>
      <c r="F1208" t="s">
        <v>246</v>
      </c>
      <c r="G1208" t="s">
        <v>607</v>
      </c>
      <c r="H1208" t="s">
        <v>3737</v>
      </c>
      <c r="I1208" s="7">
        <v>1150</v>
      </c>
      <c r="J1208" s="7">
        <v>12250</v>
      </c>
      <c r="K1208" s="7">
        <v>3</v>
      </c>
      <c r="L1208" t="s">
        <v>247</v>
      </c>
      <c r="M1208" t="s">
        <v>261</v>
      </c>
      <c r="N1208" s="7">
        <v>778180</v>
      </c>
      <c r="O1208" t="s">
        <v>2220</v>
      </c>
      <c r="P1208" t="s">
        <v>2221</v>
      </c>
      <c r="S1208" t="s">
        <v>3726</v>
      </c>
      <c r="T1208" t="s">
        <v>3727</v>
      </c>
      <c r="U1208" t="s">
        <v>3728</v>
      </c>
      <c r="V1208" s="8">
        <v>1250</v>
      </c>
      <c r="W1208" s="7">
        <v>589463</v>
      </c>
      <c r="X1208" t="s">
        <v>4441</v>
      </c>
      <c r="Y1208" s="8">
        <v>1250</v>
      </c>
      <c r="Z1208" s="8">
        <v>1475</v>
      </c>
      <c r="AA1208" s="8">
        <v>225</v>
      </c>
      <c r="AB1208" s="7">
        <v>112930</v>
      </c>
      <c r="AC1208" t="s">
        <v>4441</v>
      </c>
      <c r="AD1208" s="8">
        <v>0</v>
      </c>
      <c r="AG1208" t="s">
        <v>808</v>
      </c>
      <c r="AH1208" t="s">
        <v>802</v>
      </c>
      <c r="AI1208" t="s">
        <v>818</v>
      </c>
    </row>
    <row r="1209" spans="1:35" hidden="1">
      <c r="A1209" s="7">
        <v>1208</v>
      </c>
      <c r="B1209" t="s">
        <v>243</v>
      </c>
      <c r="C1209" t="s">
        <v>244</v>
      </c>
      <c r="D1209" s="7">
        <v>7134</v>
      </c>
      <c r="E1209" t="s">
        <v>245</v>
      </c>
      <c r="F1209" t="s">
        <v>246</v>
      </c>
      <c r="G1209" t="s">
        <v>1038</v>
      </c>
      <c r="H1209" t="s">
        <v>3745</v>
      </c>
      <c r="I1209" s="7">
        <v>1165</v>
      </c>
      <c r="J1209" s="7">
        <v>60000</v>
      </c>
      <c r="K1209" s="7">
        <v>6</v>
      </c>
      <c r="L1209" t="s">
        <v>247</v>
      </c>
      <c r="M1209" t="s">
        <v>361</v>
      </c>
      <c r="N1209" s="7">
        <v>3248</v>
      </c>
      <c r="O1209" t="s">
        <v>1039</v>
      </c>
      <c r="P1209" t="s">
        <v>1040</v>
      </c>
      <c r="S1209" t="s">
        <v>3726</v>
      </c>
      <c r="T1209" t="s">
        <v>3727</v>
      </c>
      <c r="U1209" t="s">
        <v>3728</v>
      </c>
      <c r="V1209" s="8">
        <v>0</v>
      </c>
      <c r="W1209" s="7">
        <v>589463</v>
      </c>
      <c r="X1209" t="s">
        <v>4441</v>
      </c>
      <c r="Y1209" s="8">
        <v>0</v>
      </c>
      <c r="Z1209" s="8">
        <v>0</v>
      </c>
      <c r="AA1209" s="8">
        <v>0</v>
      </c>
      <c r="AB1209" s="7">
        <v>112930</v>
      </c>
      <c r="AC1209" t="s">
        <v>4441</v>
      </c>
      <c r="AD1209" s="8">
        <v>0</v>
      </c>
      <c r="AG1209" t="s">
        <v>823</v>
      </c>
      <c r="AH1209" t="s">
        <v>802</v>
      </c>
      <c r="AI1209" t="s">
        <v>803</v>
      </c>
    </row>
    <row r="1210" spans="1:35" hidden="1">
      <c r="A1210" s="7">
        <v>1209</v>
      </c>
      <c r="B1210" t="s">
        <v>243</v>
      </c>
      <c r="C1210" t="s">
        <v>244</v>
      </c>
      <c r="D1210" s="7">
        <v>7134</v>
      </c>
      <c r="E1210" t="s">
        <v>245</v>
      </c>
      <c r="F1210" t="s">
        <v>246</v>
      </c>
      <c r="G1210" t="s">
        <v>284</v>
      </c>
      <c r="H1210" t="s">
        <v>3744</v>
      </c>
      <c r="I1210" s="7">
        <v>874</v>
      </c>
      <c r="J1210" s="7">
        <v>31773</v>
      </c>
      <c r="K1210" s="7">
        <v>2</v>
      </c>
      <c r="L1210" t="s">
        <v>247</v>
      </c>
      <c r="M1210" t="s">
        <v>261</v>
      </c>
      <c r="N1210" s="7">
        <v>796009</v>
      </c>
      <c r="O1210" t="s">
        <v>2060</v>
      </c>
      <c r="P1210" t="s">
        <v>2061</v>
      </c>
      <c r="Q1210" t="s">
        <v>908</v>
      </c>
      <c r="R1210" t="s">
        <v>909</v>
      </c>
      <c r="S1210" t="s">
        <v>3726</v>
      </c>
      <c r="T1210" t="s">
        <v>3727</v>
      </c>
      <c r="U1210" t="s">
        <v>3728</v>
      </c>
      <c r="V1210" s="8">
        <v>1250</v>
      </c>
      <c r="W1210" s="7">
        <v>589463</v>
      </c>
      <c r="X1210" t="s">
        <v>4441</v>
      </c>
      <c r="Y1210" s="8">
        <v>1000</v>
      </c>
      <c r="Z1210" s="8">
        <v>1475</v>
      </c>
      <c r="AA1210" s="8">
        <v>225</v>
      </c>
      <c r="AB1210" s="7">
        <v>112930</v>
      </c>
      <c r="AC1210" t="s">
        <v>4441</v>
      </c>
      <c r="AD1210" s="8">
        <v>250</v>
      </c>
      <c r="AG1210" t="s">
        <v>817</v>
      </c>
      <c r="AH1210" t="s">
        <v>802</v>
      </c>
      <c r="AI1210" t="s">
        <v>818</v>
      </c>
    </row>
    <row r="1211" spans="1:35" hidden="1">
      <c r="A1211" s="7">
        <v>1210</v>
      </c>
      <c r="B1211" t="s">
        <v>243</v>
      </c>
      <c r="C1211" t="s">
        <v>244</v>
      </c>
      <c r="D1211" s="7">
        <v>7134</v>
      </c>
      <c r="E1211" t="s">
        <v>245</v>
      </c>
      <c r="F1211" t="s">
        <v>246</v>
      </c>
      <c r="G1211" t="s">
        <v>363</v>
      </c>
      <c r="H1211" t="s">
        <v>3738</v>
      </c>
      <c r="I1211" s="7">
        <v>872</v>
      </c>
      <c r="J1211" s="7">
        <v>30147</v>
      </c>
      <c r="K1211" s="7">
        <v>2</v>
      </c>
      <c r="L1211" t="s">
        <v>247</v>
      </c>
      <c r="M1211" t="s">
        <v>261</v>
      </c>
      <c r="N1211" s="7">
        <v>798610</v>
      </c>
      <c r="O1211" t="s">
        <v>2107</v>
      </c>
      <c r="P1211" t="s">
        <v>2108</v>
      </c>
      <c r="S1211" t="s">
        <v>3726</v>
      </c>
      <c r="T1211" t="s">
        <v>3727</v>
      </c>
      <c r="U1211" t="s">
        <v>3728</v>
      </c>
      <c r="V1211" s="8">
        <v>1250</v>
      </c>
      <c r="W1211" s="7">
        <v>589463</v>
      </c>
      <c r="X1211" t="s">
        <v>4441</v>
      </c>
      <c r="Y1211" s="8">
        <v>1250</v>
      </c>
      <c r="Z1211" s="8">
        <v>1475</v>
      </c>
      <c r="AA1211" s="8">
        <v>225</v>
      </c>
      <c r="AB1211" s="7">
        <v>112930</v>
      </c>
      <c r="AC1211" t="s">
        <v>4441</v>
      </c>
      <c r="AD1211" s="8">
        <v>0</v>
      </c>
      <c r="AG1211" t="s">
        <v>817</v>
      </c>
      <c r="AH1211" t="s">
        <v>802</v>
      </c>
      <c r="AI1211" t="s">
        <v>818</v>
      </c>
    </row>
    <row r="1212" spans="1:35" hidden="1">
      <c r="A1212" s="7">
        <v>1211</v>
      </c>
      <c r="B1212" t="s">
        <v>243</v>
      </c>
      <c r="C1212" t="s">
        <v>244</v>
      </c>
      <c r="D1212" s="7">
        <v>7134</v>
      </c>
      <c r="E1212" t="s">
        <v>245</v>
      </c>
      <c r="F1212" t="s">
        <v>246</v>
      </c>
      <c r="G1212" t="s">
        <v>875</v>
      </c>
      <c r="H1212" t="s">
        <v>3733</v>
      </c>
      <c r="I1212" s="7">
        <v>910</v>
      </c>
      <c r="J1212" s="7">
        <v>49519</v>
      </c>
      <c r="K1212" s="7">
        <v>7</v>
      </c>
      <c r="L1212" t="s">
        <v>247</v>
      </c>
      <c r="M1212" t="s">
        <v>261</v>
      </c>
      <c r="N1212" s="7">
        <v>775649</v>
      </c>
      <c r="O1212" t="s">
        <v>876</v>
      </c>
      <c r="P1212" t="s">
        <v>877</v>
      </c>
      <c r="Q1212" t="s">
        <v>870</v>
      </c>
      <c r="R1212" t="s">
        <v>871</v>
      </c>
      <c r="S1212" t="s">
        <v>3726</v>
      </c>
      <c r="T1212" t="s">
        <v>3727</v>
      </c>
      <c r="U1212" t="s">
        <v>3728</v>
      </c>
      <c r="V1212" s="8">
        <v>0</v>
      </c>
      <c r="W1212" s="7">
        <v>589463</v>
      </c>
      <c r="X1212" t="s">
        <v>4441</v>
      </c>
      <c r="Y1212" s="8">
        <v>0</v>
      </c>
      <c r="Z1212" s="8">
        <v>0</v>
      </c>
      <c r="AA1212" s="8">
        <v>0</v>
      </c>
      <c r="AB1212" s="7">
        <v>112930</v>
      </c>
      <c r="AC1212" t="s">
        <v>4441</v>
      </c>
      <c r="AD1212" s="8">
        <v>0</v>
      </c>
      <c r="AG1212" t="s">
        <v>801</v>
      </c>
      <c r="AH1212" t="s">
        <v>802</v>
      </c>
      <c r="AI1212" t="s">
        <v>803</v>
      </c>
    </row>
    <row r="1213" spans="1:35" hidden="1">
      <c r="A1213" s="7">
        <v>1212</v>
      </c>
      <c r="B1213" t="s">
        <v>243</v>
      </c>
      <c r="C1213" t="s">
        <v>244</v>
      </c>
      <c r="D1213" s="7">
        <v>7134</v>
      </c>
      <c r="E1213" t="s">
        <v>245</v>
      </c>
      <c r="F1213" t="s">
        <v>246</v>
      </c>
      <c r="G1213" t="s">
        <v>1457</v>
      </c>
      <c r="H1213" t="s">
        <v>3740</v>
      </c>
      <c r="I1213" s="7">
        <v>883</v>
      </c>
      <c r="J1213" s="7">
        <v>30000</v>
      </c>
      <c r="K1213" s="7">
        <v>2</v>
      </c>
      <c r="L1213" t="s">
        <v>247</v>
      </c>
      <c r="M1213" t="s">
        <v>261</v>
      </c>
      <c r="N1213" s="7">
        <v>796008</v>
      </c>
      <c r="O1213" t="s">
        <v>2178</v>
      </c>
      <c r="P1213" t="s">
        <v>2179</v>
      </c>
      <c r="S1213" t="s">
        <v>3726</v>
      </c>
      <c r="T1213" t="s">
        <v>3727</v>
      </c>
      <c r="U1213" t="s">
        <v>3728</v>
      </c>
      <c r="V1213" s="8">
        <v>1250</v>
      </c>
      <c r="W1213" s="7">
        <v>589463</v>
      </c>
      <c r="X1213" t="s">
        <v>4441</v>
      </c>
      <c r="Y1213" s="8">
        <v>1250</v>
      </c>
      <c r="Z1213" s="8">
        <v>1475</v>
      </c>
      <c r="AA1213" s="8">
        <v>225</v>
      </c>
      <c r="AB1213" s="7">
        <v>112930</v>
      </c>
      <c r="AC1213" t="s">
        <v>4441</v>
      </c>
      <c r="AD1213" s="8">
        <v>0</v>
      </c>
      <c r="AG1213" t="s">
        <v>817</v>
      </c>
      <c r="AH1213" t="s">
        <v>802</v>
      </c>
      <c r="AI1213" t="s">
        <v>818</v>
      </c>
    </row>
    <row r="1214" spans="1:35" hidden="1">
      <c r="A1214" s="7">
        <v>1213</v>
      </c>
      <c r="B1214" t="s">
        <v>243</v>
      </c>
      <c r="C1214" t="s">
        <v>244</v>
      </c>
      <c r="D1214" s="7">
        <v>7134</v>
      </c>
      <c r="E1214" t="s">
        <v>245</v>
      </c>
      <c r="F1214" t="s">
        <v>246</v>
      </c>
      <c r="G1214" t="s">
        <v>273</v>
      </c>
      <c r="H1214" t="s">
        <v>3733</v>
      </c>
      <c r="I1214" s="7">
        <v>1165</v>
      </c>
      <c r="J1214" s="7">
        <v>16200</v>
      </c>
      <c r="K1214" s="7">
        <v>2</v>
      </c>
      <c r="L1214" t="s">
        <v>247</v>
      </c>
      <c r="M1214" t="s">
        <v>267</v>
      </c>
      <c r="N1214" s="7">
        <v>789023</v>
      </c>
      <c r="O1214" t="s">
        <v>476</v>
      </c>
      <c r="P1214" t="s">
        <v>477</v>
      </c>
      <c r="Q1214" t="s">
        <v>1902</v>
      </c>
      <c r="R1214" t="s">
        <v>1903</v>
      </c>
      <c r="S1214" t="s">
        <v>3726</v>
      </c>
      <c r="T1214" t="s">
        <v>3727</v>
      </c>
      <c r="U1214" t="s">
        <v>3728</v>
      </c>
      <c r="V1214" s="8">
        <v>0</v>
      </c>
      <c r="W1214" s="7">
        <v>589463</v>
      </c>
      <c r="X1214" t="s">
        <v>4441</v>
      </c>
      <c r="Y1214" s="8">
        <v>0</v>
      </c>
      <c r="Z1214" s="8">
        <v>0</v>
      </c>
      <c r="AA1214" s="8">
        <v>0</v>
      </c>
      <c r="AB1214" s="7">
        <v>112930</v>
      </c>
      <c r="AC1214" t="s">
        <v>4441</v>
      </c>
      <c r="AD1214" s="8">
        <v>0</v>
      </c>
      <c r="AG1214" t="s">
        <v>828</v>
      </c>
      <c r="AH1214" t="s">
        <v>802</v>
      </c>
      <c r="AI1214" t="s">
        <v>803</v>
      </c>
    </row>
    <row r="1215" spans="1:35" hidden="1">
      <c r="A1215" s="7">
        <v>1214</v>
      </c>
      <c r="B1215" t="s">
        <v>243</v>
      </c>
      <c r="C1215" t="s">
        <v>244</v>
      </c>
      <c r="D1215" s="7">
        <v>7134</v>
      </c>
      <c r="E1215" t="s">
        <v>245</v>
      </c>
      <c r="F1215" t="s">
        <v>246</v>
      </c>
      <c r="G1215" t="s">
        <v>813</v>
      </c>
      <c r="H1215" t="s">
        <v>3737</v>
      </c>
      <c r="I1215" s="7">
        <v>1165</v>
      </c>
      <c r="J1215" s="7">
        <v>40050</v>
      </c>
      <c r="K1215" s="7">
        <v>7</v>
      </c>
      <c r="L1215" t="s">
        <v>247</v>
      </c>
      <c r="M1215" t="s">
        <v>261</v>
      </c>
      <c r="N1215" s="7">
        <v>785384</v>
      </c>
      <c r="O1215" t="s">
        <v>1248</v>
      </c>
      <c r="P1215" t="s">
        <v>1249</v>
      </c>
      <c r="S1215" t="s">
        <v>3726</v>
      </c>
      <c r="T1215" t="s">
        <v>3727</v>
      </c>
      <c r="U1215" t="s">
        <v>3728</v>
      </c>
      <c r="V1215" s="8">
        <v>0</v>
      </c>
      <c r="W1215" s="7">
        <v>589463</v>
      </c>
      <c r="X1215" t="s">
        <v>4441</v>
      </c>
      <c r="Y1215" s="8">
        <v>0</v>
      </c>
      <c r="Z1215" s="8">
        <v>0</v>
      </c>
      <c r="AA1215" s="8">
        <v>0</v>
      </c>
      <c r="AB1215" s="7">
        <v>112930</v>
      </c>
      <c r="AC1215" t="s">
        <v>4441</v>
      </c>
      <c r="AD1215" s="8">
        <v>0</v>
      </c>
      <c r="AG1215" t="s">
        <v>801</v>
      </c>
      <c r="AH1215" t="s">
        <v>802</v>
      </c>
      <c r="AI1215" t="s">
        <v>803</v>
      </c>
    </row>
    <row r="1216" spans="1:35" hidden="1">
      <c r="A1216" s="7">
        <v>1215</v>
      </c>
      <c r="B1216" t="s">
        <v>243</v>
      </c>
      <c r="C1216" t="s">
        <v>244</v>
      </c>
      <c r="D1216" s="7">
        <v>7134</v>
      </c>
      <c r="E1216" t="s">
        <v>245</v>
      </c>
      <c r="F1216" t="s">
        <v>246</v>
      </c>
      <c r="G1216" t="s">
        <v>1069</v>
      </c>
      <c r="H1216" t="s">
        <v>3736</v>
      </c>
      <c r="I1216" s="7">
        <v>1150</v>
      </c>
      <c r="J1216" s="7">
        <v>53000</v>
      </c>
      <c r="K1216" s="7">
        <v>5</v>
      </c>
      <c r="L1216" t="s">
        <v>247</v>
      </c>
      <c r="M1216" t="s">
        <v>361</v>
      </c>
      <c r="N1216" s="7">
        <v>5869</v>
      </c>
      <c r="O1216" t="s">
        <v>2098</v>
      </c>
      <c r="P1216" t="s">
        <v>2099</v>
      </c>
      <c r="Q1216" t="s">
        <v>908</v>
      </c>
      <c r="R1216" t="s">
        <v>909</v>
      </c>
      <c r="S1216" t="s">
        <v>3726</v>
      </c>
      <c r="T1216" t="s">
        <v>3727</v>
      </c>
      <c r="U1216" t="s">
        <v>3728</v>
      </c>
      <c r="V1216" s="8">
        <v>1650</v>
      </c>
      <c r="W1216" s="7">
        <v>589463</v>
      </c>
      <c r="X1216" t="s">
        <v>4441</v>
      </c>
      <c r="Y1216" s="8">
        <v>1320</v>
      </c>
      <c r="Z1216" s="8">
        <v>1947</v>
      </c>
      <c r="AA1216" s="8">
        <v>297</v>
      </c>
      <c r="AB1216" s="7">
        <v>112930</v>
      </c>
      <c r="AC1216" t="s">
        <v>4441</v>
      </c>
      <c r="AD1216" s="8">
        <v>330</v>
      </c>
      <c r="AG1216" t="s">
        <v>823</v>
      </c>
      <c r="AH1216" t="s">
        <v>802</v>
      </c>
      <c r="AI1216" t="s">
        <v>818</v>
      </c>
    </row>
    <row r="1217" spans="1:35" hidden="1">
      <c r="A1217" s="7">
        <v>1216</v>
      </c>
      <c r="B1217" t="s">
        <v>243</v>
      </c>
      <c r="C1217" t="s">
        <v>244</v>
      </c>
      <c r="D1217" s="7">
        <v>7134</v>
      </c>
      <c r="E1217" t="s">
        <v>245</v>
      </c>
      <c r="F1217" t="s">
        <v>246</v>
      </c>
      <c r="G1217" t="s">
        <v>1156</v>
      </c>
      <c r="H1217" t="s">
        <v>3741</v>
      </c>
      <c r="I1217" s="7">
        <v>1165</v>
      </c>
      <c r="J1217" s="7">
        <v>76205</v>
      </c>
      <c r="K1217" s="7">
        <v>8</v>
      </c>
      <c r="L1217" t="s">
        <v>247</v>
      </c>
      <c r="M1217" t="s">
        <v>252</v>
      </c>
      <c r="N1217" s="7">
        <v>324809</v>
      </c>
      <c r="O1217" t="s">
        <v>1157</v>
      </c>
      <c r="P1217" t="s">
        <v>1158</v>
      </c>
      <c r="S1217" t="s">
        <v>3726</v>
      </c>
      <c r="T1217" t="s">
        <v>3727</v>
      </c>
      <c r="U1217" t="s">
        <v>3728</v>
      </c>
      <c r="V1217" s="8">
        <v>1250</v>
      </c>
      <c r="W1217" s="7">
        <v>589463</v>
      </c>
      <c r="X1217" t="s">
        <v>4441</v>
      </c>
      <c r="Y1217" s="8">
        <v>1250</v>
      </c>
      <c r="Z1217" s="8">
        <v>1475</v>
      </c>
      <c r="AA1217" s="8">
        <v>225</v>
      </c>
      <c r="AB1217" s="7">
        <v>112930</v>
      </c>
      <c r="AC1217" t="s">
        <v>4441</v>
      </c>
      <c r="AD1217" s="8">
        <v>0</v>
      </c>
      <c r="AG1217" t="s">
        <v>937</v>
      </c>
      <c r="AH1217" t="s">
        <v>802</v>
      </c>
      <c r="AI1217" t="s">
        <v>818</v>
      </c>
    </row>
    <row r="1218" spans="1:35" hidden="1">
      <c r="A1218" s="7">
        <v>1217</v>
      </c>
      <c r="B1218" t="s">
        <v>243</v>
      </c>
      <c r="C1218" t="s">
        <v>244</v>
      </c>
      <c r="D1218" s="7">
        <v>7134</v>
      </c>
      <c r="E1218" t="s">
        <v>245</v>
      </c>
      <c r="F1218" t="s">
        <v>246</v>
      </c>
      <c r="G1218" t="s">
        <v>948</v>
      </c>
      <c r="H1218" t="s">
        <v>3731</v>
      </c>
      <c r="I1218" s="7">
        <v>1165</v>
      </c>
      <c r="J1218" s="7">
        <v>61575</v>
      </c>
      <c r="K1218" s="7">
        <v>7</v>
      </c>
      <c r="L1218" t="s">
        <v>247</v>
      </c>
      <c r="M1218" t="s">
        <v>261</v>
      </c>
      <c r="N1218" s="7">
        <v>774650</v>
      </c>
      <c r="O1218" t="s">
        <v>949</v>
      </c>
      <c r="P1218" t="s">
        <v>950</v>
      </c>
      <c r="S1218" t="s">
        <v>3726</v>
      </c>
      <c r="T1218" t="s">
        <v>3727</v>
      </c>
      <c r="U1218" t="s">
        <v>3728</v>
      </c>
      <c r="V1218" s="8">
        <v>0</v>
      </c>
      <c r="W1218" s="7">
        <v>589463</v>
      </c>
      <c r="X1218" t="s">
        <v>4441</v>
      </c>
      <c r="Y1218" s="8">
        <v>0</v>
      </c>
      <c r="Z1218" s="8">
        <v>0</v>
      </c>
      <c r="AA1218" s="8">
        <v>0</v>
      </c>
      <c r="AB1218" s="7">
        <v>112930</v>
      </c>
      <c r="AC1218" t="s">
        <v>4441</v>
      </c>
      <c r="AD1218" s="8">
        <v>0</v>
      </c>
      <c r="AG1218" t="s">
        <v>801</v>
      </c>
      <c r="AH1218" t="s">
        <v>802</v>
      </c>
      <c r="AI1218" t="s">
        <v>803</v>
      </c>
    </row>
    <row r="1219" spans="1:35" hidden="1">
      <c r="A1219" s="7">
        <v>1218</v>
      </c>
      <c r="B1219" t="s">
        <v>243</v>
      </c>
      <c r="C1219" t="s">
        <v>244</v>
      </c>
      <c r="D1219" s="7">
        <v>7134</v>
      </c>
      <c r="E1219" t="s">
        <v>245</v>
      </c>
      <c r="F1219" t="s">
        <v>246</v>
      </c>
      <c r="G1219" t="s">
        <v>1137</v>
      </c>
      <c r="H1219" t="s">
        <v>3740</v>
      </c>
      <c r="I1219" s="7">
        <v>1165</v>
      </c>
      <c r="J1219" s="7">
        <v>100000</v>
      </c>
      <c r="K1219" s="7">
        <v>10</v>
      </c>
      <c r="L1219" t="s">
        <v>247</v>
      </c>
      <c r="M1219" t="s">
        <v>252</v>
      </c>
      <c r="N1219" s="7">
        <v>322564</v>
      </c>
      <c r="O1219" t="s">
        <v>1138</v>
      </c>
      <c r="P1219" t="s">
        <v>1139</v>
      </c>
      <c r="S1219" t="s">
        <v>3726</v>
      </c>
      <c r="T1219" t="s">
        <v>3727</v>
      </c>
      <c r="U1219" t="s">
        <v>3728</v>
      </c>
      <c r="V1219" s="8">
        <v>0</v>
      </c>
      <c r="W1219" s="7">
        <v>589463</v>
      </c>
      <c r="X1219" t="s">
        <v>4441</v>
      </c>
      <c r="Y1219" s="8">
        <v>0</v>
      </c>
      <c r="Z1219" s="8">
        <v>0</v>
      </c>
      <c r="AA1219" s="8">
        <v>0</v>
      </c>
      <c r="AB1219" s="7">
        <v>112930</v>
      </c>
      <c r="AC1219" t="s">
        <v>4441</v>
      </c>
      <c r="AD1219" s="8">
        <v>0</v>
      </c>
      <c r="AG1219" t="s">
        <v>937</v>
      </c>
      <c r="AH1219" t="s">
        <v>802</v>
      </c>
      <c r="AI1219" t="s">
        <v>803</v>
      </c>
    </row>
    <row r="1220" spans="1:35" hidden="1">
      <c r="A1220" s="7">
        <v>1219</v>
      </c>
      <c r="B1220" t="s">
        <v>243</v>
      </c>
      <c r="C1220" t="s">
        <v>244</v>
      </c>
      <c r="D1220" s="7">
        <v>7134</v>
      </c>
      <c r="E1220" t="s">
        <v>245</v>
      </c>
      <c r="F1220" t="s">
        <v>246</v>
      </c>
      <c r="G1220" t="s">
        <v>1044</v>
      </c>
      <c r="H1220" t="s">
        <v>3731</v>
      </c>
      <c r="I1220" s="7">
        <v>1165</v>
      </c>
      <c r="J1220" s="7">
        <v>45922</v>
      </c>
      <c r="K1220" s="7">
        <v>5</v>
      </c>
      <c r="L1220" t="s">
        <v>247</v>
      </c>
      <c r="M1220" t="s">
        <v>361</v>
      </c>
      <c r="N1220" s="7">
        <v>4930</v>
      </c>
      <c r="O1220" t="s">
        <v>1604</v>
      </c>
      <c r="P1220" t="s">
        <v>1605</v>
      </c>
      <c r="S1220" t="s">
        <v>3726</v>
      </c>
      <c r="T1220" t="s">
        <v>3727</v>
      </c>
      <c r="U1220" t="s">
        <v>3728</v>
      </c>
      <c r="V1220" s="8">
        <v>1650</v>
      </c>
      <c r="W1220" s="7">
        <v>589463</v>
      </c>
      <c r="X1220" t="s">
        <v>4441</v>
      </c>
      <c r="Y1220" s="8">
        <v>1650</v>
      </c>
      <c r="Z1220" s="8">
        <v>1947</v>
      </c>
      <c r="AA1220" s="8">
        <v>297</v>
      </c>
      <c r="AB1220" s="7">
        <v>112930</v>
      </c>
      <c r="AC1220" t="s">
        <v>4441</v>
      </c>
      <c r="AD1220" s="8">
        <v>0</v>
      </c>
      <c r="AG1220" t="s">
        <v>823</v>
      </c>
      <c r="AH1220" t="s">
        <v>802</v>
      </c>
      <c r="AI1220" t="s">
        <v>818</v>
      </c>
    </row>
    <row r="1221" spans="1:35" hidden="1">
      <c r="A1221" s="7">
        <v>1220</v>
      </c>
      <c r="B1221" t="s">
        <v>243</v>
      </c>
      <c r="C1221" t="s">
        <v>244</v>
      </c>
      <c r="D1221" s="7">
        <v>7134</v>
      </c>
      <c r="E1221" t="s">
        <v>245</v>
      </c>
      <c r="F1221" t="s">
        <v>246</v>
      </c>
      <c r="G1221" t="s">
        <v>273</v>
      </c>
      <c r="H1221" t="s">
        <v>3750</v>
      </c>
      <c r="I1221" s="7">
        <v>1165</v>
      </c>
      <c r="J1221" s="7">
        <v>8467</v>
      </c>
      <c r="K1221" s="7">
        <v>3</v>
      </c>
      <c r="L1221" t="s">
        <v>247</v>
      </c>
      <c r="M1221" t="s">
        <v>252</v>
      </c>
      <c r="N1221" s="7">
        <v>327606</v>
      </c>
      <c r="O1221" t="s">
        <v>299</v>
      </c>
      <c r="P1221" t="s">
        <v>300</v>
      </c>
      <c r="S1221" t="s">
        <v>3726</v>
      </c>
      <c r="T1221" t="s">
        <v>3727</v>
      </c>
      <c r="U1221" t="s">
        <v>3728</v>
      </c>
      <c r="V1221" s="8">
        <v>1250</v>
      </c>
      <c r="W1221" s="7">
        <v>589463</v>
      </c>
      <c r="X1221" t="s">
        <v>4441</v>
      </c>
      <c r="Y1221" s="8">
        <v>1250</v>
      </c>
      <c r="Z1221" s="8">
        <v>1475</v>
      </c>
      <c r="AA1221" s="8">
        <v>225</v>
      </c>
      <c r="AB1221" s="7">
        <v>112930</v>
      </c>
      <c r="AC1221" t="s">
        <v>4441</v>
      </c>
      <c r="AD1221" s="8">
        <v>0</v>
      </c>
      <c r="AG1221" t="s">
        <v>937</v>
      </c>
      <c r="AH1221" t="s">
        <v>802</v>
      </c>
      <c r="AI1221" t="s">
        <v>818</v>
      </c>
    </row>
    <row r="1222" spans="1:35" hidden="1">
      <c r="A1222" s="7">
        <v>1221</v>
      </c>
      <c r="B1222" t="s">
        <v>243</v>
      </c>
      <c r="C1222" t="s">
        <v>244</v>
      </c>
      <c r="D1222" s="7">
        <v>7134</v>
      </c>
      <c r="E1222" t="s">
        <v>245</v>
      </c>
      <c r="F1222" t="s">
        <v>246</v>
      </c>
      <c r="G1222" t="s">
        <v>284</v>
      </c>
      <c r="H1222" t="s">
        <v>3750</v>
      </c>
      <c r="I1222" s="7">
        <v>1165</v>
      </c>
      <c r="J1222" s="7">
        <v>7767</v>
      </c>
      <c r="K1222" s="7">
        <v>3</v>
      </c>
      <c r="L1222" t="s">
        <v>247</v>
      </c>
      <c r="M1222" t="s">
        <v>252</v>
      </c>
      <c r="N1222" s="7">
        <v>327879</v>
      </c>
      <c r="O1222" t="s">
        <v>349</v>
      </c>
      <c r="P1222" t="s">
        <v>350</v>
      </c>
      <c r="Q1222" t="s">
        <v>870</v>
      </c>
      <c r="R1222" t="s">
        <v>871</v>
      </c>
      <c r="S1222" t="s">
        <v>3726</v>
      </c>
      <c r="T1222" t="s">
        <v>3727</v>
      </c>
      <c r="U1222" t="s">
        <v>3728</v>
      </c>
      <c r="V1222" s="8">
        <v>1250</v>
      </c>
      <c r="W1222" s="7">
        <v>589463</v>
      </c>
      <c r="X1222" t="s">
        <v>4441</v>
      </c>
      <c r="Y1222" s="8">
        <v>1000</v>
      </c>
      <c r="Z1222" s="8">
        <v>1475</v>
      </c>
      <c r="AA1222" s="8">
        <v>225</v>
      </c>
      <c r="AB1222" s="7">
        <v>112930</v>
      </c>
      <c r="AC1222" t="s">
        <v>4441</v>
      </c>
      <c r="AD1222" s="8">
        <v>250</v>
      </c>
      <c r="AG1222" t="s">
        <v>937</v>
      </c>
      <c r="AH1222" t="s">
        <v>802</v>
      </c>
      <c r="AI1222" t="s">
        <v>818</v>
      </c>
    </row>
    <row r="1223" spans="1:35" hidden="1">
      <c r="A1223" s="7">
        <v>1222</v>
      </c>
      <c r="B1223" t="s">
        <v>243</v>
      </c>
      <c r="C1223" t="s">
        <v>244</v>
      </c>
      <c r="D1223" s="7">
        <v>7134</v>
      </c>
      <c r="E1223" t="s">
        <v>245</v>
      </c>
      <c r="F1223" t="s">
        <v>246</v>
      </c>
      <c r="G1223" t="s">
        <v>263</v>
      </c>
      <c r="H1223" t="s">
        <v>3746</v>
      </c>
      <c r="I1223" s="7">
        <v>883</v>
      </c>
      <c r="J1223" s="7">
        <v>31974</v>
      </c>
      <c r="K1223" s="7">
        <v>2</v>
      </c>
      <c r="L1223" t="s">
        <v>247</v>
      </c>
      <c r="M1223" t="s">
        <v>261</v>
      </c>
      <c r="N1223" s="7">
        <v>796176</v>
      </c>
      <c r="O1223" t="s">
        <v>2064</v>
      </c>
      <c r="P1223" t="s">
        <v>2065</v>
      </c>
      <c r="Q1223" t="s">
        <v>908</v>
      </c>
      <c r="R1223" t="s">
        <v>909</v>
      </c>
      <c r="S1223" t="s">
        <v>3726</v>
      </c>
      <c r="T1223" t="s">
        <v>3727</v>
      </c>
      <c r="U1223" t="s">
        <v>3728</v>
      </c>
      <c r="V1223" s="8">
        <v>1250</v>
      </c>
      <c r="W1223" s="7">
        <v>589463</v>
      </c>
      <c r="X1223" t="s">
        <v>4441</v>
      </c>
      <c r="Y1223" s="8">
        <v>1000</v>
      </c>
      <c r="Z1223" s="8">
        <v>1475</v>
      </c>
      <c r="AA1223" s="8">
        <v>225</v>
      </c>
      <c r="AB1223" s="7">
        <v>112930</v>
      </c>
      <c r="AC1223" t="s">
        <v>4441</v>
      </c>
      <c r="AD1223" s="8">
        <v>250</v>
      </c>
      <c r="AG1223" t="s">
        <v>817</v>
      </c>
      <c r="AH1223" t="s">
        <v>802</v>
      </c>
      <c r="AI1223" t="s">
        <v>818</v>
      </c>
    </row>
    <row r="1224" spans="1:35" hidden="1">
      <c r="A1224" s="7">
        <v>1223</v>
      </c>
      <c r="B1224" t="s">
        <v>243</v>
      </c>
      <c r="C1224" t="s">
        <v>244</v>
      </c>
      <c r="D1224" s="7">
        <v>7134</v>
      </c>
      <c r="E1224" t="s">
        <v>245</v>
      </c>
      <c r="F1224" t="s">
        <v>246</v>
      </c>
      <c r="G1224" t="s">
        <v>273</v>
      </c>
      <c r="H1224" t="s">
        <v>3457</v>
      </c>
      <c r="I1224" s="7">
        <v>1165</v>
      </c>
      <c r="J1224" s="7">
        <v>3473</v>
      </c>
      <c r="K1224" s="7">
        <v>1</v>
      </c>
      <c r="L1224" t="s">
        <v>247</v>
      </c>
      <c r="M1224" t="s">
        <v>261</v>
      </c>
      <c r="N1224" s="7">
        <v>796637</v>
      </c>
      <c r="O1224" t="s">
        <v>342</v>
      </c>
      <c r="P1224" t="s">
        <v>343</v>
      </c>
      <c r="Q1224" t="s">
        <v>870</v>
      </c>
      <c r="R1224" t="s">
        <v>871</v>
      </c>
      <c r="S1224" t="s">
        <v>3726</v>
      </c>
      <c r="T1224" t="s">
        <v>3727</v>
      </c>
      <c r="U1224" t="s">
        <v>3728</v>
      </c>
      <c r="V1224" s="8">
        <v>1250</v>
      </c>
      <c r="W1224" s="7">
        <v>589463</v>
      </c>
      <c r="X1224" t="s">
        <v>4441</v>
      </c>
      <c r="Y1224" s="8">
        <v>1000</v>
      </c>
      <c r="Z1224" s="8">
        <v>1475</v>
      </c>
      <c r="AA1224" s="8">
        <v>225</v>
      </c>
      <c r="AB1224" s="7">
        <v>112930</v>
      </c>
      <c r="AC1224" t="s">
        <v>4441</v>
      </c>
      <c r="AD1224" s="8">
        <v>250</v>
      </c>
      <c r="AG1224" t="s">
        <v>817</v>
      </c>
      <c r="AH1224" t="s">
        <v>802</v>
      </c>
      <c r="AI1224" t="s">
        <v>818</v>
      </c>
    </row>
    <row r="1225" spans="1:35" hidden="1">
      <c r="A1225" s="7">
        <v>1224</v>
      </c>
      <c r="B1225" t="s">
        <v>243</v>
      </c>
      <c r="C1225" t="s">
        <v>244</v>
      </c>
      <c r="D1225" s="7">
        <v>7134</v>
      </c>
      <c r="E1225" t="s">
        <v>245</v>
      </c>
      <c r="F1225" t="s">
        <v>246</v>
      </c>
      <c r="G1225" t="s">
        <v>1270</v>
      </c>
      <c r="H1225" t="s">
        <v>3741</v>
      </c>
      <c r="I1225" s="7">
        <v>1165</v>
      </c>
      <c r="J1225" s="7">
        <v>45316</v>
      </c>
      <c r="K1225" s="7">
        <v>6</v>
      </c>
      <c r="L1225" t="s">
        <v>247</v>
      </c>
      <c r="M1225" t="s">
        <v>261</v>
      </c>
      <c r="N1225" s="7">
        <v>786068</v>
      </c>
      <c r="O1225" t="s">
        <v>1271</v>
      </c>
      <c r="P1225" t="s">
        <v>1272</v>
      </c>
      <c r="S1225" t="s">
        <v>3726</v>
      </c>
      <c r="T1225" t="s">
        <v>3727</v>
      </c>
      <c r="U1225" t="s">
        <v>3728</v>
      </c>
      <c r="V1225" s="8">
        <v>0</v>
      </c>
      <c r="W1225" s="7">
        <v>589463</v>
      </c>
      <c r="X1225" t="s">
        <v>4441</v>
      </c>
      <c r="Y1225" s="8">
        <v>0</v>
      </c>
      <c r="Z1225" s="8">
        <v>0</v>
      </c>
      <c r="AA1225" s="8">
        <v>0</v>
      </c>
      <c r="AB1225" s="7">
        <v>112930</v>
      </c>
      <c r="AC1225" t="s">
        <v>4441</v>
      </c>
      <c r="AD1225" s="8">
        <v>0</v>
      </c>
      <c r="AG1225" t="s">
        <v>801</v>
      </c>
      <c r="AH1225" t="s">
        <v>802</v>
      </c>
      <c r="AI1225" t="s">
        <v>803</v>
      </c>
    </row>
    <row r="1226" spans="1:35" hidden="1">
      <c r="A1226" s="7">
        <v>1225</v>
      </c>
      <c r="B1226" t="s">
        <v>243</v>
      </c>
      <c r="C1226" t="s">
        <v>244</v>
      </c>
      <c r="D1226" s="7">
        <v>7134</v>
      </c>
      <c r="E1226" t="s">
        <v>245</v>
      </c>
      <c r="F1226" t="s">
        <v>246</v>
      </c>
      <c r="G1226" t="s">
        <v>278</v>
      </c>
      <c r="H1226" t="s">
        <v>3731</v>
      </c>
      <c r="I1226" s="7">
        <v>1150</v>
      </c>
      <c r="J1226" s="7">
        <v>8523</v>
      </c>
      <c r="K1226" s="7">
        <v>3</v>
      </c>
      <c r="L1226" t="s">
        <v>247</v>
      </c>
      <c r="M1226" t="s">
        <v>261</v>
      </c>
      <c r="N1226" s="7">
        <v>778127</v>
      </c>
      <c r="O1226" t="s">
        <v>1945</v>
      </c>
      <c r="P1226" t="s">
        <v>1946</v>
      </c>
      <c r="S1226" t="s">
        <v>3726</v>
      </c>
      <c r="T1226" t="s">
        <v>3727</v>
      </c>
      <c r="U1226" t="s">
        <v>3728</v>
      </c>
      <c r="V1226" s="8">
        <v>1250</v>
      </c>
      <c r="W1226" s="7">
        <v>589463</v>
      </c>
      <c r="X1226" t="s">
        <v>4441</v>
      </c>
      <c r="Y1226" s="8">
        <v>1250</v>
      </c>
      <c r="Z1226" s="8">
        <v>1475</v>
      </c>
      <c r="AA1226" s="8">
        <v>225</v>
      </c>
      <c r="AB1226" s="7">
        <v>112930</v>
      </c>
      <c r="AC1226" t="s">
        <v>4441</v>
      </c>
      <c r="AD1226" s="8">
        <v>0</v>
      </c>
      <c r="AG1226" t="s">
        <v>808</v>
      </c>
      <c r="AH1226" t="s">
        <v>802</v>
      </c>
      <c r="AI1226" t="s">
        <v>818</v>
      </c>
    </row>
    <row r="1227" spans="1:35" hidden="1">
      <c r="A1227" s="7">
        <v>1226</v>
      </c>
      <c r="B1227" t="s">
        <v>243</v>
      </c>
      <c r="C1227" t="s">
        <v>244</v>
      </c>
      <c r="D1227" s="7">
        <v>7134</v>
      </c>
      <c r="E1227" t="s">
        <v>245</v>
      </c>
      <c r="F1227" t="s">
        <v>246</v>
      </c>
      <c r="G1227" t="s">
        <v>1059</v>
      </c>
      <c r="H1227" t="s">
        <v>3738</v>
      </c>
      <c r="I1227" s="7">
        <v>1165</v>
      </c>
      <c r="J1227" s="7">
        <v>29100</v>
      </c>
      <c r="K1227" s="7">
        <v>4</v>
      </c>
      <c r="L1227" t="s">
        <v>247</v>
      </c>
      <c r="M1227" t="s">
        <v>361</v>
      </c>
      <c r="N1227" s="7">
        <v>4899</v>
      </c>
      <c r="O1227" t="s">
        <v>1060</v>
      </c>
      <c r="P1227" t="s">
        <v>1061</v>
      </c>
      <c r="S1227" t="s">
        <v>3726</v>
      </c>
      <c r="T1227" t="s">
        <v>3727</v>
      </c>
      <c r="U1227" t="s">
        <v>3728</v>
      </c>
      <c r="V1227" s="8">
        <v>0</v>
      </c>
      <c r="W1227" s="7">
        <v>589463</v>
      </c>
      <c r="X1227" t="s">
        <v>4441</v>
      </c>
      <c r="Y1227" s="8">
        <v>0</v>
      </c>
      <c r="Z1227" s="8">
        <v>0</v>
      </c>
      <c r="AA1227" s="8">
        <v>0</v>
      </c>
      <c r="AB1227" s="7">
        <v>112930</v>
      </c>
      <c r="AC1227" t="s">
        <v>4441</v>
      </c>
      <c r="AD1227" s="8">
        <v>0</v>
      </c>
      <c r="AG1227" t="s">
        <v>823</v>
      </c>
      <c r="AH1227" t="s">
        <v>802</v>
      </c>
      <c r="AI1227" t="s">
        <v>803</v>
      </c>
    </row>
    <row r="1228" spans="1:35" hidden="1">
      <c r="A1228" s="7">
        <v>1227</v>
      </c>
      <c r="B1228" t="s">
        <v>243</v>
      </c>
      <c r="C1228" t="s">
        <v>244</v>
      </c>
      <c r="D1228" s="7">
        <v>7134</v>
      </c>
      <c r="E1228" t="s">
        <v>245</v>
      </c>
      <c r="F1228" t="s">
        <v>246</v>
      </c>
      <c r="G1228" t="s">
        <v>543</v>
      </c>
      <c r="H1228" t="s">
        <v>3158</v>
      </c>
      <c r="I1228" s="7">
        <v>907</v>
      </c>
      <c r="J1228" s="7">
        <v>31154</v>
      </c>
      <c r="K1228" s="7">
        <v>2</v>
      </c>
      <c r="L1228" t="s">
        <v>247</v>
      </c>
      <c r="M1228" t="s">
        <v>261</v>
      </c>
      <c r="N1228" s="7">
        <v>798339</v>
      </c>
      <c r="O1228" t="s">
        <v>1909</v>
      </c>
      <c r="P1228" t="s">
        <v>1910</v>
      </c>
      <c r="Q1228" t="s">
        <v>908</v>
      </c>
      <c r="R1228" t="s">
        <v>909</v>
      </c>
      <c r="S1228" t="s">
        <v>3726</v>
      </c>
      <c r="T1228" t="s">
        <v>3727</v>
      </c>
      <c r="U1228" t="s">
        <v>3728</v>
      </c>
      <c r="V1228" s="8">
        <v>1250</v>
      </c>
      <c r="W1228" s="7">
        <v>589463</v>
      </c>
      <c r="X1228" t="s">
        <v>4441</v>
      </c>
      <c r="Y1228" s="8">
        <v>1000</v>
      </c>
      <c r="Z1228" s="8">
        <v>1475</v>
      </c>
      <c r="AA1228" s="8">
        <v>225</v>
      </c>
      <c r="AB1228" s="7">
        <v>112930</v>
      </c>
      <c r="AC1228" t="s">
        <v>4441</v>
      </c>
      <c r="AD1228" s="8">
        <v>250</v>
      </c>
      <c r="AG1228" t="s">
        <v>817</v>
      </c>
      <c r="AH1228" t="s">
        <v>802</v>
      </c>
      <c r="AI1228" t="s">
        <v>818</v>
      </c>
    </row>
    <row r="1229" spans="1:35" hidden="1">
      <c r="A1229" s="7">
        <v>1228</v>
      </c>
      <c r="B1229" t="s">
        <v>243</v>
      </c>
      <c r="C1229" t="s">
        <v>244</v>
      </c>
      <c r="D1229" s="7">
        <v>7134</v>
      </c>
      <c r="E1229" t="s">
        <v>245</v>
      </c>
      <c r="F1229" t="s">
        <v>246</v>
      </c>
      <c r="G1229" t="s">
        <v>363</v>
      </c>
      <c r="H1229" t="s">
        <v>3729</v>
      </c>
      <c r="I1229" s="7">
        <v>899</v>
      </c>
      <c r="J1229" s="7">
        <v>30941</v>
      </c>
      <c r="K1229" s="7">
        <v>2</v>
      </c>
      <c r="L1229" t="s">
        <v>247</v>
      </c>
      <c r="M1229" t="s">
        <v>261</v>
      </c>
      <c r="N1229" s="7">
        <v>795524</v>
      </c>
      <c r="O1229" t="s">
        <v>2224</v>
      </c>
      <c r="P1229" t="s">
        <v>2225</v>
      </c>
      <c r="Q1229" t="s">
        <v>908</v>
      </c>
      <c r="R1229" t="s">
        <v>909</v>
      </c>
      <c r="S1229" t="s">
        <v>3726</v>
      </c>
      <c r="T1229" t="s">
        <v>3727</v>
      </c>
      <c r="U1229" t="s">
        <v>3728</v>
      </c>
      <c r="V1229" s="8">
        <v>1250</v>
      </c>
      <c r="W1229" s="7">
        <v>589463</v>
      </c>
      <c r="X1229" t="s">
        <v>4441</v>
      </c>
      <c r="Y1229" s="8">
        <v>1000</v>
      </c>
      <c r="Z1229" s="8">
        <v>1475</v>
      </c>
      <c r="AA1229" s="8">
        <v>225</v>
      </c>
      <c r="AB1229" s="7">
        <v>112930</v>
      </c>
      <c r="AC1229" t="s">
        <v>4441</v>
      </c>
      <c r="AD1229" s="8">
        <v>250</v>
      </c>
      <c r="AG1229" t="s">
        <v>817</v>
      </c>
      <c r="AH1229" t="s">
        <v>802</v>
      </c>
      <c r="AI1229" t="s">
        <v>818</v>
      </c>
    </row>
    <row r="1230" spans="1:35" hidden="1">
      <c r="A1230" s="7">
        <v>1229</v>
      </c>
      <c r="B1230" t="s">
        <v>243</v>
      </c>
      <c r="C1230" t="s">
        <v>244</v>
      </c>
      <c r="D1230" s="7">
        <v>7134</v>
      </c>
      <c r="E1230" t="s">
        <v>245</v>
      </c>
      <c r="F1230" t="s">
        <v>246</v>
      </c>
      <c r="G1230" t="s">
        <v>1159</v>
      </c>
      <c r="H1230" t="s">
        <v>3756</v>
      </c>
      <c r="I1230" s="7">
        <v>1165</v>
      </c>
      <c r="J1230" s="7">
        <v>70000</v>
      </c>
      <c r="K1230" s="7">
        <v>7</v>
      </c>
      <c r="L1230" t="s">
        <v>247</v>
      </c>
      <c r="M1230" t="s">
        <v>261</v>
      </c>
      <c r="N1230" s="7">
        <v>774647</v>
      </c>
      <c r="O1230" t="s">
        <v>1160</v>
      </c>
      <c r="P1230" t="s">
        <v>1161</v>
      </c>
      <c r="S1230" t="s">
        <v>3726</v>
      </c>
      <c r="T1230" t="s">
        <v>3727</v>
      </c>
      <c r="U1230" t="s">
        <v>3728</v>
      </c>
      <c r="V1230" s="8">
        <v>0</v>
      </c>
      <c r="W1230" s="7">
        <v>589463</v>
      </c>
      <c r="X1230" t="s">
        <v>4441</v>
      </c>
      <c r="Y1230" s="8">
        <v>0</v>
      </c>
      <c r="Z1230" s="8">
        <v>0</v>
      </c>
      <c r="AA1230" s="8">
        <v>0</v>
      </c>
      <c r="AB1230" s="7">
        <v>112930</v>
      </c>
      <c r="AC1230" t="s">
        <v>4441</v>
      </c>
      <c r="AD1230" s="8">
        <v>0</v>
      </c>
      <c r="AG1230" t="s">
        <v>801</v>
      </c>
      <c r="AH1230" t="s">
        <v>802</v>
      </c>
      <c r="AI1230" t="s">
        <v>803</v>
      </c>
    </row>
    <row r="1231" spans="1:35" hidden="1">
      <c r="A1231" s="7">
        <v>1230</v>
      </c>
      <c r="B1231" t="s">
        <v>243</v>
      </c>
      <c r="C1231" t="s">
        <v>244</v>
      </c>
      <c r="D1231" s="7">
        <v>7134</v>
      </c>
      <c r="E1231" t="s">
        <v>245</v>
      </c>
      <c r="F1231" t="s">
        <v>246</v>
      </c>
      <c r="G1231" t="s">
        <v>248</v>
      </c>
      <c r="H1231" t="s">
        <v>3736</v>
      </c>
      <c r="I1231" s="7">
        <v>920</v>
      </c>
      <c r="J1231" s="7">
        <v>48618</v>
      </c>
      <c r="K1231" s="7">
        <v>3</v>
      </c>
      <c r="L1231" t="s">
        <v>247</v>
      </c>
      <c r="M1231" t="s">
        <v>261</v>
      </c>
      <c r="N1231" s="7">
        <v>797967</v>
      </c>
      <c r="O1231" t="s">
        <v>2034</v>
      </c>
      <c r="P1231" t="s">
        <v>2035</v>
      </c>
      <c r="S1231" t="s">
        <v>3726</v>
      </c>
      <c r="T1231" t="s">
        <v>3727</v>
      </c>
      <c r="U1231" t="s">
        <v>3728</v>
      </c>
      <c r="V1231" s="8">
        <v>1250</v>
      </c>
      <c r="W1231" s="7">
        <v>589463</v>
      </c>
      <c r="X1231" t="s">
        <v>4441</v>
      </c>
      <c r="Y1231" s="8">
        <v>1250</v>
      </c>
      <c r="Z1231" s="8">
        <v>1475</v>
      </c>
      <c r="AA1231" s="8">
        <v>225</v>
      </c>
      <c r="AB1231" s="7">
        <v>112930</v>
      </c>
      <c r="AC1231" t="s">
        <v>4441</v>
      </c>
      <c r="AD1231" s="8">
        <v>0</v>
      </c>
      <c r="AG1231" t="s">
        <v>817</v>
      </c>
      <c r="AH1231" t="s">
        <v>802</v>
      </c>
      <c r="AI1231" t="s">
        <v>818</v>
      </c>
    </row>
    <row r="1232" spans="1:35" hidden="1">
      <c r="A1232" s="7">
        <v>1231</v>
      </c>
      <c r="B1232" t="s">
        <v>243</v>
      </c>
      <c r="C1232" t="s">
        <v>244</v>
      </c>
      <c r="D1232" s="7">
        <v>7134</v>
      </c>
      <c r="E1232" t="s">
        <v>245</v>
      </c>
      <c r="F1232" t="s">
        <v>246</v>
      </c>
      <c r="G1232" t="s">
        <v>881</v>
      </c>
      <c r="H1232" t="s">
        <v>3751</v>
      </c>
      <c r="I1232" s="7">
        <v>1165</v>
      </c>
      <c r="J1232" s="7">
        <v>1864</v>
      </c>
      <c r="K1232" s="7">
        <v>3</v>
      </c>
      <c r="L1232" t="s">
        <v>247</v>
      </c>
      <c r="M1232" t="s">
        <v>261</v>
      </c>
      <c r="N1232" s="7">
        <v>781803</v>
      </c>
      <c r="O1232" t="s">
        <v>3752</v>
      </c>
      <c r="P1232" t="s">
        <v>3753</v>
      </c>
      <c r="Q1232" t="s">
        <v>870</v>
      </c>
      <c r="R1232" t="s">
        <v>871</v>
      </c>
      <c r="S1232" t="s">
        <v>3726</v>
      </c>
      <c r="T1232" t="s">
        <v>3727</v>
      </c>
      <c r="U1232" t="s">
        <v>3728</v>
      </c>
      <c r="V1232" s="8">
        <v>1250</v>
      </c>
      <c r="W1232" s="7">
        <v>589463</v>
      </c>
      <c r="X1232" t="s">
        <v>4441</v>
      </c>
      <c r="Y1232" s="8">
        <v>1000</v>
      </c>
      <c r="Z1232" s="8">
        <v>1475</v>
      </c>
      <c r="AA1232" s="8">
        <v>225</v>
      </c>
      <c r="AB1232" s="7">
        <v>112930</v>
      </c>
      <c r="AC1232" t="s">
        <v>4441</v>
      </c>
      <c r="AD1232" s="8">
        <v>250</v>
      </c>
      <c r="AG1232" t="s">
        <v>808</v>
      </c>
      <c r="AH1232" t="s">
        <v>802</v>
      </c>
      <c r="AI1232" t="s">
        <v>818</v>
      </c>
    </row>
    <row r="1233" spans="1:35" hidden="1">
      <c r="A1233" s="7">
        <v>1232</v>
      </c>
      <c r="B1233" t="s">
        <v>243</v>
      </c>
      <c r="C1233" t="s">
        <v>244</v>
      </c>
      <c r="D1233" s="7">
        <v>7134</v>
      </c>
      <c r="E1233" t="s">
        <v>245</v>
      </c>
      <c r="F1233" t="s">
        <v>246</v>
      </c>
      <c r="G1233" t="s">
        <v>1072</v>
      </c>
      <c r="H1233" t="s">
        <v>3736</v>
      </c>
      <c r="I1233" s="7">
        <v>1165</v>
      </c>
      <c r="J1233" s="7">
        <v>96552</v>
      </c>
      <c r="K1233" s="7">
        <v>10</v>
      </c>
      <c r="L1233" t="s">
        <v>247</v>
      </c>
      <c r="M1233" t="s">
        <v>261</v>
      </c>
      <c r="N1233" s="7">
        <v>775225</v>
      </c>
      <c r="O1233" t="s">
        <v>1211</v>
      </c>
      <c r="P1233" t="s">
        <v>1212</v>
      </c>
      <c r="S1233" t="s">
        <v>3726</v>
      </c>
      <c r="T1233" t="s">
        <v>3727</v>
      </c>
      <c r="U1233" t="s">
        <v>3728</v>
      </c>
      <c r="V1233" s="8">
        <v>0</v>
      </c>
      <c r="W1233" s="7">
        <v>589463</v>
      </c>
      <c r="X1233" t="s">
        <v>4441</v>
      </c>
      <c r="Y1233" s="8">
        <v>0</v>
      </c>
      <c r="Z1233" s="8">
        <v>0</v>
      </c>
      <c r="AA1233" s="8">
        <v>0</v>
      </c>
      <c r="AB1233" s="7">
        <v>112930</v>
      </c>
      <c r="AC1233" t="s">
        <v>4441</v>
      </c>
      <c r="AD1233" s="8">
        <v>0</v>
      </c>
      <c r="AG1233" t="s">
        <v>801</v>
      </c>
      <c r="AH1233" t="s">
        <v>802</v>
      </c>
      <c r="AI1233" t="s">
        <v>803</v>
      </c>
    </row>
    <row r="1234" spans="1:35" hidden="1">
      <c r="A1234" s="7">
        <v>1233</v>
      </c>
      <c r="B1234" t="s">
        <v>243</v>
      </c>
      <c r="C1234" t="s">
        <v>244</v>
      </c>
      <c r="D1234" s="7">
        <v>7134</v>
      </c>
      <c r="E1234" t="s">
        <v>245</v>
      </c>
      <c r="F1234" t="s">
        <v>246</v>
      </c>
      <c r="G1234" t="s">
        <v>1660</v>
      </c>
      <c r="H1234" t="s">
        <v>3740</v>
      </c>
      <c r="I1234" s="7">
        <v>1165</v>
      </c>
      <c r="J1234" s="7">
        <v>19920</v>
      </c>
      <c r="K1234" s="7">
        <v>2</v>
      </c>
      <c r="L1234" t="s">
        <v>247</v>
      </c>
      <c r="M1234" t="s">
        <v>267</v>
      </c>
      <c r="N1234" s="7">
        <v>794423</v>
      </c>
      <c r="O1234" t="s">
        <v>2165</v>
      </c>
      <c r="P1234" t="s">
        <v>2166</v>
      </c>
      <c r="Q1234" t="s">
        <v>870</v>
      </c>
      <c r="R1234" t="s">
        <v>871</v>
      </c>
      <c r="S1234" t="s">
        <v>3726</v>
      </c>
      <c r="T1234" t="s">
        <v>3727</v>
      </c>
      <c r="U1234" t="s">
        <v>3728</v>
      </c>
      <c r="V1234" s="8">
        <v>0</v>
      </c>
      <c r="W1234" s="7">
        <v>589463</v>
      </c>
      <c r="X1234" t="s">
        <v>4441</v>
      </c>
      <c r="Y1234" s="8">
        <v>0</v>
      </c>
      <c r="Z1234" s="8">
        <v>0</v>
      </c>
      <c r="AA1234" s="8">
        <v>0</v>
      </c>
      <c r="AB1234" s="7">
        <v>112930</v>
      </c>
      <c r="AC1234" t="s">
        <v>4441</v>
      </c>
      <c r="AD1234" s="8">
        <v>0</v>
      </c>
      <c r="AG1234" t="s">
        <v>828</v>
      </c>
      <c r="AH1234" t="s">
        <v>802</v>
      </c>
      <c r="AI1234" t="s">
        <v>803</v>
      </c>
    </row>
    <row r="1235" spans="1:35" hidden="1">
      <c r="A1235" s="7">
        <v>1234</v>
      </c>
      <c r="B1235" t="s">
        <v>243</v>
      </c>
      <c r="C1235" t="s">
        <v>244</v>
      </c>
      <c r="D1235" s="7">
        <v>7134</v>
      </c>
      <c r="E1235" t="s">
        <v>245</v>
      </c>
      <c r="F1235" t="s">
        <v>246</v>
      </c>
      <c r="G1235" t="s">
        <v>3366</v>
      </c>
      <c r="H1235" t="s">
        <v>3729</v>
      </c>
      <c r="I1235" s="7">
        <v>1165</v>
      </c>
      <c r="J1235" s="7">
        <v>3900</v>
      </c>
      <c r="K1235" s="7">
        <v>1</v>
      </c>
      <c r="L1235" t="s">
        <v>247</v>
      </c>
      <c r="M1235" t="s">
        <v>252</v>
      </c>
      <c r="N1235" s="7">
        <v>328556</v>
      </c>
      <c r="O1235" t="s">
        <v>3454</v>
      </c>
      <c r="P1235" t="s">
        <v>3455</v>
      </c>
      <c r="S1235" t="s">
        <v>3726</v>
      </c>
      <c r="T1235" t="s">
        <v>3727</v>
      </c>
      <c r="U1235" t="s">
        <v>3728</v>
      </c>
      <c r="V1235" s="8">
        <v>1250</v>
      </c>
      <c r="W1235" s="7">
        <v>589463</v>
      </c>
      <c r="X1235" t="s">
        <v>4441</v>
      </c>
      <c r="Y1235" s="8">
        <v>1250</v>
      </c>
      <c r="Z1235" s="8">
        <v>1475</v>
      </c>
      <c r="AA1235" s="8">
        <v>225</v>
      </c>
      <c r="AB1235" s="7">
        <v>112930</v>
      </c>
      <c r="AC1235" t="s">
        <v>4441</v>
      </c>
      <c r="AD1235" s="8">
        <v>0</v>
      </c>
      <c r="AG1235" t="s">
        <v>937</v>
      </c>
      <c r="AH1235" t="s">
        <v>802</v>
      </c>
      <c r="AI1235" t="s">
        <v>818</v>
      </c>
    </row>
    <row r="1236" spans="1:35" hidden="1">
      <c r="A1236" s="7">
        <v>1235</v>
      </c>
      <c r="B1236" t="s">
        <v>243</v>
      </c>
      <c r="C1236" t="s">
        <v>244</v>
      </c>
      <c r="D1236" s="7">
        <v>7134</v>
      </c>
      <c r="E1236" t="s">
        <v>245</v>
      </c>
      <c r="F1236" t="s">
        <v>246</v>
      </c>
      <c r="G1236" t="s">
        <v>888</v>
      </c>
      <c r="H1236" t="s">
        <v>3732</v>
      </c>
      <c r="I1236" s="7">
        <v>1165</v>
      </c>
      <c r="J1236" s="7">
        <v>90000</v>
      </c>
      <c r="K1236" s="7">
        <v>9</v>
      </c>
      <c r="L1236" t="s">
        <v>247</v>
      </c>
      <c r="M1236" t="s">
        <v>267</v>
      </c>
      <c r="N1236" s="7">
        <v>776289</v>
      </c>
      <c r="O1236" t="s">
        <v>1784</v>
      </c>
      <c r="P1236" t="s">
        <v>1785</v>
      </c>
      <c r="S1236" t="s">
        <v>3726</v>
      </c>
      <c r="T1236" t="s">
        <v>3727</v>
      </c>
      <c r="U1236" t="s">
        <v>3728</v>
      </c>
      <c r="V1236" s="8">
        <v>0</v>
      </c>
      <c r="W1236" s="7">
        <v>589463</v>
      </c>
      <c r="X1236" t="s">
        <v>4441</v>
      </c>
      <c r="Y1236" s="8">
        <v>0</v>
      </c>
      <c r="Z1236" s="8">
        <v>0</v>
      </c>
      <c r="AA1236" s="8">
        <v>0</v>
      </c>
      <c r="AB1236" s="7">
        <v>112930</v>
      </c>
      <c r="AC1236" t="s">
        <v>4441</v>
      </c>
      <c r="AD1236" s="8">
        <v>0</v>
      </c>
      <c r="AG1236" t="s">
        <v>828</v>
      </c>
      <c r="AH1236" t="s">
        <v>802</v>
      </c>
      <c r="AI1236" t="s">
        <v>803</v>
      </c>
    </row>
    <row r="1237" spans="1:35" hidden="1">
      <c r="A1237" s="7">
        <v>1236</v>
      </c>
      <c r="B1237" t="s">
        <v>243</v>
      </c>
      <c r="C1237" t="s">
        <v>244</v>
      </c>
      <c r="D1237" s="7">
        <v>7134</v>
      </c>
      <c r="E1237" t="s">
        <v>245</v>
      </c>
      <c r="F1237" t="s">
        <v>246</v>
      </c>
      <c r="G1237" t="s">
        <v>1577</v>
      </c>
      <c r="H1237" t="s">
        <v>3732</v>
      </c>
      <c r="I1237" s="7">
        <v>1165</v>
      </c>
      <c r="J1237" s="7">
        <v>23289</v>
      </c>
      <c r="K1237" s="7">
        <v>5</v>
      </c>
      <c r="L1237" t="s">
        <v>247</v>
      </c>
      <c r="M1237" t="s">
        <v>361</v>
      </c>
      <c r="N1237" s="7">
        <v>4910</v>
      </c>
      <c r="O1237" t="s">
        <v>2052</v>
      </c>
      <c r="P1237" t="s">
        <v>2053</v>
      </c>
      <c r="S1237" t="s">
        <v>3726</v>
      </c>
      <c r="T1237" t="s">
        <v>3727</v>
      </c>
      <c r="U1237" t="s">
        <v>3728</v>
      </c>
      <c r="V1237" s="8">
        <v>1650</v>
      </c>
      <c r="W1237" s="7">
        <v>589463</v>
      </c>
      <c r="X1237" t="s">
        <v>4441</v>
      </c>
      <c r="Y1237" s="8">
        <v>1650</v>
      </c>
      <c r="Z1237" s="8">
        <v>1947</v>
      </c>
      <c r="AA1237" s="8">
        <v>297</v>
      </c>
      <c r="AB1237" s="7">
        <v>112930</v>
      </c>
      <c r="AC1237" t="s">
        <v>4441</v>
      </c>
      <c r="AD1237" s="8">
        <v>0</v>
      </c>
      <c r="AG1237" t="s">
        <v>823</v>
      </c>
      <c r="AH1237" t="s">
        <v>802</v>
      </c>
      <c r="AI1237" t="s">
        <v>818</v>
      </c>
    </row>
    <row r="1238" spans="1:35" hidden="1">
      <c r="A1238" s="7">
        <v>1237</v>
      </c>
      <c r="B1238" t="s">
        <v>243</v>
      </c>
      <c r="C1238" t="s">
        <v>244</v>
      </c>
      <c r="D1238" s="7">
        <v>7134</v>
      </c>
      <c r="E1238" t="s">
        <v>245</v>
      </c>
      <c r="F1238" t="s">
        <v>246</v>
      </c>
      <c r="G1238" t="s">
        <v>293</v>
      </c>
      <c r="H1238" t="s">
        <v>3736</v>
      </c>
      <c r="I1238" s="7">
        <v>1165</v>
      </c>
      <c r="J1238" s="7">
        <v>29300</v>
      </c>
      <c r="K1238" s="7">
        <v>3</v>
      </c>
      <c r="L1238" t="s">
        <v>247</v>
      </c>
      <c r="M1238" t="s">
        <v>252</v>
      </c>
      <c r="N1238" s="7">
        <v>327424</v>
      </c>
      <c r="O1238" t="s">
        <v>380</v>
      </c>
      <c r="P1238" t="s">
        <v>381</v>
      </c>
      <c r="S1238" t="s">
        <v>3726</v>
      </c>
      <c r="T1238" t="s">
        <v>3727</v>
      </c>
      <c r="U1238" t="s">
        <v>3728</v>
      </c>
      <c r="V1238" s="8">
        <v>1250</v>
      </c>
      <c r="W1238" s="7">
        <v>589463</v>
      </c>
      <c r="X1238" t="s">
        <v>4441</v>
      </c>
      <c r="Y1238" s="8">
        <v>1250</v>
      </c>
      <c r="Z1238" s="8">
        <v>1475</v>
      </c>
      <c r="AA1238" s="8">
        <v>225</v>
      </c>
      <c r="AB1238" s="7">
        <v>112930</v>
      </c>
      <c r="AC1238" t="s">
        <v>4441</v>
      </c>
      <c r="AD1238" s="8">
        <v>0</v>
      </c>
      <c r="AG1238" t="s">
        <v>937</v>
      </c>
      <c r="AH1238" t="s">
        <v>802</v>
      </c>
      <c r="AI1238" t="s">
        <v>818</v>
      </c>
    </row>
    <row r="1239" spans="1:35" hidden="1">
      <c r="A1239" s="7">
        <v>1238</v>
      </c>
      <c r="B1239" t="s">
        <v>243</v>
      </c>
      <c r="C1239" t="s">
        <v>244</v>
      </c>
      <c r="D1239" s="7">
        <v>7134</v>
      </c>
      <c r="E1239" t="s">
        <v>245</v>
      </c>
      <c r="F1239" t="s">
        <v>246</v>
      </c>
      <c r="G1239" t="s">
        <v>333</v>
      </c>
      <c r="H1239" t="s">
        <v>3076</v>
      </c>
      <c r="I1239" s="7">
        <v>1165</v>
      </c>
      <c r="J1239" s="7">
        <v>30000</v>
      </c>
      <c r="K1239" s="7">
        <v>3</v>
      </c>
      <c r="L1239" t="s">
        <v>247</v>
      </c>
      <c r="M1239" t="s">
        <v>267</v>
      </c>
      <c r="N1239" s="7">
        <v>789361</v>
      </c>
      <c r="O1239" t="s">
        <v>485</v>
      </c>
      <c r="P1239" t="s">
        <v>486</v>
      </c>
      <c r="S1239" t="s">
        <v>3726</v>
      </c>
      <c r="T1239" t="s">
        <v>3727</v>
      </c>
      <c r="U1239" t="s">
        <v>3728</v>
      </c>
      <c r="V1239" s="8">
        <v>1250</v>
      </c>
      <c r="W1239" s="7">
        <v>589463</v>
      </c>
      <c r="X1239" t="s">
        <v>4441</v>
      </c>
      <c r="Y1239" s="8">
        <v>1250</v>
      </c>
      <c r="Z1239" s="8">
        <v>1475</v>
      </c>
      <c r="AA1239" s="8">
        <v>225</v>
      </c>
      <c r="AB1239" s="7">
        <v>112930</v>
      </c>
      <c r="AC1239" t="s">
        <v>4441</v>
      </c>
      <c r="AD1239" s="8">
        <v>0</v>
      </c>
      <c r="AG1239" t="s">
        <v>828</v>
      </c>
      <c r="AH1239" t="s">
        <v>802</v>
      </c>
      <c r="AI1239" t="s">
        <v>818</v>
      </c>
    </row>
    <row r="1240" spans="1:35" hidden="1">
      <c r="A1240" s="7">
        <v>1239</v>
      </c>
      <c r="B1240" t="s">
        <v>243</v>
      </c>
      <c r="C1240" t="s">
        <v>244</v>
      </c>
      <c r="D1240" s="7">
        <v>7134</v>
      </c>
      <c r="E1240" t="s">
        <v>245</v>
      </c>
      <c r="F1240" t="s">
        <v>246</v>
      </c>
      <c r="G1240" t="s">
        <v>1615</v>
      </c>
      <c r="H1240" t="s">
        <v>3737</v>
      </c>
      <c r="I1240" s="7">
        <v>1150</v>
      </c>
      <c r="J1240" s="7">
        <v>14886</v>
      </c>
      <c r="K1240" s="7">
        <v>3</v>
      </c>
      <c r="L1240" t="s">
        <v>247</v>
      </c>
      <c r="M1240" t="s">
        <v>261</v>
      </c>
      <c r="N1240" s="7">
        <v>778136</v>
      </c>
      <c r="O1240" t="s">
        <v>2084</v>
      </c>
      <c r="P1240" t="s">
        <v>2085</v>
      </c>
      <c r="S1240" t="s">
        <v>3726</v>
      </c>
      <c r="T1240" t="s">
        <v>3727</v>
      </c>
      <c r="U1240" t="s">
        <v>3728</v>
      </c>
      <c r="V1240" s="8">
        <v>1250</v>
      </c>
      <c r="W1240" s="7">
        <v>589463</v>
      </c>
      <c r="X1240" t="s">
        <v>4441</v>
      </c>
      <c r="Y1240" s="8">
        <v>1250</v>
      </c>
      <c r="Z1240" s="8">
        <v>1475</v>
      </c>
      <c r="AA1240" s="8">
        <v>225</v>
      </c>
      <c r="AB1240" s="7">
        <v>112930</v>
      </c>
      <c r="AC1240" t="s">
        <v>4441</v>
      </c>
      <c r="AD1240" s="8">
        <v>0</v>
      </c>
      <c r="AG1240" t="s">
        <v>808</v>
      </c>
      <c r="AH1240" t="s">
        <v>802</v>
      </c>
      <c r="AI1240" t="s">
        <v>818</v>
      </c>
    </row>
    <row r="1241" spans="1:35" hidden="1">
      <c r="A1241" s="7">
        <v>1240</v>
      </c>
      <c r="B1241" t="s">
        <v>243</v>
      </c>
      <c r="C1241" t="s">
        <v>244</v>
      </c>
      <c r="D1241" s="7">
        <v>7134</v>
      </c>
      <c r="E1241" t="s">
        <v>245</v>
      </c>
      <c r="F1241" t="s">
        <v>246</v>
      </c>
      <c r="G1241" t="s">
        <v>1574</v>
      </c>
      <c r="H1241" t="s">
        <v>3749</v>
      </c>
      <c r="I1241" s="7">
        <v>1165</v>
      </c>
      <c r="J1241" s="7">
        <v>29500</v>
      </c>
      <c r="K1241" s="7">
        <v>4</v>
      </c>
      <c r="L1241" t="s">
        <v>247</v>
      </c>
      <c r="M1241" t="s">
        <v>261</v>
      </c>
      <c r="N1241" s="7">
        <v>792777</v>
      </c>
      <c r="O1241" t="s">
        <v>1575</v>
      </c>
      <c r="P1241" t="s">
        <v>1576</v>
      </c>
      <c r="Q1241" t="s">
        <v>1902</v>
      </c>
      <c r="R1241" t="s">
        <v>1903</v>
      </c>
      <c r="S1241" t="s">
        <v>3726</v>
      </c>
      <c r="T1241" t="s">
        <v>3727</v>
      </c>
      <c r="U1241" t="s">
        <v>3728</v>
      </c>
      <c r="V1241" s="8">
        <v>0</v>
      </c>
      <c r="W1241" s="7">
        <v>589463</v>
      </c>
      <c r="X1241" t="s">
        <v>4441</v>
      </c>
      <c r="Y1241" s="8">
        <v>0</v>
      </c>
      <c r="Z1241" s="8">
        <v>0</v>
      </c>
      <c r="AA1241" s="8">
        <v>0</v>
      </c>
      <c r="AB1241" s="7">
        <v>112930</v>
      </c>
      <c r="AC1241" t="s">
        <v>4441</v>
      </c>
      <c r="AD1241" s="8">
        <v>0</v>
      </c>
      <c r="AG1241" t="s">
        <v>801</v>
      </c>
      <c r="AH1241" t="s">
        <v>802</v>
      </c>
      <c r="AI1241" t="s">
        <v>803</v>
      </c>
    </row>
    <row r="1242" spans="1:35" hidden="1">
      <c r="A1242" s="7">
        <v>1241</v>
      </c>
      <c r="B1242" t="s">
        <v>243</v>
      </c>
      <c r="C1242" t="s">
        <v>244</v>
      </c>
      <c r="D1242" s="7">
        <v>7134</v>
      </c>
      <c r="E1242" t="s">
        <v>245</v>
      </c>
      <c r="F1242" t="s">
        <v>246</v>
      </c>
      <c r="G1242" t="s">
        <v>988</v>
      </c>
      <c r="H1242" t="s">
        <v>3738</v>
      </c>
      <c r="I1242" s="7">
        <v>1165</v>
      </c>
      <c r="J1242" s="7">
        <v>48299</v>
      </c>
      <c r="K1242" s="7">
        <v>5</v>
      </c>
      <c r="L1242" t="s">
        <v>247</v>
      </c>
      <c r="M1242" t="s">
        <v>361</v>
      </c>
      <c r="N1242" s="7">
        <v>3912</v>
      </c>
      <c r="O1242" t="s">
        <v>2087</v>
      </c>
      <c r="P1242" t="s">
        <v>2088</v>
      </c>
      <c r="S1242" t="s">
        <v>3726</v>
      </c>
      <c r="T1242" t="s">
        <v>3727</v>
      </c>
      <c r="U1242" t="s">
        <v>3728</v>
      </c>
      <c r="V1242" s="8">
        <v>1650</v>
      </c>
      <c r="W1242" s="7">
        <v>589463</v>
      </c>
      <c r="X1242" t="s">
        <v>4441</v>
      </c>
      <c r="Y1242" s="8">
        <v>1650</v>
      </c>
      <c r="Z1242" s="8">
        <v>1947</v>
      </c>
      <c r="AA1242" s="8">
        <v>297</v>
      </c>
      <c r="AB1242" s="7">
        <v>112930</v>
      </c>
      <c r="AC1242" t="s">
        <v>4441</v>
      </c>
      <c r="AD1242" s="8">
        <v>0</v>
      </c>
      <c r="AG1242" t="s">
        <v>823</v>
      </c>
      <c r="AH1242" t="s">
        <v>802</v>
      </c>
      <c r="AI1242" t="s">
        <v>818</v>
      </c>
    </row>
    <row r="1243" spans="1:35" hidden="1">
      <c r="A1243" s="7">
        <v>1242</v>
      </c>
      <c r="B1243" t="s">
        <v>243</v>
      </c>
      <c r="C1243" t="s">
        <v>244</v>
      </c>
      <c r="D1243" s="7">
        <v>7134</v>
      </c>
      <c r="E1243" t="s">
        <v>245</v>
      </c>
      <c r="F1243" t="s">
        <v>246</v>
      </c>
      <c r="G1243" t="s">
        <v>884</v>
      </c>
      <c r="H1243" t="s">
        <v>3729</v>
      </c>
      <c r="I1243" s="7">
        <v>1165</v>
      </c>
      <c r="J1243" s="7">
        <v>64399</v>
      </c>
      <c r="K1243" s="7">
        <v>7</v>
      </c>
      <c r="L1243" t="s">
        <v>247</v>
      </c>
      <c r="M1243" t="s">
        <v>361</v>
      </c>
      <c r="N1243" s="7">
        <v>1810</v>
      </c>
      <c r="O1243" t="s">
        <v>886</v>
      </c>
      <c r="P1243" t="s">
        <v>887</v>
      </c>
      <c r="S1243" t="s">
        <v>3726</v>
      </c>
      <c r="T1243" t="s">
        <v>3727</v>
      </c>
      <c r="U1243" t="s">
        <v>3728</v>
      </c>
      <c r="V1243" s="8">
        <v>1650</v>
      </c>
      <c r="W1243" s="7">
        <v>589463</v>
      </c>
      <c r="X1243" t="s">
        <v>4441</v>
      </c>
      <c r="Y1243" s="8">
        <v>1650</v>
      </c>
      <c r="Z1243" s="8">
        <v>1947</v>
      </c>
      <c r="AA1243" s="8">
        <v>297</v>
      </c>
      <c r="AB1243" s="7">
        <v>112930</v>
      </c>
      <c r="AC1243" t="s">
        <v>4441</v>
      </c>
      <c r="AD1243" s="8">
        <v>0</v>
      </c>
      <c r="AG1243" t="s">
        <v>823</v>
      </c>
      <c r="AH1243" t="s">
        <v>802</v>
      </c>
      <c r="AI1243" t="s">
        <v>818</v>
      </c>
    </row>
    <row r="1244" spans="1:35" hidden="1">
      <c r="A1244" s="7">
        <v>1243</v>
      </c>
      <c r="B1244" t="s">
        <v>243</v>
      </c>
      <c r="C1244" t="s">
        <v>244</v>
      </c>
      <c r="D1244" s="7">
        <v>7134</v>
      </c>
      <c r="E1244" t="s">
        <v>245</v>
      </c>
      <c r="F1244" t="s">
        <v>246</v>
      </c>
      <c r="G1244" t="s">
        <v>248</v>
      </c>
      <c r="H1244" t="s">
        <v>3750</v>
      </c>
      <c r="I1244" s="7">
        <v>902</v>
      </c>
      <c r="J1244" s="7">
        <v>50000</v>
      </c>
      <c r="K1244" s="7">
        <v>3</v>
      </c>
      <c r="L1244" t="s">
        <v>247</v>
      </c>
      <c r="M1244" t="s">
        <v>261</v>
      </c>
      <c r="N1244" s="7">
        <v>798566</v>
      </c>
      <c r="O1244" t="s">
        <v>2176</v>
      </c>
      <c r="P1244" t="s">
        <v>2177</v>
      </c>
      <c r="S1244" t="s">
        <v>3726</v>
      </c>
      <c r="T1244" t="s">
        <v>3727</v>
      </c>
      <c r="U1244" t="s">
        <v>3728</v>
      </c>
      <c r="V1244" s="8">
        <v>1250</v>
      </c>
      <c r="W1244" s="7">
        <v>589463</v>
      </c>
      <c r="X1244" t="s">
        <v>4441</v>
      </c>
      <c r="Y1244" s="8">
        <v>1250</v>
      </c>
      <c r="Z1244" s="8">
        <v>1475</v>
      </c>
      <c r="AA1244" s="8">
        <v>225</v>
      </c>
      <c r="AB1244" s="7">
        <v>112930</v>
      </c>
      <c r="AC1244" t="s">
        <v>4441</v>
      </c>
      <c r="AD1244" s="8">
        <v>0</v>
      </c>
      <c r="AG1244" t="s">
        <v>817</v>
      </c>
      <c r="AH1244" t="s">
        <v>802</v>
      </c>
      <c r="AI1244" t="s">
        <v>818</v>
      </c>
    </row>
    <row r="1245" spans="1:35" hidden="1">
      <c r="A1245" s="7">
        <v>1244</v>
      </c>
      <c r="B1245" t="s">
        <v>243</v>
      </c>
      <c r="C1245" t="s">
        <v>244</v>
      </c>
      <c r="D1245" s="7">
        <v>7134</v>
      </c>
      <c r="E1245" t="s">
        <v>245</v>
      </c>
      <c r="F1245" t="s">
        <v>246</v>
      </c>
      <c r="G1245" t="s">
        <v>248</v>
      </c>
      <c r="H1245" t="s">
        <v>3750</v>
      </c>
      <c r="I1245" s="7">
        <v>1165</v>
      </c>
      <c r="J1245" s="7">
        <v>5417</v>
      </c>
      <c r="K1245" s="7">
        <v>3</v>
      </c>
      <c r="L1245" t="s">
        <v>247</v>
      </c>
      <c r="M1245" t="s">
        <v>261</v>
      </c>
      <c r="N1245" s="7">
        <v>796920</v>
      </c>
      <c r="O1245" t="s">
        <v>488</v>
      </c>
      <c r="P1245" t="s">
        <v>489</v>
      </c>
      <c r="S1245" t="s">
        <v>3726</v>
      </c>
      <c r="T1245" t="s">
        <v>3727</v>
      </c>
      <c r="U1245" t="s">
        <v>3728</v>
      </c>
      <c r="V1245" s="8">
        <v>1250</v>
      </c>
      <c r="W1245" s="7">
        <v>589463</v>
      </c>
      <c r="X1245" t="s">
        <v>4441</v>
      </c>
      <c r="Y1245" s="8">
        <v>1250</v>
      </c>
      <c r="Z1245" s="8">
        <v>1475</v>
      </c>
      <c r="AA1245" s="8">
        <v>225</v>
      </c>
      <c r="AB1245" s="7">
        <v>112930</v>
      </c>
      <c r="AC1245" t="s">
        <v>4441</v>
      </c>
      <c r="AD1245" s="8">
        <v>0</v>
      </c>
      <c r="AG1245" t="s">
        <v>817</v>
      </c>
      <c r="AH1245" t="s">
        <v>802</v>
      </c>
      <c r="AI1245" t="s">
        <v>818</v>
      </c>
    </row>
    <row r="1246" spans="1:35" hidden="1">
      <c r="A1246" s="7">
        <v>1245</v>
      </c>
      <c r="B1246" t="s">
        <v>243</v>
      </c>
      <c r="C1246" t="s">
        <v>244</v>
      </c>
      <c r="D1246" s="7">
        <v>7134</v>
      </c>
      <c r="E1246" t="s">
        <v>245</v>
      </c>
      <c r="F1246" t="s">
        <v>246</v>
      </c>
      <c r="G1246" t="s">
        <v>1551</v>
      </c>
      <c r="H1246" t="s">
        <v>4858</v>
      </c>
      <c r="I1246" s="7">
        <v>1165</v>
      </c>
      <c r="J1246" s="7">
        <v>110000</v>
      </c>
      <c r="K1246" s="7">
        <v>11</v>
      </c>
      <c r="L1246" t="s">
        <v>247</v>
      </c>
      <c r="M1246" t="s">
        <v>252</v>
      </c>
      <c r="N1246" s="7">
        <v>322476</v>
      </c>
      <c r="O1246" t="s">
        <v>1552</v>
      </c>
      <c r="P1246" t="s">
        <v>1553</v>
      </c>
      <c r="S1246" t="s">
        <v>3799</v>
      </c>
      <c r="T1246" t="s">
        <v>3728</v>
      </c>
      <c r="U1246" t="s">
        <v>4859</v>
      </c>
      <c r="V1246" s="8">
        <v>1250</v>
      </c>
      <c r="W1246" s="7">
        <v>590053</v>
      </c>
      <c r="X1246" t="s">
        <v>4860</v>
      </c>
      <c r="Y1246" s="8">
        <v>1250</v>
      </c>
      <c r="Z1246" s="8">
        <v>1475</v>
      </c>
      <c r="AA1246" s="8">
        <v>225</v>
      </c>
      <c r="AB1246" s="7">
        <v>113520</v>
      </c>
      <c r="AC1246" t="s">
        <v>4860</v>
      </c>
      <c r="AD1246" s="8">
        <v>0</v>
      </c>
      <c r="AG1246" t="s">
        <v>937</v>
      </c>
      <c r="AH1246" t="s">
        <v>802</v>
      </c>
      <c r="AI1246" t="s">
        <v>818</v>
      </c>
    </row>
    <row r="1247" spans="1:35" hidden="1">
      <c r="A1247" s="7">
        <v>1246</v>
      </c>
      <c r="B1247" t="s">
        <v>243</v>
      </c>
      <c r="C1247" t="s">
        <v>244</v>
      </c>
      <c r="D1247" s="7">
        <v>7134</v>
      </c>
      <c r="E1247" t="s">
        <v>245</v>
      </c>
      <c r="F1247" t="s">
        <v>246</v>
      </c>
      <c r="G1247" t="s">
        <v>849</v>
      </c>
      <c r="H1247" t="s">
        <v>4861</v>
      </c>
      <c r="I1247" s="7">
        <v>1165</v>
      </c>
      <c r="J1247" s="7">
        <v>70000</v>
      </c>
      <c r="K1247" s="7">
        <v>7</v>
      </c>
      <c r="L1247" t="s">
        <v>247</v>
      </c>
      <c r="M1247" t="s">
        <v>261</v>
      </c>
      <c r="N1247" s="7">
        <v>787042</v>
      </c>
      <c r="O1247" t="s">
        <v>850</v>
      </c>
      <c r="P1247" t="s">
        <v>851</v>
      </c>
      <c r="S1247" t="s">
        <v>3799</v>
      </c>
      <c r="T1247" t="s">
        <v>3728</v>
      </c>
      <c r="U1247" t="s">
        <v>4859</v>
      </c>
      <c r="V1247" s="8">
        <v>0</v>
      </c>
      <c r="W1247" s="7">
        <v>590053</v>
      </c>
      <c r="X1247" t="s">
        <v>4860</v>
      </c>
      <c r="Y1247" s="8">
        <v>0</v>
      </c>
      <c r="Z1247" s="8">
        <v>0</v>
      </c>
      <c r="AA1247" s="8">
        <v>0</v>
      </c>
      <c r="AB1247" s="7">
        <v>113520</v>
      </c>
      <c r="AC1247" t="s">
        <v>4860</v>
      </c>
      <c r="AD1247" s="8">
        <v>0</v>
      </c>
      <c r="AG1247" t="s">
        <v>801</v>
      </c>
      <c r="AH1247" t="s">
        <v>802</v>
      </c>
      <c r="AI1247" t="s">
        <v>803</v>
      </c>
    </row>
    <row r="1248" spans="1:35" hidden="1">
      <c r="A1248" s="7">
        <v>1247</v>
      </c>
      <c r="B1248" t="s">
        <v>243</v>
      </c>
      <c r="C1248" t="s">
        <v>244</v>
      </c>
      <c r="D1248" s="7">
        <v>7134</v>
      </c>
      <c r="E1248" t="s">
        <v>245</v>
      </c>
      <c r="F1248" t="s">
        <v>246</v>
      </c>
      <c r="G1248" t="s">
        <v>797</v>
      </c>
      <c r="H1248" t="s">
        <v>4862</v>
      </c>
      <c r="I1248" s="7">
        <v>1165</v>
      </c>
      <c r="J1248" s="7">
        <v>15394</v>
      </c>
      <c r="K1248" s="7">
        <v>3</v>
      </c>
      <c r="L1248" t="s">
        <v>247</v>
      </c>
      <c r="M1248" t="s">
        <v>361</v>
      </c>
      <c r="N1248" s="7">
        <v>6195</v>
      </c>
      <c r="O1248" t="s">
        <v>1626</v>
      </c>
      <c r="P1248" t="s">
        <v>1627</v>
      </c>
      <c r="S1248" t="s">
        <v>3799</v>
      </c>
      <c r="T1248" t="s">
        <v>3728</v>
      </c>
      <c r="U1248" t="s">
        <v>4859</v>
      </c>
      <c r="V1248" s="8">
        <v>1650</v>
      </c>
      <c r="W1248" s="7">
        <v>590053</v>
      </c>
      <c r="X1248" t="s">
        <v>4860</v>
      </c>
      <c r="Y1248" s="8">
        <v>1650</v>
      </c>
      <c r="Z1248" s="8">
        <v>1947</v>
      </c>
      <c r="AA1248" s="8">
        <v>297</v>
      </c>
      <c r="AB1248" s="7">
        <v>113520</v>
      </c>
      <c r="AC1248" t="s">
        <v>4860</v>
      </c>
      <c r="AD1248" s="8">
        <v>0</v>
      </c>
      <c r="AG1248" t="s">
        <v>823</v>
      </c>
      <c r="AH1248" t="s">
        <v>802</v>
      </c>
      <c r="AI1248" t="s">
        <v>818</v>
      </c>
    </row>
    <row r="1249" spans="1:35" hidden="1">
      <c r="A1249" s="7">
        <v>1248</v>
      </c>
      <c r="B1249" t="s">
        <v>243</v>
      </c>
      <c r="C1249" t="s">
        <v>244</v>
      </c>
      <c r="D1249" s="7">
        <v>7134</v>
      </c>
      <c r="E1249" t="s">
        <v>245</v>
      </c>
      <c r="F1249" t="s">
        <v>246</v>
      </c>
      <c r="G1249" t="s">
        <v>293</v>
      </c>
      <c r="H1249" t="s">
        <v>4863</v>
      </c>
      <c r="I1249" s="7">
        <v>1150</v>
      </c>
      <c r="J1249" s="7">
        <v>17706</v>
      </c>
      <c r="K1249" s="7">
        <v>4</v>
      </c>
      <c r="L1249" t="s">
        <v>247</v>
      </c>
      <c r="M1249" t="s">
        <v>261</v>
      </c>
      <c r="N1249" s="7">
        <v>778219</v>
      </c>
      <c r="O1249" t="s">
        <v>2090</v>
      </c>
      <c r="P1249" t="s">
        <v>2091</v>
      </c>
      <c r="S1249" t="s">
        <v>3799</v>
      </c>
      <c r="T1249" t="s">
        <v>3728</v>
      </c>
      <c r="U1249" t="s">
        <v>4859</v>
      </c>
      <c r="V1249" s="8">
        <v>0</v>
      </c>
      <c r="W1249" s="7">
        <v>590053</v>
      </c>
      <c r="X1249" t="s">
        <v>4860</v>
      </c>
      <c r="Y1249" s="8">
        <v>0</v>
      </c>
      <c r="Z1249" s="8">
        <v>0</v>
      </c>
      <c r="AA1249" s="8">
        <v>0</v>
      </c>
      <c r="AB1249" s="7">
        <v>113520</v>
      </c>
      <c r="AC1249" t="s">
        <v>4860</v>
      </c>
      <c r="AD1249" s="8">
        <v>0</v>
      </c>
      <c r="AG1249" t="s">
        <v>808</v>
      </c>
      <c r="AH1249" t="s">
        <v>802</v>
      </c>
      <c r="AI1249" t="s">
        <v>803</v>
      </c>
    </row>
    <row r="1250" spans="1:35" hidden="1">
      <c r="A1250" s="7">
        <v>1249</v>
      </c>
      <c r="B1250" t="s">
        <v>243</v>
      </c>
      <c r="C1250" t="s">
        <v>244</v>
      </c>
      <c r="D1250" s="7">
        <v>7134</v>
      </c>
      <c r="E1250" t="s">
        <v>245</v>
      </c>
      <c r="F1250" t="s">
        <v>246</v>
      </c>
      <c r="G1250" t="s">
        <v>921</v>
      </c>
      <c r="H1250" t="s">
        <v>4864</v>
      </c>
      <c r="I1250" s="7">
        <v>1165</v>
      </c>
      <c r="J1250" s="7">
        <v>36649</v>
      </c>
      <c r="K1250" s="7">
        <v>4</v>
      </c>
      <c r="L1250" t="s">
        <v>247</v>
      </c>
      <c r="M1250" t="s">
        <v>361</v>
      </c>
      <c r="N1250" s="7">
        <v>6116</v>
      </c>
      <c r="O1250" t="s">
        <v>1890</v>
      </c>
      <c r="P1250" t="s">
        <v>1891</v>
      </c>
      <c r="S1250" t="s">
        <v>3799</v>
      </c>
      <c r="T1250" t="s">
        <v>3728</v>
      </c>
      <c r="U1250" t="s">
        <v>4859</v>
      </c>
      <c r="V1250" s="8">
        <v>0</v>
      </c>
      <c r="W1250" s="7">
        <v>590053</v>
      </c>
      <c r="X1250" t="s">
        <v>4860</v>
      </c>
      <c r="Y1250" s="8">
        <v>0</v>
      </c>
      <c r="Z1250" s="8">
        <v>0</v>
      </c>
      <c r="AA1250" s="8">
        <v>0</v>
      </c>
      <c r="AB1250" s="7">
        <v>113520</v>
      </c>
      <c r="AC1250" t="s">
        <v>4860</v>
      </c>
      <c r="AD1250" s="8">
        <v>0</v>
      </c>
      <c r="AG1250" t="s">
        <v>823</v>
      </c>
      <c r="AH1250" t="s">
        <v>802</v>
      </c>
      <c r="AI1250" t="s">
        <v>803</v>
      </c>
    </row>
    <row r="1251" spans="1:35" hidden="1">
      <c r="A1251" s="7">
        <v>1250</v>
      </c>
      <c r="B1251" t="s">
        <v>243</v>
      </c>
      <c r="C1251" t="s">
        <v>244</v>
      </c>
      <c r="D1251" s="7">
        <v>7134</v>
      </c>
      <c r="E1251" t="s">
        <v>245</v>
      </c>
      <c r="F1251" t="s">
        <v>246</v>
      </c>
      <c r="G1251" t="s">
        <v>1041</v>
      </c>
      <c r="H1251" t="s">
        <v>4865</v>
      </c>
      <c r="I1251" s="7">
        <v>1165</v>
      </c>
      <c r="J1251" s="7">
        <v>50000</v>
      </c>
      <c r="K1251" s="7">
        <v>5</v>
      </c>
      <c r="L1251" t="s">
        <v>247</v>
      </c>
      <c r="M1251" t="s">
        <v>267</v>
      </c>
      <c r="N1251" s="7">
        <v>789619</v>
      </c>
      <c r="O1251" t="s">
        <v>1042</v>
      </c>
      <c r="P1251" t="s">
        <v>1043</v>
      </c>
      <c r="Q1251" t="s">
        <v>870</v>
      </c>
      <c r="R1251" t="s">
        <v>871</v>
      </c>
      <c r="S1251" t="s">
        <v>3799</v>
      </c>
      <c r="T1251" t="s">
        <v>3728</v>
      </c>
      <c r="U1251" t="s">
        <v>4859</v>
      </c>
      <c r="V1251" s="8">
        <v>1250</v>
      </c>
      <c r="W1251" s="7">
        <v>590053</v>
      </c>
      <c r="X1251" t="s">
        <v>4860</v>
      </c>
      <c r="Y1251" s="8">
        <v>1000</v>
      </c>
      <c r="Z1251" s="8">
        <v>1475</v>
      </c>
      <c r="AA1251" s="8">
        <v>225</v>
      </c>
      <c r="AB1251" s="7">
        <v>113520</v>
      </c>
      <c r="AC1251" t="s">
        <v>4860</v>
      </c>
      <c r="AD1251" s="8">
        <v>250</v>
      </c>
      <c r="AG1251" t="s">
        <v>828</v>
      </c>
      <c r="AH1251" t="s">
        <v>802</v>
      </c>
      <c r="AI1251" t="s">
        <v>818</v>
      </c>
    </row>
    <row r="1252" spans="1:35" hidden="1">
      <c r="A1252" s="7">
        <v>1251</v>
      </c>
      <c r="B1252" t="s">
        <v>243</v>
      </c>
      <c r="C1252" t="s">
        <v>244</v>
      </c>
      <c r="D1252" s="7">
        <v>7134</v>
      </c>
      <c r="E1252" t="s">
        <v>245</v>
      </c>
      <c r="F1252" t="s">
        <v>246</v>
      </c>
      <c r="G1252" t="s">
        <v>891</v>
      </c>
      <c r="H1252" t="s">
        <v>4866</v>
      </c>
      <c r="I1252" s="7">
        <v>1165</v>
      </c>
      <c r="J1252" s="7">
        <v>49126</v>
      </c>
      <c r="K1252" s="7">
        <v>7</v>
      </c>
      <c r="L1252" t="s">
        <v>247</v>
      </c>
      <c r="M1252" t="s">
        <v>261</v>
      </c>
      <c r="N1252" s="7">
        <v>785110</v>
      </c>
      <c r="O1252" t="s">
        <v>892</v>
      </c>
      <c r="P1252" t="s">
        <v>893</v>
      </c>
      <c r="S1252" t="s">
        <v>3799</v>
      </c>
      <c r="T1252" t="s">
        <v>3728</v>
      </c>
      <c r="U1252" t="s">
        <v>4859</v>
      </c>
      <c r="V1252" s="8">
        <v>0</v>
      </c>
      <c r="W1252" s="7">
        <v>590053</v>
      </c>
      <c r="X1252" t="s">
        <v>4860</v>
      </c>
      <c r="Y1252" s="8">
        <v>0</v>
      </c>
      <c r="Z1252" s="8">
        <v>0</v>
      </c>
      <c r="AA1252" s="8">
        <v>0</v>
      </c>
      <c r="AB1252" s="7">
        <v>113520</v>
      </c>
      <c r="AC1252" t="s">
        <v>4860</v>
      </c>
      <c r="AD1252" s="8">
        <v>0</v>
      </c>
      <c r="AG1252" t="s">
        <v>801</v>
      </c>
      <c r="AH1252" t="s">
        <v>802</v>
      </c>
      <c r="AI1252" t="s">
        <v>803</v>
      </c>
    </row>
    <row r="1253" spans="1:35" hidden="1">
      <c r="A1253" s="7">
        <v>1252</v>
      </c>
      <c r="B1253" t="s">
        <v>243</v>
      </c>
      <c r="C1253" t="s">
        <v>244</v>
      </c>
      <c r="D1253" s="7">
        <v>7134</v>
      </c>
      <c r="E1253" t="s">
        <v>245</v>
      </c>
      <c r="F1253" t="s">
        <v>246</v>
      </c>
      <c r="G1253" t="s">
        <v>1221</v>
      </c>
      <c r="H1253" t="s">
        <v>4865</v>
      </c>
      <c r="I1253" s="7">
        <v>1165</v>
      </c>
      <c r="J1253" s="7">
        <v>120000</v>
      </c>
      <c r="K1253" s="7">
        <v>12</v>
      </c>
      <c r="L1253" t="s">
        <v>247</v>
      </c>
      <c r="M1253" t="s">
        <v>252</v>
      </c>
      <c r="N1253" s="7">
        <v>321779</v>
      </c>
      <c r="O1253" t="s">
        <v>1222</v>
      </c>
      <c r="P1253" t="s">
        <v>1223</v>
      </c>
      <c r="S1253" t="s">
        <v>3799</v>
      </c>
      <c r="T1253" t="s">
        <v>3728</v>
      </c>
      <c r="U1253" t="s">
        <v>4859</v>
      </c>
      <c r="V1253" s="8">
        <v>0</v>
      </c>
      <c r="W1253" s="7">
        <v>590053</v>
      </c>
      <c r="X1253" t="s">
        <v>4860</v>
      </c>
      <c r="Y1253" s="8">
        <v>0</v>
      </c>
      <c r="Z1253" s="8">
        <v>0</v>
      </c>
      <c r="AA1253" s="8">
        <v>0</v>
      </c>
      <c r="AB1253" s="7">
        <v>113520</v>
      </c>
      <c r="AC1253" t="s">
        <v>4860</v>
      </c>
      <c r="AD1253" s="8">
        <v>0</v>
      </c>
      <c r="AG1253" t="s">
        <v>937</v>
      </c>
      <c r="AH1253" t="s">
        <v>802</v>
      </c>
      <c r="AI1253" t="s">
        <v>803</v>
      </c>
    </row>
    <row r="1254" spans="1:35" hidden="1">
      <c r="A1254" s="7">
        <v>1253</v>
      </c>
      <c r="B1254" t="s">
        <v>243</v>
      </c>
      <c r="C1254" t="s">
        <v>244</v>
      </c>
      <c r="D1254" s="7">
        <v>7134</v>
      </c>
      <c r="E1254" t="s">
        <v>245</v>
      </c>
      <c r="F1254" t="s">
        <v>246</v>
      </c>
      <c r="G1254" t="s">
        <v>913</v>
      </c>
      <c r="H1254" t="s">
        <v>4862</v>
      </c>
      <c r="I1254" s="7">
        <v>1165</v>
      </c>
      <c r="J1254" s="7">
        <v>70000</v>
      </c>
      <c r="K1254" s="7">
        <v>7</v>
      </c>
      <c r="L1254" t="s">
        <v>247</v>
      </c>
      <c r="M1254" t="s">
        <v>361</v>
      </c>
      <c r="N1254" s="7">
        <v>3564</v>
      </c>
      <c r="O1254" t="s">
        <v>915</v>
      </c>
      <c r="P1254" t="s">
        <v>916</v>
      </c>
      <c r="S1254" t="s">
        <v>3799</v>
      </c>
      <c r="T1254" t="s">
        <v>3728</v>
      </c>
      <c r="U1254" t="s">
        <v>4859</v>
      </c>
      <c r="V1254" s="8">
        <v>1650</v>
      </c>
      <c r="W1254" s="7">
        <v>590053</v>
      </c>
      <c r="X1254" t="s">
        <v>4860</v>
      </c>
      <c r="Y1254" s="8">
        <v>1650</v>
      </c>
      <c r="Z1254" s="8">
        <v>1947</v>
      </c>
      <c r="AA1254" s="8">
        <v>297</v>
      </c>
      <c r="AB1254" s="7">
        <v>113520</v>
      </c>
      <c r="AC1254" t="s">
        <v>4860</v>
      </c>
      <c r="AD1254" s="8">
        <v>0</v>
      </c>
      <c r="AG1254" t="s">
        <v>823</v>
      </c>
      <c r="AH1254" t="s">
        <v>802</v>
      </c>
      <c r="AI1254" t="s">
        <v>818</v>
      </c>
    </row>
    <row r="1255" spans="1:35" hidden="1">
      <c r="A1255" s="7">
        <v>1254</v>
      </c>
      <c r="B1255" t="s">
        <v>243</v>
      </c>
      <c r="C1255" t="s">
        <v>244</v>
      </c>
      <c r="D1255" s="7">
        <v>7134</v>
      </c>
      <c r="E1255" t="s">
        <v>245</v>
      </c>
      <c r="F1255" t="s">
        <v>246</v>
      </c>
      <c r="G1255" t="s">
        <v>363</v>
      </c>
      <c r="H1255" t="s">
        <v>4867</v>
      </c>
      <c r="I1255" s="7">
        <v>898</v>
      </c>
      <c r="J1255" s="7">
        <v>49727</v>
      </c>
      <c r="K1255" s="7">
        <v>3</v>
      </c>
      <c r="L1255" t="s">
        <v>247</v>
      </c>
      <c r="M1255" t="s">
        <v>261</v>
      </c>
      <c r="N1255" s="7">
        <v>797483</v>
      </c>
      <c r="O1255" t="s">
        <v>3590</v>
      </c>
      <c r="P1255" t="s">
        <v>3591</v>
      </c>
      <c r="S1255" t="s">
        <v>3799</v>
      </c>
      <c r="T1255" t="s">
        <v>3728</v>
      </c>
      <c r="U1255" t="s">
        <v>4859</v>
      </c>
      <c r="V1255" s="8">
        <v>1250</v>
      </c>
      <c r="W1255" s="7">
        <v>590053</v>
      </c>
      <c r="X1255" t="s">
        <v>4860</v>
      </c>
      <c r="Y1255" s="8">
        <v>1250</v>
      </c>
      <c r="Z1255" s="8">
        <v>1475</v>
      </c>
      <c r="AA1255" s="8">
        <v>225</v>
      </c>
      <c r="AB1255" s="7">
        <v>113520</v>
      </c>
      <c r="AC1255" t="s">
        <v>4860</v>
      </c>
      <c r="AD1255" s="8">
        <v>0</v>
      </c>
      <c r="AG1255" t="s">
        <v>817</v>
      </c>
      <c r="AH1255" t="s">
        <v>802</v>
      </c>
      <c r="AI1255" t="s">
        <v>818</v>
      </c>
    </row>
    <row r="1256" spans="1:35" hidden="1">
      <c r="A1256" s="7">
        <v>1255</v>
      </c>
      <c r="B1256" t="s">
        <v>243</v>
      </c>
      <c r="C1256" t="s">
        <v>244</v>
      </c>
      <c r="D1256" s="7">
        <v>7134</v>
      </c>
      <c r="E1256" t="s">
        <v>245</v>
      </c>
      <c r="F1256" t="s">
        <v>246</v>
      </c>
      <c r="G1256" t="s">
        <v>555</v>
      </c>
      <c r="H1256" t="s">
        <v>4862</v>
      </c>
      <c r="I1256" s="7">
        <v>1165</v>
      </c>
      <c r="J1256" s="7">
        <v>15200</v>
      </c>
      <c r="K1256" s="7">
        <v>3</v>
      </c>
      <c r="L1256" t="s">
        <v>247</v>
      </c>
      <c r="M1256" t="s">
        <v>261</v>
      </c>
      <c r="N1256" s="7">
        <v>785190</v>
      </c>
      <c r="O1256" t="s">
        <v>563</v>
      </c>
      <c r="P1256" t="s">
        <v>564</v>
      </c>
      <c r="S1256" t="s">
        <v>3799</v>
      </c>
      <c r="T1256" t="s">
        <v>3728</v>
      </c>
      <c r="U1256" t="s">
        <v>4859</v>
      </c>
      <c r="V1256" s="8">
        <v>1250</v>
      </c>
      <c r="W1256" s="7">
        <v>590053</v>
      </c>
      <c r="X1256" t="s">
        <v>4860</v>
      </c>
      <c r="Y1256" s="8">
        <v>1250</v>
      </c>
      <c r="Z1256" s="8">
        <v>1475</v>
      </c>
      <c r="AA1256" s="8">
        <v>225</v>
      </c>
      <c r="AB1256" s="7">
        <v>113520</v>
      </c>
      <c r="AC1256" t="s">
        <v>4860</v>
      </c>
      <c r="AD1256" s="8">
        <v>0</v>
      </c>
      <c r="AG1256" t="s">
        <v>801</v>
      </c>
      <c r="AH1256" t="s">
        <v>802</v>
      </c>
      <c r="AI1256" t="s">
        <v>818</v>
      </c>
    </row>
    <row r="1257" spans="1:35" hidden="1">
      <c r="A1257" s="7">
        <v>1256</v>
      </c>
      <c r="B1257" t="s">
        <v>243</v>
      </c>
      <c r="C1257" t="s">
        <v>244</v>
      </c>
      <c r="D1257" s="7">
        <v>7134</v>
      </c>
      <c r="E1257" t="s">
        <v>245</v>
      </c>
      <c r="F1257" t="s">
        <v>246</v>
      </c>
      <c r="G1257" t="s">
        <v>1720</v>
      </c>
      <c r="H1257" t="s">
        <v>4868</v>
      </c>
      <c r="I1257" s="7">
        <v>1165</v>
      </c>
      <c r="J1257" s="7">
        <v>40172</v>
      </c>
      <c r="K1257" s="7">
        <v>7</v>
      </c>
      <c r="L1257" t="s">
        <v>247</v>
      </c>
      <c r="M1257" t="s">
        <v>267</v>
      </c>
      <c r="N1257" s="7">
        <v>776948</v>
      </c>
      <c r="O1257" t="s">
        <v>1721</v>
      </c>
      <c r="P1257" t="s">
        <v>1722</v>
      </c>
      <c r="S1257" t="s">
        <v>3799</v>
      </c>
      <c r="T1257" t="s">
        <v>3728</v>
      </c>
      <c r="U1257" t="s">
        <v>4859</v>
      </c>
      <c r="V1257" s="8">
        <v>0</v>
      </c>
      <c r="W1257" s="7">
        <v>590053</v>
      </c>
      <c r="X1257" t="s">
        <v>4860</v>
      </c>
      <c r="Y1257" s="8">
        <v>0</v>
      </c>
      <c r="Z1257" s="8">
        <v>0</v>
      </c>
      <c r="AA1257" s="8">
        <v>0</v>
      </c>
      <c r="AB1257" s="7">
        <v>113520</v>
      </c>
      <c r="AC1257" t="s">
        <v>4860</v>
      </c>
      <c r="AD1257" s="8">
        <v>0</v>
      </c>
      <c r="AG1257" t="s">
        <v>828</v>
      </c>
      <c r="AH1257" t="s">
        <v>802</v>
      </c>
      <c r="AI1257" t="s">
        <v>803</v>
      </c>
    </row>
    <row r="1258" spans="1:35" hidden="1">
      <c r="A1258" s="7">
        <v>1257</v>
      </c>
      <c r="B1258" t="s">
        <v>243</v>
      </c>
      <c r="C1258" t="s">
        <v>244</v>
      </c>
      <c r="D1258" s="7">
        <v>7134</v>
      </c>
      <c r="E1258" t="s">
        <v>245</v>
      </c>
      <c r="F1258" t="s">
        <v>246</v>
      </c>
      <c r="G1258" t="s">
        <v>996</v>
      </c>
      <c r="H1258" t="s">
        <v>4869</v>
      </c>
      <c r="I1258" s="7">
        <v>1165</v>
      </c>
      <c r="J1258" s="7">
        <v>98600</v>
      </c>
      <c r="K1258" s="7">
        <v>10</v>
      </c>
      <c r="L1258" t="s">
        <v>247</v>
      </c>
      <c r="M1258" t="s">
        <v>361</v>
      </c>
      <c r="N1258" s="7">
        <v>3268</v>
      </c>
      <c r="O1258" t="s">
        <v>997</v>
      </c>
      <c r="P1258" t="s">
        <v>998</v>
      </c>
      <c r="S1258" t="s">
        <v>3799</v>
      </c>
      <c r="T1258" t="s">
        <v>3728</v>
      </c>
      <c r="U1258" t="s">
        <v>4859</v>
      </c>
      <c r="V1258" s="8">
        <v>0</v>
      </c>
      <c r="W1258" s="7">
        <v>590053</v>
      </c>
      <c r="X1258" t="s">
        <v>4860</v>
      </c>
      <c r="Y1258" s="8">
        <v>0</v>
      </c>
      <c r="Z1258" s="8">
        <v>0</v>
      </c>
      <c r="AA1258" s="8">
        <v>0</v>
      </c>
      <c r="AB1258" s="7">
        <v>113520</v>
      </c>
      <c r="AC1258" t="s">
        <v>4860</v>
      </c>
      <c r="AD1258" s="8">
        <v>0</v>
      </c>
      <c r="AG1258" t="s">
        <v>823</v>
      </c>
      <c r="AH1258" t="s">
        <v>802</v>
      </c>
      <c r="AI1258" t="s">
        <v>803</v>
      </c>
    </row>
    <row r="1259" spans="1:35" hidden="1">
      <c r="A1259" s="7">
        <v>1258</v>
      </c>
      <c r="B1259" t="s">
        <v>243</v>
      </c>
      <c r="C1259" t="s">
        <v>244</v>
      </c>
      <c r="D1259" s="7">
        <v>7134</v>
      </c>
      <c r="E1259" t="s">
        <v>245</v>
      </c>
      <c r="F1259" t="s">
        <v>246</v>
      </c>
      <c r="G1259" t="s">
        <v>263</v>
      </c>
      <c r="H1259" t="s">
        <v>4870</v>
      </c>
      <c r="I1259" s="7">
        <v>856</v>
      </c>
      <c r="J1259" s="7">
        <v>51090</v>
      </c>
      <c r="K1259" s="7">
        <v>3</v>
      </c>
      <c r="L1259" t="s">
        <v>247</v>
      </c>
      <c r="M1259" t="s">
        <v>261</v>
      </c>
      <c r="N1259" s="7">
        <v>796597</v>
      </c>
      <c r="O1259" t="s">
        <v>2056</v>
      </c>
      <c r="P1259" t="s">
        <v>2057</v>
      </c>
      <c r="Q1259" t="s">
        <v>908</v>
      </c>
      <c r="R1259" t="s">
        <v>909</v>
      </c>
      <c r="S1259" t="s">
        <v>3799</v>
      </c>
      <c r="T1259" t="s">
        <v>3728</v>
      </c>
      <c r="U1259" t="s">
        <v>4859</v>
      </c>
      <c r="V1259" s="8">
        <v>1250</v>
      </c>
      <c r="W1259" s="7">
        <v>590053</v>
      </c>
      <c r="X1259" t="s">
        <v>4860</v>
      </c>
      <c r="Y1259" s="8">
        <v>1000</v>
      </c>
      <c r="Z1259" s="8">
        <v>1475</v>
      </c>
      <c r="AA1259" s="8">
        <v>225</v>
      </c>
      <c r="AB1259" s="7">
        <v>113520</v>
      </c>
      <c r="AC1259" t="s">
        <v>4860</v>
      </c>
      <c r="AD1259" s="8">
        <v>250</v>
      </c>
      <c r="AG1259" t="s">
        <v>817</v>
      </c>
      <c r="AH1259" t="s">
        <v>802</v>
      </c>
      <c r="AI1259" t="s">
        <v>818</v>
      </c>
    </row>
    <row r="1260" spans="1:35" hidden="1">
      <c r="A1260" s="7">
        <v>1259</v>
      </c>
      <c r="B1260" t="s">
        <v>243</v>
      </c>
      <c r="C1260" t="s">
        <v>244</v>
      </c>
      <c r="D1260" s="7">
        <v>7134</v>
      </c>
      <c r="E1260" t="s">
        <v>245</v>
      </c>
      <c r="F1260" t="s">
        <v>246</v>
      </c>
      <c r="G1260" t="s">
        <v>1131</v>
      </c>
      <c r="H1260" t="s">
        <v>4871</v>
      </c>
      <c r="I1260" s="7">
        <v>1165</v>
      </c>
      <c r="J1260" s="7">
        <v>39813</v>
      </c>
      <c r="K1260" s="7">
        <v>5</v>
      </c>
      <c r="L1260" t="s">
        <v>247</v>
      </c>
      <c r="M1260" t="s">
        <v>361</v>
      </c>
      <c r="N1260" s="7">
        <v>5114</v>
      </c>
      <c r="O1260" t="s">
        <v>2172</v>
      </c>
      <c r="P1260" t="s">
        <v>2173</v>
      </c>
      <c r="S1260" t="s">
        <v>3799</v>
      </c>
      <c r="T1260" t="s">
        <v>3728</v>
      </c>
      <c r="U1260" t="s">
        <v>4859</v>
      </c>
      <c r="V1260" s="8">
        <v>1650</v>
      </c>
      <c r="W1260" s="7">
        <v>590053</v>
      </c>
      <c r="X1260" t="s">
        <v>4860</v>
      </c>
      <c r="Y1260" s="8">
        <v>1650</v>
      </c>
      <c r="Z1260" s="8">
        <v>1947</v>
      </c>
      <c r="AA1260" s="8">
        <v>297</v>
      </c>
      <c r="AB1260" s="7">
        <v>113520</v>
      </c>
      <c r="AC1260" t="s">
        <v>4860</v>
      </c>
      <c r="AD1260" s="8">
        <v>0</v>
      </c>
      <c r="AG1260" t="s">
        <v>823</v>
      </c>
      <c r="AH1260" t="s">
        <v>802</v>
      </c>
      <c r="AI1260" t="s">
        <v>818</v>
      </c>
    </row>
    <row r="1261" spans="1:35" hidden="1">
      <c r="A1261" s="7">
        <v>1260</v>
      </c>
      <c r="B1261" t="s">
        <v>243</v>
      </c>
      <c r="C1261" t="s">
        <v>244</v>
      </c>
      <c r="D1261" s="7">
        <v>7134</v>
      </c>
      <c r="E1261" t="s">
        <v>245</v>
      </c>
      <c r="F1261" t="s">
        <v>246</v>
      </c>
      <c r="G1261" t="s">
        <v>400</v>
      </c>
      <c r="H1261" t="s">
        <v>4862</v>
      </c>
      <c r="I1261" s="7">
        <v>1165</v>
      </c>
      <c r="J1261" s="7">
        <v>7735</v>
      </c>
      <c r="K1261" s="7">
        <v>4</v>
      </c>
      <c r="L1261" t="s">
        <v>247</v>
      </c>
      <c r="M1261" t="s">
        <v>267</v>
      </c>
      <c r="N1261" s="7">
        <v>789309</v>
      </c>
      <c r="O1261" t="s">
        <v>425</v>
      </c>
      <c r="P1261" t="s">
        <v>426</v>
      </c>
      <c r="S1261" t="s">
        <v>3799</v>
      </c>
      <c r="T1261" t="s">
        <v>3728</v>
      </c>
      <c r="U1261" t="s">
        <v>4859</v>
      </c>
      <c r="V1261" s="8">
        <v>0</v>
      </c>
      <c r="W1261" s="7">
        <v>590053</v>
      </c>
      <c r="X1261" t="s">
        <v>4860</v>
      </c>
      <c r="Y1261" s="8">
        <v>0</v>
      </c>
      <c r="Z1261" s="8">
        <v>0</v>
      </c>
      <c r="AA1261" s="8">
        <v>0</v>
      </c>
      <c r="AB1261" s="7">
        <v>113520</v>
      </c>
      <c r="AC1261" t="s">
        <v>4860</v>
      </c>
      <c r="AD1261" s="8">
        <v>0</v>
      </c>
      <c r="AG1261" t="s">
        <v>828</v>
      </c>
      <c r="AH1261" t="s">
        <v>802</v>
      </c>
      <c r="AI1261" t="s">
        <v>803</v>
      </c>
    </row>
    <row r="1262" spans="1:35" hidden="1">
      <c r="A1262" s="7">
        <v>1261</v>
      </c>
      <c r="B1262" t="s">
        <v>243</v>
      </c>
      <c r="C1262" t="s">
        <v>244</v>
      </c>
      <c r="D1262" s="7">
        <v>7134</v>
      </c>
      <c r="E1262" t="s">
        <v>245</v>
      </c>
      <c r="F1262" t="s">
        <v>246</v>
      </c>
      <c r="G1262" t="s">
        <v>982</v>
      </c>
      <c r="H1262" t="s">
        <v>4872</v>
      </c>
      <c r="I1262" s="7">
        <v>1165</v>
      </c>
      <c r="J1262" s="7">
        <v>70000</v>
      </c>
      <c r="K1262" s="7">
        <v>7</v>
      </c>
      <c r="L1262" t="s">
        <v>247</v>
      </c>
      <c r="M1262" t="s">
        <v>261</v>
      </c>
      <c r="N1262" s="7">
        <v>785383</v>
      </c>
      <c r="O1262" t="s">
        <v>1426</v>
      </c>
      <c r="P1262" t="s">
        <v>1427</v>
      </c>
      <c r="S1262" t="s">
        <v>3799</v>
      </c>
      <c r="T1262" t="s">
        <v>3728</v>
      </c>
      <c r="U1262" t="s">
        <v>4859</v>
      </c>
      <c r="V1262" s="8">
        <v>0</v>
      </c>
      <c r="W1262" s="7">
        <v>590053</v>
      </c>
      <c r="X1262" t="s">
        <v>4860</v>
      </c>
      <c r="Y1262" s="8">
        <v>0</v>
      </c>
      <c r="Z1262" s="8">
        <v>0</v>
      </c>
      <c r="AA1262" s="8">
        <v>0</v>
      </c>
      <c r="AB1262" s="7">
        <v>113520</v>
      </c>
      <c r="AC1262" t="s">
        <v>4860</v>
      </c>
      <c r="AD1262" s="8">
        <v>0</v>
      </c>
      <c r="AG1262" t="s">
        <v>801</v>
      </c>
      <c r="AH1262" t="s">
        <v>802</v>
      </c>
      <c r="AI1262" t="s">
        <v>803</v>
      </c>
    </row>
    <row r="1263" spans="1:35" hidden="1">
      <c r="A1263" s="7">
        <v>1262</v>
      </c>
      <c r="B1263" t="s">
        <v>243</v>
      </c>
      <c r="C1263" t="s">
        <v>244</v>
      </c>
      <c r="D1263" s="7">
        <v>7134</v>
      </c>
      <c r="E1263" t="s">
        <v>245</v>
      </c>
      <c r="F1263" t="s">
        <v>246</v>
      </c>
      <c r="G1263" t="s">
        <v>1088</v>
      </c>
      <c r="H1263" t="s">
        <v>4869</v>
      </c>
      <c r="I1263" s="7">
        <v>1165</v>
      </c>
      <c r="J1263" s="7">
        <v>52750</v>
      </c>
      <c r="K1263" s="7">
        <v>6</v>
      </c>
      <c r="L1263" t="s">
        <v>247</v>
      </c>
      <c r="M1263" t="s">
        <v>261</v>
      </c>
      <c r="N1263" s="7">
        <v>787433</v>
      </c>
      <c r="O1263" t="s">
        <v>3398</v>
      </c>
      <c r="P1263" t="s">
        <v>3399</v>
      </c>
      <c r="S1263" t="s">
        <v>3799</v>
      </c>
      <c r="T1263" t="s">
        <v>3728</v>
      </c>
      <c r="U1263" t="s">
        <v>4859</v>
      </c>
      <c r="V1263" s="8">
        <v>0</v>
      </c>
      <c r="W1263" s="7">
        <v>590053</v>
      </c>
      <c r="X1263" t="s">
        <v>4860</v>
      </c>
      <c r="Y1263" s="8">
        <v>0</v>
      </c>
      <c r="Z1263" s="8">
        <v>0</v>
      </c>
      <c r="AA1263" s="8">
        <v>0</v>
      </c>
      <c r="AB1263" s="7">
        <v>113520</v>
      </c>
      <c r="AC1263" t="s">
        <v>4860</v>
      </c>
      <c r="AD1263" s="8">
        <v>0</v>
      </c>
      <c r="AG1263" t="s">
        <v>801</v>
      </c>
      <c r="AH1263" t="s">
        <v>802</v>
      </c>
      <c r="AI1263" t="s">
        <v>803</v>
      </c>
    </row>
    <row r="1264" spans="1:35" hidden="1">
      <c r="A1264" s="7">
        <v>1263</v>
      </c>
      <c r="B1264" t="s">
        <v>243</v>
      </c>
      <c r="C1264" t="s">
        <v>244</v>
      </c>
      <c r="D1264" s="7">
        <v>7134</v>
      </c>
      <c r="E1264" t="s">
        <v>245</v>
      </c>
      <c r="F1264" t="s">
        <v>246</v>
      </c>
      <c r="G1264" t="s">
        <v>3090</v>
      </c>
      <c r="H1264" t="s">
        <v>3432</v>
      </c>
      <c r="I1264" s="7">
        <v>1165</v>
      </c>
      <c r="J1264" s="7">
        <v>3016</v>
      </c>
      <c r="K1264" s="7">
        <v>1</v>
      </c>
      <c r="L1264" t="s">
        <v>247</v>
      </c>
      <c r="M1264" t="s">
        <v>261</v>
      </c>
      <c r="N1264" s="7">
        <v>795498</v>
      </c>
      <c r="O1264" t="s">
        <v>3163</v>
      </c>
      <c r="P1264" t="s">
        <v>3164</v>
      </c>
      <c r="S1264" t="s">
        <v>3799</v>
      </c>
      <c r="T1264" t="s">
        <v>3728</v>
      </c>
      <c r="U1264" t="s">
        <v>4859</v>
      </c>
      <c r="V1264" s="8">
        <v>1250</v>
      </c>
      <c r="W1264" s="7">
        <v>590053</v>
      </c>
      <c r="X1264" t="s">
        <v>4860</v>
      </c>
      <c r="Y1264" s="8">
        <v>1250</v>
      </c>
      <c r="Z1264" s="8">
        <v>1475</v>
      </c>
      <c r="AA1264" s="8">
        <v>225</v>
      </c>
      <c r="AB1264" s="7">
        <v>113520</v>
      </c>
      <c r="AC1264" t="s">
        <v>4860</v>
      </c>
      <c r="AD1264" s="8">
        <v>0</v>
      </c>
      <c r="AG1264" t="s">
        <v>817</v>
      </c>
      <c r="AH1264" t="s">
        <v>802</v>
      </c>
      <c r="AI1264" t="s">
        <v>818</v>
      </c>
    </row>
    <row r="1265" spans="1:35" hidden="1">
      <c r="A1265" s="7">
        <v>1264</v>
      </c>
      <c r="B1265" t="s">
        <v>243</v>
      </c>
      <c r="C1265" t="s">
        <v>244</v>
      </c>
      <c r="D1265" s="7">
        <v>7134</v>
      </c>
      <c r="E1265" t="s">
        <v>245</v>
      </c>
      <c r="F1265" t="s">
        <v>246</v>
      </c>
      <c r="G1265" t="s">
        <v>1542</v>
      </c>
      <c r="H1265" t="s">
        <v>4862</v>
      </c>
      <c r="I1265" s="7">
        <v>1165</v>
      </c>
      <c r="J1265" s="7">
        <v>100000</v>
      </c>
      <c r="K1265" s="7">
        <v>10</v>
      </c>
      <c r="L1265" t="s">
        <v>247</v>
      </c>
      <c r="M1265" t="s">
        <v>361</v>
      </c>
      <c r="N1265" s="7">
        <v>3269</v>
      </c>
      <c r="O1265" t="s">
        <v>1543</v>
      </c>
      <c r="P1265" t="s">
        <v>1544</v>
      </c>
      <c r="S1265" t="s">
        <v>3799</v>
      </c>
      <c r="T1265" t="s">
        <v>3728</v>
      </c>
      <c r="U1265" t="s">
        <v>4859</v>
      </c>
      <c r="V1265" s="8">
        <v>0</v>
      </c>
      <c r="W1265" s="7">
        <v>590053</v>
      </c>
      <c r="X1265" t="s">
        <v>4860</v>
      </c>
      <c r="Y1265" s="8">
        <v>0</v>
      </c>
      <c r="Z1265" s="8">
        <v>0</v>
      </c>
      <c r="AA1265" s="8">
        <v>0</v>
      </c>
      <c r="AB1265" s="7">
        <v>113520</v>
      </c>
      <c r="AC1265" t="s">
        <v>4860</v>
      </c>
      <c r="AD1265" s="8">
        <v>0</v>
      </c>
      <c r="AG1265" t="s">
        <v>823</v>
      </c>
      <c r="AH1265" t="s">
        <v>802</v>
      </c>
      <c r="AI1265" t="s">
        <v>803</v>
      </c>
    </row>
    <row r="1266" spans="1:35" hidden="1">
      <c r="A1266" s="7">
        <v>1265</v>
      </c>
      <c r="B1266" t="s">
        <v>243</v>
      </c>
      <c r="C1266" t="s">
        <v>244</v>
      </c>
      <c r="D1266" s="7">
        <v>7134</v>
      </c>
      <c r="E1266" t="s">
        <v>245</v>
      </c>
      <c r="F1266" t="s">
        <v>246</v>
      </c>
      <c r="G1266" t="s">
        <v>914</v>
      </c>
      <c r="H1266" t="s">
        <v>3352</v>
      </c>
      <c r="I1266" s="7">
        <v>1165</v>
      </c>
      <c r="J1266" s="7">
        <v>20622</v>
      </c>
      <c r="K1266" s="7">
        <v>4</v>
      </c>
      <c r="L1266" t="s">
        <v>247</v>
      </c>
      <c r="M1266" t="s">
        <v>261</v>
      </c>
      <c r="N1266" s="7">
        <v>791456</v>
      </c>
      <c r="O1266" t="s">
        <v>3396</v>
      </c>
      <c r="P1266" t="s">
        <v>3397</v>
      </c>
      <c r="S1266" t="s">
        <v>3799</v>
      </c>
      <c r="T1266" t="s">
        <v>3728</v>
      </c>
      <c r="U1266" t="s">
        <v>4859</v>
      </c>
      <c r="V1266" s="8">
        <v>0</v>
      </c>
      <c r="W1266" s="7">
        <v>590053</v>
      </c>
      <c r="X1266" t="s">
        <v>4860</v>
      </c>
      <c r="Y1266" s="8">
        <v>0</v>
      </c>
      <c r="Z1266" s="8">
        <v>0</v>
      </c>
      <c r="AA1266" s="8">
        <v>0</v>
      </c>
      <c r="AB1266" s="7">
        <v>113520</v>
      </c>
      <c r="AC1266" t="s">
        <v>4860</v>
      </c>
      <c r="AD1266" s="8">
        <v>0</v>
      </c>
      <c r="AG1266" t="s">
        <v>801</v>
      </c>
      <c r="AH1266" t="s">
        <v>802</v>
      </c>
      <c r="AI1266" t="s">
        <v>803</v>
      </c>
    </row>
    <row r="1267" spans="1:35" hidden="1">
      <c r="A1267" s="7">
        <v>1266</v>
      </c>
      <c r="B1267" t="s">
        <v>243</v>
      </c>
      <c r="C1267" t="s">
        <v>244</v>
      </c>
      <c r="D1267" s="7">
        <v>7134</v>
      </c>
      <c r="E1267" t="s">
        <v>245</v>
      </c>
      <c r="F1267" t="s">
        <v>246</v>
      </c>
      <c r="G1267" t="s">
        <v>867</v>
      </c>
      <c r="H1267" t="s">
        <v>4866</v>
      </c>
      <c r="I1267" s="7">
        <v>1165</v>
      </c>
      <c r="J1267" s="7">
        <v>38636</v>
      </c>
      <c r="K1267" s="7">
        <v>4</v>
      </c>
      <c r="L1267" t="s">
        <v>247</v>
      </c>
      <c r="M1267" t="s">
        <v>361</v>
      </c>
      <c r="N1267" s="7">
        <v>4895</v>
      </c>
      <c r="O1267" t="s">
        <v>918</v>
      </c>
      <c r="P1267" t="s">
        <v>919</v>
      </c>
      <c r="S1267" t="s">
        <v>3799</v>
      </c>
      <c r="T1267" t="s">
        <v>3728</v>
      </c>
      <c r="U1267" t="s">
        <v>4859</v>
      </c>
      <c r="V1267" s="8">
        <v>0</v>
      </c>
      <c r="W1267" s="7">
        <v>590053</v>
      </c>
      <c r="X1267" t="s">
        <v>4860</v>
      </c>
      <c r="Y1267" s="8">
        <v>0</v>
      </c>
      <c r="Z1267" s="8">
        <v>0</v>
      </c>
      <c r="AA1267" s="8">
        <v>0</v>
      </c>
      <c r="AB1267" s="7">
        <v>113520</v>
      </c>
      <c r="AC1267" t="s">
        <v>4860</v>
      </c>
      <c r="AD1267" s="8">
        <v>0</v>
      </c>
      <c r="AG1267" t="s">
        <v>823</v>
      </c>
      <c r="AH1267" t="s">
        <v>802</v>
      </c>
      <c r="AI1267" t="s">
        <v>803</v>
      </c>
    </row>
    <row r="1268" spans="1:35" hidden="1">
      <c r="A1268" s="7">
        <v>1267</v>
      </c>
      <c r="B1268" t="s">
        <v>243</v>
      </c>
      <c r="C1268" t="s">
        <v>244</v>
      </c>
      <c r="D1268" s="7">
        <v>7134</v>
      </c>
      <c r="E1268" t="s">
        <v>245</v>
      </c>
      <c r="F1268" t="s">
        <v>246</v>
      </c>
      <c r="G1268" t="s">
        <v>1072</v>
      </c>
      <c r="H1268" t="s">
        <v>3355</v>
      </c>
      <c r="I1268" s="7">
        <v>1165</v>
      </c>
      <c r="J1268" s="7">
        <v>89990</v>
      </c>
      <c r="K1268" s="7">
        <v>9</v>
      </c>
      <c r="L1268" t="s">
        <v>247</v>
      </c>
      <c r="M1268" t="s">
        <v>261</v>
      </c>
      <c r="N1268" s="7">
        <v>774685</v>
      </c>
      <c r="O1268" t="s">
        <v>1073</v>
      </c>
      <c r="P1268" t="s">
        <v>1074</v>
      </c>
      <c r="S1268" t="s">
        <v>3799</v>
      </c>
      <c r="T1268" t="s">
        <v>3728</v>
      </c>
      <c r="U1268" t="s">
        <v>4859</v>
      </c>
      <c r="V1268" s="8">
        <v>0</v>
      </c>
      <c r="W1268" s="7">
        <v>590053</v>
      </c>
      <c r="X1268" t="s">
        <v>4860</v>
      </c>
      <c r="Y1268" s="8">
        <v>0</v>
      </c>
      <c r="Z1268" s="8">
        <v>0</v>
      </c>
      <c r="AA1268" s="8">
        <v>0</v>
      </c>
      <c r="AB1268" s="7">
        <v>113520</v>
      </c>
      <c r="AC1268" t="s">
        <v>4860</v>
      </c>
      <c r="AD1268" s="8">
        <v>0</v>
      </c>
      <c r="AG1268" t="s">
        <v>801</v>
      </c>
      <c r="AH1268" t="s">
        <v>802</v>
      </c>
      <c r="AI1268" t="s">
        <v>803</v>
      </c>
    </row>
    <row r="1269" spans="1:35" hidden="1">
      <c r="A1269" s="7">
        <v>1268</v>
      </c>
      <c r="B1269" t="s">
        <v>243</v>
      </c>
      <c r="C1269" t="s">
        <v>244</v>
      </c>
      <c r="D1269" s="7">
        <v>7134</v>
      </c>
      <c r="E1269" t="s">
        <v>245</v>
      </c>
      <c r="F1269" t="s">
        <v>246</v>
      </c>
      <c r="G1269" t="s">
        <v>4873</v>
      </c>
      <c r="H1269" t="s">
        <v>3355</v>
      </c>
      <c r="I1269" s="7">
        <v>1165</v>
      </c>
      <c r="J1269" s="7">
        <v>31474</v>
      </c>
      <c r="K1269" s="7">
        <v>6</v>
      </c>
      <c r="L1269" t="s">
        <v>247</v>
      </c>
      <c r="M1269" t="s">
        <v>261</v>
      </c>
      <c r="N1269" s="7">
        <v>787125</v>
      </c>
      <c r="O1269" t="s">
        <v>3019</v>
      </c>
      <c r="P1269" t="s">
        <v>3020</v>
      </c>
      <c r="Q1269" t="s">
        <v>870</v>
      </c>
      <c r="R1269" t="s">
        <v>871</v>
      </c>
      <c r="S1269" t="s">
        <v>3799</v>
      </c>
      <c r="T1269" t="s">
        <v>3728</v>
      </c>
      <c r="U1269" t="s">
        <v>4859</v>
      </c>
      <c r="V1269" s="8">
        <v>0</v>
      </c>
      <c r="W1269" s="7">
        <v>590053</v>
      </c>
      <c r="X1269" t="s">
        <v>4860</v>
      </c>
      <c r="Y1269" s="8">
        <v>0</v>
      </c>
      <c r="Z1269" s="8">
        <v>0</v>
      </c>
      <c r="AA1269" s="8">
        <v>0</v>
      </c>
      <c r="AB1269" s="7">
        <v>113520</v>
      </c>
      <c r="AC1269" t="s">
        <v>4860</v>
      </c>
      <c r="AD1269" s="8">
        <v>0</v>
      </c>
      <c r="AG1269" t="s">
        <v>801</v>
      </c>
      <c r="AH1269" t="s">
        <v>802</v>
      </c>
      <c r="AI1269" t="s">
        <v>803</v>
      </c>
    </row>
    <row r="1270" spans="1:35" hidden="1">
      <c r="A1270" s="7">
        <v>1269</v>
      </c>
      <c r="B1270" t="s">
        <v>243</v>
      </c>
      <c r="C1270" t="s">
        <v>244</v>
      </c>
      <c r="D1270" s="7">
        <v>7134</v>
      </c>
      <c r="E1270" t="s">
        <v>245</v>
      </c>
      <c r="F1270" t="s">
        <v>246</v>
      </c>
      <c r="G1270" t="s">
        <v>1014</v>
      </c>
      <c r="H1270" t="s">
        <v>3727</v>
      </c>
      <c r="I1270" s="7">
        <v>1165</v>
      </c>
      <c r="J1270" s="7">
        <v>91050</v>
      </c>
      <c r="K1270" s="7">
        <v>13</v>
      </c>
      <c r="L1270" t="s">
        <v>247</v>
      </c>
      <c r="M1270" t="s">
        <v>261</v>
      </c>
      <c r="N1270" s="7">
        <v>753171</v>
      </c>
      <c r="O1270" t="s">
        <v>1078</v>
      </c>
      <c r="P1270" t="s">
        <v>1079</v>
      </c>
      <c r="S1270" t="s">
        <v>3799</v>
      </c>
      <c r="T1270" t="s">
        <v>3728</v>
      </c>
      <c r="U1270" t="s">
        <v>4859</v>
      </c>
      <c r="V1270" s="8">
        <v>0</v>
      </c>
      <c r="W1270" s="7">
        <v>590053</v>
      </c>
      <c r="X1270" t="s">
        <v>4860</v>
      </c>
      <c r="Y1270" s="8">
        <v>0</v>
      </c>
      <c r="Z1270" s="8">
        <v>0</v>
      </c>
      <c r="AA1270" s="8">
        <v>0</v>
      </c>
      <c r="AB1270" s="7">
        <v>113520</v>
      </c>
      <c r="AC1270" t="s">
        <v>4860</v>
      </c>
      <c r="AD1270" s="8">
        <v>0</v>
      </c>
      <c r="AG1270" t="s">
        <v>801</v>
      </c>
      <c r="AH1270" t="s">
        <v>802</v>
      </c>
      <c r="AI1270" t="s">
        <v>803</v>
      </c>
    </row>
    <row r="1271" spans="1:35" hidden="1">
      <c r="A1271" s="7">
        <v>1270</v>
      </c>
      <c r="B1271" t="s">
        <v>243</v>
      </c>
      <c r="C1271" t="s">
        <v>244</v>
      </c>
      <c r="D1271" s="7">
        <v>7134</v>
      </c>
      <c r="E1271" t="s">
        <v>245</v>
      </c>
      <c r="F1271" t="s">
        <v>246</v>
      </c>
      <c r="G1271" t="s">
        <v>1041</v>
      </c>
      <c r="H1271" t="s">
        <v>3432</v>
      </c>
      <c r="I1271" s="7">
        <v>900</v>
      </c>
      <c r="J1271" s="7">
        <v>3790</v>
      </c>
      <c r="K1271" s="7">
        <v>2</v>
      </c>
      <c r="L1271" t="s">
        <v>247</v>
      </c>
      <c r="M1271" t="s">
        <v>261</v>
      </c>
      <c r="N1271" s="7">
        <v>781572</v>
      </c>
      <c r="O1271" t="s">
        <v>4874</v>
      </c>
      <c r="P1271" t="s">
        <v>4875</v>
      </c>
      <c r="Q1271" t="s">
        <v>870</v>
      </c>
      <c r="R1271" t="s">
        <v>871</v>
      </c>
      <c r="S1271" t="s">
        <v>3799</v>
      </c>
      <c r="T1271" t="s">
        <v>3728</v>
      </c>
      <c r="U1271" t="s">
        <v>4859</v>
      </c>
      <c r="V1271" s="8">
        <v>1250</v>
      </c>
      <c r="W1271" s="7">
        <v>590053</v>
      </c>
      <c r="X1271" t="s">
        <v>4860</v>
      </c>
      <c r="Y1271" s="8">
        <v>1000</v>
      </c>
      <c r="Z1271" s="8">
        <v>1475</v>
      </c>
      <c r="AA1271" s="8">
        <v>225</v>
      </c>
      <c r="AB1271" s="7">
        <v>113520</v>
      </c>
      <c r="AC1271" t="s">
        <v>4860</v>
      </c>
      <c r="AD1271" s="8">
        <v>250</v>
      </c>
      <c r="AG1271" t="s">
        <v>801</v>
      </c>
      <c r="AH1271" t="s">
        <v>802</v>
      </c>
      <c r="AI1271" t="s">
        <v>818</v>
      </c>
    </row>
    <row r="1272" spans="1:35" hidden="1">
      <c r="A1272" s="7">
        <v>1271</v>
      </c>
      <c r="B1272" t="s">
        <v>243</v>
      </c>
      <c r="C1272" t="s">
        <v>244</v>
      </c>
      <c r="D1272" s="7">
        <v>7134</v>
      </c>
      <c r="E1272" t="s">
        <v>245</v>
      </c>
      <c r="F1272" t="s">
        <v>246</v>
      </c>
      <c r="G1272" t="s">
        <v>293</v>
      </c>
      <c r="H1272" t="s">
        <v>4871</v>
      </c>
      <c r="I1272" s="7">
        <v>1165</v>
      </c>
      <c r="J1272" s="7">
        <v>9625</v>
      </c>
      <c r="K1272" s="7">
        <v>2</v>
      </c>
      <c r="L1272" t="s">
        <v>247</v>
      </c>
      <c r="M1272" t="s">
        <v>261</v>
      </c>
      <c r="N1272" s="7">
        <v>781693</v>
      </c>
      <c r="O1272" t="s">
        <v>319</v>
      </c>
      <c r="P1272" t="s">
        <v>320</v>
      </c>
      <c r="S1272" t="s">
        <v>3799</v>
      </c>
      <c r="T1272" t="s">
        <v>3728</v>
      </c>
      <c r="U1272" t="s">
        <v>4859</v>
      </c>
      <c r="V1272" s="8">
        <v>1250</v>
      </c>
      <c r="W1272" s="7">
        <v>590053</v>
      </c>
      <c r="X1272" t="s">
        <v>4860</v>
      </c>
      <c r="Y1272" s="8">
        <v>1250</v>
      </c>
      <c r="Z1272" s="8">
        <v>1475</v>
      </c>
      <c r="AA1272" s="8">
        <v>225</v>
      </c>
      <c r="AB1272" s="7">
        <v>113520</v>
      </c>
      <c r="AC1272" t="s">
        <v>4860</v>
      </c>
      <c r="AD1272" s="8">
        <v>0</v>
      </c>
      <c r="AG1272" t="s">
        <v>817</v>
      </c>
      <c r="AH1272" t="s">
        <v>802</v>
      </c>
      <c r="AI1272" t="s">
        <v>818</v>
      </c>
    </row>
    <row r="1273" spans="1:35" hidden="1">
      <c r="A1273" s="7">
        <v>1272</v>
      </c>
      <c r="B1273" t="s">
        <v>243</v>
      </c>
      <c r="C1273" t="s">
        <v>244</v>
      </c>
      <c r="D1273" s="7">
        <v>7134</v>
      </c>
      <c r="E1273" t="s">
        <v>245</v>
      </c>
      <c r="F1273" t="s">
        <v>246</v>
      </c>
      <c r="G1273" t="s">
        <v>1011</v>
      </c>
      <c r="H1273" t="s">
        <v>4869</v>
      </c>
      <c r="I1273" s="7">
        <v>1165</v>
      </c>
      <c r="J1273" s="7">
        <v>9613</v>
      </c>
      <c r="K1273" s="7">
        <v>7</v>
      </c>
      <c r="L1273" t="s">
        <v>247</v>
      </c>
      <c r="M1273" t="s">
        <v>261</v>
      </c>
      <c r="N1273" s="7">
        <v>781826</v>
      </c>
      <c r="O1273" t="s">
        <v>1462</v>
      </c>
      <c r="P1273" t="s">
        <v>1463</v>
      </c>
      <c r="Q1273" t="s">
        <v>870</v>
      </c>
      <c r="R1273" t="s">
        <v>871</v>
      </c>
      <c r="S1273" t="s">
        <v>3799</v>
      </c>
      <c r="T1273" t="s">
        <v>3728</v>
      </c>
      <c r="U1273" t="s">
        <v>4859</v>
      </c>
      <c r="V1273" s="8">
        <v>0</v>
      </c>
      <c r="W1273" s="7">
        <v>590053</v>
      </c>
      <c r="X1273" t="s">
        <v>4860</v>
      </c>
      <c r="Y1273" s="8">
        <v>0</v>
      </c>
      <c r="Z1273" s="8">
        <v>0</v>
      </c>
      <c r="AA1273" s="8">
        <v>0</v>
      </c>
      <c r="AB1273" s="7">
        <v>113520</v>
      </c>
      <c r="AC1273" t="s">
        <v>4860</v>
      </c>
      <c r="AD1273" s="8">
        <v>0</v>
      </c>
      <c r="AG1273" t="s">
        <v>808</v>
      </c>
      <c r="AH1273" t="s">
        <v>802</v>
      </c>
      <c r="AI1273" t="s">
        <v>803</v>
      </c>
    </row>
    <row r="1274" spans="1:35" hidden="1">
      <c r="A1274" s="7">
        <v>1273</v>
      </c>
      <c r="B1274" t="s">
        <v>243</v>
      </c>
      <c r="C1274" t="s">
        <v>244</v>
      </c>
      <c r="D1274" s="7">
        <v>7134</v>
      </c>
      <c r="E1274" t="s">
        <v>245</v>
      </c>
      <c r="F1274" t="s">
        <v>246</v>
      </c>
      <c r="G1274" t="s">
        <v>1686</v>
      </c>
      <c r="H1274" t="s">
        <v>4872</v>
      </c>
      <c r="I1274" s="7">
        <v>1165</v>
      </c>
      <c r="J1274" s="7">
        <v>98883</v>
      </c>
      <c r="K1274" s="7">
        <v>10</v>
      </c>
      <c r="L1274" t="s">
        <v>247</v>
      </c>
      <c r="M1274" t="s">
        <v>361</v>
      </c>
      <c r="N1274" s="7">
        <v>1907</v>
      </c>
      <c r="O1274" t="s">
        <v>1687</v>
      </c>
      <c r="P1274" t="s">
        <v>1688</v>
      </c>
      <c r="S1274" t="s">
        <v>3799</v>
      </c>
      <c r="T1274" t="s">
        <v>3728</v>
      </c>
      <c r="U1274" t="s">
        <v>4859</v>
      </c>
      <c r="V1274" s="8">
        <v>0</v>
      </c>
      <c r="W1274" s="7">
        <v>590053</v>
      </c>
      <c r="X1274" t="s">
        <v>4860</v>
      </c>
      <c r="Y1274" s="8">
        <v>0</v>
      </c>
      <c r="Z1274" s="8">
        <v>0</v>
      </c>
      <c r="AA1274" s="8">
        <v>0</v>
      </c>
      <c r="AB1274" s="7">
        <v>113520</v>
      </c>
      <c r="AC1274" t="s">
        <v>4860</v>
      </c>
      <c r="AD1274" s="8">
        <v>0</v>
      </c>
      <c r="AG1274" t="s">
        <v>823</v>
      </c>
      <c r="AH1274" t="s">
        <v>802</v>
      </c>
      <c r="AI1274" t="s">
        <v>803</v>
      </c>
    </row>
    <row r="1275" spans="1:35" hidden="1">
      <c r="A1275" s="7">
        <v>1274</v>
      </c>
      <c r="B1275" t="s">
        <v>243</v>
      </c>
      <c r="C1275" t="s">
        <v>244</v>
      </c>
      <c r="D1275" s="7">
        <v>7134</v>
      </c>
      <c r="E1275" t="s">
        <v>245</v>
      </c>
      <c r="F1275" t="s">
        <v>246</v>
      </c>
      <c r="G1275" t="s">
        <v>1197</v>
      </c>
      <c r="H1275" t="s">
        <v>4871</v>
      </c>
      <c r="I1275" s="7">
        <v>1165</v>
      </c>
      <c r="J1275" s="7">
        <v>40639</v>
      </c>
      <c r="K1275" s="7">
        <v>4</v>
      </c>
      <c r="L1275" t="s">
        <v>247</v>
      </c>
      <c r="M1275" t="s">
        <v>361</v>
      </c>
      <c r="N1275" s="7">
        <v>6475</v>
      </c>
      <c r="O1275" t="s">
        <v>1198</v>
      </c>
      <c r="P1275" t="s">
        <v>1199</v>
      </c>
      <c r="S1275" t="s">
        <v>3799</v>
      </c>
      <c r="T1275" t="s">
        <v>3728</v>
      </c>
      <c r="U1275" t="s">
        <v>4859</v>
      </c>
      <c r="V1275" s="8">
        <v>0</v>
      </c>
      <c r="W1275" s="7">
        <v>590053</v>
      </c>
      <c r="X1275" t="s">
        <v>4860</v>
      </c>
      <c r="Y1275" s="8">
        <v>0</v>
      </c>
      <c r="Z1275" s="8">
        <v>0</v>
      </c>
      <c r="AA1275" s="8">
        <v>0</v>
      </c>
      <c r="AB1275" s="7">
        <v>113520</v>
      </c>
      <c r="AC1275" t="s">
        <v>4860</v>
      </c>
      <c r="AD1275" s="8">
        <v>0</v>
      </c>
      <c r="AG1275" t="s">
        <v>823</v>
      </c>
      <c r="AH1275" t="s">
        <v>802</v>
      </c>
      <c r="AI1275" t="s">
        <v>803</v>
      </c>
    </row>
    <row r="1276" spans="1:35" hidden="1">
      <c r="A1276" s="7">
        <v>1275</v>
      </c>
      <c r="B1276" t="s">
        <v>243</v>
      </c>
      <c r="C1276" t="s">
        <v>244</v>
      </c>
      <c r="D1276" s="7">
        <v>7134</v>
      </c>
      <c r="E1276" t="s">
        <v>245</v>
      </c>
      <c r="F1276" t="s">
        <v>246</v>
      </c>
      <c r="G1276" t="s">
        <v>770</v>
      </c>
      <c r="H1276" t="s">
        <v>4869</v>
      </c>
      <c r="I1276" s="7">
        <v>1190</v>
      </c>
      <c r="J1276" s="7">
        <v>13018</v>
      </c>
      <c r="K1276" s="7">
        <v>2</v>
      </c>
      <c r="L1276" t="s">
        <v>247</v>
      </c>
      <c r="M1276" t="s">
        <v>261</v>
      </c>
      <c r="N1276" s="7">
        <v>802410</v>
      </c>
      <c r="O1276" t="s">
        <v>3387</v>
      </c>
      <c r="P1276" t="s">
        <v>3388</v>
      </c>
      <c r="S1276" t="s">
        <v>3799</v>
      </c>
      <c r="T1276" t="s">
        <v>3728</v>
      </c>
      <c r="U1276" t="s">
        <v>4859</v>
      </c>
      <c r="V1276" s="8">
        <v>0</v>
      </c>
      <c r="W1276" s="7">
        <v>590053</v>
      </c>
      <c r="X1276" t="s">
        <v>4860</v>
      </c>
      <c r="Y1276" s="8">
        <v>0</v>
      </c>
      <c r="Z1276" s="8">
        <v>0</v>
      </c>
      <c r="AA1276" s="8">
        <v>0</v>
      </c>
      <c r="AB1276" s="7">
        <v>113520</v>
      </c>
      <c r="AC1276" t="s">
        <v>4860</v>
      </c>
      <c r="AD1276" s="8">
        <v>0</v>
      </c>
      <c r="AG1276" t="s">
        <v>801</v>
      </c>
      <c r="AH1276" t="s">
        <v>802</v>
      </c>
      <c r="AI1276" t="s">
        <v>803</v>
      </c>
    </row>
    <row r="1277" spans="1:35" hidden="1">
      <c r="A1277" s="7">
        <v>1276</v>
      </c>
      <c r="B1277" t="s">
        <v>243</v>
      </c>
      <c r="C1277" t="s">
        <v>244</v>
      </c>
      <c r="D1277" s="7">
        <v>7134</v>
      </c>
      <c r="E1277" t="s">
        <v>245</v>
      </c>
      <c r="F1277" t="s">
        <v>246</v>
      </c>
      <c r="G1277" t="s">
        <v>1202</v>
      </c>
      <c r="H1277" t="s">
        <v>4862</v>
      </c>
      <c r="I1277" s="7">
        <v>1165</v>
      </c>
      <c r="J1277" s="7">
        <v>90638</v>
      </c>
      <c r="K1277" s="7">
        <v>9</v>
      </c>
      <c r="L1277" t="s">
        <v>247</v>
      </c>
      <c r="M1277" t="s">
        <v>261</v>
      </c>
      <c r="N1277" s="7">
        <v>775938</v>
      </c>
      <c r="O1277" t="s">
        <v>1203</v>
      </c>
      <c r="P1277" t="s">
        <v>1204</v>
      </c>
      <c r="S1277" t="s">
        <v>3799</v>
      </c>
      <c r="T1277" t="s">
        <v>3728</v>
      </c>
      <c r="U1277" t="s">
        <v>4859</v>
      </c>
      <c r="V1277" s="8">
        <v>0</v>
      </c>
      <c r="W1277" s="7">
        <v>590053</v>
      </c>
      <c r="X1277" t="s">
        <v>4860</v>
      </c>
      <c r="Y1277" s="8">
        <v>0</v>
      </c>
      <c r="Z1277" s="8">
        <v>0</v>
      </c>
      <c r="AA1277" s="8">
        <v>0</v>
      </c>
      <c r="AB1277" s="7">
        <v>113520</v>
      </c>
      <c r="AC1277" t="s">
        <v>4860</v>
      </c>
      <c r="AD1277" s="8">
        <v>0</v>
      </c>
      <c r="AG1277" t="s">
        <v>801</v>
      </c>
      <c r="AH1277" t="s">
        <v>802</v>
      </c>
      <c r="AI1277" t="s">
        <v>803</v>
      </c>
    </row>
    <row r="1278" spans="1:35" hidden="1">
      <c r="A1278" s="7">
        <v>1277</v>
      </c>
      <c r="B1278" t="s">
        <v>243</v>
      </c>
      <c r="C1278" t="s">
        <v>244</v>
      </c>
      <c r="D1278" s="7">
        <v>7134</v>
      </c>
      <c r="E1278" t="s">
        <v>245</v>
      </c>
      <c r="F1278" t="s">
        <v>246</v>
      </c>
      <c r="G1278" t="s">
        <v>4876</v>
      </c>
      <c r="H1278" t="s">
        <v>3426</v>
      </c>
      <c r="I1278" s="7">
        <v>1165</v>
      </c>
      <c r="J1278" s="7">
        <v>6485</v>
      </c>
      <c r="K1278" s="7">
        <v>5</v>
      </c>
      <c r="L1278" t="s">
        <v>247</v>
      </c>
      <c r="M1278" t="s">
        <v>252</v>
      </c>
      <c r="N1278" s="7">
        <v>326362</v>
      </c>
      <c r="O1278" t="s">
        <v>4544</v>
      </c>
      <c r="P1278" t="s">
        <v>4545</v>
      </c>
      <c r="S1278" t="s">
        <v>3799</v>
      </c>
      <c r="T1278" t="s">
        <v>3728</v>
      </c>
      <c r="U1278" t="s">
        <v>4859</v>
      </c>
      <c r="V1278" s="8">
        <v>1250</v>
      </c>
      <c r="W1278" s="7">
        <v>590053</v>
      </c>
      <c r="X1278" t="s">
        <v>4860</v>
      </c>
      <c r="Y1278" s="8">
        <v>1250</v>
      </c>
      <c r="Z1278" s="8">
        <v>1475</v>
      </c>
      <c r="AA1278" s="8">
        <v>225</v>
      </c>
      <c r="AB1278" s="7">
        <v>113520</v>
      </c>
      <c r="AC1278" t="s">
        <v>4860</v>
      </c>
      <c r="AD1278" s="8">
        <v>0</v>
      </c>
      <c r="AG1278" t="s">
        <v>937</v>
      </c>
      <c r="AH1278" t="s">
        <v>802</v>
      </c>
      <c r="AI1278" t="s">
        <v>818</v>
      </c>
    </row>
    <row r="1279" spans="1:35" hidden="1">
      <c r="A1279" s="7">
        <v>1278</v>
      </c>
      <c r="B1279" t="s">
        <v>243</v>
      </c>
      <c r="C1279" t="s">
        <v>244</v>
      </c>
      <c r="D1279" s="7">
        <v>7134</v>
      </c>
      <c r="E1279" t="s">
        <v>245</v>
      </c>
      <c r="F1279" t="s">
        <v>246</v>
      </c>
      <c r="G1279" t="s">
        <v>3098</v>
      </c>
      <c r="H1279" t="s">
        <v>3355</v>
      </c>
      <c r="I1279" s="7">
        <v>1165</v>
      </c>
      <c r="J1279" s="7">
        <v>10000</v>
      </c>
      <c r="K1279" s="7">
        <v>1</v>
      </c>
      <c r="L1279" t="s">
        <v>247</v>
      </c>
      <c r="M1279" t="s">
        <v>361</v>
      </c>
      <c r="N1279" s="7">
        <v>8044</v>
      </c>
      <c r="O1279" t="s">
        <v>3250</v>
      </c>
      <c r="P1279" t="s">
        <v>3251</v>
      </c>
      <c r="Q1279" t="s">
        <v>870</v>
      </c>
      <c r="R1279" t="s">
        <v>871</v>
      </c>
      <c r="S1279" t="s">
        <v>3799</v>
      </c>
      <c r="T1279" t="s">
        <v>3728</v>
      </c>
      <c r="U1279" t="s">
        <v>4859</v>
      </c>
      <c r="V1279" s="8">
        <v>1650</v>
      </c>
      <c r="W1279" s="7">
        <v>590053</v>
      </c>
      <c r="X1279" t="s">
        <v>4860</v>
      </c>
      <c r="Y1279" s="8">
        <v>1320</v>
      </c>
      <c r="Z1279" s="8">
        <v>1947</v>
      </c>
      <c r="AA1279" s="8">
        <v>297</v>
      </c>
      <c r="AB1279" s="7">
        <v>113520</v>
      </c>
      <c r="AC1279" t="s">
        <v>4860</v>
      </c>
      <c r="AD1279" s="8">
        <v>330</v>
      </c>
      <c r="AG1279" t="s">
        <v>823</v>
      </c>
      <c r="AH1279" t="s">
        <v>802</v>
      </c>
      <c r="AI1279" t="s">
        <v>818</v>
      </c>
    </row>
    <row r="1280" spans="1:35" hidden="1">
      <c r="A1280" s="7">
        <v>1279</v>
      </c>
      <c r="B1280" t="s">
        <v>243</v>
      </c>
      <c r="C1280" t="s">
        <v>244</v>
      </c>
      <c r="D1280" s="7">
        <v>7134</v>
      </c>
      <c r="E1280" t="s">
        <v>245</v>
      </c>
      <c r="F1280" t="s">
        <v>246</v>
      </c>
      <c r="G1280" t="s">
        <v>657</v>
      </c>
      <c r="H1280" t="s">
        <v>4861</v>
      </c>
      <c r="I1280" s="7">
        <v>1165</v>
      </c>
      <c r="J1280" s="7">
        <v>26551</v>
      </c>
      <c r="K1280" s="7">
        <v>2</v>
      </c>
      <c r="L1280" t="s">
        <v>247</v>
      </c>
      <c r="M1280" t="s">
        <v>261</v>
      </c>
      <c r="N1280" s="7">
        <v>802597</v>
      </c>
      <c r="O1280" t="s">
        <v>659</v>
      </c>
      <c r="P1280" t="s">
        <v>660</v>
      </c>
      <c r="Q1280" t="s">
        <v>908</v>
      </c>
      <c r="R1280" t="s">
        <v>909</v>
      </c>
      <c r="S1280" t="s">
        <v>3799</v>
      </c>
      <c r="T1280" t="s">
        <v>3728</v>
      </c>
      <c r="U1280" t="s">
        <v>4859</v>
      </c>
      <c r="V1280" s="8">
        <v>0</v>
      </c>
      <c r="W1280" s="7">
        <v>590053</v>
      </c>
      <c r="X1280" t="s">
        <v>4860</v>
      </c>
      <c r="Y1280" s="8">
        <v>0</v>
      </c>
      <c r="Z1280" s="8">
        <v>0</v>
      </c>
      <c r="AA1280" s="8">
        <v>0</v>
      </c>
      <c r="AB1280" s="7">
        <v>113520</v>
      </c>
      <c r="AC1280" t="s">
        <v>4860</v>
      </c>
      <c r="AD1280" s="8">
        <v>0</v>
      </c>
      <c r="AG1280" t="s">
        <v>801</v>
      </c>
      <c r="AH1280" t="s">
        <v>802</v>
      </c>
      <c r="AI1280" t="s">
        <v>803</v>
      </c>
    </row>
    <row r="1281" spans="1:35" hidden="1">
      <c r="A1281" s="7">
        <v>1280</v>
      </c>
      <c r="B1281" t="s">
        <v>243</v>
      </c>
      <c r="C1281" t="s">
        <v>244</v>
      </c>
      <c r="D1281" s="7">
        <v>7134</v>
      </c>
      <c r="E1281" t="s">
        <v>245</v>
      </c>
      <c r="F1281" t="s">
        <v>246</v>
      </c>
      <c r="G1281" t="s">
        <v>999</v>
      </c>
      <c r="H1281" t="s">
        <v>4868</v>
      </c>
      <c r="I1281" s="7">
        <v>1165</v>
      </c>
      <c r="J1281" s="7">
        <v>30670</v>
      </c>
      <c r="K1281" s="7">
        <v>6</v>
      </c>
      <c r="L1281" t="s">
        <v>247</v>
      </c>
      <c r="M1281" t="s">
        <v>261</v>
      </c>
      <c r="N1281" s="7">
        <v>790753</v>
      </c>
      <c r="O1281" t="s">
        <v>1000</v>
      </c>
      <c r="P1281" t="s">
        <v>1001</v>
      </c>
      <c r="S1281" t="s">
        <v>3799</v>
      </c>
      <c r="T1281" t="s">
        <v>3728</v>
      </c>
      <c r="U1281" t="s">
        <v>4859</v>
      </c>
      <c r="V1281" s="8">
        <v>0</v>
      </c>
      <c r="W1281" s="7">
        <v>590053</v>
      </c>
      <c r="X1281" t="s">
        <v>4860</v>
      </c>
      <c r="Y1281" s="8">
        <v>0</v>
      </c>
      <c r="Z1281" s="8">
        <v>0</v>
      </c>
      <c r="AA1281" s="8">
        <v>0</v>
      </c>
      <c r="AB1281" s="7">
        <v>113520</v>
      </c>
      <c r="AC1281" t="s">
        <v>4860</v>
      </c>
      <c r="AD1281" s="8">
        <v>0</v>
      </c>
      <c r="AG1281" t="s">
        <v>801</v>
      </c>
      <c r="AH1281" t="s">
        <v>802</v>
      </c>
      <c r="AI1281" t="s">
        <v>803</v>
      </c>
    </row>
    <row r="1282" spans="1:35" hidden="1">
      <c r="A1282" s="7">
        <v>1281</v>
      </c>
      <c r="B1282" t="s">
        <v>243</v>
      </c>
      <c r="C1282" t="s">
        <v>244</v>
      </c>
      <c r="D1282" s="7">
        <v>7134</v>
      </c>
      <c r="E1282" t="s">
        <v>245</v>
      </c>
      <c r="F1282" t="s">
        <v>246</v>
      </c>
      <c r="G1282" t="s">
        <v>693</v>
      </c>
      <c r="H1282" t="s">
        <v>4877</v>
      </c>
      <c r="I1282" s="7">
        <v>1165</v>
      </c>
      <c r="J1282" s="7">
        <v>5737</v>
      </c>
      <c r="K1282" s="7">
        <v>1</v>
      </c>
      <c r="L1282" t="s">
        <v>247</v>
      </c>
      <c r="M1282" t="s">
        <v>261</v>
      </c>
      <c r="N1282" s="7">
        <v>796788</v>
      </c>
      <c r="O1282" t="s">
        <v>695</v>
      </c>
      <c r="P1282" t="s">
        <v>696</v>
      </c>
      <c r="S1282" t="s">
        <v>3799</v>
      </c>
      <c r="T1282" t="s">
        <v>3728</v>
      </c>
      <c r="U1282" t="s">
        <v>4859</v>
      </c>
      <c r="V1282" s="8">
        <v>1250</v>
      </c>
      <c r="W1282" s="7">
        <v>590053</v>
      </c>
      <c r="X1282" t="s">
        <v>4860</v>
      </c>
      <c r="Y1282" s="8">
        <v>1250</v>
      </c>
      <c r="Z1282" s="8">
        <v>1475</v>
      </c>
      <c r="AA1282" s="8">
        <v>225</v>
      </c>
      <c r="AB1282" s="7">
        <v>113520</v>
      </c>
      <c r="AC1282" t="s">
        <v>4860</v>
      </c>
      <c r="AD1282" s="8">
        <v>0</v>
      </c>
      <c r="AG1282" t="s">
        <v>817</v>
      </c>
      <c r="AH1282" t="s">
        <v>802</v>
      </c>
      <c r="AI1282" t="s">
        <v>818</v>
      </c>
    </row>
    <row r="1283" spans="1:35" hidden="1">
      <c r="A1283" s="7">
        <v>1282</v>
      </c>
      <c r="B1283" t="s">
        <v>243</v>
      </c>
      <c r="C1283" t="s">
        <v>244</v>
      </c>
      <c r="D1283" s="7">
        <v>7134</v>
      </c>
      <c r="E1283" t="s">
        <v>245</v>
      </c>
      <c r="F1283" t="s">
        <v>246</v>
      </c>
      <c r="G1283" t="s">
        <v>1614</v>
      </c>
      <c r="H1283" t="s">
        <v>4871</v>
      </c>
      <c r="I1283" s="7">
        <v>1165</v>
      </c>
      <c r="J1283" s="7">
        <v>69930</v>
      </c>
      <c r="K1283" s="7">
        <v>10</v>
      </c>
      <c r="L1283" t="s">
        <v>247</v>
      </c>
      <c r="M1283" t="s">
        <v>252</v>
      </c>
      <c r="N1283" s="7">
        <v>320410</v>
      </c>
      <c r="O1283" t="s">
        <v>1616</v>
      </c>
      <c r="P1283" t="s">
        <v>1617</v>
      </c>
      <c r="S1283" t="s">
        <v>3799</v>
      </c>
      <c r="T1283" t="s">
        <v>3728</v>
      </c>
      <c r="U1283" t="s">
        <v>4859</v>
      </c>
      <c r="V1283" s="8">
        <v>0</v>
      </c>
      <c r="W1283" s="7">
        <v>590053</v>
      </c>
      <c r="X1283" t="s">
        <v>4860</v>
      </c>
      <c r="Y1283" s="8">
        <v>0</v>
      </c>
      <c r="Z1283" s="8">
        <v>0</v>
      </c>
      <c r="AA1283" s="8">
        <v>0</v>
      </c>
      <c r="AB1283" s="7">
        <v>113520</v>
      </c>
      <c r="AC1283" t="s">
        <v>4860</v>
      </c>
      <c r="AD1283" s="8">
        <v>0</v>
      </c>
      <c r="AG1283" t="s">
        <v>937</v>
      </c>
      <c r="AH1283" t="s">
        <v>802</v>
      </c>
      <c r="AI1283" t="s">
        <v>803</v>
      </c>
    </row>
    <row r="1284" spans="1:35" hidden="1">
      <c r="A1284" s="7">
        <v>1283</v>
      </c>
      <c r="B1284" t="s">
        <v>243</v>
      </c>
      <c r="C1284" t="s">
        <v>244</v>
      </c>
      <c r="D1284" s="7">
        <v>7134</v>
      </c>
      <c r="E1284" t="s">
        <v>245</v>
      </c>
      <c r="F1284" t="s">
        <v>246</v>
      </c>
      <c r="G1284" t="s">
        <v>1053</v>
      </c>
      <c r="H1284" t="s">
        <v>4872</v>
      </c>
      <c r="I1284" s="7">
        <v>965</v>
      </c>
      <c r="J1284" s="7">
        <v>60634</v>
      </c>
      <c r="K1284" s="7">
        <v>6</v>
      </c>
      <c r="L1284" t="s">
        <v>247</v>
      </c>
      <c r="M1284" t="s">
        <v>361</v>
      </c>
      <c r="N1284" s="7">
        <v>4608</v>
      </c>
      <c r="O1284" t="s">
        <v>1054</v>
      </c>
      <c r="P1284" t="s">
        <v>1055</v>
      </c>
      <c r="S1284" t="s">
        <v>3799</v>
      </c>
      <c r="T1284" t="s">
        <v>3728</v>
      </c>
      <c r="U1284" t="s">
        <v>4859</v>
      </c>
      <c r="V1284" s="8">
        <v>0</v>
      </c>
      <c r="W1284" s="7">
        <v>590053</v>
      </c>
      <c r="X1284" t="s">
        <v>4860</v>
      </c>
      <c r="Y1284" s="8">
        <v>0</v>
      </c>
      <c r="Z1284" s="8">
        <v>0</v>
      </c>
      <c r="AA1284" s="8">
        <v>0</v>
      </c>
      <c r="AB1284" s="7">
        <v>113520</v>
      </c>
      <c r="AC1284" t="s">
        <v>4860</v>
      </c>
      <c r="AD1284" s="8">
        <v>0</v>
      </c>
      <c r="AG1284" t="s">
        <v>823</v>
      </c>
      <c r="AH1284" t="s">
        <v>802</v>
      </c>
      <c r="AI1284" t="s">
        <v>803</v>
      </c>
    </row>
    <row r="1285" spans="1:35" hidden="1">
      <c r="A1285" s="7">
        <v>1284</v>
      </c>
      <c r="B1285" t="s">
        <v>243</v>
      </c>
      <c r="C1285" t="s">
        <v>244</v>
      </c>
      <c r="D1285" s="7">
        <v>7134</v>
      </c>
      <c r="E1285" t="s">
        <v>245</v>
      </c>
      <c r="F1285" t="s">
        <v>246</v>
      </c>
      <c r="G1285" t="s">
        <v>1287</v>
      </c>
      <c r="H1285" t="s">
        <v>4866</v>
      </c>
      <c r="I1285" s="7">
        <v>1165</v>
      </c>
      <c r="J1285" s="7">
        <v>64374</v>
      </c>
      <c r="K1285" s="7">
        <v>7</v>
      </c>
      <c r="L1285" t="s">
        <v>247</v>
      </c>
      <c r="M1285" t="s">
        <v>267</v>
      </c>
      <c r="N1285" s="7">
        <v>776534</v>
      </c>
      <c r="O1285" t="s">
        <v>1288</v>
      </c>
      <c r="P1285" t="s">
        <v>1289</v>
      </c>
      <c r="S1285" t="s">
        <v>3799</v>
      </c>
      <c r="T1285" t="s">
        <v>3728</v>
      </c>
      <c r="U1285" t="s">
        <v>4859</v>
      </c>
      <c r="V1285" s="8">
        <v>0</v>
      </c>
      <c r="W1285" s="7">
        <v>590053</v>
      </c>
      <c r="X1285" t="s">
        <v>4860</v>
      </c>
      <c r="Y1285" s="8">
        <v>0</v>
      </c>
      <c r="Z1285" s="8">
        <v>0</v>
      </c>
      <c r="AA1285" s="8">
        <v>0</v>
      </c>
      <c r="AB1285" s="7">
        <v>113520</v>
      </c>
      <c r="AC1285" t="s">
        <v>4860</v>
      </c>
      <c r="AD1285" s="8">
        <v>0</v>
      </c>
      <c r="AG1285" t="s">
        <v>828</v>
      </c>
      <c r="AH1285" t="s">
        <v>802</v>
      </c>
      <c r="AI1285" t="s">
        <v>803</v>
      </c>
    </row>
    <row r="1286" spans="1:35" hidden="1">
      <c r="A1286" s="7">
        <v>1285</v>
      </c>
      <c r="B1286" t="s">
        <v>243</v>
      </c>
      <c r="C1286" t="s">
        <v>244</v>
      </c>
      <c r="D1286" s="7">
        <v>7134</v>
      </c>
      <c r="E1286" t="s">
        <v>245</v>
      </c>
      <c r="F1286" t="s">
        <v>246</v>
      </c>
      <c r="G1286" t="s">
        <v>727</v>
      </c>
      <c r="H1286" t="s">
        <v>3727</v>
      </c>
      <c r="I1286" s="7">
        <v>1165</v>
      </c>
      <c r="J1286" s="7">
        <v>9958</v>
      </c>
      <c r="K1286" s="7">
        <v>2</v>
      </c>
      <c r="L1286" t="s">
        <v>247</v>
      </c>
      <c r="M1286" t="s">
        <v>267</v>
      </c>
      <c r="N1286" s="7">
        <v>806131</v>
      </c>
      <c r="O1286" t="s">
        <v>776</v>
      </c>
      <c r="P1286" t="s">
        <v>777</v>
      </c>
      <c r="S1286" t="s">
        <v>3799</v>
      </c>
      <c r="T1286" t="s">
        <v>3728</v>
      </c>
      <c r="U1286" t="s">
        <v>4859</v>
      </c>
      <c r="V1286" s="8">
        <v>0</v>
      </c>
      <c r="W1286" s="7">
        <v>590053</v>
      </c>
      <c r="X1286" t="s">
        <v>4860</v>
      </c>
      <c r="Y1286" s="8">
        <v>0</v>
      </c>
      <c r="Z1286" s="8">
        <v>0</v>
      </c>
      <c r="AA1286" s="8">
        <v>0</v>
      </c>
      <c r="AB1286" s="7">
        <v>113520</v>
      </c>
      <c r="AC1286" t="s">
        <v>4860</v>
      </c>
      <c r="AD1286" s="8">
        <v>0</v>
      </c>
      <c r="AG1286" t="s">
        <v>828</v>
      </c>
      <c r="AH1286" t="s">
        <v>802</v>
      </c>
      <c r="AI1286" t="s">
        <v>803</v>
      </c>
    </row>
    <row r="1287" spans="1:35" hidden="1">
      <c r="A1287" s="7">
        <v>1286</v>
      </c>
      <c r="B1287" t="s">
        <v>243</v>
      </c>
      <c r="C1287" t="s">
        <v>244</v>
      </c>
      <c r="D1287" s="7">
        <v>7134</v>
      </c>
      <c r="E1287" t="s">
        <v>245</v>
      </c>
      <c r="F1287" t="s">
        <v>246</v>
      </c>
      <c r="G1287" t="s">
        <v>832</v>
      </c>
      <c r="H1287" t="s">
        <v>4878</v>
      </c>
      <c r="I1287" s="7">
        <v>1165</v>
      </c>
      <c r="J1287" s="7">
        <v>50898</v>
      </c>
      <c r="K1287" s="7">
        <v>6</v>
      </c>
      <c r="L1287" t="s">
        <v>247</v>
      </c>
      <c r="M1287" t="s">
        <v>261</v>
      </c>
      <c r="N1287" s="7">
        <v>786108</v>
      </c>
      <c r="O1287" t="s">
        <v>833</v>
      </c>
      <c r="P1287" t="s">
        <v>834</v>
      </c>
      <c r="S1287" t="s">
        <v>3799</v>
      </c>
      <c r="T1287" t="s">
        <v>3728</v>
      </c>
      <c r="U1287" t="s">
        <v>4859</v>
      </c>
      <c r="V1287" s="8">
        <v>0</v>
      </c>
      <c r="W1287" s="7">
        <v>590053</v>
      </c>
      <c r="X1287" t="s">
        <v>4860</v>
      </c>
      <c r="Y1287" s="8">
        <v>0</v>
      </c>
      <c r="Z1287" s="8">
        <v>0</v>
      </c>
      <c r="AA1287" s="8">
        <v>0</v>
      </c>
      <c r="AB1287" s="7">
        <v>113520</v>
      </c>
      <c r="AC1287" t="s">
        <v>4860</v>
      </c>
      <c r="AD1287" s="8">
        <v>0</v>
      </c>
      <c r="AG1287" t="s">
        <v>801</v>
      </c>
      <c r="AH1287" t="s">
        <v>802</v>
      </c>
      <c r="AI1287" t="s">
        <v>803</v>
      </c>
    </row>
    <row r="1288" spans="1:35" hidden="1">
      <c r="A1288" s="7">
        <v>1287</v>
      </c>
      <c r="B1288" t="s">
        <v>243</v>
      </c>
      <c r="C1288" t="s">
        <v>244</v>
      </c>
      <c r="D1288" s="7">
        <v>7134</v>
      </c>
      <c r="E1288" t="s">
        <v>245</v>
      </c>
      <c r="F1288" t="s">
        <v>246</v>
      </c>
      <c r="G1288" t="s">
        <v>3120</v>
      </c>
      <c r="H1288" t="s">
        <v>3432</v>
      </c>
      <c r="I1288" s="7">
        <v>1165</v>
      </c>
      <c r="J1288" s="7">
        <v>6638</v>
      </c>
      <c r="K1288" s="7">
        <v>1</v>
      </c>
      <c r="L1288" t="s">
        <v>247</v>
      </c>
      <c r="M1288" t="s">
        <v>252</v>
      </c>
      <c r="N1288" s="7">
        <v>331031</v>
      </c>
      <c r="O1288" t="s">
        <v>3159</v>
      </c>
      <c r="P1288" t="s">
        <v>3160</v>
      </c>
      <c r="Q1288" t="s">
        <v>870</v>
      </c>
      <c r="R1288" t="s">
        <v>871</v>
      </c>
      <c r="S1288" t="s">
        <v>3799</v>
      </c>
      <c r="T1288" t="s">
        <v>3728</v>
      </c>
      <c r="U1288" t="s">
        <v>4859</v>
      </c>
      <c r="V1288" s="8">
        <v>1250</v>
      </c>
      <c r="W1288" s="7">
        <v>590053</v>
      </c>
      <c r="X1288" t="s">
        <v>4860</v>
      </c>
      <c r="Y1288" s="8">
        <v>1000</v>
      </c>
      <c r="Z1288" s="8">
        <v>1475</v>
      </c>
      <c r="AA1288" s="8">
        <v>225</v>
      </c>
      <c r="AB1288" s="7">
        <v>113520</v>
      </c>
      <c r="AC1288" t="s">
        <v>4860</v>
      </c>
      <c r="AD1288" s="8">
        <v>250</v>
      </c>
      <c r="AG1288" t="s">
        <v>937</v>
      </c>
      <c r="AH1288" t="s">
        <v>802</v>
      </c>
      <c r="AI1288" t="s">
        <v>818</v>
      </c>
    </row>
    <row r="1289" spans="1:35" hidden="1">
      <c r="A1289" s="7">
        <v>1288</v>
      </c>
      <c r="B1289" t="s">
        <v>243</v>
      </c>
      <c r="C1289" t="s">
        <v>244</v>
      </c>
      <c r="D1289" s="7">
        <v>7134</v>
      </c>
      <c r="E1289" t="s">
        <v>245</v>
      </c>
      <c r="F1289" t="s">
        <v>246</v>
      </c>
      <c r="G1289" t="s">
        <v>1128</v>
      </c>
      <c r="H1289" t="s">
        <v>3355</v>
      </c>
      <c r="I1289" s="7">
        <v>1165</v>
      </c>
      <c r="J1289" s="7">
        <v>50829</v>
      </c>
      <c r="K1289" s="7">
        <v>8</v>
      </c>
      <c r="L1289" t="s">
        <v>247</v>
      </c>
      <c r="M1289" t="s">
        <v>261</v>
      </c>
      <c r="N1289" s="7">
        <v>7085388</v>
      </c>
      <c r="O1289" t="s">
        <v>1260</v>
      </c>
      <c r="P1289" t="s">
        <v>1261</v>
      </c>
      <c r="S1289" t="s">
        <v>3799</v>
      </c>
      <c r="T1289" t="s">
        <v>3728</v>
      </c>
      <c r="U1289" t="s">
        <v>4859</v>
      </c>
      <c r="V1289" s="8">
        <v>1250</v>
      </c>
      <c r="W1289" s="7">
        <v>590053</v>
      </c>
      <c r="X1289" t="s">
        <v>4860</v>
      </c>
      <c r="Y1289" s="8">
        <v>1250</v>
      </c>
      <c r="Z1289" s="8">
        <v>1475</v>
      </c>
      <c r="AA1289" s="8">
        <v>225</v>
      </c>
      <c r="AB1289" s="7">
        <v>113520</v>
      </c>
      <c r="AC1289" t="s">
        <v>4860</v>
      </c>
      <c r="AD1289" s="8">
        <v>0</v>
      </c>
      <c r="AG1289" t="s">
        <v>801</v>
      </c>
      <c r="AH1289" t="s">
        <v>802</v>
      </c>
      <c r="AI1289" t="s">
        <v>818</v>
      </c>
    </row>
    <row r="1290" spans="1:35" hidden="1">
      <c r="A1290" s="7">
        <v>1289</v>
      </c>
      <c r="B1290" t="s">
        <v>243</v>
      </c>
      <c r="C1290" t="s">
        <v>244</v>
      </c>
      <c r="D1290" s="7">
        <v>7134</v>
      </c>
      <c r="E1290" t="s">
        <v>245</v>
      </c>
      <c r="F1290" t="s">
        <v>246</v>
      </c>
      <c r="G1290" t="s">
        <v>864</v>
      </c>
      <c r="H1290" t="s">
        <v>3355</v>
      </c>
      <c r="I1290" s="7">
        <v>1165</v>
      </c>
      <c r="J1290" s="7">
        <v>70500</v>
      </c>
      <c r="K1290" s="7">
        <v>7</v>
      </c>
      <c r="L1290" t="s">
        <v>247</v>
      </c>
      <c r="M1290" t="s">
        <v>361</v>
      </c>
      <c r="N1290" s="7">
        <v>3559</v>
      </c>
      <c r="O1290" t="s">
        <v>865</v>
      </c>
      <c r="P1290" t="s">
        <v>866</v>
      </c>
      <c r="S1290" t="s">
        <v>3799</v>
      </c>
      <c r="T1290" t="s">
        <v>3728</v>
      </c>
      <c r="U1290" t="s">
        <v>4859</v>
      </c>
      <c r="V1290" s="8">
        <v>1650</v>
      </c>
      <c r="W1290" s="7">
        <v>590053</v>
      </c>
      <c r="X1290" t="s">
        <v>4860</v>
      </c>
      <c r="Y1290" s="8">
        <v>1650</v>
      </c>
      <c r="Z1290" s="8">
        <v>1947</v>
      </c>
      <c r="AA1290" s="8">
        <v>297</v>
      </c>
      <c r="AB1290" s="7">
        <v>113520</v>
      </c>
      <c r="AC1290" t="s">
        <v>4860</v>
      </c>
      <c r="AD1290" s="8">
        <v>0</v>
      </c>
      <c r="AG1290" t="s">
        <v>823</v>
      </c>
      <c r="AH1290" t="s">
        <v>802</v>
      </c>
      <c r="AI1290" t="s">
        <v>818</v>
      </c>
    </row>
    <row r="1291" spans="1:35" hidden="1">
      <c r="A1291" s="7">
        <v>1290</v>
      </c>
      <c r="B1291" t="s">
        <v>243</v>
      </c>
      <c r="C1291" t="s">
        <v>244</v>
      </c>
      <c r="D1291" s="7">
        <v>7134</v>
      </c>
      <c r="E1291" t="s">
        <v>245</v>
      </c>
      <c r="F1291" t="s">
        <v>246</v>
      </c>
      <c r="G1291" t="s">
        <v>867</v>
      </c>
      <c r="H1291" t="s">
        <v>4862</v>
      </c>
      <c r="I1291" s="7">
        <v>1165</v>
      </c>
      <c r="J1291" s="7">
        <v>69250</v>
      </c>
      <c r="K1291" s="7">
        <v>7</v>
      </c>
      <c r="L1291" t="s">
        <v>247</v>
      </c>
      <c r="M1291" t="s">
        <v>361</v>
      </c>
      <c r="N1291" s="7">
        <v>5598</v>
      </c>
      <c r="O1291" t="s">
        <v>1655</v>
      </c>
      <c r="P1291" t="s">
        <v>1656</v>
      </c>
      <c r="S1291" t="s">
        <v>3799</v>
      </c>
      <c r="T1291" t="s">
        <v>3728</v>
      </c>
      <c r="U1291" t="s">
        <v>4859</v>
      </c>
      <c r="V1291" s="8">
        <v>1650</v>
      </c>
      <c r="W1291" s="7">
        <v>590053</v>
      </c>
      <c r="X1291" t="s">
        <v>4860</v>
      </c>
      <c r="Y1291" s="8">
        <v>1650</v>
      </c>
      <c r="Z1291" s="8">
        <v>1947</v>
      </c>
      <c r="AA1291" s="8">
        <v>297</v>
      </c>
      <c r="AB1291" s="7">
        <v>113520</v>
      </c>
      <c r="AC1291" t="s">
        <v>4860</v>
      </c>
      <c r="AD1291" s="8">
        <v>0</v>
      </c>
      <c r="AG1291" t="s">
        <v>823</v>
      </c>
      <c r="AH1291" t="s">
        <v>802</v>
      </c>
      <c r="AI1291" t="s">
        <v>818</v>
      </c>
    </row>
    <row r="1292" spans="1:35" hidden="1">
      <c r="A1292" s="7">
        <v>1291</v>
      </c>
      <c r="B1292" t="s">
        <v>243</v>
      </c>
      <c r="C1292" t="s">
        <v>244</v>
      </c>
      <c r="D1292" s="7">
        <v>7134</v>
      </c>
      <c r="E1292" t="s">
        <v>245</v>
      </c>
      <c r="F1292" t="s">
        <v>246</v>
      </c>
      <c r="G1292" t="s">
        <v>4879</v>
      </c>
      <c r="H1292" t="s">
        <v>4861</v>
      </c>
      <c r="I1292" s="7">
        <v>1304</v>
      </c>
      <c r="J1292" s="7">
        <v>11989902</v>
      </c>
      <c r="K1292" s="7">
        <v>8</v>
      </c>
      <c r="L1292" t="s">
        <v>247</v>
      </c>
      <c r="M1292" t="s">
        <v>261</v>
      </c>
      <c r="N1292" s="7">
        <v>701686071</v>
      </c>
      <c r="O1292" t="s">
        <v>4880</v>
      </c>
      <c r="P1292" t="s">
        <v>4881</v>
      </c>
      <c r="Q1292" t="s">
        <v>283</v>
      </c>
      <c r="R1292" t="s">
        <v>1062</v>
      </c>
      <c r="S1292" t="s">
        <v>3799</v>
      </c>
      <c r="T1292" t="s">
        <v>3728</v>
      </c>
      <c r="U1292" t="s">
        <v>4859</v>
      </c>
      <c r="V1292" s="8">
        <v>1250</v>
      </c>
      <c r="W1292" s="7">
        <v>590053</v>
      </c>
      <c r="X1292" t="s">
        <v>4860</v>
      </c>
      <c r="Y1292" s="8">
        <v>0</v>
      </c>
      <c r="Z1292" s="8">
        <v>1475</v>
      </c>
      <c r="AA1292" s="8">
        <v>225</v>
      </c>
      <c r="AB1292" s="7">
        <v>113520</v>
      </c>
      <c r="AC1292" t="s">
        <v>4860</v>
      </c>
      <c r="AD1292" s="8">
        <v>1250</v>
      </c>
      <c r="AG1292" t="s">
        <v>261</v>
      </c>
      <c r="AH1292" t="s">
        <v>802</v>
      </c>
      <c r="AI1292" t="s">
        <v>818</v>
      </c>
    </row>
    <row r="1293" spans="1:35" hidden="1">
      <c r="A1293" s="7">
        <v>1292</v>
      </c>
      <c r="B1293" t="s">
        <v>243</v>
      </c>
      <c r="C1293" t="s">
        <v>244</v>
      </c>
      <c r="D1293" s="7">
        <v>7134</v>
      </c>
      <c r="E1293" t="s">
        <v>245</v>
      </c>
      <c r="F1293" t="s">
        <v>246</v>
      </c>
      <c r="G1293" t="s">
        <v>762</v>
      </c>
      <c r="H1293" t="s">
        <v>4865</v>
      </c>
      <c r="I1293" s="7">
        <v>1165</v>
      </c>
      <c r="J1293" s="7">
        <v>8563</v>
      </c>
      <c r="K1293" s="7">
        <v>1</v>
      </c>
      <c r="L1293" t="s">
        <v>247</v>
      </c>
      <c r="M1293" t="s">
        <v>261</v>
      </c>
      <c r="N1293" s="7">
        <v>796765</v>
      </c>
      <c r="O1293" t="s">
        <v>764</v>
      </c>
      <c r="P1293" t="s">
        <v>765</v>
      </c>
      <c r="S1293" t="s">
        <v>3799</v>
      </c>
      <c r="T1293" t="s">
        <v>3728</v>
      </c>
      <c r="U1293" t="s">
        <v>4859</v>
      </c>
      <c r="V1293" s="8">
        <v>1250</v>
      </c>
      <c r="W1293" s="7">
        <v>590053</v>
      </c>
      <c r="X1293" t="s">
        <v>4860</v>
      </c>
      <c r="Y1293" s="8">
        <v>1250</v>
      </c>
      <c r="Z1293" s="8">
        <v>1475</v>
      </c>
      <c r="AA1293" s="8">
        <v>225</v>
      </c>
      <c r="AB1293" s="7">
        <v>113520</v>
      </c>
      <c r="AC1293" t="s">
        <v>4860</v>
      </c>
      <c r="AD1293" s="8">
        <v>0</v>
      </c>
      <c r="AG1293" t="s">
        <v>817</v>
      </c>
      <c r="AH1293" t="s">
        <v>802</v>
      </c>
      <c r="AI1293" t="s">
        <v>818</v>
      </c>
    </row>
    <row r="1294" spans="1:35" hidden="1">
      <c r="A1294" s="7">
        <v>1293</v>
      </c>
      <c r="B1294" t="s">
        <v>243</v>
      </c>
      <c r="C1294" t="s">
        <v>244</v>
      </c>
      <c r="D1294" s="7">
        <v>7134</v>
      </c>
      <c r="E1294" t="s">
        <v>245</v>
      </c>
      <c r="F1294" t="s">
        <v>246</v>
      </c>
      <c r="G1294" t="s">
        <v>1277</v>
      </c>
      <c r="H1294" t="s">
        <v>4882</v>
      </c>
      <c r="I1294" s="7">
        <v>1165</v>
      </c>
      <c r="J1294" s="7">
        <v>40000</v>
      </c>
      <c r="K1294" s="7">
        <v>4</v>
      </c>
      <c r="L1294" t="s">
        <v>247</v>
      </c>
      <c r="M1294" t="s">
        <v>361</v>
      </c>
      <c r="N1294" s="7">
        <v>5539</v>
      </c>
      <c r="O1294" t="s">
        <v>1278</v>
      </c>
      <c r="P1294" t="s">
        <v>1279</v>
      </c>
      <c r="S1294" t="s">
        <v>3799</v>
      </c>
      <c r="T1294" t="s">
        <v>3728</v>
      </c>
      <c r="U1294" t="s">
        <v>4859</v>
      </c>
      <c r="V1294" s="8">
        <v>0</v>
      </c>
      <c r="W1294" s="7">
        <v>590053</v>
      </c>
      <c r="X1294" t="s">
        <v>4860</v>
      </c>
      <c r="Y1294" s="8">
        <v>0</v>
      </c>
      <c r="Z1294" s="8">
        <v>0</v>
      </c>
      <c r="AA1294" s="8">
        <v>0</v>
      </c>
      <c r="AB1294" s="7">
        <v>113520</v>
      </c>
      <c r="AC1294" t="s">
        <v>4860</v>
      </c>
      <c r="AD1294" s="8">
        <v>0</v>
      </c>
      <c r="AG1294" t="s">
        <v>823</v>
      </c>
      <c r="AH1294" t="s">
        <v>802</v>
      </c>
      <c r="AI1294" t="s">
        <v>803</v>
      </c>
    </row>
    <row r="1295" spans="1:35" hidden="1">
      <c r="A1295" s="7">
        <v>1294</v>
      </c>
      <c r="B1295" t="s">
        <v>243</v>
      </c>
      <c r="C1295" t="s">
        <v>244</v>
      </c>
      <c r="D1295" s="7">
        <v>7134</v>
      </c>
      <c r="E1295" t="s">
        <v>245</v>
      </c>
      <c r="F1295" t="s">
        <v>246</v>
      </c>
      <c r="G1295" t="s">
        <v>589</v>
      </c>
      <c r="H1295" t="s">
        <v>4883</v>
      </c>
      <c r="I1295" s="7">
        <v>1165</v>
      </c>
      <c r="J1295" s="7">
        <v>20000</v>
      </c>
      <c r="K1295" s="7">
        <v>3</v>
      </c>
      <c r="L1295" t="s">
        <v>247</v>
      </c>
      <c r="M1295" t="s">
        <v>261</v>
      </c>
      <c r="N1295" s="7">
        <v>802530</v>
      </c>
      <c r="O1295" t="s">
        <v>591</v>
      </c>
      <c r="P1295" t="s">
        <v>592</v>
      </c>
      <c r="S1295" t="s">
        <v>3799</v>
      </c>
      <c r="T1295" t="s">
        <v>3728</v>
      </c>
      <c r="U1295" t="s">
        <v>4859</v>
      </c>
      <c r="V1295" s="8">
        <v>1250</v>
      </c>
      <c r="W1295" s="7">
        <v>590053</v>
      </c>
      <c r="X1295" t="s">
        <v>4860</v>
      </c>
      <c r="Y1295" s="8">
        <v>1250</v>
      </c>
      <c r="Z1295" s="8">
        <v>1475</v>
      </c>
      <c r="AA1295" s="8">
        <v>225</v>
      </c>
      <c r="AB1295" s="7">
        <v>113520</v>
      </c>
      <c r="AC1295" t="s">
        <v>4860</v>
      </c>
      <c r="AD1295" s="8">
        <v>0</v>
      </c>
      <c r="AG1295" t="s">
        <v>801</v>
      </c>
      <c r="AH1295" t="s">
        <v>802</v>
      </c>
      <c r="AI1295" t="s">
        <v>818</v>
      </c>
    </row>
    <row r="1296" spans="1:35" hidden="1">
      <c r="A1296" s="7">
        <v>1295</v>
      </c>
      <c r="B1296" t="s">
        <v>243</v>
      </c>
      <c r="C1296" t="s">
        <v>244</v>
      </c>
      <c r="D1296" s="7">
        <v>7134</v>
      </c>
      <c r="E1296" t="s">
        <v>245</v>
      </c>
      <c r="F1296" t="s">
        <v>246</v>
      </c>
      <c r="G1296" t="s">
        <v>1577</v>
      </c>
      <c r="H1296" t="s">
        <v>3432</v>
      </c>
      <c r="I1296" s="7">
        <v>1165</v>
      </c>
      <c r="J1296" s="7">
        <v>10763</v>
      </c>
      <c r="K1296" s="7">
        <v>6</v>
      </c>
      <c r="L1296" t="s">
        <v>247</v>
      </c>
      <c r="M1296" t="s">
        <v>252</v>
      </c>
      <c r="N1296" s="7">
        <v>324399</v>
      </c>
      <c r="O1296" t="s">
        <v>4629</v>
      </c>
      <c r="P1296" t="s">
        <v>4630</v>
      </c>
      <c r="S1296" t="s">
        <v>3799</v>
      </c>
      <c r="T1296" t="s">
        <v>3728</v>
      </c>
      <c r="U1296" t="s">
        <v>4859</v>
      </c>
      <c r="V1296" s="8">
        <v>0</v>
      </c>
      <c r="W1296" s="7">
        <v>590053</v>
      </c>
      <c r="X1296" t="s">
        <v>4860</v>
      </c>
      <c r="Y1296" s="8">
        <v>0</v>
      </c>
      <c r="Z1296" s="8">
        <v>0</v>
      </c>
      <c r="AA1296" s="8">
        <v>0</v>
      </c>
      <c r="AB1296" s="7">
        <v>113520</v>
      </c>
      <c r="AC1296" t="s">
        <v>4860</v>
      </c>
      <c r="AD1296" s="8">
        <v>0</v>
      </c>
      <c r="AG1296" t="s">
        <v>937</v>
      </c>
      <c r="AH1296" t="s">
        <v>802</v>
      </c>
      <c r="AI1296" t="s">
        <v>803</v>
      </c>
    </row>
    <row r="1297" spans="1:35" hidden="1">
      <c r="A1297" s="7">
        <v>1296</v>
      </c>
      <c r="B1297" t="s">
        <v>243</v>
      </c>
      <c r="C1297" t="s">
        <v>244</v>
      </c>
      <c r="D1297" s="7">
        <v>7134</v>
      </c>
      <c r="E1297" t="s">
        <v>245</v>
      </c>
      <c r="F1297" t="s">
        <v>246</v>
      </c>
      <c r="G1297" t="s">
        <v>939</v>
      </c>
      <c r="H1297" t="s">
        <v>3355</v>
      </c>
      <c r="I1297" s="7">
        <v>900</v>
      </c>
      <c r="J1297" s="7">
        <v>27021</v>
      </c>
      <c r="K1297" s="7">
        <v>4</v>
      </c>
      <c r="L1297" t="s">
        <v>247</v>
      </c>
      <c r="M1297" t="s">
        <v>261</v>
      </c>
      <c r="N1297" s="7">
        <v>778270</v>
      </c>
      <c r="O1297" t="s">
        <v>2024</v>
      </c>
      <c r="P1297" t="s">
        <v>2025</v>
      </c>
      <c r="S1297" t="s">
        <v>3799</v>
      </c>
      <c r="T1297" t="s">
        <v>3728</v>
      </c>
      <c r="U1297" t="s">
        <v>4859</v>
      </c>
      <c r="V1297" s="8">
        <v>0</v>
      </c>
      <c r="W1297" s="7">
        <v>590053</v>
      </c>
      <c r="X1297" t="s">
        <v>4860</v>
      </c>
      <c r="Y1297" s="8">
        <v>0</v>
      </c>
      <c r="Z1297" s="8">
        <v>0</v>
      </c>
      <c r="AA1297" s="8">
        <v>0</v>
      </c>
      <c r="AB1297" s="7">
        <v>113520</v>
      </c>
      <c r="AC1297" t="s">
        <v>4860</v>
      </c>
      <c r="AD1297" s="8">
        <v>0</v>
      </c>
      <c r="AG1297" t="s">
        <v>808</v>
      </c>
      <c r="AH1297" t="s">
        <v>802</v>
      </c>
      <c r="AI1297" t="s">
        <v>803</v>
      </c>
    </row>
    <row r="1298" spans="1:35" hidden="1">
      <c r="A1298" s="7">
        <v>1297</v>
      </c>
      <c r="B1298" t="s">
        <v>243</v>
      </c>
      <c r="C1298" t="s">
        <v>244</v>
      </c>
      <c r="D1298" s="7">
        <v>7134</v>
      </c>
      <c r="E1298" t="s">
        <v>245</v>
      </c>
      <c r="F1298" t="s">
        <v>246</v>
      </c>
      <c r="G1298" t="s">
        <v>917</v>
      </c>
      <c r="H1298" t="s">
        <v>4868</v>
      </c>
      <c r="I1298" s="7">
        <v>1165</v>
      </c>
      <c r="J1298" s="7">
        <v>58000</v>
      </c>
      <c r="K1298" s="7">
        <v>6</v>
      </c>
      <c r="L1298" t="s">
        <v>247</v>
      </c>
      <c r="M1298" t="s">
        <v>361</v>
      </c>
      <c r="N1298" s="7">
        <v>6199</v>
      </c>
      <c r="O1298" t="s">
        <v>1592</v>
      </c>
      <c r="P1298" t="s">
        <v>1593</v>
      </c>
      <c r="S1298" t="s">
        <v>3799</v>
      </c>
      <c r="T1298" t="s">
        <v>3728</v>
      </c>
      <c r="U1298" t="s">
        <v>4859</v>
      </c>
      <c r="V1298" s="8">
        <v>0</v>
      </c>
      <c r="W1298" s="7">
        <v>590053</v>
      </c>
      <c r="X1298" t="s">
        <v>4860</v>
      </c>
      <c r="Y1298" s="8">
        <v>0</v>
      </c>
      <c r="Z1298" s="8">
        <v>0</v>
      </c>
      <c r="AA1298" s="8">
        <v>0</v>
      </c>
      <c r="AB1298" s="7">
        <v>113520</v>
      </c>
      <c r="AC1298" t="s">
        <v>4860</v>
      </c>
      <c r="AD1298" s="8">
        <v>0</v>
      </c>
      <c r="AG1298" t="s">
        <v>823</v>
      </c>
      <c r="AH1298" t="s">
        <v>802</v>
      </c>
      <c r="AI1298" t="s">
        <v>803</v>
      </c>
    </row>
    <row r="1299" spans="1:35" hidden="1">
      <c r="A1299" s="7">
        <v>1298</v>
      </c>
      <c r="B1299" t="s">
        <v>243</v>
      </c>
      <c r="C1299" t="s">
        <v>244</v>
      </c>
      <c r="D1299" s="7">
        <v>7134</v>
      </c>
      <c r="E1299" t="s">
        <v>245</v>
      </c>
      <c r="F1299" t="s">
        <v>246</v>
      </c>
      <c r="G1299" t="s">
        <v>898</v>
      </c>
      <c r="H1299" t="s">
        <v>3432</v>
      </c>
      <c r="I1299" s="7">
        <v>1165</v>
      </c>
      <c r="J1299" s="7">
        <v>11156</v>
      </c>
      <c r="K1299" s="7">
        <v>6</v>
      </c>
      <c r="L1299" t="s">
        <v>247</v>
      </c>
      <c r="M1299" t="s">
        <v>252</v>
      </c>
      <c r="N1299" s="7">
        <v>324389</v>
      </c>
      <c r="O1299" t="s">
        <v>4668</v>
      </c>
      <c r="P1299" t="s">
        <v>4669</v>
      </c>
      <c r="S1299" t="s">
        <v>3799</v>
      </c>
      <c r="T1299" t="s">
        <v>3728</v>
      </c>
      <c r="U1299" t="s">
        <v>4859</v>
      </c>
      <c r="V1299" s="8">
        <v>0</v>
      </c>
      <c r="W1299" s="7">
        <v>590053</v>
      </c>
      <c r="X1299" t="s">
        <v>4860</v>
      </c>
      <c r="Y1299" s="8">
        <v>0</v>
      </c>
      <c r="Z1299" s="8">
        <v>0</v>
      </c>
      <c r="AA1299" s="8">
        <v>0</v>
      </c>
      <c r="AB1299" s="7">
        <v>113520</v>
      </c>
      <c r="AC1299" t="s">
        <v>4860</v>
      </c>
      <c r="AD1299" s="8">
        <v>0</v>
      </c>
      <c r="AG1299" t="s">
        <v>937</v>
      </c>
      <c r="AH1299" t="s">
        <v>802</v>
      </c>
      <c r="AI1299" t="s">
        <v>803</v>
      </c>
    </row>
    <row r="1300" spans="1:35" hidden="1">
      <c r="A1300" s="7">
        <v>1299</v>
      </c>
      <c r="B1300" t="s">
        <v>243</v>
      </c>
      <c r="C1300" t="s">
        <v>244</v>
      </c>
      <c r="D1300" s="7">
        <v>7134</v>
      </c>
      <c r="E1300" t="s">
        <v>245</v>
      </c>
      <c r="F1300" t="s">
        <v>246</v>
      </c>
      <c r="G1300" t="s">
        <v>924</v>
      </c>
      <c r="H1300" t="s">
        <v>4858</v>
      </c>
      <c r="I1300" s="7">
        <v>1165</v>
      </c>
      <c r="J1300" s="7">
        <v>51065</v>
      </c>
      <c r="K1300" s="7">
        <v>6</v>
      </c>
      <c r="L1300" t="s">
        <v>247</v>
      </c>
      <c r="M1300" t="s">
        <v>261</v>
      </c>
      <c r="N1300" s="7">
        <v>790690</v>
      </c>
      <c r="O1300" t="s">
        <v>925</v>
      </c>
      <c r="P1300" t="s">
        <v>926</v>
      </c>
      <c r="S1300" t="s">
        <v>3799</v>
      </c>
      <c r="T1300" t="s">
        <v>3728</v>
      </c>
      <c r="U1300" t="s">
        <v>4859</v>
      </c>
      <c r="V1300" s="8">
        <v>0</v>
      </c>
      <c r="W1300" s="7">
        <v>590053</v>
      </c>
      <c r="X1300" t="s">
        <v>4860</v>
      </c>
      <c r="Y1300" s="8">
        <v>0</v>
      </c>
      <c r="Z1300" s="8">
        <v>0</v>
      </c>
      <c r="AA1300" s="8">
        <v>0</v>
      </c>
      <c r="AB1300" s="7">
        <v>113520</v>
      </c>
      <c r="AC1300" t="s">
        <v>4860</v>
      </c>
      <c r="AD1300" s="8">
        <v>0</v>
      </c>
      <c r="AG1300" t="s">
        <v>801</v>
      </c>
      <c r="AH1300" t="s">
        <v>802</v>
      </c>
      <c r="AI1300" t="s">
        <v>803</v>
      </c>
    </row>
    <row r="1301" spans="1:35" hidden="1">
      <c r="A1301" s="7">
        <v>1300</v>
      </c>
      <c r="B1301" t="s">
        <v>243</v>
      </c>
      <c r="C1301" t="s">
        <v>244</v>
      </c>
      <c r="D1301" s="7">
        <v>7134</v>
      </c>
      <c r="E1301" t="s">
        <v>245</v>
      </c>
      <c r="F1301" t="s">
        <v>246</v>
      </c>
      <c r="G1301" t="s">
        <v>3457</v>
      </c>
      <c r="H1301" t="s">
        <v>4878</v>
      </c>
      <c r="I1301" s="7">
        <v>1165</v>
      </c>
      <c r="J1301" s="7">
        <v>4700</v>
      </c>
      <c r="K1301" s="7">
        <v>1</v>
      </c>
      <c r="L1301" t="s">
        <v>247</v>
      </c>
      <c r="M1301" t="s">
        <v>361</v>
      </c>
      <c r="N1301" s="7">
        <v>7823</v>
      </c>
      <c r="O1301" t="s">
        <v>3539</v>
      </c>
      <c r="P1301" t="s">
        <v>3540</v>
      </c>
      <c r="S1301" t="s">
        <v>3799</v>
      </c>
      <c r="T1301" t="s">
        <v>3728</v>
      </c>
      <c r="U1301" t="s">
        <v>4859</v>
      </c>
      <c r="V1301" s="8">
        <v>1650</v>
      </c>
      <c r="W1301" s="7">
        <v>590053</v>
      </c>
      <c r="X1301" t="s">
        <v>4860</v>
      </c>
      <c r="Y1301" s="8">
        <v>1650</v>
      </c>
      <c r="Z1301" s="8">
        <v>1947</v>
      </c>
      <c r="AA1301" s="8">
        <v>297</v>
      </c>
      <c r="AB1301" s="7">
        <v>113520</v>
      </c>
      <c r="AC1301" t="s">
        <v>4860</v>
      </c>
      <c r="AD1301" s="8">
        <v>0</v>
      </c>
      <c r="AG1301" t="s">
        <v>823</v>
      </c>
      <c r="AH1301" t="s">
        <v>802</v>
      </c>
      <c r="AI1301" t="s">
        <v>818</v>
      </c>
    </row>
    <row r="1302" spans="1:35" hidden="1">
      <c r="A1302" s="7">
        <v>1301</v>
      </c>
      <c r="B1302" t="s">
        <v>243</v>
      </c>
      <c r="C1302" t="s">
        <v>244</v>
      </c>
      <c r="D1302" s="7">
        <v>7134</v>
      </c>
      <c r="E1302" t="s">
        <v>245</v>
      </c>
      <c r="F1302" t="s">
        <v>246</v>
      </c>
      <c r="G1302" t="s">
        <v>1324</v>
      </c>
      <c r="H1302" t="s">
        <v>4871</v>
      </c>
      <c r="I1302" s="7">
        <v>1165</v>
      </c>
      <c r="J1302" s="7">
        <v>16816</v>
      </c>
      <c r="K1302" s="7">
        <v>5</v>
      </c>
      <c r="L1302" t="s">
        <v>247</v>
      </c>
      <c r="M1302" t="s">
        <v>252</v>
      </c>
      <c r="N1302" s="7">
        <v>326648</v>
      </c>
      <c r="O1302" t="s">
        <v>1326</v>
      </c>
      <c r="P1302" t="s">
        <v>1327</v>
      </c>
      <c r="S1302" t="s">
        <v>3799</v>
      </c>
      <c r="T1302" t="s">
        <v>3728</v>
      </c>
      <c r="U1302" t="s">
        <v>4859</v>
      </c>
      <c r="V1302" s="8">
        <v>1250</v>
      </c>
      <c r="W1302" s="7">
        <v>590053</v>
      </c>
      <c r="X1302" t="s">
        <v>4860</v>
      </c>
      <c r="Y1302" s="8">
        <v>1250</v>
      </c>
      <c r="Z1302" s="8">
        <v>1475</v>
      </c>
      <c r="AA1302" s="8">
        <v>225</v>
      </c>
      <c r="AB1302" s="7">
        <v>113520</v>
      </c>
      <c r="AC1302" t="s">
        <v>4860</v>
      </c>
      <c r="AD1302" s="8">
        <v>0</v>
      </c>
      <c r="AG1302" t="s">
        <v>937</v>
      </c>
      <c r="AH1302" t="s">
        <v>802</v>
      </c>
      <c r="AI1302" t="s">
        <v>818</v>
      </c>
    </row>
    <row r="1303" spans="1:35" hidden="1">
      <c r="A1303" s="7">
        <v>1302</v>
      </c>
      <c r="B1303" t="s">
        <v>243</v>
      </c>
      <c r="C1303" t="s">
        <v>244</v>
      </c>
      <c r="D1303" s="7">
        <v>7134</v>
      </c>
      <c r="E1303" t="s">
        <v>245</v>
      </c>
      <c r="F1303" t="s">
        <v>246</v>
      </c>
      <c r="G1303" t="s">
        <v>645</v>
      </c>
      <c r="H1303" t="s">
        <v>3426</v>
      </c>
      <c r="I1303" s="7">
        <v>1165</v>
      </c>
      <c r="J1303" s="7">
        <v>7000</v>
      </c>
      <c r="K1303" s="7">
        <v>2</v>
      </c>
      <c r="L1303" t="s">
        <v>247</v>
      </c>
      <c r="M1303" t="s">
        <v>361</v>
      </c>
      <c r="N1303" s="7">
        <v>7590</v>
      </c>
      <c r="O1303" t="s">
        <v>647</v>
      </c>
      <c r="P1303" t="s">
        <v>648</v>
      </c>
      <c r="S1303" t="s">
        <v>3799</v>
      </c>
      <c r="T1303" t="s">
        <v>3728</v>
      </c>
      <c r="U1303" t="s">
        <v>4859</v>
      </c>
      <c r="V1303" s="8">
        <v>0</v>
      </c>
      <c r="W1303" s="7">
        <v>590053</v>
      </c>
      <c r="X1303" t="s">
        <v>4860</v>
      </c>
      <c r="Y1303" s="8">
        <v>0</v>
      </c>
      <c r="Z1303" s="8">
        <v>0</v>
      </c>
      <c r="AA1303" s="8">
        <v>0</v>
      </c>
      <c r="AB1303" s="7">
        <v>113520</v>
      </c>
      <c r="AC1303" t="s">
        <v>4860</v>
      </c>
      <c r="AD1303" s="8">
        <v>0</v>
      </c>
      <c r="AG1303" t="s">
        <v>823</v>
      </c>
      <c r="AH1303" t="s">
        <v>802</v>
      </c>
      <c r="AI1303" t="s">
        <v>803</v>
      </c>
    </row>
    <row r="1304" spans="1:35" hidden="1">
      <c r="A1304" s="7">
        <v>1303</v>
      </c>
      <c r="B1304" t="s">
        <v>243</v>
      </c>
      <c r="C1304" t="s">
        <v>244</v>
      </c>
      <c r="D1304" s="7">
        <v>7134</v>
      </c>
      <c r="E1304" t="s">
        <v>245</v>
      </c>
      <c r="F1304" t="s">
        <v>246</v>
      </c>
      <c r="G1304" t="s">
        <v>1224</v>
      </c>
      <c r="H1304" t="s">
        <v>3352</v>
      </c>
      <c r="I1304" s="7">
        <v>856</v>
      </c>
      <c r="J1304" s="7">
        <v>51229</v>
      </c>
      <c r="K1304" s="7">
        <v>3</v>
      </c>
      <c r="L1304" t="s">
        <v>247</v>
      </c>
      <c r="M1304" t="s">
        <v>261</v>
      </c>
      <c r="N1304" s="7">
        <v>798595</v>
      </c>
      <c r="O1304" t="s">
        <v>2200</v>
      </c>
      <c r="P1304" t="s">
        <v>2201</v>
      </c>
      <c r="Q1304" t="s">
        <v>908</v>
      </c>
      <c r="R1304" t="s">
        <v>909</v>
      </c>
      <c r="S1304" t="s">
        <v>3799</v>
      </c>
      <c r="T1304" t="s">
        <v>3728</v>
      </c>
      <c r="U1304" t="s">
        <v>4859</v>
      </c>
      <c r="V1304" s="8">
        <v>1250</v>
      </c>
      <c r="W1304" s="7">
        <v>590053</v>
      </c>
      <c r="X1304" t="s">
        <v>4860</v>
      </c>
      <c r="Y1304" s="8">
        <v>1000</v>
      </c>
      <c r="Z1304" s="8">
        <v>1475</v>
      </c>
      <c r="AA1304" s="8">
        <v>225</v>
      </c>
      <c r="AB1304" s="7">
        <v>113520</v>
      </c>
      <c r="AC1304" t="s">
        <v>4860</v>
      </c>
      <c r="AD1304" s="8">
        <v>250</v>
      </c>
      <c r="AG1304" t="s">
        <v>817</v>
      </c>
      <c r="AH1304" t="s">
        <v>802</v>
      </c>
      <c r="AI1304" t="s">
        <v>818</v>
      </c>
    </row>
    <row r="1305" spans="1:35" hidden="1">
      <c r="A1305" s="7">
        <v>1304</v>
      </c>
      <c r="B1305" t="s">
        <v>243</v>
      </c>
      <c r="C1305" t="s">
        <v>244</v>
      </c>
      <c r="D1305" s="7">
        <v>7134</v>
      </c>
      <c r="E1305" t="s">
        <v>245</v>
      </c>
      <c r="F1305" t="s">
        <v>246</v>
      </c>
      <c r="G1305" t="s">
        <v>914</v>
      </c>
      <c r="H1305" t="s">
        <v>3432</v>
      </c>
      <c r="I1305" s="7">
        <v>779</v>
      </c>
      <c r="J1305" s="7">
        <v>73544</v>
      </c>
      <c r="K1305" s="7">
        <v>5</v>
      </c>
      <c r="L1305" t="s">
        <v>247</v>
      </c>
      <c r="M1305" t="s">
        <v>261</v>
      </c>
      <c r="N1305" s="7">
        <v>780479</v>
      </c>
      <c r="O1305" t="s">
        <v>1412</v>
      </c>
      <c r="P1305" t="s">
        <v>1413</v>
      </c>
      <c r="S1305" t="s">
        <v>3799</v>
      </c>
      <c r="T1305" t="s">
        <v>3728</v>
      </c>
      <c r="U1305" t="s">
        <v>4859</v>
      </c>
      <c r="V1305" s="8">
        <v>0</v>
      </c>
      <c r="W1305" s="7">
        <v>590053</v>
      </c>
      <c r="X1305" t="s">
        <v>4860</v>
      </c>
      <c r="Y1305" s="8">
        <v>0</v>
      </c>
      <c r="Z1305" s="8">
        <v>0</v>
      </c>
      <c r="AA1305" s="8">
        <v>0</v>
      </c>
      <c r="AB1305" s="7">
        <v>113520</v>
      </c>
      <c r="AC1305" t="s">
        <v>4860</v>
      </c>
      <c r="AD1305" s="8">
        <v>0</v>
      </c>
      <c r="AG1305" t="s">
        <v>801</v>
      </c>
      <c r="AH1305" t="s">
        <v>802</v>
      </c>
      <c r="AI1305" t="s">
        <v>818</v>
      </c>
    </row>
    <row r="1306" spans="1:35" hidden="1">
      <c r="A1306" s="7">
        <v>1305</v>
      </c>
      <c r="B1306" t="s">
        <v>243</v>
      </c>
      <c r="C1306" t="s">
        <v>244</v>
      </c>
      <c r="D1306" s="7">
        <v>7134</v>
      </c>
      <c r="E1306" t="s">
        <v>245</v>
      </c>
      <c r="F1306" t="s">
        <v>246</v>
      </c>
      <c r="G1306" t="s">
        <v>999</v>
      </c>
      <c r="H1306" t="s">
        <v>3352</v>
      </c>
      <c r="I1306" s="7">
        <v>1150</v>
      </c>
      <c r="J1306" s="7">
        <v>30000</v>
      </c>
      <c r="K1306" s="7">
        <v>3</v>
      </c>
      <c r="L1306" t="s">
        <v>247</v>
      </c>
      <c r="M1306" t="s">
        <v>261</v>
      </c>
      <c r="N1306" s="7">
        <v>781928</v>
      </c>
      <c r="O1306" t="s">
        <v>1524</v>
      </c>
      <c r="P1306" t="s">
        <v>1525</v>
      </c>
      <c r="S1306" t="s">
        <v>3799</v>
      </c>
      <c r="T1306" t="s">
        <v>3728</v>
      </c>
      <c r="U1306" t="s">
        <v>4859</v>
      </c>
      <c r="V1306" s="8">
        <v>1250</v>
      </c>
      <c r="W1306" s="7">
        <v>590053</v>
      </c>
      <c r="X1306" t="s">
        <v>4860</v>
      </c>
      <c r="Y1306" s="8">
        <v>1250</v>
      </c>
      <c r="Z1306" s="8">
        <v>1475</v>
      </c>
      <c r="AA1306" s="8">
        <v>225</v>
      </c>
      <c r="AB1306" s="7">
        <v>113520</v>
      </c>
      <c r="AC1306" t="s">
        <v>4860</v>
      </c>
      <c r="AD1306" s="8">
        <v>0</v>
      </c>
      <c r="AG1306" t="s">
        <v>801</v>
      </c>
      <c r="AH1306" t="s">
        <v>802</v>
      </c>
      <c r="AI1306" t="s">
        <v>818</v>
      </c>
    </row>
    <row r="1307" spans="1:35" hidden="1">
      <c r="A1307" s="7">
        <v>1306</v>
      </c>
      <c r="B1307" t="s">
        <v>243</v>
      </c>
      <c r="C1307" t="s">
        <v>244</v>
      </c>
      <c r="D1307" s="7">
        <v>7134</v>
      </c>
      <c r="E1307" t="s">
        <v>245</v>
      </c>
      <c r="F1307" t="s">
        <v>246</v>
      </c>
      <c r="G1307" t="s">
        <v>313</v>
      </c>
      <c r="H1307" t="s">
        <v>4884</v>
      </c>
      <c r="I1307" s="7">
        <v>1165</v>
      </c>
      <c r="J1307" s="7">
        <v>26521</v>
      </c>
      <c r="K1307" s="7">
        <v>3</v>
      </c>
      <c r="L1307" t="s">
        <v>247</v>
      </c>
      <c r="M1307" t="s">
        <v>361</v>
      </c>
      <c r="N1307" s="7">
        <v>6118</v>
      </c>
      <c r="O1307" t="s">
        <v>437</v>
      </c>
      <c r="P1307" t="s">
        <v>438</v>
      </c>
      <c r="S1307" t="s">
        <v>3799</v>
      </c>
      <c r="T1307" t="s">
        <v>3728</v>
      </c>
      <c r="U1307" t="s">
        <v>4859</v>
      </c>
      <c r="V1307" s="8">
        <v>1650</v>
      </c>
      <c r="W1307" s="7">
        <v>590053</v>
      </c>
      <c r="X1307" t="s">
        <v>4860</v>
      </c>
      <c r="Y1307" s="8">
        <v>1650</v>
      </c>
      <c r="Z1307" s="8">
        <v>1947</v>
      </c>
      <c r="AA1307" s="8">
        <v>297</v>
      </c>
      <c r="AB1307" s="7">
        <v>113520</v>
      </c>
      <c r="AC1307" t="s">
        <v>4860</v>
      </c>
      <c r="AD1307" s="8">
        <v>0</v>
      </c>
      <c r="AG1307" t="s">
        <v>823</v>
      </c>
      <c r="AH1307" t="s">
        <v>802</v>
      </c>
      <c r="AI1307" t="s">
        <v>818</v>
      </c>
    </row>
    <row r="1308" spans="1:35" hidden="1">
      <c r="A1308" s="7">
        <v>1307</v>
      </c>
      <c r="B1308" t="s">
        <v>243</v>
      </c>
      <c r="C1308" t="s">
        <v>244</v>
      </c>
      <c r="D1308" s="7">
        <v>7134</v>
      </c>
      <c r="E1308" t="s">
        <v>245</v>
      </c>
      <c r="F1308" t="s">
        <v>246</v>
      </c>
      <c r="G1308" t="s">
        <v>1050</v>
      </c>
      <c r="H1308" t="s">
        <v>4871</v>
      </c>
      <c r="I1308" s="7">
        <v>1165</v>
      </c>
      <c r="J1308" s="7">
        <v>61893</v>
      </c>
      <c r="K1308" s="7">
        <v>6</v>
      </c>
      <c r="L1308" t="s">
        <v>247</v>
      </c>
      <c r="M1308" t="s">
        <v>261</v>
      </c>
      <c r="N1308" s="7">
        <v>787043</v>
      </c>
      <c r="O1308" t="s">
        <v>1205</v>
      </c>
      <c r="P1308" t="s">
        <v>1206</v>
      </c>
      <c r="Q1308" t="s">
        <v>908</v>
      </c>
      <c r="R1308" t="s">
        <v>909</v>
      </c>
      <c r="S1308" t="s">
        <v>3799</v>
      </c>
      <c r="T1308" t="s">
        <v>3728</v>
      </c>
      <c r="U1308" t="s">
        <v>4859</v>
      </c>
      <c r="V1308" s="8">
        <v>0</v>
      </c>
      <c r="W1308" s="7">
        <v>590053</v>
      </c>
      <c r="X1308" t="s">
        <v>4860</v>
      </c>
      <c r="Y1308" s="8">
        <v>0</v>
      </c>
      <c r="Z1308" s="8">
        <v>0</v>
      </c>
      <c r="AA1308" s="8">
        <v>0</v>
      </c>
      <c r="AB1308" s="7">
        <v>113520</v>
      </c>
      <c r="AC1308" t="s">
        <v>4860</v>
      </c>
      <c r="AD1308" s="8">
        <v>0</v>
      </c>
      <c r="AG1308" t="s">
        <v>801</v>
      </c>
      <c r="AH1308" t="s">
        <v>802</v>
      </c>
      <c r="AI1308" t="s">
        <v>803</v>
      </c>
    </row>
    <row r="1309" spans="1:35" hidden="1">
      <c r="A1309" s="7">
        <v>1308</v>
      </c>
      <c r="B1309" t="s">
        <v>243</v>
      </c>
      <c r="C1309" t="s">
        <v>244</v>
      </c>
      <c r="D1309" s="7">
        <v>7134</v>
      </c>
      <c r="E1309" t="s">
        <v>245</v>
      </c>
      <c r="F1309" t="s">
        <v>246</v>
      </c>
      <c r="G1309" t="s">
        <v>263</v>
      </c>
      <c r="H1309" t="s">
        <v>4863</v>
      </c>
      <c r="I1309" s="7">
        <v>879</v>
      </c>
      <c r="J1309" s="7">
        <v>53306</v>
      </c>
      <c r="K1309" s="7">
        <v>3</v>
      </c>
      <c r="L1309" t="s">
        <v>247</v>
      </c>
      <c r="M1309" t="s">
        <v>261</v>
      </c>
      <c r="N1309" s="7">
        <v>796172</v>
      </c>
      <c r="O1309" t="s">
        <v>2007</v>
      </c>
      <c r="P1309" t="s">
        <v>2008</v>
      </c>
      <c r="Q1309" t="s">
        <v>908</v>
      </c>
      <c r="R1309" t="s">
        <v>909</v>
      </c>
      <c r="S1309" t="s">
        <v>3799</v>
      </c>
      <c r="T1309" t="s">
        <v>3728</v>
      </c>
      <c r="U1309" t="s">
        <v>4859</v>
      </c>
      <c r="V1309" s="8">
        <v>1250</v>
      </c>
      <c r="W1309" s="7">
        <v>590053</v>
      </c>
      <c r="X1309" t="s">
        <v>4860</v>
      </c>
      <c r="Y1309" s="8">
        <v>1000</v>
      </c>
      <c r="Z1309" s="8">
        <v>1475</v>
      </c>
      <c r="AA1309" s="8">
        <v>225</v>
      </c>
      <c r="AB1309" s="7">
        <v>113520</v>
      </c>
      <c r="AC1309" t="s">
        <v>4860</v>
      </c>
      <c r="AD1309" s="8">
        <v>250</v>
      </c>
      <c r="AG1309" t="s">
        <v>817</v>
      </c>
      <c r="AH1309" t="s">
        <v>802</v>
      </c>
      <c r="AI1309" t="s">
        <v>818</v>
      </c>
    </row>
    <row r="1310" spans="1:35" hidden="1">
      <c r="A1310" s="7">
        <v>1309</v>
      </c>
      <c r="B1310" t="s">
        <v>243</v>
      </c>
      <c r="C1310" t="s">
        <v>244</v>
      </c>
      <c r="D1310" s="7">
        <v>7134</v>
      </c>
      <c r="E1310" t="s">
        <v>245</v>
      </c>
      <c r="F1310" t="s">
        <v>246</v>
      </c>
      <c r="G1310" t="s">
        <v>3102</v>
      </c>
      <c r="H1310" t="s">
        <v>4865</v>
      </c>
      <c r="I1310" s="7">
        <v>1165</v>
      </c>
      <c r="J1310" s="7">
        <v>7500</v>
      </c>
      <c r="K1310" s="7">
        <v>1</v>
      </c>
      <c r="L1310" t="s">
        <v>247</v>
      </c>
      <c r="M1310" t="s">
        <v>261</v>
      </c>
      <c r="N1310" s="7">
        <v>802983</v>
      </c>
      <c r="O1310" t="s">
        <v>3210</v>
      </c>
      <c r="P1310" t="s">
        <v>3211</v>
      </c>
      <c r="S1310" t="s">
        <v>3799</v>
      </c>
      <c r="T1310" t="s">
        <v>3728</v>
      </c>
      <c r="U1310" t="s">
        <v>4859</v>
      </c>
      <c r="V1310" s="8">
        <v>1250</v>
      </c>
      <c r="W1310" s="7">
        <v>590053</v>
      </c>
      <c r="X1310" t="s">
        <v>4860</v>
      </c>
      <c r="Y1310" s="8">
        <v>1250</v>
      </c>
      <c r="Z1310" s="8">
        <v>1475</v>
      </c>
      <c r="AA1310" s="8">
        <v>225</v>
      </c>
      <c r="AB1310" s="7">
        <v>113520</v>
      </c>
      <c r="AC1310" t="s">
        <v>4860</v>
      </c>
      <c r="AD1310" s="8">
        <v>0</v>
      </c>
      <c r="AG1310" t="s">
        <v>801</v>
      </c>
      <c r="AH1310" t="s">
        <v>802</v>
      </c>
      <c r="AI1310" t="s">
        <v>818</v>
      </c>
    </row>
    <row r="1311" spans="1:35" hidden="1">
      <c r="A1311" s="7">
        <v>1310</v>
      </c>
      <c r="B1311" t="s">
        <v>243</v>
      </c>
      <c r="C1311" t="s">
        <v>244</v>
      </c>
      <c r="D1311" s="7">
        <v>7134</v>
      </c>
      <c r="E1311" t="s">
        <v>245</v>
      </c>
      <c r="F1311" t="s">
        <v>246</v>
      </c>
      <c r="G1311" t="s">
        <v>1014</v>
      </c>
      <c r="H1311" t="s">
        <v>4877</v>
      </c>
      <c r="I1311" s="7">
        <v>1165</v>
      </c>
      <c r="J1311" s="7">
        <v>91500</v>
      </c>
      <c r="K1311" s="7">
        <v>13</v>
      </c>
      <c r="L1311" t="s">
        <v>247</v>
      </c>
      <c r="M1311" t="s">
        <v>261</v>
      </c>
      <c r="N1311" s="7">
        <v>753201</v>
      </c>
      <c r="O1311" t="s">
        <v>1015</v>
      </c>
      <c r="P1311" t="s">
        <v>1016</v>
      </c>
      <c r="S1311" t="s">
        <v>3799</v>
      </c>
      <c r="T1311" t="s">
        <v>3728</v>
      </c>
      <c r="U1311" t="s">
        <v>4859</v>
      </c>
      <c r="V1311" s="8">
        <v>0</v>
      </c>
      <c r="W1311" s="7">
        <v>590053</v>
      </c>
      <c r="X1311" t="s">
        <v>4860</v>
      </c>
      <c r="Y1311" s="8">
        <v>0</v>
      </c>
      <c r="Z1311" s="8">
        <v>0</v>
      </c>
      <c r="AA1311" s="8">
        <v>0</v>
      </c>
      <c r="AB1311" s="7">
        <v>113520</v>
      </c>
      <c r="AC1311" t="s">
        <v>4860</v>
      </c>
      <c r="AD1311" s="8">
        <v>0</v>
      </c>
      <c r="AG1311" t="s">
        <v>801</v>
      </c>
      <c r="AH1311" t="s">
        <v>802</v>
      </c>
      <c r="AI1311" t="s">
        <v>803</v>
      </c>
    </row>
    <row r="1312" spans="1:35" hidden="1">
      <c r="A1312" s="7">
        <v>1311</v>
      </c>
      <c r="B1312" t="s">
        <v>243</v>
      </c>
      <c r="C1312" t="s">
        <v>244</v>
      </c>
      <c r="D1312" s="7">
        <v>7134</v>
      </c>
      <c r="E1312" t="s">
        <v>245</v>
      </c>
      <c r="F1312" t="s">
        <v>246</v>
      </c>
      <c r="G1312" t="s">
        <v>248</v>
      </c>
      <c r="H1312" t="s">
        <v>4869</v>
      </c>
      <c r="I1312" s="7">
        <v>1165</v>
      </c>
      <c r="J1312" s="7">
        <v>16466</v>
      </c>
      <c r="K1312" s="7">
        <v>3</v>
      </c>
      <c r="L1312" t="s">
        <v>247</v>
      </c>
      <c r="M1312" t="s">
        <v>261</v>
      </c>
      <c r="N1312" s="7">
        <v>801400</v>
      </c>
      <c r="O1312" t="s">
        <v>290</v>
      </c>
      <c r="P1312" t="s">
        <v>291</v>
      </c>
      <c r="S1312" t="s">
        <v>3799</v>
      </c>
      <c r="T1312" t="s">
        <v>3728</v>
      </c>
      <c r="U1312" t="s">
        <v>4859</v>
      </c>
      <c r="V1312" s="8">
        <v>1250</v>
      </c>
      <c r="W1312" s="7">
        <v>590053</v>
      </c>
      <c r="X1312" t="s">
        <v>4860</v>
      </c>
      <c r="Y1312" s="8">
        <v>1250</v>
      </c>
      <c r="Z1312" s="8">
        <v>1475</v>
      </c>
      <c r="AA1312" s="8">
        <v>225</v>
      </c>
      <c r="AB1312" s="7">
        <v>113520</v>
      </c>
      <c r="AC1312" t="s">
        <v>4860</v>
      </c>
      <c r="AD1312" s="8">
        <v>0</v>
      </c>
      <c r="AG1312" t="s">
        <v>801</v>
      </c>
      <c r="AH1312" t="s">
        <v>802</v>
      </c>
      <c r="AI1312" t="s">
        <v>818</v>
      </c>
    </row>
    <row r="1313" spans="1:35" hidden="1">
      <c r="A1313" s="7">
        <v>1312</v>
      </c>
      <c r="B1313" t="s">
        <v>243</v>
      </c>
      <c r="C1313" t="s">
        <v>244</v>
      </c>
      <c r="D1313" s="7">
        <v>7134</v>
      </c>
      <c r="E1313" t="s">
        <v>245</v>
      </c>
      <c r="F1313" t="s">
        <v>246</v>
      </c>
      <c r="G1313" t="s">
        <v>293</v>
      </c>
      <c r="H1313" t="s">
        <v>4865</v>
      </c>
      <c r="I1313" s="7">
        <v>1165</v>
      </c>
      <c r="J1313" s="7">
        <v>29200</v>
      </c>
      <c r="K1313" s="7">
        <v>3</v>
      </c>
      <c r="L1313" t="s">
        <v>247</v>
      </c>
      <c r="M1313" t="s">
        <v>261</v>
      </c>
      <c r="N1313" s="7">
        <v>801496</v>
      </c>
      <c r="O1313" t="s">
        <v>455</v>
      </c>
      <c r="P1313" t="s">
        <v>456</v>
      </c>
      <c r="S1313" t="s">
        <v>3799</v>
      </c>
      <c r="T1313" t="s">
        <v>3728</v>
      </c>
      <c r="U1313" t="s">
        <v>4859</v>
      </c>
      <c r="V1313" s="8">
        <v>1250</v>
      </c>
      <c r="W1313" s="7">
        <v>590053</v>
      </c>
      <c r="X1313" t="s">
        <v>4860</v>
      </c>
      <c r="Y1313" s="8">
        <v>1250</v>
      </c>
      <c r="Z1313" s="8">
        <v>1475</v>
      </c>
      <c r="AA1313" s="8">
        <v>225</v>
      </c>
      <c r="AB1313" s="7">
        <v>113520</v>
      </c>
      <c r="AC1313" t="s">
        <v>4860</v>
      </c>
      <c r="AD1313" s="8">
        <v>0</v>
      </c>
      <c r="AG1313" t="s">
        <v>801</v>
      </c>
      <c r="AH1313" t="s">
        <v>802</v>
      </c>
      <c r="AI1313" t="s">
        <v>818</v>
      </c>
    </row>
    <row r="1314" spans="1:35" hidden="1">
      <c r="A1314" s="7">
        <v>1313</v>
      </c>
      <c r="B1314" t="s">
        <v>243</v>
      </c>
      <c r="C1314" t="s">
        <v>244</v>
      </c>
      <c r="D1314" s="7">
        <v>7134</v>
      </c>
      <c r="E1314" t="s">
        <v>245</v>
      </c>
      <c r="F1314" t="s">
        <v>246</v>
      </c>
      <c r="G1314" t="s">
        <v>1356</v>
      </c>
      <c r="H1314" t="s">
        <v>3432</v>
      </c>
      <c r="I1314" s="7">
        <v>687</v>
      </c>
      <c r="J1314" s="7">
        <v>52601</v>
      </c>
      <c r="K1314" s="7">
        <v>7</v>
      </c>
      <c r="L1314" t="s">
        <v>247</v>
      </c>
      <c r="M1314" t="s">
        <v>361</v>
      </c>
      <c r="N1314" s="7">
        <v>3137</v>
      </c>
      <c r="O1314" t="s">
        <v>1380</v>
      </c>
      <c r="P1314" t="s">
        <v>1381</v>
      </c>
      <c r="S1314" t="s">
        <v>3799</v>
      </c>
      <c r="T1314" t="s">
        <v>3728</v>
      </c>
      <c r="U1314" t="s">
        <v>4859</v>
      </c>
      <c r="V1314" s="8">
        <v>1650</v>
      </c>
      <c r="W1314" s="7">
        <v>590053</v>
      </c>
      <c r="X1314" t="s">
        <v>4860</v>
      </c>
      <c r="Y1314" s="8">
        <v>1650</v>
      </c>
      <c r="Z1314" s="8">
        <v>1947</v>
      </c>
      <c r="AA1314" s="8">
        <v>297</v>
      </c>
      <c r="AB1314" s="7">
        <v>113520</v>
      </c>
      <c r="AC1314" t="s">
        <v>4860</v>
      </c>
      <c r="AD1314" s="8">
        <v>0</v>
      </c>
      <c r="AG1314" t="s">
        <v>823</v>
      </c>
      <c r="AH1314" t="s">
        <v>802</v>
      </c>
      <c r="AI1314" t="s">
        <v>818</v>
      </c>
    </row>
    <row r="1315" spans="1:35" hidden="1">
      <c r="A1315" s="7">
        <v>1314</v>
      </c>
      <c r="B1315" t="s">
        <v>243</v>
      </c>
      <c r="C1315" t="s">
        <v>244</v>
      </c>
      <c r="D1315" s="7">
        <v>7134</v>
      </c>
      <c r="E1315" t="s">
        <v>245</v>
      </c>
      <c r="F1315" t="s">
        <v>246</v>
      </c>
      <c r="G1315" t="s">
        <v>1730</v>
      </c>
      <c r="H1315" t="s">
        <v>3727</v>
      </c>
      <c r="I1315" s="7">
        <v>1165</v>
      </c>
      <c r="J1315" s="7">
        <v>69800</v>
      </c>
      <c r="K1315" s="7">
        <v>8</v>
      </c>
      <c r="L1315" t="s">
        <v>247</v>
      </c>
      <c r="M1315" t="s">
        <v>267</v>
      </c>
      <c r="N1315" s="7">
        <v>776872</v>
      </c>
      <c r="O1315" t="s">
        <v>1731</v>
      </c>
      <c r="P1315" t="s">
        <v>1732</v>
      </c>
      <c r="S1315" t="s">
        <v>3799</v>
      </c>
      <c r="T1315" t="s">
        <v>3728</v>
      </c>
      <c r="U1315" t="s">
        <v>4859</v>
      </c>
      <c r="V1315" s="8">
        <v>1250</v>
      </c>
      <c r="W1315" s="7">
        <v>590053</v>
      </c>
      <c r="X1315" t="s">
        <v>4860</v>
      </c>
      <c r="Y1315" s="8">
        <v>1250</v>
      </c>
      <c r="Z1315" s="8">
        <v>1475</v>
      </c>
      <c r="AA1315" s="8">
        <v>225</v>
      </c>
      <c r="AB1315" s="7">
        <v>113520</v>
      </c>
      <c r="AC1315" t="s">
        <v>4860</v>
      </c>
      <c r="AD1315" s="8">
        <v>0</v>
      </c>
      <c r="AG1315" t="s">
        <v>828</v>
      </c>
      <c r="AH1315" t="s">
        <v>802</v>
      </c>
      <c r="AI1315" t="s">
        <v>818</v>
      </c>
    </row>
    <row r="1316" spans="1:35" hidden="1">
      <c r="A1316" s="7">
        <v>1315</v>
      </c>
      <c r="B1316" t="s">
        <v>243</v>
      </c>
      <c r="C1316" t="s">
        <v>244</v>
      </c>
      <c r="D1316" s="7">
        <v>7134</v>
      </c>
      <c r="E1316" t="s">
        <v>245</v>
      </c>
      <c r="F1316" t="s">
        <v>246</v>
      </c>
      <c r="G1316" t="s">
        <v>1072</v>
      </c>
      <c r="H1316" t="s">
        <v>4869</v>
      </c>
      <c r="I1316" s="7">
        <v>1165</v>
      </c>
      <c r="J1316" s="7">
        <v>90110</v>
      </c>
      <c r="K1316" s="7">
        <v>9</v>
      </c>
      <c r="L1316" t="s">
        <v>247</v>
      </c>
      <c r="M1316" t="s">
        <v>261</v>
      </c>
      <c r="N1316" s="7">
        <v>774648</v>
      </c>
      <c r="O1316" t="s">
        <v>1549</v>
      </c>
      <c r="P1316" t="s">
        <v>1550</v>
      </c>
      <c r="S1316" t="s">
        <v>3799</v>
      </c>
      <c r="T1316" t="s">
        <v>3728</v>
      </c>
      <c r="U1316" t="s">
        <v>4859</v>
      </c>
      <c r="V1316" s="8">
        <v>0</v>
      </c>
      <c r="W1316" s="7">
        <v>590053</v>
      </c>
      <c r="X1316" t="s">
        <v>4860</v>
      </c>
      <c r="Y1316" s="8">
        <v>0</v>
      </c>
      <c r="Z1316" s="8">
        <v>0</v>
      </c>
      <c r="AA1316" s="8">
        <v>0</v>
      </c>
      <c r="AB1316" s="7">
        <v>113520</v>
      </c>
      <c r="AC1316" t="s">
        <v>4860</v>
      </c>
      <c r="AD1316" s="8">
        <v>0</v>
      </c>
      <c r="AG1316" t="s">
        <v>801</v>
      </c>
      <c r="AH1316" t="s">
        <v>802</v>
      </c>
      <c r="AI1316" t="s">
        <v>803</v>
      </c>
    </row>
    <row r="1317" spans="1:35" hidden="1">
      <c r="A1317" s="7">
        <v>1316</v>
      </c>
      <c r="B1317" t="s">
        <v>243</v>
      </c>
      <c r="C1317" t="s">
        <v>244</v>
      </c>
      <c r="D1317" s="7">
        <v>7134</v>
      </c>
      <c r="E1317" t="s">
        <v>245</v>
      </c>
      <c r="F1317" t="s">
        <v>246</v>
      </c>
      <c r="G1317" t="s">
        <v>973</v>
      </c>
      <c r="H1317" t="s">
        <v>4861</v>
      </c>
      <c r="I1317" s="7">
        <v>1108</v>
      </c>
      <c r="J1317" s="7">
        <v>56594</v>
      </c>
      <c r="K1317" s="7">
        <v>6</v>
      </c>
      <c r="L1317" t="s">
        <v>247</v>
      </c>
      <c r="M1317" t="s">
        <v>361</v>
      </c>
      <c r="N1317" s="7">
        <v>5897</v>
      </c>
      <c r="O1317" t="s">
        <v>1002</v>
      </c>
      <c r="P1317" t="s">
        <v>1003</v>
      </c>
      <c r="S1317" t="s">
        <v>3799</v>
      </c>
      <c r="T1317" t="s">
        <v>3728</v>
      </c>
      <c r="U1317" t="s">
        <v>4859</v>
      </c>
      <c r="V1317" s="8">
        <v>0</v>
      </c>
      <c r="W1317" s="7">
        <v>590053</v>
      </c>
      <c r="X1317" t="s">
        <v>4860</v>
      </c>
      <c r="Y1317" s="8">
        <v>0</v>
      </c>
      <c r="Z1317" s="8">
        <v>0</v>
      </c>
      <c r="AA1317" s="8">
        <v>0</v>
      </c>
      <c r="AB1317" s="7">
        <v>113520</v>
      </c>
      <c r="AC1317" t="s">
        <v>4860</v>
      </c>
      <c r="AD1317" s="8">
        <v>0</v>
      </c>
      <c r="AG1317" t="s">
        <v>823</v>
      </c>
      <c r="AH1317" t="s">
        <v>802</v>
      </c>
      <c r="AI1317" t="s">
        <v>803</v>
      </c>
    </row>
    <row r="1318" spans="1:35" hidden="1">
      <c r="A1318" s="7">
        <v>1317</v>
      </c>
      <c r="B1318" t="s">
        <v>243</v>
      </c>
      <c r="C1318" t="s">
        <v>244</v>
      </c>
      <c r="D1318" s="7">
        <v>7134</v>
      </c>
      <c r="E1318" t="s">
        <v>245</v>
      </c>
      <c r="F1318" t="s">
        <v>246</v>
      </c>
      <c r="G1318" t="s">
        <v>1063</v>
      </c>
      <c r="H1318" t="s">
        <v>4878</v>
      </c>
      <c r="I1318" s="7">
        <v>1165</v>
      </c>
      <c r="J1318" s="7">
        <v>100000</v>
      </c>
      <c r="K1318" s="7">
        <v>10</v>
      </c>
      <c r="L1318" t="s">
        <v>247</v>
      </c>
      <c r="M1318" t="s">
        <v>261</v>
      </c>
      <c r="N1318" s="7">
        <v>773701</v>
      </c>
      <c r="O1318" t="s">
        <v>2074</v>
      </c>
      <c r="P1318" t="s">
        <v>2075</v>
      </c>
      <c r="S1318" t="s">
        <v>3799</v>
      </c>
      <c r="T1318" t="s">
        <v>3728</v>
      </c>
      <c r="U1318" t="s">
        <v>4859</v>
      </c>
      <c r="V1318" s="8">
        <v>0</v>
      </c>
      <c r="W1318" s="7">
        <v>590053</v>
      </c>
      <c r="X1318" t="s">
        <v>4860</v>
      </c>
      <c r="Y1318" s="8">
        <v>0</v>
      </c>
      <c r="Z1318" s="8">
        <v>0</v>
      </c>
      <c r="AA1318" s="8">
        <v>0</v>
      </c>
      <c r="AB1318" s="7">
        <v>113520</v>
      </c>
      <c r="AC1318" t="s">
        <v>4860</v>
      </c>
      <c r="AD1318" s="8">
        <v>0</v>
      </c>
      <c r="AG1318" t="s">
        <v>801</v>
      </c>
      <c r="AH1318" t="s">
        <v>802</v>
      </c>
      <c r="AI1318" t="s">
        <v>803</v>
      </c>
    </row>
    <row r="1319" spans="1:35" hidden="1">
      <c r="A1319" s="7">
        <v>1318</v>
      </c>
      <c r="B1319" t="s">
        <v>243</v>
      </c>
      <c r="C1319" t="s">
        <v>244</v>
      </c>
      <c r="D1319" s="7">
        <v>7134</v>
      </c>
      <c r="E1319" t="s">
        <v>245</v>
      </c>
      <c r="F1319" t="s">
        <v>246</v>
      </c>
      <c r="G1319" t="s">
        <v>263</v>
      </c>
      <c r="H1319" t="s">
        <v>4868</v>
      </c>
      <c r="I1319" s="7">
        <v>883</v>
      </c>
      <c r="J1319" s="7">
        <v>52283</v>
      </c>
      <c r="K1319" s="7">
        <v>3</v>
      </c>
      <c r="L1319" t="s">
        <v>247</v>
      </c>
      <c r="M1319" t="s">
        <v>261</v>
      </c>
      <c r="N1319" s="7">
        <v>798650</v>
      </c>
      <c r="O1319" t="s">
        <v>1939</v>
      </c>
      <c r="P1319" t="s">
        <v>1940</v>
      </c>
      <c r="Q1319" t="s">
        <v>908</v>
      </c>
      <c r="R1319" t="s">
        <v>909</v>
      </c>
      <c r="S1319" t="s">
        <v>3799</v>
      </c>
      <c r="T1319" t="s">
        <v>3728</v>
      </c>
      <c r="U1319" t="s">
        <v>4859</v>
      </c>
      <c r="V1319" s="8">
        <v>1250</v>
      </c>
      <c r="W1319" s="7">
        <v>590053</v>
      </c>
      <c r="X1319" t="s">
        <v>4860</v>
      </c>
      <c r="Y1319" s="8">
        <v>1000</v>
      </c>
      <c r="Z1319" s="8">
        <v>1475</v>
      </c>
      <c r="AA1319" s="8">
        <v>225</v>
      </c>
      <c r="AB1319" s="7">
        <v>113520</v>
      </c>
      <c r="AC1319" t="s">
        <v>4860</v>
      </c>
      <c r="AD1319" s="8">
        <v>250</v>
      </c>
      <c r="AG1319" t="s">
        <v>817</v>
      </c>
      <c r="AH1319" t="s">
        <v>802</v>
      </c>
      <c r="AI1319" t="s">
        <v>818</v>
      </c>
    </row>
    <row r="1320" spans="1:35" hidden="1">
      <c r="A1320" s="7">
        <v>1319</v>
      </c>
      <c r="B1320" t="s">
        <v>243</v>
      </c>
      <c r="C1320" t="s">
        <v>244</v>
      </c>
      <c r="D1320" s="7">
        <v>7134</v>
      </c>
      <c r="E1320" t="s">
        <v>245</v>
      </c>
      <c r="F1320" t="s">
        <v>246</v>
      </c>
      <c r="G1320" t="s">
        <v>867</v>
      </c>
      <c r="H1320" t="s">
        <v>4882</v>
      </c>
      <c r="I1320" s="7">
        <v>1165</v>
      </c>
      <c r="J1320" s="7">
        <v>38000</v>
      </c>
      <c r="K1320" s="7">
        <v>6</v>
      </c>
      <c r="L1320" t="s">
        <v>247</v>
      </c>
      <c r="M1320" t="s">
        <v>261</v>
      </c>
      <c r="N1320" s="7">
        <v>790580</v>
      </c>
      <c r="O1320" t="s">
        <v>1020</v>
      </c>
      <c r="P1320" t="s">
        <v>1021</v>
      </c>
      <c r="S1320" t="s">
        <v>3799</v>
      </c>
      <c r="T1320" t="s">
        <v>3728</v>
      </c>
      <c r="U1320" t="s">
        <v>4859</v>
      </c>
      <c r="V1320" s="8">
        <v>0</v>
      </c>
      <c r="W1320" s="7">
        <v>590053</v>
      </c>
      <c r="X1320" t="s">
        <v>4860</v>
      </c>
      <c r="Y1320" s="8">
        <v>0</v>
      </c>
      <c r="Z1320" s="8">
        <v>0</v>
      </c>
      <c r="AA1320" s="8">
        <v>0</v>
      </c>
      <c r="AB1320" s="7">
        <v>113520</v>
      </c>
      <c r="AC1320" t="s">
        <v>4860</v>
      </c>
      <c r="AD1320" s="8">
        <v>0</v>
      </c>
      <c r="AG1320" t="s">
        <v>801</v>
      </c>
      <c r="AH1320" t="s">
        <v>802</v>
      </c>
      <c r="AI1320" t="s">
        <v>803</v>
      </c>
    </row>
    <row r="1321" spans="1:35" hidden="1">
      <c r="A1321" s="7">
        <v>1320</v>
      </c>
      <c r="B1321" t="s">
        <v>243</v>
      </c>
      <c r="C1321" t="s">
        <v>244</v>
      </c>
      <c r="D1321" s="7">
        <v>7134</v>
      </c>
      <c r="E1321" t="s">
        <v>245</v>
      </c>
      <c r="F1321" t="s">
        <v>246</v>
      </c>
      <c r="G1321" t="s">
        <v>1518</v>
      </c>
      <c r="H1321" t="s">
        <v>4858</v>
      </c>
      <c r="I1321" s="7">
        <v>1165</v>
      </c>
      <c r="J1321" s="7">
        <v>25851</v>
      </c>
      <c r="K1321" s="7">
        <v>4</v>
      </c>
      <c r="L1321" t="s">
        <v>247</v>
      </c>
      <c r="M1321" t="s">
        <v>261</v>
      </c>
      <c r="N1321" s="7">
        <v>770705</v>
      </c>
      <c r="O1321" t="s">
        <v>2988</v>
      </c>
      <c r="P1321" t="s">
        <v>2989</v>
      </c>
      <c r="S1321" t="s">
        <v>3799</v>
      </c>
      <c r="T1321" t="s">
        <v>3728</v>
      </c>
      <c r="U1321" t="s">
        <v>4859</v>
      </c>
      <c r="V1321" s="8">
        <v>1250</v>
      </c>
      <c r="W1321" s="7">
        <v>590053</v>
      </c>
      <c r="X1321" t="s">
        <v>4860</v>
      </c>
      <c r="Y1321" s="8">
        <v>1250</v>
      </c>
      <c r="Z1321" s="8">
        <v>1475</v>
      </c>
      <c r="AA1321" s="8">
        <v>225</v>
      </c>
      <c r="AB1321" s="7">
        <v>113520</v>
      </c>
      <c r="AC1321" t="s">
        <v>4860</v>
      </c>
      <c r="AD1321" s="8">
        <v>0</v>
      </c>
      <c r="AG1321" t="s">
        <v>817</v>
      </c>
      <c r="AH1321" t="s">
        <v>802</v>
      </c>
      <c r="AI1321" t="s">
        <v>818</v>
      </c>
    </row>
    <row r="1322" spans="1:35" hidden="1">
      <c r="A1322" s="7">
        <v>1321</v>
      </c>
      <c r="B1322" t="s">
        <v>243</v>
      </c>
      <c r="C1322" t="s">
        <v>244</v>
      </c>
      <c r="D1322" s="7">
        <v>7134</v>
      </c>
      <c r="E1322" t="s">
        <v>245</v>
      </c>
      <c r="F1322" t="s">
        <v>246</v>
      </c>
      <c r="G1322" t="s">
        <v>1319</v>
      </c>
      <c r="H1322" t="s">
        <v>3432</v>
      </c>
      <c r="I1322" s="7">
        <v>900</v>
      </c>
      <c r="J1322" s="7">
        <v>4022</v>
      </c>
      <c r="K1322" s="7">
        <v>2</v>
      </c>
      <c r="L1322" t="s">
        <v>247</v>
      </c>
      <c r="M1322" t="s">
        <v>261</v>
      </c>
      <c r="N1322" s="7">
        <v>781573</v>
      </c>
      <c r="O1322" t="s">
        <v>4885</v>
      </c>
      <c r="P1322" t="s">
        <v>4886</v>
      </c>
      <c r="Q1322" t="s">
        <v>870</v>
      </c>
      <c r="R1322" t="s">
        <v>871</v>
      </c>
      <c r="S1322" t="s">
        <v>3799</v>
      </c>
      <c r="T1322" t="s">
        <v>3728</v>
      </c>
      <c r="U1322" t="s">
        <v>4859</v>
      </c>
      <c r="V1322" s="8">
        <v>1250</v>
      </c>
      <c r="W1322" s="7">
        <v>590053</v>
      </c>
      <c r="X1322" t="s">
        <v>4860</v>
      </c>
      <c r="Y1322" s="8">
        <v>1000</v>
      </c>
      <c r="Z1322" s="8">
        <v>1475</v>
      </c>
      <c r="AA1322" s="8">
        <v>225</v>
      </c>
      <c r="AB1322" s="7">
        <v>113520</v>
      </c>
      <c r="AC1322" t="s">
        <v>4860</v>
      </c>
      <c r="AD1322" s="8">
        <v>250</v>
      </c>
      <c r="AG1322" t="s">
        <v>801</v>
      </c>
      <c r="AH1322" t="s">
        <v>802</v>
      </c>
      <c r="AI1322" t="s">
        <v>818</v>
      </c>
    </row>
    <row r="1323" spans="1:35" hidden="1">
      <c r="A1323" s="7">
        <v>1322</v>
      </c>
      <c r="B1323" t="s">
        <v>243</v>
      </c>
      <c r="C1323" t="s">
        <v>244</v>
      </c>
      <c r="D1323" s="7">
        <v>7134</v>
      </c>
      <c r="E1323" t="s">
        <v>245</v>
      </c>
      <c r="F1323" t="s">
        <v>246</v>
      </c>
      <c r="G1323" t="s">
        <v>1577</v>
      </c>
      <c r="H1323" t="s">
        <v>4869</v>
      </c>
      <c r="I1323" s="7">
        <v>1165</v>
      </c>
      <c r="J1323" s="7">
        <v>51628</v>
      </c>
      <c r="K1323" s="7">
        <v>5</v>
      </c>
      <c r="L1323" t="s">
        <v>247</v>
      </c>
      <c r="M1323" t="s">
        <v>361</v>
      </c>
      <c r="N1323" s="7">
        <v>5392</v>
      </c>
      <c r="O1323" t="s">
        <v>1578</v>
      </c>
      <c r="P1323" t="s">
        <v>1579</v>
      </c>
      <c r="Q1323" t="s">
        <v>908</v>
      </c>
      <c r="R1323" t="s">
        <v>909</v>
      </c>
      <c r="S1323" t="s">
        <v>3799</v>
      </c>
      <c r="T1323" t="s">
        <v>3728</v>
      </c>
      <c r="U1323" t="s">
        <v>4859</v>
      </c>
      <c r="V1323" s="8">
        <v>1650</v>
      </c>
      <c r="W1323" s="7">
        <v>590053</v>
      </c>
      <c r="X1323" t="s">
        <v>4860</v>
      </c>
      <c r="Y1323" s="8">
        <v>1320</v>
      </c>
      <c r="Z1323" s="8">
        <v>1947</v>
      </c>
      <c r="AA1323" s="8">
        <v>297</v>
      </c>
      <c r="AB1323" s="7">
        <v>113520</v>
      </c>
      <c r="AC1323" t="s">
        <v>4860</v>
      </c>
      <c r="AD1323" s="8">
        <v>330</v>
      </c>
      <c r="AG1323" t="s">
        <v>823</v>
      </c>
      <c r="AH1323" t="s">
        <v>802</v>
      </c>
      <c r="AI1323" t="s">
        <v>818</v>
      </c>
    </row>
    <row r="1324" spans="1:35" hidden="1">
      <c r="A1324" s="7">
        <v>1323</v>
      </c>
      <c r="B1324" t="s">
        <v>243</v>
      </c>
      <c r="C1324" t="s">
        <v>244</v>
      </c>
      <c r="D1324" s="7">
        <v>7134</v>
      </c>
      <c r="E1324" t="s">
        <v>245</v>
      </c>
      <c r="F1324" t="s">
        <v>246</v>
      </c>
      <c r="G1324" t="s">
        <v>419</v>
      </c>
      <c r="H1324" t="s">
        <v>3355</v>
      </c>
      <c r="I1324" s="7">
        <v>1165</v>
      </c>
      <c r="J1324" s="7">
        <v>30142</v>
      </c>
      <c r="K1324" s="7">
        <v>3</v>
      </c>
      <c r="L1324" t="s">
        <v>247</v>
      </c>
      <c r="M1324" t="s">
        <v>361</v>
      </c>
      <c r="N1324" s="7">
        <v>6367</v>
      </c>
      <c r="O1324" t="s">
        <v>1788</v>
      </c>
      <c r="P1324" t="s">
        <v>1789</v>
      </c>
      <c r="S1324" t="s">
        <v>3799</v>
      </c>
      <c r="T1324" t="s">
        <v>3728</v>
      </c>
      <c r="U1324" t="s">
        <v>4859</v>
      </c>
      <c r="V1324" s="8">
        <v>1650</v>
      </c>
      <c r="W1324" s="7">
        <v>590053</v>
      </c>
      <c r="X1324" t="s">
        <v>4860</v>
      </c>
      <c r="Y1324" s="8">
        <v>1650</v>
      </c>
      <c r="Z1324" s="8">
        <v>1947</v>
      </c>
      <c r="AA1324" s="8">
        <v>297</v>
      </c>
      <c r="AB1324" s="7">
        <v>113520</v>
      </c>
      <c r="AC1324" t="s">
        <v>4860</v>
      </c>
      <c r="AD1324" s="8">
        <v>0</v>
      </c>
      <c r="AG1324" t="s">
        <v>823</v>
      </c>
      <c r="AH1324" t="s">
        <v>802</v>
      </c>
      <c r="AI1324" t="s">
        <v>818</v>
      </c>
    </row>
    <row r="1325" spans="1:35" hidden="1">
      <c r="A1325" s="7">
        <v>1324</v>
      </c>
      <c r="B1325" t="s">
        <v>243</v>
      </c>
      <c r="C1325" t="s">
        <v>244</v>
      </c>
      <c r="D1325" s="7">
        <v>7134</v>
      </c>
      <c r="E1325" t="s">
        <v>245</v>
      </c>
      <c r="F1325" t="s">
        <v>246</v>
      </c>
      <c r="G1325" t="s">
        <v>363</v>
      </c>
      <c r="H1325" t="s">
        <v>4866</v>
      </c>
      <c r="I1325" s="7">
        <v>1165</v>
      </c>
      <c r="J1325" s="7">
        <v>111326</v>
      </c>
      <c r="K1325" s="7">
        <v>5</v>
      </c>
      <c r="L1325" t="s">
        <v>247</v>
      </c>
      <c r="M1325" t="s">
        <v>261</v>
      </c>
      <c r="N1325" s="7">
        <v>785188</v>
      </c>
      <c r="O1325" t="s">
        <v>383</v>
      </c>
      <c r="P1325" t="s">
        <v>384</v>
      </c>
      <c r="Q1325" t="s">
        <v>908</v>
      </c>
      <c r="R1325" t="s">
        <v>909</v>
      </c>
      <c r="S1325" t="s">
        <v>3799</v>
      </c>
      <c r="T1325" t="s">
        <v>3728</v>
      </c>
      <c r="U1325" t="s">
        <v>4859</v>
      </c>
      <c r="V1325" s="8">
        <v>1250</v>
      </c>
      <c r="W1325" s="7">
        <v>590053</v>
      </c>
      <c r="X1325" t="s">
        <v>4860</v>
      </c>
      <c r="Y1325" s="8">
        <v>1000</v>
      </c>
      <c r="Z1325" s="8">
        <v>1475</v>
      </c>
      <c r="AA1325" s="8">
        <v>225</v>
      </c>
      <c r="AB1325" s="7">
        <v>113520</v>
      </c>
      <c r="AC1325" t="s">
        <v>4860</v>
      </c>
      <c r="AD1325" s="8">
        <v>250</v>
      </c>
      <c r="AG1325" t="s">
        <v>801</v>
      </c>
      <c r="AH1325" t="s">
        <v>802</v>
      </c>
      <c r="AI1325" t="s">
        <v>818</v>
      </c>
    </row>
    <row r="1326" spans="1:35" hidden="1">
      <c r="A1326" s="7">
        <v>1325</v>
      </c>
      <c r="B1326" t="s">
        <v>243</v>
      </c>
      <c r="C1326" t="s">
        <v>244</v>
      </c>
      <c r="D1326" s="7">
        <v>7134</v>
      </c>
      <c r="E1326" t="s">
        <v>245</v>
      </c>
      <c r="F1326" t="s">
        <v>246</v>
      </c>
      <c r="G1326" t="s">
        <v>1615</v>
      </c>
      <c r="H1326" t="s">
        <v>3727</v>
      </c>
      <c r="I1326" s="7">
        <v>1150</v>
      </c>
      <c r="J1326" s="7">
        <v>12414</v>
      </c>
      <c r="K1326" s="7">
        <v>3</v>
      </c>
      <c r="L1326" t="s">
        <v>247</v>
      </c>
      <c r="M1326" t="s">
        <v>261</v>
      </c>
      <c r="N1326" s="7">
        <v>778137</v>
      </c>
      <c r="O1326" t="s">
        <v>2183</v>
      </c>
      <c r="P1326" t="s">
        <v>2184</v>
      </c>
      <c r="S1326" t="s">
        <v>3799</v>
      </c>
      <c r="T1326" t="s">
        <v>3728</v>
      </c>
      <c r="U1326" t="s">
        <v>4859</v>
      </c>
      <c r="V1326" s="8">
        <v>1250</v>
      </c>
      <c r="W1326" s="7">
        <v>590053</v>
      </c>
      <c r="X1326" t="s">
        <v>4860</v>
      </c>
      <c r="Y1326" s="8">
        <v>1250</v>
      </c>
      <c r="Z1326" s="8">
        <v>1475</v>
      </c>
      <c r="AA1326" s="8">
        <v>225</v>
      </c>
      <c r="AB1326" s="7">
        <v>113520</v>
      </c>
      <c r="AC1326" t="s">
        <v>4860</v>
      </c>
      <c r="AD1326" s="8">
        <v>0</v>
      </c>
      <c r="AG1326" t="s">
        <v>808</v>
      </c>
      <c r="AH1326" t="s">
        <v>802</v>
      </c>
      <c r="AI1326" t="s">
        <v>818</v>
      </c>
    </row>
    <row r="1327" spans="1:35" hidden="1">
      <c r="A1327" s="7">
        <v>1326</v>
      </c>
      <c r="B1327" t="s">
        <v>243</v>
      </c>
      <c r="C1327" t="s">
        <v>244</v>
      </c>
      <c r="D1327" s="7">
        <v>7134</v>
      </c>
      <c r="E1327" t="s">
        <v>245</v>
      </c>
      <c r="F1327" t="s">
        <v>246</v>
      </c>
      <c r="G1327" t="s">
        <v>578</v>
      </c>
      <c r="H1327" t="s">
        <v>3750</v>
      </c>
      <c r="I1327" s="7">
        <v>1165</v>
      </c>
      <c r="J1327" s="7">
        <v>7450</v>
      </c>
      <c r="K1327" s="7">
        <v>2</v>
      </c>
      <c r="L1327" t="s">
        <v>247</v>
      </c>
      <c r="M1327" t="s">
        <v>252</v>
      </c>
      <c r="N1327" s="7">
        <v>328366</v>
      </c>
      <c r="O1327" t="s">
        <v>580</v>
      </c>
      <c r="P1327" t="s">
        <v>581</v>
      </c>
      <c r="Q1327" t="s">
        <v>870</v>
      </c>
      <c r="R1327" t="s">
        <v>871</v>
      </c>
      <c r="S1327" t="s">
        <v>3799</v>
      </c>
      <c r="T1327" t="s">
        <v>3728</v>
      </c>
      <c r="U1327" t="s">
        <v>4859</v>
      </c>
      <c r="V1327" s="8">
        <v>0</v>
      </c>
      <c r="W1327" s="7">
        <v>590053</v>
      </c>
      <c r="X1327" t="s">
        <v>4860</v>
      </c>
      <c r="Y1327" s="8">
        <v>0</v>
      </c>
      <c r="Z1327" s="8">
        <v>0</v>
      </c>
      <c r="AA1327" s="8">
        <v>0</v>
      </c>
      <c r="AB1327" s="7">
        <v>113520</v>
      </c>
      <c r="AC1327" t="s">
        <v>4860</v>
      </c>
      <c r="AD1327" s="8">
        <v>0</v>
      </c>
      <c r="AG1327" t="s">
        <v>937</v>
      </c>
      <c r="AH1327" t="s">
        <v>802</v>
      </c>
      <c r="AI1327" t="s">
        <v>803</v>
      </c>
    </row>
    <row r="1328" spans="1:35" hidden="1">
      <c r="A1328" s="7">
        <v>1327</v>
      </c>
      <c r="B1328" t="s">
        <v>243</v>
      </c>
      <c r="C1328" t="s">
        <v>244</v>
      </c>
      <c r="D1328" s="7">
        <v>7134</v>
      </c>
      <c r="E1328" t="s">
        <v>245</v>
      </c>
      <c r="F1328" t="s">
        <v>246</v>
      </c>
      <c r="G1328" t="s">
        <v>757</v>
      </c>
      <c r="H1328" t="s">
        <v>4867</v>
      </c>
      <c r="I1328" s="7">
        <v>1165</v>
      </c>
      <c r="J1328" s="7">
        <v>10000</v>
      </c>
      <c r="K1328" s="7">
        <v>1</v>
      </c>
      <c r="L1328" t="s">
        <v>247</v>
      </c>
      <c r="M1328" t="s">
        <v>261</v>
      </c>
      <c r="N1328" s="7">
        <v>802196</v>
      </c>
      <c r="O1328" t="s">
        <v>759</v>
      </c>
      <c r="P1328" t="s">
        <v>760</v>
      </c>
      <c r="Q1328" t="s">
        <v>870</v>
      </c>
      <c r="R1328" t="s">
        <v>871</v>
      </c>
      <c r="S1328" t="s">
        <v>3799</v>
      </c>
      <c r="T1328" t="s">
        <v>3728</v>
      </c>
      <c r="U1328" t="s">
        <v>4859</v>
      </c>
      <c r="V1328" s="8">
        <v>1250</v>
      </c>
      <c r="W1328" s="7">
        <v>590053</v>
      </c>
      <c r="X1328" t="s">
        <v>4860</v>
      </c>
      <c r="Y1328" s="8">
        <v>1000</v>
      </c>
      <c r="Z1328" s="8">
        <v>1475</v>
      </c>
      <c r="AA1328" s="8">
        <v>225</v>
      </c>
      <c r="AB1328" s="7">
        <v>113520</v>
      </c>
      <c r="AC1328" t="s">
        <v>4860</v>
      </c>
      <c r="AD1328" s="8">
        <v>250</v>
      </c>
      <c r="AG1328" t="s">
        <v>801</v>
      </c>
      <c r="AH1328" t="s">
        <v>802</v>
      </c>
      <c r="AI1328" t="s">
        <v>818</v>
      </c>
    </row>
    <row r="1329" spans="1:35" hidden="1">
      <c r="A1329" s="7">
        <v>1328</v>
      </c>
      <c r="B1329" t="s">
        <v>243</v>
      </c>
      <c r="C1329" t="s">
        <v>244</v>
      </c>
      <c r="D1329" s="7">
        <v>7134</v>
      </c>
      <c r="E1329" t="s">
        <v>245</v>
      </c>
      <c r="F1329" t="s">
        <v>246</v>
      </c>
      <c r="G1329" t="s">
        <v>1128</v>
      </c>
      <c r="H1329" t="s">
        <v>4878</v>
      </c>
      <c r="I1329" s="7">
        <v>1165</v>
      </c>
      <c r="J1329" s="7">
        <v>35996</v>
      </c>
      <c r="K1329" s="7">
        <v>8</v>
      </c>
      <c r="L1329" t="s">
        <v>247</v>
      </c>
      <c r="M1329" t="s">
        <v>252</v>
      </c>
      <c r="N1329" s="7">
        <v>322625</v>
      </c>
      <c r="O1329" t="s">
        <v>1683</v>
      </c>
      <c r="P1329" t="s">
        <v>1684</v>
      </c>
      <c r="S1329" t="s">
        <v>3799</v>
      </c>
      <c r="T1329" t="s">
        <v>3728</v>
      </c>
      <c r="U1329" t="s">
        <v>4859</v>
      </c>
      <c r="V1329" s="8">
        <v>1250</v>
      </c>
      <c r="W1329" s="7">
        <v>590053</v>
      </c>
      <c r="X1329" t="s">
        <v>4860</v>
      </c>
      <c r="Y1329" s="8">
        <v>1250</v>
      </c>
      <c r="Z1329" s="8">
        <v>1475</v>
      </c>
      <c r="AA1329" s="8">
        <v>225</v>
      </c>
      <c r="AB1329" s="7">
        <v>113520</v>
      </c>
      <c r="AC1329" t="s">
        <v>4860</v>
      </c>
      <c r="AD1329" s="8">
        <v>0</v>
      </c>
      <c r="AG1329" t="s">
        <v>937</v>
      </c>
      <c r="AH1329" t="s">
        <v>802</v>
      </c>
      <c r="AI1329" t="s">
        <v>818</v>
      </c>
    </row>
    <row r="1330" spans="1:35" hidden="1">
      <c r="A1330" s="7">
        <v>1329</v>
      </c>
      <c r="B1330" t="s">
        <v>243</v>
      </c>
      <c r="C1330" t="s">
        <v>244</v>
      </c>
      <c r="D1330" s="7">
        <v>7134</v>
      </c>
      <c r="E1330" t="s">
        <v>245</v>
      </c>
      <c r="F1330" t="s">
        <v>246</v>
      </c>
      <c r="G1330" t="s">
        <v>1044</v>
      </c>
      <c r="H1330" t="s">
        <v>4866</v>
      </c>
      <c r="I1330" s="7">
        <v>1165</v>
      </c>
      <c r="J1330" s="7">
        <v>46899</v>
      </c>
      <c r="K1330" s="7">
        <v>5</v>
      </c>
      <c r="L1330" t="s">
        <v>247</v>
      </c>
      <c r="M1330" t="s">
        <v>361</v>
      </c>
      <c r="N1330" s="7">
        <v>4929</v>
      </c>
      <c r="O1330" t="s">
        <v>1250</v>
      </c>
      <c r="P1330" t="s">
        <v>1251</v>
      </c>
      <c r="S1330" t="s">
        <v>3799</v>
      </c>
      <c r="T1330" t="s">
        <v>3728</v>
      </c>
      <c r="U1330" t="s">
        <v>4859</v>
      </c>
      <c r="V1330" s="8">
        <v>1650</v>
      </c>
      <c r="W1330" s="7">
        <v>590053</v>
      </c>
      <c r="X1330" t="s">
        <v>4860</v>
      </c>
      <c r="Y1330" s="8">
        <v>1650</v>
      </c>
      <c r="Z1330" s="8">
        <v>1947</v>
      </c>
      <c r="AA1330" s="8">
        <v>297</v>
      </c>
      <c r="AB1330" s="7">
        <v>113520</v>
      </c>
      <c r="AC1330" t="s">
        <v>4860</v>
      </c>
      <c r="AD1330" s="8">
        <v>0</v>
      </c>
      <c r="AG1330" t="s">
        <v>823</v>
      </c>
      <c r="AH1330" t="s">
        <v>802</v>
      </c>
      <c r="AI1330" t="s">
        <v>818</v>
      </c>
    </row>
    <row r="1331" spans="1:35" hidden="1">
      <c r="A1331" s="7">
        <v>1330</v>
      </c>
      <c r="B1331" t="s">
        <v>243</v>
      </c>
      <c r="C1331" t="s">
        <v>244</v>
      </c>
      <c r="D1331" s="7">
        <v>7134</v>
      </c>
      <c r="E1331" t="s">
        <v>245</v>
      </c>
      <c r="F1331" t="s">
        <v>246</v>
      </c>
      <c r="G1331" t="s">
        <v>1256</v>
      </c>
      <c r="H1331" t="s">
        <v>4877</v>
      </c>
      <c r="I1331" s="7">
        <v>1165</v>
      </c>
      <c r="J1331" s="7">
        <v>70000</v>
      </c>
      <c r="K1331" s="7">
        <v>7</v>
      </c>
      <c r="L1331" t="s">
        <v>247</v>
      </c>
      <c r="M1331" t="s">
        <v>361</v>
      </c>
      <c r="N1331" s="7">
        <v>2073</v>
      </c>
      <c r="O1331" t="s">
        <v>1258</v>
      </c>
      <c r="P1331" t="s">
        <v>1259</v>
      </c>
      <c r="S1331" t="s">
        <v>3799</v>
      </c>
      <c r="T1331" t="s">
        <v>3728</v>
      </c>
      <c r="U1331" t="s">
        <v>4859</v>
      </c>
      <c r="V1331" s="8">
        <v>1650</v>
      </c>
      <c r="W1331" s="7">
        <v>590053</v>
      </c>
      <c r="X1331" t="s">
        <v>4860</v>
      </c>
      <c r="Y1331" s="8">
        <v>1650</v>
      </c>
      <c r="Z1331" s="8">
        <v>1947</v>
      </c>
      <c r="AA1331" s="8">
        <v>297</v>
      </c>
      <c r="AB1331" s="7">
        <v>113520</v>
      </c>
      <c r="AC1331" t="s">
        <v>4860</v>
      </c>
      <c r="AD1331" s="8">
        <v>0</v>
      </c>
      <c r="AG1331" t="s">
        <v>823</v>
      </c>
      <c r="AH1331" t="s">
        <v>802</v>
      </c>
      <c r="AI1331" t="s">
        <v>818</v>
      </c>
    </row>
    <row r="1332" spans="1:35" hidden="1">
      <c r="A1332" s="7">
        <v>1331</v>
      </c>
      <c r="B1332" t="s">
        <v>243</v>
      </c>
      <c r="C1332" t="s">
        <v>244</v>
      </c>
      <c r="D1332" s="7">
        <v>7134</v>
      </c>
      <c r="E1332" t="s">
        <v>245</v>
      </c>
      <c r="F1332" t="s">
        <v>246</v>
      </c>
      <c r="G1332" t="s">
        <v>1457</v>
      </c>
      <c r="H1332" t="s">
        <v>3355</v>
      </c>
      <c r="I1332" s="7">
        <v>875</v>
      </c>
      <c r="J1332" s="7">
        <v>54200</v>
      </c>
      <c r="K1332" s="7">
        <v>3</v>
      </c>
      <c r="L1332" t="s">
        <v>247</v>
      </c>
      <c r="M1332" t="s">
        <v>261</v>
      </c>
      <c r="N1332" s="7">
        <v>796123</v>
      </c>
      <c r="O1332" t="s">
        <v>1969</v>
      </c>
      <c r="P1332" t="s">
        <v>1970</v>
      </c>
      <c r="Q1332" t="s">
        <v>908</v>
      </c>
      <c r="R1332" t="s">
        <v>909</v>
      </c>
      <c r="S1332" t="s">
        <v>3799</v>
      </c>
      <c r="T1332" t="s">
        <v>3728</v>
      </c>
      <c r="U1332" t="s">
        <v>4859</v>
      </c>
      <c r="V1332" s="8">
        <v>1250</v>
      </c>
      <c r="W1332" s="7">
        <v>590053</v>
      </c>
      <c r="X1332" t="s">
        <v>4860</v>
      </c>
      <c r="Y1332" s="8">
        <v>1000</v>
      </c>
      <c r="Z1332" s="8">
        <v>1475</v>
      </c>
      <c r="AA1332" s="8">
        <v>225</v>
      </c>
      <c r="AB1332" s="7">
        <v>113520</v>
      </c>
      <c r="AC1332" t="s">
        <v>4860</v>
      </c>
      <c r="AD1332" s="8">
        <v>250</v>
      </c>
      <c r="AG1332" t="s">
        <v>817</v>
      </c>
      <c r="AH1332" t="s">
        <v>802</v>
      </c>
      <c r="AI1332" t="s">
        <v>818</v>
      </c>
    </row>
    <row r="1333" spans="1:35" hidden="1">
      <c r="A1333" s="7">
        <v>1332</v>
      </c>
      <c r="B1333" t="s">
        <v>243</v>
      </c>
      <c r="C1333" t="s">
        <v>244</v>
      </c>
      <c r="D1333" s="7">
        <v>7134</v>
      </c>
      <c r="E1333" t="s">
        <v>245</v>
      </c>
      <c r="F1333" t="s">
        <v>246</v>
      </c>
      <c r="G1333" t="s">
        <v>903</v>
      </c>
      <c r="H1333" t="s">
        <v>4863</v>
      </c>
      <c r="I1333" s="7">
        <v>1165</v>
      </c>
      <c r="J1333" s="7">
        <v>29570</v>
      </c>
      <c r="K1333" s="7">
        <v>4</v>
      </c>
      <c r="L1333" t="s">
        <v>247</v>
      </c>
      <c r="M1333" t="s">
        <v>261</v>
      </c>
      <c r="N1333" s="7">
        <v>790437</v>
      </c>
      <c r="O1333" t="s">
        <v>1823</v>
      </c>
      <c r="P1333" t="s">
        <v>1824</v>
      </c>
      <c r="S1333" t="s">
        <v>3799</v>
      </c>
      <c r="T1333" t="s">
        <v>3728</v>
      </c>
      <c r="U1333" t="s">
        <v>4859</v>
      </c>
      <c r="V1333" s="8">
        <v>0</v>
      </c>
      <c r="W1333" s="7">
        <v>590053</v>
      </c>
      <c r="X1333" t="s">
        <v>4860</v>
      </c>
      <c r="Y1333" s="8">
        <v>0</v>
      </c>
      <c r="Z1333" s="8">
        <v>0</v>
      </c>
      <c r="AA1333" s="8">
        <v>0</v>
      </c>
      <c r="AB1333" s="7">
        <v>113520</v>
      </c>
      <c r="AC1333" t="s">
        <v>4860</v>
      </c>
      <c r="AD1333" s="8">
        <v>0</v>
      </c>
      <c r="AG1333" t="s">
        <v>801</v>
      </c>
      <c r="AH1333" t="s">
        <v>802</v>
      </c>
      <c r="AI1333" t="s">
        <v>803</v>
      </c>
    </row>
    <row r="1334" spans="1:35" hidden="1">
      <c r="A1334" s="7">
        <v>1333</v>
      </c>
      <c r="B1334" t="s">
        <v>243</v>
      </c>
      <c r="C1334" t="s">
        <v>244</v>
      </c>
      <c r="D1334" s="7">
        <v>7134</v>
      </c>
      <c r="E1334" t="s">
        <v>245</v>
      </c>
      <c r="F1334" t="s">
        <v>246</v>
      </c>
      <c r="G1334" t="s">
        <v>3386</v>
      </c>
      <c r="H1334" t="s">
        <v>3432</v>
      </c>
      <c r="I1334" s="7">
        <v>1165</v>
      </c>
      <c r="J1334" s="7">
        <v>7213</v>
      </c>
      <c r="K1334" s="7">
        <v>1</v>
      </c>
      <c r="L1334" t="s">
        <v>247</v>
      </c>
      <c r="M1334" t="s">
        <v>361</v>
      </c>
      <c r="N1334" s="7">
        <v>8254</v>
      </c>
      <c r="O1334" t="s">
        <v>3543</v>
      </c>
      <c r="P1334" t="s">
        <v>3544</v>
      </c>
      <c r="S1334" t="s">
        <v>3799</v>
      </c>
      <c r="T1334" t="s">
        <v>3728</v>
      </c>
      <c r="U1334" t="s">
        <v>4859</v>
      </c>
      <c r="V1334" s="8">
        <v>1650</v>
      </c>
      <c r="W1334" s="7">
        <v>590053</v>
      </c>
      <c r="X1334" t="s">
        <v>4860</v>
      </c>
      <c r="Y1334" s="8">
        <v>1650</v>
      </c>
      <c r="Z1334" s="8">
        <v>1947</v>
      </c>
      <c r="AA1334" s="8">
        <v>297</v>
      </c>
      <c r="AB1334" s="7">
        <v>113520</v>
      </c>
      <c r="AC1334" t="s">
        <v>4860</v>
      </c>
      <c r="AD1334" s="8">
        <v>0</v>
      </c>
      <c r="AG1334" t="s">
        <v>823</v>
      </c>
      <c r="AH1334" t="s">
        <v>802</v>
      </c>
      <c r="AI1334" t="s">
        <v>818</v>
      </c>
    </row>
    <row r="1335" spans="1:35" hidden="1">
      <c r="A1335" s="7">
        <v>1334</v>
      </c>
      <c r="B1335" t="s">
        <v>243</v>
      </c>
      <c r="C1335" t="s">
        <v>244</v>
      </c>
      <c r="D1335" s="7">
        <v>7134</v>
      </c>
      <c r="E1335" t="s">
        <v>245</v>
      </c>
      <c r="F1335" t="s">
        <v>246</v>
      </c>
      <c r="G1335" t="s">
        <v>1194</v>
      </c>
      <c r="H1335" t="s">
        <v>4872</v>
      </c>
      <c r="I1335" s="7">
        <v>1165</v>
      </c>
      <c r="J1335" s="7">
        <v>89475</v>
      </c>
      <c r="K1335" s="7">
        <v>9</v>
      </c>
      <c r="L1335" t="s">
        <v>247</v>
      </c>
      <c r="M1335" t="s">
        <v>267</v>
      </c>
      <c r="N1335" s="7">
        <v>776069</v>
      </c>
      <c r="O1335" t="s">
        <v>1493</v>
      </c>
      <c r="P1335" t="s">
        <v>1494</v>
      </c>
      <c r="S1335" t="s">
        <v>3799</v>
      </c>
      <c r="T1335" t="s">
        <v>3728</v>
      </c>
      <c r="U1335" t="s">
        <v>4859</v>
      </c>
      <c r="V1335" s="8">
        <v>0</v>
      </c>
      <c r="W1335" s="7">
        <v>590053</v>
      </c>
      <c r="X1335" t="s">
        <v>4860</v>
      </c>
      <c r="Y1335" s="8">
        <v>0</v>
      </c>
      <c r="Z1335" s="8">
        <v>0</v>
      </c>
      <c r="AA1335" s="8">
        <v>0</v>
      </c>
      <c r="AB1335" s="7">
        <v>113520</v>
      </c>
      <c r="AC1335" t="s">
        <v>4860</v>
      </c>
      <c r="AD1335" s="8">
        <v>0</v>
      </c>
      <c r="AG1335" t="s">
        <v>828</v>
      </c>
      <c r="AH1335" t="s">
        <v>802</v>
      </c>
      <c r="AI1335" t="s">
        <v>803</v>
      </c>
    </row>
    <row r="1336" spans="1:35" hidden="1">
      <c r="A1336" s="7">
        <v>1335</v>
      </c>
      <c r="B1336" t="s">
        <v>243</v>
      </c>
      <c r="C1336" t="s">
        <v>244</v>
      </c>
      <c r="D1336" s="7">
        <v>7134</v>
      </c>
      <c r="E1336" t="s">
        <v>245</v>
      </c>
      <c r="F1336" t="s">
        <v>246</v>
      </c>
      <c r="G1336" t="s">
        <v>278</v>
      </c>
      <c r="H1336" t="s">
        <v>3352</v>
      </c>
      <c r="I1336" s="7">
        <v>840</v>
      </c>
      <c r="J1336" s="7">
        <v>49497</v>
      </c>
      <c r="K1336" s="7">
        <v>3</v>
      </c>
      <c r="L1336" t="s">
        <v>247</v>
      </c>
      <c r="M1336" t="s">
        <v>261</v>
      </c>
      <c r="N1336" s="7">
        <v>795039</v>
      </c>
      <c r="O1336" t="s">
        <v>1937</v>
      </c>
      <c r="P1336" t="s">
        <v>1938</v>
      </c>
      <c r="S1336" t="s">
        <v>3799</v>
      </c>
      <c r="T1336" t="s">
        <v>3728</v>
      </c>
      <c r="U1336" t="s">
        <v>4859</v>
      </c>
      <c r="V1336" s="8">
        <v>1250</v>
      </c>
      <c r="W1336" s="7">
        <v>590053</v>
      </c>
      <c r="X1336" t="s">
        <v>4860</v>
      </c>
      <c r="Y1336" s="8">
        <v>1250</v>
      </c>
      <c r="Z1336" s="8">
        <v>1475</v>
      </c>
      <c r="AA1336" s="8">
        <v>225</v>
      </c>
      <c r="AB1336" s="7">
        <v>113520</v>
      </c>
      <c r="AC1336" t="s">
        <v>4860</v>
      </c>
      <c r="AD1336" s="8">
        <v>0</v>
      </c>
      <c r="AG1336" t="s">
        <v>817</v>
      </c>
      <c r="AH1336" t="s">
        <v>802</v>
      </c>
      <c r="AI1336" t="s">
        <v>818</v>
      </c>
    </row>
    <row r="1337" spans="1:35" hidden="1">
      <c r="A1337" s="7">
        <v>1336</v>
      </c>
      <c r="B1337" t="s">
        <v>243</v>
      </c>
      <c r="C1337" t="s">
        <v>244</v>
      </c>
      <c r="D1337" s="7">
        <v>7134</v>
      </c>
      <c r="E1337" t="s">
        <v>245</v>
      </c>
      <c r="F1337" t="s">
        <v>246</v>
      </c>
      <c r="G1337" t="s">
        <v>1256</v>
      </c>
      <c r="H1337" t="s">
        <v>3727</v>
      </c>
      <c r="I1337" s="7">
        <v>750</v>
      </c>
      <c r="J1337" s="7">
        <v>30883</v>
      </c>
      <c r="K1337" s="7">
        <v>7</v>
      </c>
      <c r="L1337" t="s">
        <v>247</v>
      </c>
      <c r="M1337" t="s">
        <v>361</v>
      </c>
      <c r="N1337" s="7">
        <v>2072</v>
      </c>
      <c r="O1337" t="s">
        <v>2136</v>
      </c>
      <c r="P1337" t="s">
        <v>2137</v>
      </c>
      <c r="S1337" t="s">
        <v>3799</v>
      </c>
      <c r="T1337" t="s">
        <v>3728</v>
      </c>
      <c r="U1337" t="s">
        <v>4859</v>
      </c>
      <c r="V1337" s="8">
        <v>1650</v>
      </c>
      <c r="W1337" s="7">
        <v>590053</v>
      </c>
      <c r="X1337" t="s">
        <v>4860</v>
      </c>
      <c r="Y1337" s="8">
        <v>1650</v>
      </c>
      <c r="Z1337" s="8">
        <v>1947</v>
      </c>
      <c r="AA1337" s="8">
        <v>297</v>
      </c>
      <c r="AB1337" s="7">
        <v>113520</v>
      </c>
      <c r="AC1337" t="s">
        <v>4860</v>
      </c>
      <c r="AD1337" s="8">
        <v>0</v>
      </c>
      <c r="AG1337" t="s">
        <v>823</v>
      </c>
      <c r="AH1337" t="s">
        <v>802</v>
      </c>
      <c r="AI1337" t="s">
        <v>818</v>
      </c>
    </row>
    <row r="1338" spans="1:35" hidden="1">
      <c r="A1338" s="7">
        <v>1337</v>
      </c>
      <c r="B1338" t="s">
        <v>243</v>
      </c>
      <c r="C1338" t="s">
        <v>244</v>
      </c>
      <c r="D1338" s="7">
        <v>7134</v>
      </c>
      <c r="E1338" t="s">
        <v>245</v>
      </c>
      <c r="F1338" t="s">
        <v>246</v>
      </c>
      <c r="G1338" t="s">
        <v>1382</v>
      </c>
      <c r="H1338" t="s">
        <v>4868</v>
      </c>
      <c r="I1338" s="7">
        <v>1165</v>
      </c>
      <c r="J1338" s="7">
        <v>48198</v>
      </c>
      <c r="K1338" s="7">
        <v>5</v>
      </c>
      <c r="L1338" t="s">
        <v>247</v>
      </c>
      <c r="M1338" t="s">
        <v>361</v>
      </c>
      <c r="N1338" s="7">
        <v>4952</v>
      </c>
      <c r="O1338" t="s">
        <v>1383</v>
      </c>
      <c r="P1338" t="s">
        <v>1384</v>
      </c>
      <c r="S1338" t="s">
        <v>3799</v>
      </c>
      <c r="T1338" t="s">
        <v>3728</v>
      </c>
      <c r="U1338" t="s">
        <v>4859</v>
      </c>
      <c r="V1338" s="8">
        <v>1650</v>
      </c>
      <c r="W1338" s="7">
        <v>590053</v>
      </c>
      <c r="X1338" t="s">
        <v>4860</v>
      </c>
      <c r="Y1338" s="8">
        <v>1650</v>
      </c>
      <c r="Z1338" s="8">
        <v>1947</v>
      </c>
      <c r="AA1338" s="8">
        <v>297</v>
      </c>
      <c r="AB1338" s="7">
        <v>113520</v>
      </c>
      <c r="AC1338" t="s">
        <v>4860</v>
      </c>
      <c r="AD1338" s="8">
        <v>0</v>
      </c>
      <c r="AG1338" t="s">
        <v>823</v>
      </c>
      <c r="AH1338" t="s">
        <v>802</v>
      </c>
      <c r="AI1338" t="s">
        <v>818</v>
      </c>
    </row>
    <row r="1339" spans="1:35" hidden="1">
      <c r="A1339" s="7">
        <v>1338</v>
      </c>
      <c r="B1339" t="s">
        <v>243</v>
      </c>
      <c r="C1339" t="s">
        <v>244</v>
      </c>
      <c r="D1339" s="7">
        <v>7134</v>
      </c>
      <c r="E1339" t="s">
        <v>245</v>
      </c>
      <c r="F1339" t="s">
        <v>246</v>
      </c>
      <c r="G1339" t="s">
        <v>1041</v>
      </c>
      <c r="H1339" t="s">
        <v>4872</v>
      </c>
      <c r="I1339" s="7">
        <v>900</v>
      </c>
      <c r="J1339" s="7">
        <v>3127</v>
      </c>
      <c r="K1339" s="7">
        <v>2</v>
      </c>
      <c r="L1339" t="s">
        <v>247</v>
      </c>
      <c r="M1339" t="s">
        <v>261</v>
      </c>
      <c r="N1339" s="7">
        <v>782999</v>
      </c>
      <c r="O1339" t="s">
        <v>4887</v>
      </c>
      <c r="P1339" t="s">
        <v>4888</v>
      </c>
      <c r="Q1339" t="s">
        <v>870</v>
      </c>
      <c r="R1339" t="s">
        <v>871</v>
      </c>
      <c r="S1339" t="s">
        <v>3799</v>
      </c>
      <c r="T1339" t="s">
        <v>3728</v>
      </c>
      <c r="U1339" t="s">
        <v>4859</v>
      </c>
      <c r="V1339" s="8">
        <v>1250</v>
      </c>
      <c r="W1339" s="7">
        <v>590053</v>
      </c>
      <c r="X1339" t="s">
        <v>4860</v>
      </c>
      <c r="Y1339" s="8">
        <v>1000</v>
      </c>
      <c r="Z1339" s="8">
        <v>1475</v>
      </c>
      <c r="AA1339" s="8">
        <v>225</v>
      </c>
      <c r="AB1339" s="7">
        <v>113520</v>
      </c>
      <c r="AC1339" t="s">
        <v>4860</v>
      </c>
      <c r="AD1339" s="8">
        <v>250</v>
      </c>
      <c r="AG1339" t="s">
        <v>801</v>
      </c>
      <c r="AH1339" t="s">
        <v>802</v>
      </c>
      <c r="AI1339" t="s">
        <v>818</v>
      </c>
    </row>
    <row r="1340" spans="1:35" hidden="1">
      <c r="A1340" s="7">
        <v>1339</v>
      </c>
      <c r="B1340" t="s">
        <v>243</v>
      </c>
      <c r="C1340" t="s">
        <v>244</v>
      </c>
      <c r="D1340" s="7">
        <v>7134</v>
      </c>
      <c r="E1340" t="s">
        <v>245</v>
      </c>
      <c r="F1340" t="s">
        <v>246</v>
      </c>
      <c r="G1340" t="s">
        <v>3467</v>
      </c>
      <c r="H1340" t="s">
        <v>4872</v>
      </c>
      <c r="I1340" s="7">
        <v>1165</v>
      </c>
      <c r="J1340" s="7">
        <v>2068</v>
      </c>
      <c r="K1340" s="7">
        <v>2</v>
      </c>
      <c r="L1340" t="s">
        <v>247</v>
      </c>
      <c r="M1340" t="s">
        <v>267</v>
      </c>
      <c r="N1340" s="7">
        <v>805597</v>
      </c>
      <c r="O1340" t="s">
        <v>3523</v>
      </c>
      <c r="P1340" t="s">
        <v>3524</v>
      </c>
      <c r="Q1340" t="s">
        <v>283</v>
      </c>
      <c r="R1340" t="s">
        <v>1062</v>
      </c>
      <c r="S1340" t="s">
        <v>3799</v>
      </c>
      <c r="T1340" t="s">
        <v>3728</v>
      </c>
      <c r="U1340" t="s">
        <v>4859</v>
      </c>
      <c r="V1340" s="8">
        <v>0</v>
      </c>
      <c r="W1340" s="7">
        <v>590053</v>
      </c>
      <c r="X1340" t="s">
        <v>4860</v>
      </c>
      <c r="Y1340" s="8">
        <v>0</v>
      </c>
      <c r="Z1340" s="8">
        <v>0</v>
      </c>
      <c r="AA1340" s="8">
        <v>0</v>
      </c>
      <c r="AB1340" s="7">
        <v>113520</v>
      </c>
      <c r="AC1340" t="s">
        <v>4860</v>
      </c>
      <c r="AD1340" s="8">
        <v>0</v>
      </c>
      <c r="AG1340" t="s">
        <v>828</v>
      </c>
      <c r="AH1340" t="s">
        <v>802</v>
      </c>
      <c r="AI1340" t="s">
        <v>803</v>
      </c>
    </row>
    <row r="1341" spans="1:35" hidden="1">
      <c r="A1341" s="7">
        <v>1340</v>
      </c>
      <c r="B1341" t="s">
        <v>243</v>
      </c>
      <c r="C1341" t="s">
        <v>244</v>
      </c>
      <c r="D1341" s="7">
        <v>7134</v>
      </c>
      <c r="E1341" t="s">
        <v>245</v>
      </c>
      <c r="F1341" t="s">
        <v>246</v>
      </c>
      <c r="G1341" t="s">
        <v>3077</v>
      </c>
      <c r="H1341" t="s">
        <v>4872</v>
      </c>
      <c r="I1341" s="7">
        <v>1165</v>
      </c>
      <c r="J1341" s="7">
        <v>5868</v>
      </c>
      <c r="K1341" s="7">
        <v>1</v>
      </c>
      <c r="L1341" t="s">
        <v>247</v>
      </c>
      <c r="M1341" t="s">
        <v>361</v>
      </c>
      <c r="N1341" s="7">
        <v>8573</v>
      </c>
      <c r="O1341" t="s">
        <v>3253</v>
      </c>
      <c r="P1341" t="s">
        <v>3254</v>
      </c>
      <c r="S1341" t="s">
        <v>3799</v>
      </c>
      <c r="T1341" t="s">
        <v>3728</v>
      </c>
      <c r="U1341" t="s">
        <v>4859</v>
      </c>
      <c r="V1341" s="8">
        <v>1650</v>
      </c>
      <c r="W1341" s="7">
        <v>590053</v>
      </c>
      <c r="X1341" t="s">
        <v>4860</v>
      </c>
      <c r="Y1341" s="8">
        <v>1650</v>
      </c>
      <c r="Z1341" s="8">
        <v>1947</v>
      </c>
      <c r="AA1341" s="8">
        <v>297</v>
      </c>
      <c r="AB1341" s="7">
        <v>113520</v>
      </c>
      <c r="AC1341" t="s">
        <v>4860</v>
      </c>
      <c r="AD1341" s="8">
        <v>0</v>
      </c>
      <c r="AG1341" t="s">
        <v>823</v>
      </c>
      <c r="AH1341" t="s">
        <v>802</v>
      </c>
      <c r="AI1341" t="s">
        <v>818</v>
      </c>
    </row>
    <row r="1342" spans="1:35" hidden="1">
      <c r="A1342" s="7">
        <v>1341</v>
      </c>
      <c r="B1342" t="s">
        <v>243</v>
      </c>
      <c r="C1342" t="s">
        <v>244</v>
      </c>
      <c r="D1342" s="7">
        <v>7134</v>
      </c>
      <c r="E1342" t="s">
        <v>245</v>
      </c>
      <c r="F1342" t="s">
        <v>246</v>
      </c>
      <c r="G1342" t="s">
        <v>1069</v>
      </c>
      <c r="H1342" t="s">
        <v>4884</v>
      </c>
      <c r="I1342" s="7">
        <v>1165</v>
      </c>
      <c r="J1342" s="7">
        <v>28050</v>
      </c>
      <c r="K1342" s="7">
        <v>4</v>
      </c>
      <c r="L1342" t="s">
        <v>247</v>
      </c>
      <c r="M1342" t="s">
        <v>261</v>
      </c>
      <c r="N1342" s="7">
        <v>790037</v>
      </c>
      <c r="O1342" t="s">
        <v>1070</v>
      </c>
      <c r="P1342" t="s">
        <v>1071</v>
      </c>
      <c r="Q1342" t="s">
        <v>870</v>
      </c>
      <c r="R1342" t="s">
        <v>871</v>
      </c>
      <c r="S1342" t="s">
        <v>3799</v>
      </c>
      <c r="T1342" t="s">
        <v>3728</v>
      </c>
      <c r="U1342" t="s">
        <v>4859</v>
      </c>
      <c r="V1342" s="8">
        <v>0</v>
      </c>
      <c r="W1342" s="7">
        <v>590053</v>
      </c>
      <c r="X1342" t="s">
        <v>4860</v>
      </c>
      <c r="Y1342" s="8">
        <v>0</v>
      </c>
      <c r="Z1342" s="8">
        <v>0</v>
      </c>
      <c r="AA1342" s="8">
        <v>0</v>
      </c>
      <c r="AB1342" s="7">
        <v>113520</v>
      </c>
      <c r="AC1342" t="s">
        <v>4860</v>
      </c>
      <c r="AD1342" s="8">
        <v>0</v>
      </c>
      <c r="AG1342" t="s">
        <v>801</v>
      </c>
      <c r="AH1342" t="s">
        <v>802</v>
      </c>
      <c r="AI1342" t="s">
        <v>803</v>
      </c>
    </row>
    <row r="1343" spans="1:35" hidden="1">
      <c r="A1343" s="7">
        <v>1342</v>
      </c>
      <c r="B1343" t="s">
        <v>243</v>
      </c>
      <c r="C1343" t="s">
        <v>244</v>
      </c>
      <c r="D1343" s="7">
        <v>7134</v>
      </c>
      <c r="E1343" t="s">
        <v>245</v>
      </c>
      <c r="F1343" t="s">
        <v>246</v>
      </c>
      <c r="G1343" t="s">
        <v>3371</v>
      </c>
      <c r="H1343" t="s">
        <v>4862</v>
      </c>
      <c r="I1343" s="7">
        <v>1165</v>
      </c>
      <c r="J1343" s="7">
        <v>8167</v>
      </c>
      <c r="K1343" s="7">
        <v>1</v>
      </c>
      <c r="L1343" t="s">
        <v>247</v>
      </c>
      <c r="M1343" t="s">
        <v>267</v>
      </c>
      <c r="N1343" s="7">
        <v>805626</v>
      </c>
      <c r="O1343" t="s">
        <v>3527</v>
      </c>
      <c r="P1343" t="s">
        <v>3528</v>
      </c>
      <c r="S1343" t="s">
        <v>3799</v>
      </c>
      <c r="T1343" t="s">
        <v>3728</v>
      </c>
      <c r="U1343" t="s">
        <v>4859</v>
      </c>
      <c r="V1343" s="8">
        <v>1250</v>
      </c>
      <c r="W1343" s="7">
        <v>590053</v>
      </c>
      <c r="X1343" t="s">
        <v>4860</v>
      </c>
      <c r="Y1343" s="8">
        <v>1250</v>
      </c>
      <c r="Z1343" s="8">
        <v>1475</v>
      </c>
      <c r="AA1343" s="8">
        <v>225</v>
      </c>
      <c r="AB1343" s="7">
        <v>113520</v>
      </c>
      <c r="AC1343" t="s">
        <v>4860</v>
      </c>
      <c r="AD1343" s="8">
        <v>0</v>
      </c>
      <c r="AG1343" t="s">
        <v>828</v>
      </c>
      <c r="AH1343" t="s">
        <v>802</v>
      </c>
      <c r="AI1343" t="s">
        <v>818</v>
      </c>
    </row>
    <row r="1344" spans="1:35" hidden="1">
      <c r="A1344" s="7">
        <v>1343</v>
      </c>
      <c r="B1344" t="s">
        <v>243</v>
      </c>
      <c r="C1344" t="s">
        <v>244</v>
      </c>
      <c r="D1344" s="7">
        <v>7134</v>
      </c>
      <c r="E1344" t="s">
        <v>245</v>
      </c>
      <c r="F1344" t="s">
        <v>246</v>
      </c>
      <c r="G1344" t="s">
        <v>1450</v>
      </c>
      <c r="H1344" t="s">
        <v>4864</v>
      </c>
      <c r="I1344" s="7">
        <v>2500</v>
      </c>
      <c r="J1344" s="7">
        <v>40000</v>
      </c>
      <c r="K1344" s="7">
        <v>4</v>
      </c>
      <c r="L1344" t="s">
        <v>247</v>
      </c>
      <c r="M1344" t="s">
        <v>261</v>
      </c>
      <c r="N1344" s="7">
        <v>792320</v>
      </c>
      <c r="O1344" t="s">
        <v>1460</v>
      </c>
      <c r="P1344" t="s">
        <v>1461</v>
      </c>
      <c r="Q1344" t="s">
        <v>870</v>
      </c>
      <c r="R1344" t="s">
        <v>871</v>
      </c>
      <c r="S1344" t="s">
        <v>3799</v>
      </c>
      <c r="T1344" t="s">
        <v>3728</v>
      </c>
      <c r="U1344" t="s">
        <v>4859</v>
      </c>
      <c r="V1344" s="8">
        <v>0</v>
      </c>
      <c r="W1344" s="7">
        <v>590053</v>
      </c>
      <c r="X1344" t="s">
        <v>4860</v>
      </c>
      <c r="Y1344" s="8">
        <v>0</v>
      </c>
      <c r="Z1344" s="8">
        <v>0</v>
      </c>
      <c r="AA1344" s="8">
        <v>0</v>
      </c>
      <c r="AB1344" s="7">
        <v>113520</v>
      </c>
      <c r="AC1344" t="s">
        <v>4860</v>
      </c>
      <c r="AD1344" s="8">
        <v>0</v>
      </c>
      <c r="AG1344" t="s">
        <v>801</v>
      </c>
      <c r="AH1344" t="s">
        <v>802</v>
      </c>
      <c r="AI1344" t="s">
        <v>803</v>
      </c>
    </row>
    <row r="1345" spans="1:35" hidden="1">
      <c r="A1345" s="7">
        <v>1344</v>
      </c>
      <c r="B1345" t="s">
        <v>243</v>
      </c>
      <c r="C1345" t="s">
        <v>244</v>
      </c>
      <c r="D1345" s="7">
        <v>7134</v>
      </c>
      <c r="E1345" t="s">
        <v>245</v>
      </c>
      <c r="F1345" t="s">
        <v>246</v>
      </c>
      <c r="G1345" t="s">
        <v>584</v>
      </c>
      <c r="H1345" t="s">
        <v>4883</v>
      </c>
      <c r="I1345" s="7">
        <v>1165</v>
      </c>
      <c r="J1345" s="7">
        <v>8600</v>
      </c>
      <c r="K1345" s="7">
        <v>2</v>
      </c>
      <c r="L1345" t="s">
        <v>247</v>
      </c>
      <c r="M1345" t="s">
        <v>261</v>
      </c>
      <c r="N1345" s="7">
        <v>802873</v>
      </c>
      <c r="O1345" t="s">
        <v>642</v>
      </c>
      <c r="P1345" t="s">
        <v>643</v>
      </c>
      <c r="S1345" t="s">
        <v>3799</v>
      </c>
      <c r="T1345" t="s">
        <v>3728</v>
      </c>
      <c r="U1345" t="s">
        <v>4859</v>
      </c>
      <c r="V1345" s="8">
        <v>0</v>
      </c>
      <c r="W1345" s="7">
        <v>590053</v>
      </c>
      <c r="X1345" t="s">
        <v>4860</v>
      </c>
      <c r="Y1345" s="8">
        <v>0</v>
      </c>
      <c r="Z1345" s="8">
        <v>0</v>
      </c>
      <c r="AA1345" s="8">
        <v>0</v>
      </c>
      <c r="AB1345" s="7">
        <v>113520</v>
      </c>
      <c r="AC1345" t="s">
        <v>4860</v>
      </c>
      <c r="AD1345" s="8">
        <v>0</v>
      </c>
      <c r="AG1345" t="s">
        <v>801</v>
      </c>
      <c r="AH1345" t="s">
        <v>802</v>
      </c>
      <c r="AI1345" t="s">
        <v>803</v>
      </c>
    </row>
    <row r="1346" spans="1:35" hidden="1">
      <c r="A1346" s="7">
        <v>1345</v>
      </c>
      <c r="B1346" t="s">
        <v>243</v>
      </c>
      <c r="C1346" t="s">
        <v>244</v>
      </c>
      <c r="D1346" s="7">
        <v>7134</v>
      </c>
      <c r="E1346" t="s">
        <v>245</v>
      </c>
      <c r="F1346" t="s">
        <v>246</v>
      </c>
      <c r="G1346" t="s">
        <v>1409</v>
      </c>
      <c r="H1346" t="s">
        <v>4861</v>
      </c>
      <c r="I1346" s="7">
        <v>1165</v>
      </c>
      <c r="J1346" s="7">
        <v>118265</v>
      </c>
      <c r="K1346" s="7">
        <v>12</v>
      </c>
      <c r="L1346" t="s">
        <v>247</v>
      </c>
      <c r="M1346" t="s">
        <v>261</v>
      </c>
      <c r="N1346" s="7">
        <v>753574</v>
      </c>
      <c r="O1346" t="s">
        <v>1636</v>
      </c>
      <c r="P1346" t="s">
        <v>1637</v>
      </c>
      <c r="S1346" t="s">
        <v>3799</v>
      </c>
      <c r="T1346" t="s">
        <v>3728</v>
      </c>
      <c r="U1346" t="s">
        <v>4859</v>
      </c>
      <c r="V1346" s="8">
        <v>0</v>
      </c>
      <c r="W1346" s="7">
        <v>590053</v>
      </c>
      <c r="X1346" t="s">
        <v>4860</v>
      </c>
      <c r="Y1346" s="8">
        <v>0</v>
      </c>
      <c r="Z1346" s="8">
        <v>0</v>
      </c>
      <c r="AA1346" s="8">
        <v>0</v>
      </c>
      <c r="AB1346" s="7">
        <v>113520</v>
      </c>
      <c r="AC1346" t="s">
        <v>4860</v>
      </c>
      <c r="AD1346" s="8">
        <v>0</v>
      </c>
      <c r="AG1346" t="s">
        <v>801</v>
      </c>
      <c r="AH1346" t="s">
        <v>802</v>
      </c>
      <c r="AI1346" t="s">
        <v>803</v>
      </c>
    </row>
    <row r="1347" spans="1:35" hidden="1">
      <c r="A1347" s="7">
        <v>1346</v>
      </c>
      <c r="B1347" t="s">
        <v>243</v>
      </c>
      <c r="C1347" t="s">
        <v>244</v>
      </c>
      <c r="D1347" s="7">
        <v>7134</v>
      </c>
      <c r="E1347" t="s">
        <v>245</v>
      </c>
      <c r="F1347" t="s">
        <v>246</v>
      </c>
      <c r="G1347" t="s">
        <v>263</v>
      </c>
      <c r="H1347" t="s">
        <v>4884</v>
      </c>
      <c r="I1347" s="7">
        <v>872</v>
      </c>
      <c r="J1347" s="7">
        <v>47000</v>
      </c>
      <c r="K1347" s="7">
        <v>3</v>
      </c>
      <c r="L1347" t="s">
        <v>247</v>
      </c>
      <c r="M1347" t="s">
        <v>261</v>
      </c>
      <c r="N1347" s="7">
        <v>796573</v>
      </c>
      <c r="O1347" t="s">
        <v>2041</v>
      </c>
      <c r="P1347" t="s">
        <v>2042</v>
      </c>
      <c r="S1347" t="s">
        <v>3799</v>
      </c>
      <c r="T1347" t="s">
        <v>3728</v>
      </c>
      <c r="U1347" t="s">
        <v>4859</v>
      </c>
      <c r="V1347" s="8">
        <v>1250</v>
      </c>
      <c r="W1347" s="7">
        <v>590053</v>
      </c>
      <c r="X1347" t="s">
        <v>4860</v>
      </c>
      <c r="Y1347" s="8">
        <v>1250</v>
      </c>
      <c r="Z1347" s="8">
        <v>1475</v>
      </c>
      <c r="AA1347" s="8">
        <v>225</v>
      </c>
      <c r="AB1347" s="7">
        <v>113520</v>
      </c>
      <c r="AC1347" t="s">
        <v>4860</v>
      </c>
      <c r="AD1347" s="8">
        <v>0</v>
      </c>
      <c r="AG1347" t="s">
        <v>817</v>
      </c>
      <c r="AH1347" t="s">
        <v>802</v>
      </c>
      <c r="AI1347" t="s">
        <v>818</v>
      </c>
    </row>
    <row r="1348" spans="1:35" hidden="1">
      <c r="A1348" s="7">
        <v>1347</v>
      </c>
      <c r="B1348" t="s">
        <v>243</v>
      </c>
      <c r="C1348" t="s">
        <v>244</v>
      </c>
      <c r="D1348" s="7">
        <v>7134</v>
      </c>
      <c r="E1348" t="s">
        <v>245</v>
      </c>
      <c r="F1348" t="s">
        <v>246</v>
      </c>
      <c r="G1348" t="s">
        <v>849</v>
      </c>
      <c r="H1348" t="s">
        <v>3727</v>
      </c>
      <c r="I1348" s="7">
        <v>1165</v>
      </c>
      <c r="J1348" s="7">
        <v>57447</v>
      </c>
      <c r="K1348" s="7">
        <v>7</v>
      </c>
      <c r="L1348" t="s">
        <v>247</v>
      </c>
      <c r="M1348" t="s">
        <v>267</v>
      </c>
      <c r="N1348" s="7">
        <v>789775</v>
      </c>
      <c r="O1348" t="s">
        <v>1402</v>
      </c>
      <c r="P1348" t="s">
        <v>1403</v>
      </c>
      <c r="S1348" t="s">
        <v>3799</v>
      </c>
      <c r="T1348" t="s">
        <v>3728</v>
      </c>
      <c r="U1348" t="s">
        <v>4859</v>
      </c>
      <c r="V1348" s="8">
        <v>0</v>
      </c>
      <c r="W1348" s="7">
        <v>590053</v>
      </c>
      <c r="X1348" t="s">
        <v>4860</v>
      </c>
      <c r="Y1348" s="8">
        <v>0</v>
      </c>
      <c r="Z1348" s="8">
        <v>0</v>
      </c>
      <c r="AA1348" s="8">
        <v>0</v>
      </c>
      <c r="AB1348" s="7">
        <v>113520</v>
      </c>
      <c r="AC1348" t="s">
        <v>4860</v>
      </c>
      <c r="AD1348" s="8">
        <v>0</v>
      </c>
      <c r="AG1348" t="s">
        <v>828</v>
      </c>
      <c r="AH1348" t="s">
        <v>802</v>
      </c>
      <c r="AI1348" t="s">
        <v>803</v>
      </c>
    </row>
    <row r="1349" spans="1:35" hidden="1">
      <c r="A1349" s="7">
        <v>1348</v>
      </c>
      <c r="B1349" t="s">
        <v>243</v>
      </c>
      <c r="C1349" t="s">
        <v>244</v>
      </c>
      <c r="D1349" s="7">
        <v>7134</v>
      </c>
      <c r="E1349" t="s">
        <v>245</v>
      </c>
      <c r="F1349" t="s">
        <v>246</v>
      </c>
      <c r="G1349" t="s">
        <v>3108</v>
      </c>
      <c r="H1349" t="s">
        <v>4863</v>
      </c>
      <c r="I1349" s="7">
        <v>1165</v>
      </c>
      <c r="J1349" s="7">
        <v>14499</v>
      </c>
      <c r="K1349" s="7">
        <v>2</v>
      </c>
      <c r="L1349" t="s">
        <v>247</v>
      </c>
      <c r="M1349" t="s">
        <v>361</v>
      </c>
      <c r="N1349" s="7">
        <v>7892</v>
      </c>
      <c r="O1349" t="s">
        <v>3260</v>
      </c>
      <c r="P1349" t="s">
        <v>3261</v>
      </c>
      <c r="S1349" t="s">
        <v>3799</v>
      </c>
      <c r="T1349" t="s">
        <v>3728</v>
      </c>
      <c r="U1349" t="s">
        <v>4859</v>
      </c>
      <c r="V1349" s="8">
        <v>0</v>
      </c>
      <c r="W1349" s="7">
        <v>590053</v>
      </c>
      <c r="X1349" t="s">
        <v>4860</v>
      </c>
      <c r="Y1349" s="8">
        <v>0</v>
      </c>
      <c r="Z1349" s="8">
        <v>0</v>
      </c>
      <c r="AA1349" s="8">
        <v>0</v>
      </c>
      <c r="AB1349" s="7">
        <v>113520</v>
      </c>
      <c r="AC1349" t="s">
        <v>4860</v>
      </c>
      <c r="AD1349" s="8">
        <v>0</v>
      </c>
      <c r="AG1349" t="s">
        <v>823</v>
      </c>
      <c r="AH1349" t="s">
        <v>802</v>
      </c>
      <c r="AI1349" t="s">
        <v>803</v>
      </c>
    </row>
    <row r="1350" spans="1:35" hidden="1">
      <c r="A1350" s="7">
        <v>1349</v>
      </c>
      <c r="B1350" t="s">
        <v>243</v>
      </c>
      <c r="C1350" t="s">
        <v>244</v>
      </c>
      <c r="D1350" s="7">
        <v>7134</v>
      </c>
      <c r="E1350" t="s">
        <v>245</v>
      </c>
      <c r="F1350" t="s">
        <v>246</v>
      </c>
      <c r="G1350" t="s">
        <v>838</v>
      </c>
      <c r="H1350" t="s">
        <v>3432</v>
      </c>
      <c r="I1350" s="7">
        <v>1165</v>
      </c>
      <c r="J1350" s="7">
        <v>70704</v>
      </c>
      <c r="K1350" s="7">
        <v>13</v>
      </c>
      <c r="L1350" t="s">
        <v>247</v>
      </c>
      <c r="M1350" t="s">
        <v>261</v>
      </c>
      <c r="N1350" s="7">
        <v>751190</v>
      </c>
      <c r="O1350" t="s">
        <v>840</v>
      </c>
      <c r="P1350" t="s">
        <v>841</v>
      </c>
      <c r="S1350" t="s">
        <v>3799</v>
      </c>
      <c r="T1350" t="s">
        <v>3728</v>
      </c>
      <c r="U1350" t="s">
        <v>4859</v>
      </c>
      <c r="V1350" s="8">
        <v>0</v>
      </c>
      <c r="W1350" s="7">
        <v>590053</v>
      </c>
      <c r="X1350" t="s">
        <v>4860</v>
      </c>
      <c r="Y1350" s="8">
        <v>0</v>
      </c>
      <c r="Z1350" s="8">
        <v>0</v>
      </c>
      <c r="AA1350" s="8">
        <v>0</v>
      </c>
      <c r="AB1350" s="7">
        <v>113520</v>
      </c>
      <c r="AC1350" t="s">
        <v>4860</v>
      </c>
      <c r="AD1350" s="8">
        <v>0</v>
      </c>
      <c r="AG1350" t="s">
        <v>801</v>
      </c>
      <c r="AH1350" t="s">
        <v>802</v>
      </c>
      <c r="AI1350" t="s">
        <v>803</v>
      </c>
    </row>
    <row r="1351" spans="1:35" hidden="1">
      <c r="A1351" s="7">
        <v>1350</v>
      </c>
      <c r="B1351" t="s">
        <v>243</v>
      </c>
      <c r="C1351" t="s">
        <v>244</v>
      </c>
      <c r="D1351" s="7">
        <v>7134</v>
      </c>
      <c r="E1351" t="s">
        <v>245</v>
      </c>
      <c r="F1351" t="s">
        <v>246</v>
      </c>
      <c r="G1351" t="s">
        <v>861</v>
      </c>
      <c r="H1351" t="s">
        <v>4858</v>
      </c>
      <c r="I1351" s="7">
        <v>951</v>
      </c>
      <c r="J1351" s="7">
        <v>59747</v>
      </c>
      <c r="K1351" s="7">
        <v>6</v>
      </c>
      <c r="L1351" t="s">
        <v>247</v>
      </c>
      <c r="M1351" t="s">
        <v>361</v>
      </c>
      <c r="N1351" s="7">
        <v>4698</v>
      </c>
      <c r="O1351" t="s">
        <v>1300</v>
      </c>
      <c r="P1351" t="s">
        <v>1301</v>
      </c>
      <c r="S1351" t="s">
        <v>3799</v>
      </c>
      <c r="T1351" t="s">
        <v>3728</v>
      </c>
      <c r="U1351" t="s">
        <v>4859</v>
      </c>
      <c r="V1351" s="8">
        <v>0</v>
      </c>
      <c r="W1351" s="7">
        <v>590053</v>
      </c>
      <c r="X1351" t="s">
        <v>4860</v>
      </c>
      <c r="Y1351" s="8">
        <v>0</v>
      </c>
      <c r="Z1351" s="8">
        <v>0</v>
      </c>
      <c r="AA1351" s="8">
        <v>0</v>
      </c>
      <c r="AB1351" s="7">
        <v>113520</v>
      </c>
      <c r="AC1351" t="s">
        <v>4860</v>
      </c>
      <c r="AD1351" s="8">
        <v>0</v>
      </c>
      <c r="AG1351" t="s">
        <v>823</v>
      </c>
      <c r="AH1351" t="s">
        <v>802</v>
      </c>
      <c r="AI1351" t="s">
        <v>803</v>
      </c>
    </row>
    <row r="1352" spans="1:35" hidden="1">
      <c r="A1352" s="7">
        <v>1351</v>
      </c>
      <c r="B1352" t="s">
        <v>243</v>
      </c>
      <c r="C1352" t="s">
        <v>244</v>
      </c>
      <c r="D1352" s="7">
        <v>7134</v>
      </c>
      <c r="E1352" t="s">
        <v>245</v>
      </c>
      <c r="F1352" t="s">
        <v>246</v>
      </c>
      <c r="G1352" t="s">
        <v>1085</v>
      </c>
      <c r="H1352" t="s">
        <v>4866</v>
      </c>
      <c r="I1352" s="7">
        <v>1165</v>
      </c>
      <c r="J1352" s="7">
        <v>59122</v>
      </c>
      <c r="K1352" s="7">
        <v>6</v>
      </c>
      <c r="L1352" t="s">
        <v>247</v>
      </c>
      <c r="M1352" t="s">
        <v>261</v>
      </c>
      <c r="N1352" s="7">
        <v>787041</v>
      </c>
      <c r="O1352" t="s">
        <v>1151</v>
      </c>
      <c r="P1352" t="s">
        <v>1152</v>
      </c>
      <c r="S1352" t="s">
        <v>3799</v>
      </c>
      <c r="T1352" t="s">
        <v>3728</v>
      </c>
      <c r="U1352" t="s">
        <v>4859</v>
      </c>
      <c r="V1352" s="8">
        <v>0</v>
      </c>
      <c r="W1352" s="7">
        <v>590053</v>
      </c>
      <c r="X1352" t="s">
        <v>4860</v>
      </c>
      <c r="Y1352" s="8">
        <v>0</v>
      </c>
      <c r="Z1352" s="8">
        <v>0</v>
      </c>
      <c r="AA1352" s="8">
        <v>0</v>
      </c>
      <c r="AB1352" s="7">
        <v>113520</v>
      </c>
      <c r="AC1352" t="s">
        <v>4860</v>
      </c>
      <c r="AD1352" s="8">
        <v>0</v>
      </c>
      <c r="AG1352" t="s">
        <v>801</v>
      </c>
      <c r="AH1352" t="s">
        <v>802</v>
      </c>
      <c r="AI1352" t="s">
        <v>803</v>
      </c>
    </row>
    <row r="1353" spans="1:35" hidden="1">
      <c r="A1353" s="7">
        <v>1352</v>
      </c>
      <c r="B1353" t="s">
        <v>243</v>
      </c>
      <c r="C1353" t="s">
        <v>244</v>
      </c>
      <c r="D1353" s="7">
        <v>7134</v>
      </c>
      <c r="E1353" t="s">
        <v>245</v>
      </c>
      <c r="F1353" t="s">
        <v>246</v>
      </c>
      <c r="G1353" t="s">
        <v>612</v>
      </c>
      <c r="H1353" t="s">
        <v>4882</v>
      </c>
      <c r="I1353" s="7">
        <v>1165</v>
      </c>
      <c r="J1353" s="7">
        <v>9839</v>
      </c>
      <c r="K1353" s="7">
        <v>2</v>
      </c>
      <c r="L1353" t="s">
        <v>247</v>
      </c>
      <c r="M1353" t="s">
        <v>252</v>
      </c>
      <c r="N1353" s="7">
        <v>327378</v>
      </c>
      <c r="O1353" t="s">
        <v>663</v>
      </c>
      <c r="P1353" t="s">
        <v>664</v>
      </c>
      <c r="Q1353" t="s">
        <v>870</v>
      </c>
      <c r="R1353" t="s">
        <v>871</v>
      </c>
      <c r="S1353" t="s">
        <v>3799</v>
      </c>
      <c r="T1353" t="s">
        <v>3728</v>
      </c>
      <c r="U1353" t="s">
        <v>4859</v>
      </c>
      <c r="V1353" s="8">
        <v>0</v>
      </c>
      <c r="W1353" s="7">
        <v>590053</v>
      </c>
      <c r="X1353" t="s">
        <v>4860</v>
      </c>
      <c r="Y1353" s="8">
        <v>0</v>
      </c>
      <c r="Z1353" s="8">
        <v>0</v>
      </c>
      <c r="AA1353" s="8">
        <v>0</v>
      </c>
      <c r="AB1353" s="7">
        <v>113520</v>
      </c>
      <c r="AC1353" t="s">
        <v>4860</v>
      </c>
      <c r="AD1353" s="8">
        <v>0</v>
      </c>
      <c r="AG1353" t="s">
        <v>937</v>
      </c>
      <c r="AH1353" t="s">
        <v>802</v>
      </c>
      <c r="AI1353" t="s">
        <v>803</v>
      </c>
    </row>
    <row r="1354" spans="1:35" hidden="1">
      <c r="A1354" s="7">
        <v>1353</v>
      </c>
      <c r="B1354" t="s">
        <v>243</v>
      </c>
      <c r="C1354" t="s">
        <v>244</v>
      </c>
      <c r="D1354" s="7">
        <v>7134</v>
      </c>
      <c r="E1354" t="s">
        <v>245</v>
      </c>
      <c r="F1354" t="s">
        <v>246</v>
      </c>
      <c r="G1354" t="s">
        <v>1165</v>
      </c>
      <c r="H1354" t="s">
        <v>4877</v>
      </c>
      <c r="I1354" s="7">
        <v>1165</v>
      </c>
      <c r="J1354" s="7">
        <v>126770</v>
      </c>
      <c r="K1354" s="7">
        <v>12</v>
      </c>
      <c r="L1354" t="s">
        <v>247</v>
      </c>
      <c r="M1354" t="s">
        <v>252</v>
      </c>
      <c r="N1354" s="7">
        <v>317176</v>
      </c>
      <c r="O1354" t="s">
        <v>1166</v>
      </c>
      <c r="P1354" t="s">
        <v>1167</v>
      </c>
      <c r="Q1354" t="s">
        <v>908</v>
      </c>
      <c r="R1354" t="s">
        <v>909</v>
      </c>
      <c r="S1354" t="s">
        <v>3799</v>
      </c>
      <c r="T1354" t="s">
        <v>3728</v>
      </c>
      <c r="U1354" t="s">
        <v>4859</v>
      </c>
      <c r="V1354" s="8">
        <v>0</v>
      </c>
      <c r="W1354" s="7">
        <v>590053</v>
      </c>
      <c r="X1354" t="s">
        <v>4860</v>
      </c>
      <c r="Y1354" s="8">
        <v>0</v>
      </c>
      <c r="Z1354" s="8">
        <v>0</v>
      </c>
      <c r="AA1354" s="8">
        <v>0</v>
      </c>
      <c r="AB1354" s="7">
        <v>113520</v>
      </c>
      <c r="AC1354" t="s">
        <v>4860</v>
      </c>
      <c r="AD1354" s="8">
        <v>0</v>
      </c>
      <c r="AG1354" t="s">
        <v>937</v>
      </c>
      <c r="AH1354" t="s">
        <v>802</v>
      </c>
      <c r="AI1354" t="s">
        <v>803</v>
      </c>
    </row>
    <row r="1355" spans="1:35" hidden="1">
      <c r="A1355" s="7">
        <v>1354</v>
      </c>
      <c r="B1355" t="s">
        <v>243</v>
      </c>
      <c r="C1355" t="s">
        <v>244</v>
      </c>
      <c r="D1355" s="7">
        <v>7134</v>
      </c>
      <c r="E1355" t="s">
        <v>245</v>
      </c>
      <c r="F1355" t="s">
        <v>246</v>
      </c>
      <c r="G1355" t="s">
        <v>1011</v>
      </c>
      <c r="H1355" t="s">
        <v>4866</v>
      </c>
      <c r="I1355" s="7">
        <v>1165</v>
      </c>
      <c r="J1355" s="7">
        <v>47775</v>
      </c>
      <c r="K1355" s="7">
        <v>7</v>
      </c>
      <c r="L1355" t="s">
        <v>247</v>
      </c>
      <c r="M1355" t="s">
        <v>261</v>
      </c>
      <c r="N1355" s="7">
        <v>774079</v>
      </c>
      <c r="O1355" t="s">
        <v>1285</v>
      </c>
      <c r="P1355" t="s">
        <v>1286</v>
      </c>
      <c r="S1355" t="s">
        <v>3799</v>
      </c>
      <c r="T1355" t="s">
        <v>3728</v>
      </c>
      <c r="U1355" t="s">
        <v>4859</v>
      </c>
      <c r="V1355" s="8">
        <v>0</v>
      </c>
      <c r="W1355" s="7">
        <v>590053</v>
      </c>
      <c r="X1355" t="s">
        <v>4860</v>
      </c>
      <c r="Y1355" s="8">
        <v>0</v>
      </c>
      <c r="Z1355" s="8">
        <v>0</v>
      </c>
      <c r="AA1355" s="8">
        <v>0</v>
      </c>
      <c r="AB1355" s="7">
        <v>113520</v>
      </c>
      <c r="AC1355" t="s">
        <v>4860</v>
      </c>
      <c r="AD1355" s="8">
        <v>0</v>
      </c>
      <c r="AG1355" t="s">
        <v>801</v>
      </c>
      <c r="AH1355" t="s">
        <v>802</v>
      </c>
      <c r="AI1355" t="s">
        <v>803</v>
      </c>
    </row>
    <row r="1356" spans="1:35" hidden="1">
      <c r="A1356" s="7">
        <v>1355</v>
      </c>
      <c r="B1356" t="s">
        <v>243</v>
      </c>
      <c r="C1356" t="s">
        <v>244</v>
      </c>
      <c r="D1356" s="7">
        <v>7134</v>
      </c>
      <c r="E1356" t="s">
        <v>245</v>
      </c>
      <c r="F1356" t="s">
        <v>246</v>
      </c>
      <c r="G1356" t="s">
        <v>1202</v>
      </c>
      <c r="H1356" t="s">
        <v>4867</v>
      </c>
      <c r="I1356" s="7">
        <v>1165</v>
      </c>
      <c r="J1356" s="7">
        <v>81867</v>
      </c>
      <c r="K1356" s="7">
        <v>8</v>
      </c>
      <c r="L1356" t="s">
        <v>247</v>
      </c>
      <c r="M1356" t="s">
        <v>261</v>
      </c>
      <c r="N1356" s="7">
        <v>774638</v>
      </c>
      <c r="O1356" t="s">
        <v>1232</v>
      </c>
      <c r="P1356" t="s">
        <v>1233</v>
      </c>
      <c r="Q1356" t="s">
        <v>908</v>
      </c>
      <c r="R1356" t="s">
        <v>909</v>
      </c>
      <c r="S1356" t="s">
        <v>3799</v>
      </c>
      <c r="T1356" t="s">
        <v>3728</v>
      </c>
      <c r="U1356" t="s">
        <v>4859</v>
      </c>
      <c r="V1356" s="8">
        <v>1250</v>
      </c>
      <c r="W1356" s="7">
        <v>590053</v>
      </c>
      <c r="X1356" t="s">
        <v>4860</v>
      </c>
      <c r="Y1356" s="8">
        <v>1000</v>
      </c>
      <c r="Z1356" s="8">
        <v>1475</v>
      </c>
      <c r="AA1356" s="8">
        <v>225</v>
      </c>
      <c r="AB1356" s="7">
        <v>113520</v>
      </c>
      <c r="AC1356" t="s">
        <v>4860</v>
      </c>
      <c r="AD1356" s="8">
        <v>250</v>
      </c>
      <c r="AG1356" t="s">
        <v>801</v>
      </c>
      <c r="AH1356" t="s">
        <v>802</v>
      </c>
      <c r="AI1356" t="s">
        <v>818</v>
      </c>
    </row>
    <row r="1357" spans="1:35" hidden="1">
      <c r="A1357" s="7">
        <v>1356</v>
      </c>
      <c r="B1357" t="s">
        <v>243</v>
      </c>
      <c r="C1357" t="s">
        <v>244</v>
      </c>
      <c r="D1357" s="7">
        <v>7134</v>
      </c>
      <c r="E1357" t="s">
        <v>245</v>
      </c>
      <c r="F1357" t="s">
        <v>246</v>
      </c>
      <c r="G1357" t="s">
        <v>1050</v>
      </c>
      <c r="H1357" t="s">
        <v>4866</v>
      </c>
      <c r="I1357" s="7">
        <v>1165</v>
      </c>
      <c r="J1357" s="7">
        <v>50000</v>
      </c>
      <c r="K1357" s="7">
        <v>5</v>
      </c>
      <c r="L1357" t="s">
        <v>247</v>
      </c>
      <c r="M1357" t="s">
        <v>361</v>
      </c>
      <c r="N1357" s="7">
        <v>5472</v>
      </c>
      <c r="O1357" t="s">
        <v>1051</v>
      </c>
      <c r="P1357" t="s">
        <v>1052</v>
      </c>
      <c r="S1357" t="s">
        <v>3799</v>
      </c>
      <c r="T1357" t="s">
        <v>3728</v>
      </c>
      <c r="U1357" t="s">
        <v>4859</v>
      </c>
      <c r="V1357" s="8">
        <v>1650</v>
      </c>
      <c r="W1357" s="7">
        <v>590053</v>
      </c>
      <c r="X1357" t="s">
        <v>4860</v>
      </c>
      <c r="Y1357" s="8">
        <v>1650</v>
      </c>
      <c r="Z1357" s="8">
        <v>1947</v>
      </c>
      <c r="AA1357" s="8">
        <v>297</v>
      </c>
      <c r="AB1357" s="7">
        <v>113520</v>
      </c>
      <c r="AC1357" t="s">
        <v>4860</v>
      </c>
      <c r="AD1357" s="8">
        <v>0</v>
      </c>
      <c r="AG1357" t="s">
        <v>823</v>
      </c>
      <c r="AH1357" t="s">
        <v>802</v>
      </c>
      <c r="AI1357" t="s">
        <v>818</v>
      </c>
    </row>
    <row r="1358" spans="1:35" hidden="1">
      <c r="A1358" s="7">
        <v>1357</v>
      </c>
      <c r="B1358" t="s">
        <v>243</v>
      </c>
      <c r="C1358" t="s">
        <v>244</v>
      </c>
      <c r="D1358" s="7">
        <v>7134</v>
      </c>
      <c r="E1358" t="s">
        <v>245</v>
      </c>
      <c r="F1358" t="s">
        <v>246</v>
      </c>
      <c r="G1358" t="s">
        <v>543</v>
      </c>
      <c r="H1358" t="s">
        <v>4858</v>
      </c>
      <c r="I1358" s="7">
        <v>1150</v>
      </c>
      <c r="J1358" s="7">
        <v>13245</v>
      </c>
      <c r="K1358" s="7">
        <v>3</v>
      </c>
      <c r="L1358" t="s">
        <v>247</v>
      </c>
      <c r="M1358" t="s">
        <v>261</v>
      </c>
      <c r="N1358" s="7">
        <v>778181</v>
      </c>
      <c r="O1358" t="s">
        <v>2188</v>
      </c>
      <c r="P1358" t="s">
        <v>2189</v>
      </c>
      <c r="S1358" t="s">
        <v>3799</v>
      </c>
      <c r="T1358" t="s">
        <v>3728</v>
      </c>
      <c r="U1358" t="s">
        <v>4859</v>
      </c>
      <c r="V1358" s="8">
        <v>1250</v>
      </c>
      <c r="W1358" s="7">
        <v>590053</v>
      </c>
      <c r="X1358" t="s">
        <v>4860</v>
      </c>
      <c r="Y1358" s="8">
        <v>1250</v>
      </c>
      <c r="Z1358" s="8">
        <v>1475</v>
      </c>
      <c r="AA1358" s="8">
        <v>225</v>
      </c>
      <c r="AB1358" s="7">
        <v>113520</v>
      </c>
      <c r="AC1358" t="s">
        <v>4860</v>
      </c>
      <c r="AD1358" s="8">
        <v>0</v>
      </c>
      <c r="AG1358" t="s">
        <v>808</v>
      </c>
      <c r="AH1358" t="s">
        <v>802</v>
      </c>
      <c r="AI1358" t="s">
        <v>818</v>
      </c>
    </row>
    <row r="1359" spans="1:35" hidden="1">
      <c r="A1359" s="7">
        <v>1358</v>
      </c>
      <c r="B1359" t="s">
        <v>243</v>
      </c>
      <c r="C1359" t="s">
        <v>244</v>
      </c>
      <c r="D1359" s="7">
        <v>7134</v>
      </c>
      <c r="E1359" t="s">
        <v>245</v>
      </c>
      <c r="F1359" t="s">
        <v>246</v>
      </c>
      <c r="G1359" t="s">
        <v>4889</v>
      </c>
      <c r="H1359" t="s">
        <v>4868</v>
      </c>
      <c r="I1359" s="7">
        <v>1165</v>
      </c>
      <c r="J1359" s="7">
        <v>32168</v>
      </c>
      <c r="K1359" s="7">
        <v>4</v>
      </c>
      <c r="L1359" t="s">
        <v>247</v>
      </c>
      <c r="M1359" t="s">
        <v>267</v>
      </c>
      <c r="N1359" s="7">
        <v>768513</v>
      </c>
      <c r="O1359" t="s">
        <v>3046</v>
      </c>
      <c r="P1359" t="s">
        <v>3047</v>
      </c>
      <c r="Q1359" t="s">
        <v>870</v>
      </c>
      <c r="R1359" t="s">
        <v>871</v>
      </c>
      <c r="S1359" t="s">
        <v>3799</v>
      </c>
      <c r="T1359" t="s">
        <v>3728</v>
      </c>
      <c r="U1359" t="s">
        <v>4859</v>
      </c>
      <c r="V1359" s="8">
        <v>1250</v>
      </c>
      <c r="W1359" s="7">
        <v>590053</v>
      </c>
      <c r="X1359" t="s">
        <v>4860</v>
      </c>
      <c r="Y1359" s="8">
        <v>1000</v>
      </c>
      <c r="Z1359" s="8">
        <v>1475</v>
      </c>
      <c r="AA1359" s="8">
        <v>225</v>
      </c>
      <c r="AB1359" s="7">
        <v>113520</v>
      </c>
      <c r="AC1359" t="s">
        <v>4860</v>
      </c>
      <c r="AD1359" s="8">
        <v>250</v>
      </c>
      <c r="AG1359" t="s">
        <v>828</v>
      </c>
      <c r="AH1359" t="s">
        <v>802</v>
      </c>
      <c r="AI1359" t="s">
        <v>818</v>
      </c>
    </row>
    <row r="1360" spans="1:35" hidden="1">
      <c r="A1360" s="7">
        <v>1359</v>
      </c>
      <c r="B1360" t="s">
        <v>243</v>
      </c>
      <c r="C1360" t="s">
        <v>244</v>
      </c>
      <c r="D1360" s="7">
        <v>7134</v>
      </c>
      <c r="E1360" t="s">
        <v>245</v>
      </c>
      <c r="F1360" t="s">
        <v>246</v>
      </c>
      <c r="G1360" t="s">
        <v>594</v>
      </c>
      <c r="H1360" t="s">
        <v>4862</v>
      </c>
      <c r="I1360" s="7">
        <v>1165</v>
      </c>
      <c r="J1360" s="7">
        <v>20000</v>
      </c>
      <c r="K1360" s="7">
        <v>2</v>
      </c>
      <c r="L1360" t="s">
        <v>247</v>
      </c>
      <c r="M1360" t="s">
        <v>252</v>
      </c>
      <c r="N1360" s="7">
        <v>326025</v>
      </c>
      <c r="O1360" t="s">
        <v>596</v>
      </c>
      <c r="P1360" t="s">
        <v>597</v>
      </c>
      <c r="Q1360" t="s">
        <v>870</v>
      </c>
      <c r="R1360" t="s">
        <v>871</v>
      </c>
      <c r="S1360" t="s">
        <v>3799</v>
      </c>
      <c r="T1360" t="s">
        <v>3728</v>
      </c>
      <c r="U1360" t="s">
        <v>4859</v>
      </c>
      <c r="V1360" s="8">
        <v>0</v>
      </c>
      <c r="W1360" s="7">
        <v>590053</v>
      </c>
      <c r="X1360" t="s">
        <v>4860</v>
      </c>
      <c r="Y1360" s="8">
        <v>0</v>
      </c>
      <c r="Z1360" s="8">
        <v>0</v>
      </c>
      <c r="AA1360" s="8">
        <v>0</v>
      </c>
      <c r="AB1360" s="7">
        <v>113520</v>
      </c>
      <c r="AC1360" t="s">
        <v>4860</v>
      </c>
      <c r="AD1360" s="8">
        <v>0</v>
      </c>
      <c r="AG1360" t="s">
        <v>937</v>
      </c>
      <c r="AH1360" t="s">
        <v>802</v>
      </c>
      <c r="AI1360" t="s">
        <v>803</v>
      </c>
    </row>
    <row r="1361" spans="1:35" hidden="1">
      <c r="A1361" s="7">
        <v>1360</v>
      </c>
      <c r="B1361" t="s">
        <v>243</v>
      </c>
      <c r="C1361" t="s">
        <v>244</v>
      </c>
      <c r="D1361" s="7">
        <v>7134</v>
      </c>
      <c r="E1361" t="s">
        <v>245</v>
      </c>
      <c r="F1361" t="s">
        <v>246</v>
      </c>
      <c r="G1361" t="s">
        <v>308</v>
      </c>
      <c r="H1361" t="s">
        <v>4884</v>
      </c>
      <c r="I1361" s="7">
        <v>1165</v>
      </c>
      <c r="J1361" s="7">
        <v>40323</v>
      </c>
      <c r="K1361" s="7">
        <v>4</v>
      </c>
      <c r="L1361" t="s">
        <v>247</v>
      </c>
      <c r="M1361" t="s">
        <v>261</v>
      </c>
      <c r="N1361" s="7">
        <v>792931</v>
      </c>
      <c r="O1361" t="s">
        <v>355</v>
      </c>
      <c r="P1361" t="s">
        <v>356</v>
      </c>
      <c r="S1361" t="s">
        <v>3799</v>
      </c>
      <c r="T1361" t="s">
        <v>3728</v>
      </c>
      <c r="U1361" t="s">
        <v>4859</v>
      </c>
      <c r="V1361" s="8">
        <v>0</v>
      </c>
      <c r="W1361" s="7">
        <v>590053</v>
      </c>
      <c r="X1361" t="s">
        <v>4860</v>
      </c>
      <c r="Y1361" s="8">
        <v>0</v>
      </c>
      <c r="Z1361" s="8">
        <v>0</v>
      </c>
      <c r="AA1361" s="8">
        <v>0</v>
      </c>
      <c r="AB1361" s="7">
        <v>113520</v>
      </c>
      <c r="AC1361" t="s">
        <v>4860</v>
      </c>
      <c r="AD1361" s="8">
        <v>0</v>
      </c>
      <c r="AG1361" t="s">
        <v>801</v>
      </c>
      <c r="AH1361" t="s">
        <v>802</v>
      </c>
      <c r="AI1361" t="s">
        <v>803</v>
      </c>
    </row>
    <row r="1362" spans="1:35" hidden="1">
      <c r="A1362" s="7">
        <v>1361</v>
      </c>
      <c r="B1362" t="s">
        <v>243</v>
      </c>
      <c r="C1362" t="s">
        <v>244</v>
      </c>
      <c r="D1362" s="7">
        <v>7134</v>
      </c>
      <c r="E1362" t="s">
        <v>245</v>
      </c>
      <c r="F1362" t="s">
        <v>246</v>
      </c>
      <c r="G1362" t="s">
        <v>1807</v>
      </c>
      <c r="H1362" t="s">
        <v>4863</v>
      </c>
      <c r="I1362" s="7">
        <v>1150</v>
      </c>
      <c r="J1362" s="7">
        <v>14527</v>
      </c>
      <c r="K1362" s="7">
        <v>3</v>
      </c>
      <c r="L1362" t="s">
        <v>247</v>
      </c>
      <c r="M1362" t="s">
        <v>261</v>
      </c>
      <c r="N1362" s="7">
        <v>778388</v>
      </c>
      <c r="O1362" t="s">
        <v>2180</v>
      </c>
      <c r="P1362" t="s">
        <v>2181</v>
      </c>
      <c r="S1362" t="s">
        <v>3799</v>
      </c>
      <c r="T1362" t="s">
        <v>3728</v>
      </c>
      <c r="U1362" t="s">
        <v>4859</v>
      </c>
      <c r="V1362" s="8">
        <v>1250</v>
      </c>
      <c r="W1362" s="7">
        <v>590053</v>
      </c>
      <c r="X1362" t="s">
        <v>4860</v>
      </c>
      <c r="Y1362" s="8">
        <v>1250</v>
      </c>
      <c r="Z1362" s="8">
        <v>1475</v>
      </c>
      <c r="AA1362" s="8">
        <v>225</v>
      </c>
      <c r="AB1362" s="7">
        <v>113520</v>
      </c>
      <c r="AC1362" t="s">
        <v>4860</v>
      </c>
      <c r="AD1362" s="8">
        <v>0</v>
      </c>
      <c r="AG1362" t="s">
        <v>808</v>
      </c>
      <c r="AH1362" t="s">
        <v>802</v>
      </c>
      <c r="AI1362" t="s">
        <v>818</v>
      </c>
    </row>
    <row r="1363" spans="1:35" hidden="1">
      <c r="A1363" s="7">
        <v>1362</v>
      </c>
      <c r="B1363" t="s">
        <v>243</v>
      </c>
      <c r="C1363" t="s">
        <v>244</v>
      </c>
      <c r="D1363" s="7">
        <v>7134</v>
      </c>
      <c r="E1363" t="s">
        <v>245</v>
      </c>
      <c r="F1363" t="s">
        <v>246</v>
      </c>
      <c r="G1363" t="s">
        <v>1004</v>
      </c>
      <c r="H1363" t="s">
        <v>3432</v>
      </c>
      <c r="I1363" s="7">
        <v>1165</v>
      </c>
      <c r="J1363" s="7">
        <v>47282</v>
      </c>
      <c r="K1363" s="7">
        <v>5</v>
      </c>
      <c r="L1363" t="s">
        <v>247</v>
      </c>
      <c r="M1363" t="s">
        <v>361</v>
      </c>
      <c r="N1363" s="7">
        <v>5607</v>
      </c>
      <c r="O1363" t="s">
        <v>1351</v>
      </c>
      <c r="P1363" t="s">
        <v>1352</v>
      </c>
      <c r="S1363" t="s">
        <v>3799</v>
      </c>
      <c r="T1363" t="s">
        <v>3728</v>
      </c>
      <c r="U1363" t="s">
        <v>4859</v>
      </c>
      <c r="V1363" s="8">
        <v>1650</v>
      </c>
      <c r="W1363" s="7">
        <v>590053</v>
      </c>
      <c r="X1363" t="s">
        <v>4860</v>
      </c>
      <c r="Y1363" s="8">
        <v>1650</v>
      </c>
      <c r="Z1363" s="8">
        <v>1947</v>
      </c>
      <c r="AA1363" s="8">
        <v>297</v>
      </c>
      <c r="AB1363" s="7">
        <v>113520</v>
      </c>
      <c r="AC1363" t="s">
        <v>4860</v>
      </c>
      <c r="AD1363" s="8">
        <v>0</v>
      </c>
      <c r="AG1363" t="s">
        <v>823</v>
      </c>
      <c r="AH1363" t="s">
        <v>802</v>
      </c>
      <c r="AI1363" t="s">
        <v>818</v>
      </c>
    </row>
    <row r="1364" spans="1:35" hidden="1">
      <c r="A1364" s="7">
        <v>1363</v>
      </c>
      <c r="B1364" t="s">
        <v>243</v>
      </c>
      <c r="C1364" t="s">
        <v>244</v>
      </c>
      <c r="D1364" s="7">
        <v>7134</v>
      </c>
      <c r="E1364" t="s">
        <v>245</v>
      </c>
      <c r="F1364" t="s">
        <v>246</v>
      </c>
      <c r="G1364" t="s">
        <v>4890</v>
      </c>
      <c r="H1364" t="s">
        <v>3352</v>
      </c>
      <c r="I1364" s="7">
        <v>1134</v>
      </c>
      <c r="J1364" s="7">
        <v>80744</v>
      </c>
      <c r="K1364" s="7">
        <v>10</v>
      </c>
      <c r="L1364" t="s">
        <v>247</v>
      </c>
      <c r="M1364" t="s">
        <v>267</v>
      </c>
      <c r="N1364" s="7">
        <v>766720</v>
      </c>
      <c r="O1364" t="s">
        <v>4891</v>
      </c>
      <c r="P1364" t="s">
        <v>4892</v>
      </c>
      <c r="Q1364" t="s">
        <v>870</v>
      </c>
      <c r="R1364" t="s">
        <v>871</v>
      </c>
      <c r="S1364" t="s">
        <v>3799</v>
      </c>
      <c r="T1364" t="s">
        <v>3728</v>
      </c>
      <c r="U1364" t="s">
        <v>4859</v>
      </c>
      <c r="V1364" s="8">
        <v>0</v>
      </c>
      <c r="W1364" s="7">
        <v>590053</v>
      </c>
      <c r="X1364" t="s">
        <v>4860</v>
      </c>
      <c r="Y1364" s="8">
        <v>0</v>
      </c>
      <c r="Z1364" s="8">
        <v>0</v>
      </c>
      <c r="AA1364" s="8">
        <v>0</v>
      </c>
      <c r="AB1364" s="7">
        <v>113520</v>
      </c>
      <c r="AC1364" t="s">
        <v>4860</v>
      </c>
      <c r="AD1364" s="8">
        <v>0</v>
      </c>
      <c r="AG1364" t="s">
        <v>828</v>
      </c>
      <c r="AH1364" t="s">
        <v>802</v>
      </c>
      <c r="AI1364" t="s">
        <v>803</v>
      </c>
    </row>
    <row r="1365" spans="1:35" hidden="1">
      <c r="A1365" s="7">
        <v>1364</v>
      </c>
      <c r="B1365" t="s">
        <v>243</v>
      </c>
      <c r="C1365" t="s">
        <v>244</v>
      </c>
      <c r="D1365" s="7">
        <v>7134</v>
      </c>
      <c r="E1365" t="s">
        <v>245</v>
      </c>
      <c r="F1365" t="s">
        <v>246</v>
      </c>
      <c r="G1365" t="s">
        <v>363</v>
      </c>
      <c r="H1365" t="s">
        <v>3727</v>
      </c>
      <c r="I1365" s="7">
        <v>926</v>
      </c>
      <c r="J1365" s="7">
        <v>47196</v>
      </c>
      <c r="K1365" s="7">
        <v>3</v>
      </c>
      <c r="L1365" t="s">
        <v>247</v>
      </c>
      <c r="M1365" t="s">
        <v>261</v>
      </c>
      <c r="N1365" s="7">
        <v>797316</v>
      </c>
      <c r="O1365" t="s">
        <v>1898</v>
      </c>
      <c r="P1365" t="s">
        <v>1899</v>
      </c>
      <c r="S1365" t="s">
        <v>3799</v>
      </c>
      <c r="T1365" t="s">
        <v>3728</v>
      </c>
      <c r="U1365" t="s">
        <v>4859</v>
      </c>
      <c r="V1365" s="8">
        <v>1250</v>
      </c>
      <c r="W1365" s="7">
        <v>590053</v>
      </c>
      <c r="X1365" t="s">
        <v>4860</v>
      </c>
      <c r="Y1365" s="8">
        <v>1250</v>
      </c>
      <c r="Z1365" s="8">
        <v>1475</v>
      </c>
      <c r="AA1365" s="8">
        <v>225</v>
      </c>
      <c r="AB1365" s="7">
        <v>113520</v>
      </c>
      <c r="AC1365" t="s">
        <v>4860</v>
      </c>
      <c r="AD1365" s="8">
        <v>0</v>
      </c>
      <c r="AG1365" t="s">
        <v>817</v>
      </c>
      <c r="AH1365" t="s">
        <v>802</v>
      </c>
      <c r="AI1365" t="s">
        <v>818</v>
      </c>
    </row>
    <row r="1366" spans="1:35" hidden="1">
      <c r="A1366" s="7">
        <v>1365</v>
      </c>
      <c r="B1366" t="s">
        <v>243</v>
      </c>
      <c r="C1366" t="s">
        <v>244</v>
      </c>
      <c r="D1366" s="7">
        <v>7134</v>
      </c>
      <c r="E1366" t="s">
        <v>245</v>
      </c>
      <c r="F1366" t="s">
        <v>246</v>
      </c>
      <c r="G1366" t="s">
        <v>1224</v>
      </c>
      <c r="H1366" t="s">
        <v>3727</v>
      </c>
      <c r="I1366" s="7">
        <v>906</v>
      </c>
      <c r="J1366" s="7">
        <v>53560</v>
      </c>
      <c r="K1366" s="7">
        <v>3</v>
      </c>
      <c r="L1366" t="s">
        <v>247</v>
      </c>
      <c r="M1366" t="s">
        <v>261</v>
      </c>
      <c r="N1366" s="7">
        <v>795395</v>
      </c>
      <c r="O1366" t="s">
        <v>1892</v>
      </c>
      <c r="P1366" t="s">
        <v>1893</v>
      </c>
      <c r="Q1366" t="s">
        <v>908</v>
      </c>
      <c r="R1366" t="s">
        <v>909</v>
      </c>
      <c r="S1366" t="s">
        <v>3799</v>
      </c>
      <c r="T1366" t="s">
        <v>3728</v>
      </c>
      <c r="U1366" t="s">
        <v>4859</v>
      </c>
      <c r="V1366" s="8">
        <v>1250</v>
      </c>
      <c r="W1366" s="7">
        <v>590053</v>
      </c>
      <c r="X1366" t="s">
        <v>4860</v>
      </c>
      <c r="Y1366" s="8">
        <v>1000</v>
      </c>
      <c r="Z1366" s="8">
        <v>1475</v>
      </c>
      <c r="AA1366" s="8">
        <v>225</v>
      </c>
      <c r="AB1366" s="7">
        <v>113520</v>
      </c>
      <c r="AC1366" t="s">
        <v>4860</v>
      </c>
      <c r="AD1366" s="8">
        <v>250</v>
      </c>
      <c r="AG1366" t="s">
        <v>817</v>
      </c>
      <c r="AH1366" t="s">
        <v>802</v>
      </c>
      <c r="AI1366" t="s">
        <v>818</v>
      </c>
    </row>
    <row r="1367" spans="1:35" hidden="1">
      <c r="A1367" s="7">
        <v>1366</v>
      </c>
      <c r="B1367" t="s">
        <v>243</v>
      </c>
      <c r="C1367" t="s">
        <v>244</v>
      </c>
      <c r="D1367" s="7">
        <v>7134</v>
      </c>
      <c r="E1367" t="s">
        <v>245</v>
      </c>
      <c r="F1367" t="s">
        <v>246</v>
      </c>
      <c r="G1367" t="s">
        <v>257</v>
      </c>
      <c r="H1367" t="s">
        <v>3432</v>
      </c>
      <c r="I1367" s="7">
        <v>1165</v>
      </c>
      <c r="J1367" s="7">
        <v>9435</v>
      </c>
      <c r="K1367" s="7">
        <v>3</v>
      </c>
      <c r="L1367" t="s">
        <v>247</v>
      </c>
      <c r="M1367" t="s">
        <v>252</v>
      </c>
      <c r="N1367" s="7">
        <v>327821</v>
      </c>
      <c r="O1367" t="s">
        <v>377</v>
      </c>
      <c r="P1367" t="s">
        <v>378</v>
      </c>
      <c r="Q1367" t="s">
        <v>870</v>
      </c>
      <c r="R1367" t="s">
        <v>871</v>
      </c>
      <c r="S1367" t="s">
        <v>3799</v>
      </c>
      <c r="T1367" t="s">
        <v>3728</v>
      </c>
      <c r="U1367" t="s">
        <v>4859</v>
      </c>
      <c r="V1367" s="8">
        <v>1250</v>
      </c>
      <c r="W1367" s="7">
        <v>590053</v>
      </c>
      <c r="X1367" t="s">
        <v>4860</v>
      </c>
      <c r="Y1367" s="8">
        <v>1000</v>
      </c>
      <c r="Z1367" s="8">
        <v>1475</v>
      </c>
      <c r="AA1367" s="8">
        <v>225</v>
      </c>
      <c r="AB1367" s="7">
        <v>113520</v>
      </c>
      <c r="AC1367" t="s">
        <v>4860</v>
      </c>
      <c r="AD1367" s="8">
        <v>250</v>
      </c>
      <c r="AG1367" t="s">
        <v>937</v>
      </c>
      <c r="AH1367" t="s">
        <v>802</v>
      </c>
      <c r="AI1367" t="s">
        <v>818</v>
      </c>
    </row>
    <row r="1368" spans="1:35" hidden="1">
      <c r="A1368" s="7">
        <v>1367</v>
      </c>
      <c r="B1368" t="s">
        <v>243</v>
      </c>
      <c r="C1368" t="s">
        <v>244</v>
      </c>
      <c r="D1368" s="7">
        <v>7134</v>
      </c>
      <c r="E1368" t="s">
        <v>245</v>
      </c>
      <c r="F1368" t="s">
        <v>246</v>
      </c>
      <c r="G1368" t="s">
        <v>278</v>
      </c>
      <c r="H1368" t="s">
        <v>4866</v>
      </c>
      <c r="I1368" s="7">
        <v>1165</v>
      </c>
      <c r="J1368" s="7">
        <v>6385</v>
      </c>
      <c r="K1368" s="7">
        <v>3</v>
      </c>
      <c r="L1368" t="s">
        <v>247</v>
      </c>
      <c r="M1368" t="s">
        <v>267</v>
      </c>
      <c r="N1368" s="7">
        <v>793736</v>
      </c>
      <c r="O1368" t="s">
        <v>441</v>
      </c>
      <c r="P1368" t="s">
        <v>442</v>
      </c>
      <c r="S1368" t="s">
        <v>3799</v>
      </c>
      <c r="T1368" t="s">
        <v>3728</v>
      </c>
      <c r="U1368" t="s">
        <v>4859</v>
      </c>
      <c r="V1368" s="8">
        <v>1250</v>
      </c>
      <c r="W1368" s="7">
        <v>590053</v>
      </c>
      <c r="X1368" t="s">
        <v>4860</v>
      </c>
      <c r="Y1368" s="8">
        <v>1250</v>
      </c>
      <c r="Z1368" s="8">
        <v>1475</v>
      </c>
      <c r="AA1368" s="8">
        <v>225</v>
      </c>
      <c r="AB1368" s="7">
        <v>113520</v>
      </c>
      <c r="AC1368" t="s">
        <v>4860</v>
      </c>
      <c r="AD1368" s="8">
        <v>0</v>
      </c>
      <c r="AG1368" t="s">
        <v>828</v>
      </c>
      <c r="AH1368" t="s">
        <v>802</v>
      </c>
      <c r="AI1368" t="s">
        <v>818</v>
      </c>
    </row>
    <row r="1369" spans="1:35" hidden="1">
      <c r="A1369" s="7">
        <v>1368</v>
      </c>
      <c r="B1369" t="s">
        <v>243</v>
      </c>
      <c r="C1369" t="s">
        <v>244</v>
      </c>
      <c r="D1369" s="7">
        <v>7134</v>
      </c>
      <c r="E1369" t="s">
        <v>245</v>
      </c>
      <c r="F1369" t="s">
        <v>246</v>
      </c>
      <c r="G1369" t="s">
        <v>898</v>
      </c>
      <c r="H1369" t="s">
        <v>4861</v>
      </c>
      <c r="I1369" s="7">
        <v>1165</v>
      </c>
      <c r="J1369" s="7">
        <v>60000</v>
      </c>
      <c r="K1369" s="7">
        <v>6</v>
      </c>
      <c r="L1369" t="s">
        <v>247</v>
      </c>
      <c r="M1369" t="s">
        <v>361</v>
      </c>
      <c r="N1369" s="7">
        <v>5355</v>
      </c>
      <c r="O1369" t="s">
        <v>1213</v>
      </c>
      <c r="P1369" t="s">
        <v>1214</v>
      </c>
      <c r="S1369" t="s">
        <v>3799</v>
      </c>
      <c r="T1369" t="s">
        <v>3728</v>
      </c>
      <c r="U1369" t="s">
        <v>4859</v>
      </c>
      <c r="V1369" s="8">
        <v>0</v>
      </c>
      <c r="W1369" s="7">
        <v>590053</v>
      </c>
      <c r="X1369" t="s">
        <v>4860</v>
      </c>
      <c r="Y1369" s="8">
        <v>0</v>
      </c>
      <c r="Z1369" s="8">
        <v>0</v>
      </c>
      <c r="AA1369" s="8">
        <v>0</v>
      </c>
      <c r="AB1369" s="7">
        <v>113520</v>
      </c>
      <c r="AC1369" t="s">
        <v>4860</v>
      </c>
      <c r="AD1369" s="8">
        <v>0</v>
      </c>
      <c r="AG1369" t="s">
        <v>823</v>
      </c>
      <c r="AH1369" t="s">
        <v>802</v>
      </c>
      <c r="AI1369" t="s">
        <v>803</v>
      </c>
    </row>
    <row r="1370" spans="1:35" hidden="1">
      <c r="A1370" s="7">
        <v>1369</v>
      </c>
      <c r="B1370" t="s">
        <v>243</v>
      </c>
      <c r="C1370" t="s">
        <v>244</v>
      </c>
      <c r="D1370" s="7">
        <v>7134</v>
      </c>
      <c r="E1370" t="s">
        <v>245</v>
      </c>
      <c r="F1370" t="s">
        <v>246</v>
      </c>
      <c r="G1370" t="s">
        <v>248</v>
      </c>
      <c r="H1370" t="s">
        <v>4878</v>
      </c>
      <c r="I1370" s="7">
        <v>980</v>
      </c>
      <c r="J1370" s="7">
        <v>51770</v>
      </c>
      <c r="K1370" s="7">
        <v>3</v>
      </c>
      <c r="L1370" t="s">
        <v>247</v>
      </c>
      <c r="M1370" t="s">
        <v>261</v>
      </c>
      <c r="N1370" s="7">
        <v>797023</v>
      </c>
      <c r="O1370" t="s">
        <v>1825</v>
      </c>
      <c r="P1370" t="s">
        <v>1826</v>
      </c>
      <c r="Q1370" t="s">
        <v>908</v>
      </c>
      <c r="R1370" t="s">
        <v>909</v>
      </c>
      <c r="S1370" t="s">
        <v>3799</v>
      </c>
      <c r="T1370" t="s">
        <v>3728</v>
      </c>
      <c r="U1370" t="s">
        <v>4859</v>
      </c>
      <c r="V1370" s="8">
        <v>1250</v>
      </c>
      <c r="W1370" s="7">
        <v>590053</v>
      </c>
      <c r="X1370" t="s">
        <v>4860</v>
      </c>
      <c r="Y1370" s="8">
        <v>1000</v>
      </c>
      <c r="Z1370" s="8">
        <v>1475</v>
      </c>
      <c r="AA1370" s="8">
        <v>225</v>
      </c>
      <c r="AB1370" s="7">
        <v>113520</v>
      </c>
      <c r="AC1370" t="s">
        <v>4860</v>
      </c>
      <c r="AD1370" s="8">
        <v>250</v>
      </c>
      <c r="AG1370" t="s">
        <v>817</v>
      </c>
      <c r="AH1370" t="s">
        <v>802</v>
      </c>
      <c r="AI1370" t="s">
        <v>818</v>
      </c>
    </row>
    <row r="1371" spans="1:35" hidden="1">
      <c r="A1371" s="7">
        <v>1370</v>
      </c>
      <c r="B1371" t="s">
        <v>243</v>
      </c>
      <c r="C1371" t="s">
        <v>244</v>
      </c>
      <c r="D1371" s="7">
        <v>7134</v>
      </c>
      <c r="E1371" t="s">
        <v>245</v>
      </c>
      <c r="F1371" t="s">
        <v>246</v>
      </c>
      <c r="G1371" t="s">
        <v>3078</v>
      </c>
      <c r="H1371" t="s">
        <v>3352</v>
      </c>
      <c r="I1371" s="7">
        <v>1165</v>
      </c>
      <c r="J1371" s="7">
        <v>10000</v>
      </c>
      <c r="K1371" s="7">
        <v>1</v>
      </c>
      <c r="L1371" t="s">
        <v>247</v>
      </c>
      <c r="M1371" t="s">
        <v>261</v>
      </c>
      <c r="N1371" s="7">
        <v>809278</v>
      </c>
      <c r="O1371" t="s">
        <v>3434</v>
      </c>
      <c r="P1371" t="s">
        <v>3435</v>
      </c>
      <c r="Q1371" t="s">
        <v>870</v>
      </c>
      <c r="R1371" t="s">
        <v>871</v>
      </c>
      <c r="S1371" t="s">
        <v>3799</v>
      </c>
      <c r="T1371" t="s">
        <v>3728</v>
      </c>
      <c r="U1371" t="s">
        <v>4859</v>
      </c>
      <c r="V1371" s="8">
        <v>1250</v>
      </c>
      <c r="W1371" s="7">
        <v>590053</v>
      </c>
      <c r="X1371" t="s">
        <v>4860</v>
      </c>
      <c r="Y1371" s="8">
        <v>1000</v>
      </c>
      <c r="Z1371" s="8">
        <v>1475</v>
      </c>
      <c r="AA1371" s="8">
        <v>225</v>
      </c>
      <c r="AB1371" s="7">
        <v>113520</v>
      </c>
      <c r="AC1371" t="s">
        <v>4860</v>
      </c>
      <c r="AD1371" s="8">
        <v>250</v>
      </c>
      <c r="AG1371" t="s">
        <v>801</v>
      </c>
      <c r="AH1371" t="s">
        <v>802</v>
      </c>
      <c r="AI1371" t="s">
        <v>818</v>
      </c>
    </row>
    <row r="1372" spans="1:35" hidden="1">
      <c r="A1372" s="7">
        <v>1371</v>
      </c>
      <c r="B1372" t="s">
        <v>243</v>
      </c>
      <c r="C1372" t="s">
        <v>244</v>
      </c>
      <c r="D1372" s="7">
        <v>7134</v>
      </c>
      <c r="E1372" t="s">
        <v>245</v>
      </c>
      <c r="F1372" t="s">
        <v>246</v>
      </c>
      <c r="G1372" t="s">
        <v>1162</v>
      </c>
      <c r="H1372" t="s">
        <v>4867</v>
      </c>
      <c r="I1372" s="7">
        <v>1165</v>
      </c>
      <c r="J1372" s="7">
        <v>125171</v>
      </c>
      <c r="K1372" s="7">
        <v>12</v>
      </c>
      <c r="L1372" t="s">
        <v>247</v>
      </c>
      <c r="M1372" t="s">
        <v>267</v>
      </c>
      <c r="N1372" s="7">
        <v>758119</v>
      </c>
      <c r="O1372" t="s">
        <v>1163</v>
      </c>
      <c r="P1372" t="s">
        <v>1164</v>
      </c>
      <c r="Q1372" t="s">
        <v>908</v>
      </c>
      <c r="R1372" t="s">
        <v>909</v>
      </c>
      <c r="S1372" t="s">
        <v>3799</v>
      </c>
      <c r="T1372" t="s">
        <v>3728</v>
      </c>
      <c r="U1372" t="s">
        <v>4859</v>
      </c>
      <c r="V1372" s="8">
        <v>0</v>
      </c>
      <c r="W1372" s="7">
        <v>590053</v>
      </c>
      <c r="X1372" t="s">
        <v>4860</v>
      </c>
      <c r="Y1372" s="8">
        <v>0</v>
      </c>
      <c r="Z1372" s="8">
        <v>0</v>
      </c>
      <c r="AA1372" s="8">
        <v>0</v>
      </c>
      <c r="AB1372" s="7">
        <v>113520</v>
      </c>
      <c r="AC1372" t="s">
        <v>4860</v>
      </c>
      <c r="AD1372" s="8">
        <v>0</v>
      </c>
      <c r="AG1372" t="s">
        <v>828</v>
      </c>
      <c r="AH1372" t="s">
        <v>802</v>
      </c>
      <c r="AI1372" t="s">
        <v>803</v>
      </c>
    </row>
    <row r="1373" spans="1:35" hidden="1">
      <c r="A1373" s="7">
        <v>1372</v>
      </c>
      <c r="B1373" t="s">
        <v>243</v>
      </c>
      <c r="C1373" t="s">
        <v>244</v>
      </c>
      <c r="D1373" s="7">
        <v>7134</v>
      </c>
      <c r="E1373" t="s">
        <v>245</v>
      </c>
      <c r="F1373" t="s">
        <v>246</v>
      </c>
      <c r="G1373" t="s">
        <v>819</v>
      </c>
      <c r="H1373" t="s">
        <v>4882</v>
      </c>
      <c r="I1373" s="7">
        <v>1165</v>
      </c>
      <c r="J1373" s="7">
        <v>75408</v>
      </c>
      <c r="K1373" s="7">
        <v>10</v>
      </c>
      <c r="L1373" t="s">
        <v>247</v>
      </c>
      <c r="M1373" t="s">
        <v>261</v>
      </c>
      <c r="N1373" s="7">
        <v>764717</v>
      </c>
      <c r="O1373" t="s">
        <v>856</v>
      </c>
      <c r="P1373" t="s">
        <v>857</v>
      </c>
      <c r="S1373" t="s">
        <v>3799</v>
      </c>
      <c r="T1373" t="s">
        <v>3728</v>
      </c>
      <c r="U1373" t="s">
        <v>4859</v>
      </c>
      <c r="V1373" s="8">
        <v>0</v>
      </c>
      <c r="W1373" s="7">
        <v>590053</v>
      </c>
      <c r="X1373" t="s">
        <v>4860</v>
      </c>
      <c r="Y1373" s="8">
        <v>0</v>
      </c>
      <c r="Z1373" s="8">
        <v>0</v>
      </c>
      <c r="AA1373" s="8">
        <v>0</v>
      </c>
      <c r="AB1373" s="7">
        <v>113520</v>
      </c>
      <c r="AC1373" t="s">
        <v>4860</v>
      </c>
      <c r="AD1373" s="8">
        <v>0</v>
      </c>
      <c r="AG1373" t="s">
        <v>801</v>
      </c>
      <c r="AH1373" t="s">
        <v>802</v>
      </c>
      <c r="AI1373" t="s">
        <v>803</v>
      </c>
    </row>
    <row r="1374" spans="1:35" hidden="1">
      <c r="A1374" s="7">
        <v>1373</v>
      </c>
      <c r="B1374" t="s">
        <v>243</v>
      </c>
      <c r="C1374" t="s">
        <v>244</v>
      </c>
      <c r="D1374" s="7">
        <v>7134</v>
      </c>
      <c r="E1374" t="s">
        <v>245</v>
      </c>
      <c r="F1374" t="s">
        <v>246</v>
      </c>
      <c r="G1374" t="s">
        <v>930</v>
      </c>
      <c r="H1374" t="s">
        <v>3355</v>
      </c>
      <c r="I1374" s="7">
        <v>1165</v>
      </c>
      <c r="J1374" s="7">
        <v>46915</v>
      </c>
      <c r="K1374" s="7">
        <v>8</v>
      </c>
      <c r="L1374" t="s">
        <v>247</v>
      </c>
      <c r="M1374" t="s">
        <v>261</v>
      </c>
      <c r="N1374" s="7">
        <v>775501</v>
      </c>
      <c r="O1374" t="s">
        <v>931</v>
      </c>
      <c r="P1374" t="s">
        <v>932</v>
      </c>
      <c r="S1374" t="s">
        <v>3799</v>
      </c>
      <c r="T1374" t="s">
        <v>3728</v>
      </c>
      <c r="U1374" t="s">
        <v>4859</v>
      </c>
      <c r="V1374" s="8">
        <v>1250</v>
      </c>
      <c r="W1374" s="7">
        <v>590053</v>
      </c>
      <c r="X1374" t="s">
        <v>4860</v>
      </c>
      <c r="Y1374" s="8">
        <v>1250</v>
      </c>
      <c r="Z1374" s="8">
        <v>1475</v>
      </c>
      <c r="AA1374" s="8">
        <v>225</v>
      </c>
      <c r="AB1374" s="7">
        <v>113520</v>
      </c>
      <c r="AC1374" t="s">
        <v>4860</v>
      </c>
      <c r="AD1374" s="8">
        <v>0</v>
      </c>
      <c r="AG1374" t="s">
        <v>801</v>
      </c>
      <c r="AH1374" t="s">
        <v>802</v>
      </c>
      <c r="AI1374" t="s">
        <v>818</v>
      </c>
    </row>
    <row r="1375" spans="1:35" hidden="1">
      <c r="A1375" s="7">
        <v>1374</v>
      </c>
      <c r="B1375" t="s">
        <v>243</v>
      </c>
      <c r="C1375" t="s">
        <v>244</v>
      </c>
      <c r="D1375" s="7">
        <v>7134</v>
      </c>
      <c r="E1375" t="s">
        <v>245</v>
      </c>
      <c r="F1375" t="s">
        <v>246</v>
      </c>
      <c r="G1375" t="s">
        <v>248</v>
      </c>
      <c r="H1375" t="s">
        <v>4870</v>
      </c>
      <c r="I1375" s="7">
        <v>970</v>
      </c>
      <c r="J1375" s="7">
        <v>50000</v>
      </c>
      <c r="K1375" s="7">
        <v>3</v>
      </c>
      <c r="L1375" t="s">
        <v>247</v>
      </c>
      <c r="M1375" t="s">
        <v>261</v>
      </c>
      <c r="N1375" s="7">
        <v>797891</v>
      </c>
      <c r="O1375" t="s">
        <v>2011</v>
      </c>
      <c r="P1375" t="s">
        <v>2012</v>
      </c>
      <c r="S1375" t="s">
        <v>3799</v>
      </c>
      <c r="T1375" t="s">
        <v>3728</v>
      </c>
      <c r="U1375" t="s">
        <v>4859</v>
      </c>
      <c r="V1375" s="8">
        <v>1250</v>
      </c>
      <c r="W1375" s="7">
        <v>590053</v>
      </c>
      <c r="X1375" t="s">
        <v>4860</v>
      </c>
      <c r="Y1375" s="8">
        <v>1250</v>
      </c>
      <c r="Z1375" s="8">
        <v>1475</v>
      </c>
      <c r="AA1375" s="8">
        <v>225</v>
      </c>
      <c r="AB1375" s="7">
        <v>113520</v>
      </c>
      <c r="AC1375" t="s">
        <v>4860</v>
      </c>
      <c r="AD1375" s="8">
        <v>0</v>
      </c>
      <c r="AG1375" t="s">
        <v>817</v>
      </c>
      <c r="AH1375" t="s">
        <v>802</v>
      </c>
      <c r="AI1375" t="s">
        <v>818</v>
      </c>
    </row>
    <row r="1376" spans="1:35" hidden="1">
      <c r="A1376" s="7">
        <v>1375</v>
      </c>
      <c r="B1376" t="s">
        <v>243</v>
      </c>
      <c r="C1376" t="s">
        <v>244</v>
      </c>
      <c r="D1376" s="7">
        <v>7134</v>
      </c>
      <c r="E1376" t="s">
        <v>245</v>
      </c>
      <c r="F1376" t="s">
        <v>246</v>
      </c>
      <c r="G1376" t="s">
        <v>1063</v>
      </c>
      <c r="H1376" t="s">
        <v>4884</v>
      </c>
      <c r="I1376" s="7">
        <v>1165</v>
      </c>
      <c r="J1376" s="7">
        <v>90443</v>
      </c>
      <c r="K1376" s="7">
        <v>9</v>
      </c>
      <c r="L1376" t="s">
        <v>247</v>
      </c>
      <c r="M1376" t="s">
        <v>261</v>
      </c>
      <c r="N1376" s="7">
        <v>773703</v>
      </c>
      <c r="O1376" t="s">
        <v>1064</v>
      </c>
      <c r="P1376" t="s">
        <v>1065</v>
      </c>
      <c r="S1376" t="s">
        <v>3799</v>
      </c>
      <c r="T1376" t="s">
        <v>3728</v>
      </c>
      <c r="U1376" t="s">
        <v>4859</v>
      </c>
      <c r="V1376" s="8">
        <v>0</v>
      </c>
      <c r="W1376" s="7">
        <v>590053</v>
      </c>
      <c r="X1376" t="s">
        <v>4860</v>
      </c>
      <c r="Y1376" s="8">
        <v>0</v>
      </c>
      <c r="Z1376" s="8">
        <v>0</v>
      </c>
      <c r="AA1376" s="8">
        <v>0</v>
      </c>
      <c r="AB1376" s="7">
        <v>113520</v>
      </c>
      <c r="AC1376" t="s">
        <v>4860</v>
      </c>
      <c r="AD1376" s="8">
        <v>0</v>
      </c>
      <c r="AG1376" t="s">
        <v>801</v>
      </c>
      <c r="AH1376" t="s">
        <v>802</v>
      </c>
      <c r="AI1376" t="s">
        <v>803</v>
      </c>
    </row>
    <row r="1377" spans="1:35" hidden="1">
      <c r="A1377" s="7">
        <v>1376</v>
      </c>
      <c r="B1377" t="s">
        <v>243</v>
      </c>
      <c r="C1377" t="s">
        <v>244</v>
      </c>
      <c r="D1377" s="7">
        <v>7134</v>
      </c>
      <c r="E1377" t="s">
        <v>245</v>
      </c>
      <c r="F1377" t="s">
        <v>246</v>
      </c>
      <c r="G1377" t="s">
        <v>689</v>
      </c>
      <c r="H1377" t="s">
        <v>4867</v>
      </c>
      <c r="I1377" s="7">
        <v>1165</v>
      </c>
      <c r="J1377" s="7">
        <v>19200</v>
      </c>
      <c r="K1377" s="7">
        <v>2</v>
      </c>
      <c r="L1377" t="s">
        <v>247</v>
      </c>
      <c r="M1377" t="s">
        <v>261</v>
      </c>
      <c r="N1377" s="7">
        <v>802650</v>
      </c>
      <c r="O1377" t="s">
        <v>716</v>
      </c>
      <c r="P1377" t="s">
        <v>717</v>
      </c>
      <c r="S1377" t="s">
        <v>3799</v>
      </c>
      <c r="T1377" t="s">
        <v>3728</v>
      </c>
      <c r="U1377" t="s">
        <v>4859</v>
      </c>
      <c r="V1377" s="8">
        <v>0</v>
      </c>
      <c r="W1377" s="7">
        <v>590053</v>
      </c>
      <c r="X1377" t="s">
        <v>4860</v>
      </c>
      <c r="Y1377" s="8">
        <v>0</v>
      </c>
      <c r="Z1377" s="8">
        <v>0</v>
      </c>
      <c r="AA1377" s="8">
        <v>0</v>
      </c>
      <c r="AB1377" s="7">
        <v>113520</v>
      </c>
      <c r="AC1377" t="s">
        <v>4860</v>
      </c>
      <c r="AD1377" s="8">
        <v>0</v>
      </c>
      <c r="AG1377" t="s">
        <v>801</v>
      </c>
      <c r="AH1377" t="s">
        <v>802</v>
      </c>
      <c r="AI1377" t="s">
        <v>803</v>
      </c>
    </row>
    <row r="1378" spans="1:35" hidden="1">
      <c r="A1378" s="7">
        <v>1377</v>
      </c>
      <c r="B1378" t="s">
        <v>243</v>
      </c>
      <c r="C1378" t="s">
        <v>244</v>
      </c>
      <c r="D1378" s="7">
        <v>7134</v>
      </c>
      <c r="E1378" t="s">
        <v>245</v>
      </c>
      <c r="F1378" t="s">
        <v>246</v>
      </c>
      <c r="G1378" t="s">
        <v>2169</v>
      </c>
      <c r="H1378" t="s">
        <v>4858</v>
      </c>
      <c r="I1378" s="7">
        <v>1165</v>
      </c>
      <c r="J1378" s="7">
        <v>100210</v>
      </c>
      <c r="K1378" s="7">
        <v>10</v>
      </c>
      <c r="L1378" t="s">
        <v>247</v>
      </c>
      <c r="M1378" t="s">
        <v>361</v>
      </c>
      <c r="N1378" s="7">
        <v>1300</v>
      </c>
      <c r="O1378" t="s">
        <v>2170</v>
      </c>
      <c r="P1378" t="s">
        <v>2171</v>
      </c>
      <c r="S1378" t="s">
        <v>3799</v>
      </c>
      <c r="T1378" t="s">
        <v>3728</v>
      </c>
      <c r="U1378" t="s">
        <v>4859</v>
      </c>
      <c r="V1378" s="8">
        <v>0</v>
      </c>
      <c r="W1378" s="7">
        <v>590053</v>
      </c>
      <c r="X1378" t="s">
        <v>4860</v>
      </c>
      <c r="Y1378" s="8">
        <v>0</v>
      </c>
      <c r="Z1378" s="8">
        <v>0</v>
      </c>
      <c r="AA1378" s="8">
        <v>0</v>
      </c>
      <c r="AB1378" s="7">
        <v>113520</v>
      </c>
      <c r="AC1378" t="s">
        <v>4860</v>
      </c>
      <c r="AD1378" s="8">
        <v>0</v>
      </c>
      <c r="AG1378" t="s">
        <v>823</v>
      </c>
      <c r="AH1378" t="s">
        <v>802</v>
      </c>
      <c r="AI1378" t="s">
        <v>803</v>
      </c>
    </row>
    <row r="1379" spans="1:35" hidden="1">
      <c r="A1379" s="7">
        <v>1378</v>
      </c>
      <c r="B1379" t="s">
        <v>243</v>
      </c>
      <c r="C1379" t="s">
        <v>244</v>
      </c>
      <c r="D1379" s="7">
        <v>7134</v>
      </c>
      <c r="E1379" t="s">
        <v>245</v>
      </c>
      <c r="F1379" t="s">
        <v>246</v>
      </c>
      <c r="G1379" t="s">
        <v>1270</v>
      </c>
      <c r="H1379" t="s">
        <v>3426</v>
      </c>
      <c r="I1379" s="7">
        <v>1165</v>
      </c>
      <c r="J1379" s="7">
        <v>50365</v>
      </c>
      <c r="K1379" s="7">
        <v>7</v>
      </c>
      <c r="L1379" t="s">
        <v>247</v>
      </c>
      <c r="M1379" t="s">
        <v>261</v>
      </c>
      <c r="N1379" s="7">
        <v>786068</v>
      </c>
      <c r="O1379" t="s">
        <v>1271</v>
      </c>
      <c r="P1379" t="s">
        <v>1272</v>
      </c>
      <c r="S1379" t="s">
        <v>3799</v>
      </c>
      <c r="T1379" t="s">
        <v>3728</v>
      </c>
      <c r="U1379" t="s">
        <v>4859</v>
      </c>
      <c r="V1379" s="8">
        <v>0</v>
      </c>
      <c r="W1379" s="7">
        <v>590053</v>
      </c>
      <c r="X1379" t="s">
        <v>4860</v>
      </c>
      <c r="Y1379" s="8">
        <v>0</v>
      </c>
      <c r="Z1379" s="8">
        <v>0</v>
      </c>
      <c r="AA1379" s="8">
        <v>0</v>
      </c>
      <c r="AB1379" s="7">
        <v>113520</v>
      </c>
      <c r="AC1379" t="s">
        <v>4860</v>
      </c>
      <c r="AD1379" s="8">
        <v>0</v>
      </c>
      <c r="AG1379" t="s">
        <v>801</v>
      </c>
      <c r="AH1379" t="s">
        <v>802</v>
      </c>
      <c r="AI1379" t="s">
        <v>803</v>
      </c>
    </row>
    <row r="1380" spans="1:35" hidden="1">
      <c r="A1380" s="7">
        <v>1379</v>
      </c>
      <c r="B1380" t="s">
        <v>243</v>
      </c>
      <c r="C1380" t="s">
        <v>244</v>
      </c>
      <c r="D1380" s="7">
        <v>7134</v>
      </c>
      <c r="E1380" t="s">
        <v>245</v>
      </c>
      <c r="F1380" t="s">
        <v>246</v>
      </c>
      <c r="G1380" t="s">
        <v>363</v>
      </c>
      <c r="H1380" t="s">
        <v>4878</v>
      </c>
      <c r="I1380" s="7">
        <v>876</v>
      </c>
      <c r="J1380" s="7">
        <v>51316</v>
      </c>
      <c r="K1380" s="7">
        <v>3</v>
      </c>
      <c r="L1380" t="s">
        <v>247</v>
      </c>
      <c r="M1380" t="s">
        <v>261</v>
      </c>
      <c r="N1380" s="7">
        <v>797335</v>
      </c>
      <c r="O1380" t="s">
        <v>1843</v>
      </c>
      <c r="P1380" t="s">
        <v>1844</v>
      </c>
      <c r="Q1380" t="s">
        <v>908</v>
      </c>
      <c r="R1380" t="s">
        <v>909</v>
      </c>
      <c r="S1380" t="s">
        <v>3799</v>
      </c>
      <c r="T1380" t="s">
        <v>3728</v>
      </c>
      <c r="U1380" t="s">
        <v>4859</v>
      </c>
      <c r="V1380" s="8">
        <v>1250</v>
      </c>
      <c r="W1380" s="7">
        <v>590053</v>
      </c>
      <c r="X1380" t="s">
        <v>4860</v>
      </c>
      <c r="Y1380" s="8">
        <v>1000</v>
      </c>
      <c r="Z1380" s="8">
        <v>1475</v>
      </c>
      <c r="AA1380" s="8">
        <v>225</v>
      </c>
      <c r="AB1380" s="7">
        <v>113520</v>
      </c>
      <c r="AC1380" t="s">
        <v>4860</v>
      </c>
      <c r="AD1380" s="8">
        <v>250</v>
      </c>
      <c r="AG1380" t="s">
        <v>817</v>
      </c>
      <c r="AH1380" t="s">
        <v>802</v>
      </c>
      <c r="AI1380" t="s">
        <v>818</v>
      </c>
    </row>
    <row r="1381" spans="1:35" hidden="1">
      <c r="A1381" s="7">
        <v>1380</v>
      </c>
      <c r="B1381" t="s">
        <v>243</v>
      </c>
      <c r="C1381" t="s">
        <v>244</v>
      </c>
      <c r="D1381" s="7">
        <v>7134</v>
      </c>
      <c r="E1381" t="s">
        <v>245</v>
      </c>
      <c r="F1381" t="s">
        <v>246</v>
      </c>
      <c r="G1381" t="s">
        <v>867</v>
      </c>
      <c r="H1381" t="s">
        <v>3426</v>
      </c>
      <c r="I1381" s="7">
        <v>1165</v>
      </c>
      <c r="J1381" s="7">
        <v>24240</v>
      </c>
      <c r="K1381" s="7">
        <v>6</v>
      </c>
      <c r="L1381" t="s">
        <v>247</v>
      </c>
      <c r="M1381" t="s">
        <v>261</v>
      </c>
      <c r="N1381" s="7">
        <v>787131</v>
      </c>
      <c r="O1381" t="s">
        <v>2100</v>
      </c>
      <c r="P1381" t="s">
        <v>2101</v>
      </c>
      <c r="S1381" t="s">
        <v>3799</v>
      </c>
      <c r="T1381" t="s">
        <v>3728</v>
      </c>
      <c r="U1381" t="s">
        <v>4859</v>
      </c>
      <c r="V1381" s="8">
        <v>0</v>
      </c>
      <c r="W1381" s="7">
        <v>590053</v>
      </c>
      <c r="X1381" t="s">
        <v>4860</v>
      </c>
      <c r="Y1381" s="8">
        <v>0</v>
      </c>
      <c r="Z1381" s="8">
        <v>0</v>
      </c>
      <c r="AA1381" s="8">
        <v>0</v>
      </c>
      <c r="AB1381" s="7">
        <v>113520</v>
      </c>
      <c r="AC1381" t="s">
        <v>4860</v>
      </c>
      <c r="AD1381" s="8">
        <v>0</v>
      </c>
      <c r="AG1381" t="s">
        <v>801</v>
      </c>
      <c r="AH1381" t="s">
        <v>802</v>
      </c>
      <c r="AI1381" t="s">
        <v>803</v>
      </c>
    </row>
    <row r="1382" spans="1:35" hidden="1">
      <c r="A1382" s="7">
        <v>1381</v>
      </c>
      <c r="B1382" t="s">
        <v>243</v>
      </c>
      <c r="C1382" t="s">
        <v>244</v>
      </c>
      <c r="D1382" s="7">
        <v>7134</v>
      </c>
      <c r="E1382" t="s">
        <v>245</v>
      </c>
      <c r="F1382" t="s">
        <v>246</v>
      </c>
      <c r="G1382" t="s">
        <v>263</v>
      </c>
      <c r="H1382" t="s">
        <v>4862</v>
      </c>
      <c r="I1382" s="7">
        <v>870</v>
      </c>
      <c r="J1382" s="7">
        <v>50646</v>
      </c>
      <c r="K1382" s="7">
        <v>3</v>
      </c>
      <c r="L1382" t="s">
        <v>247</v>
      </c>
      <c r="M1382" t="s">
        <v>261</v>
      </c>
      <c r="N1382" s="7">
        <v>797774</v>
      </c>
      <c r="O1382" t="s">
        <v>1941</v>
      </c>
      <c r="P1382" t="s">
        <v>1942</v>
      </c>
      <c r="S1382" t="s">
        <v>3799</v>
      </c>
      <c r="T1382" t="s">
        <v>3728</v>
      </c>
      <c r="U1382" t="s">
        <v>4859</v>
      </c>
      <c r="V1382" s="8">
        <v>1250</v>
      </c>
      <c r="W1382" s="7">
        <v>590053</v>
      </c>
      <c r="X1382" t="s">
        <v>4860</v>
      </c>
      <c r="Y1382" s="8">
        <v>1250</v>
      </c>
      <c r="Z1382" s="8">
        <v>1475</v>
      </c>
      <c r="AA1382" s="8">
        <v>225</v>
      </c>
      <c r="AB1382" s="7">
        <v>113520</v>
      </c>
      <c r="AC1382" t="s">
        <v>4860</v>
      </c>
      <c r="AD1382" s="8">
        <v>0</v>
      </c>
      <c r="AG1382" t="s">
        <v>817</v>
      </c>
      <c r="AH1382" t="s">
        <v>802</v>
      </c>
      <c r="AI1382" t="s">
        <v>818</v>
      </c>
    </row>
    <row r="1383" spans="1:35" hidden="1">
      <c r="A1383" s="7">
        <v>1382</v>
      </c>
      <c r="B1383" t="s">
        <v>243</v>
      </c>
      <c r="C1383" t="s">
        <v>244</v>
      </c>
      <c r="D1383" s="7">
        <v>7134</v>
      </c>
      <c r="E1383" t="s">
        <v>245</v>
      </c>
      <c r="F1383" t="s">
        <v>246</v>
      </c>
      <c r="G1383" t="s">
        <v>4893</v>
      </c>
      <c r="H1383" t="s">
        <v>4869</v>
      </c>
      <c r="I1383" s="7">
        <v>1165</v>
      </c>
      <c r="J1383" s="7">
        <v>122939</v>
      </c>
      <c r="K1383" s="7">
        <v>12</v>
      </c>
      <c r="L1383" t="s">
        <v>247</v>
      </c>
      <c r="M1383" t="s">
        <v>261</v>
      </c>
      <c r="N1383" s="7">
        <v>739257</v>
      </c>
      <c r="O1383" t="s">
        <v>4894</v>
      </c>
      <c r="P1383" t="s">
        <v>4895</v>
      </c>
      <c r="Q1383" t="s">
        <v>908</v>
      </c>
      <c r="R1383" t="s">
        <v>909</v>
      </c>
      <c r="S1383" t="s">
        <v>3799</v>
      </c>
      <c r="T1383" t="s">
        <v>3728</v>
      </c>
      <c r="U1383" t="s">
        <v>4859</v>
      </c>
      <c r="V1383" s="8">
        <v>0</v>
      </c>
      <c r="W1383" s="7">
        <v>590053</v>
      </c>
      <c r="X1383" t="s">
        <v>4860</v>
      </c>
      <c r="Y1383" s="8">
        <v>0</v>
      </c>
      <c r="Z1383" s="8">
        <v>0</v>
      </c>
      <c r="AA1383" s="8">
        <v>0</v>
      </c>
      <c r="AB1383" s="7">
        <v>113520</v>
      </c>
      <c r="AC1383" t="s">
        <v>4860</v>
      </c>
      <c r="AD1383" s="8">
        <v>0</v>
      </c>
      <c r="AG1383" t="s">
        <v>801</v>
      </c>
      <c r="AH1383" t="s">
        <v>802</v>
      </c>
      <c r="AI1383" t="s">
        <v>803</v>
      </c>
    </row>
    <row r="1384" spans="1:35" hidden="1">
      <c r="A1384" s="7">
        <v>1383</v>
      </c>
      <c r="B1384" t="s">
        <v>243</v>
      </c>
      <c r="C1384" t="s">
        <v>244</v>
      </c>
      <c r="D1384" s="7">
        <v>7134</v>
      </c>
      <c r="E1384" t="s">
        <v>245</v>
      </c>
      <c r="F1384" t="s">
        <v>246</v>
      </c>
      <c r="G1384" t="s">
        <v>400</v>
      </c>
      <c r="H1384" t="s">
        <v>4863</v>
      </c>
      <c r="I1384" s="7">
        <v>866</v>
      </c>
      <c r="J1384" s="7">
        <v>50696</v>
      </c>
      <c r="K1384" s="7">
        <v>3</v>
      </c>
      <c r="L1384" t="s">
        <v>247</v>
      </c>
      <c r="M1384" t="s">
        <v>261</v>
      </c>
      <c r="N1384" s="7">
        <v>796516</v>
      </c>
      <c r="O1384" t="s">
        <v>4896</v>
      </c>
      <c r="P1384" t="s">
        <v>4897</v>
      </c>
      <c r="S1384" t="s">
        <v>3799</v>
      </c>
      <c r="T1384" t="s">
        <v>3728</v>
      </c>
      <c r="U1384" t="s">
        <v>4859</v>
      </c>
      <c r="V1384" s="8">
        <v>1250</v>
      </c>
      <c r="W1384" s="7">
        <v>590053</v>
      </c>
      <c r="X1384" t="s">
        <v>4860</v>
      </c>
      <c r="Y1384" s="8">
        <v>1250</v>
      </c>
      <c r="Z1384" s="8">
        <v>1475</v>
      </c>
      <c r="AA1384" s="8">
        <v>225</v>
      </c>
      <c r="AB1384" s="7">
        <v>113520</v>
      </c>
      <c r="AC1384" t="s">
        <v>4860</v>
      </c>
      <c r="AD1384" s="8">
        <v>0</v>
      </c>
      <c r="AG1384" t="s">
        <v>817</v>
      </c>
      <c r="AH1384" t="s">
        <v>802</v>
      </c>
      <c r="AI1384" t="s">
        <v>818</v>
      </c>
    </row>
    <row r="1385" spans="1:35" hidden="1">
      <c r="A1385" s="7">
        <v>1384</v>
      </c>
      <c r="B1385" t="s">
        <v>243</v>
      </c>
      <c r="C1385" t="s">
        <v>244</v>
      </c>
      <c r="D1385" s="7">
        <v>7134</v>
      </c>
      <c r="E1385" t="s">
        <v>245</v>
      </c>
      <c r="F1385" t="s">
        <v>246</v>
      </c>
      <c r="G1385" t="s">
        <v>1113</v>
      </c>
      <c r="H1385" t="s">
        <v>4882</v>
      </c>
      <c r="I1385" s="7">
        <v>1165</v>
      </c>
      <c r="J1385" s="7">
        <v>80000</v>
      </c>
      <c r="K1385" s="7">
        <v>8</v>
      </c>
      <c r="L1385" t="s">
        <v>247</v>
      </c>
      <c r="M1385" t="s">
        <v>261</v>
      </c>
      <c r="N1385" s="7">
        <v>775223</v>
      </c>
      <c r="O1385" t="s">
        <v>1114</v>
      </c>
      <c r="P1385" t="s">
        <v>1115</v>
      </c>
      <c r="S1385" t="s">
        <v>3799</v>
      </c>
      <c r="T1385" t="s">
        <v>3728</v>
      </c>
      <c r="U1385" t="s">
        <v>4859</v>
      </c>
      <c r="V1385" s="8">
        <v>1250</v>
      </c>
      <c r="W1385" s="7">
        <v>590053</v>
      </c>
      <c r="X1385" t="s">
        <v>4860</v>
      </c>
      <c r="Y1385" s="8">
        <v>1250</v>
      </c>
      <c r="Z1385" s="8">
        <v>1475</v>
      </c>
      <c r="AA1385" s="8">
        <v>225</v>
      </c>
      <c r="AB1385" s="7">
        <v>113520</v>
      </c>
      <c r="AC1385" t="s">
        <v>4860</v>
      </c>
      <c r="AD1385" s="8">
        <v>0</v>
      </c>
      <c r="AG1385" t="s">
        <v>801</v>
      </c>
      <c r="AH1385" t="s">
        <v>802</v>
      </c>
      <c r="AI1385" t="s">
        <v>818</v>
      </c>
    </row>
    <row r="1386" spans="1:35" hidden="1">
      <c r="A1386" s="7">
        <v>1385</v>
      </c>
      <c r="B1386" t="s">
        <v>243</v>
      </c>
      <c r="C1386" t="s">
        <v>244</v>
      </c>
      <c r="D1386" s="7">
        <v>7134</v>
      </c>
      <c r="E1386" t="s">
        <v>245</v>
      </c>
      <c r="F1386" t="s">
        <v>246</v>
      </c>
      <c r="G1386" t="s">
        <v>248</v>
      </c>
      <c r="H1386" t="s">
        <v>4868</v>
      </c>
      <c r="I1386" s="7">
        <v>990</v>
      </c>
      <c r="J1386" s="7">
        <v>50000</v>
      </c>
      <c r="K1386" s="7">
        <v>3</v>
      </c>
      <c r="L1386" t="s">
        <v>247</v>
      </c>
      <c r="M1386" t="s">
        <v>261</v>
      </c>
      <c r="N1386" s="7">
        <v>797124</v>
      </c>
      <c r="O1386" t="s">
        <v>1924</v>
      </c>
      <c r="P1386" t="s">
        <v>1925</v>
      </c>
      <c r="S1386" t="s">
        <v>3799</v>
      </c>
      <c r="T1386" t="s">
        <v>3728</v>
      </c>
      <c r="U1386" t="s">
        <v>4859</v>
      </c>
      <c r="V1386" s="8">
        <v>1250</v>
      </c>
      <c r="W1386" s="7">
        <v>590053</v>
      </c>
      <c r="X1386" t="s">
        <v>4860</v>
      </c>
      <c r="Y1386" s="8">
        <v>1250</v>
      </c>
      <c r="Z1386" s="8">
        <v>1475</v>
      </c>
      <c r="AA1386" s="8">
        <v>225</v>
      </c>
      <c r="AB1386" s="7">
        <v>113520</v>
      </c>
      <c r="AC1386" t="s">
        <v>4860</v>
      </c>
      <c r="AD1386" s="8">
        <v>0</v>
      </c>
      <c r="AG1386" t="s">
        <v>817</v>
      </c>
      <c r="AH1386" t="s">
        <v>802</v>
      </c>
      <c r="AI1386" t="s">
        <v>818</v>
      </c>
    </row>
    <row r="1387" spans="1:35" hidden="1">
      <c r="A1387" s="7">
        <v>1386</v>
      </c>
      <c r="B1387" t="s">
        <v>243</v>
      </c>
      <c r="C1387" t="s">
        <v>244</v>
      </c>
      <c r="D1387" s="7">
        <v>7134</v>
      </c>
      <c r="E1387" t="s">
        <v>245</v>
      </c>
      <c r="F1387" t="s">
        <v>246</v>
      </c>
      <c r="G1387" t="s">
        <v>1240</v>
      </c>
      <c r="H1387" t="s">
        <v>3352</v>
      </c>
      <c r="I1387" s="7">
        <v>936</v>
      </c>
      <c r="J1387" s="7">
        <v>89333</v>
      </c>
      <c r="K1387" s="7">
        <v>9</v>
      </c>
      <c r="L1387" t="s">
        <v>247</v>
      </c>
      <c r="M1387" t="s">
        <v>261</v>
      </c>
      <c r="N1387" s="7">
        <v>773853</v>
      </c>
      <c r="O1387" t="s">
        <v>4898</v>
      </c>
      <c r="P1387" t="s">
        <v>4899</v>
      </c>
      <c r="S1387" t="s">
        <v>3799</v>
      </c>
      <c r="T1387" t="s">
        <v>3728</v>
      </c>
      <c r="U1387" t="s">
        <v>4859</v>
      </c>
      <c r="V1387" s="8">
        <v>0</v>
      </c>
      <c r="W1387" s="7">
        <v>590053</v>
      </c>
      <c r="X1387" t="s">
        <v>4860</v>
      </c>
      <c r="Y1387" s="8">
        <v>0</v>
      </c>
      <c r="Z1387" s="8">
        <v>0</v>
      </c>
      <c r="AA1387" s="8">
        <v>0</v>
      </c>
      <c r="AB1387" s="7">
        <v>113520</v>
      </c>
      <c r="AC1387" t="s">
        <v>4860</v>
      </c>
      <c r="AD1387" s="8">
        <v>0</v>
      </c>
      <c r="AG1387" t="s">
        <v>801</v>
      </c>
      <c r="AH1387" t="s">
        <v>802</v>
      </c>
      <c r="AI1387" t="s">
        <v>803</v>
      </c>
    </row>
    <row r="1388" spans="1:35" hidden="1">
      <c r="A1388" s="7">
        <v>1387</v>
      </c>
      <c r="B1388" t="s">
        <v>243</v>
      </c>
      <c r="C1388" t="s">
        <v>244</v>
      </c>
      <c r="D1388" s="7">
        <v>7134</v>
      </c>
      <c r="E1388" t="s">
        <v>245</v>
      </c>
      <c r="F1388" t="s">
        <v>246</v>
      </c>
      <c r="G1388" t="s">
        <v>1609</v>
      </c>
      <c r="H1388" t="s">
        <v>4868</v>
      </c>
      <c r="I1388" s="7">
        <v>1165</v>
      </c>
      <c r="J1388" s="7">
        <v>55489</v>
      </c>
      <c r="K1388" s="7">
        <v>12</v>
      </c>
      <c r="L1388" t="s">
        <v>247</v>
      </c>
      <c r="M1388" t="s">
        <v>252</v>
      </c>
      <c r="N1388" s="7">
        <v>319116</v>
      </c>
      <c r="O1388" t="s">
        <v>1610</v>
      </c>
      <c r="P1388" t="s">
        <v>1611</v>
      </c>
      <c r="S1388" t="s">
        <v>3799</v>
      </c>
      <c r="T1388" t="s">
        <v>3728</v>
      </c>
      <c r="U1388" t="s">
        <v>4859</v>
      </c>
      <c r="V1388" s="8">
        <v>0</v>
      </c>
      <c r="W1388" s="7">
        <v>590053</v>
      </c>
      <c r="X1388" t="s">
        <v>4860</v>
      </c>
      <c r="Y1388" s="8">
        <v>0</v>
      </c>
      <c r="Z1388" s="8">
        <v>0</v>
      </c>
      <c r="AA1388" s="8">
        <v>0</v>
      </c>
      <c r="AB1388" s="7">
        <v>113520</v>
      </c>
      <c r="AC1388" t="s">
        <v>4860</v>
      </c>
      <c r="AD1388" s="8">
        <v>0</v>
      </c>
      <c r="AG1388" t="s">
        <v>937</v>
      </c>
      <c r="AH1388" t="s">
        <v>802</v>
      </c>
      <c r="AI1388" t="s">
        <v>803</v>
      </c>
    </row>
    <row r="1389" spans="1:35" hidden="1">
      <c r="A1389" s="7">
        <v>1388</v>
      </c>
      <c r="B1389" t="s">
        <v>243</v>
      </c>
      <c r="C1389" t="s">
        <v>244</v>
      </c>
      <c r="D1389" s="7">
        <v>7134</v>
      </c>
      <c r="E1389" t="s">
        <v>245</v>
      </c>
      <c r="F1389" t="s">
        <v>246</v>
      </c>
      <c r="G1389" t="s">
        <v>4900</v>
      </c>
      <c r="H1389" t="s">
        <v>4872</v>
      </c>
      <c r="I1389" s="7">
        <v>900</v>
      </c>
      <c r="J1389" s="7">
        <v>5294</v>
      </c>
      <c r="K1389" s="7">
        <v>2</v>
      </c>
      <c r="L1389" t="s">
        <v>247</v>
      </c>
      <c r="M1389" t="s">
        <v>261</v>
      </c>
      <c r="N1389" s="7">
        <v>782987</v>
      </c>
      <c r="O1389" t="s">
        <v>4901</v>
      </c>
      <c r="P1389" t="s">
        <v>4902</v>
      </c>
      <c r="S1389" t="s">
        <v>3799</v>
      </c>
      <c r="T1389" t="s">
        <v>3728</v>
      </c>
      <c r="U1389" t="s">
        <v>4859</v>
      </c>
      <c r="V1389" s="8">
        <v>1250</v>
      </c>
      <c r="W1389" s="7">
        <v>590053</v>
      </c>
      <c r="X1389" t="s">
        <v>4860</v>
      </c>
      <c r="Y1389" s="8">
        <v>1250</v>
      </c>
      <c r="Z1389" s="8">
        <v>1475</v>
      </c>
      <c r="AA1389" s="8">
        <v>225</v>
      </c>
      <c r="AB1389" s="7">
        <v>113520</v>
      </c>
      <c r="AC1389" t="s">
        <v>4860</v>
      </c>
      <c r="AD1389" s="8">
        <v>0</v>
      </c>
      <c r="AG1389" t="s">
        <v>801</v>
      </c>
      <c r="AH1389" t="s">
        <v>802</v>
      </c>
      <c r="AI1389" t="s">
        <v>818</v>
      </c>
    </row>
    <row r="1390" spans="1:35" hidden="1">
      <c r="A1390" s="7">
        <v>1389</v>
      </c>
      <c r="B1390" t="s">
        <v>243</v>
      </c>
      <c r="C1390" t="s">
        <v>244</v>
      </c>
      <c r="D1390" s="7">
        <v>7134</v>
      </c>
      <c r="E1390" t="s">
        <v>245</v>
      </c>
      <c r="F1390" t="s">
        <v>246</v>
      </c>
      <c r="G1390" t="s">
        <v>1882</v>
      </c>
      <c r="H1390" t="s">
        <v>4866</v>
      </c>
      <c r="I1390" s="7">
        <v>1165</v>
      </c>
      <c r="J1390" s="7">
        <v>27197</v>
      </c>
      <c r="K1390" s="7">
        <v>13</v>
      </c>
      <c r="L1390" t="s">
        <v>247</v>
      </c>
      <c r="M1390" t="s">
        <v>261</v>
      </c>
      <c r="N1390" s="7">
        <v>733302</v>
      </c>
      <c r="O1390" t="s">
        <v>1883</v>
      </c>
      <c r="P1390" t="s">
        <v>1884</v>
      </c>
      <c r="S1390" t="s">
        <v>3799</v>
      </c>
      <c r="T1390" t="s">
        <v>3728</v>
      </c>
      <c r="U1390" t="s">
        <v>4859</v>
      </c>
      <c r="V1390" s="8">
        <v>0</v>
      </c>
      <c r="W1390" s="7">
        <v>590053</v>
      </c>
      <c r="X1390" t="s">
        <v>4860</v>
      </c>
      <c r="Y1390" s="8">
        <v>0</v>
      </c>
      <c r="Z1390" s="8">
        <v>0</v>
      </c>
      <c r="AA1390" s="8">
        <v>0</v>
      </c>
      <c r="AB1390" s="7">
        <v>113520</v>
      </c>
      <c r="AC1390" t="s">
        <v>4860</v>
      </c>
      <c r="AD1390" s="8">
        <v>0</v>
      </c>
      <c r="AG1390" t="s">
        <v>808</v>
      </c>
      <c r="AH1390" t="s">
        <v>802</v>
      </c>
      <c r="AI1390" t="s">
        <v>803</v>
      </c>
    </row>
    <row r="1391" spans="1:35" hidden="1">
      <c r="A1391" s="7">
        <v>1390</v>
      </c>
      <c r="B1391" t="s">
        <v>243</v>
      </c>
      <c r="C1391" t="s">
        <v>244</v>
      </c>
      <c r="D1391" s="7">
        <v>7134</v>
      </c>
      <c r="E1391" t="s">
        <v>245</v>
      </c>
      <c r="F1391" t="s">
        <v>246</v>
      </c>
      <c r="G1391" t="s">
        <v>363</v>
      </c>
      <c r="H1391" t="s">
        <v>3352</v>
      </c>
      <c r="I1391" s="7">
        <v>877</v>
      </c>
      <c r="J1391" s="7">
        <v>48763</v>
      </c>
      <c r="K1391" s="7">
        <v>3</v>
      </c>
      <c r="L1391" t="s">
        <v>247</v>
      </c>
      <c r="M1391" t="s">
        <v>261</v>
      </c>
      <c r="N1391" s="7">
        <v>797079</v>
      </c>
      <c r="O1391" t="s">
        <v>1922</v>
      </c>
      <c r="P1391" t="s">
        <v>1923</v>
      </c>
      <c r="S1391" t="s">
        <v>3799</v>
      </c>
      <c r="T1391" t="s">
        <v>3728</v>
      </c>
      <c r="U1391" t="s">
        <v>4859</v>
      </c>
      <c r="V1391" s="8">
        <v>1250</v>
      </c>
      <c r="W1391" s="7">
        <v>590053</v>
      </c>
      <c r="X1391" t="s">
        <v>4860</v>
      </c>
      <c r="Y1391" s="8">
        <v>1250</v>
      </c>
      <c r="Z1391" s="8">
        <v>1475</v>
      </c>
      <c r="AA1391" s="8">
        <v>225</v>
      </c>
      <c r="AB1391" s="7">
        <v>113520</v>
      </c>
      <c r="AC1391" t="s">
        <v>4860</v>
      </c>
      <c r="AD1391" s="8">
        <v>0</v>
      </c>
      <c r="AG1391" t="s">
        <v>817</v>
      </c>
      <c r="AH1391" t="s">
        <v>802</v>
      </c>
      <c r="AI1391" t="s">
        <v>818</v>
      </c>
    </row>
    <row r="1392" spans="1:35" hidden="1">
      <c r="A1392" s="7">
        <v>1391</v>
      </c>
      <c r="B1392" t="s">
        <v>243</v>
      </c>
      <c r="C1392" t="s">
        <v>244</v>
      </c>
      <c r="D1392" s="7">
        <v>7134</v>
      </c>
      <c r="E1392" t="s">
        <v>245</v>
      </c>
      <c r="F1392" t="s">
        <v>246</v>
      </c>
      <c r="G1392" t="s">
        <v>263</v>
      </c>
      <c r="H1392" t="s">
        <v>4870</v>
      </c>
      <c r="I1392" s="7">
        <v>856</v>
      </c>
      <c r="J1392" s="7">
        <v>49096</v>
      </c>
      <c r="K1392" s="7">
        <v>3</v>
      </c>
      <c r="L1392" t="s">
        <v>247</v>
      </c>
      <c r="M1392" t="s">
        <v>261</v>
      </c>
      <c r="N1392" s="7">
        <v>796592</v>
      </c>
      <c r="O1392" t="s">
        <v>1851</v>
      </c>
      <c r="P1392" t="s">
        <v>1852</v>
      </c>
      <c r="S1392" t="s">
        <v>3799</v>
      </c>
      <c r="T1392" t="s">
        <v>3728</v>
      </c>
      <c r="U1392" t="s">
        <v>4859</v>
      </c>
      <c r="V1392" s="8">
        <v>1250</v>
      </c>
      <c r="W1392" s="7">
        <v>590053</v>
      </c>
      <c r="X1392" t="s">
        <v>4860</v>
      </c>
      <c r="Y1392" s="8">
        <v>1250</v>
      </c>
      <c r="Z1392" s="8">
        <v>1475</v>
      </c>
      <c r="AA1392" s="8">
        <v>225</v>
      </c>
      <c r="AB1392" s="7">
        <v>113520</v>
      </c>
      <c r="AC1392" t="s">
        <v>4860</v>
      </c>
      <c r="AD1392" s="8">
        <v>0</v>
      </c>
      <c r="AG1392" t="s">
        <v>817</v>
      </c>
      <c r="AH1392" t="s">
        <v>802</v>
      </c>
      <c r="AI1392" t="s">
        <v>818</v>
      </c>
    </row>
    <row r="1393" spans="1:35" hidden="1">
      <c r="A1393" s="7">
        <v>1392</v>
      </c>
      <c r="B1393" t="s">
        <v>243</v>
      </c>
      <c r="C1393" t="s">
        <v>244</v>
      </c>
      <c r="D1393" s="7">
        <v>7134</v>
      </c>
      <c r="E1393" t="s">
        <v>245</v>
      </c>
      <c r="F1393" t="s">
        <v>246</v>
      </c>
      <c r="G1393" t="s">
        <v>1047</v>
      </c>
      <c r="H1393" t="s">
        <v>4867</v>
      </c>
      <c r="I1393" s="7">
        <v>1165</v>
      </c>
      <c r="J1393" s="7">
        <v>16736</v>
      </c>
      <c r="K1393" s="7">
        <v>9</v>
      </c>
      <c r="L1393" t="s">
        <v>247</v>
      </c>
      <c r="M1393" t="s">
        <v>252</v>
      </c>
      <c r="N1393" s="7">
        <v>322616</v>
      </c>
      <c r="O1393" t="s">
        <v>1048</v>
      </c>
      <c r="P1393" t="s">
        <v>1049</v>
      </c>
      <c r="S1393" t="s">
        <v>3799</v>
      </c>
      <c r="T1393" t="s">
        <v>3728</v>
      </c>
      <c r="U1393" t="s">
        <v>4859</v>
      </c>
      <c r="V1393" s="8">
        <v>0</v>
      </c>
      <c r="W1393" s="7">
        <v>590053</v>
      </c>
      <c r="X1393" t="s">
        <v>4860</v>
      </c>
      <c r="Y1393" s="8">
        <v>0</v>
      </c>
      <c r="Z1393" s="8">
        <v>0</v>
      </c>
      <c r="AA1393" s="8">
        <v>0</v>
      </c>
      <c r="AB1393" s="7">
        <v>113520</v>
      </c>
      <c r="AC1393" t="s">
        <v>4860</v>
      </c>
      <c r="AD1393" s="8">
        <v>0</v>
      </c>
      <c r="AG1393" t="s">
        <v>937</v>
      </c>
      <c r="AH1393" t="s">
        <v>802</v>
      </c>
      <c r="AI1393" t="s">
        <v>803</v>
      </c>
    </row>
    <row r="1394" spans="1:35" hidden="1">
      <c r="A1394" s="7">
        <v>1393</v>
      </c>
      <c r="B1394" t="s">
        <v>243</v>
      </c>
      <c r="C1394" t="s">
        <v>244</v>
      </c>
      <c r="D1394" s="7">
        <v>7134</v>
      </c>
      <c r="E1394" t="s">
        <v>245</v>
      </c>
      <c r="F1394" t="s">
        <v>246</v>
      </c>
      <c r="G1394" t="s">
        <v>722</v>
      </c>
      <c r="H1394" t="s">
        <v>4903</v>
      </c>
      <c r="I1394" s="7">
        <v>1165</v>
      </c>
      <c r="J1394" s="7">
        <v>21049</v>
      </c>
      <c r="K1394" s="7">
        <v>3</v>
      </c>
      <c r="L1394" t="s">
        <v>247</v>
      </c>
      <c r="M1394" t="s">
        <v>252</v>
      </c>
      <c r="N1394" s="7">
        <v>328673</v>
      </c>
      <c r="O1394" t="s">
        <v>780</v>
      </c>
      <c r="P1394" t="s">
        <v>781</v>
      </c>
      <c r="S1394" t="s">
        <v>3800</v>
      </c>
      <c r="T1394" t="s">
        <v>4904</v>
      </c>
      <c r="U1394" t="s">
        <v>4859</v>
      </c>
      <c r="V1394" s="8">
        <v>1250</v>
      </c>
      <c r="W1394" s="7">
        <v>590054</v>
      </c>
      <c r="X1394" t="s">
        <v>4860</v>
      </c>
      <c r="Y1394" s="8">
        <v>1250</v>
      </c>
      <c r="Z1394" s="8">
        <v>1475</v>
      </c>
      <c r="AA1394" s="8">
        <v>225</v>
      </c>
      <c r="AB1394" s="7">
        <v>113521</v>
      </c>
      <c r="AC1394" t="s">
        <v>4860</v>
      </c>
      <c r="AD1394" s="8">
        <v>0</v>
      </c>
      <c r="AG1394" t="s">
        <v>937</v>
      </c>
      <c r="AH1394" t="s">
        <v>802</v>
      </c>
      <c r="AI1394" t="s">
        <v>818</v>
      </c>
    </row>
    <row r="1395" spans="1:35" hidden="1">
      <c r="A1395" s="7">
        <v>1394</v>
      </c>
      <c r="B1395" t="s">
        <v>243</v>
      </c>
      <c r="C1395" t="s">
        <v>244</v>
      </c>
      <c r="D1395" s="7">
        <v>7134</v>
      </c>
      <c r="E1395" t="s">
        <v>245</v>
      </c>
      <c r="F1395" t="s">
        <v>246</v>
      </c>
      <c r="G1395" t="s">
        <v>1215</v>
      </c>
      <c r="H1395" t="s">
        <v>4905</v>
      </c>
      <c r="I1395" s="7">
        <v>1165</v>
      </c>
      <c r="J1395" s="7">
        <v>85000</v>
      </c>
      <c r="K1395" s="7">
        <v>10</v>
      </c>
      <c r="L1395" t="s">
        <v>247</v>
      </c>
      <c r="M1395" t="s">
        <v>267</v>
      </c>
      <c r="N1395" s="7">
        <v>766692</v>
      </c>
      <c r="O1395" t="s">
        <v>1216</v>
      </c>
      <c r="P1395" t="s">
        <v>1217</v>
      </c>
      <c r="Q1395" t="s">
        <v>870</v>
      </c>
      <c r="R1395" t="s">
        <v>871</v>
      </c>
      <c r="S1395" t="s">
        <v>3800</v>
      </c>
      <c r="T1395" t="s">
        <v>4904</v>
      </c>
      <c r="U1395" t="s">
        <v>4859</v>
      </c>
      <c r="V1395" s="8">
        <v>0</v>
      </c>
      <c r="W1395" s="7">
        <v>590054</v>
      </c>
      <c r="X1395" t="s">
        <v>4860</v>
      </c>
      <c r="Y1395" s="8">
        <v>0</v>
      </c>
      <c r="Z1395" s="8">
        <v>0</v>
      </c>
      <c r="AA1395" s="8">
        <v>0</v>
      </c>
      <c r="AB1395" s="7">
        <v>113521</v>
      </c>
      <c r="AC1395" t="s">
        <v>4860</v>
      </c>
      <c r="AD1395" s="8">
        <v>0</v>
      </c>
      <c r="AG1395" t="s">
        <v>828</v>
      </c>
      <c r="AH1395" t="s">
        <v>802</v>
      </c>
      <c r="AI1395" t="s">
        <v>803</v>
      </c>
    </row>
    <row r="1396" spans="1:35" hidden="1">
      <c r="A1396" s="7">
        <v>1395</v>
      </c>
      <c r="B1396" t="s">
        <v>243</v>
      </c>
      <c r="C1396" t="s">
        <v>244</v>
      </c>
      <c r="D1396" s="7">
        <v>7134</v>
      </c>
      <c r="E1396" t="s">
        <v>245</v>
      </c>
      <c r="F1396" t="s">
        <v>246</v>
      </c>
      <c r="G1396" t="s">
        <v>1457</v>
      </c>
      <c r="H1396" t="s">
        <v>3728</v>
      </c>
      <c r="I1396" s="7">
        <v>860</v>
      </c>
      <c r="J1396" s="7">
        <v>50000</v>
      </c>
      <c r="K1396" s="7">
        <v>3</v>
      </c>
      <c r="L1396" t="s">
        <v>247</v>
      </c>
      <c r="M1396" t="s">
        <v>261</v>
      </c>
      <c r="N1396" s="7">
        <v>798115</v>
      </c>
      <c r="O1396" t="s">
        <v>1876</v>
      </c>
      <c r="P1396" t="s">
        <v>1877</v>
      </c>
      <c r="S1396" t="s">
        <v>3800</v>
      </c>
      <c r="T1396" t="s">
        <v>4904</v>
      </c>
      <c r="U1396" t="s">
        <v>4859</v>
      </c>
      <c r="V1396" s="8">
        <v>1250</v>
      </c>
      <c r="W1396" s="7">
        <v>590054</v>
      </c>
      <c r="X1396" t="s">
        <v>4860</v>
      </c>
      <c r="Y1396" s="8">
        <v>1250</v>
      </c>
      <c r="Z1396" s="8">
        <v>1475</v>
      </c>
      <c r="AA1396" s="8">
        <v>225</v>
      </c>
      <c r="AB1396" s="7">
        <v>113521</v>
      </c>
      <c r="AC1396" t="s">
        <v>4860</v>
      </c>
      <c r="AD1396" s="8">
        <v>0</v>
      </c>
      <c r="AG1396" t="s">
        <v>817</v>
      </c>
      <c r="AH1396" t="s">
        <v>802</v>
      </c>
      <c r="AI1396" t="s">
        <v>818</v>
      </c>
    </row>
    <row r="1397" spans="1:35" hidden="1">
      <c r="A1397" s="7">
        <v>1396</v>
      </c>
      <c r="B1397" t="s">
        <v>243</v>
      </c>
      <c r="C1397" t="s">
        <v>244</v>
      </c>
      <c r="D1397" s="7">
        <v>7134</v>
      </c>
      <c r="E1397" t="s">
        <v>245</v>
      </c>
      <c r="F1397" t="s">
        <v>246</v>
      </c>
      <c r="G1397" t="s">
        <v>3731</v>
      </c>
      <c r="H1397" t="s">
        <v>4906</v>
      </c>
      <c r="I1397" s="7">
        <v>1165</v>
      </c>
      <c r="J1397" s="7">
        <v>1722</v>
      </c>
      <c r="K1397" s="7">
        <v>1</v>
      </c>
      <c r="L1397" t="s">
        <v>247</v>
      </c>
      <c r="M1397" t="s">
        <v>252</v>
      </c>
      <c r="N1397" s="7">
        <v>331230</v>
      </c>
      <c r="O1397" t="s">
        <v>4055</v>
      </c>
      <c r="P1397" t="s">
        <v>4056</v>
      </c>
      <c r="S1397" t="s">
        <v>3800</v>
      </c>
      <c r="T1397" t="s">
        <v>4904</v>
      </c>
      <c r="U1397" t="s">
        <v>4859</v>
      </c>
      <c r="V1397" s="8">
        <v>1250</v>
      </c>
      <c r="W1397" s="7">
        <v>590054</v>
      </c>
      <c r="X1397" t="s">
        <v>4860</v>
      </c>
      <c r="Y1397" s="8">
        <v>1250</v>
      </c>
      <c r="Z1397" s="8">
        <v>1475</v>
      </c>
      <c r="AA1397" s="8">
        <v>225</v>
      </c>
      <c r="AB1397" s="7">
        <v>113521</v>
      </c>
      <c r="AC1397" t="s">
        <v>4860</v>
      </c>
      <c r="AD1397" s="8">
        <v>0</v>
      </c>
      <c r="AG1397" t="s">
        <v>937</v>
      </c>
      <c r="AH1397" t="s">
        <v>802</v>
      </c>
      <c r="AI1397" t="s">
        <v>818</v>
      </c>
    </row>
    <row r="1398" spans="1:35" hidden="1">
      <c r="A1398" s="7">
        <v>1397</v>
      </c>
      <c r="B1398" t="s">
        <v>243</v>
      </c>
      <c r="C1398" t="s">
        <v>244</v>
      </c>
      <c r="D1398" s="7">
        <v>7134</v>
      </c>
      <c r="E1398" t="s">
        <v>245</v>
      </c>
      <c r="F1398" t="s">
        <v>246</v>
      </c>
      <c r="G1398" t="s">
        <v>1457</v>
      </c>
      <c r="H1398" t="s">
        <v>4907</v>
      </c>
      <c r="I1398" s="7">
        <v>891</v>
      </c>
      <c r="J1398" s="7">
        <v>51275</v>
      </c>
      <c r="K1398" s="7">
        <v>3</v>
      </c>
      <c r="L1398" t="s">
        <v>247</v>
      </c>
      <c r="M1398" t="s">
        <v>261</v>
      </c>
      <c r="N1398" s="7">
        <v>795108</v>
      </c>
      <c r="O1398" t="s">
        <v>3594</v>
      </c>
      <c r="P1398" t="s">
        <v>3595</v>
      </c>
      <c r="Q1398" t="s">
        <v>908</v>
      </c>
      <c r="R1398" t="s">
        <v>909</v>
      </c>
      <c r="S1398" t="s">
        <v>3800</v>
      </c>
      <c r="T1398" t="s">
        <v>4904</v>
      </c>
      <c r="U1398" t="s">
        <v>4859</v>
      </c>
      <c r="V1398" s="8">
        <v>1250</v>
      </c>
      <c r="W1398" s="7">
        <v>590054</v>
      </c>
      <c r="X1398" t="s">
        <v>4860</v>
      </c>
      <c r="Y1398" s="8">
        <v>1000</v>
      </c>
      <c r="Z1398" s="8">
        <v>1475</v>
      </c>
      <c r="AA1398" s="8">
        <v>225</v>
      </c>
      <c r="AB1398" s="7">
        <v>113521</v>
      </c>
      <c r="AC1398" t="s">
        <v>4860</v>
      </c>
      <c r="AD1398" s="8">
        <v>250</v>
      </c>
      <c r="AG1398" t="s">
        <v>817</v>
      </c>
      <c r="AH1398" t="s">
        <v>802</v>
      </c>
      <c r="AI1398" t="s">
        <v>818</v>
      </c>
    </row>
    <row r="1399" spans="1:35" hidden="1">
      <c r="A1399" s="7">
        <v>1398</v>
      </c>
      <c r="B1399" t="s">
        <v>243</v>
      </c>
      <c r="C1399" t="s">
        <v>244</v>
      </c>
      <c r="D1399" s="7">
        <v>7134</v>
      </c>
      <c r="E1399" t="s">
        <v>245</v>
      </c>
      <c r="F1399" t="s">
        <v>246</v>
      </c>
      <c r="G1399" t="s">
        <v>1053</v>
      </c>
      <c r="H1399" t="s">
        <v>4908</v>
      </c>
      <c r="I1399" s="7">
        <v>1165</v>
      </c>
      <c r="J1399" s="7">
        <v>70000</v>
      </c>
      <c r="K1399" s="7">
        <v>7</v>
      </c>
      <c r="L1399" t="s">
        <v>247</v>
      </c>
      <c r="M1399" t="s">
        <v>267</v>
      </c>
      <c r="N1399" s="7">
        <v>776633</v>
      </c>
      <c r="O1399" t="s">
        <v>1171</v>
      </c>
      <c r="P1399" t="s">
        <v>1172</v>
      </c>
      <c r="S1399" t="s">
        <v>3800</v>
      </c>
      <c r="T1399" t="s">
        <v>4904</v>
      </c>
      <c r="U1399" t="s">
        <v>4859</v>
      </c>
      <c r="V1399" s="8">
        <v>0</v>
      </c>
      <c r="W1399" s="7">
        <v>590054</v>
      </c>
      <c r="X1399" t="s">
        <v>4860</v>
      </c>
      <c r="Y1399" s="8">
        <v>0</v>
      </c>
      <c r="Z1399" s="8">
        <v>0</v>
      </c>
      <c r="AA1399" s="8">
        <v>0</v>
      </c>
      <c r="AB1399" s="7">
        <v>113521</v>
      </c>
      <c r="AC1399" t="s">
        <v>4860</v>
      </c>
      <c r="AD1399" s="8">
        <v>0</v>
      </c>
      <c r="AG1399" t="s">
        <v>828</v>
      </c>
      <c r="AH1399" t="s">
        <v>802</v>
      </c>
      <c r="AI1399" t="s">
        <v>803</v>
      </c>
    </row>
    <row r="1400" spans="1:35" hidden="1">
      <c r="A1400" s="7">
        <v>1399</v>
      </c>
      <c r="B1400" t="s">
        <v>243</v>
      </c>
      <c r="C1400" t="s">
        <v>244</v>
      </c>
      <c r="D1400" s="7">
        <v>7134</v>
      </c>
      <c r="E1400" t="s">
        <v>245</v>
      </c>
      <c r="F1400" t="s">
        <v>246</v>
      </c>
      <c r="G1400" t="s">
        <v>3750</v>
      </c>
      <c r="H1400" t="s">
        <v>3728</v>
      </c>
      <c r="I1400" s="7">
        <v>1165</v>
      </c>
      <c r="J1400" s="7">
        <v>8882</v>
      </c>
      <c r="K1400" s="7">
        <v>1</v>
      </c>
      <c r="L1400" t="s">
        <v>247</v>
      </c>
      <c r="M1400" t="s">
        <v>261</v>
      </c>
      <c r="N1400" s="7">
        <v>811129</v>
      </c>
      <c r="O1400" t="s">
        <v>4364</v>
      </c>
      <c r="P1400" t="s">
        <v>4365</v>
      </c>
      <c r="S1400" t="s">
        <v>3800</v>
      </c>
      <c r="T1400" t="s">
        <v>4904</v>
      </c>
      <c r="U1400" t="s">
        <v>4859</v>
      </c>
      <c r="V1400" s="8">
        <v>1250</v>
      </c>
      <c r="W1400" s="7">
        <v>590054</v>
      </c>
      <c r="X1400" t="s">
        <v>4860</v>
      </c>
      <c r="Y1400" s="8">
        <v>1250</v>
      </c>
      <c r="Z1400" s="8">
        <v>1475</v>
      </c>
      <c r="AA1400" s="8">
        <v>225</v>
      </c>
      <c r="AB1400" s="7">
        <v>113521</v>
      </c>
      <c r="AC1400" t="s">
        <v>4860</v>
      </c>
      <c r="AD1400" s="8">
        <v>0</v>
      </c>
      <c r="AG1400" t="s">
        <v>801</v>
      </c>
      <c r="AH1400" t="s">
        <v>802</v>
      </c>
      <c r="AI1400" t="s">
        <v>818</v>
      </c>
    </row>
    <row r="1401" spans="1:35" hidden="1">
      <c r="A1401" s="7">
        <v>1400</v>
      </c>
      <c r="B1401" t="s">
        <v>243</v>
      </c>
      <c r="C1401" t="s">
        <v>244</v>
      </c>
      <c r="D1401" s="7">
        <v>7134</v>
      </c>
      <c r="E1401" t="s">
        <v>245</v>
      </c>
      <c r="F1401" t="s">
        <v>246</v>
      </c>
      <c r="G1401" t="s">
        <v>1153</v>
      </c>
      <c r="H1401" t="s">
        <v>4909</v>
      </c>
      <c r="I1401" s="7">
        <v>1165</v>
      </c>
      <c r="J1401" s="7">
        <v>109000</v>
      </c>
      <c r="K1401" s="7">
        <v>11</v>
      </c>
      <c r="L1401" t="s">
        <v>247</v>
      </c>
      <c r="M1401" t="s">
        <v>261</v>
      </c>
      <c r="N1401" s="7">
        <v>761864</v>
      </c>
      <c r="O1401" t="s">
        <v>1173</v>
      </c>
      <c r="P1401" t="s">
        <v>1174</v>
      </c>
      <c r="S1401" t="s">
        <v>3800</v>
      </c>
      <c r="T1401" t="s">
        <v>4904</v>
      </c>
      <c r="U1401" t="s">
        <v>4859</v>
      </c>
      <c r="V1401" s="8">
        <v>1250</v>
      </c>
      <c r="W1401" s="7">
        <v>590054</v>
      </c>
      <c r="X1401" t="s">
        <v>4860</v>
      </c>
      <c r="Y1401" s="8">
        <v>1250</v>
      </c>
      <c r="Z1401" s="8">
        <v>1475</v>
      </c>
      <c r="AA1401" s="8">
        <v>225</v>
      </c>
      <c r="AB1401" s="7">
        <v>113521</v>
      </c>
      <c r="AC1401" t="s">
        <v>4860</v>
      </c>
      <c r="AD1401" s="8">
        <v>0</v>
      </c>
      <c r="AG1401" t="s">
        <v>801</v>
      </c>
      <c r="AH1401" t="s">
        <v>802</v>
      </c>
      <c r="AI1401" t="s">
        <v>818</v>
      </c>
    </row>
    <row r="1402" spans="1:35" hidden="1">
      <c r="A1402" s="7">
        <v>1401</v>
      </c>
      <c r="B1402" t="s">
        <v>243</v>
      </c>
      <c r="C1402" t="s">
        <v>244</v>
      </c>
      <c r="D1402" s="7">
        <v>7134</v>
      </c>
      <c r="E1402" t="s">
        <v>245</v>
      </c>
      <c r="F1402" t="s">
        <v>246</v>
      </c>
      <c r="G1402" t="s">
        <v>1457</v>
      </c>
      <c r="H1402" t="s">
        <v>4910</v>
      </c>
      <c r="I1402" s="7">
        <v>895</v>
      </c>
      <c r="J1402" s="7">
        <v>50272</v>
      </c>
      <c r="K1402" s="7">
        <v>3</v>
      </c>
      <c r="L1402" t="s">
        <v>247</v>
      </c>
      <c r="M1402" t="s">
        <v>261</v>
      </c>
      <c r="N1402" s="7">
        <v>780905</v>
      </c>
      <c r="O1402" t="s">
        <v>3417</v>
      </c>
      <c r="P1402" t="s">
        <v>3418</v>
      </c>
      <c r="S1402" t="s">
        <v>3800</v>
      </c>
      <c r="T1402" t="s">
        <v>4904</v>
      </c>
      <c r="U1402" t="s">
        <v>4859</v>
      </c>
      <c r="V1402" s="8">
        <v>1250</v>
      </c>
      <c r="W1402" s="7">
        <v>590054</v>
      </c>
      <c r="X1402" t="s">
        <v>4860</v>
      </c>
      <c r="Y1402" s="8">
        <v>1250</v>
      </c>
      <c r="Z1402" s="8">
        <v>1475</v>
      </c>
      <c r="AA1402" s="8">
        <v>225</v>
      </c>
      <c r="AB1402" s="7">
        <v>113521</v>
      </c>
      <c r="AC1402" t="s">
        <v>4860</v>
      </c>
      <c r="AD1402" s="8">
        <v>0</v>
      </c>
      <c r="AG1402" t="s">
        <v>817</v>
      </c>
      <c r="AH1402" t="s">
        <v>802</v>
      </c>
      <c r="AI1402" t="s">
        <v>818</v>
      </c>
    </row>
    <row r="1403" spans="1:35" hidden="1">
      <c r="A1403" s="7">
        <v>1402</v>
      </c>
      <c r="B1403" t="s">
        <v>243</v>
      </c>
      <c r="C1403" t="s">
        <v>244</v>
      </c>
      <c r="D1403" s="7">
        <v>7134</v>
      </c>
      <c r="E1403" t="s">
        <v>245</v>
      </c>
      <c r="F1403" t="s">
        <v>246</v>
      </c>
      <c r="G1403" t="s">
        <v>333</v>
      </c>
      <c r="H1403" t="s">
        <v>4907</v>
      </c>
      <c r="I1403" s="7">
        <v>898</v>
      </c>
      <c r="J1403" s="7">
        <v>49326</v>
      </c>
      <c r="K1403" s="7">
        <v>3</v>
      </c>
      <c r="L1403" t="s">
        <v>247</v>
      </c>
      <c r="M1403" t="s">
        <v>261</v>
      </c>
      <c r="N1403" s="7">
        <v>796539</v>
      </c>
      <c r="O1403" t="s">
        <v>1947</v>
      </c>
      <c r="P1403" t="s">
        <v>1948</v>
      </c>
      <c r="S1403" t="s">
        <v>3800</v>
      </c>
      <c r="T1403" t="s">
        <v>4904</v>
      </c>
      <c r="U1403" t="s">
        <v>4859</v>
      </c>
      <c r="V1403" s="8">
        <v>1250</v>
      </c>
      <c r="W1403" s="7">
        <v>590054</v>
      </c>
      <c r="X1403" t="s">
        <v>4860</v>
      </c>
      <c r="Y1403" s="8">
        <v>1250</v>
      </c>
      <c r="Z1403" s="8">
        <v>1475</v>
      </c>
      <c r="AA1403" s="8">
        <v>225</v>
      </c>
      <c r="AB1403" s="7">
        <v>113521</v>
      </c>
      <c r="AC1403" t="s">
        <v>4860</v>
      </c>
      <c r="AD1403" s="8">
        <v>0</v>
      </c>
      <c r="AG1403" t="s">
        <v>817</v>
      </c>
      <c r="AH1403" t="s">
        <v>802</v>
      </c>
      <c r="AI1403" t="s">
        <v>818</v>
      </c>
    </row>
    <row r="1404" spans="1:35" hidden="1">
      <c r="A1404" s="7">
        <v>1403</v>
      </c>
      <c r="B1404" t="s">
        <v>243</v>
      </c>
      <c r="C1404" t="s">
        <v>244</v>
      </c>
      <c r="D1404" s="7">
        <v>7134</v>
      </c>
      <c r="E1404" t="s">
        <v>245</v>
      </c>
      <c r="F1404" t="s">
        <v>246</v>
      </c>
      <c r="G1404" t="s">
        <v>3106</v>
      </c>
      <c r="H1404" t="s">
        <v>4904</v>
      </c>
      <c r="I1404" s="7">
        <v>1165</v>
      </c>
      <c r="J1404" s="7">
        <v>6275</v>
      </c>
      <c r="K1404" s="7">
        <v>1</v>
      </c>
      <c r="L1404" t="s">
        <v>247</v>
      </c>
      <c r="M1404" t="s">
        <v>261</v>
      </c>
      <c r="N1404" s="7">
        <v>803688</v>
      </c>
      <c r="O1404" t="s">
        <v>3173</v>
      </c>
      <c r="P1404" t="s">
        <v>3174</v>
      </c>
      <c r="S1404" t="s">
        <v>3800</v>
      </c>
      <c r="T1404" t="s">
        <v>4904</v>
      </c>
      <c r="U1404" t="s">
        <v>4859</v>
      </c>
      <c r="V1404" s="8">
        <v>1250</v>
      </c>
      <c r="W1404" s="7">
        <v>590054</v>
      </c>
      <c r="X1404" t="s">
        <v>4860</v>
      </c>
      <c r="Y1404" s="8">
        <v>1250</v>
      </c>
      <c r="Z1404" s="8">
        <v>1475</v>
      </c>
      <c r="AA1404" s="8">
        <v>225</v>
      </c>
      <c r="AB1404" s="7">
        <v>113521</v>
      </c>
      <c r="AC1404" t="s">
        <v>4860</v>
      </c>
      <c r="AD1404" s="8">
        <v>0</v>
      </c>
      <c r="AG1404" t="s">
        <v>817</v>
      </c>
      <c r="AH1404" t="s">
        <v>802</v>
      </c>
      <c r="AI1404" t="s">
        <v>818</v>
      </c>
    </row>
    <row r="1405" spans="1:35" hidden="1">
      <c r="A1405" s="7">
        <v>1404</v>
      </c>
      <c r="B1405" t="s">
        <v>243</v>
      </c>
      <c r="C1405" t="s">
        <v>244</v>
      </c>
      <c r="D1405" s="7">
        <v>7134</v>
      </c>
      <c r="E1405" t="s">
        <v>245</v>
      </c>
      <c r="F1405" t="s">
        <v>246</v>
      </c>
      <c r="G1405" t="s">
        <v>3750</v>
      </c>
      <c r="H1405" t="s">
        <v>4903</v>
      </c>
      <c r="I1405" s="7">
        <v>1165</v>
      </c>
      <c r="J1405" s="7">
        <v>5010</v>
      </c>
      <c r="K1405" s="7">
        <v>1</v>
      </c>
      <c r="L1405" t="s">
        <v>247</v>
      </c>
      <c r="M1405" t="s">
        <v>261</v>
      </c>
      <c r="N1405" s="7">
        <v>812646</v>
      </c>
      <c r="O1405" t="s">
        <v>4393</v>
      </c>
      <c r="P1405" t="s">
        <v>4394</v>
      </c>
      <c r="S1405" t="s">
        <v>3800</v>
      </c>
      <c r="T1405" t="s">
        <v>4904</v>
      </c>
      <c r="U1405" t="s">
        <v>4859</v>
      </c>
      <c r="V1405" s="8">
        <v>1250</v>
      </c>
      <c r="W1405" s="7">
        <v>590054</v>
      </c>
      <c r="X1405" t="s">
        <v>4860</v>
      </c>
      <c r="Y1405" s="8">
        <v>1250</v>
      </c>
      <c r="Z1405" s="8">
        <v>1475</v>
      </c>
      <c r="AA1405" s="8">
        <v>225</v>
      </c>
      <c r="AB1405" s="7">
        <v>113521</v>
      </c>
      <c r="AC1405" t="s">
        <v>4860</v>
      </c>
      <c r="AD1405" s="8">
        <v>0</v>
      </c>
      <c r="AG1405" t="s">
        <v>801</v>
      </c>
      <c r="AH1405" t="s">
        <v>802</v>
      </c>
      <c r="AI1405" t="s">
        <v>818</v>
      </c>
    </row>
    <row r="1406" spans="1:35" hidden="1">
      <c r="A1406" s="7">
        <v>1405</v>
      </c>
      <c r="B1406" t="s">
        <v>243</v>
      </c>
      <c r="C1406" t="s">
        <v>244</v>
      </c>
      <c r="D1406" s="7">
        <v>7134</v>
      </c>
      <c r="E1406" t="s">
        <v>245</v>
      </c>
      <c r="F1406" t="s">
        <v>246</v>
      </c>
      <c r="G1406" t="s">
        <v>878</v>
      </c>
      <c r="H1406" t="s">
        <v>4911</v>
      </c>
      <c r="I1406" s="7">
        <v>1150</v>
      </c>
      <c r="J1406" s="7">
        <v>90270</v>
      </c>
      <c r="K1406" s="7">
        <v>9</v>
      </c>
      <c r="L1406" t="s">
        <v>247</v>
      </c>
      <c r="M1406" t="s">
        <v>261</v>
      </c>
      <c r="N1406" s="7">
        <v>786485</v>
      </c>
      <c r="O1406" t="s">
        <v>4912</v>
      </c>
      <c r="P1406" t="s">
        <v>4913</v>
      </c>
      <c r="S1406" t="s">
        <v>3800</v>
      </c>
      <c r="T1406" t="s">
        <v>4904</v>
      </c>
      <c r="U1406" t="s">
        <v>4859</v>
      </c>
      <c r="V1406" s="8">
        <v>0</v>
      </c>
      <c r="W1406" s="7">
        <v>590054</v>
      </c>
      <c r="X1406" t="s">
        <v>4860</v>
      </c>
      <c r="Y1406" s="8">
        <v>0</v>
      </c>
      <c r="Z1406" s="8">
        <v>0</v>
      </c>
      <c r="AA1406" s="8">
        <v>0</v>
      </c>
      <c r="AB1406" s="7">
        <v>113521</v>
      </c>
      <c r="AC1406" t="s">
        <v>4860</v>
      </c>
      <c r="AD1406" s="8">
        <v>0</v>
      </c>
      <c r="AG1406" t="s">
        <v>801</v>
      </c>
      <c r="AH1406" t="s">
        <v>802</v>
      </c>
      <c r="AI1406" t="s">
        <v>803</v>
      </c>
    </row>
    <row r="1407" spans="1:35" hidden="1">
      <c r="A1407" s="7">
        <v>1406</v>
      </c>
      <c r="B1407" t="s">
        <v>243</v>
      </c>
      <c r="C1407" t="s">
        <v>244</v>
      </c>
      <c r="D1407" s="7">
        <v>7134</v>
      </c>
      <c r="E1407" t="s">
        <v>245</v>
      </c>
      <c r="F1407" t="s">
        <v>246</v>
      </c>
      <c r="G1407" t="s">
        <v>1305</v>
      </c>
      <c r="H1407" t="s">
        <v>4914</v>
      </c>
      <c r="I1407" s="7">
        <v>1165</v>
      </c>
      <c r="J1407" s="7">
        <v>52803</v>
      </c>
      <c r="K1407" s="7">
        <v>8</v>
      </c>
      <c r="L1407" t="s">
        <v>247</v>
      </c>
      <c r="M1407" t="s">
        <v>261</v>
      </c>
      <c r="N1407" s="7">
        <v>775459</v>
      </c>
      <c r="O1407" t="s">
        <v>1569</v>
      </c>
      <c r="P1407" t="s">
        <v>1570</v>
      </c>
      <c r="S1407" t="s">
        <v>3800</v>
      </c>
      <c r="T1407" t="s">
        <v>4904</v>
      </c>
      <c r="U1407" t="s">
        <v>4859</v>
      </c>
      <c r="V1407" s="8">
        <v>1250</v>
      </c>
      <c r="W1407" s="7">
        <v>590054</v>
      </c>
      <c r="X1407" t="s">
        <v>4860</v>
      </c>
      <c r="Y1407" s="8">
        <v>1250</v>
      </c>
      <c r="Z1407" s="8">
        <v>1475</v>
      </c>
      <c r="AA1407" s="8">
        <v>225</v>
      </c>
      <c r="AB1407" s="7">
        <v>113521</v>
      </c>
      <c r="AC1407" t="s">
        <v>4860</v>
      </c>
      <c r="AD1407" s="8">
        <v>0</v>
      </c>
      <c r="AG1407" t="s">
        <v>801</v>
      </c>
      <c r="AH1407" t="s">
        <v>802</v>
      </c>
      <c r="AI1407" t="s">
        <v>818</v>
      </c>
    </row>
    <row r="1408" spans="1:35" hidden="1">
      <c r="A1408" s="7">
        <v>1407</v>
      </c>
      <c r="B1408" t="s">
        <v>243</v>
      </c>
      <c r="C1408" t="s">
        <v>244</v>
      </c>
      <c r="D1408" s="7">
        <v>7134</v>
      </c>
      <c r="E1408" t="s">
        <v>245</v>
      </c>
      <c r="F1408" t="s">
        <v>246</v>
      </c>
      <c r="G1408" t="s">
        <v>263</v>
      </c>
      <c r="H1408" t="s">
        <v>4915</v>
      </c>
      <c r="I1408" s="7">
        <v>889</v>
      </c>
      <c r="J1408" s="7">
        <v>50000</v>
      </c>
      <c r="K1408" s="7">
        <v>3</v>
      </c>
      <c r="L1408" t="s">
        <v>247</v>
      </c>
      <c r="M1408" t="s">
        <v>261</v>
      </c>
      <c r="N1408" s="7">
        <v>796130</v>
      </c>
      <c r="O1408" t="s">
        <v>1951</v>
      </c>
      <c r="P1408" t="s">
        <v>1952</v>
      </c>
      <c r="S1408" t="s">
        <v>3800</v>
      </c>
      <c r="T1408" t="s">
        <v>4904</v>
      </c>
      <c r="U1408" t="s">
        <v>4859</v>
      </c>
      <c r="V1408" s="8">
        <v>1250</v>
      </c>
      <c r="W1408" s="7">
        <v>590054</v>
      </c>
      <c r="X1408" t="s">
        <v>4860</v>
      </c>
      <c r="Y1408" s="8">
        <v>1250</v>
      </c>
      <c r="Z1408" s="8">
        <v>1475</v>
      </c>
      <c r="AA1408" s="8">
        <v>225</v>
      </c>
      <c r="AB1408" s="7">
        <v>113521</v>
      </c>
      <c r="AC1408" t="s">
        <v>4860</v>
      </c>
      <c r="AD1408" s="8">
        <v>0</v>
      </c>
      <c r="AG1408" t="s">
        <v>817</v>
      </c>
      <c r="AH1408" t="s">
        <v>802</v>
      </c>
      <c r="AI1408" t="s">
        <v>818</v>
      </c>
    </row>
    <row r="1409" spans="1:35" hidden="1">
      <c r="A1409" s="7">
        <v>1408</v>
      </c>
      <c r="B1409" t="s">
        <v>243</v>
      </c>
      <c r="C1409" t="s">
        <v>244</v>
      </c>
      <c r="D1409" s="7">
        <v>7134</v>
      </c>
      <c r="E1409" t="s">
        <v>245</v>
      </c>
      <c r="F1409" t="s">
        <v>246</v>
      </c>
      <c r="G1409" t="s">
        <v>278</v>
      </c>
      <c r="H1409" t="s">
        <v>4907</v>
      </c>
      <c r="I1409" s="7">
        <v>1165</v>
      </c>
      <c r="J1409" s="7">
        <v>40329</v>
      </c>
      <c r="K1409" s="7">
        <v>4</v>
      </c>
      <c r="L1409" t="s">
        <v>247</v>
      </c>
      <c r="M1409" t="s">
        <v>252</v>
      </c>
      <c r="N1409" s="7">
        <v>327370</v>
      </c>
      <c r="O1409" t="s">
        <v>352</v>
      </c>
      <c r="P1409" t="s">
        <v>353</v>
      </c>
      <c r="S1409" t="s">
        <v>3800</v>
      </c>
      <c r="T1409" t="s">
        <v>4904</v>
      </c>
      <c r="U1409" t="s">
        <v>4859</v>
      </c>
      <c r="V1409" s="8">
        <v>0</v>
      </c>
      <c r="W1409" s="7">
        <v>590054</v>
      </c>
      <c r="X1409" t="s">
        <v>4860</v>
      </c>
      <c r="Y1409" s="8">
        <v>0</v>
      </c>
      <c r="Z1409" s="8">
        <v>0</v>
      </c>
      <c r="AA1409" s="8">
        <v>0</v>
      </c>
      <c r="AB1409" s="7">
        <v>113521</v>
      </c>
      <c r="AC1409" t="s">
        <v>4860</v>
      </c>
      <c r="AD1409" s="8">
        <v>0</v>
      </c>
      <c r="AG1409" t="s">
        <v>937</v>
      </c>
      <c r="AH1409" t="s">
        <v>802</v>
      </c>
      <c r="AI1409" t="s">
        <v>803</v>
      </c>
    </row>
    <row r="1410" spans="1:35" hidden="1">
      <c r="A1410" s="7">
        <v>1409</v>
      </c>
      <c r="B1410" t="s">
        <v>243</v>
      </c>
      <c r="C1410" t="s">
        <v>244</v>
      </c>
      <c r="D1410" s="7">
        <v>7134</v>
      </c>
      <c r="E1410" t="s">
        <v>245</v>
      </c>
      <c r="F1410" t="s">
        <v>246</v>
      </c>
      <c r="G1410" t="s">
        <v>1194</v>
      </c>
      <c r="H1410" t="s">
        <v>4910</v>
      </c>
      <c r="I1410" s="7">
        <v>1165</v>
      </c>
      <c r="J1410" s="7">
        <v>118000</v>
      </c>
      <c r="K1410" s="7">
        <v>12</v>
      </c>
      <c r="L1410" t="s">
        <v>247</v>
      </c>
      <c r="M1410" t="s">
        <v>261</v>
      </c>
      <c r="N1410" s="7">
        <v>773372</v>
      </c>
      <c r="O1410" t="s">
        <v>1195</v>
      </c>
      <c r="P1410" t="s">
        <v>1196</v>
      </c>
      <c r="S1410" t="s">
        <v>3800</v>
      </c>
      <c r="T1410" t="s">
        <v>4904</v>
      </c>
      <c r="U1410" t="s">
        <v>4859</v>
      </c>
      <c r="V1410" s="8">
        <v>0</v>
      </c>
      <c r="W1410" s="7">
        <v>590054</v>
      </c>
      <c r="X1410" t="s">
        <v>4860</v>
      </c>
      <c r="Y1410" s="8">
        <v>0</v>
      </c>
      <c r="Z1410" s="8">
        <v>0</v>
      </c>
      <c r="AA1410" s="8">
        <v>0</v>
      </c>
      <c r="AB1410" s="7">
        <v>113521</v>
      </c>
      <c r="AC1410" t="s">
        <v>4860</v>
      </c>
      <c r="AD1410" s="8">
        <v>0</v>
      </c>
      <c r="AG1410" t="s">
        <v>801</v>
      </c>
      <c r="AH1410" t="s">
        <v>802</v>
      </c>
      <c r="AI1410" t="s">
        <v>803</v>
      </c>
    </row>
    <row r="1411" spans="1:35" hidden="1">
      <c r="A1411" s="7">
        <v>1410</v>
      </c>
      <c r="B1411" t="s">
        <v>243</v>
      </c>
      <c r="C1411" t="s">
        <v>244</v>
      </c>
      <c r="D1411" s="7">
        <v>7134</v>
      </c>
      <c r="E1411" t="s">
        <v>245</v>
      </c>
      <c r="F1411" t="s">
        <v>246</v>
      </c>
      <c r="G1411" t="s">
        <v>3370</v>
      </c>
      <c r="H1411" t="s">
        <v>4909</v>
      </c>
      <c r="I1411" s="7">
        <v>1165</v>
      </c>
      <c r="J1411" s="7">
        <v>8825</v>
      </c>
      <c r="K1411" s="7">
        <v>3</v>
      </c>
      <c r="L1411" t="s">
        <v>247</v>
      </c>
      <c r="M1411" t="s">
        <v>261</v>
      </c>
      <c r="N1411" s="7">
        <v>809428</v>
      </c>
      <c r="O1411" t="s">
        <v>3509</v>
      </c>
      <c r="P1411" t="s">
        <v>3510</v>
      </c>
      <c r="Q1411" t="s">
        <v>283</v>
      </c>
      <c r="R1411" t="s">
        <v>1062</v>
      </c>
      <c r="S1411" t="s">
        <v>3800</v>
      </c>
      <c r="T1411" t="s">
        <v>4904</v>
      </c>
      <c r="U1411" t="s">
        <v>4859</v>
      </c>
      <c r="V1411" s="8">
        <v>1250</v>
      </c>
      <c r="W1411" s="7">
        <v>590054</v>
      </c>
      <c r="X1411" t="s">
        <v>4860</v>
      </c>
      <c r="Y1411" s="8">
        <v>0</v>
      </c>
      <c r="Z1411" s="8">
        <v>1475</v>
      </c>
      <c r="AA1411" s="8">
        <v>225</v>
      </c>
      <c r="AB1411" s="7">
        <v>113521</v>
      </c>
      <c r="AC1411" t="s">
        <v>4860</v>
      </c>
      <c r="AD1411" s="8">
        <v>1250</v>
      </c>
      <c r="AG1411" t="s">
        <v>801</v>
      </c>
      <c r="AH1411" t="s">
        <v>802</v>
      </c>
      <c r="AI1411" t="s">
        <v>818</v>
      </c>
    </row>
    <row r="1412" spans="1:35" hidden="1">
      <c r="A1412" s="7">
        <v>1411</v>
      </c>
      <c r="B1412" t="s">
        <v>243</v>
      </c>
      <c r="C1412" t="s">
        <v>244</v>
      </c>
      <c r="D1412" s="7">
        <v>7134</v>
      </c>
      <c r="E1412" t="s">
        <v>245</v>
      </c>
      <c r="F1412" t="s">
        <v>246</v>
      </c>
      <c r="G1412" t="s">
        <v>3370</v>
      </c>
      <c r="H1412" t="s">
        <v>4909</v>
      </c>
      <c r="I1412" s="7">
        <v>1165</v>
      </c>
      <c r="J1412" s="7">
        <v>8825</v>
      </c>
      <c r="K1412" s="7">
        <v>1</v>
      </c>
      <c r="L1412" t="s">
        <v>247</v>
      </c>
      <c r="M1412" t="s">
        <v>261</v>
      </c>
      <c r="N1412" s="7">
        <v>809428</v>
      </c>
      <c r="O1412" t="s">
        <v>3509</v>
      </c>
      <c r="P1412" t="s">
        <v>3510</v>
      </c>
      <c r="Q1412" t="s">
        <v>870</v>
      </c>
      <c r="R1412" t="s">
        <v>871</v>
      </c>
      <c r="S1412" t="s">
        <v>3800</v>
      </c>
      <c r="T1412" t="s">
        <v>4904</v>
      </c>
      <c r="U1412" t="s">
        <v>4859</v>
      </c>
      <c r="V1412" s="8">
        <v>1250</v>
      </c>
      <c r="W1412" s="7">
        <v>590054</v>
      </c>
      <c r="X1412" t="s">
        <v>4860</v>
      </c>
      <c r="Y1412" s="8">
        <v>1000</v>
      </c>
      <c r="Z1412" s="8">
        <v>1475</v>
      </c>
      <c r="AA1412" s="8">
        <v>225</v>
      </c>
      <c r="AB1412" s="7">
        <v>113521</v>
      </c>
      <c r="AC1412" t="s">
        <v>4860</v>
      </c>
      <c r="AD1412" s="8">
        <v>250</v>
      </c>
      <c r="AG1412" t="s">
        <v>801</v>
      </c>
      <c r="AH1412" t="s">
        <v>802</v>
      </c>
      <c r="AI1412" t="s">
        <v>818</v>
      </c>
    </row>
    <row r="1413" spans="1:35" hidden="1">
      <c r="A1413" s="7">
        <v>1412</v>
      </c>
      <c r="B1413" t="s">
        <v>243</v>
      </c>
      <c r="C1413" t="s">
        <v>244</v>
      </c>
      <c r="D1413" s="7">
        <v>7134</v>
      </c>
      <c r="E1413" t="s">
        <v>245</v>
      </c>
      <c r="F1413" t="s">
        <v>246</v>
      </c>
      <c r="G1413" t="s">
        <v>1069</v>
      </c>
      <c r="H1413" t="s">
        <v>4907</v>
      </c>
      <c r="I1413" s="7">
        <v>1165</v>
      </c>
      <c r="J1413" s="7">
        <v>32432</v>
      </c>
      <c r="K1413" s="7">
        <v>5</v>
      </c>
      <c r="L1413" t="s">
        <v>247</v>
      </c>
      <c r="M1413" t="s">
        <v>261</v>
      </c>
      <c r="N1413" s="7">
        <v>790037</v>
      </c>
      <c r="O1413" t="s">
        <v>1070</v>
      </c>
      <c r="P1413" t="s">
        <v>1071</v>
      </c>
      <c r="S1413" t="s">
        <v>3800</v>
      </c>
      <c r="T1413" t="s">
        <v>4904</v>
      </c>
      <c r="U1413" t="s">
        <v>4859</v>
      </c>
      <c r="V1413" s="8">
        <v>1250</v>
      </c>
      <c r="W1413" s="7">
        <v>590054</v>
      </c>
      <c r="X1413" t="s">
        <v>4860</v>
      </c>
      <c r="Y1413" s="8">
        <v>1250</v>
      </c>
      <c r="Z1413" s="8">
        <v>1475</v>
      </c>
      <c r="AA1413" s="8">
        <v>225</v>
      </c>
      <c r="AB1413" s="7">
        <v>113521</v>
      </c>
      <c r="AC1413" t="s">
        <v>4860</v>
      </c>
      <c r="AD1413" s="8">
        <v>0</v>
      </c>
      <c r="AG1413" t="s">
        <v>801</v>
      </c>
      <c r="AH1413" t="s">
        <v>802</v>
      </c>
      <c r="AI1413" t="s">
        <v>818</v>
      </c>
    </row>
    <row r="1414" spans="1:35" hidden="1">
      <c r="A1414" s="7">
        <v>1413</v>
      </c>
      <c r="B1414" t="s">
        <v>243</v>
      </c>
      <c r="C1414" t="s">
        <v>244</v>
      </c>
      <c r="D1414" s="7">
        <v>7134</v>
      </c>
      <c r="E1414" t="s">
        <v>245</v>
      </c>
      <c r="F1414" t="s">
        <v>246</v>
      </c>
      <c r="G1414" t="s">
        <v>1479</v>
      </c>
      <c r="H1414" t="s">
        <v>4916</v>
      </c>
      <c r="I1414" s="7">
        <v>1165</v>
      </c>
      <c r="J1414" s="7">
        <v>25315</v>
      </c>
      <c r="K1414" s="7">
        <v>5</v>
      </c>
      <c r="L1414" t="s">
        <v>247</v>
      </c>
      <c r="M1414" t="s">
        <v>261</v>
      </c>
      <c r="N1414" s="7">
        <v>792099</v>
      </c>
      <c r="O1414" t="s">
        <v>1480</v>
      </c>
      <c r="P1414" t="s">
        <v>1481</v>
      </c>
      <c r="S1414" t="s">
        <v>3800</v>
      </c>
      <c r="T1414" t="s">
        <v>4904</v>
      </c>
      <c r="U1414" t="s">
        <v>4859</v>
      </c>
      <c r="V1414" s="8">
        <v>1250</v>
      </c>
      <c r="W1414" s="7">
        <v>590054</v>
      </c>
      <c r="X1414" t="s">
        <v>4860</v>
      </c>
      <c r="Y1414" s="8">
        <v>1250</v>
      </c>
      <c r="Z1414" s="8">
        <v>1475</v>
      </c>
      <c r="AA1414" s="8">
        <v>225</v>
      </c>
      <c r="AB1414" s="7">
        <v>113521</v>
      </c>
      <c r="AC1414" t="s">
        <v>4860</v>
      </c>
      <c r="AD1414" s="8">
        <v>0</v>
      </c>
      <c r="AG1414" t="s">
        <v>801</v>
      </c>
      <c r="AH1414" t="s">
        <v>802</v>
      </c>
      <c r="AI1414" t="s">
        <v>818</v>
      </c>
    </row>
    <row r="1415" spans="1:35" hidden="1">
      <c r="A1415" s="7">
        <v>1414</v>
      </c>
      <c r="B1415" t="s">
        <v>243</v>
      </c>
      <c r="C1415" t="s">
        <v>244</v>
      </c>
      <c r="D1415" s="7">
        <v>7134</v>
      </c>
      <c r="E1415" t="s">
        <v>245</v>
      </c>
      <c r="F1415" t="s">
        <v>246</v>
      </c>
      <c r="G1415" t="s">
        <v>1011</v>
      </c>
      <c r="H1415" t="s">
        <v>4908</v>
      </c>
      <c r="I1415" s="7">
        <v>1165</v>
      </c>
      <c r="J1415" s="7">
        <v>16120</v>
      </c>
      <c r="K1415" s="7">
        <v>3</v>
      </c>
      <c r="L1415" t="s">
        <v>247</v>
      </c>
      <c r="M1415" t="s">
        <v>261</v>
      </c>
      <c r="N1415" s="7">
        <v>780783</v>
      </c>
      <c r="O1415" t="s">
        <v>1234</v>
      </c>
      <c r="P1415" t="s">
        <v>1235</v>
      </c>
      <c r="S1415" t="s">
        <v>3800</v>
      </c>
      <c r="T1415" t="s">
        <v>4904</v>
      </c>
      <c r="U1415" t="s">
        <v>4859</v>
      </c>
      <c r="V1415" s="8">
        <v>1250</v>
      </c>
      <c r="W1415" s="7">
        <v>590054</v>
      </c>
      <c r="X1415" t="s">
        <v>4860</v>
      </c>
      <c r="Y1415" s="8">
        <v>1250</v>
      </c>
      <c r="Z1415" s="8">
        <v>1475</v>
      </c>
      <c r="AA1415" s="8">
        <v>225</v>
      </c>
      <c r="AB1415" s="7">
        <v>113521</v>
      </c>
      <c r="AC1415" t="s">
        <v>4860</v>
      </c>
      <c r="AD1415" s="8">
        <v>0</v>
      </c>
      <c r="AG1415" t="s">
        <v>817</v>
      </c>
      <c r="AH1415" t="s">
        <v>802</v>
      </c>
      <c r="AI1415" t="s">
        <v>818</v>
      </c>
    </row>
    <row r="1416" spans="1:35" hidden="1">
      <c r="A1416" s="7">
        <v>1415</v>
      </c>
      <c r="B1416" t="s">
        <v>243</v>
      </c>
      <c r="C1416" t="s">
        <v>244</v>
      </c>
      <c r="D1416" s="7">
        <v>7134</v>
      </c>
      <c r="E1416" t="s">
        <v>245</v>
      </c>
      <c r="F1416" t="s">
        <v>246</v>
      </c>
      <c r="G1416" t="s">
        <v>333</v>
      </c>
      <c r="H1416" t="s">
        <v>4917</v>
      </c>
      <c r="I1416" s="7">
        <v>1165</v>
      </c>
      <c r="J1416" s="7">
        <v>11477</v>
      </c>
      <c r="K1416" s="7">
        <v>4</v>
      </c>
      <c r="L1416" t="s">
        <v>247</v>
      </c>
      <c r="M1416" t="s">
        <v>252</v>
      </c>
      <c r="N1416" s="7">
        <v>328028</v>
      </c>
      <c r="O1416" t="s">
        <v>335</v>
      </c>
      <c r="P1416" t="s">
        <v>336</v>
      </c>
      <c r="S1416" t="s">
        <v>3800</v>
      </c>
      <c r="T1416" t="s">
        <v>4904</v>
      </c>
      <c r="U1416" t="s">
        <v>4859</v>
      </c>
      <c r="V1416" s="8">
        <v>0</v>
      </c>
      <c r="W1416" s="7">
        <v>590054</v>
      </c>
      <c r="X1416" t="s">
        <v>4860</v>
      </c>
      <c r="Y1416" s="8">
        <v>0</v>
      </c>
      <c r="Z1416" s="8">
        <v>0</v>
      </c>
      <c r="AA1416" s="8">
        <v>0</v>
      </c>
      <c r="AB1416" s="7">
        <v>113521</v>
      </c>
      <c r="AC1416" t="s">
        <v>4860</v>
      </c>
      <c r="AD1416" s="8">
        <v>0</v>
      </c>
      <c r="AG1416" t="s">
        <v>937</v>
      </c>
      <c r="AH1416" t="s">
        <v>802</v>
      </c>
      <c r="AI1416" t="s">
        <v>803</v>
      </c>
    </row>
    <row r="1417" spans="1:35" hidden="1">
      <c r="A1417" s="7">
        <v>1416</v>
      </c>
      <c r="B1417" t="s">
        <v>243</v>
      </c>
      <c r="C1417" t="s">
        <v>244</v>
      </c>
      <c r="D1417" s="7">
        <v>7134</v>
      </c>
      <c r="E1417" t="s">
        <v>245</v>
      </c>
      <c r="F1417" t="s">
        <v>246</v>
      </c>
      <c r="G1417" t="s">
        <v>881</v>
      </c>
      <c r="H1417" t="s">
        <v>4908</v>
      </c>
      <c r="I1417" s="7">
        <v>1165</v>
      </c>
      <c r="J1417" s="7">
        <v>18654</v>
      </c>
      <c r="K1417" s="7">
        <v>3</v>
      </c>
      <c r="L1417" t="s">
        <v>247</v>
      </c>
      <c r="M1417" t="s">
        <v>261</v>
      </c>
      <c r="N1417" s="7">
        <v>782166</v>
      </c>
      <c r="O1417" t="s">
        <v>968</v>
      </c>
      <c r="P1417" t="s">
        <v>969</v>
      </c>
      <c r="S1417" t="s">
        <v>3800</v>
      </c>
      <c r="T1417" t="s">
        <v>4904</v>
      </c>
      <c r="U1417" t="s">
        <v>4859</v>
      </c>
      <c r="V1417" s="8">
        <v>1250</v>
      </c>
      <c r="W1417" s="7">
        <v>590054</v>
      </c>
      <c r="X1417" t="s">
        <v>4860</v>
      </c>
      <c r="Y1417" s="8">
        <v>1250</v>
      </c>
      <c r="Z1417" s="8">
        <v>1475</v>
      </c>
      <c r="AA1417" s="8">
        <v>225</v>
      </c>
      <c r="AB1417" s="7">
        <v>113521</v>
      </c>
      <c r="AC1417" t="s">
        <v>4860</v>
      </c>
      <c r="AD1417" s="8">
        <v>0</v>
      </c>
      <c r="AG1417" t="s">
        <v>817</v>
      </c>
      <c r="AH1417" t="s">
        <v>802</v>
      </c>
      <c r="AI1417" t="s">
        <v>818</v>
      </c>
    </row>
    <row r="1418" spans="1:35" hidden="1">
      <c r="A1418" s="7">
        <v>1417</v>
      </c>
      <c r="B1418" t="s">
        <v>243</v>
      </c>
      <c r="C1418" t="s">
        <v>244</v>
      </c>
      <c r="D1418" s="7">
        <v>7134</v>
      </c>
      <c r="E1418" t="s">
        <v>245</v>
      </c>
      <c r="F1418" t="s">
        <v>246</v>
      </c>
      <c r="G1418" t="s">
        <v>584</v>
      </c>
      <c r="H1418" t="s">
        <v>4918</v>
      </c>
      <c r="I1418" s="7">
        <v>1165</v>
      </c>
      <c r="J1418" s="7">
        <v>30000</v>
      </c>
      <c r="K1418" s="7">
        <v>3</v>
      </c>
      <c r="L1418" t="s">
        <v>247</v>
      </c>
      <c r="M1418" t="s">
        <v>261</v>
      </c>
      <c r="N1418" s="7">
        <v>802127</v>
      </c>
      <c r="O1418" t="s">
        <v>586</v>
      </c>
      <c r="P1418" t="s">
        <v>587</v>
      </c>
      <c r="S1418" t="s">
        <v>3800</v>
      </c>
      <c r="T1418" t="s">
        <v>4904</v>
      </c>
      <c r="U1418" t="s">
        <v>4859</v>
      </c>
      <c r="V1418" s="8">
        <v>1250</v>
      </c>
      <c r="W1418" s="7">
        <v>590054</v>
      </c>
      <c r="X1418" t="s">
        <v>4860</v>
      </c>
      <c r="Y1418" s="8">
        <v>1250</v>
      </c>
      <c r="Z1418" s="8">
        <v>1475</v>
      </c>
      <c r="AA1418" s="8">
        <v>225</v>
      </c>
      <c r="AB1418" s="7">
        <v>113521</v>
      </c>
      <c r="AC1418" t="s">
        <v>4860</v>
      </c>
      <c r="AD1418" s="8">
        <v>0</v>
      </c>
      <c r="AG1418" t="s">
        <v>801</v>
      </c>
      <c r="AH1418" t="s">
        <v>802</v>
      </c>
      <c r="AI1418" t="s">
        <v>818</v>
      </c>
    </row>
    <row r="1419" spans="1:35" hidden="1">
      <c r="A1419" s="7">
        <v>1418</v>
      </c>
      <c r="B1419" t="s">
        <v>243</v>
      </c>
      <c r="C1419" t="s">
        <v>244</v>
      </c>
      <c r="D1419" s="7">
        <v>7134</v>
      </c>
      <c r="E1419" t="s">
        <v>245</v>
      </c>
      <c r="F1419" t="s">
        <v>246</v>
      </c>
      <c r="G1419" t="s">
        <v>3749</v>
      </c>
      <c r="H1419" t="s">
        <v>3728</v>
      </c>
      <c r="I1419" s="7">
        <v>1165</v>
      </c>
      <c r="J1419" s="7">
        <v>5245</v>
      </c>
      <c r="K1419" s="7">
        <v>1</v>
      </c>
      <c r="L1419" t="s">
        <v>247</v>
      </c>
      <c r="M1419" t="s">
        <v>261</v>
      </c>
      <c r="N1419" s="7">
        <v>812507</v>
      </c>
      <c r="O1419" t="s">
        <v>4389</v>
      </c>
      <c r="P1419" t="s">
        <v>4390</v>
      </c>
      <c r="S1419" t="s">
        <v>3800</v>
      </c>
      <c r="T1419" t="s">
        <v>4904</v>
      </c>
      <c r="U1419" t="s">
        <v>4859</v>
      </c>
      <c r="V1419" s="8">
        <v>1250</v>
      </c>
      <c r="W1419" s="7">
        <v>590054</v>
      </c>
      <c r="X1419" t="s">
        <v>4860</v>
      </c>
      <c r="Y1419" s="8">
        <v>1250</v>
      </c>
      <c r="Z1419" s="8">
        <v>1475</v>
      </c>
      <c r="AA1419" s="8">
        <v>225</v>
      </c>
      <c r="AB1419" s="7">
        <v>113521</v>
      </c>
      <c r="AC1419" t="s">
        <v>4860</v>
      </c>
      <c r="AD1419" s="8">
        <v>0</v>
      </c>
      <c r="AG1419" t="s">
        <v>801</v>
      </c>
      <c r="AH1419" t="s">
        <v>802</v>
      </c>
      <c r="AI1419" t="s">
        <v>818</v>
      </c>
    </row>
    <row r="1420" spans="1:35" hidden="1">
      <c r="A1420" s="7">
        <v>1419</v>
      </c>
      <c r="B1420" t="s">
        <v>243</v>
      </c>
      <c r="C1420" t="s">
        <v>244</v>
      </c>
      <c r="D1420" s="7">
        <v>7134</v>
      </c>
      <c r="E1420" t="s">
        <v>245</v>
      </c>
      <c r="F1420" t="s">
        <v>246</v>
      </c>
      <c r="G1420" t="s">
        <v>1474</v>
      </c>
      <c r="H1420" t="s">
        <v>4907</v>
      </c>
      <c r="I1420" s="7">
        <v>1165</v>
      </c>
      <c r="J1420" s="7">
        <v>121907</v>
      </c>
      <c r="K1420" s="7">
        <v>12</v>
      </c>
      <c r="L1420" t="s">
        <v>247</v>
      </c>
      <c r="M1420" t="s">
        <v>261</v>
      </c>
      <c r="N1420" s="7">
        <v>785386</v>
      </c>
      <c r="O1420" t="s">
        <v>1564</v>
      </c>
      <c r="P1420" t="s">
        <v>1565</v>
      </c>
      <c r="Q1420" t="s">
        <v>908</v>
      </c>
      <c r="R1420" t="s">
        <v>909</v>
      </c>
      <c r="S1420" t="s">
        <v>3800</v>
      </c>
      <c r="T1420" t="s">
        <v>4904</v>
      </c>
      <c r="U1420" t="s">
        <v>4859</v>
      </c>
      <c r="V1420" s="8">
        <v>0</v>
      </c>
      <c r="W1420" s="7">
        <v>590054</v>
      </c>
      <c r="X1420" t="s">
        <v>4860</v>
      </c>
      <c r="Y1420" s="8">
        <v>0</v>
      </c>
      <c r="Z1420" s="8">
        <v>0</v>
      </c>
      <c r="AA1420" s="8">
        <v>0</v>
      </c>
      <c r="AB1420" s="7">
        <v>113521</v>
      </c>
      <c r="AC1420" t="s">
        <v>4860</v>
      </c>
      <c r="AD1420" s="8">
        <v>0</v>
      </c>
      <c r="AG1420" t="s">
        <v>801</v>
      </c>
      <c r="AH1420" t="s">
        <v>802</v>
      </c>
      <c r="AI1420" t="s">
        <v>803</v>
      </c>
    </row>
    <row r="1421" spans="1:35" hidden="1">
      <c r="A1421" s="7">
        <v>1420</v>
      </c>
      <c r="B1421" t="s">
        <v>243</v>
      </c>
      <c r="C1421" t="s">
        <v>244</v>
      </c>
      <c r="D1421" s="7">
        <v>7134</v>
      </c>
      <c r="E1421" t="s">
        <v>245</v>
      </c>
      <c r="F1421" t="s">
        <v>246</v>
      </c>
      <c r="G1421" t="s">
        <v>3749</v>
      </c>
      <c r="H1421" t="s">
        <v>4919</v>
      </c>
      <c r="I1421" s="7">
        <v>1165</v>
      </c>
      <c r="J1421" s="7">
        <v>10000</v>
      </c>
      <c r="K1421" s="7">
        <v>1</v>
      </c>
      <c r="L1421" t="s">
        <v>247</v>
      </c>
      <c r="M1421" t="s">
        <v>261</v>
      </c>
      <c r="N1421" s="7">
        <v>809347</v>
      </c>
      <c r="O1421" t="s">
        <v>4383</v>
      </c>
      <c r="P1421" t="s">
        <v>4384</v>
      </c>
      <c r="S1421" t="s">
        <v>3800</v>
      </c>
      <c r="T1421" t="s">
        <v>4904</v>
      </c>
      <c r="U1421" t="s">
        <v>4859</v>
      </c>
      <c r="V1421" s="8">
        <v>1250</v>
      </c>
      <c r="W1421" s="7">
        <v>590054</v>
      </c>
      <c r="X1421" t="s">
        <v>4860</v>
      </c>
      <c r="Y1421" s="8">
        <v>1250</v>
      </c>
      <c r="Z1421" s="8">
        <v>1475</v>
      </c>
      <c r="AA1421" s="8">
        <v>225</v>
      </c>
      <c r="AB1421" s="7">
        <v>113521</v>
      </c>
      <c r="AC1421" t="s">
        <v>4860</v>
      </c>
      <c r="AD1421" s="8">
        <v>0</v>
      </c>
      <c r="AG1421" t="s">
        <v>801</v>
      </c>
      <c r="AH1421" t="s">
        <v>802</v>
      </c>
      <c r="AI1421" t="s">
        <v>818</v>
      </c>
    </row>
    <row r="1422" spans="1:35" hidden="1">
      <c r="A1422" s="7">
        <v>1421</v>
      </c>
      <c r="B1422" t="s">
        <v>243</v>
      </c>
      <c r="C1422" t="s">
        <v>244</v>
      </c>
      <c r="D1422" s="7">
        <v>7134</v>
      </c>
      <c r="E1422" t="s">
        <v>245</v>
      </c>
      <c r="F1422" t="s">
        <v>246</v>
      </c>
      <c r="G1422" t="s">
        <v>970</v>
      </c>
      <c r="H1422" t="s">
        <v>4920</v>
      </c>
      <c r="I1422" s="7">
        <v>1165</v>
      </c>
      <c r="J1422" s="7">
        <v>10277</v>
      </c>
      <c r="K1422" s="7">
        <v>2</v>
      </c>
      <c r="L1422" t="s">
        <v>247</v>
      </c>
      <c r="M1422" t="s">
        <v>261</v>
      </c>
      <c r="N1422" s="7">
        <v>781429</v>
      </c>
      <c r="O1422" t="s">
        <v>2058</v>
      </c>
      <c r="P1422" t="s">
        <v>2059</v>
      </c>
      <c r="S1422" t="s">
        <v>3800</v>
      </c>
      <c r="T1422" t="s">
        <v>4904</v>
      </c>
      <c r="U1422" t="s">
        <v>4859</v>
      </c>
      <c r="V1422" s="8">
        <v>1250</v>
      </c>
      <c r="W1422" s="7">
        <v>590054</v>
      </c>
      <c r="X1422" t="s">
        <v>4860</v>
      </c>
      <c r="Y1422" s="8">
        <v>1250</v>
      </c>
      <c r="Z1422" s="8">
        <v>1475</v>
      </c>
      <c r="AA1422" s="8">
        <v>225</v>
      </c>
      <c r="AB1422" s="7">
        <v>113521</v>
      </c>
      <c r="AC1422" t="s">
        <v>4860</v>
      </c>
      <c r="AD1422" s="8">
        <v>0</v>
      </c>
      <c r="AG1422" t="s">
        <v>817</v>
      </c>
      <c r="AH1422" t="s">
        <v>802</v>
      </c>
      <c r="AI1422" t="s">
        <v>818</v>
      </c>
    </row>
    <row r="1423" spans="1:35" hidden="1">
      <c r="A1423" s="7">
        <v>1422</v>
      </c>
      <c r="B1423" t="s">
        <v>243</v>
      </c>
      <c r="C1423" t="s">
        <v>244</v>
      </c>
      <c r="D1423" s="7">
        <v>7134</v>
      </c>
      <c r="E1423" t="s">
        <v>245</v>
      </c>
      <c r="F1423" t="s">
        <v>246</v>
      </c>
      <c r="G1423" t="s">
        <v>1457</v>
      </c>
      <c r="H1423" t="s">
        <v>4907</v>
      </c>
      <c r="I1423" s="7">
        <v>875</v>
      </c>
      <c r="J1423" s="7">
        <v>73091</v>
      </c>
      <c r="K1423" s="7">
        <v>4</v>
      </c>
      <c r="L1423" t="s">
        <v>247</v>
      </c>
      <c r="M1423" t="s">
        <v>261</v>
      </c>
      <c r="N1423" s="7">
        <v>796123</v>
      </c>
      <c r="O1423" t="s">
        <v>1969</v>
      </c>
      <c r="P1423" t="s">
        <v>1970</v>
      </c>
      <c r="Q1423" t="s">
        <v>908</v>
      </c>
      <c r="R1423" t="s">
        <v>909</v>
      </c>
      <c r="S1423" t="s">
        <v>3800</v>
      </c>
      <c r="T1423" t="s">
        <v>4904</v>
      </c>
      <c r="U1423" t="s">
        <v>4859</v>
      </c>
      <c r="V1423" s="8">
        <v>1250</v>
      </c>
      <c r="W1423" s="7">
        <v>590054</v>
      </c>
      <c r="X1423" t="s">
        <v>4860</v>
      </c>
      <c r="Y1423" s="8">
        <v>1000</v>
      </c>
      <c r="Z1423" s="8">
        <v>1475</v>
      </c>
      <c r="AA1423" s="8">
        <v>225</v>
      </c>
      <c r="AB1423" s="7">
        <v>113521</v>
      </c>
      <c r="AC1423" t="s">
        <v>4860</v>
      </c>
      <c r="AD1423" s="8">
        <v>250</v>
      </c>
      <c r="AG1423" t="s">
        <v>817</v>
      </c>
      <c r="AH1423" t="s">
        <v>802</v>
      </c>
      <c r="AI1423" t="s">
        <v>818</v>
      </c>
    </row>
    <row r="1424" spans="1:35" hidden="1">
      <c r="A1424" s="7">
        <v>1423</v>
      </c>
      <c r="B1424" t="s">
        <v>243</v>
      </c>
      <c r="C1424" t="s">
        <v>244</v>
      </c>
      <c r="D1424" s="7">
        <v>7134</v>
      </c>
      <c r="E1424" t="s">
        <v>245</v>
      </c>
      <c r="F1424" t="s">
        <v>246</v>
      </c>
      <c r="G1424" t="s">
        <v>293</v>
      </c>
      <c r="H1424" t="s">
        <v>4905</v>
      </c>
      <c r="I1424" s="7">
        <v>1150</v>
      </c>
      <c r="J1424" s="7">
        <v>14169</v>
      </c>
      <c r="K1424" s="7">
        <v>4</v>
      </c>
      <c r="L1424" t="s">
        <v>247</v>
      </c>
      <c r="M1424" t="s">
        <v>261</v>
      </c>
      <c r="N1424" s="7">
        <v>778234</v>
      </c>
      <c r="O1424" t="s">
        <v>2210</v>
      </c>
      <c r="P1424" t="s">
        <v>2211</v>
      </c>
      <c r="S1424" t="s">
        <v>3800</v>
      </c>
      <c r="T1424" t="s">
        <v>4904</v>
      </c>
      <c r="U1424" t="s">
        <v>4859</v>
      </c>
      <c r="V1424" s="8">
        <v>0</v>
      </c>
      <c r="W1424" s="7">
        <v>590054</v>
      </c>
      <c r="X1424" t="s">
        <v>4860</v>
      </c>
      <c r="Y1424" s="8">
        <v>0</v>
      </c>
      <c r="Z1424" s="8">
        <v>0</v>
      </c>
      <c r="AA1424" s="8">
        <v>0</v>
      </c>
      <c r="AB1424" s="7">
        <v>113521</v>
      </c>
      <c r="AC1424" t="s">
        <v>4860</v>
      </c>
      <c r="AD1424" s="8">
        <v>0</v>
      </c>
      <c r="AG1424" t="s">
        <v>808</v>
      </c>
      <c r="AH1424" t="s">
        <v>802</v>
      </c>
      <c r="AI1424" t="s">
        <v>803</v>
      </c>
    </row>
    <row r="1425" spans="1:35" hidden="1">
      <c r="A1425" s="7">
        <v>1424</v>
      </c>
      <c r="B1425" t="s">
        <v>243</v>
      </c>
      <c r="C1425" t="s">
        <v>244</v>
      </c>
      <c r="D1425" s="7">
        <v>7134</v>
      </c>
      <c r="E1425" t="s">
        <v>245</v>
      </c>
      <c r="F1425" t="s">
        <v>246</v>
      </c>
      <c r="G1425" t="s">
        <v>263</v>
      </c>
      <c r="H1425" t="s">
        <v>4910</v>
      </c>
      <c r="I1425" s="7">
        <v>895</v>
      </c>
      <c r="J1425" s="7">
        <v>50000</v>
      </c>
      <c r="K1425" s="7">
        <v>3</v>
      </c>
      <c r="L1425" t="s">
        <v>247</v>
      </c>
      <c r="M1425" t="s">
        <v>261</v>
      </c>
      <c r="N1425" s="7">
        <v>796579</v>
      </c>
      <c r="O1425" t="s">
        <v>2030</v>
      </c>
      <c r="P1425" t="s">
        <v>2031</v>
      </c>
      <c r="S1425" t="s">
        <v>3800</v>
      </c>
      <c r="T1425" t="s">
        <v>4904</v>
      </c>
      <c r="U1425" t="s">
        <v>4859</v>
      </c>
      <c r="V1425" s="8">
        <v>1250</v>
      </c>
      <c r="W1425" s="7">
        <v>590054</v>
      </c>
      <c r="X1425" t="s">
        <v>4860</v>
      </c>
      <c r="Y1425" s="8">
        <v>1250</v>
      </c>
      <c r="Z1425" s="8">
        <v>1475</v>
      </c>
      <c r="AA1425" s="8">
        <v>225</v>
      </c>
      <c r="AB1425" s="7">
        <v>113521</v>
      </c>
      <c r="AC1425" t="s">
        <v>4860</v>
      </c>
      <c r="AD1425" s="8">
        <v>0</v>
      </c>
      <c r="AG1425" t="s">
        <v>817</v>
      </c>
      <c r="AH1425" t="s">
        <v>802</v>
      </c>
      <c r="AI1425" t="s">
        <v>818</v>
      </c>
    </row>
    <row r="1426" spans="1:35" hidden="1">
      <c r="A1426" s="7">
        <v>1425</v>
      </c>
      <c r="B1426" t="s">
        <v>243</v>
      </c>
      <c r="C1426" t="s">
        <v>244</v>
      </c>
      <c r="D1426" s="7">
        <v>7134</v>
      </c>
      <c r="E1426" t="s">
        <v>245</v>
      </c>
      <c r="F1426" t="s">
        <v>246</v>
      </c>
      <c r="G1426" t="s">
        <v>770</v>
      </c>
      <c r="H1426" t="s">
        <v>4905</v>
      </c>
      <c r="I1426" s="7">
        <v>1165</v>
      </c>
      <c r="J1426" s="7">
        <v>8425</v>
      </c>
      <c r="K1426" s="7">
        <v>3</v>
      </c>
      <c r="L1426" t="s">
        <v>247</v>
      </c>
      <c r="M1426" t="s">
        <v>252</v>
      </c>
      <c r="N1426" s="7">
        <v>328518</v>
      </c>
      <c r="O1426" t="s">
        <v>772</v>
      </c>
      <c r="P1426" t="s">
        <v>773</v>
      </c>
      <c r="S1426" t="s">
        <v>3800</v>
      </c>
      <c r="T1426" t="s">
        <v>4904</v>
      </c>
      <c r="U1426" t="s">
        <v>4859</v>
      </c>
      <c r="V1426" s="8">
        <v>1250</v>
      </c>
      <c r="W1426" s="7">
        <v>590054</v>
      </c>
      <c r="X1426" t="s">
        <v>4860</v>
      </c>
      <c r="Y1426" s="8">
        <v>1250</v>
      </c>
      <c r="Z1426" s="8">
        <v>1475</v>
      </c>
      <c r="AA1426" s="8">
        <v>225</v>
      </c>
      <c r="AB1426" s="7">
        <v>113521</v>
      </c>
      <c r="AC1426" t="s">
        <v>4860</v>
      </c>
      <c r="AD1426" s="8">
        <v>0</v>
      </c>
      <c r="AG1426" t="s">
        <v>937</v>
      </c>
      <c r="AH1426" t="s">
        <v>802</v>
      </c>
      <c r="AI1426" t="s">
        <v>818</v>
      </c>
    </row>
    <row r="1427" spans="1:35" hidden="1">
      <c r="A1427" s="7">
        <v>1426</v>
      </c>
      <c r="B1427" t="s">
        <v>243</v>
      </c>
      <c r="C1427" t="s">
        <v>244</v>
      </c>
      <c r="D1427" s="7">
        <v>7134</v>
      </c>
      <c r="E1427" t="s">
        <v>245</v>
      </c>
      <c r="F1427" t="s">
        <v>246</v>
      </c>
      <c r="G1427" t="s">
        <v>3467</v>
      </c>
      <c r="H1427" t="s">
        <v>4904</v>
      </c>
      <c r="I1427" s="7">
        <v>1165</v>
      </c>
      <c r="J1427" s="7">
        <v>8421</v>
      </c>
      <c r="K1427" s="7">
        <v>1</v>
      </c>
      <c r="L1427" t="s">
        <v>247</v>
      </c>
      <c r="M1427" t="s">
        <v>261</v>
      </c>
      <c r="N1427" s="7">
        <v>804752</v>
      </c>
      <c r="O1427" t="s">
        <v>3475</v>
      </c>
      <c r="P1427" t="s">
        <v>3476</v>
      </c>
      <c r="S1427" t="s">
        <v>3800</v>
      </c>
      <c r="T1427" t="s">
        <v>4904</v>
      </c>
      <c r="U1427" t="s">
        <v>4859</v>
      </c>
      <c r="V1427" s="8">
        <v>1250</v>
      </c>
      <c r="W1427" s="7">
        <v>590054</v>
      </c>
      <c r="X1427" t="s">
        <v>4860</v>
      </c>
      <c r="Y1427" s="8">
        <v>1250</v>
      </c>
      <c r="Z1427" s="8">
        <v>1475</v>
      </c>
      <c r="AA1427" s="8">
        <v>225</v>
      </c>
      <c r="AB1427" s="7">
        <v>113521</v>
      </c>
      <c r="AC1427" t="s">
        <v>4860</v>
      </c>
      <c r="AD1427" s="8">
        <v>0</v>
      </c>
      <c r="AG1427" t="s">
        <v>817</v>
      </c>
      <c r="AH1427" t="s">
        <v>802</v>
      </c>
      <c r="AI1427" t="s">
        <v>818</v>
      </c>
    </row>
    <row r="1428" spans="1:35" hidden="1">
      <c r="A1428" s="7">
        <v>1427</v>
      </c>
      <c r="B1428" t="s">
        <v>243</v>
      </c>
      <c r="C1428" t="s">
        <v>244</v>
      </c>
      <c r="D1428" s="7">
        <v>7134</v>
      </c>
      <c r="E1428" t="s">
        <v>245</v>
      </c>
      <c r="F1428" t="s">
        <v>246</v>
      </c>
      <c r="G1428" t="s">
        <v>3108</v>
      </c>
      <c r="H1428" t="s">
        <v>4921</v>
      </c>
      <c r="I1428" s="7">
        <v>1165</v>
      </c>
      <c r="J1428" s="7">
        <v>19100</v>
      </c>
      <c r="K1428" s="7">
        <v>2</v>
      </c>
      <c r="L1428" t="s">
        <v>247</v>
      </c>
      <c r="M1428" t="s">
        <v>361</v>
      </c>
      <c r="N1428" s="7">
        <v>8133</v>
      </c>
      <c r="O1428" t="s">
        <v>3451</v>
      </c>
      <c r="P1428" t="s">
        <v>3452</v>
      </c>
      <c r="S1428" t="s">
        <v>3800</v>
      </c>
      <c r="T1428" t="s">
        <v>4904</v>
      </c>
      <c r="U1428" t="s">
        <v>4859</v>
      </c>
      <c r="V1428" s="8">
        <v>0</v>
      </c>
      <c r="W1428" s="7">
        <v>590054</v>
      </c>
      <c r="X1428" t="s">
        <v>4860</v>
      </c>
      <c r="Y1428" s="8">
        <v>0</v>
      </c>
      <c r="Z1428" s="8">
        <v>0</v>
      </c>
      <c r="AA1428" s="8">
        <v>0</v>
      </c>
      <c r="AB1428" s="7">
        <v>113521</v>
      </c>
      <c r="AC1428" t="s">
        <v>4860</v>
      </c>
      <c r="AD1428" s="8">
        <v>0</v>
      </c>
      <c r="AG1428" t="s">
        <v>823</v>
      </c>
      <c r="AH1428" t="s">
        <v>802</v>
      </c>
      <c r="AI1428" t="s">
        <v>803</v>
      </c>
    </row>
    <row r="1429" spans="1:35" hidden="1">
      <c r="A1429" s="7">
        <v>1428</v>
      </c>
      <c r="B1429" t="s">
        <v>243</v>
      </c>
      <c r="C1429" t="s">
        <v>244</v>
      </c>
      <c r="D1429" s="7">
        <v>7134</v>
      </c>
      <c r="E1429" t="s">
        <v>245</v>
      </c>
      <c r="F1429" t="s">
        <v>246</v>
      </c>
      <c r="G1429" t="s">
        <v>973</v>
      </c>
      <c r="H1429" t="s">
        <v>4921</v>
      </c>
      <c r="I1429" s="7">
        <v>1165</v>
      </c>
      <c r="J1429" s="7">
        <v>43394</v>
      </c>
      <c r="K1429" s="7">
        <v>5</v>
      </c>
      <c r="L1429" t="s">
        <v>247</v>
      </c>
      <c r="M1429" t="s">
        <v>267</v>
      </c>
      <c r="N1429" s="7">
        <v>789109</v>
      </c>
      <c r="O1429" t="s">
        <v>974</v>
      </c>
      <c r="P1429" t="s">
        <v>975</v>
      </c>
      <c r="Q1429" t="s">
        <v>870</v>
      </c>
      <c r="R1429" t="s">
        <v>871</v>
      </c>
      <c r="S1429" t="s">
        <v>3800</v>
      </c>
      <c r="T1429" t="s">
        <v>4904</v>
      </c>
      <c r="U1429" t="s">
        <v>4859</v>
      </c>
      <c r="V1429" s="8">
        <v>1250</v>
      </c>
      <c r="W1429" s="7">
        <v>590054</v>
      </c>
      <c r="X1429" t="s">
        <v>4860</v>
      </c>
      <c r="Y1429" s="8">
        <v>1000</v>
      </c>
      <c r="Z1429" s="8">
        <v>1475</v>
      </c>
      <c r="AA1429" s="8">
        <v>225</v>
      </c>
      <c r="AB1429" s="7">
        <v>113521</v>
      </c>
      <c r="AC1429" t="s">
        <v>4860</v>
      </c>
      <c r="AD1429" s="8">
        <v>250</v>
      </c>
      <c r="AG1429" t="s">
        <v>828</v>
      </c>
      <c r="AH1429" t="s">
        <v>802</v>
      </c>
      <c r="AI1429" t="s">
        <v>818</v>
      </c>
    </row>
    <row r="1430" spans="1:35" hidden="1">
      <c r="A1430" s="7">
        <v>1429</v>
      </c>
      <c r="B1430" t="s">
        <v>243</v>
      </c>
      <c r="C1430" t="s">
        <v>244</v>
      </c>
      <c r="D1430" s="7">
        <v>7134</v>
      </c>
      <c r="E1430" t="s">
        <v>245</v>
      </c>
      <c r="F1430" t="s">
        <v>246</v>
      </c>
      <c r="G1430" t="s">
        <v>1069</v>
      </c>
      <c r="H1430" t="s">
        <v>4905</v>
      </c>
      <c r="I1430" s="7">
        <v>1165</v>
      </c>
      <c r="J1430" s="7">
        <v>35082</v>
      </c>
      <c r="K1430" s="7">
        <v>5</v>
      </c>
      <c r="L1430" t="s">
        <v>247</v>
      </c>
      <c r="M1430" t="s">
        <v>267</v>
      </c>
      <c r="N1430" s="7">
        <v>789051</v>
      </c>
      <c r="O1430" t="s">
        <v>1780</v>
      </c>
      <c r="P1430" t="s">
        <v>1781</v>
      </c>
      <c r="S1430" t="s">
        <v>3800</v>
      </c>
      <c r="T1430" t="s">
        <v>4904</v>
      </c>
      <c r="U1430" t="s">
        <v>4859</v>
      </c>
      <c r="V1430" s="8">
        <v>1250</v>
      </c>
      <c r="W1430" s="7">
        <v>590054</v>
      </c>
      <c r="X1430" t="s">
        <v>4860</v>
      </c>
      <c r="Y1430" s="8">
        <v>1250</v>
      </c>
      <c r="Z1430" s="8">
        <v>1475</v>
      </c>
      <c r="AA1430" s="8">
        <v>225</v>
      </c>
      <c r="AB1430" s="7">
        <v>113521</v>
      </c>
      <c r="AC1430" t="s">
        <v>4860</v>
      </c>
      <c r="AD1430" s="8">
        <v>0</v>
      </c>
      <c r="AG1430" t="s">
        <v>828</v>
      </c>
      <c r="AH1430" t="s">
        <v>802</v>
      </c>
      <c r="AI1430" t="s">
        <v>818</v>
      </c>
    </row>
    <row r="1431" spans="1:35" hidden="1">
      <c r="A1431" s="7">
        <v>1430</v>
      </c>
      <c r="B1431" t="s">
        <v>243</v>
      </c>
      <c r="C1431" t="s">
        <v>244</v>
      </c>
      <c r="D1431" s="7">
        <v>7134</v>
      </c>
      <c r="E1431" t="s">
        <v>245</v>
      </c>
      <c r="F1431" t="s">
        <v>246</v>
      </c>
      <c r="G1431" t="s">
        <v>263</v>
      </c>
      <c r="H1431" t="s">
        <v>3725</v>
      </c>
      <c r="I1431" s="7">
        <v>897</v>
      </c>
      <c r="J1431" s="7">
        <v>51621</v>
      </c>
      <c r="K1431" s="7">
        <v>3</v>
      </c>
      <c r="L1431" t="s">
        <v>247</v>
      </c>
      <c r="M1431" t="s">
        <v>261</v>
      </c>
      <c r="N1431" s="7">
        <v>796131</v>
      </c>
      <c r="O1431" t="s">
        <v>1840</v>
      </c>
      <c r="P1431" t="s">
        <v>1841</v>
      </c>
      <c r="Q1431" t="s">
        <v>908</v>
      </c>
      <c r="R1431" t="s">
        <v>909</v>
      </c>
      <c r="S1431" t="s">
        <v>3800</v>
      </c>
      <c r="T1431" t="s">
        <v>4904</v>
      </c>
      <c r="U1431" t="s">
        <v>4859</v>
      </c>
      <c r="V1431" s="8">
        <v>1250</v>
      </c>
      <c r="W1431" s="7">
        <v>590054</v>
      </c>
      <c r="X1431" t="s">
        <v>4860</v>
      </c>
      <c r="Y1431" s="8">
        <v>1000</v>
      </c>
      <c r="Z1431" s="8">
        <v>1475</v>
      </c>
      <c r="AA1431" s="8">
        <v>225</v>
      </c>
      <c r="AB1431" s="7">
        <v>113521</v>
      </c>
      <c r="AC1431" t="s">
        <v>4860</v>
      </c>
      <c r="AD1431" s="8">
        <v>250</v>
      </c>
      <c r="AG1431" t="s">
        <v>817</v>
      </c>
      <c r="AH1431" t="s">
        <v>802</v>
      </c>
      <c r="AI1431" t="s">
        <v>818</v>
      </c>
    </row>
    <row r="1432" spans="1:35" hidden="1">
      <c r="A1432" s="7">
        <v>1431</v>
      </c>
      <c r="B1432" t="s">
        <v>243</v>
      </c>
      <c r="C1432" t="s">
        <v>244</v>
      </c>
      <c r="D1432" s="7">
        <v>7134</v>
      </c>
      <c r="E1432" t="s">
        <v>245</v>
      </c>
      <c r="F1432" t="s">
        <v>246</v>
      </c>
      <c r="G1432" t="s">
        <v>999</v>
      </c>
      <c r="H1432" t="s">
        <v>4916</v>
      </c>
      <c r="I1432" s="7">
        <v>1165</v>
      </c>
      <c r="J1432" s="7">
        <v>60000</v>
      </c>
      <c r="K1432" s="7">
        <v>6</v>
      </c>
      <c r="L1432" t="s">
        <v>247</v>
      </c>
      <c r="M1432" t="s">
        <v>261</v>
      </c>
      <c r="N1432" s="7">
        <v>790578</v>
      </c>
      <c r="O1432" t="s">
        <v>1119</v>
      </c>
      <c r="P1432" t="s">
        <v>1120</v>
      </c>
      <c r="Q1432" t="s">
        <v>870</v>
      </c>
      <c r="R1432" t="s">
        <v>871</v>
      </c>
      <c r="S1432" t="s">
        <v>3800</v>
      </c>
      <c r="T1432" t="s">
        <v>4904</v>
      </c>
      <c r="U1432" t="s">
        <v>4859</v>
      </c>
      <c r="V1432" s="8">
        <v>0</v>
      </c>
      <c r="W1432" s="7">
        <v>590054</v>
      </c>
      <c r="X1432" t="s">
        <v>4860</v>
      </c>
      <c r="Y1432" s="8">
        <v>0</v>
      </c>
      <c r="Z1432" s="8">
        <v>0</v>
      </c>
      <c r="AA1432" s="8">
        <v>0</v>
      </c>
      <c r="AB1432" s="7">
        <v>113521</v>
      </c>
      <c r="AC1432" t="s">
        <v>4860</v>
      </c>
      <c r="AD1432" s="8">
        <v>0</v>
      </c>
      <c r="AG1432" t="s">
        <v>801</v>
      </c>
      <c r="AH1432" t="s">
        <v>802</v>
      </c>
      <c r="AI1432" t="s">
        <v>803</v>
      </c>
    </row>
    <row r="1433" spans="1:35" hidden="1">
      <c r="A1433" s="7">
        <v>1432</v>
      </c>
      <c r="B1433" t="s">
        <v>243</v>
      </c>
      <c r="C1433" t="s">
        <v>244</v>
      </c>
      <c r="D1433" s="7">
        <v>7134</v>
      </c>
      <c r="E1433" t="s">
        <v>245</v>
      </c>
      <c r="F1433" t="s">
        <v>246</v>
      </c>
      <c r="G1433" t="s">
        <v>263</v>
      </c>
      <c r="H1433" t="s">
        <v>4907</v>
      </c>
      <c r="I1433" s="7">
        <v>875</v>
      </c>
      <c r="J1433" s="7">
        <v>50803</v>
      </c>
      <c r="K1433" s="7">
        <v>3</v>
      </c>
      <c r="L1433" t="s">
        <v>247</v>
      </c>
      <c r="M1433" t="s">
        <v>261</v>
      </c>
      <c r="N1433" s="7">
        <v>796143</v>
      </c>
      <c r="O1433" t="s">
        <v>2003</v>
      </c>
      <c r="P1433" t="s">
        <v>2004</v>
      </c>
      <c r="S1433" t="s">
        <v>3800</v>
      </c>
      <c r="T1433" t="s">
        <v>4904</v>
      </c>
      <c r="U1433" t="s">
        <v>4859</v>
      </c>
      <c r="V1433" s="8">
        <v>1250</v>
      </c>
      <c r="W1433" s="7">
        <v>590054</v>
      </c>
      <c r="X1433" t="s">
        <v>4860</v>
      </c>
      <c r="Y1433" s="8">
        <v>1250</v>
      </c>
      <c r="Z1433" s="8">
        <v>1475</v>
      </c>
      <c r="AA1433" s="8">
        <v>225</v>
      </c>
      <c r="AB1433" s="7">
        <v>113521</v>
      </c>
      <c r="AC1433" t="s">
        <v>4860</v>
      </c>
      <c r="AD1433" s="8">
        <v>0</v>
      </c>
      <c r="AG1433" t="s">
        <v>817</v>
      </c>
      <c r="AH1433" t="s">
        <v>802</v>
      </c>
      <c r="AI1433" t="s">
        <v>818</v>
      </c>
    </row>
    <row r="1434" spans="1:35" hidden="1">
      <c r="A1434" s="7">
        <v>1433</v>
      </c>
      <c r="B1434" t="s">
        <v>243</v>
      </c>
      <c r="C1434" t="s">
        <v>244</v>
      </c>
      <c r="D1434" s="7">
        <v>7134</v>
      </c>
      <c r="E1434" t="s">
        <v>245</v>
      </c>
      <c r="F1434" t="s">
        <v>246</v>
      </c>
      <c r="G1434" t="s">
        <v>363</v>
      </c>
      <c r="H1434" t="s">
        <v>4921</v>
      </c>
      <c r="I1434" s="7">
        <v>1165</v>
      </c>
      <c r="J1434" s="7">
        <v>111585</v>
      </c>
      <c r="K1434" s="7">
        <v>7</v>
      </c>
      <c r="L1434" t="s">
        <v>247</v>
      </c>
      <c r="M1434" t="s">
        <v>261</v>
      </c>
      <c r="N1434" s="7">
        <v>785188</v>
      </c>
      <c r="O1434" t="s">
        <v>383</v>
      </c>
      <c r="P1434" t="s">
        <v>384</v>
      </c>
      <c r="Q1434" t="s">
        <v>908</v>
      </c>
      <c r="R1434" t="s">
        <v>909</v>
      </c>
      <c r="S1434" t="s">
        <v>3800</v>
      </c>
      <c r="T1434" t="s">
        <v>4904</v>
      </c>
      <c r="U1434" t="s">
        <v>4859</v>
      </c>
      <c r="V1434" s="8">
        <v>0</v>
      </c>
      <c r="W1434" s="7">
        <v>590054</v>
      </c>
      <c r="X1434" t="s">
        <v>4860</v>
      </c>
      <c r="Y1434" s="8">
        <v>0</v>
      </c>
      <c r="Z1434" s="8">
        <v>0</v>
      </c>
      <c r="AA1434" s="8">
        <v>0</v>
      </c>
      <c r="AB1434" s="7">
        <v>113521</v>
      </c>
      <c r="AC1434" t="s">
        <v>4860</v>
      </c>
      <c r="AD1434" s="8">
        <v>0</v>
      </c>
      <c r="AG1434" t="s">
        <v>801</v>
      </c>
      <c r="AH1434" t="s">
        <v>802</v>
      </c>
      <c r="AI1434" t="s">
        <v>803</v>
      </c>
    </row>
    <row r="1435" spans="1:35" hidden="1">
      <c r="A1435" s="7">
        <v>1434</v>
      </c>
      <c r="B1435" t="s">
        <v>243</v>
      </c>
      <c r="C1435" t="s">
        <v>244</v>
      </c>
      <c r="D1435" s="7">
        <v>7134</v>
      </c>
      <c r="E1435" t="s">
        <v>245</v>
      </c>
      <c r="F1435" t="s">
        <v>246</v>
      </c>
      <c r="G1435" t="s">
        <v>888</v>
      </c>
      <c r="H1435" t="s">
        <v>4905</v>
      </c>
      <c r="I1435" s="7">
        <v>1165</v>
      </c>
      <c r="J1435" s="7">
        <v>100000</v>
      </c>
      <c r="K1435" s="7">
        <v>10</v>
      </c>
      <c r="L1435" t="s">
        <v>247</v>
      </c>
      <c r="M1435" t="s">
        <v>267</v>
      </c>
      <c r="N1435" s="7">
        <v>776290</v>
      </c>
      <c r="O1435" t="s">
        <v>889</v>
      </c>
      <c r="P1435" t="s">
        <v>890</v>
      </c>
      <c r="S1435" t="s">
        <v>3800</v>
      </c>
      <c r="T1435" t="s">
        <v>4904</v>
      </c>
      <c r="U1435" t="s">
        <v>4859</v>
      </c>
      <c r="V1435" s="8">
        <v>0</v>
      </c>
      <c r="W1435" s="7">
        <v>590054</v>
      </c>
      <c r="X1435" t="s">
        <v>4860</v>
      </c>
      <c r="Y1435" s="8">
        <v>0</v>
      </c>
      <c r="Z1435" s="8">
        <v>0</v>
      </c>
      <c r="AA1435" s="8">
        <v>0</v>
      </c>
      <c r="AB1435" s="7">
        <v>113521</v>
      </c>
      <c r="AC1435" t="s">
        <v>4860</v>
      </c>
      <c r="AD1435" s="8">
        <v>0</v>
      </c>
      <c r="AG1435" t="s">
        <v>828</v>
      </c>
      <c r="AH1435" t="s">
        <v>802</v>
      </c>
      <c r="AI1435" t="s">
        <v>803</v>
      </c>
    </row>
    <row r="1436" spans="1:35" hidden="1">
      <c r="A1436" s="7">
        <v>1435</v>
      </c>
      <c r="B1436" t="s">
        <v>243</v>
      </c>
      <c r="C1436" t="s">
        <v>244</v>
      </c>
      <c r="D1436" s="7">
        <v>7134</v>
      </c>
      <c r="E1436" t="s">
        <v>245</v>
      </c>
      <c r="F1436" t="s">
        <v>246</v>
      </c>
      <c r="G1436" t="s">
        <v>1224</v>
      </c>
      <c r="H1436" t="s">
        <v>4905</v>
      </c>
      <c r="I1436" s="7">
        <v>1165</v>
      </c>
      <c r="J1436" s="7">
        <v>34797</v>
      </c>
      <c r="K1436" s="7">
        <v>4</v>
      </c>
      <c r="L1436" t="s">
        <v>247</v>
      </c>
      <c r="M1436" t="s">
        <v>252</v>
      </c>
      <c r="N1436" s="7">
        <v>324054</v>
      </c>
      <c r="O1436" t="s">
        <v>4922</v>
      </c>
      <c r="P1436" t="s">
        <v>4923</v>
      </c>
      <c r="S1436" t="s">
        <v>3800</v>
      </c>
      <c r="T1436" t="s">
        <v>4904</v>
      </c>
      <c r="U1436" t="s">
        <v>4859</v>
      </c>
      <c r="V1436" s="8">
        <v>0</v>
      </c>
      <c r="W1436" s="7">
        <v>590054</v>
      </c>
      <c r="X1436" t="s">
        <v>4860</v>
      </c>
      <c r="Y1436" s="8">
        <v>0</v>
      </c>
      <c r="Z1436" s="8">
        <v>0</v>
      </c>
      <c r="AA1436" s="8">
        <v>0</v>
      </c>
      <c r="AB1436" s="7">
        <v>113521</v>
      </c>
      <c r="AC1436" t="s">
        <v>4860</v>
      </c>
      <c r="AD1436" s="8">
        <v>0</v>
      </c>
      <c r="AG1436" t="s">
        <v>937</v>
      </c>
      <c r="AH1436" t="s">
        <v>802</v>
      </c>
      <c r="AI1436" t="s">
        <v>803</v>
      </c>
    </row>
    <row r="1437" spans="1:35">
      <c r="A1437" s="7">
        <v>1436</v>
      </c>
      <c r="B1437" t="s">
        <v>243</v>
      </c>
      <c r="C1437" t="s">
        <v>244</v>
      </c>
      <c r="D1437" s="7">
        <v>7134</v>
      </c>
      <c r="E1437" t="s">
        <v>245</v>
      </c>
      <c r="F1437" t="s">
        <v>246</v>
      </c>
      <c r="G1437" t="s">
        <v>333</v>
      </c>
      <c r="H1437" t="s">
        <v>4917</v>
      </c>
      <c r="I1437" s="7">
        <v>1165</v>
      </c>
      <c r="J1437" s="7">
        <v>6812</v>
      </c>
      <c r="K1437" s="7">
        <v>4</v>
      </c>
      <c r="L1437" t="s">
        <v>247</v>
      </c>
      <c r="M1437" t="s">
        <v>252</v>
      </c>
      <c r="N1437" s="7">
        <v>328462</v>
      </c>
      <c r="O1437" t="s">
        <v>386</v>
      </c>
      <c r="P1437" t="s">
        <v>387</v>
      </c>
      <c r="S1437" t="s">
        <v>3800</v>
      </c>
      <c r="T1437" t="s">
        <v>4904</v>
      </c>
      <c r="U1437" t="s">
        <v>4859</v>
      </c>
      <c r="V1437" s="8">
        <v>0</v>
      </c>
      <c r="W1437" s="7">
        <v>590054</v>
      </c>
      <c r="X1437" t="s">
        <v>4860</v>
      </c>
      <c r="Y1437" s="8">
        <v>0</v>
      </c>
      <c r="Z1437" s="8">
        <v>0</v>
      </c>
      <c r="AA1437" s="8">
        <v>0</v>
      </c>
      <c r="AB1437" s="7">
        <v>113521</v>
      </c>
      <c r="AC1437" t="s">
        <v>4860</v>
      </c>
      <c r="AD1437" s="8">
        <v>0</v>
      </c>
      <c r="AG1437" t="s">
        <v>937</v>
      </c>
      <c r="AH1437" t="s">
        <v>802</v>
      </c>
      <c r="AI1437" t="s">
        <v>803</v>
      </c>
    </row>
    <row r="1438" spans="1:35" hidden="1">
      <c r="A1438" s="7">
        <v>1437</v>
      </c>
      <c r="B1438" t="s">
        <v>243</v>
      </c>
      <c r="C1438" t="s">
        <v>244</v>
      </c>
      <c r="D1438" s="7">
        <v>7134</v>
      </c>
      <c r="E1438" t="s">
        <v>245</v>
      </c>
      <c r="F1438" t="s">
        <v>246</v>
      </c>
      <c r="G1438" t="s">
        <v>1226</v>
      </c>
      <c r="H1438" t="s">
        <v>4916</v>
      </c>
      <c r="I1438" s="7">
        <v>1165</v>
      </c>
      <c r="J1438" s="7">
        <v>77520</v>
      </c>
      <c r="K1438" s="7">
        <v>10</v>
      </c>
      <c r="L1438" t="s">
        <v>247</v>
      </c>
      <c r="M1438" t="s">
        <v>261</v>
      </c>
      <c r="N1438" s="7">
        <v>765111</v>
      </c>
      <c r="O1438" t="s">
        <v>3013</v>
      </c>
      <c r="P1438" t="s">
        <v>3014</v>
      </c>
      <c r="S1438" t="s">
        <v>3800</v>
      </c>
      <c r="T1438" t="s">
        <v>4904</v>
      </c>
      <c r="U1438" t="s">
        <v>4859</v>
      </c>
      <c r="V1438" s="8">
        <v>0</v>
      </c>
      <c r="W1438" s="7">
        <v>590054</v>
      </c>
      <c r="X1438" t="s">
        <v>4860</v>
      </c>
      <c r="Y1438" s="8">
        <v>0</v>
      </c>
      <c r="Z1438" s="8">
        <v>0</v>
      </c>
      <c r="AA1438" s="8">
        <v>0</v>
      </c>
      <c r="AB1438" s="7">
        <v>113521</v>
      </c>
      <c r="AC1438" t="s">
        <v>4860</v>
      </c>
      <c r="AD1438" s="8">
        <v>0</v>
      </c>
      <c r="AG1438" t="s">
        <v>801</v>
      </c>
      <c r="AH1438" t="s">
        <v>802</v>
      </c>
      <c r="AI1438" t="s">
        <v>803</v>
      </c>
    </row>
    <row r="1439" spans="1:35" hidden="1">
      <c r="A1439" s="7">
        <v>1438</v>
      </c>
      <c r="B1439" t="s">
        <v>243</v>
      </c>
      <c r="C1439" t="s">
        <v>244</v>
      </c>
      <c r="D1439" s="7">
        <v>7134</v>
      </c>
      <c r="E1439" t="s">
        <v>245</v>
      </c>
      <c r="F1439" t="s">
        <v>246</v>
      </c>
      <c r="G1439" t="s">
        <v>1577</v>
      </c>
      <c r="H1439" t="s">
        <v>4918</v>
      </c>
      <c r="I1439" s="7">
        <v>1165</v>
      </c>
      <c r="J1439" s="7">
        <v>60000</v>
      </c>
      <c r="K1439" s="7">
        <v>6</v>
      </c>
      <c r="L1439" t="s">
        <v>247</v>
      </c>
      <c r="M1439" t="s">
        <v>361</v>
      </c>
      <c r="N1439" s="7">
        <v>5392</v>
      </c>
      <c r="O1439" t="s">
        <v>1578</v>
      </c>
      <c r="P1439" t="s">
        <v>1579</v>
      </c>
      <c r="S1439" t="s">
        <v>3800</v>
      </c>
      <c r="T1439" t="s">
        <v>4904</v>
      </c>
      <c r="U1439" t="s">
        <v>4859</v>
      </c>
      <c r="V1439" s="8">
        <v>0</v>
      </c>
      <c r="W1439" s="7">
        <v>590054</v>
      </c>
      <c r="X1439" t="s">
        <v>4860</v>
      </c>
      <c r="Y1439" s="8">
        <v>0</v>
      </c>
      <c r="Z1439" s="8">
        <v>0</v>
      </c>
      <c r="AA1439" s="8">
        <v>0</v>
      </c>
      <c r="AB1439" s="7">
        <v>113521</v>
      </c>
      <c r="AC1439" t="s">
        <v>4860</v>
      </c>
      <c r="AD1439" s="8">
        <v>0</v>
      </c>
      <c r="AG1439" t="s">
        <v>823</v>
      </c>
      <c r="AH1439" t="s">
        <v>802</v>
      </c>
      <c r="AI1439" t="s">
        <v>803</v>
      </c>
    </row>
    <row r="1440" spans="1:35" hidden="1">
      <c r="A1440" s="7">
        <v>1439</v>
      </c>
      <c r="B1440" t="s">
        <v>243</v>
      </c>
      <c r="C1440" t="s">
        <v>244</v>
      </c>
      <c r="D1440" s="7">
        <v>7134</v>
      </c>
      <c r="E1440" t="s">
        <v>245</v>
      </c>
      <c r="F1440" t="s">
        <v>246</v>
      </c>
      <c r="G1440" t="s">
        <v>732</v>
      </c>
      <c r="H1440" t="s">
        <v>4905</v>
      </c>
      <c r="I1440" s="7">
        <v>1165</v>
      </c>
      <c r="J1440" s="7">
        <v>30357</v>
      </c>
      <c r="K1440" s="7">
        <v>3</v>
      </c>
      <c r="L1440" t="s">
        <v>247</v>
      </c>
      <c r="M1440" t="s">
        <v>252</v>
      </c>
      <c r="N1440" s="7">
        <v>328672</v>
      </c>
      <c r="O1440" t="s">
        <v>748</v>
      </c>
      <c r="P1440" t="s">
        <v>749</v>
      </c>
      <c r="S1440" t="s">
        <v>3800</v>
      </c>
      <c r="T1440" t="s">
        <v>4904</v>
      </c>
      <c r="U1440" t="s">
        <v>4859</v>
      </c>
      <c r="V1440" s="8">
        <v>1250</v>
      </c>
      <c r="W1440" s="7">
        <v>590054</v>
      </c>
      <c r="X1440" t="s">
        <v>4860</v>
      </c>
      <c r="Y1440" s="8">
        <v>1250</v>
      </c>
      <c r="Z1440" s="8">
        <v>1475</v>
      </c>
      <c r="AA1440" s="8">
        <v>225</v>
      </c>
      <c r="AB1440" s="7">
        <v>113521</v>
      </c>
      <c r="AC1440" t="s">
        <v>4860</v>
      </c>
      <c r="AD1440" s="8">
        <v>0</v>
      </c>
      <c r="AG1440" t="s">
        <v>937</v>
      </c>
      <c r="AH1440" t="s">
        <v>802</v>
      </c>
      <c r="AI1440" t="s">
        <v>818</v>
      </c>
    </row>
    <row r="1441" spans="1:35" hidden="1">
      <c r="A1441" s="7">
        <v>1440</v>
      </c>
      <c r="B1441" t="s">
        <v>243</v>
      </c>
      <c r="C1441" t="s">
        <v>244</v>
      </c>
      <c r="D1441" s="7">
        <v>7134</v>
      </c>
      <c r="E1441" t="s">
        <v>245</v>
      </c>
      <c r="F1441" t="s">
        <v>246</v>
      </c>
      <c r="G1441" t="s">
        <v>263</v>
      </c>
      <c r="H1441" t="s">
        <v>4910</v>
      </c>
      <c r="I1441" s="7">
        <v>871</v>
      </c>
      <c r="J1441" s="7">
        <v>51000</v>
      </c>
      <c r="K1441" s="7">
        <v>3</v>
      </c>
      <c r="L1441" t="s">
        <v>247</v>
      </c>
      <c r="M1441" t="s">
        <v>261</v>
      </c>
      <c r="N1441" s="7">
        <v>796125</v>
      </c>
      <c r="O1441" t="s">
        <v>3754</v>
      </c>
      <c r="P1441" t="s">
        <v>3755</v>
      </c>
      <c r="Q1441" t="s">
        <v>908</v>
      </c>
      <c r="R1441" t="s">
        <v>909</v>
      </c>
      <c r="S1441" t="s">
        <v>3800</v>
      </c>
      <c r="T1441" t="s">
        <v>4904</v>
      </c>
      <c r="U1441" t="s">
        <v>4859</v>
      </c>
      <c r="V1441" s="8">
        <v>1250</v>
      </c>
      <c r="W1441" s="7">
        <v>590054</v>
      </c>
      <c r="X1441" t="s">
        <v>4860</v>
      </c>
      <c r="Y1441" s="8">
        <v>1000</v>
      </c>
      <c r="Z1441" s="8">
        <v>1475</v>
      </c>
      <c r="AA1441" s="8">
        <v>225</v>
      </c>
      <c r="AB1441" s="7">
        <v>113521</v>
      </c>
      <c r="AC1441" t="s">
        <v>4860</v>
      </c>
      <c r="AD1441" s="8">
        <v>250</v>
      </c>
      <c r="AG1441" t="s">
        <v>817</v>
      </c>
      <c r="AH1441" t="s">
        <v>802</v>
      </c>
      <c r="AI1441" t="s">
        <v>818</v>
      </c>
    </row>
    <row r="1442" spans="1:35" hidden="1">
      <c r="A1442" s="7">
        <v>1441</v>
      </c>
      <c r="B1442" t="s">
        <v>243</v>
      </c>
      <c r="C1442" t="s">
        <v>244</v>
      </c>
      <c r="D1442" s="7">
        <v>7134</v>
      </c>
      <c r="E1442" t="s">
        <v>245</v>
      </c>
      <c r="F1442" t="s">
        <v>246</v>
      </c>
      <c r="G1442" t="s">
        <v>263</v>
      </c>
      <c r="H1442" t="s">
        <v>4910</v>
      </c>
      <c r="I1442" s="7">
        <v>887</v>
      </c>
      <c r="J1442" s="7">
        <v>50000</v>
      </c>
      <c r="K1442" s="7">
        <v>3</v>
      </c>
      <c r="L1442" t="s">
        <v>247</v>
      </c>
      <c r="M1442" t="s">
        <v>261</v>
      </c>
      <c r="N1442" s="7">
        <v>796173</v>
      </c>
      <c r="O1442" t="s">
        <v>1958</v>
      </c>
      <c r="P1442" t="s">
        <v>1959</v>
      </c>
      <c r="S1442" t="s">
        <v>3800</v>
      </c>
      <c r="T1442" t="s">
        <v>4904</v>
      </c>
      <c r="U1442" t="s">
        <v>4859</v>
      </c>
      <c r="V1442" s="8">
        <v>1250</v>
      </c>
      <c r="W1442" s="7">
        <v>590054</v>
      </c>
      <c r="X1442" t="s">
        <v>4860</v>
      </c>
      <c r="Y1442" s="8">
        <v>1250</v>
      </c>
      <c r="Z1442" s="8">
        <v>1475</v>
      </c>
      <c r="AA1442" s="8">
        <v>225</v>
      </c>
      <c r="AB1442" s="7">
        <v>113521</v>
      </c>
      <c r="AC1442" t="s">
        <v>4860</v>
      </c>
      <c r="AD1442" s="8">
        <v>0</v>
      </c>
      <c r="AG1442" t="s">
        <v>817</v>
      </c>
      <c r="AH1442" t="s">
        <v>802</v>
      </c>
      <c r="AI1442" t="s">
        <v>818</v>
      </c>
    </row>
    <row r="1443" spans="1:35" hidden="1">
      <c r="A1443" s="7">
        <v>1442</v>
      </c>
      <c r="B1443" t="s">
        <v>243</v>
      </c>
      <c r="C1443" t="s">
        <v>244</v>
      </c>
      <c r="D1443" s="7">
        <v>7134</v>
      </c>
      <c r="E1443" t="s">
        <v>245</v>
      </c>
      <c r="F1443" t="s">
        <v>246</v>
      </c>
      <c r="G1443" t="s">
        <v>732</v>
      </c>
      <c r="H1443" t="s">
        <v>4924</v>
      </c>
      <c r="I1443" s="7">
        <v>1165</v>
      </c>
      <c r="J1443" s="7">
        <v>30000</v>
      </c>
      <c r="K1443" s="7">
        <v>3</v>
      </c>
      <c r="L1443" t="s">
        <v>247</v>
      </c>
      <c r="M1443" t="s">
        <v>252</v>
      </c>
      <c r="N1443" s="7">
        <v>326024</v>
      </c>
      <c r="O1443" t="s">
        <v>734</v>
      </c>
      <c r="P1443" t="s">
        <v>735</v>
      </c>
      <c r="S1443" t="s">
        <v>3800</v>
      </c>
      <c r="T1443" t="s">
        <v>4904</v>
      </c>
      <c r="U1443" t="s">
        <v>4859</v>
      </c>
      <c r="V1443" s="8">
        <v>1250</v>
      </c>
      <c r="W1443" s="7">
        <v>590054</v>
      </c>
      <c r="X1443" t="s">
        <v>4860</v>
      </c>
      <c r="Y1443" s="8">
        <v>1250</v>
      </c>
      <c r="Z1443" s="8">
        <v>1475</v>
      </c>
      <c r="AA1443" s="8">
        <v>225</v>
      </c>
      <c r="AB1443" s="7">
        <v>113521</v>
      </c>
      <c r="AC1443" t="s">
        <v>4860</v>
      </c>
      <c r="AD1443" s="8">
        <v>0</v>
      </c>
      <c r="AG1443" t="s">
        <v>937</v>
      </c>
      <c r="AH1443" t="s">
        <v>802</v>
      </c>
      <c r="AI1443" t="s">
        <v>818</v>
      </c>
    </row>
    <row r="1444" spans="1:35" hidden="1">
      <c r="A1444" s="7">
        <v>1443</v>
      </c>
      <c r="B1444" t="s">
        <v>243</v>
      </c>
      <c r="C1444" t="s">
        <v>244</v>
      </c>
      <c r="D1444" s="7">
        <v>7134</v>
      </c>
      <c r="E1444" t="s">
        <v>245</v>
      </c>
      <c r="F1444" t="s">
        <v>246</v>
      </c>
      <c r="G1444" t="s">
        <v>3090</v>
      </c>
      <c r="H1444" t="s">
        <v>4904</v>
      </c>
      <c r="I1444" s="7">
        <v>1165</v>
      </c>
      <c r="J1444" s="7">
        <v>10775</v>
      </c>
      <c r="K1444" s="7">
        <v>3</v>
      </c>
      <c r="L1444" t="s">
        <v>247</v>
      </c>
      <c r="M1444" t="s">
        <v>261</v>
      </c>
      <c r="N1444" s="7">
        <v>778945</v>
      </c>
      <c r="O1444" t="s">
        <v>3239</v>
      </c>
      <c r="P1444" t="s">
        <v>3240</v>
      </c>
      <c r="S1444" t="s">
        <v>3800</v>
      </c>
      <c r="T1444" t="s">
        <v>4904</v>
      </c>
      <c r="U1444" t="s">
        <v>4859</v>
      </c>
      <c r="V1444" s="8">
        <v>1250</v>
      </c>
      <c r="W1444" s="7">
        <v>590054</v>
      </c>
      <c r="X1444" t="s">
        <v>4860</v>
      </c>
      <c r="Y1444" s="8">
        <v>1250</v>
      </c>
      <c r="Z1444" s="8">
        <v>1475</v>
      </c>
      <c r="AA1444" s="8">
        <v>225</v>
      </c>
      <c r="AB1444" s="7">
        <v>113521</v>
      </c>
      <c r="AC1444" t="s">
        <v>4860</v>
      </c>
      <c r="AD1444" s="8">
        <v>0</v>
      </c>
      <c r="AG1444" t="s">
        <v>808</v>
      </c>
      <c r="AH1444" t="s">
        <v>802</v>
      </c>
      <c r="AI1444" t="s">
        <v>818</v>
      </c>
    </row>
    <row r="1445" spans="1:35" hidden="1">
      <c r="A1445" s="7">
        <v>1444</v>
      </c>
      <c r="B1445" t="s">
        <v>243</v>
      </c>
      <c r="C1445" t="s">
        <v>244</v>
      </c>
      <c r="D1445" s="7">
        <v>7134</v>
      </c>
      <c r="E1445" t="s">
        <v>245</v>
      </c>
      <c r="F1445" t="s">
        <v>246</v>
      </c>
      <c r="G1445" t="s">
        <v>1705</v>
      </c>
      <c r="H1445" t="s">
        <v>4925</v>
      </c>
      <c r="I1445" s="7">
        <v>1165</v>
      </c>
      <c r="J1445" s="7">
        <v>98387</v>
      </c>
      <c r="K1445" s="7">
        <v>10</v>
      </c>
      <c r="L1445" t="s">
        <v>247</v>
      </c>
      <c r="M1445" t="s">
        <v>267</v>
      </c>
      <c r="N1445" s="7">
        <v>777193</v>
      </c>
      <c r="O1445" t="s">
        <v>1706</v>
      </c>
      <c r="P1445" t="s">
        <v>1707</v>
      </c>
      <c r="S1445" t="s">
        <v>3800</v>
      </c>
      <c r="T1445" t="s">
        <v>4904</v>
      </c>
      <c r="U1445" t="s">
        <v>4859</v>
      </c>
      <c r="V1445" s="8">
        <v>0</v>
      </c>
      <c r="W1445" s="7">
        <v>590054</v>
      </c>
      <c r="X1445" t="s">
        <v>4860</v>
      </c>
      <c r="Y1445" s="8">
        <v>0</v>
      </c>
      <c r="Z1445" s="8">
        <v>0</v>
      </c>
      <c r="AA1445" s="8">
        <v>0</v>
      </c>
      <c r="AB1445" s="7">
        <v>113521</v>
      </c>
      <c r="AC1445" t="s">
        <v>4860</v>
      </c>
      <c r="AD1445" s="8">
        <v>0</v>
      </c>
      <c r="AG1445" t="s">
        <v>828</v>
      </c>
      <c r="AH1445" t="s">
        <v>802</v>
      </c>
      <c r="AI1445" t="s">
        <v>803</v>
      </c>
    </row>
    <row r="1446" spans="1:35" hidden="1">
      <c r="A1446" s="7">
        <v>1445</v>
      </c>
      <c r="B1446" t="s">
        <v>243</v>
      </c>
      <c r="C1446" t="s">
        <v>244</v>
      </c>
      <c r="D1446" s="7">
        <v>7134</v>
      </c>
      <c r="E1446" t="s">
        <v>245</v>
      </c>
      <c r="F1446" t="s">
        <v>246</v>
      </c>
      <c r="G1446" t="s">
        <v>1580</v>
      </c>
      <c r="H1446" t="s">
        <v>4914</v>
      </c>
      <c r="I1446" s="7">
        <v>1165</v>
      </c>
      <c r="J1446" s="7">
        <v>110000</v>
      </c>
      <c r="K1446" s="7">
        <v>11</v>
      </c>
      <c r="L1446" t="s">
        <v>247</v>
      </c>
      <c r="M1446" t="s">
        <v>361</v>
      </c>
      <c r="N1446" s="7">
        <v>3489</v>
      </c>
      <c r="O1446" t="s">
        <v>1581</v>
      </c>
      <c r="P1446" t="s">
        <v>1582</v>
      </c>
      <c r="S1446" t="s">
        <v>3800</v>
      </c>
      <c r="T1446" t="s">
        <v>4904</v>
      </c>
      <c r="U1446" t="s">
        <v>4859</v>
      </c>
      <c r="V1446" s="8">
        <v>0</v>
      </c>
      <c r="W1446" s="7">
        <v>590054</v>
      </c>
      <c r="X1446" t="s">
        <v>4860</v>
      </c>
      <c r="Y1446" s="8">
        <v>0</v>
      </c>
      <c r="Z1446" s="8">
        <v>0</v>
      </c>
      <c r="AA1446" s="8">
        <v>0</v>
      </c>
      <c r="AB1446" s="7">
        <v>113521</v>
      </c>
      <c r="AC1446" t="s">
        <v>4860</v>
      </c>
      <c r="AD1446" s="8">
        <v>0</v>
      </c>
      <c r="AG1446" t="s">
        <v>823</v>
      </c>
      <c r="AH1446" t="s">
        <v>802</v>
      </c>
      <c r="AI1446" t="s">
        <v>803</v>
      </c>
    </row>
    <row r="1447" spans="1:35" hidden="1">
      <c r="A1447" s="7">
        <v>1446</v>
      </c>
      <c r="B1447" t="s">
        <v>243</v>
      </c>
      <c r="C1447" t="s">
        <v>244</v>
      </c>
      <c r="D1447" s="7">
        <v>7134</v>
      </c>
      <c r="E1447" t="s">
        <v>245</v>
      </c>
      <c r="F1447" t="s">
        <v>246</v>
      </c>
      <c r="G1447" t="s">
        <v>3078</v>
      </c>
      <c r="H1447" t="s">
        <v>4911</v>
      </c>
      <c r="I1447" s="7">
        <v>1165</v>
      </c>
      <c r="J1447" s="7">
        <v>10000</v>
      </c>
      <c r="K1447" s="7">
        <v>1</v>
      </c>
      <c r="L1447" t="s">
        <v>247</v>
      </c>
      <c r="M1447" t="s">
        <v>261</v>
      </c>
      <c r="N1447" s="7">
        <v>807123</v>
      </c>
      <c r="O1447" t="s">
        <v>3440</v>
      </c>
      <c r="P1447" t="s">
        <v>3441</v>
      </c>
      <c r="Q1447" t="s">
        <v>870</v>
      </c>
      <c r="R1447" t="s">
        <v>871</v>
      </c>
      <c r="S1447" t="s">
        <v>3800</v>
      </c>
      <c r="T1447" t="s">
        <v>4904</v>
      </c>
      <c r="U1447" t="s">
        <v>4859</v>
      </c>
      <c r="V1447" s="8">
        <v>1250</v>
      </c>
      <c r="W1447" s="7">
        <v>590054</v>
      </c>
      <c r="X1447" t="s">
        <v>4860</v>
      </c>
      <c r="Y1447" s="8">
        <v>1000</v>
      </c>
      <c r="Z1447" s="8">
        <v>1475</v>
      </c>
      <c r="AA1447" s="8">
        <v>225</v>
      </c>
      <c r="AB1447" s="7">
        <v>113521</v>
      </c>
      <c r="AC1447" t="s">
        <v>4860</v>
      </c>
      <c r="AD1447" s="8">
        <v>250</v>
      </c>
      <c r="AG1447" t="s">
        <v>801</v>
      </c>
      <c r="AH1447" t="s">
        <v>802</v>
      </c>
      <c r="AI1447" t="s">
        <v>818</v>
      </c>
    </row>
    <row r="1448" spans="1:35" hidden="1">
      <c r="A1448" s="7">
        <v>1447</v>
      </c>
      <c r="B1448" t="s">
        <v>243</v>
      </c>
      <c r="C1448" t="s">
        <v>244</v>
      </c>
      <c r="D1448" s="7">
        <v>7134</v>
      </c>
      <c r="E1448" t="s">
        <v>245</v>
      </c>
      <c r="F1448" t="s">
        <v>246</v>
      </c>
      <c r="G1448" t="s">
        <v>1457</v>
      </c>
      <c r="H1448" t="s">
        <v>4907</v>
      </c>
      <c r="I1448" s="7">
        <v>877</v>
      </c>
      <c r="J1448" s="7">
        <v>51552</v>
      </c>
      <c r="K1448" s="7">
        <v>3</v>
      </c>
      <c r="L1448" t="s">
        <v>247</v>
      </c>
      <c r="M1448" t="s">
        <v>261</v>
      </c>
      <c r="N1448" s="7">
        <v>796498</v>
      </c>
      <c r="O1448" t="s">
        <v>3391</v>
      </c>
      <c r="P1448" t="s">
        <v>3392</v>
      </c>
      <c r="Q1448" t="s">
        <v>908</v>
      </c>
      <c r="R1448" t="s">
        <v>909</v>
      </c>
      <c r="S1448" t="s">
        <v>3800</v>
      </c>
      <c r="T1448" t="s">
        <v>4904</v>
      </c>
      <c r="U1448" t="s">
        <v>4859</v>
      </c>
      <c r="V1448" s="8">
        <v>1250</v>
      </c>
      <c r="W1448" s="7">
        <v>590054</v>
      </c>
      <c r="X1448" t="s">
        <v>4860</v>
      </c>
      <c r="Y1448" s="8">
        <v>1000</v>
      </c>
      <c r="Z1448" s="8">
        <v>1475</v>
      </c>
      <c r="AA1448" s="8">
        <v>225</v>
      </c>
      <c r="AB1448" s="7">
        <v>113521</v>
      </c>
      <c r="AC1448" t="s">
        <v>4860</v>
      </c>
      <c r="AD1448" s="8">
        <v>250</v>
      </c>
      <c r="AG1448" t="s">
        <v>817</v>
      </c>
      <c r="AH1448" t="s">
        <v>802</v>
      </c>
      <c r="AI1448" t="s">
        <v>818</v>
      </c>
    </row>
    <row r="1449" spans="1:35" hidden="1">
      <c r="A1449" s="7">
        <v>1448</v>
      </c>
      <c r="B1449" t="s">
        <v>243</v>
      </c>
      <c r="C1449" t="s">
        <v>244</v>
      </c>
      <c r="D1449" s="7">
        <v>7134</v>
      </c>
      <c r="E1449" t="s">
        <v>245</v>
      </c>
      <c r="F1449" t="s">
        <v>246</v>
      </c>
      <c r="G1449" t="s">
        <v>707</v>
      </c>
      <c r="H1449" t="s">
        <v>4918</v>
      </c>
      <c r="I1449" s="7">
        <v>1165</v>
      </c>
      <c r="J1449" s="7">
        <v>20000</v>
      </c>
      <c r="K1449" s="7">
        <v>2</v>
      </c>
      <c r="L1449" t="s">
        <v>247</v>
      </c>
      <c r="M1449" t="s">
        <v>361</v>
      </c>
      <c r="N1449" s="7">
        <v>8108</v>
      </c>
      <c r="O1449" t="s">
        <v>709</v>
      </c>
      <c r="P1449" t="s">
        <v>710</v>
      </c>
      <c r="S1449" t="s">
        <v>3800</v>
      </c>
      <c r="T1449" t="s">
        <v>4904</v>
      </c>
      <c r="U1449" t="s">
        <v>4859</v>
      </c>
      <c r="V1449" s="8">
        <v>0</v>
      </c>
      <c r="W1449" s="7">
        <v>590054</v>
      </c>
      <c r="X1449" t="s">
        <v>4860</v>
      </c>
      <c r="Y1449" s="8">
        <v>0</v>
      </c>
      <c r="Z1449" s="8">
        <v>0</v>
      </c>
      <c r="AA1449" s="8">
        <v>0</v>
      </c>
      <c r="AB1449" s="7">
        <v>113521</v>
      </c>
      <c r="AC1449" t="s">
        <v>4860</v>
      </c>
      <c r="AD1449" s="8">
        <v>0</v>
      </c>
      <c r="AG1449" t="s">
        <v>823</v>
      </c>
      <c r="AH1449" t="s">
        <v>802</v>
      </c>
      <c r="AI1449" t="s">
        <v>803</v>
      </c>
    </row>
    <row r="1450" spans="1:35" hidden="1">
      <c r="A1450" s="7">
        <v>1449</v>
      </c>
      <c r="B1450" t="s">
        <v>243</v>
      </c>
      <c r="C1450" t="s">
        <v>244</v>
      </c>
      <c r="D1450" s="7">
        <v>7134</v>
      </c>
      <c r="E1450" t="s">
        <v>245</v>
      </c>
      <c r="F1450" t="s">
        <v>246</v>
      </c>
      <c r="G1450" t="s">
        <v>1180</v>
      </c>
      <c r="H1450" t="s">
        <v>4906</v>
      </c>
      <c r="I1450" s="7">
        <v>1165</v>
      </c>
      <c r="J1450" s="7">
        <v>82093</v>
      </c>
      <c r="K1450" s="7">
        <v>8</v>
      </c>
      <c r="L1450" t="s">
        <v>247</v>
      </c>
      <c r="M1450" t="s">
        <v>261</v>
      </c>
      <c r="N1450" s="7">
        <v>774600</v>
      </c>
      <c r="O1450" t="s">
        <v>1181</v>
      </c>
      <c r="P1450" t="s">
        <v>1182</v>
      </c>
      <c r="Q1450" t="s">
        <v>908</v>
      </c>
      <c r="R1450" t="s">
        <v>909</v>
      </c>
      <c r="S1450" t="s">
        <v>3800</v>
      </c>
      <c r="T1450" t="s">
        <v>4904</v>
      </c>
      <c r="U1450" t="s">
        <v>4859</v>
      </c>
      <c r="V1450" s="8">
        <v>1250</v>
      </c>
      <c r="W1450" s="7">
        <v>590054</v>
      </c>
      <c r="X1450" t="s">
        <v>4860</v>
      </c>
      <c r="Y1450" s="8">
        <v>1000</v>
      </c>
      <c r="Z1450" s="8">
        <v>1475</v>
      </c>
      <c r="AA1450" s="8">
        <v>225</v>
      </c>
      <c r="AB1450" s="7">
        <v>113521</v>
      </c>
      <c r="AC1450" t="s">
        <v>4860</v>
      </c>
      <c r="AD1450" s="8">
        <v>250</v>
      </c>
      <c r="AG1450" t="s">
        <v>801</v>
      </c>
      <c r="AH1450" t="s">
        <v>802</v>
      </c>
      <c r="AI1450" t="s">
        <v>818</v>
      </c>
    </row>
    <row r="1451" spans="1:35" hidden="1">
      <c r="A1451" s="7">
        <v>1450</v>
      </c>
      <c r="B1451" t="s">
        <v>243</v>
      </c>
      <c r="C1451" t="s">
        <v>244</v>
      </c>
      <c r="D1451" s="7">
        <v>7134</v>
      </c>
      <c r="E1451" t="s">
        <v>245</v>
      </c>
      <c r="F1451" t="s">
        <v>246</v>
      </c>
      <c r="G1451" t="s">
        <v>3086</v>
      </c>
      <c r="H1451" t="s">
        <v>4905</v>
      </c>
      <c r="I1451" s="7">
        <v>1165</v>
      </c>
      <c r="J1451" s="7">
        <v>10000</v>
      </c>
      <c r="K1451" s="7">
        <v>1</v>
      </c>
      <c r="L1451" t="s">
        <v>247</v>
      </c>
      <c r="M1451" t="s">
        <v>267</v>
      </c>
      <c r="N1451" s="7">
        <v>806451</v>
      </c>
      <c r="O1451" t="s">
        <v>3225</v>
      </c>
      <c r="P1451" t="s">
        <v>3226</v>
      </c>
      <c r="Q1451" t="s">
        <v>870</v>
      </c>
      <c r="R1451" t="s">
        <v>871</v>
      </c>
      <c r="S1451" t="s">
        <v>3800</v>
      </c>
      <c r="T1451" t="s">
        <v>4904</v>
      </c>
      <c r="U1451" t="s">
        <v>4859</v>
      </c>
      <c r="V1451" s="8">
        <v>1250</v>
      </c>
      <c r="W1451" s="7">
        <v>590054</v>
      </c>
      <c r="X1451" t="s">
        <v>4860</v>
      </c>
      <c r="Y1451" s="8">
        <v>1000</v>
      </c>
      <c r="Z1451" s="8">
        <v>1475</v>
      </c>
      <c r="AA1451" s="8">
        <v>225</v>
      </c>
      <c r="AB1451" s="7">
        <v>113521</v>
      </c>
      <c r="AC1451" t="s">
        <v>4860</v>
      </c>
      <c r="AD1451" s="8">
        <v>250</v>
      </c>
      <c r="AG1451" t="s">
        <v>828</v>
      </c>
      <c r="AH1451" t="s">
        <v>802</v>
      </c>
      <c r="AI1451" t="s">
        <v>818</v>
      </c>
    </row>
    <row r="1452" spans="1:35" hidden="1">
      <c r="A1452" s="7">
        <v>1451</v>
      </c>
      <c r="B1452" t="s">
        <v>243</v>
      </c>
      <c r="C1452" t="s">
        <v>244</v>
      </c>
      <c r="D1452" s="7">
        <v>7134</v>
      </c>
      <c r="E1452" t="s">
        <v>245</v>
      </c>
      <c r="F1452" t="s">
        <v>246</v>
      </c>
      <c r="G1452" t="s">
        <v>3086</v>
      </c>
      <c r="H1452" t="s">
        <v>4919</v>
      </c>
      <c r="I1452" s="7">
        <v>1165</v>
      </c>
      <c r="J1452" s="7">
        <v>12500</v>
      </c>
      <c r="K1452" s="7">
        <v>2</v>
      </c>
      <c r="L1452" t="s">
        <v>247</v>
      </c>
      <c r="M1452" t="s">
        <v>267</v>
      </c>
      <c r="N1452" s="7">
        <v>806451</v>
      </c>
      <c r="O1452" t="s">
        <v>3225</v>
      </c>
      <c r="P1452" t="s">
        <v>3226</v>
      </c>
      <c r="S1452" t="s">
        <v>3800</v>
      </c>
      <c r="T1452" t="s">
        <v>4904</v>
      </c>
      <c r="U1452" t="s">
        <v>4859</v>
      </c>
      <c r="V1452" s="8">
        <v>0</v>
      </c>
      <c r="W1452" s="7">
        <v>590054</v>
      </c>
      <c r="X1452" t="s">
        <v>4860</v>
      </c>
      <c r="Y1452" s="8">
        <v>0</v>
      </c>
      <c r="Z1452" s="8">
        <v>0</v>
      </c>
      <c r="AA1452" s="8">
        <v>0</v>
      </c>
      <c r="AB1452" s="7">
        <v>113521</v>
      </c>
      <c r="AC1452" t="s">
        <v>4860</v>
      </c>
      <c r="AD1452" s="8">
        <v>0</v>
      </c>
      <c r="AG1452" t="s">
        <v>828</v>
      </c>
      <c r="AH1452" t="s">
        <v>802</v>
      </c>
      <c r="AI1452" t="s">
        <v>803</v>
      </c>
    </row>
    <row r="1453" spans="1:35" hidden="1">
      <c r="A1453" s="7">
        <v>1452</v>
      </c>
      <c r="B1453" t="s">
        <v>243</v>
      </c>
      <c r="C1453" t="s">
        <v>244</v>
      </c>
      <c r="D1453" s="7">
        <v>7134</v>
      </c>
      <c r="E1453" t="s">
        <v>245</v>
      </c>
      <c r="F1453" t="s">
        <v>246</v>
      </c>
      <c r="G1453" t="s">
        <v>1685</v>
      </c>
      <c r="H1453" t="s">
        <v>4924</v>
      </c>
      <c r="I1453" s="7">
        <v>799</v>
      </c>
      <c r="J1453" s="7">
        <v>54300</v>
      </c>
      <c r="K1453" s="7">
        <v>4</v>
      </c>
      <c r="L1453" t="s">
        <v>247</v>
      </c>
      <c r="M1453" t="s">
        <v>261</v>
      </c>
      <c r="N1453" s="7">
        <v>780478</v>
      </c>
      <c r="O1453" t="s">
        <v>2019</v>
      </c>
      <c r="P1453" t="s">
        <v>2020</v>
      </c>
      <c r="S1453" t="s">
        <v>3800</v>
      </c>
      <c r="T1453" t="s">
        <v>4904</v>
      </c>
      <c r="U1453" t="s">
        <v>4859</v>
      </c>
      <c r="V1453" s="8">
        <v>1250</v>
      </c>
      <c r="W1453" s="7">
        <v>590054</v>
      </c>
      <c r="X1453" t="s">
        <v>4860</v>
      </c>
      <c r="Y1453" s="8">
        <v>1250</v>
      </c>
      <c r="Z1453" s="8">
        <v>1475</v>
      </c>
      <c r="AA1453" s="8">
        <v>225</v>
      </c>
      <c r="AB1453" s="7">
        <v>113521</v>
      </c>
      <c r="AC1453" t="s">
        <v>4860</v>
      </c>
      <c r="AD1453" s="8">
        <v>0</v>
      </c>
      <c r="AG1453" t="s">
        <v>801</v>
      </c>
      <c r="AH1453" t="s">
        <v>802</v>
      </c>
      <c r="AI1453" t="s">
        <v>818</v>
      </c>
    </row>
    <row r="1454" spans="1:35" hidden="1">
      <c r="A1454" s="7">
        <v>1453</v>
      </c>
      <c r="B1454" t="s">
        <v>243</v>
      </c>
      <c r="C1454" t="s">
        <v>244</v>
      </c>
      <c r="D1454" s="7">
        <v>7134</v>
      </c>
      <c r="E1454" t="s">
        <v>245</v>
      </c>
      <c r="F1454" t="s">
        <v>246</v>
      </c>
      <c r="G1454" t="s">
        <v>3086</v>
      </c>
      <c r="H1454" t="s">
        <v>4905</v>
      </c>
      <c r="I1454" s="7">
        <v>1165</v>
      </c>
      <c r="J1454" s="7">
        <v>10000</v>
      </c>
      <c r="K1454" s="7">
        <v>1</v>
      </c>
      <c r="L1454" t="s">
        <v>247</v>
      </c>
      <c r="M1454" t="s">
        <v>267</v>
      </c>
      <c r="N1454" s="7">
        <v>805943</v>
      </c>
      <c r="O1454" t="s">
        <v>3222</v>
      </c>
      <c r="P1454" t="s">
        <v>3223</v>
      </c>
      <c r="Q1454" t="s">
        <v>870</v>
      </c>
      <c r="R1454" t="s">
        <v>871</v>
      </c>
      <c r="S1454" t="s">
        <v>3800</v>
      </c>
      <c r="T1454" t="s">
        <v>4904</v>
      </c>
      <c r="U1454" t="s">
        <v>4859</v>
      </c>
      <c r="V1454" s="8">
        <v>1250</v>
      </c>
      <c r="W1454" s="7">
        <v>590054</v>
      </c>
      <c r="X1454" t="s">
        <v>4860</v>
      </c>
      <c r="Y1454" s="8">
        <v>1000</v>
      </c>
      <c r="Z1454" s="8">
        <v>1475</v>
      </c>
      <c r="AA1454" s="8">
        <v>225</v>
      </c>
      <c r="AB1454" s="7">
        <v>113521</v>
      </c>
      <c r="AC1454" t="s">
        <v>4860</v>
      </c>
      <c r="AD1454" s="8">
        <v>250</v>
      </c>
      <c r="AG1454" t="s">
        <v>828</v>
      </c>
      <c r="AH1454" t="s">
        <v>802</v>
      </c>
      <c r="AI1454" t="s">
        <v>818</v>
      </c>
    </row>
    <row r="1455" spans="1:35" hidden="1">
      <c r="A1455" s="7">
        <v>1454</v>
      </c>
      <c r="B1455" t="s">
        <v>243</v>
      </c>
      <c r="C1455" t="s">
        <v>244</v>
      </c>
      <c r="D1455" s="7">
        <v>7134</v>
      </c>
      <c r="E1455" t="s">
        <v>245</v>
      </c>
      <c r="F1455" t="s">
        <v>246</v>
      </c>
      <c r="G1455" t="s">
        <v>3086</v>
      </c>
      <c r="H1455" t="s">
        <v>4919</v>
      </c>
      <c r="I1455" s="7">
        <v>1165</v>
      </c>
      <c r="J1455" s="7">
        <v>12500</v>
      </c>
      <c r="K1455" s="7">
        <v>2</v>
      </c>
      <c r="L1455" t="s">
        <v>247</v>
      </c>
      <c r="M1455" t="s">
        <v>267</v>
      </c>
      <c r="N1455" s="7">
        <v>805943</v>
      </c>
      <c r="O1455" t="s">
        <v>3222</v>
      </c>
      <c r="P1455" t="s">
        <v>3223</v>
      </c>
      <c r="S1455" t="s">
        <v>3800</v>
      </c>
      <c r="T1455" t="s">
        <v>4904</v>
      </c>
      <c r="U1455" t="s">
        <v>4859</v>
      </c>
      <c r="V1455" s="8">
        <v>0</v>
      </c>
      <c r="W1455" s="7">
        <v>590054</v>
      </c>
      <c r="X1455" t="s">
        <v>4860</v>
      </c>
      <c r="Y1455" s="8">
        <v>0</v>
      </c>
      <c r="Z1455" s="8">
        <v>0</v>
      </c>
      <c r="AA1455" s="8">
        <v>0</v>
      </c>
      <c r="AB1455" s="7">
        <v>113521</v>
      </c>
      <c r="AC1455" t="s">
        <v>4860</v>
      </c>
      <c r="AD1455" s="8">
        <v>0</v>
      </c>
      <c r="AG1455" t="s">
        <v>828</v>
      </c>
      <c r="AH1455" t="s">
        <v>802</v>
      </c>
      <c r="AI1455" t="s">
        <v>803</v>
      </c>
    </row>
    <row r="1456" spans="1:35" hidden="1">
      <c r="A1456" s="7">
        <v>1455</v>
      </c>
      <c r="B1456" t="s">
        <v>243</v>
      </c>
      <c r="C1456" t="s">
        <v>244</v>
      </c>
      <c r="D1456" s="7">
        <v>7134</v>
      </c>
      <c r="E1456" t="s">
        <v>245</v>
      </c>
      <c r="F1456" t="s">
        <v>246</v>
      </c>
      <c r="G1456" t="s">
        <v>1628</v>
      </c>
      <c r="H1456" t="s">
        <v>4917</v>
      </c>
      <c r="I1456" s="7">
        <v>1165</v>
      </c>
      <c r="J1456" s="7">
        <v>29922</v>
      </c>
      <c r="K1456" s="7">
        <v>4</v>
      </c>
      <c r="L1456" t="s">
        <v>247</v>
      </c>
      <c r="M1456" t="s">
        <v>361</v>
      </c>
      <c r="N1456" s="7">
        <v>5921</v>
      </c>
      <c r="O1456" t="s">
        <v>2713</v>
      </c>
      <c r="P1456" t="s">
        <v>2714</v>
      </c>
      <c r="S1456" t="s">
        <v>3800</v>
      </c>
      <c r="T1456" t="s">
        <v>4904</v>
      </c>
      <c r="U1456" t="s">
        <v>4859</v>
      </c>
      <c r="V1456" s="8">
        <v>0</v>
      </c>
      <c r="W1456" s="7">
        <v>590054</v>
      </c>
      <c r="X1456" t="s">
        <v>4860</v>
      </c>
      <c r="Y1456" s="8">
        <v>0</v>
      </c>
      <c r="Z1456" s="8">
        <v>0</v>
      </c>
      <c r="AA1456" s="8">
        <v>0</v>
      </c>
      <c r="AB1456" s="7">
        <v>113521</v>
      </c>
      <c r="AC1456" t="s">
        <v>4860</v>
      </c>
      <c r="AD1456" s="8">
        <v>0</v>
      </c>
      <c r="AG1456" t="s">
        <v>823</v>
      </c>
      <c r="AH1456" t="s">
        <v>802</v>
      </c>
      <c r="AI1456" t="s">
        <v>803</v>
      </c>
    </row>
    <row r="1457" spans="1:35" hidden="1">
      <c r="A1457" s="7">
        <v>1456</v>
      </c>
      <c r="B1457" t="s">
        <v>243</v>
      </c>
      <c r="C1457" t="s">
        <v>244</v>
      </c>
      <c r="D1457" s="7">
        <v>7134</v>
      </c>
      <c r="E1457" t="s">
        <v>245</v>
      </c>
      <c r="F1457" t="s">
        <v>246</v>
      </c>
      <c r="G1457" t="s">
        <v>363</v>
      </c>
      <c r="H1457" t="s">
        <v>4904</v>
      </c>
      <c r="I1457" s="7">
        <v>908</v>
      </c>
      <c r="J1457" s="7">
        <v>52925</v>
      </c>
      <c r="K1457" s="7">
        <v>3</v>
      </c>
      <c r="L1457" t="s">
        <v>247</v>
      </c>
      <c r="M1457" t="s">
        <v>261</v>
      </c>
      <c r="N1457" s="7">
        <v>797307</v>
      </c>
      <c r="O1457" t="s">
        <v>1964</v>
      </c>
      <c r="P1457" t="s">
        <v>1965</v>
      </c>
      <c r="Q1457" t="s">
        <v>908</v>
      </c>
      <c r="R1457" t="s">
        <v>909</v>
      </c>
      <c r="S1457" t="s">
        <v>3800</v>
      </c>
      <c r="T1457" t="s">
        <v>4904</v>
      </c>
      <c r="U1457" t="s">
        <v>4859</v>
      </c>
      <c r="V1457" s="8">
        <v>1250</v>
      </c>
      <c r="W1457" s="7">
        <v>590054</v>
      </c>
      <c r="X1457" t="s">
        <v>4860</v>
      </c>
      <c r="Y1457" s="8">
        <v>1000</v>
      </c>
      <c r="Z1457" s="8">
        <v>1475</v>
      </c>
      <c r="AA1457" s="8">
        <v>225</v>
      </c>
      <c r="AB1457" s="7">
        <v>113521</v>
      </c>
      <c r="AC1457" t="s">
        <v>4860</v>
      </c>
      <c r="AD1457" s="8">
        <v>250</v>
      </c>
      <c r="AG1457" t="s">
        <v>817</v>
      </c>
      <c r="AH1457" t="s">
        <v>802</v>
      </c>
      <c r="AI1457" t="s">
        <v>818</v>
      </c>
    </row>
    <row r="1458" spans="1:35" hidden="1">
      <c r="A1458" s="7">
        <v>1457</v>
      </c>
      <c r="B1458" t="s">
        <v>243</v>
      </c>
      <c r="C1458" t="s">
        <v>244</v>
      </c>
      <c r="D1458" s="7">
        <v>7134</v>
      </c>
      <c r="E1458" t="s">
        <v>245</v>
      </c>
      <c r="F1458" t="s">
        <v>246</v>
      </c>
      <c r="G1458" t="s">
        <v>1773</v>
      </c>
      <c r="H1458" t="s">
        <v>4925</v>
      </c>
      <c r="I1458" s="7">
        <v>1165</v>
      </c>
      <c r="J1458" s="7">
        <v>48598</v>
      </c>
      <c r="K1458" s="7">
        <v>5</v>
      </c>
      <c r="L1458" t="s">
        <v>247</v>
      </c>
      <c r="M1458" t="s">
        <v>361</v>
      </c>
      <c r="N1458" s="7">
        <v>4921</v>
      </c>
      <c r="O1458" t="s">
        <v>1774</v>
      </c>
      <c r="P1458" t="s">
        <v>1775</v>
      </c>
      <c r="S1458" t="s">
        <v>3800</v>
      </c>
      <c r="T1458" t="s">
        <v>4904</v>
      </c>
      <c r="U1458" t="s">
        <v>4859</v>
      </c>
      <c r="V1458" s="8">
        <v>1650</v>
      </c>
      <c r="W1458" s="7">
        <v>590054</v>
      </c>
      <c r="X1458" t="s">
        <v>4860</v>
      </c>
      <c r="Y1458" s="8">
        <v>1650</v>
      </c>
      <c r="Z1458" s="8">
        <v>1947</v>
      </c>
      <c r="AA1458" s="8">
        <v>297</v>
      </c>
      <c r="AB1458" s="7">
        <v>113521</v>
      </c>
      <c r="AC1458" t="s">
        <v>4860</v>
      </c>
      <c r="AD1458" s="8">
        <v>0</v>
      </c>
      <c r="AG1458" t="s">
        <v>823</v>
      </c>
      <c r="AH1458" t="s">
        <v>802</v>
      </c>
      <c r="AI1458" t="s">
        <v>818</v>
      </c>
    </row>
    <row r="1459" spans="1:35" hidden="1">
      <c r="A1459" s="7">
        <v>1458</v>
      </c>
      <c r="B1459" t="s">
        <v>243</v>
      </c>
      <c r="C1459" t="s">
        <v>244</v>
      </c>
      <c r="D1459" s="7">
        <v>7134</v>
      </c>
      <c r="E1459" t="s">
        <v>245</v>
      </c>
      <c r="F1459" t="s">
        <v>246</v>
      </c>
      <c r="G1459" t="s">
        <v>248</v>
      </c>
      <c r="H1459" t="s">
        <v>4925</v>
      </c>
      <c r="I1459" s="7">
        <v>1165</v>
      </c>
      <c r="J1459" s="7">
        <v>19653</v>
      </c>
      <c r="K1459" s="7">
        <v>4</v>
      </c>
      <c r="L1459" t="s">
        <v>247</v>
      </c>
      <c r="M1459" t="s">
        <v>261</v>
      </c>
      <c r="N1459" s="7">
        <v>801400</v>
      </c>
      <c r="O1459" t="s">
        <v>290</v>
      </c>
      <c r="P1459" t="s">
        <v>291</v>
      </c>
      <c r="S1459" t="s">
        <v>3800</v>
      </c>
      <c r="T1459" t="s">
        <v>4904</v>
      </c>
      <c r="U1459" t="s">
        <v>4859</v>
      </c>
      <c r="V1459" s="8">
        <v>0</v>
      </c>
      <c r="W1459" s="7">
        <v>590054</v>
      </c>
      <c r="X1459" t="s">
        <v>4860</v>
      </c>
      <c r="Y1459" s="8">
        <v>0</v>
      </c>
      <c r="Z1459" s="8">
        <v>0</v>
      </c>
      <c r="AA1459" s="8">
        <v>0</v>
      </c>
      <c r="AB1459" s="7">
        <v>113521</v>
      </c>
      <c r="AC1459" t="s">
        <v>4860</v>
      </c>
      <c r="AD1459" s="8">
        <v>0</v>
      </c>
      <c r="AG1459" t="s">
        <v>801</v>
      </c>
      <c r="AH1459" t="s">
        <v>802</v>
      </c>
      <c r="AI1459" t="s">
        <v>803</v>
      </c>
    </row>
    <row r="1460" spans="1:35" hidden="1">
      <c r="A1460" s="7">
        <v>1459</v>
      </c>
      <c r="B1460" t="s">
        <v>243</v>
      </c>
      <c r="C1460" t="s">
        <v>244</v>
      </c>
      <c r="D1460" s="7">
        <v>7134</v>
      </c>
      <c r="E1460" t="s">
        <v>245</v>
      </c>
      <c r="F1460" t="s">
        <v>246</v>
      </c>
      <c r="G1460" t="s">
        <v>507</v>
      </c>
      <c r="H1460" t="s">
        <v>4919</v>
      </c>
      <c r="I1460" s="7">
        <v>1165</v>
      </c>
      <c r="J1460" s="7">
        <v>10558</v>
      </c>
      <c r="K1460" s="7">
        <v>3</v>
      </c>
      <c r="L1460" t="s">
        <v>247</v>
      </c>
      <c r="M1460" t="s">
        <v>361</v>
      </c>
      <c r="N1460" s="7">
        <v>6730</v>
      </c>
      <c r="O1460" t="s">
        <v>521</v>
      </c>
      <c r="P1460" t="s">
        <v>522</v>
      </c>
      <c r="S1460" t="s">
        <v>3800</v>
      </c>
      <c r="T1460" t="s">
        <v>4904</v>
      </c>
      <c r="U1460" t="s">
        <v>4859</v>
      </c>
      <c r="V1460" s="8">
        <v>1650</v>
      </c>
      <c r="W1460" s="7">
        <v>590054</v>
      </c>
      <c r="X1460" t="s">
        <v>4860</v>
      </c>
      <c r="Y1460" s="8">
        <v>1650</v>
      </c>
      <c r="Z1460" s="8">
        <v>1947</v>
      </c>
      <c r="AA1460" s="8">
        <v>297</v>
      </c>
      <c r="AB1460" s="7">
        <v>113521</v>
      </c>
      <c r="AC1460" t="s">
        <v>4860</v>
      </c>
      <c r="AD1460" s="8">
        <v>0</v>
      </c>
      <c r="AG1460" t="s">
        <v>823</v>
      </c>
      <c r="AH1460" t="s">
        <v>802</v>
      </c>
      <c r="AI1460" t="s">
        <v>818</v>
      </c>
    </row>
    <row r="1461" spans="1:35" hidden="1">
      <c r="A1461" s="7">
        <v>1460</v>
      </c>
      <c r="B1461" t="s">
        <v>243</v>
      </c>
      <c r="C1461" t="s">
        <v>244</v>
      </c>
      <c r="D1461" s="7">
        <v>7134</v>
      </c>
      <c r="E1461" t="s">
        <v>245</v>
      </c>
      <c r="F1461" t="s">
        <v>246</v>
      </c>
      <c r="G1461" t="s">
        <v>3102</v>
      </c>
      <c r="H1461" t="s">
        <v>4907</v>
      </c>
      <c r="I1461" s="7">
        <v>1165</v>
      </c>
      <c r="J1461" s="7">
        <v>15983</v>
      </c>
      <c r="K1461" s="7">
        <v>2</v>
      </c>
      <c r="L1461" t="s">
        <v>247</v>
      </c>
      <c r="M1461" t="s">
        <v>261</v>
      </c>
      <c r="N1461" s="7">
        <v>802983</v>
      </c>
      <c r="O1461" t="s">
        <v>3210</v>
      </c>
      <c r="P1461" t="s">
        <v>3211</v>
      </c>
      <c r="S1461" t="s">
        <v>3800</v>
      </c>
      <c r="T1461" t="s">
        <v>4904</v>
      </c>
      <c r="U1461" t="s">
        <v>4859</v>
      </c>
      <c r="V1461" s="8">
        <v>0</v>
      </c>
      <c r="W1461" s="7">
        <v>590054</v>
      </c>
      <c r="X1461" t="s">
        <v>4860</v>
      </c>
      <c r="Y1461" s="8">
        <v>0</v>
      </c>
      <c r="Z1461" s="8">
        <v>0</v>
      </c>
      <c r="AA1461" s="8">
        <v>0</v>
      </c>
      <c r="AB1461" s="7">
        <v>113521</v>
      </c>
      <c r="AC1461" t="s">
        <v>4860</v>
      </c>
      <c r="AD1461" s="8">
        <v>0</v>
      </c>
      <c r="AG1461" t="s">
        <v>801</v>
      </c>
      <c r="AH1461" t="s">
        <v>802</v>
      </c>
      <c r="AI1461" t="s">
        <v>803</v>
      </c>
    </row>
    <row r="1462" spans="1:35" hidden="1">
      <c r="A1462" s="7">
        <v>1461</v>
      </c>
      <c r="B1462" t="s">
        <v>243</v>
      </c>
      <c r="C1462" t="s">
        <v>244</v>
      </c>
      <c r="D1462" s="7">
        <v>7134</v>
      </c>
      <c r="E1462" t="s">
        <v>245</v>
      </c>
      <c r="F1462" t="s">
        <v>246</v>
      </c>
      <c r="G1462" t="s">
        <v>1091</v>
      </c>
      <c r="H1462" t="s">
        <v>4905</v>
      </c>
      <c r="I1462" s="7">
        <v>1165</v>
      </c>
      <c r="J1462" s="7">
        <v>11159</v>
      </c>
      <c r="K1462" s="7">
        <v>6</v>
      </c>
      <c r="L1462" t="s">
        <v>247</v>
      </c>
      <c r="M1462" t="s">
        <v>261</v>
      </c>
      <c r="N1462" s="7">
        <v>781175</v>
      </c>
      <c r="O1462" t="s">
        <v>1093</v>
      </c>
      <c r="P1462" t="s">
        <v>1094</v>
      </c>
      <c r="S1462" t="s">
        <v>3800</v>
      </c>
      <c r="T1462" t="s">
        <v>4904</v>
      </c>
      <c r="U1462" t="s">
        <v>4859</v>
      </c>
      <c r="V1462" s="8">
        <v>0</v>
      </c>
      <c r="W1462" s="7">
        <v>590054</v>
      </c>
      <c r="X1462" t="s">
        <v>4860</v>
      </c>
      <c r="Y1462" s="8">
        <v>0</v>
      </c>
      <c r="Z1462" s="8">
        <v>0</v>
      </c>
      <c r="AA1462" s="8">
        <v>0</v>
      </c>
      <c r="AB1462" s="7">
        <v>113521</v>
      </c>
      <c r="AC1462" t="s">
        <v>4860</v>
      </c>
      <c r="AD1462" s="8">
        <v>0</v>
      </c>
      <c r="AG1462" t="s">
        <v>808</v>
      </c>
      <c r="AH1462" t="s">
        <v>802</v>
      </c>
      <c r="AI1462" t="s">
        <v>803</v>
      </c>
    </row>
    <row r="1463" spans="1:35" hidden="1">
      <c r="A1463" s="7">
        <v>1462</v>
      </c>
      <c r="B1463" t="s">
        <v>243</v>
      </c>
      <c r="C1463" t="s">
        <v>244</v>
      </c>
      <c r="D1463" s="7">
        <v>7134</v>
      </c>
      <c r="E1463" t="s">
        <v>245</v>
      </c>
      <c r="F1463" t="s">
        <v>246</v>
      </c>
      <c r="G1463" t="s">
        <v>4349</v>
      </c>
      <c r="H1463" t="s">
        <v>4914</v>
      </c>
      <c r="I1463" s="7">
        <v>1165</v>
      </c>
      <c r="J1463" s="7">
        <v>9832</v>
      </c>
      <c r="K1463" s="7">
        <v>1</v>
      </c>
      <c r="L1463" t="s">
        <v>247</v>
      </c>
      <c r="M1463" t="s">
        <v>252</v>
      </c>
      <c r="N1463" s="7">
        <v>328660</v>
      </c>
      <c r="O1463" t="s">
        <v>3943</v>
      </c>
      <c r="P1463" t="s">
        <v>3944</v>
      </c>
      <c r="S1463" t="s">
        <v>3800</v>
      </c>
      <c r="T1463" t="s">
        <v>4904</v>
      </c>
      <c r="U1463" t="s">
        <v>4859</v>
      </c>
      <c r="V1463" s="8">
        <v>1250</v>
      </c>
      <c r="W1463" s="7">
        <v>590054</v>
      </c>
      <c r="X1463" t="s">
        <v>4860</v>
      </c>
      <c r="Y1463" s="8">
        <v>1250</v>
      </c>
      <c r="Z1463" s="8">
        <v>1475</v>
      </c>
      <c r="AA1463" s="8">
        <v>225</v>
      </c>
      <c r="AB1463" s="7">
        <v>113521</v>
      </c>
      <c r="AC1463" t="s">
        <v>4860</v>
      </c>
      <c r="AD1463" s="8">
        <v>0</v>
      </c>
      <c r="AG1463" t="s">
        <v>937</v>
      </c>
      <c r="AH1463" t="s">
        <v>802</v>
      </c>
      <c r="AI1463" t="s">
        <v>818</v>
      </c>
    </row>
    <row r="1464" spans="1:35" hidden="1">
      <c r="A1464" s="7">
        <v>1463</v>
      </c>
      <c r="B1464" t="s">
        <v>243</v>
      </c>
      <c r="C1464" t="s">
        <v>244</v>
      </c>
      <c r="D1464" s="7">
        <v>7134</v>
      </c>
      <c r="E1464" t="s">
        <v>245</v>
      </c>
      <c r="F1464" t="s">
        <v>246</v>
      </c>
      <c r="G1464" t="s">
        <v>1050</v>
      </c>
      <c r="H1464" t="s">
        <v>4925</v>
      </c>
      <c r="I1464" s="7">
        <v>1165</v>
      </c>
      <c r="J1464" s="7">
        <v>51500</v>
      </c>
      <c r="K1464" s="7">
        <v>5</v>
      </c>
      <c r="L1464" t="s">
        <v>247</v>
      </c>
      <c r="M1464" t="s">
        <v>361</v>
      </c>
      <c r="N1464" s="7">
        <v>5471</v>
      </c>
      <c r="O1464" t="s">
        <v>3153</v>
      </c>
      <c r="P1464" t="s">
        <v>3154</v>
      </c>
      <c r="Q1464" t="s">
        <v>908</v>
      </c>
      <c r="R1464" t="s">
        <v>909</v>
      </c>
      <c r="S1464" t="s">
        <v>3800</v>
      </c>
      <c r="T1464" t="s">
        <v>4904</v>
      </c>
      <c r="U1464" t="s">
        <v>4859</v>
      </c>
      <c r="V1464" s="8">
        <v>1650</v>
      </c>
      <c r="W1464" s="7">
        <v>590054</v>
      </c>
      <c r="X1464" t="s">
        <v>4860</v>
      </c>
      <c r="Y1464" s="8">
        <v>1320</v>
      </c>
      <c r="Z1464" s="8">
        <v>1947</v>
      </c>
      <c r="AA1464" s="8">
        <v>297</v>
      </c>
      <c r="AB1464" s="7">
        <v>113521</v>
      </c>
      <c r="AC1464" t="s">
        <v>4860</v>
      </c>
      <c r="AD1464" s="8">
        <v>330</v>
      </c>
      <c r="AG1464" t="s">
        <v>823</v>
      </c>
      <c r="AH1464" t="s">
        <v>802</v>
      </c>
      <c r="AI1464" t="s">
        <v>818</v>
      </c>
    </row>
    <row r="1465" spans="1:35" hidden="1">
      <c r="A1465" s="7">
        <v>1464</v>
      </c>
      <c r="B1465" t="s">
        <v>243</v>
      </c>
      <c r="C1465" t="s">
        <v>244</v>
      </c>
      <c r="D1465" s="7">
        <v>7134</v>
      </c>
      <c r="E1465" t="s">
        <v>245</v>
      </c>
      <c r="F1465" t="s">
        <v>246</v>
      </c>
      <c r="G1465" t="s">
        <v>531</v>
      </c>
      <c r="H1465" t="s">
        <v>4925</v>
      </c>
      <c r="I1465" s="7">
        <v>1165</v>
      </c>
      <c r="J1465" s="7">
        <v>19800</v>
      </c>
      <c r="K1465" s="7">
        <v>4</v>
      </c>
      <c r="L1465" t="s">
        <v>247</v>
      </c>
      <c r="M1465" t="s">
        <v>261</v>
      </c>
      <c r="N1465" s="7">
        <v>801228</v>
      </c>
      <c r="O1465" t="s">
        <v>533</v>
      </c>
      <c r="P1465" t="s">
        <v>534</v>
      </c>
      <c r="S1465" t="s">
        <v>3800</v>
      </c>
      <c r="T1465" t="s">
        <v>4904</v>
      </c>
      <c r="U1465" t="s">
        <v>4859</v>
      </c>
      <c r="V1465" s="8">
        <v>0</v>
      </c>
      <c r="W1465" s="7">
        <v>590054</v>
      </c>
      <c r="X1465" t="s">
        <v>4860</v>
      </c>
      <c r="Y1465" s="8">
        <v>0</v>
      </c>
      <c r="Z1465" s="8">
        <v>0</v>
      </c>
      <c r="AA1465" s="8">
        <v>0</v>
      </c>
      <c r="AB1465" s="7">
        <v>113521</v>
      </c>
      <c r="AC1465" t="s">
        <v>4860</v>
      </c>
      <c r="AD1465" s="8">
        <v>0</v>
      </c>
      <c r="AG1465" t="s">
        <v>801</v>
      </c>
      <c r="AH1465" t="s">
        <v>802</v>
      </c>
      <c r="AI1465" t="s">
        <v>803</v>
      </c>
    </row>
    <row r="1466" spans="1:35" hidden="1">
      <c r="A1466" s="7">
        <v>1465</v>
      </c>
      <c r="B1466" t="s">
        <v>243</v>
      </c>
      <c r="C1466" t="s">
        <v>244</v>
      </c>
      <c r="D1466" s="7">
        <v>7134</v>
      </c>
      <c r="E1466" t="s">
        <v>245</v>
      </c>
      <c r="F1466" t="s">
        <v>246</v>
      </c>
      <c r="G1466" t="s">
        <v>3467</v>
      </c>
      <c r="H1466" t="s">
        <v>4904</v>
      </c>
      <c r="I1466" s="7">
        <v>1165</v>
      </c>
      <c r="J1466" s="7">
        <v>4497</v>
      </c>
      <c r="K1466" s="7">
        <v>1</v>
      </c>
      <c r="L1466" t="s">
        <v>247</v>
      </c>
      <c r="M1466" t="s">
        <v>261</v>
      </c>
      <c r="N1466" s="7">
        <v>804424</v>
      </c>
      <c r="O1466" t="s">
        <v>3472</v>
      </c>
      <c r="P1466" t="s">
        <v>3473</v>
      </c>
      <c r="S1466" t="s">
        <v>3800</v>
      </c>
      <c r="T1466" t="s">
        <v>4904</v>
      </c>
      <c r="U1466" t="s">
        <v>4859</v>
      </c>
      <c r="V1466" s="8">
        <v>1250</v>
      </c>
      <c r="W1466" s="7">
        <v>590054</v>
      </c>
      <c r="X1466" t="s">
        <v>4860</v>
      </c>
      <c r="Y1466" s="8">
        <v>1250</v>
      </c>
      <c r="Z1466" s="8">
        <v>1475</v>
      </c>
      <c r="AA1466" s="8">
        <v>225</v>
      </c>
      <c r="AB1466" s="7">
        <v>113521</v>
      </c>
      <c r="AC1466" t="s">
        <v>4860</v>
      </c>
      <c r="AD1466" s="8">
        <v>0</v>
      </c>
      <c r="AG1466" t="s">
        <v>817</v>
      </c>
      <c r="AH1466" t="s">
        <v>802</v>
      </c>
      <c r="AI1466" t="s">
        <v>818</v>
      </c>
    </row>
    <row r="1467" spans="1:35" hidden="1">
      <c r="A1467" s="7">
        <v>1466</v>
      </c>
      <c r="B1467" t="s">
        <v>243</v>
      </c>
      <c r="C1467" t="s">
        <v>244</v>
      </c>
      <c r="D1467" s="7">
        <v>7134</v>
      </c>
      <c r="E1467" t="s">
        <v>245</v>
      </c>
      <c r="F1467" t="s">
        <v>246</v>
      </c>
      <c r="G1467" t="s">
        <v>867</v>
      </c>
      <c r="H1467" t="s">
        <v>4909</v>
      </c>
      <c r="I1467" s="7">
        <v>1165</v>
      </c>
      <c r="J1467" s="7">
        <v>70344</v>
      </c>
      <c r="K1467" s="7">
        <v>7</v>
      </c>
      <c r="L1467" t="s">
        <v>247</v>
      </c>
      <c r="M1467" t="s">
        <v>261</v>
      </c>
      <c r="N1467" s="7">
        <v>790571</v>
      </c>
      <c r="O1467" t="s">
        <v>868</v>
      </c>
      <c r="P1467" t="s">
        <v>869</v>
      </c>
      <c r="S1467" t="s">
        <v>3800</v>
      </c>
      <c r="T1467" t="s">
        <v>4904</v>
      </c>
      <c r="U1467" t="s">
        <v>4859</v>
      </c>
      <c r="V1467" s="8">
        <v>0</v>
      </c>
      <c r="W1467" s="7">
        <v>590054</v>
      </c>
      <c r="X1467" t="s">
        <v>4860</v>
      </c>
      <c r="Y1467" s="8">
        <v>0</v>
      </c>
      <c r="Z1467" s="8">
        <v>0</v>
      </c>
      <c r="AA1467" s="8">
        <v>0</v>
      </c>
      <c r="AB1467" s="7">
        <v>113521</v>
      </c>
      <c r="AC1467" t="s">
        <v>4860</v>
      </c>
      <c r="AD1467" s="8">
        <v>0</v>
      </c>
      <c r="AG1467" t="s">
        <v>801</v>
      </c>
      <c r="AH1467" t="s">
        <v>802</v>
      </c>
      <c r="AI1467" t="s">
        <v>803</v>
      </c>
    </row>
    <row r="1468" spans="1:35" hidden="1">
      <c r="A1468" s="7">
        <v>1467</v>
      </c>
      <c r="B1468" t="s">
        <v>243</v>
      </c>
      <c r="C1468" t="s">
        <v>244</v>
      </c>
      <c r="D1468" s="7">
        <v>7134</v>
      </c>
      <c r="E1468" t="s">
        <v>245</v>
      </c>
      <c r="F1468" t="s">
        <v>246</v>
      </c>
      <c r="G1468" t="s">
        <v>293</v>
      </c>
      <c r="H1468" t="s">
        <v>4926</v>
      </c>
      <c r="I1468" s="7">
        <v>1165</v>
      </c>
      <c r="J1468" s="7">
        <v>26500</v>
      </c>
      <c r="K1468" s="7">
        <v>4</v>
      </c>
      <c r="L1468" t="s">
        <v>247</v>
      </c>
      <c r="M1468" t="s">
        <v>267</v>
      </c>
      <c r="N1468" s="7">
        <v>789022</v>
      </c>
      <c r="O1468" t="s">
        <v>461</v>
      </c>
      <c r="P1468" t="s">
        <v>462</v>
      </c>
      <c r="S1468" t="s">
        <v>3800</v>
      </c>
      <c r="T1468" t="s">
        <v>4904</v>
      </c>
      <c r="U1468" t="s">
        <v>4859</v>
      </c>
      <c r="V1468" s="8">
        <v>0</v>
      </c>
      <c r="W1468" s="7">
        <v>590054</v>
      </c>
      <c r="X1468" t="s">
        <v>4860</v>
      </c>
      <c r="Y1468" s="8">
        <v>0</v>
      </c>
      <c r="Z1468" s="8">
        <v>0</v>
      </c>
      <c r="AA1468" s="8">
        <v>0</v>
      </c>
      <c r="AB1468" s="7">
        <v>113521</v>
      </c>
      <c r="AC1468" t="s">
        <v>4860</v>
      </c>
      <c r="AD1468" s="8">
        <v>0</v>
      </c>
      <c r="AG1468" t="s">
        <v>828</v>
      </c>
      <c r="AH1468" t="s">
        <v>802</v>
      </c>
      <c r="AI1468" t="s">
        <v>803</v>
      </c>
    </row>
    <row r="1469" spans="1:35" hidden="1">
      <c r="A1469" s="7">
        <v>1468</v>
      </c>
      <c r="B1469" t="s">
        <v>243</v>
      </c>
      <c r="C1469" t="s">
        <v>244</v>
      </c>
      <c r="D1469" s="7">
        <v>7134</v>
      </c>
      <c r="E1469" t="s">
        <v>245</v>
      </c>
      <c r="F1469" t="s">
        <v>246</v>
      </c>
      <c r="G1469" t="s">
        <v>914</v>
      </c>
      <c r="H1469" t="s">
        <v>4917</v>
      </c>
      <c r="I1469" s="7">
        <v>779</v>
      </c>
      <c r="J1469" s="7">
        <v>90389</v>
      </c>
      <c r="K1469" s="7">
        <v>6</v>
      </c>
      <c r="L1469" t="s">
        <v>247</v>
      </c>
      <c r="M1469" t="s">
        <v>261</v>
      </c>
      <c r="N1469" s="7">
        <v>780479</v>
      </c>
      <c r="O1469" t="s">
        <v>1412</v>
      </c>
      <c r="P1469" t="s">
        <v>1413</v>
      </c>
      <c r="S1469" t="s">
        <v>3800</v>
      </c>
      <c r="T1469" t="s">
        <v>4904</v>
      </c>
      <c r="U1469" t="s">
        <v>4859</v>
      </c>
      <c r="V1469" s="8">
        <v>0</v>
      </c>
      <c r="W1469" s="7">
        <v>590054</v>
      </c>
      <c r="X1469" t="s">
        <v>4860</v>
      </c>
      <c r="Y1469" s="8">
        <v>0</v>
      </c>
      <c r="Z1469" s="8">
        <v>0</v>
      </c>
      <c r="AA1469" s="8">
        <v>0</v>
      </c>
      <c r="AB1469" s="7">
        <v>113521</v>
      </c>
      <c r="AC1469" t="s">
        <v>4860</v>
      </c>
      <c r="AD1469" s="8">
        <v>0</v>
      </c>
      <c r="AG1469" t="s">
        <v>801</v>
      </c>
      <c r="AH1469" t="s">
        <v>802</v>
      </c>
      <c r="AI1469" t="s">
        <v>803</v>
      </c>
    </row>
    <row r="1470" spans="1:35" hidden="1">
      <c r="A1470" s="7">
        <v>1469</v>
      </c>
      <c r="B1470" t="s">
        <v>243</v>
      </c>
      <c r="C1470" t="s">
        <v>244</v>
      </c>
      <c r="D1470" s="7">
        <v>7134</v>
      </c>
      <c r="E1470" t="s">
        <v>245</v>
      </c>
      <c r="F1470" t="s">
        <v>246</v>
      </c>
      <c r="G1470" t="s">
        <v>1752</v>
      </c>
      <c r="H1470" t="s">
        <v>4914</v>
      </c>
      <c r="I1470" s="7">
        <v>1165</v>
      </c>
      <c r="J1470" s="7">
        <v>75000</v>
      </c>
      <c r="K1470" s="7">
        <v>13</v>
      </c>
      <c r="L1470" t="s">
        <v>247</v>
      </c>
      <c r="M1470" t="s">
        <v>261</v>
      </c>
      <c r="N1470" s="7">
        <v>754751</v>
      </c>
      <c r="O1470" t="s">
        <v>1753</v>
      </c>
      <c r="P1470" t="s">
        <v>1754</v>
      </c>
      <c r="S1470" t="s">
        <v>3800</v>
      </c>
      <c r="T1470" t="s">
        <v>4904</v>
      </c>
      <c r="U1470" t="s">
        <v>4859</v>
      </c>
      <c r="V1470" s="8">
        <v>0</v>
      </c>
      <c r="W1470" s="7">
        <v>590054</v>
      </c>
      <c r="X1470" t="s">
        <v>4860</v>
      </c>
      <c r="Y1470" s="8">
        <v>0</v>
      </c>
      <c r="Z1470" s="8">
        <v>0</v>
      </c>
      <c r="AA1470" s="8">
        <v>0</v>
      </c>
      <c r="AB1470" s="7">
        <v>113521</v>
      </c>
      <c r="AC1470" t="s">
        <v>4860</v>
      </c>
      <c r="AD1470" s="8">
        <v>0</v>
      </c>
      <c r="AG1470" t="s">
        <v>801</v>
      </c>
      <c r="AH1470" t="s">
        <v>802</v>
      </c>
      <c r="AI1470" t="s">
        <v>803</v>
      </c>
    </row>
    <row r="1471" spans="1:35" hidden="1">
      <c r="A1471" s="7">
        <v>1470</v>
      </c>
      <c r="B1471" t="s">
        <v>243</v>
      </c>
      <c r="C1471" t="s">
        <v>244</v>
      </c>
      <c r="D1471" s="7">
        <v>7134</v>
      </c>
      <c r="E1471" t="s">
        <v>245</v>
      </c>
      <c r="F1471" t="s">
        <v>246</v>
      </c>
      <c r="G1471" t="s">
        <v>1004</v>
      </c>
      <c r="H1471" t="s">
        <v>3728</v>
      </c>
      <c r="I1471" s="7">
        <v>1165</v>
      </c>
      <c r="J1471" s="7">
        <v>40007</v>
      </c>
      <c r="K1471" s="7">
        <v>4</v>
      </c>
      <c r="L1471" t="s">
        <v>247</v>
      </c>
      <c r="M1471" t="s">
        <v>361</v>
      </c>
      <c r="N1471" s="7">
        <v>6191</v>
      </c>
      <c r="O1471" t="s">
        <v>1030</v>
      </c>
      <c r="P1471" t="s">
        <v>1031</v>
      </c>
      <c r="S1471" t="s">
        <v>3800</v>
      </c>
      <c r="T1471" t="s">
        <v>4904</v>
      </c>
      <c r="U1471" t="s">
        <v>4859</v>
      </c>
      <c r="V1471" s="8">
        <v>0</v>
      </c>
      <c r="W1471" s="7">
        <v>590054</v>
      </c>
      <c r="X1471" t="s">
        <v>4860</v>
      </c>
      <c r="Y1471" s="8">
        <v>0</v>
      </c>
      <c r="Z1471" s="8">
        <v>0</v>
      </c>
      <c r="AA1471" s="8">
        <v>0</v>
      </c>
      <c r="AB1471" s="7">
        <v>113521</v>
      </c>
      <c r="AC1471" t="s">
        <v>4860</v>
      </c>
      <c r="AD1471" s="8">
        <v>0</v>
      </c>
      <c r="AG1471" t="s">
        <v>823</v>
      </c>
      <c r="AH1471" t="s">
        <v>802</v>
      </c>
      <c r="AI1471" t="s">
        <v>803</v>
      </c>
    </row>
    <row r="1472" spans="1:35" hidden="1">
      <c r="A1472" s="7">
        <v>1471</v>
      </c>
      <c r="B1472" t="s">
        <v>243</v>
      </c>
      <c r="C1472" t="s">
        <v>244</v>
      </c>
      <c r="D1472" s="7">
        <v>7134</v>
      </c>
      <c r="E1472" t="s">
        <v>245</v>
      </c>
      <c r="F1472" t="s">
        <v>246</v>
      </c>
      <c r="G1472" t="s">
        <v>263</v>
      </c>
      <c r="H1472" t="s">
        <v>4910</v>
      </c>
      <c r="I1472" s="7">
        <v>875</v>
      </c>
      <c r="J1472" s="7">
        <v>52000</v>
      </c>
      <c r="K1472" s="7">
        <v>3</v>
      </c>
      <c r="L1472" t="s">
        <v>247</v>
      </c>
      <c r="M1472" t="s">
        <v>261</v>
      </c>
      <c r="N1472" s="7">
        <v>796126</v>
      </c>
      <c r="O1472" t="s">
        <v>3419</v>
      </c>
      <c r="P1472" t="s">
        <v>3420</v>
      </c>
      <c r="Q1472" t="s">
        <v>908</v>
      </c>
      <c r="R1472" t="s">
        <v>909</v>
      </c>
      <c r="S1472" t="s">
        <v>3800</v>
      </c>
      <c r="T1472" t="s">
        <v>4904</v>
      </c>
      <c r="U1472" t="s">
        <v>4859</v>
      </c>
      <c r="V1472" s="8">
        <v>1250</v>
      </c>
      <c r="W1472" s="7">
        <v>590054</v>
      </c>
      <c r="X1472" t="s">
        <v>4860</v>
      </c>
      <c r="Y1472" s="8">
        <v>1000</v>
      </c>
      <c r="Z1472" s="8">
        <v>1475</v>
      </c>
      <c r="AA1472" s="8">
        <v>225</v>
      </c>
      <c r="AB1472" s="7">
        <v>113521</v>
      </c>
      <c r="AC1472" t="s">
        <v>4860</v>
      </c>
      <c r="AD1472" s="8">
        <v>250</v>
      </c>
      <c r="AG1472" t="s">
        <v>817</v>
      </c>
      <c r="AH1472" t="s">
        <v>802</v>
      </c>
      <c r="AI1472" t="s">
        <v>818</v>
      </c>
    </row>
    <row r="1473" spans="1:35" hidden="1">
      <c r="A1473" s="7">
        <v>1472</v>
      </c>
      <c r="B1473" t="s">
        <v>243</v>
      </c>
      <c r="C1473" t="s">
        <v>244</v>
      </c>
      <c r="D1473" s="7">
        <v>7134</v>
      </c>
      <c r="E1473" t="s">
        <v>245</v>
      </c>
      <c r="F1473" t="s">
        <v>246</v>
      </c>
      <c r="G1473" t="s">
        <v>363</v>
      </c>
      <c r="H1473" t="s">
        <v>4906</v>
      </c>
      <c r="I1473" s="7">
        <v>892</v>
      </c>
      <c r="J1473" s="7">
        <v>50581</v>
      </c>
      <c r="K1473" s="7">
        <v>3</v>
      </c>
      <c r="L1473" t="s">
        <v>247</v>
      </c>
      <c r="M1473" t="s">
        <v>261</v>
      </c>
      <c r="N1473" s="7">
        <v>798770</v>
      </c>
      <c r="O1473" t="s">
        <v>4280</v>
      </c>
      <c r="P1473" t="s">
        <v>4281</v>
      </c>
      <c r="S1473" t="s">
        <v>3800</v>
      </c>
      <c r="T1473" t="s">
        <v>4904</v>
      </c>
      <c r="U1473" t="s">
        <v>4859</v>
      </c>
      <c r="V1473" s="8">
        <v>1250</v>
      </c>
      <c r="W1473" s="7">
        <v>590054</v>
      </c>
      <c r="X1473" t="s">
        <v>4860</v>
      </c>
      <c r="Y1473" s="8">
        <v>1250</v>
      </c>
      <c r="Z1473" s="8">
        <v>1475</v>
      </c>
      <c r="AA1473" s="8">
        <v>225</v>
      </c>
      <c r="AB1473" s="7">
        <v>113521</v>
      </c>
      <c r="AC1473" t="s">
        <v>4860</v>
      </c>
      <c r="AD1473" s="8">
        <v>0</v>
      </c>
      <c r="AG1473" t="s">
        <v>817</v>
      </c>
      <c r="AH1473" t="s">
        <v>802</v>
      </c>
      <c r="AI1473" t="s">
        <v>818</v>
      </c>
    </row>
    <row r="1474" spans="1:35" hidden="1">
      <c r="A1474" s="7">
        <v>1473</v>
      </c>
      <c r="B1474" t="s">
        <v>243</v>
      </c>
      <c r="C1474" t="s">
        <v>244</v>
      </c>
      <c r="D1474" s="7">
        <v>7134</v>
      </c>
      <c r="E1474" t="s">
        <v>245</v>
      </c>
      <c r="F1474" t="s">
        <v>246</v>
      </c>
      <c r="G1474" t="s">
        <v>920</v>
      </c>
      <c r="H1474" t="s">
        <v>4906</v>
      </c>
      <c r="I1474" s="7">
        <v>1165</v>
      </c>
      <c r="J1474" s="7">
        <v>90376</v>
      </c>
      <c r="K1474" s="7">
        <v>13</v>
      </c>
      <c r="L1474" t="s">
        <v>247</v>
      </c>
      <c r="M1474" t="s">
        <v>361</v>
      </c>
      <c r="N1474" s="7">
        <v>1107</v>
      </c>
      <c r="O1474" t="s">
        <v>922</v>
      </c>
      <c r="P1474" t="s">
        <v>923</v>
      </c>
      <c r="S1474" t="s">
        <v>3800</v>
      </c>
      <c r="T1474" t="s">
        <v>4904</v>
      </c>
      <c r="U1474" t="s">
        <v>4859</v>
      </c>
      <c r="V1474" s="8">
        <v>0</v>
      </c>
      <c r="W1474" s="7">
        <v>590054</v>
      </c>
      <c r="X1474" t="s">
        <v>4860</v>
      </c>
      <c r="Y1474" s="8">
        <v>0</v>
      </c>
      <c r="Z1474" s="8">
        <v>0</v>
      </c>
      <c r="AA1474" s="8">
        <v>0</v>
      </c>
      <c r="AB1474" s="7">
        <v>113521</v>
      </c>
      <c r="AC1474" t="s">
        <v>4860</v>
      </c>
      <c r="AD1474" s="8">
        <v>0</v>
      </c>
      <c r="AG1474" t="s">
        <v>823</v>
      </c>
      <c r="AH1474" t="s">
        <v>802</v>
      </c>
      <c r="AI1474" t="s">
        <v>803</v>
      </c>
    </row>
    <row r="1475" spans="1:35" hidden="1">
      <c r="A1475" s="7">
        <v>1474</v>
      </c>
      <c r="B1475" t="s">
        <v>243</v>
      </c>
      <c r="C1475" t="s">
        <v>244</v>
      </c>
      <c r="D1475" s="7">
        <v>7134</v>
      </c>
      <c r="E1475" t="s">
        <v>245</v>
      </c>
      <c r="F1475" t="s">
        <v>246</v>
      </c>
      <c r="G1475" t="s">
        <v>910</v>
      </c>
      <c r="H1475" t="s">
        <v>4907</v>
      </c>
      <c r="I1475" s="7">
        <v>1165</v>
      </c>
      <c r="J1475" s="7">
        <v>47429</v>
      </c>
      <c r="K1475" s="7">
        <v>5</v>
      </c>
      <c r="L1475" t="s">
        <v>247</v>
      </c>
      <c r="M1475" t="s">
        <v>261</v>
      </c>
      <c r="N1475" s="7">
        <v>792098</v>
      </c>
      <c r="O1475" t="s">
        <v>911</v>
      </c>
      <c r="P1475" t="s">
        <v>912</v>
      </c>
      <c r="S1475" t="s">
        <v>3800</v>
      </c>
      <c r="T1475" t="s">
        <v>4904</v>
      </c>
      <c r="U1475" t="s">
        <v>4859</v>
      </c>
      <c r="V1475" s="8">
        <v>1250</v>
      </c>
      <c r="W1475" s="7">
        <v>590054</v>
      </c>
      <c r="X1475" t="s">
        <v>4860</v>
      </c>
      <c r="Y1475" s="8">
        <v>1250</v>
      </c>
      <c r="Z1475" s="8">
        <v>1475</v>
      </c>
      <c r="AA1475" s="8">
        <v>225</v>
      </c>
      <c r="AB1475" s="7">
        <v>113521</v>
      </c>
      <c r="AC1475" t="s">
        <v>4860</v>
      </c>
      <c r="AD1475" s="8">
        <v>0</v>
      </c>
      <c r="AG1475" t="s">
        <v>801</v>
      </c>
      <c r="AH1475" t="s">
        <v>802</v>
      </c>
      <c r="AI1475" t="s">
        <v>818</v>
      </c>
    </row>
    <row r="1476" spans="1:35" hidden="1">
      <c r="A1476" s="7">
        <v>1475</v>
      </c>
      <c r="B1476" t="s">
        <v>243</v>
      </c>
      <c r="C1476" t="s">
        <v>244</v>
      </c>
      <c r="D1476" s="7">
        <v>7134</v>
      </c>
      <c r="E1476" t="s">
        <v>245</v>
      </c>
      <c r="F1476" t="s">
        <v>246</v>
      </c>
      <c r="G1476" t="s">
        <v>3079</v>
      </c>
      <c r="H1476" t="s">
        <v>4914</v>
      </c>
      <c r="I1476" s="7">
        <v>1165</v>
      </c>
      <c r="J1476" s="7">
        <v>90000</v>
      </c>
      <c r="K1476" s="7">
        <v>5</v>
      </c>
      <c r="L1476" t="s">
        <v>247</v>
      </c>
      <c r="M1476" t="s">
        <v>261</v>
      </c>
      <c r="N1476" s="7">
        <v>782620</v>
      </c>
      <c r="O1476" t="s">
        <v>3081</v>
      </c>
      <c r="P1476" t="s">
        <v>3082</v>
      </c>
      <c r="S1476" t="s">
        <v>3800</v>
      </c>
      <c r="T1476" t="s">
        <v>4904</v>
      </c>
      <c r="U1476" t="s">
        <v>4859</v>
      </c>
      <c r="V1476" s="8">
        <v>0</v>
      </c>
      <c r="W1476" s="7">
        <v>590054</v>
      </c>
      <c r="X1476" t="s">
        <v>4860</v>
      </c>
      <c r="Y1476" s="8">
        <v>0</v>
      </c>
      <c r="Z1476" s="8">
        <v>0</v>
      </c>
      <c r="AA1476" s="8">
        <v>0</v>
      </c>
      <c r="AB1476" s="7">
        <v>113521</v>
      </c>
      <c r="AC1476" t="s">
        <v>4860</v>
      </c>
      <c r="AD1476" s="8">
        <v>0</v>
      </c>
      <c r="AG1476" t="s">
        <v>801</v>
      </c>
      <c r="AH1476" t="s">
        <v>802</v>
      </c>
      <c r="AI1476" t="s">
        <v>818</v>
      </c>
    </row>
    <row r="1477" spans="1:35" hidden="1">
      <c r="A1477" s="7">
        <v>1476</v>
      </c>
      <c r="B1477" t="s">
        <v>243</v>
      </c>
      <c r="C1477" t="s">
        <v>244</v>
      </c>
      <c r="D1477" s="7">
        <v>7134</v>
      </c>
      <c r="E1477" t="s">
        <v>245</v>
      </c>
      <c r="F1477" t="s">
        <v>246</v>
      </c>
      <c r="G1477" t="s">
        <v>881</v>
      </c>
      <c r="H1477" t="s">
        <v>4927</v>
      </c>
      <c r="I1477" s="7">
        <v>1165</v>
      </c>
      <c r="J1477" s="7">
        <v>70000</v>
      </c>
      <c r="K1477" s="7">
        <v>7</v>
      </c>
      <c r="L1477" t="s">
        <v>247</v>
      </c>
      <c r="M1477" t="s">
        <v>361</v>
      </c>
      <c r="N1477" s="7">
        <v>5321</v>
      </c>
      <c r="O1477" t="s">
        <v>1878</v>
      </c>
      <c r="P1477" t="s">
        <v>1879</v>
      </c>
      <c r="S1477" t="s">
        <v>3800</v>
      </c>
      <c r="T1477" t="s">
        <v>4904</v>
      </c>
      <c r="U1477" t="s">
        <v>4859</v>
      </c>
      <c r="V1477" s="8">
        <v>1650</v>
      </c>
      <c r="W1477" s="7">
        <v>590054</v>
      </c>
      <c r="X1477" t="s">
        <v>4860</v>
      </c>
      <c r="Y1477" s="8">
        <v>1650</v>
      </c>
      <c r="Z1477" s="8">
        <v>1947</v>
      </c>
      <c r="AA1477" s="8">
        <v>297</v>
      </c>
      <c r="AB1477" s="7">
        <v>113521</v>
      </c>
      <c r="AC1477" t="s">
        <v>4860</v>
      </c>
      <c r="AD1477" s="8">
        <v>0</v>
      </c>
      <c r="AG1477" t="s">
        <v>823</v>
      </c>
      <c r="AH1477" t="s">
        <v>802</v>
      </c>
      <c r="AI1477" t="s">
        <v>818</v>
      </c>
    </row>
    <row r="1478" spans="1:35" hidden="1">
      <c r="A1478" s="7">
        <v>1477</v>
      </c>
      <c r="B1478" t="s">
        <v>243</v>
      </c>
      <c r="C1478" t="s">
        <v>244</v>
      </c>
      <c r="D1478" s="7">
        <v>7134</v>
      </c>
      <c r="E1478" t="s">
        <v>245</v>
      </c>
      <c r="F1478" t="s">
        <v>246</v>
      </c>
      <c r="G1478" t="s">
        <v>1050</v>
      </c>
      <c r="H1478" t="s">
        <v>4924</v>
      </c>
      <c r="I1478" s="7">
        <v>1165</v>
      </c>
      <c r="J1478" s="7">
        <v>15373</v>
      </c>
      <c r="K1478" s="7">
        <v>3</v>
      </c>
      <c r="L1478" t="s">
        <v>247</v>
      </c>
      <c r="M1478" t="s">
        <v>261</v>
      </c>
      <c r="N1478" s="7">
        <v>782170</v>
      </c>
      <c r="O1478" t="s">
        <v>1207</v>
      </c>
      <c r="P1478" t="s">
        <v>1208</v>
      </c>
      <c r="S1478" t="s">
        <v>3800</v>
      </c>
      <c r="T1478" t="s">
        <v>4904</v>
      </c>
      <c r="U1478" t="s">
        <v>4859</v>
      </c>
      <c r="V1478" s="8">
        <v>1250</v>
      </c>
      <c r="W1478" s="7">
        <v>590054</v>
      </c>
      <c r="X1478" t="s">
        <v>4860</v>
      </c>
      <c r="Y1478" s="8">
        <v>1250</v>
      </c>
      <c r="Z1478" s="8">
        <v>1475</v>
      </c>
      <c r="AA1478" s="8">
        <v>225</v>
      </c>
      <c r="AB1478" s="7">
        <v>113521</v>
      </c>
      <c r="AC1478" t="s">
        <v>4860</v>
      </c>
      <c r="AD1478" s="8">
        <v>0</v>
      </c>
      <c r="AG1478" t="s">
        <v>817</v>
      </c>
      <c r="AH1478" t="s">
        <v>802</v>
      </c>
      <c r="AI1478" t="s">
        <v>818</v>
      </c>
    </row>
    <row r="1479" spans="1:35" hidden="1">
      <c r="A1479" s="7">
        <v>1478</v>
      </c>
      <c r="B1479" t="s">
        <v>243</v>
      </c>
      <c r="C1479" t="s">
        <v>244</v>
      </c>
      <c r="D1479" s="7">
        <v>7134</v>
      </c>
      <c r="E1479" t="s">
        <v>245</v>
      </c>
      <c r="F1479" t="s">
        <v>246</v>
      </c>
      <c r="G1479" t="s">
        <v>419</v>
      </c>
      <c r="H1479" t="s">
        <v>4927</v>
      </c>
      <c r="I1479" s="7">
        <v>1165</v>
      </c>
      <c r="J1479" s="7">
        <v>40000</v>
      </c>
      <c r="K1479" s="7">
        <v>4</v>
      </c>
      <c r="L1479" t="s">
        <v>247</v>
      </c>
      <c r="M1479" t="s">
        <v>261</v>
      </c>
      <c r="N1479" s="7">
        <v>785976</v>
      </c>
      <c r="O1479" t="s">
        <v>1338</v>
      </c>
      <c r="P1479" t="s">
        <v>1339</v>
      </c>
      <c r="Q1479" t="s">
        <v>870</v>
      </c>
      <c r="R1479" t="s">
        <v>871</v>
      </c>
      <c r="S1479" t="s">
        <v>3800</v>
      </c>
      <c r="T1479" t="s">
        <v>4904</v>
      </c>
      <c r="U1479" t="s">
        <v>4859</v>
      </c>
      <c r="V1479" s="8">
        <v>0</v>
      </c>
      <c r="W1479" s="7">
        <v>590054</v>
      </c>
      <c r="X1479" t="s">
        <v>4860</v>
      </c>
      <c r="Y1479" s="8">
        <v>0</v>
      </c>
      <c r="Z1479" s="8">
        <v>0</v>
      </c>
      <c r="AA1479" s="8">
        <v>0</v>
      </c>
      <c r="AB1479" s="7">
        <v>113521</v>
      </c>
      <c r="AC1479" t="s">
        <v>4860</v>
      </c>
      <c r="AD1479" s="8">
        <v>0</v>
      </c>
      <c r="AG1479" t="s">
        <v>801</v>
      </c>
      <c r="AH1479" t="s">
        <v>802</v>
      </c>
      <c r="AI1479" t="s">
        <v>803</v>
      </c>
    </row>
    <row r="1480" spans="1:35" hidden="1">
      <c r="A1480" s="7">
        <v>1479</v>
      </c>
      <c r="B1480" t="s">
        <v>243</v>
      </c>
      <c r="C1480" t="s">
        <v>244</v>
      </c>
      <c r="D1480" s="7">
        <v>7134</v>
      </c>
      <c r="E1480" t="s">
        <v>245</v>
      </c>
      <c r="F1480" t="s">
        <v>246</v>
      </c>
      <c r="G1480" t="s">
        <v>861</v>
      </c>
      <c r="H1480" t="s">
        <v>4924</v>
      </c>
      <c r="I1480" s="7">
        <v>970</v>
      </c>
      <c r="J1480" s="7">
        <v>60000</v>
      </c>
      <c r="K1480" s="7">
        <v>6</v>
      </c>
      <c r="L1480" t="s">
        <v>247</v>
      </c>
      <c r="M1480" t="s">
        <v>361</v>
      </c>
      <c r="N1480" s="7">
        <v>4625</v>
      </c>
      <c r="O1480" t="s">
        <v>1009</v>
      </c>
      <c r="P1480" t="s">
        <v>1010</v>
      </c>
      <c r="S1480" t="s">
        <v>3800</v>
      </c>
      <c r="T1480" t="s">
        <v>4904</v>
      </c>
      <c r="U1480" t="s">
        <v>4859</v>
      </c>
      <c r="V1480" s="8">
        <v>0</v>
      </c>
      <c r="W1480" s="7">
        <v>590054</v>
      </c>
      <c r="X1480" t="s">
        <v>4860</v>
      </c>
      <c r="Y1480" s="8">
        <v>0</v>
      </c>
      <c r="Z1480" s="8">
        <v>0</v>
      </c>
      <c r="AA1480" s="8">
        <v>0</v>
      </c>
      <c r="AB1480" s="7">
        <v>113521</v>
      </c>
      <c r="AC1480" t="s">
        <v>4860</v>
      </c>
      <c r="AD1480" s="8">
        <v>0</v>
      </c>
      <c r="AG1480" t="s">
        <v>823</v>
      </c>
      <c r="AH1480" t="s">
        <v>802</v>
      </c>
      <c r="AI1480" t="s">
        <v>803</v>
      </c>
    </row>
    <row r="1481" spans="1:35" hidden="1">
      <c r="A1481" s="7">
        <v>1480</v>
      </c>
      <c r="B1481" t="s">
        <v>243</v>
      </c>
      <c r="C1481" t="s">
        <v>244</v>
      </c>
      <c r="D1481" s="7">
        <v>7134</v>
      </c>
      <c r="E1481" t="s">
        <v>245</v>
      </c>
      <c r="F1481" t="s">
        <v>246</v>
      </c>
      <c r="G1481" t="s">
        <v>3457</v>
      </c>
      <c r="H1481" t="s">
        <v>4908</v>
      </c>
      <c r="I1481" s="7">
        <v>1165</v>
      </c>
      <c r="J1481" s="7">
        <v>4500</v>
      </c>
      <c r="K1481" s="7">
        <v>1</v>
      </c>
      <c r="L1481" t="s">
        <v>247</v>
      </c>
      <c r="M1481" t="s">
        <v>252</v>
      </c>
      <c r="N1481" s="7">
        <v>328544</v>
      </c>
      <c r="O1481" t="s">
        <v>3459</v>
      </c>
      <c r="P1481" t="s">
        <v>3460</v>
      </c>
      <c r="S1481" t="s">
        <v>3800</v>
      </c>
      <c r="T1481" t="s">
        <v>4904</v>
      </c>
      <c r="U1481" t="s">
        <v>4859</v>
      </c>
      <c r="V1481" s="8">
        <v>1250</v>
      </c>
      <c r="W1481" s="7">
        <v>590054</v>
      </c>
      <c r="X1481" t="s">
        <v>4860</v>
      </c>
      <c r="Y1481" s="8">
        <v>1250</v>
      </c>
      <c r="Z1481" s="8">
        <v>1475</v>
      </c>
      <c r="AA1481" s="8">
        <v>225</v>
      </c>
      <c r="AB1481" s="7">
        <v>113521</v>
      </c>
      <c r="AC1481" t="s">
        <v>4860</v>
      </c>
      <c r="AD1481" s="8">
        <v>0</v>
      </c>
      <c r="AG1481" t="s">
        <v>937</v>
      </c>
      <c r="AH1481" t="s">
        <v>802</v>
      </c>
      <c r="AI1481" t="s">
        <v>818</v>
      </c>
    </row>
    <row r="1482" spans="1:35" hidden="1">
      <c r="A1482" s="7">
        <v>1481</v>
      </c>
      <c r="B1482" t="s">
        <v>243</v>
      </c>
      <c r="C1482" t="s">
        <v>244</v>
      </c>
      <c r="D1482" s="7">
        <v>7134</v>
      </c>
      <c r="E1482" t="s">
        <v>245</v>
      </c>
      <c r="F1482" t="s">
        <v>246</v>
      </c>
      <c r="G1482" t="s">
        <v>3097</v>
      </c>
      <c r="H1482" t="s">
        <v>4916</v>
      </c>
      <c r="I1482" s="7">
        <v>1165</v>
      </c>
      <c r="J1482" s="7">
        <v>6285</v>
      </c>
      <c r="K1482" s="7">
        <v>1</v>
      </c>
      <c r="L1482" t="s">
        <v>247</v>
      </c>
      <c r="M1482" t="s">
        <v>261</v>
      </c>
      <c r="N1482" s="7">
        <v>803682</v>
      </c>
      <c r="O1482" t="s">
        <v>3176</v>
      </c>
      <c r="P1482" t="s">
        <v>3177</v>
      </c>
      <c r="S1482" t="s">
        <v>3800</v>
      </c>
      <c r="T1482" t="s">
        <v>4904</v>
      </c>
      <c r="U1482" t="s">
        <v>4859</v>
      </c>
      <c r="V1482" s="8">
        <v>1250</v>
      </c>
      <c r="W1482" s="7">
        <v>590054</v>
      </c>
      <c r="X1482" t="s">
        <v>4860</v>
      </c>
      <c r="Y1482" s="8">
        <v>1250</v>
      </c>
      <c r="Z1482" s="8">
        <v>1475</v>
      </c>
      <c r="AA1482" s="8">
        <v>225</v>
      </c>
      <c r="AB1482" s="7">
        <v>113521</v>
      </c>
      <c r="AC1482" t="s">
        <v>4860</v>
      </c>
      <c r="AD1482" s="8">
        <v>0</v>
      </c>
      <c r="AG1482" t="s">
        <v>817</v>
      </c>
      <c r="AH1482" t="s">
        <v>802</v>
      </c>
      <c r="AI1482" t="s">
        <v>818</v>
      </c>
    </row>
    <row r="1483" spans="1:35" hidden="1">
      <c r="A1483" s="7">
        <v>1482</v>
      </c>
      <c r="B1483" t="s">
        <v>243</v>
      </c>
      <c r="C1483" t="s">
        <v>244</v>
      </c>
      <c r="D1483" s="7">
        <v>7134</v>
      </c>
      <c r="E1483" t="s">
        <v>245</v>
      </c>
      <c r="F1483" t="s">
        <v>246</v>
      </c>
      <c r="G1483" t="s">
        <v>1594</v>
      </c>
      <c r="H1483" t="s">
        <v>4928</v>
      </c>
      <c r="I1483" s="7">
        <v>1165</v>
      </c>
      <c r="J1483" s="7">
        <v>31900</v>
      </c>
      <c r="K1483" s="7">
        <v>5</v>
      </c>
      <c r="L1483" t="s">
        <v>247</v>
      </c>
      <c r="M1483" t="s">
        <v>261</v>
      </c>
      <c r="N1483" s="7">
        <v>792067</v>
      </c>
      <c r="O1483" t="s">
        <v>1595</v>
      </c>
      <c r="P1483" t="s">
        <v>1596</v>
      </c>
      <c r="S1483" t="s">
        <v>3800</v>
      </c>
      <c r="T1483" t="s">
        <v>4904</v>
      </c>
      <c r="U1483" t="s">
        <v>4859</v>
      </c>
      <c r="V1483" s="8">
        <v>1250</v>
      </c>
      <c r="W1483" s="7">
        <v>590054</v>
      </c>
      <c r="X1483" t="s">
        <v>4860</v>
      </c>
      <c r="Y1483" s="8">
        <v>1250</v>
      </c>
      <c r="Z1483" s="8">
        <v>1475</v>
      </c>
      <c r="AA1483" s="8">
        <v>225</v>
      </c>
      <c r="AB1483" s="7">
        <v>113521</v>
      </c>
      <c r="AC1483" t="s">
        <v>4860</v>
      </c>
      <c r="AD1483" s="8">
        <v>0</v>
      </c>
      <c r="AG1483" t="s">
        <v>801</v>
      </c>
      <c r="AH1483" t="s">
        <v>802</v>
      </c>
      <c r="AI1483" t="s">
        <v>818</v>
      </c>
    </row>
    <row r="1484" spans="1:35" hidden="1">
      <c r="A1484" s="7">
        <v>1483</v>
      </c>
      <c r="B1484" t="s">
        <v>243</v>
      </c>
      <c r="C1484" t="s">
        <v>244</v>
      </c>
      <c r="D1484" s="7">
        <v>7134</v>
      </c>
      <c r="E1484" t="s">
        <v>245</v>
      </c>
      <c r="F1484" t="s">
        <v>246</v>
      </c>
      <c r="G1484" t="s">
        <v>979</v>
      </c>
      <c r="H1484" t="s">
        <v>4905</v>
      </c>
      <c r="I1484" s="7">
        <v>1165</v>
      </c>
      <c r="J1484" s="7">
        <v>39321</v>
      </c>
      <c r="K1484" s="7">
        <v>6</v>
      </c>
      <c r="L1484" t="s">
        <v>247</v>
      </c>
      <c r="M1484" t="s">
        <v>252</v>
      </c>
      <c r="N1484" s="7">
        <v>326093</v>
      </c>
      <c r="O1484" t="s">
        <v>980</v>
      </c>
      <c r="P1484" t="s">
        <v>981</v>
      </c>
      <c r="S1484" t="s">
        <v>3800</v>
      </c>
      <c r="T1484" t="s">
        <v>4904</v>
      </c>
      <c r="U1484" t="s">
        <v>4859</v>
      </c>
      <c r="V1484" s="8">
        <v>0</v>
      </c>
      <c r="W1484" s="7">
        <v>590054</v>
      </c>
      <c r="X1484" t="s">
        <v>4860</v>
      </c>
      <c r="Y1484" s="8">
        <v>0</v>
      </c>
      <c r="Z1484" s="8">
        <v>0</v>
      </c>
      <c r="AA1484" s="8">
        <v>0</v>
      </c>
      <c r="AB1484" s="7">
        <v>113521</v>
      </c>
      <c r="AC1484" t="s">
        <v>4860</v>
      </c>
      <c r="AD1484" s="8">
        <v>0</v>
      </c>
      <c r="AG1484" t="s">
        <v>937</v>
      </c>
      <c r="AH1484" t="s">
        <v>802</v>
      </c>
      <c r="AI1484" t="s">
        <v>803</v>
      </c>
    </row>
    <row r="1485" spans="1:35" hidden="1">
      <c r="A1485" s="7">
        <v>1484</v>
      </c>
      <c r="B1485" t="s">
        <v>243</v>
      </c>
      <c r="C1485" t="s">
        <v>244</v>
      </c>
      <c r="D1485" s="7">
        <v>7134</v>
      </c>
      <c r="E1485" t="s">
        <v>245</v>
      </c>
      <c r="F1485" t="s">
        <v>246</v>
      </c>
      <c r="G1485" t="s">
        <v>3216</v>
      </c>
      <c r="H1485" t="s">
        <v>4908</v>
      </c>
      <c r="I1485" s="7">
        <v>1165</v>
      </c>
      <c r="J1485" s="7">
        <v>5817</v>
      </c>
      <c r="K1485" s="7">
        <v>2</v>
      </c>
      <c r="L1485" t="s">
        <v>247</v>
      </c>
      <c r="M1485" t="s">
        <v>267</v>
      </c>
      <c r="N1485" s="7">
        <v>806496</v>
      </c>
      <c r="O1485" t="s">
        <v>3218</v>
      </c>
      <c r="P1485" t="s">
        <v>3219</v>
      </c>
      <c r="S1485" t="s">
        <v>3800</v>
      </c>
      <c r="T1485" t="s">
        <v>4904</v>
      </c>
      <c r="U1485" t="s">
        <v>4859</v>
      </c>
      <c r="V1485" s="8">
        <v>0</v>
      </c>
      <c r="W1485" s="7">
        <v>590054</v>
      </c>
      <c r="X1485" t="s">
        <v>4860</v>
      </c>
      <c r="Y1485" s="8">
        <v>0</v>
      </c>
      <c r="Z1485" s="8">
        <v>0</v>
      </c>
      <c r="AA1485" s="8">
        <v>0</v>
      </c>
      <c r="AB1485" s="7">
        <v>113521</v>
      </c>
      <c r="AC1485" t="s">
        <v>4860</v>
      </c>
      <c r="AD1485" s="8">
        <v>0</v>
      </c>
      <c r="AG1485" t="s">
        <v>828</v>
      </c>
      <c r="AH1485" t="s">
        <v>802</v>
      </c>
      <c r="AI1485" t="s">
        <v>803</v>
      </c>
    </row>
    <row r="1486" spans="1:35" hidden="1">
      <c r="A1486" s="7">
        <v>1485</v>
      </c>
      <c r="B1486" t="s">
        <v>243</v>
      </c>
      <c r="C1486" t="s">
        <v>244</v>
      </c>
      <c r="D1486" s="7">
        <v>7134</v>
      </c>
      <c r="E1486" t="s">
        <v>245</v>
      </c>
      <c r="F1486" t="s">
        <v>246</v>
      </c>
      <c r="G1486" t="s">
        <v>333</v>
      </c>
      <c r="H1486" t="s">
        <v>4907</v>
      </c>
      <c r="I1486" s="7">
        <v>876</v>
      </c>
      <c r="J1486" s="7">
        <v>50441</v>
      </c>
      <c r="K1486" s="7">
        <v>3</v>
      </c>
      <c r="L1486" t="s">
        <v>247</v>
      </c>
      <c r="M1486" t="s">
        <v>261</v>
      </c>
      <c r="N1486" s="7">
        <v>796155</v>
      </c>
      <c r="O1486" t="s">
        <v>1836</v>
      </c>
      <c r="P1486" t="s">
        <v>1837</v>
      </c>
      <c r="S1486" t="s">
        <v>3800</v>
      </c>
      <c r="T1486" t="s">
        <v>4904</v>
      </c>
      <c r="U1486" t="s">
        <v>4859</v>
      </c>
      <c r="V1486" s="8">
        <v>1250</v>
      </c>
      <c r="W1486" s="7">
        <v>590054</v>
      </c>
      <c r="X1486" t="s">
        <v>4860</v>
      </c>
      <c r="Y1486" s="8">
        <v>1250</v>
      </c>
      <c r="Z1486" s="8">
        <v>1475</v>
      </c>
      <c r="AA1486" s="8">
        <v>225</v>
      </c>
      <c r="AB1486" s="7">
        <v>113521</v>
      </c>
      <c r="AC1486" t="s">
        <v>4860</v>
      </c>
      <c r="AD1486" s="8">
        <v>0</v>
      </c>
      <c r="AG1486" t="s">
        <v>817</v>
      </c>
      <c r="AH1486" t="s">
        <v>802</v>
      </c>
      <c r="AI1486" t="s">
        <v>818</v>
      </c>
    </row>
    <row r="1487" spans="1:35" hidden="1">
      <c r="A1487" s="7">
        <v>1486</v>
      </c>
      <c r="B1487" t="s">
        <v>243</v>
      </c>
      <c r="C1487" t="s">
        <v>244</v>
      </c>
      <c r="D1487" s="7">
        <v>7134</v>
      </c>
      <c r="E1487" t="s">
        <v>245</v>
      </c>
      <c r="F1487" t="s">
        <v>246</v>
      </c>
      <c r="G1487" t="s">
        <v>1226</v>
      </c>
      <c r="H1487" t="s">
        <v>4908</v>
      </c>
      <c r="I1487" s="7">
        <v>1165</v>
      </c>
      <c r="J1487" s="7">
        <v>97772</v>
      </c>
      <c r="K1487" s="7">
        <v>10</v>
      </c>
      <c r="L1487" t="s">
        <v>247</v>
      </c>
      <c r="M1487" t="s">
        <v>361</v>
      </c>
      <c r="N1487" s="7">
        <v>3187</v>
      </c>
      <c r="O1487" t="s">
        <v>1262</v>
      </c>
      <c r="P1487" t="s">
        <v>1263</v>
      </c>
      <c r="S1487" t="s">
        <v>3800</v>
      </c>
      <c r="T1487" t="s">
        <v>4904</v>
      </c>
      <c r="U1487" t="s">
        <v>4859</v>
      </c>
      <c r="V1487" s="8">
        <v>0</v>
      </c>
      <c r="W1487" s="7">
        <v>590054</v>
      </c>
      <c r="X1487" t="s">
        <v>4860</v>
      </c>
      <c r="Y1487" s="8">
        <v>0</v>
      </c>
      <c r="Z1487" s="8">
        <v>0</v>
      </c>
      <c r="AA1487" s="8">
        <v>0</v>
      </c>
      <c r="AB1487" s="7">
        <v>113521</v>
      </c>
      <c r="AC1487" t="s">
        <v>4860</v>
      </c>
      <c r="AD1487" s="8">
        <v>0</v>
      </c>
      <c r="AG1487" t="s">
        <v>823</v>
      </c>
      <c r="AH1487" t="s">
        <v>802</v>
      </c>
      <c r="AI1487" t="s">
        <v>803</v>
      </c>
    </row>
    <row r="1488" spans="1:35" hidden="1">
      <c r="A1488" s="7">
        <v>1487</v>
      </c>
      <c r="B1488" t="s">
        <v>243</v>
      </c>
      <c r="C1488" t="s">
        <v>244</v>
      </c>
      <c r="D1488" s="7">
        <v>7134</v>
      </c>
      <c r="E1488" t="s">
        <v>245</v>
      </c>
      <c r="F1488" t="s">
        <v>246</v>
      </c>
      <c r="G1488" t="s">
        <v>1128</v>
      </c>
      <c r="H1488" t="s">
        <v>4904</v>
      </c>
      <c r="I1488" s="7">
        <v>1165</v>
      </c>
      <c r="J1488" s="7">
        <v>18917</v>
      </c>
      <c r="K1488" s="7">
        <v>3</v>
      </c>
      <c r="L1488" t="s">
        <v>247</v>
      </c>
      <c r="M1488" t="s">
        <v>261</v>
      </c>
      <c r="N1488" s="7">
        <v>780781</v>
      </c>
      <c r="O1488" t="s">
        <v>1718</v>
      </c>
      <c r="P1488" t="s">
        <v>1719</v>
      </c>
      <c r="S1488" t="s">
        <v>3800</v>
      </c>
      <c r="T1488" t="s">
        <v>4904</v>
      </c>
      <c r="U1488" t="s">
        <v>4859</v>
      </c>
      <c r="V1488" s="8">
        <v>1250</v>
      </c>
      <c r="W1488" s="7">
        <v>590054</v>
      </c>
      <c r="X1488" t="s">
        <v>4860</v>
      </c>
      <c r="Y1488" s="8">
        <v>1250</v>
      </c>
      <c r="Z1488" s="8">
        <v>1475</v>
      </c>
      <c r="AA1488" s="8">
        <v>225</v>
      </c>
      <c r="AB1488" s="7">
        <v>113521</v>
      </c>
      <c r="AC1488" t="s">
        <v>4860</v>
      </c>
      <c r="AD1488" s="8">
        <v>0</v>
      </c>
      <c r="AG1488" t="s">
        <v>817</v>
      </c>
      <c r="AH1488" t="s">
        <v>802</v>
      </c>
      <c r="AI1488" t="s">
        <v>818</v>
      </c>
    </row>
    <row r="1489" spans="1:35" hidden="1">
      <c r="A1489" s="7">
        <v>1488</v>
      </c>
      <c r="B1489" t="s">
        <v>243</v>
      </c>
      <c r="C1489" t="s">
        <v>244</v>
      </c>
      <c r="D1489" s="7">
        <v>7134</v>
      </c>
      <c r="E1489" t="s">
        <v>245</v>
      </c>
      <c r="F1489" t="s">
        <v>246</v>
      </c>
      <c r="G1489" t="s">
        <v>727</v>
      </c>
      <c r="H1489" t="s">
        <v>4918</v>
      </c>
      <c r="I1489" s="7">
        <v>1165</v>
      </c>
      <c r="J1489" s="7">
        <v>16225</v>
      </c>
      <c r="K1489" s="7">
        <v>3</v>
      </c>
      <c r="L1489" t="s">
        <v>247</v>
      </c>
      <c r="M1489" t="s">
        <v>267</v>
      </c>
      <c r="N1489" s="7">
        <v>806131</v>
      </c>
      <c r="O1489" t="s">
        <v>776</v>
      </c>
      <c r="P1489" t="s">
        <v>777</v>
      </c>
      <c r="S1489" t="s">
        <v>3800</v>
      </c>
      <c r="T1489" t="s">
        <v>4904</v>
      </c>
      <c r="U1489" t="s">
        <v>4859</v>
      </c>
      <c r="V1489" s="8">
        <v>1250</v>
      </c>
      <c r="W1489" s="7">
        <v>590054</v>
      </c>
      <c r="X1489" t="s">
        <v>4860</v>
      </c>
      <c r="Y1489" s="8">
        <v>1250</v>
      </c>
      <c r="Z1489" s="8">
        <v>1475</v>
      </c>
      <c r="AA1489" s="8">
        <v>225</v>
      </c>
      <c r="AB1489" s="7">
        <v>113521</v>
      </c>
      <c r="AC1489" t="s">
        <v>4860</v>
      </c>
      <c r="AD1489" s="8">
        <v>0</v>
      </c>
      <c r="AG1489" t="s">
        <v>828</v>
      </c>
      <c r="AH1489" t="s">
        <v>802</v>
      </c>
      <c r="AI1489" t="s">
        <v>818</v>
      </c>
    </row>
    <row r="1490" spans="1:35" hidden="1">
      <c r="A1490" s="7">
        <v>1489</v>
      </c>
      <c r="B1490" t="s">
        <v>243</v>
      </c>
      <c r="C1490" t="s">
        <v>244</v>
      </c>
      <c r="D1490" s="7">
        <v>7134</v>
      </c>
      <c r="E1490" t="s">
        <v>245</v>
      </c>
      <c r="F1490" t="s">
        <v>246</v>
      </c>
      <c r="G1490" t="s">
        <v>1226</v>
      </c>
      <c r="H1490" t="s">
        <v>4904</v>
      </c>
      <c r="I1490" s="7">
        <v>1165</v>
      </c>
      <c r="J1490" s="7">
        <v>34723</v>
      </c>
      <c r="K1490" s="7">
        <v>4</v>
      </c>
      <c r="L1490" t="s">
        <v>247</v>
      </c>
      <c r="M1490" t="s">
        <v>267</v>
      </c>
      <c r="N1490" s="7">
        <v>768042</v>
      </c>
      <c r="O1490" t="s">
        <v>4929</v>
      </c>
      <c r="P1490" t="s">
        <v>4930</v>
      </c>
      <c r="Q1490" t="s">
        <v>870</v>
      </c>
      <c r="R1490" t="s">
        <v>871</v>
      </c>
      <c r="S1490" t="s">
        <v>3800</v>
      </c>
      <c r="T1490" t="s">
        <v>4904</v>
      </c>
      <c r="U1490" t="s">
        <v>4859</v>
      </c>
      <c r="V1490" s="8">
        <v>1250</v>
      </c>
      <c r="W1490" s="7">
        <v>590054</v>
      </c>
      <c r="X1490" t="s">
        <v>4860</v>
      </c>
      <c r="Y1490" s="8">
        <v>1000</v>
      </c>
      <c r="Z1490" s="8">
        <v>1475</v>
      </c>
      <c r="AA1490" s="8">
        <v>225</v>
      </c>
      <c r="AB1490" s="7">
        <v>113521</v>
      </c>
      <c r="AC1490" t="s">
        <v>4860</v>
      </c>
      <c r="AD1490" s="8">
        <v>250</v>
      </c>
      <c r="AG1490" t="s">
        <v>828</v>
      </c>
      <c r="AH1490" t="s">
        <v>802</v>
      </c>
      <c r="AI1490" t="s">
        <v>818</v>
      </c>
    </row>
    <row r="1491" spans="1:35" hidden="1">
      <c r="A1491" s="7">
        <v>1490</v>
      </c>
      <c r="B1491" t="s">
        <v>243</v>
      </c>
      <c r="C1491" t="s">
        <v>244</v>
      </c>
      <c r="D1491" s="7">
        <v>7134</v>
      </c>
      <c r="E1491" t="s">
        <v>245</v>
      </c>
      <c r="F1491" t="s">
        <v>246</v>
      </c>
      <c r="G1491" t="s">
        <v>278</v>
      </c>
      <c r="H1491" t="s">
        <v>4918</v>
      </c>
      <c r="I1491" s="7">
        <v>1165</v>
      </c>
      <c r="J1491" s="7">
        <v>18000</v>
      </c>
      <c r="K1491" s="7">
        <v>4</v>
      </c>
      <c r="L1491" t="s">
        <v>247</v>
      </c>
      <c r="M1491" t="s">
        <v>267</v>
      </c>
      <c r="N1491" s="7">
        <v>789037</v>
      </c>
      <c r="O1491" t="s">
        <v>451</v>
      </c>
      <c r="P1491" t="s">
        <v>452</v>
      </c>
      <c r="S1491" t="s">
        <v>3800</v>
      </c>
      <c r="T1491" t="s">
        <v>4904</v>
      </c>
      <c r="U1491" t="s">
        <v>4859</v>
      </c>
      <c r="V1491" s="8">
        <v>0</v>
      </c>
      <c r="W1491" s="7">
        <v>590054</v>
      </c>
      <c r="X1491" t="s">
        <v>4860</v>
      </c>
      <c r="Y1491" s="8">
        <v>0</v>
      </c>
      <c r="Z1491" s="8">
        <v>0</v>
      </c>
      <c r="AA1491" s="8">
        <v>0</v>
      </c>
      <c r="AB1491" s="7">
        <v>113521</v>
      </c>
      <c r="AC1491" t="s">
        <v>4860</v>
      </c>
      <c r="AD1491" s="8">
        <v>0</v>
      </c>
      <c r="AG1491" t="s">
        <v>828</v>
      </c>
      <c r="AH1491" t="s">
        <v>802</v>
      </c>
      <c r="AI1491" t="s">
        <v>803</v>
      </c>
    </row>
    <row r="1492" spans="1:35" hidden="1">
      <c r="A1492" s="7">
        <v>1491</v>
      </c>
      <c r="B1492" t="s">
        <v>243</v>
      </c>
      <c r="C1492" t="s">
        <v>244</v>
      </c>
      <c r="D1492" s="7">
        <v>7134</v>
      </c>
      <c r="E1492" t="s">
        <v>245</v>
      </c>
      <c r="F1492" t="s">
        <v>246</v>
      </c>
      <c r="G1492" t="s">
        <v>689</v>
      </c>
      <c r="H1492" t="s">
        <v>4928</v>
      </c>
      <c r="I1492" s="7">
        <v>1165</v>
      </c>
      <c r="J1492" s="7">
        <v>11066</v>
      </c>
      <c r="K1492" s="7">
        <v>3</v>
      </c>
      <c r="L1492" t="s">
        <v>247</v>
      </c>
      <c r="M1492" t="s">
        <v>261</v>
      </c>
      <c r="N1492" s="7">
        <v>802872</v>
      </c>
      <c r="O1492" t="s">
        <v>691</v>
      </c>
      <c r="P1492" t="s">
        <v>692</v>
      </c>
      <c r="S1492" t="s">
        <v>3800</v>
      </c>
      <c r="T1492" t="s">
        <v>4904</v>
      </c>
      <c r="U1492" t="s">
        <v>4859</v>
      </c>
      <c r="V1492" s="8">
        <v>1250</v>
      </c>
      <c r="W1492" s="7">
        <v>590054</v>
      </c>
      <c r="X1492" t="s">
        <v>4860</v>
      </c>
      <c r="Y1492" s="8">
        <v>1250</v>
      </c>
      <c r="Z1492" s="8">
        <v>1475</v>
      </c>
      <c r="AA1492" s="8">
        <v>225</v>
      </c>
      <c r="AB1492" s="7">
        <v>113521</v>
      </c>
      <c r="AC1492" t="s">
        <v>4860</v>
      </c>
      <c r="AD1492" s="8">
        <v>0</v>
      </c>
      <c r="AG1492" t="s">
        <v>801</v>
      </c>
      <c r="AH1492" t="s">
        <v>802</v>
      </c>
      <c r="AI1492" t="s">
        <v>818</v>
      </c>
    </row>
    <row r="1493" spans="1:35" hidden="1">
      <c r="A1493" s="7">
        <v>1492</v>
      </c>
      <c r="B1493" t="s">
        <v>243</v>
      </c>
      <c r="C1493" t="s">
        <v>244</v>
      </c>
      <c r="D1493" s="7">
        <v>7134</v>
      </c>
      <c r="E1493" t="s">
        <v>245</v>
      </c>
      <c r="F1493" t="s">
        <v>246</v>
      </c>
      <c r="G1493" t="s">
        <v>263</v>
      </c>
      <c r="H1493" t="s">
        <v>3725</v>
      </c>
      <c r="I1493" s="7">
        <v>852</v>
      </c>
      <c r="J1493" s="7">
        <v>50000</v>
      </c>
      <c r="K1493" s="7">
        <v>3</v>
      </c>
      <c r="L1493" t="s">
        <v>247</v>
      </c>
      <c r="M1493" t="s">
        <v>261</v>
      </c>
      <c r="N1493" s="7">
        <v>796224</v>
      </c>
      <c r="O1493" t="s">
        <v>1943</v>
      </c>
      <c r="P1493" t="s">
        <v>1944</v>
      </c>
      <c r="S1493" t="s">
        <v>3800</v>
      </c>
      <c r="T1493" t="s">
        <v>4904</v>
      </c>
      <c r="U1493" t="s">
        <v>4859</v>
      </c>
      <c r="V1493" s="8">
        <v>1250</v>
      </c>
      <c r="W1493" s="7">
        <v>590054</v>
      </c>
      <c r="X1493" t="s">
        <v>4860</v>
      </c>
      <c r="Y1493" s="8">
        <v>1250</v>
      </c>
      <c r="Z1493" s="8">
        <v>1475</v>
      </c>
      <c r="AA1493" s="8">
        <v>225</v>
      </c>
      <c r="AB1493" s="7">
        <v>113521</v>
      </c>
      <c r="AC1493" t="s">
        <v>4860</v>
      </c>
      <c r="AD1493" s="8">
        <v>0</v>
      </c>
      <c r="AG1493" t="s">
        <v>817</v>
      </c>
      <c r="AH1493" t="s">
        <v>802</v>
      </c>
      <c r="AI1493" t="s">
        <v>818</v>
      </c>
    </row>
    <row r="1494" spans="1:35" hidden="1">
      <c r="A1494" s="7">
        <v>1493</v>
      </c>
      <c r="B1494" t="s">
        <v>243</v>
      </c>
      <c r="C1494" t="s">
        <v>244</v>
      </c>
      <c r="D1494" s="7">
        <v>7134</v>
      </c>
      <c r="E1494" t="s">
        <v>245</v>
      </c>
      <c r="F1494" t="s">
        <v>246</v>
      </c>
      <c r="G1494" t="s">
        <v>1226</v>
      </c>
      <c r="H1494" t="s">
        <v>4924</v>
      </c>
      <c r="I1494" s="7">
        <v>1165</v>
      </c>
      <c r="J1494" s="7">
        <v>66552</v>
      </c>
      <c r="K1494" s="7">
        <v>10</v>
      </c>
      <c r="L1494" t="s">
        <v>247</v>
      </c>
      <c r="M1494" t="s">
        <v>261</v>
      </c>
      <c r="N1494" s="7">
        <v>762678</v>
      </c>
      <c r="O1494" t="s">
        <v>2877</v>
      </c>
      <c r="P1494" t="s">
        <v>2878</v>
      </c>
      <c r="S1494" t="s">
        <v>3800</v>
      </c>
      <c r="T1494" t="s">
        <v>4904</v>
      </c>
      <c r="U1494" t="s">
        <v>4859</v>
      </c>
      <c r="V1494" s="8">
        <v>0</v>
      </c>
      <c r="W1494" s="7">
        <v>590054</v>
      </c>
      <c r="X1494" t="s">
        <v>4860</v>
      </c>
      <c r="Y1494" s="8">
        <v>0</v>
      </c>
      <c r="Z1494" s="8">
        <v>0</v>
      </c>
      <c r="AA1494" s="8">
        <v>0</v>
      </c>
      <c r="AB1494" s="7">
        <v>113521</v>
      </c>
      <c r="AC1494" t="s">
        <v>4860</v>
      </c>
      <c r="AD1494" s="8">
        <v>0</v>
      </c>
      <c r="AG1494" t="s">
        <v>801</v>
      </c>
      <c r="AH1494" t="s">
        <v>802</v>
      </c>
      <c r="AI1494" t="s">
        <v>803</v>
      </c>
    </row>
    <row r="1495" spans="1:35" hidden="1">
      <c r="A1495" s="7">
        <v>1494</v>
      </c>
      <c r="B1495" t="s">
        <v>243</v>
      </c>
      <c r="C1495" t="s">
        <v>244</v>
      </c>
      <c r="D1495" s="7">
        <v>7134</v>
      </c>
      <c r="E1495" t="s">
        <v>245</v>
      </c>
      <c r="F1495" t="s">
        <v>246</v>
      </c>
      <c r="G1495" t="s">
        <v>363</v>
      </c>
      <c r="H1495" t="s">
        <v>3728</v>
      </c>
      <c r="I1495" s="7">
        <v>890</v>
      </c>
      <c r="J1495" s="7">
        <v>50255</v>
      </c>
      <c r="K1495" s="7">
        <v>3</v>
      </c>
      <c r="L1495" t="s">
        <v>247</v>
      </c>
      <c r="M1495" t="s">
        <v>261</v>
      </c>
      <c r="N1495" s="7">
        <v>797497</v>
      </c>
      <c r="O1495" t="s">
        <v>4222</v>
      </c>
      <c r="P1495" t="s">
        <v>4223</v>
      </c>
      <c r="Q1495" t="s">
        <v>283</v>
      </c>
      <c r="R1495" t="s">
        <v>1062</v>
      </c>
      <c r="S1495" t="s">
        <v>3800</v>
      </c>
      <c r="T1495" t="s">
        <v>4904</v>
      </c>
      <c r="U1495" t="s">
        <v>4859</v>
      </c>
      <c r="V1495" s="8">
        <v>1250</v>
      </c>
      <c r="W1495" s="7">
        <v>590054</v>
      </c>
      <c r="X1495" t="s">
        <v>4860</v>
      </c>
      <c r="Y1495" s="8">
        <v>0</v>
      </c>
      <c r="Z1495" s="8">
        <v>1475</v>
      </c>
      <c r="AA1495" s="8">
        <v>225</v>
      </c>
      <c r="AB1495" s="7">
        <v>113521</v>
      </c>
      <c r="AC1495" t="s">
        <v>4860</v>
      </c>
      <c r="AD1495" s="8">
        <v>1250</v>
      </c>
      <c r="AG1495" t="s">
        <v>817</v>
      </c>
      <c r="AH1495" t="s">
        <v>802</v>
      </c>
      <c r="AI1495" t="s">
        <v>818</v>
      </c>
    </row>
    <row r="1496" spans="1:35" hidden="1">
      <c r="A1496" s="7">
        <v>1495</v>
      </c>
      <c r="B1496" t="s">
        <v>243</v>
      </c>
      <c r="C1496" t="s">
        <v>244</v>
      </c>
      <c r="D1496" s="7">
        <v>7134</v>
      </c>
      <c r="E1496" t="s">
        <v>245</v>
      </c>
      <c r="F1496" t="s">
        <v>246</v>
      </c>
      <c r="G1496" t="s">
        <v>657</v>
      </c>
      <c r="H1496" t="s">
        <v>4906</v>
      </c>
      <c r="I1496" s="7">
        <v>1165</v>
      </c>
      <c r="J1496" s="7">
        <v>31466</v>
      </c>
      <c r="K1496" s="7">
        <v>3</v>
      </c>
      <c r="L1496" t="s">
        <v>247</v>
      </c>
      <c r="M1496" t="s">
        <v>261</v>
      </c>
      <c r="N1496" s="7">
        <v>802597</v>
      </c>
      <c r="O1496" t="s">
        <v>659</v>
      </c>
      <c r="P1496" t="s">
        <v>660</v>
      </c>
      <c r="S1496" t="s">
        <v>3800</v>
      </c>
      <c r="T1496" t="s">
        <v>4904</v>
      </c>
      <c r="U1496" t="s">
        <v>4859</v>
      </c>
      <c r="V1496" s="8">
        <v>1250</v>
      </c>
      <c r="W1496" s="7">
        <v>590054</v>
      </c>
      <c r="X1496" t="s">
        <v>4860</v>
      </c>
      <c r="Y1496" s="8">
        <v>1250</v>
      </c>
      <c r="Z1496" s="8">
        <v>1475</v>
      </c>
      <c r="AA1496" s="8">
        <v>225</v>
      </c>
      <c r="AB1496" s="7">
        <v>113521</v>
      </c>
      <c r="AC1496" t="s">
        <v>4860</v>
      </c>
      <c r="AD1496" s="8">
        <v>0</v>
      </c>
      <c r="AG1496" t="s">
        <v>801</v>
      </c>
      <c r="AH1496" t="s">
        <v>802</v>
      </c>
      <c r="AI1496" t="s">
        <v>818</v>
      </c>
    </row>
    <row r="1497" spans="1:35" hidden="1">
      <c r="A1497" s="7">
        <v>1496</v>
      </c>
      <c r="B1497" t="s">
        <v>243</v>
      </c>
      <c r="C1497" t="s">
        <v>244</v>
      </c>
      <c r="D1497" s="7">
        <v>7134</v>
      </c>
      <c r="E1497" t="s">
        <v>245</v>
      </c>
      <c r="F1497" t="s">
        <v>246</v>
      </c>
      <c r="G1497" t="s">
        <v>985</v>
      </c>
      <c r="H1497" t="s">
        <v>4914</v>
      </c>
      <c r="I1497" s="7">
        <v>1165</v>
      </c>
      <c r="J1497" s="7">
        <v>110000</v>
      </c>
      <c r="K1497" s="7">
        <v>11</v>
      </c>
      <c r="L1497" t="s">
        <v>247</v>
      </c>
      <c r="M1497" t="s">
        <v>267</v>
      </c>
      <c r="N1497" s="7">
        <v>766599</v>
      </c>
      <c r="O1497" t="s">
        <v>1723</v>
      </c>
      <c r="P1497" t="s">
        <v>1724</v>
      </c>
      <c r="S1497" t="s">
        <v>3800</v>
      </c>
      <c r="T1497" t="s">
        <v>4904</v>
      </c>
      <c r="U1497" t="s">
        <v>4859</v>
      </c>
      <c r="V1497" s="8">
        <v>1250</v>
      </c>
      <c r="W1497" s="7">
        <v>590054</v>
      </c>
      <c r="X1497" t="s">
        <v>4860</v>
      </c>
      <c r="Y1497" s="8">
        <v>1250</v>
      </c>
      <c r="Z1497" s="8">
        <v>1475</v>
      </c>
      <c r="AA1497" s="8">
        <v>225</v>
      </c>
      <c r="AB1497" s="7">
        <v>113521</v>
      </c>
      <c r="AC1497" t="s">
        <v>4860</v>
      </c>
      <c r="AD1497" s="8">
        <v>0</v>
      </c>
      <c r="AG1497" t="s">
        <v>828</v>
      </c>
      <c r="AH1497" t="s">
        <v>802</v>
      </c>
      <c r="AI1497" t="s">
        <v>818</v>
      </c>
    </row>
    <row r="1498" spans="1:35" hidden="1">
      <c r="A1498" s="7">
        <v>1497</v>
      </c>
      <c r="B1498" t="s">
        <v>243</v>
      </c>
      <c r="C1498" t="s">
        <v>244</v>
      </c>
      <c r="D1498" s="7">
        <v>7134</v>
      </c>
      <c r="E1498" t="s">
        <v>245</v>
      </c>
      <c r="F1498" t="s">
        <v>246</v>
      </c>
      <c r="G1498" t="s">
        <v>3136</v>
      </c>
      <c r="H1498" t="s">
        <v>4904</v>
      </c>
      <c r="I1498" s="7">
        <v>1165</v>
      </c>
      <c r="J1498" s="7">
        <v>4077</v>
      </c>
      <c r="K1498" s="7">
        <v>1</v>
      </c>
      <c r="L1498" t="s">
        <v>247</v>
      </c>
      <c r="M1498" t="s">
        <v>261</v>
      </c>
      <c r="N1498" s="7">
        <v>805055</v>
      </c>
      <c r="O1498" t="s">
        <v>3196</v>
      </c>
      <c r="P1498" t="s">
        <v>3197</v>
      </c>
      <c r="S1498" t="s">
        <v>3800</v>
      </c>
      <c r="T1498" t="s">
        <v>4904</v>
      </c>
      <c r="U1498" t="s">
        <v>4859</v>
      </c>
      <c r="V1498" s="8">
        <v>1250</v>
      </c>
      <c r="W1498" s="7">
        <v>590054</v>
      </c>
      <c r="X1498" t="s">
        <v>4860</v>
      </c>
      <c r="Y1498" s="8">
        <v>1250</v>
      </c>
      <c r="Z1498" s="8">
        <v>1475</v>
      </c>
      <c r="AA1498" s="8">
        <v>225</v>
      </c>
      <c r="AB1498" s="7">
        <v>113521</v>
      </c>
      <c r="AC1498" t="s">
        <v>4860</v>
      </c>
      <c r="AD1498" s="8">
        <v>0</v>
      </c>
      <c r="AG1498" t="s">
        <v>817</v>
      </c>
      <c r="AH1498" t="s">
        <v>802</v>
      </c>
      <c r="AI1498" t="s">
        <v>818</v>
      </c>
    </row>
    <row r="1499" spans="1:35" hidden="1">
      <c r="A1499" s="7">
        <v>1498</v>
      </c>
      <c r="B1499" t="s">
        <v>243</v>
      </c>
      <c r="C1499" t="s">
        <v>244</v>
      </c>
      <c r="D1499" s="7">
        <v>7134</v>
      </c>
      <c r="E1499" t="s">
        <v>245</v>
      </c>
      <c r="F1499" t="s">
        <v>246</v>
      </c>
      <c r="G1499" t="s">
        <v>284</v>
      </c>
      <c r="H1499" t="s">
        <v>4927</v>
      </c>
      <c r="I1499" s="7">
        <v>1165</v>
      </c>
      <c r="J1499" s="7">
        <v>2400</v>
      </c>
      <c r="K1499" s="7">
        <v>4</v>
      </c>
      <c r="L1499" t="s">
        <v>247</v>
      </c>
      <c r="M1499" t="s">
        <v>252</v>
      </c>
      <c r="N1499" s="7">
        <v>327811</v>
      </c>
      <c r="O1499" t="s">
        <v>286</v>
      </c>
      <c r="P1499" t="s">
        <v>287</v>
      </c>
      <c r="S1499" t="s">
        <v>3800</v>
      </c>
      <c r="T1499" t="s">
        <v>4904</v>
      </c>
      <c r="U1499" t="s">
        <v>4859</v>
      </c>
      <c r="V1499" s="8">
        <v>0</v>
      </c>
      <c r="W1499" s="7">
        <v>590054</v>
      </c>
      <c r="X1499" t="s">
        <v>4860</v>
      </c>
      <c r="Y1499" s="8">
        <v>0</v>
      </c>
      <c r="Z1499" s="8">
        <v>0</v>
      </c>
      <c r="AA1499" s="8">
        <v>0</v>
      </c>
      <c r="AB1499" s="7">
        <v>113521</v>
      </c>
      <c r="AC1499" t="s">
        <v>4860</v>
      </c>
      <c r="AD1499" s="8">
        <v>0</v>
      </c>
      <c r="AG1499" t="s">
        <v>937</v>
      </c>
      <c r="AH1499" t="s">
        <v>802</v>
      </c>
      <c r="AI1499" t="s">
        <v>803</v>
      </c>
    </row>
    <row r="1500" spans="1:35" hidden="1">
      <c r="A1500" s="7">
        <v>1499</v>
      </c>
      <c r="B1500" t="s">
        <v>243</v>
      </c>
      <c r="C1500" t="s">
        <v>244</v>
      </c>
      <c r="D1500" s="7">
        <v>7134</v>
      </c>
      <c r="E1500" t="s">
        <v>245</v>
      </c>
      <c r="F1500" t="s">
        <v>246</v>
      </c>
      <c r="G1500" t="s">
        <v>825</v>
      </c>
      <c r="H1500" t="s">
        <v>4904</v>
      </c>
      <c r="I1500" s="7">
        <v>1165</v>
      </c>
      <c r="J1500" s="7">
        <v>50000</v>
      </c>
      <c r="K1500" s="7">
        <v>5</v>
      </c>
      <c r="L1500" t="s">
        <v>247</v>
      </c>
      <c r="M1500" t="s">
        <v>361</v>
      </c>
      <c r="N1500" s="7">
        <v>6349</v>
      </c>
      <c r="O1500" t="s">
        <v>1694</v>
      </c>
      <c r="P1500" t="s">
        <v>1695</v>
      </c>
      <c r="S1500" t="s">
        <v>3800</v>
      </c>
      <c r="T1500" t="s">
        <v>4904</v>
      </c>
      <c r="U1500" t="s">
        <v>4859</v>
      </c>
      <c r="V1500" s="8">
        <v>1650</v>
      </c>
      <c r="W1500" s="7">
        <v>590054</v>
      </c>
      <c r="X1500" t="s">
        <v>4860</v>
      </c>
      <c r="Y1500" s="8">
        <v>1650</v>
      </c>
      <c r="Z1500" s="8">
        <v>1947</v>
      </c>
      <c r="AA1500" s="8">
        <v>297</v>
      </c>
      <c r="AB1500" s="7">
        <v>113521</v>
      </c>
      <c r="AC1500" t="s">
        <v>4860</v>
      </c>
      <c r="AD1500" s="8">
        <v>0</v>
      </c>
      <c r="AG1500" t="s">
        <v>823</v>
      </c>
      <c r="AH1500" t="s">
        <v>802</v>
      </c>
      <c r="AI1500" t="s">
        <v>818</v>
      </c>
    </row>
    <row r="1501" spans="1:35" hidden="1">
      <c r="A1501" s="7">
        <v>1500</v>
      </c>
      <c r="B1501" t="s">
        <v>243</v>
      </c>
      <c r="C1501" t="s">
        <v>244</v>
      </c>
      <c r="D1501" s="7">
        <v>7134</v>
      </c>
      <c r="E1501" t="s">
        <v>245</v>
      </c>
      <c r="F1501" t="s">
        <v>246</v>
      </c>
      <c r="G1501" t="s">
        <v>1733</v>
      </c>
      <c r="H1501" t="s">
        <v>4909</v>
      </c>
      <c r="I1501" s="7">
        <v>1165</v>
      </c>
      <c r="J1501" s="7">
        <v>70545</v>
      </c>
      <c r="K1501" s="7">
        <v>8</v>
      </c>
      <c r="L1501" t="s">
        <v>247</v>
      </c>
      <c r="M1501" t="s">
        <v>261</v>
      </c>
      <c r="N1501" s="7">
        <v>774649</v>
      </c>
      <c r="O1501" t="s">
        <v>2062</v>
      </c>
      <c r="P1501" t="s">
        <v>2063</v>
      </c>
      <c r="S1501" t="s">
        <v>3800</v>
      </c>
      <c r="T1501" t="s">
        <v>4904</v>
      </c>
      <c r="U1501" t="s">
        <v>4859</v>
      </c>
      <c r="V1501" s="8">
        <v>1250</v>
      </c>
      <c r="W1501" s="7">
        <v>590054</v>
      </c>
      <c r="X1501" t="s">
        <v>4860</v>
      </c>
      <c r="Y1501" s="8">
        <v>1250</v>
      </c>
      <c r="Z1501" s="8">
        <v>1475</v>
      </c>
      <c r="AA1501" s="8">
        <v>225</v>
      </c>
      <c r="AB1501" s="7">
        <v>113521</v>
      </c>
      <c r="AC1501" t="s">
        <v>4860</v>
      </c>
      <c r="AD1501" s="8">
        <v>0</v>
      </c>
      <c r="AG1501" t="s">
        <v>801</v>
      </c>
      <c r="AH1501" t="s">
        <v>802</v>
      </c>
      <c r="AI1501" t="s">
        <v>818</v>
      </c>
    </row>
    <row r="1502" spans="1:35" hidden="1">
      <c r="A1502" s="7">
        <v>1501</v>
      </c>
      <c r="B1502" t="s">
        <v>243</v>
      </c>
      <c r="C1502" t="s">
        <v>244</v>
      </c>
      <c r="D1502" s="7">
        <v>7134</v>
      </c>
      <c r="E1502" t="s">
        <v>245</v>
      </c>
      <c r="F1502" t="s">
        <v>246</v>
      </c>
      <c r="G1502" t="s">
        <v>4877</v>
      </c>
      <c r="H1502" t="s">
        <v>4914</v>
      </c>
      <c r="I1502" s="7">
        <v>1165</v>
      </c>
      <c r="J1502" s="7">
        <v>4971</v>
      </c>
      <c r="K1502" s="7">
        <v>1</v>
      </c>
      <c r="L1502" t="s">
        <v>247</v>
      </c>
      <c r="M1502" t="s">
        <v>261</v>
      </c>
      <c r="N1502" s="7">
        <v>812404</v>
      </c>
      <c r="O1502" t="s">
        <v>4931</v>
      </c>
      <c r="P1502" t="s">
        <v>4932</v>
      </c>
      <c r="S1502" t="s">
        <v>3800</v>
      </c>
      <c r="T1502" t="s">
        <v>4904</v>
      </c>
      <c r="U1502" t="s">
        <v>4859</v>
      </c>
      <c r="V1502" s="8">
        <v>1250</v>
      </c>
      <c r="W1502" s="7">
        <v>590054</v>
      </c>
      <c r="X1502" t="s">
        <v>4860</v>
      </c>
      <c r="Y1502" s="8">
        <v>1250</v>
      </c>
      <c r="Z1502" s="8">
        <v>1475</v>
      </c>
      <c r="AA1502" s="8">
        <v>225</v>
      </c>
      <c r="AB1502" s="7">
        <v>113521</v>
      </c>
      <c r="AC1502" t="s">
        <v>4860</v>
      </c>
      <c r="AD1502" s="8">
        <v>0</v>
      </c>
      <c r="AG1502" t="s">
        <v>801</v>
      </c>
      <c r="AH1502" t="s">
        <v>802</v>
      </c>
      <c r="AI1502" t="s">
        <v>818</v>
      </c>
    </row>
    <row r="1503" spans="1:35" hidden="1">
      <c r="A1503" s="7">
        <v>1502</v>
      </c>
      <c r="B1503" t="s">
        <v>243</v>
      </c>
      <c r="C1503" t="s">
        <v>244</v>
      </c>
      <c r="D1503" s="7">
        <v>7134</v>
      </c>
      <c r="E1503" t="s">
        <v>245</v>
      </c>
      <c r="F1503" t="s">
        <v>246</v>
      </c>
      <c r="G1503" t="s">
        <v>727</v>
      </c>
      <c r="H1503" t="s">
        <v>4903</v>
      </c>
      <c r="I1503" s="7">
        <v>1165</v>
      </c>
      <c r="J1503" s="7">
        <v>16500</v>
      </c>
      <c r="K1503" s="7">
        <v>2</v>
      </c>
      <c r="L1503" t="s">
        <v>247</v>
      </c>
      <c r="M1503" t="s">
        <v>361</v>
      </c>
      <c r="N1503" s="7">
        <v>8144</v>
      </c>
      <c r="O1503" t="s">
        <v>729</v>
      </c>
      <c r="P1503" t="s">
        <v>730</v>
      </c>
      <c r="S1503" t="s">
        <v>3800</v>
      </c>
      <c r="T1503" t="s">
        <v>4904</v>
      </c>
      <c r="U1503" t="s">
        <v>4859</v>
      </c>
      <c r="V1503" s="8">
        <v>0</v>
      </c>
      <c r="W1503" s="7">
        <v>590054</v>
      </c>
      <c r="X1503" t="s">
        <v>4860</v>
      </c>
      <c r="Y1503" s="8">
        <v>0</v>
      </c>
      <c r="Z1503" s="8">
        <v>0</v>
      </c>
      <c r="AA1503" s="8">
        <v>0</v>
      </c>
      <c r="AB1503" s="7">
        <v>113521</v>
      </c>
      <c r="AC1503" t="s">
        <v>4860</v>
      </c>
      <c r="AD1503" s="8">
        <v>0</v>
      </c>
      <c r="AG1503" t="s">
        <v>823</v>
      </c>
      <c r="AH1503" t="s">
        <v>802</v>
      </c>
      <c r="AI1503" t="s">
        <v>803</v>
      </c>
    </row>
    <row r="1504" spans="1:35" hidden="1">
      <c r="A1504" s="7">
        <v>1503</v>
      </c>
      <c r="B1504" t="s">
        <v>243</v>
      </c>
      <c r="C1504" t="s">
        <v>244</v>
      </c>
      <c r="D1504" s="7">
        <v>7134</v>
      </c>
      <c r="E1504" t="s">
        <v>245</v>
      </c>
      <c r="F1504" t="s">
        <v>246</v>
      </c>
      <c r="G1504" t="s">
        <v>829</v>
      </c>
      <c r="H1504" t="s">
        <v>4915</v>
      </c>
      <c r="I1504" s="7">
        <v>863</v>
      </c>
      <c r="J1504" s="7">
        <v>50161</v>
      </c>
      <c r="K1504" s="7">
        <v>3</v>
      </c>
      <c r="L1504" t="s">
        <v>247</v>
      </c>
      <c r="M1504" t="s">
        <v>261</v>
      </c>
      <c r="N1504" s="7">
        <v>796561</v>
      </c>
      <c r="O1504" t="s">
        <v>2068</v>
      </c>
      <c r="P1504" t="s">
        <v>2069</v>
      </c>
      <c r="S1504" t="s">
        <v>3800</v>
      </c>
      <c r="T1504" t="s">
        <v>4904</v>
      </c>
      <c r="U1504" t="s">
        <v>4859</v>
      </c>
      <c r="V1504" s="8">
        <v>1250</v>
      </c>
      <c r="W1504" s="7">
        <v>590054</v>
      </c>
      <c r="X1504" t="s">
        <v>4860</v>
      </c>
      <c r="Y1504" s="8">
        <v>1250</v>
      </c>
      <c r="Z1504" s="8">
        <v>1475</v>
      </c>
      <c r="AA1504" s="8">
        <v>225</v>
      </c>
      <c r="AB1504" s="7">
        <v>113521</v>
      </c>
      <c r="AC1504" t="s">
        <v>4860</v>
      </c>
      <c r="AD1504" s="8">
        <v>0</v>
      </c>
      <c r="AG1504" t="s">
        <v>817</v>
      </c>
      <c r="AH1504" t="s">
        <v>802</v>
      </c>
      <c r="AI1504" t="s">
        <v>818</v>
      </c>
    </row>
    <row r="1505" spans="1:35" hidden="1">
      <c r="A1505" s="7">
        <v>1504</v>
      </c>
      <c r="B1505" t="s">
        <v>243</v>
      </c>
      <c r="C1505" t="s">
        <v>244</v>
      </c>
      <c r="D1505" s="7">
        <v>7134</v>
      </c>
      <c r="E1505" t="s">
        <v>245</v>
      </c>
      <c r="F1505" t="s">
        <v>246</v>
      </c>
      <c r="G1505" t="s">
        <v>539</v>
      </c>
      <c r="H1505" t="s">
        <v>4903</v>
      </c>
      <c r="I1505" s="7">
        <v>1150</v>
      </c>
      <c r="J1505" s="7">
        <v>12995</v>
      </c>
      <c r="K1505" s="7">
        <v>4</v>
      </c>
      <c r="L1505" t="s">
        <v>247</v>
      </c>
      <c r="M1505" t="s">
        <v>261</v>
      </c>
      <c r="N1505" s="7">
        <v>778389</v>
      </c>
      <c r="O1505" t="s">
        <v>2204</v>
      </c>
      <c r="P1505" t="s">
        <v>2205</v>
      </c>
      <c r="S1505" t="s">
        <v>3800</v>
      </c>
      <c r="T1505" t="s">
        <v>4904</v>
      </c>
      <c r="U1505" t="s">
        <v>4859</v>
      </c>
      <c r="V1505" s="8">
        <v>0</v>
      </c>
      <c r="W1505" s="7">
        <v>590054</v>
      </c>
      <c r="X1505" t="s">
        <v>4860</v>
      </c>
      <c r="Y1505" s="8">
        <v>0</v>
      </c>
      <c r="Z1505" s="8">
        <v>0</v>
      </c>
      <c r="AA1505" s="8">
        <v>0</v>
      </c>
      <c r="AB1505" s="7">
        <v>113521</v>
      </c>
      <c r="AC1505" t="s">
        <v>4860</v>
      </c>
      <c r="AD1505" s="8">
        <v>0</v>
      </c>
      <c r="AG1505" t="s">
        <v>808</v>
      </c>
      <c r="AH1505" t="s">
        <v>802</v>
      </c>
      <c r="AI1505" t="s">
        <v>803</v>
      </c>
    </row>
    <row r="1506" spans="1:35" hidden="1">
      <c r="A1506" s="7">
        <v>1505</v>
      </c>
      <c r="B1506" t="s">
        <v>243</v>
      </c>
      <c r="C1506" t="s">
        <v>244</v>
      </c>
      <c r="D1506" s="7">
        <v>7134</v>
      </c>
      <c r="E1506" t="s">
        <v>245</v>
      </c>
      <c r="F1506" t="s">
        <v>246</v>
      </c>
      <c r="G1506" t="s">
        <v>881</v>
      </c>
      <c r="H1506" t="s">
        <v>4920</v>
      </c>
      <c r="I1506" s="7">
        <v>1165</v>
      </c>
      <c r="J1506" s="7">
        <v>37966</v>
      </c>
      <c r="K1506" s="7">
        <v>5</v>
      </c>
      <c r="L1506" t="s">
        <v>247</v>
      </c>
      <c r="M1506" t="s">
        <v>361</v>
      </c>
      <c r="N1506" s="7">
        <v>5319</v>
      </c>
      <c r="O1506" t="s">
        <v>963</v>
      </c>
      <c r="P1506" t="s">
        <v>964</v>
      </c>
      <c r="S1506" t="s">
        <v>3800</v>
      </c>
      <c r="T1506" t="s">
        <v>4904</v>
      </c>
      <c r="U1506" t="s">
        <v>4859</v>
      </c>
      <c r="V1506" s="8">
        <v>1650</v>
      </c>
      <c r="W1506" s="7">
        <v>590054</v>
      </c>
      <c r="X1506" t="s">
        <v>4860</v>
      </c>
      <c r="Y1506" s="8">
        <v>1650</v>
      </c>
      <c r="Z1506" s="8">
        <v>1947</v>
      </c>
      <c r="AA1506" s="8">
        <v>297</v>
      </c>
      <c r="AB1506" s="7">
        <v>113521</v>
      </c>
      <c r="AC1506" t="s">
        <v>4860</v>
      </c>
      <c r="AD1506" s="8">
        <v>0</v>
      </c>
      <c r="AG1506" t="s">
        <v>823</v>
      </c>
      <c r="AH1506" t="s">
        <v>802</v>
      </c>
      <c r="AI1506" t="s">
        <v>818</v>
      </c>
    </row>
    <row r="1507" spans="1:35" hidden="1">
      <c r="A1507" s="7">
        <v>1506</v>
      </c>
      <c r="B1507" t="s">
        <v>243</v>
      </c>
      <c r="C1507" t="s">
        <v>244</v>
      </c>
      <c r="D1507" s="7">
        <v>7134</v>
      </c>
      <c r="E1507" t="s">
        <v>245</v>
      </c>
      <c r="F1507" t="s">
        <v>246</v>
      </c>
      <c r="G1507" t="s">
        <v>917</v>
      </c>
      <c r="H1507" t="s">
        <v>4928</v>
      </c>
      <c r="I1507" s="7">
        <v>1065</v>
      </c>
      <c r="J1507" s="7">
        <v>27000</v>
      </c>
      <c r="K1507" s="7">
        <v>4</v>
      </c>
      <c r="L1507" t="s">
        <v>247</v>
      </c>
      <c r="M1507" t="s">
        <v>252</v>
      </c>
      <c r="N1507" s="7">
        <v>327119</v>
      </c>
      <c r="O1507" t="s">
        <v>1778</v>
      </c>
      <c r="P1507" t="s">
        <v>1779</v>
      </c>
      <c r="Q1507" t="s">
        <v>870</v>
      </c>
      <c r="R1507" t="s">
        <v>871</v>
      </c>
      <c r="S1507" t="s">
        <v>3800</v>
      </c>
      <c r="T1507" t="s">
        <v>4904</v>
      </c>
      <c r="U1507" t="s">
        <v>4859</v>
      </c>
      <c r="V1507" s="8">
        <v>0</v>
      </c>
      <c r="W1507" s="7">
        <v>590054</v>
      </c>
      <c r="X1507" t="s">
        <v>4860</v>
      </c>
      <c r="Y1507" s="8">
        <v>0</v>
      </c>
      <c r="Z1507" s="8">
        <v>0</v>
      </c>
      <c r="AA1507" s="8">
        <v>0</v>
      </c>
      <c r="AB1507" s="7">
        <v>113521</v>
      </c>
      <c r="AC1507" t="s">
        <v>4860</v>
      </c>
      <c r="AD1507" s="8">
        <v>0</v>
      </c>
      <c r="AG1507" t="s">
        <v>937</v>
      </c>
      <c r="AH1507" t="s">
        <v>802</v>
      </c>
      <c r="AI1507" t="s">
        <v>803</v>
      </c>
    </row>
    <row r="1508" spans="1:35" hidden="1">
      <c r="A1508" s="7">
        <v>1507</v>
      </c>
      <c r="B1508" t="s">
        <v>243</v>
      </c>
      <c r="C1508" t="s">
        <v>244</v>
      </c>
      <c r="D1508" s="7">
        <v>7134</v>
      </c>
      <c r="E1508" t="s">
        <v>245</v>
      </c>
      <c r="F1508" t="s">
        <v>246</v>
      </c>
      <c r="G1508" t="s">
        <v>3078</v>
      </c>
      <c r="H1508" t="s">
        <v>4914</v>
      </c>
      <c r="I1508" s="7">
        <v>1165</v>
      </c>
      <c r="J1508" s="7">
        <v>4971</v>
      </c>
      <c r="K1508" s="7">
        <v>1</v>
      </c>
      <c r="L1508" t="s">
        <v>247</v>
      </c>
      <c r="M1508" t="s">
        <v>261</v>
      </c>
      <c r="N1508" s="7">
        <v>807201</v>
      </c>
      <c r="O1508" t="s">
        <v>3437</v>
      </c>
      <c r="P1508" t="s">
        <v>3438</v>
      </c>
      <c r="Q1508" t="s">
        <v>1902</v>
      </c>
      <c r="R1508" t="s">
        <v>1903</v>
      </c>
      <c r="S1508" t="s">
        <v>3800</v>
      </c>
      <c r="T1508" t="s">
        <v>4904</v>
      </c>
      <c r="U1508" t="s">
        <v>4859</v>
      </c>
      <c r="V1508" s="8">
        <v>1250</v>
      </c>
      <c r="W1508" s="7">
        <v>590054</v>
      </c>
      <c r="X1508" t="s">
        <v>4860</v>
      </c>
      <c r="Y1508" s="8">
        <v>0</v>
      </c>
      <c r="Z1508" s="8">
        <v>1475</v>
      </c>
      <c r="AA1508" s="8">
        <v>225</v>
      </c>
      <c r="AB1508" s="7">
        <v>113521</v>
      </c>
      <c r="AC1508" t="s">
        <v>4860</v>
      </c>
      <c r="AD1508" s="8">
        <v>1250</v>
      </c>
      <c r="AG1508" t="s">
        <v>801</v>
      </c>
      <c r="AH1508" t="s">
        <v>802</v>
      </c>
      <c r="AI1508" t="s">
        <v>818</v>
      </c>
    </row>
    <row r="1509" spans="1:35" hidden="1">
      <c r="A1509" s="7">
        <v>1508</v>
      </c>
      <c r="B1509" t="s">
        <v>243</v>
      </c>
      <c r="C1509" t="s">
        <v>244</v>
      </c>
      <c r="D1509" s="7">
        <v>7134</v>
      </c>
      <c r="E1509" t="s">
        <v>245</v>
      </c>
      <c r="F1509" t="s">
        <v>246</v>
      </c>
      <c r="G1509" t="s">
        <v>3136</v>
      </c>
      <c r="H1509" t="s">
        <v>4920</v>
      </c>
      <c r="I1509" s="7">
        <v>1165</v>
      </c>
      <c r="J1509" s="7">
        <v>8474</v>
      </c>
      <c r="K1509" s="7">
        <v>1</v>
      </c>
      <c r="L1509" t="s">
        <v>247</v>
      </c>
      <c r="M1509" t="s">
        <v>261</v>
      </c>
      <c r="N1509" s="7">
        <v>804423</v>
      </c>
      <c r="O1509" t="s">
        <v>3189</v>
      </c>
      <c r="P1509" t="s">
        <v>3190</v>
      </c>
      <c r="S1509" t="s">
        <v>3800</v>
      </c>
      <c r="T1509" t="s">
        <v>4904</v>
      </c>
      <c r="U1509" t="s">
        <v>4859</v>
      </c>
      <c r="V1509" s="8">
        <v>1250</v>
      </c>
      <c r="W1509" s="7">
        <v>590054</v>
      </c>
      <c r="X1509" t="s">
        <v>4860</v>
      </c>
      <c r="Y1509" s="8">
        <v>1250</v>
      </c>
      <c r="Z1509" s="8">
        <v>1475</v>
      </c>
      <c r="AA1509" s="8">
        <v>225</v>
      </c>
      <c r="AB1509" s="7">
        <v>113521</v>
      </c>
      <c r="AC1509" t="s">
        <v>4860</v>
      </c>
      <c r="AD1509" s="8">
        <v>0</v>
      </c>
      <c r="AG1509" t="s">
        <v>817</v>
      </c>
      <c r="AH1509" t="s">
        <v>802</v>
      </c>
      <c r="AI1509" t="s">
        <v>818</v>
      </c>
    </row>
    <row r="1510" spans="1:35" hidden="1">
      <c r="A1510" s="7">
        <v>1509</v>
      </c>
      <c r="B1510" t="s">
        <v>243</v>
      </c>
      <c r="C1510" t="s">
        <v>244</v>
      </c>
      <c r="D1510" s="7">
        <v>7134</v>
      </c>
      <c r="E1510" t="s">
        <v>245</v>
      </c>
      <c r="F1510" t="s">
        <v>246</v>
      </c>
      <c r="G1510" t="s">
        <v>965</v>
      </c>
      <c r="H1510" t="s">
        <v>4905</v>
      </c>
      <c r="I1510" s="7">
        <v>1165</v>
      </c>
      <c r="J1510" s="7">
        <v>52904</v>
      </c>
      <c r="K1510" s="7">
        <v>8</v>
      </c>
      <c r="L1510" t="s">
        <v>247</v>
      </c>
      <c r="M1510" t="s">
        <v>261</v>
      </c>
      <c r="N1510" s="7">
        <v>774646</v>
      </c>
      <c r="O1510" t="s">
        <v>966</v>
      </c>
      <c r="P1510" t="s">
        <v>967</v>
      </c>
      <c r="S1510" t="s">
        <v>3800</v>
      </c>
      <c r="T1510" t="s">
        <v>4904</v>
      </c>
      <c r="U1510" t="s">
        <v>4859</v>
      </c>
      <c r="V1510" s="8">
        <v>1250</v>
      </c>
      <c r="W1510" s="7">
        <v>590054</v>
      </c>
      <c r="X1510" t="s">
        <v>4860</v>
      </c>
      <c r="Y1510" s="8">
        <v>1250</v>
      </c>
      <c r="Z1510" s="8">
        <v>1475</v>
      </c>
      <c r="AA1510" s="8">
        <v>225</v>
      </c>
      <c r="AB1510" s="7">
        <v>113521</v>
      </c>
      <c r="AC1510" t="s">
        <v>4860</v>
      </c>
      <c r="AD1510" s="8">
        <v>0</v>
      </c>
      <c r="AG1510" t="s">
        <v>801</v>
      </c>
      <c r="AH1510" t="s">
        <v>802</v>
      </c>
      <c r="AI1510" t="s">
        <v>818</v>
      </c>
    </row>
    <row r="1511" spans="1:35" hidden="1">
      <c r="A1511" s="7">
        <v>1510</v>
      </c>
      <c r="B1511" t="s">
        <v>243</v>
      </c>
      <c r="C1511" t="s">
        <v>244</v>
      </c>
      <c r="D1511" s="7">
        <v>7134</v>
      </c>
      <c r="E1511" t="s">
        <v>245</v>
      </c>
      <c r="F1511" t="s">
        <v>246</v>
      </c>
      <c r="G1511" t="s">
        <v>1730</v>
      </c>
      <c r="H1511" t="s">
        <v>4904</v>
      </c>
      <c r="I1511" s="7">
        <v>1165</v>
      </c>
      <c r="J1511" s="7">
        <v>34589</v>
      </c>
      <c r="K1511" s="7">
        <v>4</v>
      </c>
      <c r="L1511" t="s">
        <v>247</v>
      </c>
      <c r="M1511" t="s">
        <v>261</v>
      </c>
      <c r="N1511" s="7">
        <v>780308</v>
      </c>
      <c r="O1511" t="s">
        <v>1989</v>
      </c>
      <c r="P1511" t="s">
        <v>1990</v>
      </c>
      <c r="S1511" t="s">
        <v>3800</v>
      </c>
      <c r="T1511" t="s">
        <v>4904</v>
      </c>
      <c r="U1511" t="s">
        <v>4859</v>
      </c>
      <c r="V1511" s="8">
        <v>1250</v>
      </c>
      <c r="W1511" s="7">
        <v>590054</v>
      </c>
      <c r="X1511" t="s">
        <v>4860</v>
      </c>
      <c r="Y1511" s="8">
        <v>1250</v>
      </c>
      <c r="Z1511" s="8">
        <v>1475</v>
      </c>
      <c r="AA1511" s="8">
        <v>225</v>
      </c>
      <c r="AB1511" s="7">
        <v>113521</v>
      </c>
      <c r="AC1511" t="s">
        <v>4860</v>
      </c>
      <c r="AD1511" s="8">
        <v>0</v>
      </c>
      <c r="AG1511" t="s">
        <v>817</v>
      </c>
      <c r="AH1511" t="s">
        <v>802</v>
      </c>
      <c r="AI1511" t="s">
        <v>818</v>
      </c>
    </row>
    <row r="1512" spans="1:35" hidden="1">
      <c r="A1512" s="7">
        <v>1511</v>
      </c>
      <c r="B1512" t="s">
        <v>243</v>
      </c>
      <c r="C1512" t="s">
        <v>244</v>
      </c>
      <c r="D1512" s="7">
        <v>7134</v>
      </c>
      <c r="E1512" t="s">
        <v>245</v>
      </c>
      <c r="F1512" t="s">
        <v>246</v>
      </c>
      <c r="G1512" t="s">
        <v>263</v>
      </c>
      <c r="H1512" t="s">
        <v>4911</v>
      </c>
      <c r="I1512" s="7">
        <v>877</v>
      </c>
      <c r="J1512" s="7">
        <v>310341</v>
      </c>
      <c r="K1512" s="7">
        <v>3</v>
      </c>
      <c r="L1512" t="s">
        <v>247</v>
      </c>
      <c r="M1512" t="s">
        <v>261</v>
      </c>
      <c r="N1512" s="7">
        <v>796124</v>
      </c>
      <c r="O1512" t="s">
        <v>4933</v>
      </c>
      <c r="P1512" t="s">
        <v>4934</v>
      </c>
      <c r="Q1512" t="s">
        <v>908</v>
      </c>
      <c r="R1512" t="s">
        <v>909</v>
      </c>
      <c r="S1512" t="s">
        <v>3800</v>
      </c>
      <c r="T1512" t="s">
        <v>4904</v>
      </c>
      <c r="U1512" t="s">
        <v>4859</v>
      </c>
      <c r="V1512" s="8">
        <v>1250</v>
      </c>
      <c r="W1512" s="7">
        <v>590054</v>
      </c>
      <c r="X1512" t="s">
        <v>4860</v>
      </c>
      <c r="Y1512" s="8">
        <v>1000</v>
      </c>
      <c r="Z1512" s="8">
        <v>1475</v>
      </c>
      <c r="AA1512" s="8">
        <v>225</v>
      </c>
      <c r="AB1512" s="7">
        <v>113521</v>
      </c>
      <c r="AC1512" t="s">
        <v>4860</v>
      </c>
      <c r="AD1512" s="8">
        <v>250</v>
      </c>
      <c r="AG1512" t="s">
        <v>817</v>
      </c>
      <c r="AH1512" t="s">
        <v>802</v>
      </c>
      <c r="AI1512" t="s">
        <v>818</v>
      </c>
    </row>
    <row r="1513" spans="1:35" hidden="1">
      <c r="A1513" s="7">
        <v>1512</v>
      </c>
      <c r="B1513" t="s">
        <v>243</v>
      </c>
      <c r="C1513" t="s">
        <v>244</v>
      </c>
      <c r="D1513" s="7">
        <v>7134</v>
      </c>
      <c r="E1513" t="s">
        <v>245</v>
      </c>
      <c r="F1513" t="s">
        <v>246</v>
      </c>
      <c r="G1513" t="s">
        <v>293</v>
      </c>
      <c r="H1513" t="s">
        <v>4905</v>
      </c>
      <c r="I1513" s="7">
        <v>1150</v>
      </c>
      <c r="J1513" s="7">
        <v>15824</v>
      </c>
      <c r="K1513" s="7">
        <v>4</v>
      </c>
      <c r="L1513" t="s">
        <v>247</v>
      </c>
      <c r="M1513" t="s">
        <v>261</v>
      </c>
      <c r="N1513" s="7">
        <v>778220</v>
      </c>
      <c r="O1513" t="s">
        <v>2194</v>
      </c>
      <c r="P1513" t="s">
        <v>2195</v>
      </c>
      <c r="S1513" t="s">
        <v>3800</v>
      </c>
      <c r="T1513" t="s">
        <v>4904</v>
      </c>
      <c r="U1513" t="s">
        <v>4859</v>
      </c>
      <c r="V1513" s="8">
        <v>0</v>
      </c>
      <c r="W1513" s="7">
        <v>590054</v>
      </c>
      <c r="X1513" t="s">
        <v>4860</v>
      </c>
      <c r="Y1513" s="8">
        <v>0</v>
      </c>
      <c r="Z1513" s="8">
        <v>0</v>
      </c>
      <c r="AA1513" s="8">
        <v>0</v>
      </c>
      <c r="AB1513" s="7">
        <v>113521</v>
      </c>
      <c r="AC1513" t="s">
        <v>4860</v>
      </c>
      <c r="AD1513" s="8">
        <v>0</v>
      </c>
      <c r="AG1513" t="s">
        <v>808</v>
      </c>
      <c r="AH1513" t="s">
        <v>802</v>
      </c>
      <c r="AI1513" t="s">
        <v>803</v>
      </c>
    </row>
    <row r="1514" spans="1:35" hidden="1">
      <c r="A1514" s="7">
        <v>1513</v>
      </c>
      <c r="B1514" t="s">
        <v>243</v>
      </c>
      <c r="C1514" t="s">
        <v>244</v>
      </c>
      <c r="D1514" s="7">
        <v>7134</v>
      </c>
      <c r="E1514" t="s">
        <v>245</v>
      </c>
      <c r="F1514" t="s">
        <v>246</v>
      </c>
      <c r="G1514" t="s">
        <v>3733</v>
      </c>
      <c r="H1514" t="s">
        <v>4928</v>
      </c>
      <c r="I1514" s="7">
        <v>1165</v>
      </c>
      <c r="J1514" s="7">
        <v>9720</v>
      </c>
      <c r="K1514" s="7">
        <v>1</v>
      </c>
      <c r="L1514" t="s">
        <v>247</v>
      </c>
      <c r="M1514" t="s">
        <v>361</v>
      </c>
      <c r="N1514" s="7">
        <v>9007</v>
      </c>
      <c r="O1514" t="s">
        <v>3670</v>
      </c>
      <c r="P1514" t="s">
        <v>3671</v>
      </c>
      <c r="S1514" t="s">
        <v>3800</v>
      </c>
      <c r="T1514" t="s">
        <v>4904</v>
      </c>
      <c r="U1514" t="s">
        <v>4859</v>
      </c>
      <c r="V1514" s="8">
        <v>1650</v>
      </c>
      <c r="W1514" s="7">
        <v>590054</v>
      </c>
      <c r="X1514" t="s">
        <v>4860</v>
      </c>
      <c r="Y1514" s="8">
        <v>1650</v>
      </c>
      <c r="Z1514" s="8">
        <v>1947</v>
      </c>
      <c r="AA1514" s="8">
        <v>297</v>
      </c>
      <c r="AB1514" s="7">
        <v>113521</v>
      </c>
      <c r="AC1514" t="s">
        <v>4860</v>
      </c>
      <c r="AD1514" s="8">
        <v>0</v>
      </c>
      <c r="AG1514" t="s">
        <v>823</v>
      </c>
      <c r="AH1514" t="s">
        <v>802</v>
      </c>
      <c r="AI1514" t="s">
        <v>818</v>
      </c>
    </row>
    <row r="1515" spans="1:35" hidden="1">
      <c r="A1515" s="7">
        <v>1514</v>
      </c>
      <c r="B1515" t="s">
        <v>243</v>
      </c>
      <c r="C1515" t="s">
        <v>244</v>
      </c>
      <c r="D1515" s="7">
        <v>7134</v>
      </c>
      <c r="E1515" t="s">
        <v>245</v>
      </c>
      <c r="F1515" t="s">
        <v>246</v>
      </c>
      <c r="G1515" t="s">
        <v>902</v>
      </c>
      <c r="H1515" t="s">
        <v>3725</v>
      </c>
      <c r="I1515" s="7">
        <v>1165</v>
      </c>
      <c r="J1515" s="7">
        <v>24165</v>
      </c>
      <c r="K1515" s="7">
        <v>6</v>
      </c>
      <c r="L1515" t="s">
        <v>247</v>
      </c>
      <c r="M1515" t="s">
        <v>267</v>
      </c>
      <c r="N1515" s="7">
        <v>789111</v>
      </c>
      <c r="O1515" t="s">
        <v>904</v>
      </c>
      <c r="P1515" t="s">
        <v>905</v>
      </c>
      <c r="S1515" t="s">
        <v>3800</v>
      </c>
      <c r="T1515" t="s">
        <v>4904</v>
      </c>
      <c r="U1515" t="s">
        <v>4859</v>
      </c>
      <c r="V1515" s="8">
        <v>0</v>
      </c>
      <c r="W1515" s="7">
        <v>590054</v>
      </c>
      <c r="X1515" t="s">
        <v>4860</v>
      </c>
      <c r="Y1515" s="8">
        <v>0</v>
      </c>
      <c r="Z1515" s="8">
        <v>0</v>
      </c>
      <c r="AA1515" s="8">
        <v>0</v>
      </c>
      <c r="AB1515" s="7">
        <v>113521</v>
      </c>
      <c r="AC1515" t="s">
        <v>4860</v>
      </c>
      <c r="AD1515" s="8">
        <v>0</v>
      </c>
      <c r="AG1515" t="s">
        <v>828</v>
      </c>
      <c r="AH1515" t="s">
        <v>802</v>
      </c>
      <c r="AI1515" t="s">
        <v>803</v>
      </c>
    </row>
    <row r="1516" spans="1:35" hidden="1">
      <c r="A1516" s="7">
        <v>1515</v>
      </c>
      <c r="B1516" t="s">
        <v>243</v>
      </c>
      <c r="C1516" t="s">
        <v>244</v>
      </c>
      <c r="D1516" s="7">
        <v>7134</v>
      </c>
      <c r="E1516" t="s">
        <v>245</v>
      </c>
      <c r="F1516" t="s">
        <v>246</v>
      </c>
      <c r="G1516" t="s">
        <v>1488</v>
      </c>
      <c r="H1516" t="s">
        <v>4919</v>
      </c>
      <c r="I1516" s="7">
        <v>1165</v>
      </c>
      <c r="J1516" s="7">
        <v>40256</v>
      </c>
      <c r="K1516" s="7">
        <v>4</v>
      </c>
      <c r="L1516" t="s">
        <v>247</v>
      </c>
      <c r="M1516" t="s">
        <v>361</v>
      </c>
      <c r="N1516" s="7">
        <v>5577</v>
      </c>
      <c r="O1516" t="s">
        <v>1489</v>
      </c>
      <c r="P1516" t="s">
        <v>1490</v>
      </c>
      <c r="S1516" t="s">
        <v>3800</v>
      </c>
      <c r="T1516" t="s">
        <v>4904</v>
      </c>
      <c r="U1516" t="s">
        <v>4859</v>
      </c>
      <c r="V1516" s="8">
        <v>0</v>
      </c>
      <c r="W1516" s="7">
        <v>590054</v>
      </c>
      <c r="X1516" t="s">
        <v>4860</v>
      </c>
      <c r="Y1516" s="8">
        <v>0</v>
      </c>
      <c r="Z1516" s="8">
        <v>0</v>
      </c>
      <c r="AA1516" s="8">
        <v>0</v>
      </c>
      <c r="AB1516" s="7">
        <v>113521</v>
      </c>
      <c r="AC1516" t="s">
        <v>4860</v>
      </c>
      <c r="AD1516" s="8">
        <v>0</v>
      </c>
      <c r="AG1516" t="s">
        <v>823</v>
      </c>
      <c r="AH1516" t="s">
        <v>802</v>
      </c>
      <c r="AI1516" t="s">
        <v>803</v>
      </c>
    </row>
    <row r="1517" spans="1:35" hidden="1">
      <c r="A1517" s="7">
        <v>1516</v>
      </c>
      <c r="B1517" t="s">
        <v>243</v>
      </c>
      <c r="C1517" t="s">
        <v>244</v>
      </c>
      <c r="D1517" s="7">
        <v>7134</v>
      </c>
      <c r="E1517" t="s">
        <v>245</v>
      </c>
      <c r="F1517" t="s">
        <v>246</v>
      </c>
      <c r="G1517" t="s">
        <v>633</v>
      </c>
      <c r="H1517" t="s">
        <v>4916</v>
      </c>
      <c r="I1517" s="7">
        <v>1165</v>
      </c>
      <c r="J1517" s="7">
        <v>30155</v>
      </c>
      <c r="K1517" s="7">
        <v>3</v>
      </c>
      <c r="L1517" t="s">
        <v>247</v>
      </c>
      <c r="M1517" t="s">
        <v>252</v>
      </c>
      <c r="N1517" s="7">
        <v>327617</v>
      </c>
      <c r="O1517" t="s">
        <v>639</v>
      </c>
      <c r="P1517" t="s">
        <v>640</v>
      </c>
      <c r="S1517" t="s">
        <v>3800</v>
      </c>
      <c r="T1517" t="s">
        <v>4904</v>
      </c>
      <c r="U1517" t="s">
        <v>4859</v>
      </c>
      <c r="V1517" s="8">
        <v>1250</v>
      </c>
      <c r="W1517" s="7">
        <v>590054</v>
      </c>
      <c r="X1517" t="s">
        <v>4860</v>
      </c>
      <c r="Y1517" s="8">
        <v>1250</v>
      </c>
      <c r="Z1517" s="8">
        <v>1475</v>
      </c>
      <c r="AA1517" s="8">
        <v>225</v>
      </c>
      <c r="AB1517" s="7">
        <v>113521</v>
      </c>
      <c r="AC1517" t="s">
        <v>4860</v>
      </c>
      <c r="AD1517" s="8">
        <v>0</v>
      </c>
      <c r="AG1517" t="s">
        <v>937</v>
      </c>
      <c r="AH1517" t="s">
        <v>802</v>
      </c>
      <c r="AI1517" t="s">
        <v>818</v>
      </c>
    </row>
    <row r="1518" spans="1:35" hidden="1">
      <c r="A1518" s="7">
        <v>1517</v>
      </c>
      <c r="B1518" t="s">
        <v>243</v>
      </c>
      <c r="C1518" t="s">
        <v>244</v>
      </c>
      <c r="D1518" s="7">
        <v>7134</v>
      </c>
      <c r="E1518" t="s">
        <v>245</v>
      </c>
      <c r="F1518" t="s">
        <v>246</v>
      </c>
      <c r="G1518" t="s">
        <v>1267</v>
      </c>
      <c r="H1518" t="s">
        <v>4919</v>
      </c>
      <c r="I1518" s="7">
        <v>1165</v>
      </c>
      <c r="J1518" s="7">
        <v>40158</v>
      </c>
      <c r="K1518" s="7">
        <v>5</v>
      </c>
      <c r="L1518" t="s">
        <v>247</v>
      </c>
      <c r="M1518" t="s">
        <v>267</v>
      </c>
      <c r="N1518" s="7">
        <v>789007</v>
      </c>
      <c r="O1518" t="s">
        <v>1268</v>
      </c>
      <c r="P1518" t="s">
        <v>1269</v>
      </c>
      <c r="S1518" t="s">
        <v>3800</v>
      </c>
      <c r="T1518" t="s">
        <v>4904</v>
      </c>
      <c r="U1518" t="s">
        <v>4859</v>
      </c>
      <c r="V1518" s="8">
        <v>1250</v>
      </c>
      <c r="W1518" s="7">
        <v>590054</v>
      </c>
      <c r="X1518" t="s">
        <v>4860</v>
      </c>
      <c r="Y1518" s="8">
        <v>1250</v>
      </c>
      <c r="Z1518" s="8">
        <v>1475</v>
      </c>
      <c r="AA1518" s="8">
        <v>225</v>
      </c>
      <c r="AB1518" s="7">
        <v>113521</v>
      </c>
      <c r="AC1518" t="s">
        <v>4860</v>
      </c>
      <c r="AD1518" s="8">
        <v>0</v>
      </c>
      <c r="AG1518" t="s">
        <v>828</v>
      </c>
      <c r="AH1518" t="s">
        <v>802</v>
      </c>
      <c r="AI1518" t="s">
        <v>818</v>
      </c>
    </row>
    <row r="1519" spans="1:35" hidden="1">
      <c r="A1519" s="7">
        <v>1518</v>
      </c>
      <c r="B1519" t="s">
        <v>243</v>
      </c>
      <c r="C1519" t="s">
        <v>244</v>
      </c>
      <c r="D1519" s="7">
        <v>7134</v>
      </c>
      <c r="E1519" t="s">
        <v>245</v>
      </c>
      <c r="F1519" t="s">
        <v>246</v>
      </c>
      <c r="G1519" t="s">
        <v>1121</v>
      </c>
      <c r="H1519" t="s">
        <v>4904</v>
      </c>
      <c r="I1519" s="7">
        <v>1165</v>
      </c>
      <c r="J1519" s="7">
        <v>326983</v>
      </c>
      <c r="K1519" s="7">
        <v>4</v>
      </c>
      <c r="L1519" t="s">
        <v>247</v>
      </c>
      <c r="M1519" t="s">
        <v>267</v>
      </c>
      <c r="N1519" s="7">
        <v>768518</v>
      </c>
      <c r="O1519" t="s">
        <v>1122</v>
      </c>
      <c r="P1519" t="s">
        <v>1123</v>
      </c>
      <c r="Q1519" t="s">
        <v>908</v>
      </c>
      <c r="R1519" t="s">
        <v>909</v>
      </c>
      <c r="S1519" t="s">
        <v>3800</v>
      </c>
      <c r="T1519" t="s">
        <v>4904</v>
      </c>
      <c r="U1519" t="s">
        <v>4859</v>
      </c>
      <c r="V1519" s="8">
        <v>1250</v>
      </c>
      <c r="W1519" s="7">
        <v>590054</v>
      </c>
      <c r="X1519" t="s">
        <v>4860</v>
      </c>
      <c r="Y1519" s="8">
        <v>1000</v>
      </c>
      <c r="Z1519" s="8">
        <v>1475</v>
      </c>
      <c r="AA1519" s="8">
        <v>225</v>
      </c>
      <c r="AB1519" s="7">
        <v>113521</v>
      </c>
      <c r="AC1519" t="s">
        <v>4860</v>
      </c>
      <c r="AD1519" s="8">
        <v>250</v>
      </c>
      <c r="AG1519" t="s">
        <v>828</v>
      </c>
      <c r="AH1519" t="s">
        <v>802</v>
      </c>
      <c r="AI1519" t="s">
        <v>818</v>
      </c>
    </row>
    <row r="1520" spans="1:35" hidden="1">
      <c r="A1520" s="7">
        <v>1519</v>
      </c>
      <c r="B1520" t="s">
        <v>243</v>
      </c>
      <c r="C1520" t="s">
        <v>244</v>
      </c>
      <c r="D1520" s="7">
        <v>7134</v>
      </c>
      <c r="E1520" t="s">
        <v>245</v>
      </c>
      <c r="F1520" t="s">
        <v>246</v>
      </c>
      <c r="G1520" t="s">
        <v>363</v>
      </c>
      <c r="H1520" t="s">
        <v>4906</v>
      </c>
      <c r="I1520" s="7">
        <v>909</v>
      </c>
      <c r="J1520" s="7">
        <v>51980</v>
      </c>
      <c r="K1520" s="7">
        <v>3</v>
      </c>
      <c r="L1520" t="s">
        <v>247</v>
      </c>
      <c r="M1520" t="s">
        <v>261</v>
      </c>
      <c r="N1520" s="7">
        <v>797308</v>
      </c>
      <c r="O1520" t="s">
        <v>3404</v>
      </c>
      <c r="P1520" t="s">
        <v>3405</v>
      </c>
      <c r="Q1520" t="s">
        <v>908</v>
      </c>
      <c r="R1520" t="s">
        <v>909</v>
      </c>
      <c r="S1520" t="s">
        <v>3800</v>
      </c>
      <c r="T1520" t="s">
        <v>4904</v>
      </c>
      <c r="U1520" t="s">
        <v>4859</v>
      </c>
      <c r="V1520" s="8">
        <v>1250</v>
      </c>
      <c r="W1520" s="7">
        <v>590054</v>
      </c>
      <c r="X1520" t="s">
        <v>4860</v>
      </c>
      <c r="Y1520" s="8">
        <v>1000</v>
      </c>
      <c r="Z1520" s="8">
        <v>1475</v>
      </c>
      <c r="AA1520" s="8">
        <v>225</v>
      </c>
      <c r="AB1520" s="7">
        <v>113521</v>
      </c>
      <c r="AC1520" t="s">
        <v>4860</v>
      </c>
      <c r="AD1520" s="8">
        <v>250</v>
      </c>
      <c r="AG1520" t="s">
        <v>817</v>
      </c>
      <c r="AH1520" t="s">
        <v>802</v>
      </c>
      <c r="AI1520" t="s">
        <v>818</v>
      </c>
    </row>
    <row r="1521" spans="1:35" hidden="1">
      <c r="A1521" s="7">
        <v>1520</v>
      </c>
      <c r="B1521" t="s">
        <v>243</v>
      </c>
      <c r="C1521" t="s">
        <v>244</v>
      </c>
      <c r="D1521" s="7">
        <v>7134</v>
      </c>
      <c r="E1521" t="s">
        <v>245</v>
      </c>
      <c r="F1521" t="s">
        <v>246</v>
      </c>
      <c r="G1521" t="s">
        <v>1737</v>
      </c>
      <c r="H1521" t="s">
        <v>4911</v>
      </c>
      <c r="I1521" s="7">
        <v>978</v>
      </c>
      <c r="J1521" s="7">
        <v>31788</v>
      </c>
      <c r="K1521" s="7">
        <v>6</v>
      </c>
      <c r="L1521" t="s">
        <v>247</v>
      </c>
      <c r="M1521" t="s">
        <v>361</v>
      </c>
      <c r="N1521" s="7">
        <v>5247</v>
      </c>
      <c r="O1521" t="s">
        <v>3132</v>
      </c>
      <c r="P1521" t="s">
        <v>3133</v>
      </c>
      <c r="S1521" t="s">
        <v>3800</v>
      </c>
      <c r="T1521" t="s">
        <v>4904</v>
      </c>
      <c r="U1521" t="s">
        <v>4859</v>
      </c>
      <c r="V1521" s="8">
        <v>0</v>
      </c>
      <c r="W1521" s="7">
        <v>590054</v>
      </c>
      <c r="X1521" t="s">
        <v>4860</v>
      </c>
      <c r="Y1521" s="8">
        <v>0</v>
      </c>
      <c r="Z1521" s="8">
        <v>0</v>
      </c>
      <c r="AA1521" s="8">
        <v>0</v>
      </c>
      <c r="AB1521" s="7">
        <v>113521</v>
      </c>
      <c r="AC1521" t="s">
        <v>4860</v>
      </c>
      <c r="AD1521" s="8">
        <v>0</v>
      </c>
      <c r="AG1521" t="s">
        <v>823</v>
      </c>
      <c r="AH1521" t="s">
        <v>802</v>
      </c>
      <c r="AI1521" t="s">
        <v>803</v>
      </c>
    </row>
    <row r="1522" spans="1:35" hidden="1">
      <c r="A1522" s="7">
        <v>1521</v>
      </c>
      <c r="B1522" t="s">
        <v>243</v>
      </c>
      <c r="C1522" t="s">
        <v>244</v>
      </c>
      <c r="D1522" s="7">
        <v>7134</v>
      </c>
      <c r="E1522" t="s">
        <v>245</v>
      </c>
      <c r="F1522" t="s">
        <v>246</v>
      </c>
      <c r="G1522" t="s">
        <v>607</v>
      </c>
      <c r="H1522" t="s">
        <v>4921</v>
      </c>
      <c r="I1522" s="7">
        <v>1150</v>
      </c>
      <c r="J1522" s="7">
        <v>16832</v>
      </c>
      <c r="K1522" s="7">
        <v>4</v>
      </c>
      <c r="L1522" t="s">
        <v>247</v>
      </c>
      <c r="M1522" t="s">
        <v>261</v>
      </c>
      <c r="N1522" s="7">
        <v>778180</v>
      </c>
      <c r="O1522" t="s">
        <v>2220</v>
      </c>
      <c r="P1522" t="s">
        <v>2221</v>
      </c>
      <c r="S1522" t="s">
        <v>3800</v>
      </c>
      <c r="T1522" t="s">
        <v>4904</v>
      </c>
      <c r="U1522" t="s">
        <v>4859</v>
      </c>
      <c r="V1522" s="8">
        <v>0</v>
      </c>
      <c r="W1522" s="7">
        <v>590054</v>
      </c>
      <c r="X1522" t="s">
        <v>4860</v>
      </c>
      <c r="Y1522" s="8">
        <v>0</v>
      </c>
      <c r="Z1522" s="8">
        <v>0</v>
      </c>
      <c r="AA1522" s="8">
        <v>0</v>
      </c>
      <c r="AB1522" s="7">
        <v>113521</v>
      </c>
      <c r="AC1522" t="s">
        <v>4860</v>
      </c>
      <c r="AD1522" s="8">
        <v>0</v>
      </c>
      <c r="AG1522" t="s">
        <v>808</v>
      </c>
      <c r="AH1522" t="s">
        <v>802</v>
      </c>
      <c r="AI1522" t="s">
        <v>803</v>
      </c>
    </row>
    <row r="1523" spans="1:35" hidden="1">
      <c r="A1523" s="7">
        <v>1522</v>
      </c>
      <c r="B1523" t="s">
        <v>243</v>
      </c>
      <c r="C1523" t="s">
        <v>244</v>
      </c>
      <c r="D1523" s="7">
        <v>7134</v>
      </c>
      <c r="E1523" t="s">
        <v>245</v>
      </c>
      <c r="F1523" t="s">
        <v>246</v>
      </c>
      <c r="G1523" t="s">
        <v>1038</v>
      </c>
      <c r="H1523" t="s">
        <v>4921</v>
      </c>
      <c r="I1523" s="7">
        <v>1165</v>
      </c>
      <c r="J1523" s="7">
        <v>70000</v>
      </c>
      <c r="K1523" s="7">
        <v>7</v>
      </c>
      <c r="L1523" t="s">
        <v>247</v>
      </c>
      <c r="M1523" t="s">
        <v>361</v>
      </c>
      <c r="N1523" s="7">
        <v>3248</v>
      </c>
      <c r="O1523" t="s">
        <v>1039</v>
      </c>
      <c r="P1523" t="s">
        <v>1040</v>
      </c>
      <c r="S1523" t="s">
        <v>3800</v>
      </c>
      <c r="T1523" t="s">
        <v>4904</v>
      </c>
      <c r="U1523" t="s">
        <v>4859</v>
      </c>
      <c r="V1523" s="8">
        <v>1650</v>
      </c>
      <c r="W1523" s="7">
        <v>590054</v>
      </c>
      <c r="X1523" t="s">
        <v>4860</v>
      </c>
      <c r="Y1523" s="8">
        <v>1650</v>
      </c>
      <c r="Z1523" s="8">
        <v>1947</v>
      </c>
      <c r="AA1523" s="8">
        <v>297</v>
      </c>
      <c r="AB1523" s="7">
        <v>113521</v>
      </c>
      <c r="AC1523" t="s">
        <v>4860</v>
      </c>
      <c r="AD1523" s="8">
        <v>0</v>
      </c>
      <c r="AG1523" t="s">
        <v>823</v>
      </c>
      <c r="AH1523" t="s">
        <v>802</v>
      </c>
      <c r="AI1523" t="s">
        <v>818</v>
      </c>
    </row>
    <row r="1524" spans="1:35" hidden="1">
      <c r="A1524" s="7">
        <v>1523</v>
      </c>
      <c r="B1524" t="s">
        <v>243</v>
      </c>
      <c r="C1524" t="s">
        <v>244</v>
      </c>
      <c r="D1524" s="7">
        <v>7134</v>
      </c>
      <c r="E1524" t="s">
        <v>245</v>
      </c>
      <c r="F1524" t="s">
        <v>246</v>
      </c>
      <c r="G1524" t="s">
        <v>284</v>
      </c>
      <c r="H1524" t="s">
        <v>3728</v>
      </c>
      <c r="I1524" s="7">
        <v>874</v>
      </c>
      <c r="J1524" s="7">
        <v>50250</v>
      </c>
      <c r="K1524" s="7">
        <v>3</v>
      </c>
      <c r="L1524" t="s">
        <v>247</v>
      </c>
      <c r="M1524" t="s">
        <v>261</v>
      </c>
      <c r="N1524" s="7">
        <v>796009</v>
      </c>
      <c r="O1524" t="s">
        <v>2060</v>
      </c>
      <c r="P1524" t="s">
        <v>2061</v>
      </c>
      <c r="S1524" t="s">
        <v>3800</v>
      </c>
      <c r="T1524" t="s">
        <v>4904</v>
      </c>
      <c r="U1524" t="s">
        <v>4859</v>
      </c>
      <c r="V1524" s="8">
        <v>1250</v>
      </c>
      <c r="W1524" s="7">
        <v>590054</v>
      </c>
      <c r="X1524" t="s">
        <v>4860</v>
      </c>
      <c r="Y1524" s="8">
        <v>1250</v>
      </c>
      <c r="Z1524" s="8">
        <v>1475</v>
      </c>
      <c r="AA1524" s="8">
        <v>225</v>
      </c>
      <c r="AB1524" s="7">
        <v>113521</v>
      </c>
      <c r="AC1524" t="s">
        <v>4860</v>
      </c>
      <c r="AD1524" s="8">
        <v>0</v>
      </c>
      <c r="AG1524" t="s">
        <v>817</v>
      </c>
      <c r="AH1524" t="s">
        <v>802</v>
      </c>
      <c r="AI1524" t="s">
        <v>818</v>
      </c>
    </row>
    <row r="1525" spans="1:35" hidden="1">
      <c r="A1525" s="7">
        <v>1524</v>
      </c>
      <c r="B1525" t="s">
        <v>243</v>
      </c>
      <c r="C1525" t="s">
        <v>244</v>
      </c>
      <c r="D1525" s="7">
        <v>7134</v>
      </c>
      <c r="E1525" t="s">
        <v>245</v>
      </c>
      <c r="F1525" t="s">
        <v>246</v>
      </c>
      <c r="G1525" t="s">
        <v>878</v>
      </c>
      <c r="H1525" t="s">
        <v>4903</v>
      </c>
      <c r="I1525" s="7">
        <v>1165</v>
      </c>
      <c r="J1525" s="7">
        <v>90120</v>
      </c>
      <c r="K1525" s="7">
        <v>9</v>
      </c>
      <c r="L1525" t="s">
        <v>247</v>
      </c>
      <c r="M1525" t="s">
        <v>261</v>
      </c>
      <c r="N1525" s="7">
        <v>786320</v>
      </c>
      <c r="O1525" t="s">
        <v>879</v>
      </c>
      <c r="P1525" t="s">
        <v>880</v>
      </c>
      <c r="S1525" t="s">
        <v>3800</v>
      </c>
      <c r="T1525" t="s">
        <v>4904</v>
      </c>
      <c r="U1525" t="s">
        <v>4859</v>
      </c>
      <c r="V1525" s="8">
        <v>0</v>
      </c>
      <c r="W1525" s="7">
        <v>590054</v>
      </c>
      <c r="X1525" t="s">
        <v>4860</v>
      </c>
      <c r="Y1525" s="8">
        <v>0</v>
      </c>
      <c r="Z1525" s="8">
        <v>0</v>
      </c>
      <c r="AA1525" s="8">
        <v>0</v>
      </c>
      <c r="AB1525" s="7">
        <v>113521</v>
      </c>
      <c r="AC1525" t="s">
        <v>4860</v>
      </c>
      <c r="AD1525" s="8">
        <v>0</v>
      </c>
      <c r="AG1525" t="s">
        <v>801</v>
      </c>
      <c r="AH1525" t="s">
        <v>802</v>
      </c>
      <c r="AI1525" t="s">
        <v>803</v>
      </c>
    </row>
    <row r="1526" spans="1:35" hidden="1">
      <c r="A1526" s="7">
        <v>1525</v>
      </c>
      <c r="B1526" t="s">
        <v>243</v>
      </c>
      <c r="C1526" t="s">
        <v>244</v>
      </c>
      <c r="D1526" s="7">
        <v>7134</v>
      </c>
      <c r="E1526" t="s">
        <v>245</v>
      </c>
      <c r="F1526" t="s">
        <v>246</v>
      </c>
      <c r="G1526" t="s">
        <v>1156</v>
      </c>
      <c r="H1526" t="s">
        <v>4905</v>
      </c>
      <c r="I1526" s="7">
        <v>767</v>
      </c>
      <c r="J1526" s="7">
        <v>19123</v>
      </c>
      <c r="K1526" s="7">
        <v>7</v>
      </c>
      <c r="L1526" t="s">
        <v>247</v>
      </c>
      <c r="M1526" t="s">
        <v>261</v>
      </c>
      <c r="N1526" s="7">
        <v>778003</v>
      </c>
      <c r="O1526" t="s">
        <v>1437</v>
      </c>
      <c r="P1526" t="s">
        <v>1438</v>
      </c>
      <c r="S1526" t="s">
        <v>3800</v>
      </c>
      <c r="T1526" t="s">
        <v>4904</v>
      </c>
      <c r="U1526" t="s">
        <v>4859</v>
      </c>
      <c r="V1526" s="8">
        <v>0</v>
      </c>
      <c r="W1526" s="7">
        <v>590054</v>
      </c>
      <c r="X1526" t="s">
        <v>4860</v>
      </c>
      <c r="Y1526" s="8">
        <v>0</v>
      </c>
      <c r="Z1526" s="8">
        <v>0</v>
      </c>
      <c r="AA1526" s="8">
        <v>0</v>
      </c>
      <c r="AB1526" s="7">
        <v>113521</v>
      </c>
      <c r="AC1526" t="s">
        <v>4860</v>
      </c>
      <c r="AD1526" s="8">
        <v>0</v>
      </c>
      <c r="AG1526" t="s">
        <v>808</v>
      </c>
      <c r="AH1526" t="s">
        <v>802</v>
      </c>
      <c r="AI1526" t="s">
        <v>803</v>
      </c>
    </row>
    <row r="1527" spans="1:35" hidden="1">
      <c r="A1527" s="7">
        <v>1526</v>
      </c>
      <c r="B1527" t="s">
        <v>243</v>
      </c>
      <c r="C1527" t="s">
        <v>244</v>
      </c>
      <c r="D1527" s="7">
        <v>7134</v>
      </c>
      <c r="E1527" t="s">
        <v>245</v>
      </c>
      <c r="F1527" t="s">
        <v>246</v>
      </c>
      <c r="G1527" t="s">
        <v>1439</v>
      </c>
      <c r="H1527" t="s">
        <v>4903</v>
      </c>
      <c r="I1527" s="7">
        <v>1165</v>
      </c>
      <c r="J1527" s="7">
        <v>129125</v>
      </c>
      <c r="K1527" s="7">
        <v>11</v>
      </c>
      <c r="L1527" t="s">
        <v>247</v>
      </c>
      <c r="M1527" t="s">
        <v>261</v>
      </c>
      <c r="N1527" s="7">
        <v>765716</v>
      </c>
      <c r="O1527" t="s">
        <v>1440</v>
      </c>
      <c r="P1527" t="s">
        <v>1441</v>
      </c>
      <c r="Q1527" t="s">
        <v>908</v>
      </c>
      <c r="R1527" t="s">
        <v>909</v>
      </c>
      <c r="S1527" t="s">
        <v>3800</v>
      </c>
      <c r="T1527" t="s">
        <v>4904</v>
      </c>
      <c r="U1527" t="s">
        <v>4859</v>
      </c>
      <c r="V1527" s="8">
        <v>1250</v>
      </c>
      <c r="W1527" s="7">
        <v>590054</v>
      </c>
      <c r="X1527" t="s">
        <v>4860</v>
      </c>
      <c r="Y1527" s="8">
        <v>1000</v>
      </c>
      <c r="Z1527" s="8">
        <v>1475</v>
      </c>
      <c r="AA1527" s="8">
        <v>225</v>
      </c>
      <c r="AB1527" s="7">
        <v>113521</v>
      </c>
      <c r="AC1527" t="s">
        <v>4860</v>
      </c>
      <c r="AD1527" s="8">
        <v>250</v>
      </c>
      <c r="AG1527" t="s">
        <v>801</v>
      </c>
      <c r="AH1527" t="s">
        <v>802</v>
      </c>
      <c r="AI1527" t="s">
        <v>818</v>
      </c>
    </row>
    <row r="1528" spans="1:35" hidden="1">
      <c r="A1528" s="7">
        <v>1527</v>
      </c>
      <c r="B1528" t="s">
        <v>243</v>
      </c>
      <c r="C1528" t="s">
        <v>244</v>
      </c>
      <c r="D1528" s="7">
        <v>7134</v>
      </c>
      <c r="E1528" t="s">
        <v>245</v>
      </c>
      <c r="F1528" t="s">
        <v>246</v>
      </c>
      <c r="G1528" t="s">
        <v>849</v>
      </c>
      <c r="H1528" t="s">
        <v>3725</v>
      </c>
      <c r="I1528" s="7">
        <v>1165</v>
      </c>
      <c r="J1528" s="7">
        <v>79604</v>
      </c>
      <c r="K1528" s="7">
        <v>8</v>
      </c>
      <c r="L1528" t="s">
        <v>247</v>
      </c>
      <c r="M1528" t="s">
        <v>261</v>
      </c>
      <c r="N1528" s="7">
        <v>787042</v>
      </c>
      <c r="O1528" t="s">
        <v>850</v>
      </c>
      <c r="P1528" t="s">
        <v>851</v>
      </c>
      <c r="S1528" t="s">
        <v>3800</v>
      </c>
      <c r="T1528" t="s">
        <v>4904</v>
      </c>
      <c r="U1528" t="s">
        <v>4859</v>
      </c>
      <c r="V1528" s="8">
        <v>1250</v>
      </c>
      <c r="W1528" s="7">
        <v>590054</v>
      </c>
      <c r="X1528" t="s">
        <v>4860</v>
      </c>
      <c r="Y1528" s="8">
        <v>1250</v>
      </c>
      <c r="Z1528" s="8">
        <v>1475</v>
      </c>
      <c r="AA1528" s="8">
        <v>225</v>
      </c>
      <c r="AB1528" s="7">
        <v>113521</v>
      </c>
      <c r="AC1528" t="s">
        <v>4860</v>
      </c>
      <c r="AD1528" s="8">
        <v>0</v>
      </c>
      <c r="AG1528" t="s">
        <v>801</v>
      </c>
      <c r="AH1528" t="s">
        <v>802</v>
      </c>
      <c r="AI1528" t="s">
        <v>818</v>
      </c>
    </row>
    <row r="1529" spans="1:35" hidden="1">
      <c r="A1529" s="7">
        <v>1528</v>
      </c>
      <c r="B1529" t="s">
        <v>243</v>
      </c>
      <c r="C1529" t="s">
        <v>244</v>
      </c>
      <c r="D1529" s="7">
        <v>7134</v>
      </c>
      <c r="E1529" t="s">
        <v>245</v>
      </c>
      <c r="F1529" t="s">
        <v>246</v>
      </c>
      <c r="G1529" t="s">
        <v>903</v>
      </c>
      <c r="H1529" t="s">
        <v>4916</v>
      </c>
      <c r="I1529" s="7">
        <v>856</v>
      </c>
      <c r="J1529" s="7">
        <v>50594</v>
      </c>
      <c r="K1529" s="7">
        <v>3</v>
      </c>
      <c r="L1529" t="s">
        <v>247</v>
      </c>
      <c r="M1529" t="s">
        <v>261</v>
      </c>
      <c r="N1529" s="7">
        <v>796501</v>
      </c>
      <c r="O1529" t="s">
        <v>3407</v>
      </c>
      <c r="P1529" t="s">
        <v>3408</v>
      </c>
      <c r="S1529" t="s">
        <v>3800</v>
      </c>
      <c r="T1529" t="s">
        <v>4904</v>
      </c>
      <c r="U1529" t="s">
        <v>4859</v>
      </c>
      <c r="V1529" s="8">
        <v>1250</v>
      </c>
      <c r="W1529" s="7">
        <v>590054</v>
      </c>
      <c r="X1529" t="s">
        <v>4860</v>
      </c>
      <c r="Y1529" s="8">
        <v>1250</v>
      </c>
      <c r="Z1529" s="8">
        <v>1475</v>
      </c>
      <c r="AA1529" s="8">
        <v>225</v>
      </c>
      <c r="AB1529" s="7">
        <v>113521</v>
      </c>
      <c r="AC1529" t="s">
        <v>4860</v>
      </c>
      <c r="AD1529" s="8">
        <v>0</v>
      </c>
      <c r="AG1529" t="s">
        <v>817</v>
      </c>
      <c r="AH1529" t="s">
        <v>802</v>
      </c>
      <c r="AI1529" t="s">
        <v>818</v>
      </c>
    </row>
    <row r="1530" spans="1:35" hidden="1">
      <c r="A1530" s="7">
        <v>1529</v>
      </c>
      <c r="B1530" t="s">
        <v>243</v>
      </c>
      <c r="C1530" t="s">
        <v>244</v>
      </c>
      <c r="D1530" s="7">
        <v>7134</v>
      </c>
      <c r="E1530" t="s">
        <v>245</v>
      </c>
      <c r="F1530" t="s">
        <v>246</v>
      </c>
      <c r="G1530" t="s">
        <v>1264</v>
      </c>
      <c r="H1530" t="s">
        <v>4909</v>
      </c>
      <c r="I1530" s="7">
        <v>1165</v>
      </c>
      <c r="J1530" s="7">
        <v>23003</v>
      </c>
      <c r="K1530" s="7">
        <v>3</v>
      </c>
      <c r="L1530" t="s">
        <v>247</v>
      </c>
      <c r="M1530" t="s">
        <v>261</v>
      </c>
      <c r="N1530" s="7">
        <v>781812</v>
      </c>
      <c r="O1530" t="s">
        <v>1975</v>
      </c>
      <c r="P1530" t="s">
        <v>1976</v>
      </c>
      <c r="Q1530" t="s">
        <v>283</v>
      </c>
      <c r="R1530" t="s">
        <v>1062</v>
      </c>
      <c r="S1530" t="s">
        <v>3800</v>
      </c>
      <c r="T1530" t="s">
        <v>4904</v>
      </c>
      <c r="U1530" t="s">
        <v>4859</v>
      </c>
      <c r="V1530" s="8">
        <v>1250</v>
      </c>
      <c r="W1530" s="7">
        <v>590054</v>
      </c>
      <c r="X1530" t="s">
        <v>4860</v>
      </c>
      <c r="Y1530" s="8">
        <v>0</v>
      </c>
      <c r="Z1530" s="8">
        <v>1475</v>
      </c>
      <c r="AA1530" s="8">
        <v>225</v>
      </c>
      <c r="AB1530" s="7">
        <v>113521</v>
      </c>
      <c r="AC1530" t="s">
        <v>4860</v>
      </c>
      <c r="AD1530" s="8">
        <v>1250</v>
      </c>
      <c r="AG1530" t="s">
        <v>817</v>
      </c>
      <c r="AH1530" t="s">
        <v>802</v>
      </c>
      <c r="AI1530" t="s">
        <v>818</v>
      </c>
    </row>
    <row r="1531" spans="1:35" hidden="1">
      <c r="A1531" s="7">
        <v>1530</v>
      </c>
      <c r="B1531" t="s">
        <v>243</v>
      </c>
      <c r="C1531" t="s">
        <v>244</v>
      </c>
      <c r="D1531" s="7">
        <v>7134</v>
      </c>
      <c r="E1531" t="s">
        <v>245</v>
      </c>
      <c r="F1531" t="s">
        <v>246</v>
      </c>
      <c r="G1531" t="s">
        <v>629</v>
      </c>
      <c r="H1531" t="s">
        <v>4917</v>
      </c>
      <c r="I1531" s="7">
        <v>1165</v>
      </c>
      <c r="J1531" s="7">
        <v>10855</v>
      </c>
      <c r="K1531" s="7">
        <v>3</v>
      </c>
      <c r="L1531" t="s">
        <v>247</v>
      </c>
      <c r="M1531" t="s">
        <v>261</v>
      </c>
      <c r="N1531" s="7">
        <v>803475</v>
      </c>
      <c r="O1531" t="s">
        <v>655</v>
      </c>
      <c r="P1531" t="s">
        <v>656</v>
      </c>
      <c r="S1531" t="s">
        <v>3800</v>
      </c>
      <c r="T1531" t="s">
        <v>4904</v>
      </c>
      <c r="U1531" t="s">
        <v>4859</v>
      </c>
      <c r="V1531" s="8">
        <v>1250</v>
      </c>
      <c r="W1531" s="7">
        <v>590054</v>
      </c>
      <c r="X1531" t="s">
        <v>4860</v>
      </c>
      <c r="Y1531" s="8">
        <v>1250</v>
      </c>
      <c r="Z1531" s="8">
        <v>1475</v>
      </c>
      <c r="AA1531" s="8">
        <v>225</v>
      </c>
      <c r="AB1531" s="7">
        <v>113521</v>
      </c>
      <c r="AC1531" t="s">
        <v>4860</v>
      </c>
      <c r="AD1531" s="8">
        <v>0</v>
      </c>
      <c r="AG1531" t="s">
        <v>808</v>
      </c>
      <c r="AH1531" t="s">
        <v>802</v>
      </c>
      <c r="AI1531" t="s">
        <v>818</v>
      </c>
    </row>
    <row r="1532" spans="1:35" hidden="1">
      <c r="A1532" s="7">
        <v>1531</v>
      </c>
      <c r="B1532" t="s">
        <v>243</v>
      </c>
      <c r="C1532" t="s">
        <v>244</v>
      </c>
      <c r="D1532" s="7">
        <v>7134</v>
      </c>
      <c r="E1532" t="s">
        <v>245</v>
      </c>
      <c r="F1532" t="s">
        <v>246</v>
      </c>
      <c r="G1532" t="s">
        <v>3749</v>
      </c>
      <c r="H1532" t="s">
        <v>4907</v>
      </c>
      <c r="I1532" s="7">
        <v>1165</v>
      </c>
      <c r="J1532" s="7">
        <v>9600</v>
      </c>
      <c r="K1532" s="7">
        <v>1</v>
      </c>
      <c r="L1532" t="s">
        <v>247</v>
      </c>
      <c r="M1532" t="s">
        <v>261</v>
      </c>
      <c r="N1532" s="7">
        <v>809345</v>
      </c>
      <c r="O1532" t="s">
        <v>4386</v>
      </c>
      <c r="P1532" t="s">
        <v>4387</v>
      </c>
      <c r="S1532" t="s">
        <v>3800</v>
      </c>
      <c r="T1532" t="s">
        <v>4904</v>
      </c>
      <c r="U1532" t="s">
        <v>4859</v>
      </c>
      <c r="V1532" s="8">
        <v>1250</v>
      </c>
      <c r="W1532" s="7">
        <v>590054</v>
      </c>
      <c r="X1532" t="s">
        <v>4860</v>
      </c>
      <c r="Y1532" s="8">
        <v>1250</v>
      </c>
      <c r="Z1532" s="8">
        <v>1475</v>
      </c>
      <c r="AA1532" s="8">
        <v>225</v>
      </c>
      <c r="AB1532" s="7">
        <v>113521</v>
      </c>
      <c r="AC1532" t="s">
        <v>4860</v>
      </c>
      <c r="AD1532" s="8">
        <v>0</v>
      </c>
      <c r="AG1532" t="s">
        <v>801</v>
      </c>
      <c r="AH1532" t="s">
        <v>802</v>
      </c>
      <c r="AI1532" t="s">
        <v>818</v>
      </c>
    </row>
    <row r="1533" spans="1:35" hidden="1">
      <c r="A1533" s="7">
        <v>1532</v>
      </c>
      <c r="B1533" t="s">
        <v>243</v>
      </c>
      <c r="C1533" t="s">
        <v>244</v>
      </c>
      <c r="D1533" s="7">
        <v>7134</v>
      </c>
      <c r="E1533" t="s">
        <v>245</v>
      </c>
      <c r="F1533" t="s">
        <v>246</v>
      </c>
      <c r="G1533" t="s">
        <v>1044</v>
      </c>
      <c r="H1533" t="s">
        <v>4926</v>
      </c>
      <c r="I1533" s="7">
        <v>1165</v>
      </c>
      <c r="J1533" s="7">
        <v>38438</v>
      </c>
      <c r="K1533" s="7">
        <v>7</v>
      </c>
      <c r="L1533" t="s">
        <v>247</v>
      </c>
      <c r="M1533" t="s">
        <v>261</v>
      </c>
      <c r="N1533" s="7">
        <v>785728</v>
      </c>
      <c r="O1533" t="s">
        <v>1045</v>
      </c>
      <c r="P1533" t="s">
        <v>1046</v>
      </c>
      <c r="S1533" t="s">
        <v>3800</v>
      </c>
      <c r="T1533" t="s">
        <v>4904</v>
      </c>
      <c r="U1533" t="s">
        <v>4859</v>
      </c>
      <c r="V1533" s="8">
        <v>0</v>
      </c>
      <c r="W1533" s="7">
        <v>590054</v>
      </c>
      <c r="X1533" t="s">
        <v>4860</v>
      </c>
      <c r="Y1533" s="8">
        <v>0</v>
      </c>
      <c r="Z1533" s="8">
        <v>0</v>
      </c>
      <c r="AA1533" s="8">
        <v>0</v>
      </c>
      <c r="AB1533" s="7">
        <v>113521</v>
      </c>
      <c r="AC1533" t="s">
        <v>4860</v>
      </c>
      <c r="AD1533" s="8">
        <v>0</v>
      </c>
      <c r="AG1533" t="s">
        <v>801</v>
      </c>
      <c r="AH1533" t="s">
        <v>802</v>
      </c>
      <c r="AI1533" t="s">
        <v>803</v>
      </c>
    </row>
    <row r="1534" spans="1:35" hidden="1">
      <c r="A1534" s="7">
        <v>1533</v>
      </c>
      <c r="B1534" t="s">
        <v>243</v>
      </c>
      <c r="C1534" t="s">
        <v>244</v>
      </c>
      <c r="D1534" s="7">
        <v>7134</v>
      </c>
      <c r="E1534" t="s">
        <v>245</v>
      </c>
      <c r="F1534" t="s">
        <v>246</v>
      </c>
      <c r="G1534" t="s">
        <v>263</v>
      </c>
      <c r="H1534" t="s">
        <v>4916</v>
      </c>
      <c r="I1534" s="7">
        <v>855</v>
      </c>
      <c r="J1534" s="7">
        <v>49265</v>
      </c>
      <c r="K1534" s="7">
        <v>3</v>
      </c>
      <c r="L1534" t="s">
        <v>247</v>
      </c>
      <c r="M1534" t="s">
        <v>261</v>
      </c>
      <c r="N1534" s="7">
        <v>796598</v>
      </c>
      <c r="O1534" t="s">
        <v>1983</v>
      </c>
      <c r="P1534" t="s">
        <v>1984</v>
      </c>
      <c r="S1534" t="s">
        <v>3800</v>
      </c>
      <c r="T1534" t="s">
        <v>4904</v>
      </c>
      <c r="U1534" t="s">
        <v>4859</v>
      </c>
      <c r="V1534" s="8">
        <v>1250</v>
      </c>
      <c r="W1534" s="7">
        <v>590054</v>
      </c>
      <c r="X1534" t="s">
        <v>4860</v>
      </c>
      <c r="Y1534" s="8">
        <v>1250</v>
      </c>
      <c r="Z1534" s="8">
        <v>1475</v>
      </c>
      <c r="AA1534" s="8">
        <v>225</v>
      </c>
      <c r="AB1534" s="7">
        <v>113521</v>
      </c>
      <c r="AC1534" t="s">
        <v>4860</v>
      </c>
      <c r="AD1534" s="8">
        <v>0</v>
      </c>
      <c r="AG1534" t="s">
        <v>817</v>
      </c>
      <c r="AH1534" t="s">
        <v>802</v>
      </c>
      <c r="AI1534" t="s">
        <v>818</v>
      </c>
    </row>
    <row r="1535" spans="1:35" hidden="1">
      <c r="A1535" s="7">
        <v>1534</v>
      </c>
      <c r="B1535" t="s">
        <v>243</v>
      </c>
      <c r="C1535" t="s">
        <v>244</v>
      </c>
      <c r="D1535" s="7">
        <v>7134</v>
      </c>
      <c r="E1535" t="s">
        <v>245</v>
      </c>
      <c r="F1535" t="s">
        <v>246</v>
      </c>
      <c r="G1535" t="s">
        <v>872</v>
      </c>
      <c r="H1535" t="s">
        <v>4926</v>
      </c>
      <c r="I1535" s="7">
        <v>1165</v>
      </c>
      <c r="J1535" s="7">
        <v>108756</v>
      </c>
      <c r="K1535" s="7">
        <v>10</v>
      </c>
      <c r="L1535" t="s">
        <v>247</v>
      </c>
      <c r="M1535" t="s">
        <v>261</v>
      </c>
      <c r="N1535" s="7">
        <v>775503</v>
      </c>
      <c r="O1535" t="s">
        <v>1985</v>
      </c>
      <c r="P1535" t="s">
        <v>1986</v>
      </c>
      <c r="Q1535" t="s">
        <v>908</v>
      </c>
      <c r="R1535" t="s">
        <v>909</v>
      </c>
      <c r="S1535" t="s">
        <v>3800</v>
      </c>
      <c r="T1535" t="s">
        <v>4904</v>
      </c>
      <c r="U1535" t="s">
        <v>4859</v>
      </c>
      <c r="V1535" s="8">
        <v>0</v>
      </c>
      <c r="W1535" s="7">
        <v>590054</v>
      </c>
      <c r="X1535" t="s">
        <v>4860</v>
      </c>
      <c r="Y1535" s="8">
        <v>0</v>
      </c>
      <c r="Z1535" s="8">
        <v>0</v>
      </c>
      <c r="AA1535" s="8">
        <v>0</v>
      </c>
      <c r="AB1535" s="7">
        <v>113521</v>
      </c>
      <c r="AC1535" t="s">
        <v>4860</v>
      </c>
      <c r="AD1535" s="8">
        <v>0</v>
      </c>
      <c r="AG1535" t="s">
        <v>801</v>
      </c>
      <c r="AH1535" t="s">
        <v>802</v>
      </c>
      <c r="AI1535" t="s">
        <v>803</v>
      </c>
    </row>
    <row r="1536" spans="1:35" hidden="1">
      <c r="A1536" s="7">
        <v>1535</v>
      </c>
      <c r="B1536" t="s">
        <v>243</v>
      </c>
      <c r="C1536" t="s">
        <v>244</v>
      </c>
      <c r="D1536" s="7">
        <v>7134</v>
      </c>
      <c r="E1536" t="s">
        <v>245</v>
      </c>
      <c r="F1536" t="s">
        <v>246</v>
      </c>
      <c r="G1536" t="s">
        <v>1156</v>
      </c>
      <c r="H1536" t="s">
        <v>4905</v>
      </c>
      <c r="I1536" s="7">
        <v>1165</v>
      </c>
      <c r="J1536" s="7">
        <v>90300</v>
      </c>
      <c r="K1536" s="7">
        <v>9</v>
      </c>
      <c r="L1536" t="s">
        <v>247</v>
      </c>
      <c r="M1536" t="s">
        <v>252</v>
      </c>
      <c r="N1536" s="7">
        <v>324809</v>
      </c>
      <c r="O1536" t="s">
        <v>1157</v>
      </c>
      <c r="P1536" t="s">
        <v>1158</v>
      </c>
      <c r="S1536" t="s">
        <v>3800</v>
      </c>
      <c r="T1536" t="s">
        <v>4904</v>
      </c>
      <c r="U1536" t="s">
        <v>4859</v>
      </c>
      <c r="V1536" s="8">
        <v>0</v>
      </c>
      <c r="W1536" s="7">
        <v>590054</v>
      </c>
      <c r="X1536" t="s">
        <v>4860</v>
      </c>
      <c r="Y1536" s="8">
        <v>0</v>
      </c>
      <c r="Z1536" s="8">
        <v>0</v>
      </c>
      <c r="AA1536" s="8">
        <v>0</v>
      </c>
      <c r="AB1536" s="7">
        <v>113521</v>
      </c>
      <c r="AC1536" t="s">
        <v>4860</v>
      </c>
      <c r="AD1536" s="8">
        <v>0</v>
      </c>
      <c r="AG1536" t="s">
        <v>937</v>
      </c>
      <c r="AH1536" t="s">
        <v>802</v>
      </c>
      <c r="AI1536" t="s">
        <v>803</v>
      </c>
    </row>
    <row r="1537" spans="1:35" hidden="1">
      <c r="A1537" s="7">
        <v>1536</v>
      </c>
      <c r="B1537" t="s">
        <v>243</v>
      </c>
      <c r="C1537" t="s">
        <v>244</v>
      </c>
      <c r="D1537" s="7">
        <v>7134</v>
      </c>
      <c r="E1537" t="s">
        <v>245</v>
      </c>
      <c r="F1537" t="s">
        <v>246</v>
      </c>
      <c r="G1537" t="s">
        <v>248</v>
      </c>
      <c r="H1537" t="s">
        <v>3728</v>
      </c>
      <c r="I1537" s="7">
        <v>854</v>
      </c>
      <c r="J1537" s="7">
        <v>50000</v>
      </c>
      <c r="K1537" s="7">
        <v>3</v>
      </c>
      <c r="L1537" t="s">
        <v>247</v>
      </c>
      <c r="M1537" t="s">
        <v>261</v>
      </c>
      <c r="N1537" s="7">
        <v>795543</v>
      </c>
      <c r="O1537" t="s">
        <v>1981</v>
      </c>
      <c r="P1537" t="s">
        <v>1982</v>
      </c>
      <c r="S1537" t="s">
        <v>3800</v>
      </c>
      <c r="T1537" t="s">
        <v>4904</v>
      </c>
      <c r="U1537" t="s">
        <v>4859</v>
      </c>
      <c r="V1537" s="8">
        <v>1250</v>
      </c>
      <c r="W1537" s="7">
        <v>590054</v>
      </c>
      <c r="X1537" t="s">
        <v>4860</v>
      </c>
      <c r="Y1537" s="8">
        <v>1250</v>
      </c>
      <c r="Z1537" s="8">
        <v>1475</v>
      </c>
      <c r="AA1537" s="8">
        <v>225</v>
      </c>
      <c r="AB1537" s="7">
        <v>113521</v>
      </c>
      <c r="AC1537" t="s">
        <v>4860</v>
      </c>
      <c r="AD1537" s="8">
        <v>0</v>
      </c>
      <c r="AG1537" t="s">
        <v>817</v>
      </c>
      <c r="AH1537" t="s">
        <v>802</v>
      </c>
      <c r="AI1537" t="s">
        <v>818</v>
      </c>
    </row>
    <row r="1538" spans="1:35" hidden="1">
      <c r="A1538" s="7">
        <v>1537</v>
      </c>
      <c r="B1538" t="s">
        <v>243</v>
      </c>
      <c r="C1538" t="s">
        <v>244</v>
      </c>
      <c r="D1538" s="7">
        <v>7134</v>
      </c>
      <c r="E1538" t="s">
        <v>245</v>
      </c>
      <c r="F1538" t="s">
        <v>246</v>
      </c>
      <c r="G1538" t="s">
        <v>3750</v>
      </c>
      <c r="H1538" t="s">
        <v>4920</v>
      </c>
      <c r="I1538" s="7">
        <v>1165</v>
      </c>
      <c r="J1538" s="7">
        <v>2495</v>
      </c>
      <c r="K1538" s="7">
        <v>1</v>
      </c>
      <c r="L1538" t="s">
        <v>247</v>
      </c>
      <c r="M1538" t="s">
        <v>252</v>
      </c>
      <c r="N1538" s="7">
        <v>330206</v>
      </c>
      <c r="O1538" t="s">
        <v>3987</v>
      </c>
      <c r="P1538" t="s">
        <v>3988</v>
      </c>
      <c r="S1538" t="s">
        <v>3800</v>
      </c>
      <c r="T1538" t="s">
        <v>4904</v>
      </c>
      <c r="U1538" t="s">
        <v>4859</v>
      </c>
      <c r="V1538" s="8">
        <v>1250</v>
      </c>
      <c r="W1538" s="7">
        <v>590054</v>
      </c>
      <c r="X1538" t="s">
        <v>4860</v>
      </c>
      <c r="Y1538" s="8">
        <v>1250</v>
      </c>
      <c r="Z1538" s="8">
        <v>1475</v>
      </c>
      <c r="AA1538" s="8">
        <v>225</v>
      </c>
      <c r="AB1538" s="7">
        <v>113521</v>
      </c>
      <c r="AC1538" t="s">
        <v>4860</v>
      </c>
      <c r="AD1538" s="8">
        <v>0</v>
      </c>
      <c r="AG1538" t="s">
        <v>937</v>
      </c>
      <c r="AH1538" t="s">
        <v>802</v>
      </c>
      <c r="AI1538" t="s">
        <v>818</v>
      </c>
    </row>
    <row r="1539" spans="1:35" hidden="1">
      <c r="A1539" s="7">
        <v>1538</v>
      </c>
      <c r="B1539" t="s">
        <v>243</v>
      </c>
      <c r="C1539" t="s">
        <v>244</v>
      </c>
      <c r="D1539" s="7">
        <v>7134</v>
      </c>
      <c r="E1539" t="s">
        <v>245</v>
      </c>
      <c r="F1539" t="s">
        <v>246</v>
      </c>
      <c r="G1539" t="s">
        <v>1993</v>
      </c>
      <c r="H1539" t="s">
        <v>4928</v>
      </c>
      <c r="I1539" s="7">
        <v>1165</v>
      </c>
      <c r="J1539" s="7">
        <v>56542</v>
      </c>
      <c r="K1539" s="7">
        <v>10</v>
      </c>
      <c r="L1539" t="s">
        <v>247</v>
      </c>
      <c r="M1539" t="s">
        <v>261</v>
      </c>
      <c r="N1539" s="7">
        <v>764087</v>
      </c>
      <c r="O1539" t="s">
        <v>1994</v>
      </c>
      <c r="P1539" t="s">
        <v>1995</v>
      </c>
      <c r="S1539" t="s">
        <v>3800</v>
      </c>
      <c r="T1539" t="s">
        <v>4904</v>
      </c>
      <c r="U1539" t="s">
        <v>4859</v>
      </c>
      <c r="V1539" s="8">
        <v>0</v>
      </c>
      <c r="W1539" s="7">
        <v>590054</v>
      </c>
      <c r="X1539" t="s">
        <v>4860</v>
      </c>
      <c r="Y1539" s="8">
        <v>0</v>
      </c>
      <c r="Z1539" s="8">
        <v>0</v>
      </c>
      <c r="AA1539" s="8">
        <v>0</v>
      </c>
      <c r="AB1539" s="7">
        <v>113521</v>
      </c>
      <c r="AC1539" t="s">
        <v>4860</v>
      </c>
      <c r="AD1539" s="8">
        <v>0</v>
      </c>
      <c r="AG1539" t="s">
        <v>801</v>
      </c>
      <c r="AH1539" t="s">
        <v>802</v>
      </c>
      <c r="AI1539" t="s">
        <v>803</v>
      </c>
    </row>
    <row r="1540" spans="1:35" hidden="1">
      <c r="A1540" s="7">
        <v>1539</v>
      </c>
      <c r="B1540" t="s">
        <v>243</v>
      </c>
      <c r="C1540" t="s">
        <v>244</v>
      </c>
      <c r="D1540" s="7">
        <v>7134</v>
      </c>
      <c r="E1540" t="s">
        <v>245</v>
      </c>
      <c r="F1540" t="s">
        <v>246</v>
      </c>
      <c r="G1540" t="s">
        <v>1518</v>
      </c>
      <c r="H1540" t="s">
        <v>4906</v>
      </c>
      <c r="I1540" s="7">
        <v>1165</v>
      </c>
      <c r="J1540" s="7">
        <v>907765</v>
      </c>
      <c r="K1540" s="7">
        <v>11</v>
      </c>
      <c r="L1540" t="s">
        <v>247</v>
      </c>
      <c r="M1540" t="s">
        <v>261</v>
      </c>
      <c r="N1540" s="7">
        <v>773203</v>
      </c>
      <c r="O1540" t="s">
        <v>1519</v>
      </c>
      <c r="P1540" t="s">
        <v>1520</v>
      </c>
      <c r="Q1540" t="s">
        <v>1917</v>
      </c>
      <c r="R1540" t="s">
        <v>1918</v>
      </c>
      <c r="S1540" t="s">
        <v>3800</v>
      </c>
      <c r="T1540" t="s">
        <v>4904</v>
      </c>
      <c r="U1540" t="s">
        <v>4859</v>
      </c>
      <c r="V1540" s="8">
        <v>1250</v>
      </c>
      <c r="W1540" s="7">
        <v>590054</v>
      </c>
      <c r="X1540" t="s">
        <v>4860</v>
      </c>
      <c r="Y1540" s="8">
        <v>0</v>
      </c>
      <c r="Z1540" s="8">
        <v>1475</v>
      </c>
      <c r="AA1540" s="8">
        <v>225</v>
      </c>
      <c r="AB1540" s="7">
        <v>113521</v>
      </c>
      <c r="AC1540" t="s">
        <v>4860</v>
      </c>
      <c r="AD1540" s="8">
        <v>1250</v>
      </c>
      <c r="AG1540" t="s">
        <v>801</v>
      </c>
      <c r="AH1540" t="s">
        <v>802</v>
      </c>
      <c r="AI1540" t="s">
        <v>818</v>
      </c>
    </row>
    <row r="1541" spans="1:35" hidden="1">
      <c r="A1541" s="7">
        <v>1540</v>
      </c>
      <c r="B1541" t="s">
        <v>243</v>
      </c>
      <c r="C1541" t="s">
        <v>244</v>
      </c>
      <c r="D1541" s="7">
        <v>7134</v>
      </c>
      <c r="E1541" t="s">
        <v>245</v>
      </c>
      <c r="F1541" t="s">
        <v>246</v>
      </c>
      <c r="G1541" t="s">
        <v>263</v>
      </c>
      <c r="H1541" t="s">
        <v>4915</v>
      </c>
      <c r="I1541" s="7">
        <v>875</v>
      </c>
      <c r="J1541" s="7">
        <v>50243</v>
      </c>
      <c r="K1541" s="7">
        <v>3</v>
      </c>
      <c r="L1541" t="s">
        <v>247</v>
      </c>
      <c r="M1541" t="s">
        <v>261</v>
      </c>
      <c r="N1541" s="7">
        <v>796599</v>
      </c>
      <c r="O1541" t="s">
        <v>1900</v>
      </c>
      <c r="P1541" t="s">
        <v>1901</v>
      </c>
      <c r="S1541" t="s">
        <v>3800</v>
      </c>
      <c r="T1541" t="s">
        <v>4904</v>
      </c>
      <c r="U1541" t="s">
        <v>4859</v>
      </c>
      <c r="V1541" s="8">
        <v>1250</v>
      </c>
      <c r="W1541" s="7">
        <v>590054</v>
      </c>
      <c r="X1541" t="s">
        <v>4860</v>
      </c>
      <c r="Y1541" s="8">
        <v>1250</v>
      </c>
      <c r="Z1541" s="8">
        <v>1475</v>
      </c>
      <c r="AA1541" s="8">
        <v>225</v>
      </c>
      <c r="AB1541" s="7">
        <v>113521</v>
      </c>
      <c r="AC1541" t="s">
        <v>4860</v>
      </c>
      <c r="AD1541" s="8">
        <v>0</v>
      </c>
      <c r="AG1541" t="s">
        <v>817</v>
      </c>
      <c r="AH1541" t="s">
        <v>802</v>
      </c>
      <c r="AI1541" t="s">
        <v>818</v>
      </c>
    </row>
    <row r="1542" spans="1:35" hidden="1">
      <c r="A1542" s="7">
        <v>1541</v>
      </c>
      <c r="B1542" t="s">
        <v>243</v>
      </c>
      <c r="C1542" t="s">
        <v>244</v>
      </c>
      <c r="D1542" s="7">
        <v>7134</v>
      </c>
      <c r="E1542" t="s">
        <v>245</v>
      </c>
      <c r="F1542" t="s">
        <v>246</v>
      </c>
      <c r="G1542" t="s">
        <v>722</v>
      </c>
      <c r="H1542" t="s">
        <v>4919</v>
      </c>
      <c r="I1542" s="7">
        <v>1175</v>
      </c>
      <c r="J1542" s="7">
        <v>30575</v>
      </c>
      <c r="K1542" s="7">
        <v>3</v>
      </c>
      <c r="L1542" t="s">
        <v>247</v>
      </c>
      <c r="M1542" t="s">
        <v>261</v>
      </c>
      <c r="N1542" s="7">
        <v>802984</v>
      </c>
      <c r="O1542" t="s">
        <v>724</v>
      </c>
      <c r="P1542" t="s">
        <v>725</v>
      </c>
      <c r="S1542" t="s">
        <v>3800</v>
      </c>
      <c r="T1542" t="s">
        <v>4904</v>
      </c>
      <c r="U1542" t="s">
        <v>4859</v>
      </c>
      <c r="V1542" s="8">
        <v>1250</v>
      </c>
      <c r="W1542" s="7">
        <v>590054</v>
      </c>
      <c r="X1542" t="s">
        <v>4860</v>
      </c>
      <c r="Y1542" s="8">
        <v>1250</v>
      </c>
      <c r="Z1542" s="8">
        <v>1475</v>
      </c>
      <c r="AA1542" s="8">
        <v>225</v>
      </c>
      <c r="AB1542" s="7">
        <v>113521</v>
      </c>
      <c r="AC1542" t="s">
        <v>4860</v>
      </c>
      <c r="AD1542" s="8">
        <v>0</v>
      </c>
      <c r="AG1542" t="s">
        <v>801</v>
      </c>
      <c r="AH1542" t="s">
        <v>802</v>
      </c>
      <c r="AI1542" t="s">
        <v>818</v>
      </c>
    </row>
    <row r="1543" spans="1:35" hidden="1">
      <c r="A1543" s="7">
        <v>1542</v>
      </c>
      <c r="B1543" t="s">
        <v>243</v>
      </c>
      <c r="C1543" t="s">
        <v>244</v>
      </c>
      <c r="D1543" s="7">
        <v>7134</v>
      </c>
      <c r="E1543" t="s">
        <v>245</v>
      </c>
      <c r="F1543" t="s">
        <v>246</v>
      </c>
      <c r="G1543" t="s">
        <v>3750</v>
      </c>
      <c r="H1543" t="s">
        <v>4903</v>
      </c>
      <c r="I1543" s="7">
        <v>1165</v>
      </c>
      <c r="J1543" s="7">
        <v>6099</v>
      </c>
      <c r="K1543" s="7">
        <v>1</v>
      </c>
      <c r="L1543" t="s">
        <v>247</v>
      </c>
      <c r="M1543" t="s">
        <v>261</v>
      </c>
      <c r="N1543" s="7">
        <v>812654</v>
      </c>
      <c r="O1543" t="s">
        <v>4397</v>
      </c>
      <c r="P1543" t="s">
        <v>4398</v>
      </c>
      <c r="S1543" t="s">
        <v>3800</v>
      </c>
      <c r="T1543" t="s">
        <v>4904</v>
      </c>
      <c r="U1543" t="s">
        <v>4859</v>
      </c>
      <c r="V1543" s="8">
        <v>1250</v>
      </c>
      <c r="W1543" s="7">
        <v>590054</v>
      </c>
      <c r="X1543" t="s">
        <v>4860</v>
      </c>
      <c r="Y1543" s="8">
        <v>1250</v>
      </c>
      <c r="Z1543" s="8">
        <v>1475</v>
      </c>
      <c r="AA1543" s="8">
        <v>225</v>
      </c>
      <c r="AB1543" s="7">
        <v>113521</v>
      </c>
      <c r="AC1543" t="s">
        <v>4860</v>
      </c>
      <c r="AD1543" s="8">
        <v>0</v>
      </c>
      <c r="AG1543" t="s">
        <v>801</v>
      </c>
      <c r="AH1543" t="s">
        <v>802</v>
      </c>
      <c r="AI1543" t="s">
        <v>818</v>
      </c>
    </row>
    <row r="1544" spans="1:35" hidden="1">
      <c r="A1544" s="7">
        <v>1543</v>
      </c>
      <c r="B1544" t="s">
        <v>243</v>
      </c>
      <c r="C1544" t="s">
        <v>244</v>
      </c>
      <c r="D1544" s="7">
        <v>7134</v>
      </c>
      <c r="E1544" t="s">
        <v>245</v>
      </c>
      <c r="F1544" t="s">
        <v>246</v>
      </c>
      <c r="G1544" t="s">
        <v>885</v>
      </c>
      <c r="H1544" t="s">
        <v>4916</v>
      </c>
      <c r="I1544" s="7">
        <v>869</v>
      </c>
      <c r="J1544" s="7">
        <v>50150</v>
      </c>
      <c r="K1544" s="7">
        <v>3</v>
      </c>
      <c r="L1544" t="s">
        <v>247</v>
      </c>
      <c r="M1544" t="s">
        <v>261</v>
      </c>
      <c r="N1544" s="7">
        <v>796369</v>
      </c>
      <c r="O1544" t="s">
        <v>3362</v>
      </c>
      <c r="P1544" t="s">
        <v>3363</v>
      </c>
      <c r="S1544" t="s">
        <v>3800</v>
      </c>
      <c r="T1544" t="s">
        <v>4904</v>
      </c>
      <c r="U1544" t="s">
        <v>4859</v>
      </c>
      <c r="V1544" s="8">
        <v>1250</v>
      </c>
      <c r="W1544" s="7">
        <v>590054</v>
      </c>
      <c r="X1544" t="s">
        <v>4860</v>
      </c>
      <c r="Y1544" s="8">
        <v>1250</v>
      </c>
      <c r="Z1544" s="8">
        <v>1475</v>
      </c>
      <c r="AA1544" s="8">
        <v>225</v>
      </c>
      <c r="AB1544" s="7">
        <v>113521</v>
      </c>
      <c r="AC1544" t="s">
        <v>4860</v>
      </c>
      <c r="AD1544" s="8">
        <v>0</v>
      </c>
      <c r="AG1544" t="s">
        <v>817</v>
      </c>
      <c r="AH1544" t="s">
        <v>802</v>
      </c>
      <c r="AI1544" t="s">
        <v>818</v>
      </c>
    </row>
    <row r="1545" spans="1:35" hidden="1">
      <c r="A1545" s="7">
        <v>1544</v>
      </c>
      <c r="B1545" t="s">
        <v>243</v>
      </c>
      <c r="C1545" t="s">
        <v>244</v>
      </c>
      <c r="D1545" s="7">
        <v>7134</v>
      </c>
      <c r="E1545" t="s">
        <v>245</v>
      </c>
      <c r="F1545" t="s">
        <v>246</v>
      </c>
      <c r="G1545" t="s">
        <v>3097</v>
      </c>
      <c r="H1545" t="s">
        <v>4924</v>
      </c>
      <c r="I1545" s="7">
        <v>1165</v>
      </c>
      <c r="J1545" s="7">
        <v>3879</v>
      </c>
      <c r="K1545" s="7">
        <v>1</v>
      </c>
      <c r="L1545" t="s">
        <v>247</v>
      </c>
      <c r="M1545" t="s">
        <v>252</v>
      </c>
      <c r="N1545" s="7">
        <v>328308</v>
      </c>
      <c r="O1545" t="s">
        <v>3156</v>
      </c>
      <c r="P1545" t="s">
        <v>3157</v>
      </c>
      <c r="Q1545" t="s">
        <v>870</v>
      </c>
      <c r="R1545" t="s">
        <v>871</v>
      </c>
      <c r="S1545" t="s">
        <v>3800</v>
      </c>
      <c r="T1545" t="s">
        <v>4904</v>
      </c>
      <c r="U1545" t="s">
        <v>4859</v>
      </c>
      <c r="V1545" s="8">
        <v>1250</v>
      </c>
      <c r="W1545" s="7">
        <v>590054</v>
      </c>
      <c r="X1545" t="s">
        <v>4860</v>
      </c>
      <c r="Y1545" s="8">
        <v>1000</v>
      </c>
      <c r="Z1545" s="8">
        <v>1475</v>
      </c>
      <c r="AA1545" s="8">
        <v>225</v>
      </c>
      <c r="AB1545" s="7">
        <v>113521</v>
      </c>
      <c r="AC1545" t="s">
        <v>4860</v>
      </c>
      <c r="AD1545" s="8">
        <v>250</v>
      </c>
      <c r="AG1545" t="s">
        <v>937</v>
      </c>
      <c r="AH1545" t="s">
        <v>802</v>
      </c>
      <c r="AI1545" t="s">
        <v>818</v>
      </c>
    </row>
    <row r="1546" spans="1:35" hidden="1">
      <c r="A1546" s="7">
        <v>1545</v>
      </c>
      <c r="B1546" t="s">
        <v>243</v>
      </c>
      <c r="C1546" t="s">
        <v>244</v>
      </c>
      <c r="D1546" s="7">
        <v>7134</v>
      </c>
      <c r="E1546" t="s">
        <v>245</v>
      </c>
      <c r="F1546" t="s">
        <v>246</v>
      </c>
      <c r="G1546" t="s">
        <v>885</v>
      </c>
      <c r="H1546" t="s">
        <v>4863</v>
      </c>
      <c r="I1546" s="7">
        <v>1165</v>
      </c>
      <c r="J1546" s="7">
        <v>39226</v>
      </c>
      <c r="K1546" s="7">
        <v>5</v>
      </c>
      <c r="L1546" t="s">
        <v>247</v>
      </c>
      <c r="M1546" t="s">
        <v>261</v>
      </c>
      <c r="N1546" s="7">
        <v>790132</v>
      </c>
      <c r="O1546" t="s">
        <v>1760</v>
      </c>
      <c r="P1546" t="s">
        <v>1761</v>
      </c>
      <c r="S1546" t="s">
        <v>3800</v>
      </c>
      <c r="T1546" t="s">
        <v>4904</v>
      </c>
      <c r="U1546" t="s">
        <v>4859</v>
      </c>
      <c r="V1546" s="8">
        <v>1250</v>
      </c>
      <c r="W1546" s="7">
        <v>590054</v>
      </c>
      <c r="X1546" t="s">
        <v>4860</v>
      </c>
      <c r="Y1546" s="8">
        <v>1250</v>
      </c>
      <c r="Z1546" s="8">
        <v>1475</v>
      </c>
      <c r="AA1546" s="8">
        <v>225</v>
      </c>
      <c r="AB1546" s="7">
        <v>113521</v>
      </c>
      <c r="AC1546" t="s">
        <v>4860</v>
      </c>
      <c r="AD1546" s="8">
        <v>0</v>
      </c>
      <c r="AG1546" t="s">
        <v>801</v>
      </c>
      <c r="AH1546" t="s">
        <v>802</v>
      </c>
      <c r="AI1546" t="s">
        <v>818</v>
      </c>
    </row>
    <row r="1547" spans="1:35" hidden="1">
      <c r="A1547" s="7">
        <v>1546</v>
      </c>
      <c r="B1547" t="s">
        <v>243</v>
      </c>
      <c r="C1547" t="s">
        <v>244</v>
      </c>
      <c r="D1547" s="7">
        <v>7134</v>
      </c>
      <c r="E1547" t="s">
        <v>245</v>
      </c>
      <c r="F1547" t="s">
        <v>246</v>
      </c>
      <c r="G1547" t="s">
        <v>829</v>
      </c>
      <c r="H1547" t="s">
        <v>4907</v>
      </c>
      <c r="I1547" s="7">
        <v>1165</v>
      </c>
      <c r="J1547" s="7">
        <v>42066</v>
      </c>
      <c r="K1547" s="7">
        <v>4</v>
      </c>
      <c r="L1547" t="s">
        <v>247</v>
      </c>
      <c r="M1547" t="s">
        <v>361</v>
      </c>
      <c r="N1547" s="7">
        <v>6183</v>
      </c>
      <c r="O1547" t="s">
        <v>1500</v>
      </c>
      <c r="P1547" t="s">
        <v>1501</v>
      </c>
      <c r="Q1547" t="s">
        <v>908</v>
      </c>
      <c r="R1547" t="s">
        <v>909</v>
      </c>
      <c r="S1547" t="s">
        <v>3800</v>
      </c>
      <c r="T1547" t="s">
        <v>4904</v>
      </c>
      <c r="U1547" t="s">
        <v>4859</v>
      </c>
      <c r="V1547" s="8">
        <v>0</v>
      </c>
      <c r="W1547" s="7">
        <v>590054</v>
      </c>
      <c r="X1547" t="s">
        <v>4860</v>
      </c>
      <c r="Y1547" s="8">
        <v>0</v>
      </c>
      <c r="Z1547" s="8">
        <v>0</v>
      </c>
      <c r="AA1547" s="8">
        <v>0</v>
      </c>
      <c r="AB1547" s="7">
        <v>113521</v>
      </c>
      <c r="AC1547" t="s">
        <v>4860</v>
      </c>
      <c r="AD1547" s="8">
        <v>0</v>
      </c>
      <c r="AG1547" t="s">
        <v>823</v>
      </c>
      <c r="AH1547" t="s">
        <v>802</v>
      </c>
      <c r="AI1547" t="s">
        <v>803</v>
      </c>
    </row>
    <row r="1548" spans="1:35" hidden="1">
      <c r="A1548" s="7">
        <v>1547</v>
      </c>
      <c r="B1548" t="s">
        <v>243</v>
      </c>
      <c r="C1548" t="s">
        <v>244</v>
      </c>
      <c r="D1548" s="7">
        <v>7134</v>
      </c>
      <c r="E1548" t="s">
        <v>245</v>
      </c>
      <c r="F1548" t="s">
        <v>246</v>
      </c>
      <c r="G1548" t="s">
        <v>1652</v>
      </c>
      <c r="H1548" t="s">
        <v>4910</v>
      </c>
      <c r="I1548" s="7">
        <v>1165</v>
      </c>
      <c r="J1548" s="7">
        <v>62000</v>
      </c>
      <c r="K1548" s="7">
        <v>9</v>
      </c>
      <c r="L1548" t="s">
        <v>247</v>
      </c>
      <c r="M1548" t="s">
        <v>267</v>
      </c>
      <c r="N1548" s="7">
        <v>736051</v>
      </c>
      <c r="O1548" t="s">
        <v>1653</v>
      </c>
      <c r="P1548" t="s">
        <v>1654</v>
      </c>
      <c r="S1548" t="s">
        <v>3800</v>
      </c>
      <c r="T1548" t="s">
        <v>4904</v>
      </c>
      <c r="U1548" t="s">
        <v>4859</v>
      </c>
      <c r="V1548" s="8">
        <v>0</v>
      </c>
      <c r="W1548" s="7">
        <v>590054</v>
      </c>
      <c r="X1548" t="s">
        <v>4860</v>
      </c>
      <c r="Y1548" s="8">
        <v>0</v>
      </c>
      <c r="Z1548" s="8">
        <v>0</v>
      </c>
      <c r="AA1548" s="8">
        <v>0</v>
      </c>
      <c r="AB1548" s="7">
        <v>113521</v>
      </c>
      <c r="AC1548" t="s">
        <v>4860</v>
      </c>
      <c r="AD1548" s="8">
        <v>0</v>
      </c>
      <c r="AG1548" t="s">
        <v>828</v>
      </c>
      <c r="AH1548" t="s">
        <v>802</v>
      </c>
      <c r="AI1548" t="s">
        <v>803</v>
      </c>
    </row>
    <row r="1549" spans="1:35" hidden="1">
      <c r="A1549" s="7">
        <v>1548</v>
      </c>
      <c r="B1549" t="s">
        <v>243</v>
      </c>
      <c r="C1549" t="s">
        <v>244</v>
      </c>
      <c r="D1549" s="7">
        <v>7134</v>
      </c>
      <c r="E1549" t="s">
        <v>245</v>
      </c>
      <c r="F1549" t="s">
        <v>246</v>
      </c>
      <c r="G1549" t="s">
        <v>278</v>
      </c>
      <c r="H1549" t="s">
        <v>4921</v>
      </c>
      <c r="I1549" s="7">
        <v>1150</v>
      </c>
      <c r="J1549" s="7">
        <v>11756</v>
      </c>
      <c r="K1549" s="7">
        <v>4</v>
      </c>
      <c r="L1549" t="s">
        <v>247</v>
      </c>
      <c r="M1549" t="s">
        <v>261</v>
      </c>
      <c r="N1549" s="7">
        <v>778127</v>
      </c>
      <c r="O1549" t="s">
        <v>1945</v>
      </c>
      <c r="P1549" t="s">
        <v>1946</v>
      </c>
      <c r="S1549" t="s">
        <v>3800</v>
      </c>
      <c r="T1549" t="s">
        <v>4904</v>
      </c>
      <c r="U1549" t="s">
        <v>4859</v>
      </c>
      <c r="V1549" s="8">
        <v>0</v>
      </c>
      <c r="W1549" s="7">
        <v>590054</v>
      </c>
      <c r="X1549" t="s">
        <v>4860</v>
      </c>
      <c r="Y1549" s="8">
        <v>0</v>
      </c>
      <c r="Z1549" s="8">
        <v>0</v>
      </c>
      <c r="AA1549" s="8">
        <v>0</v>
      </c>
      <c r="AB1549" s="7">
        <v>113521</v>
      </c>
      <c r="AC1549" t="s">
        <v>4860</v>
      </c>
      <c r="AD1549" s="8">
        <v>0</v>
      </c>
      <c r="AG1549" t="s">
        <v>808</v>
      </c>
      <c r="AH1549" t="s">
        <v>802</v>
      </c>
      <c r="AI1549" t="s">
        <v>803</v>
      </c>
    </row>
    <row r="1550" spans="1:35" hidden="1">
      <c r="A1550" s="7">
        <v>1549</v>
      </c>
      <c r="B1550" t="s">
        <v>243</v>
      </c>
      <c r="C1550" t="s">
        <v>244</v>
      </c>
      <c r="D1550" s="7">
        <v>7134</v>
      </c>
      <c r="E1550" t="s">
        <v>245</v>
      </c>
      <c r="F1550" t="s">
        <v>246</v>
      </c>
      <c r="G1550" t="s">
        <v>1457</v>
      </c>
      <c r="H1550" t="s">
        <v>3728</v>
      </c>
      <c r="I1550" s="7">
        <v>875</v>
      </c>
      <c r="J1550" s="7">
        <v>51210</v>
      </c>
      <c r="K1550" s="7">
        <v>3</v>
      </c>
      <c r="L1550" t="s">
        <v>247</v>
      </c>
      <c r="M1550" t="s">
        <v>261</v>
      </c>
      <c r="N1550" s="7">
        <v>796499</v>
      </c>
      <c r="O1550" t="s">
        <v>3393</v>
      </c>
      <c r="P1550" t="s">
        <v>3394</v>
      </c>
      <c r="Q1550" t="s">
        <v>908</v>
      </c>
      <c r="R1550" t="s">
        <v>909</v>
      </c>
      <c r="S1550" t="s">
        <v>3800</v>
      </c>
      <c r="T1550" t="s">
        <v>4904</v>
      </c>
      <c r="U1550" t="s">
        <v>4859</v>
      </c>
      <c r="V1550" s="8">
        <v>1250</v>
      </c>
      <c r="W1550" s="7">
        <v>590054</v>
      </c>
      <c r="X1550" t="s">
        <v>4860</v>
      </c>
      <c r="Y1550" s="8">
        <v>1000</v>
      </c>
      <c r="Z1550" s="8">
        <v>1475</v>
      </c>
      <c r="AA1550" s="8">
        <v>225</v>
      </c>
      <c r="AB1550" s="7">
        <v>113521</v>
      </c>
      <c r="AC1550" t="s">
        <v>4860</v>
      </c>
      <c r="AD1550" s="8">
        <v>250</v>
      </c>
      <c r="AG1550" t="s">
        <v>817</v>
      </c>
      <c r="AH1550" t="s">
        <v>802</v>
      </c>
      <c r="AI1550" t="s">
        <v>818</v>
      </c>
    </row>
    <row r="1551" spans="1:35" hidden="1">
      <c r="A1551" s="7">
        <v>1550</v>
      </c>
      <c r="B1551" t="s">
        <v>243</v>
      </c>
      <c r="C1551" t="s">
        <v>244</v>
      </c>
      <c r="D1551" s="7">
        <v>7134</v>
      </c>
      <c r="E1551" t="s">
        <v>245</v>
      </c>
      <c r="F1551" t="s">
        <v>246</v>
      </c>
      <c r="G1551" t="s">
        <v>263</v>
      </c>
      <c r="H1551" t="s">
        <v>4910</v>
      </c>
      <c r="I1551" s="7">
        <v>872</v>
      </c>
      <c r="J1551" s="7">
        <v>51000</v>
      </c>
      <c r="K1551" s="7">
        <v>3</v>
      </c>
      <c r="L1551" t="s">
        <v>247</v>
      </c>
      <c r="M1551" t="s">
        <v>261</v>
      </c>
      <c r="N1551" s="7">
        <v>796127</v>
      </c>
      <c r="O1551" t="s">
        <v>4285</v>
      </c>
      <c r="P1551" t="s">
        <v>4286</v>
      </c>
      <c r="Q1551" t="s">
        <v>908</v>
      </c>
      <c r="R1551" t="s">
        <v>909</v>
      </c>
      <c r="S1551" t="s">
        <v>3800</v>
      </c>
      <c r="T1551" t="s">
        <v>4904</v>
      </c>
      <c r="U1551" t="s">
        <v>4859</v>
      </c>
      <c r="V1551" s="8">
        <v>1250</v>
      </c>
      <c r="W1551" s="7">
        <v>590054</v>
      </c>
      <c r="X1551" t="s">
        <v>4860</v>
      </c>
      <c r="Y1551" s="8">
        <v>1000</v>
      </c>
      <c r="Z1551" s="8">
        <v>1475</v>
      </c>
      <c r="AA1551" s="8">
        <v>225</v>
      </c>
      <c r="AB1551" s="7">
        <v>113521</v>
      </c>
      <c r="AC1551" t="s">
        <v>4860</v>
      </c>
      <c r="AD1551" s="8">
        <v>250</v>
      </c>
      <c r="AG1551" t="s">
        <v>817</v>
      </c>
      <c r="AH1551" t="s">
        <v>802</v>
      </c>
      <c r="AI1551" t="s">
        <v>818</v>
      </c>
    </row>
    <row r="1552" spans="1:35" hidden="1">
      <c r="A1552" s="7">
        <v>1551</v>
      </c>
      <c r="B1552" t="s">
        <v>243</v>
      </c>
      <c r="C1552" t="s">
        <v>244</v>
      </c>
      <c r="D1552" s="7">
        <v>7134</v>
      </c>
      <c r="E1552" t="s">
        <v>245</v>
      </c>
      <c r="F1552" t="s">
        <v>246</v>
      </c>
      <c r="G1552" t="s">
        <v>1535</v>
      </c>
      <c r="H1552" t="s">
        <v>4905</v>
      </c>
      <c r="I1552" s="7">
        <v>1165</v>
      </c>
      <c r="J1552" s="7">
        <v>120000</v>
      </c>
      <c r="K1552" s="7">
        <v>12</v>
      </c>
      <c r="L1552" t="s">
        <v>247</v>
      </c>
      <c r="M1552" t="s">
        <v>267</v>
      </c>
      <c r="N1552" s="7">
        <v>767284</v>
      </c>
      <c r="O1552" t="s">
        <v>1536</v>
      </c>
      <c r="P1552" t="s">
        <v>1537</v>
      </c>
      <c r="S1552" t="s">
        <v>3800</v>
      </c>
      <c r="T1552" t="s">
        <v>4904</v>
      </c>
      <c r="U1552" t="s">
        <v>4859</v>
      </c>
      <c r="V1552" s="8">
        <v>0</v>
      </c>
      <c r="W1552" s="7">
        <v>590054</v>
      </c>
      <c r="X1552" t="s">
        <v>4860</v>
      </c>
      <c r="Y1552" s="8">
        <v>0</v>
      </c>
      <c r="Z1552" s="8">
        <v>0</v>
      </c>
      <c r="AA1552" s="8">
        <v>0</v>
      </c>
      <c r="AB1552" s="7">
        <v>113521</v>
      </c>
      <c r="AC1552" t="s">
        <v>4860</v>
      </c>
      <c r="AD1552" s="8">
        <v>0</v>
      </c>
      <c r="AG1552" t="s">
        <v>828</v>
      </c>
      <c r="AH1552" t="s">
        <v>802</v>
      </c>
      <c r="AI1552" t="s">
        <v>803</v>
      </c>
    </row>
    <row r="1553" spans="1:35" hidden="1">
      <c r="A1553" s="7">
        <v>1552</v>
      </c>
      <c r="B1553" t="s">
        <v>243</v>
      </c>
      <c r="C1553" t="s">
        <v>244</v>
      </c>
      <c r="D1553" s="7">
        <v>7134</v>
      </c>
      <c r="E1553" t="s">
        <v>245</v>
      </c>
      <c r="F1553" t="s">
        <v>246</v>
      </c>
      <c r="G1553" t="s">
        <v>1457</v>
      </c>
      <c r="H1553" t="s">
        <v>4910</v>
      </c>
      <c r="I1553" s="7">
        <v>872</v>
      </c>
      <c r="J1553" s="7">
        <v>51200</v>
      </c>
      <c r="K1553" s="7">
        <v>3</v>
      </c>
      <c r="L1553" t="s">
        <v>247</v>
      </c>
      <c r="M1553" t="s">
        <v>261</v>
      </c>
      <c r="N1553" s="7">
        <v>796120</v>
      </c>
      <c r="O1553" t="s">
        <v>3409</v>
      </c>
      <c r="P1553" t="s">
        <v>3410</v>
      </c>
      <c r="Q1553" t="s">
        <v>1917</v>
      </c>
      <c r="R1553" t="s">
        <v>1918</v>
      </c>
      <c r="S1553" t="s">
        <v>3800</v>
      </c>
      <c r="T1553" t="s">
        <v>4904</v>
      </c>
      <c r="U1553" t="s">
        <v>4859</v>
      </c>
      <c r="V1553" s="8">
        <v>1250</v>
      </c>
      <c r="W1553" s="7">
        <v>590054</v>
      </c>
      <c r="X1553" t="s">
        <v>4860</v>
      </c>
      <c r="Y1553" s="8">
        <v>0</v>
      </c>
      <c r="Z1553" s="8">
        <v>1475</v>
      </c>
      <c r="AA1553" s="8">
        <v>225</v>
      </c>
      <c r="AB1553" s="7">
        <v>113521</v>
      </c>
      <c r="AC1553" t="s">
        <v>4860</v>
      </c>
      <c r="AD1553" s="8">
        <v>1250</v>
      </c>
      <c r="AG1553" t="s">
        <v>817</v>
      </c>
      <c r="AH1553" t="s">
        <v>802</v>
      </c>
      <c r="AI1553" t="s">
        <v>818</v>
      </c>
    </row>
    <row r="1554" spans="1:35" hidden="1">
      <c r="A1554" s="7">
        <v>1553</v>
      </c>
      <c r="B1554" t="s">
        <v>243</v>
      </c>
      <c r="C1554" t="s">
        <v>244</v>
      </c>
      <c r="D1554" s="7">
        <v>7134</v>
      </c>
      <c r="E1554" t="s">
        <v>245</v>
      </c>
      <c r="F1554" t="s">
        <v>246</v>
      </c>
      <c r="G1554" t="s">
        <v>885</v>
      </c>
      <c r="H1554" t="s">
        <v>4918</v>
      </c>
      <c r="I1554" s="7">
        <v>1065</v>
      </c>
      <c r="J1554" s="7">
        <v>35000</v>
      </c>
      <c r="K1554" s="7">
        <v>5</v>
      </c>
      <c r="L1554" t="s">
        <v>247</v>
      </c>
      <c r="M1554" t="s">
        <v>261</v>
      </c>
      <c r="N1554" s="7">
        <v>792997</v>
      </c>
      <c r="O1554" t="s">
        <v>4935</v>
      </c>
      <c r="P1554" t="s">
        <v>4936</v>
      </c>
      <c r="S1554" t="s">
        <v>3800</v>
      </c>
      <c r="T1554" t="s">
        <v>4904</v>
      </c>
      <c r="U1554" t="s">
        <v>4859</v>
      </c>
      <c r="V1554" s="8">
        <v>1250</v>
      </c>
      <c r="W1554" s="7">
        <v>590054</v>
      </c>
      <c r="X1554" t="s">
        <v>4860</v>
      </c>
      <c r="Y1554" s="8">
        <v>1250</v>
      </c>
      <c r="Z1554" s="8">
        <v>1475</v>
      </c>
      <c r="AA1554" s="8">
        <v>225</v>
      </c>
      <c r="AB1554" s="7">
        <v>113521</v>
      </c>
      <c r="AC1554" t="s">
        <v>4860</v>
      </c>
      <c r="AD1554" s="8">
        <v>0</v>
      </c>
      <c r="AG1554" t="s">
        <v>801</v>
      </c>
      <c r="AH1554" t="s">
        <v>802</v>
      </c>
      <c r="AI1554" t="s">
        <v>818</v>
      </c>
    </row>
    <row r="1555" spans="1:35" hidden="1">
      <c r="A1555" s="7">
        <v>1554</v>
      </c>
      <c r="B1555" t="s">
        <v>243</v>
      </c>
      <c r="C1555" t="s">
        <v>244</v>
      </c>
      <c r="D1555" s="7">
        <v>7134</v>
      </c>
      <c r="E1555" t="s">
        <v>245</v>
      </c>
      <c r="F1555" t="s">
        <v>246</v>
      </c>
      <c r="G1555" t="s">
        <v>2226</v>
      </c>
      <c r="H1555" t="s">
        <v>4911</v>
      </c>
      <c r="I1555" s="7">
        <v>1165</v>
      </c>
      <c r="J1555" s="7">
        <v>34743</v>
      </c>
      <c r="K1555" s="7">
        <v>4</v>
      </c>
      <c r="L1555" t="s">
        <v>247</v>
      </c>
      <c r="M1555" t="s">
        <v>267</v>
      </c>
      <c r="N1555" s="7">
        <v>768517</v>
      </c>
      <c r="O1555" t="s">
        <v>2227</v>
      </c>
      <c r="P1555" t="s">
        <v>2228</v>
      </c>
      <c r="Q1555" t="s">
        <v>870</v>
      </c>
      <c r="R1555" t="s">
        <v>871</v>
      </c>
      <c r="S1555" t="s">
        <v>3800</v>
      </c>
      <c r="T1555" t="s">
        <v>4904</v>
      </c>
      <c r="U1555" t="s">
        <v>4859</v>
      </c>
      <c r="V1555" s="8">
        <v>1250</v>
      </c>
      <c r="W1555" s="7">
        <v>590054</v>
      </c>
      <c r="X1555" t="s">
        <v>4860</v>
      </c>
      <c r="Y1555" s="8">
        <v>1000</v>
      </c>
      <c r="Z1555" s="8">
        <v>1475</v>
      </c>
      <c r="AA1555" s="8">
        <v>225</v>
      </c>
      <c r="AB1555" s="7">
        <v>113521</v>
      </c>
      <c r="AC1555" t="s">
        <v>4860</v>
      </c>
      <c r="AD1555" s="8">
        <v>250</v>
      </c>
      <c r="AG1555" t="s">
        <v>828</v>
      </c>
      <c r="AH1555" t="s">
        <v>802</v>
      </c>
      <c r="AI1555" t="s">
        <v>818</v>
      </c>
    </row>
    <row r="1556" spans="1:35" hidden="1">
      <c r="A1556" s="7">
        <v>1555</v>
      </c>
      <c r="B1556" t="s">
        <v>243</v>
      </c>
      <c r="C1556" t="s">
        <v>244</v>
      </c>
      <c r="D1556" s="7">
        <v>7134</v>
      </c>
      <c r="E1556" t="s">
        <v>245</v>
      </c>
      <c r="F1556" t="s">
        <v>246</v>
      </c>
      <c r="G1556" t="s">
        <v>363</v>
      </c>
      <c r="H1556" t="s">
        <v>4907</v>
      </c>
      <c r="I1556" s="7">
        <v>856</v>
      </c>
      <c r="J1556" s="7">
        <v>52372</v>
      </c>
      <c r="K1556" s="7">
        <v>3</v>
      </c>
      <c r="L1556" t="s">
        <v>247</v>
      </c>
      <c r="M1556" t="s">
        <v>261</v>
      </c>
      <c r="N1556" s="7">
        <v>798622</v>
      </c>
      <c r="O1556" t="s">
        <v>4937</v>
      </c>
      <c r="P1556" t="s">
        <v>4938</v>
      </c>
      <c r="Q1556" t="s">
        <v>908</v>
      </c>
      <c r="R1556" t="s">
        <v>909</v>
      </c>
      <c r="S1556" t="s">
        <v>3800</v>
      </c>
      <c r="T1556" t="s">
        <v>4904</v>
      </c>
      <c r="U1556" t="s">
        <v>4859</v>
      </c>
      <c r="V1556" s="8">
        <v>1250</v>
      </c>
      <c r="W1556" s="7">
        <v>590054</v>
      </c>
      <c r="X1556" t="s">
        <v>4860</v>
      </c>
      <c r="Y1556" s="8">
        <v>1000</v>
      </c>
      <c r="Z1556" s="8">
        <v>1475</v>
      </c>
      <c r="AA1556" s="8">
        <v>225</v>
      </c>
      <c r="AB1556" s="7">
        <v>113521</v>
      </c>
      <c r="AC1556" t="s">
        <v>4860</v>
      </c>
      <c r="AD1556" s="8">
        <v>250</v>
      </c>
      <c r="AG1556" t="s">
        <v>817</v>
      </c>
      <c r="AH1556" t="s">
        <v>802</v>
      </c>
      <c r="AI1556" t="s">
        <v>818</v>
      </c>
    </row>
    <row r="1557" spans="1:35" hidden="1">
      <c r="A1557" s="7">
        <v>1556</v>
      </c>
      <c r="B1557" t="s">
        <v>243</v>
      </c>
      <c r="C1557" t="s">
        <v>244</v>
      </c>
      <c r="D1557" s="7">
        <v>7134</v>
      </c>
      <c r="E1557" t="s">
        <v>245</v>
      </c>
      <c r="F1557" t="s">
        <v>246</v>
      </c>
      <c r="G1557" t="s">
        <v>539</v>
      </c>
      <c r="H1557" t="s">
        <v>4907</v>
      </c>
      <c r="I1557" s="7">
        <v>925</v>
      </c>
      <c r="J1557" s="7">
        <v>50604</v>
      </c>
      <c r="K1557" s="7">
        <v>3</v>
      </c>
      <c r="L1557" t="s">
        <v>247</v>
      </c>
      <c r="M1557" t="s">
        <v>261</v>
      </c>
      <c r="N1557" s="7">
        <v>796086</v>
      </c>
      <c r="O1557" t="s">
        <v>1805</v>
      </c>
      <c r="P1557" t="s">
        <v>1806</v>
      </c>
      <c r="S1557" t="s">
        <v>3800</v>
      </c>
      <c r="T1557" t="s">
        <v>4904</v>
      </c>
      <c r="U1557" t="s">
        <v>4859</v>
      </c>
      <c r="V1557" s="8">
        <v>1250</v>
      </c>
      <c r="W1557" s="7">
        <v>590054</v>
      </c>
      <c r="X1557" t="s">
        <v>4860</v>
      </c>
      <c r="Y1557" s="8">
        <v>1250</v>
      </c>
      <c r="Z1557" s="8">
        <v>1475</v>
      </c>
      <c r="AA1557" s="8">
        <v>225</v>
      </c>
      <c r="AB1557" s="7">
        <v>113521</v>
      </c>
      <c r="AC1557" t="s">
        <v>4860</v>
      </c>
      <c r="AD1557" s="8">
        <v>0</v>
      </c>
      <c r="AG1557" t="s">
        <v>817</v>
      </c>
      <c r="AH1557" t="s">
        <v>802</v>
      </c>
      <c r="AI1557" t="s">
        <v>818</v>
      </c>
    </row>
    <row r="1558" spans="1:35" hidden="1">
      <c r="A1558" s="7">
        <v>1557</v>
      </c>
      <c r="B1558" t="s">
        <v>243</v>
      </c>
      <c r="C1558" t="s">
        <v>244</v>
      </c>
      <c r="D1558" s="7">
        <v>7134</v>
      </c>
      <c r="E1558" t="s">
        <v>245</v>
      </c>
      <c r="F1558" t="s">
        <v>246</v>
      </c>
      <c r="G1558" t="s">
        <v>363</v>
      </c>
      <c r="H1558" t="s">
        <v>3728</v>
      </c>
      <c r="I1558" s="7">
        <v>893</v>
      </c>
      <c r="J1558" s="7">
        <v>51000</v>
      </c>
      <c r="K1558" s="7">
        <v>3</v>
      </c>
      <c r="L1558" t="s">
        <v>247</v>
      </c>
      <c r="M1558" t="s">
        <v>261</v>
      </c>
      <c r="N1558" s="7">
        <v>795270</v>
      </c>
      <c r="O1558" t="s">
        <v>1811</v>
      </c>
      <c r="P1558" t="s">
        <v>1812</v>
      </c>
      <c r="Q1558" t="s">
        <v>908</v>
      </c>
      <c r="R1558" t="s">
        <v>909</v>
      </c>
      <c r="S1558" t="s">
        <v>3800</v>
      </c>
      <c r="T1558" t="s">
        <v>4904</v>
      </c>
      <c r="U1558" t="s">
        <v>4859</v>
      </c>
      <c r="V1558" s="8">
        <v>1250</v>
      </c>
      <c r="W1558" s="7">
        <v>590054</v>
      </c>
      <c r="X1558" t="s">
        <v>4860</v>
      </c>
      <c r="Y1558" s="8">
        <v>1000</v>
      </c>
      <c r="Z1558" s="8">
        <v>1475</v>
      </c>
      <c r="AA1558" s="8">
        <v>225</v>
      </c>
      <c r="AB1558" s="7">
        <v>113521</v>
      </c>
      <c r="AC1558" t="s">
        <v>4860</v>
      </c>
      <c r="AD1558" s="8">
        <v>250</v>
      </c>
      <c r="AG1558" t="s">
        <v>817</v>
      </c>
      <c r="AH1558" t="s">
        <v>802</v>
      </c>
      <c r="AI1558" t="s">
        <v>818</v>
      </c>
    </row>
    <row r="1559" spans="1:35" hidden="1">
      <c r="A1559" s="7">
        <v>1558</v>
      </c>
      <c r="B1559" t="s">
        <v>243</v>
      </c>
      <c r="C1559" t="s">
        <v>244</v>
      </c>
      <c r="D1559" s="7">
        <v>7134</v>
      </c>
      <c r="E1559" t="s">
        <v>245</v>
      </c>
      <c r="F1559" t="s">
        <v>246</v>
      </c>
      <c r="G1559" t="s">
        <v>957</v>
      </c>
      <c r="H1559" t="s">
        <v>4927</v>
      </c>
      <c r="I1559" s="7">
        <v>1165</v>
      </c>
      <c r="J1559" s="7">
        <v>60040</v>
      </c>
      <c r="K1559" s="7">
        <v>5</v>
      </c>
      <c r="L1559" t="s">
        <v>247</v>
      </c>
      <c r="M1559" t="s">
        <v>361</v>
      </c>
      <c r="N1559" s="7">
        <v>5342</v>
      </c>
      <c r="O1559" t="s">
        <v>1209</v>
      </c>
      <c r="P1559" t="s">
        <v>1210</v>
      </c>
      <c r="Q1559" t="s">
        <v>908</v>
      </c>
      <c r="R1559" t="s">
        <v>909</v>
      </c>
      <c r="S1559" t="s">
        <v>3800</v>
      </c>
      <c r="T1559" t="s">
        <v>4904</v>
      </c>
      <c r="U1559" t="s">
        <v>4859</v>
      </c>
      <c r="V1559" s="8">
        <v>1650</v>
      </c>
      <c r="W1559" s="7">
        <v>590054</v>
      </c>
      <c r="X1559" t="s">
        <v>4860</v>
      </c>
      <c r="Y1559" s="8">
        <v>1320</v>
      </c>
      <c r="Z1559" s="8">
        <v>1947</v>
      </c>
      <c r="AA1559" s="8">
        <v>297</v>
      </c>
      <c r="AB1559" s="7">
        <v>113521</v>
      </c>
      <c r="AC1559" t="s">
        <v>4860</v>
      </c>
      <c r="AD1559" s="8">
        <v>330</v>
      </c>
      <c r="AG1559" t="s">
        <v>823</v>
      </c>
      <c r="AH1559" t="s">
        <v>802</v>
      </c>
      <c r="AI1559" t="s">
        <v>818</v>
      </c>
    </row>
    <row r="1560" spans="1:35" hidden="1">
      <c r="A1560" s="7">
        <v>1559</v>
      </c>
      <c r="B1560" t="s">
        <v>243</v>
      </c>
      <c r="C1560" t="s">
        <v>244</v>
      </c>
      <c r="D1560" s="7">
        <v>7134</v>
      </c>
      <c r="E1560" t="s">
        <v>245</v>
      </c>
      <c r="F1560" t="s">
        <v>246</v>
      </c>
      <c r="G1560" t="s">
        <v>888</v>
      </c>
      <c r="H1560" t="s">
        <v>4905</v>
      </c>
      <c r="I1560" s="7">
        <v>1165</v>
      </c>
      <c r="J1560" s="7">
        <v>100000</v>
      </c>
      <c r="K1560" s="7">
        <v>10</v>
      </c>
      <c r="L1560" t="s">
        <v>247</v>
      </c>
      <c r="M1560" t="s">
        <v>267</v>
      </c>
      <c r="N1560" s="7">
        <v>776289</v>
      </c>
      <c r="O1560" t="s">
        <v>1784</v>
      </c>
      <c r="P1560" t="s">
        <v>1785</v>
      </c>
      <c r="S1560" t="s">
        <v>3800</v>
      </c>
      <c r="T1560" t="s">
        <v>4904</v>
      </c>
      <c r="U1560" t="s">
        <v>4859</v>
      </c>
      <c r="V1560" s="8">
        <v>0</v>
      </c>
      <c r="W1560" s="7">
        <v>590054</v>
      </c>
      <c r="X1560" t="s">
        <v>4860</v>
      </c>
      <c r="Y1560" s="8">
        <v>0</v>
      </c>
      <c r="Z1560" s="8">
        <v>0</v>
      </c>
      <c r="AA1560" s="8">
        <v>0</v>
      </c>
      <c r="AB1560" s="7">
        <v>113521</v>
      </c>
      <c r="AC1560" t="s">
        <v>4860</v>
      </c>
      <c r="AD1560" s="8">
        <v>0</v>
      </c>
      <c r="AG1560" t="s">
        <v>828</v>
      </c>
      <c r="AH1560" t="s">
        <v>802</v>
      </c>
      <c r="AI1560" t="s">
        <v>803</v>
      </c>
    </row>
    <row r="1561" spans="1:35" hidden="1">
      <c r="A1561" s="7">
        <v>1560</v>
      </c>
      <c r="B1561" t="s">
        <v>243</v>
      </c>
      <c r="C1561" t="s">
        <v>244</v>
      </c>
      <c r="D1561" s="7">
        <v>7134</v>
      </c>
      <c r="E1561" t="s">
        <v>245</v>
      </c>
      <c r="F1561" t="s">
        <v>246</v>
      </c>
      <c r="G1561" t="s">
        <v>333</v>
      </c>
      <c r="H1561" t="s">
        <v>4908</v>
      </c>
      <c r="I1561" s="7">
        <v>1160</v>
      </c>
      <c r="J1561" s="7">
        <v>10000</v>
      </c>
      <c r="K1561" s="7">
        <v>4</v>
      </c>
      <c r="L1561" t="s">
        <v>247</v>
      </c>
      <c r="M1561" t="s">
        <v>261</v>
      </c>
      <c r="N1561" s="7">
        <v>801727</v>
      </c>
      <c r="O1561" t="s">
        <v>496</v>
      </c>
      <c r="P1561" t="s">
        <v>497</v>
      </c>
      <c r="S1561" t="s">
        <v>3800</v>
      </c>
      <c r="T1561" t="s">
        <v>4904</v>
      </c>
      <c r="U1561" t="s">
        <v>4859</v>
      </c>
      <c r="V1561" s="8">
        <v>0</v>
      </c>
      <c r="W1561" s="7">
        <v>590054</v>
      </c>
      <c r="X1561" t="s">
        <v>4860</v>
      </c>
      <c r="Y1561" s="8">
        <v>0</v>
      </c>
      <c r="Z1561" s="8">
        <v>0</v>
      </c>
      <c r="AA1561" s="8">
        <v>0</v>
      </c>
      <c r="AB1561" s="7">
        <v>113521</v>
      </c>
      <c r="AC1561" t="s">
        <v>4860</v>
      </c>
      <c r="AD1561" s="8">
        <v>0</v>
      </c>
      <c r="AG1561" t="s">
        <v>801</v>
      </c>
      <c r="AH1561" t="s">
        <v>802</v>
      </c>
      <c r="AI1561" t="s">
        <v>803</v>
      </c>
    </row>
    <row r="1562" spans="1:35" hidden="1">
      <c r="A1562" s="7">
        <v>1561</v>
      </c>
      <c r="B1562" t="s">
        <v>243</v>
      </c>
      <c r="C1562" t="s">
        <v>244</v>
      </c>
      <c r="D1562" s="7">
        <v>7134</v>
      </c>
      <c r="E1562" t="s">
        <v>245</v>
      </c>
      <c r="F1562" t="s">
        <v>246</v>
      </c>
      <c r="G1562" t="s">
        <v>1453</v>
      </c>
      <c r="H1562" t="s">
        <v>4919</v>
      </c>
      <c r="I1562" s="7">
        <v>1165</v>
      </c>
      <c r="J1562" s="7">
        <v>50885</v>
      </c>
      <c r="K1562" s="7">
        <v>5</v>
      </c>
      <c r="L1562" t="s">
        <v>247</v>
      </c>
      <c r="M1562" t="s">
        <v>267</v>
      </c>
      <c r="N1562" s="7">
        <v>789589</v>
      </c>
      <c r="O1562" t="s">
        <v>1454</v>
      </c>
      <c r="P1562" t="s">
        <v>1455</v>
      </c>
      <c r="Q1562" t="s">
        <v>870</v>
      </c>
      <c r="R1562" t="s">
        <v>871</v>
      </c>
      <c r="S1562" t="s">
        <v>3800</v>
      </c>
      <c r="T1562" t="s">
        <v>4904</v>
      </c>
      <c r="U1562" t="s">
        <v>4859</v>
      </c>
      <c r="V1562" s="8">
        <v>1250</v>
      </c>
      <c r="W1562" s="7">
        <v>590054</v>
      </c>
      <c r="X1562" t="s">
        <v>4860</v>
      </c>
      <c r="Y1562" s="8">
        <v>1000</v>
      </c>
      <c r="Z1562" s="8">
        <v>1475</v>
      </c>
      <c r="AA1562" s="8">
        <v>225</v>
      </c>
      <c r="AB1562" s="7">
        <v>113521</v>
      </c>
      <c r="AC1562" t="s">
        <v>4860</v>
      </c>
      <c r="AD1562" s="8">
        <v>250</v>
      </c>
      <c r="AG1562" t="s">
        <v>828</v>
      </c>
      <c r="AH1562" t="s">
        <v>802</v>
      </c>
      <c r="AI1562" t="s">
        <v>818</v>
      </c>
    </row>
    <row r="1563" spans="1:35" hidden="1">
      <c r="A1563" s="7">
        <v>1562</v>
      </c>
      <c r="B1563" t="s">
        <v>243</v>
      </c>
      <c r="C1563" t="s">
        <v>244</v>
      </c>
      <c r="D1563" s="7">
        <v>7134</v>
      </c>
      <c r="E1563" t="s">
        <v>245</v>
      </c>
      <c r="F1563" t="s">
        <v>246</v>
      </c>
      <c r="G1563" t="s">
        <v>363</v>
      </c>
      <c r="H1563" t="s">
        <v>4906</v>
      </c>
      <c r="I1563" s="7">
        <v>887</v>
      </c>
      <c r="J1563" s="7">
        <v>52000</v>
      </c>
      <c r="K1563" s="7">
        <v>3</v>
      </c>
      <c r="L1563" t="s">
        <v>247</v>
      </c>
      <c r="M1563" t="s">
        <v>261</v>
      </c>
      <c r="N1563" s="7">
        <v>796300</v>
      </c>
      <c r="O1563" t="s">
        <v>1896</v>
      </c>
      <c r="P1563" t="s">
        <v>1897</v>
      </c>
      <c r="Q1563" t="s">
        <v>908</v>
      </c>
      <c r="R1563" t="s">
        <v>909</v>
      </c>
      <c r="S1563" t="s">
        <v>3800</v>
      </c>
      <c r="T1563" t="s">
        <v>4904</v>
      </c>
      <c r="U1563" t="s">
        <v>4859</v>
      </c>
      <c r="V1563" s="8">
        <v>1250</v>
      </c>
      <c r="W1563" s="7">
        <v>590054</v>
      </c>
      <c r="X1563" t="s">
        <v>4860</v>
      </c>
      <c r="Y1563" s="8">
        <v>1000</v>
      </c>
      <c r="Z1563" s="8">
        <v>1475</v>
      </c>
      <c r="AA1563" s="8">
        <v>225</v>
      </c>
      <c r="AB1563" s="7">
        <v>113521</v>
      </c>
      <c r="AC1563" t="s">
        <v>4860</v>
      </c>
      <c r="AD1563" s="8">
        <v>250</v>
      </c>
      <c r="AG1563" t="s">
        <v>817</v>
      </c>
      <c r="AH1563" t="s">
        <v>802</v>
      </c>
      <c r="AI1563" t="s">
        <v>818</v>
      </c>
    </row>
    <row r="1564" spans="1:35" hidden="1">
      <c r="A1564" s="7">
        <v>1563</v>
      </c>
      <c r="B1564" t="s">
        <v>243</v>
      </c>
      <c r="C1564" t="s">
        <v>244</v>
      </c>
      <c r="D1564" s="7">
        <v>7134</v>
      </c>
      <c r="E1564" t="s">
        <v>245</v>
      </c>
      <c r="F1564" t="s">
        <v>246</v>
      </c>
      <c r="G1564" t="s">
        <v>293</v>
      </c>
      <c r="H1564" t="s">
        <v>4921</v>
      </c>
      <c r="I1564" s="7">
        <v>1165</v>
      </c>
      <c r="J1564" s="7">
        <v>40000</v>
      </c>
      <c r="K1564" s="7">
        <v>4</v>
      </c>
      <c r="L1564" t="s">
        <v>247</v>
      </c>
      <c r="M1564" t="s">
        <v>252</v>
      </c>
      <c r="N1564" s="7">
        <v>327424</v>
      </c>
      <c r="O1564" t="s">
        <v>380</v>
      </c>
      <c r="P1564" t="s">
        <v>381</v>
      </c>
      <c r="S1564" t="s">
        <v>3800</v>
      </c>
      <c r="T1564" t="s">
        <v>4904</v>
      </c>
      <c r="U1564" t="s">
        <v>4859</v>
      </c>
      <c r="V1564" s="8">
        <v>0</v>
      </c>
      <c r="W1564" s="7">
        <v>590054</v>
      </c>
      <c r="X1564" t="s">
        <v>4860</v>
      </c>
      <c r="Y1564" s="8">
        <v>0</v>
      </c>
      <c r="Z1564" s="8">
        <v>0</v>
      </c>
      <c r="AA1564" s="8">
        <v>0</v>
      </c>
      <c r="AB1564" s="7">
        <v>113521</v>
      </c>
      <c r="AC1564" t="s">
        <v>4860</v>
      </c>
      <c r="AD1564" s="8">
        <v>0</v>
      </c>
      <c r="AG1564" t="s">
        <v>937</v>
      </c>
      <c r="AH1564" t="s">
        <v>802</v>
      </c>
      <c r="AI1564" t="s">
        <v>803</v>
      </c>
    </row>
    <row r="1565" spans="1:35" hidden="1">
      <c r="A1565" s="7">
        <v>1564</v>
      </c>
      <c r="B1565" t="s">
        <v>243</v>
      </c>
      <c r="C1565" t="s">
        <v>244</v>
      </c>
      <c r="D1565" s="7">
        <v>7134</v>
      </c>
      <c r="E1565" t="s">
        <v>245</v>
      </c>
      <c r="F1565" t="s">
        <v>246</v>
      </c>
      <c r="G1565" t="s">
        <v>333</v>
      </c>
      <c r="H1565" t="s">
        <v>4908</v>
      </c>
      <c r="I1565" s="7">
        <v>1165</v>
      </c>
      <c r="J1565" s="7">
        <v>40000</v>
      </c>
      <c r="K1565" s="7">
        <v>4</v>
      </c>
      <c r="L1565" t="s">
        <v>247</v>
      </c>
      <c r="M1565" t="s">
        <v>267</v>
      </c>
      <c r="N1565" s="7">
        <v>789361</v>
      </c>
      <c r="O1565" t="s">
        <v>485</v>
      </c>
      <c r="P1565" t="s">
        <v>486</v>
      </c>
      <c r="Q1565" t="s">
        <v>283</v>
      </c>
      <c r="R1565" t="s">
        <v>1062</v>
      </c>
      <c r="S1565" t="s">
        <v>3800</v>
      </c>
      <c r="T1565" t="s">
        <v>4904</v>
      </c>
      <c r="U1565" t="s">
        <v>4859</v>
      </c>
      <c r="V1565" s="8">
        <v>0</v>
      </c>
      <c r="W1565" s="7">
        <v>590054</v>
      </c>
      <c r="X1565" t="s">
        <v>4860</v>
      </c>
      <c r="Y1565" s="8">
        <v>0</v>
      </c>
      <c r="Z1565" s="8">
        <v>0</v>
      </c>
      <c r="AA1565" s="8">
        <v>0</v>
      </c>
      <c r="AB1565" s="7">
        <v>113521</v>
      </c>
      <c r="AC1565" t="s">
        <v>4860</v>
      </c>
      <c r="AD1565" s="8">
        <v>0</v>
      </c>
      <c r="AG1565" t="s">
        <v>828</v>
      </c>
      <c r="AH1565" t="s">
        <v>802</v>
      </c>
      <c r="AI1565" t="s">
        <v>803</v>
      </c>
    </row>
    <row r="1566" spans="1:35" hidden="1">
      <c r="A1566" s="7">
        <v>1565</v>
      </c>
      <c r="B1566" t="s">
        <v>243</v>
      </c>
      <c r="C1566" t="s">
        <v>244</v>
      </c>
      <c r="D1566" s="7">
        <v>7134</v>
      </c>
      <c r="E1566" t="s">
        <v>245</v>
      </c>
      <c r="F1566" t="s">
        <v>246</v>
      </c>
      <c r="G1566" t="s">
        <v>1660</v>
      </c>
      <c r="H1566" t="s">
        <v>4927</v>
      </c>
      <c r="I1566" s="7">
        <v>1165</v>
      </c>
      <c r="J1566" s="7">
        <v>30241</v>
      </c>
      <c r="K1566" s="7">
        <v>3</v>
      </c>
      <c r="L1566" t="s">
        <v>247</v>
      </c>
      <c r="M1566" t="s">
        <v>267</v>
      </c>
      <c r="N1566" s="7">
        <v>794423</v>
      </c>
      <c r="O1566" t="s">
        <v>2165</v>
      </c>
      <c r="P1566" t="s">
        <v>2166</v>
      </c>
      <c r="Q1566" t="s">
        <v>870</v>
      </c>
      <c r="R1566" t="s">
        <v>871</v>
      </c>
      <c r="S1566" t="s">
        <v>3800</v>
      </c>
      <c r="T1566" t="s">
        <v>4904</v>
      </c>
      <c r="U1566" t="s">
        <v>4859</v>
      </c>
      <c r="V1566" s="8">
        <v>1250</v>
      </c>
      <c r="W1566" s="7">
        <v>590054</v>
      </c>
      <c r="X1566" t="s">
        <v>4860</v>
      </c>
      <c r="Y1566" s="8">
        <v>1000</v>
      </c>
      <c r="Z1566" s="8">
        <v>1475</v>
      </c>
      <c r="AA1566" s="8">
        <v>225</v>
      </c>
      <c r="AB1566" s="7">
        <v>113521</v>
      </c>
      <c r="AC1566" t="s">
        <v>4860</v>
      </c>
      <c r="AD1566" s="8">
        <v>250</v>
      </c>
      <c r="AG1566" t="s">
        <v>828</v>
      </c>
      <c r="AH1566" t="s">
        <v>802</v>
      </c>
      <c r="AI1566" t="s">
        <v>818</v>
      </c>
    </row>
    <row r="1567" spans="1:35" hidden="1">
      <c r="A1567" s="7">
        <v>1566</v>
      </c>
      <c r="B1567" t="s">
        <v>243</v>
      </c>
      <c r="C1567" t="s">
        <v>244</v>
      </c>
      <c r="D1567" s="7">
        <v>7134</v>
      </c>
      <c r="E1567" t="s">
        <v>245</v>
      </c>
      <c r="F1567" t="s">
        <v>246</v>
      </c>
      <c r="G1567" t="s">
        <v>914</v>
      </c>
      <c r="H1567" t="s">
        <v>4920</v>
      </c>
      <c r="I1567" s="7">
        <v>1165</v>
      </c>
      <c r="J1567" s="7">
        <v>21678</v>
      </c>
      <c r="K1567" s="7">
        <v>5</v>
      </c>
      <c r="L1567" t="s">
        <v>247</v>
      </c>
      <c r="M1567" t="s">
        <v>267</v>
      </c>
      <c r="N1567" s="7">
        <v>789054</v>
      </c>
      <c r="O1567" t="s">
        <v>1768</v>
      </c>
      <c r="P1567" t="s">
        <v>1769</v>
      </c>
      <c r="S1567" t="s">
        <v>3800</v>
      </c>
      <c r="T1567" t="s">
        <v>4904</v>
      </c>
      <c r="U1567" t="s">
        <v>4859</v>
      </c>
      <c r="V1567" s="8">
        <v>1250</v>
      </c>
      <c r="W1567" s="7">
        <v>590054</v>
      </c>
      <c r="X1567" t="s">
        <v>4860</v>
      </c>
      <c r="Y1567" s="8">
        <v>1250</v>
      </c>
      <c r="Z1567" s="8">
        <v>1475</v>
      </c>
      <c r="AA1567" s="8">
        <v>225</v>
      </c>
      <c r="AB1567" s="7">
        <v>113521</v>
      </c>
      <c r="AC1567" t="s">
        <v>4860</v>
      </c>
      <c r="AD1567" s="8">
        <v>0</v>
      </c>
      <c r="AG1567" t="s">
        <v>828</v>
      </c>
      <c r="AH1567" t="s">
        <v>802</v>
      </c>
      <c r="AI1567" t="s">
        <v>818</v>
      </c>
    </row>
    <row r="1568" spans="1:35" hidden="1">
      <c r="A1568" s="7">
        <v>1567</v>
      </c>
      <c r="B1568" t="s">
        <v>243</v>
      </c>
      <c r="C1568" t="s">
        <v>244</v>
      </c>
      <c r="D1568" s="7">
        <v>7134</v>
      </c>
      <c r="E1568" t="s">
        <v>245</v>
      </c>
      <c r="F1568" t="s">
        <v>246</v>
      </c>
      <c r="G1568" t="s">
        <v>1645</v>
      </c>
      <c r="H1568" t="s">
        <v>4921</v>
      </c>
      <c r="I1568" s="7">
        <v>986</v>
      </c>
      <c r="J1568" s="7">
        <v>58353</v>
      </c>
      <c r="K1568" s="7">
        <v>12</v>
      </c>
      <c r="L1568" t="s">
        <v>247</v>
      </c>
      <c r="M1568" t="s">
        <v>261</v>
      </c>
      <c r="N1568" s="7">
        <v>762377</v>
      </c>
      <c r="O1568" t="s">
        <v>1646</v>
      </c>
      <c r="P1568" t="s">
        <v>1647</v>
      </c>
      <c r="S1568" t="s">
        <v>3800</v>
      </c>
      <c r="T1568" t="s">
        <v>4904</v>
      </c>
      <c r="U1568" t="s">
        <v>4859</v>
      </c>
      <c r="V1568" s="8">
        <v>0</v>
      </c>
      <c r="W1568" s="7">
        <v>590054</v>
      </c>
      <c r="X1568" t="s">
        <v>4860</v>
      </c>
      <c r="Y1568" s="8">
        <v>0</v>
      </c>
      <c r="Z1568" s="8">
        <v>0</v>
      </c>
      <c r="AA1568" s="8">
        <v>0</v>
      </c>
      <c r="AB1568" s="7">
        <v>113521</v>
      </c>
      <c r="AC1568" t="s">
        <v>4860</v>
      </c>
      <c r="AD1568" s="8">
        <v>0</v>
      </c>
      <c r="AG1568" t="s">
        <v>801</v>
      </c>
      <c r="AH1568" t="s">
        <v>802</v>
      </c>
      <c r="AI1568" t="s">
        <v>803</v>
      </c>
    </row>
    <row r="1569" spans="1:35" hidden="1">
      <c r="A1569" s="7">
        <v>1568</v>
      </c>
      <c r="B1569" t="s">
        <v>243</v>
      </c>
      <c r="C1569" t="s">
        <v>244</v>
      </c>
      <c r="D1569" s="7">
        <v>7134</v>
      </c>
      <c r="E1569" t="s">
        <v>245</v>
      </c>
      <c r="F1569" t="s">
        <v>246</v>
      </c>
      <c r="G1569" t="s">
        <v>1618</v>
      </c>
      <c r="H1569" t="s">
        <v>4917</v>
      </c>
      <c r="I1569" s="7">
        <v>1165</v>
      </c>
      <c r="J1569" s="7">
        <v>10350</v>
      </c>
      <c r="K1569" s="7">
        <v>5</v>
      </c>
      <c r="L1569" t="s">
        <v>247</v>
      </c>
      <c r="M1569" t="s">
        <v>398</v>
      </c>
      <c r="N1569" s="7">
        <v>767809</v>
      </c>
      <c r="O1569" t="s">
        <v>4939</v>
      </c>
      <c r="P1569" t="s">
        <v>4940</v>
      </c>
      <c r="S1569" t="s">
        <v>3800</v>
      </c>
      <c r="T1569" t="s">
        <v>4904</v>
      </c>
      <c r="U1569" t="s">
        <v>4859</v>
      </c>
      <c r="V1569" s="8">
        <v>1250</v>
      </c>
      <c r="W1569" s="7">
        <v>590054</v>
      </c>
      <c r="X1569" t="s">
        <v>4860</v>
      </c>
      <c r="Y1569" s="8">
        <v>1250</v>
      </c>
      <c r="Z1569" s="8">
        <v>1475</v>
      </c>
      <c r="AA1569" s="8">
        <v>225</v>
      </c>
      <c r="AB1569" s="7">
        <v>113521</v>
      </c>
      <c r="AC1569" t="s">
        <v>4860</v>
      </c>
      <c r="AD1569" s="8">
        <v>0</v>
      </c>
      <c r="AG1569" t="s">
        <v>1365</v>
      </c>
      <c r="AH1569" t="s">
        <v>802</v>
      </c>
      <c r="AI1569" t="s">
        <v>818</v>
      </c>
    </row>
    <row r="1570" spans="1:35" hidden="1">
      <c r="A1570" s="7">
        <v>1569</v>
      </c>
      <c r="B1570" t="s">
        <v>243</v>
      </c>
      <c r="C1570" t="s">
        <v>244</v>
      </c>
      <c r="D1570" s="7">
        <v>7134</v>
      </c>
      <c r="E1570" t="s">
        <v>245</v>
      </c>
      <c r="F1570" t="s">
        <v>246</v>
      </c>
      <c r="G1570" t="s">
        <v>1615</v>
      </c>
      <c r="H1570" t="s">
        <v>4905</v>
      </c>
      <c r="I1570" s="7">
        <v>1150</v>
      </c>
      <c r="J1570" s="7">
        <v>17073</v>
      </c>
      <c r="K1570" s="7">
        <v>4</v>
      </c>
      <c r="L1570" t="s">
        <v>247</v>
      </c>
      <c r="M1570" t="s">
        <v>261</v>
      </c>
      <c r="N1570" s="7">
        <v>778136</v>
      </c>
      <c r="O1570" t="s">
        <v>2084</v>
      </c>
      <c r="P1570" t="s">
        <v>2085</v>
      </c>
      <c r="S1570" t="s">
        <v>3800</v>
      </c>
      <c r="T1570" t="s">
        <v>4904</v>
      </c>
      <c r="U1570" t="s">
        <v>4859</v>
      </c>
      <c r="V1570" s="8">
        <v>0</v>
      </c>
      <c r="W1570" s="7">
        <v>590054</v>
      </c>
      <c r="X1570" t="s">
        <v>4860</v>
      </c>
      <c r="Y1570" s="8">
        <v>0</v>
      </c>
      <c r="Z1570" s="8">
        <v>0</v>
      </c>
      <c r="AA1570" s="8">
        <v>0</v>
      </c>
      <c r="AB1570" s="7">
        <v>113521</v>
      </c>
      <c r="AC1570" t="s">
        <v>4860</v>
      </c>
      <c r="AD1570" s="8">
        <v>0</v>
      </c>
      <c r="AG1570" t="s">
        <v>808</v>
      </c>
      <c r="AH1570" t="s">
        <v>802</v>
      </c>
      <c r="AI1570" t="s">
        <v>803</v>
      </c>
    </row>
    <row r="1571" spans="1:35" hidden="1">
      <c r="A1571" s="7">
        <v>1570</v>
      </c>
      <c r="B1571" t="s">
        <v>243</v>
      </c>
      <c r="C1571" t="s">
        <v>244</v>
      </c>
      <c r="D1571" s="7">
        <v>7134</v>
      </c>
      <c r="E1571" t="s">
        <v>245</v>
      </c>
      <c r="F1571" t="s">
        <v>246</v>
      </c>
      <c r="G1571" t="s">
        <v>1273</v>
      </c>
      <c r="H1571" t="s">
        <v>4905</v>
      </c>
      <c r="I1571" s="7">
        <v>1165</v>
      </c>
      <c r="J1571" s="7">
        <v>20329</v>
      </c>
      <c r="K1571" s="7">
        <v>7</v>
      </c>
      <c r="L1571" t="s">
        <v>247</v>
      </c>
      <c r="M1571" t="s">
        <v>252</v>
      </c>
      <c r="N1571" s="7">
        <v>324906</v>
      </c>
      <c r="O1571" t="s">
        <v>1275</v>
      </c>
      <c r="P1571" t="s">
        <v>1276</v>
      </c>
      <c r="S1571" t="s">
        <v>3800</v>
      </c>
      <c r="T1571" t="s">
        <v>4904</v>
      </c>
      <c r="U1571" t="s">
        <v>4859</v>
      </c>
      <c r="V1571" s="8">
        <v>0</v>
      </c>
      <c r="W1571" s="7">
        <v>590054</v>
      </c>
      <c r="X1571" t="s">
        <v>4860</v>
      </c>
      <c r="Y1571" s="8">
        <v>0</v>
      </c>
      <c r="Z1571" s="8">
        <v>0</v>
      </c>
      <c r="AA1571" s="8">
        <v>0</v>
      </c>
      <c r="AB1571" s="7">
        <v>113521</v>
      </c>
      <c r="AC1571" t="s">
        <v>4860</v>
      </c>
      <c r="AD1571" s="8">
        <v>0</v>
      </c>
      <c r="AG1571" t="s">
        <v>937</v>
      </c>
      <c r="AH1571" t="s">
        <v>802</v>
      </c>
      <c r="AI1571" t="s">
        <v>803</v>
      </c>
    </row>
    <row r="1572" spans="1:35" hidden="1">
      <c r="A1572" s="7">
        <v>1571</v>
      </c>
      <c r="B1572" t="s">
        <v>243</v>
      </c>
      <c r="C1572" t="s">
        <v>244</v>
      </c>
      <c r="D1572" s="7">
        <v>7134</v>
      </c>
      <c r="E1572" t="s">
        <v>245</v>
      </c>
      <c r="F1572" t="s">
        <v>246</v>
      </c>
      <c r="G1572" t="s">
        <v>293</v>
      </c>
      <c r="H1572" t="s">
        <v>4927</v>
      </c>
      <c r="I1572" s="7">
        <v>1165</v>
      </c>
      <c r="J1572" s="7">
        <v>39500</v>
      </c>
      <c r="K1572" s="7">
        <v>3</v>
      </c>
      <c r="L1572" t="s">
        <v>247</v>
      </c>
      <c r="M1572" t="s">
        <v>398</v>
      </c>
      <c r="N1572" s="7">
        <v>788228</v>
      </c>
      <c r="O1572" t="s">
        <v>396</v>
      </c>
      <c r="P1572" t="s">
        <v>397</v>
      </c>
      <c r="S1572" t="s">
        <v>3800</v>
      </c>
      <c r="T1572" t="s">
        <v>4904</v>
      </c>
      <c r="U1572" t="s">
        <v>4859</v>
      </c>
      <c r="V1572" s="8">
        <v>1250</v>
      </c>
      <c r="W1572" s="7">
        <v>590054</v>
      </c>
      <c r="X1572" t="s">
        <v>4860</v>
      </c>
      <c r="Y1572" s="8">
        <v>1250</v>
      </c>
      <c r="Z1572" s="8">
        <v>1475</v>
      </c>
      <c r="AA1572" s="8">
        <v>225</v>
      </c>
      <c r="AB1572" s="7">
        <v>113521</v>
      </c>
      <c r="AC1572" t="s">
        <v>4860</v>
      </c>
      <c r="AD1572" s="8">
        <v>0</v>
      </c>
      <c r="AG1572" t="s">
        <v>1365</v>
      </c>
      <c r="AH1572" t="s">
        <v>802</v>
      </c>
      <c r="AI1572" t="s">
        <v>818</v>
      </c>
    </row>
    <row r="1573" spans="1:35" hidden="1">
      <c r="A1573" s="7">
        <v>1572</v>
      </c>
      <c r="B1573" t="s">
        <v>243</v>
      </c>
      <c r="C1573" t="s">
        <v>244</v>
      </c>
      <c r="D1573" s="7">
        <v>7134</v>
      </c>
      <c r="E1573" t="s">
        <v>245</v>
      </c>
      <c r="F1573" t="s">
        <v>246</v>
      </c>
      <c r="G1573" t="s">
        <v>1185</v>
      </c>
      <c r="H1573" t="s">
        <v>4927</v>
      </c>
      <c r="I1573" s="7">
        <v>1165</v>
      </c>
      <c r="J1573" s="7">
        <v>90975</v>
      </c>
      <c r="K1573" s="7">
        <v>11</v>
      </c>
      <c r="L1573" t="s">
        <v>247</v>
      </c>
      <c r="M1573" t="s">
        <v>267</v>
      </c>
      <c r="N1573" s="7">
        <v>767302</v>
      </c>
      <c r="O1573" t="s">
        <v>1186</v>
      </c>
      <c r="P1573" t="s">
        <v>1187</v>
      </c>
      <c r="S1573" t="s">
        <v>3800</v>
      </c>
      <c r="T1573" t="s">
        <v>4904</v>
      </c>
      <c r="U1573" t="s">
        <v>4859</v>
      </c>
      <c r="V1573" s="8">
        <v>1250</v>
      </c>
      <c r="W1573" s="7">
        <v>590054</v>
      </c>
      <c r="X1573" t="s">
        <v>4860</v>
      </c>
      <c r="Y1573" s="8">
        <v>1250</v>
      </c>
      <c r="Z1573" s="8">
        <v>1475</v>
      </c>
      <c r="AA1573" s="8">
        <v>225</v>
      </c>
      <c r="AB1573" s="7">
        <v>113521</v>
      </c>
      <c r="AC1573" t="s">
        <v>4860</v>
      </c>
      <c r="AD1573" s="8">
        <v>0</v>
      </c>
      <c r="AG1573" t="s">
        <v>828</v>
      </c>
      <c r="AH1573" t="s">
        <v>802</v>
      </c>
      <c r="AI1573" t="s">
        <v>818</v>
      </c>
    </row>
    <row r="1574" spans="1:35" hidden="1">
      <c r="A1574" s="7">
        <v>1573</v>
      </c>
      <c r="B1574" t="s">
        <v>243</v>
      </c>
      <c r="C1574" t="s">
        <v>244</v>
      </c>
      <c r="D1574" s="7">
        <v>7134</v>
      </c>
      <c r="E1574" t="s">
        <v>245</v>
      </c>
      <c r="F1574" t="s">
        <v>246</v>
      </c>
      <c r="G1574" t="s">
        <v>248</v>
      </c>
      <c r="H1574" t="s">
        <v>4917</v>
      </c>
      <c r="I1574" s="7">
        <v>1165</v>
      </c>
      <c r="J1574" s="7">
        <v>16582</v>
      </c>
      <c r="K1574" s="7">
        <v>3</v>
      </c>
      <c r="L1574" t="s">
        <v>247</v>
      </c>
      <c r="M1574" t="s">
        <v>361</v>
      </c>
      <c r="N1574" s="7">
        <v>91005790</v>
      </c>
      <c r="O1574" t="s">
        <v>469</v>
      </c>
      <c r="P1574" t="s">
        <v>470</v>
      </c>
      <c r="S1574" t="s">
        <v>3800</v>
      </c>
      <c r="T1574" t="s">
        <v>4904</v>
      </c>
      <c r="U1574" t="s">
        <v>4859</v>
      </c>
      <c r="V1574" s="8">
        <v>1650</v>
      </c>
      <c r="W1574" s="7">
        <v>590054</v>
      </c>
      <c r="X1574" t="s">
        <v>4860</v>
      </c>
      <c r="Y1574" s="8">
        <v>1650</v>
      </c>
      <c r="Z1574" s="8">
        <v>1947</v>
      </c>
      <c r="AA1574" s="8">
        <v>297</v>
      </c>
      <c r="AB1574" s="7">
        <v>113521</v>
      </c>
      <c r="AC1574" t="s">
        <v>4860</v>
      </c>
      <c r="AD1574" s="8">
        <v>0</v>
      </c>
      <c r="AG1574" t="s">
        <v>823</v>
      </c>
      <c r="AH1574" t="s">
        <v>802</v>
      </c>
      <c r="AI1574" t="s">
        <v>818</v>
      </c>
    </row>
    <row r="1575" spans="1:35" hidden="1">
      <c r="A1575" s="7">
        <v>1574</v>
      </c>
      <c r="B1575" t="s">
        <v>243</v>
      </c>
      <c r="C1575" t="s">
        <v>244</v>
      </c>
      <c r="D1575" s="7">
        <v>7134</v>
      </c>
      <c r="E1575" t="s">
        <v>245</v>
      </c>
      <c r="F1575" t="s">
        <v>246</v>
      </c>
      <c r="G1575" t="s">
        <v>527</v>
      </c>
      <c r="H1575" t="s">
        <v>4909</v>
      </c>
      <c r="I1575" s="7">
        <v>950</v>
      </c>
      <c r="J1575" s="7">
        <v>50000</v>
      </c>
      <c r="K1575" s="7">
        <v>3</v>
      </c>
      <c r="L1575" t="s">
        <v>247</v>
      </c>
      <c r="M1575" t="s">
        <v>261</v>
      </c>
      <c r="N1575" s="7">
        <v>795169</v>
      </c>
      <c r="O1575" t="s">
        <v>2190</v>
      </c>
      <c r="P1575" t="s">
        <v>2191</v>
      </c>
      <c r="S1575" t="s">
        <v>3800</v>
      </c>
      <c r="T1575" t="s">
        <v>4904</v>
      </c>
      <c r="U1575" t="s">
        <v>4859</v>
      </c>
      <c r="V1575" s="8">
        <v>1250</v>
      </c>
      <c r="W1575" s="7">
        <v>590054</v>
      </c>
      <c r="X1575" t="s">
        <v>4860</v>
      </c>
      <c r="Y1575" s="8">
        <v>1250</v>
      </c>
      <c r="Z1575" s="8">
        <v>1475</v>
      </c>
      <c r="AA1575" s="8">
        <v>225</v>
      </c>
      <c r="AB1575" s="7">
        <v>113521</v>
      </c>
      <c r="AC1575" t="s">
        <v>4860</v>
      </c>
      <c r="AD1575" s="8">
        <v>0</v>
      </c>
      <c r="AG1575" t="s">
        <v>817</v>
      </c>
      <c r="AH1575" t="s">
        <v>802</v>
      </c>
      <c r="AI1575" t="s">
        <v>818</v>
      </c>
    </row>
    <row r="1576" spans="1:35" hidden="1">
      <c r="A1576" s="7">
        <v>1575</v>
      </c>
      <c r="B1576" t="s">
        <v>243</v>
      </c>
      <c r="C1576" t="s">
        <v>244</v>
      </c>
      <c r="D1576" s="7">
        <v>7134</v>
      </c>
      <c r="E1576" t="s">
        <v>245</v>
      </c>
      <c r="F1576" t="s">
        <v>246</v>
      </c>
      <c r="G1576" t="s">
        <v>269</v>
      </c>
      <c r="H1576" t="s">
        <v>4941</v>
      </c>
      <c r="I1576" s="7">
        <v>1165</v>
      </c>
      <c r="J1576" s="7">
        <v>18762</v>
      </c>
      <c r="K1576" s="7">
        <v>5</v>
      </c>
      <c r="L1576" t="s">
        <v>247</v>
      </c>
      <c r="M1576" t="s">
        <v>267</v>
      </c>
      <c r="N1576" s="7">
        <v>789530</v>
      </c>
      <c r="O1576" t="s">
        <v>467</v>
      </c>
      <c r="P1576" t="s">
        <v>468</v>
      </c>
      <c r="S1576" t="s">
        <v>3831</v>
      </c>
      <c r="T1576" t="s">
        <v>4942</v>
      </c>
      <c r="U1576" t="s">
        <v>4943</v>
      </c>
      <c r="V1576" s="8">
        <v>1250</v>
      </c>
      <c r="W1576" s="7">
        <v>0</v>
      </c>
      <c r="Y1576" s="8">
        <v>1250</v>
      </c>
      <c r="Z1576" s="8">
        <v>1475</v>
      </c>
      <c r="AA1576" s="8">
        <v>225</v>
      </c>
      <c r="AB1576" s="7">
        <v>0</v>
      </c>
      <c r="AD1576" s="8">
        <v>0</v>
      </c>
      <c r="AG1576" t="s">
        <v>828</v>
      </c>
      <c r="AH1576" t="s">
        <v>802</v>
      </c>
      <c r="AI1576" t="s">
        <v>818</v>
      </c>
    </row>
    <row r="1577" spans="1:35" hidden="1">
      <c r="A1577" s="7">
        <v>1576</v>
      </c>
      <c r="B1577" t="s">
        <v>243</v>
      </c>
      <c r="C1577" t="s">
        <v>244</v>
      </c>
      <c r="D1577" s="7">
        <v>7134</v>
      </c>
      <c r="E1577" t="s">
        <v>245</v>
      </c>
      <c r="F1577" t="s">
        <v>246</v>
      </c>
      <c r="G1577" t="s">
        <v>273</v>
      </c>
      <c r="H1577" t="s">
        <v>3728</v>
      </c>
      <c r="I1577" s="7">
        <v>1165</v>
      </c>
      <c r="J1577" s="7">
        <v>20000</v>
      </c>
      <c r="K1577" s="7">
        <v>3</v>
      </c>
      <c r="L1577" t="s">
        <v>247</v>
      </c>
      <c r="M1577" t="s">
        <v>267</v>
      </c>
      <c r="N1577" s="7">
        <v>789023</v>
      </c>
      <c r="O1577" t="s">
        <v>476</v>
      </c>
      <c r="P1577" t="s">
        <v>477</v>
      </c>
      <c r="Q1577" t="s">
        <v>870</v>
      </c>
      <c r="R1577" t="s">
        <v>871</v>
      </c>
      <c r="S1577" t="s">
        <v>3831</v>
      </c>
      <c r="T1577" t="s">
        <v>4942</v>
      </c>
      <c r="U1577" t="s">
        <v>4943</v>
      </c>
      <c r="V1577" s="8">
        <v>1250</v>
      </c>
      <c r="W1577" s="7">
        <v>0</v>
      </c>
      <c r="Y1577" s="8">
        <v>1000</v>
      </c>
      <c r="Z1577" s="8">
        <v>1475</v>
      </c>
      <c r="AA1577" s="8">
        <v>225</v>
      </c>
      <c r="AB1577" s="7">
        <v>0</v>
      </c>
      <c r="AD1577" s="8">
        <v>250</v>
      </c>
      <c r="AG1577" t="s">
        <v>828</v>
      </c>
      <c r="AH1577" t="s">
        <v>802</v>
      </c>
      <c r="AI1577" t="s">
        <v>818</v>
      </c>
    </row>
    <row r="1578" spans="1:35" hidden="1">
      <c r="A1578" s="7">
        <v>1577</v>
      </c>
      <c r="B1578" t="s">
        <v>243</v>
      </c>
      <c r="C1578" t="s">
        <v>244</v>
      </c>
      <c r="D1578" s="7">
        <v>7134</v>
      </c>
      <c r="E1578" t="s">
        <v>245</v>
      </c>
      <c r="F1578" t="s">
        <v>246</v>
      </c>
      <c r="G1578" t="s">
        <v>1926</v>
      </c>
      <c r="H1578" t="s">
        <v>4944</v>
      </c>
      <c r="I1578" s="7">
        <v>1165</v>
      </c>
      <c r="J1578" s="7">
        <v>44533</v>
      </c>
      <c r="K1578" s="7">
        <v>10</v>
      </c>
      <c r="L1578" t="s">
        <v>247</v>
      </c>
      <c r="M1578" t="s">
        <v>261</v>
      </c>
      <c r="N1578" s="7">
        <v>773117</v>
      </c>
      <c r="O1578" t="s">
        <v>1927</v>
      </c>
      <c r="P1578" t="s">
        <v>1928</v>
      </c>
      <c r="S1578" t="s">
        <v>3831</v>
      </c>
      <c r="T1578" t="s">
        <v>4942</v>
      </c>
      <c r="U1578" t="s">
        <v>4943</v>
      </c>
      <c r="V1578" s="8">
        <v>0</v>
      </c>
      <c r="W1578" s="7">
        <v>0</v>
      </c>
      <c r="Y1578" s="8">
        <v>0</v>
      </c>
      <c r="Z1578" s="8">
        <v>0</v>
      </c>
      <c r="AA1578" s="8">
        <v>0</v>
      </c>
      <c r="AB1578" s="7">
        <v>0</v>
      </c>
      <c r="AD1578" s="8">
        <v>0</v>
      </c>
      <c r="AG1578" t="s">
        <v>801</v>
      </c>
      <c r="AH1578" t="s">
        <v>802</v>
      </c>
      <c r="AI1578" t="s">
        <v>803</v>
      </c>
    </row>
    <row r="1579" spans="1:35" hidden="1">
      <c r="A1579" s="7">
        <v>1578</v>
      </c>
      <c r="B1579" t="s">
        <v>243</v>
      </c>
      <c r="C1579" t="s">
        <v>244</v>
      </c>
      <c r="D1579" s="7">
        <v>7134</v>
      </c>
      <c r="E1579" t="s">
        <v>245</v>
      </c>
      <c r="F1579" t="s">
        <v>246</v>
      </c>
      <c r="G1579" t="s">
        <v>1457</v>
      </c>
      <c r="H1579" t="s">
        <v>4945</v>
      </c>
      <c r="I1579" s="7">
        <v>865</v>
      </c>
      <c r="J1579" s="7">
        <v>50000</v>
      </c>
      <c r="K1579" s="7">
        <v>3</v>
      </c>
      <c r="L1579" t="s">
        <v>247</v>
      </c>
      <c r="M1579" t="s">
        <v>261</v>
      </c>
      <c r="N1579" s="7">
        <v>796163</v>
      </c>
      <c r="O1579" t="s">
        <v>3384</v>
      </c>
      <c r="P1579" t="s">
        <v>3385</v>
      </c>
      <c r="S1579" t="s">
        <v>3831</v>
      </c>
      <c r="T1579" t="s">
        <v>4942</v>
      </c>
      <c r="U1579" t="s">
        <v>4943</v>
      </c>
      <c r="V1579" s="8">
        <v>1250</v>
      </c>
      <c r="W1579" s="7">
        <v>0</v>
      </c>
      <c r="Y1579" s="8">
        <v>1250</v>
      </c>
      <c r="Z1579" s="8">
        <v>1475</v>
      </c>
      <c r="AA1579" s="8">
        <v>225</v>
      </c>
      <c r="AB1579" s="7">
        <v>0</v>
      </c>
      <c r="AD1579" s="8">
        <v>0</v>
      </c>
      <c r="AG1579" t="s">
        <v>817</v>
      </c>
      <c r="AH1579" t="s">
        <v>802</v>
      </c>
      <c r="AI1579" t="s">
        <v>818</v>
      </c>
    </row>
    <row r="1580" spans="1:35" hidden="1">
      <c r="A1580" s="7">
        <v>1579</v>
      </c>
      <c r="B1580" t="s">
        <v>243</v>
      </c>
      <c r="C1580" t="s">
        <v>244</v>
      </c>
      <c r="D1580" s="7">
        <v>7134</v>
      </c>
      <c r="E1580" t="s">
        <v>245</v>
      </c>
      <c r="F1580" t="s">
        <v>246</v>
      </c>
      <c r="G1580" t="s">
        <v>3736</v>
      </c>
      <c r="H1580" t="s">
        <v>4946</v>
      </c>
      <c r="I1580" s="7">
        <v>660</v>
      </c>
      <c r="J1580" s="7">
        <v>10700</v>
      </c>
      <c r="K1580" s="7">
        <v>1</v>
      </c>
      <c r="L1580" t="s">
        <v>247</v>
      </c>
      <c r="M1580" t="s">
        <v>361</v>
      </c>
      <c r="N1580" s="7">
        <v>9016</v>
      </c>
      <c r="O1580" t="s">
        <v>4947</v>
      </c>
      <c r="P1580" t="s">
        <v>4948</v>
      </c>
      <c r="Q1580" t="s">
        <v>908</v>
      </c>
      <c r="R1580" t="s">
        <v>909</v>
      </c>
      <c r="S1580" t="s">
        <v>3831</v>
      </c>
      <c r="T1580" t="s">
        <v>4942</v>
      </c>
      <c r="U1580" t="s">
        <v>4943</v>
      </c>
      <c r="V1580" s="8">
        <v>1650</v>
      </c>
      <c r="W1580" s="7">
        <v>0</v>
      </c>
      <c r="Y1580" s="8">
        <v>1320</v>
      </c>
      <c r="Z1580" s="8">
        <v>1947</v>
      </c>
      <c r="AA1580" s="8">
        <v>297</v>
      </c>
      <c r="AB1580" s="7">
        <v>0</v>
      </c>
      <c r="AD1580" s="8">
        <v>330</v>
      </c>
      <c r="AG1580" t="s">
        <v>823</v>
      </c>
      <c r="AH1580" t="s">
        <v>802</v>
      </c>
      <c r="AI1580" t="s">
        <v>818</v>
      </c>
    </row>
    <row r="1581" spans="1:35" hidden="1">
      <c r="A1581" s="7">
        <v>1580</v>
      </c>
      <c r="B1581" t="s">
        <v>243</v>
      </c>
      <c r="C1581" t="s">
        <v>244</v>
      </c>
      <c r="D1581" s="7">
        <v>7134</v>
      </c>
      <c r="E1581" t="s">
        <v>245</v>
      </c>
      <c r="F1581" t="s">
        <v>246</v>
      </c>
      <c r="G1581" t="s">
        <v>248</v>
      </c>
      <c r="H1581" t="s">
        <v>4944</v>
      </c>
      <c r="I1581" s="7">
        <v>892</v>
      </c>
      <c r="J1581" s="7">
        <v>50000</v>
      </c>
      <c r="K1581" s="7">
        <v>3</v>
      </c>
      <c r="L1581" t="s">
        <v>247</v>
      </c>
      <c r="M1581" t="s">
        <v>261</v>
      </c>
      <c r="N1581" s="7">
        <v>797627</v>
      </c>
      <c r="O1581" t="s">
        <v>4290</v>
      </c>
      <c r="P1581" t="s">
        <v>4291</v>
      </c>
      <c r="S1581" t="s">
        <v>3831</v>
      </c>
      <c r="T1581" t="s">
        <v>4942</v>
      </c>
      <c r="U1581" t="s">
        <v>4943</v>
      </c>
      <c r="V1581" s="8">
        <v>1250</v>
      </c>
      <c r="W1581" s="7">
        <v>0</v>
      </c>
      <c r="Y1581" s="8">
        <v>1250</v>
      </c>
      <c r="Z1581" s="8">
        <v>1475</v>
      </c>
      <c r="AA1581" s="8">
        <v>225</v>
      </c>
      <c r="AB1581" s="7">
        <v>0</v>
      </c>
      <c r="AD1581" s="8">
        <v>0</v>
      </c>
      <c r="AG1581" t="s">
        <v>817</v>
      </c>
      <c r="AH1581" t="s">
        <v>802</v>
      </c>
      <c r="AI1581" t="s">
        <v>818</v>
      </c>
    </row>
    <row r="1582" spans="1:35" hidden="1">
      <c r="A1582" s="7">
        <v>1581</v>
      </c>
      <c r="B1582" t="s">
        <v>243</v>
      </c>
      <c r="C1582" t="s">
        <v>244</v>
      </c>
      <c r="D1582" s="7">
        <v>7134</v>
      </c>
      <c r="E1582" t="s">
        <v>245</v>
      </c>
      <c r="F1582" t="s">
        <v>246</v>
      </c>
      <c r="G1582" t="s">
        <v>293</v>
      </c>
      <c r="H1582" t="s">
        <v>4949</v>
      </c>
      <c r="I1582" s="7">
        <v>1150</v>
      </c>
      <c r="J1582" s="7">
        <v>20688</v>
      </c>
      <c r="K1582" s="7">
        <v>5</v>
      </c>
      <c r="L1582" t="s">
        <v>247</v>
      </c>
      <c r="M1582" t="s">
        <v>261</v>
      </c>
      <c r="N1582" s="7">
        <v>778219</v>
      </c>
      <c r="O1582" t="s">
        <v>2090</v>
      </c>
      <c r="P1582" t="s">
        <v>2091</v>
      </c>
      <c r="S1582" t="s">
        <v>3831</v>
      </c>
      <c r="T1582" t="s">
        <v>4942</v>
      </c>
      <c r="U1582" t="s">
        <v>4943</v>
      </c>
      <c r="V1582" s="8">
        <v>1250</v>
      </c>
      <c r="W1582" s="7">
        <v>0</v>
      </c>
      <c r="Y1582" s="8">
        <v>1250</v>
      </c>
      <c r="Z1582" s="8">
        <v>1475</v>
      </c>
      <c r="AA1582" s="8">
        <v>225</v>
      </c>
      <c r="AB1582" s="7">
        <v>0</v>
      </c>
      <c r="AD1582" s="8">
        <v>0</v>
      </c>
      <c r="AG1582" t="s">
        <v>808</v>
      </c>
      <c r="AH1582" t="s">
        <v>802</v>
      </c>
      <c r="AI1582" t="s">
        <v>818</v>
      </c>
    </row>
    <row r="1583" spans="1:35" hidden="1">
      <c r="A1583" s="7">
        <v>1582</v>
      </c>
      <c r="B1583" t="s">
        <v>243</v>
      </c>
      <c r="C1583" t="s">
        <v>244</v>
      </c>
      <c r="D1583" s="7">
        <v>7134</v>
      </c>
      <c r="E1583" t="s">
        <v>245</v>
      </c>
      <c r="F1583" t="s">
        <v>246</v>
      </c>
      <c r="G1583" t="s">
        <v>4910</v>
      </c>
      <c r="H1583" t="s">
        <v>4950</v>
      </c>
      <c r="I1583" s="7">
        <v>1200</v>
      </c>
      <c r="J1583" s="7">
        <v>11508</v>
      </c>
      <c r="K1583" s="7">
        <v>1</v>
      </c>
      <c r="L1583" t="s">
        <v>247</v>
      </c>
      <c r="M1583" t="s">
        <v>361</v>
      </c>
      <c r="N1583" s="7">
        <v>10269</v>
      </c>
      <c r="O1583" t="s">
        <v>4951</v>
      </c>
      <c r="P1583" t="s">
        <v>4952</v>
      </c>
      <c r="Q1583" t="s">
        <v>908</v>
      </c>
      <c r="R1583" t="s">
        <v>909</v>
      </c>
      <c r="S1583" t="s">
        <v>3831</v>
      </c>
      <c r="T1583" t="s">
        <v>4942</v>
      </c>
      <c r="U1583" t="s">
        <v>4943</v>
      </c>
      <c r="V1583" s="8">
        <v>1650</v>
      </c>
      <c r="W1583" s="7">
        <v>0</v>
      </c>
      <c r="Y1583" s="8">
        <v>1320</v>
      </c>
      <c r="Z1583" s="8">
        <v>1947</v>
      </c>
      <c r="AA1583" s="8">
        <v>297</v>
      </c>
      <c r="AB1583" s="7">
        <v>0</v>
      </c>
      <c r="AD1583" s="8">
        <v>330</v>
      </c>
      <c r="AG1583" t="s">
        <v>823</v>
      </c>
      <c r="AH1583" t="s">
        <v>802</v>
      </c>
      <c r="AI1583" t="s">
        <v>818</v>
      </c>
    </row>
    <row r="1584" spans="1:35" hidden="1">
      <c r="A1584" s="7">
        <v>1583</v>
      </c>
      <c r="B1584" t="s">
        <v>243</v>
      </c>
      <c r="C1584" t="s">
        <v>244</v>
      </c>
      <c r="D1584" s="7">
        <v>7134</v>
      </c>
      <c r="E1584" t="s">
        <v>245</v>
      </c>
      <c r="F1584" t="s">
        <v>246</v>
      </c>
      <c r="G1584" t="s">
        <v>3092</v>
      </c>
      <c r="H1584" t="s">
        <v>4945</v>
      </c>
      <c r="I1584" s="7">
        <v>1165</v>
      </c>
      <c r="J1584" s="7">
        <v>8983</v>
      </c>
      <c r="K1584" s="7">
        <v>1</v>
      </c>
      <c r="L1584" t="s">
        <v>247</v>
      </c>
      <c r="M1584" t="s">
        <v>267</v>
      </c>
      <c r="N1584" s="7">
        <v>784965</v>
      </c>
      <c r="O1584" t="s">
        <v>3213</v>
      </c>
      <c r="P1584" t="s">
        <v>3214</v>
      </c>
      <c r="Q1584" t="s">
        <v>870</v>
      </c>
      <c r="R1584" t="s">
        <v>871</v>
      </c>
      <c r="S1584" t="s">
        <v>3831</v>
      </c>
      <c r="T1584" t="s">
        <v>4942</v>
      </c>
      <c r="U1584" t="s">
        <v>4943</v>
      </c>
      <c r="V1584" s="8">
        <v>1250</v>
      </c>
      <c r="W1584" s="7">
        <v>0</v>
      </c>
      <c r="Y1584" s="8">
        <v>1000</v>
      </c>
      <c r="Z1584" s="8">
        <v>1475</v>
      </c>
      <c r="AA1584" s="8">
        <v>225</v>
      </c>
      <c r="AB1584" s="7">
        <v>0</v>
      </c>
      <c r="AD1584" s="8">
        <v>250</v>
      </c>
      <c r="AG1584" t="s">
        <v>1124</v>
      </c>
      <c r="AH1584" t="s">
        <v>802</v>
      </c>
      <c r="AI1584" t="s">
        <v>818</v>
      </c>
    </row>
    <row r="1585" spans="1:35" hidden="1">
      <c r="A1585" s="7">
        <v>1584</v>
      </c>
      <c r="B1585" t="s">
        <v>243</v>
      </c>
      <c r="C1585" t="s">
        <v>244</v>
      </c>
      <c r="D1585" s="7">
        <v>7134</v>
      </c>
      <c r="E1585" t="s">
        <v>245</v>
      </c>
      <c r="F1585" t="s">
        <v>246</v>
      </c>
      <c r="G1585" t="s">
        <v>3395</v>
      </c>
      <c r="H1585" t="s">
        <v>4953</v>
      </c>
      <c r="I1585" s="7">
        <v>1165</v>
      </c>
      <c r="J1585" s="7">
        <v>7885</v>
      </c>
      <c r="K1585" s="7">
        <v>1</v>
      </c>
      <c r="L1585" t="s">
        <v>247</v>
      </c>
      <c r="M1585" t="s">
        <v>261</v>
      </c>
      <c r="N1585" s="7">
        <v>803982</v>
      </c>
      <c r="O1585" t="s">
        <v>3490</v>
      </c>
      <c r="P1585" t="s">
        <v>3491</v>
      </c>
      <c r="S1585" t="s">
        <v>3831</v>
      </c>
      <c r="T1585" t="s">
        <v>4942</v>
      </c>
      <c r="U1585" t="s">
        <v>4943</v>
      </c>
      <c r="V1585" s="8">
        <v>1250</v>
      </c>
      <c r="W1585" s="7">
        <v>0</v>
      </c>
      <c r="Y1585" s="8">
        <v>1250</v>
      </c>
      <c r="Z1585" s="8">
        <v>1475</v>
      </c>
      <c r="AA1585" s="8">
        <v>225</v>
      </c>
      <c r="AB1585" s="7">
        <v>0</v>
      </c>
      <c r="AD1585" s="8">
        <v>0</v>
      </c>
      <c r="AG1585" t="s">
        <v>817</v>
      </c>
      <c r="AH1585" t="s">
        <v>802</v>
      </c>
      <c r="AI1585" t="s">
        <v>818</v>
      </c>
    </row>
    <row r="1586" spans="1:35" hidden="1">
      <c r="A1586" s="7">
        <v>1585</v>
      </c>
      <c r="B1586" t="s">
        <v>243</v>
      </c>
      <c r="C1586" t="s">
        <v>244</v>
      </c>
      <c r="D1586" s="7">
        <v>7134</v>
      </c>
      <c r="E1586" t="s">
        <v>245</v>
      </c>
      <c r="F1586" t="s">
        <v>246</v>
      </c>
      <c r="G1586" t="s">
        <v>1035</v>
      </c>
      <c r="H1586" t="s">
        <v>4950</v>
      </c>
      <c r="I1586" s="7">
        <v>1165</v>
      </c>
      <c r="J1586" s="7">
        <v>67149</v>
      </c>
      <c r="K1586" s="7">
        <v>4</v>
      </c>
      <c r="L1586" t="s">
        <v>247</v>
      </c>
      <c r="M1586" t="s">
        <v>261</v>
      </c>
      <c r="N1586" s="7">
        <v>781804</v>
      </c>
      <c r="O1586" t="s">
        <v>1036</v>
      </c>
      <c r="P1586" t="s">
        <v>1037</v>
      </c>
      <c r="S1586" t="s">
        <v>3831</v>
      </c>
      <c r="T1586" t="s">
        <v>4942</v>
      </c>
      <c r="U1586" t="s">
        <v>4943</v>
      </c>
      <c r="V1586" s="8">
        <v>1250</v>
      </c>
      <c r="W1586" s="7">
        <v>0</v>
      </c>
      <c r="Y1586" s="8">
        <v>1250</v>
      </c>
      <c r="Z1586" s="8">
        <v>1475</v>
      </c>
      <c r="AA1586" s="8">
        <v>225</v>
      </c>
      <c r="AB1586" s="7">
        <v>0</v>
      </c>
      <c r="AD1586" s="8">
        <v>0</v>
      </c>
      <c r="AG1586" t="s">
        <v>817</v>
      </c>
      <c r="AH1586" t="s">
        <v>802</v>
      </c>
      <c r="AI1586" t="s">
        <v>818</v>
      </c>
    </row>
    <row r="1587" spans="1:35" hidden="1">
      <c r="A1587" s="7">
        <v>1586</v>
      </c>
      <c r="B1587" t="s">
        <v>243</v>
      </c>
      <c r="C1587" t="s">
        <v>244</v>
      </c>
      <c r="D1587" s="7">
        <v>7134</v>
      </c>
      <c r="E1587" t="s">
        <v>245</v>
      </c>
      <c r="F1587" t="s">
        <v>246</v>
      </c>
      <c r="G1587" t="s">
        <v>921</v>
      </c>
      <c r="H1587" t="s">
        <v>4954</v>
      </c>
      <c r="I1587" s="7">
        <v>1165</v>
      </c>
      <c r="J1587" s="7">
        <v>46674</v>
      </c>
      <c r="K1587" s="7">
        <v>5</v>
      </c>
      <c r="L1587" t="s">
        <v>247</v>
      </c>
      <c r="M1587" t="s">
        <v>361</v>
      </c>
      <c r="N1587" s="7">
        <v>6116</v>
      </c>
      <c r="O1587" t="s">
        <v>1890</v>
      </c>
      <c r="P1587" t="s">
        <v>1891</v>
      </c>
      <c r="S1587" t="s">
        <v>3831</v>
      </c>
      <c r="T1587" t="s">
        <v>4942</v>
      </c>
      <c r="U1587" t="s">
        <v>4943</v>
      </c>
      <c r="V1587" s="8">
        <v>1650</v>
      </c>
      <c r="W1587" s="7">
        <v>0</v>
      </c>
      <c r="Y1587" s="8">
        <v>1650</v>
      </c>
      <c r="Z1587" s="8">
        <v>1947</v>
      </c>
      <c r="AA1587" s="8">
        <v>297</v>
      </c>
      <c r="AB1587" s="7">
        <v>0</v>
      </c>
      <c r="AD1587" s="8">
        <v>0</v>
      </c>
      <c r="AG1587" t="s">
        <v>823</v>
      </c>
      <c r="AH1587" t="s">
        <v>802</v>
      </c>
      <c r="AI1587" t="s">
        <v>818</v>
      </c>
    </row>
    <row r="1588" spans="1:35" hidden="1">
      <c r="A1588" s="7">
        <v>1587</v>
      </c>
      <c r="B1588" t="s">
        <v>243</v>
      </c>
      <c r="C1588" t="s">
        <v>244</v>
      </c>
      <c r="D1588" s="7">
        <v>7134</v>
      </c>
      <c r="E1588" t="s">
        <v>245</v>
      </c>
      <c r="F1588" t="s">
        <v>246</v>
      </c>
      <c r="G1588" t="s">
        <v>363</v>
      </c>
      <c r="H1588" t="s">
        <v>4955</v>
      </c>
      <c r="I1588" s="7">
        <v>872</v>
      </c>
      <c r="J1588" s="7">
        <v>51000</v>
      </c>
      <c r="K1588" s="7">
        <v>3</v>
      </c>
      <c r="L1588" t="s">
        <v>247</v>
      </c>
      <c r="M1588" t="s">
        <v>261</v>
      </c>
      <c r="N1588" s="7">
        <v>798610</v>
      </c>
      <c r="O1588" t="s">
        <v>2107</v>
      </c>
      <c r="P1588" t="s">
        <v>2108</v>
      </c>
      <c r="Q1588" t="s">
        <v>908</v>
      </c>
      <c r="R1588" t="s">
        <v>909</v>
      </c>
      <c r="S1588" t="s">
        <v>3831</v>
      </c>
      <c r="T1588" t="s">
        <v>4942</v>
      </c>
      <c r="U1588" t="s">
        <v>4943</v>
      </c>
      <c r="V1588" s="8">
        <v>1250</v>
      </c>
      <c r="W1588" s="7">
        <v>0</v>
      </c>
      <c r="Y1588" s="8">
        <v>1000</v>
      </c>
      <c r="Z1588" s="8">
        <v>1475</v>
      </c>
      <c r="AA1588" s="8">
        <v>225</v>
      </c>
      <c r="AB1588" s="7">
        <v>0</v>
      </c>
      <c r="AD1588" s="8">
        <v>250</v>
      </c>
      <c r="AG1588" t="s">
        <v>817</v>
      </c>
      <c r="AH1588" t="s">
        <v>802</v>
      </c>
      <c r="AI1588" t="s">
        <v>818</v>
      </c>
    </row>
    <row r="1589" spans="1:35" hidden="1">
      <c r="A1589" s="7">
        <v>1588</v>
      </c>
      <c r="B1589" t="s">
        <v>243</v>
      </c>
      <c r="C1589" t="s">
        <v>244</v>
      </c>
      <c r="D1589" s="7">
        <v>7134</v>
      </c>
      <c r="E1589" t="s">
        <v>245</v>
      </c>
      <c r="F1589" t="s">
        <v>246</v>
      </c>
      <c r="G1589" t="s">
        <v>891</v>
      </c>
      <c r="H1589" t="s">
        <v>4942</v>
      </c>
      <c r="I1589" s="7">
        <v>1165</v>
      </c>
      <c r="J1589" s="7">
        <v>60000</v>
      </c>
      <c r="K1589" s="7">
        <v>9</v>
      </c>
      <c r="L1589" t="s">
        <v>247</v>
      </c>
      <c r="M1589" t="s">
        <v>261</v>
      </c>
      <c r="N1589" s="7">
        <v>785110</v>
      </c>
      <c r="O1589" t="s">
        <v>892</v>
      </c>
      <c r="P1589" t="s">
        <v>893</v>
      </c>
      <c r="S1589" t="s">
        <v>3831</v>
      </c>
      <c r="T1589" t="s">
        <v>4942</v>
      </c>
      <c r="U1589" t="s">
        <v>4943</v>
      </c>
      <c r="V1589" s="8">
        <v>0</v>
      </c>
      <c r="W1589" s="7">
        <v>0</v>
      </c>
      <c r="Y1589" s="8">
        <v>0</v>
      </c>
      <c r="Z1589" s="8">
        <v>0</v>
      </c>
      <c r="AA1589" s="8">
        <v>0</v>
      </c>
      <c r="AB1589" s="7">
        <v>0</v>
      </c>
      <c r="AD1589" s="8">
        <v>0</v>
      </c>
      <c r="AG1589" t="s">
        <v>801</v>
      </c>
      <c r="AH1589" t="s">
        <v>802</v>
      </c>
      <c r="AI1589" t="s">
        <v>803</v>
      </c>
    </row>
    <row r="1590" spans="1:35" hidden="1">
      <c r="A1590" s="7">
        <v>1589</v>
      </c>
      <c r="B1590" t="s">
        <v>243</v>
      </c>
      <c r="C1590" t="s">
        <v>244</v>
      </c>
      <c r="D1590" s="7">
        <v>7134</v>
      </c>
      <c r="E1590" t="s">
        <v>245</v>
      </c>
      <c r="F1590" t="s">
        <v>246</v>
      </c>
      <c r="G1590" t="s">
        <v>1041</v>
      </c>
      <c r="H1590" t="s">
        <v>4955</v>
      </c>
      <c r="I1590" s="7">
        <v>1165</v>
      </c>
      <c r="J1590" s="7">
        <v>60000</v>
      </c>
      <c r="K1590" s="7">
        <v>6</v>
      </c>
      <c r="L1590" t="s">
        <v>247</v>
      </c>
      <c r="M1590" t="s">
        <v>267</v>
      </c>
      <c r="N1590" s="7">
        <v>789619</v>
      </c>
      <c r="O1590" t="s">
        <v>1042</v>
      </c>
      <c r="P1590" t="s">
        <v>1043</v>
      </c>
      <c r="Q1590" t="s">
        <v>870</v>
      </c>
      <c r="R1590" t="s">
        <v>871</v>
      </c>
      <c r="S1590" t="s">
        <v>3831</v>
      </c>
      <c r="T1590" t="s">
        <v>4942</v>
      </c>
      <c r="U1590" t="s">
        <v>4943</v>
      </c>
      <c r="V1590" s="8">
        <v>0</v>
      </c>
      <c r="W1590" s="7">
        <v>0</v>
      </c>
      <c r="Y1590" s="8">
        <v>0</v>
      </c>
      <c r="Z1590" s="8">
        <v>0</v>
      </c>
      <c r="AA1590" s="8">
        <v>0</v>
      </c>
      <c r="AB1590" s="7">
        <v>0</v>
      </c>
      <c r="AD1590" s="8">
        <v>0</v>
      </c>
      <c r="AG1590" t="s">
        <v>828</v>
      </c>
      <c r="AH1590" t="s">
        <v>802</v>
      </c>
      <c r="AI1590" t="s">
        <v>803</v>
      </c>
    </row>
    <row r="1591" spans="1:35" hidden="1">
      <c r="A1591" s="7">
        <v>1590</v>
      </c>
      <c r="B1591" t="s">
        <v>243</v>
      </c>
      <c r="C1591" t="s">
        <v>244</v>
      </c>
      <c r="D1591" s="7">
        <v>7134</v>
      </c>
      <c r="E1591" t="s">
        <v>245</v>
      </c>
      <c r="F1591" t="s">
        <v>246</v>
      </c>
      <c r="G1591" t="s">
        <v>898</v>
      </c>
      <c r="H1591" t="s">
        <v>4945</v>
      </c>
      <c r="I1591" s="7">
        <v>1165</v>
      </c>
      <c r="J1591" s="7">
        <v>28856</v>
      </c>
      <c r="K1591" s="7">
        <v>7</v>
      </c>
      <c r="L1591" t="s">
        <v>247</v>
      </c>
      <c r="M1591" t="s">
        <v>252</v>
      </c>
      <c r="N1591" s="7">
        <v>324388</v>
      </c>
      <c r="O1591" t="s">
        <v>1796</v>
      </c>
      <c r="P1591" t="s">
        <v>1797</v>
      </c>
      <c r="S1591" t="s">
        <v>3831</v>
      </c>
      <c r="T1591" t="s">
        <v>4942</v>
      </c>
      <c r="U1591" t="s">
        <v>4943</v>
      </c>
      <c r="V1591" s="8">
        <v>0</v>
      </c>
      <c r="W1591" s="7">
        <v>0</v>
      </c>
      <c r="Y1591" s="8">
        <v>0</v>
      </c>
      <c r="Z1591" s="8">
        <v>0</v>
      </c>
      <c r="AA1591" s="8">
        <v>0</v>
      </c>
      <c r="AB1591" s="7">
        <v>0</v>
      </c>
      <c r="AD1591" s="8">
        <v>0</v>
      </c>
      <c r="AG1591" t="s">
        <v>937</v>
      </c>
      <c r="AH1591" t="s">
        <v>802</v>
      </c>
      <c r="AI1591" t="s">
        <v>803</v>
      </c>
    </row>
    <row r="1592" spans="1:35" hidden="1">
      <c r="A1592" s="7">
        <v>1591</v>
      </c>
      <c r="B1592" t="s">
        <v>243</v>
      </c>
      <c r="C1592" t="s">
        <v>244</v>
      </c>
      <c r="D1592" s="7">
        <v>7134</v>
      </c>
      <c r="E1592" t="s">
        <v>245</v>
      </c>
      <c r="F1592" t="s">
        <v>246</v>
      </c>
      <c r="G1592" t="s">
        <v>1708</v>
      </c>
      <c r="H1592" t="s">
        <v>4956</v>
      </c>
      <c r="I1592" s="7">
        <v>1165</v>
      </c>
      <c r="J1592" s="7">
        <v>22201</v>
      </c>
      <c r="K1592" s="7">
        <v>6</v>
      </c>
      <c r="L1592" t="s">
        <v>247</v>
      </c>
      <c r="M1592" t="s">
        <v>267</v>
      </c>
      <c r="N1592" s="7">
        <v>789120</v>
      </c>
      <c r="O1592" t="s">
        <v>1709</v>
      </c>
      <c r="P1592" t="s">
        <v>1710</v>
      </c>
      <c r="S1592" t="s">
        <v>3831</v>
      </c>
      <c r="T1592" t="s">
        <v>4942</v>
      </c>
      <c r="U1592" t="s">
        <v>4943</v>
      </c>
      <c r="V1592" s="8">
        <v>0</v>
      </c>
      <c r="W1592" s="7">
        <v>0</v>
      </c>
      <c r="Y1592" s="8">
        <v>0</v>
      </c>
      <c r="Z1592" s="8">
        <v>0</v>
      </c>
      <c r="AA1592" s="8">
        <v>0</v>
      </c>
      <c r="AB1592" s="7">
        <v>0</v>
      </c>
      <c r="AD1592" s="8">
        <v>0</v>
      </c>
      <c r="AG1592" t="s">
        <v>828</v>
      </c>
      <c r="AH1592" t="s">
        <v>802</v>
      </c>
      <c r="AI1592" t="s">
        <v>803</v>
      </c>
    </row>
    <row r="1593" spans="1:35" hidden="1">
      <c r="A1593" s="7">
        <v>1592</v>
      </c>
      <c r="B1593" t="s">
        <v>243</v>
      </c>
      <c r="C1593" t="s">
        <v>244</v>
      </c>
      <c r="D1593" s="7">
        <v>7134</v>
      </c>
      <c r="E1593" t="s">
        <v>245</v>
      </c>
      <c r="F1593" t="s">
        <v>246</v>
      </c>
      <c r="G1593" t="s">
        <v>727</v>
      </c>
      <c r="H1593" t="s">
        <v>4950</v>
      </c>
      <c r="I1593" s="7">
        <v>1165</v>
      </c>
      <c r="J1593" s="7">
        <v>7991</v>
      </c>
      <c r="K1593" s="7">
        <v>3</v>
      </c>
      <c r="L1593" t="s">
        <v>247</v>
      </c>
      <c r="M1593" t="s">
        <v>261</v>
      </c>
      <c r="N1593" s="7">
        <v>778956</v>
      </c>
      <c r="O1593" t="s">
        <v>751</v>
      </c>
      <c r="P1593" t="s">
        <v>752</v>
      </c>
      <c r="S1593" t="s">
        <v>3831</v>
      </c>
      <c r="T1593" t="s">
        <v>4942</v>
      </c>
      <c r="U1593" t="s">
        <v>4943</v>
      </c>
      <c r="V1593" s="8">
        <v>1250</v>
      </c>
      <c r="W1593" s="7">
        <v>0</v>
      </c>
      <c r="Y1593" s="8">
        <v>1250</v>
      </c>
      <c r="Z1593" s="8">
        <v>1475</v>
      </c>
      <c r="AA1593" s="8">
        <v>225</v>
      </c>
      <c r="AB1593" s="7">
        <v>0</v>
      </c>
      <c r="AD1593" s="8">
        <v>0</v>
      </c>
      <c r="AG1593" t="s">
        <v>808</v>
      </c>
      <c r="AH1593" t="s">
        <v>802</v>
      </c>
      <c r="AI1593" t="s">
        <v>818</v>
      </c>
    </row>
    <row r="1594" spans="1:35" hidden="1">
      <c r="A1594" s="7">
        <v>1593</v>
      </c>
      <c r="B1594" t="s">
        <v>243</v>
      </c>
      <c r="C1594" t="s">
        <v>244</v>
      </c>
      <c r="D1594" s="7">
        <v>7134</v>
      </c>
      <c r="E1594" t="s">
        <v>245</v>
      </c>
      <c r="F1594" t="s">
        <v>246</v>
      </c>
      <c r="G1594" t="s">
        <v>293</v>
      </c>
      <c r="H1594" t="s">
        <v>4957</v>
      </c>
      <c r="I1594" s="7">
        <v>1165</v>
      </c>
      <c r="J1594" s="7">
        <v>11260</v>
      </c>
      <c r="K1594" s="7">
        <v>4</v>
      </c>
      <c r="L1594" t="s">
        <v>247</v>
      </c>
      <c r="M1594" t="s">
        <v>267</v>
      </c>
      <c r="N1594" s="7">
        <v>789025</v>
      </c>
      <c r="O1594" t="s">
        <v>499</v>
      </c>
      <c r="P1594" t="s">
        <v>500</v>
      </c>
      <c r="Q1594" t="s">
        <v>870</v>
      </c>
      <c r="R1594" t="s">
        <v>871</v>
      </c>
      <c r="S1594" t="s">
        <v>3831</v>
      </c>
      <c r="T1594" t="s">
        <v>4942</v>
      </c>
      <c r="U1594" t="s">
        <v>4943</v>
      </c>
      <c r="V1594" s="8">
        <v>0</v>
      </c>
      <c r="W1594" s="7">
        <v>0</v>
      </c>
      <c r="Y1594" s="8">
        <v>0</v>
      </c>
      <c r="Z1594" s="8">
        <v>0</v>
      </c>
      <c r="AA1594" s="8">
        <v>0</v>
      </c>
      <c r="AB1594" s="7">
        <v>0</v>
      </c>
      <c r="AD1594" s="8">
        <v>0</v>
      </c>
      <c r="AG1594" t="s">
        <v>828</v>
      </c>
      <c r="AH1594" t="s">
        <v>802</v>
      </c>
      <c r="AI1594" t="s">
        <v>803</v>
      </c>
    </row>
    <row r="1595" spans="1:35" hidden="1">
      <c r="A1595" s="7">
        <v>1594</v>
      </c>
      <c r="B1595" t="s">
        <v>243</v>
      </c>
      <c r="C1595" t="s">
        <v>244</v>
      </c>
      <c r="D1595" s="7">
        <v>7134</v>
      </c>
      <c r="E1595" t="s">
        <v>245</v>
      </c>
      <c r="F1595" t="s">
        <v>246</v>
      </c>
      <c r="G1595" t="s">
        <v>898</v>
      </c>
      <c r="H1595" t="s">
        <v>4958</v>
      </c>
      <c r="I1595" s="7">
        <v>1165</v>
      </c>
      <c r="J1595" s="7">
        <v>45600</v>
      </c>
      <c r="K1595" s="7">
        <v>5</v>
      </c>
      <c r="L1595" t="s">
        <v>247</v>
      </c>
      <c r="M1595" t="s">
        <v>361</v>
      </c>
      <c r="N1595" s="7">
        <v>5320</v>
      </c>
      <c r="O1595" t="s">
        <v>900</v>
      </c>
      <c r="P1595" t="s">
        <v>901</v>
      </c>
      <c r="S1595" t="s">
        <v>3831</v>
      </c>
      <c r="T1595" t="s">
        <v>4942</v>
      </c>
      <c r="U1595" t="s">
        <v>4943</v>
      </c>
      <c r="V1595" s="8">
        <v>1650</v>
      </c>
      <c r="W1595" s="7">
        <v>0</v>
      </c>
      <c r="Y1595" s="8">
        <v>1650</v>
      </c>
      <c r="Z1595" s="8">
        <v>1947</v>
      </c>
      <c r="AA1595" s="8">
        <v>297</v>
      </c>
      <c r="AB1595" s="7">
        <v>0</v>
      </c>
      <c r="AD1595" s="8">
        <v>0</v>
      </c>
      <c r="AG1595" t="s">
        <v>823</v>
      </c>
      <c r="AH1595" t="s">
        <v>802</v>
      </c>
      <c r="AI1595" t="s">
        <v>818</v>
      </c>
    </row>
    <row r="1596" spans="1:35" hidden="1">
      <c r="A1596" s="7">
        <v>1595</v>
      </c>
      <c r="B1596" t="s">
        <v>243</v>
      </c>
      <c r="C1596" t="s">
        <v>244</v>
      </c>
      <c r="D1596" s="7">
        <v>7134</v>
      </c>
      <c r="E1596" t="s">
        <v>245</v>
      </c>
      <c r="F1596" t="s">
        <v>246</v>
      </c>
      <c r="G1596" t="s">
        <v>3386</v>
      </c>
      <c r="H1596" t="s">
        <v>4950</v>
      </c>
      <c r="I1596" s="7">
        <v>1165</v>
      </c>
      <c r="J1596" s="7">
        <v>5310</v>
      </c>
      <c r="K1596" s="7">
        <v>1</v>
      </c>
      <c r="L1596" t="s">
        <v>247</v>
      </c>
      <c r="M1596" t="s">
        <v>261</v>
      </c>
      <c r="N1596" s="7">
        <v>803927</v>
      </c>
      <c r="O1596" t="s">
        <v>3497</v>
      </c>
      <c r="P1596" t="s">
        <v>3498</v>
      </c>
      <c r="S1596" t="s">
        <v>3831</v>
      </c>
      <c r="T1596" t="s">
        <v>4942</v>
      </c>
      <c r="U1596" t="s">
        <v>4943</v>
      </c>
      <c r="V1596" s="8">
        <v>1250</v>
      </c>
      <c r="W1596" s="7">
        <v>0</v>
      </c>
      <c r="Y1596" s="8">
        <v>1250</v>
      </c>
      <c r="Z1596" s="8">
        <v>1475</v>
      </c>
      <c r="AA1596" s="8">
        <v>225</v>
      </c>
      <c r="AB1596" s="7">
        <v>0</v>
      </c>
      <c r="AD1596" s="8">
        <v>0</v>
      </c>
      <c r="AG1596" t="s">
        <v>817</v>
      </c>
      <c r="AH1596" t="s">
        <v>802</v>
      </c>
      <c r="AI1596" t="s">
        <v>818</v>
      </c>
    </row>
    <row r="1597" spans="1:35" hidden="1">
      <c r="A1597" s="7">
        <v>1596</v>
      </c>
      <c r="B1597" t="s">
        <v>243</v>
      </c>
      <c r="C1597" t="s">
        <v>244</v>
      </c>
      <c r="D1597" s="7">
        <v>7134</v>
      </c>
      <c r="E1597" t="s">
        <v>245</v>
      </c>
      <c r="F1597" t="s">
        <v>246</v>
      </c>
      <c r="G1597" t="s">
        <v>263</v>
      </c>
      <c r="H1597" t="s">
        <v>4959</v>
      </c>
      <c r="I1597" s="7">
        <v>856</v>
      </c>
      <c r="J1597" s="7">
        <v>70000</v>
      </c>
      <c r="K1597" s="7">
        <v>4</v>
      </c>
      <c r="L1597" t="s">
        <v>247</v>
      </c>
      <c r="M1597" t="s">
        <v>261</v>
      </c>
      <c r="N1597" s="7">
        <v>796597</v>
      </c>
      <c r="O1597" t="s">
        <v>2056</v>
      </c>
      <c r="P1597" t="s">
        <v>2057</v>
      </c>
      <c r="S1597" t="s">
        <v>3831</v>
      </c>
      <c r="T1597" t="s">
        <v>4942</v>
      </c>
      <c r="U1597" t="s">
        <v>4943</v>
      </c>
      <c r="V1597" s="8">
        <v>1250</v>
      </c>
      <c r="W1597" s="7">
        <v>0</v>
      </c>
      <c r="Y1597" s="8">
        <v>1250</v>
      </c>
      <c r="Z1597" s="8">
        <v>1475</v>
      </c>
      <c r="AA1597" s="8">
        <v>225</v>
      </c>
      <c r="AB1597" s="7">
        <v>0</v>
      </c>
      <c r="AD1597" s="8">
        <v>0</v>
      </c>
      <c r="AG1597" t="s">
        <v>817</v>
      </c>
      <c r="AH1597" t="s">
        <v>802</v>
      </c>
      <c r="AI1597" t="s">
        <v>818</v>
      </c>
    </row>
    <row r="1598" spans="1:35" hidden="1">
      <c r="A1598" s="7">
        <v>1597</v>
      </c>
      <c r="B1598" t="s">
        <v>243</v>
      </c>
      <c r="C1598" t="s">
        <v>244</v>
      </c>
      <c r="D1598" s="7">
        <v>7134</v>
      </c>
      <c r="E1598" t="s">
        <v>245</v>
      </c>
      <c r="F1598" t="s">
        <v>246</v>
      </c>
      <c r="G1598" t="s">
        <v>1618</v>
      </c>
      <c r="H1598" t="s">
        <v>4942</v>
      </c>
      <c r="I1598" s="7">
        <v>890</v>
      </c>
      <c r="J1598" s="7">
        <v>77200</v>
      </c>
      <c r="K1598" s="7">
        <v>10</v>
      </c>
      <c r="L1598" t="s">
        <v>247</v>
      </c>
      <c r="M1598" t="s">
        <v>261</v>
      </c>
      <c r="N1598" s="7">
        <v>775977</v>
      </c>
      <c r="O1598" t="s">
        <v>1620</v>
      </c>
      <c r="P1598" t="s">
        <v>1621</v>
      </c>
      <c r="S1598" t="s">
        <v>3831</v>
      </c>
      <c r="T1598" t="s">
        <v>4942</v>
      </c>
      <c r="U1598" t="s">
        <v>4943</v>
      </c>
      <c r="V1598" s="8">
        <v>0</v>
      </c>
      <c r="W1598" s="7">
        <v>0</v>
      </c>
      <c r="Y1598" s="8">
        <v>0</v>
      </c>
      <c r="Z1598" s="8">
        <v>0</v>
      </c>
      <c r="AA1598" s="8">
        <v>0</v>
      </c>
      <c r="AB1598" s="7">
        <v>0</v>
      </c>
      <c r="AD1598" s="8">
        <v>0</v>
      </c>
      <c r="AG1598" t="s">
        <v>801</v>
      </c>
      <c r="AH1598" t="s">
        <v>802</v>
      </c>
      <c r="AI1598" t="s">
        <v>803</v>
      </c>
    </row>
    <row r="1599" spans="1:35" hidden="1">
      <c r="A1599" s="7">
        <v>1598</v>
      </c>
      <c r="B1599" t="s">
        <v>243</v>
      </c>
      <c r="C1599" t="s">
        <v>244</v>
      </c>
      <c r="D1599" s="7">
        <v>7134</v>
      </c>
      <c r="E1599" t="s">
        <v>245</v>
      </c>
      <c r="F1599" t="s">
        <v>246</v>
      </c>
      <c r="G1599" t="s">
        <v>996</v>
      </c>
      <c r="H1599" t="s">
        <v>4954</v>
      </c>
      <c r="I1599" s="7">
        <v>1165</v>
      </c>
      <c r="J1599" s="7">
        <v>109000</v>
      </c>
      <c r="K1599" s="7">
        <v>11</v>
      </c>
      <c r="L1599" t="s">
        <v>247</v>
      </c>
      <c r="M1599" t="s">
        <v>361</v>
      </c>
      <c r="N1599" s="7">
        <v>3268</v>
      </c>
      <c r="O1599" t="s">
        <v>997</v>
      </c>
      <c r="P1599" t="s">
        <v>998</v>
      </c>
      <c r="S1599" t="s">
        <v>3831</v>
      </c>
      <c r="T1599" t="s">
        <v>4942</v>
      </c>
      <c r="U1599" t="s">
        <v>4943</v>
      </c>
      <c r="V1599" s="8">
        <v>0</v>
      </c>
      <c r="W1599" s="7">
        <v>0</v>
      </c>
      <c r="Y1599" s="8">
        <v>0</v>
      </c>
      <c r="Z1599" s="8">
        <v>0</v>
      </c>
      <c r="AA1599" s="8">
        <v>0</v>
      </c>
      <c r="AB1599" s="7">
        <v>0</v>
      </c>
      <c r="AD1599" s="8">
        <v>0</v>
      </c>
      <c r="AG1599" t="s">
        <v>823</v>
      </c>
      <c r="AH1599" t="s">
        <v>802</v>
      </c>
      <c r="AI1599" t="s">
        <v>803</v>
      </c>
    </row>
    <row r="1600" spans="1:35" hidden="1">
      <c r="A1600" s="7">
        <v>1599</v>
      </c>
      <c r="B1600" t="s">
        <v>243</v>
      </c>
      <c r="C1600" t="s">
        <v>244</v>
      </c>
      <c r="D1600" s="7">
        <v>7134</v>
      </c>
      <c r="E1600" t="s">
        <v>245</v>
      </c>
      <c r="F1600" t="s">
        <v>246</v>
      </c>
      <c r="G1600" t="s">
        <v>1004</v>
      </c>
      <c r="H1600" t="s">
        <v>4945</v>
      </c>
      <c r="I1600" s="7">
        <v>1150</v>
      </c>
      <c r="J1600" s="7">
        <v>50000</v>
      </c>
      <c r="K1600" s="7">
        <v>5</v>
      </c>
      <c r="L1600" t="s">
        <v>247</v>
      </c>
      <c r="M1600" t="s">
        <v>361</v>
      </c>
      <c r="N1600" s="7">
        <v>5709</v>
      </c>
      <c r="O1600" t="s">
        <v>1005</v>
      </c>
      <c r="P1600" t="s">
        <v>1006</v>
      </c>
      <c r="S1600" t="s">
        <v>3831</v>
      </c>
      <c r="T1600" t="s">
        <v>4942</v>
      </c>
      <c r="U1600" t="s">
        <v>4943</v>
      </c>
      <c r="V1600" s="8">
        <v>1650</v>
      </c>
      <c r="W1600" s="7">
        <v>0</v>
      </c>
      <c r="Y1600" s="8">
        <v>1650</v>
      </c>
      <c r="Z1600" s="8">
        <v>1947</v>
      </c>
      <c r="AA1600" s="8">
        <v>297</v>
      </c>
      <c r="AB1600" s="7">
        <v>0</v>
      </c>
      <c r="AD1600" s="8">
        <v>0</v>
      </c>
      <c r="AG1600" t="s">
        <v>823</v>
      </c>
      <c r="AH1600" t="s">
        <v>802</v>
      </c>
      <c r="AI1600" t="s">
        <v>818</v>
      </c>
    </row>
    <row r="1601" spans="1:35" hidden="1">
      <c r="A1601" s="7">
        <v>1600</v>
      </c>
      <c r="B1601" t="s">
        <v>243</v>
      </c>
      <c r="C1601" t="s">
        <v>244</v>
      </c>
      <c r="D1601" s="7">
        <v>7134</v>
      </c>
      <c r="E1601" t="s">
        <v>245</v>
      </c>
      <c r="F1601" t="s">
        <v>246</v>
      </c>
      <c r="G1601" t="s">
        <v>867</v>
      </c>
      <c r="H1601" t="s">
        <v>4960</v>
      </c>
      <c r="I1601" s="7">
        <v>1165</v>
      </c>
      <c r="J1601" s="7">
        <v>49934</v>
      </c>
      <c r="K1601" s="7">
        <v>5</v>
      </c>
      <c r="L1601" t="s">
        <v>247</v>
      </c>
      <c r="M1601" t="s">
        <v>361</v>
      </c>
      <c r="N1601" s="7">
        <v>4895</v>
      </c>
      <c r="O1601" t="s">
        <v>918</v>
      </c>
      <c r="P1601" t="s">
        <v>919</v>
      </c>
      <c r="S1601" t="s">
        <v>3831</v>
      </c>
      <c r="T1601" t="s">
        <v>4942</v>
      </c>
      <c r="U1601" t="s">
        <v>4943</v>
      </c>
      <c r="V1601" s="8">
        <v>1650</v>
      </c>
      <c r="W1601" s="7">
        <v>0</v>
      </c>
      <c r="Y1601" s="8">
        <v>1650</v>
      </c>
      <c r="Z1601" s="8">
        <v>1947</v>
      </c>
      <c r="AA1601" s="8">
        <v>297</v>
      </c>
      <c r="AB1601" s="7">
        <v>0</v>
      </c>
      <c r="AD1601" s="8">
        <v>0</v>
      </c>
      <c r="AG1601" t="s">
        <v>823</v>
      </c>
      <c r="AH1601" t="s">
        <v>802</v>
      </c>
      <c r="AI1601" t="s">
        <v>818</v>
      </c>
    </row>
    <row r="1602" spans="1:35" hidden="1">
      <c r="A1602" s="7">
        <v>1601</v>
      </c>
      <c r="B1602" t="s">
        <v>243</v>
      </c>
      <c r="C1602" t="s">
        <v>244</v>
      </c>
      <c r="D1602" s="7">
        <v>7134</v>
      </c>
      <c r="E1602" t="s">
        <v>245</v>
      </c>
      <c r="F1602" t="s">
        <v>246</v>
      </c>
      <c r="G1602" t="s">
        <v>1803</v>
      </c>
      <c r="H1602" t="s">
        <v>4961</v>
      </c>
      <c r="I1602" s="7">
        <v>1165</v>
      </c>
      <c r="J1602" s="7">
        <v>6275</v>
      </c>
      <c r="K1602" s="7">
        <v>3</v>
      </c>
      <c r="L1602" t="s">
        <v>247</v>
      </c>
      <c r="M1602" t="s">
        <v>261</v>
      </c>
      <c r="N1602" s="7">
        <v>778992</v>
      </c>
      <c r="O1602" t="s">
        <v>3243</v>
      </c>
      <c r="P1602" t="s">
        <v>3244</v>
      </c>
      <c r="S1602" t="s">
        <v>3831</v>
      </c>
      <c r="T1602" t="s">
        <v>4942</v>
      </c>
      <c r="U1602" t="s">
        <v>4943</v>
      </c>
      <c r="V1602" s="8">
        <v>1250</v>
      </c>
      <c r="W1602" s="7">
        <v>0</v>
      </c>
      <c r="Y1602" s="8">
        <v>1250</v>
      </c>
      <c r="Z1602" s="8">
        <v>1475</v>
      </c>
      <c r="AA1602" s="8">
        <v>225</v>
      </c>
      <c r="AB1602" s="7">
        <v>0</v>
      </c>
      <c r="AD1602" s="8">
        <v>0</v>
      </c>
      <c r="AG1602" t="s">
        <v>808</v>
      </c>
      <c r="AH1602" t="s">
        <v>802</v>
      </c>
      <c r="AI1602" t="s">
        <v>818</v>
      </c>
    </row>
    <row r="1603" spans="1:35" hidden="1">
      <c r="A1603" s="7">
        <v>1602</v>
      </c>
      <c r="B1603" t="s">
        <v>243</v>
      </c>
      <c r="C1603" t="s">
        <v>244</v>
      </c>
      <c r="D1603" s="7">
        <v>7134</v>
      </c>
      <c r="E1603" t="s">
        <v>245</v>
      </c>
      <c r="F1603" t="s">
        <v>246</v>
      </c>
      <c r="G1603" t="s">
        <v>3074</v>
      </c>
      <c r="H1603" t="s">
        <v>4950</v>
      </c>
      <c r="I1603" s="7">
        <v>1165</v>
      </c>
      <c r="J1603" s="7">
        <v>4432</v>
      </c>
      <c r="K1603" s="7">
        <v>3</v>
      </c>
      <c r="L1603" t="s">
        <v>247</v>
      </c>
      <c r="M1603" t="s">
        <v>261</v>
      </c>
      <c r="N1603" s="7">
        <v>778917</v>
      </c>
      <c r="O1603" t="s">
        <v>3232</v>
      </c>
      <c r="P1603" t="s">
        <v>3233</v>
      </c>
      <c r="S1603" t="s">
        <v>3831</v>
      </c>
      <c r="T1603" t="s">
        <v>4942</v>
      </c>
      <c r="U1603" t="s">
        <v>4943</v>
      </c>
      <c r="V1603" s="8">
        <v>1250</v>
      </c>
      <c r="W1603" s="7">
        <v>0</v>
      </c>
      <c r="Y1603" s="8">
        <v>1250</v>
      </c>
      <c r="Z1603" s="8">
        <v>1475</v>
      </c>
      <c r="AA1603" s="8">
        <v>225</v>
      </c>
      <c r="AB1603" s="7">
        <v>0</v>
      </c>
      <c r="AD1603" s="8">
        <v>0</v>
      </c>
      <c r="AG1603" t="s">
        <v>808</v>
      </c>
      <c r="AH1603" t="s">
        <v>802</v>
      </c>
      <c r="AI1603" t="s">
        <v>818</v>
      </c>
    </row>
    <row r="1604" spans="1:35" hidden="1">
      <c r="A1604" s="7">
        <v>1603</v>
      </c>
      <c r="B1604" t="s">
        <v>243</v>
      </c>
      <c r="C1604" t="s">
        <v>244</v>
      </c>
      <c r="D1604" s="7">
        <v>7134</v>
      </c>
      <c r="E1604" t="s">
        <v>245</v>
      </c>
      <c r="F1604" t="s">
        <v>246</v>
      </c>
      <c r="G1604" t="s">
        <v>3078</v>
      </c>
      <c r="H1604" t="s">
        <v>4944</v>
      </c>
      <c r="I1604" s="7">
        <v>1165</v>
      </c>
      <c r="J1604" s="7">
        <v>14643</v>
      </c>
      <c r="K1604" s="7">
        <v>2</v>
      </c>
      <c r="L1604" t="s">
        <v>247</v>
      </c>
      <c r="M1604" t="s">
        <v>361</v>
      </c>
      <c r="N1604" s="7">
        <v>8052</v>
      </c>
      <c r="O1604" t="s">
        <v>3263</v>
      </c>
      <c r="P1604" t="s">
        <v>3264</v>
      </c>
      <c r="S1604" t="s">
        <v>3831</v>
      </c>
      <c r="T1604" t="s">
        <v>4942</v>
      </c>
      <c r="U1604" t="s">
        <v>4943</v>
      </c>
      <c r="V1604" s="8">
        <v>0</v>
      </c>
      <c r="W1604" s="7">
        <v>0</v>
      </c>
      <c r="Y1604" s="8">
        <v>0</v>
      </c>
      <c r="Z1604" s="8">
        <v>0</v>
      </c>
      <c r="AA1604" s="8">
        <v>0</v>
      </c>
      <c r="AB1604" s="7">
        <v>0</v>
      </c>
      <c r="AD1604" s="8">
        <v>0</v>
      </c>
      <c r="AG1604" t="s">
        <v>823</v>
      </c>
      <c r="AH1604" t="s">
        <v>802</v>
      </c>
      <c r="AI1604" t="s">
        <v>803</v>
      </c>
    </row>
    <row r="1605" spans="1:35" hidden="1">
      <c r="A1605" s="7">
        <v>1604</v>
      </c>
      <c r="B1605" t="s">
        <v>243</v>
      </c>
      <c r="C1605" t="s">
        <v>244</v>
      </c>
      <c r="D1605" s="7">
        <v>7134</v>
      </c>
      <c r="E1605" t="s">
        <v>245</v>
      </c>
      <c r="F1605" t="s">
        <v>246</v>
      </c>
      <c r="G1605" t="s">
        <v>263</v>
      </c>
      <c r="H1605" t="s">
        <v>4956</v>
      </c>
      <c r="I1605" s="7">
        <v>874</v>
      </c>
      <c r="J1605" s="7">
        <v>50000</v>
      </c>
      <c r="K1605" s="7">
        <v>3</v>
      </c>
      <c r="L1605" t="s">
        <v>247</v>
      </c>
      <c r="M1605" t="s">
        <v>261</v>
      </c>
      <c r="N1605" s="7">
        <v>795680</v>
      </c>
      <c r="O1605" t="s">
        <v>3759</v>
      </c>
      <c r="P1605" t="s">
        <v>3760</v>
      </c>
      <c r="S1605" t="s">
        <v>3831</v>
      </c>
      <c r="T1605" t="s">
        <v>4942</v>
      </c>
      <c r="U1605" t="s">
        <v>4943</v>
      </c>
      <c r="V1605" s="8">
        <v>1250</v>
      </c>
      <c r="W1605" s="7">
        <v>0</v>
      </c>
      <c r="Y1605" s="8">
        <v>1250</v>
      </c>
      <c r="Z1605" s="8">
        <v>1475</v>
      </c>
      <c r="AA1605" s="8">
        <v>225</v>
      </c>
      <c r="AB1605" s="7">
        <v>0</v>
      </c>
      <c r="AD1605" s="8">
        <v>0</v>
      </c>
      <c r="AG1605" t="s">
        <v>817</v>
      </c>
      <c r="AH1605" t="s">
        <v>802</v>
      </c>
      <c r="AI1605" t="s">
        <v>818</v>
      </c>
    </row>
    <row r="1606" spans="1:35" hidden="1">
      <c r="A1606" s="7">
        <v>1605</v>
      </c>
      <c r="B1606" t="s">
        <v>243</v>
      </c>
      <c r="C1606" t="s">
        <v>244</v>
      </c>
      <c r="D1606" s="7">
        <v>7134</v>
      </c>
      <c r="E1606" t="s">
        <v>245</v>
      </c>
      <c r="F1606" t="s">
        <v>246</v>
      </c>
      <c r="G1606" t="s">
        <v>954</v>
      </c>
      <c r="H1606" t="s">
        <v>4441</v>
      </c>
      <c r="I1606" s="7">
        <v>1165</v>
      </c>
      <c r="J1606" s="7">
        <v>70000</v>
      </c>
      <c r="K1606" s="7">
        <v>7</v>
      </c>
      <c r="L1606" t="s">
        <v>247</v>
      </c>
      <c r="M1606" t="s">
        <v>267</v>
      </c>
      <c r="N1606" s="7">
        <v>789860</v>
      </c>
      <c r="O1606" t="s">
        <v>955</v>
      </c>
      <c r="P1606" t="s">
        <v>956</v>
      </c>
      <c r="S1606" t="s">
        <v>3831</v>
      </c>
      <c r="T1606" t="s">
        <v>4942</v>
      </c>
      <c r="U1606" t="s">
        <v>4943</v>
      </c>
      <c r="V1606" s="8">
        <v>0</v>
      </c>
      <c r="W1606" s="7">
        <v>0</v>
      </c>
      <c r="Y1606" s="8">
        <v>0</v>
      </c>
      <c r="Z1606" s="8">
        <v>0</v>
      </c>
      <c r="AA1606" s="8">
        <v>0</v>
      </c>
      <c r="AB1606" s="7">
        <v>0</v>
      </c>
      <c r="AD1606" s="8">
        <v>0</v>
      </c>
      <c r="AG1606" t="s">
        <v>828</v>
      </c>
      <c r="AH1606" t="s">
        <v>802</v>
      </c>
      <c r="AI1606" t="s">
        <v>803</v>
      </c>
    </row>
    <row r="1607" spans="1:35" hidden="1">
      <c r="A1607" s="7">
        <v>1606</v>
      </c>
      <c r="B1607" t="s">
        <v>243</v>
      </c>
      <c r="C1607" t="s">
        <v>244</v>
      </c>
      <c r="D1607" s="7">
        <v>7134</v>
      </c>
      <c r="E1607" t="s">
        <v>245</v>
      </c>
      <c r="F1607" t="s">
        <v>246</v>
      </c>
      <c r="G1607" t="s">
        <v>1691</v>
      </c>
      <c r="H1607" t="s">
        <v>4942</v>
      </c>
      <c r="I1607" s="7">
        <v>987</v>
      </c>
      <c r="J1607" s="7">
        <v>85908</v>
      </c>
      <c r="K1607" s="7">
        <v>8</v>
      </c>
      <c r="L1607" t="s">
        <v>247</v>
      </c>
      <c r="M1607" t="s">
        <v>361</v>
      </c>
      <c r="N1607" s="7">
        <v>3036</v>
      </c>
      <c r="O1607" t="s">
        <v>1692</v>
      </c>
      <c r="P1607" t="s">
        <v>1693</v>
      </c>
      <c r="Q1607" t="s">
        <v>908</v>
      </c>
      <c r="R1607" t="s">
        <v>909</v>
      </c>
      <c r="S1607" t="s">
        <v>3831</v>
      </c>
      <c r="T1607" t="s">
        <v>4942</v>
      </c>
      <c r="U1607" t="s">
        <v>4943</v>
      </c>
      <c r="V1607" s="8">
        <v>0</v>
      </c>
      <c r="W1607" s="7">
        <v>0</v>
      </c>
      <c r="Y1607" s="8">
        <v>0</v>
      </c>
      <c r="Z1607" s="8">
        <v>0</v>
      </c>
      <c r="AA1607" s="8">
        <v>0</v>
      </c>
      <c r="AB1607" s="7">
        <v>0</v>
      </c>
      <c r="AD1607" s="8">
        <v>0</v>
      </c>
      <c r="AG1607" t="s">
        <v>823</v>
      </c>
      <c r="AH1607" t="s">
        <v>802</v>
      </c>
      <c r="AI1607" t="s">
        <v>803</v>
      </c>
    </row>
    <row r="1608" spans="1:35" hidden="1">
      <c r="A1608" s="7">
        <v>1607</v>
      </c>
      <c r="B1608" t="s">
        <v>243</v>
      </c>
      <c r="C1608" t="s">
        <v>244</v>
      </c>
      <c r="D1608" s="7">
        <v>7134</v>
      </c>
      <c r="E1608" t="s">
        <v>245</v>
      </c>
      <c r="F1608" t="s">
        <v>246</v>
      </c>
      <c r="G1608" t="s">
        <v>3371</v>
      </c>
      <c r="H1608" t="s">
        <v>4944</v>
      </c>
      <c r="I1608" s="7">
        <v>1165</v>
      </c>
      <c r="J1608" s="7">
        <v>3480</v>
      </c>
      <c r="K1608" s="7">
        <v>1</v>
      </c>
      <c r="L1608" t="s">
        <v>247</v>
      </c>
      <c r="M1608" t="s">
        <v>261</v>
      </c>
      <c r="N1608" s="7">
        <v>708070041</v>
      </c>
      <c r="O1608" t="s">
        <v>3516</v>
      </c>
      <c r="P1608" t="s">
        <v>3517</v>
      </c>
      <c r="S1608" t="s">
        <v>3831</v>
      </c>
      <c r="T1608" t="s">
        <v>4942</v>
      </c>
      <c r="U1608" t="s">
        <v>4943</v>
      </c>
      <c r="V1608" s="8">
        <v>1250</v>
      </c>
      <c r="W1608" s="7">
        <v>0</v>
      </c>
      <c r="Y1608" s="8">
        <v>1250</v>
      </c>
      <c r="Z1608" s="8">
        <v>1475</v>
      </c>
      <c r="AA1608" s="8">
        <v>225</v>
      </c>
      <c r="AB1608" s="7">
        <v>0</v>
      </c>
      <c r="AD1608" s="8">
        <v>0</v>
      </c>
      <c r="AG1608" t="s">
        <v>817</v>
      </c>
      <c r="AH1608" t="s">
        <v>802</v>
      </c>
      <c r="AI1608" t="s">
        <v>818</v>
      </c>
    </row>
    <row r="1609" spans="1:35" hidden="1">
      <c r="A1609" s="7">
        <v>1608</v>
      </c>
      <c r="B1609" t="s">
        <v>243</v>
      </c>
      <c r="C1609" t="s">
        <v>244</v>
      </c>
      <c r="D1609" s="7">
        <v>7134</v>
      </c>
      <c r="E1609" t="s">
        <v>245</v>
      </c>
      <c r="F1609" t="s">
        <v>246</v>
      </c>
      <c r="G1609" t="s">
        <v>263</v>
      </c>
      <c r="H1609" t="s">
        <v>4961</v>
      </c>
      <c r="I1609" s="7">
        <v>891</v>
      </c>
      <c r="J1609" s="7">
        <v>50000</v>
      </c>
      <c r="K1609" s="7">
        <v>3</v>
      </c>
      <c r="L1609" t="s">
        <v>247</v>
      </c>
      <c r="M1609" t="s">
        <v>261</v>
      </c>
      <c r="N1609" s="7">
        <v>798678</v>
      </c>
      <c r="O1609" t="s">
        <v>2105</v>
      </c>
      <c r="P1609" t="s">
        <v>2106</v>
      </c>
      <c r="S1609" t="s">
        <v>3831</v>
      </c>
      <c r="T1609" t="s">
        <v>4942</v>
      </c>
      <c r="U1609" t="s">
        <v>4943</v>
      </c>
      <c r="V1609" s="8">
        <v>1250</v>
      </c>
      <c r="W1609" s="7">
        <v>0</v>
      </c>
      <c r="Y1609" s="8">
        <v>1250</v>
      </c>
      <c r="Z1609" s="8">
        <v>1475</v>
      </c>
      <c r="AA1609" s="8">
        <v>225</v>
      </c>
      <c r="AB1609" s="7">
        <v>0</v>
      </c>
      <c r="AD1609" s="8">
        <v>0</v>
      </c>
      <c r="AG1609" t="s">
        <v>817</v>
      </c>
      <c r="AH1609" t="s">
        <v>802</v>
      </c>
      <c r="AI1609" t="s">
        <v>818</v>
      </c>
    </row>
    <row r="1610" spans="1:35" hidden="1">
      <c r="A1610" s="7">
        <v>1609</v>
      </c>
      <c r="B1610" t="s">
        <v>243</v>
      </c>
      <c r="C1610" t="s">
        <v>244</v>
      </c>
      <c r="D1610" s="7">
        <v>7134</v>
      </c>
      <c r="E1610" t="s">
        <v>245</v>
      </c>
      <c r="F1610" t="s">
        <v>246</v>
      </c>
      <c r="G1610" t="s">
        <v>1240</v>
      </c>
      <c r="H1610" t="s">
        <v>4942</v>
      </c>
      <c r="I1610" s="7">
        <v>1165</v>
      </c>
      <c r="J1610" s="7">
        <v>87714</v>
      </c>
      <c r="K1610" s="7">
        <v>9</v>
      </c>
      <c r="L1610" t="s">
        <v>247</v>
      </c>
      <c r="M1610" t="s">
        <v>261</v>
      </c>
      <c r="N1610" s="7">
        <v>775222</v>
      </c>
      <c r="O1610" t="s">
        <v>1241</v>
      </c>
      <c r="P1610" t="s">
        <v>1242</v>
      </c>
      <c r="S1610" t="s">
        <v>3831</v>
      </c>
      <c r="T1610" t="s">
        <v>4942</v>
      </c>
      <c r="U1610" t="s">
        <v>4943</v>
      </c>
      <c r="V1610" s="8">
        <v>0</v>
      </c>
      <c r="W1610" s="7">
        <v>0</v>
      </c>
      <c r="Y1610" s="8">
        <v>0</v>
      </c>
      <c r="Z1610" s="8">
        <v>0</v>
      </c>
      <c r="AA1610" s="8">
        <v>0</v>
      </c>
      <c r="AB1610" s="7">
        <v>0</v>
      </c>
      <c r="AD1610" s="8">
        <v>0</v>
      </c>
      <c r="AG1610" t="s">
        <v>801</v>
      </c>
      <c r="AH1610" t="s">
        <v>802</v>
      </c>
      <c r="AI1610" t="s">
        <v>803</v>
      </c>
    </row>
    <row r="1611" spans="1:35" hidden="1">
      <c r="A1611" s="7">
        <v>1610</v>
      </c>
      <c r="B1611" t="s">
        <v>243</v>
      </c>
      <c r="C1611" t="s">
        <v>244</v>
      </c>
      <c r="D1611" s="7">
        <v>7134</v>
      </c>
      <c r="E1611" t="s">
        <v>245</v>
      </c>
      <c r="F1611" t="s">
        <v>246</v>
      </c>
      <c r="G1611" t="s">
        <v>1202</v>
      </c>
      <c r="H1611" t="s">
        <v>4954</v>
      </c>
      <c r="I1611" s="7">
        <v>1165</v>
      </c>
      <c r="J1611" s="7">
        <v>101055</v>
      </c>
      <c r="K1611" s="7">
        <v>10</v>
      </c>
      <c r="L1611" t="s">
        <v>247</v>
      </c>
      <c r="M1611" t="s">
        <v>261</v>
      </c>
      <c r="N1611" s="7">
        <v>775938</v>
      </c>
      <c r="O1611" t="s">
        <v>1203</v>
      </c>
      <c r="P1611" t="s">
        <v>1204</v>
      </c>
      <c r="S1611" t="s">
        <v>3831</v>
      </c>
      <c r="T1611" t="s">
        <v>4942</v>
      </c>
      <c r="U1611" t="s">
        <v>4943</v>
      </c>
      <c r="V1611" s="8">
        <v>0</v>
      </c>
      <c r="W1611" s="7">
        <v>0</v>
      </c>
      <c r="Y1611" s="8">
        <v>0</v>
      </c>
      <c r="Z1611" s="8">
        <v>0</v>
      </c>
      <c r="AA1611" s="8">
        <v>0</v>
      </c>
      <c r="AB1611" s="7">
        <v>0</v>
      </c>
      <c r="AD1611" s="8">
        <v>0</v>
      </c>
      <c r="AG1611" t="s">
        <v>801</v>
      </c>
      <c r="AH1611" t="s">
        <v>802</v>
      </c>
      <c r="AI1611" t="s">
        <v>803</v>
      </c>
    </row>
    <row r="1612" spans="1:35" hidden="1">
      <c r="A1612" s="7">
        <v>1611</v>
      </c>
      <c r="B1612" t="s">
        <v>243</v>
      </c>
      <c r="C1612" t="s">
        <v>244</v>
      </c>
      <c r="D1612" s="7">
        <v>7134</v>
      </c>
      <c r="E1612" t="s">
        <v>245</v>
      </c>
      <c r="F1612" t="s">
        <v>246</v>
      </c>
      <c r="G1612" t="s">
        <v>1197</v>
      </c>
      <c r="H1612" t="s">
        <v>4962</v>
      </c>
      <c r="I1612" s="7">
        <v>1165</v>
      </c>
      <c r="J1612" s="7">
        <v>2011126</v>
      </c>
      <c r="K1612" s="7">
        <v>5</v>
      </c>
      <c r="L1612" t="s">
        <v>247</v>
      </c>
      <c r="M1612" t="s">
        <v>361</v>
      </c>
      <c r="N1612" s="7">
        <v>6475</v>
      </c>
      <c r="O1612" t="s">
        <v>1198</v>
      </c>
      <c r="P1612" t="s">
        <v>1199</v>
      </c>
      <c r="Q1612" t="s">
        <v>4963</v>
      </c>
      <c r="R1612" t="s">
        <v>4964</v>
      </c>
      <c r="S1612" t="s">
        <v>3831</v>
      </c>
      <c r="T1612" t="s">
        <v>4942</v>
      </c>
      <c r="U1612" t="s">
        <v>4943</v>
      </c>
      <c r="V1612" s="8">
        <v>1650</v>
      </c>
      <c r="W1612" s="7">
        <v>0</v>
      </c>
      <c r="Y1612" s="8">
        <v>0</v>
      </c>
      <c r="Z1612" s="8">
        <v>1947</v>
      </c>
      <c r="AA1612" s="8">
        <v>297</v>
      </c>
      <c r="AB1612" s="7">
        <v>0</v>
      </c>
      <c r="AD1612" s="8">
        <v>1650</v>
      </c>
      <c r="AG1612" t="s">
        <v>823</v>
      </c>
      <c r="AH1612" t="s">
        <v>802</v>
      </c>
      <c r="AI1612" t="s">
        <v>818</v>
      </c>
    </row>
    <row r="1613" spans="1:35" hidden="1">
      <c r="A1613" s="7">
        <v>1612</v>
      </c>
      <c r="B1613" t="s">
        <v>243</v>
      </c>
      <c r="C1613" t="s">
        <v>244</v>
      </c>
      <c r="D1613" s="7">
        <v>7134</v>
      </c>
      <c r="E1613" t="s">
        <v>245</v>
      </c>
      <c r="F1613" t="s">
        <v>246</v>
      </c>
      <c r="G1613" t="s">
        <v>602</v>
      </c>
      <c r="H1613" t="s">
        <v>4962</v>
      </c>
      <c r="I1613" s="7">
        <v>1165</v>
      </c>
      <c r="J1613" s="7">
        <v>16221</v>
      </c>
      <c r="K1613" s="7">
        <v>2</v>
      </c>
      <c r="L1613" t="s">
        <v>247</v>
      </c>
      <c r="M1613" t="s">
        <v>261</v>
      </c>
      <c r="N1613" s="7">
        <v>797572</v>
      </c>
      <c r="O1613" t="s">
        <v>604</v>
      </c>
      <c r="P1613" t="s">
        <v>605</v>
      </c>
      <c r="S1613" t="s">
        <v>3831</v>
      </c>
      <c r="T1613" t="s">
        <v>4942</v>
      </c>
      <c r="U1613" t="s">
        <v>4943</v>
      </c>
      <c r="V1613" s="8">
        <v>1250</v>
      </c>
      <c r="W1613" s="7">
        <v>0</v>
      </c>
      <c r="Y1613" s="8">
        <v>1250</v>
      </c>
      <c r="Z1613" s="8">
        <v>1475</v>
      </c>
      <c r="AA1613" s="8">
        <v>225</v>
      </c>
      <c r="AB1613" s="7">
        <v>0</v>
      </c>
      <c r="AD1613" s="8">
        <v>0</v>
      </c>
      <c r="AG1613" t="s">
        <v>801</v>
      </c>
      <c r="AH1613" t="s">
        <v>802</v>
      </c>
      <c r="AI1613" t="s">
        <v>818</v>
      </c>
    </row>
    <row r="1614" spans="1:35" hidden="1">
      <c r="A1614" s="7">
        <v>1613</v>
      </c>
      <c r="B1614" t="s">
        <v>243</v>
      </c>
      <c r="C1614" t="s">
        <v>244</v>
      </c>
      <c r="D1614" s="7">
        <v>7134</v>
      </c>
      <c r="E1614" t="s">
        <v>245</v>
      </c>
      <c r="F1614" t="s">
        <v>246</v>
      </c>
      <c r="G1614" t="s">
        <v>985</v>
      </c>
      <c r="H1614" t="s">
        <v>4961</v>
      </c>
      <c r="I1614" s="7">
        <v>1165</v>
      </c>
      <c r="J1614" s="7">
        <v>120000</v>
      </c>
      <c r="K1614" s="7">
        <v>12</v>
      </c>
      <c r="L1614" t="s">
        <v>247</v>
      </c>
      <c r="M1614" t="s">
        <v>267</v>
      </c>
      <c r="N1614" s="7">
        <v>766599</v>
      </c>
      <c r="O1614" t="s">
        <v>1723</v>
      </c>
      <c r="P1614" t="s">
        <v>1724</v>
      </c>
      <c r="S1614" t="s">
        <v>3831</v>
      </c>
      <c r="T1614" t="s">
        <v>4942</v>
      </c>
      <c r="U1614" t="s">
        <v>4943</v>
      </c>
      <c r="V1614" s="8">
        <v>0</v>
      </c>
      <c r="W1614" s="7">
        <v>0</v>
      </c>
      <c r="Y1614" s="8">
        <v>0</v>
      </c>
      <c r="Z1614" s="8">
        <v>0</v>
      </c>
      <c r="AA1614" s="8">
        <v>0</v>
      </c>
      <c r="AB1614" s="7">
        <v>0</v>
      </c>
      <c r="AD1614" s="8">
        <v>0</v>
      </c>
      <c r="AG1614" t="s">
        <v>828</v>
      </c>
      <c r="AH1614" t="s">
        <v>802</v>
      </c>
      <c r="AI1614" t="s">
        <v>803</v>
      </c>
    </row>
    <row r="1615" spans="1:35" hidden="1">
      <c r="A1615" s="7">
        <v>1614</v>
      </c>
      <c r="B1615" t="s">
        <v>243</v>
      </c>
      <c r="C1615" t="s">
        <v>244</v>
      </c>
      <c r="D1615" s="7">
        <v>7134</v>
      </c>
      <c r="E1615" t="s">
        <v>245</v>
      </c>
      <c r="F1615" t="s">
        <v>246</v>
      </c>
      <c r="G1615" t="s">
        <v>657</v>
      </c>
      <c r="H1615" t="s">
        <v>4944</v>
      </c>
      <c r="I1615" s="7">
        <v>1165</v>
      </c>
      <c r="J1615" s="7">
        <v>43394</v>
      </c>
      <c r="K1615" s="7">
        <v>4</v>
      </c>
      <c r="L1615" t="s">
        <v>247</v>
      </c>
      <c r="M1615" t="s">
        <v>261</v>
      </c>
      <c r="N1615" s="7">
        <v>802597</v>
      </c>
      <c r="O1615" t="s">
        <v>659</v>
      </c>
      <c r="P1615" t="s">
        <v>660</v>
      </c>
      <c r="Q1615" t="s">
        <v>908</v>
      </c>
      <c r="R1615" t="s">
        <v>909</v>
      </c>
      <c r="S1615" t="s">
        <v>3831</v>
      </c>
      <c r="T1615" t="s">
        <v>4942</v>
      </c>
      <c r="U1615" t="s">
        <v>4943</v>
      </c>
      <c r="V1615" s="8">
        <v>0</v>
      </c>
      <c r="W1615" s="7">
        <v>0</v>
      </c>
      <c r="Y1615" s="8">
        <v>0</v>
      </c>
      <c r="Z1615" s="8">
        <v>0</v>
      </c>
      <c r="AA1615" s="8">
        <v>0</v>
      </c>
      <c r="AB1615" s="7">
        <v>0</v>
      </c>
      <c r="AD1615" s="8">
        <v>0</v>
      </c>
      <c r="AG1615" t="s">
        <v>801</v>
      </c>
      <c r="AH1615" t="s">
        <v>802</v>
      </c>
      <c r="AI1615" t="s">
        <v>803</v>
      </c>
    </row>
    <row r="1616" spans="1:35" hidden="1">
      <c r="A1616" s="7">
        <v>1615</v>
      </c>
      <c r="B1616" t="s">
        <v>243</v>
      </c>
      <c r="C1616" t="s">
        <v>244</v>
      </c>
      <c r="D1616" s="7">
        <v>7134</v>
      </c>
      <c r="E1616" t="s">
        <v>245</v>
      </c>
      <c r="F1616" t="s">
        <v>246</v>
      </c>
      <c r="G1616" t="s">
        <v>1024</v>
      </c>
      <c r="H1616" t="s">
        <v>4941</v>
      </c>
      <c r="I1616" s="7">
        <v>1165</v>
      </c>
      <c r="J1616" s="7">
        <v>90000</v>
      </c>
      <c r="K1616" s="7">
        <v>9</v>
      </c>
      <c r="L1616" t="s">
        <v>247</v>
      </c>
      <c r="M1616" t="s">
        <v>261</v>
      </c>
      <c r="N1616" s="7">
        <v>785727</v>
      </c>
      <c r="O1616" t="s">
        <v>1322</v>
      </c>
      <c r="P1616" t="s">
        <v>1323</v>
      </c>
      <c r="S1616" t="s">
        <v>3831</v>
      </c>
      <c r="T1616" t="s">
        <v>4942</v>
      </c>
      <c r="U1616" t="s">
        <v>4943</v>
      </c>
      <c r="V1616" s="8">
        <v>0</v>
      </c>
      <c r="W1616" s="7">
        <v>0</v>
      </c>
      <c r="Y1616" s="8">
        <v>0</v>
      </c>
      <c r="Z1616" s="8">
        <v>0</v>
      </c>
      <c r="AA1616" s="8">
        <v>0</v>
      </c>
      <c r="AB1616" s="7">
        <v>0</v>
      </c>
      <c r="AD1616" s="8">
        <v>0</v>
      </c>
      <c r="AG1616" t="s">
        <v>801</v>
      </c>
      <c r="AH1616" t="s">
        <v>802</v>
      </c>
      <c r="AI1616" t="s">
        <v>803</v>
      </c>
    </row>
    <row r="1617" spans="1:35" hidden="1">
      <c r="A1617" s="7">
        <v>1616</v>
      </c>
      <c r="B1617" t="s">
        <v>243</v>
      </c>
      <c r="C1617" t="s">
        <v>244</v>
      </c>
      <c r="D1617" s="7">
        <v>7134</v>
      </c>
      <c r="E1617" t="s">
        <v>245</v>
      </c>
      <c r="F1617" t="s">
        <v>246</v>
      </c>
      <c r="G1617" t="s">
        <v>657</v>
      </c>
      <c r="H1617" t="s">
        <v>4965</v>
      </c>
      <c r="I1617" s="7">
        <v>1165</v>
      </c>
      <c r="J1617" s="7">
        <v>40000</v>
      </c>
      <c r="K1617" s="7">
        <v>4</v>
      </c>
      <c r="L1617" t="s">
        <v>247</v>
      </c>
      <c r="M1617" t="s">
        <v>261</v>
      </c>
      <c r="N1617" s="7">
        <v>802355</v>
      </c>
      <c r="O1617" t="s">
        <v>666</v>
      </c>
      <c r="P1617" t="s">
        <v>667</v>
      </c>
      <c r="S1617" t="s">
        <v>3831</v>
      </c>
      <c r="T1617" t="s">
        <v>4942</v>
      </c>
      <c r="U1617" t="s">
        <v>4943</v>
      </c>
      <c r="V1617" s="8">
        <v>0</v>
      </c>
      <c r="W1617" s="7">
        <v>0</v>
      </c>
      <c r="Y1617" s="8">
        <v>0</v>
      </c>
      <c r="Z1617" s="8">
        <v>0</v>
      </c>
      <c r="AA1617" s="8">
        <v>0</v>
      </c>
      <c r="AB1617" s="7">
        <v>0</v>
      </c>
      <c r="AD1617" s="8">
        <v>0</v>
      </c>
      <c r="AG1617" t="s">
        <v>801</v>
      </c>
      <c r="AH1617" t="s">
        <v>802</v>
      </c>
      <c r="AI1617" t="s">
        <v>803</v>
      </c>
    </row>
    <row r="1618" spans="1:35" hidden="1">
      <c r="A1618" s="7">
        <v>1617</v>
      </c>
      <c r="B1618" t="s">
        <v>243</v>
      </c>
      <c r="C1618" t="s">
        <v>244</v>
      </c>
      <c r="D1618" s="7">
        <v>7134</v>
      </c>
      <c r="E1618" t="s">
        <v>245</v>
      </c>
      <c r="F1618" t="s">
        <v>246</v>
      </c>
      <c r="G1618" t="s">
        <v>3736</v>
      </c>
      <c r="H1618" t="s">
        <v>4945</v>
      </c>
      <c r="I1618" s="7">
        <v>1165</v>
      </c>
      <c r="J1618" s="7">
        <v>8829</v>
      </c>
      <c r="K1618" s="7">
        <v>1</v>
      </c>
      <c r="L1618" t="s">
        <v>247</v>
      </c>
      <c r="M1618" t="s">
        <v>361</v>
      </c>
      <c r="N1618" s="7">
        <v>9769</v>
      </c>
      <c r="O1618" t="s">
        <v>4436</v>
      </c>
      <c r="P1618" t="s">
        <v>4437</v>
      </c>
      <c r="S1618" t="s">
        <v>3831</v>
      </c>
      <c r="T1618" t="s">
        <v>4942</v>
      </c>
      <c r="U1618" t="s">
        <v>4943</v>
      </c>
      <c r="V1618" s="8">
        <v>1650</v>
      </c>
      <c r="W1618" s="7">
        <v>0</v>
      </c>
      <c r="Y1618" s="8">
        <v>1650</v>
      </c>
      <c r="Z1618" s="8">
        <v>1947</v>
      </c>
      <c r="AA1618" s="8">
        <v>297</v>
      </c>
      <c r="AB1618" s="7">
        <v>0</v>
      </c>
      <c r="AD1618" s="8">
        <v>0</v>
      </c>
      <c r="AG1618" t="s">
        <v>823</v>
      </c>
      <c r="AH1618" t="s">
        <v>802</v>
      </c>
      <c r="AI1618" t="s">
        <v>818</v>
      </c>
    </row>
    <row r="1619" spans="1:35" hidden="1">
      <c r="A1619" s="7">
        <v>1618</v>
      </c>
      <c r="B1619" t="s">
        <v>243</v>
      </c>
      <c r="C1619" t="s">
        <v>244</v>
      </c>
      <c r="D1619" s="7">
        <v>7134</v>
      </c>
      <c r="E1619" t="s">
        <v>245</v>
      </c>
      <c r="F1619" t="s">
        <v>246</v>
      </c>
      <c r="G1619" t="s">
        <v>1457</v>
      </c>
      <c r="H1619" t="s">
        <v>4966</v>
      </c>
      <c r="I1619" s="7">
        <v>867</v>
      </c>
      <c r="J1619" s="7">
        <v>50000</v>
      </c>
      <c r="K1619" s="7">
        <v>3</v>
      </c>
      <c r="L1619" t="s">
        <v>247</v>
      </c>
      <c r="M1619" t="s">
        <v>261</v>
      </c>
      <c r="N1619" s="7">
        <v>796077</v>
      </c>
      <c r="O1619" t="s">
        <v>3747</v>
      </c>
      <c r="P1619" t="s">
        <v>3748</v>
      </c>
      <c r="S1619" t="s">
        <v>3831</v>
      </c>
      <c r="T1619" t="s">
        <v>4942</v>
      </c>
      <c r="U1619" t="s">
        <v>4943</v>
      </c>
      <c r="V1619" s="8">
        <v>1250</v>
      </c>
      <c r="W1619" s="7">
        <v>0</v>
      </c>
      <c r="Y1619" s="8">
        <v>1250</v>
      </c>
      <c r="Z1619" s="8">
        <v>1475</v>
      </c>
      <c r="AA1619" s="8">
        <v>225</v>
      </c>
      <c r="AB1619" s="7">
        <v>0</v>
      </c>
      <c r="AD1619" s="8">
        <v>0</v>
      </c>
      <c r="AG1619" t="s">
        <v>817</v>
      </c>
      <c r="AH1619" t="s">
        <v>802</v>
      </c>
      <c r="AI1619" t="s">
        <v>818</v>
      </c>
    </row>
    <row r="1620" spans="1:35" hidden="1">
      <c r="A1620" s="7">
        <v>1619</v>
      </c>
      <c r="B1620" t="s">
        <v>243</v>
      </c>
      <c r="C1620" t="s">
        <v>244</v>
      </c>
      <c r="D1620" s="7">
        <v>7134</v>
      </c>
      <c r="E1620" t="s">
        <v>245</v>
      </c>
      <c r="F1620" t="s">
        <v>246</v>
      </c>
      <c r="G1620" t="s">
        <v>431</v>
      </c>
      <c r="H1620" t="s">
        <v>4966</v>
      </c>
      <c r="I1620" s="7">
        <v>1165</v>
      </c>
      <c r="J1620" s="7">
        <v>37000</v>
      </c>
      <c r="K1620" s="7">
        <v>5</v>
      </c>
      <c r="L1620" t="s">
        <v>247</v>
      </c>
      <c r="M1620" t="s">
        <v>252</v>
      </c>
      <c r="N1620" s="7">
        <v>326051</v>
      </c>
      <c r="O1620" t="s">
        <v>433</v>
      </c>
      <c r="P1620" t="s">
        <v>434</v>
      </c>
      <c r="S1620" t="s">
        <v>3831</v>
      </c>
      <c r="T1620" t="s">
        <v>4942</v>
      </c>
      <c r="U1620" t="s">
        <v>4943</v>
      </c>
      <c r="V1620" s="8">
        <v>1250</v>
      </c>
      <c r="W1620" s="7">
        <v>0</v>
      </c>
      <c r="Y1620" s="8">
        <v>1250</v>
      </c>
      <c r="Z1620" s="8">
        <v>1475</v>
      </c>
      <c r="AA1620" s="8">
        <v>225</v>
      </c>
      <c r="AB1620" s="7">
        <v>0</v>
      </c>
      <c r="AD1620" s="8">
        <v>0</v>
      </c>
      <c r="AG1620" t="s">
        <v>937</v>
      </c>
      <c r="AH1620" t="s">
        <v>802</v>
      </c>
      <c r="AI1620" t="s">
        <v>818</v>
      </c>
    </row>
    <row r="1621" spans="1:35" hidden="1">
      <c r="A1621" s="7">
        <v>1620</v>
      </c>
      <c r="B1621" t="s">
        <v>243</v>
      </c>
      <c r="C1621" t="s">
        <v>244</v>
      </c>
      <c r="D1621" s="7">
        <v>7134</v>
      </c>
      <c r="E1621" t="s">
        <v>245</v>
      </c>
      <c r="F1621" t="s">
        <v>246</v>
      </c>
      <c r="G1621" t="s">
        <v>872</v>
      </c>
      <c r="H1621" t="s">
        <v>4961</v>
      </c>
      <c r="I1621" s="7">
        <v>1165</v>
      </c>
      <c r="J1621" s="7">
        <v>112720</v>
      </c>
      <c r="K1621" s="7">
        <v>10</v>
      </c>
      <c r="L1621" t="s">
        <v>247</v>
      </c>
      <c r="M1621" t="s">
        <v>261</v>
      </c>
      <c r="N1621" s="7">
        <v>775227</v>
      </c>
      <c r="O1621" t="s">
        <v>2054</v>
      </c>
      <c r="P1621" t="s">
        <v>2055</v>
      </c>
      <c r="Q1621" t="s">
        <v>908</v>
      </c>
      <c r="R1621" t="s">
        <v>909</v>
      </c>
      <c r="S1621" t="s">
        <v>3831</v>
      </c>
      <c r="T1621" t="s">
        <v>4942</v>
      </c>
      <c r="U1621" t="s">
        <v>4943</v>
      </c>
      <c r="V1621" s="8">
        <v>0</v>
      </c>
      <c r="W1621" s="7">
        <v>0</v>
      </c>
      <c r="Y1621" s="8">
        <v>0</v>
      </c>
      <c r="Z1621" s="8">
        <v>0</v>
      </c>
      <c r="AA1621" s="8">
        <v>0</v>
      </c>
      <c r="AB1621" s="7">
        <v>0</v>
      </c>
      <c r="AD1621" s="8">
        <v>0</v>
      </c>
      <c r="AG1621" t="s">
        <v>801</v>
      </c>
      <c r="AH1621" t="s">
        <v>802</v>
      </c>
      <c r="AI1621" t="s">
        <v>803</v>
      </c>
    </row>
    <row r="1622" spans="1:35" hidden="1">
      <c r="A1622" s="7">
        <v>1621</v>
      </c>
      <c r="B1622" t="s">
        <v>243</v>
      </c>
      <c r="C1622" t="s">
        <v>244</v>
      </c>
      <c r="D1622" s="7">
        <v>7134</v>
      </c>
      <c r="E1622" t="s">
        <v>245</v>
      </c>
      <c r="F1622" t="s">
        <v>246</v>
      </c>
      <c r="G1622" t="s">
        <v>832</v>
      </c>
      <c r="H1622" t="s">
        <v>4441</v>
      </c>
      <c r="I1622" s="7">
        <v>1165</v>
      </c>
      <c r="J1622" s="7">
        <v>59496</v>
      </c>
      <c r="K1622" s="7">
        <v>7</v>
      </c>
      <c r="L1622" t="s">
        <v>247</v>
      </c>
      <c r="M1622" t="s">
        <v>261</v>
      </c>
      <c r="N1622" s="7">
        <v>786108</v>
      </c>
      <c r="O1622" t="s">
        <v>833</v>
      </c>
      <c r="P1622" t="s">
        <v>834</v>
      </c>
      <c r="S1622" t="s">
        <v>3831</v>
      </c>
      <c r="T1622" t="s">
        <v>4942</v>
      </c>
      <c r="U1622" t="s">
        <v>4943</v>
      </c>
      <c r="V1622" s="8">
        <v>0</v>
      </c>
      <c r="W1622" s="7">
        <v>0</v>
      </c>
      <c r="Y1622" s="8">
        <v>0</v>
      </c>
      <c r="Z1622" s="8">
        <v>0</v>
      </c>
      <c r="AA1622" s="8">
        <v>0</v>
      </c>
      <c r="AB1622" s="7">
        <v>0</v>
      </c>
      <c r="AD1622" s="8">
        <v>0</v>
      </c>
      <c r="AG1622" t="s">
        <v>801</v>
      </c>
      <c r="AH1622" t="s">
        <v>802</v>
      </c>
      <c r="AI1622" t="s">
        <v>803</v>
      </c>
    </row>
    <row r="1623" spans="1:35" hidden="1">
      <c r="A1623" s="7">
        <v>1622</v>
      </c>
      <c r="B1623" t="s">
        <v>243</v>
      </c>
      <c r="C1623" t="s">
        <v>244</v>
      </c>
      <c r="D1623" s="7">
        <v>7134</v>
      </c>
      <c r="E1623" t="s">
        <v>245</v>
      </c>
      <c r="F1623" t="s">
        <v>246</v>
      </c>
      <c r="G1623" t="s">
        <v>982</v>
      </c>
      <c r="H1623" t="s">
        <v>4954</v>
      </c>
      <c r="I1623" s="7">
        <v>1165</v>
      </c>
      <c r="J1623" s="7">
        <v>39859</v>
      </c>
      <c r="K1623" s="7">
        <v>7</v>
      </c>
      <c r="L1623" t="s">
        <v>247</v>
      </c>
      <c r="M1623" t="s">
        <v>261</v>
      </c>
      <c r="N1623" s="7">
        <v>786107</v>
      </c>
      <c r="O1623" t="s">
        <v>1407</v>
      </c>
      <c r="P1623" t="s">
        <v>1408</v>
      </c>
      <c r="S1623" t="s">
        <v>3831</v>
      </c>
      <c r="T1623" t="s">
        <v>4942</v>
      </c>
      <c r="U1623" t="s">
        <v>4943</v>
      </c>
      <c r="V1623" s="8">
        <v>0</v>
      </c>
      <c r="W1623" s="7">
        <v>0</v>
      </c>
      <c r="Y1623" s="8">
        <v>0</v>
      </c>
      <c r="Z1623" s="8">
        <v>0</v>
      </c>
      <c r="AA1623" s="8">
        <v>0</v>
      </c>
      <c r="AB1623" s="7">
        <v>0</v>
      </c>
      <c r="AD1623" s="8">
        <v>0</v>
      </c>
      <c r="AG1623" t="s">
        <v>801</v>
      </c>
      <c r="AH1623" t="s">
        <v>802</v>
      </c>
      <c r="AI1623" t="s">
        <v>803</v>
      </c>
    </row>
    <row r="1624" spans="1:35" hidden="1">
      <c r="A1624" s="7">
        <v>1623</v>
      </c>
      <c r="B1624" t="s">
        <v>243</v>
      </c>
      <c r="C1624" t="s">
        <v>244</v>
      </c>
      <c r="D1624" s="7">
        <v>7134</v>
      </c>
      <c r="E1624" t="s">
        <v>245</v>
      </c>
      <c r="F1624" t="s">
        <v>246</v>
      </c>
      <c r="G1624" t="s">
        <v>418</v>
      </c>
      <c r="H1624" t="s">
        <v>4950</v>
      </c>
      <c r="I1624" s="7">
        <v>1165</v>
      </c>
      <c r="J1624" s="7">
        <v>8386</v>
      </c>
      <c r="K1624" s="7">
        <v>1</v>
      </c>
      <c r="L1624" t="s">
        <v>247</v>
      </c>
      <c r="M1624" t="s">
        <v>261</v>
      </c>
      <c r="N1624" s="7">
        <v>803716</v>
      </c>
      <c r="O1624" t="s">
        <v>3464</v>
      </c>
      <c r="P1624" t="s">
        <v>3465</v>
      </c>
      <c r="S1624" t="s">
        <v>3831</v>
      </c>
      <c r="T1624" t="s">
        <v>4942</v>
      </c>
      <c r="U1624" t="s">
        <v>4943</v>
      </c>
      <c r="V1624" s="8">
        <v>1250</v>
      </c>
      <c r="W1624" s="7">
        <v>0</v>
      </c>
      <c r="Y1624" s="8">
        <v>1250</v>
      </c>
      <c r="Z1624" s="8">
        <v>1475</v>
      </c>
      <c r="AA1624" s="8">
        <v>225</v>
      </c>
      <c r="AB1624" s="7">
        <v>0</v>
      </c>
      <c r="AD1624" s="8">
        <v>0</v>
      </c>
      <c r="AG1624" t="s">
        <v>817</v>
      </c>
      <c r="AH1624" t="s">
        <v>802</v>
      </c>
      <c r="AI1624" t="s">
        <v>818</v>
      </c>
    </row>
    <row r="1625" spans="1:35" hidden="1">
      <c r="A1625" s="7">
        <v>1624</v>
      </c>
      <c r="B1625" t="s">
        <v>243</v>
      </c>
      <c r="C1625" t="s">
        <v>244</v>
      </c>
      <c r="D1625" s="7">
        <v>7134</v>
      </c>
      <c r="E1625" t="s">
        <v>245</v>
      </c>
      <c r="F1625" t="s">
        <v>246</v>
      </c>
      <c r="G1625" t="s">
        <v>633</v>
      </c>
      <c r="H1625" t="s">
        <v>4950</v>
      </c>
      <c r="I1625" s="7">
        <v>1165</v>
      </c>
      <c r="J1625" s="7">
        <v>8777</v>
      </c>
      <c r="K1625" s="7">
        <v>2</v>
      </c>
      <c r="L1625" t="s">
        <v>247</v>
      </c>
      <c r="M1625" t="s">
        <v>261</v>
      </c>
      <c r="N1625" s="7">
        <v>798231</v>
      </c>
      <c r="O1625" t="s">
        <v>635</v>
      </c>
      <c r="P1625" t="s">
        <v>636</v>
      </c>
      <c r="S1625" t="s">
        <v>3831</v>
      </c>
      <c r="T1625" t="s">
        <v>4942</v>
      </c>
      <c r="U1625" t="s">
        <v>4943</v>
      </c>
      <c r="V1625" s="8">
        <v>1250</v>
      </c>
      <c r="W1625" s="7">
        <v>0</v>
      </c>
      <c r="Y1625" s="8">
        <v>1250</v>
      </c>
      <c r="Z1625" s="8">
        <v>1475</v>
      </c>
      <c r="AA1625" s="8">
        <v>225</v>
      </c>
      <c r="AB1625" s="7">
        <v>0</v>
      </c>
      <c r="AD1625" s="8">
        <v>0</v>
      </c>
      <c r="AG1625" t="s">
        <v>817</v>
      </c>
      <c r="AH1625" t="s">
        <v>802</v>
      </c>
      <c r="AI1625" t="s">
        <v>818</v>
      </c>
    </row>
    <row r="1626" spans="1:35" hidden="1">
      <c r="A1626" s="7">
        <v>1625</v>
      </c>
      <c r="B1626" t="s">
        <v>243</v>
      </c>
      <c r="C1626" t="s">
        <v>244</v>
      </c>
      <c r="D1626" s="7">
        <v>7134</v>
      </c>
      <c r="E1626" t="s">
        <v>245</v>
      </c>
      <c r="F1626" t="s">
        <v>246</v>
      </c>
      <c r="G1626" t="s">
        <v>727</v>
      </c>
      <c r="H1626" t="s">
        <v>4950</v>
      </c>
      <c r="I1626" s="7">
        <v>1165</v>
      </c>
      <c r="J1626" s="7">
        <v>5148</v>
      </c>
      <c r="K1626" s="7">
        <v>3</v>
      </c>
      <c r="L1626" t="s">
        <v>247</v>
      </c>
      <c r="M1626" t="s">
        <v>261</v>
      </c>
      <c r="N1626" s="7">
        <v>778993</v>
      </c>
      <c r="O1626" t="s">
        <v>737</v>
      </c>
      <c r="P1626" t="s">
        <v>738</v>
      </c>
      <c r="S1626" t="s">
        <v>3831</v>
      </c>
      <c r="T1626" t="s">
        <v>4942</v>
      </c>
      <c r="U1626" t="s">
        <v>4943</v>
      </c>
      <c r="V1626" s="8">
        <v>1250</v>
      </c>
      <c r="W1626" s="7">
        <v>0</v>
      </c>
      <c r="Y1626" s="8">
        <v>1250</v>
      </c>
      <c r="Z1626" s="8">
        <v>1475</v>
      </c>
      <c r="AA1626" s="8">
        <v>225</v>
      </c>
      <c r="AB1626" s="7">
        <v>0</v>
      </c>
      <c r="AD1626" s="8">
        <v>0</v>
      </c>
      <c r="AG1626" t="s">
        <v>808</v>
      </c>
      <c r="AH1626" t="s">
        <v>802</v>
      </c>
      <c r="AI1626" t="s">
        <v>818</v>
      </c>
    </row>
    <row r="1627" spans="1:35" hidden="1">
      <c r="A1627" s="7">
        <v>1626</v>
      </c>
      <c r="B1627" t="s">
        <v>243</v>
      </c>
      <c r="C1627" t="s">
        <v>244</v>
      </c>
      <c r="D1627" s="7">
        <v>7134</v>
      </c>
      <c r="E1627" t="s">
        <v>245</v>
      </c>
      <c r="F1627" t="s">
        <v>246</v>
      </c>
      <c r="G1627" t="s">
        <v>3426</v>
      </c>
      <c r="H1627" t="s">
        <v>4966</v>
      </c>
      <c r="I1627" s="7">
        <v>1165</v>
      </c>
      <c r="J1627" s="7">
        <v>10000</v>
      </c>
      <c r="K1627" s="7">
        <v>1</v>
      </c>
      <c r="L1627" t="s">
        <v>247</v>
      </c>
      <c r="M1627" t="s">
        <v>361</v>
      </c>
      <c r="N1627" s="7">
        <v>9489</v>
      </c>
      <c r="O1627" t="s">
        <v>4967</v>
      </c>
      <c r="P1627" t="s">
        <v>4968</v>
      </c>
      <c r="S1627" t="s">
        <v>3831</v>
      </c>
      <c r="T1627" t="s">
        <v>4942</v>
      </c>
      <c r="U1627" t="s">
        <v>4943</v>
      </c>
      <c r="V1627" s="8">
        <v>1650</v>
      </c>
      <c r="W1627" s="7">
        <v>0</v>
      </c>
      <c r="Y1627" s="8">
        <v>1650</v>
      </c>
      <c r="Z1627" s="8">
        <v>1947</v>
      </c>
      <c r="AA1627" s="8">
        <v>297</v>
      </c>
      <c r="AB1627" s="7">
        <v>0</v>
      </c>
      <c r="AD1627" s="8">
        <v>0</v>
      </c>
      <c r="AG1627" t="s">
        <v>823</v>
      </c>
      <c r="AH1627" t="s">
        <v>802</v>
      </c>
      <c r="AI1627" t="s">
        <v>818</v>
      </c>
    </row>
    <row r="1628" spans="1:35" hidden="1">
      <c r="A1628" s="7">
        <v>1627</v>
      </c>
      <c r="B1628" t="s">
        <v>243</v>
      </c>
      <c r="C1628" t="s">
        <v>244</v>
      </c>
      <c r="D1628" s="7">
        <v>7134</v>
      </c>
      <c r="E1628" t="s">
        <v>245</v>
      </c>
      <c r="F1628" t="s">
        <v>246</v>
      </c>
      <c r="G1628" t="s">
        <v>263</v>
      </c>
      <c r="H1628" t="s">
        <v>4961</v>
      </c>
      <c r="I1628" s="7">
        <v>900</v>
      </c>
      <c r="J1628" s="7">
        <v>50000</v>
      </c>
      <c r="K1628" s="7">
        <v>3</v>
      </c>
      <c r="L1628" t="s">
        <v>247</v>
      </c>
      <c r="M1628" t="s">
        <v>261</v>
      </c>
      <c r="N1628" s="7">
        <v>796591</v>
      </c>
      <c r="O1628" t="s">
        <v>2072</v>
      </c>
      <c r="P1628" t="s">
        <v>2073</v>
      </c>
      <c r="S1628" t="s">
        <v>3831</v>
      </c>
      <c r="T1628" t="s">
        <v>4942</v>
      </c>
      <c r="U1628" t="s">
        <v>4943</v>
      </c>
      <c r="V1628" s="8">
        <v>1250</v>
      </c>
      <c r="W1628" s="7">
        <v>0</v>
      </c>
      <c r="Y1628" s="8">
        <v>1250</v>
      </c>
      <c r="Z1628" s="8">
        <v>1475</v>
      </c>
      <c r="AA1628" s="8">
        <v>225</v>
      </c>
      <c r="AB1628" s="7">
        <v>0</v>
      </c>
      <c r="AD1628" s="8">
        <v>0</v>
      </c>
      <c r="AG1628" t="s">
        <v>817</v>
      </c>
      <c r="AH1628" t="s">
        <v>802</v>
      </c>
      <c r="AI1628" t="s">
        <v>818</v>
      </c>
    </row>
    <row r="1629" spans="1:35" hidden="1">
      <c r="A1629" s="7">
        <v>1628</v>
      </c>
      <c r="B1629" t="s">
        <v>243</v>
      </c>
      <c r="C1629" t="s">
        <v>244</v>
      </c>
      <c r="D1629" s="7">
        <v>7134</v>
      </c>
      <c r="E1629" t="s">
        <v>245</v>
      </c>
      <c r="F1629" t="s">
        <v>246</v>
      </c>
      <c r="G1629" t="s">
        <v>3457</v>
      </c>
      <c r="H1629" t="s">
        <v>4953</v>
      </c>
      <c r="I1629" s="7">
        <v>1165</v>
      </c>
      <c r="J1629" s="7">
        <v>6084</v>
      </c>
      <c r="K1629" s="7">
        <v>2</v>
      </c>
      <c r="L1629" t="s">
        <v>247</v>
      </c>
      <c r="M1629" t="s">
        <v>252</v>
      </c>
      <c r="N1629" s="7">
        <v>328544</v>
      </c>
      <c r="O1629" t="s">
        <v>3459</v>
      </c>
      <c r="P1629" t="s">
        <v>3460</v>
      </c>
      <c r="S1629" t="s">
        <v>3831</v>
      </c>
      <c r="T1629" t="s">
        <v>4942</v>
      </c>
      <c r="U1629" t="s">
        <v>4943</v>
      </c>
      <c r="V1629" s="8">
        <v>0</v>
      </c>
      <c r="W1629" s="7">
        <v>0</v>
      </c>
      <c r="Y1629" s="8">
        <v>0</v>
      </c>
      <c r="Z1629" s="8">
        <v>0</v>
      </c>
      <c r="AA1629" s="8">
        <v>0</v>
      </c>
      <c r="AB1629" s="7">
        <v>0</v>
      </c>
      <c r="AD1629" s="8">
        <v>0</v>
      </c>
      <c r="AG1629" t="s">
        <v>937</v>
      </c>
      <c r="AH1629" t="s">
        <v>802</v>
      </c>
      <c r="AI1629" t="s">
        <v>803</v>
      </c>
    </row>
    <row r="1630" spans="1:35" hidden="1">
      <c r="A1630" s="7">
        <v>1629</v>
      </c>
      <c r="B1630" t="s">
        <v>243</v>
      </c>
      <c r="C1630" t="s">
        <v>244</v>
      </c>
      <c r="D1630" s="7">
        <v>7134</v>
      </c>
      <c r="E1630" t="s">
        <v>245</v>
      </c>
      <c r="F1630" t="s">
        <v>246</v>
      </c>
      <c r="G1630" t="s">
        <v>885</v>
      </c>
      <c r="H1630" t="s">
        <v>4957</v>
      </c>
      <c r="I1630" s="7">
        <v>872</v>
      </c>
      <c r="J1630" s="7">
        <v>51000</v>
      </c>
      <c r="K1630" s="7">
        <v>3</v>
      </c>
      <c r="L1630" t="s">
        <v>247</v>
      </c>
      <c r="M1630" t="s">
        <v>261</v>
      </c>
      <c r="N1630" s="7">
        <v>796374</v>
      </c>
      <c r="O1630" t="s">
        <v>1867</v>
      </c>
      <c r="P1630" t="s">
        <v>1868</v>
      </c>
      <c r="Q1630" t="s">
        <v>908</v>
      </c>
      <c r="R1630" t="s">
        <v>909</v>
      </c>
      <c r="S1630" t="s">
        <v>3831</v>
      </c>
      <c r="T1630" t="s">
        <v>4942</v>
      </c>
      <c r="U1630" t="s">
        <v>4943</v>
      </c>
      <c r="V1630" s="8">
        <v>1250</v>
      </c>
      <c r="W1630" s="7">
        <v>0</v>
      </c>
      <c r="Y1630" s="8">
        <v>1000</v>
      </c>
      <c r="Z1630" s="8">
        <v>1475</v>
      </c>
      <c r="AA1630" s="8">
        <v>225</v>
      </c>
      <c r="AB1630" s="7">
        <v>0</v>
      </c>
      <c r="AD1630" s="8">
        <v>250</v>
      </c>
      <c r="AG1630" t="s">
        <v>817</v>
      </c>
      <c r="AH1630" t="s">
        <v>802</v>
      </c>
      <c r="AI1630" t="s">
        <v>818</v>
      </c>
    </row>
    <row r="1631" spans="1:35" hidden="1">
      <c r="A1631" s="7">
        <v>1630</v>
      </c>
      <c r="B1631" t="s">
        <v>243</v>
      </c>
      <c r="C1631" t="s">
        <v>244</v>
      </c>
      <c r="D1631" s="7">
        <v>7134</v>
      </c>
      <c r="E1631" t="s">
        <v>245</v>
      </c>
      <c r="F1631" t="s">
        <v>246</v>
      </c>
      <c r="G1631" t="s">
        <v>419</v>
      </c>
      <c r="H1631" t="s">
        <v>4347</v>
      </c>
      <c r="I1631" s="7">
        <v>1168</v>
      </c>
      <c r="J1631" s="7">
        <v>45000</v>
      </c>
      <c r="K1631" s="7">
        <v>5</v>
      </c>
      <c r="L1631" t="s">
        <v>247</v>
      </c>
      <c r="M1631" t="s">
        <v>261</v>
      </c>
      <c r="N1631" s="7">
        <v>785976</v>
      </c>
      <c r="O1631" t="s">
        <v>1338</v>
      </c>
      <c r="P1631" t="s">
        <v>1339</v>
      </c>
      <c r="S1631" t="s">
        <v>3831</v>
      </c>
      <c r="T1631" t="s">
        <v>4942</v>
      </c>
      <c r="U1631" t="s">
        <v>4943</v>
      </c>
      <c r="V1631" s="8">
        <v>1250</v>
      </c>
      <c r="W1631" s="7">
        <v>0</v>
      </c>
      <c r="Y1631" s="8">
        <v>1250</v>
      </c>
      <c r="Z1631" s="8">
        <v>1475</v>
      </c>
      <c r="AA1631" s="8">
        <v>225</v>
      </c>
      <c r="AB1631" s="7">
        <v>0</v>
      </c>
      <c r="AD1631" s="8">
        <v>0</v>
      </c>
      <c r="AG1631" t="s">
        <v>801</v>
      </c>
      <c r="AH1631" t="s">
        <v>802</v>
      </c>
      <c r="AI1631" t="s">
        <v>818</v>
      </c>
    </row>
    <row r="1632" spans="1:35" hidden="1">
      <c r="A1632" s="7">
        <v>1631</v>
      </c>
      <c r="B1632" t="s">
        <v>243</v>
      </c>
      <c r="C1632" t="s">
        <v>244</v>
      </c>
      <c r="D1632" s="7">
        <v>7134</v>
      </c>
      <c r="E1632" t="s">
        <v>245</v>
      </c>
      <c r="F1632" t="s">
        <v>246</v>
      </c>
      <c r="G1632" t="s">
        <v>885</v>
      </c>
      <c r="H1632" t="s">
        <v>4962</v>
      </c>
      <c r="I1632" s="7">
        <v>880</v>
      </c>
      <c r="J1632" s="7">
        <v>50000</v>
      </c>
      <c r="K1632" s="7">
        <v>3</v>
      </c>
      <c r="L1632" t="s">
        <v>247</v>
      </c>
      <c r="M1632" t="s">
        <v>261</v>
      </c>
      <c r="N1632" s="7">
        <v>796315</v>
      </c>
      <c r="O1632" t="s">
        <v>1865</v>
      </c>
      <c r="P1632" t="s">
        <v>1866</v>
      </c>
      <c r="S1632" t="s">
        <v>3831</v>
      </c>
      <c r="T1632" t="s">
        <v>4942</v>
      </c>
      <c r="U1632" t="s">
        <v>4943</v>
      </c>
      <c r="V1632" s="8">
        <v>1250</v>
      </c>
      <c r="W1632" s="7">
        <v>0</v>
      </c>
      <c r="Y1632" s="8">
        <v>1250</v>
      </c>
      <c r="Z1632" s="8">
        <v>1475</v>
      </c>
      <c r="AA1632" s="8">
        <v>225</v>
      </c>
      <c r="AB1632" s="7">
        <v>0</v>
      </c>
      <c r="AD1632" s="8">
        <v>0</v>
      </c>
      <c r="AG1632" t="s">
        <v>817</v>
      </c>
      <c r="AH1632" t="s">
        <v>802</v>
      </c>
      <c r="AI1632" t="s">
        <v>818</v>
      </c>
    </row>
    <row r="1633" spans="1:35" hidden="1">
      <c r="A1633" s="7">
        <v>1632</v>
      </c>
      <c r="B1633" t="s">
        <v>243</v>
      </c>
      <c r="C1633" t="s">
        <v>244</v>
      </c>
      <c r="D1633" s="7">
        <v>7134</v>
      </c>
      <c r="E1633" t="s">
        <v>245</v>
      </c>
      <c r="F1633" t="s">
        <v>246</v>
      </c>
      <c r="G1633" t="s">
        <v>1066</v>
      </c>
      <c r="H1633" t="s">
        <v>4969</v>
      </c>
      <c r="I1633" s="7">
        <v>1165</v>
      </c>
      <c r="J1633" s="7">
        <v>123485</v>
      </c>
      <c r="K1633" s="7">
        <v>12</v>
      </c>
      <c r="L1633" t="s">
        <v>247</v>
      </c>
      <c r="M1633" t="s">
        <v>252</v>
      </c>
      <c r="N1633" s="7">
        <v>317851</v>
      </c>
      <c r="O1633" t="s">
        <v>1067</v>
      </c>
      <c r="P1633" t="s">
        <v>1068</v>
      </c>
      <c r="Q1633" t="s">
        <v>908</v>
      </c>
      <c r="R1633" t="s">
        <v>909</v>
      </c>
      <c r="S1633" t="s">
        <v>3831</v>
      </c>
      <c r="T1633" t="s">
        <v>4942</v>
      </c>
      <c r="U1633" t="s">
        <v>4943</v>
      </c>
      <c r="V1633" s="8">
        <v>0</v>
      </c>
      <c r="W1633" s="7">
        <v>0</v>
      </c>
      <c r="Y1633" s="8">
        <v>0</v>
      </c>
      <c r="Z1633" s="8">
        <v>0</v>
      </c>
      <c r="AA1633" s="8">
        <v>0</v>
      </c>
      <c r="AB1633" s="7">
        <v>0</v>
      </c>
      <c r="AD1633" s="8">
        <v>0</v>
      </c>
      <c r="AG1633" t="s">
        <v>937</v>
      </c>
      <c r="AH1633" t="s">
        <v>802</v>
      </c>
      <c r="AI1633" t="s">
        <v>803</v>
      </c>
    </row>
    <row r="1634" spans="1:35" hidden="1">
      <c r="A1634" s="7">
        <v>1633</v>
      </c>
      <c r="B1634" t="s">
        <v>243</v>
      </c>
      <c r="C1634" t="s">
        <v>244</v>
      </c>
      <c r="D1634" s="7">
        <v>7134</v>
      </c>
      <c r="E1634" t="s">
        <v>245</v>
      </c>
      <c r="F1634" t="s">
        <v>246</v>
      </c>
      <c r="G1634" t="s">
        <v>263</v>
      </c>
      <c r="H1634" t="s">
        <v>4961</v>
      </c>
      <c r="I1634" s="7">
        <v>859</v>
      </c>
      <c r="J1634" s="7">
        <v>50000</v>
      </c>
      <c r="K1634" s="7">
        <v>3</v>
      </c>
      <c r="L1634" t="s">
        <v>247</v>
      </c>
      <c r="M1634" t="s">
        <v>261</v>
      </c>
      <c r="N1634" s="7">
        <v>796581</v>
      </c>
      <c r="O1634" t="s">
        <v>2206</v>
      </c>
      <c r="P1634" t="s">
        <v>2207</v>
      </c>
      <c r="S1634" t="s">
        <v>3831</v>
      </c>
      <c r="T1634" t="s">
        <v>4942</v>
      </c>
      <c r="U1634" t="s">
        <v>4943</v>
      </c>
      <c r="V1634" s="8">
        <v>1250</v>
      </c>
      <c r="W1634" s="7">
        <v>0</v>
      </c>
      <c r="Y1634" s="8">
        <v>1250</v>
      </c>
      <c r="Z1634" s="8">
        <v>1475</v>
      </c>
      <c r="AA1634" s="8">
        <v>225</v>
      </c>
      <c r="AB1634" s="7">
        <v>0</v>
      </c>
      <c r="AD1634" s="8">
        <v>0</v>
      </c>
      <c r="AG1634" t="s">
        <v>817</v>
      </c>
      <c r="AH1634" t="s">
        <v>802</v>
      </c>
      <c r="AI1634" t="s">
        <v>818</v>
      </c>
    </row>
    <row r="1635" spans="1:35" hidden="1">
      <c r="A1635" s="7">
        <v>1634</v>
      </c>
      <c r="B1635" t="s">
        <v>243</v>
      </c>
      <c r="C1635" t="s">
        <v>244</v>
      </c>
      <c r="D1635" s="7">
        <v>7134</v>
      </c>
      <c r="E1635" t="s">
        <v>245</v>
      </c>
      <c r="F1635" t="s">
        <v>246</v>
      </c>
      <c r="G1635" t="s">
        <v>727</v>
      </c>
      <c r="H1635" t="s">
        <v>4950</v>
      </c>
      <c r="I1635" s="7">
        <v>1165</v>
      </c>
      <c r="J1635" s="7">
        <v>4848</v>
      </c>
      <c r="K1635" s="7">
        <v>3</v>
      </c>
      <c r="L1635" t="s">
        <v>247</v>
      </c>
      <c r="M1635" t="s">
        <v>261</v>
      </c>
      <c r="N1635" s="7">
        <v>778198</v>
      </c>
      <c r="O1635" t="s">
        <v>745</v>
      </c>
      <c r="P1635" t="s">
        <v>746</v>
      </c>
      <c r="S1635" t="s">
        <v>3831</v>
      </c>
      <c r="T1635" t="s">
        <v>4942</v>
      </c>
      <c r="U1635" t="s">
        <v>4943</v>
      </c>
      <c r="V1635" s="8">
        <v>1250</v>
      </c>
      <c r="W1635" s="7">
        <v>0</v>
      </c>
      <c r="Y1635" s="8">
        <v>1250</v>
      </c>
      <c r="Z1635" s="8">
        <v>1475</v>
      </c>
      <c r="AA1635" s="8">
        <v>225</v>
      </c>
      <c r="AB1635" s="7">
        <v>0</v>
      </c>
      <c r="AD1635" s="8">
        <v>0</v>
      </c>
      <c r="AG1635" t="s">
        <v>808</v>
      </c>
      <c r="AH1635" t="s">
        <v>802</v>
      </c>
      <c r="AI1635" t="s">
        <v>818</v>
      </c>
    </row>
    <row r="1636" spans="1:35" hidden="1">
      <c r="A1636" s="7">
        <v>1635</v>
      </c>
      <c r="B1636" t="s">
        <v>243</v>
      </c>
      <c r="C1636" t="s">
        <v>244</v>
      </c>
      <c r="D1636" s="7">
        <v>7134</v>
      </c>
      <c r="E1636" t="s">
        <v>245</v>
      </c>
      <c r="F1636" t="s">
        <v>246</v>
      </c>
      <c r="G1636" t="s">
        <v>589</v>
      </c>
      <c r="H1636" t="s">
        <v>4955</v>
      </c>
      <c r="I1636" s="7">
        <v>1165</v>
      </c>
      <c r="J1636" s="7">
        <v>30718</v>
      </c>
      <c r="K1636" s="7">
        <v>4</v>
      </c>
      <c r="L1636" t="s">
        <v>247</v>
      </c>
      <c r="M1636" t="s">
        <v>261</v>
      </c>
      <c r="N1636" s="7">
        <v>802530</v>
      </c>
      <c r="O1636" t="s">
        <v>591</v>
      </c>
      <c r="P1636" t="s">
        <v>592</v>
      </c>
      <c r="S1636" t="s">
        <v>3831</v>
      </c>
      <c r="T1636" t="s">
        <v>4942</v>
      </c>
      <c r="U1636" t="s">
        <v>4943</v>
      </c>
      <c r="V1636" s="8">
        <v>0</v>
      </c>
      <c r="W1636" s="7">
        <v>0</v>
      </c>
      <c r="Y1636" s="8">
        <v>0</v>
      </c>
      <c r="Z1636" s="8">
        <v>0</v>
      </c>
      <c r="AA1636" s="8">
        <v>0</v>
      </c>
      <c r="AB1636" s="7">
        <v>0</v>
      </c>
      <c r="AD1636" s="8">
        <v>0</v>
      </c>
      <c r="AG1636" t="s">
        <v>801</v>
      </c>
      <c r="AH1636" t="s">
        <v>802</v>
      </c>
      <c r="AI1636" t="s">
        <v>803</v>
      </c>
    </row>
    <row r="1637" spans="1:35" hidden="1">
      <c r="A1637" s="7">
        <v>1636</v>
      </c>
      <c r="B1637" t="s">
        <v>243</v>
      </c>
      <c r="C1637" t="s">
        <v>244</v>
      </c>
      <c r="D1637" s="7">
        <v>7134</v>
      </c>
      <c r="E1637" t="s">
        <v>245</v>
      </c>
      <c r="F1637" t="s">
        <v>246</v>
      </c>
      <c r="G1637" t="s">
        <v>3097</v>
      </c>
      <c r="H1637" t="s">
        <v>4950</v>
      </c>
      <c r="I1637" s="7">
        <v>1165</v>
      </c>
      <c r="J1637" s="7">
        <v>7192</v>
      </c>
      <c r="K1637" s="7">
        <v>1</v>
      </c>
      <c r="L1637" t="s">
        <v>247</v>
      </c>
      <c r="M1637" t="s">
        <v>261</v>
      </c>
      <c r="N1637" s="7">
        <v>803991</v>
      </c>
      <c r="O1637" t="s">
        <v>3206</v>
      </c>
      <c r="P1637" t="s">
        <v>3207</v>
      </c>
      <c r="S1637" t="s">
        <v>3831</v>
      </c>
      <c r="T1637" t="s">
        <v>4942</v>
      </c>
      <c r="U1637" t="s">
        <v>4943</v>
      </c>
      <c r="V1637" s="8">
        <v>1250</v>
      </c>
      <c r="W1637" s="7">
        <v>0</v>
      </c>
      <c r="Y1637" s="8">
        <v>1250</v>
      </c>
      <c r="Z1637" s="8">
        <v>1475</v>
      </c>
      <c r="AA1637" s="8">
        <v>225</v>
      </c>
      <c r="AB1637" s="7">
        <v>0</v>
      </c>
      <c r="AD1637" s="8">
        <v>0</v>
      </c>
      <c r="AG1637" t="s">
        <v>817</v>
      </c>
      <c r="AH1637" t="s">
        <v>802</v>
      </c>
      <c r="AI1637" t="s">
        <v>818</v>
      </c>
    </row>
    <row r="1638" spans="1:35" hidden="1">
      <c r="A1638" s="7">
        <v>1637</v>
      </c>
      <c r="B1638" t="s">
        <v>243</v>
      </c>
      <c r="C1638" t="s">
        <v>244</v>
      </c>
      <c r="D1638" s="7">
        <v>7134</v>
      </c>
      <c r="E1638" t="s">
        <v>245</v>
      </c>
      <c r="F1638" t="s">
        <v>246</v>
      </c>
      <c r="G1638" t="s">
        <v>939</v>
      </c>
      <c r="H1638" t="s">
        <v>4970</v>
      </c>
      <c r="I1638" s="7">
        <v>900</v>
      </c>
      <c r="J1638" s="7">
        <v>32021</v>
      </c>
      <c r="K1638" s="7">
        <v>5</v>
      </c>
      <c r="L1638" t="s">
        <v>247</v>
      </c>
      <c r="M1638" t="s">
        <v>261</v>
      </c>
      <c r="N1638" s="7">
        <v>778270</v>
      </c>
      <c r="O1638" t="s">
        <v>2024</v>
      </c>
      <c r="P1638" t="s">
        <v>2025</v>
      </c>
      <c r="S1638" t="s">
        <v>3831</v>
      </c>
      <c r="T1638" t="s">
        <v>4942</v>
      </c>
      <c r="U1638" t="s">
        <v>4943</v>
      </c>
      <c r="V1638" s="8">
        <v>1250</v>
      </c>
      <c r="W1638" s="7">
        <v>0</v>
      </c>
      <c r="Y1638" s="8">
        <v>1250</v>
      </c>
      <c r="Z1638" s="8">
        <v>1475</v>
      </c>
      <c r="AA1638" s="8">
        <v>225</v>
      </c>
      <c r="AB1638" s="7">
        <v>0</v>
      </c>
      <c r="AD1638" s="8">
        <v>0</v>
      </c>
      <c r="AG1638" t="s">
        <v>808</v>
      </c>
      <c r="AH1638" t="s">
        <v>802</v>
      </c>
      <c r="AI1638" t="s">
        <v>818</v>
      </c>
    </row>
    <row r="1639" spans="1:35" hidden="1">
      <c r="A1639" s="7">
        <v>1638</v>
      </c>
      <c r="B1639" t="s">
        <v>243</v>
      </c>
      <c r="C1639" t="s">
        <v>244</v>
      </c>
      <c r="D1639" s="7">
        <v>7134</v>
      </c>
      <c r="E1639" t="s">
        <v>245</v>
      </c>
      <c r="F1639" t="s">
        <v>246</v>
      </c>
      <c r="G1639" t="s">
        <v>3352</v>
      </c>
      <c r="H1639" t="s">
        <v>4971</v>
      </c>
      <c r="I1639" s="7">
        <v>1165</v>
      </c>
      <c r="J1639" s="7">
        <v>11520</v>
      </c>
      <c r="K1639" s="7">
        <v>1</v>
      </c>
      <c r="L1639" t="s">
        <v>247</v>
      </c>
      <c r="M1639" t="s">
        <v>252</v>
      </c>
      <c r="N1639" s="7">
        <v>333667</v>
      </c>
      <c r="O1639" t="s">
        <v>4972</v>
      </c>
      <c r="P1639" t="s">
        <v>4973</v>
      </c>
      <c r="S1639" t="s">
        <v>3831</v>
      </c>
      <c r="T1639" t="s">
        <v>4942</v>
      </c>
      <c r="U1639" t="s">
        <v>4943</v>
      </c>
      <c r="V1639" s="8">
        <v>1250</v>
      </c>
      <c r="W1639" s="7">
        <v>0</v>
      </c>
      <c r="Y1639" s="8">
        <v>1250</v>
      </c>
      <c r="Z1639" s="8">
        <v>1475</v>
      </c>
      <c r="AA1639" s="8">
        <v>225</v>
      </c>
      <c r="AB1639" s="7">
        <v>0</v>
      </c>
      <c r="AD1639" s="8">
        <v>0</v>
      </c>
      <c r="AG1639" t="s">
        <v>937</v>
      </c>
      <c r="AH1639" t="s">
        <v>802</v>
      </c>
      <c r="AI1639" t="s">
        <v>818</v>
      </c>
    </row>
    <row r="1640" spans="1:35" hidden="1">
      <c r="A1640" s="7">
        <v>1639</v>
      </c>
      <c r="B1640" t="s">
        <v>243</v>
      </c>
      <c r="C1640" t="s">
        <v>244</v>
      </c>
      <c r="D1640" s="7">
        <v>7134</v>
      </c>
      <c r="E1640" t="s">
        <v>245</v>
      </c>
      <c r="F1640" t="s">
        <v>246</v>
      </c>
      <c r="G1640" t="s">
        <v>273</v>
      </c>
      <c r="H1640" t="s">
        <v>4950</v>
      </c>
      <c r="I1640" s="7">
        <v>1165</v>
      </c>
      <c r="J1640" s="7">
        <v>25760</v>
      </c>
      <c r="K1640" s="7">
        <v>2</v>
      </c>
      <c r="L1640" t="s">
        <v>247</v>
      </c>
      <c r="M1640" t="s">
        <v>261</v>
      </c>
      <c r="N1640" s="7">
        <v>798838</v>
      </c>
      <c r="O1640" t="s">
        <v>445</v>
      </c>
      <c r="P1640" t="s">
        <v>446</v>
      </c>
      <c r="S1640" t="s">
        <v>3831</v>
      </c>
      <c r="T1640" t="s">
        <v>4942</v>
      </c>
      <c r="U1640" t="s">
        <v>4943</v>
      </c>
      <c r="V1640" s="8">
        <v>1250</v>
      </c>
      <c r="W1640" s="7">
        <v>0</v>
      </c>
      <c r="Y1640" s="8">
        <v>1250</v>
      </c>
      <c r="Z1640" s="8">
        <v>1475</v>
      </c>
      <c r="AA1640" s="8">
        <v>225</v>
      </c>
      <c r="AB1640" s="7">
        <v>0</v>
      </c>
      <c r="AD1640" s="8">
        <v>0</v>
      </c>
      <c r="AG1640" t="s">
        <v>817</v>
      </c>
      <c r="AH1640" t="s">
        <v>802</v>
      </c>
      <c r="AI1640" t="s">
        <v>818</v>
      </c>
    </row>
    <row r="1641" spans="1:35" hidden="1">
      <c r="A1641" s="7">
        <v>1640</v>
      </c>
      <c r="B1641" t="s">
        <v>243</v>
      </c>
      <c r="C1641" t="s">
        <v>244</v>
      </c>
      <c r="D1641" s="7">
        <v>7134</v>
      </c>
      <c r="E1641" t="s">
        <v>245</v>
      </c>
      <c r="F1641" t="s">
        <v>246</v>
      </c>
      <c r="G1641" t="s">
        <v>400</v>
      </c>
      <c r="H1641" t="s">
        <v>4966</v>
      </c>
      <c r="I1641" s="7">
        <v>826</v>
      </c>
      <c r="J1641" s="7">
        <v>51000</v>
      </c>
      <c r="K1641" s="7">
        <v>3</v>
      </c>
      <c r="L1641" t="s">
        <v>247</v>
      </c>
      <c r="M1641" t="s">
        <v>261</v>
      </c>
      <c r="N1641" s="7">
        <v>796523</v>
      </c>
      <c r="O1641" t="s">
        <v>2045</v>
      </c>
      <c r="P1641" t="s">
        <v>2046</v>
      </c>
      <c r="Q1641" t="s">
        <v>908</v>
      </c>
      <c r="R1641" t="s">
        <v>909</v>
      </c>
      <c r="S1641" t="s">
        <v>3831</v>
      </c>
      <c r="T1641" t="s">
        <v>4942</v>
      </c>
      <c r="U1641" t="s">
        <v>4943</v>
      </c>
      <c r="V1641" s="8">
        <v>1250</v>
      </c>
      <c r="W1641" s="7">
        <v>0</v>
      </c>
      <c r="Y1641" s="8">
        <v>1000</v>
      </c>
      <c r="Z1641" s="8">
        <v>1475</v>
      </c>
      <c r="AA1641" s="8">
        <v>225</v>
      </c>
      <c r="AB1641" s="7">
        <v>0</v>
      </c>
      <c r="AD1641" s="8">
        <v>250</v>
      </c>
      <c r="AG1641" t="s">
        <v>817</v>
      </c>
      <c r="AH1641" t="s">
        <v>802</v>
      </c>
      <c r="AI1641" t="s">
        <v>818</v>
      </c>
    </row>
    <row r="1642" spans="1:35" hidden="1">
      <c r="A1642" s="7">
        <v>1641</v>
      </c>
      <c r="B1642" t="s">
        <v>243</v>
      </c>
      <c r="C1642" t="s">
        <v>244</v>
      </c>
      <c r="D1642" s="7">
        <v>7134</v>
      </c>
      <c r="E1642" t="s">
        <v>245</v>
      </c>
      <c r="F1642" t="s">
        <v>246</v>
      </c>
      <c r="G1642" t="s">
        <v>1457</v>
      </c>
      <c r="H1642" t="s">
        <v>4949</v>
      </c>
      <c r="I1642" s="7">
        <v>876</v>
      </c>
      <c r="J1642" s="7">
        <v>50000</v>
      </c>
      <c r="K1642" s="7">
        <v>3</v>
      </c>
      <c r="L1642" t="s">
        <v>247</v>
      </c>
      <c r="M1642" t="s">
        <v>261</v>
      </c>
      <c r="N1642" s="7">
        <v>780906</v>
      </c>
      <c r="O1642" t="s">
        <v>2047</v>
      </c>
      <c r="P1642" t="s">
        <v>2048</v>
      </c>
      <c r="S1642" t="s">
        <v>3831</v>
      </c>
      <c r="T1642" t="s">
        <v>4942</v>
      </c>
      <c r="U1642" t="s">
        <v>4943</v>
      </c>
      <c r="V1642" s="8">
        <v>1250</v>
      </c>
      <c r="W1642" s="7">
        <v>0</v>
      </c>
      <c r="Y1642" s="8">
        <v>1250</v>
      </c>
      <c r="Z1642" s="8">
        <v>1475</v>
      </c>
      <c r="AA1642" s="8">
        <v>225</v>
      </c>
      <c r="AB1642" s="7">
        <v>0</v>
      </c>
      <c r="AD1642" s="8">
        <v>0</v>
      </c>
      <c r="AG1642" t="s">
        <v>817</v>
      </c>
      <c r="AH1642" t="s">
        <v>802</v>
      </c>
      <c r="AI1642" t="s">
        <v>818</v>
      </c>
    </row>
    <row r="1643" spans="1:35" hidden="1">
      <c r="A1643" s="7">
        <v>1642</v>
      </c>
      <c r="B1643" t="s">
        <v>243</v>
      </c>
      <c r="C1643" t="s">
        <v>244</v>
      </c>
      <c r="D1643" s="7">
        <v>7134</v>
      </c>
      <c r="E1643" t="s">
        <v>245</v>
      </c>
      <c r="F1643" t="s">
        <v>246</v>
      </c>
      <c r="G1643" t="s">
        <v>727</v>
      </c>
      <c r="H1643" t="s">
        <v>4950</v>
      </c>
      <c r="I1643" s="7">
        <v>1165</v>
      </c>
      <c r="J1643" s="7">
        <v>8593</v>
      </c>
      <c r="K1643" s="7">
        <v>3</v>
      </c>
      <c r="L1643" t="s">
        <v>247</v>
      </c>
      <c r="M1643" t="s">
        <v>261</v>
      </c>
      <c r="N1643" s="7">
        <v>778953</v>
      </c>
      <c r="O1643" t="s">
        <v>783</v>
      </c>
      <c r="P1643" t="s">
        <v>784</v>
      </c>
      <c r="S1643" t="s">
        <v>3831</v>
      </c>
      <c r="T1643" t="s">
        <v>4942</v>
      </c>
      <c r="U1643" t="s">
        <v>4943</v>
      </c>
      <c r="V1643" s="8">
        <v>1250</v>
      </c>
      <c r="W1643" s="7">
        <v>0</v>
      </c>
      <c r="Y1643" s="8">
        <v>1250</v>
      </c>
      <c r="Z1643" s="8">
        <v>1475</v>
      </c>
      <c r="AA1643" s="8">
        <v>225</v>
      </c>
      <c r="AB1643" s="7">
        <v>0</v>
      </c>
      <c r="AD1643" s="8">
        <v>0</v>
      </c>
      <c r="AG1643" t="s">
        <v>808</v>
      </c>
      <c r="AH1643" t="s">
        <v>802</v>
      </c>
      <c r="AI1643" t="s">
        <v>818</v>
      </c>
    </row>
    <row r="1644" spans="1:35" hidden="1">
      <c r="A1644" s="7">
        <v>1643</v>
      </c>
      <c r="B1644" t="s">
        <v>243</v>
      </c>
      <c r="C1644" t="s">
        <v>244</v>
      </c>
      <c r="D1644" s="7">
        <v>7134</v>
      </c>
      <c r="E1644" t="s">
        <v>245</v>
      </c>
      <c r="F1644" t="s">
        <v>246</v>
      </c>
      <c r="G1644" t="s">
        <v>3354</v>
      </c>
      <c r="H1644" t="s">
        <v>4953</v>
      </c>
      <c r="I1644" s="7">
        <v>1165</v>
      </c>
      <c r="J1644" s="7">
        <v>4565</v>
      </c>
      <c r="K1644" s="7">
        <v>1</v>
      </c>
      <c r="L1644" t="s">
        <v>247</v>
      </c>
      <c r="M1644" t="s">
        <v>267</v>
      </c>
      <c r="N1644" s="7">
        <v>784274</v>
      </c>
      <c r="O1644" t="s">
        <v>3551</v>
      </c>
      <c r="P1644" t="s">
        <v>3552</v>
      </c>
      <c r="S1644" t="s">
        <v>3831</v>
      </c>
      <c r="T1644" t="s">
        <v>4942</v>
      </c>
      <c r="U1644" t="s">
        <v>4943</v>
      </c>
      <c r="V1644" s="8">
        <v>1250</v>
      </c>
      <c r="W1644" s="7">
        <v>0</v>
      </c>
      <c r="Y1644" s="8">
        <v>1250</v>
      </c>
      <c r="Z1644" s="8">
        <v>1475</v>
      </c>
      <c r="AA1644" s="8">
        <v>225</v>
      </c>
      <c r="AB1644" s="7">
        <v>0</v>
      </c>
      <c r="AD1644" s="8">
        <v>0</v>
      </c>
      <c r="AG1644" t="s">
        <v>1124</v>
      </c>
      <c r="AH1644" t="s">
        <v>802</v>
      </c>
      <c r="AI1644" t="s">
        <v>818</v>
      </c>
    </row>
    <row r="1645" spans="1:35" hidden="1">
      <c r="A1645" s="7">
        <v>1644</v>
      </c>
      <c r="B1645" t="s">
        <v>243</v>
      </c>
      <c r="C1645" t="s">
        <v>244</v>
      </c>
      <c r="D1645" s="7">
        <v>7134</v>
      </c>
      <c r="E1645" t="s">
        <v>245</v>
      </c>
      <c r="F1645" t="s">
        <v>246</v>
      </c>
      <c r="G1645" t="s">
        <v>1027</v>
      </c>
      <c r="H1645" t="s">
        <v>4960</v>
      </c>
      <c r="I1645" s="7">
        <v>1165</v>
      </c>
      <c r="J1645" s="7">
        <v>111945</v>
      </c>
      <c r="K1645" s="7">
        <v>10</v>
      </c>
      <c r="L1645" t="s">
        <v>247</v>
      </c>
      <c r="M1645" t="s">
        <v>261</v>
      </c>
      <c r="N1645" s="7">
        <v>775229</v>
      </c>
      <c r="O1645" t="s">
        <v>1028</v>
      </c>
      <c r="P1645" t="s">
        <v>1029</v>
      </c>
      <c r="Q1645" t="s">
        <v>908</v>
      </c>
      <c r="R1645" t="s">
        <v>909</v>
      </c>
      <c r="S1645" t="s">
        <v>3831</v>
      </c>
      <c r="T1645" t="s">
        <v>4942</v>
      </c>
      <c r="U1645" t="s">
        <v>4943</v>
      </c>
      <c r="V1645" s="8">
        <v>0</v>
      </c>
      <c r="W1645" s="7">
        <v>0</v>
      </c>
      <c r="Y1645" s="8">
        <v>0</v>
      </c>
      <c r="Z1645" s="8">
        <v>0</v>
      </c>
      <c r="AA1645" s="8">
        <v>0</v>
      </c>
      <c r="AB1645" s="7">
        <v>0</v>
      </c>
      <c r="AD1645" s="8">
        <v>0</v>
      </c>
      <c r="AG1645" t="s">
        <v>801</v>
      </c>
      <c r="AH1645" t="s">
        <v>802</v>
      </c>
      <c r="AI1645" t="s">
        <v>803</v>
      </c>
    </row>
    <row r="1646" spans="1:35" hidden="1">
      <c r="A1646" s="7">
        <v>1645</v>
      </c>
      <c r="B1646" t="s">
        <v>243</v>
      </c>
      <c r="C1646" t="s">
        <v>244</v>
      </c>
      <c r="D1646" s="7">
        <v>7134</v>
      </c>
      <c r="E1646" t="s">
        <v>245</v>
      </c>
      <c r="F1646" t="s">
        <v>246</v>
      </c>
      <c r="G1646" t="s">
        <v>4864</v>
      </c>
      <c r="H1646" t="s">
        <v>4956</v>
      </c>
      <c r="I1646" s="7">
        <v>1165</v>
      </c>
      <c r="J1646" s="7">
        <v>2300</v>
      </c>
      <c r="K1646" s="7">
        <v>1</v>
      </c>
      <c r="L1646" t="s">
        <v>247</v>
      </c>
      <c r="M1646" t="s">
        <v>252</v>
      </c>
      <c r="N1646" s="7">
        <v>330596</v>
      </c>
      <c r="O1646" t="s">
        <v>4974</v>
      </c>
      <c r="P1646" t="s">
        <v>4975</v>
      </c>
      <c r="S1646" t="s">
        <v>3831</v>
      </c>
      <c r="T1646" t="s">
        <v>4942</v>
      </c>
      <c r="U1646" t="s">
        <v>4943</v>
      </c>
      <c r="V1646" s="8">
        <v>1250</v>
      </c>
      <c r="W1646" s="7">
        <v>0</v>
      </c>
      <c r="Y1646" s="8">
        <v>1250</v>
      </c>
      <c r="Z1646" s="8">
        <v>1475</v>
      </c>
      <c r="AA1646" s="8">
        <v>225</v>
      </c>
      <c r="AB1646" s="7">
        <v>0</v>
      </c>
      <c r="AD1646" s="8">
        <v>0</v>
      </c>
      <c r="AG1646" t="s">
        <v>937</v>
      </c>
      <c r="AH1646" t="s">
        <v>802</v>
      </c>
      <c r="AI1646" t="s">
        <v>818</v>
      </c>
    </row>
    <row r="1647" spans="1:35" hidden="1">
      <c r="A1647" s="7">
        <v>1646</v>
      </c>
      <c r="B1647" t="s">
        <v>243</v>
      </c>
      <c r="C1647" t="s">
        <v>244</v>
      </c>
      <c r="D1647" s="7">
        <v>7134</v>
      </c>
      <c r="E1647" t="s">
        <v>245</v>
      </c>
      <c r="F1647" t="s">
        <v>246</v>
      </c>
      <c r="G1647" t="s">
        <v>872</v>
      </c>
      <c r="H1647" t="s">
        <v>4956</v>
      </c>
      <c r="I1647" s="7">
        <v>1165</v>
      </c>
      <c r="J1647" s="7">
        <v>80000</v>
      </c>
      <c r="K1647" s="7">
        <v>9</v>
      </c>
      <c r="L1647" t="s">
        <v>247</v>
      </c>
      <c r="M1647" t="s">
        <v>261</v>
      </c>
      <c r="N1647" s="7">
        <v>775504</v>
      </c>
      <c r="O1647" t="s">
        <v>873</v>
      </c>
      <c r="P1647" t="s">
        <v>874</v>
      </c>
      <c r="S1647" t="s">
        <v>3831</v>
      </c>
      <c r="T1647" t="s">
        <v>4942</v>
      </c>
      <c r="U1647" t="s">
        <v>4943</v>
      </c>
      <c r="V1647" s="8">
        <v>0</v>
      </c>
      <c r="W1647" s="7">
        <v>0</v>
      </c>
      <c r="Y1647" s="8">
        <v>0</v>
      </c>
      <c r="Z1647" s="8">
        <v>0</v>
      </c>
      <c r="AA1647" s="8">
        <v>0</v>
      </c>
      <c r="AB1647" s="7">
        <v>0</v>
      </c>
      <c r="AD1647" s="8">
        <v>0</v>
      </c>
      <c r="AG1647" t="s">
        <v>801</v>
      </c>
      <c r="AH1647" t="s">
        <v>802</v>
      </c>
      <c r="AI1647" t="s">
        <v>803</v>
      </c>
    </row>
    <row r="1648" spans="1:35" hidden="1">
      <c r="A1648" s="7">
        <v>1647</v>
      </c>
      <c r="B1648" t="s">
        <v>243</v>
      </c>
      <c r="C1648" t="s">
        <v>244</v>
      </c>
      <c r="D1648" s="7">
        <v>7134</v>
      </c>
      <c r="E1648" t="s">
        <v>245</v>
      </c>
      <c r="F1648" t="s">
        <v>246</v>
      </c>
      <c r="G1648" t="s">
        <v>263</v>
      </c>
      <c r="H1648" t="s">
        <v>4976</v>
      </c>
      <c r="I1648" s="7">
        <v>878</v>
      </c>
      <c r="J1648" s="7">
        <v>50000</v>
      </c>
      <c r="K1648" s="7">
        <v>3</v>
      </c>
      <c r="L1648" t="s">
        <v>247</v>
      </c>
      <c r="M1648" t="s">
        <v>261</v>
      </c>
      <c r="N1648" s="7">
        <v>795754</v>
      </c>
      <c r="O1648" t="s">
        <v>1933</v>
      </c>
      <c r="P1648" t="s">
        <v>1934</v>
      </c>
      <c r="S1648" t="s">
        <v>3831</v>
      </c>
      <c r="T1648" t="s">
        <v>4942</v>
      </c>
      <c r="U1648" t="s">
        <v>4943</v>
      </c>
      <c r="V1648" s="8">
        <v>1250</v>
      </c>
      <c r="W1648" s="7">
        <v>0</v>
      </c>
      <c r="Y1648" s="8">
        <v>1250</v>
      </c>
      <c r="Z1648" s="8">
        <v>1475</v>
      </c>
      <c r="AA1648" s="8">
        <v>225</v>
      </c>
      <c r="AB1648" s="7">
        <v>0</v>
      </c>
      <c r="AD1648" s="8">
        <v>0</v>
      </c>
      <c r="AG1648" t="s">
        <v>817</v>
      </c>
      <c r="AH1648" t="s">
        <v>802</v>
      </c>
      <c r="AI1648" t="s">
        <v>818</v>
      </c>
    </row>
    <row r="1649" spans="1:35" hidden="1">
      <c r="A1649" s="7">
        <v>1648</v>
      </c>
      <c r="B1649" t="s">
        <v>243</v>
      </c>
      <c r="C1649" t="s">
        <v>244</v>
      </c>
      <c r="D1649" s="7">
        <v>7134</v>
      </c>
      <c r="E1649" t="s">
        <v>245</v>
      </c>
      <c r="F1649" t="s">
        <v>246</v>
      </c>
      <c r="G1649" t="s">
        <v>1125</v>
      </c>
      <c r="H1649" t="s">
        <v>4949</v>
      </c>
      <c r="I1649" s="7">
        <v>1165</v>
      </c>
      <c r="J1649" s="7">
        <v>93311</v>
      </c>
      <c r="K1649" s="7">
        <v>10</v>
      </c>
      <c r="L1649" t="s">
        <v>247</v>
      </c>
      <c r="M1649" t="s">
        <v>361</v>
      </c>
      <c r="N1649" s="7">
        <v>3261</v>
      </c>
      <c r="O1649" t="s">
        <v>1126</v>
      </c>
      <c r="P1649" t="s">
        <v>1127</v>
      </c>
      <c r="S1649" t="s">
        <v>3831</v>
      </c>
      <c r="T1649" t="s">
        <v>4942</v>
      </c>
      <c r="U1649" t="s">
        <v>4943</v>
      </c>
      <c r="V1649" s="8">
        <v>0</v>
      </c>
      <c r="W1649" s="7">
        <v>0</v>
      </c>
      <c r="Y1649" s="8">
        <v>0</v>
      </c>
      <c r="Z1649" s="8">
        <v>0</v>
      </c>
      <c r="AA1649" s="8">
        <v>0</v>
      </c>
      <c r="AB1649" s="7">
        <v>0</v>
      </c>
      <c r="AD1649" s="8">
        <v>0</v>
      </c>
      <c r="AG1649" t="s">
        <v>823</v>
      </c>
      <c r="AH1649" t="s">
        <v>802</v>
      </c>
      <c r="AI1649" t="s">
        <v>803</v>
      </c>
    </row>
    <row r="1650" spans="1:35" hidden="1">
      <c r="A1650" s="7">
        <v>1649</v>
      </c>
      <c r="B1650" t="s">
        <v>243</v>
      </c>
      <c r="C1650" t="s">
        <v>244</v>
      </c>
      <c r="D1650" s="7">
        <v>7134</v>
      </c>
      <c r="E1650" t="s">
        <v>245</v>
      </c>
      <c r="F1650" t="s">
        <v>246</v>
      </c>
      <c r="G1650" t="s">
        <v>1050</v>
      </c>
      <c r="H1650" t="s">
        <v>4962</v>
      </c>
      <c r="I1650" s="7">
        <v>1165</v>
      </c>
      <c r="J1650" s="7">
        <v>73600</v>
      </c>
      <c r="K1650" s="7">
        <v>7</v>
      </c>
      <c r="L1650" t="s">
        <v>247</v>
      </c>
      <c r="M1650" t="s">
        <v>261</v>
      </c>
      <c r="N1650" s="7">
        <v>787043</v>
      </c>
      <c r="O1650" t="s">
        <v>1205</v>
      </c>
      <c r="P1650" t="s">
        <v>1206</v>
      </c>
      <c r="Q1650" t="s">
        <v>908</v>
      </c>
      <c r="R1650" t="s">
        <v>909</v>
      </c>
      <c r="S1650" t="s">
        <v>3831</v>
      </c>
      <c r="T1650" t="s">
        <v>4942</v>
      </c>
      <c r="U1650" t="s">
        <v>4943</v>
      </c>
      <c r="V1650" s="8">
        <v>0</v>
      </c>
      <c r="W1650" s="7">
        <v>0</v>
      </c>
      <c r="Y1650" s="8">
        <v>0</v>
      </c>
      <c r="Z1650" s="8">
        <v>0</v>
      </c>
      <c r="AA1650" s="8">
        <v>0</v>
      </c>
      <c r="AB1650" s="7">
        <v>0</v>
      </c>
      <c r="AD1650" s="8">
        <v>0</v>
      </c>
      <c r="AG1650" t="s">
        <v>801</v>
      </c>
      <c r="AH1650" t="s">
        <v>802</v>
      </c>
      <c r="AI1650" t="s">
        <v>803</v>
      </c>
    </row>
    <row r="1651" spans="1:35" hidden="1">
      <c r="A1651" s="7">
        <v>1650</v>
      </c>
      <c r="B1651" t="s">
        <v>243</v>
      </c>
      <c r="C1651" t="s">
        <v>244</v>
      </c>
      <c r="D1651" s="7">
        <v>7134</v>
      </c>
      <c r="E1651" t="s">
        <v>245</v>
      </c>
      <c r="F1651" t="s">
        <v>246</v>
      </c>
      <c r="G1651" t="s">
        <v>4864</v>
      </c>
      <c r="H1651" t="s">
        <v>4971</v>
      </c>
      <c r="I1651" s="7">
        <v>1165</v>
      </c>
      <c r="J1651" s="7">
        <v>8593</v>
      </c>
      <c r="K1651" s="7">
        <v>1</v>
      </c>
      <c r="L1651" t="s">
        <v>247</v>
      </c>
      <c r="M1651" t="s">
        <v>361</v>
      </c>
      <c r="N1651" s="7">
        <v>9768</v>
      </c>
      <c r="O1651" t="s">
        <v>4977</v>
      </c>
      <c r="P1651" t="s">
        <v>4978</v>
      </c>
      <c r="S1651" t="s">
        <v>3831</v>
      </c>
      <c r="T1651" t="s">
        <v>4942</v>
      </c>
      <c r="U1651" t="s">
        <v>4943</v>
      </c>
      <c r="V1651" s="8">
        <v>1650</v>
      </c>
      <c r="W1651" s="7">
        <v>0</v>
      </c>
      <c r="Y1651" s="8">
        <v>1650</v>
      </c>
      <c r="Z1651" s="8">
        <v>1947</v>
      </c>
      <c r="AA1651" s="8">
        <v>297</v>
      </c>
      <c r="AB1651" s="7">
        <v>0</v>
      </c>
      <c r="AD1651" s="8">
        <v>0</v>
      </c>
      <c r="AG1651" t="s">
        <v>823</v>
      </c>
      <c r="AH1651" t="s">
        <v>802</v>
      </c>
      <c r="AI1651" t="s">
        <v>818</v>
      </c>
    </row>
    <row r="1652" spans="1:35" hidden="1">
      <c r="A1652" s="7">
        <v>1651</v>
      </c>
      <c r="B1652" t="s">
        <v>243</v>
      </c>
      <c r="C1652" t="s">
        <v>244</v>
      </c>
      <c r="D1652" s="7">
        <v>7134</v>
      </c>
      <c r="E1652" t="s">
        <v>245</v>
      </c>
      <c r="F1652" t="s">
        <v>246</v>
      </c>
      <c r="G1652" t="s">
        <v>1306</v>
      </c>
      <c r="H1652" t="s">
        <v>4979</v>
      </c>
      <c r="I1652" s="7">
        <v>857</v>
      </c>
      <c r="J1652" s="7">
        <v>50000</v>
      </c>
      <c r="K1652" s="7">
        <v>3</v>
      </c>
      <c r="L1652" t="s">
        <v>247</v>
      </c>
      <c r="M1652" t="s">
        <v>261</v>
      </c>
      <c r="N1652" s="7">
        <v>7079654</v>
      </c>
      <c r="O1652" t="s">
        <v>1962</v>
      </c>
      <c r="P1652" t="s">
        <v>1963</v>
      </c>
      <c r="S1652" t="s">
        <v>3831</v>
      </c>
      <c r="T1652" t="s">
        <v>4942</v>
      </c>
      <c r="U1652" t="s">
        <v>4943</v>
      </c>
      <c r="V1652" s="8">
        <v>1250</v>
      </c>
      <c r="W1652" s="7">
        <v>0</v>
      </c>
      <c r="Y1652" s="8">
        <v>1250</v>
      </c>
      <c r="Z1652" s="8">
        <v>1475</v>
      </c>
      <c r="AA1652" s="8">
        <v>225</v>
      </c>
      <c r="AB1652" s="7">
        <v>0</v>
      </c>
      <c r="AD1652" s="8">
        <v>0</v>
      </c>
      <c r="AG1652" t="s">
        <v>817</v>
      </c>
      <c r="AH1652" t="s">
        <v>802</v>
      </c>
      <c r="AI1652" t="s">
        <v>818</v>
      </c>
    </row>
    <row r="1653" spans="1:35" hidden="1">
      <c r="A1653" s="7">
        <v>1652</v>
      </c>
      <c r="B1653" t="s">
        <v>243</v>
      </c>
      <c r="C1653" t="s">
        <v>244</v>
      </c>
      <c r="D1653" s="7">
        <v>7134</v>
      </c>
      <c r="E1653" t="s">
        <v>245</v>
      </c>
      <c r="F1653" t="s">
        <v>246</v>
      </c>
      <c r="G1653" t="s">
        <v>3736</v>
      </c>
      <c r="H1653" t="s">
        <v>4969</v>
      </c>
      <c r="I1653" s="7">
        <v>1165</v>
      </c>
      <c r="J1653" s="7">
        <v>10000</v>
      </c>
      <c r="K1653" s="7">
        <v>1</v>
      </c>
      <c r="L1653" t="s">
        <v>247</v>
      </c>
      <c r="M1653" t="s">
        <v>361</v>
      </c>
      <c r="N1653" s="7">
        <v>910080011</v>
      </c>
      <c r="O1653" t="s">
        <v>4418</v>
      </c>
      <c r="P1653" t="s">
        <v>4419</v>
      </c>
      <c r="S1653" t="s">
        <v>3831</v>
      </c>
      <c r="T1653" t="s">
        <v>4942</v>
      </c>
      <c r="U1653" t="s">
        <v>4943</v>
      </c>
      <c r="V1653" s="8">
        <v>1650</v>
      </c>
      <c r="W1653" s="7">
        <v>0</v>
      </c>
      <c r="Y1653" s="8">
        <v>1650</v>
      </c>
      <c r="Z1653" s="8">
        <v>1947</v>
      </c>
      <c r="AA1653" s="8">
        <v>297</v>
      </c>
      <c r="AB1653" s="7">
        <v>0</v>
      </c>
      <c r="AD1653" s="8">
        <v>0</v>
      </c>
      <c r="AG1653" t="s">
        <v>823</v>
      </c>
      <c r="AH1653" t="s">
        <v>802</v>
      </c>
      <c r="AI1653" t="s">
        <v>818</v>
      </c>
    </row>
    <row r="1654" spans="1:35" hidden="1">
      <c r="A1654" s="7">
        <v>1653</v>
      </c>
      <c r="B1654" t="s">
        <v>243</v>
      </c>
      <c r="C1654" t="s">
        <v>244</v>
      </c>
      <c r="D1654" s="7">
        <v>7134</v>
      </c>
      <c r="E1654" t="s">
        <v>245</v>
      </c>
      <c r="F1654" t="s">
        <v>246</v>
      </c>
      <c r="G1654" t="s">
        <v>1685</v>
      </c>
      <c r="H1654" t="s">
        <v>4969</v>
      </c>
      <c r="I1654" s="7">
        <v>799</v>
      </c>
      <c r="J1654" s="7">
        <v>74527</v>
      </c>
      <c r="K1654" s="7">
        <v>5</v>
      </c>
      <c r="L1654" t="s">
        <v>247</v>
      </c>
      <c r="M1654" t="s">
        <v>261</v>
      </c>
      <c r="N1654" s="7">
        <v>780478</v>
      </c>
      <c r="O1654" t="s">
        <v>2019</v>
      </c>
      <c r="P1654" t="s">
        <v>2020</v>
      </c>
      <c r="S1654" t="s">
        <v>3831</v>
      </c>
      <c r="T1654" t="s">
        <v>4942</v>
      </c>
      <c r="U1654" t="s">
        <v>4943</v>
      </c>
      <c r="V1654" s="8">
        <v>0</v>
      </c>
      <c r="W1654" s="7">
        <v>0</v>
      </c>
      <c r="Y1654" s="8">
        <v>0</v>
      </c>
      <c r="Z1654" s="8">
        <v>0</v>
      </c>
      <c r="AA1654" s="8">
        <v>0</v>
      </c>
      <c r="AB1654" s="7">
        <v>0</v>
      </c>
      <c r="AD1654" s="8">
        <v>0</v>
      </c>
      <c r="AG1654" t="s">
        <v>801</v>
      </c>
      <c r="AH1654" t="s">
        <v>802</v>
      </c>
      <c r="AI1654" t="s">
        <v>818</v>
      </c>
    </row>
    <row r="1655" spans="1:35" hidden="1">
      <c r="A1655" s="7">
        <v>1654</v>
      </c>
      <c r="B1655" t="s">
        <v>243</v>
      </c>
      <c r="C1655" t="s">
        <v>244</v>
      </c>
      <c r="D1655" s="7">
        <v>7134</v>
      </c>
      <c r="E1655" t="s">
        <v>245</v>
      </c>
      <c r="F1655" t="s">
        <v>246</v>
      </c>
      <c r="G1655" t="s">
        <v>263</v>
      </c>
      <c r="H1655" t="s">
        <v>4957</v>
      </c>
      <c r="I1655" s="7">
        <v>992</v>
      </c>
      <c r="J1655" s="7">
        <v>50826</v>
      </c>
      <c r="K1655" s="7">
        <v>3</v>
      </c>
      <c r="L1655" t="s">
        <v>247</v>
      </c>
      <c r="M1655" t="s">
        <v>261</v>
      </c>
      <c r="N1655" s="7">
        <v>784703</v>
      </c>
      <c r="O1655" t="s">
        <v>4980</v>
      </c>
      <c r="P1655" t="s">
        <v>4981</v>
      </c>
      <c r="S1655" t="s">
        <v>3831</v>
      </c>
      <c r="T1655" t="s">
        <v>4942</v>
      </c>
      <c r="U1655" t="s">
        <v>4943</v>
      </c>
      <c r="V1655" s="8">
        <v>1250</v>
      </c>
      <c r="W1655" s="7">
        <v>0</v>
      </c>
      <c r="Y1655" s="8">
        <v>1250</v>
      </c>
      <c r="Z1655" s="8">
        <v>1475</v>
      </c>
      <c r="AA1655" s="8">
        <v>225</v>
      </c>
      <c r="AB1655" s="7">
        <v>0</v>
      </c>
      <c r="AD1655" s="8">
        <v>0</v>
      </c>
      <c r="AG1655" t="s">
        <v>817</v>
      </c>
      <c r="AH1655" t="s">
        <v>802</v>
      </c>
      <c r="AI1655" t="s">
        <v>818</v>
      </c>
    </row>
    <row r="1656" spans="1:35" hidden="1">
      <c r="A1656" s="7">
        <v>1655</v>
      </c>
      <c r="B1656" t="s">
        <v>243</v>
      </c>
      <c r="C1656" t="s">
        <v>244</v>
      </c>
      <c r="D1656" s="7">
        <v>7134</v>
      </c>
      <c r="E1656" t="s">
        <v>245</v>
      </c>
      <c r="F1656" t="s">
        <v>246</v>
      </c>
      <c r="G1656" t="s">
        <v>819</v>
      </c>
      <c r="H1656" t="s">
        <v>4941</v>
      </c>
      <c r="I1656" s="7">
        <v>1165</v>
      </c>
      <c r="J1656" s="7">
        <v>90811</v>
      </c>
      <c r="K1656" s="7">
        <v>9</v>
      </c>
      <c r="L1656" t="s">
        <v>247</v>
      </c>
      <c r="M1656" t="s">
        <v>361</v>
      </c>
      <c r="N1656" s="7">
        <v>3152</v>
      </c>
      <c r="O1656" t="s">
        <v>821</v>
      </c>
      <c r="P1656" t="s">
        <v>822</v>
      </c>
      <c r="S1656" t="s">
        <v>3831</v>
      </c>
      <c r="T1656" t="s">
        <v>4942</v>
      </c>
      <c r="U1656" t="s">
        <v>4943</v>
      </c>
      <c r="V1656" s="8">
        <v>0</v>
      </c>
      <c r="W1656" s="7">
        <v>0</v>
      </c>
      <c r="Y1656" s="8">
        <v>0</v>
      </c>
      <c r="Z1656" s="8">
        <v>0</v>
      </c>
      <c r="AA1656" s="8">
        <v>0</v>
      </c>
      <c r="AB1656" s="7">
        <v>0</v>
      </c>
      <c r="AD1656" s="8">
        <v>0</v>
      </c>
      <c r="AG1656" t="s">
        <v>823</v>
      </c>
      <c r="AH1656" t="s">
        <v>802</v>
      </c>
      <c r="AI1656" t="s">
        <v>803</v>
      </c>
    </row>
    <row r="1657" spans="1:35" hidden="1">
      <c r="A1657" s="7">
        <v>1656</v>
      </c>
      <c r="B1657" t="s">
        <v>243</v>
      </c>
      <c r="C1657" t="s">
        <v>244</v>
      </c>
      <c r="D1657" s="7">
        <v>7134</v>
      </c>
      <c r="E1657" t="s">
        <v>245</v>
      </c>
      <c r="F1657" t="s">
        <v>246</v>
      </c>
      <c r="G1657" t="s">
        <v>1063</v>
      </c>
      <c r="H1657" t="s">
        <v>4966</v>
      </c>
      <c r="I1657" s="7">
        <v>1165</v>
      </c>
      <c r="J1657" s="7">
        <v>110272</v>
      </c>
      <c r="K1657" s="7">
        <v>11</v>
      </c>
      <c r="L1657" t="s">
        <v>247</v>
      </c>
      <c r="M1657" t="s">
        <v>261</v>
      </c>
      <c r="N1657" s="7">
        <v>773701</v>
      </c>
      <c r="O1657" t="s">
        <v>2074</v>
      </c>
      <c r="P1657" t="s">
        <v>2075</v>
      </c>
      <c r="S1657" t="s">
        <v>3831</v>
      </c>
      <c r="T1657" t="s">
        <v>4942</v>
      </c>
      <c r="U1657" t="s">
        <v>4943</v>
      </c>
      <c r="V1657" s="8">
        <v>1250</v>
      </c>
      <c r="W1657" s="7">
        <v>0</v>
      </c>
      <c r="Y1657" s="8">
        <v>1250</v>
      </c>
      <c r="Z1657" s="8">
        <v>1475</v>
      </c>
      <c r="AA1657" s="8">
        <v>225</v>
      </c>
      <c r="AB1657" s="7">
        <v>0</v>
      </c>
      <c r="AD1657" s="8">
        <v>0</v>
      </c>
      <c r="AG1657" t="s">
        <v>801</v>
      </c>
      <c r="AH1657" t="s">
        <v>802</v>
      </c>
      <c r="AI1657" t="s">
        <v>818</v>
      </c>
    </row>
    <row r="1658" spans="1:35" hidden="1">
      <c r="A1658" s="7">
        <v>1657</v>
      </c>
      <c r="B1658" t="s">
        <v>243</v>
      </c>
      <c r="C1658" t="s">
        <v>244</v>
      </c>
      <c r="D1658" s="7">
        <v>7134</v>
      </c>
      <c r="E1658" t="s">
        <v>245</v>
      </c>
      <c r="F1658" t="s">
        <v>246</v>
      </c>
      <c r="G1658" t="s">
        <v>333</v>
      </c>
      <c r="H1658" t="s">
        <v>4956</v>
      </c>
      <c r="I1658" s="7">
        <v>876</v>
      </c>
      <c r="J1658" s="7">
        <v>51000</v>
      </c>
      <c r="K1658" s="7">
        <v>3</v>
      </c>
      <c r="L1658" t="s">
        <v>247</v>
      </c>
      <c r="M1658" t="s">
        <v>261</v>
      </c>
      <c r="N1658" s="7">
        <v>796542</v>
      </c>
      <c r="O1658" t="s">
        <v>1833</v>
      </c>
      <c r="P1658" t="s">
        <v>1834</v>
      </c>
      <c r="Q1658" t="s">
        <v>908</v>
      </c>
      <c r="R1658" t="s">
        <v>909</v>
      </c>
      <c r="S1658" t="s">
        <v>3831</v>
      </c>
      <c r="T1658" t="s">
        <v>4942</v>
      </c>
      <c r="U1658" t="s">
        <v>4943</v>
      </c>
      <c r="V1658" s="8">
        <v>1250</v>
      </c>
      <c r="W1658" s="7">
        <v>0</v>
      </c>
      <c r="Y1658" s="8">
        <v>1000</v>
      </c>
      <c r="Z1658" s="8">
        <v>1475</v>
      </c>
      <c r="AA1658" s="8">
        <v>225</v>
      </c>
      <c r="AB1658" s="7">
        <v>0</v>
      </c>
      <c r="AD1658" s="8">
        <v>250</v>
      </c>
      <c r="AG1658" t="s">
        <v>817</v>
      </c>
      <c r="AH1658" t="s">
        <v>802</v>
      </c>
      <c r="AI1658" t="s">
        <v>818</v>
      </c>
    </row>
    <row r="1659" spans="1:35" hidden="1">
      <c r="A1659" s="7">
        <v>1658</v>
      </c>
      <c r="B1659" t="s">
        <v>243</v>
      </c>
      <c r="C1659" t="s">
        <v>244</v>
      </c>
      <c r="D1659" s="7">
        <v>7134</v>
      </c>
      <c r="E1659" t="s">
        <v>245</v>
      </c>
      <c r="F1659" t="s">
        <v>246</v>
      </c>
      <c r="G1659" t="s">
        <v>3736</v>
      </c>
      <c r="H1659" t="s">
        <v>4966</v>
      </c>
      <c r="I1659" s="7">
        <v>1165</v>
      </c>
      <c r="J1659" s="7">
        <v>9300</v>
      </c>
      <c r="K1659" s="7">
        <v>1</v>
      </c>
      <c r="L1659" t="s">
        <v>247</v>
      </c>
      <c r="M1659" t="s">
        <v>361</v>
      </c>
      <c r="N1659" s="7">
        <v>9836</v>
      </c>
      <c r="O1659" t="s">
        <v>4430</v>
      </c>
      <c r="P1659" t="s">
        <v>4431</v>
      </c>
      <c r="S1659" t="s">
        <v>3831</v>
      </c>
      <c r="T1659" t="s">
        <v>4942</v>
      </c>
      <c r="U1659" t="s">
        <v>4943</v>
      </c>
      <c r="V1659" s="8">
        <v>1650</v>
      </c>
      <c r="W1659" s="7">
        <v>0</v>
      </c>
      <c r="Y1659" s="8">
        <v>1650</v>
      </c>
      <c r="Z1659" s="8">
        <v>1947</v>
      </c>
      <c r="AA1659" s="8">
        <v>297</v>
      </c>
      <c r="AB1659" s="7">
        <v>0</v>
      </c>
      <c r="AD1659" s="8">
        <v>0</v>
      </c>
      <c r="AG1659" t="s">
        <v>823</v>
      </c>
      <c r="AH1659" t="s">
        <v>802</v>
      </c>
      <c r="AI1659" t="s">
        <v>818</v>
      </c>
    </row>
    <row r="1660" spans="1:35" hidden="1">
      <c r="A1660" s="7">
        <v>1659</v>
      </c>
      <c r="B1660" t="s">
        <v>243</v>
      </c>
      <c r="C1660" t="s">
        <v>244</v>
      </c>
      <c r="D1660" s="7">
        <v>7134</v>
      </c>
      <c r="E1660" t="s">
        <v>245</v>
      </c>
      <c r="F1660" t="s">
        <v>246</v>
      </c>
      <c r="G1660" t="s">
        <v>363</v>
      </c>
      <c r="H1660" t="s">
        <v>4966</v>
      </c>
      <c r="I1660" s="7">
        <v>856</v>
      </c>
      <c r="J1660" s="7">
        <v>50000</v>
      </c>
      <c r="K1660" s="7">
        <v>3</v>
      </c>
      <c r="L1660" t="s">
        <v>247</v>
      </c>
      <c r="M1660" t="s">
        <v>261</v>
      </c>
      <c r="N1660" s="7">
        <v>798674</v>
      </c>
      <c r="O1660" t="s">
        <v>3761</v>
      </c>
      <c r="P1660" t="s">
        <v>3762</v>
      </c>
      <c r="S1660" t="s">
        <v>3831</v>
      </c>
      <c r="T1660" t="s">
        <v>4942</v>
      </c>
      <c r="U1660" t="s">
        <v>4943</v>
      </c>
      <c r="V1660" s="8">
        <v>1250</v>
      </c>
      <c r="W1660" s="7">
        <v>0</v>
      </c>
      <c r="Y1660" s="8">
        <v>1250</v>
      </c>
      <c r="Z1660" s="8">
        <v>1475</v>
      </c>
      <c r="AA1660" s="8">
        <v>225</v>
      </c>
      <c r="AB1660" s="7">
        <v>0</v>
      </c>
      <c r="AD1660" s="8">
        <v>0</v>
      </c>
      <c r="AG1660" t="s">
        <v>817</v>
      </c>
      <c r="AH1660" t="s">
        <v>802</v>
      </c>
      <c r="AI1660" t="s">
        <v>818</v>
      </c>
    </row>
    <row r="1661" spans="1:35" hidden="1">
      <c r="A1661" s="7">
        <v>1660</v>
      </c>
      <c r="B1661" t="s">
        <v>243</v>
      </c>
      <c r="C1661" t="s">
        <v>244</v>
      </c>
      <c r="D1661" s="7">
        <v>7134</v>
      </c>
      <c r="E1661" t="s">
        <v>245</v>
      </c>
      <c r="F1661" t="s">
        <v>246</v>
      </c>
      <c r="G1661" t="s">
        <v>594</v>
      </c>
      <c r="H1661" t="s">
        <v>4944</v>
      </c>
      <c r="I1661" s="7">
        <v>1165</v>
      </c>
      <c r="J1661" s="7">
        <v>20768</v>
      </c>
      <c r="K1661" s="7">
        <v>3</v>
      </c>
      <c r="L1661" t="s">
        <v>247</v>
      </c>
      <c r="M1661" t="s">
        <v>361</v>
      </c>
      <c r="N1661" s="7">
        <v>7532</v>
      </c>
      <c r="O1661" t="s">
        <v>670</v>
      </c>
      <c r="P1661" t="s">
        <v>671</v>
      </c>
      <c r="S1661" t="s">
        <v>3831</v>
      </c>
      <c r="T1661" t="s">
        <v>4942</v>
      </c>
      <c r="U1661" t="s">
        <v>4943</v>
      </c>
      <c r="V1661" s="8">
        <v>1650</v>
      </c>
      <c r="W1661" s="7">
        <v>0</v>
      </c>
      <c r="Y1661" s="8">
        <v>1650</v>
      </c>
      <c r="Z1661" s="8">
        <v>1947</v>
      </c>
      <c r="AA1661" s="8">
        <v>297</v>
      </c>
      <c r="AB1661" s="7">
        <v>0</v>
      </c>
      <c r="AD1661" s="8">
        <v>0</v>
      </c>
      <c r="AG1661" t="s">
        <v>823</v>
      </c>
      <c r="AH1661" t="s">
        <v>802</v>
      </c>
      <c r="AI1661" t="s">
        <v>818</v>
      </c>
    </row>
    <row r="1662" spans="1:35" hidden="1">
      <c r="A1662" s="7">
        <v>1661</v>
      </c>
      <c r="B1662" t="s">
        <v>243</v>
      </c>
      <c r="C1662" t="s">
        <v>244</v>
      </c>
      <c r="D1662" s="7">
        <v>7134</v>
      </c>
      <c r="E1662" t="s">
        <v>245</v>
      </c>
      <c r="F1662" t="s">
        <v>246</v>
      </c>
      <c r="G1662" t="s">
        <v>419</v>
      </c>
      <c r="H1662" t="s">
        <v>4953</v>
      </c>
      <c r="I1662" s="7">
        <v>1165</v>
      </c>
      <c r="J1662" s="7">
        <v>40537</v>
      </c>
      <c r="K1662" s="7">
        <v>4</v>
      </c>
      <c r="L1662" t="s">
        <v>247</v>
      </c>
      <c r="M1662" t="s">
        <v>361</v>
      </c>
      <c r="N1662" s="7">
        <v>6367</v>
      </c>
      <c r="O1662" t="s">
        <v>1788</v>
      </c>
      <c r="P1662" t="s">
        <v>1789</v>
      </c>
      <c r="S1662" t="s">
        <v>3831</v>
      </c>
      <c r="T1662" t="s">
        <v>4942</v>
      </c>
      <c r="U1662" t="s">
        <v>4943</v>
      </c>
      <c r="V1662" s="8">
        <v>0</v>
      </c>
      <c r="W1662" s="7">
        <v>0</v>
      </c>
      <c r="Y1662" s="8">
        <v>0</v>
      </c>
      <c r="Z1662" s="8">
        <v>0</v>
      </c>
      <c r="AA1662" s="8">
        <v>0</v>
      </c>
      <c r="AB1662" s="7">
        <v>0</v>
      </c>
      <c r="AD1662" s="8">
        <v>0</v>
      </c>
      <c r="AG1662" t="s">
        <v>823</v>
      </c>
      <c r="AH1662" t="s">
        <v>802</v>
      </c>
      <c r="AI1662" t="s">
        <v>803</v>
      </c>
    </row>
    <row r="1663" spans="1:35" hidden="1">
      <c r="A1663" s="7">
        <v>1662</v>
      </c>
      <c r="B1663" t="s">
        <v>243</v>
      </c>
      <c r="C1663" t="s">
        <v>244</v>
      </c>
      <c r="D1663" s="7">
        <v>7134</v>
      </c>
      <c r="E1663" t="s">
        <v>245</v>
      </c>
      <c r="F1663" t="s">
        <v>246</v>
      </c>
      <c r="G1663" t="s">
        <v>867</v>
      </c>
      <c r="H1663" t="s">
        <v>4942</v>
      </c>
      <c r="I1663" s="7">
        <v>1165</v>
      </c>
      <c r="J1663" s="7">
        <v>43724</v>
      </c>
      <c r="K1663" s="7">
        <v>5</v>
      </c>
      <c r="L1663" t="s">
        <v>247</v>
      </c>
      <c r="M1663" t="s">
        <v>361</v>
      </c>
      <c r="N1663" s="7">
        <v>4898</v>
      </c>
      <c r="O1663" t="s">
        <v>1444</v>
      </c>
      <c r="P1663" t="s">
        <v>1445</v>
      </c>
      <c r="S1663" t="s">
        <v>3831</v>
      </c>
      <c r="T1663" t="s">
        <v>4942</v>
      </c>
      <c r="U1663" t="s">
        <v>4943</v>
      </c>
      <c r="V1663" s="8">
        <v>1650</v>
      </c>
      <c r="W1663" s="7">
        <v>0</v>
      </c>
      <c r="Y1663" s="8">
        <v>1650</v>
      </c>
      <c r="Z1663" s="8">
        <v>1947</v>
      </c>
      <c r="AA1663" s="8">
        <v>297</v>
      </c>
      <c r="AB1663" s="7">
        <v>0</v>
      </c>
      <c r="AD1663" s="8">
        <v>0</v>
      </c>
      <c r="AG1663" t="s">
        <v>823</v>
      </c>
      <c r="AH1663" t="s">
        <v>802</v>
      </c>
      <c r="AI1663" t="s">
        <v>818</v>
      </c>
    </row>
    <row r="1664" spans="1:35" hidden="1">
      <c r="A1664" s="7">
        <v>1663</v>
      </c>
      <c r="B1664" t="s">
        <v>243</v>
      </c>
      <c r="C1664" t="s">
        <v>244</v>
      </c>
      <c r="D1664" s="7">
        <v>7134</v>
      </c>
      <c r="E1664" t="s">
        <v>245</v>
      </c>
      <c r="F1664" t="s">
        <v>246</v>
      </c>
      <c r="G1664" t="s">
        <v>3736</v>
      </c>
      <c r="H1664" t="s">
        <v>4941</v>
      </c>
      <c r="I1664" s="7">
        <v>1165</v>
      </c>
      <c r="J1664" s="7">
        <v>10760</v>
      </c>
      <c r="K1664" s="7">
        <v>1</v>
      </c>
      <c r="L1664" t="s">
        <v>247</v>
      </c>
      <c r="M1664" t="s">
        <v>361</v>
      </c>
      <c r="N1664" s="7">
        <v>10846</v>
      </c>
      <c r="O1664" t="s">
        <v>4439</v>
      </c>
      <c r="P1664" t="s">
        <v>4440</v>
      </c>
      <c r="S1664" t="s">
        <v>3831</v>
      </c>
      <c r="T1664" t="s">
        <v>4942</v>
      </c>
      <c r="U1664" t="s">
        <v>4943</v>
      </c>
      <c r="V1664" s="8">
        <v>1650</v>
      </c>
      <c r="W1664" s="7">
        <v>0</v>
      </c>
      <c r="Y1664" s="8">
        <v>1650</v>
      </c>
      <c r="Z1664" s="8">
        <v>1947</v>
      </c>
      <c r="AA1664" s="8">
        <v>297</v>
      </c>
      <c r="AB1664" s="7">
        <v>0</v>
      </c>
      <c r="AD1664" s="8">
        <v>0</v>
      </c>
      <c r="AG1664" t="s">
        <v>823</v>
      </c>
      <c r="AH1664" t="s">
        <v>802</v>
      </c>
      <c r="AI1664" t="s">
        <v>818</v>
      </c>
    </row>
    <row r="1665" spans="1:35" hidden="1">
      <c r="A1665" s="7">
        <v>1664</v>
      </c>
      <c r="B1665" t="s">
        <v>243</v>
      </c>
      <c r="C1665" t="s">
        <v>244</v>
      </c>
      <c r="D1665" s="7">
        <v>7134</v>
      </c>
      <c r="E1665" t="s">
        <v>245</v>
      </c>
      <c r="F1665" t="s">
        <v>246</v>
      </c>
      <c r="G1665" t="s">
        <v>999</v>
      </c>
      <c r="H1665" t="s">
        <v>4946</v>
      </c>
      <c r="I1665" s="7">
        <v>1165</v>
      </c>
      <c r="J1665" s="7">
        <v>40024</v>
      </c>
      <c r="K1665" s="7">
        <v>7</v>
      </c>
      <c r="L1665" t="s">
        <v>247</v>
      </c>
      <c r="M1665" t="s">
        <v>261</v>
      </c>
      <c r="N1665" s="7">
        <v>790577</v>
      </c>
      <c r="O1665" t="s">
        <v>1083</v>
      </c>
      <c r="P1665" t="s">
        <v>1084</v>
      </c>
      <c r="S1665" t="s">
        <v>3831</v>
      </c>
      <c r="T1665" t="s">
        <v>4942</v>
      </c>
      <c r="U1665" t="s">
        <v>4943</v>
      </c>
      <c r="V1665" s="8">
        <v>0</v>
      </c>
      <c r="W1665" s="7">
        <v>0</v>
      </c>
      <c r="Y1665" s="8">
        <v>0</v>
      </c>
      <c r="Z1665" s="8">
        <v>0</v>
      </c>
      <c r="AA1665" s="8">
        <v>0</v>
      </c>
      <c r="AB1665" s="7">
        <v>0</v>
      </c>
      <c r="AD1665" s="8">
        <v>0</v>
      </c>
      <c r="AG1665" t="s">
        <v>801</v>
      </c>
      <c r="AH1665" t="s">
        <v>802</v>
      </c>
      <c r="AI1665" t="s">
        <v>803</v>
      </c>
    </row>
    <row r="1666" spans="1:35" hidden="1">
      <c r="A1666" s="7">
        <v>1665</v>
      </c>
      <c r="B1666" t="s">
        <v>243</v>
      </c>
      <c r="C1666" t="s">
        <v>244</v>
      </c>
      <c r="D1666" s="7">
        <v>7134</v>
      </c>
      <c r="E1666" t="s">
        <v>245</v>
      </c>
      <c r="F1666" t="s">
        <v>246</v>
      </c>
      <c r="G1666" t="s">
        <v>1088</v>
      </c>
      <c r="H1666" t="s">
        <v>4976</v>
      </c>
      <c r="I1666" s="7">
        <v>1160</v>
      </c>
      <c r="J1666" s="7">
        <v>19437</v>
      </c>
      <c r="K1666" s="7">
        <v>5</v>
      </c>
      <c r="L1666" t="s">
        <v>247</v>
      </c>
      <c r="M1666" t="s">
        <v>361</v>
      </c>
      <c r="N1666" s="7">
        <v>5365</v>
      </c>
      <c r="O1666" t="s">
        <v>1464</v>
      </c>
      <c r="P1666" t="s">
        <v>1465</v>
      </c>
      <c r="S1666" t="s">
        <v>3831</v>
      </c>
      <c r="T1666" t="s">
        <v>4942</v>
      </c>
      <c r="U1666" t="s">
        <v>4943</v>
      </c>
      <c r="V1666" s="8">
        <v>1650</v>
      </c>
      <c r="W1666" s="7">
        <v>0</v>
      </c>
      <c r="Y1666" s="8">
        <v>1650</v>
      </c>
      <c r="Z1666" s="8">
        <v>1947</v>
      </c>
      <c r="AA1666" s="8">
        <v>297</v>
      </c>
      <c r="AB1666" s="7">
        <v>0</v>
      </c>
      <c r="AD1666" s="8">
        <v>0</v>
      </c>
      <c r="AG1666" t="s">
        <v>823</v>
      </c>
      <c r="AH1666" t="s">
        <v>802</v>
      </c>
      <c r="AI1666" t="s">
        <v>818</v>
      </c>
    </row>
    <row r="1667" spans="1:35" hidden="1">
      <c r="A1667" s="7">
        <v>1666</v>
      </c>
      <c r="B1667" t="s">
        <v>243</v>
      </c>
      <c r="C1667" t="s">
        <v>244</v>
      </c>
      <c r="D1667" s="7">
        <v>7134</v>
      </c>
      <c r="E1667" t="s">
        <v>245</v>
      </c>
      <c r="F1667" t="s">
        <v>246</v>
      </c>
      <c r="G1667" t="s">
        <v>4863</v>
      </c>
      <c r="H1667" t="s">
        <v>4944</v>
      </c>
      <c r="I1667" s="7">
        <v>1165</v>
      </c>
      <c r="J1667" s="7">
        <v>6925</v>
      </c>
      <c r="K1667" s="7">
        <v>1</v>
      </c>
      <c r="L1667" t="s">
        <v>247</v>
      </c>
      <c r="M1667" t="s">
        <v>361</v>
      </c>
      <c r="N1667" s="7">
        <v>11404</v>
      </c>
      <c r="O1667" t="s">
        <v>4982</v>
      </c>
      <c r="P1667" t="s">
        <v>4983</v>
      </c>
      <c r="S1667" t="s">
        <v>3831</v>
      </c>
      <c r="T1667" t="s">
        <v>4942</v>
      </c>
      <c r="U1667" t="s">
        <v>4943</v>
      </c>
      <c r="V1667" s="8">
        <v>1650</v>
      </c>
      <c r="W1667" s="7">
        <v>0</v>
      </c>
      <c r="Y1667" s="8">
        <v>1650</v>
      </c>
      <c r="Z1667" s="8">
        <v>1947</v>
      </c>
      <c r="AA1667" s="8">
        <v>297</v>
      </c>
      <c r="AB1667" s="7">
        <v>0</v>
      </c>
      <c r="AD1667" s="8">
        <v>0</v>
      </c>
      <c r="AG1667" t="s">
        <v>823</v>
      </c>
      <c r="AH1667" t="s">
        <v>802</v>
      </c>
      <c r="AI1667" t="s">
        <v>818</v>
      </c>
    </row>
    <row r="1668" spans="1:35" hidden="1">
      <c r="A1668" s="7">
        <v>1667</v>
      </c>
      <c r="B1668" t="s">
        <v>243</v>
      </c>
      <c r="C1668" t="s">
        <v>244</v>
      </c>
      <c r="D1668" s="7">
        <v>7134</v>
      </c>
      <c r="E1668" t="s">
        <v>245</v>
      </c>
      <c r="F1668" t="s">
        <v>246</v>
      </c>
      <c r="G1668" t="s">
        <v>853</v>
      </c>
      <c r="H1668" t="s">
        <v>4984</v>
      </c>
      <c r="I1668" s="7">
        <v>1165</v>
      </c>
      <c r="J1668" s="7">
        <v>40000</v>
      </c>
      <c r="K1668" s="7">
        <v>5</v>
      </c>
      <c r="L1668" t="s">
        <v>247</v>
      </c>
      <c r="M1668" t="s">
        <v>261</v>
      </c>
      <c r="N1668" s="7">
        <v>791054</v>
      </c>
      <c r="O1668" t="s">
        <v>4985</v>
      </c>
      <c r="P1668" t="s">
        <v>4986</v>
      </c>
      <c r="S1668" t="s">
        <v>3831</v>
      </c>
      <c r="T1668" t="s">
        <v>4942</v>
      </c>
      <c r="U1668" t="s">
        <v>4943</v>
      </c>
      <c r="V1668" s="8">
        <v>1250</v>
      </c>
      <c r="W1668" s="7">
        <v>0</v>
      </c>
      <c r="Y1668" s="8">
        <v>1250</v>
      </c>
      <c r="Z1668" s="8">
        <v>1475</v>
      </c>
      <c r="AA1668" s="8">
        <v>225</v>
      </c>
      <c r="AB1668" s="7">
        <v>0</v>
      </c>
      <c r="AD1668" s="8">
        <v>0</v>
      </c>
      <c r="AG1668" t="s">
        <v>801</v>
      </c>
      <c r="AH1668" t="s">
        <v>802</v>
      </c>
      <c r="AI1668" t="s">
        <v>818</v>
      </c>
    </row>
    <row r="1669" spans="1:35" hidden="1">
      <c r="A1669" s="7">
        <v>1668</v>
      </c>
      <c r="B1669" t="s">
        <v>243</v>
      </c>
      <c r="C1669" t="s">
        <v>244</v>
      </c>
      <c r="D1669" s="7">
        <v>7134</v>
      </c>
      <c r="E1669" t="s">
        <v>245</v>
      </c>
      <c r="F1669" t="s">
        <v>246</v>
      </c>
      <c r="G1669" t="s">
        <v>3078</v>
      </c>
      <c r="H1669" t="s">
        <v>4950</v>
      </c>
      <c r="I1669" s="7">
        <v>1167</v>
      </c>
      <c r="J1669" s="7">
        <v>10212</v>
      </c>
      <c r="K1669" s="7">
        <v>2</v>
      </c>
      <c r="L1669" t="s">
        <v>247</v>
      </c>
      <c r="M1669" t="s">
        <v>261</v>
      </c>
      <c r="N1669" s="7">
        <v>807067</v>
      </c>
      <c r="O1669" t="s">
        <v>4987</v>
      </c>
      <c r="P1669" t="s">
        <v>4988</v>
      </c>
      <c r="S1669" t="s">
        <v>3831</v>
      </c>
      <c r="T1669" t="s">
        <v>4942</v>
      </c>
      <c r="U1669" t="s">
        <v>4943</v>
      </c>
      <c r="V1669" s="8">
        <v>0</v>
      </c>
      <c r="W1669" s="7">
        <v>0</v>
      </c>
      <c r="Y1669" s="8">
        <v>0</v>
      </c>
      <c r="Z1669" s="8">
        <v>0</v>
      </c>
      <c r="AA1669" s="8">
        <v>0</v>
      </c>
      <c r="AB1669" s="7">
        <v>0</v>
      </c>
      <c r="AD1669" s="8">
        <v>0</v>
      </c>
      <c r="AG1669" t="s">
        <v>801</v>
      </c>
      <c r="AH1669" t="s">
        <v>802</v>
      </c>
      <c r="AI1669" t="s">
        <v>803</v>
      </c>
    </row>
    <row r="1670" spans="1:35" hidden="1">
      <c r="A1670" s="7">
        <v>1669</v>
      </c>
      <c r="B1670" t="s">
        <v>243</v>
      </c>
      <c r="C1670" t="s">
        <v>244</v>
      </c>
      <c r="D1670" s="7">
        <v>7134</v>
      </c>
      <c r="E1670" t="s">
        <v>245</v>
      </c>
      <c r="F1670" t="s">
        <v>246</v>
      </c>
      <c r="G1670" t="s">
        <v>3370</v>
      </c>
      <c r="H1670" t="s">
        <v>4979</v>
      </c>
      <c r="I1670" s="7">
        <v>1165</v>
      </c>
      <c r="J1670" s="7">
        <v>5403</v>
      </c>
      <c r="K1670" s="7">
        <v>2</v>
      </c>
      <c r="L1670" t="s">
        <v>247</v>
      </c>
      <c r="M1670" t="s">
        <v>261</v>
      </c>
      <c r="N1670" s="7">
        <v>803995</v>
      </c>
      <c r="O1670" t="s">
        <v>3506</v>
      </c>
      <c r="P1670" t="s">
        <v>3507</v>
      </c>
      <c r="Q1670" t="s">
        <v>283</v>
      </c>
      <c r="R1670" t="s">
        <v>1062</v>
      </c>
      <c r="S1670" t="s">
        <v>3831</v>
      </c>
      <c r="T1670" t="s">
        <v>4942</v>
      </c>
      <c r="U1670" t="s">
        <v>4943</v>
      </c>
      <c r="V1670" s="8">
        <v>1250</v>
      </c>
      <c r="W1670" s="7">
        <v>0</v>
      </c>
      <c r="Y1670" s="8">
        <v>0</v>
      </c>
      <c r="Z1670" s="8">
        <v>1475</v>
      </c>
      <c r="AA1670" s="8">
        <v>225</v>
      </c>
      <c r="AB1670" s="7">
        <v>0</v>
      </c>
      <c r="AD1670" s="8">
        <v>1250</v>
      </c>
      <c r="AG1670" t="s">
        <v>817</v>
      </c>
      <c r="AH1670" t="s">
        <v>802</v>
      </c>
      <c r="AI1670" t="s">
        <v>818</v>
      </c>
    </row>
    <row r="1671" spans="1:35" hidden="1">
      <c r="A1671" s="7">
        <v>1670</v>
      </c>
      <c r="B1671" t="s">
        <v>243</v>
      </c>
      <c r="C1671" t="s">
        <v>244</v>
      </c>
      <c r="D1671" s="7">
        <v>7134</v>
      </c>
      <c r="E1671" t="s">
        <v>245</v>
      </c>
      <c r="F1671" t="s">
        <v>246</v>
      </c>
      <c r="G1671" t="s">
        <v>3426</v>
      </c>
      <c r="H1671" t="s">
        <v>4971</v>
      </c>
      <c r="I1671" s="7">
        <v>1165</v>
      </c>
      <c r="J1671" s="7">
        <v>4621</v>
      </c>
      <c r="K1671" s="7">
        <v>1</v>
      </c>
      <c r="L1671" t="s">
        <v>247</v>
      </c>
      <c r="M1671" t="s">
        <v>252</v>
      </c>
      <c r="N1671" s="7">
        <v>331537</v>
      </c>
      <c r="O1671" t="s">
        <v>4989</v>
      </c>
      <c r="P1671" t="s">
        <v>4990</v>
      </c>
      <c r="S1671" t="s">
        <v>3831</v>
      </c>
      <c r="T1671" t="s">
        <v>4942</v>
      </c>
      <c r="U1671" t="s">
        <v>4943</v>
      </c>
      <c r="V1671" s="8">
        <v>1250</v>
      </c>
      <c r="W1671" s="7">
        <v>0</v>
      </c>
      <c r="Y1671" s="8">
        <v>1250</v>
      </c>
      <c r="Z1671" s="8">
        <v>1475</v>
      </c>
      <c r="AA1671" s="8">
        <v>225</v>
      </c>
      <c r="AB1671" s="7">
        <v>0</v>
      </c>
      <c r="AD1671" s="8">
        <v>0</v>
      </c>
      <c r="AG1671" t="s">
        <v>937</v>
      </c>
      <c r="AH1671" t="s">
        <v>802</v>
      </c>
      <c r="AI1671" t="s">
        <v>818</v>
      </c>
    </row>
    <row r="1672" spans="1:35" hidden="1">
      <c r="A1672" s="7">
        <v>1671</v>
      </c>
      <c r="B1672" t="s">
        <v>243</v>
      </c>
      <c r="C1672" t="s">
        <v>244</v>
      </c>
      <c r="D1672" s="7">
        <v>7134</v>
      </c>
      <c r="E1672" t="s">
        <v>245</v>
      </c>
      <c r="F1672" t="s">
        <v>246</v>
      </c>
      <c r="G1672" t="s">
        <v>846</v>
      </c>
      <c r="H1672" t="s">
        <v>4950</v>
      </c>
      <c r="I1672" s="7">
        <v>1165</v>
      </c>
      <c r="J1672" s="7">
        <v>31210</v>
      </c>
      <c r="K1672" s="7">
        <v>2</v>
      </c>
      <c r="L1672" t="s">
        <v>247</v>
      </c>
      <c r="M1672" t="s">
        <v>261</v>
      </c>
      <c r="N1672" s="7">
        <v>795727</v>
      </c>
      <c r="O1672" t="s">
        <v>2096</v>
      </c>
      <c r="P1672" t="s">
        <v>2097</v>
      </c>
      <c r="Q1672" t="s">
        <v>908</v>
      </c>
      <c r="R1672" t="s">
        <v>909</v>
      </c>
      <c r="S1672" t="s">
        <v>3831</v>
      </c>
      <c r="T1672" t="s">
        <v>4942</v>
      </c>
      <c r="U1672" t="s">
        <v>4943</v>
      </c>
      <c r="V1672" s="8">
        <v>1250</v>
      </c>
      <c r="W1672" s="7">
        <v>0</v>
      </c>
      <c r="Y1672" s="8">
        <v>1000</v>
      </c>
      <c r="Z1672" s="8">
        <v>1475</v>
      </c>
      <c r="AA1672" s="8">
        <v>225</v>
      </c>
      <c r="AB1672" s="7">
        <v>0</v>
      </c>
      <c r="AD1672" s="8">
        <v>250</v>
      </c>
      <c r="AG1672" t="s">
        <v>817</v>
      </c>
      <c r="AH1672" t="s">
        <v>802</v>
      </c>
      <c r="AI1672" t="s">
        <v>818</v>
      </c>
    </row>
    <row r="1673" spans="1:35" hidden="1">
      <c r="A1673" s="7">
        <v>1672</v>
      </c>
      <c r="B1673" t="s">
        <v>243</v>
      </c>
      <c r="C1673" t="s">
        <v>244</v>
      </c>
      <c r="D1673" s="7">
        <v>7134</v>
      </c>
      <c r="E1673" t="s">
        <v>245</v>
      </c>
      <c r="F1673" t="s">
        <v>246</v>
      </c>
      <c r="G1673" t="s">
        <v>284</v>
      </c>
      <c r="H1673" t="s">
        <v>4966</v>
      </c>
      <c r="I1673" s="7">
        <v>914</v>
      </c>
      <c r="J1673" s="7">
        <v>50000</v>
      </c>
      <c r="K1673" s="7">
        <v>3</v>
      </c>
      <c r="L1673" t="s">
        <v>247</v>
      </c>
      <c r="M1673" t="s">
        <v>261</v>
      </c>
      <c r="N1673" s="7">
        <v>796158</v>
      </c>
      <c r="O1673" t="s">
        <v>4294</v>
      </c>
      <c r="P1673" t="s">
        <v>4295</v>
      </c>
      <c r="S1673" t="s">
        <v>3831</v>
      </c>
      <c r="T1673" t="s">
        <v>4942</v>
      </c>
      <c r="U1673" t="s">
        <v>4943</v>
      </c>
      <c r="V1673" s="8">
        <v>1250</v>
      </c>
      <c r="W1673" s="7">
        <v>0</v>
      </c>
      <c r="Y1673" s="8">
        <v>1250</v>
      </c>
      <c r="Z1673" s="8">
        <v>1475</v>
      </c>
      <c r="AA1673" s="8">
        <v>225</v>
      </c>
      <c r="AB1673" s="7">
        <v>0</v>
      </c>
      <c r="AD1673" s="8">
        <v>0</v>
      </c>
      <c r="AG1673" t="s">
        <v>817</v>
      </c>
      <c r="AH1673" t="s">
        <v>802</v>
      </c>
      <c r="AI1673" t="s">
        <v>818</v>
      </c>
    </row>
    <row r="1674" spans="1:35" hidden="1">
      <c r="A1674" s="7">
        <v>1673</v>
      </c>
      <c r="B1674" t="s">
        <v>243</v>
      </c>
      <c r="C1674" t="s">
        <v>244</v>
      </c>
      <c r="D1674" s="7">
        <v>7134</v>
      </c>
      <c r="E1674" t="s">
        <v>245</v>
      </c>
      <c r="F1674" t="s">
        <v>246</v>
      </c>
      <c r="G1674" t="s">
        <v>1556</v>
      </c>
      <c r="H1674" t="s">
        <v>4971</v>
      </c>
      <c r="I1674" s="7">
        <v>1165</v>
      </c>
      <c r="J1674" s="7">
        <v>69485</v>
      </c>
      <c r="K1674" s="7">
        <v>13</v>
      </c>
      <c r="L1674" t="s">
        <v>247</v>
      </c>
      <c r="M1674" t="s">
        <v>261</v>
      </c>
      <c r="N1674" s="7">
        <v>754002</v>
      </c>
      <c r="O1674" t="s">
        <v>1557</v>
      </c>
      <c r="P1674" t="s">
        <v>1558</v>
      </c>
      <c r="S1674" t="s">
        <v>3831</v>
      </c>
      <c r="T1674" t="s">
        <v>4942</v>
      </c>
      <c r="U1674" t="s">
        <v>4943</v>
      </c>
      <c r="V1674" s="8">
        <v>0</v>
      </c>
      <c r="W1674" s="7">
        <v>0</v>
      </c>
      <c r="Y1674" s="8">
        <v>0</v>
      </c>
      <c r="Z1674" s="8">
        <v>0</v>
      </c>
      <c r="AA1674" s="8">
        <v>0</v>
      </c>
      <c r="AB1674" s="7">
        <v>0</v>
      </c>
      <c r="AD1674" s="8">
        <v>0</v>
      </c>
      <c r="AG1674" t="s">
        <v>801</v>
      </c>
      <c r="AH1674" t="s">
        <v>802</v>
      </c>
      <c r="AI1674" t="s">
        <v>803</v>
      </c>
    </row>
    <row r="1675" spans="1:35" hidden="1">
      <c r="A1675" s="7">
        <v>1674</v>
      </c>
      <c r="B1675" t="s">
        <v>243</v>
      </c>
      <c r="C1675" t="s">
        <v>244</v>
      </c>
      <c r="D1675" s="7">
        <v>7134</v>
      </c>
      <c r="E1675" t="s">
        <v>245</v>
      </c>
      <c r="F1675" t="s">
        <v>246</v>
      </c>
      <c r="G1675" t="s">
        <v>263</v>
      </c>
      <c r="H1675" t="s">
        <v>4953</v>
      </c>
      <c r="I1675" s="7">
        <v>955</v>
      </c>
      <c r="J1675" s="7">
        <v>50000</v>
      </c>
      <c r="K1675" s="7">
        <v>3</v>
      </c>
      <c r="L1675" t="s">
        <v>247</v>
      </c>
      <c r="M1675" t="s">
        <v>261</v>
      </c>
      <c r="N1675" s="7">
        <v>798734</v>
      </c>
      <c r="O1675" t="s">
        <v>2141</v>
      </c>
      <c r="P1675" t="s">
        <v>2142</v>
      </c>
      <c r="S1675" t="s">
        <v>3831</v>
      </c>
      <c r="T1675" t="s">
        <v>4942</v>
      </c>
      <c r="U1675" t="s">
        <v>4943</v>
      </c>
      <c r="V1675" s="8">
        <v>1250</v>
      </c>
      <c r="W1675" s="7">
        <v>0</v>
      </c>
      <c r="Y1675" s="8">
        <v>1250</v>
      </c>
      <c r="Z1675" s="8">
        <v>1475</v>
      </c>
      <c r="AA1675" s="8">
        <v>225</v>
      </c>
      <c r="AB1675" s="7">
        <v>0</v>
      </c>
      <c r="AD1675" s="8">
        <v>0</v>
      </c>
      <c r="AG1675" t="s">
        <v>817</v>
      </c>
      <c r="AH1675" t="s">
        <v>802</v>
      </c>
      <c r="AI1675" t="s">
        <v>818</v>
      </c>
    </row>
    <row r="1676" spans="1:35" hidden="1">
      <c r="A1676" s="7">
        <v>1675</v>
      </c>
      <c r="B1676" t="s">
        <v>243</v>
      </c>
      <c r="C1676" t="s">
        <v>244</v>
      </c>
      <c r="D1676" s="7">
        <v>7134</v>
      </c>
      <c r="E1676" t="s">
        <v>245</v>
      </c>
      <c r="F1676" t="s">
        <v>246</v>
      </c>
      <c r="G1676" t="s">
        <v>1044</v>
      </c>
      <c r="H1676" t="s">
        <v>4965</v>
      </c>
      <c r="I1676" s="7">
        <v>1165</v>
      </c>
      <c r="J1676" s="7">
        <v>57443</v>
      </c>
      <c r="K1676" s="7">
        <v>6</v>
      </c>
      <c r="L1676" t="s">
        <v>247</v>
      </c>
      <c r="M1676" t="s">
        <v>361</v>
      </c>
      <c r="N1676" s="7">
        <v>4929</v>
      </c>
      <c r="O1676" t="s">
        <v>1250</v>
      </c>
      <c r="P1676" t="s">
        <v>1251</v>
      </c>
      <c r="S1676" t="s">
        <v>3831</v>
      </c>
      <c r="T1676" t="s">
        <v>4942</v>
      </c>
      <c r="U1676" t="s">
        <v>4943</v>
      </c>
      <c r="V1676" s="8">
        <v>0</v>
      </c>
      <c r="W1676" s="7">
        <v>0</v>
      </c>
      <c r="Y1676" s="8">
        <v>0</v>
      </c>
      <c r="Z1676" s="8">
        <v>0</v>
      </c>
      <c r="AA1676" s="8">
        <v>0</v>
      </c>
      <c r="AB1676" s="7">
        <v>0</v>
      </c>
      <c r="AD1676" s="8">
        <v>0</v>
      </c>
      <c r="AG1676" t="s">
        <v>823</v>
      </c>
      <c r="AH1676" t="s">
        <v>802</v>
      </c>
      <c r="AI1676" t="s">
        <v>803</v>
      </c>
    </row>
    <row r="1677" spans="1:35" hidden="1">
      <c r="A1677" s="7">
        <v>1676</v>
      </c>
      <c r="B1677" t="s">
        <v>243</v>
      </c>
      <c r="C1677" t="s">
        <v>244</v>
      </c>
      <c r="D1677" s="7">
        <v>7134</v>
      </c>
      <c r="E1677" t="s">
        <v>245</v>
      </c>
      <c r="F1677" t="s">
        <v>246</v>
      </c>
      <c r="G1677" t="s">
        <v>363</v>
      </c>
      <c r="H1677" t="s">
        <v>4976</v>
      </c>
      <c r="I1677" s="7">
        <v>872</v>
      </c>
      <c r="J1677" s="7">
        <v>50000</v>
      </c>
      <c r="K1677" s="7">
        <v>3</v>
      </c>
      <c r="L1677" t="s">
        <v>247</v>
      </c>
      <c r="M1677" t="s">
        <v>261</v>
      </c>
      <c r="N1677" s="7">
        <v>798677</v>
      </c>
      <c r="O1677" t="s">
        <v>2218</v>
      </c>
      <c r="P1677" t="s">
        <v>2219</v>
      </c>
      <c r="S1677" t="s">
        <v>3831</v>
      </c>
      <c r="T1677" t="s">
        <v>4942</v>
      </c>
      <c r="U1677" t="s">
        <v>4943</v>
      </c>
      <c r="V1677" s="8">
        <v>1250</v>
      </c>
      <c r="W1677" s="7">
        <v>0</v>
      </c>
      <c r="Y1677" s="8">
        <v>1250</v>
      </c>
      <c r="Z1677" s="8">
        <v>1475</v>
      </c>
      <c r="AA1677" s="8">
        <v>225</v>
      </c>
      <c r="AB1677" s="7">
        <v>0</v>
      </c>
      <c r="AD1677" s="8">
        <v>0</v>
      </c>
      <c r="AG1677" t="s">
        <v>817</v>
      </c>
      <c r="AH1677" t="s">
        <v>802</v>
      </c>
      <c r="AI1677" t="s">
        <v>818</v>
      </c>
    </row>
    <row r="1678" spans="1:35" hidden="1">
      <c r="A1678" s="7">
        <v>1677</v>
      </c>
      <c r="B1678" t="s">
        <v>243</v>
      </c>
      <c r="C1678" t="s">
        <v>244</v>
      </c>
      <c r="D1678" s="7">
        <v>7134</v>
      </c>
      <c r="E1678" t="s">
        <v>245</v>
      </c>
      <c r="F1678" t="s">
        <v>246</v>
      </c>
      <c r="G1678" t="s">
        <v>1004</v>
      </c>
      <c r="H1678" t="s">
        <v>4950</v>
      </c>
      <c r="I1678" s="7">
        <v>1165</v>
      </c>
      <c r="J1678" s="7">
        <v>42436</v>
      </c>
      <c r="K1678" s="7">
        <v>4</v>
      </c>
      <c r="L1678" t="s">
        <v>247</v>
      </c>
      <c r="M1678" t="s">
        <v>361</v>
      </c>
      <c r="N1678" s="7">
        <v>6182</v>
      </c>
      <c r="O1678" t="s">
        <v>1183</v>
      </c>
      <c r="P1678" t="s">
        <v>1184</v>
      </c>
      <c r="Q1678" t="s">
        <v>908</v>
      </c>
      <c r="R1678" t="s">
        <v>909</v>
      </c>
      <c r="S1678" t="s">
        <v>3831</v>
      </c>
      <c r="T1678" t="s">
        <v>4942</v>
      </c>
      <c r="U1678" t="s">
        <v>4943</v>
      </c>
      <c r="V1678" s="8">
        <v>0</v>
      </c>
      <c r="W1678" s="7">
        <v>0</v>
      </c>
      <c r="Y1678" s="8">
        <v>0</v>
      </c>
      <c r="Z1678" s="8">
        <v>0</v>
      </c>
      <c r="AA1678" s="8">
        <v>0</v>
      </c>
      <c r="AB1678" s="7">
        <v>0</v>
      </c>
      <c r="AD1678" s="8">
        <v>0</v>
      </c>
      <c r="AG1678" t="s">
        <v>823</v>
      </c>
      <c r="AH1678" t="s">
        <v>802</v>
      </c>
      <c r="AI1678" t="s">
        <v>803</v>
      </c>
    </row>
    <row r="1679" spans="1:35" hidden="1">
      <c r="A1679" s="7">
        <v>1678</v>
      </c>
      <c r="B1679" t="s">
        <v>243</v>
      </c>
      <c r="C1679" t="s">
        <v>244</v>
      </c>
      <c r="D1679" s="7">
        <v>7134</v>
      </c>
      <c r="E1679" t="s">
        <v>245</v>
      </c>
      <c r="F1679" t="s">
        <v>246</v>
      </c>
      <c r="G1679" t="s">
        <v>3395</v>
      </c>
      <c r="H1679" t="s">
        <v>4945</v>
      </c>
      <c r="I1679" s="7">
        <v>1165</v>
      </c>
      <c r="J1679" s="7">
        <v>5067</v>
      </c>
      <c r="K1679" s="7">
        <v>1</v>
      </c>
      <c r="L1679" t="s">
        <v>247</v>
      </c>
      <c r="M1679" t="s">
        <v>267</v>
      </c>
      <c r="N1679" s="7">
        <v>784170</v>
      </c>
      <c r="O1679" t="s">
        <v>3520</v>
      </c>
      <c r="P1679" t="s">
        <v>3521</v>
      </c>
      <c r="S1679" t="s">
        <v>3831</v>
      </c>
      <c r="T1679" t="s">
        <v>4942</v>
      </c>
      <c r="U1679" t="s">
        <v>4943</v>
      </c>
      <c r="V1679" s="8">
        <v>1250</v>
      </c>
      <c r="W1679" s="7">
        <v>0</v>
      </c>
      <c r="Y1679" s="8">
        <v>1250</v>
      </c>
      <c r="Z1679" s="8">
        <v>1475</v>
      </c>
      <c r="AA1679" s="8">
        <v>225</v>
      </c>
      <c r="AB1679" s="7">
        <v>0</v>
      </c>
      <c r="AD1679" s="8">
        <v>0</v>
      </c>
      <c r="AG1679" t="s">
        <v>1124</v>
      </c>
      <c r="AH1679" t="s">
        <v>802</v>
      </c>
      <c r="AI1679" t="s">
        <v>818</v>
      </c>
    </row>
    <row r="1680" spans="1:35" hidden="1">
      <c r="A1680" s="7">
        <v>1679</v>
      </c>
      <c r="B1680" t="s">
        <v>243</v>
      </c>
      <c r="C1680" t="s">
        <v>244</v>
      </c>
      <c r="D1680" s="7">
        <v>7134</v>
      </c>
      <c r="E1680" t="s">
        <v>245</v>
      </c>
      <c r="F1680" t="s">
        <v>246</v>
      </c>
      <c r="G1680" t="s">
        <v>1457</v>
      </c>
      <c r="H1680" t="s">
        <v>4962</v>
      </c>
      <c r="I1680" s="7">
        <v>891</v>
      </c>
      <c r="J1680" s="7">
        <v>50000</v>
      </c>
      <c r="K1680" s="7">
        <v>3</v>
      </c>
      <c r="L1680" t="s">
        <v>247</v>
      </c>
      <c r="M1680" t="s">
        <v>261</v>
      </c>
      <c r="N1680" s="7">
        <v>798151</v>
      </c>
      <c r="O1680" t="s">
        <v>4991</v>
      </c>
      <c r="P1680" t="s">
        <v>4992</v>
      </c>
      <c r="S1680" t="s">
        <v>3831</v>
      </c>
      <c r="T1680" t="s">
        <v>4942</v>
      </c>
      <c r="U1680" t="s">
        <v>4943</v>
      </c>
      <c r="V1680" s="8">
        <v>1250</v>
      </c>
      <c r="W1680" s="7">
        <v>0</v>
      </c>
      <c r="Y1680" s="8">
        <v>1250</v>
      </c>
      <c r="Z1680" s="8">
        <v>1475</v>
      </c>
      <c r="AA1680" s="8">
        <v>225</v>
      </c>
      <c r="AB1680" s="7">
        <v>0</v>
      </c>
      <c r="AD1680" s="8">
        <v>0</v>
      </c>
      <c r="AG1680" t="s">
        <v>817</v>
      </c>
      <c r="AH1680" t="s">
        <v>802</v>
      </c>
      <c r="AI1680" t="s">
        <v>818</v>
      </c>
    </row>
    <row r="1681" spans="1:35" hidden="1">
      <c r="A1681" s="7">
        <v>1680</v>
      </c>
      <c r="B1681" t="s">
        <v>243</v>
      </c>
      <c r="C1681" t="s">
        <v>244</v>
      </c>
      <c r="D1681" s="7">
        <v>7134</v>
      </c>
      <c r="E1681" t="s">
        <v>245</v>
      </c>
      <c r="F1681" t="s">
        <v>246</v>
      </c>
      <c r="G1681" t="s">
        <v>278</v>
      </c>
      <c r="H1681" t="s">
        <v>4945</v>
      </c>
      <c r="I1681" s="7">
        <v>829</v>
      </c>
      <c r="J1681" s="7">
        <v>51200</v>
      </c>
      <c r="K1681" s="7">
        <v>3</v>
      </c>
      <c r="L1681" t="s">
        <v>247</v>
      </c>
      <c r="M1681" t="s">
        <v>261</v>
      </c>
      <c r="N1681" s="7">
        <v>795183</v>
      </c>
      <c r="O1681" t="s">
        <v>1838</v>
      </c>
      <c r="P1681" t="s">
        <v>1839</v>
      </c>
      <c r="Q1681" t="s">
        <v>908</v>
      </c>
      <c r="R1681" t="s">
        <v>909</v>
      </c>
      <c r="S1681" t="s">
        <v>3831</v>
      </c>
      <c r="T1681" t="s">
        <v>4942</v>
      </c>
      <c r="U1681" t="s">
        <v>4943</v>
      </c>
      <c r="V1681" s="8">
        <v>1250</v>
      </c>
      <c r="W1681" s="7">
        <v>0</v>
      </c>
      <c r="Y1681" s="8">
        <v>1000</v>
      </c>
      <c r="Z1681" s="8">
        <v>1475</v>
      </c>
      <c r="AA1681" s="8">
        <v>225</v>
      </c>
      <c r="AB1681" s="7">
        <v>0</v>
      </c>
      <c r="AD1681" s="8">
        <v>250</v>
      </c>
      <c r="AG1681" t="s">
        <v>817</v>
      </c>
      <c r="AH1681" t="s">
        <v>802</v>
      </c>
      <c r="AI1681" t="s">
        <v>818</v>
      </c>
    </row>
    <row r="1682" spans="1:35" hidden="1">
      <c r="A1682" s="7">
        <v>1681</v>
      </c>
      <c r="B1682" t="s">
        <v>243</v>
      </c>
      <c r="C1682" t="s">
        <v>244</v>
      </c>
      <c r="D1682" s="7">
        <v>7134</v>
      </c>
      <c r="E1682" t="s">
        <v>245</v>
      </c>
      <c r="F1682" t="s">
        <v>246</v>
      </c>
      <c r="G1682" t="s">
        <v>3107</v>
      </c>
      <c r="H1682" t="s">
        <v>4949</v>
      </c>
      <c r="I1682" s="7">
        <v>1165</v>
      </c>
      <c r="J1682" s="7">
        <v>24461</v>
      </c>
      <c r="K1682" s="7">
        <v>7</v>
      </c>
      <c r="L1682" t="s">
        <v>247</v>
      </c>
      <c r="M1682" t="s">
        <v>261</v>
      </c>
      <c r="N1682" s="7">
        <v>781991</v>
      </c>
      <c r="O1682" t="s">
        <v>3109</v>
      </c>
      <c r="P1682" t="s">
        <v>3110</v>
      </c>
      <c r="S1682" t="s">
        <v>3831</v>
      </c>
      <c r="T1682" t="s">
        <v>4942</v>
      </c>
      <c r="U1682" t="s">
        <v>4943</v>
      </c>
      <c r="V1682" s="8">
        <v>0</v>
      </c>
      <c r="W1682" s="7">
        <v>0</v>
      </c>
      <c r="Y1682" s="8">
        <v>0</v>
      </c>
      <c r="Z1682" s="8">
        <v>0</v>
      </c>
      <c r="AA1682" s="8">
        <v>0</v>
      </c>
      <c r="AB1682" s="7">
        <v>0</v>
      </c>
      <c r="AD1682" s="8">
        <v>0</v>
      </c>
      <c r="AG1682" t="s">
        <v>808</v>
      </c>
      <c r="AH1682" t="s">
        <v>802</v>
      </c>
      <c r="AI1682" t="s">
        <v>803</v>
      </c>
    </row>
    <row r="1683" spans="1:35" hidden="1">
      <c r="A1683" s="7">
        <v>1682</v>
      </c>
      <c r="B1683" t="s">
        <v>243</v>
      </c>
      <c r="C1683" t="s">
        <v>244</v>
      </c>
      <c r="D1683" s="7">
        <v>7134</v>
      </c>
      <c r="E1683" t="s">
        <v>245</v>
      </c>
      <c r="F1683" t="s">
        <v>246</v>
      </c>
      <c r="G1683" t="s">
        <v>4993</v>
      </c>
      <c r="H1683" t="s">
        <v>4945</v>
      </c>
      <c r="I1683" s="7">
        <v>1165</v>
      </c>
      <c r="J1683" s="7">
        <v>117170</v>
      </c>
      <c r="K1683" s="7">
        <v>12</v>
      </c>
      <c r="L1683" t="s">
        <v>247</v>
      </c>
      <c r="M1683" t="s">
        <v>267</v>
      </c>
      <c r="N1683" s="7">
        <v>766694</v>
      </c>
      <c r="O1683" t="s">
        <v>2350</v>
      </c>
      <c r="P1683" t="s">
        <v>2351</v>
      </c>
      <c r="S1683" t="s">
        <v>3831</v>
      </c>
      <c r="T1683" t="s">
        <v>4942</v>
      </c>
      <c r="U1683" t="s">
        <v>4943</v>
      </c>
      <c r="V1683" s="8">
        <v>0</v>
      </c>
      <c r="W1683" s="7">
        <v>0</v>
      </c>
      <c r="Y1683" s="8">
        <v>0</v>
      </c>
      <c r="Z1683" s="8">
        <v>0</v>
      </c>
      <c r="AA1683" s="8">
        <v>0</v>
      </c>
      <c r="AB1683" s="7">
        <v>0</v>
      </c>
      <c r="AD1683" s="8">
        <v>0</v>
      </c>
      <c r="AG1683" t="s">
        <v>828</v>
      </c>
      <c r="AH1683" t="s">
        <v>802</v>
      </c>
      <c r="AI1683" t="s">
        <v>803</v>
      </c>
    </row>
    <row r="1684" spans="1:35" hidden="1">
      <c r="A1684" s="7">
        <v>1683</v>
      </c>
      <c r="B1684" t="s">
        <v>243</v>
      </c>
      <c r="C1684" t="s">
        <v>244</v>
      </c>
      <c r="D1684" s="7">
        <v>7134</v>
      </c>
      <c r="E1684" t="s">
        <v>245</v>
      </c>
      <c r="F1684" t="s">
        <v>246</v>
      </c>
      <c r="G1684" t="s">
        <v>263</v>
      </c>
      <c r="H1684" t="s">
        <v>4957</v>
      </c>
      <c r="I1684" s="7">
        <v>1165</v>
      </c>
      <c r="J1684" s="7">
        <v>8950</v>
      </c>
      <c r="K1684" s="7">
        <v>4</v>
      </c>
      <c r="L1684" t="s">
        <v>247</v>
      </c>
      <c r="M1684" t="s">
        <v>267</v>
      </c>
      <c r="N1684" s="7">
        <v>794594</v>
      </c>
      <c r="O1684" t="s">
        <v>479</v>
      </c>
      <c r="P1684" t="s">
        <v>480</v>
      </c>
      <c r="Q1684" t="s">
        <v>870</v>
      </c>
      <c r="R1684" t="s">
        <v>871</v>
      </c>
      <c r="S1684" t="s">
        <v>3831</v>
      </c>
      <c r="T1684" t="s">
        <v>4942</v>
      </c>
      <c r="U1684" t="s">
        <v>4943</v>
      </c>
      <c r="V1684" s="8">
        <v>0</v>
      </c>
      <c r="W1684" s="7">
        <v>0</v>
      </c>
      <c r="Y1684" s="8">
        <v>0</v>
      </c>
      <c r="Z1684" s="8">
        <v>0</v>
      </c>
      <c r="AA1684" s="8">
        <v>0</v>
      </c>
      <c r="AB1684" s="7">
        <v>0</v>
      </c>
      <c r="AD1684" s="8">
        <v>0</v>
      </c>
      <c r="AG1684" t="s">
        <v>828</v>
      </c>
      <c r="AH1684" t="s">
        <v>802</v>
      </c>
      <c r="AI1684" t="s">
        <v>803</v>
      </c>
    </row>
    <row r="1685" spans="1:35" hidden="1">
      <c r="A1685" s="7">
        <v>1684</v>
      </c>
      <c r="B1685" t="s">
        <v>243</v>
      </c>
      <c r="C1685" t="s">
        <v>244</v>
      </c>
      <c r="D1685" s="7">
        <v>7134</v>
      </c>
      <c r="E1685" t="s">
        <v>245</v>
      </c>
      <c r="F1685" t="s">
        <v>246</v>
      </c>
      <c r="G1685" t="s">
        <v>1156</v>
      </c>
      <c r="H1685" t="s">
        <v>4959</v>
      </c>
      <c r="I1685" s="7">
        <v>1165</v>
      </c>
      <c r="J1685" s="7">
        <v>14775</v>
      </c>
      <c r="K1685" s="7">
        <v>7</v>
      </c>
      <c r="L1685" t="s">
        <v>247</v>
      </c>
      <c r="M1685" t="s">
        <v>252</v>
      </c>
      <c r="N1685" s="7">
        <v>324754</v>
      </c>
      <c r="O1685" t="s">
        <v>1477</v>
      </c>
      <c r="P1685" t="s">
        <v>1478</v>
      </c>
      <c r="S1685" t="s">
        <v>3831</v>
      </c>
      <c r="T1685" t="s">
        <v>4942</v>
      </c>
      <c r="U1685" t="s">
        <v>4943</v>
      </c>
      <c r="V1685" s="8">
        <v>0</v>
      </c>
      <c r="W1685" s="7">
        <v>0</v>
      </c>
      <c r="Y1685" s="8">
        <v>0</v>
      </c>
      <c r="Z1685" s="8">
        <v>0</v>
      </c>
      <c r="AA1685" s="8">
        <v>0</v>
      </c>
      <c r="AB1685" s="7">
        <v>0</v>
      </c>
      <c r="AD1685" s="8">
        <v>0</v>
      </c>
      <c r="AG1685" t="s">
        <v>937</v>
      </c>
      <c r="AH1685" t="s">
        <v>802</v>
      </c>
      <c r="AI1685" t="s">
        <v>803</v>
      </c>
    </row>
    <row r="1686" spans="1:35" hidden="1">
      <c r="A1686" s="7">
        <v>1685</v>
      </c>
      <c r="B1686" t="s">
        <v>243</v>
      </c>
      <c r="C1686" t="s">
        <v>244</v>
      </c>
      <c r="D1686" s="7">
        <v>7134</v>
      </c>
      <c r="E1686" t="s">
        <v>245</v>
      </c>
      <c r="F1686" t="s">
        <v>246</v>
      </c>
      <c r="G1686" t="s">
        <v>284</v>
      </c>
      <c r="H1686" t="s">
        <v>4944</v>
      </c>
      <c r="I1686" s="7">
        <v>942</v>
      </c>
      <c r="J1686" s="7">
        <v>53381</v>
      </c>
      <c r="K1686" s="7">
        <v>3</v>
      </c>
      <c r="L1686" t="s">
        <v>247</v>
      </c>
      <c r="M1686" t="s">
        <v>261</v>
      </c>
      <c r="N1686" s="7">
        <v>796014</v>
      </c>
      <c r="O1686" t="s">
        <v>2174</v>
      </c>
      <c r="P1686" t="s">
        <v>2175</v>
      </c>
      <c r="Q1686" t="s">
        <v>1917</v>
      </c>
      <c r="R1686" t="s">
        <v>1918</v>
      </c>
      <c r="S1686" t="s">
        <v>3831</v>
      </c>
      <c r="T1686" t="s">
        <v>4942</v>
      </c>
      <c r="U1686" t="s">
        <v>4943</v>
      </c>
      <c r="V1686" s="8">
        <v>1250</v>
      </c>
      <c r="W1686" s="7">
        <v>0</v>
      </c>
      <c r="Y1686" s="8">
        <v>0</v>
      </c>
      <c r="Z1686" s="8">
        <v>1475</v>
      </c>
      <c r="AA1686" s="8">
        <v>225</v>
      </c>
      <c r="AB1686" s="7">
        <v>0</v>
      </c>
      <c r="AD1686" s="8">
        <v>1250</v>
      </c>
      <c r="AG1686" t="s">
        <v>817</v>
      </c>
      <c r="AH1686" t="s">
        <v>802</v>
      </c>
      <c r="AI1686" t="s">
        <v>818</v>
      </c>
    </row>
    <row r="1687" spans="1:35" hidden="1">
      <c r="A1687" s="7">
        <v>1686</v>
      </c>
      <c r="B1687" t="s">
        <v>243</v>
      </c>
      <c r="C1687" t="s">
        <v>244</v>
      </c>
      <c r="D1687" s="7">
        <v>7134</v>
      </c>
      <c r="E1687" t="s">
        <v>245</v>
      </c>
      <c r="F1687" t="s">
        <v>246</v>
      </c>
      <c r="G1687" t="s">
        <v>1101</v>
      </c>
      <c r="H1687" t="s">
        <v>4971</v>
      </c>
      <c r="I1687" s="7">
        <v>1165</v>
      </c>
      <c r="J1687" s="7">
        <v>61950</v>
      </c>
      <c r="K1687" s="7">
        <v>6</v>
      </c>
      <c r="L1687" t="s">
        <v>247</v>
      </c>
      <c r="M1687" t="s">
        <v>361</v>
      </c>
      <c r="N1687" s="7">
        <v>5597</v>
      </c>
      <c r="O1687" t="s">
        <v>1419</v>
      </c>
      <c r="P1687" t="s">
        <v>1420</v>
      </c>
      <c r="Q1687" t="s">
        <v>908</v>
      </c>
      <c r="R1687" t="s">
        <v>909</v>
      </c>
      <c r="S1687" t="s">
        <v>3831</v>
      </c>
      <c r="T1687" t="s">
        <v>4942</v>
      </c>
      <c r="U1687" t="s">
        <v>4943</v>
      </c>
      <c r="V1687" s="8">
        <v>0</v>
      </c>
      <c r="W1687" s="7">
        <v>0</v>
      </c>
      <c r="Y1687" s="8">
        <v>0</v>
      </c>
      <c r="Z1687" s="8">
        <v>0</v>
      </c>
      <c r="AA1687" s="8">
        <v>0</v>
      </c>
      <c r="AB1687" s="7">
        <v>0</v>
      </c>
      <c r="AD1687" s="8">
        <v>0</v>
      </c>
      <c r="AG1687" t="s">
        <v>823</v>
      </c>
      <c r="AH1687" t="s">
        <v>802</v>
      </c>
      <c r="AI1687" t="s">
        <v>803</v>
      </c>
    </row>
    <row r="1688" spans="1:35" hidden="1">
      <c r="A1688" s="7">
        <v>1687</v>
      </c>
      <c r="B1688" t="s">
        <v>243</v>
      </c>
      <c r="C1688" t="s">
        <v>244</v>
      </c>
      <c r="D1688" s="7">
        <v>7134</v>
      </c>
      <c r="E1688" t="s">
        <v>245</v>
      </c>
      <c r="F1688" t="s">
        <v>246</v>
      </c>
      <c r="G1688" t="s">
        <v>1224</v>
      </c>
      <c r="H1688" t="s">
        <v>4944</v>
      </c>
      <c r="I1688" s="7">
        <v>850</v>
      </c>
      <c r="J1688" s="7">
        <v>50000</v>
      </c>
      <c r="K1688" s="7">
        <v>3</v>
      </c>
      <c r="L1688" t="s">
        <v>247</v>
      </c>
      <c r="M1688" t="s">
        <v>261</v>
      </c>
      <c r="N1688" s="7">
        <v>797769</v>
      </c>
      <c r="O1688" t="s">
        <v>2134</v>
      </c>
      <c r="P1688" t="s">
        <v>2135</v>
      </c>
      <c r="S1688" t="s">
        <v>3831</v>
      </c>
      <c r="T1688" t="s">
        <v>4942</v>
      </c>
      <c r="U1688" t="s">
        <v>4943</v>
      </c>
      <c r="V1688" s="8">
        <v>1250</v>
      </c>
      <c r="W1688" s="7">
        <v>0</v>
      </c>
      <c r="Y1688" s="8">
        <v>1250</v>
      </c>
      <c r="Z1688" s="8">
        <v>1475</v>
      </c>
      <c r="AA1688" s="8">
        <v>225</v>
      </c>
      <c r="AB1688" s="7">
        <v>0</v>
      </c>
      <c r="AD1688" s="8">
        <v>0</v>
      </c>
      <c r="AG1688" t="s">
        <v>817</v>
      </c>
      <c r="AH1688" t="s">
        <v>802</v>
      </c>
      <c r="AI1688" t="s">
        <v>818</v>
      </c>
    </row>
    <row r="1689" spans="1:35" hidden="1">
      <c r="A1689" s="7">
        <v>1688</v>
      </c>
      <c r="B1689" t="s">
        <v>243</v>
      </c>
      <c r="C1689" t="s">
        <v>244</v>
      </c>
      <c r="D1689" s="7">
        <v>7134</v>
      </c>
      <c r="E1689" t="s">
        <v>245</v>
      </c>
      <c r="F1689" t="s">
        <v>246</v>
      </c>
      <c r="G1689" t="s">
        <v>3077</v>
      </c>
      <c r="H1689" t="s">
        <v>4942</v>
      </c>
      <c r="I1689" s="7">
        <v>1165</v>
      </c>
      <c r="J1689" s="7">
        <v>19856</v>
      </c>
      <c r="K1689" s="7">
        <v>3</v>
      </c>
      <c r="L1689" t="s">
        <v>247</v>
      </c>
      <c r="M1689" t="s">
        <v>361</v>
      </c>
      <c r="N1689" s="7">
        <v>8573</v>
      </c>
      <c r="O1689" t="s">
        <v>3253</v>
      </c>
      <c r="P1689" t="s">
        <v>3254</v>
      </c>
      <c r="S1689" t="s">
        <v>3831</v>
      </c>
      <c r="T1689" t="s">
        <v>4942</v>
      </c>
      <c r="U1689" t="s">
        <v>4943</v>
      </c>
      <c r="V1689" s="8">
        <v>1650</v>
      </c>
      <c r="W1689" s="7">
        <v>0</v>
      </c>
      <c r="Y1689" s="8">
        <v>1650</v>
      </c>
      <c r="Z1689" s="8">
        <v>1947</v>
      </c>
      <c r="AA1689" s="8">
        <v>297</v>
      </c>
      <c r="AB1689" s="7">
        <v>0</v>
      </c>
      <c r="AD1689" s="8">
        <v>0</v>
      </c>
      <c r="AG1689" t="s">
        <v>823</v>
      </c>
      <c r="AH1689" t="s">
        <v>802</v>
      </c>
      <c r="AI1689" t="s">
        <v>818</v>
      </c>
    </row>
    <row r="1690" spans="1:35" hidden="1">
      <c r="A1690" s="7">
        <v>1689</v>
      </c>
      <c r="B1690" t="s">
        <v>243</v>
      </c>
      <c r="C1690" t="s">
        <v>244</v>
      </c>
      <c r="D1690" s="7">
        <v>7134</v>
      </c>
      <c r="E1690" t="s">
        <v>245</v>
      </c>
      <c r="F1690" t="s">
        <v>246</v>
      </c>
      <c r="G1690" t="s">
        <v>1457</v>
      </c>
      <c r="H1690" t="s">
        <v>4957</v>
      </c>
      <c r="I1690" s="7">
        <v>853</v>
      </c>
      <c r="J1690" s="7">
        <v>50380</v>
      </c>
      <c r="K1690" s="7">
        <v>3</v>
      </c>
      <c r="L1690" t="s">
        <v>247</v>
      </c>
      <c r="M1690" t="s">
        <v>261</v>
      </c>
      <c r="N1690" s="7">
        <v>798937</v>
      </c>
      <c r="O1690" t="s">
        <v>4994</v>
      </c>
      <c r="P1690" t="s">
        <v>4995</v>
      </c>
      <c r="S1690" t="s">
        <v>3831</v>
      </c>
      <c r="T1690" t="s">
        <v>4942</v>
      </c>
      <c r="U1690" t="s">
        <v>4943</v>
      </c>
      <c r="V1690" s="8">
        <v>1250</v>
      </c>
      <c r="W1690" s="7">
        <v>0</v>
      </c>
      <c r="Y1690" s="8">
        <v>1250</v>
      </c>
      <c r="Z1690" s="8">
        <v>1475</v>
      </c>
      <c r="AA1690" s="8">
        <v>225</v>
      </c>
      <c r="AB1690" s="7">
        <v>0</v>
      </c>
      <c r="AD1690" s="8">
        <v>0</v>
      </c>
      <c r="AG1690" t="s">
        <v>817</v>
      </c>
      <c r="AH1690" t="s">
        <v>802</v>
      </c>
      <c r="AI1690" t="s">
        <v>818</v>
      </c>
    </row>
    <row r="1691" spans="1:35" hidden="1">
      <c r="A1691" s="7">
        <v>1690</v>
      </c>
      <c r="B1691" t="s">
        <v>243</v>
      </c>
      <c r="C1691" t="s">
        <v>244</v>
      </c>
      <c r="D1691" s="7">
        <v>7134</v>
      </c>
      <c r="E1691" t="s">
        <v>245</v>
      </c>
      <c r="F1691" t="s">
        <v>246</v>
      </c>
      <c r="G1691" t="s">
        <v>921</v>
      </c>
      <c r="H1691" t="s">
        <v>4958</v>
      </c>
      <c r="I1691" s="7">
        <v>1165</v>
      </c>
      <c r="J1691" s="7">
        <v>40000</v>
      </c>
      <c r="K1691" s="7">
        <v>4</v>
      </c>
      <c r="L1691" t="s">
        <v>247</v>
      </c>
      <c r="M1691" t="s">
        <v>361</v>
      </c>
      <c r="N1691" s="7">
        <v>6346</v>
      </c>
      <c r="O1691" t="s">
        <v>1675</v>
      </c>
      <c r="P1691" t="s">
        <v>1676</v>
      </c>
      <c r="S1691" t="s">
        <v>3831</v>
      </c>
      <c r="T1691" t="s">
        <v>4942</v>
      </c>
      <c r="U1691" t="s">
        <v>4943</v>
      </c>
      <c r="V1691" s="8">
        <v>0</v>
      </c>
      <c r="W1691" s="7">
        <v>0</v>
      </c>
      <c r="Y1691" s="8">
        <v>0</v>
      </c>
      <c r="Z1691" s="8">
        <v>0</v>
      </c>
      <c r="AA1691" s="8">
        <v>0</v>
      </c>
      <c r="AB1691" s="7">
        <v>0</v>
      </c>
      <c r="AD1691" s="8">
        <v>0</v>
      </c>
      <c r="AG1691" t="s">
        <v>823</v>
      </c>
      <c r="AH1691" t="s">
        <v>802</v>
      </c>
      <c r="AI1691" t="s">
        <v>803</v>
      </c>
    </row>
    <row r="1692" spans="1:35" hidden="1">
      <c r="A1692" s="7">
        <v>1691</v>
      </c>
      <c r="B1692" t="s">
        <v>243</v>
      </c>
      <c r="C1692" t="s">
        <v>244</v>
      </c>
      <c r="D1692" s="7">
        <v>7134</v>
      </c>
      <c r="E1692" t="s">
        <v>245</v>
      </c>
      <c r="F1692" t="s">
        <v>246</v>
      </c>
      <c r="G1692" t="s">
        <v>3371</v>
      </c>
      <c r="H1692" t="s">
        <v>4959</v>
      </c>
      <c r="I1692" s="7">
        <v>1165</v>
      </c>
      <c r="J1692" s="7">
        <v>18855</v>
      </c>
      <c r="K1692" s="7">
        <v>2</v>
      </c>
      <c r="L1692" t="s">
        <v>247</v>
      </c>
      <c r="M1692" t="s">
        <v>267</v>
      </c>
      <c r="N1692" s="7">
        <v>805626</v>
      </c>
      <c r="O1692" t="s">
        <v>3527</v>
      </c>
      <c r="P1692" t="s">
        <v>3528</v>
      </c>
      <c r="S1692" t="s">
        <v>3831</v>
      </c>
      <c r="T1692" t="s">
        <v>4942</v>
      </c>
      <c r="U1692" t="s">
        <v>4943</v>
      </c>
      <c r="V1692" s="8">
        <v>0</v>
      </c>
      <c r="W1692" s="7">
        <v>0</v>
      </c>
      <c r="Y1692" s="8">
        <v>0</v>
      </c>
      <c r="Z1692" s="8">
        <v>0</v>
      </c>
      <c r="AA1692" s="8">
        <v>0</v>
      </c>
      <c r="AB1692" s="7">
        <v>0</v>
      </c>
      <c r="AD1692" s="8">
        <v>0</v>
      </c>
      <c r="AG1692" t="s">
        <v>828</v>
      </c>
      <c r="AH1692" t="s">
        <v>802</v>
      </c>
      <c r="AI1692" t="s">
        <v>803</v>
      </c>
    </row>
    <row r="1693" spans="1:35" hidden="1">
      <c r="A1693" s="7">
        <v>1692</v>
      </c>
      <c r="B1693" t="s">
        <v>243</v>
      </c>
      <c r="C1693" t="s">
        <v>244</v>
      </c>
      <c r="D1693" s="7">
        <v>7134</v>
      </c>
      <c r="E1693" t="s">
        <v>245</v>
      </c>
      <c r="F1693" t="s">
        <v>246</v>
      </c>
      <c r="G1693" t="s">
        <v>1450</v>
      </c>
      <c r="H1693" t="s">
        <v>4976</v>
      </c>
      <c r="I1693" s="7">
        <v>2500</v>
      </c>
      <c r="J1693" s="7">
        <v>48080</v>
      </c>
      <c r="K1693" s="7">
        <v>5</v>
      </c>
      <c r="L1693" t="s">
        <v>247</v>
      </c>
      <c r="M1693" t="s">
        <v>261</v>
      </c>
      <c r="N1693" s="7">
        <v>792320</v>
      </c>
      <c r="O1693" t="s">
        <v>1460</v>
      </c>
      <c r="P1693" t="s">
        <v>1461</v>
      </c>
      <c r="Q1693" t="s">
        <v>870</v>
      </c>
      <c r="R1693" t="s">
        <v>871</v>
      </c>
      <c r="S1693" t="s">
        <v>3831</v>
      </c>
      <c r="T1693" t="s">
        <v>4942</v>
      </c>
      <c r="U1693" t="s">
        <v>4943</v>
      </c>
      <c r="V1693" s="8">
        <v>1250</v>
      </c>
      <c r="W1693" s="7">
        <v>0</v>
      </c>
      <c r="Y1693" s="8">
        <v>1000</v>
      </c>
      <c r="Z1693" s="8">
        <v>1475</v>
      </c>
      <c r="AA1693" s="8">
        <v>225</v>
      </c>
      <c r="AB1693" s="7">
        <v>0</v>
      </c>
      <c r="AD1693" s="8">
        <v>250</v>
      </c>
      <c r="AG1693" t="s">
        <v>801</v>
      </c>
      <c r="AH1693" t="s">
        <v>802</v>
      </c>
      <c r="AI1693" t="s">
        <v>818</v>
      </c>
    </row>
    <row r="1694" spans="1:35" hidden="1">
      <c r="A1694" s="7">
        <v>1693</v>
      </c>
      <c r="B1694" t="s">
        <v>243</v>
      </c>
      <c r="C1694" t="s">
        <v>244</v>
      </c>
      <c r="D1694" s="7">
        <v>7134</v>
      </c>
      <c r="E1694" t="s">
        <v>245</v>
      </c>
      <c r="F1694" t="s">
        <v>246</v>
      </c>
      <c r="G1694" t="s">
        <v>1224</v>
      </c>
      <c r="H1694" t="s">
        <v>4965</v>
      </c>
      <c r="I1694" s="7">
        <v>860</v>
      </c>
      <c r="J1694" s="7">
        <v>51104</v>
      </c>
      <c r="K1694" s="7">
        <v>3</v>
      </c>
      <c r="L1694" t="s">
        <v>247</v>
      </c>
      <c r="M1694" t="s">
        <v>261</v>
      </c>
      <c r="N1694" s="7">
        <v>797770</v>
      </c>
      <c r="O1694" t="s">
        <v>1821</v>
      </c>
      <c r="P1694" t="s">
        <v>1822</v>
      </c>
      <c r="Q1694" t="s">
        <v>908</v>
      </c>
      <c r="R1694" t="s">
        <v>909</v>
      </c>
      <c r="S1694" t="s">
        <v>3831</v>
      </c>
      <c r="T1694" t="s">
        <v>4942</v>
      </c>
      <c r="U1694" t="s">
        <v>4943</v>
      </c>
      <c r="V1694" s="8">
        <v>1250</v>
      </c>
      <c r="W1694" s="7">
        <v>0</v>
      </c>
      <c r="Y1694" s="8">
        <v>1000</v>
      </c>
      <c r="Z1694" s="8">
        <v>1475</v>
      </c>
      <c r="AA1694" s="8">
        <v>225</v>
      </c>
      <c r="AB1694" s="7">
        <v>0</v>
      </c>
      <c r="AD1694" s="8">
        <v>250</v>
      </c>
      <c r="AG1694" t="s">
        <v>817</v>
      </c>
      <c r="AH1694" t="s">
        <v>802</v>
      </c>
      <c r="AI1694" t="s">
        <v>818</v>
      </c>
    </row>
    <row r="1695" spans="1:35" hidden="1">
      <c r="A1695" s="7">
        <v>1694</v>
      </c>
      <c r="B1695" t="s">
        <v>243</v>
      </c>
      <c r="C1695" t="s">
        <v>244</v>
      </c>
      <c r="D1695" s="7">
        <v>7134</v>
      </c>
      <c r="E1695" t="s">
        <v>245</v>
      </c>
      <c r="F1695" t="s">
        <v>246</v>
      </c>
      <c r="G1695" t="s">
        <v>849</v>
      </c>
      <c r="H1695" t="s">
        <v>4954</v>
      </c>
      <c r="I1695" s="7">
        <v>1165</v>
      </c>
      <c r="J1695" s="7">
        <v>66011</v>
      </c>
      <c r="K1695" s="7">
        <v>8</v>
      </c>
      <c r="L1695" t="s">
        <v>247</v>
      </c>
      <c r="M1695" t="s">
        <v>267</v>
      </c>
      <c r="N1695" s="7">
        <v>789775</v>
      </c>
      <c r="O1695" t="s">
        <v>1402</v>
      </c>
      <c r="P1695" t="s">
        <v>1403</v>
      </c>
      <c r="S1695" t="s">
        <v>3831</v>
      </c>
      <c r="T1695" t="s">
        <v>4942</v>
      </c>
      <c r="U1695" t="s">
        <v>4943</v>
      </c>
      <c r="V1695" s="8">
        <v>1250</v>
      </c>
      <c r="W1695" s="7">
        <v>0</v>
      </c>
      <c r="Y1695" s="8">
        <v>1250</v>
      </c>
      <c r="Z1695" s="8">
        <v>1475</v>
      </c>
      <c r="AA1695" s="8">
        <v>225</v>
      </c>
      <c r="AB1695" s="7">
        <v>0</v>
      </c>
      <c r="AD1695" s="8">
        <v>0</v>
      </c>
      <c r="AG1695" t="s">
        <v>828</v>
      </c>
      <c r="AH1695" t="s">
        <v>802</v>
      </c>
      <c r="AI1695" t="s">
        <v>818</v>
      </c>
    </row>
    <row r="1696" spans="1:35" hidden="1">
      <c r="A1696" s="7">
        <v>1695</v>
      </c>
      <c r="B1696" t="s">
        <v>243</v>
      </c>
      <c r="C1696" t="s">
        <v>244</v>
      </c>
      <c r="D1696" s="7">
        <v>7134</v>
      </c>
      <c r="E1696" t="s">
        <v>245</v>
      </c>
      <c r="F1696" t="s">
        <v>246</v>
      </c>
      <c r="G1696" t="s">
        <v>3108</v>
      </c>
      <c r="H1696" t="s">
        <v>4966</v>
      </c>
      <c r="I1696" s="7">
        <v>1165</v>
      </c>
      <c r="J1696" s="7">
        <v>23752</v>
      </c>
      <c r="K1696" s="7">
        <v>3</v>
      </c>
      <c r="L1696" t="s">
        <v>247</v>
      </c>
      <c r="M1696" t="s">
        <v>361</v>
      </c>
      <c r="N1696" s="7">
        <v>7892</v>
      </c>
      <c r="O1696" t="s">
        <v>3260</v>
      </c>
      <c r="P1696" t="s">
        <v>3261</v>
      </c>
      <c r="S1696" t="s">
        <v>3831</v>
      </c>
      <c r="T1696" t="s">
        <v>4942</v>
      </c>
      <c r="U1696" t="s">
        <v>4943</v>
      </c>
      <c r="V1696" s="8">
        <v>1650</v>
      </c>
      <c r="W1696" s="7">
        <v>0</v>
      </c>
      <c r="Y1696" s="8">
        <v>1650</v>
      </c>
      <c r="Z1696" s="8">
        <v>1947</v>
      </c>
      <c r="AA1696" s="8">
        <v>297</v>
      </c>
      <c r="AB1696" s="7">
        <v>0</v>
      </c>
      <c r="AD1696" s="8">
        <v>0</v>
      </c>
      <c r="AG1696" t="s">
        <v>823</v>
      </c>
      <c r="AH1696" t="s">
        <v>802</v>
      </c>
      <c r="AI1696" t="s">
        <v>818</v>
      </c>
    </row>
    <row r="1697" spans="1:35" hidden="1">
      <c r="A1697" s="7">
        <v>1696</v>
      </c>
      <c r="B1697" t="s">
        <v>243</v>
      </c>
      <c r="C1697" t="s">
        <v>244</v>
      </c>
      <c r="D1697" s="7">
        <v>7134</v>
      </c>
      <c r="E1697" t="s">
        <v>245</v>
      </c>
      <c r="F1697" t="s">
        <v>246</v>
      </c>
      <c r="G1697" t="s">
        <v>1085</v>
      </c>
      <c r="H1697" t="s">
        <v>4984</v>
      </c>
      <c r="I1697" s="7">
        <v>1165</v>
      </c>
      <c r="J1697" s="7">
        <v>117635</v>
      </c>
      <c r="K1697" s="7">
        <v>7</v>
      </c>
      <c r="L1697" t="s">
        <v>247</v>
      </c>
      <c r="M1697" t="s">
        <v>261</v>
      </c>
      <c r="N1697" s="7">
        <v>787041</v>
      </c>
      <c r="O1697" t="s">
        <v>1151</v>
      </c>
      <c r="P1697" t="s">
        <v>1152</v>
      </c>
      <c r="Q1697" t="s">
        <v>908</v>
      </c>
      <c r="R1697" t="s">
        <v>909</v>
      </c>
      <c r="S1697" t="s">
        <v>3831</v>
      </c>
      <c r="T1697" t="s">
        <v>4942</v>
      </c>
      <c r="U1697" t="s">
        <v>4943</v>
      </c>
      <c r="V1697" s="8">
        <v>0</v>
      </c>
      <c r="W1697" s="7">
        <v>0</v>
      </c>
      <c r="Y1697" s="8">
        <v>0</v>
      </c>
      <c r="Z1697" s="8">
        <v>0</v>
      </c>
      <c r="AA1697" s="8">
        <v>0</v>
      </c>
      <c r="AB1697" s="7">
        <v>0</v>
      </c>
      <c r="AD1697" s="8">
        <v>0</v>
      </c>
      <c r="AG1697" t="s">
        <v>801</v>
      </c>
      <c r="AH1697" t="s">
        <v>802</v>
      </c>
      <c r="AI1697" t="s">
        <v>803</v>
      </c>
    </row>
    <row r="1698" spans="1:35" hidden="1">
      <c r="A1698" s="7">
        <v>1697</v>
      </c>
      <c r="B1698" t="s">
        <v>243</v>
      </c>
      <c r="C1698" t="s">
        <v>244</v>
      </c>
      <c r="D1698" s="7">
        <v>7134</v>
      </c>
      <c r="E1698" t="s">
        <v>245</v>
      </c>
      <c r="F1698" t="s">
        <v>246</v>
      </c>
      <c r="G1698" t="s">
        <v>885</v>
      </c>
      <c r="H1698" t="s">
        <v>4979</v>
      </c>
      <c r="I1698" s="7">
        <v>866</v>
      </c>
      <c r="J1698" s="7">
        <v>50000</v>
      </c>
      <c r="K1698" s="7">
        <v>3</v>
      </c>
      <c r="L1698" t="s">
        <v>247</v>
      </c>
      <c r="M1698" t="s">
        <v>261</v>
      </c>
      <c r="N1698" s="7">
        <v>796366</v>
      </c>
      <c r="O1698" t="s">
        <v>1871</v>
      </c>
      <c r="P1698" t="s">
        <v>1872</v>
      </c>
      <c r="S1698" t="s">
        <v>3831</v>
      </c>
      <c r="T1698" t="s">
        <v>4942</v>
      </c>
      <c r="U1698" t="s">
        <v>4943</v>
      </c>
      <c r="V1698" s="8">
        <v>1250</v>
      </c>
      <c r="W1698" s="7">
        <v>0</v>
      </c>
      <c r="Y1698" s="8">
        <v>1250</v>
      </c>
      <c r="Z1698" s="8">
        <v>1475</v>
      </c>
      <c r="AA1698" s="8">
        <v>225</v>
      </c>
      <c r="AB1698" s="7">
        <v>0</v>
      </c>
      <c r="AD1698" s="8">
        <v>0</v>
      </c>
      <c r="AG1698" t="s">
        <v>817</v>
      </c>
      <c r="AH1698" t="s">
        <v>802</v>
      </c>
      <c r="AI1698" t="s">
        <v>818</v>
      </c>
    </row>
    <row r="1699" spans="1:35" hidden="1">
      <c r="A1699" s="7">
        <v>1698</v>
      </c>
      <c r="B1699" t="s">
        <v>243</v>
      </c>
      <c r="C1699" t="s">
        <v>244</v>
      </c>
      <c r="D1699" s="7">
        <v>7134</v>
      </c>
      <c r="E1699" t="s">
        <v>245</v>
      </c>
      <c r="F1699" t="s">
        <v>246</v>
      </c>
      <c r="G1699" t="s">
        <v>1224</v>
      </c>
      <c r="H1699" t="s">
        <v>4969</v>
      </c>
      <c r="I1699" s="7">
        <v>852</v>
      </c>
      <c r="J1699" s="7">
        <v>50000</v>
      </c>
      <c r="K1699" s="7">
        <v>3</v>
      </c>
      <c r="L1699" t="s">
        <v>247</v>
      </c>
      <c r="M1699" t="s">
        <v>261</v>
      </c>
      <c r="N1699" s="7">
        <v>797765</v>
      </c>
      <c r="O1699" t="s">
        <v>1809</v>
      </c>
      <c r="P1699" t="s">
        <v>1810</v>
      </c>
      <c r="S1699" t="s">
        <v>3831</v>
      </c>
      <c r="T1699" t="s">
        <v>4942</v>
      </c>
      <c r="U1699" t="s">
        <v>4943</v>
      </c>
      <c r="V1699" s="8">
        <v>1250</v>
      </c>
      <c r="W1699" s="7">
        <v>0</v>
      </c>
      <c r="Y1699" s="8">
        <v>1250</v>
      </c>
      <c r="Z1699" s="8">
        <v>1475</v>
      </c>
      <c r="AA1699" s="8">
        <v>225</v>
      </c>
      <c r="AB1699" s="7">
        <v>0</v>
      </c>
      <c r="AD1699" s="8">
        <v>0</v>
      </c>
      <c r="AG1699" t="s">
        <v>817</v>
      </c>
      <c r="AH1699" t="s">
        <v>802</v>
      </c>
      <c r="AI1699" t="s">
        <v>818</v>
      </c>
    </row>
    <row r="1700" spans="1:35" hidden="1">
      <c r="A1700" s="7">
        <v>1699</v>
      </c>
      <c r="B1700" t="s">
        <v>243</v>
      </c>
      <c r="C1700" t="s">
        <v>244</v>
      </c>
      <c r="D1700" s="7">
        <v>7134</v>
      </c>
      <c r="E1700" t="s">
        <v>245</v>
      </c>
      <c r="F1700" t="s">
        <v>246</v>
      </c>
      <c r="G1700" t="s">
        <v>263</v>
      </c>
      <c r="H1700" t="s">
        <v>4966</v>
      </c>
      <c r="I1700" s="7">
        <v>884</v>
      </c>
      <c r="J1700" s="7">
        <v>50000</v>
      </c>
      <c r="K1700" s="7">
        <v>3</v>
      </c>
      <c r="L1700" t="s">
        <v>247</v>
      </c>
      <c r="M1700" t="s">
        <v>261</v>
      </c>
      <c r="N1700" s="7">
        <v>798543</v>
      </c>
      <c r="O1700" t="s">
        <v>4996</v>
      </c>
      <c r="P1700" t="s">
        <v>4997</v>
      </c>
      <c r="S1700" t="s">
        <v>3831</v>
      </c>
      <c r="T1700" t="s">
        <v>4942</v>
      </c>
      <c r="U1700" t="s">
        <v>4943</v>
      </c>
      <c r="V1700" s="8">
        <v>1250</v>
      </c>
      <c r="W1700" s="7">
        <v>0</v>
      </c>
      <c r="Y1700" s="8">
        <v>1250</v>
      </c>
      <c r="Z1700" s="8">
        <v>1475</v>
      </c>
      <c r="AA1700" s="8">
        <v>225</v>
      </c>
      <c r="AB1700" s="7">
        <v>0</v>
      </c>
      <c r="AD1700" s="8">
        <v>0</v>
      </c>
      <c r="AG1700" t="s">
        <v>817</v>
      </c>
      <c r="AH1700" t="s">
        <v>802</v>
      </c>
      <c r="AI1700" t="s">
        <v>818</v>
      </c>
    </row>
    <row r="1701" spans="1:35" hidden="1">
      <c r="A1701" s="7">
        <v>1700</v>
      </c>
      <c r="B1701" t="s">
        <v>243</v>
      </c>
      <c r="C1701" t="s">
        <v>244</v>
      </c>
      <c r="D1701" s="7">
        <v>7134</v>
      </c>
      <c r="E1701" t="s">
        <v>245</v>
      </c>
      <c r="F1701" t="s">
        <v>246</v>
      </c>
      <c r="G1701" t="s">
        <v>1226</v>
      </c>
      <c r="H1701" t="s">
        <v>4962</v>
      </c>
      <c r="I1701" s="7">
        <v>1165</v>
      </c>
      <c r="J1701" s="7">
        <v>26317</v>
      </c>
      <c r="K1701" s="7">
        <v>4</v>
      </c>
      <c r="L1701" t="s">
        <v>247</v>
      </c>
      <c r="M1701" t="s">
        <v>267</v>
      </c>
      <c r="N1701" s="7">
        <v>768949</v>
      </c>
      <c r="O1701" t="s">
        <v>4998</v>
      </c>
      <c r="P1701" t="s">
        <v>4999</v>
      </c>
      <c r="Q1701" t="s">
        <v>870</v>
      </c>
      <c r="R1701" t="s">
        <v>871</v>
      </c>
      <c r="S1701" t="s">
        <v>3831</v>
      </c>
      <c r="T1701" t="s">
        <v>4942</v>
      </c>
      <c r="U1701" t="s">
        <v>4943</v>
      </c>
      <c r="V1701" s="8">
        <v>1250</v>
      </c>
      <c r="W1701" s="7">
        <v>0</v>
      </c>
      <c r="Y1701" s="8">
        <v>1000</v>
      </c>
      <c r="Z1701" s="8">
        <v>1475</v>
      </c>
      <c r="AA1701" s="8">
        <v>225</v>
      </c>
      <c r="AB1701" s="7">
        <v>0</v>
      </c>
      <c r="AD1701" s="8">
        <v>250</v>
      </c>
      <c r="AG1701" t="s">
        <v>828</v>
      </c>
      <c r="AH1701" t="s">
        <v>802</v>
      </c>
      <c r="AI1701" t="s">
        <v>818</v>
      </c>
    </row>
    <row r="1702" spans="1:35" hidden="1">
      <c r="A1702" s="7">
        <v>1701</v>
      </c>
      <c r="B1702" t="s">
        <v>243</v>
      </c>
      <c r="C1702" t="s">
        <v>244</v>
      </c>
      <c r="D1702" s="7">
        <v>7134</v>
      </c>
      <c r="E1702" t="s">
        <v>245</v>
      </c>
      <c r="F1702" t="s">
        <v>246</v>
      </c>
      <c r="G1702" t="s">
        <v>263</v>
      </c>
      <c r="H1702" t="s">
        <v>4969</v>
      </c>
      <c r="I1702" s="7">
        <v>912</v>
      </c>
      <c r="J1702" s="7">
        <v>50000</v>
      </c>
      <c r="K1702" s="7">
        <v>3</v>
      </c>
      <c r="L1702" t="s">
        <v>247</v>
      </c>
      <c r="M1702" t="s">
        <v>261</v>
      </c>
      <c r="N1702" s="7">
        <v>796249</v>
      </c>
      <c r="O1702" t="s">
        <v>2066</v>
      </c>
      <c r="P1702" t="s">
        <v>2067</v>
      </c>
      <c r="S1702" t="s">
        <v>3831</v>
      </c>
      <c r="T1702" t="s">
        <v>4942</v>
      </c>
      <c r="U1702" t="s">
        <v>4943</v>
      </c>
      <c r="V1702" s="8">
        <v>1250</v>
      </c>
      <c r="W1702" s="7">
        <v>0</v>
      </c>
      <c r="Y1702" s="8">
        <v>1250</v>
      </c>
      <c r="Z1702" s="8">
        <v>1475</v>
      </c>
      <c r="AA1702" s="8">
        <v>225</v>
      </c>
      <c r="AB1702" s="7">
        <v>0</v>
      </c>
      <c r="AD1702" s="8">
        <v>0</v>
      </c>
      <c r="AG1702" t="s">
        <v>817</v>
      </c>
      <c r="AH1702" t="s">
        <v>802</v>
      </c>
      <c r="AI1702" t="s">
        <v>818</v>
      </c>
    </row>
    <row r="1703" spans="1:35" hidden="1">
      <c r="A1703" s="7">
        <v>1702</v>
      </c>
      <c r="B1703" t="s">
        <v>243</v>
      </c>
      <c r="C1703" t="s">
        <v>244</v>
      </c>
      <c r="D1703" s="7">
        <v>7134</v>
      </c>
      <c r="E1703" t="s">
        <v>245</v>
      </c>
      <c r="F1703" t="s">
        <v>246</v>
      </c>
      <c r="G1703" t="s">
        <v>3122</v>
      </c>
      <c r="H1703" t="s">
        <v>4959</v>
      </c>
      <c r="I1703" s="7">
        <v>1165</v>
      </c>
      <c r="J1703" s="7">
        <v>6834</v>
      </c>
      <c r="K1703" s="7">
        <v>3</v>
      </c>
      <c r="L1703" t="s">
        <v>247</v>
      </c>
      <c r="M1703" t="s">
        <v>261</v>
      </c>
      <c r="N1703" s="7">
        <v>778771</v>
      </c>
      <c r="O1703" t="s">
        <v>3246</v>
      </c>
      <c r="P1703" t="s">
        <v>3247</v>
      </c>
      <c r="S1703" t="s">
        <v>3831</v>
      </c>
      <c r="T1703" t="s">
        <v>4942</v>
      </c>
      <c r="U1703" t="s">
        <v>4943</v>
      </c>
      <c r="V1703" s="8">
        <v>1250</v>
      </c>
      <c r="W1703" s="7">
        <v>0</v>
      </c>
      <c r="Y1703" s="8">
        <v>1250</v>
      </c>
      <c r="Z1703" s="8">
        <v>1475</v>
      </c>
      <c r="AA1703" s="8">
        <v>225</v>
      </c>
      <c r="AB1703" s="7">
        <v>0</v>
      </c>
      <c r="AD1703" s="8">
        <v>0</v>
      </c>
      <c r="AG1703" t="s">
        <v>808</v>
      </c>
      <c r="AH1703" t="s">
        <v>802</v>
      </c>
      <c r="AI1703" t="s">
        <v>818</v>
      </c>
    </row>
    <row r="1704" spans="1:35" hidden="1">
      <c r="A1704" s="7">
        <v>1703</v>
      </c>
      <c r="B1704" t="s">
        <v>243</v>
      </c>
      <c r="C1704" t="s">
        <v>244</v>
      </c>
      <c r="D1704" s="7">
        <v>7134</v>
      </c>
      <c r="E1704" t="s">
        <v>245</v>
      </c>
      <c r="F1704" t="s">
        <v>246</v>
      </c>
      <c r="G1704" t="s">
        <v>594</v>
      </c>
      <c r="H1704" t="s">
        <v>4971</v>
      </c>
      <c r="I1704" s="7">
        <v>1165</v>
      </c>
      <c r="J1704" s="7">
        <v>30000</v>
      </c>
      <c r="K1704" s="7">
        <v>3</v>
      </c>
      <c r="L1704" t="s">
        <v>247</v>
      </c>
      <c r="M1704" t="s">
        <v>252</v>
      </c>
      <c r="N1704" s="7">
        <v>326025</v>
      </c>
      <c r="O1704" t="s">
        <v>596</v>
      </c>
      <c r="P1704" t="s">
        <v>597</v>
      </c>
      <c r="Q1704" t="s">
        <v>870</v>
      </c>
      <c r="R1704" t="s">
        <v>871</v>
      </c>
      <c r="S1704" t="s">
        <v>3831</v>
      </c>
      <c r="T1704" t="s">
        <v>4942</v>
      </c>
      <c r="U1704" t="s">
        <v>4943</v>
      </c>
      <c r="V1704" s="8">
        <v>1250</v>
      </c>
      <c r="W1704" s="7">
        <v>0</v>
      </c>
      <c r="Y1704" s="8">
        <v>1000</v>
      </c>
      <c r="Z1704" s="8">
        <v>1475</v>
      </c>
      <c r="AA1704" s="8">
        <v>225</v>
      </c>
      <c r="AB1704" s="7">
        <v>0</v>
      </c>
      <c r="AD1704" s="8">
        <v>250</v>
      </c>
      <c r="AG1704" t="s">
        <v>937</v>
      </c>
      <c r="AH1704" t="s">
        <v>802</v>
      </c>
      <c r="AI1704" t="s">
        <v>818</v>
      </c>
    </row>
    <row r="1705" spans="1:35" hidden="1">
      <c r="A1705" s="7">
        <v>1704</v>
      </c>
      <c r="B1705" t="s">
        <v>243</v>
      </c>
      <c r="C1705" t="s">
        <v>244</v>
      </c>
      <c r="D1705" s="7">
        <v>7134</v>
      </c>
      <c r="E1705" t="s">
        <v>245</v>
      </c>
      <c r="F1705" t="s">
        <v>246</v>
      </c>
      <c r="G1705" t="s">
        <v>1807</v>
      </c>
      <c r="H1705" t="s">
        <v>4949</v>
      </c>
      <c r="I1705" s="7">
        <v>1150</v>
      </c>
      <c r="J1705" s="7">
        <v>18200</v>
      </c>
      <c r="K1705" s="7">
        <v>4</v>
      </c>
      <c r="L1705" t="s">
        <v>247</v>
      </c>
      <c r="M1705" t="s">
        <v>261</v>
      </c>
      <c r="N1705" s="7">
        <v>778388</v>
      </c>
      <c r="O1705" t="s">
        <v>2180</v>
      </c>
      <c r="P1705" t="s">
        <v>2181</v>
      </c>
      <c r="S1705" t="s">
        <v>3831</v>
      </c>
      <c r="T1705" t="s">
        <v>4942</v>
      </c>
      <c r="U1705" t="s">
        <v>4943</v>
      </c>
      <c r="V1705" s="8">
        <v>0</v>
      </c>
      <c r="W1705" s="7">
        <v>0</v>
      </c>
      <c r="Y1705" s="8">
        <v>0</v>
      </c>
      <c r="Z1705" s="8">
        <v>0</v>
      </c>
      <c r="AA1705" s="8">
        <v>0</v>
      </c>
      <c r="AB1705" s="7">
        <v>0</v>
      </c>
      <c r="AD1705" s="8">
        <v>0</v>
      </c>
      <c r="AG1705" t="s">
        <v>808</v>
      </c>
      <c r="AH1705" t="s">
        <v>802</v>
      </c>
      <c r="AI1705" t="s">
        <v>803</v>
      </c>
    </row>
    <row r="1706" spans="1:35" hidden="1">
      <c r="A1706" s="7">
        <v>1705</v>
      </c>
      <c r="B1706" t="s">
        <v>243</v>
      </c>
      <c r="C1706" t="s">
        <v>244</v>
      </c>
      <c r="D1706" s="7">
        <v>7134</v>
      </c>
      <c r="E1706" t="s">
        <v>245</v>
      </c>
      <c r="F1706" t="s">
        <v>246</v>
      </c>
      <c r="G1706" t="s">
        <v>308</v>
      </c>
      <c r="H1706" t="s">
        <v>4976</v>
      </c>
      <c r="I1706" s="7">
        <v>1165</v>
      </c>
      <c r="J1706" s="7">
        <v>50430</v>
      </c>
      <c r="K1706" s="7">
        <v>5</v>
      </c>
      <c r="L1706" t="s">
        <v>247</v>
      </c>
      <c r="M1706" t="s">
        <v>261</v>
      </c>
      <c r="N1706" s="7">
        <v>792931</v>
      </c>
      <c r="O1706" t="s">
        <v>355</v>
      </c>
      <c r="P1706" t="s">
        <v>356</v>
      </c>
      <c r="S1706" t="s">
        <v>3831</v>
      </c>
      <c r="T1706" t="s">
        <v>4942</v>
      </c>
      <c r="U1706" t="s">
        <v>4943</v>
      </c>
      <c r="V1706" s="8">
        <v>1250</v>
      </c>
      <c r="W1706" s="7">
        <v>0</v>
      </c>
      <c r="Y1706" s="8">
        <v>1250</v>
      </c>
      <c r="Z1706" s="8">
        <v>1475</v>
      </c>
      <c r="AA1706" s="8">
        <v>225</v>
      </c>
      <c r="AB1706" s="7">
        <v>0</v>
      </c>
      <c r="AD1706" s="8">
        <v>0</v>
      </c>
      <c r="AG1706" t="s">
        <v>801</v>
      </c>
      <c r="AH1706" t="s">
        <v>802</v>
      </c>
      <c r="AI1706" t="s">
        <v>818</v>
      </c>
    </row>
    <row r="1707" spans="1:35" hidden="1">
      <c r="A1707" s="7">
        <v>1706</v>
      </c>
      <c r="B1707" t="s">
        <v>243</v>
      </c>
      <c r="C1707" t="s">
        <v>244</v>
      </c>
      <c r="D1707" s="7">
        <v>7134</v>
      </c>
      <c r="E1707" t="s">
        <v>245</v>
      </c>
      <c r="F1707" t="s">
        <v>246</v>
      </c>
      <c r="G1707" t="s">
        <v>1004</v>
      </c>
      <c r="H1707" t="s">
        <v>4970</v>
      </c>
      <c r="I1707" s="7">
        <v>1165</v>
      </c>
      <c r="J1707" s="7">
        <v>59817</v>
      </c>
      <c r="K1707" s="7">
        <v>6</v>
      </c>
      <c r="L1707" t="s">
        <v>247</v>
      </c>
      <c r="M1707" t="s">
        <v>361</v>
      </c>
      <c r="N1707" s="7">
        <v>5607</v>
      </c>
      <c r="O1707" t="s">
        <v>1351</v>
      </c>
      <c r="P1707" t="s">
        <v>1352</v>
      </c>
      <c r="S1707" t="s">
        <v>3831</v>
      </c>
      <c r="T1707" t="s">
        <v>4942</v>
      </c>
      <c r="U1707" t="s">
        <v>4943</v>
      </c>
      <c r="V1707" s="8">
        <v>0</v>
      </c>
      <c r="W1707" s="7">
        <v>0</v>
      </c>
      <c r="Y1707" s="8">
        <v>0</v>
      </c>
      <c r="Z1707" s="8">
        <v>0</v>
      </c>
      <c r="AA1707" s="8">
        <v>0</v>
      </c>
      <c r="AB1707" s="7">
        <v>0</v>
      </c>
      <c r="AD1707" s="8">
        <v>0</v>
      </c>
      <c r="AG1707" t="s">
        <v>823</v>
      </c>
      <c r="AH1707" t="s">
        <v>802</v>
      </c>
      <c r="AI1707" t="s">
        <v>803</v>
      </c>
    </row>
    <row r="1708" spans="1:35" hidden="1">
      <c r="A1708" s="7">
        <v>1707</v>
      </c>
      <c r="B1708" t="s">
        <v>243</v>
      </c>
      <c r="C1708" t="s">
        <v>244</v>
      </c>
      <c r="D1708" s="7">
        <v>7134</v>
      </c>
      <c r="E1708" t="s">
        <v>245</v>
      </c>
      <c r="F1708" t="s">
        <v>246</v>
      </c>
      <c r="G1708" t="s">
        <v>4877</v>
      </c>
      <c r="H1708" t="s">
        <v>4957</v>
      </c>
      <c r="I1708" s="7">
        <v>1165</v>
      </c>
      <c r="J1708" s="7">
        <v>7992</v>
      </c>
      <c r="K1708" s="7">
        <v>1</v>
      </c>
      <c r="L1708" t="s">
        <v>247</v>
      </c>
      <c r="M1708" t="s">
        <v>361</v>
      </c>
      <c r="N1708" s="7">
        <v>10198</v>
      </c>
      <c r="O1708" t="s">
        <v>5000</v>
      </c>
      <c r="P1708" t="s">
        <v>5001</v>
      </c>
      <c r="S1708" t="s">
        <v>3831</v>
      </c>
      <c r="T1708" t="s">
        <v>4942</v>
      </c>
      <c r="U1708" t="s">
        <v>4943</v>
      </c>
      <c r="V1708" s="8">
        <v>1650</v>
      </c>
      <c r="W1708" s="7">
        <v>0</v>
      </c>
      <c r="Y1708" s="8">
        <v>1650</v>
      </c>
      <c r="Z1708" s="8">
        <v>1947</v>
      </c>
      <c r="AA1708" s="8">
        <v>297</v>
      </c>
      <c r="AB1708" s="7">
        <v>0</v>
      </c>
      <c r="AD1708" s="8">
        <v>0</v>
      </c>
      <c r="AG1708" t="s">
        <v>823</v>
      </c>
      <c r="AH1708" t="s">
        <v>802</v>
      </c>
      <c r="AI1708" t="s">
        <v>818</v>
      </c>
    </row>
    <row r="1709" spans="1:35" hidden="1">
      <c r="A1709" s="7">
        <v>1708</v>
      </c>
      <c r="B1709" t="s">
        <v>243</v>
      </c>
      <c r="C1709" t="s">
        <v>244</v>
      </c>
      <c r="D1709" s="7">
        <v>7134</v>
      </c>
      <c r="E1709" t="s">
        <v>245</v>
      </c>
      <c r="F1709" t="s">
        <v>246</v>
      </c>
      <c r="G1709" t="s">
        <v>1457</v>
      </c>
      <c r="H1709" t="s">
        <v>4965</v>
      </c>
      <c r="I1709" s="7">
        <v>890</v>
      </c>
      <c r="J1709" s="7">
        <v>50000</v>
      </c>
      <c r="K1709" s="7">
        <v>3</v>
      </c>
      <c r="L1709" t="s">
        <v>247</v>
      </c>
      <c r="M1709" t="s">
        <v>261</v>
      </c>
      <c r="N1709" s="7">
        <v>795715</v>
      </c>
      <c r="O1709" t="s">
        <v>1894</v>
      </c>
      <c r="P1709" t="s">
        <v>1895</v>
      </c>
      <c r="S1709" t="s">
        <v>3831</v>
      </c>
      <c r="T1709" t="s">
        <v>4942</v>
      </c>
      <c r="U1709" t="s">
        <v>4943</v>
      </c>
      <c r="V1709" s="8">
        <v>1250</v>
      </c>
      <c r="W1709" s="7">
        <v>0</v>
      </c>
      <c r="Y1709" s="8">
        <v>1250</v>
      </c>
      <c r="Z1709" s="8">
        <v>1475</v>
      </c>
      <c r="AA1709" s="8">
        <v>225</v>
      </c>
      <c r="AB1709" s="7">
        <v>0</v>
      </c>
      <c r="AD1709" s="8">
        <v>0</v>
      </c>
      <c r="AG1709" t="s">
        <v>817</v>
      </c>
      <c r="AH1709" t="s">
        <v>802</v>
      </c>
      <c r="AI1709" t="s">
        <v>818</v>
      </c>
    </row>
    <row r="1710" spans="1:35" hidden="1">
      <c r="A1710" s="7">
        <v>1709</v>
      </c>
      <c r="B1710" t="s">
        <v>243</v>
      </c>
      <c r="C1710" t="s">
        <v>244</v>
      </c>
      <c r="D1710" s="7">
        <v>7134</v>
      </c>
      <c r="E1710" t="s">
        <v>245</v>
      </c>
      <c r="F1710" t="s">
        <v>246</v>
      </c>
      <c r="G1710" t="s">
        <v>1356</v>
      </c>
      <c r="H1710" t="s">
        <v>4984</v>
      </c>
      <c r="I1710" s="7">
        <v>1165</v>
      </c>
      <c r="J1710" s="7">
        <v>117635</v>
      </c>
      <c r="K1710" s="7">
        <v>12</v>
      </c>
      <c r="L1710" t="s">
        <v>247</v>
      </c>
      <c r="M1710" t="s">
        <v>261</v>
      </c>
      <c r="N1710" s="7">
        <v>763919</v>
      </c>
      <c r="O1710" t="s">
        <v>1357</v>
      </c>
      <c r="P1710" t="s">
        <v>1358</v>
      </c>
      <c r="S1710" t="s">
        <v>3831</v>
      </c>
      <c r="T1710" t="s">
        <v>4942</v>
      </c>
      <c r="U1710" t="s">
        <v>4943</v>
      </c>
      <c r="V1710" s="8">
        <v>0</v>
      </c>
      <c r="W1710" s="7">
        <v>0</v>
      </c>
      <c r="Y1710" s="8">
        <v>0</v>
      </c>
      <c r="Z1710" s="8">
        <v>0</v>
      </c>
      <c r="AA1710" s="8">
        <v>0</v>
      </c>
      <c r="AB1710" s="7">
        <v>0</v>
      </c>
      <c r="AD1710" s="8">
        <v>0</v>
      </c>
      <c r="AG1710" t="s">
        <v>801</v>
      </c>
      <c r="AH1710" t="s">
        <v>802</v>
      </c>
      <c r="AI1710" t="s">
        <v>803</v>
      </c>
    </row>
    <row r="1711" spans="1:35" hidden="1">
      <c r="A1711" s="7">
        <v>1710</v>
      </c>
      <c r="B1711" t="s">
        <v>243</v>
      </c>
      <c r="C1711" t="s">
        <v>244</v>
      </c>
      <c r="D1711" s="7">
        <v>7134</v>
      </c>
      <c r="E1711" t="s">
        <v>245</v>
      </c>
      <c r="F1711" t="s">
        <v>246</v>
      </c>
      <c r="G1711" t="s">
        <v>898</v>
      </c>
      <c r="H1711" t="s">
        <v>4984</v>
      </c>
      <c r="I1711" s="7">
        <v>1165</v>
      </c>
      <c r="J1711" s="7">
        <v>71525</v>
      </c>
      <c r="K1711" s="7">
        <v>7</v>
      </c>
      <c r="L1711" t="s">
        <v>247</v>
      </c>
      <c r="M1711" t="s">
        <v>361</v>
      </c>
      <c r="N1711" s="7">
        <v>5355</v>
      </c>
      <c r="O1711" t="s">
        <v>1213</v>
      </c>
      <c r="P1711" t="s">
        <v>1214</v>
      </c>
      <c r="Q1711" t="s">
        <v>908</v>
      </c>
      <c r="R1711" t="s">
        <v>909</v>
      </c>
      <c r="S1711" t="s">
        <v>3831</v>
      </c>
      <c r="T1711" t="s">
        <v>4942</v>
      </c>
      <c r="U1711" t="s">
        <v>4943</v>
      </c>
      <c r="V1711" s="8">
        <v>1650</v>
      </c>
      <c r="W1711" s="7">
        <v>0</v>
      </c>
      <c r="Y1711" s="8">
        <v>1320</v>
      </c>
      <c r="Z1711" s="8">
        <v>1947</v>
      </c>
      <c r="AA1711" s="8">
        <v>297</v>
      </c>
      <c r="AB1711" s="7">
        <v>0</v>
      </c>
      <c r="AD1711" s="8">
        <v>330</v>
      </c>
      <c r="AG1711" t="s">
        <v>823</v>
      </c>
      <c r="AH1711" t="s">
        <v>802</v>
      </c>
      <c r="AI1711" t="s">
        <v>818</v>
      </c>
    </row>
    <row r="1712" spans="1:35" hidden="1">
      <c r="A1712" s="7">
        <v>1711</v>
      </c>
      <c r="B1712" t="s">
        <v>243</v>
      </c>
      <c r="C1712" t="s">
        <v>244</v>
      </c>
      <c r="D1712" s="7">
        <v>7134</v>
      </c>
      <c r="E1712" t="s">
        <v>245</v>
      </c>
      <c r="F1712" t="s">
        <v>246</v>
      </c>
      <c r="G1712" t="s">
        <v>1660</v>
      </c>
      <c r="H1712" t="s">
        <v>4949</v>
      </c>
      <c r="I1712" s="7">
        <v>1165</v>
      </c>
      <c r="J1712" s="7">
        <v>40000</v>
      </c>
      <c r="K1712" s="7">
        <v>4</v>
      </c>
      <c r="L1712" t="s">
        <v>247</v>
      </c>
      <c r="M1712" t="s">
        <v>267</v>
      </c>
      <c r="N1712" s="7">
        <v>794423</v>
      </c>
      <c r="O1712" t="s">
        <v>2165</v>
      </c>
      <c r="P1712" t="s">
        <v>2166</v>
      </c>
      <c r="S1712" t="s">
        <v>3831</v>
      </c>
      <c r="T1712" t="s">
        <v>4942</v>
      </c>
      <c r="U1712" t="s">
        <v>4943</v>
      </c>
      <c r="V1712" s="8">
        <v>0</v>
      </c>
      <c r="W1712" s="7">
        <v>0</v>
      </c>
      <c r="Y1712" s="8">
        <v>0</v>
      </c>
      <c r="Z1712" s="8">
        <v>0</v>
      </c>
      <c r="AA1712" s="8">
        <v>0</v>
      </c>
      <c r="AB1712" s="7">
        <v>0</v>
      </c>
      <c r="AD1712" s="8">
        <v>0</v>
      </c>
      <c r="AG1712" t="s">
        <v>828</v>
      </c>
      <c r="AH1712" t="s">
        <v>802</v>
      </c>
      <c r="AI1712" t="s">
        <v>803</v>
      </c>
    </row>
    <row r="1713" spans="1:35" hidden="1">
      <c r="A1713" s="7">
        <v>1712</v>
      </c>
      <c r="B1713" t="s">
        <v>243</v>
      </c>
      <c r="C1713" t="s">
        <v>244</v>
      </c>
      <c r="D1713" s="7">
        <v>7134</v>
      </c>
      <c r="E1713" t="s">
        <v>245</v>
      </c>
      <c r="F1713" t="s">
        <v>246</v>
      </c>
      <c r="G1713" t="s">
        <v>1072</v>
      </c>
      <c r="H1713" t="s">
        <v>4347</v>
      </c>
      <c r="I1713" s="7">
        <v>1165</v>
      </c>
      <c r="J1713" s="7">
        <v>115361</v>
      </c>
      <c r="K1713" s="7">
        <v>12</v>
      </c>
      <c r="L1713" t="s">
        <v>247</v>
      </c>
      <c r="M1713" t="s">
        <v>261</v>
      </c>
      <c r="N1713" s="7">
        <v>775225</v>
      </c>
      <c r="O1713" t="s">
        <v>1211</v>
      </c>
      <c r="P1713" t="s">
        <v>1212</v>
      </c>
      <c r="S1713" t="s">
        <v>3831</v>
      </c>
      <c r="T1713" t="s">
        <v>4942</v>
      </c>
      <c r="U1713" t="s">
        <v>4943</v>
      </c>
      <c r="V1713" s="8">
        <v>0</v>
      </c>
      <c r="W1713" s="7">
        <v>0</v>
      </c>
      <c r="Y1713" s="8">
        <v>0</v>
      </c>
      <c r="Z1713" s="8">
        <v>0</v>
      </c>
      <c r="AA1713" s="8">
        <v>0</v>
      </c>
      <c r="AB1713" s="7">
        <v>0</v>
      </c>
      <c r="AD1713" s="8">
        <v>0</v>
      </c>
      <c r="AG1713" t="s">
        <v>801</v>
      </c>
      <c r="AH1713" t="s">
        <v>802</v>
      </c>
      <c r="AI1713" t="s">
        <v>803</v>
      </c>
    </row>
    <row r="1714" spans="1:35" hidden="1">
      <c r="A1714" s="7">
        <v>1713</v>
      </c>
      <c r="B1714" t="s">
        <v>243</v>
      </c>
      <c r="C1714" t="s">
        <v>244</v>
      </c>
      <c r="D1714" s="7">
        <v>7134</v>
      </c>
      <c r="E1714" t="s">
        <v>245</v>
      </c>
      <c r="F1714" t="s">
        <v>246</v>
      </c>
      <c r="G1714" t="s">
        <v>1457</v>
      </c>
      <c r="H1714" t="s">
        <v>4962</v>
      </c>
      <c r="I1714" s="7">
        <v>871</v>
      </c>
      <c r="J1714" s="7">
        <v>50000</v>
      </c>
      <c r="K1714" s="7">
        <v>3</v>
      </c>
      <c r="L1714" t="s">
        <v>247</v>
      </c>
      <c r="M1714" t="s">
        <v>261</v>
      </c>
      <c r="N1714" s="7">
        <v>780903</v>
      </c>
      <c r="O1714" t="s">
        <v>5002</v>
      </c>
      <c r="P1714" t="s">
        <v>5003</v>
      </c>
      <c r="S1714" t="s">
        <v>3831</v>
      </c>
      <c r="T1714" t="s">
        <v>4942</v>
      </c>
      <c r="U1714" t="s">
        <v>4943</v>
      </c>
      <c r="V1714" s="8">
        <v>1250</v>
      </c>
      <c r="W1714" s="7">
        <v>0</v>
      </c>
      <c r="Y1714" s="8">
        <v>1250</v>
      </c>
      <c r="Z1714" s="8">
        <v>1475</v>
      </c>
      <c r="AA1714" s="8">
        <v>225</v>
      </c>
      <c r="AB1714" s="7">
        <v>0</v>
      </c>
      <c r="AD1714" s="8">
        <v>0</v>
      </c>
      <c r="AG1714" t="s">
        <v>817</v>
      </c>
      <c r="AH1714" t="s">
        <v>802</v>
      </c>
      <c r="AI1714" t="s">
        <v>818</v>
      </c>
    </row>
    <row r="1715" spans="1:35" hidden="1">
      <c r="A1715" s="7">
        <v>1714</v>
      </c>
      <c r="B1715" t="s">
        <v>243</v>
      </c>
      <c r="C1715" t="s">
        <v>244</v>
      </c>
      <c r="D1715" s="7">
        <v>7134</v>
      </c>
      <c r="E1715" t="s">
        <v>245</v>
      </c>
      <c r="F1715" t="s">
        <v>246</v>
      </c>
      <c r="G1715" t="s">
        <v>3074</v>
      </c>
      <c r="H1715" t="s">
        <v>4950</v>
      </c>
      <c r="I1715" s="7">
        <v>1165</v>
      </c>
      <c r="J1715" s="7">
        <v>6228</v>
      </c>
      <c r="K1715" s="7">
        <v>3</v>
      </c>
      <c r="L1715" t="s">
        <v>247</v>
      </c>
      <c r="M1715" t="s">
        <v>261</v>
      </c>
      <c r="N1715" s="7">
        <v>778938</v>
      </c>
      <c r="O1715" t="s">
        <v>3236</v>
      </c>
      <c r="P1715" t="s">
        <v>3237</v>
      </c>
      <c r="S1715" t="s">
        <v>3831</v>
      </c>
      <c r="T1715" t="s">
        <v>4942</v>
      </c>
      <c r="U1715" t="s">
        <v>4943</v>
      </c>
      <c r="V1715" s="8">
        <v>1250</v>
      </c>
      <c r="W1715" s="7">
        <v>0</v>
      </c>
      <c r="Y1715" s="8">
        <v>1250</v>
      </c>
      <c r="Z1715" s="8">
        <v>1475</v>
      </c>
      <c r="AA1715" s="8">
        <v>225</v>
      </c>
      <c r="AB1715" s="7">
        <v>0</v>
      </c>
      <c r="AD1715" s="8">
        <v>0</v>
      </c>
      <c r="AG1715" t="s">
        <v>808</v>
      </c>
      <c r="AH1715" t="s">
        <v>802</v>
      </c>
      <c r="AI1715" t="s">
        <v>818</v>
      </c>
    </row>
    <row r="1716" spans="1:35" hidden="1">
      <c r="A1716" s="7">
        <v>1715</v>
      </c>
      <c r="B1716" t="s">
        <v>243</v>
      </c>
      <c r="C1716" t="s">
        <v>244</v>
      </c>
      <c r="D1716" s="7">
        <v>7134</v>
      </c>
      <c r="E1716" t="s">
        <v>245</v>
      </c>
      <c r="F1716" t="s">
        <v>246</v>
      </c>
      <c r="G1716" t="s">
        <v>881</v>
      </c>
      <c r="H1716" t="s">
        <v>4441</v>
      </c>
      <c r="I1716" s="7">
        <v>1165</v>
      </c>
      <c r="J1716" s="7">
        <v>2197</v>
      </c>
      <c r="K1716" s="7">
        <v>5</v>
      </c>
      <c r="L1716" t="s">
        <v>247</v>
      </c>
      <c r="M1716" t="s">
        <v>261</v>
      </c>
      <c r="N1716" s="7">
        <v>781803</v>
      </c>
      <c r="O1716" t="s">
        <v>3752</v>
      </c>
      <c r="P1716" t="s">
        <v>3753</v>
      </c>
      <c r="Q1716" t="s">
        <v>870</v>
      </c>
      <c r="R1716" t="s">
        <v>871</v>
      </c>
      <c r="S1716" t="s">
        <v>3831</v>
      </c>
      <c r="T1716" t="s">
        <v>4942</v>
      </c>
      <c r="U1716" t="s">
        <v>4943</v>
      </c>
      <c r="V1716" s="8">
        <v>1250</v>
      </c>
      <c r="W1716" s="7">
        <v>0</v>
      </c>
      <c r="Y1716" s="8">
        <v>1000</v>
      </c>
      <c r="Z1716" s="8">
        <v>1475</v>
      </c>
      <c r="AA1716" s="8">
        <v>225</v>
      </c>
      <c r="AB1716" s="7">
        <v>0</v>
      </c>
      <c r="AD1716" s="8">
        <v>250</v>
      </c>
      <c r="AG1716" t="s">
        <v>808</v>
      </c>
      <c r="AH1716" t="s">
        <v>802</v>
      </c>
      <c r="AI1716" t="s">
        <v>818</v>
      </c>
    </row>
    <row r="1717" spans="1:35" hidden="1">
      <c r="A1717" s="7">
        <v>1716</v>
      </c>
      <c r="B1717" t="s">
        <v>243</v>
      </c>
      <c r="C1717" t="s">
        <v>244</v>
      </c>
      <c r="D1717" s="7">
        <v>7134</v>
      </c>
      <c r="E1717" t="s">
        <v>245</v>
      </c>
      <c r="F1717" t="s">
        <v>246</v>
      </c>
      <c r="G1717" t="s">
        <v>1159</v>
      </c>
      <c r="H1717" t="s">
        <v>4960</v>
      </c>
      <c r="I1717" s="7">
        <v>1165</v>
      </c>
      <c r="J1717" s="7">
        <v>89551</v>
      </c>
      <c r="K1717" s="7">
        <v>9</v>
      </c>
      <c r="L1717" t="s">
        <v>247</v>
      </c>
      <c r="M1717" t="s">
        <v>261</v>
      </c>
      <c r="N1717" s="7">
        <v>774647</v>
      </c>
      <c r="O1717" t="s">
        <v>1160</v>
      </c>
      <c r="P1717" t="s">
        <v>1161</v>
      </c>
      <c r="S1717" t="s">
        <v>3831</v>
      </c>
      <c r="T1717" t="s">
        <v>4942</v>
      </c>
      <c r="U1717" t="s">
        <v>4943</v>
      </c>
      <c r="V1717" s="8">
        <v>0</v>
      </c>
      <c r="W1717" s="7">
        <v>0</v>
      </c>
      <c r="Y1717" s="8">
        <v>0</v>
      </c>
      <c r="Z1717" s="8">
        <v>0</v>
      </c>
      <c r="AA1717" s="8">
        <v>0</v>
      </c>
      <c r="AB1717" s="7">
        <v>0</v>
      </c>
      <c r="AD1717" s="8">
        <v>0</v>
      </c>
      <c r="AG1717" t="s">
        <v>801</v>
      </c>
      <c r="AH1717" t="s">
        <v>802</v>
      </c>
      <c r="AI1717" t="s">
        <v>803</v>
      </c>
    </row>
    <row r="1718" spans="1:35" hidden="1">
      <c r="A1718" s="7">
        <v>1717</v>
      </c>
      <c r="B1718" t="s">
        <v>243</v>
      </c>
      <c r="C1718" t="s">
        <v>244</v>
      </c>
      <c r="D1718" s="7">
        <v>7134</v>
      </c>
      <c r="E1718" t="s">
        <v>245</v>
      </c>
      <c r="F1718" t="s">
        <v>246</v>
      </c>
      <c r="G1718" t="s">
        <v>248</v>
      </c>
      <c r="H1718" t="s">
        <v>4956</v>
      </c>
      <c r="I1718" s="7">
        <v>920</v>
      </c>
      <c r="J1718" s="7">
        <v>69095</v>
      </c>
      <c r="K1718" s="7">
        <v>4</v>
      </c>
      <c r="L1718" t="s">
        <v>247</v>
      </c>
      <c r="M1718" t="s">
        <v>261</v>
      </c>
      <c r="N1718" s="7">
        <v>797967</v>
      </c>
      <c r="O1718" t="s">
        <v>2034</v>
      </c>
      <c r="P1718" t="s">
        <v>2035</v>
      </c>
      <c r="S1718" t="s">
        <v>3831</v>
      </c>
      <c r="T1718" t="s">
        <v>4942</v>
      </c>
      <c r="U1718" t="s">
        <v>4943</v>
      </c>
      <c r="V1718" s="8">
        <v>1250</v>
      </c>
      <c r="W1718" s="7">
        <v>0</v>
      </c>
      <c r="Y1718" s="8">
        <v>1250</v>
      </c>
      <c r="Z1718" s="8">
        <v>1475</v>
      </c>
      <c r="AA1718" s="8">
        <v>225</v>
      </c>
      <c r="AB1718" s="7">
        <v>0</v>
      </c>
      <c r="AD1718" s="8">
        <v>0</v>
      </c>
      <c r="AG1718" t="s">
        <v>817</v>
      </c>
      <c r="AH1718" t="s">
        <v>802</v>
      </c>
      <c r="AI1718" t="s">
        <v>818</v>
      </c>
    </row>
    <row r="1719" spans="1:35" hidden="1">
      <c r="A1719" s="7">
        <v>1718</v>
      </c>
      <c r="B1719" t="s">
        <v>243</v>
      </c>
      <c r="C1719" t="s">
        <v>244</v>
      </c>
      <c r="D1719" s="7">
        <v>7134</v>
      </c>
      <c r="E1719" t="s">
        <v>245</v>
      </c>
      <c r="F1719" t="s">
        <v>246</v>
      </c>
      <c r="G1719" t="s">
        <v>363</v>
      </c>
      <c r="H1719" t="s">
        <v>4965</v>
      </c>
      <c r="I1719" s="7">
        <v>884</v>
      </c>
      <c r="J1719" s="7">
        <v>51200</v>
      </c>
      <c r="K1719" s="7">
        <v>3</v>
      </c>
      <c r="L1719" t="s">
        <v>247</v>
      </c>
      <c r="M1719" t="s">
        <v>261</v>
      </c>
      <c r="N1719" s="7">
        <v>797461</v>
      </c>
      <c r="O1719" t="s">
        <v>5004</v>
      </c>
      <c r="P1719" t="s">
        <v>5005</v>
      </c>
      <c r="Q1719" t="s">
        <v>908</v>
      </c>
      <c r="R1719" t="s">
        <v>909</v>
      </c>
      <c r="S1719" t="s">
        <v>3831</v>
      </c>
      <c r="T1719" t="s">
        <v>4942</v>
      </c>
      <c r="U1719" t="s">
        <v>4943</v>
      </c>
      <c r="V1719" s="8">
        <v>1250</v>
      </c>
      <c r="W1719" s="7">
        <v>0</v>
      </c>
      <c r="Y1719" s="8">
        <v>1000</v>
      </c>
      <c r="Z1719" s="8">
        <v>1475</v>
      </c>
      <c r="AA1719" s="8">
        <v>225</v>
      </c>
      <c r="AB1719" s="7">
        <v>0</v>
      </c>
      <c r="AD1719" s="8">
        <v>250</v>
      </c>
      <c r="AG1719" t="s">
        <v>817</v>
      </c>
      <c r="AH1719" t="s">
        <v>802</v>
      </c>
      <c r="AI1719" t="s">
        <v>818</v>
      </c>
    </row>
    <row r="1720" spans="1:35" hidden="1">
      <c r="A1720" s="7">
        <v>1719</v>
      </c>
      <c r="B1720" t="s">
        <v>243</v>
      </c>
      <c r="C1720" t="s">
        <v>244</v>
      </c>
      <c r="D1720" s="7">
        <v>7134</v>
      </c>
      <c r="E1720" t="s">
        <v>245</v>
      </c>
      <c r="F1720" t="s">
        <v>246</v>
      </c>
      <c r="G1720" t="s">
        <v>829</v>
      </c>
      <c r="H1720" t="s">
        <v>4945</v>
      </c>
      <c r="I1720" s="7">
        <v>865</v>
      </c>
      <c r="J1720" s="7">
        <v>50000</v>
      </c>
      <c r="K1720" s="7">
        <v>3</v>
      </c>
      <c r="L1720" t="s">
        <v>247</v>
      </c>
      <c r="M1720" t="s">
        <v>261</v>
      </c>
      <c r="N1720" s="7">
        <v>796557</v>
      </c>
      <c r="O1720" t="s">
        <v>5006</v>
      </c>
      <c r="P1720" t="s">
        <v>5007</v>
      </c>
      <c r="S1720" t="s">
        <v>3831</v>
      </c>
      <c r="T1720" t="s">
        <v>4942</v>
      </c>
      <c r="U1720" t="s">
        <v>4943</v>
      </c>
      <c r="V1720" s="8">
        <v>1250</v>
      </c>
      <c r="W1720" s="7">
        <v>0</v>
      </c>
      <c r="Y1720" s="8">
        <v>1250</v>
      </c>
      <c r="Z1720" s="8">
        <v>1475</v>
      </c>
      <c r="AA1720" s="8">
        <v>225</v>
      </c>
      <c r="AB1720" s="7">
        <v>0</v>
      </c>
      <c r="AD1720" s="8">
        <v>0</v>
      </c>
      <c r="AG1720" t="s">
        <v>817</v>
      </c>
      <c r="AH1720" t="s">
        <v>802</v>
      </c>
      <c r="AI1720" t="s">
        <v>818</v>
      </c>
    </row>
    <row r="1721" spans="1:35" hidden="1">
      <c r="A1721" s="7">
        <v>1720</v>
      </c>
      <c r="B1721" t="s">
        <v>243</v>
      </c>
      <c r="C1721" t="s">
        <v>244</v>
      </c>
      <c r="D1721" s="7">
        <v>7134</v>
      </c>
      <c r="E1721" t="s">
        <v>245</v>
      </c>
      <c r="F1721" t="s">
        <v>246</v>
      </c>
      <c r="G1721" t="s">
        <v>1197</v>
      </c>
      <c r="H1721" t="s">
        <v>4971</v>
      </c>
      <c r="I1721" s="7">
        <v>1095</v>
      </c>
      <c r="J1721" s="7">
        <v>51099</v>
      </c>
      <c r="K1721" s="7">
        <v>6</v>
      </c>
      <c r="L1721" t="s">
        <v>247</v>
      </c>
      <c r="M1721" t="s">
        <v>252</v>
      </c>
      <c r="N1721" s="7">
        <v>326776</v>
      </c>
      <c r="O1721" t="s">
        <v>5008</v>
      </c>
      <c r="P1721" t="s">
        <v>5009</v>
      </c>
      <c r="S1721" t="s">
        <v>3831</v>
      </c>
      <c r="T1721" t="s">
        <v>4942</v>
      </c>
      <c r="U1721" t="s">
        <v>4943</v>
      </c>
      <c r="V1721" s="8">
        <v>0</v>
      </c>
      <c r="W1721" s="7">
        <v>0</v>
      </c>
      <c r="Y1721" s="8">
        <v>0</v>
      </c>
      <c r="Z1721" s="8">
        <v>0</v>
      </c>
      <c r="AA1721" s="8">
        <v>0</v>
      </c>
      <c r="AB1721" s="7">
        <v>0</v>
      </c>
      <c r="AD1721" s="8">
        <v>0</v>
      </c>
      <c r="AG1721" t="s">
        <v>937</v>
      </c>
      <c r="AH1721" t="s">
        <v>802</v>
      </c>
      <c r="AI1721" t="s">
        <v>803</v>
      </c>
    </row>
    <row r="1722" spans="1:35" hidden="1">
      <c r="A1722" s="7">
        <v>1721</v>
      </c>
      <c r="B1722" t="s">
        <v>243</v>
      </c>
      <c r="C1722" t="s">
        <v>244</v>
      </c>
      <c r="D1722" s="7">
        <v>7134</v>
      </c>
      <c r="E1722" t="s">
        <v>245</v>
      </c>
      <c r="F1722" t="s">
        <v>246</v>
      </c>
      <c r="G1722" t="s">
        <v>4868</v>
      </c>
      <c r="H1722" t="s">
        <v>4971</v>
      </c>
      <c r="I1722" s="7">
        <v>1165</v>
      </c>
      <c r="J1722" s="7">
        <v>10000</v>
      </c>
      <c r="K1722" s="7">
        <v>1</v>
      </c>
      <c r="L1722" t="s">
        <v>247</v>
      </c>
      <c r="M1722" t="s">
        <v>361</v>
      </c>
      <c r="N1722" s="7">
        <v>10163</v>
      </c>
      <c r="O1722" t="s">
        <v>5010</v>
      </c>
      <c r="P1722" t="s">
        <v>5011</v>
      </c>
      <c r="S1722" t="s">
        <v>3831</v>
      </c>
      <c r="T1722" t="s">
        <v>4942</v>
      </c>
      <c r="U1722" t="s">
        <v>4943</v>
      </c>
      <c r="V1722" s="8">
        <v>1650</v>
      </c>
      <c r="W1722" s="7">
        <v>0</v>
      </c>
      <c r="Y1722" s="8">
        <v>1650</v>
      </c>
      <c r="Z1722" s="8">
        <v>1947</v>
      </c>
      <c r="AA1722" s="8">
        <v>297</v>
      </c>
      <c r="AB1722" s="7">
        <v>0</v>
      </c>
      <c r="AD1722" s="8">
        <v>0</v>
      </c>
      <c r="AG1722" t="s">
        <v>823</v>
      </c>
      <c r="AH1722" t="s">
        <v>802</v>
      </c>
      <c r="AI1722" t="s">
        <v>818</v>
      </c>
    </row>
    <row r="1723" spans="1:35" hidden="1">
      <c r="A1723" s="7">
        <v>1722</v>
      </c>
      <c r="B1723" t="s">
        <v>243</v>
      </c>
      <c r="C1723" t="s">
        <v>244</v>
      </c>
      <c r="D1723" s="7">
        <v>7134</v>
      </c>
      <c r="E1723" t="s">
        <v>245</v>
      </c>
      <c r="F1723" t="s">
        <v>246</v>
      </c>
      <c r="G1723" t="s">
        <v>1535</v>
      </c>
      <c r="H1723" t="s">
        <v>4955</v>
      </c>
      <c r="I1723" s="7">
        <v>1165</v>
      </c>
      <c r="J1723" s="7">
        <v>133338</v>
      </c>
      <c r="K1723" s="7">
        <v>13</v>
      </c>
      <c r="L1723" t="s">
        <v>247</v>
      </c>
      <c r="M1723" t="s">
        <v>267</v>
      </c>
      <c r="N1723" s="7">
        <v>767284</v>
      </c>
      <c r="O1723" t="s">
        <v>1536</v>
      </c>
      <c r="P1723" t="s">
        <v>1537</v>
      </c>
      <c r="Q1723" t="s">
        <v>908</v>
      </c>
      <c r="R1723" t="s">
        <v>909</v>
      </c>
      <c r="S1723" t="s">
        <v>3831</v>
      </c>
      <c r="T1723" t="s">
        <v>4942</v>
      </c>
      <c r="U1723" t="s">
        <v>4943</v>
      </c>
      <c r="V1723" s="8">
        <v>0</v>
      </c>
      <c r="W1723" s="7">
        <v>0</v>
      </c>
      <c r="Y1723" s="8">
        <v>0</v>
      </c>
      <c r="Z1723" s="8">
        <v>0</v>
      </c>
      <c r="AA1723" s="8">
        <v>0</v>
      </c>
      <c r="AB1723" s="7">
        <v>0</v>
      </c>
      <c r="AD1723" s="8">
        <v>0</v>
      </c>
      <c r="AG1723" t="s">
        <v>828</v>
      </c>
      <c r="AH1723" t="s">
        <v>802</v>
      </c>
      <c r="AI1723" t="s">
        <v>803</v>
      </c>
    </row>
    <row r="1724" spans="1:35" hidden="1">
      <c r="A1724" s="7">
        <v>1723</v>
      </c>
      <c r="B1724" t="s">
        <v>243</v>
      </c>
      <c r="C1724" t="s">
        <v>244</v>
      </c>
      <c r="D1724" s="7">
        <v>7134</v>
      </c>
      <c r="E1724" t="s">
        <v>245</v>
      </c>
      <c r="F1724" t="s">
        <v>246</v>
      </c>
      <c r="G1724" t="s">
        <v>278</v>
      </c>
      <c r="H1724" t="s">
        <v>4955</v>
      </c>
      <c r="I1724" s="7">
        <v>1065</v>
      </c>
      <c r="J1724" s="7">
        <v>29962</v>
      </c>
      <c r="K1724" s="7">
        <v>5</v>
      </c>
      <c r="L1724" t="s">
        <v>247</v>
      </c>
      <c r="M1724" t="s">
        <v>252</v>
      </c>
      <c r="N1724" s="7">
        <v>328035</v>
      </c>
      <c r="O1724" t="s">
        <v>2009</v>
      </c>
      <c r="P1724" t="s">
        <v>2010</v>
      </c>
      <c r="S1724" t="s">
        <v>3831</v>
      </c>
      <c r="T1724" t="s">
        <v>4942</v>
      </c>
      <c r="U1724" t="s">
        <v>4943</v>
      </c>
      <c r="V1724" s="8">
        <v>1250</v>
      </c>
      <c r="W1724" s="7">
        <v>0</v>
      </c>
      <c r="Y1724" s="8">
        <v>1250</v>
      </c>
      <c r="Z1724" s="8">
        <v>1475</v>
      </c>
      <c r="AA1724" s="8">
        <v>225</v>
      </c>
      <c r="AB1724" s="7">
        <v>0</v>
      </c>
      <c r="AD1724" s="8">
        <v>0</v>
      </c>
      <c r="AG1724" t="s">
        <v>937</v>
      </c>
      <c r="AH1724" t="s">
        <v>802</v>
      </c>
      <c r="AI1724" t="s">
        <v>818</v>
      </c>
    </row>
    <row r="1725" spans="1:35" hidden="1">
      <c r="A1725" s="7">
        <v>1724</v>
      </c>
      <c r="B1725" t="s">
        <v>243</v>
      </c>
      <c r="C1725" t="s">
        <v>244</v>
      </c>
      <c r="D1725" s="7">
        <v>7134</v>
      </c>
      <c r="E1725" t="s">
        <v>245</v>
      </c>
      <c r="F1725" t="s">
        <v>246</v>
      </c>
      <c r="G1725" t="s">
        <v>1698</v>
      </c>
      <c r="H1725" t="s">
        <v>4954</v>
      </c>
      <c r="I1725" s="7">
        <v>1165</v>
      </c>
      <c r="J1725" s="7">
        <v>50474</v>
      </c>
      <c r="K1725" s="7">
        <v>9</v>
      </c>
      <c r="L1725" t="s">
        <v>247</v>
      </c>
      <c r="M1725" t="s">
        <v>261</v>
      </c>
      <c r="N1725" s="7">
        <v>774645</v>
      </c>
      <c r="O1725" t="s">
        <v>1700</v>
      </c>
      <c r="P1725" t="s">
        <v>1701</v>
      </c>
      <c r="S1725" t="s">
        <v>3831</v>
      </c>
      <c r="T1725" t="s">
        <v>4942</v>
      </c>
      <c r="U1725" t="s">
        <v>4943</v>
      </c>
      <c r="V1725" s="8">
        <v>0</v>
      </c>
      <c r="W1725" s="7">
        <v>0</v>
      </c>
      <c r="Y1725" s="8">
        <v>0</v>
      </c>
      <c r="Z1725" s="8">
        <v>0</v>
      </c>
      <c r="AA1725" s="8">
        <v>0</v>
      </c>
      <c r="AB1725" s="7">
        <v>0</v>
      </c>
      <c r="AD1725" s="8">
        <v>0</v>
      </c>
      <c r="AG1725" t="s">
        <v>801</v>
      </c>
      <c r="AH1725" t="s">
        <v>802</v>
      </c>
      <c r="AI1725" t="s">
        <v>803</v>
      </c>
    </row>
    <row r="1726" spans="1:35" hidden="1">
      <c r="A1726" s="7">
        <v>1725</v>
      </c>
      <c r="B1726" t="s">
        <v>243</v>
      </c>
      <c r="C1726" t="s">
        <v>244</v>
      </c>
      <c r="D1726" s="7">
        <v>7134</v>
      </c>
      <c r="E1726" t="s">
        <v>245</v>
      </c>
      <c r="F1726" t="s">
        <v>246</v>
      </c>
      <c r="G1726" t="s">
        <v>1085</v>
      </c>
      <c r="H1726" t="s">
        <v>4970</v>
      </c>
      <c r="I1726" s="7">
        <v>1165</v>
      </c>
      <c r="J1726" s="7">
        <v>29870</v>
      </c>
      <c r="K1726" s="7">
        <v>5</v>
      </c>
      <c r="L1726" t="s">
        <v>247</v>
      </c>
      <c r="M1726" t="s">
        <v>361</v>
      </c>
      <c r="N1726" s="7">
        <v>5352</v>
      </c>
      <c r="O1726" t="s">
        <v>1229</v>
      </c>
      <c r="P1726" t="s">
        <v>1230</v>
      </c>
      <c r="S1726" t="s">
        <v>3831</v>
      </c>
      <c r="T1726" t="s">
        <v>4942</v>
      </c>
      <c r="U1726" t="s">
        <v>4943</v>
      </c>
      <c r="V1726" s="8">
        <v>1650</v>
      </c>
      <c r="W1726" s="7">
        <v>0</v>
      </c>
      <c r="Y1726" s="8">
        <v>1650</v>
      </c>
      <c r="Z1726" s="8">
        <v>1947</v>
      </c>
      <c r="AA1726" s="8">
        <v>297</v>
      </c>
      <c r="AB1726" s="7">
        <v>0</v>
      </c>
      <c r="AD1726" s="8">
        <v>0</v>
      </c>
      <c r="AG1726" t="s">
        <v>823</v>
      </c>
      <c r="AH1726" t="s">
        <v>802</v>
      </c>
      <c r="AI1726" t="s">
        <v>818</v>
      </c>
    </row>
    <row r="1727" spans="1:35" hidden="1">
      <c r="A1727" s="7">
        <v>1726</v>
      </c>
      <c r="B1727" t="s">
        <v>243</v>
      </c>
      <c r="C1727" t="s">
        <v>244</v>
      </c>
      <c r="D1727" s="7">
        <v>7134</v>
      </c>
      <c r="E1727" t="s">
        <v>245</v>
      </c>
      <c r="F1727" t="s">
        <v>246</v>
      </c>
      <c r="G1727" t="s">
        <v>689</v>
      </c>
      <c r="H1727" t="s">
        <v>4955</v>
      </c>
      <c r="I1727" s="7">
        <v>1165</v>
      </c>
      <c r="J1727" s="7">
        <v>31590</v>
      </c>
      <c r="K1727" s="7">
        <v>3</v>
      </c>
      <c r="L1727" t="s">
        <v>247</v>
      </c>
      <c r="M1727" t="s">
        <v>261</v>
      </c>
      <c r="N1727" s="7">
        <v>802650</v>
      </c>
      <c r="O1727" t="s">
        <v>716</v>
      </c>
      <c r="P1727" t="s">
        <v>717</v>
      </c>
      <c r="S1727" t="s">
        <v>3831</v>
      </c>
      <c r="T1727" t="s">
        <v>4942</v>
      </c>
      <c r="U1727" t="s">
        <v>4943</v>
      </c>
      <c r="V1727" s="8">
        <v>1250</v>
      </c>
      <c r="W1727" s="7">
        <v>0</v>
      </c>
      <c r="Y1727" s="8">
        <v>1250</v>
      </c>
      <c r="Z1727" s="8">
        <v>1475</v>
      </c>
      <c r="AA1727" s="8">
        <v>225</v>
      </c>
      <c r="AB1727" s="7">
        <v>0</v>
      </c>
      <c r="AD1727" s="8">
        <v>0</v>
      </c>
      <c r="AG1727" t="s">
        <v>801</v>
      </c>
      <c r="AH1727" t="s">
        <v>802</v>
      </c>
      <c r="AI1727" t="s">
        <v>818</v>
      </c>
    </row>
    <row r="1728" spans="1:35" hidden="1">
      <c r="A1728" s="7">
        <v>1727</v>
      </c>
      <c r="B1728" t="s">
        <v>243</v>
      </c>
      <c r="C1728" t="s">
        <v>244</v>
      </c>
      <c r="D1728" s="7">
        <v>7134</v>
      </c>
      <c r="E1728" t="s">
        <v>245</v>
      </c>
      <c r="F1728" t="s">
        <v>246</v>
      </c>
      <c r="G1728" t="s">
        <v>543</v>
      </c>
      <c r="H1728" t="s">
        <v>4956</v>
      </c>
      <c r="I1728" s="7">
        <v>907</v>
      </c>
      <c r="J1728" s="7">
        <v>50305</v>
      </c>
      <c r="K1728" s="7">
        <v>3</v>
      </c>
      <c r="L1728" t="s">
        <v>247</v>
      </c>
      <c r="M1728" t="s">
        <v>261</v>
      </c>
      <c r="N1728" s="7">
        <v>798339</v>
      </c>
      <c r="O1728" t="s">
        <v>1909</v>
      </c>
      <c r="P1728" t="s">
        <v>1910</v>
      </c>
      <c r="S1728" t="s">
        <v>3831</v>
      </c>
      <c r="T1728" t="s">
        <v>4942</v>
      </c>
      <c r="U1728" t="s">
        <v>4943</v>
      </c>
      <c r="V1728" s="8">
        <v>1250</v>
      </c>
      <c r="W1728" s="7">
        <v>0</v>
      </c>
      <c r="Y1728" s="8">
        <v>1250</v>
      </c>
      <c r="Z1728" s="8">
        <v>1475</v>
      </c>
      <c r="AA1728" s="8">
        <v>225</v>
      </c>
      <c r="AB1728" s="7">
        <v>0</v>
      </c>
      <c r="AD1728" s="8">
        <v>0</v>
      </c>
      <c r="AG1728" t="s">
        <v>817</v>
      </c>
      <c r="AH1728" t="s">
        <v>802</v>
      </c>
      <c r="AI1728" t="s">
        <v>818</v>
      </c>
    </row>
    <row r="1729" spans="1:35" hidden="1">
      <c r="A1729" s="7">
        <v>1728</v>
      </c>
      <c r="B1729" t="s">
        <v>243</v>
      </c>
      <c r="C1729" t="s">
        <v>244</v>
      </c>
      <c r="D1729" s="7">
        <v>7134</v>
      </c>
      <c r="E1729" t="s">
        <v>245</v>
      </c>
      <c r="F1729" t="s">
        <v>246</v>
      </c>
      <c r="G1729" t="s">
        <v>1059</v>
      </c>
      <c r="H1729" t="s">
        <v>4950</v>
      </c>
      <c r="I1729" s="7">
        <v>1165</v>
      </c>
      <c r="J1729" s="7">
        <v>38788</v>
      </c>
      <c r="K1729" s="7">
        <v>5</v>
      </c>
      <c r="L1729" t="s">
        <v>247</v>
      </c>
      <c r="M1729" t="s">
        <v>361</v>
      </c>
      <c r="N1729" s="7">
        <v>4899</v>
      </c>
      <c r="O1729" t="s">
        <v>1060</v>
      </c>
      <c r="P1729" t="s">
        <v>1061</v>
      </c>
      <c r="S1729" t="s">
        <v>3831</v>
      </c>
      <c r="T1729" t="s">
        <v>4942</v>
      </c>
      <c r="U1729" t="s">
        <v>4943</v>
      </c>
      <c r="V1729" s="8">
        <v>1650</v>
      </c>
      <c r="W1729" s="7">
        <v>0</v>
      </c>
      <c r="Y1729" s="8">
        <v>1650</v>
      </c>
      <c r="Z1729" s="8">
        <v>1947</v>
      </c>
      <c r="AA1729" s="8">
        <v>297</v>
      </c>
      <c r="AB1729" s="7">
        <v>0</v>
      </c>
      <c r="AD1729" s="8">
        <v>0</v>
      </c>
      <c r="AG1729" t="s">
        <v>823</v>
      </c>
      <c r="AH1729" t="s">
        <v>802</v>
      </c>
      <c r="AI1729" t="s">
        <v>818</v>
      </c>
    </row>
    <row r="1730" spans="1:35" hidden="1">
      <c r="A1730" s="7">
        <v>1729</v>
      </c>
      <c r="B1730" t="s">
        <v>243</v>
      </c>
      <c r="C1730" t="s">
        <v>244</v>
      </c>
      <c r="D1730" s="7">
        <v>7134</v>
      </c>
      <c r="E1730" t="s">
        <v>245</v>
      </c>
      <c r="F1730" t="s">
        <v>246</v>
      </c>
      <c r="G1730" t="s">
        <v>1396</v>
      </c>
      <c r="H1730" t="s">
        <v>4966</v>
      </c>
      <c r="I1730" s="7">
        <v>905</v>
      </c>
      <c r="J1730" s="7">
        <v>10080</v>
      </c>
      <c r="K1730" s="7">
        <v>5</v>
      </c>
      <c r="L1730" t="s">
        <v>247</v>
      </c>
      <c r="M1730" t="s">
        <v>267</v>
      </c>
      <c r="N1730" s="7">
        <v>793353</v>
      </c>
      <c r="O1730" t="s">
        <v>5012</v>
      </c>
      <c r="P1730" t="s">
        <v>5013</v>
      </c>
      <c r="S1730" t="s">
        <v>3831</v>
      </c>
      <c r="T1730" t="s">
        <v>4942</v>
      </c>
      <c r="U1730" t="s">
        <v>4943</v>
      </c>
      <c r="V1730" s="8">
        <v>1250</v>
      </c>
      <c r="W1730" s="7">
        <v>0</v>
      </c>
      <c r="Y1730" s="8">
        <v>1250</v>
      </c>
      <c r="Z1730" s="8">
        <v>1475</v>
      </c>
      <c r="AA1730" s="8">
        <v>225</v>
      </c>
      <c r="AB1730" s="7">
        <v>0</v>
      </c>
      <c r="AD1730" s="8">
        <v>0</v>
      </c>
      <c r="AG1730" t="s">
        <v>828</v>
      </c>
      <c r="AH1730" t="s">
        <v>802</v>
      </c>
      <c r="AI1730" t="s">
        <v>818</v>
      </c>
    </row>
    <row r="1731" spans="1:35" hidden="1">
      <c r="A1731" s="7">
        <v>1730</v>
      </c>
      <c r="B1731" t="s">
        <v>243</v>
      </c>
      <c r="C1731" t="s">
        <v>244</v>
      </c>
      <c r="D1731" s="7">
        <v>7134</v>
      </c>
      <c r="E1731" t="s">
        <v>245</v>
      </c>
      <c r="F1731" t="s">
        <v>246</v>
      </c>
      <c r="G1731" t="s">
        <v>3386</v>
      </c>
      <c r="H1731" t="s">
        <v>4950</v>
      </c>
      <c r="I1731" s="7">
        <v>1165</v>
      </c>
      <c r="J1731" s="7">
        <v>5876</v>
      </c>
      <c r="K1731" s="7">
        <v>1</v>
      </c>
      <c r="L1731" t="s">
        <v>247</v>
      </c>
      <c r="M1731" t="s">
        <v>261</v>
      </c>
      <c r="N1731" s="7">
        <v>803739</v>
      </c>
      <c r="O1731" t="s">
        <v>3500</v>
      </c>
      <c r="P1731" t="s">
        <v>3501</v>
      </c>
      <c r="S1731" t="s">
        <v>3831</v>
      </c>
      <c r="T1731" t="s">
        <v>4942</v>
      </c>
      <c r="U1731" t="s">
        <v>4943</v>
      </c>
      <c r="V1731" s="8">
        <v>1250</v>
      </c>
      <c r="W1731" s="7">
        <v>0</v>
      </c>
      <c r="Y1731" s="8">
        <v>1250</v>
      </c>
      <c r="Z1731" s="8">
        <v>1475</v>
      </c>
      <c r="AA1731" s="8">
        <v>225</v>
      </c>
      <c r="AB1731" s="7">
        <v>0</v>
      </c>
      <c r="AD1731" s="8">
        <v>0</v>
      </c>
      <c r="AG1731" t="s">
        <v>817</v>
      </c>
      <c r="AH1731" t="s">
        <v>802</v>
      </c>
      <c r="AI1731" t="s">
        <v>818</v>
      </c>
    </row>
    <row r="1732" spans="1:35" hidden="1">
      <c r="A1732" s="7">
        <v>1731</v>
      </c>
      <c r="B1732" t="s">
        <v>243</v>
      </c>
      <c r="C1732" t="s">
        <v>244</v>
      </c>
      <c r="D1732" s="7">
        <v>7134</v>
      </c>
      <c r="E1732" t="s">
        <v>245</v>
      </c>
      <c r="F1732" t="s">
        <v>246</v>
      </c>
      <c r="G1732" t="s">
        <v>263</v>
      </c>
      <c r="H1732" t="s">
        <v>4945</v>
      </c>
      <c r="I1732" s="7">
        <v>883</v>
      </c>
      <c r="J1732" s="7">
        <v>51000</v>
      </c>
      <c r="K1732" s="7">
        <v>3</v>
      </c>
      <c r="L1732" t="s">
        <v>247</v>
      </c>
      <c r="M1732" t="s">
        <v>261</v>
      </c>
      <c r="N1732" s="7">
        <v>796176</v>
      </c>
      <c r="O1732" t="s">
        <v>2064</v>
      </c>
      <c r="P1732" t="s">
        <v>2065</v>
      </c>
      <c r="Q1732" t="s">
        <v>908</v>
      </c>
      <c r="R1732" t="s">
        <v>909</v>
      </c>
      <c r="S1732" t="s">
        <v>3831</v>
      </c>
      <c r="T1732" t="s">
        <v>4942</v>
      </c>
      <c r="U1732" t="s">
        <v>4943</v>
      </c>
      <c r="V1732" s="8">
        <v>1250</v>
      </c>
      <c r="W1732" s="7">
        <v>0</v>
      </c>
      <c r="Y1732" s="8">
        <v>1000</v>
      </c>
      <c r="Z1732" s="8">
        <v>1475</v>
      </c>
      <c r="AA1732" s="8">
        <v>225</v>
      </c>
      <c r="AB1732" s="7">
        <v>0</v>
      </c>
      <c r="AD1732" s="8">
        <v>250</v>
      </c>
      <c r="AG1732" t="s">
        <v>817</v>
      </c>
      <c r="AH1732" t="s">
        <v>802</v>
      </c>
      <c r="AI1732" t="s">
        <v>818</v>
      </c>
    </row>
    <row r="1733" spans="1:35" hidden="1">
      <c r="A1733" s="7">
        <v>1732</v>
      </c>
      <c r="B1733" t="s">
        <v>243</v>
      </c>
      <c r="C1733" t="s">
        <v>244</v>
      </c>
      <c r="D1733" s="7">
        <v>7134</v>
      </c>
      <c r="E1733" t="s">
        <v>245</v>
      </c>
      <c r="F1733" t="s">
        <v>246</v>
      </c>
      <c r="G1733" t="s">
        <v>263</v>
      </c>
      <c r="H1733" t="s">
        <v>4957</v>
      </c>
      <c r="I1733" s="7">
        <v>1165</v>
      </c>
      <c r="J1733" s="7">
        <v>9619</v>
      </c>
      <c r="K1733" s="7">
        <v>4</v>
      </c>
      <c r="L1733" t="s">
        <v>247</v>
      </c>
      <c r="M1733" t="s">
        <v>267</v>
      </c>
      <c r="N1733" s="7">
        <v>794595</v>
      </c>
      <c r="O1733" t="s">
        <v>472</v>
      </c>
      <c r="P1733" t="s">
        <v>473</v>
      </c>
      <c r="Q1733" t="s">
        <v>870</v>
      </c>
      <c r="R1733" t="s">
        <v>871</v>
      </c>
      <c r="S1733" t="s">
        <v>3831</v>
      </c>
      <c r="T1733" t="s">
        <v>4942</v>
      </c>
      <c r="U1733" t="s">
        <v>4943</v>
      </c>
      <c r="V1733" s="8">
        <v>0</v>
      </c>
      <c r="W1733" s="7">
        <v>0</v>
      </c>
      <c r="Y1733" s="8">
        <v>0</v>
      </c>
      <c r="Z1733" s="8">
        <v>0</v>
      </c>
      <c r="AA1733" s="8">
        <v>0</v>
      </c>
      <c r="AB1733" s="7">
        <v>0</v>
      </c>
      <c r="AD1733" s="8">
        <v>0</v>
      </c>
      <c r="AG1733" t="s">
        <v>828</v>
      </c>
      <c r="AH1733" t="s">
        <v>802</v>
      </c>
      <c r="AI1733" t="s">
        <v>803</v>
      </c>
    </row>
    <row r="1734" spans="1:35" hidden="1">
      <c r="A1734" s="7">
        <v>1733</v>
      </c>
      <c r="B1734" t="s">
        <v>243</v>
      </c>
      <c r="C1734" t="s">
        <v>244</v>
      </c>
      <c r="D1734" s="7">
        <v>7134</v>
      </c>
      <c r="E1734" t="s">
        <v>245</v>
      </c>
      <c r="F1734" t="s">
        <v>246</v>
      </c>
      <c r="G1734" t="s">
        <v>1113</v>
      </c>
      <c r="H1734" t="s">
        <v>4962</v>
      </c>
      <c r="I1734" s="7">
        <v>1165</v>
      </c>
      <c r="J1734" s="7">
        <v>90000</v>
      </c>
      <c r="K1734" s="7">
        <v>9</v>
      </c>
      <c r="L1734" t="s">
        <v>247</v>
      </c>
      <c r="M1734" t="s">
        <v>261</v>
      </c>
      <c r="N1734" s="7">
        <v>775223</v>
      </c>
      <c r="O1734" t="s">
        <v>1114</v>
      </c>
      <c r="P1734" t="s">
        <v>1115</v>
      </c>
      <c r="S1734" t="s">
        <v>3831</v>
      </c>
      <c r="T1734" t="s">
        <v>4942</v>
      </c>
      <c r="U1734" t="s">
        <v>4943</v>
      </c>
      <c r="V1734" s="8">
        <v>0</v>
      </c>
      <c r="W1734" s="7">
        <v>0</v>
      </c>
      <c r="Y1734" s="8">
        <v>0</v>
      </c>
      <c r="Z1734" s="8">
        <v>0</v>
      </c>
      <c r="AA1734" s="8">
        <v>0</v>
      </c>
      <c r="AB1734" s="7">
        <v>0</v>
      </c>
      <c r="AD1734" s="8">
        <v>0</v>
      </c>
      <c r="AG1734" t="s">
        <v>801</v>
      </c>
      <c r="AH1734" t="s">
        <v>802</v>
      </c>
      <c r="AI1734" t="s">
        <v>803</v>
      </c>
    </row>
    <row r="1735" spans="1:35" hidden="1">
      <c r="A1735" s="7">
        <v>1734</v>
      </c>
      <c r="B1735" t="s">
        <v>243</v>
      </c>
      <c r="C1735" t="s">
        <v>244</v>
      </c>
      <c r="D1735" s="7">
        <v>7134</v>
      </c>
      <c r="E1735" t="s">
        <v>245</v>
      </c>
      <c r="F1735" t="s">
        <v>246</v>
      </c>
      <c r="G1735" t="s">
        <v>3750</v>
      </c>
      <c r="H1735" t="s">
        <v>4954</v>
      </c>
      <c r="I1735" s="7">
        <v>1165</v>
      </c>
      <c r="J1735" s="7">
        <v>10000</v>
      </c>
      <c r="K1735" s="7">
        <v>1</v>
      </c>
      <c r="L1735" t="s">
        <v>247</v>
      </c>
      <c r="M1735" t="s">
        <v>361</v>
      </c>
      <c r="N1735" s="7">
        <v>9322</v>
      </c>
      <c r="O1735" t="s">
        <v>4433</v>
      </c>
      <c r="P1735" t="s">
        <v>4434</v>
      </c>
      <c r="S1735" t="s">
        <v>3831</v>
      </c>
      <c r="T1735" t="s">
        <v>4942</v>
      </c>
      <c r="U1735" t="s">
        <v>4943</v>
      </c>
      <c r="V1735" s="8">
        <v>1650</v>
      </c>
      <c r="W1735" s="7">
        <v>0</v>
      </c>
      <c r="Y1735" s="8">
        <v>1650</v>
      </c>
      <c r="Z1735" s="8">
        <v>1947</v>
      </c>
      <c r="AA1735" s="8">
        <v>297</v>
      </c>
      <c r="AB1735" s="7">
        <v>0</v>
      </c>
      <c r="AD1735" s="8">
        <v>0</v>
      </c>
      <c r="AG1735" t="s">
        <v>823</v>
      </c>
      <c r="AH1735" t="s">
        <v>802</v>
      </c>
      <c r="AI1735" t="s">
        <v>818</v>
      </c>
    </row>
    <row r="1736" spans="1:35" hidden="1">
      <c r="A1736" s="7">
        <v>1735</v>
      </c>
      <c r="B1736" t="s">
        <v>243</v>
      </c>
      <c r="C1736" t="s">
        <v>244</v>
      </c>
      <c r="D1736" s="7">
        <v>7134</v>
      </c>
      <c r="E1736" t="s">
        <v>245</v>
      </c>
      <c r="F1736" t="s">
        <v>246</v>
      </c>
      <c r="G1736" t="s">
        <v>1044</v>
      </c>
      <c r="H1736" t="s">
        <v>4946</v>
      </c>
      <c r="I1736" s="7">
        <v>1165</v>
      </c>
      <c r="J1736" s="7">
        <v>54864</v>
      </c>
      <c r="K1736" s="7">
        <v>7</v>
      </c>
      <c r="L1736" t="s">
        <v>247</v>
      </c>
      <c r="M1736" t="s">
        <v>361</v>
      </c>
      <c r="N1736" s="7">
        <v>4930</v>
      </c>
      <c r="O1736" t="s">
        <v>1604</v>
      </c>
      <c r="P1736" t="s">
        <v>1605</v>
      </c>
      <c r="S1736" t="s">
        <v>3831</v>
      </c>
      <c r="T1736" t="s">
        <v>4942</v>
      </c>
      <c r="U1736" t="s">
        <v>4943</v>
      </c>
      <c r="V1736" s="8">
        <v>1650</v>
      </c>
      <c r="W1736" s="7">
        <v>0</v>
      </c>
      <c r="Y1736" s="8">
        <v>1650</v>
      </c>
      <c r="Z1736" s="8">
        <v>1947</v>
      </c>
      <c r="AA1736" s="8">
        <v>297</v>
      </c>
      <c r="AB1736" s="7">
        <v>0</v>
      </c>
      <c r="AD1736" s="8">
        <v>0</v>
      </c>
      <c r="AG1736" t="s">
        <v>823</v>
      </c>
      <c r="AH1736" t="s">
        <v>802</v>
      </c>
      <c r="AI1736" t="s">
        <v>818</v>
      </c>
    </row>
    <row r="1737" spans="1:35" hidden="1">
      <c r="A1737" s="7">
        <v>1736</v>
      </c>
      <c r="B1737" t="s">
        <v>243</v>
      </c>
      <c r="C1737" t="s">
        <v>244</v>
      </c>
      <c r="D1737" s="7">
        <v>7134</v>
      </c>
      <c r="E1737" t="s">
        <v>245</v>
      </c>
      <c r="F1737" t="s">
        <v>246</v>
      </c>
      <c r="G1737" t="s">
        <v>813</v>
      </c>
      <c r="H1737" t="s">
        <v>4950</v>
      </c>
      <c r="I1737" s="7">
        <v>1165</v>
      </c>
      <c r="J1737" s="7">
        <v>20006</v>
      </c>
      <c r="K1737" s="7">
        <v>3</v>
      </c>
      <c r="L1737" t="s">
        <v>247</v>
      </c>
      <c r="M1737" t="s">
        <v>261</v>
      </c>
      <c r="N1737" s="7">
        <v>781809</v>
      </c>
      <c r="O1737" t="s">
        <v>815</v>
      </c>
      <c r="P1737" t="s">
        <v>816</v>
      </c>
      <c r="S1737" t="s">
        <v>3831</v>
      </c>
      <c r="T1737" t="s">
        <v>4942</v>
      </c>
      <c r="U1737" t="s">
        <v>4943</v>
      </c>
      <c r="V1737" s="8">
        <v>1250</v>
      </c>
      <c r="W1737" s="7">
        <v>0</v>
      </c>
      <c r="Y1737" s="8">
        <v>1250</v>
      </c>
      <c r="Z1737" s="8">
        <v>1475</v>
      </c>
      <c r="AA1737" s="8">
        <v>225</v>
      </c>
      <c r="AB1737" s="7">
        <v>0</v>
      </c>
      <c r="AD1737" s="8">
        <v>0</v>
      </c>
      <c r="AG1737" t="s">
        <v>817</v>
      </c>
      <c r="AH1737" t="s">
        <v>802</v>
      </c>
      <c r="AI1737" t="s">
        <v>818</v>
      </c>
    </row>
    <row r="1738" spans="1:35" hidden="1">
      <c r="A1738" s="7">
        <v>1737</v>
      </c>
      <c r="B1738" t="s">
        <v>243</v>
      </c>
      <c r="C1738" t="s">
        <v>244</v>
      </c>
      <c r="D1738" s="7">
        <v>7134</v>
      </c>
      <c r="E1738" t="s">
        <v>245</v>
      </c>
      <c r="F1738" t="s">
        <v>246</v>
      </c>
      <c r="G1738" t="s">
        <v>1340</v>
      </c>
      <c r="H1738" t="s">
        <v>4942</v>
      </c>
      <c r="I1738" s="7">
        <v>1165</v>
      </c>
      <c r="J1738" s="7">
        <v>58531</v>
      </c>
      <c r="K1738" s="7">
        <v>9</v>
      </c>
      <c r="L1738" t="s">
        <v>247</v>
      </c>
      <c r="M1738" t="s">
        <v>252</v>
      </c>
      <c r="N1738" s="7">
        <v>322213</v>
      </c>
      <c r="O1738" t="s">
        <v>1341</v>
      </c>
      <c r="P1738" t="s">
        <v>1342</v>
      </c>
      <c r="S1738" t="s">
        <v>3831</v>
      </c>
      <c r="T1738" t="s">
        <v>4942</v>
      </c>
      <c r="U1738" t="s">
        <v>4943</v>
      </c>
      <c r="V1738" s="8">
        <v>0</v>
      </c>
      <c r="W1738" s="7">
        <v>0</v>
      </c>
      <c r="Y1738" s="8">
        <v>0</v>
      </c>
      <c r="Z1738" s="8">
        <v>0</v>
      </c>
      <c r="AA1738" s="8">
        <v>0</v>
      </c>
      <c r="AB1738" s="7">
        <v>0</v>
      </c>
      <c r="AD1738" s="8">
        <v>0</v>
      </c>
      <c r="AG1738" t="s">
        <v>937</v>
      </c>
      <c r="AH1738" t="s">
        <v>802</v>
      </c>
      <c r="AI1738" t="s">
        <v>803</v>
      </c>
    </row>
    <row r="1739" spans="1:35" hidden="1">
      <c r="A1739" s="7">
        <v>1738</v>
      </c>
      <c r="B1739" t="s">
        <v>243</v>
      </c>
      <c r="C1739" t="s">
        <v>244</v>
      </c>
      <c r="D1739" s="7">
        <v>7134</v>
      </c>
      <c r="E1739" t="s">
        <v>245</v>
      </c>
      <c r="F1739" t="s">
        <v>246</v>
      </c>
      <c r="G1739" t="s">
        <v>293</v>
      </c>
      <c r="H1739" t="s">
        <v>4957</v>
      </c>
      <c r="I1739" s="7">
        <v>1165</v>
      </c>
      <c r="J1739" s="7">
        <v>13290</v>
      </c>
      <c r="K1739" s="7">
        <v>4</v>
      </c>
      <c r="L1739" t="s">
        <v>247</v>
      </c>
      <c r="M1739" t="s">
        <v>267</v>
      </c>
      <c r="N1739" s="7">
        <v>789024</v>
      </c>
      <c r="O1739" t="s">
        <v>482</v>
      </c>
      <c r="P1739" t="s">
        <v>483</v>
      </c>
      <c r="Q1739" t="s">
        <v>870</v>
      </c>
      <c r="R1739" t="s">
        <v>871</v>
      </c>
      <c r="S1739" t="s">
        <v>3831</v>
      </c>
      <c r="T1739" t="s">
        <v>4942</v>
      </c>
      <c r="U1739" t="s">
        <v>4943</v>
      </c>
      <c r="V1739" s="8">
        <v>0</v>
      </c>
      <c r="W1739" s="7">
        <v>0</v>
      </c>
      <c r="Y1739" s="8">
        <v>0</v>
      </c>
      <c r="Z1739" s="8">
        <v>0</v>
      </c>
      <c r="AA1739" s="8">
        <v>0</v>
      </c>
      <c r="AB1739" s="7">
        <v>0</v>
      </c>
      <c r="AD1739" s="8">
        <v>0</v>
      </c>
      <c r="AG1739" t="s">
        <v>828</v>
      </c>
      <c r="AH1739" t="s">
        <v>802</v>
      </c>
      <c r="AI1739" t="s">
        <v>803</v>
      </c>
    </row>
    <row r="1740" spans="1:35" hidden="1">
      <c r="A1740" s="7">
        <v>1739</v>
      </c>
      <c r="B1740" t="s">
        <v>243</v>
      </c>
      <c r="C1740" t="s">
        <v>244</v>
      </c>
      <c r="D1740" s="7">
        <v>7134</v>
      </c>
      <c r="E1740" t="s">
        <v>245</v>
      </c>
      <c r="F1740" t="s">
        <v>246</v>
      </c>
      <c r="G1740" t="s">
        <v>363</v>
      </c>
      <c r="H1740" t="s">
        <v>4966</v>
      </c>
      <c r="I1740" s="7">
        <v>898</v>
      </c>
      <c r="J1740" s="7">
        <v>50000</v>
      </c>
      <c r="K1740" s="7">
        <v>3</v>
      </c>
      <c r="L1740" t="s">
        <v>247</v>
      </c>
      <c r="M1740" t="s">
        <v>261</v>
      </c>
      <c r="N1740" s="7">
        <v>797943</v>
      </c>
      <c r="O1740" t="s">
        <v>5014</v>
      </c>
      <c r="P1740" t="s">
        <v>5015</v>
      </c>
      <c r="S1740" t="s">
        <v>3831</v>
      </c>
      <c r="T1740" t="s">
        <v>4942</v>
      </c>
      <c r="U1740" t="s">
        <v>4943</v>
      </c>
      <c r="V1740" s="8">
        <v>1250</v>
      </c>
      <c r="W1740" s="7">
        <v>0</v>
      </c>
      <c r="Y1740" s="8">
        <v>1250</v>
      </c>
      <c r="Z1740" s="8">
        <v>1475</v>
      </c>
      <c r="AA1740" s="8">
        <v>225</v>
      </c>
      <c r="AB1740" s="7">
        <v>0</v>
      </c>
      <c r="AD1740" s="8">
        <v>0</v>
      </c>
      <c r="AG1740" t="s">
        <v>817</v>
      </c>
      <c r="AH1740" t="s">
        <v>802</v>
      </c>
      <c r="AI1740" t="s">
        <v>818</v>
      </c>
    </row>
    <row r="1741" spans="1:35" hidden="1">
      <c r="A1741" s="7">
        <v>1740</v>
      </c>
      <c r="B1741" t="s">
        <v>243</v>
      </c>
      <c r="C1741" t="s">
        <v>244</v>
      </c>
      <c r="D1741" s="7">
        <v>7134</v>
      </c>
      <c r="E1741" t="s">
        <v>245</v>
      </c>
      <c r="F1741" t="s">
        <v>246</v>
      </c>
      <c r="G1741" t="s">
        <v>1024</v>
      </c>
      <c r="H1741" t="s">
        <v>4960</v>
      </c>
      <c r="I1741" s="7">
        <v>979</v>
      </c>
      <c r="J1741" s="7">
        <v>61639</v>
      </c>
      <c r="K1741" s="7">
        <v>4</v>
      </c>
      <c r="L1741" t="s">
        <v>247</v>
      </c>
      <c r="M1741" t="s">
        <v>261</v>
      </c>
      <c r="N1741" s="7">
        <v>782153</v>
      </c>
      <c r="O1741" t="s">
        <v>1888</v>
      </c>
      <c r="P1741" t="s">
        <v>1889</v>
      </c>
      <c r="S1741" t="s">
        <v>3831</v>
      </c>
      <c r="T1741" t="s">
        <v>4942</v>
      </c>
      <c r="U1741" t="s">
        <v>4943</v>
      </c>
      <c r="V1741" s="8">
        <v>1250</v>
      </c>
      <c r="W1741" s="7">
        <v>0</v>
      </c>
      <c r="Y1741" s="8">
        <v>1250</v>
      </c>
      <c r="Z1741" s="8">
        <v>1475</v>
      </c>
      <c r="AA1741" s="8">
        <v>225</v>
      </c>
      <c r="AB1741" s="7">
        <v>0</v>
      </c>
      <c r="AD1741" s="8">
        <v>0</v>
      </c>
      <c r="AG1741" t="s">
        <v>801</v>
      </c>
      <c r="AH1741" t="s">
        <v>802</v>
      </c>
      <c r="AI1741" t="s">
        <v>818</v>
      </c>
    </row>
    <row r="1742" spans="1:35" hidden="1">
      <c r="A1742" s="7">
        <v>1741</v>
      </c>
      <c r="B1742" t="s">
        <v>243</v>
      </c>
      <c r="C1742" t="s">
        <v>244</v>
      </c>
      <c r="D1742" s="7">
        <v>7134</v>
      </c>
      <c r="E1742" t="s">
        <v>245</v>
      </c>
      <c r="F1742" t="s">
        <v>246</v>
      </c>
      <c r="G1742" t="s">
        <v>419</v>
      </c>
      <c r="H1742" t="s">
        <v>4945</v>
      </c>
      <c r="I1742" s="7">
        <v>1165</v>
      </c>
      <c r="J1742" s="7">
        <v>86859</v>
      </c>
      <c r="K1742" s="7">
        <v>4</v>
      </c>
      <c r="L1742" t="s">
        <v>247</v>
      </c>
      <c r="M1742" t="s">
        <v>261</v>
      </c>
      <c r="N1742" s="7">
        <v>785025</v>
      </c>
      <c r="O1742" t="s">
        <v>421</v>
      </c>
      <c r="P1742" t="s">
        <v>422</v>
      </c>
      <c r="Q1742" t="s">
        <v>908</v>
      </c>
      <c r="R1742" t="s">
        <v>909</v>
      </c>
      <c r="S1742" t="s">
        <v>3831</v>
      </c>
      <c r="T1742" t="s">
        <v>4942</v>
      </c>
      <c r="U1742" t="s">
        <v>4943</v>
      </c>
      <c r="V1742" s="8">
        <v>0</v>
      </c>
      <c r="W1742" s="7">
        <v>0</v>
      </c>
      <c r="Y1742" s="8">
        <v>0</v>
      </c>
      <c r="Z1742" s="8">
        <v>0</v>
      </c>
      <c r="AA1742" s="8">
        <v>0</v>
      </c>
      <c r="AB1742" s="7">
        <v>0</v>
      </c>
      <c r="AD1742" s="8">
        <v>0</v>
      </c>
      <c r="AG1742" t="s">
        <v>801</v>
      </c>
      <c r="AH1742" t="s">
        <v>802</v>
      </c>
      <c r="AI1742" t="s">
        <v>803</v>
      </c>
    </row>
    <row r="1743" spans="1:35" hidden="1">
      <c r="A1743" s="7">
        <v>1742</v>
      </c>
      <c r="B1743" t="s">
        <v>243</v>
      </c>
      <c r="C1743" t="s">
        <v>244</v>
      </c>
      <c r="D1743" s="7">
        <v>7134</v>
      </c>
      <c r="E1743" t="s">
        <v>245</v>
      </c>
      <c r="F1743" t="s">
        <v>246</v>
      </c>
      <c r="G1743" t="s">
        <v>3078</v>
      </c>
      <c r="H1743" t="s">
        <v>4945</v>
      </c>
      <c r="I1743" s="7">
        <v>1165</v>
      </c>
      <c r="J1743" s="7">
        <v>4800</v>
      </c>
      <c r="K1743" s="7">
        <v>1</v>
      </c>
      <c r="L1743" t="s">
        <v>247</v>
      </c>
      <c r="M1743" t="s">
        <v>261</v>
      </c>
      <c r="N1743" s="7">
        <v>804641</v>
      </c>
      <c r="O1743" t="s">
        <v>3203</v>
      </c>
      <c r="P1743" t="s">
        <v>3204</v>
      </c>
      <c r="S1743" t="s">
        <v>3831</v>
      </c>
      <c r="T1743" t="s">
        <v>4942</v>
      </c>
      <c r="U1743" t="s">
        <v>4943</v>
      </c>
      <c r="V1743" s="8">
        <v>1250</v>
      </c>
      <c r="W1743" s="7">
        <v>0</v>
      </c>
      <c r="Y1743" s="8">
        <v>1250</v>
      </c>
      <c r="Z1743" s="8">
        <v>1475</v>
      </c>
      <c r="AA1743" s="8">
        <v>225</v>
      </c>
      <c r="AB1743" s="7">
        <v>0</v>
      </c>
      <c r="AD1743" s="8">
        <v>0</v>
      </c>
      <c r="AG1743" t="s">
        <v>817</v>
      </c>
      <c r="AH1743" t="s">
        <v>802</v>
      </c>
      <c r="AI1743" t="s">
        <v>818</v>
      </c>
    </row>
    <row r="1744" spans="1:35" hidden="1">
      <c r="A1744" s="7">
        <v>1743</v>
      </c>
      <c r="B1744" t="s">
        <v>243</v>
      </c>
      <c r="C1744" t="s">
        <v>244</v>
      </c>
      <c r="D1744" s="7">
        <v>7134</v>
      </c>
      <c r="E1744" t="s">
        <v>245</v>
      </c>
      <c r="F1744" t="s">
        <v>246</v>
      </c>
      <c r="G1744" t="s">
        <v>263</v>
      </c>
      <c r="H1744" t="s">
        <v>4956</v>
      </c>
      <c r="I1744" s="7">
        <v>891</v>
      </c>
      <c r="J1744" s="7">
        <v>52800</v>
      </c>
      <c r="K1744" s="7">
        <v>3</v>
      </c>
      <c r="L1744" t="s">
        <v>247</v>
      </c>
      <c r="M1744" t="s">
        <v>261</v>
      </c>
      <c r="N1744" s="7">
        <v>797752</v>
      </c>
      <c r="O1744" t="s">
        <v>5016</v>
      </c>
      <c r="P1744" t="s">
        <v>5017</v>
      </c>
      <c r="Q1744" t="s">
        <v>908</v>
      </c>
      <c r="R1744" t="s">
        <v>909</v>
      </c>
      <c r="S1744" t="s">
        <v>3831</v>
      </c>
      <c r="T1744" t="s">
        <v>4942</v>
      </c>
      <c r="U1744" t="s">
        <v>4943</v>
      </c>
      <c r="V1744" s="8">
        <v>1250</v>
      </c>
      <c r="W1744" s="7">
        <v>0</v>
      </c>
      <c r="Y1744" s="8">
        <v>1000</v>
      </c>
      <c r="Z1744" s="8">
        <v>1475</v>
      </c>
      <c r="AA1744" s="8">
        <v>225</v>
      </c>
      <c r="AB1744" s="7">
        <v>0</v>
      </c>
      <c r="AD1744" s="8">
        <v>250</v>
      </c>
      <c r="AG1744" t="s">
        <v>817</v>
      </c>
      <c r="AH1744" t="s">
        <v>802</v>
      </c>
      <c r="AI1744" t="s">
        <v>818</v>
      </c>
    </row>
    <row r="1745" spans="1:35" hidden="1">
      <c r="A1745" s="7">
        <v>1744</v>
      </c>
      <c r="B1745" t="s">
        <v>243</v>
      </c>
      <c r="C1745" t="s">
        <v>244</v>
      </c>
      <c r="D1745" s="7">
        <v>7134</v>
      </c>
      <c r="E1745" t="s">
        <v>245</v>
      </c>
      <c r="F1745" t="s">
        <v>246</v>
      </c>
      <c r="G1745" t="s">
        <v>1404</v>
      </c>
      <c r="H1745" t="s">
        <v>4962</v>
      </c>
      <c r="I1745" s="7">
        <v>1165</v>
      </c>
      <c r="J1745" s="7">
        <v>19446</v>
      </c>
      <c r="K1745" s="7">
        <v>4</v>
      </c>
      <c r="L1745" t="s">
        <v>247</v>
      </c>
      <c r="M1745" t="s">
        <v>267</v>
      </c>
      <c r="N1745" s="7">
        <v>768004</v>
      </c>
      <c r="O1745" t="s">
        <v>1662</v>
      </c>
      <c r="P1745" t="s">
        <v>1663</v>
      </c>
      <c r="Q1745" t="s">
        <v>870</v>
      </c>
      <c r="R1745" t="s">
        <v>871</v>
      </c>
      <c r="S1745" t="s">
        <v>3831</v>
      </c>
      <c r="T1745" t="s">
        <v>4942</v>
      </c>
      <c r="U1745" t="s">
        <v>4943</v>
      </c>
      <c r="V1745" s="8">
        <v>1250</v>
      </c>
      <c r="W1745" s="7">
        <v>0</v>
      </c>
      <c r="Y1745" s="8">
        <v>1000</v>
      </c>
      <c r="Z1745" s="8">
        <v>1475</v>
      </c>
      <c r="AA1745" s="8">
        <v>225</v>
      </c>
      <c r="AB1745" s="7">
        <v>0</v>
      </c>
      <c r="AD1745" s="8">
        <v>250</v>
      </c>
      <c r="AG1745" t="s">
        <v>828</v>
      </c>
      <c r="AH1745" t="s">
        <v>802</v>
      </c>
      <c r="AI1745" t="s">
        <v>818</v>
      </c>
    </row>
    <row r="1746" spans="1:35" hidden="1">
      <c r="A1746" s="7">
        <v>1745</v>
      </c>
      <c r="B1746" t="s">
        <v>243</v>
      </c>
      <c r="C1746" t="s">
        <v>244</v>
      </c>
      <c r="D1746" s="7">
        <v>7134</v>
      </c>
      <c r="E1746" t="s">
        <v>245</v>
      </c>
      <c r="F1746" t="s">
        <v>246</v>
      </c>
      <c r="G1746" t="s">
        <v>1044</v>
      </c>
      <c r="H1746" t="s">
        <v>4942</v>
      </c>
      <c r="I1746" s="7">
        <v>1165</v>
      </c>
      <c r="J1746" s="7">
        <v>45055</v>
      </c>
      <c r="K1746" s="7">
        <v>8</v>
      </c>
      <c r="L1746" t="s">
        <v>247</v>
      </c>
      <c r="M1746" t="s">
        <v>261</v>
      </c>
      <c r="N1746" s="7">
        <v>785728</v>
      </c>
      <c r="O1746" t="s">
        <v>1045</v>
      </c>
      <c r="P1746" t="s">
        <v>1046</v>
      </c>
      <c r="S1746" t="s">
        <v>3831</v>
      </c>
      <c r="T1746" t="s">
        <v>4942</v>
      </c>
      <c r="U1746" t="s">
        <v>4943</v>
      </c>
      <c r="V1746" s="8">
        <v>1250</v>
      </c>
      <c r="W1746" s="7">
        <v>0</v>
      </c>
      <c r="Y1746" s="8">
        <v>1250</v>
      </c>
      <c r="Z1746" s="8">
        <v>1475</v>
      </c>
      <c r="AA1746" s="8">
        <v>225</v>
      </c>
      <c r="AB1746" s="7">
        <v>0</v>
      </c>
      <c r="AD1746" s="8">
        <v>0</v>
      </c>
      <c r="AG1746" t="s">
        <v>801</v>
      </c>
      <c r="AH1746" t="s">
        <v>802</v>
      </c>
      <c r="AI1746" t="s">
        <v>818</v>
      </c>
    </row>
    <row r="1747" spans="1:35" hidden="1">
      <c r="A1747" s="7">
        <v>1746</v>
      </c>
      <c r="B1747" t="s">
        <v>243</v>
      </c>
      <c r="C1747" t="s">
        <v>244</v>
      </c>
      <c r="D1747" s="7">
        <v>7134</v>
      </c>
      <c r="E1747" t="s">
        <v>245</v>
      </c>
      <c r="F1747" t="s">
        <v>246</v>
      </c>
      <c r="G1747" t="s">
        <v>363</v>
      </c>
      <c r="H1747" t="s">
        <v>4962</v>
      </c>
      <c r="I1747" s="7">
        <v>861</v>
      </c>
      <c r="J1747" s="7">
        <v>70000</v>
      </c>
      <c r="K1747" s="7">
        <v>4</v>
      </c>
      <c r="L1747" t="s">
        <v>247</v>
      </c>
      <c r="M1747" t="s">
        <v>261</v>
      </c>
      <c r="N1747" s="7">
        <v>797456</v>
      </c>
      <c r="O1747" t="s">
        <v>5018</v>
      </c>
      <c r="P1747" t="s">
        <v>5019</v>
      </c>
      <c r="S1747" t="s">
        <v>3831</v>
      </c>
      <c r="T1747" t="s">
        <v>4942</v>
      </c>
      <c r="U1747" t="s">
        <v>4943</v>
      </c>
      <c r="V1747" s="8">
        <v>1250</v>
      </c>
      <c r="W1747" s="7">
        <v>0</v>
      </c>
      <c r="Y1747" s="8">
        <v>1250</v>
      </c>
      <c r="Z1747" s="8">
        <v>1475</v>
      </c>
      <c r="AA1747" s="8">
        <v>225</v>
      </c>
      <c r="AB1747" s="7">
        <v>0</v>
      </c>
      <c r="AD1747" s="8">
        <v>0</v>
      </c>
      <c r="AG1747" t="s">
        <v>817</v>
      </c>
      <c r="AH1747" t="s">
        <v>802</v>
      </c>
      <c r="AI1747" t="s">
        <v>818</v>
      </c>
    </row>
    <row r="1748" spans="1:35" hidden="1">
      <c r="A1748" s="7">
        <v>1747</v>
      </c>
      <c r="B1748" t="s">
        <v>243</v>
      </c>
      <c r="C1748" t="s">
        <v>244</v>
      </c>
      <c r="D1748" s="7">
        <v>7134</v>
      </c>
      <c r="E1748" t="s">
        <v>245</v>
      </c>
      <c r="F1748" t="s">
        <v>246</v>
      </c>
      <c r="G1748" t="s">
        <v>849</v>
      </c>
      <c r="H1748" t="s">
        <v>4945</v>
      </c>
      <c r="I1748" s="7">
        <v>1165</v>
      </c>
      <c r="J1748" s="7">
        <v>99777</v>
      </c>
      <c r="K1748" s="7">
        <v>6</v>
      </c>
      <c r="L1748" t="s">
        <v>247</v>
      </c>
      <c r="M1748" t="s">
        <v>361</v>
      </c>
      <c r="N1748" s="7">
        <v>5065</v>
      </c>
      <c r="O1748" t="s">
        <v>1291</v>
      </c>
      <c r="P1748" t="s">
        <v>1292</v>
      </c>
      <c r="Q1748" t="s">
        <v>908</v>
      </c>
      <c r="R1748" t="s">
        <v>909</v>
      </c>
      <c r="S1748" t="s">
        <v>3831</v>
      </c>
      <c r="T1748" t="s">
        <v>4942</v>
      </c>
      <c r="U1748" t="s">
        <v>4943</v>
      </c>
      <c r="V1748" s="8">
        <v>0</v>
      </c>
      <c r="W1748" s="7">
        <v>0</v>
      </c>
      <c r="Y1748" s="8">
        <v>0</v>
      </c>
      <c r="Z1748" s="8">
        <v>0</v>
      </c>
      <c r="AA1748" s="8">
        <v>0</v>
      </c>
      <c r="AB1748" s="7">
        <v>0</v>
      </c>
      <c r="AD1748" s="8">
        <v>0</v>
      </c>
      <c r="AG1748" t="s">
        <v>823</v>
      </c>
      <c r="AH1748" t="s">
        <v>802</v>
      </c>
      <c r="AI1748" t="s">
        <v>803</v>
      </c>
    </row>
    <row r="1749" spans="1:35" hidden="1">
      <c r="A1749" s="7">
        <v>1748</v>
      </c>
      <c r="B1749" t="s">
        <v>243</v>
      </c>
      <c r="C1749" t="s">
        <v>244</v>
      </c>
      <c r="D1749" s="7">
        <v>7134</v>
      </c>
      <c r="E1749" t="s">
        <v>245</v>
      </c>
      <c r="F1749" t="s">
        <v>246</v>
      </c>
      <c r="G1749" t="s">
        <v>2853</v>
      </c>
      <c r="H1749" t="s">
        <v>4347</v>
      </c>
      <c r="I1749" s="7">
        <v>1165</v>
      </c>
      <c r="J1749" s="7">
        <v>4700</v>
      </c>
      <c r="K1749" s="7">
        <v>1</v>
      </c>
      <c r="L1749" t="s">
        <v>247</v>
      </c>
      <c r="M1749" t="s">
        <v>261</v>
      </c>
      <c r="N1749" s="7">
        <v>803976</v>
      </c>
      <c r="O1749" t="s">
        <v>3479</v>
      </c>
      <c r="P1749" t="s">
        <v>3480</v>
      </c>
      <c r="S1749" t="s">
        <v>3831</v>
      </c>
      <c r="T1749" t="s">
        <v>4942</v>
      </c>
      <c r="U1749" t="s">
        <v>4943</v>
      </c>
      <c r="V1749" s="8">
        <v>1250</v>
      </c>
      <c r="W1749" s="7">
        <v>0</v>
      </c>
      <c r="Y1749" s="8">
        <v>1250</v>
      </c>
      <c r="Z1749" s="8">
        <v>1475</v>
      </c>
      <c r="AA1749" s="8">
        <v>225</v>
      </c>
      <c r="AB1749" s="7">
        <v>0</v>
      </c>
      <c r="AD1749" s="8">
        <v>0</v>
      </c>
      <c r="AG1749" t="s">
        <v>817</v>
      </c>
      <c r="AH1749" t="s">
        <v>802</v>
      </c>
      <c r="AI1749" t="s">
        <v>818</v>
      </c>
    </row>
    <row r="1750" spans="1:35" hidden="1">
      <c r="A1750" s="7">
        <v>1749</v>
      </c>
      <c r="B1750" t="s">
        <v>243</v>
      </c>
      <c r="C1750" t="s">
        <v>244</v>
      </c>
      <c r="D1750" s="7">
        <v>7134</v>
      </c>
      <c r="E1750" t="s">
        <v>245</v>
      </c>
      <c r="F1750" t="s">
        <v>246</v>
      </c>
      <c r="G1750" t="s">
        <v>3750</v>
      </c>
      <c r="H1750" t="s">
        <v>4966</v>
      </c>
      <c r="I1750" s="7">
        <v>1165</v>
      </c>
      <c r="J1750" s="7">
        <v>5340</v>
      </c>
      <c r="K1750" s="7">
        <v>1</v>
      </c>
      <c r="L1750" t="s">
        <v>247</v>
      </c>
      <c r="M1750" t="s">
        <v>361</v>
      </c>
      <c r="N1750" s="7">
        <v>10848</v>
      </c>
      <c r="O1750" t="s">
        <v>4421</v>
      </c>
      <c r="P1750" t="s">
        <v>4422</v>
      </c>
      <c r="S1750" t="s">
        <v>3831</v>
      </c>
      <c r="T1750" t="s">
        <v>4942</v>
      </c>
      <c r="U1750" t="s">
        <v>4943</v>
      </c>
      <c r="V1750" s="8">
        <v>1650</v>
      </c>
      <c r="W1750" s="7">
        <v>0</v>
      </c>
      <c r="Y1750" s="8">
        <v>1650</v>
      </c>
      <c r="Z1750" s="8">
        <v>1947</v>
      </c>
      <c r="AA1750" s="8">
        <v>297</v>
      </c>
      <c r="AB1750" s="7">
        <v>0</v>
      </c>
      <c r="AD1750" s="8">
        <v>0</v>
      </c>
      <c r="AG1750" t="s">
        <v>823</v>
      </c>
      <c r="AH1750" t="s">
        <v>802</v>
      </c>
      <c r="AI1750" t="s">
        <v>818</v>
      </c>
    </row>
    <row r="1751" spans="1:35" hidden="1">
      <c r="A1751" s="7">
        <v>1750</v>
      </c>
      <c r="B1751" t="s">
        <v>243</v>
      </c>
      <c r="C1751" t="s">
        <v>244</v>
      </c>
      <c r="D1751" s="7">
        <v>7134</v>
      </c>
      <c r="E1751" t="s">
        <v>245</v>
      </c>
      <c r="F1751" t="s">
        <v>246</v>
      </c>
      <c r="G1751" t="s">
        <v>278</v>
      </c>
      <c r="H1751" t="s">
        <v>4962</v>
      </c>
      <c r="I1751" s="7">
        <v>1165</v>
      </c>
      <c r="J1751" s="7">
        <v>7668</v>
      </c>
      <c r="K1751" s="7">
        <v>2</v>
      </c>
      <c r="L1751" t="s">
        <v>247</v>
      </c>
      <c r="M1751" t="s">
        <v>261</v>
      </c>
      <c r="N1751" s="7">
        <v>796638</v>
      </c>
      <c r="O1751" t="s">
        <v>393</v>
      </c>
      <c r="P1751" t="s">
        <v>394</v>
      </c>
      <c r="S1751" t="s">
        <v>3831</v>
      </c>
      <c r="T1751" t="s">
        <v>4942</v>
      </c>
      <c r="U1751" t="s">
        <v>4943</v>
      </c>
      <c r="V1751" s="8">
        <v>1250</v>
      </c>
      <c r="W1751" s="7">
        <v>0</v>
      </c>
      <c r="Y1751" s="8">
        <v>1250</v>
      </c>
      <c r="Z1751" s="8">
        <v>1475</v>
      </c>
      <c r="AA1751" s="8">
        <v>225</v>
      </c>
      <c r="AB1751" s="7">
        <v>0</v>
      </c>
      <c r="AD1751" s="8">
        <v>0</v>
      </c>
      <c r="AG1751" t="s">
        <v>817</v>
      </c>
      <c r="AH1751" t="s">
        <v>802</v>
      </c>
      <c r="AI1751" t="s">
        <v>818</v>
      </c>
    </row>
    <row r="1752" spans="1:35" hidden="1">
      <c r="A1752" s="7">
        <v>1751</v>
      </c>
      <c r="B1752" t="s">
        <v>243</v>
      </c>
      <c r="C1752" t="s">
        <v>244</v>
      </c>
      <c r="D1752" s="7">
        <v>7134</v>
      </c>
      <c r="E1752" t="s">
        <v>245</v>
      </c>
      <c r="F1752" t="s">
        <v>246</v>
      </c>
      <c r="G1752" t="s">
        <v>293</v>
      </c>
      <c r="H1752" t="s">
        <v>4984</v>
      </c>
      <c r="I1752" s="7">
        <v>1165</v>
      </c>
      <c r="J1752" s="7">
        <v>28413</v>
      </c>
      <c r="K1752" s="7">
        <v>4</v>
      </c>
      <c r="L1752" t="s">
        <v>247</v>
      </c>
      <c r="M1752" t="s">
        <v>267</v>
      </c>
      <c r="N1752" s="7">
        <v>789021</v>
      </c>
      <c r="O1752" t="s">
        <v>464</v>
      </c>
      <c r="P1752" t="s">
        <v>465</v>
      </c>
      <c r="S1752" t="s">
        <v>3831</v>
      </c>
      <c r="T1752" t="s">
        <v>4942</v>
      </c>
      <c r="U1752" t="s">
        <v>4943</v>
      </c>
      <c r="V1752" s="8">
        <v>0</v>
      </c>
      <c r="W1752" s="7">
        <v>0</v>
      </c>
      <c r="Y1752" s="8">
        <v>0</v>
      </c>
      <c r="Z1752" s="8">
        <v>0</v>
      </c>
      <c r="AA1752" s="8">
        <v>0</v>
      </c>
      <c r="AB1752" s="7">
        <v>0</v>
      </c>
      <c r="AD1752" s="8">
        <v>0</v>
      </c>
      <c r="AG1752" t="s">
        <v>828</v>
      </c>
      <c r="AH1752" t="s">
        <v>802</v>
      </c>
      <c r="AI1752" t="s">
        <v>803</v>
      </c>
    </row>
    <row r="1753" spans="1:35" hidden="1">
      <c r="A1753" s="7">
        <v>1752</v>
      </c>
      <c r="B1753" t="s">
        <v>243</v>
      </c>
      <c r="C1753" t="s">
        <v>244</v>
      </c>
      <c r="D1753" s="7">
        <v>7134</v>
      </c>
      <c r="E1753" t="s">
        <v>245</v>
      </c>
      <c r="F1753" t="s">
        <v>246</v>
      </c>
      <c r="G1753" t="s">
        <v>1050</v>
      </c>
      <c r="H1753" t="s">
        <v>5020</v>
      </c>
      <c r="I1753" s="7">
        <v>1165</v>
      </c>
      <c r="J1753" s="7">
        <v>72746</v>
      </c>
      <c r="K1753" s="7">
        <v>7</v>
      </c>
      <c r="L1753" t="s">
        <v>247</v>
      </c>
      <c r="M1753" t="s">
        <v>361</v>
      </c>
      <c r="N1753" s="7">
        <v>5472</v>
      </c>
      <c r="O1753" t="s">
        <v>1051</v>
      </c>
      <c r="P1753" t="s">
        <v>1052</v>
      </c>
      <c r="Q1753" t="s">
        <v>908</v>
      </c>
      <c r="R1753" t="s">
        <v>909</v>
      </c>
      <c r="S1753" t="s">
        <v>5021</v>
      </c>
      <c r="T1753" t="s">
        <v>5022</v>
      </c>
      <c r="U1753" t="s">
        <v>5023</v>
      </c>
      <c r="V1753" s="8">
        <v>1650</v>
      </c>
      <c r="W1753" s="7">
        <v>0</v>
      </c>
      <c r="Y1753" s="8">
        <v>1320</v>
      </c>
      <c r="Z1753" s="8">
        <v>1947</v>
      </c>
      <c r="AA1753" s="8">
        <v>297</v>
      </c>
      <c r="AB1753" s="7">
        <v>0</v>
      </c>
      <c r="AD1753" s="8">
        <v>330</v>
      </c>
      <c r="AG1753" t="s">
        <v>823</v>
      </c>
      <c r="AH1753" t="s">
        <v>802</v>
      </c>
      <c r="AI1753" t="s">
        <v>818</v>
      </c>
    </row>
    <row r="1754" spans="1:35" hidden="1">
      <c r="A1754" s="7">
        <v>1753</v>
      </c>
      <c r="B1754" t="s">
        <v>243</v>
      </c>
      <c r="C1754" t="s">
        <v>244</v>
      </c>
      <c r="D1754" s="7">
        <v>7134</v>
      </c>
      <c r="E1754" t="s">
        <v>245</v>
      </c>
      <c r="F1754" t="s">
        <v>246</v>
      </c>
      <c r="G1754" t="s">
        <v>1101</v>
      </c>
      <c r="H1754" t="s">
        <v>5024</v>
      </c>
      <c r="I1754" s="7">
        <v>1123</v>
      </c>
      <c r="J1754" s="7">
        <v>40700</v>
      </c>
      <c r="K1754" s="7">
        <v>7</v>
      </c>
      <c r="L1754" t="s">
        <v>247</v>
      </c>
      <c r="M1754" t="s">
        <v>261</v>
      </c>
      <c r="N1754" s="7">
        <v>785680</v>
      </c>
      <c r="O1754" t="s">
        <v>1102</v>
      </c>
      <c r="P1754" t="s">
        <v>1103</v>
      </c>
      <c r="S1754" t="s">
        <v>5021</v>
      </c>
      <c r="T1754" t="s">
        <v>5022</v>
      </c>
      <c r="U1754" t="s">
        <v>5023</v>
      </c>
      <c r="V1754" s="8">
        <v>0</v>
      </c>
      <c r="W1754" s="7">
        <v>0</v>
      </c>
      <c r="Y1754" s="8">
        <v>0</v>
      </c>
      <c r="Z1754" s="8">
        <v>0</v>
      </c>
      <c r="AA1754" s="8">
        <v>0</v>
      </c>
      <c r="AB1754" s="7">
        <v>0</v>
      </c>
      <c r="AD1754" s="8">
        <v>0</v>
      </c>
      <c r="AG1754" t="s">
        <v>801</v>
      </c>
      <c r="AH1754" t="s">
        <v>802</v>
      </c>
      <c r="AI1754" t="s">
        <v>803</v>
      </c>
    </row>
    <row r="1755" spans="1:35" hidden="1">
      <c r="A1755" s="7">
        <v>1754</v>
      </c>
      <c r="B1755" t="s">
        <v>243</v>
      </c>
      <c r="C1755" t="s">
        <v>244</v>
      </c>
      <c r="D1755" s="7">
        <v>7134</v>
      </c>
      <c r="E1755" t="s">
        <v>245</v>
      </c>
      <c r="F1755" t="s">
        <v>246</v>
      </c>
      <c r="G1755" t="s">
        <v>5025</v>
      </c>
      <c r="H1755" t="s">
        <v>5026</v>
      </c>
      <c r="I1755" s="7">
        <v>1165</v>
      </c>
      <c r="J1755" s="7">
        <v>9533</v>
      </c>
      <c r="K1755" s="7">
        <v>1</v>
      </c>
      <c r="L1755" t="s">
        <v>247</v>
      </c>
      <c r="M1755" t="s">
        <v>267</v>
      </c>
      <c r="N1755" s="7">
        <v>810079</v>
      </c>
      <c r="O1755" t="s">
        <v>5027</v>
      </c>
      <c r="P1755" t="s">
        <v>5028</v>
      </c>
      <c r="S1755" t="s">
        <v>5021</v>
      </c>
      <c r="T1755" t="s">
        <v>5022</v>
      </c>
      <c r="U1755" t="s">
        <v>5023</v>
      </c>
      <c r="V1755" s="8">
        <v>1250</v>
      </c>
      <c r="W1755" s="7">
        <v>0</v>
      </c>
      <c r="Y1755" s="8">
        <v>1250</v>
      </c>
      <c r="Z1755" s="8">
        <v>1475</v>
      </c>
      <c r="AA1755" s="8">
        <v>225</v>
      </c>
      <c r="AB1755" s="7">
        <v>0</v>
      </c>
      <c r="AD1755" s="8">
        <v>0</v>
      </c>
      <c r="AG1755" t="s">
        <v>828</v>
      </c>
      <c r="AH1755" t="s">
        <v>802</v>
      </c>
      <c r="AI1755" t="s">
        <v>818</v>
      </c>
    </row>
    <row r="1756" spans="1:35" hidden="1">
      <c r="A1756" s="7">
        <v>1755</v>
      </c>
      <c r="B1756" t="s">
        <v>243</v>
      </c>
      <c r="C1756" t="s">
        <v>244</v>
      </c>
      <c r="D1756" s="7">
        <v>7134</v>
      </c>
      <c r="E1756" t="s">
        <v>245</v>
      </c>
      <c r="F1756" t="s">
        <v>246</v>
      </c>
      <c r="G1756" t="s">
        <v>1011</v>
      </c>
      <c r="H1756" t="s">
        <v>5029</v>
      </c>
      <c r="I1756" s="7">
        <v>1165</v>
      </c>
      <c r="J1756" s="7">
        <v>61271</v>
      </c>
      <c r="K1756" s="7">
        <v>9</v>
      </c>
      <c r="L1756" t="s">
        <v>247</v>
      </c>
      <c r="M1756" t="s">
        <v>261</v>
      </c>
      <c r="N1756" s="7">
        <v>774079</v>
      </c>
      <c r="O1756" t="s">
        <v>1285</v>
      </c>
      <c r="P1756" t="s">
        <v>1286</v>
      </c>
      <c r="S1756" t="s">
        <v>5021</v>
      </c>
      <c r="T1756" t="s">
        <v>5022</v>
      </c>
      <c r="U1756" t="s">
        <v>5023</v>
      </c>
      <c r="V1756" s="8">
        <v>0</v>
      </c>
      <c r="W1756" s="7">
        <v>0</v>
      </c>
      <c r="Y1756" s="8">
        <v>0</v>
      </c>
      <c r="Z1756" s="8">
        <v>0</v>
      </c>
      <c r="AA1756" s="8">
        <v>0</v>
      </c>
      <c r="AB1756" s="7">
        <v>0</v>
      </c>
      <c r="AD1756" s="8">
        <v>0</v>
      </c>
      <c r="AG1756" t="s">
        <v>801</v>
      </c>
      <c r="AH1756" t="s">
        <v>802</v>
      </c>
      <c r="AI1756" t="s">
        <v>803</v>
      </c>
    </row>
    <row r="1757" spans="1:35" hidden="1">
      <c r="A1757" s="7">
        <v>1756</v>
      </c>
      <c r="B1757" t="s">
        <v>243</v>
      </c>
      <c r="C1757" t="s">
        <v>244</v>
      </c>
      <c r="D1757" s="7">
        <v>7134</v>
      </c>
      <c r="E1757" t="s">
        <v>245</v>
      </c>
      <c r="F1757" t="s">
        <v>246</v>
      </c>
      <c r="G1757" t="s">
        <v>3750</v>
      </c>
      <c r="H1757" t="s">
        <v>5030</v>
      </c>
      <c r="I1757" s="7">
        <v>1165</v>
      </c>
      <c r="J1757" s="7">
        <v>5304</v>
      </c>
      <c r="K1757" s="7">
        <v>2</v>
      </c>
      <c r="L1757" t="s">
        <v>247</v>
      </c>
      <c r="M1757" t="s">
        <v>361</v>
      </c>
      <c r="N1757" s="7">
        <v>10076</v>
      </c>
      <c r="O1757" t="s">
        <v>5031</v>
      </c>
      <c r="P1757" t="s">
        <v>5032</v>
      </c>
      <c r="S1757" t="s">
        <v>5021</v>
      </c>
      <c r="T1757" t="s">
        <v>5022</v>
      </c>
      <c r="U1757" t="s">
        <v>5023</v>
      </c>
      <c r="V1757" s="8">
        <v>0</v>
      </c>
      <c r="W1757" s="7">
        <v>0</v>
      </c>
      <c r="Y1757" s="8">
        <v>0</v>
      </c>
      <c r="Z1757" s="8">
        <v>0</v>
      </c>
      <c r="AA1757" s="8">
        <v>0</v>
      </c>
      <c r="AB1757" s="7">
        <v>0</v>
      </c>
      <c r="AD1757" s="8">
        <v>0</v>
      </c>
      <c r="AG1757" t="s">
        <v>823</v>
      </c>
      <c r="AH1757" t="s">
        <v>802</v>
      </c>
      <c r="AI1757" t="s">
        <v>803</v>
      </c>
    </row>
    <row r="1758" spans="1:35" hidden="1">
      <c r="A1758" s="7">
        <v>1757</v>
      </c>
      <c r="B1758" t="s">
        <v>243</v>
      </c>
      <c r="C1758" t="s">
        <v>244</v>
      </c>
      <c r="D1758" s="7">
        <v>7134</v>
      </c>
      <c r="E1758" t="s">
        <v>245</v>
      </c>
      <c r="F1758" t="s">
        <v>246</v>
      </c>
      <c r="G1758" t="s">
        <v>914</v>
      </c>
      <c r="H1758" t="s">
        <v>5033</v>
      </c>
      <c r="I1758" s="7">
        <v>1165</v>
      </c>
      <c r="J1758" s="7">
        <v>30064</v>
      </c>
      <c r="K1758" s="7">
        <v>6</v>
      </c>
      <c r="L1758" t="s">
        <v>247</v>
      </c>
      <c r="M1758" t="s">
        <v>261</v>
      </c>
      <c r="N1758" s="7">
        <v>791456</v>
      </c>
      <c r="O1758" t="s">
        <v>3396</v>
      </c>
      <c r="P1758" t="s">
        <v>3397</v>
      </c>
      <c r="S1758" t="s">
        <v>5021</v>
      </c>
      <c r="T1758" t="s">
        <v>5022</v>
      </c>
      <c r="U1758" t="s">
        <v>5023</v>
      </c>
      <c r="V1758" s="8">
        <v>0</v>
      </c>
      <c r="W1758" s="7">
        <v>0</v>
      </c>
      <c r="Y1758" s="8">
        <v>0</v>
      </c>
      <c r="Z1758" s="8">
        <v>0</v>
      </c>
      <c r="AA1758" s="8">
        <v>0</v>
      </c>
      <c r="AB1758" s="7">
        <v>0</v>
      </c>
      <c r="AD1758" s="8">
        <v>0</v>
      </c>
      <c r="AG1758" t="s">
        <v>801</v>
      </c>
      <c r="AH1758" t="s">
        <v>802</v>
      </c>
      <c r="AI1758" t="s">
        <v>803</v>
      </c>
    </row>
    <row r="1759" spans="1:35" hidden="1">
      <c r="A1759" s="7">
        <v>1758</v>
      </c>
      <c r="B1759" t="s">
        <v>243</v>
      </c>
      <c r="C1759" t="s">
        <v>244</v>
      </c>
      <c r="D1759" s="7">
        <v>7134</v>
      </c>
      <c r="E1759" t="s">
        <v>245</v>
      </c>
      <c r="F1759" t="s">
        <v>246</v>
      </c>
      <c r="G1759" t="s">
        <v>1075</v>
      </c>
      <c r="H1759" t="s">
        <v>5034</v>
      </c>
      <c r="I1759" s="7">
        <v>1</v>
      </c>
      <c r="J1759" s="7">
        <v>38541</v>
      </c>
      <c r="K1759" s="7">
        <v>9</v>
      </c>
      <c r="L1759" t="s">
        <v>247</v>
      </c>
      <c r="M1759" t="s">
        <v>261</v>
      </c>
      <c r="N1759" s="7">
        <v>743126</v>
      </c>
      <c r="O1759" t="s">
        <v>5035</v>
      </c>
      <c r="P1759" t="s">
        <v>5036</v>
      </c>
      <c r="Q1759" t="s">
        <v>1902</v>
      </c>
      <c r="R1759" t="s">
        <v>1903</v>
      </c>
      <c r="S1759" t="s">
        <v>5021</v>
      </c>
      <c r="T1759" t="s">
        <v>5022</v>
      </c>
      <c r="U1759" t="s">
        <v>5023</v>
      </c>
      <c r="V1759" s="8">
        <v>0</v>
      </c>
      <c r="W1759" s="7">
        <v>0</v>
      </c>
      <c r="Y1759" s="8">
        <v>0</v>
      </c>
      <c r="Z1759" s="8">
        <v>0</v>
      </c>
      <c r="AA1759" s="8">
        <v>0</v>
      </c>
      <c r="AB1759" s="7">
        <v>0</v>
      </c>
      <c r="AD1759" s="8">
        <v>0</v>
      </c>
      <c r="AG1759" t="s">
        <v>801</v>
      </c>
      <c r="AH1759" t="s">
        <v>802</v>
      </c>
      <c r="AI1759" t="s">
        <v>803</v>
      </c>
    </row>
    <row r="1760" spans="1:35" hidden="1">
      <c r="A1760" s="7">
        <v>1759</v>
      </c>
      <c r="B1760" t="s">
        <v>243</v>
      </c>
      <c r="C1760" t="s">
        <v>244</v>
      </c>
      <c r="D1760" s="7">
        <v>7134</v>
      </c>
      <c r="E1760" t="s">
        <v>245</v>
      </c>
      <c r="F1760" t="s">
        <v>246</v>
      </c>
      <c r="G1760" t="s">
        <v>263</v>
      </c>
      <c r="H1760" t="s">
        <v>5037</v>
      </c>
      <c r="I1760" s="7">
        <v>895</v>
      </c>
      <c r="J1760" s="7">
        <v>47721</v>
      </c>
      <c r="K1760" s="7">
        <v>3</v>
      </c>
      <c r="L1760" t="s">
        <v>247</v>
      </c>
      <c r="M1760" t="s">
        <v>261</v>
      </c>
      <c r="N1760" s="7">
        <v>798680</v>
      </c>
      <c r="O1760" t="s">
        <v>1856</v>
      </c>
      <c r="P1760" t="s">
        <v>1857</v>
      </c>
      <c r="S1760" t="s">
        <v>5021</v>
      </c>
      <c r="T1760" t="s">
        <v>5022</v>
      </c>
      <c r="U1760" t="s">
        <v>5023</v>
      </c>
      <c r="V1760" s="8">
        <v>1250</v>
      </c>
      <c r="W1760" s="7">
        <v>0</v>
      </c>
      <c r="Y1760" s="8">
        <v>1250</v>
      </c>
      <c r="Z1760" s="8">
        <v>1475</v>
      </c>
      <c r="AA1760" s="8">
        <v>225</v>
      </c>
      <c r="AB1760" s="7">
        <v>0</v>
      </c>
      <c r="AD1760" s="8">
        <v>0</v>
      </c>
      <c r="AG1760" t="s">
        <v>817</v>
      </c>
      <c r="AH1760" t="s">
        <v>802</v>
      </c>
      <c r="AI1760" t="s">
        <v>818</v>
      </c>
    </row>
    <row r="1761" spans="1:35" hidden="1">
      <c r="A1761" s="7">
        <v>1760</v>
      </c>
      <c r="B1761" t="s">
        <v>243</v>
      </c>
      <c r="C1761" t="s">
        <v>244</v>
      </c>
      <c r="D1761" s="7">
        <v>7134</v>
      </c>
      <c r="E1761" t="s">
        <v>245</v>
      </c>
      <c r="F1761" t="s">
        <v>246</v>
      </c>
      <c r="G1761" t="s">
        <v>861</v>
      </c>
      <c r="H1761" t="s">
        <v>5038</v>
      </c>
      <c r="I1761" s="7">
        <v>951</v>
      </c>
      <c r="J1761" s="7">
        <v>69350</v>
      </c>
      <c r="K1761" s="7">
        <v>7</v>
      </c>
      <c r="L1761" t="s">
        <v>247</v>
      </c>
      <c r="M1761" t="s">
        <v>361</v>
      </c>
      <c r="N1761" s="7">
        <v>4698</v>
      </c>
      <c r="O1761" t="s">
        <v>1300</v>
      </c>
      <c r="P1761" t="s">
        <v>1301</v>
      </c>
      <c r="S1761" t="s">
        <v>5021</v>
      </c>
      <c r="T1761" t="s">
        <v>5022</v>
      </c>
      <c r="U1761" t="s">
        <v>5023</v>
      </c>
      <c r="V1761" s="8">
        <v>1650</v>
      </c>
      <c r="W1761" s="7">
        <v>0</v>
      </c>
      <c r="Y1761" s="8">
        <v>1650</v>
      </c>
      <c r="Z1761" s="8">
        <v>1947</v>
      </c>
      <c r="AA1761" s="8">
        <v>297</v>
      </c>
      <c r="AB1761" s="7">
        <v>0</v>
      </c>
      <c r="AD1761" s="8">
        <v>0</v>
      </c>
      <c r="AG1761" t="s">
        <v>823</v>
      </c>
      <c r="AH1761" t="s">
        <v>802</v>
      </c>
      <c r="AI1761" t="s">
        <v>818</v>
      </c>
    </row>
    <row r="1762" spans="1:35" hidden="1">
      <c r="A1762" s="7">
        <v>1761</v>
      </c>
      <c r="B1762" t="s">
        <v>243</v>
      </c>
      <c r="C1762" t="s">
        <v>244</v>
      </c>
      <c r="D1762" s="7">
        <v>7134</v>
      </c>
      <c r="E1762" t="s">
        <v>245</v>
      </c>
      <c r="F1762" t="s">
        <v>246</v>
      </c>
      <c r="G1762" t="s">
        <v>263</v>
      </c>
      <c r="H1762" t="s">
        <v>5030</v>
      </c>
      <c r="I1762" s="7">
        <v>871</v>
      </c>
      <c r="J1762" s="7">
        <v>70000</v>
      </c>
      <c r="K1762" s="7">
        <v>4</v>
      </c>
      <c r="L1762" t="s">
        <v>247</v>
      </c>
      <c r="M1762" t="s">
        <v>261</v>
      </c>
      <c r="N1762" s="7">
        <v>796129</v>
      </c>
      <c r="O1762" t="s">
        <v>5039</v>
      </c>
      <c r="P1762" t="s">
        <v>5040</v>
      </c>
      <c r="S1762" t="s">
        <v>5021</v>
      </c>
      <c r="T1762" t="s">
        <v>5022</v>
      </c>
      <c r="U1762" t="s">
        <v>5023</v>
      </c>
      <c r="V1762" s="8">
        <v>1250</v>
      </c>
      <c r="W1762" s="7">
        <v>0</v>
      </c>
      <c r="Y1762" s="8">
        <v>1250</v>
      </c>
      <c r="Z1762" s="8">
        <v>1475</v>
      </c>
      <c r="AA1762" s="8">
        <v>225</v>
      </c>
      <c r="AB1762" s="7">
        <v>0</v>
      </c>
      <c r="AD1762" s="8">
        <v>0</v>
      </c>
      <c r="AG1762" t="s">
        <v>817</v>
      </c>
      <c r="AH1762" t="s">
        <v>802</v>
      </c>
      <c r="AI1762" t="s">
        <v>818</v>
      </c>
    </row>
    <row r="1763" spans="1:35" hidden="1">
      <c r="A1763" s="7">
        <v>1762</v>
      </c>
      <c r="B1763" t="s">
        <v>243</v>
      </c>
      <c r="C1763" t="s">
        <v>244</v>
      </c>
      <c r="D1763" s="7">
        <v>7134</v>
      </c>
      <c r="E1763" t="s">
        <v>245</v>
      </c>
      <c r="F1763" t="s">
        <v>246</v>
      </c>
      <c r="G1763" t="s">
        <v>4942</v>
      </c>
      <c r="H1763" t="s">
        <v>4859</v>
      </c>
      <c r="I1763" s="7">
        <v>1</v>
      </c>
      <c r="J1763" s="7">
        <v>1165</v>
      </c>
      <c r="K1763" s="7">
        <v>1</v>
      </c>
      <c r="L1763" t="s">
        <v>247</v>
      </c>
      <c r="M1763" t="s">
        <v>361</v>
      </c>
      <c r="N1763" s="7">
        <v>11231</v>
      </c>
      <c r="O1763" t="s">
        <v>5041</v>
      </c>
      <c r="P1763" t="s">
        <v>5042</v>
      </c>
      <c r="Q1763" t="s">
        <v>283</v>
      </c>
      <c r="R1763" t="s">
        <v>1062</v>
      </c>
      <c r="S1763" t="s">
        <v>5021</v>
      </c>
      <c r="T1763" t="s">
        <v>5022</v>
      </c>
      <c r="U1763" t="s">
        <v>5023</v>
      </c>
      <c r="V1763" s="8">
        <v>1650</v>
      </c>
      <c r="W1763" s="7">
        <v>0</v>
      </c>
      <c r="Y1763" s="8">
        <v>0</v>
      </c>
      <c r="Z1763" s="8">
        <v>1947</v>
      </c>
      <c r="AA1763" s="8">
        <v>297</v>
      </c>
      <c r="AB1763" s="7">
        <v>0</v>
      </c>
      <c r="AD1763" s="8">
        <v>1650</v>
      </c>
      <c r="AG1763" t="s">
        <v>823</v>
      </c>
      <c r="AH1763" t="s">
        <v>802</v>
      </c>
      <c r="AI1763" t="s">
        <v>818</v>
      </c>
    </row>
    <row r="1764" spans="1:35" hidden="1">
      <c r="A1764" s="7">
        <v>1763</v>
      </c>
      <c r="B1764" t="s">
        <v>243</v>
      </c>
      <c r="C1764" t="s">
        <v>244</v>
      </c>
      <c r="D1764" s="7">
        <v>7134</v>
      </c>
      <c r="E1764" t="s">
        <v>245</v>
      </c>
      <c r="F1764" t="s">
        <v>246</v>
      </c>
      <c r="G1764" t="s">
        <v>3750</v>
      </c>
      <c r="H1764" t="s">
        <v>5043</v>
      </c>
      <c r="I1764" s="7">
        <v>1165</v>
      </c>
      <c r="J1764" s="7">
        <v>9398</v>
      </c>
      <c r="K1764" s="7">
        <v>2</v>
      </c>
      <c r="L1764" t="s">
        <v>247</v>
      </c>
      <c r="M1764" t="s">
        <v>261</v>
      </c>
      <c r="N1764" s="7">
        <v>812646</v>
      </c>
      <c r="O1764" t="s">
        <v>4393</v>
      </c>
      <c r="P1764" t="s">
        <v>4394</v>
      </c>
      <c r="Q1764" t="s">
        <v>5044</v>
      </c>
      <c r="R1764" t="s">
        <v>5045</v>
      </c>
      <c r="S1764" t="s">
        <v>5021</v>
      </c>
      <c r="T1764" t="s">
        <v>5022</v>
      </c>
      <c r="U1764" t="s">
        <v>5023</v>
      </c>
      <c r="V1764" s="8">
        <v>0</v>
      </c>
      <c r="W1764" s="7">
        <v>0</v>
      </c>
      <c r="Y1764" s="8">
        <v>0</v>
      </c>
      <c r="Z1764" s="8">
        <v>0</v>
      </c>
      <c r="AA1764" s="8">
        <v>0</v>
      </c>
      <c r="AB1764" s="7">
        <v>0</v>
      </c>
      <c r="AD1764" s="8">
        <v>0</v>
      </c>
      <c r="AG1764" t="s">
        <v>801</v>
      </c>
      <c r="AH1764" t="s">
        <v>802</v>
      </c>
      <c r="AI1764" t="s">
        <v>803</v>
      </c>
    </row>
    <row r="1765" spans="1:35" hidden="1">
      <c r="A1765" s="7">
        <v>1764</v>
      </c>
      <c r="B1765" t="s">
        <v>243</v>
      </c>
      <c r="C1765" t="s">
        <v>244</v>
      </c>
      <c r="D1765" s="7">
        <v>7134</v>
      </c>
      <c r="E1765" t="s">
        <v>245</v>
      </c>
      <c r="F1765" t="s">
        <v>246</v>
      </c>
      <c r="G1765" t="s">
        <v>1194</v>
      </c>
      <c r="H1765" t="s">
        <v>5046</v>
      </c>
      <c r="I1765" s="7">
        <v>1165</v>
      </c>
      <c r="J1765" s="7">
        <v>129000</v>
      </c>
      <c r="K1765" s="7">
        <v>13</v>
      </c>
      <c r="L1765" t="s">
        <v>247</v>
      </c>
      <c r="M1765" t="s">
        <v>261</v>
      </c>
      <c r="N1765" s="7">
        <v>773372</v>
      </c>
      <c r="O1765" t="s">
        <v>1195</v>
      </c>
      <c r="P1765" t="s">
        <v>1196</v>
      </c>
      <c r="S1765" t="s">
        <v>5021</v>
      </c>
      <c r="T1765" t="s">
        <v>5022</v>
      </c>
      <c r="U1765" t="s">
        <v>5023</v>
      </c>
      <c r="V1765" s="8">
        <v>0</v>
      </c>
      <c r="W1765" s="7">
        <v>0</v>
      </c>
      <c r="Y1765" s="8">
        <v>0</v>
      </c>
      <c r="Z1765" s="8">
        <v>0</v>
      </c>
      <c r="AA1765" s="8">
        <v>0</v>
      </c>
      <c r="AB1765" s="7">
        <v>0</v>
      </c>
      <c r="AD1765" s="8">
        <v>0</v>
      </c>
      <c r="AG1765" t="s">
        <v>801</v>
      </c>
      <c r="AH1765" t="s">
        <v>802</v>
      </c>
      <c r="AI1765" t="s">
        <v>803</v>
      </c>
    </row>
    <row r="1766" spans="1:35" hidden="1">
      <c r="A1766" s="7">
        <v>1765</v>
      </c>
      <c r="B1766" t="s">
        <v>243</v>
      </c>
      <c r="C1766" t="s">
        <v>244</v>
      </c>
      <c r="D1766" s="7">
        <v>7134</v>
      </c>
      <c r="E1766" t="s">
        <v>245</v>
      </c>
      <c r="F1766" t="s">
        <v>246</v>
      </c>
      <c r="G1766" t="s">
        <v>3108</v>
      </c>
      <c r="H1766" t="s">
        <v>5047</v>
      </c>
      <c r="I1766" s="7">
        <v>1165</v>
      </c>
      <c r="J1766" s="7">
        <v>34877</v>
      </c>
      <c r="K1766" s="7">
        <v>4</v>
      </c>
      <c r="L1766" t="s">
        <v>247</v>
      </c>
      <c r="M1766" t="s">
        <v>361</v>
      </c>
      <c r="N1766" s="7">
        <v>7892</v>
      </c>
      <c r="O1766" t="s">
        <v>3260</v>
      </c>
      <c r="P1766" t="s">
        <v>3261</v>
      </c>
      <c r="S1766" t="s">
        <v>5021</v>
      </c>
      <c r="T1766" t="s">
        <v>5022</v>
      </c>
      <c r="U1766" t="s">
        <v>5023</v>
      </c>
      <c r="V1766" s="8">
        <v>0</v>
      </c>
      <c r="W1766" s="7">
        <v>0</v>
      </c>
      <c r="Y1766" s="8">
        <v>0</v>
      </c>
      <c r="Z1766" s="8">
        <v>0</v>
      </c>
      <c r="AA1766" s="8">
        <v>0</v>
      </c>
      <c r="AB1766" s="7">
        <v>0</v>
      </c>
      <c r="AD1766" s="8">
        <v>0</v>
      </c>
      <c r="AG1766" t="s">
        <v>823</v>
      </c>
      <c r="AH1766" t="s">
        <v>802</v>
      </c>
      <c r="AI1766" t="s">
        <v>803</v>
      </c>
    </row>
    <row r="1767" spans="1:35" hidden="1">
      <c r="A1767" s="7">
        <v>1766</v>
      </c>
      <c r="B1767" t="s">
        <v>243</v>
      </c>
      <c r="C1767" t="s">
        <v>244</v>
      </c>
      <c r="D1767" s="7">
        <v>7134</v>
      </c>
      <c r="E1767" t="s">
        <v>245</v>
      </c>
      <c r="F1767" t="s">
        <v>246</v>
      </c>
      <c r="G1767" t="s">
        <v>584</v>
      </c>
      <c r="H1767" t="s">
        <v>5037</v>
      </c>
      <c r="I1767" s="7">
        <v>1165</v>
      </c>
      <c r="J1767" s="7">
        <v>25500</v>
      </c>
      <c r="K1767" s="7">
        <v>4</v>
      </c>
      <c r="L1767" t="s">
        <v>247</v>
      </c>
      <c r="M1767" t="s">
        <v>261</v>
      </c>
      <c r="N1767" s="7">
        <v>802873</v>
      </c>
      <c r="O1767" t="s">
        <v>642</v>
      </c>
      <c r="P1767" t="s">
        <v>643</v>
      </c>
      <c r="S1767" t="s">
        <v>5021</v>
      </c>
      <c r="T1767" t="s">
        <v>5022</v>
      </c>
      <c r="U1767" t="s">
        <v>5023</v>
      </c>
      <c r="V1767" s="8">
        <v>0</v>
      </c>
      <c r="W1767" s="7">
        <v>0</v>
      </c>
      <c r="Y1767" s="8">
        <v>0</v>
      </c>
      <c r="Z1767" s="8">
        <v>0</v>
      </c>
      <c r="AA1767" s="8">
        <v>0</v>
      </c>
      <c r="AB1767" s="7">
        <v>0</v>
      </c>
      <c r="AD1767" s="8">
        <v>0</v>
      </c>
      <c r="AG1767" t="s">
        <v>801</v>
      </c>
      <c r="AH1767" t="s">
        <v>802</v>
      </c>
      <c r="AI1767" t="s">
        <v>803</v>
      </c>
    </row>
    <row r="1768" spans="1:35" hidden="1">
      <c r="A1768" s="7">
        <v>1767</v>
      </c>
      <c r="B1768" t="s">
        <v>243</v>
      </c>
      <c r="C1768" t="s">
        <v>244</v>
      </c>
      <c r="D1768" s="7">
        <v>7134</v>
      </c>
      <c r="E1768" t="s">
        <v>245</v>
      </c>
      <c r="F1768" t="s">
        <v>246</v>
      </c>
      <c r="G1768" t="s">
        <v>248</v>
      </c>
      <c r="H1768" t="s">
        <v>5048</v>
      </c>
      <c r="I1768" s="7">
        <v>863</v>
      </c>
      <c r="J1768" s="7">
        <v>70000</v>
      </c>
      <c r="K1768" s="7">
        <v>4</v>
      </c>
      <c r="L1768" t="s">
        <v>247</v>
      </c>
      <c r="M1768" t="s">
        <v>261</v>
      </c>
      <c r="N1768" s="7">
        <v>797289</v>
      </c>
      <c r="O1768" t="s">
        <v>5049</v>
      </c>
      <c r="P1768" t="s">
        <v>5050</v>
      </c>
      <c r="S1768" t="s">
        <v>5021</v>
      </c>
      <c r="T1768" t="s">
        <v>5022</v>
      </c>
      <c r="U1768" t="s">
        <v>5023</v>
      </c>
      <c r="V1768" s="8">
        <v>1250</v>
      </c>
      <c r="W1768" s="7">
        <v>0</v>
      </c>
      <c r="Y1768" s="8">
        <v>1250</v>
      </c>
      <c r="Z1768" s="8">
        <v>1475</v>
      </c>
      <c r="AA1768" s="8">
        <v>225</v>
      </c>
      <c r="AB1768" s="7">
        <v>0</v>
      </c>
      <c r="AD1768" s="8">
        <v>0</v>
      </c>
      <c r="AG1768" t="s">
        <v>817</v>
      </c>
      <c r="AH1768" t="s">
        <v>802</v>
      </c>
      <c r="AI1768" t="s">
        <v>818</v>
      </c>
    </row>
    <row r="1769" spans="1:35" hidden="1">
      <c r="A1769" s="7">
        <v>1768</v>
      </c>
      <c r="B1769" t="s">
        <v>243</v>
      </c>
      <c r="C1769" t="s">
        <v>244</v>
      </c>
      <c r="D1769" s="7">
        <v>7134</v>
      </c>
      <c r="E1769" t="s">
        <v>245</v>
      </c>
      <c r="F1769" t="s">
        <v>246</v>
      </c>
      <c r="G1769" t="s">
        <v>263</v>
      </c>
      <c r="H1769" t="s">
        <v>5030</v>
      </c>
      <c r="I1769" s="7">
        <v>872</v>
      </c>
      <c r="J1769" s="7">
        <v>70000</v>
      </c>
      <c r="K1769" s="7">
        <v>4</v>
      </c>
      <c r="L1769" t="s">
        <v>247</v>
      </c>
      <c r="M1769" t="s">
        <v>261</v>
      </c>
      <c r="N1769" s="7">
        <v>796573</v>
      </c>
      <c r="O1769" t="s">
        <v>2041</v>
      </c>
      <c r="P1769" t="s">
        <v>2042</v>
      </c>
      <c r="S1769" t="s">
        <v>5021</v>
      </c>
      <c r="T1769" t="s">
        <v>5022</v>
      </c>
      <c r="U1769" t="s">
        <v>5023</v>
      </c>
      <c r="V1769" s="8">
        <v>1250</v>
      </c>
      <c r="W1769" s="7">
        <v>0</v>
      </c>
      <c r="Y1769" s="8">
        <v>1250</v>
      </c>
      <c r="Z1769" s="8">
        <v>1475</v>
      </c>
      <c r="AA1769" s="8">
        <v>225</v>
      </c>
      <c r="AB1769" s="7">
        <v>0</v>
      </c>
      <c r="AD1769" s="8">
        <v>0</v>
      </c>
      <c r="AG1769" t="s">
        <v>817</v>
      </c>
      <c r="AH1769" t="s">
        <v>802</v>
      </c>
      <c r="AI1769" t="s">
        <v>818</v>
      </c>
    </row>
    <row r="1770" spans="1:35" hidden="1">
      <c r="A1770" s="7">
        <v>1769</v>
      </c>
      <c r="B1770" t="s">
        <v>243</v>
      </c>
      <c r="C1770" t="s">
        <v>244</v>
      </c>
      <c r="D1770" s="7">
        <v>7134</v>
      </c>
      <c r="E1770" t="s">
        <v>245</v>
      </c>
      <c r="F1770" t="s">
        <v>246</v>
      </c>
      <c r="G1770" t="s">
        <v>1382</v>
      </c>
      <c r="H1770" t="s">
        <v>5029</v>
      </c>
      <c r="I1770" s="7">
        <v>1165</v>
      </c>
      <c r="J1770" s="7">
        <v>59067</v>
      </c>
      <c r="K1770" s="7">
        <v>6</v>
      </c>
      <c r="L1770" t="s">
        <v>247</v>
      </c>
      <c r="M1770" t="s">
        <v>361</v>
      </c>
      <c r="N1770" s="7">
        <v>4952</v>
      </c>
      <c r="O1770" t="s">
        <v>1383</v>
      </c>
      <c r="P1770" t="s">
        <v>1384</v>
      </c>
      <c r="S1770" t="s">
        <v>5021</v>
      </c>
      <c r="T1770" t="s">
        <v>5022</v>
      </c>
      <c r="U1770" t="s">
        <v>5023</v>
      </c>
      <c r="V1770" s="8">
        <v>0</v>
      </c>
      <c r="W1770" s="7">
        <v>0</v>
      </c>
      <c r="Y1770" s="8">
        <v>0</v>
      </c>
      <c r="Z1770" s="8">
        <v>0</v>
      </c>
      <c r="AA1770" s="8">
        <v>0</v>
      </c>
      <c r="AB1770" s="7">
        <v>0</v>
      </c>
      <c r="AD1770" s="8">
        <v>0</v>
      </c>
      <c r="AG1770" t="s">
        <v>823</v>
      </c>
      <c r="AH1770" t="s">
        <v>802</v>
      </c>
      <c r="AI1770" t="s">
        <v>803</v>
      </c>
    </row>
    <row r="1771" spans="1:35" hidden="1">
      <c r="A1771" s="7">
        <v>1770</v>
      </c>
      <c r="B1771" t="s">
        <v>243</v>
      </c>
      <c r="C1771" t="s">
        <v>244</v>
      </c>
      <c r="D1771" s="7">
        <v>7134</v>
      </c>
      <c r="E1771" t="s">
        <v>245</v>
      </c>
      <c r="F1771" t="s">
        <v>246</v>
      </c>
      <c r="G1771" t="s">
        <v>3111</v>
      </c>
      <c r="H1771" t="s">
        <v>5022</v>
      </c>
      <c r="I1771" s="7">
        <v>1165</v>
      </c>
      <c r="J1771" s="7">
        <v>10790</v>
      </c>
      <c r="K1771" s="7">
        <v>2</v>
      </c>
      <c r="L1771" t="s">
        <v>247</v>
      </c>
      <c r="M1771" t="s">
        <v>261</v>
      </c>
      <c r="N1771" s="7">
        <v>805199</v>
      </c>
      <c r="O1771" t="s">
        <v>3170</v>
      </c>
      <c r="P1771" t="s">
        <v>3171</v>
      </c>
      <c r="S1771" t="s">
        <v>5021</v>
      </c>
      <c r="T1771" t="s">
        <v>5022</v>
      </c>
      <c r="U1771" t="s">
        <v>5023</v>
      </c>
      <c r="V1771" s="8">
        <v>1250</v>
      </c>
      <c r="W1771" s="7">
        <v>0</v>
      </c>
      <c r="Y1771" s="8">
        <v>1250</v>
      </c>
      <c r="Z1771" s="8">
        <v>1475</v>
      </c>
      <c r="AA1771" s="8">
        <v>225</v>
      </c>
      <c r="AB1771" s="7">
        <v>0</v>
      </c>
      <c r="AD1771" s="8">
        <v>0</v>
      </c>
      <c r="AG1771" t="s">
        <v>817</v>
      </c>
      <c r="AH1771" t="s">
        <v>802</v>
      </c>
      <c r="AI1771" t="s">
        <v>818</v>
      </c>
    </row>
    <row r="1772" spans="1:35" hidden="1">
      <c r="A1772" s="7">
        <v>1771</v>
      </c>
      <c r="B1772" t="s">
        <v>243</v>
      </c>
      <c r="C1772" t="s">
        <v>244</v>
      </c>
      <c r="D1772" s="7">
        <v>7134</v>
      </c>
      <c r="E1772" t="s">
        <v>245</v>
      </c>
      <c r="F1772" t="s">
        <v>246</v>
      </c>
      <c r="G1772" t="s">
        <v>333</v>
      </c>
      <c r="H1772" t="s">
        <v>5037</v>
      </c>
      <c r="I1772" s="7">
        <v>1165</v>
      </c>
      <c r="J1772" s="7">
        <v>14127</v>
      </c>
      <c r="K1772" s="7">
        <v>5</v>
      </c>
      <c r="L1772" t="s">
        <v>247</v>
      </c>
      <c r="M1772" t="s">
        <v>252</v>
      </c>
      <c r="N1772" s="7">
        <v>328028</v>
      </c>
      <c r="O1772" t="s">
        <v>335</v>
      </c>
      <c r="P1772" t="s">
        <v>336</v>
      </c>
      <c r="S1772" t="s">
        <v>5021</v>
      </c>
      <c r="T1772" t="s">
        <v>5022</v>
      </c>
      <c r="U1772" t="s">
        <v>5023</v>
      </c>
      <c r="V1772" s="8">
        <v>1250</v>
      </c>
      <c r="W1772" s="7">
        <v>0</v>
      </c>
      <c r="Y1772" s="8">
        <v>1250</v>
      </c>
      <c r="Z1772" s="8">
        <v>1475</v>
      </c>
      <c r="AA1772" s="8">
        <v>225</v>
      </c>
      <c r="AB1772" s="7">
        <v>0</v>
      </c>
      <c r="AD1772" s="8">
        <v>0</v>
      </c>
      <c r="AG1772" t="s">
        <v>937</v>
      </c>
      <c r="AH1772" t="s">
        <v>802</v>
      </c>
      <c r="AI1772" t="s">
        <v>818</v>
      </c>
    </row>
    <row r="1773" spans="1:35" hidden="1">
      <c r="A1773" s="7">
        <v>1772</v>
      </c>
      <c r="B1773" t="s">
        <v>243</v>
      </c>
      <c r="C1773" t="s">
        <v>244</v>
      </c>
      <c r="D1773" s="7">
        <v>7134</v>
      </c>
      <c r="E1773" t="s">
        <v>245</v>
      </c>
      <c r="F1773" t="s">
        <v>246</v>
      </c>
      <c r="G1773" t="s">
        <v>278</v>
      </c>
      <c r="H1773" t="s">
        <v>5051</v>
      </c>
      <c r="I1773" s="7">
        <v>840</v>
      </c>
      <c r="J1773" s="7">
        <v>69015</v>
      </c>
      <c r="K1773" s="7">
        <v>4</v>
      </c>
      <c r="L1773" t="s">
        <v>247</v>
      </c>
      <c r="M1773" t="s">
        <v>261</v>
      </c>
      <c r="N1773" s="7">
        <v>795039</v>
      </c>
      <c r="O1773" t="s">
        <v>1937</v>
      </c>
      <c r="P1773" t="s">
        <v>1938</v>
      </c>
      <c r="S1773" t="s">
        <v>5021</v>
      </c>
      <c r="T1773" t="s">
        <v>5022</v>
      </c>
      <c r="U1773" t="s">
        <v>5023</v>
      </c>
      <c r="V1773" s="8">
        <v>1250</v>
      </c>
      <c r="W1773" s="7">
        <v>0</v>
      </c>
      <c r="Y1773" s="8">
        <v>1250</v>
      </c>
      <c r="Z1773" s="8">
        <v>1475</v>
      </c>
      <c r="AA1773" s="8">
        <v>225</v>
      </c>
      <c r="AB1773" s="7">
        <v>0</v>
      </c>
      <c r="AD1773" s="8">
        <v>0</v>
      </c>
      <c r="AG1773" t="s">
        <v>817</v>
      </c>
      <c r="AH1773" t="s">
        <v>802</v>
      </c>
      <c r="AI1773" t="s">
        <v>818</v>
      </c>
    </row>
    <row r="1774" spans="1:35" hidden="1">
      <c r="A1774" s="7">
        <v>1773</v>
      </c>
      <c r="B1774" t="s">
        <v>243</v>
      </c>
      <c r="C1774" t="s">
        <v>244</v>
      </c>
      <c r="D1774" s="7">
        <v>7134</v>
      </c>
      <c r="E1774" t="s">
        <v>245</v>
      </c>
      <c r="F1774" t="s">
        <v>246</v>
      </c>
      <c r="G1774" t="s">
        <v>584</v>
      </c>
      <c r="H1774" t="s">
        <v>5047</v>
      </c>
      <c r="I1774" s="7">
        <v>1165</v>
      </c>
      <c r="J1774" s="7">
        <v>49606</v>
      </c>
      <c r="K1774" s="7">
        <v>5</v>
      </c>
      <c r="L1774" t="s">
        <v>247</v>
      </c>
      <c r="M1774" t="s">
        <v>261</v>
      </c>
      <c r="N1774" s="7">
        <v>802127</v>
      </c>
      <c r="O1774" t="s">
        <v>586</v>
      </c>
      <c r="P1774" t="s">
        <v>587</v>
      </c>
      <c r="S1774" t="s">
        <v>5021</v>
      </c>
      <c r="T1774" t="s">
        <v>5022</v>
      </c>
      <c r="U1774" t="s">
        <v>5023</v>
      </c>
      <c r="V1774" s="8">
        <v>1250</v>
      </c>
      <c r="W1774" s="7">
        <v>0</v>
      </c>
      <c r="Y1774" s="8">
        <v>1250</v>
      </c>
      <c r="Z1774" s="8">
        <v>1475</v>
      </c>
      <c r="AA1774" s="8">
        <v>225</v>
      </c>
      <c r="AB1774" s="7">
        <v>0</v>
      </c>
      <c r="AD1774" s="8">
        <v>0</v>
      </c>
      <c r="AG1774" t="s">
        <v>801</v>
      </c>
      <c r="AH1774" t="s">
        <v>802</v>
      </c>
      <c r="AI1774" t="s">
        <v>818</v>
      </c>
    </row>
    <row r="1775" spans="1:35" hidden="1">
      <c r="A1775" s="7">
        <v>1774</v>
      </c>
      <c r="B1775" t="s">
        <v>243</v>
      </c>
      <c r="C1775" t="s">
        <v>244</v>
      </c>
      <c r="D1775" s="7">
        <v>7134</v>
      </c>
      <c r="E1775" t="s">
        <v>245</v>
      </c>
      <c r="F1775" t="s">
        <v>246</v>
      </c>
      <c r="G1775" t="s">
        <v>4441</v>
      </c>
      <c r="H1775" t="s">
        <v>5034</v>
      </c>
      <c r="I1775" s="7">
        <v>1165</v>
      </c>
      <c r="J1775" s="7">
        <v>19369</v>
      </c>
      <c r="K1775" s="7">
        <v>2</v>
      </c>
      <c r="L1775" t="s">
        <v>247</v>
      </c>
      <c r="M1775" t="s">
        <v>361</v>
      </c>
      <c r="N1775" s="7">
        <v>11288</v>
      </c>
      <c r="O1775" t="s">
        <v>5052</v>
      </c>
      <c r="P1775" t="s">
        <v>5053</v>
      </c>
      <c r="S1775" t="s">
        <v>5021</v>
      </c>
      <c r="T1775" t="s">
        <v>5022</v>
      </c>
      <c r="U1775" t="s">
        <v>5023</v>
      </c>
      <c r="V1775" s="8">
        <v>0</v>
      </c>
      <c r="W1775" s="7">
        <v>0</v>
      </c>
      <c r="Y1775" s="8">
        <v>0</v>
      </c>
      <c r="Z1775" s="8">
        <v>0</v>
      </c>
      <c r="AA1775" s="8">
        <v>0</v>
      </c>
      <c r="AB1775" s="7">
        <v>0</v>
      </c>
      <c r="AD1775" s="8">
        <v>0</v>
      </c>
      <c r="AG1775" t="s">
        <v>823</v>
      </c>
      <c r="AH1775" t="s">
        <v>802</v>
      </c>
      <c r="AI1775" t="s">
        <v>803</v>
      </c>
    </row>
    <row r="1776" spans="1:35" hidden="1">
      <c r="A1776" s="7">
        <v>1775</v>
      </c>
      <c r="B1776" t="s">
        <v>243</v>
      </c>
      <c r="C1776" t="s">
        <v>244</v>
      </c>
      <c r="D1776" s="7">
        <v>7134</v>
      </c>
      <c r="E1776" t="s">
        <v>245</v>
      </c>
      <c r="F1776" t="s">
        <v>246</v>
      </c>
      <c r="G1776" t="s">
        <v>363</v>
      </c>
      <c r="H1776" t="s">
        <v>5054</v>
      </c>
      <c r="I1776" s="7">
        <v>873</v>
      </c>
      <c r="J1776" s="7">
        <v>51000</v>
      </c>
      <c r="K1776" s="7">
        <v>3</v>
      </c>
      <c r="L1776" t="s">
        <v>247</v>
      </c>
      <c r="M1776" t="s">
        <v>261</v>
      </c>
      <c r="N1776" s="7">
        <v>798608</v>
      </c>
      <c r="O1776" t="s">
        <v>1953</v>
      </c>
      <c r="P1776" t="s">
        <v>1954</v>
      </c>
      <c r="Q1776" t="s">
        <v>908</v>
      </c>
      <c r="R1776" t="s">
        <v>909</v>
      </c>
      <c r="S1776" t="s">
        <v>5021</v>
      </c>
      <c r="T1776" t="s">
        <v>5022</v>
      </c>
      <c r="U1776" t="s">
        <v>5023</v>
      </c>
      <c r="V1776" s="8">
        <v>1250</v>
      </c>
      <c r="W1776" s="7">
        <v>0</v>
      </c>
      <c r="Y1776" s="8">
        <v>1000</v>
      </c>
      <c r="Z1776" s="8">
        <v>1475</v>
      </c>
      <c r="AA1776" s="8">
        <v>225</v>
      </c>
      <c r="AB1776" s="7">
        <v>0</v>
      </c>
      <c r="AD1776" s="8">
        <v>250</v>
      </c>
      <c r="AG1776" t="s">
        <v>817</v>
      </c>
      <c r="AH1776" t="s">
        <v>802</v>
      </c>
      <c r="AI1776" t="s">
        <v>818</v>
      </c>
    </row>
    <row r="1777" spans="1:35" hidden="1">
      <c r="A1777" s="7">
        <v>1776</v>
      </c>
      <c r="B1777" t="s">
        <v>243</v>
      </c>
      <c r="C1777" t="s">
        <v>244</v>
      </c>
      <c r="D1777" s="7">
        <v>7134</v>
      </c>
      <c r="E1777" t="s">
        <v>245</v>
      </c>
      <c r="F1777" t="s">
        <v>246</v>
      </c>
      <c r="G1777" t="s">
        <v>263</v>
      </c>
      <c r="H1777" t="s">
        <v>5022</v>
      </c>
      <c r="I1777" s="7">
        <v>875</v>
      </c>
      <c r="J1777" s="7">
        <v>69800</v>
      </c>
      <c r="K1777" s="7">
        <v>4</v>
      </c>
      <c r="L1777" t="s">
        <v>247</v>
      </c>
      <c r="M1777" t="s">
        <v>261</v>
      </c>
      <c r="N1777" s="7">
        <v>796143</v>
      </c>
      <c r="O1777" t="s">
        <v>2003</v>
      </c>
      <c r="P1777" t="s">
        <v>2004</v>
      </c>
      <c r="Q1777" t="s">
        <v>283</v>
      </c>
      <c r="R1777" t="s">
        <v>1062</v>
      </c>
      <c r="S1777" t="s">
        <v>5021</v>
      </c>
      <c r="T1777" t="s">
        <v>5022</v>
      </c>
      <c r="U1777" t="s">
        <v>5023</v>
      </c>
      <c r="V1777" s="8">
        <v>1250</v>
      </c>
      <c r="W1777" s="7">
        <v>0</v>
      </c>
      <c r="Y1777" s="8">
        <v>0</v>
      </c>
      <c r="Z1777" s="8">
        <v>1475</v>
      </c>
      <c r="AA1777" s="8">
        <v>225</v>
      </c>
      <c r="AB1777" s="7">
        <v>0</v>
      </c>
      <c r="AD1777" s="8">
        <v>1250</v>
      </c>
      <c r="AG1777" t="s">
        <v>817</v>
      </c>
      <c r="AH1777" t="s">
        <v>802</v>
      </c>
      <c r="AI1777" t="s">
        <v>818</v>
      </c>
    </row>
    <row r="1778" spans="1:35" hidden="1">
      <c r="A1778" s="7">
        <v>1777</v>
      </c>
      <c r="B1778" t="s">
        <v>243</v>
      </c>
      <c r="C1778" t="s">
        <v>244</v>
      </c>
      <c r="D1778" s="7">
        <v>7134</v>
      </c>
      <c r="E1778" t="s">
        <v>245</v>
      </c>
      <c r="F1778" t="s">
        <v>246</v>
      </c>
      <c r="G1778" t="s">
        <v>3386</v>
      </c>
      <c r="H1778" t="s">
        <v>5037</v>
      </c>
      <c r="I1778" s="7">
        <v>1165</v>
      </c>
      <c r="J1778" s="7">
        <v>20000</v>
      </c>
      <c r="K1778" s="7">
        <v>2</v>
      </c>
      <c r="L1778" t="s">
        <v>247</v>
      </c>
      <c r="M1778" t="s">
        <v>361</v>
      </c>
      <c r="N1778" s="7">
        <v>8254</v>
      </c>
      <c r="O1778" t="s">
        <v>3543</v>
      </c>
      <c r="P1778" t="s">
        <v>3544</v>
      </c>
      <c r="S1778" t="s">
        <v>5021</v>
      </c>
      <c r="T1778" t="s">
        <v>5022</v>
      </c>
      <c r="U1778" t="s">
        <v>5023</v>
      </c>
      <c r="V1778" s="8">
        <v>0</v>
      </c>
      <c r="W1778" s="7">
        <v>0</v>
      </c>
      <c r="Y1778" s="8">
        <v>0</v>
      </c>
      <c r="Z1778" s="8">
        <v>0</v>
      </c>
      <c r="AA1778" s="8">
        <v>0</v>
      </c>
      <c r="AB1778" s="7">
        <v>0</v>
      </c>
      <c r="AD1778" s="8">
        <v>0</v>
      </c>
      <c r="AG1778" t="s">
        <v>823</v>
      </c>
      <c r="AH1778" t="s">
        <v>802</v>
      </c>
      <c r="AI1778" t="s">
        <v>803</v>
      </c>
    </row>
    <row r="1779" spans="1:35" hidden="1">
      <c r="A1779" s="7">
        <v>1778</v>
      </c>
      <c r="B1779" t="s">
        <v>243</v>
      </c>
      <c r="C1779" t="s">
        <v>244</v>
      </c>
      <c r="D1779" s="7">
        <v>7134</v>
      </c>
      <c r="E1779" t="s">
        <v>245</v>
      </c>
      <c r="F1779" t="s">
        <v>246</v>
      </c>
      <c r="G1779" t="s">
        <v>1457</v>
      </c>
      <c r="H1779" t="s">
        <v>5026</v>
      </c>
      <c r="I1779" s="7">
        <v>875</v>
      </c>
      <c r="J1779" s="7">
        <v>90000</v>
      </c>
      <c r="K1779" s="7">
        <v>5</v>
      </c>
      <c r="L1779" t="s">
        <v>247</v>
      </c>
      <c r="M1779" t="s">
        <v>261</v>
      </c>
      <c r="N1779" s="7">
        <v>796123</v>
      </c>
      <c r="O1779" t="s">
        <v>1969</v>
      </c>
      <c r="P1779" t="s">
        <v>1970</v>
      </c>
      <c r="S1779" t="s">
        <v>5021</v>
      </c>
      <c r="T1779" t="s">
        <v>5022</v>
      </c>
      <c r="U1779" t="s">
        <v>5023</v>
      </c>
      <c r="V1779" s="8">
        <v>0</v>
      </c>
      <c r="W1779" s="7">
        <v>0</v>
      </c>
      <c r="Y1779" s="8">
        <v>0</v>
      </c>
      <c r="Z1779" s="8">
        <v>0</v>
      </c>
      <c r="AA1779" s="8">
        <v>0</v>
      </c>
      <c r="AB1779" s="7">
        <v>0</v>
      </c>
      <c r="AD1779" s="8">
        <v>0</v>
      </c>
      <c r="AG1779" t="s">
        <v>817</v>
      </c>
      <c r="AH1779" t="s">
        <v>802</v>
      </c>
      <c r="AI1779" t="s">
        <v>803</v>
      </c>
    </row>
    <row r="1780" spans="1:35" hidden="1">
      <c r="A1780" s="7">
        <v>1779</v>
      </c>
      <c r="B1780" t="s">
        <v>243</v>
      </c>
      <c r="C1780" t="s">
        <v>244</v>
      </c>
      <c r="D1780" s="7">
        <v>7134</v>
      </c>
      <c r="E1780" t="s">
        <v>245</v>
      </c>
      <c r="F1780" t="s">
        <v>246</v>
      </c>
      <c r="G1780" t="s">
        <v>2143</v>
      </c>
      <c r="H1780" t="s">
        <v>5054</v>
      </c>
      <c r="I1780" s="7">
        <v>1165</v>
      </c>
      <c r="J1780" s="7">
        <v>69524</v>
      </c>
      <c r="K1780" s="7">
        <v>9</v>
      </c>
      <c r="L1780" t="s">
        <v>247</v>
      </c>
      <c r="M1780" t="s">
        <v>261</v>
      </c>
      <c r="N1780" s="7">
        <v>775458</v>
      </c>
      <c r="O1780" t="s">
        <v>2144</v>
      </c>
      <c r="P1780" t="s">
        <v>2145</v>
      </c>
      <c r="S1780" t="s">
        <v>5021</v>
      </c>
      <c r="T1780" t="s">
        <v>5022</v>
      </c>
      <c r="U1780" t="s">
        <v>5023</v>
      </c>
      <c r="V1780" s="8">
        <v>0</v>
      </c>
      <c r="W1780" s="7">
        <v>0</v>
      </c>
      <c r="Y1780" s="8">
        <v>0</v>
      </c>
      <c r="Z1780" s="8">
        <v>0</v>
      </c>
      <c r="AA1780" s="8">
        <v>0</v>
      </c>
      <c r="AB1780" s="7">
        <v>0</v>
      </c>
      <c r="AD1780" s="8">
        <v>0</v>
      </c>
      <c r="AG1780" t="s">
        <v>801</v>
      </c>
      <c r="AH1780" t="s">
        <v>802</v>
      </c>
      <c r="AI1780" t="s">
        <v>803</v>
      </c>
    </row>
    <row r="1781" spans="1:35" hidden="1">
      <c r="A1781" s="7">
        <v>1780</v>
      </c>
      <c r="B1781" t="s">
        <v>243</v>
      </c>
      <c r="C1781" t="s">
        <v>244</v>
      </c>
      <c r="D1781" s="7">
        <v>7134</v>
      </c>
      <c r="E1781" t="s">
        <v>245</v>
      </c>
      <c r="F1781" t="s">
        <v>246</v>
      </c>
      <c r="G1781" t="s">
        <v>293</v>
      </c>
      <c r="H1781" t="s">
        <v>5047</v>
      </c>
      <c r="I1781" s="7">
        <v>1150</v>
      </c>
      <c r="J1781" s="7">
        <v>20914</v>
      </c>
      <c r="K1781" s="7">
        <v>5</v>
      </c>
      <c r="L1781" t="s">
        <v>247</v>
      </c>
      <c r="M1781" t="s">
        <v>261</v>
      </c>
      <c r="N1781" s="7">
        <v>778234</v>
      </c>
      <c r="O1781" t="s">
        <v>2210</v>
      </c>
      <c r="P1781" t="s">
        <v>2211</v>
      </c>
      <c r="S1781" t="s">
        <v>5021</v>
      </c>
      <c r="T1781" t="s">
        <v>5022</v>
      </c>
      <c r="U1781" t="s">
        <v>5023</v>
      </c>
      <c r="V1781" s="8">
        <v>1250</v>
      </c>
      <c r="W1781" s="7">
        <v>0</v>
      </c>
      <c r="Y1781" s="8">
        <v>1250</v>
      </c>
      <c r="Z1781" s="8">
        <v>1475</v>
      </c>
      <c r="AA1781" s="8">
        <v>225</v>
      </c>
      <c r="AB1781" s="7">
        <v>0</v>
      </c>
      <c r="AD1781" s="8">
        <v>0</v>
      </c>
      <c r="AG1781" t="s">
        <v>808</v>
      </c>
      <c r="AH1781" t="s">
        <v>802</v>
      </c>
      <c r="AI1781" t="s">
        <v>818</v>
      </c>
    </row>
    <row r="1782" spans="1:35" hidden="1">
      <c r="A1782" s="7">
        <v>1781</v>
      </c>
      <c r="B1782" t="s">
        <v>243</v>
      </c>
      <c r="C1782" t="s">
        <v>244</v>
      </c>
      <c r="D1782" s="7">
        <v>7134</v>
      </c>
      <c r="E1782" t="s">
        <v>245</v>
      </c>
      <c r="F1782" t="s">
        <v>246</v>
      </c>
      <c r="G1782" t="s">
        <v>1256</v>
      </c>
      <c r="H1782" t="s">
        <v>5055</v>
      </c>
      <c r="I1782" s="7">
        <v>1165</v>
      </c>
      <c r="J1782" s="7">
        <v>81866</v>
      </c>
      <c r="K1782" s="7">
        <v>8</v>
      </c>
      <c r="L1782" t="s">
        <v>247</v>
      </c>
      <c r="M1782" t="s">
        <v>361</v>
      </c>
      <c r="N1782" s="7">
        <v>2073</v>
      </c>
      <c r="O1782" t="s">
        <v>1258</v>
      </c>
      <c r="P1782" t="s">
        <v>1259</v>
      </c>
      <c r="Q1782" t="s">
        <v>908</v>
      </c>
      <c r="R1782" t="s">
        <v>909</v>
      </c>
      <c r="S1782" t="s">
        <v>5021</v>
      </c>
      <c r="T1782" t="s">
        <v>5022</v>
      </c>
      <c r="U1782" t="s">
        <v>5023</v>
      </c>
      <c r="V1782" s="8">
        <v>0</v>
      </c>
      <c r="W1782" s="7">
        <v>0</v>
      </c>
      <c r="Y1782" s="8">
        <v>0</v>
      </c>
      <c r="Z1782" s="8">
        <v>0</v>
      </c>
      <c r="AA1782" s="8">
        <v>0</v>
      </c>
      <c r="AB1782" s="7">
        <v>0</v>
      </c>
      <c r="AD1782" s="8">
        <v>0</v>
      </c>
      <c r="AG1782" t="s">
        <v>823</v>
      </c>
      <c r="AH1782" t="s">
        <v>802</v>
      </c>
      <c r="AI1782" t="s">
        <v>803</v>
      </c>
    </row>
    <row r="1783" spans="1:35" hidden="1">
      <c r="A1783" s="7">
        <v>1782</v>
      </c>
      <c r="B1783" t="s">
        <v>243</v>
      </c>
      <c r="C1783" t="s">
        <v>244</v>
      </c>
      <c r="D1783" s="7">
        <v>7134</v>
      </c>
      <c r="E1783" t="s">
        <v>245</v>
      </c>
      <c r="F1783" t="s">
        <v>246</v>
      </c>
      <c r="G1783" t="s">
        <v>707</v>
      </c>
      <c r="H1783" t="s">
        <v>5030</v>
      </c>
      <c r="I1783" s="7">
        <v>1165</v>
      </c>
      <c r="J1783" s="7">
        <v>8038</v>
      </c>
      <c r="K1783" s="7">
        <v>1</v>
      </c>
      <c r="L1783" t="s">
        <v>247</v>
      </c>
      <c r="M1783" t="s">
        <v>252</v>
      </c>
      <c r="N1783" s="7">
        <v>328365</v>
      </c>
      <c r="O1783" t="s">
        <v>720</v>
      </c>
      <c r="P1783" t="s">
        <v>721</v>
      </c>
      <c r="Q1783" t="s">
        <v>1902</v>
      </c>
      <c r="R1783" t="s">
        <v>1903</v>
      </c>
      <c r="S1783" t="s">
        <v>5021</v>
      </c>
      <c r="T1783" t="s">
        <v>5022</v>
      </c>
      <c r="U1783" t="s">
        <v>5023</v>
      </c>
      <c r="V1783" s="8">
        <v>1250</v>
      </c>
      <c r="W1783" s="7">
        <v>0</v>
      </c>
      <c r="Y1783" s="8">
        <v>0</v>
      </c>
      <c r="Z1783" s="8">
        <v>1475</v>
      </c>
      <c r="AA1783" s="8">
        <v>225</v>
      </c>
      <c r="AB1783" s="7">
        <v>0</v>
      </c>
      <c r="AD1783" s="8">
        <v>1250</v>
      </c>
      <c r="AG1783" t="s">
        <v>937</v>
      </c>
      <c r="AH1783" t="s">
        <v>802</v>
      </c>
      <c r="AI1783" t="s">
        <v>818</v>
      </c>
    </row>
    <row r="1784" spans="1:35" hidden="1">
      <c r="A1784" s="7">
        <v>1783</v>
      </c>
      <c r="B1784" t="s">
        <v>243</v>
      </c>
      <c r="C1784" t="s">
        <v>244</v>
      </c>
      <c r="D1784" s="7">
        <v>7134</v>
      </c>
      <c r="E1784" t="s">
        <v>245</v>
      </c>
      <c r="F1784" t="s">
        <v>246</v>
      </c>
      <c r="G1784" t="s">
        <v>649</v>
      </c>
      <c r="H1784" t="s">
        <v>5056</v>
      </c>
      <c r="I1784" s="7">
        <v>1165</v>
      </c>
      <c r="J1784" s="7">
        <v>18406</v>
      </c>
      <c r="K1784" s="7">
        <v>4</v>
      </c>
      <c r="L1784" t="s">
        <v>247</v>
      </c>
      <c r="M1784" t="s">
        <v>261</v>
      </c>
      <c r="N1784" s="7">
        <v>778995</v>
      </c>
      <c r="O1784" t="s">
        <v>681</v>
      </c>
      <c r="P1784" t="s">
        <v>682</v>
      </c>
      <c r="S1784" t="s">
        <v>5021</v>
      </c>
      <c r="T1784" t="s">
        <v>5022</v>
      </c>
      <c r="U1784" t="s">
        <v>5023</v>
      </c>
      <c r="V1784" s="8">
        <v>0</v>
      </c>
      <c r="W1784" s="7">
        <v>0</v>
      </c>
      <c r="Y1784" s="8">
        <v>0</v>
      </c>
      <c r="Z1784" s="8">
        <v>0</v>
      </c>
      <c r="AA1784" s="8">
        <v>0</v>
      </c>
      <c r="AB1784" s="7">
        <v>0</v>
      </c>
      <c r="AD1784" s="8">
        <v>0</v>
      </c>
      <c r="AG1784" t="s">
        <v>808</v>
      </c>
      <c r="AH1784" t="s">
        <v>802</v>
      </c>
      <c r="AI1784" t="s">
        <v>803</v>
      </c>
    </row>
    <row r="1785" spans="1:35" hidden="1">
      <c r="A1785" s="7">
        <v>1784</v>
      </c>
      <c r="B1785" t="s">
        <v>243</v>
      </c>
      <c r="C1785" t="s">
        <v>244</v>
      </c>
      <c r="D1785" s="7">
        <v>7134</v>
      </c>
      <c r="E1785" t="s">
        <v>245</v>
      </c>
      <c r="F1785" t="s">
        <v>246</v>
      </c>
      <c r="G1785" t="s">
        <v>1309</v>
      </c>
      <c r="H1785" t="s">
        <v>5022</v>
      </c>
      <c r="I1785" s="7">
        <v>961</v>
      </c>
      <c r="J1785" s="7">
        <v>53490</v>
      </c>
      <c r="K1785" s="7">
        <v>13</v>
      </c>
      <c r="L1785" t="s">
        <v>247</v>
      </c>
      <c r="M1785" t="s">
        <v>261</v>
      </c>
      <c r="N1785" s="7">
        <v>760924</v>
      </c>
      <c r="O1785" t="s">
        <v>1310</v>
      </c>
      <c r="P1785" t="s">
        <v>1311</v>
      </c>
      <c r="S1785" t="s">
        <v>5021</v>
      </c>
      <c r="T1785" t="s">
        <v>5022</v>
      </c>
      <c r="U1785" t="s">
        <v>5023</v>
      </c>
      <c r="V1785" s="8">
        <v>0</v>
      </c>
      <c r="W1785" s="7">
        <v>0</v>
      </c>
      <c r="Y1785" s="8">
        <v>0</v>
      </c>
      <c r="Z1785" s="8">
        <v>0</v>
      </c>
      <c r="AA1785" s="8">
        <v>0</v>
      </c>
      <c r="AB1785" s="7">
        <v>0</v>
      </c>
      <c r="AD1785" s="8">
        <v>0</v>
      </c>
      <c r="AG1785" t="s">
        <v>801</v>
      </c>
      <c r="AH1785" t="s">
        <v>802</v>
      </c>
      <c r="AI1785" t="s">
        <v>803</v>
      </c>
    </row>
    <row r="1786" spans="1:35" hidden="1">
      <c r="A1786" s="7">
        <v>1785</v>
      </c>
      <c r="B1786" t="s">
        <v>243</v>
      </c>
      <c r="C1786" t="s">
        <v>244</v>
      </c>
      <c r="D1786" s="7">
        <v>7134</v>
      </c>
      <c r="E1786" t="s">
        <v>245</v>
      </c>
      <c r="F1786" t="s">
        <v>246</v>
      </c>
      <c r="G1786" t="s">
        <v>942</v>
      </c>
      <c r="H1786" t="s">
        <v>5038</v>
      </c>
      <c r="I1786" s="7">
        <v>1165</v>
      </c>
      <c r="J1786" s="7">
        <v>22973</v>
      </c>
      <c r="K1786" s="7">
        <v>4</v>
      </c>
      <c r="L1786" t="s">
        <v>247</v>
      </c>
      <c r="M1786" t="s">
        <v>261</v>
      </c>
      <c r="N1786" s="7">
        <v>781830</v>
      </c>
      <c r="O1786" t="s">
        <v>2157</v>
      </c>
      <c r="P1786" t="s">
        <v>2158</v>
      </c>
      <c r="S1786" t="s">
        <v>5021</v>
      </c>
      <c r="T1786" t="s">
        <v>5022</v>
      </c>
      <c r="U1786" t="s">
        <v>5023</v>
      </c>
      <c r="V1786" s="8">
        <v>1250</v>
      </c>
      <c r="W1786" s="7">
        <v>0</v>
      </c>
      <c r="Y1786" s="8">
        <v>1250</v>
      </c>
      <c r="Z1786" s="8">
        <v>1475</v>
      </c>
      <c r="AA1786" s="8">
        <v>225</v>
      </c>
      <c r="AB1786" s="7">
        <v>0</v>
      </c>
      <c r="AD1786" s="8">
        <v>0</v>
      </c>
      <c r="AG1786" t="s">
        <v>817</v>
      </c>
      <c r="AH1786" t="s">
        <v>802</v>
      </c>
      <c r="AI1786" t="s">
        <v>818</v>
      </c>
    </row>
    <row r="1787" spans="1:35" hidden="1">
      <c r="A1787" s="7">
        <v>1786</v>
      </c>
      <c r="B1787" t="s">
        <v>243</v>
      </c>
      <c r="C1787" t="s">
        <v>244</v>
      </c>
      <c r="D1787" s="7">
        <v>7134</v>
      </c>
      <c r="E1787" t="s">
        <v>245</v>
      </c>
      <c r="F1787" t="s">
        <v>246</v>
      </c>
      <c r="G1787" t="s">
        <v>363</v>
      </c>
      <c r="H1787" t="s">
        <v>5020</v>
      </c>
      <c r="I1787" s="7">
        <v>1165</v>
      </c>
      <c r="J1787" s="7">
        <v>111785</v>
      </c>
      <c r="K1787" s="7">
        <v>8</v>
      </c>
      <c r="L1787" t="s">
        <v>247</v>
      </c>
      <c r="M1787" t="s">
        <v>261</v>
      </c>
      <c r="N1787" s="7">
        <v>785188</v>
      </c>
      <c r="O1787" t="s">
        <v>383</v>
      </c>
      <c r="P1787" t="s">
        <v>384</v>
      </c>
      <c r="Q1787" t="s">
        <v>1917</v>
      </c>
      <c r="R1787" t="s">
        <v>1918</v>
      </c>
      <c r="S1787" t="s">
        <v>5021</v>
      </c>
      <c r="T1787" t="s">
        <v>5022</v>
      </c>
      <c r="U1787" t="s">
        <v>5023</v>
      </c>
      <c r="V1787" s="8">
        <v>1250</v>
      </c>
      <c r="W1787" s="7">
        <v>0</v>
      </c>
      <c r="Y1787" s="8">
        <v>0</v>
      </c>
      <c r="Z1787" s="8">
        <v>1475</v>
      </c>
      <c r="AA1787" s="8">
        <v>225</v>
      </c>
      <c r="AB1787" s="7">
        <v>0</v>
      </c>
      <c r="AD1787" s="8">
        <v>1250</v>
      </c>
      <c r="AG1787" t="s">
        <v>801</v>
      </c>
      <c r="AH1787" t="s">
        <v>802</v>
      </c>
      <c r="AI1787" t="s">
        <v>818</v>
      </c>
    </row>
    <row r="1788" spans="1:35" hidden="1">
      <c r="A1788" s="7">
        <v>1787</v>
      </c>
      <c r="B1788" t="s">
        <v>243</v>
      </c>
      <c r="C1788" t="s">
        <v>244</v>
      </c>
      <c r="D1788" s="7">
        <v>7134</v>
      </c>
      <c r="E1788" t="s">
        <v>245</v>
      </c>
      <c r="F1788" t="s">
        <v>246</v>
      </c>
      <c r="G1788" t="s">
        <v>999</v>
      </c>
      <c r="H1788" t="s">
        <v>5055</v>
      </c>
      <c r="I1788" s="7">
        <v>1165</v>
      </c>
      <c r="J1788" s="7">
        <v>70100</v>
      </c>
      <c r="K1788" s="7">
        <v>7</v>
      </c>
      <c r="L1788" t="s">
        <v>247</v>
      </c>
      <c r="M1788" t="s">
        <v>261</v>
      </c>
      <c r="N1788" s="7">
        <v>790578</v>
      </c>
      <c r="O1788" t="s">
        <v>1119</v>
      </c>
      <c r="P1788" t="s">
        <v>1120</v>
      </c>
      <c r="S1788" t="s">
        <v>5021</v>
      </c>
      <c r="T1788" t="s">
        <v>5022</v>
      </c>
      <c r="U1788" t="s">
        <v>5023</v>
      </c>
      <c r="V1788" s="8">
        <v>0</v>
      </c>
      <c r="W1788" s="7">
        <v>0</v>
      </c>
      <c r="Y1788" s="8">
        <v>0</v>
      </c>
      <c r="Z1788" s="8">
        <v>0</v>
      </c>
      <c r="AA1788" s="8">
        <v>0</v>
      </c>
      <c r="AB1788" s="7">
        <v>0</v>
      </c>
      <c r="AD1788" s="8">
        <v>0</v>
      </c>
      <c r="AG1788" t="s">
        <v>801</v>
      </c>
      <c r="AH1788" t="s">
        <v>802</v>
      </c>
      <c r="AI1788" t="s">
        <v>803</v>
      </c>
    </row>
    <row r="1789" spans="1:35" hidden="1">
      <c r="A1789" s="7">
        <v>1788</v>
      </c>
      <c r="B1789" t="s">
        <v>243</v>
      </c>
      <c r="C1789" t="s">
        <v>244</v>
      </c>
      <c r="D1789" s="7">
        <v>7134</v>
      </c>
      <c r="E1789" t="s">
        <v>245</v>
      </c>
      <c r="F1789" t="s">
        <v>246</v>
      </c>
      <c r="G1789" t="s">
        <v>293</v>
      </c>
      <c r="H1789" t="s">
        <v>5051</v>
      </c>
      <c r="I1789" s="7">
        <v>1150</v>
      </c>
      <c r="J1789" s="7">
        <v>18767</v>
      </c>
      <c r="K1789" s="7">
        <v>5</v>
      </c>
      <c r="L1789" t="s">
        <v>247</v>
      </c>
      <c r="M1789" t="s">
        <v>261</v>
      </c>
      <c r="N1789" s="7">
        <v>778233</v>
      </c>
      <c r="O1789" t="s">
        <v>3141</v>
      </c>
      <c r="P1789" t="s">
        <v>3142</v>
      </c>
      <c r="S1789" t="s">
        <v>5021</v>
      </c>
      <c r="T1789" t="s">
        <v>5022</v>
      </c>
      <c r="U1789" t="s">
        <v>5023</v>
      </c>
      <c r="V1789" s="8">
        <v>1250</v>
      </c>
      <c r="W1789" s="7">
        <v>0</v>
      </c>
      <c r="Y1789" s="8">
        <v>1250</v>
      </c>
      <c r="Z1789" s="8">
        <v>1475</v>
      </c>
      <c r="AA1789" s="8">
        <v>225</v>
      </c>
      <c r="AB1789" s="7">
        <v>0</v>
      </c>
      <c r="AD1789" s="8">
        <v>0</v>
      </c>
      <c r="AG1789" t="s">
        <v>808</v>
      </c>
      <c r="AH1789" t="s">
        <v>802</v>
      </c>
      <c r="AI1789" t="s">
        <v>818</v>
      </c>
    </row>
    <row r="1790" spans="1:35" hidden="1">
      <c r="A1790" s="7">
        <v>1789</v>
      </c>
      <c r="B1790" t="s">
        <v>243</v>
      </c>
      <c r="C1790" t="s">
        <v>244</v>
      </c>
      <c r="D1790" s="7">
        <v>7134</v>
      </c>
      <c r="E1790" t="s">
        <v>245</v>
      </c>
      <c r="F1790" t="s">
        <v>246</v>
      </c>
      <c r="G1790" t="s">
        <v>1559</v>
      </c>
      <c r="H1790" t="s">
        <v>5047</v>
      </c>
      <c r="I1790" s="7">
        <v>1165</v>
      </c>
      <c r="J1790" s="7">
        <v>42200</v>
      </c>
      <c r="K1790" s="7">
        <v>9</v>
      </c>
      <c r="L1790" t="s">
        <v>247</v>
      </c>
      <c r="M1790" t="s">
        <v>261</v>
      </c>
      <c r="N1790" s="7">
        <v>786905</v>
      </c>
      <c r="O1790" t="s">
        <v>1790</v>
      </c>
      <c r="P1790" t="s">
        <v>1791</v>
      </c>
      <c r="S1790" t="s">
        <v>5021</v>
      </c>
      <c r="T1790" t="s">
        <v>5022</v>
      </c>
      <c r="U1790" t="s">
        <v>5023</v>
      </c>
      <c r="V1790" s="8">
        <v>0</v>
      </c>
      <c r="W1790" s="7">
        <v>0</v>
      </c>
      <c r="Y1790" s="8">
        <v>0</v>
      </c>
      <c r="Z1790" s="8">
        <v>0</v>
      </c>
      <c r="AA1790" s="8">
        <v>0</v>
      </c>
      <c r="AB1790" s="7">
        <v>0</v>
      </c>
      <c r="AD1790" s="8">
        <v>0</v>
      </c>
      <c r="AG1790" t="s">
        <v>801</v>
      </c>
      <c r="AH1790" t="s">
        <v>802</v>
      </c>
      <c r="AI1790" t="s">
        <v>803</v>
      </c>
    </row>
    <row r="1791" spans="1:35" hidden="1">
      <c r="A1791" s="7">
        <v>1790</v>
      </c>
      <c r="B1791" t="s">
        <v>243</v>
      </c>
      <c r="C1791" t="s">
        <v>244</v>
      </c>
      <c r="D1791" s="7">
        <v>7134</v>
      </c>
      <c r="E1791" t="s">
        <v>245</v>
      </c>
      <c r="F1791" t="s">
        <v>246</v>
      </c>
      <c r="G1791" t="s">
        <v>888</v>
      </c>
      <c r="H1791" t="s">
        <v>5022</v>
      </c>
      <c r="I1791" s="7">
        <v>1165</v>
      </c>
      <c r="J1791" s="7">
        <v>110000</v>
      </c>
      <c r="K1791" s="7">
        <v>11</v>
      </c>
      <c r="L1791" t="s">
        <v>247</v>
      </c>
      <c r="M1791" t="s">
        <v>267</v>
      </c>
      <c r="N1791" s="7">
        <v>776290</v>
      </c>
      <c r="O1791" t="s">
        <v>889</v>
      </c>
      <c r="P1791" t="s">
        <v>890</v>
      </c>
      <c r="S1791" t="s">
        <v>5021</v>
      </c>
      <c r="T1791" t="s">
        <v>5022</v>
      </c>
      <c r="U1791" t="s">
        <v>5023</v>
      </c>
      <c r="V1791" s="8">
        <v>1250</v>
      </c>
      <c r="W1791" s="7">
        <v>0</v>
      </c>
      <c r="Y1791" s="8">
        <v>1250</v>
      </c>
      <c r="Z1791" s="8">
        <v>1475</v>
      </c>
      <c r="AA1791" s="8">
        <v>225</v>
      </c>
      <c r="AB1791" s="7">
        <v>0</v>
      </c>
      <c r="AD1791" s="8">
        <v>0</v>
      </c>
      <c r="AG1791" t="s">
        <v>828</v>
      </c>
      <c r="AH1791" t="s">
        <v>802</v>
      </c>
      <c r="AI1791" t="s">
        <v>818</v>
      </c>
    </row>
    <row r="1792" spans="1:35">
      <c r="A1792" s="7">
        <v>1791</v>
      </c>
      <c r="B1792" t="s">
        <v>243</v>
      </c>
      <c r="C1792" t="s">
        <v>244</v>
      </c>
      <c r="D1792" s="7">
        <v>7134</v>
      </c>
      <c r="E1792" t="s">
        <v>245</v>
      </c>
      <c r="F1792" t="s">
        <v>246</v>
      </c>
      <c r="G1792" t="s">
        <v>333</v>
      </c>
      <c r="H1792" t="s">
        <v>5037</v>
      </c>
      <c r="I1792" s="7">
        <v>1165</v>
      </c>
      <c r="J1792" s="7">
        <v>12200</v>
      </c>
      <c r="K1792" s="7">
        <v>5</v>
      </c>
      <c r="L1792" t="s">
        <v>247</v>
      </c>
      <c r="M1792" t="s">
        <v>252</v>
      </c>
      <c r="N1792" s="7">
        <v>328462</v>
      </c>
      <c r="O1792" t="s">
        <v>386</v>
      </c>
      <c r="P1792" t="s">
        <v>387</v>
      </c>
      <c r="S1792" t="s">
        <v>5021</v>
      </c>
      <c r="T1792" t="s">
        <v>5022</v>
      </c>
      <c r="U1792" t="s">
        <v>5023</v>
      </c>
      <c r="V1792" s="8">
        <v>1250</v>
      </c>
      <c r="W1792" s="7">
        <v>0</v>
      </c>
      <c r="Y1792" s="8">
        <v>1250</v>
      </c>
      <c r="Z1792" s="8">
        <v>1475</v>
      </c>
      <c r="AA1792" s="8">
        <v>225</v>
      </c>
      <c r="AB1792" s="7">
        <v>0</v>
      </c>
      <c r="AD1792" s="8">
        <v>0</v>
      </c>
      <c r="AG1792" t="s">
        <v>937</v>
      </c>
      <c r="AH1792" t="s">
        <v>802</v>
      </c>
      <c r="AI1792" t="s">
        <v>818</v>
      </c>
    </row>
    <row r="1793" spans="1:35" hidden="1">
      <c r="A1793" s="7">
        <v>1792</v>
      </c>
      <c r="B1793" t="s">
        <v>243</v>
      </c>
      <c r="C1793" t="s">
        <v>244</v>
      </c>
      <c r="D1793" s="7">
        <v>7134</v>
      </c>
      <c r="E1793" t="s">
        <v>245</v>
      </c>
      <c r="F1793" t="s">
        <v>246</v>
      </c>
      <c r="G1793" t="s">
        <v>5057</v>
      </c>
      <c r="H1793" t="s">
        <v>5058</v>
      </c>
      <c r="I1793" s="7">
        <v>1170</v>
      </c>
      <c r="J1793" s="7">
        <v>71125</v>
      </c>
      <c r="K1793" s="7">
        <v>11</v>
      </c>
      <c r="L1793" t="s">
        <v>247</v>
      </c>
      <c r="M1793" t="s">
        <v>261</v>
      </c>
      <c r="N1793" s="7">
        <v>765111</v>
      </c>
      <c r="O1793" t="s">
        <v>3013</v>
      </c>
      <c r="P1793" t="s">
        <v>3014</v>
      </c>
      <c r="S1793" t="s">
        <v>5021</v>
      </c>
      <c r="T1793" t="s">
        <v>5022</v>
      </c>
      <c r="U1793" t="s">
        <v>5023</v>
      </c>
      <c r="V1793" s="8">
        <v>1250</v>
      </c>
      <c r="W1793" s="7">
        <v>0</v>
      </c>
      <c r="Y1793" s="8">
        <v>1250</v>
      </c>
      <c r="Z1793" s="8">
        <v>1475</v>
      </c>
      <c r="AA1793" s="8">
        <v>225</v>
      </c>
      <c r="AB1793" s="7">
        <v>0</v>
      </c>
      <c r="AD1793" s="8">
        <v>0</v>
      </c>
      <c r="AG1793" t="s">
        <v>801</v>
      </c>
      <c r="AH1793" t="s">
        <v>802</v>
      </c>
      <c r="AI1793" t="s">
        <v>818</v>
      </c>
    </row>
    <row r="1794" spans="1:35" hidden="1">
      <c r="A1794" s="7">
        <v>1793</v>
      </c>
      <c r="B1794" t="s">
        <v>243</v>
      </c>
      <c r="C1794" t="s">
        <v>244</v>
      </c>
      <c r="D1794" s="7">
        <v>7134</v>
      </c>
      <c r="E1794" t="s">
        <v>245</v>
      </c>
      <c r="F1794" t="s">
        <v>246</v>
      </c>
      <c r="G1794" t="s">
        <v>3111</v>
      </c>
      <c r="H1794" t="s">
        <v>5026</v>
      </c>
      <c r="I1794" s="7">
        <v>1165</v>
      </c>
      <c r="J1794" s="7">
        <v>11520</v>
      </c>
      <c r="K1794" s="7">
        <v>2</v>
      </c>
      <c r="L1794" t="s">
        <v>247</v>
      </c>
      <c r="M1794" t="s">
        <v>261</v>
      </c>
      <c r="N1794" s="7">
        <v>805200</v>
      </c>
      <c r="O1794" t="s">
        <v>3186</v>
      </c>
      <c r="P1794" t="s">
        <v>3187</v>
      </c>
      <c r="S1794" t="s">
        <v>5021</v>
      </c>
      <c r="T1794" t="s">
        <v>5022</v>
      </c>
      <c r="U1794" t="s">
        <v>5023</v>
      </c>
      <c r="V1794" s="8">
        <v>1250</v>
      </c>
      <c r="W1794" s="7">
        <v>0</v>
      </c>
      <c r="Y1794" s="8">
        <v>1250</v>
      </c>
      <c r="Z1794" s="8">
        <v>1475</v>
      </c>
      <c r="AA1794" s="8">
        <v>225</v>
      </c>
      <c r="AB1794" s="7">
        <v>0</v>
      </c>
      <c r="AD1794" s="8">
        <v>0</v>
      </c>
      <c r="AG1794" t="s">
        <v>817</v>
      </c>
      <c r="AH1794" t="s">
        <v>802</v>
      </c>
      <c r="AI1794" t="s">
        <v>818</v>
      </c>
    </row>
    <row r="1795" spans="1:35" hidden="1">
      <c r="A1795" s="7">
        <v>1794</v>
      </c>
      <c r="B1795" t="s">
        <v>243</v>
      </c>
      <c r="C1795" t="s">
        <v>244</v>
      </c>
      <c r="D1795" s="7">
        <v>7134</v>
      </c>
      <c r="E1795" t="s">
        <v>245</v>
      </c>
      <c r="F1795" t="s">
        <v>246</v>
      </c>
      <c r="G1795" t="s">
        <v>263</v>
      </c>
      <c r="H1795" t="s">
        <v>5043</v>
      </c>
      <c r="I1795" s="7">
        <v>871</v>
      </c>
      <c r="J1795" s="7">
        <v>69000</v>
      </c>
      <c r="K1795" s="7">
        <v>4</v>
      </c>
      <c r="L1795" t="s">
        <v>247</v>
      </c>
      <c r="M1795" t="s">
        <v>261</v>
      </c>
      <c r="N1795" s="7">
        <v>796125</v>
      </c>
      <c r="O1795" t="s">
        <v>3754</v>
      </c>
      <c r="P1795" t="s">
        <v>3755</v>
      </c>
      <c r="S1795" t="s">
        <v>5021</v>
      </c>
      <c r="T1795" t="s">
        <v>5022</v>
      </c>
      <c r="U1795" t="s">
        <v>5023</v>
      </c>
      <c r="V1795" s="8">
        <v>1250</v>
      </c>
      <c r="W1795" s="7">
        <v>0</v>
      </c>
      <c r="Y1795" s="8">
        <v>1250</v>
      </c>
      <c r="Z1795" s="8">
        <v>1475</v>
      </c>
      <c r="AA1795" s="8">
        <v>225</v>
      </c>
      <c r="AB1795" s="7">
        <v>0</v>
      </c>
      <c r="AD1795" s="8">
        <v>0</v>
      </c>
      <c r="AG1795" t="s">
        <v>817</v>
      </c>
      <c r="AH1795" t="s">
        <v>802</v>
      </c>
      <c r="AI1795" t="s">
        <v>818</v>
      </c>
    </row>
    <row r="1796" spans="1:35" hidden="1">
      <c r="A1796" s="7">
        <v>1795</v>
      </c>
      <c r="B1796" t="s">
        <v>243</v>
      </c>
      <c r="C1796" t="s">
        <v>244</v>
      </c>
      <c r="D1796" s="7">
        <v>7134</v>
      </c>
      <c r="E1796" t="s">
        <v>245</v>
      </c>
      <c r="F1796" t="s">
        <v>246</v>
      </c>
      <c r="G1796" t="s">
        <v>1691</v>
      </c>
      <c r="H1796" t="s">
        <v>5043</v>
      </c>
      <c r="I1796" s="7">
        <v>990</v>
      </c>
      <c r="J1796" s="7">
        <v>26229</v>
      </c>
      <c r="K1796" s="7">
        <v>10</v>
      </c>
      <c r="L1796" t="s">
        <v>247</v>
      </c>
      <c r="M1796" t="s">
        <v>252</v>
      </c>
      <c r="N1796" s="7">
        <v>322403</v>
      </c>
      <c r="O1796" t="s">
        <v>3742</v>
      </c>
      <c r="P1796" t="s">
        <v>3743</v>
      </c>
      <c r="S1796" t="s">
        <v>5021</v>
      </c>
      <c r="T1796" t="s">
        <v>5022</v>
      </c>
      <c r="U1796" t="s">
        <v>5023</v>
      </c>
      <c r="V1796" s="8">
        <v>0</v>
      </c>
      <c r="W1796" s="7">
        <v>0</v>
      </c>
      <c r="Y1796" s="8">
        <v>0</v>
      </c>
      <c r="Z1796" s="8">
        <v>0</v>
      </c>
      <c r="AA1796" s="8">
        <v>0</v>
      </c>
      <c r="AB1796" s="7">
        <v>0</v>
      </c>
      <c r="AD1796" s="8">
        <v>0</v>
      </c>
      <c r="AG1796" t="s">
        <v>937</v>
      </c>
      <c r="AH1796" t="s">
        <v>802</v>
      </c>
      <c r="AI1796" t="s">
        <v>803</v>
      </c>
    </row>
    <row r="1797" spans="1:35" hidden="1">
      <c r="A1797" s="7">
        <v>1796</v>
      </c>
      <c r="B1797" t="s">
        <v>243</v>
      </c>
      <c r="C1797" t="s">
        <v>244</v>
      </c>
      <c r="D1797" s="7">
        <v>7134</v>
      </c>
      <c r="E1797" t="s">
        <v>245</v>
      </c>
      <c r="F1797" t="s">
        <v>246</v>
      </c>
      <c r="G1797" t="s">
        <v>263</v>
      </c>
      <c r="H1797" t="s">
        <v>5037</v>
      </c>
      <c r="I1797" s="7">
        <v>883</v>
      </c>
      <c r="J1797" s="7">
        <v>70000</v>
      </c>
      <c r="K1797" s="7">
        <v>4</v>
      </c>
      <c r="L1797" t="s">
        <v>247</v>
      </c>
      <c r="M1797" t="s">
        <v>261</v>
      </c>
      <c r="N1797" s="7">
        <v>798650</v>
      </c>
      <c r="O1797" t="s">
        <v>1939</v>
      </c>
      <c r="P1797" t="s">
        <v>1940</v>
      </c>
      <c r="S1797" t="s">
        <v>5021</v>
      </c>
      <c r="T1797" t="s">
        <v>5022</v>
      </c>
      <c r="U1797" t="s">
        <v>5023</v>
      </c>
      <c r="V1797" s="8">
        <v>1250</v>
      </c>
      <c r="W1797" s="7">
        <v>0</v>
      </c>
      <c r="Y1797" s="8">
        <v>1250</v>
      </c>
      <c r="Z1797" s="8">
        <v>1475</v>
      </c>
      <c r="AA1797" s="8">
        <v>225</v>
      </c>
      <c r="AB1797" s="7">
        <v>0</v>
      </c>
      <c r="AD1797" s="8">
        <v>0</v>
      </c>
      <c r="AG1797" t="s">
        <v>817</v>
      </c>
      <c r="AH1797" t="s">
        <v>802</v>
      </c>
      <c r="AI1797" t="s">
        <v>818</v>
      </c>
    </row>
    <row r="1798" spans="1:35" hidden="1">
      <c r="A1798" s="7">
        <v>1797</v>
      </c>
      <c r="B1798" t="s">
        <v>243</v>
      </c>
      <c r="C1798" t="s">
        <v>244</v>
      </c>
      <c r="D1798" s="7">
        <v>7134</v>
      </c>
      <c r="E1798" t="s">
        <v>245</v>
      </c>
      <c r="F1798" t="s">
        <v>246</v>
      </c>
      <c r="G1798" t="s">
        <v>1705</v>
      </c>
      <c r="H1798" t="s">
        <v>5054</v>
      </c>
      <c r="I1798" s="7">
        <v>1165</v>
      </c>
      <c r="J1798" s="7">
        <v>109820</v>
      </c>
      <c r="K1798" s="7">
        <v>11</v>
      </c>
      <c r="L1798" t="s">
        <v>247</v>
      </c>
      <c r="M1798" t="s">
        <v>267</v>
      </c>
      <c r="N1798" s="7">
        <v>777193</v>
      </c>
      <c r="O1798" t="s">
        <v>1706</v>
      </c>
      <c r="P1798" t="s">
        <v>1707</v>
      </c>
      <c r="S1798" t="s">
        <v>5021</v>
      </c>
      <c r="T1798" t="s">
        <v>5022</v>
      </c>
      <c r="U1798" t="s">
        <v>5023</v>
      </c>
      <c r="V1798" s="8">
        <v>1250</v>
      </c>
      <c r="W1798" s="7">
        <v>0</v>
      </c>
      <c r="Y1798" s="8">
        <v>1250</v>
      </c>
      <c r="Z1798" s="8">
        <v>1475</v>
      </c>
      <c r="AA1798" s="8">
        <v>225</v>
      </c>
      <c r="AB1798" s="7">
        <v>0</v>
      </c>
      <c r="AD1798" s="8">
        <v>0</v>
      </c>
      <c r="AG1798" t="s">
        <v>828</v>
      </c>
      <c r="AH1798" t="s">
        <v>802</v>
      </c>
      <c r="AI1798" t="s">
        <v>818</v>
      </c>
    </row>
    <row r="1799" spans="1:35" hidden="1">
      <c r="A1799" s="7">
        <v>1798</v>
      </c>
      <c r="B1799" t="s">
        <v>243</v>
      </c>
      <c r="C1799" t="s">
        <v>244</v>
      </c>
      <c r="D1799" s="7">
        <v>7134</v>
      </c>
      <c r="E1799" t="s">
        <v>245</v>
      </c>
      <c r="F1799" t="s">
        <v>246</v>
      </c>
      <c r="G1799" t="s">
        <v>333</v>
      </c>
      <c r="H1799" t="s">
        <v>5054</v>
      </c>
      <c r="I1799" s="7">
        <v>1165</v>
      </c>
      <c r="J1799" s="7">
        <v>51391</v>
      </c>
      <c r="K1799" s="7">
        <v>5</v>
      </c>
      <c r="L1799" t="s">
        <v>247</v>
      </c>
      <c r="M1799" t="s">
        <v>261</v>
      </c>
      <c r="N1799" s="7">
        <v>800870</v>
      </c>
      <c r="O1799" t="s">
        <v>448</v>
      </c>
      <c r="P1799" t="s">
        <v>449</v>
      </c>
      <c r="S1799" t="s">
        <v>5021</v>
      </c>
      <c r="T1799" t="s">
        <v>5022</v>
      </c>
      <c r="U1799" t="s">
        <v>5023</v>
      </c>
      <c r="V1799" s="8">
        <v>1250</v>
      </c>
      <c r="W1799" s="7">
        <v>0</v>
      </c>
      <c r="Y1799" s="8">
        <v>1250</v>
      </c>
      <c r="Z1799" s="8">
        <v>1475</v>
      </c>
      <c r="AA1799" s="8">
        <v>225</v>
      </c>
      <c r="AB1799" s="7">
        <v>0</v>
      </c>
      <c r="AD1799" s="8">
        <v>0</v>
      </c>
      <c r="AG1799" t="s">
        <v>801</v>
      </c>
      <c r="AH1799" t="s">
        <v>802</v>
      </c>
      <c r="AI1799" t="s">
        <v>818</v>
      </c>
    </row>
    <row r="1800" spans="1:35" hidden="1">
      <c r="A1800" s="7">
        <v>1799</v>
      </c>
      <c r="B1800" t="s">
        <v>243</v>
      </c>
      <c r="C1800" t="s">
        <v>244</v>
      </c>
      <c r="D1800" s="7">
        <v>7134</v>
      </c>
      <c r="E1800" t="s">
        <v>245</v>
      </c>
      <c r="F1800" t="s">
        <v>246</v>
      </c>
      <c r="G1800" t="s">
        <v>3086</v>
      </c>
      <c r="H1800" t="s">
        <v>5058</v>
      </c>
      <c r="I1800" s="7">
        <v>1165</v>
      </c>
      <c r="J1800" s="7">
        <v>24370</v>
      </c>
      <c r="K1800" s="7">
        <v>3</v>
      </c>
      <c r="L1800" t="s">
        <v>247</v>
      </c>
      <c r="M1800" t="s">
        <v>267</v>
      </c>
      <c r="N1800" s="7">
        <v>806451</v>
      </c>
      <c r="O1800" t="s">
        <v>3225</v>
      </c>
      <c r="P1800" t="s">
        <v>3226</v>
      </c>
      <c r="S1800" t="s">
        <v>5021</v>
      </c>
      <c r="T1800" t="s">
        <v>5022</v>
      </c>
      <c r="U1800" t="s">
        <v>5023</v>
      </c>
      <c r="V1800" s="8">
        <v>1250</v>
      </c>
      <c r="W1800" s="7">
        <v>0</v>
      </c>
      <c r="Y1800" s="8">
        <v>1250</v>
      </c>
      <c r="Z1800" s="8">
        <v>1475</v>
      </c>
      <c r="AA1800" s="8">
        <v>225</v>
      </c>
      <c r="AB1800" s="7">
        <v>0</v>
      </c>
      <c r="AD1800" s="8">
        <v>0</v>
      </c>
      <c r="AG1800" t="s">
        <v>828</v>
      </c>
      <c r="AH1800" t="s">
        <v>802</v>
      </c>
      <c r="AI1800" t="s">
        <v>818</v>
      </c>
    </row>
    <row r="1801" spans="1:35" hidden="1">
      <c r="A1801" s="7">
        <v>1800</v>
      </c>
      <c r="B1801" t="s">
        <v>243</v>
      </c>
      <c r="C1801" t="s">
        <v>244</v>
      </c>
      <c r="D1801" s="7">
        <v>7134</v>
      </c>
      <c r="E1801" t="s">
        <v>245</v>
      </c>
      <c r="F1801" t="s">
        <v>246</v>
      </c>
      <c r="G1801" t="s">
        <v>1305</v>
      </c>
      <c r="H1801" t="s">
        <v>5048</v>
      </c>
      <c r="I1801" s="7">
        <v>1165</v>
      </c>
      <c r="J1801" s="7">
        <v>61153</v>
      </c>
      <c r="K1801" s="7">
        <v>10</v>
      </c>
      <c r="L1801" t="s">
        <v>247</v>
      </c>
      <c r="M1801" t="s">
        <v>261</v>
      </c>
      <c r="N1801" s="7">
        <v>775577</v>
      </c>
      <c r="O1801" t="s">
        <v>1307</v>
      </c>
      <c r="P1801" t="s">
        <v>1308</v>
      </c>
      <c r="S1801" t="s">
        <v>5021</v>
      </c>
      <c r="T1801" t="s">
        <v>5022</v>
      </c>
      <c r="U1801" t="s">
        <v>5023</v>
      </c>
      <c r="V1801" s="8">
        <v>0</v>
      </c>
      <c r="W1801" s="7">
        <v>0</v>
      </c>
      <c r="Y1801" s="8">
        <v>0</v>
      </c>
      <c r="Z1801" s="8">
        <v>0</v>
      </c>
      <c r="AA1801" s="8">
        <v>0</v>
      </c>
      <c r="AB1801" s="7">
        <v>0</v>
      </c>
      <c r="AD1801" s="8">
        <v>0</v>
      </c>
      <c r="AG1801" t="s">
        <v>801</v>
      </c>
      <c r="AH1801" t="s">
        <v>802</v>
      </c>
      <c r="AI1801" t="s">
        <v>803</v>
      </c>
    </row>
    <row r="1802" spans="1:35" hidden="1">
      <c r="A1802" s="7">
        <v>1801</v>
      </c>
      <c r="B1802" t="s">
        <v>243</v>
      </c>
      <c r="C1802" t="s">
        <v>244</v>
      </c>
      <c r="D1802" s="7">
        <v>7134</v>
      </c>
      <c r="E1802" t="s">
        <v>245</v>
      </c>
      <c r="F1802" t="s">
        <v>246</v>
      </c>
      <c r="G1802" t="s">
        <v>973</v>
      </c>
      <c r="H1802" t="s">
        <v>5043</v>
      </c>
      <c r="I1802" s="7">
        <v>1108</v>
      </c>
      <c r="J1802" s="7">
        <v>73000</v>
      </c>
      <c r="K1802" s="7">
        <v>7</v>
      </c>
      <c r="L1802" t="s">
        <v>247</v>
      </c>
      <c r="M1802" t="s">
        <v>361</v>
      </c>
      <c r="N1802" s="7">
        <v>5897</v>
      </c>
      <c r="O1802" t="s">
        <v>1002</v>
      </c>
      <c r="P1802" t="s">
        <v>1003</v>
      </c>
      <c r="Q1802" t="s">
        <v>908</v>
      </c>
      <c r="R1802" t="s">
        <v>909</v>
      </c>
      <c r="S1802" t="s">
        <v>5021</v>
      </c>
      <c r="T1802" t="s">
        <v>5022</v>
      </c>
      <c r="U1802" t="s">
        <v>5023</v>
      </c>
      <c r="V1802" s="8">
        <v>1650</v>
      </c>
      <c r="W1802" s="7">
        <v>0</v>
      </c>
      <c r="Y1802" s="8">
        <v>1320</v>
      </c>
      <c r="Z1802" s="8">
        <v>1947</v>
      </c>
      <c r="AA1802" s="8">
        <v>297</v>
      </c>
      <c r="AB1802" s="7">
        <v>0</v>
      </c>
      <c r="AD1802" s="8">
        <v>330</v>
      </c>
      <c r="AG1802" t="s">
        <v>823</v>
      </c>
      <c r="AH1802" t="s">
        <v>802</v>
      </c>
      <c r="AI1802" t="s">
        <v>818</v>
      </c>
    </row>
    <row r="1803" spans="1:35" hidden="1">
      <c r="A1803" s="7">
        <v>1802</v>
      </c>
      <c r="B1803" t="s">
        <v>243</v>
      </c>
      <c r="C1803" t="s">
        <v>244</v>
      </c>
      <c r="D1803" s="7">
        <v>7134</v>
      </c>
      <c r="E1803" t="s">
        <v>245</v>
      </c>
      <c r="F1803" t="s">
        <v>246</v>
      </c>
      <c r="G1803" t="s">
        <v>3727</v>
      </c>
      <c r="H1803" t="s">
        <v>5048</v>
      </c>
      <c r="I1803" s="7">
        <v>1165</v>
      </c>
      <c r="J1803" s="7">
        <v>2853</v>
      </c>
      <c r="K1803" s="7">
        <v>1</v>
      </c>
      <c r="L1803" t="s">
        <v>247</v>
      </c>
      <c r="M1803" t="s">
        <v>252</v>
      </c>
      <c r="N1803" s="7">
        <v>331892</v>
      </c>
      <c r="O1803" t="s">
        <v>3936</v>
      </c>
      <c r="P1803" t="s">
        <v>3937</v>
      </c>
      <c r="Q1803" t="s">
        <v>1902</v>
      </c>
      <c r="R1803" t="s">
        <v>1903</v>
      </c>
      <c r="S1803" t="s">
        <v>5021</v>
      </c>
      <c r="T1803" t="s">
        <v>5022</v>
      </c>
      <c r="U1803" t="s">
        <v>5023</v>
      </c>
      <c r="V1803" s="8">
        <v>1250</v>
      </c>
      <c r="W1803" s="7">
        <v>0</v>
      </c>
      <c r="Y1803" s="8">
        <v>0</v>
      </c>
      <c r="Z1803" s="8">
        <v>1475</v>
      </c>
      <c r="AA1803" s="8">
        <v>225</v>
      </c>
      <c r="AB1803" s="7">
        <v>0</v>
      </c>
      <c r="AD1803" s="8">
        <v>1250</v>
      </c>
      <c r="AG1803" t="s">
        <v>937</v>
      </c>
      <c r="AH1803" t="s">
        <v>802</v>
      </c>
      <c r="AI1803" t="s">
        <v>818</v>
      </c>
    </row>
    <row r="1804" spans="1:35" hidden="1">
      <c r="A1804" s="7">
        <v>1803</v>
      </c>
      <c r="B1804" t="s">
        <v>243</v>
      </c>
      <c r="C1804" t="s">
        <v>244</v>
      </c>
      <c r="D1804" s="7">
        <v>7134</v>
      </c>
      <c r="E1804" t="s">
        <v>245</v>
      </c>
      <c r="F1804" t="s">
        <v>246</v>
      </c>
      <c r="G1804" t="s">
        <v>3086</v>
      </c>
      <c r="H1804" t="s">
        <v>5058</v>
      </c>
      <c r="I1804" s="7">
        <v>1165</v>
      </c>
      <c r="J1804" s="7">
        <v>25772</v>
      </c>
      <c r="K1804" s="7">
        <v>3</v>
      </c>
      <c r="L1804" t="s">
        <v>247</v>
      </c>
      <c r="M1804" t="s">
        <v>267</v>
      </c>
      <c r="N1804" s="7">
        <v>805943</v>
      </c>
      <c r="O1804" t="s">
        <v>3222</v>
      </c>
      <c r="P1804" t="s">
        <v>3223</v>
      </c>
      <c r="S1804" t="s">
        <v>5021</v>
      </c>
      <c r="T1804" t="s">
        <v>5022</v>
      </c>
      <c r="U1804" t="s">
        <v>5023</v>
      </c>
      <c r="V1804" s="8">
        <v>1250</v>
      </c>
      <c r="W1804" s="7">
        <v>0</v>
      </c>
      <c r="Y1804" s="8">
        <v>1250</v>
      </c>
      <c r="Z1804" s="8">
        <v>1475</v>
      </c>
      <c r="AA1804" s="8">
        <v>225</v>
      </c>
      <c r="AB1804" s="7">
        <v>0</v>
      </c>
      <c r="AD1804" s="8">
        <v>0</v>
      </c>
      <c r="AG1804" t="s">
        <v>828</v>
      </c>
      <c r="AH1804" t="s">
        <v>802</v>
      </c>
      <c r="AI1804" t="s">
        <v>818</v>
      </c>
    </row>
    <row r="1805" spans="1:35" hidden="1">
      <c r="A1805" s="7">
        <v>1804</v>
      </c>
      <c r="B1805" t="s">
        <v>243</v>
      </c>
      <c r="C1805" t="s">
        <v>244</v>
      </c>
      <c r="D1805" s="7">
        <v>7134</v>
      </c>
      <c r="E1805" t="s">
        <v>245</v>
      </c>
      <c r="F1805" t="s">
        <v>246</v>
      </c>
      <c r="G1805" t="s">
        <v>1072</v>
      </c>
      <c r="H1805" t="s">
        <v>4859</v>
      </c>
      <c r="I1805" s="7">
        <v>1165</v>
      </c>
      <c r="J1805" s="7">
        <v>109800</v>
      </c>
      <c r="K1805" s="7">
        <v>11</v>
      </c>
      <c r="L1805" t="s">
        <v>247</v>
      </c>
      <c r="M1805" t="s">
        <v>261</v>
      </c>
      <c r="N1805" s="7">
        <v>774648</v>
      </c>
      <c r="O1805" t="s">
        <v>1549</v>
      </c>
      <c r="P1805" t="s">
        <v>1550</v>
      </c>
      <c r="S1805" t="s">
        <v>5021</v>
      </c>
      <c r="T1805" t="s">
        <v>5022</v>
      </c>
      <c r="U1805" t="s">
        <v>5023</v>
      </c>
      <c r="V1805" s="8">
        <v>1250</v>
      </c>
      <c r="W1805" s="7">
        <v>0</v>
      </c>
      <c r="Y1805" s="8">
        <v>1250</v>
      </c>
      <c r="Z1805" s="8">
        <v>1475</v>
      </c>
      <c r="AA1805" s="8">
        <v>225</v>
      </c>
      <c r="AB1805" s="7">
        <v>0</v>
      </c>
      <c r="AD1805" s="8">
        <v>0</v>
      </c>
      <c r="AG1805" t="s">
        <v>801</v>
      </c>
      <c r="AH1805" t="s">
        <v>802</v>
      </c>
      <c r="AI1805" t="s">
        <v>818</v>
      </c>
    </row>
    <row r="1806" spans="1:35" hidden="1">
      <c r="A1806" s="7">
        <v>1805</v>
      </c>
      <c r="B1806" t="s">
        <v>243</v>
      </c>
      <c r="C1806" t="s">
        <v>244</v>
      </c>
      <c r="D1806" s="7">
        <v>7134</v>
      </c>
      <c r="E1806" t="s">
        <v>245</v>
      </c>
      <c r="F1806" t="s">
        <v>246</v>
      </c>
      <c r="G1806" t="s">
        <v>1966</v>
      </c>
      <c r="H1806" t="s">
        <v>5037</v>
      </c>
      <c r="I1806" s="7">
        <v>1165</v>
      </c>
      <c r="J1806" s="7">
        <v>371882</v>
      </c>
      <c r="K1806" s="7">
        <v>16</v>
      </c>
      <c r="L1806" t="s">
        <v>247</v>
      </c>
      <c r="M1806" t="s">
        <v>261</v>
      </c>
      <c r="N1806" s="7">
        <v>733425</v>
      </c>
      <c r="O1806" t="s">
        <v>5059</v>
      </c>
      <c r="P1806" t="s">
        <v>5060</v>
      </c>
      <c r="Q1806" t="s">
        <v>1917</v>
      </c>
      <c r="R1806" t="s">
        <v>1918</v>
      </c>
      <c r="S1806" t="s">
        <v>5021</v>
      </c>
      <c r="T1806" t="s">
        <v>5022</v>
      </c>
      <c r="U1806" t="s">
        <v>5023</v>
      </c>
      <c r="V1806" s="8">
        <v>0</v>
      </c>
      <c r="W1806" s="7">
        <v>0</v>
      </c>
      <c r="Y1806" s="8">
        <v>0</v>
      </c>
      <c r="Z1806" s="8">
        <v>0</v>
      </c>
      <c r="AA1806" s="8">
        <v>0</v>
      </c>
      <c r="AB1806" s="7">
        <v>0</v>
      </c>
      <c r="AD1806" s="8">
        <v>0</v>
      </c>
      <c r="AG1806" t="s">
        <v>808</v>
      </c>
      <c r="AH1806" t="s">
        <v>802</v>
      </c>
      <c r="AI1806" t="s">
        <v>803</v>
      </c>
    </row>
    <row r="1807" spans="1:35" hidden="1">
      <c r="A1807" s="7">
        <v>1806</v>
      </c>
      <c r="B1807" t="s">
        <v>243</v>
      </c>
      <c r="C1807" t="s">
        <v>244</v>
      </c>
      <c r="D1807" s="7">
        <v>7134</v>
      </c>
      <c r="E1807" t="s">
        <v>245</v>
      </c>
      <c r="F1807" t="s">
        <v>246</v>
      </c>
      <c r="G1807" t="s">
        <v>248</v>
      </c>
      <c r="H1807" t="s">
        <v>5047</v>
      </c>
      <c r="I1807" s="7">
        <v>1165</v>
      </c>
      <c r="J1807" s="7">
        <v>25161</v>
      </c>
      <c r="K1807" s="7">
        <v>5</v>
      </c>
      <c r="L1807" t="s">
        <v>247</v>
      </c>
      <c r="M1807" t="s">
        <v>261</v>
      </c>
      <c r="N1807" s="7">
        <v>801400</v>
      </c>
      <c r="O1807" t="s">
        <v>290</v>
      </c>
      <c r="P1807" t="s">
        <v>291</v>
      </c>
      <c r="S1807" t="s">
        <v>5021</v>
      </c>
      <c r="T1807" t="s">
        <v>5022</v>
      </c>
      <c r="U1807" t="s">
        <v>5023</v>
      </c>
      <c r="V1807" s="8">
        <v>1250</v>
      </c>
      <c r="W1807" s="7">
        <v>0</v>
      </c>
      <c r="Y1807" s="8">
        <v>1250</v>
      </c>
      <c r="Z1807" s="8">
        <v>1475</v>
      </c>
      <c r="AA1807" s="8">
        <v>225</v>
      </c>
      <c r="AB1807" s="7">
        <v>0</v>
      </c>
      <c r="AD1807" s="8">
        <v>0</v>
      </c>
      <c r="AG1807" t="s">
        <v>801</v>
      </c>
      <c r="AH1807" t="s">
        <v>802</v>
      </c>
      <c r="AI1807" t="s">
        <v>818</v>
      </c>
    </row>
    <row r="1808" spans="1:35" hidden="1">
      <c r="A1808" s="7">
        <v>1807</v>
      </c>
      <c r="B1808" t="s">
        <v>243</v>
      </c>
      <c r="C1808" t="s">
        <v>244</v>
      </c>
      <c r="D1808" s="7">
        <v>7134</v>
      </c>
      <c r="E1808" t="s">
        <v>245</v>
      </c>
      <c r="F1808" t="s">
        <v>246</v>
      </c>
      <c r="G1808" t="s">
        <v>1773</v>
      </c>
      <c r="H1808" t="s">
        <v>5061</v>
      </c>
      <c r="I1808" s="7">
        <v>1165</v>
      </c>
      <c r="J1808" s="7">
        <v>58424</v>
      </c>
      <c r="K1808" s="7">
        <v>7</v>
      </c>
      <c r="L1808" t="s">
        <v>247</v>
      </c>
      <c r="M1808" t="s">
        <v>361</v>
      </c>
      <c r="N1808" s="7">
        <v>4921</v>
      </c>
      <c r="O1808" t="s">
        <v>1774</v>
      </c>
      <c r="P1808" t="s">
        <v>1775</v>
      </c>
      <c r="S1808" t="s">
        <v>5021</v>
      </c>
      <c r="T1808" t="s">
        <v>5022</v>
      </c>
      <c r="U1808" t="s">
        <v>5023</v>
      </c>
      <c r="V1808" s="8">
        <v>1650</v>
      </c>
      <c r="W1808" s="7">
        <v>0</v>
      </c>
      <c r="Y1808" s="8">
        <v>1650</v>
      </c>
      <c r="Z1808" s="8">
        <v>1947</v>
      </c>
      <c r="AA1808" s="8">
        <v>297</v>
      </c>
      <c r="AB1808" s="7">
        <v>0</v>
      </c>
      <c r="AD1808" s="8">
        <v>0</v>
      </c>
      <c r="AG1808" t="s">
        <v>823</v>
      </c>
      <c r="AH1808" t="s">
        <v>802</v>
      </c>
      <c r="AI1808" t="s">
        <v>818</v>
      </c>
    </row>
    <row r="1809" spans="1:35" hidden="1">
      <c r="A1809" s="7">
        <v>1808</v>
      </c>
      <c r="B1809" t="s">
        <v>243</v>
      </c>
      <c r="C1809" t="s">
        <v>244</v>
      </c>
      <c r="D1809" s="7">
        <v>7134</v>
      </c>
      <c r="E1809" t="s">
        <v>245</v>
      </c>
      <c r="F1809" t="s">
        <v>246</v>
      </c>
      <c r="G1809" t="s">
        <v>1530</v>
      </c>
      <c r="H1809" t="s">
        <v>5062</v>
      </c>
      <c r="I1809" s="7">
        <v>1165</v>
      </c>
      <c r="J1809" s="7">
        <v>28082</v>
      </c>
      <c r="K1809" s="7">
        <v>4</v>
      </c>
      <c r="L1809" t="s">
        <v>247</v>
      </c>
      <c r="M1809" t="s">
        <v>361</v>
      </c>
      <c r="N1809" s="7">
        <v>6480</v>
      </c>
      <c r="O1809" t="s">
        <v>1531</v>
      </c>
      <c r="P1809" t="s">
        <v>1532</v>
      </c>
      <c r="S1809" t="s">
        <v>5021</v>
      </c>
      <c r="T1809" t="s">
        <v>5022</v>
      </c>
      <c r="U1809" t="s">
        <v>5023</v>
      </c>
      <c r="V1809" s="8">
        <v>0</v>
      </c>
      <c r="W1809" s="7">
        <v>0</v>
      </c>
      <c r="Y1809" s="8">
        <v>0</v>
      </c>
      <c r="Z1809" s="8">
        <v>0</v>
      </c>
      <c r="AA1809" s="8">
        <v>0</v>
      </c>
      <c r="AB1809" s="7">
        <v>0</v>
      </c>
      <c r="AD1809" s="8">
        <v>0</v>
      </c>
      <c r="AG1809" t="s">
        <v>823</v>
      </c>
      <c r="AH1809" t="s">
        <v>802</v>
      </c>
      <c r="AI1809" t="s">
        <v>803</v>
      </c>
    </row>
    <row r="1810" spans="1:35" hidden="1">
      <c r="A1810" s="7">
        <v>1809</v>
      </c>
      <c r="B1810" t="s">
        <v>243</v>
      </c>
      <c r="C1810" t="s">
        <v>244</v>
      </c>
      <c r="D1810" s="7">
        <v>7134</v>
      </c>
      <c r="E1810" t="s">
        <v>245</v>
      </c>
      <c r="F1810" t="s">
        <v>246</v>
      </c>
      <c r="G1810" t="s">
        <v>858</v>
      </c>
      <c r="H1810" t="s">
        <v>5062</v>
      </c>
      <c r="I1810" s="7">
        <v>1165</v>
      </c>
      <c r="J1810" s="7">
        <v>18443</v>
      </c>
      <c r="K1810" s="7">
        <v>7</v>
      </c>
      <c r="L1810" t="s">
        <v>247</v>
      </c>
      <c r="M1810" t="s">
        <v>261</v>
      </c>
      <c r="N1810" s="7">
        <v>790691</v>
      </c>
      <c r="O1810" t="s">
        <v>859</v>
      </c>
      <c r="P1810" t="s">
        <v>860</v>
      </c>
      <c r="S1810" t="s">
        <v>5021</v>
      </c>
      <c r="T1810" t="s">
        <v>5022</v>
      </c>
      <c r="U1810" t="s">
        <v>5023</v>
      </c>
      <c r="V1810" s="8">
        <v>0</v>
      </c>
      <c r="W1810" s="7">
        <v>0</v>
      </c>
      <c r="Y1810" s="8">
        <v>0</v>
      </c>
      <c r="Z1810" s="8">
        <v>0</v>
      </c>
      <c r="AA1810" s="8">
        <v>0</v>
      </c>
      <c r="AB1810" s="7">
        <v>0</v>
      </c>
      <c r="AD1810" s="8">
        <v>0</v>
      </c>
      <c r="AG1810" t="s">
        <v>801</v>
      </c>
      <c r="AH1810" t="s">
        <v>802</v>
      </c>
      <c r="AI1810" t="s">
        <v>803</v>
      </c>
    </row>
    <row r="1811" spans="1:35" hidden="1">
      <c r="A1811" s="7">
        <v>1810</v>
      </c>
      <c r="B1811" t="s">
        <v>243</v>
      </c>
      <c r="C1811" t="s">
        <v>244</v>
      </c>
      <c r="D1811" s="7">
        <v>7134</v>
      </c>
      <c r="E1811" t="s">
        <v>245</v>
      </c>
      <c r="F1811" t="s">
        <v>246</v>
      </c>
      <c r="G1811" t="s">
        <v>531</v>
      </c>
      <c r="H1811" t="s">
        <v>5038</v>
      </c>
      <c r="I1811" s="7">
        <v>1165</v>
      </c>
      <c r="J1811" s="7">
        <v>29222</v>
      </c>
      <c r="K1811" s="7">
        <v>5</v>
      </c>
      <c r="L1811" t="s">
        <v>247</v>
      </c>
      <c r="M1811" t="s">
        <v>261</v>
      </c>
      <c r="N1811" s="7">
        <v>801228</v>
      </c>
      <c r="O1811" t="s">
        <v>533</v>
      </c>
      <c r="P1811" t="s">
        <v>534</v>
      </c>
      <c r="S1811" t="s">
        <v>5021</v>
      </c>
      <c r="T1811" t="s">
        <v>5022</v>
      </c>
      <c r="U1811" t="s">
        <v>5023</v>
      </c>
      <c r="V1811" s="8">
        <v>1250</v>
      </c>
      <c r="W1811" s="7">
        <v>0</v>
      </c>
      <c r="Y1811" s="8">
        <v>1250</v>
      </c>
      <c r="Z1811" s="8">
        <v>1475</v>
      </c>
      <c r="AA1811" s="8">
        <v>225</v>
      </c>
      <c r="AB1811" s="7">
        <v>0</v>
      </c>
      <c r="AD1811" s="8">
        <v>0</v>
      </c>
      <c r="AG1811" t="s">
        <v>801</v>
      </c>
      <c r="AH1811" t="s">
        <v>802</v>
      </c>
      <c r="AI1811" t="s">
        <v>818</v>
      </c>
    </row>
    <row r="1812" spans="1:35" hidden="1">
      <c r="A1812" s="7">
        <v>1811</v>
      </c>
      <c r="B1812" t="s">
        <v>243</v>
      </c>
      <c r="C1812" t="s">
        <v>244</v>
      </c>
      <c r="D1812" s="7">
        <v>7134</v>
      </c>
      <c r="E1812" t="s">
        <v>245</v>
      </c>
      <c r="F1812" t="s">
        <v>246</v>
      </c>
      <c r="G1812" t="s">
        <v>3102</v>
      </c>
      <c r="H1812" t="s">
        <v>5062</v>
      </c>
      <c r="I1812" s="7">
        <v>1165</v>
      </c>
      <c r="J1812" s="7">
        <v>26117</v>
      </c>
      <c r="K1812" s="7">
        <v>3</v>
      </c>
      <c r="L1812" t="s">
        <v>247</v>
      </c>
      <c r="M1812" t="s">
        <v>261</v>
      </c>
      <c r="N1812" s="7">
        <v>802983</v>
      </c>
      <c r="O1812" t="s">
        <v>3210</v>
      </c>
      <c r="P1812" t="s">
        <v>3211</v>
      </c>
      <c r="S1812" t="s">
        <v>5021</v>
      </c>
      <c r="T1812" t="s">
        <v>5022</v>
      </c>
      <c r="U1812" t="s">
        <v>5023</v>
      </c>
      <c r="V1812" s="8">
        <v>1250</v>
      </c>
      <c r="W1812" s="7">
        <v>0</v>
      </c>
      <c r="Y1812" s="8">
        <v>1250</v>
      </c>
      <c r="Z1812" s="8">
        <v>1475</v>
      </c>
      <c r="AA1812" s="8">
        <v>225</v>
      </c>
      <c r="AB1812" s="7">
        <v>0</v>
      </c>
      <c r="AD1812" s="8">
        <v>0</v>
      </c>
      <c r="AG1812" t="s">
        <v>801</v>
      </c>
      <c r="AH1812" t="s">
        <v>802</v>
      </c>
      <c r="AI1812" t="s">
        <v>818</v>
      </c>
    </row>
    <row r="1813" spans="1:35" hidden="1">
      <c r="A1813" s="7">
        <v>1812</v>
      </c>
      <c r="B1813" t="s">
        <v>243</v>
      </c>
      <c r="C1813" t="s">
        <v>244</v>
      </c>
      <c r="D1813" s="7">
        <v>7134</v>
      </c>
      <c r="E1813" t="s">
        <v>245</v>
      </c>
      <c r="F1813" t="s">
        <v>246</v>
      </c>
      <c r="G1813" t="s">
        <v>263</v>
      </c>
      <c r="H1813" t="s">
        <v>4859</v>
      </c>
      <c r="I1813" s="7">
        <v>892</v>
      </c>
      <c r="J1813" s="7">
        <v>50000</v>
      </c>
      <c r="K1813" s="7">
        <v>3</v>
      </c>
      <c r="L1813" t="s">
        <v>247</v>
      </c>
      <c r="M1813" t="s">
        <v>261</v>
      </c>
      <c r="N1813" s="7">
        <v>796577</v>
      </c>
      <c r="O1813" t="s">
        <v>2196</v>
      </c>
      <c r="P1813" t="s">
        <v>2197</v>
      </c>
      <c r="S1813" t="s">
        <v>5021</v>
      </c>
      <c r="T1813" t="s">
        <v>5022</v>
      </c>
      <c r="U1813" t="s">
        <v>5023</v>
      </c>
      <c r="V1813" s="8">
        <v>1250</v>
      </c>
      <c r="W1813" s="7">
        <v>0</v>
      </c>
      <c r="Y1813" s="8">
        <v>1250</v>
      </c>
      <c r="Z1813" s="8">
        <v>1475</v>
      </c>
      <c r="AA1813" s="8">
        <v>225</v>
      </c>
      <c r="AB1813" s="7">
        <v>0</v>
      </c>
      <c r="AD1813" s="8">
        <v>0</v>
      </c>
      <c r="AG1813" t="s">
        <v>817</v>
      </c>
      <c r="AH1813" t="s">
        <v>802</v>
      </c>
      <c r="AI1813" t="s">
        <v>818</v>
      </c>
    </row>
    <row r="1814" spans="1:35" hidden="1">
      <c r="A1814" s="7">
        <v>1813</v>
      </c>
      <c r="B1814" t="s">
        <v>243</v>
      </c>
      <c r="C1814" t="s">
        <v>244</v>
      </c>
      <c r="D1814" s="7">
        <v>7134</v>
      </c>
      <c r="E1814" t="s">
        <v>245</v>
      </c>
      <c r="F1814" t="s">
        <v>246</v>
      </c>
      <c r="G1814" t="s">
        <v>3750</v>
      </c>
      <c r="H1814" t="s">
        <v>5022</v>
      </c>
      <c r="I1814" s="7">
        <v>1165</v>
      </c>
      <c r="J1814" s="7">
        <v>12218</v>
      </c>
      <c r="K1814" s="7">
        <v>2</v>
      </c>
      <c r="L1814" t="s">
        <v>247</v>
      </c>
      <c r="M1814" t="s">
        <v>267</v>
      </c>
      <c r="N1814" s="7">
        <v>810977</v>
      </c>
      <c r="O1814" t="s">
        <v>4408</v>
      </c>
      <c r="P1814" t="s">
        <v>4409</v>
      </c>
      <c r="S1814" t="s">
        <v>5021</v>
      </c>
      <c r="T1814" t="s">
        <v>5022</v>
      </c>
      <c r="U1814" t="s">
        <v>5023</v>
      </c>
      <c r="V1814" s="8">
        <v>0</v>
      </c>
      <c r="W1814" s="7">
        <v>0</v>
      </c>
      <c r="Y1814" s="8">
        <v>0</v>
      </c>
      <c r="Z1814" s="8">
        <v>0</v>
      </c>
      <c r="AA1814" s="8">
        <v>0</v>
      </c>
      <c r="AB1814" s="7">
        <v>0</v>
      </c>
      <c r="AD1814" s="8">
        <v>0</v>
      </c>
      <c r="AG1814" t="s">
        <v>828</v>
      </c>
      <c r="AH1814" t="s">
        <v>802</v>
      </c>
      <c r="AI1814" t="s">
        <v>803</v>
      </c>
    </row>
    <row r="1815" spans="1:35" hidden="1">
      <c r="A1815" s="7">
        <v>1814</v>
      </c>
      <c r="B1815" t="s">
        <v>243</v>
      </c>
      <c r="C1815" t="s">
        <v>244</v>
      </c>
      <c r="D1815" s="7">
        <v>7134</v>
      </c>
      <c r="E1815" t="s">
        <v>245</v>
      </c>
      <c r="F1815" t="s">
        <v>246</v>
      </c>
      <c r="G1815" t="s">
        <v>293</v>
      </c>
      <c r="H1815" t="s">
        <v>5029</v>
      </c>
      <c r="I1815" s="7">
        <v>1165</v>
      </c>
      <c r="J1815" s="7">
        <v>40000</v>
      </c>
      <c r="K1815" s="7">
        <v>5</v>
      </c>
      <c r="L1815" t="s">
        <v>247</v>
      </c>
      <c r="M1815" t="s">
        <v>267</v>
      </c>
      <c r="N1815" s="7">
        <v>789022</v>
      </c>
      <c r="O1815" t="s">
        <v>461</v>
      </c>
      <c r="P1815" t="s">
        <v>462</v>
      </c>
      <c r="S1815" t="s">
        <v>5021</v>
      </c>
      <c r="T1815" t="s">
        <v>5022</v>
      </c>
      <c r="U1815" t="s">
        <v>5023</v>
      </c>
      <c r="V1815" s="8">
        <v>1250</v>
      </c>
      <c r="W1815" s="7">
        <v>0</v>
      </c>
      <c r="Y1815" s="8">
        <v>1250</v>
      </c>
      <c r="Z1815" s="8">
        <v>1475</v>
      </c>
      <c r="AA1815" s="8">
        <v>225</v>
      </c>
      <c r="AB1815" s="7">
        <v>0</v>
      </c>
      <c r="AD1815" s="8">
        <v>0</v>
      </c>
      <c r="AG1815" t="s">
        <v>828</v>
      </c>
      <c r="AH1815" t="s">
        <v>802</v>
      </c>
      <c r="AI1815" t="s">
        <v>818</v>
      </c>
    </row>
    <row r="1816" spans="1:35" hidden="1">
      <c r="A1816" s="7">
        <v>1815</v>
      </c>
      <c r="B1816" t="s">
        <v>243</v>
      </c>
      <c r="C1816" t="s">
        <v>244</v>
      </c>
      <c r="D1816" s="7">
        <v>7134</v>
      </c>
      <c r="E1816" t="s">
        <v>245</v>
      </c>
      <c r="F1816" t="s">
        <v>246</v>
      </c>
      <c r="G1816" t="s">
        <v>1004</v>
      </c>
      <c r="H1816" t="s">
        <v>5055</v>
      </c>
      <c r="I1816" s="7">
        <v>1165</v>
      </c>
      <c r="J1816" s="7">
        <v>47500</v>
      </c>
      <c r="K1816" s="7">
        <v>5</v>
      </c>
      <c r="L1816" t="s">
        <v>247</v>
      </c>
      <c r="M1816" t="s">
        <v>361</v>
      </c>
      <c r="N1816" s="7">
        <v>6191</v>
      </c>
      <c r="O1816" t="s">
        <v>1030</v>
      </c>
      <c r="P1816" t="s">
        <v>1031</v>
      </c>
      <c r="S1816" t="s">
        <v>5021</v>
      </c>
      <c r="T1816" t="s">
        <v>5022</v>
      </c>
      <c r="U1816" t="s">
        <v>5023</v>
      </c>
      <c r="V1816" s="8">
        <v>1650</v>
      </c>
      <c r="W1816" s="7">
        <v>0</v>
      </c>
      <c r="Y1816" s="8">
        <v>1650</v>
      </c>
      <c r="Z1816" s="8">
        <v>1947</v>
      </c>
      <c r="AA1816" s="8">
        <v>297</v>
      </c>
      <c r="AB1816" s="7">
        <v>0</v>
      </c>
      <c r="AD1816" s="8">
        <v>0</v>
      </c>
      <c r="AG1816" t="s">
        <v>823</v>
      </c>
      <c r="AH1816" t="s">
        <v>802</v>
      </c>
      <c r="AI1816" t="s">
        <v>818</v>
      </c>
    </row>
    <row r="1817" spans="1:35" hidden="1">
      <c r="A1817" s="7">
        <v>1816</v>
      </c>
      <c r="B1817" t="s">
        <v>243</v>
      </c>
      <c r="C1817" t="s">
        <v>244</v>
      </c>
      <c r="D1817" s="7">
        <v>7134</v>
      </c>
      <c r="E1817" t="s">
        <v>245</v>
      </c>
      <c r="F1817" t="s">
        <v>246</v>
      </c>
      <c r="G1817" t="s">
        <v>861</v>
      </c>
      <c r="H1817" t="s">
        <v>5051</v>
      </c>
      <c r="I1817" s="7">
        <v>968</v>
      </c>
      <c r="J1817" s="7">
        <v>75500</v>
      </c>
      <c r="K1817" s="7">
        <v>9</v>
      </c>
      <c r="L1817" t="s">
        <v>247</v>
      </c>
      <c r="M1817" t="s">
        <v>261</v>
      </c>
      <c r="N1817" s="7">
        <v>775157</v>
      </c>
      <c r="O1817" t="s">
        <v>862</v>
      </c>
      <c r="P1817" t="s">
        <v>863</v>
      </c>
      <c r="S1817" t="s">
        <v>5021</v>
      </c>
      <c r="T1817" t="s">
        <v>5022</v>
      </c>
      <c r="U1817" t="s">
        <v>5023</v>
      </c>
      <c r="V1817" s="8">
        <v>0</v>
      </c>
      <c r="W1817" s="7">
        <v>0</v>
      </c>
      <c r="Y1817" s="8">
        <v>0</v>
      </c>
      <c r="Z1817" s="8">
        <v>0</v>
      </c>
      <c r="AA1817" s="8">
        <v>0</v>
      </c>
      <c r="AB1817" s="7">
        <v>0</v>
      </c>
      <c r="AD1817" s="8">
        <v>0</v>
      </c>
      <c r="AG1817" t="s">
        <v>801</v>
      </c>
      <c r="AH1817" t="s">
        <v>802</v>
      </c>
      <c r="AI1817" t="s">
        <v>803</v>
      </c>
    </row>
    <row r="1818" spans="1:35" hidden="1">
      <c r="A1818" s="7">
        <v>1817</v>
      </c>
      <c r="B1818" t="s">
        <v>243</v>
      </c>
      <c r="C1818" t="s">
        <v>244</v>
      </c>
      <c r="D1818" s="7">
        <v>7134</v>
      </c>
      <c r="E1818" t="s">
        <v>245</v>
      </c>
      <c r="F1818" t="s">
        <v>246</v>
      </c>
      <c r="G1818" t="s">
        <v>1324</v>
      </c>
      <c r="H1818" t="s">
        <v>5033</v>
      </c>
      <c r="I1818" s="7">
        <v>1165</v>
      </c>
      <c r="J1818" s="7">
        <v>20911</v>
      </c>
      <c r="K1818" s="7">
        <v>7</v>
      </c>
      <c r="L1818" t="s">
        <v>247</v>
      </c>
      <c r="M1818" t="s">
        <v>252</v>
      </c>
      <c r="N1818" s="7">
        <v>326648</v>
      </c>
      <c r="O1818" t="s">
        <v>1326</v>
      </c>
      <c r="P1818" t="s">
        <v>1327</v>
      </c>
      <c r="S1818" t="s">
        <v>5021</v>
      </c>
      <c r="T1818" t="s">
        <v>5022</v>
      </c>
      <c r="U1818" t="s">
        <v>5023</v>
      </c>
      <c r="V1818" s="8">
        <v>0</v>
      </c>
      <c r="W1818" s="7">
        <v>0</v>
      </c>
      <c r="Y1818" s="8">
        <v>0</v>
      </c>
      <c r="Z1818" s="8">
        <v>0</v>
      </c>
      <c r="AA1818" s="8">
        <v>0</v>
      </c>
      <c r="AB1818" s="7">
        <v>0</v>
      </c>
      <c r="AD1818" s="8">
        <v>0</v>
      </c>
      <c r="AG1818" t="s">
        <v>937</v>
      </c>
      <c r="AH1818" t="s">
        <v>802</v>
      </c>
      <c r="AI1818" t="s">
        <v>803</v>
      </c>
    </row>
    <row r="1819" spans="1:35" hidden="1">
      <c r="A1819" s="7">
        <v>1818</v>
      </c>
      <c r="B1819" t="s">
        <v>243</v>
      </c>
      <c r="C1819" t="s">
        <v>244</v>
      </c>
      <c r="D1819" s="7">
        <v>7134</v>
      </c>
      <c r="E1819" t="s">
        <v>245</v>
      </c>
      <c r="F1819" t="s">
        <v>246</v>
      </c>
      <c r="G1819" t="s">
        <v>1224</v>
      </c>
      <c r="H1819" t="s">
        <v>5033</v>
      </c>
      <c r="I1819" s="7">
        <v>856</v>
      </c>
      <c r="J1819" s="7">
        <v>70000</v>
      </c>
      <c r="K1819" s="7">
        <v>4</v>
      </c>
      <c r="L1819" t="s">
        <v>247</v>
      </c>
      <c r="M1819" t="s">
        <v>261</v>
      </c>
      <c r="N1819" s="7">
        <v>798595</v>
      </c>
      <c r="O1819" t="s">
        <v>2200</v>
      </c>
      <c r="P1819" t="s">
        <v>2201</v>
      </c>
      <c r="S1819" t="s">
        <v>5021</v>
      </c>
      <c r="T1819" t="s">
        <v>5022</v>
      </c>
      <c r="U1819" t="s">
        <v>5023</v>
      </c>
      <c r="V1819" s="8">
        <v>1250</v>
      </c>
      <c r="W1819" s="7">
        <v>0</v>
      </c>
      <c r="Y1819" s="8">
        <v>1250</v>
      </c>
      <c r="Z1819" s="8">
        <v>1475</v>
      </c>
      <c r="AA1819" s="8">
        <v>225</v>
      </c>
      <c r="AB1819" s="7">
        <v>0</v>
      </c>
      <c r="AD1819" s="8">
        <v>0</v>
      </c>
      <c r="AG1819" t="s">
        <v>817</v>
      </c>
      <c r="AH1819" t="s">
        <v>802</v>
      </c>
      <c r="AI1819" t="s">
        <v>818</v>
      </c>
    </row>
    <row r="1820" spans="1:35" hidden="1">
      <c r="A1820" s="7">
        <v>1819</v>
      </c>
      <c r="B1820" t="s">
        <v>243</v>
      </c>
      <c r="C1820" t="s">
        <v>244</v>
      </c>
      <c r="D1820" s="7">
        <v>7134</v>
      </c>
      <c r="E1820" t="s">
        <v>245</v>
      </c>
      <c r="F1820" t="s">
        <v>246</v>
      </c>
      <c r="G1820" t="s">
        <v>1134</v>
      </c>
      <c r="H1820" t="s">
        <v>5026</v>
      </c>
      <c r="I1820" s="7">
        <v>1165</v>
      </c>
      <c r="J1820" s="7">
        <v>100000</v>
      </c>
      <c r="K1820" s="7">
        <v>12</v>
      </c>
      <c r="L1820" t="s">
        <v>247</v>
      </c>
      <c r="M1820" t="s">
        <v>261</v>
      </c>
      <c r="N1820" s="7">
        <v>761341</v>
      </c>
      <c r="O1820" t="s">
        <v>1135</v>
      </c>
      <c r="P1820" t="s">
        <v>1136</v>
      </c>
      <c r="S1820" t="s">
        <v>5021</v>
      </c>
      <c r="T1820" t="s">
        <v>5022</v>
      </c>
      <c r="U1820" t="s">
        <v>5023</v>
      </c>
      <c r="V1820" s="8">
        <v>0</v>
      </c>
      <c r="W1820" s="7">
        <v>0</v>
      </c>
      <c r="Y1820" s="8">
        <v>0</v>
      </c>
      <c r="Z1820" s="8">
        <v>0</v>
      </c>
      <c r="AA1820" s="8">
        <v>0</v>
      </c>
      <c r="AB1820" s="7">
        <v>0</v>
      </c>
      <c r="AD1820" s="8">
        <v>0</v>
      </c>
      <c r="AG1820" t="s">
        <v>801</v>
      </c>
      <c r="AH1820" t="s">
        <v>802</v>
      </c>
      <c r="AI1820" t="s">
        <v>803</v>
      </c>
    </row>
    <row r="1821" spans="1:35" hidden="1">
      <c r="A1821" s="7">
        <v>1820</v>
      </c>
      <c r="B1821" t="s">
        <v>243</v>
      </c>
      <c r="C1821" t="s">
        <v>244</v>
      </c>
      <c r="D1821" s="7">
        <v>7134</v>
      </c>
      <c r="E1821" t="s">
        <v>245</v>
      </c>
      <c r="F1821" t="s">
        <v>246</v>
      </c>
      <c r="G1821" t="s">
        <v>645</v>
      </c>
      <c r="H1821" t="s">
        <v>5037</v>
      </c>
      <c r="I1821" s="7">
        <v>1165</v>
      </c>
      <c r="J1821" s="7">
        <v>16506</v>
      </c>
      <c r="K1821" s="7">
        <v>3</v>
      </c>
      <c r="L1821" t="s">
        <v>247</v>
      </c>
      <c r="M1821" t="s">
        <v>361</v>
      </c>
      <c r="N1821" s="7">
        <v>7590</v>
      </c>
      <c r="O1821" t="s">
        <v>647</v>
      </c>
      <c r="P1821" t="s">
        <v>648</v>
      </c>
      <c r="S1821" t="s">
        <v>5021</v>
      </c>
      <c r="T1821" t="s">
        <v>5022</v>
      </c>
      <c r="U1821" t="s">
        <v>5023</v>
      </c>
      <c r="V1821" s="8">
        <v>1650</v>
      </c>
      <c r="W1821" s="7">
        <v>0</v>
      </c>
      <c r="Y1821" s="8">
        <v>1650</v>
      </c>
      <c r="Z1821" s="8">
        <v>1947</v>
      </c>
      <c r="AA1821" s="8">
        <v>297</v>
      </c>
      <c r="AB1821" s="7">
        <v>0</v>
      </c>
      <c r="AD1821" s="8">
        <v>0</v>
      </c>
      <c r="AG1821" t="s">
        <v>823</v>
      </c>
      <c r="AH1821" t="s">
        <v>802</v>
      </c>
      <c r="AI1821" t="s">
        <v>818</v>
      </c>
    </row>
    <row r="1822" spans="1:35" hidden="1">
      <c r="A1822" s="7">
        <v>1821</v>
      </c>
      <c r="B1822" t="s">
        <v>243</v>
      </c>
      <c r="C1822" t="s">
        <v>244</v>
      </c>
      <c r="D1822" s="7">
        <v>7134</v>
      </c>
      <c r="E1822" t="s">
        <v>245</v>
      </c>
      <c r="F1822" t="s">
        <v>246</v>
      </c>
      <c r="G1822" t="s">
        <v>917</v>
      </c>
      <c r="H1822" t="s">
        <v>5022</v>
      </c>
      <c r="I1822" s="7">
        <v>1165</v>
      </c>
      <c r="J1822" s="7">
        <v>80218</v>
      </c>
      <c r="K1822" s="7">
        <v>8</v>
      </c>
      <c r="L1822" t="s">
        <v>247</v>
      </c>
      <c r="M1822" t="s">
        <v>361</v>
      </c>
      <c r="N1822" s="7">
        <v>6199</v>
      </c>
      <c r="O1822" t="s">
        <v>1592</v>
      </c>
      <c r="P1822" t="s">
        <v>1593</v>
      </c>
      <c r="S1822" t="s">
        <v>5021</v>
      </c>
      <c r="T1822" t="s">
        <v>5022</v>
      </c>
      <c r="U1822" t="s">
        <v>5023</v>
      </c>
      <c r="V1822" s="8">
        <v>0</v>
      </c>
      <c r="W1822" s="7">
        <v>0</v>
      </c>
      <c r="Y1822" s="8">
        <v>0</v>
      </c>
      <c r="Z1822" s="8">
        <v>0</v>
      </c>
      <c r="AA1822" s="8">
        <v>0</v>
      </c>
      <c r="AB1822" s="7">
        <v>0</v>
      </c>
      <c r="AD1822" s="8">
        <v>0</v>
      </c>
      <c r="AG1822" t="s">
        <v>823</v>
      </c>
      <c r="AH1822" t="s">
        <v>802</v>
      </c>
      <c r="AI1822" t="s">
        <v>803</v>
      </c>
    </row>
    <row r="1823" spans="1:35" hidden="1">
      <c r="A1823" s="7">
        <v>1822</v>
      </c>
      <c r="B1823" t="s">
        <v>243</v>
      </c>
      <c r="C1823" t="s">
        <v>244</v>
      </c>
      <c r="D1823" s="7">
        <v>7134</v>
      </c>
      <c r="E1823" t="s">
        <v>245</v>
      </c>
      <c r="F1823" t="s">
        <v>246</v>
      </c>
      <c r="G1823" t="s">
        <v>3457</v>
      </c>
      <c r="H1823" t="s">
        <v>4859</v>
      </c>
      <c r="I1823" s="7">
        <v>1165</v>
      </c>
      <c r="J1823" s="7">
        <v>10000</v>
      </c>
      <c r="K1823" s="7">
        <v>2</v>
      </c>
      <c r="L1823" t="s">
        <v>247</v>
      </c>
      <c r="M1823" t="s">
        <v>361</v>
      </c>
      <c r="N1823" s="7">
        <v>7823</v>
      </c>
      <c r="O1823" t="s">
        <v>3539</v>
      </c>
      <c r="P1823" t="s">
        <v>3540</v>
      </c>
      <c r="S1823" t="s">
        <v>5021</v>
      </c>
      <c r="T1823" t="s">
        <v>5022</v>
      </c>
      <c r="U1823" t="s">
        <v>5023</v>
      </c>
      <c r="V1823" s="8">
        <v>0</v>
      </c>
      <c r="W1823" s="7">
        <v>0</v>
      </c>
      <c r="Y1823" s="8">
        <v>0</v>
      </c>
      <c r="Z1823" s="8">
        <v>0</v>
      </c>
      <c r="AA1823" s="8">
        <v>0</v>
      </c>
      <c r="AB1823" s="7">
        <v>0</v>
      </c>
      <c r="AD1823" s="8">
        <v>0</v>
      </c>
      <c r="AG1823" t="s">
        <v>823</v>
      </c>
      <c r="AH1823" t="s">
        <v>802</v>
      </c>
      <c r="AI1823" t="s">
        <v>803</v>
      </c>
    </row>
    <row r="1824" spans="1:35" hidden="1">
      <c r="A1824" s="7">
        <v>1823</v>
      </c>
      <c r="B1824" t="s">
        <v>243</v>
      </c>
      <c r="C1824" t="s">
        <v>244</v>
      </c>
      <c r="D1824" s="7">
        <v>7134</v>
      </c>
      <c r="E1824" t="s">
        <v>245</v>
      </c>
      <c r="F1824" t="s">
        <v>246</v>
      </c>
      <c r="G1824" t="s">
        <v>3352</v>
      </c>
      <c r="H1824" t="s">
        <v>5033</v>
      </c>
      <c r="I1824" s="7">
        <v>1165</v>
      </c>
      <c r="J1824" s="7">
        <v>20000</v>
      </c>
      <c r="K1824" s="7">
        <v>2</v>
      </c>
      <c r="L1824" t="s">
        <v>247</v>
      </c>
      <c r="M1824" t="s">
        <v>252</v>
      </c>
      <c r="N1824" s="7">
        <v>333667</v>
      </c>
      <c r="O1824" t="s">
        <v>4972</v>
      </c>
      <c r="P1824" t="s">
        <v>4973</v>
      </c>
      <c r="S1824" t="s">
        <v>5021</v>
      </c>
      <c r="T1824" t="s">
        <v>5022</v>
      </c>
      <c r="U1824" t="s">
        <v>5023</v>
      </c>
      <c r="V1824" s="8">
        <v>0</v>
      </c>
      <c r="W1824" s="7">
        <v>0</v>
      </c>
      <c r="Y1824" s="8">
        <v>0</v>
      </c>
      <c r="Z1824" s="8">
        <v>0</v>
      </c>
      <c r="AA1824" s="8">
        <v>0</v>
      </c>
      <c r="AB1824" s="7">
        <v>0</v>
      </c>
      <c r="AD1824" s="8">
        <v>0</v>
      </c>
      <c r="AG1824" t="s">
        <v>937</v>
      </c>
      <c r="AH1824" t="s">
        <v>802</v>
      </c>
      <c r="AI1824" t="s">
        <v>803</v>
      </c>
    </row>
    <row r="1825" spans="1:35" hidden="1">
      <c r="A1825" s="7">
        <v>1824</v>
      </c>
      <c r="B1825" t="s">
        <v>243</v>
      </c>
      <c r="C1825" t="s">
        <v>244</v>
      </c>
      <c r="D1825" s="7">
        <v>7134</v>
      </c>
      <c r="E1825" t="s">
        <v>245</v>
      </c>
      <c r="F1825" t="s">
        <v>246</v>
      </c>
      <c r="G1825" t="s">
        <v>881</v>
      </c>
      <c r="H1825" t="s">
        <v>5051</v>
      </c>
      <c r="I1825" s="7">
        <v>1165</v>
      </c>
      <c r="J1825" s="7">
        <v>82700</v>
      </c>
      <c r="K1825" s="7">
        <v>8</v>
      </c>
      <c r="L1825" t="s">
        <v>247</v>
      </c>
      <c r="M1825" t="s">
        <v>361</v>
      </c>
      <c r="N1825" s="7">
        <v>5321</v>
      </c>
      <c r="O1825" t="s">
        <v>1878</v>
      </c>
      <c r="P1825" t="s">
        <v>1879</v>
      </c>
      <c r="Q1825" t="s">
        <v>908</v>
      </c>
      <c r="R1825" t="s">
        <v>909</v>
      </c>
      <c r="S1825" t="s">
        <v>5021</v>
      </c>
      <c r="T1825" t="s">
        <v>5022</v>
      </c>
      <c r="U1825" t="s">
        <v>5023</v>
      </c>
      <c r="V1825" s="8">
        <v>0</v>
      </c>
      <c r="W1825" s="7">
        <v>0</v>
      </c>
      <c r="Y1825" s="8">
        <v>0</v>
      </c>
      <c r="Z1825" s="8">
        <v>0</v>
      </c>
      <c r="AA1825" s="8">
        <v>0</v>
      </c>
      <c r="AB1825" s="7">
        <v>0</v>
      </c>
      <c r="AD1825" s="8">
        <v>0</v>
      </c>
      <c r="AG1825" t="s">
        <v>823</v>
      </c>
      <c r="AH1825" t="s">
        <v>802</v>
      </c>
      <c r="AI1825" t="s">
        <v>803</v>
      </c>
    </row>
    <row r="1826" spans="1:35" hidden="1">
      <c r="A1826" s="7">
        <v>1825</v>
      </c>
      <c r="B1826" t="s">
        <v>243</v>
      </c>
      <c r="C1826" t="s">
        <v>244</v>
      </c>
      <c r="D1826" s="7">
        <v>7134</v>
      </c>
      <c r="E1826" t="s">
        <v>245</v>
      </c>
      <c r="F1826" t="s">
        <v>246</v>
      </c>
      <c r="G1826" t="s">
        <v>1628</v>
      </c>
      <c r="H1826" t="s">
        <v>5034</v>
      </c>
      <c r="I1826" s="7">
        <v>1165</v>
      </c>
      <c r="J1826" s="7">
        <v>32000</v>
      </c>
      <c r="K1826" s="7">
        <v>6</v>
      </c>
      <c r="L1826" t="s">
        <v>247</v>
      </c>
      <c r="M1826" t="s">
        <v>261</v>
      </c>
      <c r="N1826" s="7">
        <v>791455</v>
      </c>
      <c r="O1826" t="s">
        <v>1629</v>
      </c>
      <c r="P1826" t="s">
        <v>1630</v>
      </c>
      <c r="S1826" t="s">
        <v>5021</v>
      </c>
      <c r="T1826" t="s">
        <v>5022</v>
      </c>
      <c r="U1826" t="s">
        <v>5023</v>
      </c>
      <c r="V1826" s="8">
        <v>0</v>
      </c>
      <c r="W1826" s="7">
        <v>0</v>
      </c>
      <c r="Y1826" s="8">
        <v>0</v>
      </c>
      <c r="Z1826" s="8">
        <v>0</v>
      </c>
      <c r="AA1826" s="8">
        <v>0</v>
      </c>
      <c r="AB1826" s="7">
        <v>0</v>
      </c>
      <c r="AD1826" s="8">
        <v>0</v>
      </c>
      <c r="AG1826" t="s">
        <v>801</v>
      </c>
      <c r="AH1826" t="s">
        <v>802</v>
      </c>
      <c r="AI1826" t="s">
        <v>803</v>
      </c>
    </row>
    <row r="1827" spans="1:35" hidden="1">
      <c r="A1827" s="7">
        <v>1826</v>
      </c>
      <c r="B1827" t="s">
        <v>243</v>
      </c>
      <c r="C1827" t="s">
        <v>244</v>
      </c>
      <c r="D1827" s="7">
        <v>7134</v>
      </c>
      <c r="E1827" t="s">
        <v>245</v>
      </c>
      <c r="F1827" t="s">
        <v>246</v>
      </c>
      <c r="G1827" t="s">
        <v>1277</v>
      </c>
      <c r="H1827" t="s">
        <v>5054</v>
      </c>
      <c r="I1827" s="7">
        <v>1165</v>
      </c>
      <c r="J1827" s="7">
        <v>50156</v>
      </c>
      <c r="K1827" s="7">
        <v>5</v>
      </c>
      <c r="L1827" t="s">
        <v>247</v>
      </c>
      <c r="M1827" t="s">
        <v>361</v>
      </c>
      <c r="N1827" s="7">
        <v>5539</v>
      </c>
      <c r="O1827" t="s">
        <v>1278</v>
      </c>
      <c r="P1827" t="s">
        <v>1279</v>
      </c>
      <c r="S1827" t="s">
        <v>5021</v>
      </c>
      <c r="T1827" t="s">
        <v>5022</v>
      </c>
      <c r="U1827" t="s">
        <v>5023</v>
      </c>
      <c r="V1827" s="8">
        <v>1650</v>
      </c>
      <c r="W1827" s="7">
        <v>0</v>
      </c>
      <c r="Y1827" s="8">
        <v>1650</v>
      </c>
      <c r="Z1827" s="8">
        <v>1947</v>
      </c>
      <c r="AA1827" s="8">
        <v>297</v>
      </c>
      <c r="AB1827" s="7">
        <v>0</v>
      </c>
      <c r="AD1827" s="8">
        <v>0</v>
      </c>
      <c r="AG1827" t="s">
        <v>823</v>
      </c>
      <c r="AH1827" t="s">
        <v>802</v>
      </c>
      <c r="AI1827" t="s">
        <v>818</v>
      </c>
    </row>
    <row r="1828" spans="1:35" hidden="1">
      <c r="A1828" s="7">
        <v>1827</v>
      </c>
      <c r="B1828" t="s">
        <v>243</v>
      </c>
      <c r="C1828" t="s">
        <v>244</v>
      </c>
      <c r="D1828" s="7">
        <v>7134</v>
      </c>
      <c r="E1828" t="s">
        <v>245</v>
      </c>
      <c r="F1828" t="s">
        <v>246</v>
      </c>
      <c r="G1828" t="s">
        <v>861</v>
      </c>
      <c r="H1828" t="s">
        <v>5063</v>
      </c>
      <c r="I1828" s="7">
        <v>970</v>
      </c>
      <c r="J1828" s="7">
        <v>70000</v>
      </c>
      <c r="K1828" s="7">
        <v>7</v>
      </c>
      <c r="L1828" t="s">
        <v>247</v>
      </c>
      <c r="M1828" t="s">
        <v>361</v>
      </c>
      <c r="N1828" s="7">
        <v>4625</v>
      </c>
      <c r="O1828" t="s">
        <v>1009</v>
      </c>
      <c r="P1828" t="s">
        <v>1010</v>
      </c>
      <c r="S1828" t="s">
        <v>5021</v>
      </c>
      <c r="T1828" t="s">
        <v>5022</v>
      </c>
      <c r="U1828" t="s">
        <v>5023</v>
      </c>
      <c r="V1828" s="8">
        <v>1650</v>
      </c>
      <c r="W1828" s="7">
        <v>0</v>
      </c>
      <c r="Y1828" s="8">
        <v>1650</v>
      </c>
      <c r="Z1828" s="8">
        <v>1947</v>
      </c>
      <c r="AA1828" s="8">
        <v>297</v>
      </c>
      <c r="AB1828" s="7">
        <v>0</v>
      </c>
      <c r="AD1828" s="8">
        <v>0</v>
      </c>
      <c r="AG1828" t="s">
        <v>823</v>
      </c>
      <c r="AH1828" t="s">
        <v>802</v>
      </c>
      <c r="AI1828" t="s">
        <v>818</v>
      </c>
    </row>
    <row r="1829" spans="1:35" hidden="1">
      <c r="A1829" s="7">
        <v>1828</v>
      </c>
      <c r="B1829" t="s">
        <v>243</v>
      </c>
      <c r="C1829" t="s">
        <v>244</v>
      </c>
      <c r="D1829" s="7">
        <v>7134</v>
      </c>
      <c r="E1829" t="s">
        <v>245</v>
      </c>
      <c r="F1829" t="s">
        <v>246</v>
      </c>
      <c r="G1829" t="s">
        <v>867</v>
      </c>
      <c r="H1829" t="s">
        <v>5038</v>
      </c>
      <c r="I1829" s="7">
        <v>1165</v>
      </c>
      <c r="J1829" s="7">
        <v>91404</v>
      </c>
      <c r="K1829" s="7">
        <v>9</v>
      </c>
      <c r="L1829" t="s">
        <v>247</v>
      </c>
      <c r="M1829" t="s">
        <v>361</v>
      </c>
      <c r="N1829" s="7">
        <v>5598</v>
      </c>
      <c r="O1829" t="s">
        <v>1655</v>
      </c>
      <c r="P1829" t="s">
        <v>1656</v>
      </c>
      <c r="Q1829" t="s">
        <v>908</v>
      </c>
      <c r="R1829" t="s">
        <v>909</v>
      </c>
      <c r="S1829" t="s">
        <v>5021</v>
      </c>
      <c r="T1829" t="s">
        <v>5022</v>
      </c>
      <c r="U1829" t="s">
        <v>5023</v>
      </c>
      <c r="V1829" s="8">
        <v>0</v>
      </c>
      <c r="W1829" s="7">
        <v>0</v>
      </c>
      <c r="Y1829" s="8">
        <v>0</v>
      </c>
      <c r="Z1829" s="8">
        <v>0</v>
      </c>
      <c r="AA1829" s="8">
        <v>0</v>
      </c>
      <c r="AB1829" s="7">
        <v>0</v>
      </c>
      <c r="AD1829" s="8">
        <v>0</v>
      </c>
      <c r="AG1829" t="s">
        <v>823</v>
      </c>
      <c r="AH1829" t="s">
        <v>802</v>
      </c>
      <c r="AI1829" t="s">
        <v>803</v>
      </c>
    </row>
    <row r="1830" spans="1:35" hidden="1">
      <c r="A1830" s="7">
        <v>1829</v>
      </c>
      <c r="B1830" t="s">
        <v>243</v>
      </c>
      <c r="C1830" t="s">
        <v>244</v>
      </c>
      <c r="D1830" s="7">
        <v>7134</v>
      </c>
      <c r="E1830" t="s">
        <v>245</v>
      </c>
      <c r="F1830" t="s">
        <v>246</v>
      </c>
      <c r="G1830" t="s">
        <v>4863</v>
      </c>
      <c r="H1830" t="s">
        <v>5058</v>
      </c>
      <c r="I1830" s="7">
        <v>1165</v>
      </c>
      <c r="J1830" s="7">
        <v>2463</v>
      </c>
      <c r="K1830" s="7">
        <v>1</v>
      </c>
      <c r="L1830" t="s">
        <v>247</v>
      </c>
      <c r="M1830" t="s">
        <v>261</v>
      </c>
      <c r="N1830" s="7">
        <v>708067001</v>
      </c>
      <c r="O1830" t="s">
        <v>4131</v>
      </c>
      <c r="P1830" t="s">
        <v>4132</v>
      </c>
      <c r="Q1830" t="s">
        <v>870</v>
      </c>
      <c r="R1830" t="s">
        <v>871</v>
      </c>
      <c r="S1830" t="s">
        <v>5021</v>
      </c>
      <c r="T1830" t="s">
        <v>5022</v>
      </c>
      <c r="U1830" t="s">
        <v>5023</v>
      </c>
      <c r="V1830" s="8">
        <v>1250</v>
      </c>
      <c r="W1830" s="7">
        <v>0</v>
      </c>
      <c r="Y1830" s="8">
        <v>1000</v>
      </c>
      <c r="Z1830" s="8">
        <v>1475</v>
      </c>
      <c r="AA1830" s="8">
        <v>225</v>
      </c>
      <c r="AB1830" s="7">
        <v>0</v>
      </c>
      <c r="AD1830" s="8">
        <v>250</v>
      </c>
      <c r="AG1830" t="s">
        <v>808</v>
      </c>
      <c r="AH1830" t="s">
        <v>802</v>
      </c>
      <c r="AI1830" t="s">
        <v>818</v>
      </c>
    </row>
    <row r="1831" spans="1:35" hidden="1">
      <c r="A1831" s="7">
        <v>1830</v>
      </c>
      <c r="B1831" t="s">
        <v>243</v>
      </c>
      <c r="C1831" t="s">
        <v>244</v>
      </c>
      <c r="D1831" s="7">
        <v>7134</v>
      </c>
      <c r="E1831" t="s">
        <v>245</v>
      </c>
      <c r="F1831" t="s">
        <v>246</v>
      </c>
      <c r="G1831" t="s">
        <v>957</v>
      </c>
      <c r="H1831" t="s">
        <v>5046</v>
      </c>
      <c r="I1831" s="7">
        <v>1165</v>
      </c>
      <c r="J1831" s="7">
        <v>40169</v>
      </c>
      <c r="K1831" s="7">
        <v>6</v>
      </c>
      <c r="L1831" t="s">
        <v>247</v>
      </c>
      <c r="M1831" t="s">
        <v>361</v>
      </c>
      <c r="N1831" s="7">
        <v>5353</v>
      </c>
      <c r="O1831" t="s">
        <v>1598</v>
      </c>
      <c r="P1831" t="s">
        <v>1599</v>
      </c>
      <c r="S1831" t="s">
        <v>5021</v>
      </c>
      <c r="T1831" t="s">
        <v>5022</v>
      </c>
      <c r="U1831" t="s">
        <v>5023</v>
      </c>
      <c r="V1831" s="8">
        <v>0</v>
      </c>
      <c r="W1831" s="7">
        <v>0</v>
      </c>
      <c r="Y1831" s="8">
        <v>0</v>
      </c>
      <c r="Z1831" s="8">
        <v>0</v>
      </c>
      <c r="AA1831" s="8">
        <v>0</v>
      </c>
      <c r="AB1831" s="7">
        <v>0</v>
      </c>
      <c r="AD1831" s="8">
        <v>0</v>
      </c>
      <c r="AG1831" t="s">
        <v>823</v>
      </c>
      <c r="AH1831" t="s">
        <v>802</v>
      </c>
      <c r="AI1831" t="s">
        <v>803</v>
      </c>
    </row>
    <row r="1832" spans="1:35" hidden="1">
      <c r="A1832" s="7">
        <v>1831</v>
      </c>
      <c r="B1832" t="s">
        <v>243</v>
      </c>
      <c r="C1832" t="s">
        <v>244</v>
      </c>
      <c r="D1832" s="7">
        <v>7134</v>
      </c>
      <c r="E1832" t="s">
        <v>245</v>
      </c>
      <c r="F1832" t="s">
        <v>246</v>
      </c>
      <c r="G1832" t="s">
        <v>1226</v>
      </c>
      <c r="H1832" t="s">
        <v>5038</v>
      </c>
      <c r="I1832" s="7">
        <v>1165</v>
      </c>
      <c r="J1832" s="7">
        <v>110399</v>
      </c>
      <c r="K1832" s="7">
        <v>11</v>
      </c>
      <c r="L1832" t="s">
        <v>247</v>
      </c>
      <c r="M1832" t="s">
        <v>361</v>
      </c>
      <c r="N1832" s="7">
        <v>3187</v>
      </c>
      <c r="O1832" t="s">
        <v>1262</v>
      </c>
      <c r="P1832" t="s">
        <v>1263</v>
      </c>
      <c r="S1832" t="s">
        <v>5021</v>
      </c>
      <c r="T1832" t="s">
        <v>5022</v>
      </c>
      <c r="U1832" t="s">
        <v>5023</v>
      </c>
      <c r="V1832" s="8">
        <v>0</v>
      </c>
      <c r="W1832" s="7">
        <v>0</v>
      </c>
      <c r="Y1832" s="8">
        <v>0</v>
      </c>
      <c r="Z1832" s="8">
        <v>0</v>
      </c>
      <c r="AA1832" s="8">
        <v>0</v>
      </c>
      <c r="AB1832" s="7">
        <v>0</v>
      </c>
      <c r="AD1832" s="8">
        <v>0</v>
      </c>
      <c r="AG1832" t="s">
        <v>823</v>
      </c>
      <c r="AH1832" t="s">
        <v>802</v>
      </c>
      <c r="AI1832" t="s">
        <v>803</v>
      </c>
    </row>
    <row r="1833" spans="1:35" hidden="1">
      <c r="A1833" s="7">
        <v>1832</v>
      </c>
      <c r="B1833" t="s">
        <v>243</v>
      </c>
      <c r="C1833" t="s">
        <v>244</v>
      </c>
      <c r="D1833" s="7">
        <v>7134</v>
      </c>
      <c r="E1833" t="s">
        <v>245</v>
      </c>
      <c r="F1833" t="s">
        <v>246</v>
      </c>
      <c r="G1833" t="s">
        <v>5064</v>
      </c>
      <c r="H1833" t="s">
        <v>5047</v>
      </c>
      <c r="I1833" s="7">
        <v>959</v>
      </c>
      <c r="J1833" s="7">
        <v>4100</v>
      </c>
      <c r="K1833" s="7">
        <v>1</v>
      </c>
      <c r="L1833" t="s">
        <v>247</v>
      </c>
      <c r="M1833" t="s">
        <v>361</v>
      </c>
      <c r="N1833" s="7">
        <v>10267</v>
      </c>
      <c r="O1833" t="s">
        <v>5065</v>
      </c>
      <c r="P1833" t="s">
        <v>5066</v>
      </c>
      <c r="Q1833" t="s">
        <v>283</v>
      </c>
      <c r="R1833" t="s">
        <v>1062</v>
      </c>
      <c r="S1833" t="s">
        <v>5021</v>
      </c>
      <c r="T1833" t="s">
        <v>5022</v>
      </c>
      <c r="U1833" t="s">
        <v>5023</v>
      </c>
      <c r="V1833" s="8">
        <v>1650</v>
      </c>
      <c r="W1833" s="7">
        <v>0</v>
      </c>
      <c r="Y1833" s="8">
        <v>0</v>
      </c>
      <c r="Z1833" s="8">
        <v>1947</v>
      </c>
      <c r="AA1833" s="8">
        <v>297</v>
      </c>
      <c r="AB1833" s="7">
        <v>0</v>
      </c>
      <c r="AD1833" s="8">
        <v>1650</v>
      </c>
      <c r="AG1833" t="s">
        <v>823</v>
      </c>
      <c r="AH1833" t="s">
        <v>802</v>
      </c>
      <c r="AI1833" t="s">
        <v>818</v>
      </c>
    </row>
    <row r="1834" spans="1:35" hidden="1">
      <c r="A1834" s="7">
        <v>1833</v>
      </c>
      <c r="B1834" t="s">
        <v>243</v>
      </c>
      <c r="C1834" t="s">
        <v>244</v>
      </c>
      <c r="D1834" s="7">
        <v>7134</v>
      </c>
      <c r="E1834" t="s">
        <v>245</v>
      </c>
      <c r="F1834" t="s">
        <v>246</v>
      </c>
      <c r="G1834" t="s">
        <v>1128</v>
      </c>
      <c r="H1834" t="s">
        <v>5029</v>
      </c>
      <c r="I1834" s="7">
        <v>1165</v>
      </c>
      <c r="J1834" s="7">
        <v>63862</v>
      </c>
      <c r="K1834" s="7">
        <v>9</v>
      </c>
      <c r="L1834" t="s">
        <v>247</v>
      </c>
      <c r="M1834" t="s">
        <v>261</v>
      </c>
      <c r="N1834" s="7">
        <v>7085388</v>
      </c>
      <c r="O1834" t="s">
        <v>1260</v>
      </c>
      <c r="P1834" t="s">
        <v>1261</v>
      </c>
      <c r="S1834" t="s">
        <v>5021</v>
      </c>
      <c r="T1834" t="s">
        <v>5022</v>
      </c>
      <c r="U1834" t="s">
        <v>5023</v>
      </c>
      <c r="V1834" s="8">
        <v>0</v>
      </c>
      <c r="W1834" s="7">
        <v>0</v>
      </c>
      <c r="Y1834" s="8">
        <v>0</v>
      </c>
      <c r="Z1834" s="8">
        <v>0</v>
      </c>
      <c r="AA1834" s="8">
        <v>0</v>
      </c>
      <c r="AB1834" s="7">
        <v>0</v>
      </c>
      <c r="AD1834" s="8">
        <v>0</v>
      </c>
      <c r="AG1834" t="s">
        <v>801</v>
      </c>
      <c r="AH1834" t="s">
        <v>802</v>
      </c>
      <c r="AI1834" t="s">
        <v>803</v>
      </c>
    </row>
    <row r="1835" spans="1:35" hidden="1">
      <c r="A1835" s="7">
        <v>1834</v>
      </c>
      <c r="B1835" t="s">
        <v>243</v>
      </c>
      <c r="C1835" t="s">
        <v>244</v>
      </c>
      <c r="D1835" s="7">
        <v>7134</v>
      </c>
      <c r="E1835" t="s">
        <v>245</v>
      </c>
      <c r="F1835" t="s">
        <v>246</v>
      </c>
      <c r="G1835" t="s">
        <v>982</v>
      </c>
      <c r="H1835" t="s">
        <v>5037</v>
      </c>
      <c r="I1835" s="7">
        <v>1165</v>
      </c>
      <c r="J1835" s="7">
        <v>52811</v>
      </c>
      <c r="K1835" s="7">
        <v>7</v>
      </c>
      <c r="L1835" t="s">
        <v>247</v>
      </c>
      <c r="M1835" t="s">
        <v>261</v>
      </c>
      <c r="N1835" s="7">
        <v>787434</v>
      </c>
      <c r="O1835" t="s">
        <v>983</v>
      </c>
      <c r="P1835" t="s">
        <v>984</v>
      </c>
      <c r="Q1835" t="s">
        <v>870</v>
      </c>
      <c r="R1835" t="s">
        <v>871</v>
      </c>
      <c r="S1835" t="s">
        <v>5021</v>
      </c>
      <c r="T1835" t="s">
        <v>5022</v>
      </c>
      <c r="U1835" t="s">
        <v>5023</v>
      </c>
      <c r="V1835" s="8">
        <v>0</v>
      </c>
      <c r="W1835" s="7">
        <v>0</v>
      </c>
      <c r="Y1835" s="8">
        <v>0</v>
      </c>
      <c r="Z1835" s="8">
        <v>0</v>
      </c>
      <c r="AA1835" s="8">
        <v>0</v>
      </c>
      <c r="AB1835" s="7">
        <v>0</v>
      </c>
      <c r="AD1835" s="8">
        <v>0</v>
      </c>
      <c r="AG1835" t="s">
        <v>801</v>
      </c>
      <c r="AH1835" t="s">
        <v>802</v>
      </c>
      <c r="AI1835" t="s">
        <v>803</v>
      </c>
    </row>
    <row r="1836" spans="1:35" hidden="1">
      <c r="A1836" s="7">
        <v>1835</v>
      </c>
      <c r="B1836" t="s">
        <v>243</v>
      </c>
      <c r="C1836" t="s">
        <v>244</v>
      </c>
      <c r="D1836" s="7">
        <v>7134</v>
      </c>
      <c r="E1836" t="s">
        <v>245</v>
      </c>
      <c r="F1836" t="s">
        <v>246</v>
      </c>
      <c r="G1836" t="s">
        <v>248</v>
      </c>
      <c r="H1836" t="s">
        <v>5063</v>
      </c>
      <c r="I1836" s="7">
        <v>871</v>
      </c>
      <c r="J1836" s="7">
        <v>49713</v>
      </c>
      <c r="K1836" s="7">
        <v>3</v>
      </c>
      <c r="L1836" t="s">
        <v>247</v>
      </c>
      <c r="M1836" t="s">
        <v>261</v>
      </c>
      <c r="N1836" s="7">
        <v>798842</v>
      </c>
      <c r="O1836" t="s">
        <v>1849</v>
      </c>
      <c r="P1836" t="s">
        <v>1850</v>
      </c>
      <c r="S1836" t="s">
        <v>5021</v>
      </c>
      <c r="T1836" t="s">
        <v>5022</v>
      </c>
      <c r="U1836" t="s">
        <v>5023</v>
      </c>
      <c r="V1836" s="8">
        <v>1250</v>
      </c>
      <c r="W1836" s="7">
        <v>0</v>
      </c>
      <c r="Y1836" s="8">
        <v>1250</v>
      </c>
      <c r="Z1836" s="8">
        <v>1475</v>
      </c>
      <c r="AA1836" s="8">
        <v>225</v>
      </c>
      <c r="AB1836" s="7">
        <v>0</v>
      </c>
      <c r="AD1836" s="8">
        <v>0</v>
      </c>
      <c r="AG1836" t="s">
        <v>817</v>
      </c>
      <c r="AH1836" t="s">
        <v>802</v>
      </c>
      <c r="AI1836" t="s">
        <v>818</v>
      </c>
    </row>
    <row r="1837" spans="1:35" hidden="1">
      <c r="A1837" s="7">
        <v>1836</v>
      </c>
      <c r="B1837" t="s">
        <v>243</v>
      </c>
      <c r="C1837" t="s">
        <v>244</v>
      </c>
      <c r="D1837" s="7">
        <v>7134</v>
      </c>
      <c r="E1837" t="s">
        <v>245</v>
      </c>
      <c r="F1837" t="s">
        <v>246</v>
      </c>
      <c r="G1837" t="s">
        <v>3117</v>
      </c>
      <c r="H1837" t="s">
        <v>5046</v>
      </c>
      <c r="I1837" s="7">
        <v>984</v>
      </c>
      <c r="J1837" s="7">
        <v>91491</v>
      </c>
      <c r="K1837" s="7">
        <v>9</v>
      </c>
      <c r="L1837" t="s">
        <v>247</v>
      </c>
      <c r="M1837" t="s">
        <v>361</v>
      </c>
      <c r="N1837" s="7">
        <v>2096</v>
      </c>
      <c r="O1837" t="s">
        <v>3118</v>
      </c>
      <c r="P1837" t="s">
        <v>3119</v>
      </c>
      <c r="Q1837" t="s">
        <v>908</v>
      </c>
      <c r="R1837" t="s">
        <v>909</v>
      </c>
      <c r="S1837" t="s">
        <v>5021</v>
      </c>
      <c r="T1837" t="s">
        <v>5022</v>
      </c>
      <c r="U1837" t="s">
        <v>5023</v>
      </c>
      <c r="V1837" s="8">
        <v>0</v>
      </c>
      <c r="W1837" s="7">
        <v>0</v>
      </c>
      <c r="Y1837" s="8">
        <v>0</v>
      </c>
      <c r="Z1837" s="8">
        <v>0</v>
      </c>
      <c r="AA1837" s="8">
        <v>0</v>
      </c>
      <c r="AB1837" s="7">
        <v>0</v>
      </c>
      <c r="AD1837" s="8">
        <v>0</v>
      </c>
      <c r="AG1837" t="s">
        <v>823</v>
      </c>
      <c r="AH1837" t="s">
        <v>802</v>
      </c>
      <c r="AI1837" t="s">
        <v>803</v>
      </c>
    </row>
    <row r="1838" spans="1:35" hidden="1">
      <c r="A1838" s="7">
        <v>1837</v>
      </c>
      <c r="B1838" t="s">
        <v>243</v>
      </c>
      <c r="C1838" t="s">
        <v>244</v>
      </c>
      <c r="D1838" s="7">
        <v>7134</v>
      </c>
      <c r="E1838" t="s">
        <v>245</v>
      </c>
      <c r="F1838" t="s">
        <v>246</v>
      </c>
      <c r="G1838" t="s">
        <v>3413</v>
      </c>
      <c r="H1838" t="s">
        <v>5030</v>
      </c>
      <c r="I1838" s="7">
        <v>1165</v>
      </c>
      <c r="J1838" s="7">
        <v>11014</v>
      </c>
      <c r="K1838" s="7">
        <v>1</v>
      </c>
      <c r="L1838" t="s">
        <v>247</v>
      </c>
      <c r="M1838" t="s">
        <v>261</v>
      </c>
      <c r="N1838" s="7">
        <v>803751</v>
      </c>
      <c r="O1838" t="s">
        <v>3503</v>
      </c>
      <c r="P1838" t="s">
        <v>3504</v>
      </c>
      <c r="Q1838" t="s">
        <v>1902</v>
      </c>
      <c r="R1838" t="s">
        <v>1903</v>
      </c>
      <c r="S1838" t="s">
        <v>5021</v>
      </c>
      <c r="T1838" t="s">
        <v>5022</v>
      </c>
      <c r="U1838" t="s">
        <v>5023</v>
      </c>
      <c r="V1838" s="8">
        <v>1250</v>
      </c>
      <c r="W1838" s="7">
        <v>0</v>
      </c>
      <c r="Y1838" s="8">
        <v>0</v>
      </c>
      <c r="Z1838" s="8">
        <v>1475</v>
      </c>
      <c r="AA1838" s="8">
        <v>225</v>
      </c>
      <c r="AB1838" s="7">
        <v>0</v>
      </c>
      <c r="AD1838" s="8">
        <v>1250</v>
      </c>
      <c r="AG1838" t="s">
        <v>817</v>
      </c>
      <c r="AH1838" t="s">
        <v>802</v>
      </c>
      <c r="AI1838" t="s">
        <v>818</v>
      </c>
    </row>
    <row r="1839" spans="1:35" hidden="1">
      <c r="A1839" s="7">
        <v>1838</v>
      </c>
      <c r="B1839" t="s">
        <v>243</v>
      </c>
      <c r="C1839" t="s">
        <v>244</v>
      </c>
      <c r="D1839" s="7">
        <v>7134</v>
      </c>
      <c r="E1839" t="s">
        <v>245</v>
      </c>
      <c r="F1839" t="s">
        <v>246</v>
      </c>
      <c r="G1839" t="s">
        <v>1053</v>
      </c>
      <c r="H1839" t="s">
        <v>5034</v>
      </c>
      <c r="I1839" s="7">
        <v>965</v>
      </c>
      <c r="J1839" s="7">
        <v>80000</v>
      </c>
      <c r="K1839" s="7">
        <v>8</v>
      </c>
      <c r="L1839" t="s">
        <v>247</v>
      </c>
      <c r="M1839" t="s">
        <v>361</v>
      </c>
      <c r="N1839" s="7">
        <v>4608</v>
      </c>
      <c r="O1839" t="s">
        <v>1054</v>
      </c>
      <c r="P1839" t="s">
        <v>1055</v>
      </c>
      <c r="S1839" t="s">
        <v>5021</v>
      </c>
      <c r="T1839" t="s">
        <v>5022</v>
      </c>
      <c r="U1839" t="s">
        <v>5023</v>
      </c>
      <c r="V1839" s="8">
        <v>0</v>
      </c>
      <c r="W1839" s="7">
        <v>0</v>
      </c>
      <c r="Y1839" s="8">
        <v>0</v>
      </c>
      <c r="Z1839" s="8">
        <v>0</v>
      </c>
      <c r="AA1839" s="8">
        <v>0</v>
      </c>
      <c r="AB1839" s="7">
        <v>0</v>
      </c>
      <c r="AD1839" s="8">
        <v>0</v>
      </c>
      <c r="AG1839" t="s">
        <v>823</v>
      </c>
      <c r="AH1839" t="s">
        <v>802</v>
      </c>
      <c r="AI1839" t="s">
        <v>803</v>
      </c>
    </row>
    <row r="1840" spans="1:35" hidden="1">
      <c r="A1840" s="7">
        <v>1839</v>
      </c>
      <c r="B1840" t="s">
        <v>243</v>
      </c>
      <c r="C1840" t="s">
        <v>244</v>
      </c>
      <c r="D1840" s="7">
        <v>7134</v>
      </c>
      <c r="E1840" t="s">
        <v>245</v>
      </c>
      <c r="F1840" t="s">
        <v>246</v>
      </c>
      <c r="G1840" t="s">
        <v>1287</v>
      </c>
      <c r="H1840" t="s">
        <v>4859</v>
      </c>
      <c r="I1840" s="7">
        <v>1165</v>
      </c>
      <c r="J1840" s="7">
        <v>83174</v>
      </c>
      <c r="K1840" s="7">
        <v>10</v>
      </c>
      <c r="L1840" t="s">
        <v>247</v>
      </c>
      <c r="M1840" t="s">
        <v>267</v>
      </c>
      <c r="N1840" s="7">
        <v>776534</v>
      </c>
      <c r="O1840" t="s">
        <v>1288</v>
      </c>
      <c r="P1840" t="s">
        <v>1289</v>
      </c>
      <c r="S1840" t="s">
        <v>5021</v>
      </c>
      <c r="T1840" t="s">
        <v>5022</v>
      </c>
      <c r="U1840" t="s">
        <v>5023</v>
      </c>
      <c r="V1840" s="8">
        <v>0</v>
      </c>
      <c r="W1840" s="7">
        <v>0</v>
      </c>
      <c r="Y1840" s="8">
        <v>0</v>
      </c>
      <c r="Z1840" s="8">
        <v>0</v>
      </c>
      <c r="AA1840" s="8">
        <v>0</v>
      </c>
      <c r="AB1840" s="7">
        <v>0</v>
      </c>
      <c r="AD1840" s="8">
        <v>0</v>
      </c>
      <c r="AG1840" t="s">
        <v>828</v>
      </c>
      <c r="AH1840" t="s">
        <v>802</v>
      </c>
      <c r="AI1840" t="s">
        <v>803</v>
      </c>
    </row>
    <row r="1841" spans="1:35" hidden="1">
      <c r="A1841" s="7">
        <v>1840</v>
      </c>
      <c r="B1841" t="s">
        <v>243</v>
      </c>
      <c r="C1841" t="s">
        <v>244</v>
      </c>
      <c r="D1841" s="7">
        <v>7134</v>
      </c>
      <c r="E1841" t="s">
        <v>245</v>
      </c>
      <c r="F1841" t="s">
        <v>246</v>
      </c>
      <c r="G1841" t="s">
        <v>864</v>
      </c>
      <c r="H1841" t="s">
        <v>5034</v>
      </c>
      <c r="I1841" s="7">
        <v>1165</v>
      </c>
      <c r="J1841" s="7">
        <v>52928</v>
      </c>
      <c r="K1841" s="7">
        <v>7</v>
      </c>
      <c r="L1841" t="s">
        <v>247</v>
      </c>
      <c r="M1841" t="s">
        <v>361</v>
      </c>
      <c r="N1841" s="7">
        <v>3911</v>
      </c>
      <c r="O1841" t="s">
        <v>1317</v>
      </c>
      <c r="P1841" t="s">
        <v>1318</v>
      </c>
      <c r="S1841" t="s">
        <v>5021</v>
      </c>
      <c r="T1841" t="s">
        <v>5022</v>
      </c>
      <c r="U1841" t="s">
        <v>5023</v>
      </c>
      <c r="V1841" s="8">
        <v>1650</v>
      </c>
      <c r="W1841" s="7">
        <v>0</v>
      </c>
      <c r="Y1841" s="8">
        <v>1650</v>
      </c>
      <c r="Z1841" s="8">
        <v>1947</v>
      </c>
      <c r="AA1841" s="8">
        <v>297</v>
      </c>
      <c r="AB1841" s="7">
        <v>0</v>
      </c>
      <c r="AD1841" s="8">
        <v>0</v>
      </c>
      <c r="AG1841" t="s">
        <v>823</v>
      </c>
      <c r="AH1841" t="s">
        <v>802</v>
      </c>
      <c r="AI1841" t="s">
        <v>818</v>
      </c>
    </row>
    <row r="1842" spans="1:35" hidden="1">
      <c r="A1842" s="7">
        <v>1841</v>
      </c>
      <c r="B1842" t="s">
        <v>243</v>
      </c>
      <c r="C1842" t="s">
        <v>244</v>
      </c>
      <c r="D1842" s="7">
        <v>7134</v>
      </c>
      <c r="E1842" t="s">
        <v>245</v>
      </c>
      <c r="F1842" t="s">
        <v>246</v>
      </c>
      <c r="G1842" t="s">
        <v>1512</v>
      </c>
      <c r="H1842" t="s">
        <v>5038</v>
      </c>
      <c r="I1842" s="7">
        <v>1165</v>
      </c>
      <c r="J1842" s="7">
        <v>110000</v>
      </c>
      <c r="K1842" s="7">
        <v>11</v>
      </c>
      <c r="L1842" t="s">
        <v>247</v>
      </c>
      <c r="M1842" t="s">
        <v>261</v>
      </c>
      <c r="N1842" s="7">
        <v>775228</v>
      </c>
      <c r="O1842" t="s">
        <v>1513</v>
      </c>
      <c r="P1842" t="s">
        <v>1514</v>
      </c>
      <c r="S1842" t="s">
        <v>5021</v>
      </c>
      <c r="T1842" t="s">
        <v>5022</v>
      </c>
      <c r="U1842" t="s">
        <v>5023</v>
      </c>
      <c r="V1842" s="8">
        <v>1250</v>
      </c>
      <c r="W1842" s="7">
        <v>0</v>
      </c>
      <c r="Y1842" s="8">
        <v>1250</v>
      </c>
      <c r="Z1842" s="8">
        <v>1475</v>
      </c>
      <c r="AA1842" s="8">
        <v>225</v>
      </c>
      <c r="AB1842" s="7">
        <v>0</v>
      </c>
      <c r="AD1842" s="8">
        <v>0</v>
      </c>
      <c r="AG1842" t="s">
        <v>801</v>
      </c>
      <c r="AH1842" t="s">
        <v>802</v>
      </c>
      <c r="AI1842" t="s">
        <v>818</v>
      </c>
    </row>
    <row r="1843" spans="1:35" hidden="1">
      <c r="A1843" s="7">
        <v>1842</v>
      </c>
      <c r="B1843" t="s">
        <v>243</v>
      </c>
      <c r="C1843" t="s">
        <v>244</v>
      </c>
      <c r="D1843" s="7">
        <v>7134</v>
      </c>
      <c r="E1843" t="s">
        <v>245</v>
      </c>
      <c r="F1843" t="s">
        <v>246</v>
      </c>
      <c r="G1843" t="s">
        <v>5064</v>
      </c>
      <c r="H1843" t="s">
        <v>5033</v>
      </c>
      <c r="I1843" s="7">
        <v>1165</v>
      </c>
      <c r="J1843" s="7">
        <v>2945</v>
      </c>
      <c r="K1843" s="7">
        <v>1</v>
      </c>
      <c r="L1843" t="s">
        <v>247</v>
      </c>
      <c r="M1843" t="s">
        <v>252</v>
      </c>
      <c r="N1843" s="7">
        <v>1</v>
      </c>
      <c r="O1843" t="s">
        <v>5067</v>
      </c>
      <c r="P1843" t="s">
        <v>5068</v>
      </c>
      <c r="S1843" t="s">
        <v>5021</v>
      </c>
      <c r="T1843" t="s">
        <v>5022</v>
      </c>
      <c r="U1843" t="s">
        <v>5023</v>
      </c>
      <c r="V1843" s="8">
        <v>1250</v>
      </c>
      <c r="W1843" s="7">
        <v>0</v>
      </c>
      <c r="Y1843" s="8">
        <v>1250</v>
      </c>
      <c r="Z1843" s="8">
        <v>1475</v>
      </c>
      <c r="AA1843" s="8">
        <v>225</v>
      </c>
      <c r="AB1843" s="7">
        <v>0</v>
      </c>
      <c r="AD1843" s="8">
        <v>0</v>
      </c>
      <c r="AG1843" t="s">
        <v>937</v>
      </c>
      <c r="AH1843" t="s">
        <v>802</v>
      </c>
      <c r="AI1843" t="s">
        <v>818</v>
      </c>
    </row>
    <row r="1844" spans="1:35" hidden="1">
      <c r="A1844" s="7">
        <v>1843</v>
      </c>
      <c r="B1844" t="s">
        <v>243</v>
      </c>
      <c r="C1844" t="s">
        <v>244</v>
      </c>
      <c r="D1844" s="7">
        <v>7134</v>
      </c>
      <c r="E1844" t="s">
        <v>245</v>
      </c>
      <c r="F1844" t="s">
        <v>246</v>
      </c>
      <c r="G1844" t="s">
        <v>4877</v>
      </c>
      <c r="H1844" t="s">
        <v>5062</v>
      </c>
      <c r="I1844" s="7">
        <v>1165</v>
      </c>
      <c r="J1844" s="7">
        <v>9203</v>
      </c>
      <c r="K1844" s="7">
        <v>2</v>
      </c>
      <c r="L1844" t="s">
        <v>247</v>
      </c>
      <c r="M1844" t="s">
        <v>261</v>
      </c>
      <c r="N1844" s="7">
        <v>812404</v>
      </c>
      <c r="O1844" t="s">
        <v>4931</v>
      </c>
      <c r="P1844" t="s">
        <v>4932</v>
      </c>
      <c r="Q1844" t="s">
        <v>283</v>
      </c>
      <c r="R1844" t="s">
        <v>1062</v>
      </c>
      <c r="S1844" t="s">
        <v>5021</v>
      </c>
      <c r="T1844" t="s">
        <v>5022</v>
      </c>
      <c r="U1844" t="s">
        <v>5023</v>
      </c>
      <c r="V1844" s="8">
        <v>0</v>
      </c>
      <c r="W1844" s="7">
        <v>0</v>
      </c>
      <c r="Y1844" s="8">
        <v>0</v>
      </c>
      <c r="Z1844" s="8">
        <v>0</v>
      </c>
      <c r="AA1844" s="8">
        <v>0</v>
      </c>
      <c r="AB1844" s="7">
        <v>0</v>
      </c>
      <c r="AD1844" s="8">
        <v>0</v>
      </c>
      <c r="AG1844" t="s">
        <v>801</v>
      </c>
      <c r="AH1844" t="s">
        <v>802</v>
      </c>
      <c r="AI1844" t="s">
        <v>803</v>
      </c>
    </row>
    <row r="1845" spans="1:35" hidden="1">
      <c r="A1845" s="7">
        <v>1844</v>
      </c>
      <c r="B1845" t="s">
        <v>243</v>
      </c>
      <c r="C1845" t="s">
        <v>244</v>
      </c>
      <c r="D1845" s="7">
        <v>7134</v>
      </c>
      <c r="E1845" t="s">
        <v>245</v>
      </c>
      <c r="F1845" t="s">
        <v>246</v>
      </c>
      <c r="G1845" t="s">
        <v>770</v>
      </c>
      <c r="H1845" t="s">
        <v>5038</v>
      </c>
      <c r="I1845" s="7">
        <v>1190</v>
      </c>
      <c r="J1845" s="7">
        <v>26439</v>
      </c>
      <c r="K1845" s="7">
        <v>4</v>
      </c>
      <c r="L1845" t="s">
        <v>247</v>
      </c>
      <c r="M1845" t="s">
        <v>261</v>
      </c>
      <c r="N1845" s="7">
        <v>802410</v>
      </c>
      <c r="O1845" t="s">
        <v>3387</v>
      </c>
      <c r="P1845" t="s">
        <v>3388</v>
      </c>
      <c r="S1845" t="s">
        <v>5021</v>
      </c>
      <c r="T1845" t="s">
        <v>5022</v>
      </c>
      <c r="U1845" t="s">
        <v>5023</v>
      </c>
      <c r="V1845" s="8">
        <v>0</v>
      </c>
      <c r="W1845" s="7">
        <v>0</v>
      </c>
      <c r="Y1845" s="8">
        <v>0</v>
      </c>
      <c r="Z1845" s="8">
        <v>0</v>
      </c>
      <c r="AA1845" s="8">
        <v>0</v>
      </c>
      <c r="AB1845" s="7">
        <v>0</v>
      </c>
      <c r="AD1845" s="8">
        <v>0</v>
      </c>
      <c r="AG1845" t="s">
        <v>801</v>
      </c>
      <c r="AH1845" t="s">
        <v>802</v>
      </c>
      <c r="AI1845" t="s">
        <v>803</v>
      </c>
    </row>
    <row r="1846" spans="1:35" hidden="1">
      <c r="A1846" s="7">
        <v>1845</v>
      </c>
      <c r="B1846" t="s">
        <v>243</v>
      </c>
      <c r="C1846" t="s">
        <v>244</v>
      </c>
      <c r="D1846" s="7">
        <v>7134</v>
      </c>
      <c r="E1846" t="s">
        <v>245</v>
      </c>
      <c r="F1846" t="s">
        <v>246</v>
      </c>
      <c r="G1846" t="s">
        <v>1589</v>
      </c>
      <c r="H1846" t="s">
        <v>5029</v>
      </c>
      <c r="I1846" s="7">
        <v>1165</v>
      </c>
      <c r="J1846" s="7">
        <v>70000</v>
      </c>
      <c r="K1846" s="7">
        <v>8</v>
      </c>
      <c r="L1846" t="s">
        <v>247</v>
      </c>
      <c r="M1846" t="s">
        <v>261</v>
      </c>
      <c r="N1846" s="7">
        <v>790286</v>
      </c>
      <c r="O1846" t="s">
        <v>1590</v>
      </c>
      <c r="P1846" t="s">
        <v>1591</v>
      </c>
      <c r="S1846" t="s">
        <v>5021</v>
      </c>
      <c r="T1846" t="s">
        <v>5022</v>
      </c>
      <c r="U1846" t="s">
        <v>5023</v>
      </c>
      <c r="V1846" s="8">
        <v>1250</v>
      </c>
      <c r="W1846" s="7">
        <v>0</v>
      </c>
      <c r="Y1846" s="8">
        <v>1250</v>
      </c>
      <c r="Z1846" s="8">
        <v>1475</v>
      </c>
      <c r="AA1846" s="8">
        <v>225</v>
      </c>
      <c r="AB1846" s="7">
        <v>0</v>
      </c>
      <c r="AD1846" s="8">
        <v>0</v>
      </c>
      <c r="AG1846" t="s">
        <v>801</v>
      </c>
      <c r="AH1846" t="s">
        <v>802</v>
      </c>
      <c r="AI1846" t="s">
        <v>818</v>
      </c>
    </row>
    <row r="1847" spans="1:35" hidden="1">
      <c r="A1847" s="7">
        <v>1846</v>
      </c>
      <c r="B1847" t="s">
        <v>243</v>
      </c>
      <c r="C1847" t="s">
        <v>244</v>
      </c>
      <c r="D1847" s="7">
        <v>7134</v>
      </c>
      <c r="E1847" t="s">
        <v>245</v>
      </c>
      <c r="F1847" t="s">
        <v>246</v>
      </c>
      <c r="G1847" t="s">
        <v>727</v>
      </c>
      <c r="H1847" t="s">
        <v>5048</v>
      </c>
      <c r="I1847" s="7">
        <v>1165</v>
      </c>
      <c r="J1847" s="7">
        <v>25205</v>
      </c>
      <c r="K1847" s="7">
        <v>3</v>
      </c>
      <c r="L1847" t="s">
        <v>247</v>
      </c>
      <c r="M1847" t="s">
        <v>361</v>
      </c>
      <c r="N1847" s="7">
        <v>8144</v>
      </c>
      <c r="O1847" t="s">
        <v>729</v>
      </c>
      <c r="P1847" t="s">
        <v>730</v>
      </c>
      <c r="S1847" t="s">
        <v>5021</v>
      </c>
      <c r="T1847" t="s">
        <v>5022</v>
      </c>
      <c r="U1847" t="s">
        <v>5023</v>
      </c>
      <c r="V1847" s="8">
        <v>1650</v>
      </c>
      <c r="W1847" s="7">
        <v>0</v>
      </c>
      <c r="Y1847" s="8">
        <v>1650</v>
      </c>
      <c r="Z1847" s="8">
        <v>1947</v>
      </c>
      <c r="AA1847" s="8">
        <v>297</v>
      </c>
      <c r="AB1847" s="7">
        <v>0</v>
      </c>
      <c r="AD1847" s="8">
        <v>0</v>
      </c>
      <c r="AG1847" t="s">
        <v>823</v>
      </c>
      <c r="AH1847" t="s">
        <v>802</v>
      </c>
      <c r="AI1847" t="s">
        <v>818</v>
      </c>
    </row>
    <row r="1848" spans="1:35" hidden="1">
      <c r="A1848" s="7">
        <v>1847</v>
      </c>
      <c r="B1848" t="s">
        <v>243</v>
      </c>
      <c r="C1848" t="s">
        <v>244</v>
      </c>
      <c r="D1848" s="7">
        <v>7134</v>
      </c>
      <c r="E1848" t="s">
        <v>245</v>
      </c>
      <c r="F1848" t="s">
        <v>246</v>
      </c>
      <c r="G1848" t="s">
        <v>612</v>
      </c>
      <c r="H1848" t="s">
        <v>5069</v>
      </c>
      <c r="I1848" s="7">
        <v>1165</v>
      </c>
      <c r="J1848" s="7">
        <v>44407</v>
      </c>
      <c r="K1848" s="7">
        <v>2</v>
      </c>
      <c r="L1848" t="s">
        <v>247</v>
      </c>
      <c r="M1848" t="s">
        <v>261</v>
      </c>
      <c r="N1848" s="7">
        <v>803547</v>
      </c>
      <c r="O1848" t="s">
        <v>614</v>
      </c>
      <c r="P1848" t="s">
        <v>615</v>
      </c>
      <c r="Q1848" t="s">
        <v>908</v>
      </c>
      <c r="R1848" t="s">
        <v>909</v>
      </c>
      <c r="S1848" t="s">
        <v>5021</v>
      </c>
      <c r="T1848" t="s">
        <v>5022</v>
      </c>
      <c r="U1848" t="s">
        <v>5023</v>
      </c>
      <c r="V1848" s="8">
        <v>1250</v>
      </c>
      <c r="W1848" s="7">
        <v>0</v>
      </c>
      <c r="Y1848" s="8">
        <v>1000</v>
      </c>
      <c r="Z1848" s="8">
        <v>1475</v>
      </c>
      <c r="AA1848" s="8">
        <v>225</v>
      </c>
      <c r="AB1848" s="7">
        <v>0</v>
      </c>
      <c r="AD1848" s="8">
        <v>250</v>
      </c>
      <c r="AG1848" t="s">
        <v>801</v>
      </c>
      <c r="AH1848" t="s">
        <v>802</v>
      </c>
      <c r="AI1848" t="s">
        <v>818</v>
      </c>
    </row>
    <row r="1849" spans="1:35" hidden="1">
      <c r="A1849" s="7">
        <v>1848</v>
      </c>
      <c r="B1849" t="s">
        <v>243</v>
      </c>
      <c r="C1849" t="s">
        <v>244</v>
      </c>
      <c r="D1849" s="7">
        <v>7134</v>
      </c>
      <c r="E1849" t="s">
        <v>245</v>
      </c>
      <c r="F1849" t="s">
        <v>246</v>
      </c>
      <c r="G1849" t="s">
        <v>539</v>
      </c>
      <c r="H1849" t="s">
        <v>5033</v>
      </c>
      <c r="I1849" s="7">
        <v>1150</v>
      </c>
      <c r="J1849" s="7">
        <v>16682</v>
      </c>
      <c r="K1849" s="7">
        <v>5</v>
      </c>
      <c r="L1849" t="s">
        <v>247</v>
      </c>
      <c r="M1849" t="s">
        <v>261</v>
      </c>
      <c r="N1849" s="7">
        <v>778389</v>
      </c>
      <c r="O1849" t="s">
        <v>2204</v>
      </c>
      <c r="P1849" t="s">
        <v>2205</v>
      </c>
      <c r="S1849" t="s">
        <v>5021</v>
      </c>
      <c r="T1849" t="s">
        <v>5022</v>
      </c>
      <c r="U1849" t="s">
        <v>5023</v>
      </c>
      <c r="V1849" s="8">
        <v>1250</v>
      </c>
      <c r="W1849" s="7">
        <v>0</v>
      </c>
      <c r="Y1849" s="8">
        <v>1250</v>
      </c>
      <c r="Z1849" s="8">
        <v>1475</v>
      </c>
      <c r="AA1849" s="8">
        <v>225</v>
      </c>
      <c r="AB1849" s="7">
        <v>0</v>
      </c>
      <c r="AD1849" s="8">
        <v>0</v>
      </c>
      <c r="AG1849" t="s">
        <v>808</v>
      </c>
      <c r="AH1849" t="s">
        <v>802</v>
      </c>
      <c r="AI1849" t="s">
        <v>818</v>
      </c>
    </row>
    <row r="1850" spans="1:35" hidden="1">
      <c r="A1850" s="7">
        <v>1849</v>
      </c>
      <c r="B1850" t="s">
        <v>243</v>
      </c>
      <c r="C1850" t="s">
        <v>244</v>
      </c>
      <c r="D1850" s="7">
        <v>7134</v>
      </c>
      <c r="E1850" t="s">
        <v>245</v>
      </c>
      <c r="F1850" t="s">
        <v>246</v>
      </c>
      <c r="G1850" t="s">
        <v>313</v>
      </c>
      <c r="H1850" t="s">
        <v>5070</v>
      </c>
      <c r="I1850" s="7">
        <v>1165</v>
      </c>
      <c r="J1850" s="7">
        <v>17110</v>
      </c>
      <c r="K1850" s="7">
        <v>6</v>
      </c>
      <c r="L1850" t="s">
        <v>247</v>
      </c>
      <c r="M1850" t="s">
        <v>261</v>
      </c>
      <c r="N1850" s="7">
        <v>785189</v>
      </c>
      <c r="O1850" t="s">
        <v>373</v>
      </c>
      <c r="P1850" t="s">
        <v>374</v>
      </c>
      <c r="S1850" t="s">
        <v>5021</v>
      </c>
      <c r="T1850" t="s">
        <v>5022</v>
      </c>
      <c r="U1850" t="s">
        <v>5023</v>
      </c>
      <c r="V1850" s="8">
        <v>0</v>
      </c>
      <c r="W1850" s="7">
        <v>0</v>
      </c>
      <c r="Y1850" s="8">
        <v>0</v>
      </c>
      <c r="Z1850" s="8">
        <v>0</v>
      </c>
      <c r="AA1850" s="8">
        <v>0</v>
      </c>
      <c r="AB1850" s="7">
        <v>0</v>
      </c>
      <c r="AD1850" s="8">
        <v>0</v>
      </c>
      <c r="AG1850" t="s">
        <v>801</v>
      </c>
      <c r="AH1850" t="s">
        <v>802</v>
      </c>
      <c r="AI1850" t="s">
        <v>803</v>
      </c>
    </row>
    <row r="1851" spans="1:35" hidden="1">
      <c r="A1851" s="7">
        <v>1850</v>
      </c>
      <c r="B1851" t="s">
        <v>243</v>
      </c>
      <c r="C1851" t="s">
        <v>244</v>
      </c>
      <c r="D1851" s="7">
        <v>7134</v>
      </c>
      <c r="E1851" t="s">
        <v>245</v>
      </c>
      <c r="F1851" t="s">
        <v>246</v>
      </c>
      <c r="G1851" t="s">
        <v>248</v>
      </c>
      <c r="H1851" t="s">
        <v>5048</v>
      </c>
      <c r="I1851" s="7">
        <v>850</v>
      </c>
      <c r="J1851" s="7">
        <v>90000</v>
      </c>
      <c r="K1851" s="7">
        <v>5</v>
      </c>
      <c r="L1851" t="s">
        <v>247</v>
      </c>
      <c r="M1851" t="s">
        <v>261</v>
      </c>
      <c r="N1851" s="7">
        <v>795369</v>
      </c>
      <c r="O1851" t="s">
        <v>1929</v>
      </c>
      <c r="P1851" t="s">
        <v>1930</v>
      </c>
      <c r="S1851" t="s">
        <v>5021</v>
      </c>
      <c r="T1851" t="s">
        <v>5022</v>
      </c>
      <c r="U1851" t="s">
        <v>5023</v>
      </c>
      <c r="V1851" s="8">
        <v>0</v>
      </c>
      <c r="W1851" s="7">
        <v>0</v>
      </c>
      <c r="Y1851" s="8">
        <v>0</v>
      </c>
      <c r="Z1851" s="8">
        <v>0</v>
      </c>
      <c r="AA1851" s="8">
        <v>0</v>
      </c>
      <c r="AB1851" s="7">
        <v>0</v>
      </c>
      <c r="AD1851" s="8">
        <v>0</v>
      </c>
      <c r="AG1851" t="s">
        <v>817</v>
      </c>
      <c r="AH1851" t="s">
        <v>802</v>
      </c>
      <c r="AI1851" t="s">
        <v>803</v>
      </c>
    </row>
    <row r="1852" spans="1:35" hidden="1">
      <c r="A1852" s="7">
        <v>1851</v>
      </c>
      <c r="B1852" t="s">
        <v>243</v>
      </c>
      <c r="C1852" t="s">
        <v>244</v>
      </c>
      <c r="D1852" s="7">
        <v>7134</v>
      </c>
      <c r="E1852" t="s">
        <v>245</v>
      </c>
      <c r="F1852" t="s">
        <v>246</v>
      </c>
      <c r="G1852" t="s">
        <v>1542</v>
      </c>
      <c r="H1852" t="s">
        <v>5055</v>
      </c>
      <c r="I1852" s="7">
        <v>1165</v>
      </c>
      <c r="J1852" s="7">
        <v>110000</v>
      </c>
      <c r="K1852" s="7">
        <v>11</v>
      </c>
      <c r="L1852" t="s">
        <v>247</v>
      </c>
      <c r="M1852" t="s">
        <v>361</v>
      </c>
      <c r="N1852" s="7">
        <v>3269</v>
      </c>
      <c r="O1852" t="s">
        <v>1543</v>
      </c>
      <c r="P1852" t="s">
        <v>1544</v>
      </c>
      <c r="S1852" t="s">
        <v>5021</v>
      </c>
      <c r="T1852" t="s">
        <v>5022</v>
      </c>
      <c r="U1852" t="s">
        <v>5023</v>
      </c>
      <c r="V1852" s="8">
        <v>0</v>
      </c>
      <c r="W1852" s="7">
        <v>0</v>
      </c>
      <c r="Y1852" s="8">
        <v>0</v>
      </c>
      <c r="Z1852" s="8">
        <v>0</v>
      </c>
      <c r="AA1852" s="8">
        <v>0</v>
      </c>
      <c r="AB1852" s="7">
        <v>0</v>
      </c>
      <c r="AD1852" s="8">
        <v>0</v>
      </c>
      <c r="AG1852" t="s">
        <v>823</v>
      </c>
      <c r="AH1852" t="s">
        <v>802</v>
      </c>
      <c r="AI1852" t="s">
        <v>803</v>
      </c>
    </row>
    <row r="1853" spans="1:35" hidden="1">
      <c r="A1853" s="7">
        <v>1852</v>
      </c>
      <c r="B1853" t="s">
        <v>243</v>
      </c>
      <c r="C1853" t="s">
        <v>244</v>
      </c>
      <c r="D1853" s="7">
        <v>7134</v>
      </c>
      <c r="E1853" t="s">
        <v>245</v>
      </c>
      <c r="F1853" t="s">
        <v>246</v>
      </c>
      <c r="G1853" t="s">
        <v>917</v>
      </c>
      <c r="H1853" t="s">
        <v>5056</v>
      </c>
      <c r="I1853" s="7">
        <v>1065</v>
      </c>
      <c r="J1853" s="7">
        <v>27319</v>
      </c>
      <c r="K1853" s="7">
        <v>5</v>
      </c>
      <c r="L1853" t="s">
        <v>247</v>
      </c>
      <c r="M1853" t="s">
        <v>252</v>
      </c>
      <c r="N1853" s="7">
        <v>327119</v>
      </c>
      <c r="O1853" t="s">
        <v>1778</v>
      </c>
      <c r="P1853" t="s">
        <v>1779</v>
      </c>
      <c r="Q1853" t="s">
        <v>1902</v>
      </c>
      <c r="R1853" t="s">
        <v>1903</v>
      </c>
      <c r="S1853" t="s">
        <v>5021</v>
      </c>
      <c r="T1853" t="s">
        <v>5022</v>
      </c>
      <c r="U1853" t="s">
        <v>5023</v>
      </c>
      <c r="V1853" s="8">
        <v>1250</v>
      </c>
      <c r="W1853" s="7">
        <v>0</v>
      </c>
      <c r="Y1853" s="8">
        <v>0</v>
      </c>
      <c r="Z1853" s="8">
        <v>1475</v>
      </c>
      <c r="AA1853" s="8">
        <v>225</v>
      </c>
      <c r="AB1853" s="7">
        <v>0</v>
      </c>
      <c r="AD1853" s="8">
        <v>1250</v>
      </c>
      <c r="AG1853" t="s">
        <v>937</v>
      </c>
      <c r="AH1853" t="s">
        <v>802</v>
      </c>
      <c r="AI1853" t="s">
        <v>818</v>
      </c>
    </row>
    <row r="1854" spans="1:35" hidden="1">
      <c r="A1854" s="7">
        <v>1853</v>
      </c>
      <c r="B1854" t="s">
        <v>243</v>
      </c>
      <c r="C1854" t="s">
        <v>244</v>
      </c>
      <c r="D1854" s="7">
        <v>7134</v>
      </c>
      <c r="E1854" t="s">
        <v>245</v>
      </c>
      <c r="F1854" t="s">
        <v>246</v>
      </c>
      <c r="G1854" t="s">
        <v>3078</v>
      </c>
      <c r="H1854" t="s">
        <v>4859</v>
      </c>
      <c r="I1854" s="7">
        <v>1165</v>
      </c>
      <c r="J1854" s="7">
        <v>13010</v>
      </c>
      <c r="K1854" s="7">
        <v>3</v>
      </c>
      <c r="L1854" t="s">
        <v>247</v>
      </c>
      <c r="M1854" t="s">
        <v>261</v>
      </c>
      <c r="N1854" s="7">
        <v>807201</v>
      </c>
      <c r="O1854" t="s">
        <v>3437</v>
      </c>
      <c r="P1854" t="s">
        <v>3438</v>
      </c>
      <c r="S1854" t="s">
        <v>5021</v>
      </c>
      <c r="T1854" t="s">
        <v>5022</v>
      </c>
      <c r="U1854" t="s">
        <v>5023</v>
      </c>
      <c r="V1854" s="8">
        <v>1250</v>
      </c>
      <c r="W1854" s="7">
        <v>0</v>
      </c>
      <c r="Y1854" s="8">
        <v>1250</v>
      </c>
      <c r="Z1854" s="8">
        <v>1475</v>
      </c>
      <c r="AA1854" s="8">
        <v>225</v>
      </c>
      <c r="AB1854" s="7">
        <v>0</v>
      </c>
      <c r="AD1854" s="8">
        <v>0</v>
      </c>
      <c r="AG1854" t="s">
        <v>801</v>
      </c>
      <c r="AH1854" t="s">
        <v>802</v>
      </c>
      <c r="AI1854" t="s">
        <v>818</v>
      </c>
    </row>
    <row r="1855" spans="1:35" hidden="1">
      <c r="A1855" s="7">
        <v>1854</v>
      </c>
      <c r="B1855" t="s">
        <v>243</v>
      </c>
      <c r="C1855" t="s">
        <v>244</v>
      </c>
      <c r="D1855" s="7">
        <v>7134</v>
      </c>
      <c r="E1855" t="s">
        <v>245</v>
      </c>
      <c r="F1855" t="s">
        <v>246</v>
      </c>
      <c r="G1855" t="s">
        <v>4925</v>
      </c>
      <c r="H1855" t="s">
        <v>5026</v>
      </c>
      <c r="I1855" s="7">
        <v>1165</v>
      </c>
      <c r="J1855" s="7">
        <v>1372</v>
      </c>
      <c r="K1855" s="7">
        <v>1</v>
      </c>
      <c r="L1855" t="s">
        <v>247</v>
      </c>
      <c r="M1855" t="s">
        <v>252</v>
      </c>
      <c r="N1855" s="7">
        <v>332653</v>
      </c>
      <c r="O1855" t="s">
        <v>5071</v>
      </c>
      <c r="P1855" t="s">
        <v>5072</v>
      </c>
      <c r="S1855" t="s">
        <v>5021</v>
      </c>
      <c r="T1855" t="s">
        <v>5022</v>
      </c>
      <c r="U1855" t="s">
        <v>5023</v>
      </c>
      <c r="V1855" s="8">
        <v>1250</v>
      </c>
      <c r="W1855" s="7">
        <v>0</v>
      </c>
      <c r="Y1855" s="8">
        <v>1250</v>
      </c>
      <c r="Z1855" s="8">
        <v>1475</v>
      </c>
      <c r="AA1855" s="8">
        <v>225</v>
      </c>
      <c r="AB1855" s="7">
        <v>0</v>
      </c>
      <c r="AD1855" s="8">
        <v>0</v>
      </c>
      <c r="AG1855" t="s">
        <v>937</v>
      </c>
      <c r="AH1855" t="s">
        <v>802</v>
      </c>
      <c r="AI1855" t="s">
        <v>818</v>
      </c>
    </row>
    <row r="1856" spans="1:35" hidden="1">
      <c r="A1856" s="7">
        <v>1855</v>
      </c>
      <c r="B1856" t="s">
        <v>243</v>
      </c>
      <c r="C1856" t="s">
        <v>244</v>
      </c>
      <c r="D1856" s="7">
        <v>7134</v>
      </c>
      <c r="E1856" t="s">
        <v>245</v>
      </c>
      <c r="F1856" t="s">
        <v>246</v>
      </c>
      <c r="G1856" t="s">
        <v>1305</v>
      </c>
      <c r="H1856" t="s">
        <v>5024</v>
      </c>
      <c r="I1856" s="7">
        <v>1165</v>
      </c>
      <c r="J1856" s="7">
        <v>90860</v>
      </c>
      <c r="K1856" s="7">
        <v>9</v>
      </c>
      <c r="L1856" t="s">
        <v>247</v>
      </c>
      <c r="M1856" t="s">
        <v>261</v>
      </c>
      <c r="N1856" s="7">
        <v>775502</v>
      </c>
      <c r="O1856" t="s">
        <v>1845</v>
      </c>
      <c r="P1856" t="s">
        <v>1846</v>
      </c>
      <c r="Q1856" t="s">
        <v>870</v>
      </c>
      <c r="R1856" t="s">
        <v>871</v>
      </c>
      <c r="S1856" t="s">
        <v>5021</v>
      </c>
      <c r="T1856" t="s">
        <v>5022</v>
      </c>
      <c r="U1856" t="s">
        <v>5023</v>
      </c>
      <c r="V1856" s="8">
        <v>0</v>
      </c>
      <c r="W1856" s="7">
        <v>0</v>
      </c>
      <c r="Y1856" s="8">
        <v>0</v>
      </c>
      <c r="Z1856" s="8">
        <v>0</v>
      </c>
      <c r="AA1856" s="8">
        <v>0</v>
      </c>
      <c r="AB1856" s="7">
        <v>0</v>
      </c>
      <c r="AD1856" s="8">
        <v>0</v>
      </c>
      <c r="AG1856" t="s">
        <v>801</v>
      </c>
      <c r="AH1856" t="s">
        <v>802</v>
      </c>
      <c r="AI1856" t="s">
        <v>803</v>
      </c>
    </row>
    <row r="1857" spans="1:35" hidden="1">
      <c r="A1857" s="7">
        <v>1856</v>
      </c>
      <c r="B1857" t="s">
        <v>243</v>
      </c>
      <c r="C1857" t="s">
        <v>244</v>
      </c>
      <c r="D1857" s="7">
        <v>7134</v>
      </c>
      <c r="E1857" t="s">
        <v>245</v>
      </c>
      <c r="F1857" t="s">
        <v>246</v>
      </c>
      <c r="G1857" t="s">
        <v>1131</v>
      </c>
      <c r="H1857" t="s">
        <v>5026</v>
      </c>
      <c r="I1857" s="7">
        <v>1165</v>
      </c>
      <c r="J1857" s="7">
        <v>48530</v>
      </c>
      <c r="K1857" s="7">
        <v>6</v>
      </c>
      <c r="L1857" t="s">
        <v>247</v>
      </c>
      <c r="M1857" t="s">
        <v>361</v>
      </c>
      <c r="N1857" s="7">
        <v>5114</v>
      </c>
      <c r="O1857" t="s">
        <v>2172</v>
      </c>
      <c r="P1857" t="s">
        <v>2173</v>
      </c>
      <c r="S1857" t="s">
        <v>5021</v>
      </c>
      <c r="T1857" t="s">
        <v>5022</v>
      </c>
      <c r="U1857" t="s">
        <v>5023</v>
      </c>
      <c r="V1857" s="8">
        <v>0</v>
      </c>
      <c r="W1857" s="7">
        <v>0</v>
      </c>
      <c r="Y1857" s="8">
        <v>0</v>
      </c>
      <c r="Z1857" s="8">
        <v>0</v>
      </c>
      <c r="AA1857" s="8">
        <v>0</v>
      </c>
      <c r="AB1857" s="7">
        <v>0</v>
      </c>
      <c r="AD1857" s="8">
        <v>0</v>
      </c>
      <c r="AG1857" t="s">
        <v>823</v>
      </c>
      <c r="AH1857" t="s">
        <v>802</v>
      </c>
      <c r="AI1857" t="s">
        <v>803</v>
      </c>
    </row>
    <row r="1858" spans="1:35" hidden="1">
      <c r="A1858" s="7">
        <v>1857</v>
      </c>
      <c r="B1858" t="s">
        <v>243</v>
      </c>
      <c r="C1858" t="s">
        <v>244</v>
      </c>
      <c r="D1858" s="7">
        <v>7134</v>
      </c>
      <c r="E1858" t="s">
        <v>245</v>
      </c>
      <c r="F1858" t="s">
        <v>246</v>
      </c>
      <c r="G1858" t="s">
        <v>293</v>
      </c>
      <c r="H1858" t="s">
        <v>5069</v>
      </c>
      <c r="I1858" s="7">
        <v>1150</v>
      </c>
      <c r="J1858" s="7">
        <v>19319</v>
      </c>
      <c r="K1858" s="7">
        <v>5</v>
      </c>
      <c r="L1858" t="s">
        <v>247</v>
      </c>
      <c r="M1858" t="s">
        <v>261</v>
      </c>
      <c r="N1858" s="7">
        <v>778220</v>
      </c>
      <c r="O1858" t="s">
        <v>2194</v>
      </c>
      <c r="P1858" t="s">
        <v>2195</v>
      </c>
      <c r="S1858" t="s">
        <v>5021</v>
      </c>
      <c r="T1858" t="s">
        <v>5022</v>
      </c>
      <c r="U1858" t="s">
        <v>5023</v>
      </c>
      <c r="V1858" s="8">
        <v>1250</v>
      </c>
      <c r="W1858" s="7">
        <v>0</v>
      </c>
      <c r="Y1858" s="8">
        <v>1250</v>
      </c>
      <c r="Z1858" s="8">
        <v>1475</v>
      </c>
      <c r="AA1858" s="8">
        <v>225</v>
      </c>
      <c r="AB1858" s="7">
        <v>0</v>
      </c>
      <c r="AD1858" s="8">
        <v>0</v>
      </c>
      <c r="AG1858" t="s">
        <v>808</v>
      </c>
      <c r="AH1858" t="s">
        <v>802</v>
      </c>
      <c r="AI1858" t="s">
        <v>818</v>
      </c>
    </row>
    <row r="1859" spans="1:35" hidden="1">
      <c r="A1859" s="7">
        <v>1858</v>
      </c>
      <c r="B1859" t="s">
        <v>243</v>
      </c>
      <c r="C1859" t="s">
        <v>244</v>
      </c>
      <c r="D1859" s="7">
        <v>7134</v>
      </c>
      <c r="E1859" t="s">
        <v>245</v>
      </c>
      <c r="F1859" t="s">
        <v>246</v>
      </c>
      <c r="G1859" t="s">
        <v>1428</v>
      </c>
      <c r="H1859" t="s">
        <v>5043</v>
      </c>
      <c r="I1859" s="7">
        <v>1165</v>
      </c>
      <c r="J1859" s="7">
        <v>100800</v>
      </c>
      <c r="K1859" s="7">
        <v>10</v>
      </c>
      <c r="L1859" t="s">
        <v>247</v>
      </c>
      <c r="M1859" t="s">
        <v>361</v>
      </c>
      <c r="N1859" s="7">
        <v>3046</v>
      </c>
      <c r="O1859" t="s">
        <v>1429</v>
      </c>
      <c r="P1859" t="s">
        <v>1430</v>
      </c>
      <c r="S1859" t="s">
        <v>5021</v>
      </c>
      <c r="T1859" t="s">
        <v>5022</v>
      </c>
      <c r="U1859" t="s">
        <v>5023</v>
      </c>
      <c r="V1859" s="8">
        <v>0</v>
      </c>
      <c r="W1859" s="7">
        <v>0</v>
      </c>
      <c r="Y1859" s="8">
        <v>0</v>
      </c>
      <c r="Z1859" s="8">
        <v>0</v>
      </c>
      <c r="AA1859" s="8">
        <v>0</v>
      </c>
      <c r="AB1859" s="7">
        <v>0</v>
      </c>
      <c r="AD1859" s="8">
        <v>0</v>
      </c>
      <c r="AG1859" t="s">
        <v>823</v>
      </c>
      <c r="AH1859" t="s">
        <v>802</v>
      </c>
      <c r="AI1859" t="s">
        <v>803</v>
      </c>
    </row>
    <row r="1860" spans="1:35" hidden="1">
      <c r="A1860" s="7">
        <v>1859</v>
      </c>
      <c r="B1860" t="s">
        <v>243</v>
      </c>
      <c r="C1860" t="s">
        <v>244</v>
      </c>
      <c r="D1860" s="7">
        <v>7134</v>
      </c>
      <c r="E1860" t="s">
        <v>245</v>
      </c>
      <c r="F1860" t="s">
        <v>246</v>
      </c>
      <c r="G1860" t="s">
        <v>607</v>
      </c>
      <c r="H1860" t="s">
        <v>5069</v>
      </c>
      <c r="I1860" s="7">
        <v>1150</v>
      </c>
      <c r="J1860" s="7">
        <v>19862</v>
      </c>
      <c r="K1860" s="7">
        <v>5</v>
      </c>
      <c r="L1860" t="s">
        <v>247</v>
      </c>
      <c r="M1860" t="s">
        <v>261</v>
      </c>
      <c r="N1860" s="7">
        <v>778180</v>
      </c>
      <c r="O1860" t="s">
        <v>2220</v>
      </c>
      <c r="P1860" t="s">
        <v>2221</v>
      </c>
      <c r="S1860" t="s">
        <v>5021</v>
      </c>
      <c r="T1860" t="s">
        <v>5022</v>
      </c>
      <c r="U1860" t="s">
        <v>5023</v>
      </c>
      <c r="V1860" s="8">
        <v>1250</v>
      </c>
      <c r="W1860" s="7">
        <v>0</v>
      </c>
      <c r="Y1860" s="8">
        <v>1250</v>
      </c>
      <c r="Z1860" s="8">
        <v>1475</v>
      </c>
      <c r="AA1860" s="8">
        <v>225</v>
      </c>
      <c r="AB1860" s="7">
        <v>0</v>
      </c>
      <c r="AD1860" s="8">
        <v>0</v>
      </c>
      <c r="AG1860" t="s">
        <v>808</v>
      </c>
      <c r="AH1860" t="s">
        <v>802</v>
      </c>
      <c r="AI1860" t="s">
        <v>818</v>
      </c>
    </row>
    <row r="1861" spans="1:35" hidden="1">
      <c r="A1861" s="7">
        <v>1860</v>
      </c>
      <c r="B1861" t="s">
        <v>243</v>
      </c>
      <c r="C1861" t="s">
        <v>244</v>
      </c>
      <c r="D1861" s="7">
        <v>7134</v>
      </c>
      <c r="E1861" t="s">
        <v>245</v>
      </c>
      <c r="F1861" t="s">
        <v>246</v>
      </c>
      <c r="G1861" t="s">
        <v>1457</v>
      </c>
      <c r="H1861" t="s">
        <v>5037</v>
      </c>
      <c r="I1861" s="7">
        <v>879</v>
      </c>
      <c r="J1861" s="7">
        <v>50000</v>
      </c>
      <c r="K1861" s="7">
        <v>3</v>
      </c>
      <c r="L1861" t="s">
        <v>247</v>
      </c>
      <c r="M1861" t="s">
        <v>261</v>
      </c>
      <c r="N1861" s="7">
        <v>796020</v>
      </c>
      <c r="O1861" t="s">
        <v>2118</v>
      </c>
      <c r="P1861" t="s">
        <v>2119</v>
      </c>
      <c r="S1861" t="s">
        <v>5021</v>
      </c>
      <c r="T1861" t="s">
        <v>5022</v>
      </c>
      <c r="U1861" t="s">
        <v>5023</v>
      </c>
      <c r="V1861" s="8">
        <v>1250</v>
      </c>
      <c r="W1861" s="7">
        <v>0</v>
      </c>
      <c r="Y1861" s="8">
        <v>1250</v>
      </c>
      <c r="Z1861" s="8">
        <v>1475</v>
      </c>
      <c r="AA1861" s="8">
        <v>225</v>
      </c>
      <c r="AB1861" s="7">
        <v>0</v>
      </c>
      <c r="AD1861" s="8">
        <v>0</v>
      </c>
      <c r="AG1861" t="s">
        <v>817</v>
      </c>
      <c r="AH1861" t="s">
        <v>802</v>
      </c>
      <c r="AI1861" t="s">
        <v>818</v>
      </c>
    </row>
    <row r="1862" spans="1:35" hidden="1">
      <c r="A1862" s="7">
        <v>1861</v>
      </c>
      <c r="B1862" t="s">
        <v>243</v>
      </c>
      <c r="C1862" t="s">
        <v>244</v>
      </c>
      <c r="D1862" s="7">
        <v>7134</v>
      </c>
      <c r="E1862" t="s">
        <v>245</v>
      </c>
      <c r="F1862" t="s">
        <v>246</v>
      </c>
      <c r="G1862" t="s">
        <v>913</v>
      </c>
      <c r="H1862" t="s">
        <v>5022</v>
      </c>
      <c r="I1862" s="7">
        <v>1165</v>
      </c>
      <c r="J1862" s="7">
        <v>89299</v>
      </c>
      <c r="K1862" s="7">
        <v>9</v>
      </c>
      <c r="L1862" t="s">
        <v>247</v>
      </c>
      <c r="M1862" t="s">
        <v>361</v>
      </c>
      <c r="N1862" s="7">
        <v>3564</v>
      </c>
      <c r="O1862" t="s">
        <v>915</v>
      </c>
      <c r="P1862" t="s">
        <v>916</v>
      </c>
      <c r="S1862" t="s">
        <v>5021</v>
      </c>
      <c r="T1862" t="s">
        <v>5022</v>
      </c>
      <c r="U1862" t="s">
        <v>5023</v>
      </c>
      <c r="V1862" s="8">
        <v>0</v>
      </c>
      <c r="W1862" s="7">
        <v>0</v>
      </c>
      <c r="Y1862" s="8">
        <v>0</v>
      </c>
      <c r="Z1862" s="8">
        <v>0</v>
      </c>
      <c r="AA1862" s="8">
        <v>0</v>
      </c>
      <c r="AB1862" s="7">
        <v>0</v>
      </c>
      <c r="AD1862" s="8">
        <v>0</v>
      </c>
      <c r="AG1862" t="s">
        <v>823</v>
      </c>
      <c r="AH1862" t="s">
        <v>802</v>
      </c>
      <c r="AI1862" t="s">
        <v>803</v>
      </c>
    </row>
    <row r="1863" spans="1:35" hidden="1">
      <c r="A1863" s="7">
        <v>1862</v>
      </c>
      <c r="B1863" t="s">
        <v>243</v>
      </c>
      <c r="C1863" t="s">
        <v>244</v>
      </c>
      <c r="D1863" s="7">
        <v>7134</v>
      </c>
      <c r="E1863" t="s">
        <v>245</v>
      </c>
      <c r="F1863" t="s">
        <v>246</v>
      </c>
      <c r="G1863" t="s">
        <v>1041</v>
      </c>
      <c r="H1863" t="s">
        <v>4859</v>
      </c>
      <c r="I1863" s="7">
        <v>1165</v>
      </c>
      <c r="J1863" s="7">
        <v>65200</v>
      </c>
      <c r="K1863" s="7">
        <v>7</v>
      </c>
      <c r="L1863" t="s">
        <v>247</v>
      </c>
      <c r="M1863" t="s">
        <v>267</v>
      </c>
      <c r="N1863" s="7">
        <v>789619</v>
      </c>
      <c r="O1863" t="s">
        <v>1042</v>
      </c>
      <c r="P1863" t="s">
        <v>1043</v>
      </c>
      <c r="S1863" t="s">
        <v>5021</v>
      </c>
      <c r="T1863" t="s">
        <v>5022</v>
      </c>
      <c r="U1863" t="s">
        <v>5023</v>
      </c>
      <c r="V1863" s="8">
        <v>0</v>
      </c>
      <c r="W1863" s="7">
        <v>0</v>
      </c>
      <c r="Y1863" s="8">
        <v>0</v>
      </c>
      <c r="Z1863" s="8">
        <v>0</v>
      </c>
      <c r="AA1863" s="8">
        <v>0</v>
      </c>
      <c r="AB1863" s="7">
        <v>0</v>
      </c>
      <c r="AD1863" s="8">
        <v>0</v>
      </c>
      <c r="AG1863" t="s">
        <v>828</v>
      </c>
      <c r="AH1863" t="s">
        <v>802</v>
      </c>
      <c r="AI1863" t="s">
        <v>803</v>
      </c>
    </row>
    <row r="1864" spans="1:35" hidden="1">
      <c r="A1864" s="7">
        <v>1863</v>
      </c>
      <c r="B1864" t="s">
        <v>243</v>
      </c>
      <c r="C1864" t="s">
        <v>244</v>
      </c>
      <c r="D1864" s="7">
        <v>7134</v>
      </c>
      <c r="E1864" t="s">
        <v>245</v>
      </c>
      <c r="F1864" t="s">
        <v>246</v>
      </c>
      <c r="G1864" t="s">
        <v>875</v>
      </c>
      <c r="H1864" t="s">
        <v>5037</v>
      </c>
      <c r="I1864" s="7">
        <v>910</v>
      </c>
      <c r="J1864" s="7">
        <v>60529</v>
      </c>
      <c r="K1864" s="7">
        <v>9</v>
      </c>
      <c r="L1864" t="s">
        <v>247</v>
      </c>
      <c r="M1864" t="s">
        <v>261</v>
      </c>
      <c r="N1864" s="7">
        <v>775649</v>
      </c>
      <c r="O1864" t="s">
        <v>876</v>
      </c>
      <c r="P1864" t="s">
        <v>877</v>
      </c>
      <c r="Q1864" t="s">
        <v>870</v>
      </c>
      <c r="R1864" t="s">
        <v>871</v>
      </c>
      <c r="S1864" t="s">
        <v>5021</v>
      </c>
      <c r="T1864" t="s">
        <v>5022</v>
      </c>
      <c r="U1864" t="s">
        <v>5023</v>
      </c>
      <c r="V1864" s="8">
        <v>0</v>
      </c>
      <c r="W1864" s="7">
        <v>0</v>
      </c>
      <c r="Y1864" s="8">
        <v>0</v>
      </c>
      <c r="Z1864" s="8">
        <v>0</v>
      </c>
      <c r="AA1864" s="8">
        <v>0</v>
      </c>
      <c r="AB1864" s="7">
        <v>0</v>
      </c>
      <c r="AD1864" s="8">
        <v>0</v>
      </c>
      <c r="AG1864" t="s">
        <v>801</v>
      </c>
      <c r="AH1864" t="s">
        <v>802</v>
      </c>
      <c r="AI1864" t="s">
        <v>803</v>
      </c>
    </row>
    <row r="1865" spans="1:35" hidden="1">
      <c r="A1865" s="7">
        <v>1864</v>
      </c>
      <c r="B1865" t="s">
        <v>243</v>
      </c>
      <c r="C1865" t="s">
        <v>244</v>
      </c>
      <c r="D1865" s="7">
        <v>7134</v>
      </c>
      <c r="E1865" t="s">
        <v>245</v>
      </c>
      <c r="F1865" t="s">
        <v>246</v>
      </c>
      <c r="G1865" t="s">
        <v>5073</v>
      </c>
      <c r="H1865" t="s">
        <v>5055</v>
      </c>
      <c r="I1865" s="7">
        <v>1165</v>
      </c>
      <c r="J1865" s="7">
        <v>9734</v>
      </c>
      <c r="K1865" s="7">
        <v>1</v>
      </c>
      <c r="L1865" t="s">
        <v>247</v>
      </c>
      <c r="M1865" t="s">
        <v>361</v>
      </c>
      <c r="N1865" s="7">
        <v>9957</v>
      </c>
      <c r="O1865" t="s">
        <v>5074</v>
      </c>
      <c r="P1865" t="s">
        <v>5075</v>
      </c>
      <c r="S1865" t="s">
        <v>5021</v>
      </c>
      <c r="T1865" t="s">
        <v>5022</v>
      </c>
      <c r="U1865" t="s">
        <v>5023</v>
      </c>
      <c r="V1865" s="8">
        <v>1650</v>
      </c>
      <c r="W1865" s="7">
        <v>0</v>
      </c>
      <c r="Y1865" s="8">
        <v>1650</v>
      </c>
      <c r="Z1865" s="8">
        <v>1947</v>
      </c>
      <c r="AA1865" s="8">
        <v>297</v>
      </c>
      <c r="AB1865" s="7">
        <v>0</v>
      </c>
      <c r="AD1865" s="8">
        <v>0</v>
      </c>
      <c r="AG1865" t="s">
        <v>823</v>
      </c>
      <c r="AH1865" t="s">
        <v>802</v>
      </c>
      <c r="AI1865" t="s">
        <v>818</v>
      </c>
    </row>
    <row r="1866" spans="1:35" hidden="1">
      <c r="A1866" s="7">
        <v>1865</v>
      </c>
      <c r="B1866" t="s">
        <v>243</v>
      </c>
      <c r="C1866" t="s">
        <v>244</v>
      </c>
      <c r="D1866" s="7">
        <v>7134</v>
      </c>
      <c r="E1866" t="s">
        <v>245</v>
      </c>
      <c r="F1866" t="s">
        <v>246</v>
      </c>
      <c r="G1866" t="s">
        <v>1264</v>
      </c>
      <c r="H1866" t="s">
        <v>5046</v>
      </c>
      <c r="I1866" s="7">
        <v>1165</v>
      </c>
      <c r="J1866" s="7">
        <v>52035</v>
      </c>
      <c r="K1866" s="7">
        <v>9</v>
      </c>
      <c r="L1866" t="s">
        <v>247</v>
      </c>
      <c r="M1866" t="s">
        <v>261</v>
      </c>
      <c r="N1866" s="7">
        <v>774651</v>
      </c>
      <c r="O1866" t="s">
        <v>1265</v>
      </c>
      <c r="P1866" t="s">
        <v>1266</v>
      </c>
      <c r="S1866" t="s">
        <v>5021</v>
      </c>
      <c r="T1866" t="s">
        <v>5022</v>
      </c>
      <c r="U1866" t="s">
        <v>5023</v>
      </c>
      <c r="V1866" s="8">
        <v>0</v>
      </c>
      <c r="W1866" s="7">
        <v>0</v>
      </c>
      <c r="Y1866" s="8">
        <v>0</v>
      </c>
      <c r="Z1866" s="8">
        <v>0</v>
      </c>
      <c r="AA1866" s="8">
        <v>0</v>
      </c>
      <c r="AB1866" s="7">
        <v>0</v>
      </c>
      <c r="AD1866" s="8">
        <v>0</v>
      </c>
      <c r="AG1866" t="s">
        <v>801</v>
      </c>
      <c r="AH1866" t="s">
        <v>802</v>
      </c>
      <c r="AI1866" t="s">
        <v>803</v>
      </c>
    </row>
    <row r="1867" spans="1:35" hidden="1">
      <c r="A1867" s="7">
        <v>1866</v>
      </c>
      <c r="B1867" t="s">
        <v>243</v>
      </c>
      <c r="C1867" t="s">
        <v>244</v>
      </c>
      <c r="D1867" s="7">
        <v>7134</v>
      </c>
      <c r="E1867" t="s">
        <v>245</v>
      </c>
      <c r="F1867" t="s">
        <v>246</v>
      </c>
      <c r="G1867" t="s">
        <v>881</v>
      </c>
      <c r="H1867" t="s">
        <v>5054</v>
      </c>
      <c r="I1867" s="7">
        <v>1165</v>
      </c>
      <c r="J1867" s="7">
        <v>49001</v>
      </c>
      <c r="K1867" s="7">
        <v>6</v>
      </c>
      <c r="L1867" t="s">
        <v>247</v>
      </c>
      <c r="M1867" t="s">
        <v>361</v>
      </c>
      <c r="N1867" s="7">
        <v>5318</v>
      </c>
      <c r="O1867" t="s">
        <v>1562</v>
      </c>
      <c r="P1867" t="s">
        <v>1563</v>
      </c>
      <c r="S1867" t="s">
        <v>5021</v>
      </c>
      <c r="T1867" t="s">
        <v>5022</v>
      </c>
      <c r="U1867" t="s">
        <v>5023</v>
      </c>
      <c r="V1867" s="8">
        <v>0</v>
      </c>
      <c r="W1867" s="7">
        <v>0</v>
      </c>
      <c r="Y1867" s="8">
        <v>0</v>
      </c>
      <c r="Z1867" s="8">
        <v>0</v>
      </c>
      <c r="AA1867" s="8">
        <v>0</v>
      </c>
      <c r="AB1867" s="7">
        <v>0</v>
      </c>
      <c r="AD1867" s="8">
        <v>0</v>
      </c>
      <c r="AG1867" t="s">
        <v>823</v>
      </c>
      <c r="AH1867" t="s">
        <v>802</v>
      </c>
      <c r="AI1867" t="s">
        <v>803</v>
      </c>
    </row>
    <row r="1868" spans="1:35" hidden="1">
      <c r="A1868" s="7">
        <v>1867</v>
      </c>
      <c r="B1868" t="s">
        <v>243</v>
      </c>
      <c r="C1868" t="s">
        <v>244</v>
      </c>
      <c r="D1868" s="7">
        <v>7134</v>
      </c>
      <c r="E1868" t="s">
        <v>245</v>
      </c>
      <c r="F1868" t="s">
        <v>246</v>
      </c>
      <c r="G1868" t="s">
        <v>1745</v>
      </c>
      <c r="H1868" t="s">
        <v>5048</v>
      </c>
      <c r="I1868" s="7">
        <v>1150</v>
      </c>
      <c r="J1868" s="7">
        <v>52068</v>
      </c>
      <c r="K1868" s="7">
        <v>6</v>
      </c>
      <c r="L1868" t="s">
        <v>247</v>
      </c>
      <c r="M1868" t="s">
        <v>261</v>
      </c>
      <c r="N1868" s="7">
        <v>791891</v>
      </c>
      <c r="O1868" t="s">
        <v>1746</v>
      </c>
      <c r="P1868" t="s">
        <v>1747</v>
      </c>
      <c r="S1868" t="s">
        <v>5021</v>
      </c>
      <c r="T1868" t="s">
        <v>5022</v>
      </c>
      <c r="U1868" t="s">
        <v>5023</v>
      </c>
      <c r="V1868" s="8">
        <v>0</v>
      </c>
      <c r="W1868" s="7">
        <v>0</v>
      </c>
      <c r="Y1868" s="8">
        <v>0</v>
      </c>
      <c r="Z1868" s="8">
        <v>0</v>
      </c>
      <c r="AA1868" s="8">
        <v>0</v>
      </c>
      <c r="AB1868" s="7">
        <v>0</v>
      </c>
      <c r="AD1868" s="8">
        <v>0</v>
      </c>
      <c r="AG1868" t="s">
        <v>801</v>
      </c>
      <c r="AH1868" t="s">
        <v>802</v>
      </c>
      <c r="AI1868" t="s">
        <v>803</v>
      </c>
    </row>
    <row r="1869" spans="1:35" hidden="1">
      <c r="A1869" s="7">
        <v>1868</v>
      </c>
      <c r="B1869" t="s">
        <v>243</v>
      </c>
      <c r="C1869" t="s">
        <v>244</v>
      </c>
      <c r="D1869" s="7">
        <v>7134</v>
      </c>
      <c r="E1869" t="s">
        <v>245</v>
      </c>
      <c r="F1869" t="s">
        <v>246</v>
      </c>
      <c r="G1869" t="s">
        <v>849</v>
      </c>
      <c r="H1869" t="s">
        <v>4859</v>
      </c>
      <c r="I1869" s="7">
        <v>1165</v>
      </c>
      <c r="J1869" s="7">
        <v>90000</v>
      </c>
      <c r="K1869" s="7">
        <v>9</v>
      </c>
      <c r="L1869" t="s">
        <v>247</v>
      </c>
      <c r="M1869" t="s">
        <v>261</v>
      </c>
      <c r="N1869" s="7">
        <v>787042</v>
      </c>
      <c r="O1869" t="s">
        <v>850</v>
      </c>
      <c r="P1869" t="s">
        <v>851</v>
      </c>
      <c r="S1869" t="s">
        <v>5021</v>
      </c>
      <c r="T1869" t="s">
        <v>5022</v>
      </c>
      <c r="U1869" t="s">
        <v>5023</v>
      </c>
      <c r="V1869" s="8">
        <v>0</v>
      </c>
      <c r="W1869" s="7">
        <v>0</v>
      </c>
      <c r="Y1869" s="8">
        <v>0</v>
      </c>
      <c r="Z1869" s="8">
        <v>0</v>
      </c>
      <c r="AA1869" s="8">
        <v>0</v>
      </c>
      <c r="AB1869" s="7">
        <v>0</v>
      </c>
      <c r="AD1869" s="8">
        <v>0</v>
      </c>
      <c r="AG1869" t="s">
        <v>801</v>
      </c>
      <c r="AH1869" t="s">
        <v>802</v>
      </c>
      <c r="AI1869" t="s">
        <v>803</v>
      </c>
    </row>
    <row r="1870" spans="1:35" hidden="1">
      <c r="A1870" s="7">
        <v>1869</v>
      </c>
      <c r="B1870" t="s">
        <v>243</v>
      </c>
      <c r="C1870" t="s">
        <v>244</v>
      </c>
      <c r="D1870" s="7">
        <v>7134</v>
      </c>
      <c r="E1870" t="s">
        <v>245</v>
      </c>
      <c r="F1870" t="s">
        <v>246</v>
      </c>
      <c r="G1870" t="s">
        <v>1372</v>
      </c>
      <c r="H1870" t="s">
        <v>5026</v>
      </c>
      <c r="I1870" s="7">
        <v>1152</v>
      </c>
      <c r="J1870" s="7">
        <v>68294</v>
      </c>
      <c r="K1870" s="7">
        <v>8</v>
      </c>
      <c r="L1870" t="s">
        <v>247</v>
      </c>
      <c r="M1870" t="s">
        <v>261</v>
      </c>
      <c r="N1870" s="7">
        <v>787971</v>
      </c>
      <c r="O1870" t="s">
        <v>1373</v>
      </c>
      <c r="P1870" t="s">
        <v>1374</v>
      </c>
      <c r="S1870" t="s">
        <v>5021</v>
      </c>
      <c r="T1870" t="s">
        <v>5022</v>
      </c>
      <c r="U1870" t="s">
        <v>5023</v>
      </c>
      <c r="V1870" s="8">
        <v>1250</v>
      </c>
      <c r="W1870" s="7">
        <v>0</v>
      </c>
      <c r="Y1870" s="8">
        <v>1250</v>
      </c>
      <c r="Z1870" s="8">
        <v>1475</v>
      </c>
      <c r="AA1870" s="8">
        <v>225</v>
      </c>
      <c r="AB1870" s="7">
        <v>0</v>
      </c>
      <c r="AD1870" s="8">
        <v>0</v>
      </c>
      <c r="AG1870" t="s">
        <v>801</v>
      </c>
      <c r="AH1870" t="s">
        <v>802</v>
      </c>
      <c r="AI1870" t="s">
        <v>818</v>
      </c>
    </row>
    <row r="1871" spans="1:35" hidden="1">
      <c r="A1871" s="7">
        <v>1870</v>
      </c>
      <c r="B1871" t="s">
        <v>243</v>
      </c>
      <c r="C1871" t="s">
        <v>244</v>
      </c>
      <c r="D1871" s="7">
        <v>7134</v>
      </c>
      <c r="E1871" t="s">
        <v>245</v>
      </c>
      <c r="F1871" t="s">
        <v>246</v>
      </c>
      <c r="G1871" t="s">
        <v>263</v>
      </c>
      <c r="H1871" t="s">
        <v>5038</v>
      </c>
      <c r="I1871" s="7">
        <v>856</v>
      </c>
      <c r="J1871" s="7">
        <v>70000</v>
      </c>
      <c r="K1871" s="7">
        <v>4</v>
      </c>
      <c r="L1871" t="s">
        <v>247</v>
      </c>
      <c r="M1871" t="s">
        <v>261</v>
      </c>
      <c r="N1871" s="7">
        <v>796592</v>
      </c>
      <c r="O1871" t="s">
        <v>1851</v>
      </c>
      <c r="P1871" t="s">
        <v>1852</v>
      </c>
      <c r="Q1871" t="s">
        <v>283</v>
      </c>
      <c r="R1871" t="s">
        <v>1062</v>
      </c>
      <c r="S1871" t="s">
        <v>5021</v>
      </c>
      <c r="T1871" t="s">
        <v>5022</v>
      </c>
      <c r="U1871" t="s">
        <v>5023</v>
      </c>
      <c r="V1871" s="8">
        <v>1250</v>
      </c>
      <c r="W1871" s="7">
        <v>0</v>
      </c>
      <c r="Y1871" s="8">
        <v>0</v>
      </c>
      <c r="Z1871" s="8">
        <v>1475</v>
      </c>
      <c r="AA1871" s="8">
        <v>225</v>
      </c>
      <c r="AB1871" s="7">
        <v>0</v>
      </c>
      <c r="AD1871" s="8">
        <v>1250</v>
      </c>
      <c r="AG1871" t="s">
        <v>817</v>
      </c>
      <c r="AH1871" t="s">
        <v>802</v>
      </c>
      <c r="AI1871" t="s">
        <v>818</v>
      </c>
    </row>
    <row r="1872" spans="1:35" hidden="1">
      <c r="A1872" s="7">
        <v>1871</v>
      </c>
      <c r="B1872" t="s">
        <v>243</v>
      </c>
      <c r="C1872" t="s">
        <v>244</v>
      </c>
      <c r="D1872" s="7">
        <v>7134</v>
      </c>
      <c r="E1872" t="s">
        <v>245</v>
      </c>
      <c r="F1872" t="s">
        <v>246</v>
      </c>
      <c r="G1872" t="s">
        <v>3749</v>
      </c>
      <c r="H1872" t="s">
        <v>5069</v>
      </c>
      <c r="I1872" s="7">
        <v>1165</v>
      </c>
      <c r="J1872" s="7">
        <v>19865</v>
      </c>
      <c r="K1872" s="7">
        <v>2</v>
      </c>
      <c r="L1872" t="s">
        <v>247</v>
      </c>
      <c r="M1872" t="s">
        <v>261</v>
      </c>
      <c r="N1872" s="7">
        <v>809345</v>
      </c>
      <c r="O1872" t="s">
        <v>4386</v>
      </c>
      <c r="P1872" t="s">
        <v>4387</v>
      </c>
      <c r="S1872" t="s">
        <v>5021</v>
      </c>
      <c r="T1872" t="s">
        <v>5022</v>
      </c>
      <c r="U1872" t="s">
        <v>5023</v>
      </c>
      <c r="V1872" s="8">
        <v>0</v>
      </c>
      <c r="W1872" s="7">
        <v>0</v>
      </c>
      <c r="Y1872" s="8">
        <v>0</v>
      </c>
      <c r="Z1872" s="8">
        <v>0</v>
      </c>
      <c r="AA1872" s="8">
        <v>0</v>
      </c>
      <c r="AB1872" s="7">
        <v>0</v>
      </c>
      <c r="AD1872" s="8">
        <v>0</v>
      </c>
      <c r="AG1872" t="s">
        <v>801</v>
      </c>
      <c r="AH1872" t="s">
        <v>802</v>
      </c>
      <c r="AI1872" t="s">
        <v>803</v>
      </c>
    </row>
    <row r="1873" spans="1:35" hidden="1">
      <c r="A1873" s="7">
        <v>1872</v>
      </c>
      <c r="B1873" t="s">
        <v>243</v>
      </c>
      <c r="C1873" t="s">
        <v>244</v>
      </c>
      <c r="D1873" s="7">
        <v>7134</v>
      </c>
      <c r="E1873" t="s">
        <v>245</v>
      </c>
      <c r="F1873" t="s">
        <v>246</v>
      </c>
      <c r="G1873" t="s">
        <v>1645</v>
      </c>
      <c r="H1873" t="s">
        <v>5051</v>
      </c>
      <c r="I1873" s="7">
        <v>1165</v>
      </c>
      <c r="J1873" s="7">
        <v>56820</v>
      </c>
      <c r="K1873" s="7">
        <v>13</v>
      </c>
      <c r="L1873" t="s">
        <v>247</v>
      </c>
      <c r="M1873" t="s">
        <v>261</v>
      </c>
      <c r="N1873" s="7">
        <v>762665</v>
      </c>
      <c r="O1873" t="s">
        <v>1714</v>
      </c>
      <c r="P1873" t="s">
        <v>1715</v>
      </c>
      <c r="S1873" t="s">
        <v>5021</v>
      </c>
      <c r="T1873" t="s">
        <v>5022</v>
      </c>
      <c r="U1873" t="s">
        <v>5023</v>
      </c>
      <c r="V1873" s="8">
        <v>0</v>
      </c>
      <c r="W1873" s="7">
        <v>0</v>
      </c>
      <c r="Y1873" s="8">
        <v>0</v>
      </c>
      <c r="Z1873" s="8">
        <v>0</v>
      </c>
      <c r="AA1873" s="8">
        <v>0</v>
      </c>
      <c r="AB1873" s="7">
        <v>0</v>
      </c>
      <c r="AD1873" s="8">
        <v>0</v>
      </c>
      <c r="AG1873" t="s">
        <v>801</v>
      </c>
      <c r="AH1873" t="s">
        <v>802</v>
      </c>
      <c r="AI1873" t="s">
        <v>803</v>
      </c>
    </row>
    <row r="1874" spans="1:35" hidden="1">
      <c r="A1874" s="7">
        <v>1873</v>
      </c>
      <c r="B1874" t="s">
        <v>243</v>
      </c>
      <c r="C1874" t="s">
        <v>244</v>
      </c>
      <c r="D1874" s="7">
        <v>7134</v>
      </c>
      <c r="E1874" t="s">
        <v>245</v>
      </c>
      <c r="F1874" t="s">
        <v>246</v>
      </c>
      <c r="G1874" t="s">
        <v>999</v>
      </c>
      <c r="H1874" t="s">
        <v>5033</v>
      </c>
      <c r="I1874" s="7">
        <v>1150</v>
      </c>
      <c r="J1874" s="7">
        <v>71120</v>
      </c>
      <c r="K1874" s="7">
        <v>7</v>
      </c>
      <c r="L1874" t="s">
        <v>247</v>
      </c>
      <c r="M1874" t="s">
        <v>361</v>
      </c>
      <c r="N1874" s="7">
        <v>4891</v>
      </c>
      <c r="O1874" t="s">
        <v>1349</v>
      </c>
      <c r="P1874" t="s">
        <v>1350</v>
      </c>
      <c r="S1874" t="s">
        <v>5021</v>
      </c>
      <c r="T1874" t="s">
        <v>5022</v>
      </c>
      <c r="U1874" t="s">
        <v>5023</v>
      </c>
      <c r="V1874" s="8">
        <v>1650</v>
      </c>
      <c r="W1874" s="7">
        <v>0</v>
      </c>
      <c r="Y1874" s="8">
        <v>1650</v>
      </c>
      <c r="Z1874" s="8">
        <v>1947</v>
      </c>
      <c r="AA1874" s="8">
        <v>297</v>
      </c>
      <c r="AB1874" s="7">
        <v>0</v>
      </c>
      <c r="AD1874" s="8">
        <v>0</v>
      </c>
      <c r="AG1874" t="s">
        <v>823</v>
      </c>
      <c r="AH1874" t="s">
        <v>802</v>
      </c>
      <c r="AI1874" t="s">
        <v>818</v>
      </c>
    </row>
    <row r="1875" spans="1:35" hidden="1">
      <c r="A1875" s="7">
        <v>1874</v>
      </c>
      <c r="B1875" t="s">
        <v>243</v>
      </c>
      <c r="C1875" t="s">
        <v>244</v>
      </c>
      <c r="D1875" s="7">
        <v>7134</v>
      </c>
      <c r="E1875" t="s">
        <v>245</v>
      </c>
      <c r="F1875" t="s">
        <v>246</v>
      </c>
      <c r="G1875" t="s">
        <v>1993</v>
      </c>
      <c r="H1875" t="s">
        <v>5022</v>
      </c>
      <c r="I1875" s="7">
        <v>1165</v>
      </c>
      <c r="J1875" s="7">
        <v>65220</v>
      </c>
      <c r="K1875" s="7">
        <v>12</v>
      </c>
      <c r="L1875" t="s">
        <v>247</v>
      </c>
      <c r="M1875" t="s">
        <v>261</v>
      </c>
      <c r="N1875" s="7">
        <v>764087</v>
      </c>
      <c r="O1875" t="s">
        <v>1994</v>
      </c>
      <c r="P1875" t="s">
        <v>1995</v>
      </c>
      <c r="S1875" t="s">
        <v>5021</v>
      </c>
      <c r="T1875" t="s">
        <v>5022</v>
      </c>
      <c r="U1875" t="s">
        <v>5023</v>
      </c>
      <c r="V1875" s="8">
        <v>0</v>
      </c>
      <c r="W1875" s="7">
        <v>0</v>
      </c>
      <c r="Y1875" s="8">
        <v>0</v>
      </c>
      <c r="Z1875" s="8">
        <v>0</v>
      </c>
      <c r="AA1875" s="8">
        <v>0</v>
      </c>
      <c r="AB1875" s="7">
        <v>0</v>
      </c>
      <c r="AD1875" s="8">
        <v>0</v>
      </c>
      <c r="AG1875" t="s">
        <v>801</v>
      </c>
      <c r="AH1875" t="s">
        <v>802</v>
      </c>
      <c r="AI1875" t="s">
        <v>803</v>
      </c>
    </row>
    <row r="1876" spans="1:35" hidden="1">
      <c r="A1876" s="7">
        <v>1875</v>
      </c>
      <c r="B1876" t="s">
        <v>243</v>
      </c>
      <c r="C1876" t="s">
        <v>244</v>
      </c>
      <c r="D1876" s="7">
        <v>7134</v>
      </c>
      <c r="E1876" t="s">
        <v>245</v>
      </c>
      <c r="F1876" t="s">
        <v>246</v>
      </c>
      <c r="G1876" t="s">
        <v>248</v>
      </c>
      <c r="H1876" t="s">
        <v>5037</v>
      </c>
      <c r="I1876" s="7">
        <v>990</v>
      </c>
      <c r="J1876" s="7">
        <v>68575</v>
      </c>
      <c r="K1876" s="7">
        <v>4</v>
      </c>
      <c r="L1876" t="s">
        <v>247</v>
      </c>
      <c r="M1876" t="s">
        <v>261</v>
      </c>
      <c r="N1876" s="7">
        <v>797124</v>
      </c>
      <c r="O1876" t="s">
        <v>1924</v>
      </c>
      <c r="P1876" t="s">
        <v>1925</v>
      </c>
      <c r="S1876" t="s">
        <v>5021</v>
      </c>
      <c r="T1876" t="s">
        <v>5022</v>
      </c>
      <c r="U1876" t="s">
        <v>5023</v>
      </c>
      <c r="V1876" s="8">
        <v>1250</v>
      </c>
      <c r="W1876" s="7">
        <v>0</v>
      </c>
      <c r="Y1876" s="8">
        <v>1250</v>
      </c>
      <c r="Z1876" s="8">
        <v>1475</v>
      </c>
      <c r="AA1876" s="8">
        <v>225</v>
      </c>
      <c r="AB1876" s="7">
        <v>0</v>
      </c>
      <c r="AD1876" s="8">
        <v>0</v>
      </c>
      <c r="AG1876" t="s">
        <v>817</v>
      </c>
      <c r="AH1876" t="s">
        <v>802</v>
      </c>
      <c r="AI1876" t="s">
        <v>818</v>
      </c>
    </row>
    <row r="1877" spans="1:35" hidden="1">
      <c r="A1877" s="7">
        <v>1876</v>
      </c>
      <c r="B1877" t="s">
        <v>243</v>
      </c>
      <c r="C1877" t="s">
        <v>244</v>
      </c>
      <c r="D1877" s="7">
        <v>7134</v>
      </c>
      <c r="E1877" t="s">
        <v>245</v>
      </c>
      <c r="F1877" t="s">
        <v>246</v>
      </c>
      <c r="G1877" t="s">
        <v>1137</v>
      </c>
      <c r="H1877" t="s">
        <v>5069</v>
      </c>
      <c r="I1877" s="7">
        <v>1165</v>
      </c>
      <c r="J1877" s="7">
        <v>140000</v>
      </c>
      <c r="K1877" s="7">
        <v>14</v>
      </c>
      <c r="L1877" t="s">
        <v>247</v>
      </c>
      <c r="M1877" t="s">
        <v>252</v>
      </c>
      <c r="N1877" s="7">
        <v>322564</v>
      </c>
      <c r="O1877" t="s">
        <v>1138</v>
      </c>
      <c r="P1877" t="s">
        <v>1139</v>
      </c>
      <c r="S1877" t="s">
        <v>5021</v>
      </c>
      <c r="T1877" t="s">
        <v>5022</v>
      </c>
      <c r="U1877" t="s">
        <v>5023</v>
      </c>
      <c r="V1877" s="8">
        <v>1250</v>
      </c>
      <c r="W1877" s="7">
        <v>0</v>
      </c>
      <c r="Y1877" s="8">
        <v>1250</v>
      </c>
      <c r="Z1877" s="8">
        <v>1475</v>
      </c>
      <c r="AA1877" s="8">
        <v>225</v>
      </c>
      <c r="AB1877" s="7">
        <v>0</v>
      </c>
      <c r="AD1877" s="8">
        <v>0</v>
      </c>
      <c r="AG1877" t="s">
        <v>937</v>
      </c>
      <c r="AH1877" t="s">
        <v>802</v>
      </c>
      <c r="AI1877" t="s">
        <v>818</v>
      </c>
    </row>
    <row r="1878" spans="1:35" hidden="1">
      <c r="A1878" s="7">
        <v>1877</v>
      </c>
      <c r="B1878" t="s">
        <v>243</v>
      </c>
      <c r="C1878" t="s">
        <v>244</v>
      </c>
      <c r="D1878" s="7">
        <v>7134</v>
      </c>
      <c r="E1878" t="s">
        <v>245</v>
      </c>
      <c r="F1878" t="s">
        <v>246</v>
      </c>
      <c r="G1878" t="s">
        <v>1113</v>
      </c>
      <c r="H1878" t="s">
        <v>5048</v>
      </c>
      <c r="I1878" s="7">
        <v>1165</v>
      </c>
      <c r="J1878" s="7">
        <v>97995</v>
      </c>
      <c r="K1878" s="7">
        <v>10</v>
      </c>
      <c r="L1878" t="s">
        <v>247</v>
      </c>
      <c r="M1878" t="s">
        <v>261</v>
      </c>
      <c r="N1878" s="7">
        <v>775223</v>
      </c>
      <c r="O1878" t="s">
        <v>1114</v>
      </c>
      <c r="P1878" t="s">
        <v>1115</v>
      </c>
      <c r="S1878" t="s">
        <v>5021</v>
      </c>
      <c r="T1878" t="s">
        <v>5022</v>
      </c>
      <c r="U1878" t="s">
        <v>5023</v>
      </c>
      <c r="V1878" s="8">
        <v>0</v>
      </c>
      <c r="W1878" s="7">
        <v>0</v>
      </c>
      <c r="Y1878" s="8">
        <v>0</v>
      </c>
      <c r="Z1878" s="8">
        <v>0</v>
      </c>
      <c r="AA1878" s="8">
        <v>0</v>
      </c>
      <c r="AB1878" s="7">
        <v>0</v>
      </c>
      <c r="AD1878" s="8">
        <v>0</v>
      </c>
      <c r="AG1878" t="s">
        <v>801</v>
      </c>
      <c r="AH1878" t="s">
        <v>802</v>
      </c>
      <c r="AI1878" t="s">
        <v>803</v>
      </c>
    </row>
    <row r="1879" spans="1:35" hidden="1">
      <c r="A1879" s="7">
        <v>1878</v>
      </c>
      <c r="B1879" t="s">
        <v>243</v>
      </c>
      <c r="C1879" t="s">
        <v>244</v>
      </c>
      <c r="D1879" s="7">
        <v>7134</v>
      </c>
      <c r="E1879" t="s">
        <v>245</v>
      </c>
      <c r="F1879" t="s">
        <v>246</v>
      </c>
      <c r="G1879" t="s">
        <v>1085</v>
      </c>
      <c r="H1879" t="s">
        <v>5061</v>
      </c>
      <c r="I1879" s="7">
        <v>1165</v>
      </c>
      <c r="J1879" s="7">
        <v>49660</v>
      </c>
      <c r="K1879" s="7">
        <v>8</v>
      </c>
      <c r="L1879" t="s">
        <v>247</v>
      </c>
      <c r="M1879" t="s">
        <v>252</v>
      </c>
      <c r="N1879" s="7">
        <v>324355</v>
      </c>
      <c r="O1879" t="s">
        <v>1086</v>
      </c>
      <c r="P1879" t="s">
        <v>1087</v>
      </c>
      <c r="S1879" t="s">
        <v>5021</v>
      </c>
      <c r="T1879" t="s">
        <v>5022</v>
      </c>
      <c r="U1879" t="s">
        <v>5023</v>
      </c>
      <c r="V1879" s="8">
        <v>1250</v>
      </c>
      <c r="W1879" s="7">
        <v>0</v>
      </c>
      <c r="Y1879" s="8">
        <v>1250</v>
      </c>
      <c r="Z1879" s="8">
        <v>1475</v>
      </c>
      <c r="AA1879" s="8">
        <v>225</v>
      </c>
      <c r="AB1879" s="7">
        <v>0</v>
      </c>
      <c r="AD1879" s="8">
        <v>0</v>
      </c>
      <c r="AG1879" t="s">
        <v>937</v>
      </c>
      <c r="AH1879" t="s">
        <v>802</v>
      </c>
      <c r="AI1879" t="s">
        <v>818</v>
      </c>
    </row>
    <row r="1880" spans="1:35" hidden="1">
      <c r="A1880" s="7">
        <v>1879</v>
      </c>
      <c r="B1880" t="s">
        <v>243</v>
      </c>
      <c r="C1880" t="s">
        <v>244</v>
      </c>
      <c r="D1880" s="7">
        <v>7134</v>
      </c>
      <c r="E1880" t="s">
        <v>245</v>
      </c>
      <c r="F1880" t="s">
        <v>246</v>
      </c>
      <c r="G1880" t="s">
        <v>263</v>
      </c>
      <c r="H1880" t="s">
        <v>5055</v>
      </c>
      <c r="I1880" s="7">
        <v>870</v>
      </c>
      <c r="J1880" s="7">
        <v>50646</v>
      </c>
      <c r="K1880" s="7">
        <v>4</v>
      </c>
      <c r="L1880" t="s">
        <v>247</v>
      </c>
      <c r="M1880" t="s">
        <v>261</v>
      </c>
      <c r="N1880" s="7">
        <v>797774</v>
      </c>
      <c r="O1880" t="s">
        <v>1941</v>
      </c>
      <c r="P1880" t="s">
        <v>1942</v>
      </c>
      <c r="S1880" t="s">
        <v>5021</v>
      </c>
      <c r="T1880" t="s">
        <v>5022</v>
      </c>
      <c r="U1880" t="s">
        <v>5023</v>
      </c>
      <c r="V1880" s="8">
        <v>1250</v>
      </c>
      <c r="W1880" s="7">
        <v>0</v>
      </c>
      <c r="Y1880" s="8">
        <v>1250</v>
      </c>
      <c r="Z1880" s="8">
        <v>1475</v>
      </c>
      <c r="AA1880" s="8">
        <v>225</v>
      </c>
      <c r="AB1880" s="7">
        <v>0</v>
      </c>
      <c r="AD1880" s="8">
        <v>0</v>
      </c>
      <c r="AG1880" t="s">
        <v>817</v>
      </c>
      <c r="AH1880" t="s">
        <v>802</v>
      </c>
      <c r="AI1880" t="s">
        <v>818</v>
      </c>
    </row>
    <row r="1881" spans="1:35" hidden="1">
      <c r="A1881" s="7">
        <v>1880</v>
      </c>
      <c r="B1881" t="s">
        <v>243</v>
      </c>
      <c r="C1881" t="s">
        <v>244</v>
      </c>
      <c r="D1881" s="7">
        <v>7134</v>
      </c>
      <c r="E1881" t="s">
        <v>245</v>
      </c>
      <c r="F1881" t="s">
        <v>246</v>
      </c>
      <c r="G1881" t="s">
        <v>885</v>
      </c>
      <c r="H1881" t="s">
        <v>5054</v>
      </c>
      <c r="I1881" s="7">
        <v>1165</v>
      </c>
      <c r="J1881" s="7">
        <v>50500</v>
      </c>
      <c r="K1881" s="7">
        <v>6</v>
      </c>
      <c r="L1881" t="s">
        <v>247</v>
      </c>
      <c r="M1881" t="s">
        <v>261</v>
      </c>
      <c r="N1881" s="7">
        <v>790132</v>
      </c>
      <c r="O1881" t="s">
        <v>1760</v>
      </c>
      <c r="P1881" t="s">
        <v>1761</v>
      </c>
      <c r="S1881" t="s">
        <v>5021</v>
      </c>
      <c r="T1881" t="s">
        <v>5022</v>
      </c>
      <c r="U1881" t="s">
        <v>5023</v>
      </c>
      <c r="V1881" s="8">
        <v>0</v>
      </c>
      <c r="W1881" s="7">
        <v>0</v>
      </c>
      <c r="Y1881" s="8">
        <v>0</v>
      </c>
      <c r="Z1881" s="8">
        <v>0</v>
      </c>
      <c r="AA1881" s="8">
        <v>0</v>
      </c>
      <c r="AB1881" s="7">
        <v>0</v>
      </c>
      <c r="AD1881" s="8">
        <v>0</v>
      </c>
      <c r="AG1881" t="s">
        <v>801</v>
      </c>
      <c r="AH1881" t="s">
        <v>802</v>
      </c>
      <c r="AI1881" t="s">
        <v>803</v>
      </c>
    </row>
    <row r="1882" spans="1:35" hidden="1">
      <c r="A1882" s="7">
        <v>1881</v>
      </c>
      <c r="B1882" t="s">
        <v>243</v>
      </c>
      <c r="C1882" t="s">
        <v>244</v>
      </c>
      <c r="D1882" s="7">
        <v>7134</v>
      </c>
      <c r="E1882" t="s">
        <v>245</v>
      </c>
      <c r="F1882" t="s">
        <v>246</v>
      </c>
      <c r="G1882" t="s">
        <v>363</v>
      </c>
      <c r="H1882" t="s">
        <v>5037</v>
      </c>
      <c r="I1882" s="7">
        <v>876</v>
      </c>
      <c r="J1882" s="7">
        <v>70000</v>
      </c>
      <c r="K1882" s="7">
        <v>4</v>
      </c>
      <c r="L1882" t="s">
        <v>247</v>
      </c>
      <c r="M1882" t="s">
        <v>261</v>
      </c>
      <c r="N1882" s="7">
        <v>797335</v>
      </c>
      <c r="O1882" t="s">
        <v>1843</v>
      </c>
      <c r="P1882" t="s">
        <v>1844</v>
      </c>
      <c r="S1882" t="s">
        <v>5021</v>
      </c>
      <c r="T1882" t="s">
        <v>5022</v>
      </c>
      <c r="U1882" t="s">
        <v>5023</v>
      </c>
      <c r="V1882" s="8">
        <v>1250</v>
      </c>
      <c r="W1882" s="7">
        <v>0</v>
      </c>
      <c r="Y1882" s="8">
        <v>1250</v>
      </c>
      <c r="Z1882" s="8">
        <v>1475</v>
      </c>
      <c r="AA1882" s="8">
        <v>225</v>
      </c>
      <c r="AB1882" s="7">
        <v>0</v>
      </c>
      <c r="AD1882" s="8">
        <v>0</v>
      </c>
      <c r="AG1882" t="s">
        <v>817</v>
      </c>
      <c r="AH1882" t="s">
        <v>802</v>
      </c>
      <c r="AI1882" t="s">
        <v>818</v>
      </c>
    </row>
    <row r="1883" spans="1:35" hidden="1">
      <c r="A1883" s="7">
        <v>1882</v>
      </c>
      <c r="B1883" t="s">
        <v>243</v>
      </c>
      <c r="C1883" t="s">
        <v>244</v>
      </c>
      <c r="D1883" s="7">
        <v>7134</v>
      </c>
      <c r="E1883" t="s">
        <v>245</v>
      </c>
      <c r="F1883" t="s">
        <v>246</v>
      </c>
      <c r="G1883" t="s">
        <v>278</v>
      </c>
      <c r="H1883" t="s">
        <v>5033</v>
      </c>
      <c r="I1883" s="7">
        <v>1150</v>
      </c>
      <c r="J1883" s="7">
        <v>16626</v>
      </c>
      <c r="K1883" s="7">
        <v>5</v>
      </c>
      <c r="L1883" t="s">
        <v>247</v>
      </c>
      <c r="M1883" t="s">
        <v>261</v>
      </c>
      <c r="N1883" s="7">
        <v>778127</v>
      </c>
      <c r="O1883" t="s">
        <v>1945</v>
      </c>
      <c r="P1883" t="s">
        <v>1946</v>
      </c>
      <c r="S1883" t="s">
        <v>5021</v>
      </c>
      <c r="T1883" t="s">
        <v>5022</v>
      </c>
      <c r="U1883" t="s">
        <v>5023</v>
      </c>
      <c r="V1883" s="8">
        <v>1250</v>
      </c>
      <c r="W1883" s="7">
        <v>0</v>
      </c>
      <c r="Y1883" s="8">
        <v>1250</v>
      </c>
      <c r="Z1883" s="8">
        <v>1475</v>
      </c>
      <c r="AA1883" s="8">
        <v>225</v>
      </c>
      <c r="AB1883" s="7">
        <v>0</v>
      </c>
      <c r="AD1883" s="8">
        <v>0</v>
      </c>
      <c r="AG1883" t="s">
        <v>808</v>
      </c>
      <c r="AH1883" t="s">
        <v>802</v>
      </c>
      <c r="AI1883" t="s">
        <v>818</v>
      </c>
    </row>
    <row r="1884" spans="1:35" hidden="1">
      <c r="A1884" s="7">
        <v>1883</v>
      </c>
      <c r="B1884" t="s">
        <v>243</v>
      </c>
      <c r="C1884" t="s">
        <v>244</v>
      </c>
      <c r="D1884" s="7">
        <v>7134</v>
      </c>
      <c r="E1884" t="s">
        <v>245</v>
      </c>
      <c r="F1884" t="s">
        <v>246</v>
      </c>
      <c r="G1884" t="s">
        <v>1280</v>
      </c>
      <c r="H1884" t="s">
        <v>5038</v>
      </c>
      <c r="I1884" s="7">
        <v>920</v>
      </c>
      <c r="J1884" s="7">
        <v>92580</v>
      </c>
      <c r="K1884" s="7">
        <v>15</v>
      </c>
      <c r="L1884" t="s">
        <v>247</v>
      </c>
      <c r="M1884" t="s">
        <v>361</v>
      </c>
      <c r="N1884" s="7">
        <v>1344</v>
      </c>
      <c r="O1884" t="s">
        <v>1281</v>
      </c>
      <c r="P1884" t="s">
        <v>1282</v>
      </c>
      <c r="S1884" t="s">
        <v>5021</v>
      </c>
      <c r="T1884" t="s">
        <v>5022</v>
      </c>
      <c r="U1884" t="s">
        <v>5023</v>
      </c>
      <c r="V1884" s="8">
        <v>0</v>
      </c>
      <c r="W1884" s="7">
        <v>0</v>
      </c>
      <c r="Y1884" s="8">
        <v>0</v>
      </c>
      <c r="Z1884" s="8">
        <v>0</v>
      </c>
      <c r="AA1884" s="8">
        <v>0</v>
      </c>
      <c r="AB1884" s="7">
        <v>0</v>
      </c>
      <c r="AD1884" s="8">
        <v>0</v>
      </c>
      <c r="AG1884" t="s">
        <v>823</v>
      </c>
      <c r="AH1884" t="s">
        <v>802</v>
      </c>
      <c r="AI1884" t="s">
        <v>803</v>
      </c>
    </row>
    <row r="1885" spans="1:35" hidden="1">
      <c r="A1885" s="7">
        <v>1884</v>
      </c>
      <c r="B1885" t="s">
        <v>243</v>
      </c>
      <c r="C1885" t="s">
        <v>244</v>
      </c>
      <c r="D1885" s="7">
        <v>7134</v>
      </c>
      <c r="E1885" t="s">
        <v>245</v>
      </c>
      <c r="F1885" t="s">
        <v>246</v>
      </c>
      <c r="G1885" t="s">
        <v>363</v>
      </c>
      <c r="H1885" t="s">
        <v>5022</v>
      </c>
      <c r="I1885" s="7">
        <v>893</v>
      </c>
      <c r="J1885" s="7">
        <v>70000</v>
      </c>
      <c r="K1885" s="7">
        <v>4</v>
      </c>
      <c r="L1885" t="s">
        <v>247</v>
      </c>
      <c r="M1885" t="s">
        <v>261</v>
      </c>
      <c r="N1885" s="7">
        <v>795270</v>
      </c>
      <c r="O1885" t="s">
        <v>1811</v>
      </c>
      <c r="P1885" t="s">
        <v>1812</v>
      </c>
      <c r="S1885" t="s">
        <v>5021</v>
      </c>
      <c r="T1885" t="s">
        <v>5022</v>
      </c>
      <c r="U1885" t="s">
        <v>5023</v>
      </c>
      <c r="V1885" s="8">
        <v>1250</v>
      </c>
      <c r="W1885" s="7">
        <v>0</v>
      </c>
      <c r="Y1885" s="8">
        <v>1250</v>
      </c>
      <c r="Z1885" s="8">
        <v>1475</v>
      </c>
      <c r="AA1885" s="8">
        <v>225</v>
      </c>
      <c r="AB1885" s="7">
        <v>0</v>
      </c>
      <c r="AD1885" s="8">
        <v>0</v>
      </c>
      <c r="AG1885" t="s">
        <v>817</v>
      </c>
      <c r="AH1885" t="s">
        <v>802</v>
      </c>
      <c r="AI1885" t="s">
        <v>818</v>
      </c>
    </row>
    <row r="1886" spans="1:35" hidden="1">
      <c r="A1886" s="7">
        <v>1885</v>
      </c>
      <c r="B1886" t="s">
        <v>243</v>
      </c>
      <c r="C1886" t="s">
        <v>244</v>
      </c>
      <c r="D1886" s="7">
        <v>7134</v>
      </c>
      <c r="E1886" t="s">
        <v>245</v>
      </c>
      <c r="F1886" t="s">
        <v>246</v>
      </c>
      <c r="G1886" t="s">
        <v>898</v>
      </c>
      <c r="H1886" t="s">
        <v>5026</v>
      </c>
      <c r="I1886" s="7">
        <v>1165</v>
      </c>
      <c r="J1886" s="7">
        <v>81577</v>
      </c>
      <c r="K1886" s="7">
        <v>8</v>
      </c>
      <c r="L1886" t="s">
        <v>247</v>
      </c>
      <c r="M1886" t="s">
        <v>361</v>
      </c>
      <c r="N1886" s="7">
        <v>5355</v>
      </c>
      <c r="O1886" t="s">
        <v>1213</v>
      </c>
      <c r="P1886" t="s">
        <v>1214</v>
      </c>
      <c r="Q1886" t="s">
        <v>908</v>
      </c>
      <c r="R1886" t="s">
        <v>909</v>
      </c>
      <c r="S1886" t="s">
        <v>5021</v>
      </c>
      <c r="T1886" t="s">
        <v>5022</v>
      </c>
      <c r="U1886" t="s">
        <v>5023</v>
      </c>
      <c r="V1886" s="8">
        <v>0</v>
      </c>
      <c r="W1886" s="7">
        <v>0</v>
      </c>
      <c r="Y1886" s="8">
        <v>0</v>
      </c>
      <c r="Z1886" s="8">
        <v>0</v>
      </c>
      <c r="AA1886" s="8">
        <v>0</v>
      </c>
      <c r="AB1886" s="7">
        <v>0</v>
      </c>
      <c r="AD1886" s="8">
        <v>0</v>
      </c>
      <c r="AG1886" t="s">
        <v>823</v>
      </c>
      <c r="AH1886" t="s">
        <v>802</v>
      </c>
      <c r="AI1886" t="s">
        <v>803</v>
      </c>
    </row>
    <row r="1887" spans="1:35" hidden="1">
      <c r="A1887" s="7">
        <v>1886</v>
      </c>
      <c r="B1887" t="s">
        <v>243</v>
      </c>
      <c r="C1887" t="s">
        <v>244</v>
      </c>
      <c r="D1887" s="7">
        <v>7134</v>
      </c>
      <c r="E1887" t="s">
        <v>245</v>
      </c>
      <c r="F1887" t="s">
        <v>246</v>
      </c>
      <c r="G1887" t="s">
        <v>248</v>
      </c>
      <c r="H1887" t="s">
        <v>5037</v>
      </c>
      <c r="I1887" s="7">
        <v>980</v>
      </c>
      <c r="J1887" s="7">
        <v>70000</v>
      </c>
      <c r="K1887" s="7">
        <v>4</v>
      </c>
      <c r="L1887" t="s">
        <v>247</v>
      </c>
      <c r="M1887" t="s">
        <v>261</v>
      </c>
      <c r="N1887" s="7">
        <v>797023</v>
      </c>
      <c r="O1887" t="s">
        <v>1825</v>
      </c>
      <c r="P1887" t="s">
        <v>1826</v>
      </c>
      <c r="S1887" t="s">
        <v>5021</v>
      </c>
      <c r="T1887" t="s">
        <v>5022</v>
      </c>
      <c r="U1887" t="s">
        <v>5023</v>
      </c>
      <c r="V1887" s="8">
        <v>1250</v>
      </c>
      <c r="W1887" s="7">
        <v>0</v>
      </c>
      <c r="Y1887" s="8">
        <v>1250</v>
      </c>
      <c r="Z1887" s="8">
        <v>1475</v>
      </c>
      <c r="AA1887" s="8">
        <v>225</v>
      </c>
      <c r="AB1887" s="7">
        <v>0</v>
      </c>
      <c r="AD1887" s="8">
        <v>0</v>
      </c>
      <c r="AG1887" t="s">
        <v>817</v>
      </c>
      <c r="AH1887" t="s">
        <v>802</v>
      </c>
      <c r="AI1887" t="s">
        <v>818</v>
      </c>
    </row>
    <row r="1888" spans="1:35" hidden="1">
      <c r="A1888" s="7">
        <v>1887</v>
      </c>
      <c r="B1888" t="s">
        <v>243</v>
      </c>
      <c r="C1888" t="s">
        <v>244</v>
      </c>
      <c r="D1888" s="7">
        <v>7134</v>
      </c>
      <c r="E1888" t="s">
        <v>245</v>
      </c>
      <c r="F1888" t="s">
        <v>246</v>
      </c>
      <c r="G1888" t="s">
        <v>888</v>
      </c>
      <c r="H1888" t="s">
        <v>5058</v>
      </c>
      <c r="I1888" s="7">
        <v>1165</v>
      </c>
      <c r="J1888" s="7">
        <v>111000</v>
      </c>
      <c r="K1888" s="7">
        <v>11</v>
      </c>
      <c r="L1888" t="s">
        <v>247</v>
      </c>
      <c r="M1888" t="s">
        <v>267</v>
      </c>
      <c r="N1888" s="7">
        <v>776289</v>
      </c>
      <c r="O1888" t="s">
        <v>1784</v>
      </c>
      <c r="P1888" t="s">
        <v>1785</v>
      </c>
      <c r="S1888" t="s">
        <v>5021</v>
      </c>
      <c r="T1888" t="s">
        <v>5022</v>
      </c>
      <c r="U1888" t="s">
        <v>5023</v>
      </c>
      <c r="V1888" s="8">
        <v>1250</v>
      </c>
      <c r="W1888" s="7">
        <v>0</v>
      </c>
      <c r="Y1888" s="8">
        <v>1250</v>
      </c>
      <c r="Z1888" s="8">
        <v>1475</v>
      </c>
      <c r="AA1888" s="8">
        <v>225</v>
      </c>
      <c r="AB1888" s="7">
        <v>0</v>
      </c>
      <c r="AD1888" s="8">
        <v>0</v>
      </c>
      <c r="AG1888" t="s">
        <v>828</v>
      </c>
      <c r="AH1888" t="s">
        <v>802</v>
      </c>
      <c r="AI1888" t="s">
        <v>818</v>
      </c>
    </row>
    <row r="1889" spans="1:35" hidden="1">
      <c r="A1889" s="7">
        <v>1888</v>
      </c>
      <c r="B1889" t="s">
        <v>243</v>
      </c>
      <c r="C1889" t="s">
        <v>244</v>
      </c>
      <c r="D1889" s="7">
        <v>7134</v>
      </c>
      <c r="E1889" t="s">
        <v>245</v>
      </c>
      <c r="F1889" t="s">
        <v>246</v>
      </c>
      <c r="G1889" t="s">
        <v>333</v>
      </c>
      <c r="H1889" t="s">
        <v>5034</v>
      </c>
      <c r="I1889" s="7">
        <v>1160</v>
      </c>
      <c r="J1889" s="7">
        <v>21549</v>
      </c>
      <c r="K1889" s="7">
        <v>5</v>
      </c>
      <c r="L1889" t="s">
        <v>247</v>
      </c>
      <c r="M1889" t="s">
        <v>261</v>
      </c>
      <c r="N1889" s="7">
        <v>801727</v>
      </c>
      <c r="O1889" t="s">
        <v>496</v>
      </c>
      <c r="P1889" t="s">
        <v>497</v>
      </c>
      <c r="S1889" t="s">
        <v>5021</v>
      </c>
      <c r="T1889" t="s">
        <v>5022</v>
      </c>
      <c r="U1889" t="s">
        <v>5023</v>
      </c>
      <c r="V1889" s="8">
        <v>1250</v>
      </c>
      <c r="W1889" s="7">
        <v>0</v>
      </c>
      <c r="Y1889" s="8">
        <v>1250</v>
      </c>
      <c r="Z1889" s="8">
        <v>1475</v>
      </c>
      <c r="AA1889" s="8">
        <v>225</v>
      </c>
      <c r="AB1889" s="7">
        <v>0</v>
      </c>
      <c r="AD1889" s="8">
        <v>0</v>
      </c>
      <c r="AG1889" t="s">
        <v>801</v>
      </c>
      <c r="AH1889" t="s">
        <v>802</v>
      </c>
      <c r="AI1889" t="s">
        <v>818</v>
      </c>
    </row>
    <row r="1890" spans="1:35" hidden="1">
      <c r="A1890" s="7">
        <v>1889</v>
      </c>
      <c r="B1890" t="s">
        <v>243</v>
      </c>
      <c r="C1890" t="s">
        <v>244</v>
      </c>
      <c r="D1890" s="7">
        <v>7134</v>
      </c>
      <c r="E1890" t="s">
        <v>245</v>
      </c>
      <c r="F1890" t="s">
        <v>246</v>
      </c>
      <c r="G1890" t="s">
        <v>278</v>
      </c>
      <c r="H1890" t="s">
        <v>5030</v>
      </c>
      <c r="I1890" s="7">
        <v>1165</v>
      </c>
      <c r="J1890" s="7">
        <v>14509</v>
      </c>
      <c r="K1890" s="7">
        <v>5</v>
      </c>
      <c r="L1890" t="s">
        <v>247</v>
      </c>
      <c r="M1890" t="s">
        <v>267</v>
      </c>
      <c r="N1890" s="7">
        <v>793736</v>
      </c>
      <c r="O1890" t="s">
        <v>441</v>
      </c>
      <c r="P1890" t="s">
        <v>442</v>
      </c>
      <c r="S1890" t="s">
        <v>5021</v>
      </c>
      <c r="T1890" t="s">
        <v>5022</v>
      </c>
      <c r="U1890" t="s">
        <v>5023</v>
      </c>
      <c r="V1890" s="8">
        <v>1250</v>
      </c>
      <c r="W1890" s="7">
        <v>0</v>
      </c>
      <c r="Y1890" s="8">
        <v>1250</v>
      </c>
      <c r="Z1890" s="8">
        <v>1475</v>
      </c>
      <c r="AA1890" s="8">
        <v>225</v>
      </c>
      <c r="AB1890" s="7">
        <v>0</v>
      </c>
      <c r="AD1890" s="8">
        <v>0</v>
      </c>
      <c r="AG1890" t="s">
        <v>828</v>
      </c>
      <c r="AH1890" t="s">
        <v>802</v>
      </c>
      <c r="AI1890" t="s">
        <v>818</v>
      </c>
    </row>
    <row r="1891" spans="1:35" hidden="1">
      <c r="A1891" s="7">
        <v>1890</v>
      </c>
      <c r="B1891" t="s">
        <v>243</v>
      </c>
      <c r="C1891" t="s">
        <v>244</v>
      </c>
      <c r="D1891" s="7">
        <v>7134</v>
      </c>
      <c r="E1891" t="s">
        <v>245</v>
      </c>
      <c r="F1891" t="s">
        <v>246</v>
      </c>
      <c r="G1891" t="s">
        <v>1577</v>
      </c>
      <c r="H1891" t="s">
        <v>5047</v>
      </c>
      <c r="I1891" s="7">
        <v>1165</v>
      </c>
      <c r="J1891" s="7">
        <v>32241</v>
      </c>
      <c r="K1891" s="7">
        <v>6</v>
      </c>
      <c r="L1891" t="s">
        <v>247</v>
      </c>
      <c r="M1891" t="s">
        <v>361</v>
      </c>
      <c r="N1891" s="7">
        <v>4910</v>
      </c>
      <c r="O1891" t="s">
        <v>2052</v>
      </c>
      <c r="P1891" t="s">
        <v>2053</v>
      </c>
      <c r="S1891" t="s">
        <v>5021</v>
      </c>
      <c r="T1891" t="s">
        <v>5022</v>
      </c>
      <c r="U1891" t="s">
        <v>5023</v>
      </c>
      <c r="V1891" s="8">
        <v>0</v>
      </c>
      <c r="W1891" s="7">
        <v>0</v>
      </c>
      <c r="Y1891" s="8">
        <v>0</v>
      </c>
      <c r="Z1891" s="8">
        <v>0</v>
      </c>
      <c r="AA1891" s="8">
        <v>0</v>
      </c>
      <c r="AB1891" s="7">
        <v>0</v>
      </c>
      <c r="AD1891" s="8">
        <v>0</v>
      </c>
      <c r="AG1891" t="s">
        <v>823</v>
      </c>
      <c r="AH1891" t="s">
        <v>802</v>
      </c>
      <c r="AI1891" t="s">
        <v>803</v>
      </c>
    </row>
    <row r="1892" spans="1:35" hidden="1">
      <c r="A1892" s="7">
        <v>1891</v>
      </c>
      <c r="B1892" t="s">
        <v>243</v>
      </c>
      <c r="C1892" t="s">
        <v>244</v>
      </c>
      <c r="D1892" s="7">
        <v>7134</v>
      </c>
      <c r="E1892" t="s">
        <v>245</v>
      </c>
      <c r="F1892" t="s">
        <v>246</v>
      </c>
      <c r="G1892" t="s">
        <v>1098</v>
      </c>
      <c r="H1892" t="s">
        <v>5069</v>
      </c>
      <c r="I1892" s="7">
        <v>1165</v>
      </c>
      <c r="J1892" s="7">
        <v>124848</v>
      </c>
      <c r="K1892" s="7">
        <v>13</v>
      </c>
      <c r="L1892" t="s">
        <v>247</v>
      </c>
      <c r="M1892" t="s">
        <v>361</v>
      </c>
      <c r="N1892" s="7">
        <v>2135</v>
      </c>
      <c r="O1892" t="s">
        <v>1099</v>
      </c>
      <c r="P1892" t="s">
        <v>1100</v>
      </c>
      <c r="S1892" t="s">
        <v>5021</v>
      </c>
      <c r="T1892" t="s">
        <v>5022</v>
      </c>
      <c r="U1892" t="s">
        <v>5023</v>
      </c>
      <c r="V1892" s="8">
        <v>0</v>
      </c>
      <c r="W1892" s="7">
        <v>0</v>
      </c>
      <c r="Y1892" s="8">
        <v>0</v>
      </c>
      <c r="Z1892" s="8">
        <v>0</v>
      </c>
      <c r="AA1892" s="8">
        <v>0</v>
      </c>
      <c r="AB1892" s="7">
        <v>0</v>
      </c>
      <c r="AD1892" s="8">
        <v>0</v>
      </c>
      <c r="AG1892" t="s">
        <v>823</v>
      </c>
      <c r="AH1892" t="s">
        <v>802</v>
      </c>
      <c r="AI1892" t="s">
        <v>803</v>
      </c>
    </row>
    <row r="1893" spans="1:35" hidden="1">
      <c r="A1893" s="7">
        <v>1892</v>
      </c>
      <c r="B1893" t="s">
        <v>243</v>
      </c>
      <c r="C1893" t="s">
        <v>244</v>
      </c>
      <c r="D1893" s="7">
        <v>7134</v>
      </c>
      <c r="E1893" t="s">
        <v>245</v>
      </c>
      <c r="F1893" t="s">
        <v>246</v>
      </c>
      <c r="G1893" t="s">
        <v>293</v>
      </c>
      <c r="H1893" t="s">
        <v>5026</v>
      </c>
      <c r="I1893" s="7">
        <v>1165</v>
      </c>
      <c r="J1893" s="7">
        <v>54120</v>
      </c>
      <c r="K1893" s="7">
        <v>5</v>
      </c>
      <c r="L1893" t="s">
        <v>247</v>
      </c>
      <c r="M1893" t="s">
        <v>252</v>
      </c>
      <c r="N1893" s="7">
        <v>327424</v>
      </c>
      <c r="O1893" t="s">
        <v>380</v>
      </c>
      <c r="P1893" t="s">
        <v>381</v>
      </c>
      <c r="Q1893" t="s">
        <v>908</v>
      </c>
      <c r="R1893" t="s">
        <v>909</v>
      </c>
      <c r="S1893" t="s">
        <v>5021</v>
      </c>
      <c r="T1893" t="s">
        <v>5022</v>
      </c>
      <c r="U1893" t="s">
        <v>5023</v>
      </c>
      <c r="V1893" s="8">
        <v>1250</v>
      </c>
      <c r="W1893" s="7">
        <v>0</v>
      </c>
      <c r="Y1893" s="8">
        <v>1000</v>
      </c>
      <c r="Z1893" s="8">
        <v>1475</v>
      </c>
      <c r="AA1893" s="8">
        <v>225</v>
      </c>
      <c r="AB1893" s="7">
        <v>0</v>
      </c>
      <c r="AD1893" s="8">
        <v>250</v>
      </c>
      <c r="AG1893" t="s">
        <v>937</v>
      </c>
      <c r="AH1893" t="s">
        <v>802</v>
      </c>
      <c r="AI1893" t="s">
        <v>818</v>
      </c>
    </row>
    <row r="1894" spans="1:35" hidden="1">
      <c r="A1894" s="7">
        <v>1893</v>
      </c>
      <c r="B1894" t="s">
        <v>243</v>
      </c>
      <c r="C1894" t="s">
        <v>244</v>
      </c>
      <c r="D1894" s="7">
        <v>7134</v>
      </c>
      <c r="E1894" t="s">
        <v>245</v>
      </c>
      <c r="F1894" t="s">
        <v>246</v>
      </c>
      <c r="G1894" t="s">
        <v>5064</v>
      </c>
      <c r="H1894" t="s">
        <v>5046</v>
      </c>
      <c r="I1894" s="7">
        <v>1165</v>
      </c>
      <c r="J1894" s="7">
        <v>10000</v>
      </c>
      <c r="K1894" s="7">
        <v>1</v>
      </c>
      <c r="L1894" t="s">
        <v>247</v>
      </c>
      <c r="M1894" t="s">
        <v>361</v>
      </c>
      <c r="N1894" s="7">
        <v>9952</v>
      </c>
      <c r="O1894" t="s">
        <v>5076</v>
      </c>
      <c r="P1894" t="s">
        <v>5077</v>
      </c>
      <c r="S1894" t="s">
        <v>5021</v>
      </c>
      <c r="T1894" t="s">
        <v>5022</v>
      </c>
      <c r="U1894" t="s">
        <v>5023</v>
      </c>
      <c r="V1894" s="8">
        <v>1650</v>
      </c>
      <c r="W1894" s="7">
        <v>0</v>
      </c>
      <c r="Y1894" s="8">
        <v>1650</v>
      </c>
      <c r="Z1894" s="8">
        <v>1947</v>
      </c>
      <c r="AA1894" s="8">
        <v>297</v>
      </c>
      <c r="AB1894" s="7">
        <v>0</v>
      </c>
      <c r="AD1894" s="8">
        <v>0</v>
      </c>
      <c r="AG1894" t="s">
        <v>823</v>
      </c>
      <c r="AH1894" t="s">
        <v>802</v>
      </c>
      <c r="AI1894" t="s">
        <v>818</v>
      </c>
    </row>
    <row r="1895" spans="1:35" hidden="1">
      <c r="A1895" s="7">
        <v>1894</v>
      </c>
      <c r="B1895" t="s">
        <v>243</v>
      </c>
      <c r="C1895" t="s">
        <v>244</v>
      </c>
      <c r="D1895" s="7">
        <v>7134</v>
      </c>
      <c r="E1895" t="s">
        <v>245</v>
      </c>
      <c r="F1895" t="s">
        <v>246</v>
      </c>
      <c r="G1895" t="s">
        <v>1165</v>
      </c>
      <c r="H1895" t="s">
        <v>5048</v>
      </c>
      <c r="I1895" s="7">
        <v>1165</v>
      </c>
      <c r="J1895" s="7">
        <v>44666</v>
      </c>
      <c r="K1895" s="7">
        <v>8</v>
      </c>
      <c r="L1895" t="s">
        <v>247</v>
      </c>
      <c r="M1895" t="s">
        <v>267</v>
      </c>
      <c r="N1895" s="7">
        <v>749139</v>
      </c>
      <c r="O1895" t="s">
        <v>5078</v>
      </c>
      <c r="P1895" t="s">
        <v>5079</v>
      </c>
      <c r="Q1895" t="s">
        <v>1902</v>
      </c>
      <c r="R1895" t="s">
        <v>1903</v>
      </c>
      <c r="S1895" t="s">
        <v>5021</v>
      </c>
      <c r="T1895" t="s">
        <v>5022</v>
      </c>
      <c r="U1895" t="s">
        <v>5023</v>
      </c>
      <c r="V1895" s="8">
        <v>1250</v>
      </c>
      <c r="W1895" s="7">
        <v>0</v>
      </c>
      <c r="Y1895" s="8">
        <v>0</v>
      </c>
      <c r="Z1895" s="8">
        <v>1475</v>
      </c>
      <c r="AA1895" s="8">
        <v>225</v>
      </c>
      <c r="AB1895" s="7">
        <v>0</v>
      </c>
      <c r="AD1895" s="8">
        <v>1250</v>
      </c>
      <c r="AG1895" t="s">
        <v>828</v>
      </c>
      <c r="AH1895" t="s">
        <v>802</v>
      </c>
      <c r="AI1895" t="s">
        <v>818</v>
      </c>
    </row>
    <row r="1896" spans="1:35" hidden="1">
      <c r="A1896" s="7">
        <v>1895</v>
      </c>
      <c r="B1896" t="s">
        <v>243</v>
      </c>
      <c r="C1896" t="s">
        <v>244</v>
      </c>
      <c r="D1896" s="7">
        <v>7134</v>
      </c>
      <c r="E1896" t="s">
        <v>245</v>
      </c>
      <c r="F1896" t="s">
        <v>246</v>
      </c>
      <c r="G1896" t="s">
        <v>1004</v>
      </c>
      <c r="H1896" t="s">
        <v>5051</v>
      </c>
      <c r="I1896" s="7">
        <v>1165</v>
      </c>
      <c r="J1896" s="7">
        <v>69949</v>
      </c>
      <c r="K1896" s="7">
        <v>7</v>
      </c>
      <c r="L1896" t="s">
        <v>247</v>
      </c>
      <c r="M1896" t="s">
        <v>361</v>
      </c>
      <c r="N1896" s="7">
        <v>5607</v>
      </c>
      <c r="O1896" t="s">
        <v>1351</v>
      </c>
      <c r="P1896" t="s">
        <v>1352</v>
      </c>
      <c r="Q1896" t="s">
        <v>283</v>
      </c>
      <c r="R1896" t="s">
        <v>1062</v>
      </c>
      <c r="S1896" t="s">
        <v>5021</v>
      </c>
      <c r="T1896" t="s">
        <v>5022</v>
      </c>
      <c r="U1896" t="s">
        <v>5023</v>
      </c>
      <c r="V1896" s="8">
        <v>1650</v>
      </c>
      <c r="W1896" s="7">
        <v>0</v>
      </c>
      <c r="Y1896" s="8">
        <v>0</v>
      </c>
      <c r="Z1896" s="8">
        <v>1947</v>
      </c>
      <c r="AA1896" s="8">
        <v>297</v>
      </c>
      <c r="AB1896" s="7">
        <v>0</v>
      </c>
      <c r="AD1896" s="8">
        <v>1650</v>
      </c>
      <c r="AG1896" t="s">
        <v>823</v>
      </c>
      <c r="AH1896" t="s">
        <v>802</v>
      </c>
      <c r="AI1896" t="s">
        <v>818</v>
      </c>
    </row>
    <row r="1897" spans="1:35" hidden="1">
      <c r="A1897" s="7">
        <v>1896</v>
      </c>
      <c r="B1897" t="s">
        <v>243</v>
      </c>
      <c r="C1897" t="s">
        <v>244</v>
      </c>
      <c r="D1897" s="7">
        <v>7134</v>
      </c>
      <c r="E1897" t="s">
        <v>245</v>
      </c>
      <c r="F1897" t="s">
        <v>246</v>
      </c>
      <c r="G1897" t="s">
        <v>308</v>
      </c>
      <c r="H1897" t="s">
        <v>5062</v>
      </c>
      <c r="I1897" s="7">
        <v>1165</v>
      </c>
      <c r="J1897" s="7">
        <v>60332</v>
      </c>
      <c r="K1897" s="7">
        <v>6</v>
      </c>
      <c r="L1897" t="s">
        <v>247</v>
      </c>
      <c r="M1897" t="s">
        <v>261</v>
      </c>
      <c r="N1897" s="7">
        <v>792931</v>
      </c>
      <c r="O1897" t="s">
        <v>355</v>
      </c>
      <c r="P1897" t="s">
        <v>356</v>
      </c>
      <c r="S1897" t="s">
        <v>5021</v>
      </c>
      <c r="T1897" t="s">
        <v>5022</v>
      </c>
      <c r="U1897" t="s">
        <v>5023</v>
      </c>
      <c r="V1897" s="8">
        <v>0</v>
      </c>
      <c r="W1897" s="7">
        <v>0</v>
      </c>
      <c r="Y1897" s="8">
        <v>0</v>
      </c>
      <c r="Z1897" s="8">
        <v>0</v>
      </c>
      <c r="AA1897" s="8">
        <v>0</v>
      </c>
      <c r="AB1897" s="7">
        <v>0</v>
      </c>
      <c r="AD1897" s="8">
        <v>0</v>
      </c>
      <c r="AG1897" t="s">
        <v>801</v>
      </c>
      <c r="AH1897" t="s">
        <v>802</v>
      </c>
      <c r="AI1897" t="s">
        <v>803</v>
      </c>
    </row>
    <row r="1898" spans="1:35" hidden="1">
      <c r="A1898" s="7">
        <v>1897</v>
      </c>
      <c r="B1898" t="s">
        <v>243</v>
      </c>
      <c r="C1898" t="s">
        <v>244</v>
      </c>
      <c r="D1898" s="7">
        <v>7134</v>
      </c>
      <c r="E1898" t="s">
        <v>245</v>
      </c>
      <c r="F1898" t="s">
        <v>246</v>
      </c>
      <c r="G1898" t="s">
        <v>914</v>
      </c>
      <c r="H1898" t="s">
        <v>4859</v>
      </c>
      <c r="I1898" s="7">
        <v>1165</v>
      </c>
      <c r="J1898" s="7">
        <v>24175</v>
      </c>
      <c r="K1898" s="7">
        <v>6</v>
      </c>
      <c r="L1898" t="s">
        <v>247</v>
      </c>
      <c r="M1898" t="s">
        <v>267</v>
      </c>
      <c r="N1898" s="7">
        <v>789054</v>
      </c>
      <c r="O1898" t="s">
        <v>1768</v>
      </c>
      <c r="P1898" t="s">
        <v>1769</v>
      </c>
      <c r="S1898" t="s">
        <v>5021</v>
      </c>
      <c r="T1898" t="s">
        <v>5022</v>
      </c>
      <c r="U1898" t="s">
        <v>5023</v>
      </c>
      <c r="V1898" s="8">
        <v>0</v>
      </c>
      <c r="W1898" s="7">
        <v>0</v>
      </c>
      <c r="Y1898" s="8">
        <v>0</v>
      </c>
      <c r="Z1898" s="8">
        <v>0</v>
      </c>
      <c r="AA1898" s="8">
        <v>0</v>
      </c>
      <c r="AB1898" s="7">
        <v>0</v>
      </c>
      <c r="AD1898" s="8">
        <v>0</v>
      </c>
      <c r="AG1898" t="s">
        <v>828</v>
      </c>
      <c r="AH1898" t="s">
        <v>802</v>
      </c>
      <c r="AI1898" t="s">
        <v>803</v>
      </c>
    </row>
    <row r="1899" spans="1:35" hidden="1">
      <c r="A1899" s="7">
        <v>1898</v>
      </c>
      <c r="B1899" t="s">
        <v>243</v>
      </c>
      <c r="C1899" t="s">
        <v>244</v>
      </c>
      <c r="D1899" s="7">
        <v>7134</v>
      </c>
      <c r="E1899" t="s">
        <v>245</v>
      </c>
      <c r="F1899" t="s">
        <v>246</v>
      </c>
      <c r="G1899" t="s">
        <v>1267</v>
      </c>
      <c r="H1899" t="s">
        <v>5038</v>
      </c>
      <c r="I1899" s="7">
        <v>1165</v>
      </c>
      <c r="J1899" s="7">
        <v>50000</v>
      </c>
      <c r="K1899" s="7">
        <v>6</v>
      </c>
      <c r="L1899" t="s">
        <v>247</v>
      </c>
      <c r="M1899" t="s">
        <v>267</v>
      </c>
      <c r="N1899" s="7">
        <v>789007</v>
      </c>
      <c r="O1899" t="s">
        <v>1268</v>
      </c>
      <c r="P1899" t="s">
        <v>1269</v>
      </c>
      <c r="S1899" t="s">
        <v>5021</v>
      </c>
      <c r="T1899" t="s">
        <v>5022</v>
      </c>
      <c r="U1899" t="s">
        <v>5023</v>
      </c>
      <c r="V1899" s="8">
        <v>0</v>
      </c>
      <c r="W1899" s="7">
        <v>0</v>
      </c>
      <c r="Y1899" s="8">
        <v>0</v>
      </c>
      <c r="Z1899" s="8">
        <v>0</v>
      </c>
      <c r="AA1899" s="8">
        <v>0</v>
      </c>
      <c r="AB1899" s="7">
        <v>0</v>
      </c>
      <c r="AD1899" s="8">
        <v>0</v>
      </c>
      <c r="AG1899" t="s">
        <v>828</v>
      </c>
      <c r="AH1899" t="s">
        <v>802</v>
      </c>
      <c r="AI1899" t="s">
        <v>803</v>
      </c>
    </row>
    <row r="1900" spans="1:35" hidden="1">
      <c r="A1900" s="7">
        <v>1899</v>
      </c>
      <c r="B1900" t="s">
        <v>243</v>
      </c>
      <c r="C1900" t="s">
        <v>244</v>
      </c>
      <c r="D1900" s="7">
        <v>7134</v>
      </c>
      <c r="E1900" t="s">
        <v>245</v>
      </c>
      <c r="F1900" t="s">
        <v>246</v>
      </c>
      <c r="G1900" t="s">
        <v>1273</v>
      </c>
      <c r="H1900" t="s">
        <v>5070</v>
      </c>
      <c r="I1900" s="7">
        <v>1165</v>
      </c>
      <c r="J1900" s="7">
        <v>24026</v>
      </c>
      <c r="K1900" s="7">
        <v>8</v>
      </c>
      <c r="L1900" t="s">
        <v>247</v>
      </c>
      <c r="M1900" t="s">
        <v>252</v>
      </c>
      <c r="N1900" s="7">
        <v>324906</v>
      </c>
      <c r="O1900" t="s">
        <v>1275</v>
      </c>
      <c r="P1900" t="s">
        <v>1276</v>
      </c>
      <c r="Q1900" t="s">
        <v>870</v>
      </c>
      <c r="R1900" t="s">
        <v>871</v>
      </c>
      <c r="S1900" t="s">
        <v>5021</v>
      </c>
      <c r="T1900" t="s">
        <v>5022</v>
      </c>
      <c r="U1900" t="s">
        <v>5023</v>
      </c>
      <c r="V1900" s="8">
        <v>1250</v>
      </c>
      <c r="W1900" s="7">
        <v>0</v>
      </c>
      <c r="Y1900" s="8">
        <v>1000</v>
      </c>
      <c r="Z1900" s="8">
        <v>1475</v>
      </c>
      <c r="AA1900" s="8">
        <v>225</v>
      </c>
      <c r="AB1900" s="7">
        <v>0</v>
      </c>
      <c r="AD1900" s="8">
        <v>250</v>
      </c>
      <c r="AG1900" t="s">
        <v>937</v>
      </c>
      <c r="AH1900" t="s">
        <v>802</v>
      </c>
      <c r="AI1900" t="s">
        <v>818</v>
      </c>
    </row>
    <row r="1901" spans="1:35" hidden="1">
      <c r="A1901" s="7">
        <v>1900</v>
      </c>
      <c r="B1901" t="s">
        <v>243</v>
      </c>
      <c r="C1901" t="s">
        <v>244</v>
      </c>
      <c r="D1901" s="7">
        <v>7134</v>
      </c>
      <c r="E1901" t="s">
        <v>245</v>
      </c>
      <c r="F1901" t="s">
        <v>246</v>
      </c>
      <c r="G1901" t="s">
        <v>1765</v>
      </c>
      <c r="H1901" t="s">
        <v>5043</v>
      </c>
      <c r="I1901" s="7">
        <v>1165</v>
      </c>
      <c r="J1901" s="7">
        <v>50751</v>
      </c>
      <c r="K1901" s="7">
        <v>8</v>
      </c>
      <c r="L1901" t="s">
        <v>247</v>
      </c>
      <c r="M1901" t="s">
        <v>261</v>
      </c>
      <c r="N1901" s="7">
        <v>787473</v>
      </c>
      <c r="O1901" t="s">
        <v>1766</v>
      </c>
      <c r="P1901" t="s">
        <v>1767</v>
      </c>
      <c r="S1901" t="s">
        <v>5021</v>
      </c>
      <c r="T1901" t="s">
        <v>5022</v>
      </c>
      <c r="U1901" t="s">
        <v>5023</v>
      </c>
      <c r="V1901" s="8">
        <v>1250</v>
      </c>
      <c r="W1901" s="7">
        <v>0</v>
      </c>
      <c r="Y1901" s="8">
        <v>1250</v>
      </c>
      <c r="Z1901" s="8">
        <v>1475</v>
      </c>
      <c r="AA1901" s="8">
        <v>225</v>
      </c>
      <c r="AB1901" s="7">
        <v>0</v>
      </c>
      <c r="AD1901" s="8">
        <v>0</v>
      </c>
      <c r="AG1901" t="s">
        <v>801</v>
      </c>
      <c r="AH1901" t="s">
        <v>802</v>
      </c>
      <c r="AI1901" t="s">
        <v>818</v>
      </c>
    </row>
    <row r="1902" spans="1:35" hidden="1">
      <c r="A1902" s="7">
        <v>1901</v>
      </c>
      <c r="B1902" t="s">
        <v>243</v>
      </c>
      <c r="C1902" t="s">
        <v>244</v>
      </c>
      <c r="D1902" s="7">
        <v>7134</v>
      </c>
      <c r="E1902" t="s">
        <v>245</v>
      </c>
      <c r="F1902" t="s">
        <v>246</v>
      </c>
      <c r="G1902" t="s">
        <v>1615</v>
      </c>
      <c r="H1902" t="s">
        <v>5047</v>
      </c>
      <c r="I1902" s="7">
        <v>1150</v>
      </c>
      <c r="J1902" s="7">
        <v>20043</v>
      </c>
      <c r="K1902" s="7">
        <v>5</v>
      </c>
      <c r="L1902" t="s">
        <v>247</v>
      </c>
      <c r="M1902" t="s">
        <v>261</v>
      </c>
      <c r="N1902" s="7">
        <v>778136</v>
      </c>
      <c r="O1902" t="s">
        <v>2084</v>
      </c>
      <c r="P1902" t="s">
        <v>2085</v>
      </c>
      <c r="S1902" t="s">
        <v>5021</v>
      </c>
      <c r="T1902" t="s">
        <v>5022</v>
      </c>
      <c r="U1902" t="s">
        <v>5023</v>
      </c>
      <c r="V1902" s="8">
        <v>1250</v>
      </c>
      <c r="W1902" s="7">
        <v>0</v>
      </c>
      <c r="Y1902" s="8">
        <v>1250</v>
      </c>
      <c r="Z1902" s="8">
        <v>1475</v>
      </c>
      <c r="AA1902" s="8">
        <v>225</v>
      </c>
      <c r="AB1902" s="7">
        <v>0</v>
      </c>
      <c r="AD1902" s="8">
        <v>0</v>
      </c>
      <c r="AG1902" t="s">
        <v>808</v>
      </c>
      <c r="AH1902" t="s">
        <v>802</v>
      </c>
      <c r="AI1902" t="s">
        <v>818</v>
      </c>
    </row>
    <row r="1903" spans="1:35" hidden="1">
      <c r="A1903" s="7">
        <v>1902</v>
      </c>
      <c r="B1903" t="s">
        <v>243</v>
      </c>
      <c r="C1903" t="s">
        <v>244</v>
      </c>
      <c r="D1903" s="7">
        <v>7134</v>
      </c>
      <c r="E1903" t="s">
        <v>245</v>
      </c>
      <c r="F1903" t="s">
        <v>246</v>
      </c>
      <c r="G1903" t="s">
        <v>4919</v>
      </c>
      <c r="H1903" t="s">
        <v>5062</v>
      </c>
      <c r="I1903" s="7">
        <v>1165</v>
      </c>
      <c r="J1903" s="7">
        <v>7000</v>
      </c>
      <c r="K1903" s="7">
        <v>1</v>
      </c>
      <c r="L1903" t="s">
        <v>247</v>
      </c>
      <c r="M1903" t="s">
        <v>361</v>
      </c>
      <c r="N1903" s="7">
        <v>10666</v>
      </c>
      <c r="O1903" t="s">
        <v>5080</v>
      </c>
      <c r="P1903" t="s">
        <v>5081</v>
      </c>
      <c r="S1903" t="s">
        <v>5021</v>
      </c>
      <c r="T1903" t="s">
        <v>5022</v>
      </c>
      <c r="U1903" t="s">
        <v>5023</v>
      </c>
      <c r="V1903" s="8">
        <v>1650</v>
      </c>
      <c r="W1903" s="7">
        <v>0</v>
      </c>
      <c r="Y1903" s="8">
        <v>1650</v>
      </c>
      <c r="Z1903" s="8">
        <v>1947</v>
      </c>
      <c r="AA1903" s="8">
        <v>297</v>
      </c>
      <c r="AB1903" s="7">
        <v>0</v>
      </c>
      <c r="AD1903" s="8">
        <v>0</v>
      </c>
      <c r="AG1903" t="s">
        <v>823</v>
      </c>
      <c r="AH1903" t="s">
        <v>802</v>
      </c>
      <c r="AI1903" t="s">
        <v>818</v>
      </c>
    </row>
    <row r="1904" spans="1:35" hidden="1">
      <c r="A1904" s="7">
        <v>1903</v>
      </c>
      <c r="B1904" t="s">
        <v>243</v>
      </c>
      <c r="C1904" t="s">
        <v>244</v>
      </c>
      <c r="D1904" s="7">
        <v>7134</v>
      </c>
      <c r="E1904" t="s">
        <v>245</v>
      </c>
      <c r="F1904" t="s">
        <v>246</v>
      </c>
      <c r="G1904" t="s">
        <v>248</v>
      </c>
      <c r="H1904" t="s">
        <v>5037</v>
      </c>
      <c r="I1904" s="7">
        <v>877</v>
      </c>
      <c r="J1904" s="7">
        <v>70000</v>
      </c>
      <c r="K1904" s="7">
        <v>4</v>
      </c>
      <c r="L1904" t="s">
        <v>247</v>
      </c>
      <c r="M1904" t="s">
        <v>261</v>
      </c>
      <c r="N1904" s="7">
        <v>798914</v>
      </c>
      <c r="O1904" t="s">
        <v>3373</v>
      </c>
      <c r="P1904" t="s">
        <v>3374</v>
      </c>
      <c r="S1904" t="s">
        <v>5021</v>
      </c>
      <c r="T1904" t="s">
        <v>5022</v>
      </c>
      <c r="U1904" t="s">
        <v>5023</v>
      </c>
      <c r="V1904" s="8">
        <v>1250</v>
      </c>
      <c r="W1904" s="7">
        <v>0</v>
      </c>
      <c r="Y1904" s="8">
        <v>1250</v>
      </c>
      <c r="Z1904" s="8">
        <v>1475</v>
      </c>
      <c r="AA1904" s="8">
        <v>225</v>
      </c>
      <c r="AB1904" s="7">
        <v>0</v>
      </c>
      <c r="AD1904" s="8">
        <v>0</v>
      </c>
      <c r="AG1904" t="s">
        <v>817</v>
      </c>
      <c r="AH1904" t="s">
        <v>802</v>
      </c>
      <c r="AI1904" t="s">
        <v>818</v>
      </c>
    </row>
    <row r="1905" spans="1:35" hidden="1">
      <c r="A1905" s="7">
        <v>1904</v>
      </c>
      <c r="B1905" t="s">
        <v>243</v>
      </c>
      <c r="C1905" t="s">
        <v>244</v>
      </c>
      <c r="D1905" s="7">
        <v>7134</v>
      </c>
      <c r="E1905" t="s">
        <v>245</v>
      </c>
      <c r="F1905" t="s">
        <v>246</v>
      </c>
      <c r="G1905" t="s">
        <v>248</v>
      </c>
      <c r="H1905" t="s">
        <v>5063</v>
      </c>
      <c r="I1905" s="7">
        <v>902</v>
      </c>
      <c r="J1905" s="7">
        <v>90000</v>
      </c>
      <c r="K1905" s="7">
        <v>5</v>
      </c>
      <c r="L1905" t="s">
        <v>247</v>
      </c>
      <c r="M1905" t="s">
        <v>261</v>
      </c>
      <c r="N1905" s="7">
        <v>798566</v>
      </c>
      <c r="O1905" t="s">
        <v>2176</v>
      </c>
      <c r="P1905" t="s">
        <v>2177</v>
      </c>
      <c r="S1905" t="s">
        <v>5021</v>
      </c>
      <c r="T1905" t="s">
        <v>5022</v>
      </c>
      <c r="U1905" t="s">
        <v>5023</v>
      </c>
      <c r="V1905" s="8">
        <v>0</v>
      </c>
      <c r="W1905" s="7">
        <v>0</v>
      </c>
      <c r="Y1905" s="8">
        <v>0</v>
      </c>
      <c r="Z1905" s="8">
        <v>0</v>
      </c>
      <c r="AA1905" s="8">
        <v>0</v>
      </c>
      <c r="AB1905" s="7">
        <v>0</v>
      </c>
      <c r="AD1905" s="8">
        <v>0</v>
      </c>
      <c r="AG1905" t="s">
        <v>817</v>
      </c>
      <c r="AH1905" t="s">
        <v>802</v>
      </c>
      <c r="AI1905" t="s">
        <v>803</v>
      </c>
    </row>
    <row r="1906" spans="1:35" hidden="1">
      <c r="A1906" s="7">
        <v>1905</v>
      </c>
      <c r="B1906" t="s">
        <v>243</v>
      </c>
      <c r="C1906" t="s">
        <v>244</v>
      </c>
      <c r="D1906" s="7">
        <v>7160</v>
      </c>
      <c r="E1906" t="s">
        <v>3764</v>
      </c>
      <c r="F1906" t="s">
        <v>246</v>
      </c>
      <c r="G1906" t="s">
        <v>2131</v>
      </c>
      <c r="H1906" t="s">
        <v>624</v>
      </c>
      <c r="I1906" s="7">
        <v>765</v>
      </c>
      <c r="J1906" s="7">
        <v>30000</v>
      </c>
      <c r="K1906" s="7">
        <v>3</v>
      </c>
      <c r="L1906" t="s">
        <v>247</v>
      </c>
      <c r="M1906" t="s">
        <v>3680</v>
      </c>
      <c r="N1906" s="7">
        <v>107289</v>
      </c>
      <c r="O1906" t="s">
        <v>3768</v>
      </c>
      <c r="P1906" t="s">
        <v>3769</v>
      </c>
      <c r="S1906" t="s">
        <v>3765</v>
      </c>
      <c r="T1906" t="s">
        <v>770</v>
      </c>
      <c r="U1906" t="s">
        <v>2854</v>
      </c>
      <c r="V1906" s="8">
        <v>1250</v>
      </c>
      <c r="W1906" s="7">
        <v>588516</v>
      </c>
      <c r="X1906" t="s">
        <v>418</v>
      </c>
      <c r="Y1906" s="8">
        <v>1250</v>
      </c>
      <c r="Z1906" s="8">
        <v>1475</v>
      </c>
      <c r="AA1906" s="8">
        <v>225</v>
      </c>
      <c r="AB1906" s="7">
        <v>111983</v>
      </c>
      <c r="AC1906" t="s">
        <v>418</v>
      </c>
      <c r="AD1906" s="8">
        <v>0</v>
      </c>
      <c r="AG1906" t="s">
        <v>3766</v>
      </c>
      <c r="AH1906" t="s">
        <v>3767</v>
      </c>
      <c r="AI1906" t="s">
        <v>818</v>
      </c>
    </row>
    <row r="1907" spans="1:35" hidden="1">
      <c r="A1907" s="7">
        <v>1906</v>
      </c>
      <c r="B1907" t="s">
        <v>243</v>
      </c>
      <c r="C1907" t="s">
        <v>244</v>
      </c>
      <c r="D1907" s="7">
        <v>7160</v>
      </c>
      <c r="E1907" t="s">
        <v>3764</v>
      </c>
      <c r="F1907" t="s">
        <v>246</v>
      </c>
      <c r="G1907" t="s">
        <v>1027</v>
      </c>
      <c r="H1907" t="s">
        <v>1842</v>
      </c>
      <c r="I1907" s="7">
        <v>1165</v>
      </c>
      <c r="J1907" s="7">
        <v>12000</v>
      </c>
      <c r="K1907" s="7">
        <v>3</v>
      </c>
      <c r="L1907" t="s">
        <v>247</v>
      </c>
      <c r="M1907" t="s">
        <v>3680</v>
      </c>
      <c r="N1907" s="7">
        <v>107191</v>
      </c>
      <c r="O1907" t="s">
        <v>3678</v>
      </c>
      <c r="P1907" t="s">
        <v>3679</v>
      </c>
      <c r="S1907" t="s">
        <v>3765</v>
      </c>
      <c r="T1907" t="s">
        <v>770</v>
      </c>
      <c r="U1907" t="s">
        <v>2854</v>
      </c>
      <c r="V1907" s="8">
        <v>1250</v>
      </c>
      <c r="W1907" s="7">
        <v>588516</v>
      </c>
      <c r="X1907" t="s">
        <v>418</v>
      </c>
      <c r="Y1907" s="8">
        <v>1250</v>
      </c>
      <c r="Z1907" s="8">
        <v>1475</v>
      </c>
      <c r="AA1907" s="8">
        <v>225</v>
      </c>
      <c r="AB1907" s="7">
        <v>111983</v>
      </c>
      <c r="AC1907" t="s">
        <v>418</v>
      </c>
      <c r="AD1907" s="8">
        <v>0</v>
      </c>
      <c r="AG1907" t="s">
        <v>3766</v>
      </c>
      <c r="AH1907" t="s">
        <v>3767</v>
      </c>
      <c r="AI1907" t="s">
        <v>818</v>
      </c>
    </row>
    <row r="1908" spans="1:35" hidden="1">
      <c r="A1908" s="7">
        <v>1907</v>
      </c>
      <c r="B1908" t="s">
        <v>243</v>
      </c>
      <c r="C1908" t="s">
        <v>244</v>
      </c>
      <c r="D1908" s="7">
        <v>7160</v>
      </c>
      <c r="E1908" t="s">
        <v>3764</v>
      </c>
      <c r="F1908" t="s">
        <v>246</v>
      </c>
      <c r="G1908" t="s">
        <v>1091</v>
      </c>
      <c r="H1908" t="s">
        <v>1808</v>
      </c>
      <c r="I1908" s="7">
        <v>765</v>
      </c>
      <c r="J1908" s="7">
        <v>19670</v>
      </c>
      <c r="K1908" s="7">
        <v>2</v>
      </c>
      <c r="L1908" t="s">
        <v>247</v>
      </c>
      <c r="M1908" t="s">
        <v>3680</v>
      </c>
      <c r="N1908" s="7">
        <v>107304</v>
      </c>
      <c r="O1908" t="s">
        <v>3693</v>
      </c>
      <c r="P1908" t="s">
        <v>3694</v>
      </c>
      <c r="S1908" t="s">
        <v>3765</v>
      </c>
      <c r="T1908" t="s">
        <v>770</v>
      </c>
      <c r="U1908" t="s">
        <v>2854</v>
      </c>
      <c r="V1908" s="8">
        <v>1250</v>
      </c>
      <c r="W1908" s="7">
        <v>588516</v>
      </c>
      <c r="X1908" t="s">
        <v>418</v>
      </c>
      <c r="Y1908" s="8">
        <v>1250</v>
      </c>
      <c r="Z1908" s="8">
        <v>1475</v>
      </c>
      <c r="AA1908" s="8">
        <v>225</v>
      </c>
      <c r="AB1908" s="7">
        <v>111983</v>
      </c>
      <c r="AC1908" t="s">
        <v>418</v>
      </c>
      <c r="AD1908" s="8">
        <v>0</v>
      </c>
      <c r="AG1908" t="s">
        <v>3766</v>
      </c>
      <c r="AH1908" t="s">
        <v>3767</v>
      </c>
      <c r="AI1908" t="s">
        <v>818</v>
      </c>
    </row>
    <row r="1909" spans="1:35" hidden="1">
      <c r="A1909" s="7">
        <v>1908</v>
      </c>
      <c r="B1909" t="s">
        <v>243</v>
      </c>
      <c r="C1909" t="s">
        <v>244</v>
      </c>
      <c r="D1909" s="7">
        <v>7160</v>
      </c>
      <c r="E1909" t="s">
        <v>3764</v>
      </c>
      <c r="F1909" t="s">
        <v>246</v>
      </c>
      <c r="G1909" t="s">
        <v>2131</v>
      </c>
      <c r="H1909" t="s">
        <v>3740</v>
      </c>
      <c r="I1909" s="7">
        <v>765</v>
      </c>
      <c r="J1909" s="7">
        <v>40000</v>
      </c>
      <c r="K1909" s="7">
        <v>4</v>
      </c>
      <c r="L1909" t="s">
        <v>247</v>
      </c>
      <c r="M1909" t="s">
        <v>3680</v>
      </c>
      <c r="N1909" s="7">
        <v>107289</v>
      </c>
      <c r="O1909" t="s">
        <v>3768</v>
      </c>
      <c r="P1909" t="s">
        <v>3769</v>
      </c>
      <c r="Q1909" t="s">
        <v>3771</v>
      </c>
      <c r="R1909" t="s">
        <v>3772</v>
      </c>
      <c r="S1909" t="s">
        <v>3907</v>
      </c>
      <c r="T1909" t="s">
        <v>4942</v>
      </c>
      <c r="U1909" t="s">
        <v>4943</v>
      </c>
      <c r="V1909" s="8">
        <v>1250</v>
      </c>
      <c r="W1909" s="7">
        <v>0</v>
      </c>
      <c r="Y1909" s="8">
        <v>0</v>
      </c>
      <c r="Z1909" s="8">
        <v>1475</v>
      </c>
      <c r="AA1909" s="8">
        <v>225</v>
      </c>
      <c r="AB1909" s="7">
        <v>0</v>
      </c>
      <c r="AD1909" s="8">
        <v>1250</v>
      </c>
      <c r="AG1909" t="s">
        <v>3766</v>
      </c>
      <c r="AH1909" t="s">
        <v>3767</v>
      </c>
      <c r="AI1909" t="s">
        <v>818</v>
      </c>
    </row>
    <row r="1910" spans="1:35" hidden="1">
      <c r="A1910" s="7">
        <v>1909</v>
      </c>
      <c r="B1910" t="s">
        <v>243</v>
      </c>
      <c r="C1910" t="s">
        <v>244</v>
      </c>
      <c r="D1910" s="7">
        <v>7160</v>
      </c>
      <c r="E1910" t="s">
        <v>3764</v>
      </c>
      <c r="F1910" t="s">
        <v>246</v>
      </c>
      <c r="G1910" t="s">
        <v>1091</v>
      </c>
      <c r="H1910" t="s">
        <v>3725</v>
      </c>
      <c r="I1910" s="7">
        <v>765</v>
      </c>
      <c r="J1910" s="7">
        <v>27273</v>
      </c>
      <c r="K1910" s="7">
        <v>3</v>
      </c>
      <c r="L1910" t="s">
        <v>247</v>
      </c>
      <c r="M1910" t="s">
        <v>3680</v>
      </c>
      <c r="N1910" s="7">
        <v>107304</v>
      </c>
      <c r="O1910" t="s">
        <v>3693</v>
      </c>
      <c r="P1910" t="s">
        <v>3694</v>
      </c>
      <c r="S1910" t="s">
        <v>3908</v>
      </c>
      <c r="T1910" t="s">
        <v>4942</v>
      </c>
      <c r="U1910" t="s">
        <v>4943</v>
      </c>
      <c r="V1910" s="8">
        <v>1250</v>
      </c>
      <c r="W1910" s="7">
        <v>0</v>
      </c>
      <c r="Y1910" s="8">
        <v>1250</v>
      </c>
      <c r="Z1910" s="8">
        <v>1475</v>
      </c>
      <c r="AA1910" s="8">
        <v>225</v>
      </c>
      <c r="AB1910" s="7">
        <v>0</v>
      </c>
      <c r="AD1910" s="8">
        <v>0</v>
      </c>
      <c r="AG1910" t="s">
        <v>3766</v>
      </c>
      <c r="AH1910" t="s">
        <v>3767</v>
      </c>
      <c r="AI1910" t="s">
        <v>818</v>
      </c>
    </row>
    <row r="1911" spans="1:35">
      <c r="A1911" s="7"/>
      <c r="D1911" s="7"/>
      <c r="I1911" s="7"/>
      <c r="J1911" s="7"/>
      <c r="K1911" s="7"/>
      <c r="N1911" s="7"/>
      <c r="V1911" s="8"/>
      <c r="W1911" s="7"/>
      <c r="Y1911" s="8"/>
      <c r="Z1911" s="8"/>
      <c r="AA1911" s="8"/>
      <c r="AB1911" s="7"/>
      <c r="AD1911" s="8"/>
    </row>
    <row r="1912" spans="1:35">
      <c r="A1912" s="7"/>
      <c r="D1912" s="7"/>
      <c r="I1912" s="7"/>
      <c r="J1912" s="7"/>
      <c r="K1912" s="7"/>
      <c r="N1912" s="7"/>
      <c r="V1912" s="8"/>
      <c r="W1912" s="7"/>
      <c r="Y1912" s="8"/>
      <c r="Z1912" s="8"/>
      <c r="AA1912" s="8"/>
      <c r="AB1912" s="7"/>
      <c r="AD1912" s="8"/>
    </row>
    <row r="1913" spans="1:35">
      <c r="A1913" s="7"/>
      <c r="D1913" s="7"/>
      <c r="I1913" s="7"/>
      <c r="J1913" s="7"/>
      <c r="K1913" s="7"/>
      <c r="N1913" s="7"/>
      <c r="V1913" s="8"/>
      <c r="W1913" s="7"/>
      <c r="Y1913" s="8"/>
      <c r="Z1913" s="8"/>
      <c r="AA1913" s="8"/>
      <c r="AB1913" s="7"/>
      <c r="AD1913" s="8"/>
    </row>
    <row r="1914" spans="1:35">
      <c r="A1914" s="7"/>
      <c r="D1914" s="7"/>
      <c r="I1914" s="7"/>
      <c r="J1914" s="7"/>
      <c r="K1914" s="7"/>
      <c r="N1914" s="7"/>
      <c r="V1914" s="8"/>
      <c r="W1914" s="7"/>
      <c r="Y1914" s="8"/>
      <c r="Z1914" s="8"/>
      <c r="AA1914" s="8"/>
      <c r="AB1914" s="7"/>
      <c r="AD1914" s="8"/>
    </row>
    <row r="1915" spans="1:35">
      <c r="A1915" s="7"/>
      <c r="D1915" s="7"/>
      <c r="I1915" s="7"/>
      <c r="J1915" s="7"/>
      <c r="K1915" s="7"/>
      <c r="N1915" s="7"/>
      <c r="V1915" s="8"/>
      <c r="W1915" s="7"/>
      <c r="Y1915" s="8"/>
      <c r="Z1915" s="8"/>
      <c r="AA1915" s="8"/>
      <c r="AB1915" s="7"/>
      <c r="AD1915" s="8"/>
    </row>
    <row r="1916" spans="1:35">
      <c r="A1916" s="7"/>
      <c r="D1916" s="7"/>
      <c r="I1916" s="7"/>
      <c r="J1916" s="7"/>
      <c r="K1916" s="7"/>
      <c r="N1916" s="7"/>
      <c r="V1916" s="8"/>
      <c r="W1916" s="7"/>
      <c r="Y1916" s="8"/>
      <c r="Z1916" s="8"/>
      <c r="AA1916" s="8"/>
      <c r="AB1916" s="7"/>
      <c r="AD1916" s="8"/>
    </row>
    <row r="1917" spans="1:35">
      <c r="A1917" s="7"/>
      <c r="D1917" s="7"/>
      <c r="I1917" s="7"/>
      <c r="J1917" s="7"/>
      <c r="K1917" s="7"/>
      <c r="N1917" s="7"/>
      <c r="V1917" s="8"/>
      <c r="W1917" s="7"/>
      <c r="Y1917" s="8"/>
      <c r="Z1917" s="8"/>
      <c r="AA1917" s="8"/>
      <c r="AB1917" s="7"/>
      <c r="AD1917" s="8"/>
    </row>
    <row r="1918" spans="1:35">
      <c r="A1918" s="7"/>
      <c r="D1918" s="7"/>
      <c r="I1918" s="7"/>
      <c r="J1918" s="7"/>
      <c r="K1918" s="7"/>
      <c r="N1918" s="7"/>
      <c r="V1918" s="8"/>
      <c r="W1918" s="7"/>
      <c r="Y1918" s="8"/>
      <c r="Z1918" s="8"/>
      <c r="AA1918" s="8"/>
      <c r="AB1918" s="7"/>
      <c r="AD1918" s="8"/>
    </row>
    <row r="1919" spans="1:35">
      <c r="A1919" s="7"/>
      <c r="D1919" s="7"/>
      <c r="I1919" s="7"/>
      <c r="J1919" s="7"/>
      <c r="K1919" s="7"/>
      <c r="N1919" s="7"/>
      <c r="V1919" s="8"/>
      <c r="W1919" s="7"/>
      <c r="Y1919" s="8"/>
      <c r="Z1919" s="8"/>
      <c r="AA1919" s="8"/>
      <c r="AB1919" s="7"/>
      <c r="AD1919" s="8"/>
    </row>
    <row r="1920" spans="1:35">
      <c r="A1920" s="7"/>
      <c r="D1920" s="7"/>
      <c r="I1920" s="7"/>
      <c r="J1920" s="7"/>
      <c r="K1920" s="7"/>
      <c r="N1920" s="7"/>
      <c r="V1920" s="8"/>
      <c r="W1920" s="7"/>
      <c r="Y1920" s="8"/>
      <c r="Z1920" s="8"/>
      <c r="AA1920" s="8"/>
      <c r="AB1920" s="7"/>
      <c r="AD1920" s="8"/>
    </row>
    <row r="1921" spans="1:30">
      <c r="A1921" s="7"/>
      <c r="D1921" s="7"/>
      <c r="I1921" s="7"/>
      <c r="J1921" s="7"/>
      <c r="K1921" s="7"/>
      <c r="N1921" s="7"/>
      <c r="V1921" s="8"/>
      <c r="W1921" s="7"/>
      <c r="Y1921" s="8"/>
      <c r="Z1921" s="8"/>
      <c r="AA1921" s="8"/>
      <c r="AB1921" s="7"/>
      <c r="AD1921" s="8"/>
    </row>
    <row r="1922" spans="1:30">
      <c r="A1922" s="7"/>
      <c r="D1922" s="7"/>
      <c r="I1922" s="7"/>
      <c r="J1922" s="7"/>
      <c r="K1922" s="7"/>
      <c r="N1922" s="7"/>
      <c r="V1922" s="8"/>
      <c r="W1922" s="7"/>
      <c r="Y1922" s="8"/>
      <c r="Z1922" s="8"/>
      <c r="AA1922" s="8"/>
      <c r="AB1922" s="7"/>
      <c r="AD1922" s="8"/>
    </row>
    <row r="1923" spans="1:30">
      <c r="A1923" s="7"/>
      <c r="D1923" s="7"/>
      <c r="I1923" s="7"/>
      <c r="J1923" s="7"/>
      <c r="K1923" s="7"/>
      <c r="N1923" s="7"/>
      <c r="V1923" s="8"/>
      <c r="W1923" s="7"/>
      <c r="Y1923" s="8"/>
      <c r="Z1923" s="8"/>
      <c r="AA1923" s="8"/>
      <c r="AB1923" s="7"/>
      <c r="AD1923" s="8"/>
    </row>
    <row r="1924" spans="1:30">
      <c r="A1924" s="7"/>
      <c r="D1924" s="7"/>
      <c r="I1924" s="7"/>
      <c r="J1924" s="7"/>
      <c r="K1924" s="7"/>
      <c r="N1924" s="7"/>
      <c r="V1924" s="8"/>
      <c r="W1924" s="7"/>
      <c r="Y1924" s="8"/>
      <c r="Z1924" s="8"/>
      <c r="AA1924" s="8"/>
      <c r="AB1924" s="7"/>
      <c r="AD1924" s="8"/>
    </row>
    <row r="1925" spans="1:30">
      <c r="A1925" s="7"/>
      <c r="D1925" s="7"/>
      <c r="I1925" s="7"/>
      <c r="J1925" s="7"/>
      <c r="K1925" s="7"/>
      <c r="N1925" s="7"/>
      <c r="V1925" s="8"/>
      <c r="W1925" s="7"/>
      <c r="Y1925" s="8"/>
      <c r="Z1925" s="8"/>
      <c r="AA1925" s="8"/>
      <c r="AB1925" s="7"/>
      <c r="AD1925" s="8"/>
    </row>
    <row r="1926" spans="1:30">
      <c r="A1926" s="7"/>
      <c r="D1926" s="7"/>
      <c r="I1926" s="7"/>
      <c r="J1926" s="7"/>
      <c r="K1926" s="7"/>
      <c r="N1926" s="7"/>
      <c r="V1926" s="8"/>
      <c r="W1926" s="7"/>
      <c r="Y1926" s="8"/>
      <c r="Z1926" s="8"/>
      <c r="AA1926" s="8"/>
      <c r="AB1926" s="7"/>
      <c r="AD1926" s="8"/>
    </row>
    <row r="1927" spans="1:30">
      <c r="A1927" s="7"/>
      <c r="D1927" s="7"/>
      <c r="I1927" s="7"/>
      <c r="J1927" s="7"/>
      <c r="K1927" s="7"/>
      <c r="N1927" s="7"/>
      <c r="V1927" s="8"/>
      <c r="W1927" s="7"/>
      <c r="Y1927" s="8"/>
      <c r="Z1927" s="8"/>
      <c r="AA1927" s="8"/>
      <c r="AB1927" s="7"/>
      <c r="AD1927" s="8"/>
    </row>
    <row r="1928" spans="1:30">
      <c r="A1928" s="7"/>
      <c r="D1928" s="7"/>
      <c r="I1928" s="7"/>
      <c r="J1928" s="7"/>
      <c r="K1928" s="7"/>
      <c r="N1928" s="7"/>
      <c r="V1928" s="8"/>
      <c r="W1928" s="7"/>
      <c r="Y1928" s="8"/>
      <c r="Z1928" s="8"/>
      <c r="AA1928" s="8"/>
      <c r="AB1928" s="7"/>
      <c r="AD1928" s="8"/>
    </row>
    <row r="1929" spans="1:30">
      <c r="A1929" s="7"/>
      <c r="D1929" s="7"/>
      <c r="I1929" s="7"/>
      <c r="J1929" s="7"/>
      <c r="K1929" s="7"/>
      <c r="N1929" s="7"/>
      <c r="V1929" s="8"/>
      <c r="W1929" s="7"/>
      <c r="Y1929" s="8"/>
      <c r="Z1929" s="8"/>
      <c r="AA1929" s="8"/>
      <c r="AB1929" s="7"/>
      <c r="AD1929" s="8"/>
    </row>
    <row r="1930" spans="1:30">
      <c r="A1930" s="7"/>
      <c r="D1930" s="7"/>
      <c r="I1930" s="7"/>
      <c r="J1930" s="7"/>
      <c r="K1930" s="7"/>
      <c r="N1930" s="7"/>
      <c r="V1930" s="8"/>
      <c r="W1930" s="7"/>
      <c r="Y1930" s="8"/>
      <c r="Z1930" s="8"/>
      <c r="AA1930" s="8"/>
      <c r="AB1930" s="7"/>
      <c r="AD1930" s="8"/>
    </row>
    <row r="1931" spans="1:30">
      <c r="A1931" s="7"/>
      <c r="D1931" s="7"/>
      <c r="I1931" s="7"/>
      <c r="J1931" s="7"/>
      <c r="K1931" s="7"/>
      <c r="N1931" s="7"/>
      <c r="V1931" s="8"/>
      <c r="W1931" s="7"/>
      <c r="Y1931" s="8"/>
      <c r="Z1931" s="8"/>
      <c r="AA1931" s="8"/>
      <c r="AB1931" s="7"/>
      <c r="AD1931" s="8"/>
    </row>
    <row r="1932" spans="1:30">
      <c r="A1932" s="7"/>
      <c r="D1932" s="7"/>
      <c r="I1932" s="7"/>
      <c r="J1932" s="7"/>
      <c r="K1932" s="7"/>
      <c r="N1932" s="7"/>
      <c r="V1932" s="8"/>
      <c r="W1932" s="7"/>
      <c r="Y1932" s="8"/>
      <c r="Z1932" s="8"/>
      <c r="AA1932" s="8"/>
      <c r="AB1932" s="7"/>
      <c r="AD1932" s="8"/>
    </row>
    <row r="1933" spans="1:30">
      <c r="A1933" s="7"/>
      <c r="D1933" s="7"/>
      <c r="I1933" s="7"/>
      <c r="J1933" s="7"/>
      <c r="K1933" s="7"/>
      <c r="N1933" s="7"/>
      <c r="V1933" s="8"/>
      <c r="W1933" s="7"/>
      <c r="Y1933" s="8"/>
      <c r="Z1933" s="8"/>
      <c r="AA1933" s="8"/>
      <c r="AB1933" s="7"/>
      <c r="AD1933" s="8"/>
    </row>
    <row r="1934" spans="1:30">
      <c r="A1934" s="7"/>
      <c r="D1934" s="7"/>
      <c r="I1934" s="7"/>
      <c r="J1934" s="7"/>
      <c r="K1934" s="7"/>
      <c r="N1934" s="7"/>
      <c r="V1934" s="8"/>
      <c r="W1934" s="7"/>
      <c r="Y1934" s="8"/>
      <c r="Z1934" s="8"/>
      <c r="AA1934" s="8"/>
      <c r="AB1934" s="7"/>
      <c r="AD1934" s="8"/>
    </row>
    <row r="1935" spans="1:30">
      <c r="A1935" s="7"/>
      <c r="D1935" s="7"/>
      <c r="I1935" s="7"/>
      <c r="J1935" s="7"/>
      <c r="K1935" s="7"/>
      <c r="N1935" s="7"/>
      <c r="V1935" s="8"/>
      <c r="W1935" s="7"/>
      <c r="Y1935" s="8"/>
      <c r="Z1935" s="8"/>
      <c r="AA1935" s="8"/>
      <c r="AB1935" s="7"/>
      <c r="AD1935" s="8"/>
    </row>
    <row r="1936" spans="1:30">
      <c r="A1936" s="7"/>
      <c r="D1936" s="7"/>
      <c r="I1936" s="7"/>
      <c r="J1936" s="7"/>
      <c r="K1936" s="7"/>
      <c r="N1936" s="7"/>
      <c r="V1936" s="8"/>
      <c r="W1936" s="7"/>
      <c r="Y1936" s="8"/>
      <c r="Z1936" s="8"/>
      <c r="AA1936" s="8"/>
      <c r="AB1936" s="7"/>
      <c r="AD1936" s="8"/>
    </row>
    <row r="1937" spans="1:30">
      <c r="A1937" s="7"/>
      <c r="D1937" s="7"/>
      <c r="I1937" s="7"/>
      <c r="J1937" s="7"/>
      <c r="K1937" s="7"/>
      <c r="N1937" s="7"/>
      <c r="V1937" s="8"/>
      <c r="W1937" s="7"/>
      <c r="Y1937" s="8"/>
      <c r="Z1937" s="8"/>
      <c r="AA1937" s="8"/>
      <c r="AB1937" s="7"/>
      <c r="AD1937" s="8"/>
    </row>
    <row r="1938" spans="1:30">
      <c r="A1938" s="7"/>
      <c r="D1938" s="7"/>
      <c r="I1938" s="7"/>
      <c r="J1938" s="7"/>
      <c r="K1938" s="7"/>
      <c r="N1938" s="7"/>
      <c r="V1938" s="8"/>
      <c r="W1938" s="7"/>
      <c r="Y1938" s="8"/>
      <c r="Z1938" s="8"/>
      <c r="AA1938" s="8"/>
      <c r="AB1938" s="7"/>
      <c r="AD1938" s="8"/>
    </row>
    <row r="1939" spans="1:30">
      <c r="A1939" s="7"/>
      <c r="D1939" s="7"/>
      <c r="I1939" s="7"/>
      <c r="J1939" s="7"/>
      <c r="K1939" s="7"/>
      <c r="N1939" s="7"/>
      <c r="V1939" s="8"/>
      <c r="W1939" s="7"/>
      <c r="Y1939" s="8"/>
      <c r="Z1939" s="8"/>
      <c r="AA1939" s="8"/>
      <c r="AB1939" s="7"/>
      <c r="AD1939" s="8"/>
    </row>
    <row r="1940" spans="1:30">
      <c r="A1940" s="7"/>
      <c r="D1940" s="7"/>
      <c r="I1940" s="7"/>
      <c r="J1940" s="7"/>
      <c r="K1940" s="7"/>
      <c r="N1940" s="7"/>
      <c r="V1940" s="8"/>
      <c r="W1940" s="7"/>
      <c r="Y1940" s="8"/>
      <c r="Z1940" s="8"/>
      <c r="AA1940" s="8"/>
      <c r="AB1940" s="7"/>
      <c r="AD1940" s="8"/>
    </row>
    <row r="1941" spans="1:30">
      <c r="A1941" s="7"/>
      <c r="D1941" s="7"/>
      <c r="I1941" s="7"/>
      <c r="J1941" s="7"/>
      <c r="K1941" s="7"/>
      <c r="N1941" s="7"/>
      <c r="V1941" s="8"/>
      <c r="W1941" s="7"/>
      <c r="Y1941" s="8"/>
      <c r="Z1941" s="8"/>
      <c r="AA1941" s="8"/>
      <c r="AB1941" s="7"/>
      <c r="AD1941" s="8"/>
    </row>
    <row r="1942" spans="1:30">
      <c r="A1942" s="7"/>
      <c r="D1942" s="7"/>
      <c r="I1942" s="7"/>
      <c r="J1942" s="7"/>
      <c r="K1942" s="7"/>
      <c r="N1942" s="7"/>
      <c r="V1942" s="8"/>
      <c r="W1942" s="7"/>
      <c r="Y1942" s="8"/>
      <c r="Z1942" s="8"/>
      <c r="AA1942" s="8"/>
      <c r="AB1942" s="7"/>
      <c r="AD1942" s="8"/>
    </row>
    <row r="1943" spans="1:30">
      <c r="A1943" s="7"/>
      <c r="D1943" s="7"/>
      <c r="I1943" s="7"/>
      <c r="J1943" s="7"/>
      <c r="K1943" s="7"/>
      <c r="N1943" s="7"/>
      <c r="V1943" s="8"/>
      <c r="W1943" s="7"/>
      <c r="Y1943" s="8"/>
      <c r="Z1943" s="8"/>
      <c r="AA1943" s="8"/>
      <c r="AB1943" s="7"/>
      <c r="AD1943" s="8"/>
    </row>
    <row r="1944" spans="1:30">
      <c r="A1944" s="7"/>
      <c r="D1944" s="7"/>
      <c r="I1944" s="7"/>
      <c r="J1944" s="7"/>
      <c r="K1944" s="7"/>
      <c r="N1944" s="7"/>
      <c r="V1944" s="8"/>
      <c r="W1944" s="7"/>
      <c r="Y1944" s="8"/>
      <c r="Z1944" s="8"/>
      <c r="AA1944" s="8"/>
      <c r="AB1944" s="7"/>
      <c r="AD1944" s="8"/>
    </row>
    <row r="1945" spans="1:30">
      <c r="A1945" s="7"/>
      <c r="D1945" s="7"/>
      <c r="I1945" s="7"/>
      <c r="J1945" s="7"/>
      <c r="K1945" s="7"/>
      <c r="N1945" s="7"/>
      <c r="V1945" s="8"/>
      <c r="W1945" s="7"/>
      <c r="Y1945" s="8"/>
      <c r="Z1945" s="8"/>
      <c r="AA1945" s="8"/>
      <c r="AB1945" s="7"/>
      <c r="AD1945" s="8"/>
    </row>
    <row r="1946" spans="1:30">
      <c r="A1946" s="7"/>
      <c r="D1946" s="7"/>
      <c r="I1946" s="7"/>
      <c r="J1946" s="7"/>
      <c r="K1946" s="7"/>
      <c r="N1946" s="7"/>
      <c r="V1946" s="8"/>
      <c r="W1946" s="7"/>
      <c r="Y1946" s="8"/>
      <c r="Z1946" s="8"/>
      <c r="AA1946" s="8"/>
      <c r="AB1946" s="7"/>
      <c r="AD1946" s="8"/>
    </row>
    <row r="1947" spans="1:30">
      <c r="A1947" s="7"/>
      <c r="D1947" s="7"/>
      <c r="I1947" s="7"/>
      <c r="J1947" s="7"/>
      <c r="K1947" s="7"/>
      <c r="N1947" s="7"/>
      <c r="V1947" s="8"/>
      <c r="W1947" s="7"/>
      <c r="Y1947" s="8"/>
      <c r="Z1947" s="8"/>
      <c r="AA1947" s="8"/>
      <c r="AB1947" s="7"/>
      <c r="AD1947" s="8"/>
    </row>
    <row r="1948" spans="1:30">
      <c r="A1948" s="7"/>
      <c r="D1948" s="7"/>
      <c r="I1948" s="7"/>
      <c r="J1948" s="7"/>
      <c r="K1948" s="7"/>
      <c r="N1948" s="7"/>
      <c r="V1948" s="8"/>
      <c r="W1948" s="7"/>
      <c r="Y1948" s="8"/>
      <c r="Z1948" s="8"/>
      <c r="AA1948" s="8"/>
      <c r="AB1948" s="7"/>
      <c r="AD1948" s="8"/>
    </row>
    <row r="1949" spans="1:30">
      <c r="A1949" s="7"/>
      <c r="D1949" s="7"/>
      <c r="I1949" s="7"/>
      <c r="J1949" s="7"/>
      <c r="K1949" s="7"/>
      <c r="N1949" s="7"/>
      <c r="V1949" s="8"/>
      <c r="W1949" s="7"/>
      <c r="Y1949" s="8"/>
      <c r="Z1949" s="8"/>
      <c r="AA1949" s="8"/>
      <c r="AB1949" s="7"/>
      <c r="AD1949" s="8"/>
    </row>
    <row r="1950" spans="1:30">
      <c r="A1950" s="7"/>
      <c r="D1950" s="7"/>
      <c r="I1950" s="7"/>
      <c r="J1950" s="7"/>
      <c r="K1950" s="7"/>
      <c r="N1950" s="7"/>
      <c r="V1950" s="8"/>
      <c r="W1950" s="7"/>
      <c r="Y1950" s="8"/>
      <c r="Z1950" s="8"/>
      <c r="AA1950" s="8"/>
      <c r="AB1950" s="7"/>
      <c r="AD1950" s="8"/>
    </row>
    <row r="1951" spans="1:30">
      <c r="A1951" s="7"/>
      <c r="D1951" s="7"/>
      <c r="I1951" s="7"/>
      <c r="J1951" s="7"/>
      <c r="K1951" s="7"/>
      <c r="N1951" s="7"/>
      <c r="V1951" s="8"/>
      <c r="W1951" s="7"/>
      <c r="Y1951" s="8"/>
      <c r="Z1951" s="8"/>
      <c r="AA1951" s="8"/>
      <c r="AB1951" s="7"/>
      <c r="AD1951" s="8"/>
    </row>
    <row r="1952" spans="1:30">
      <c r="A1952" s="7"/>
      <c r="D1952" s="7"/>
      <c r="I1952" s="7"/>
      <c r="J1952" s="7"/>
      <c r="K1952" s="7"/>
      <c r="N1952" s="7"/>
      <c r="V1952" s="8"/>
      <c r="W1952" s="7"/>
      <c r="Y1952" s="8"/>
      <c r="Z1952" s="8"/>
      <c r="AA1952" s="8"/>
      <c r="AB1952" s="7"/>
      <c r="AD1952" s="8"/>
    </row>
    <row r="1953" spans="1:30">
      <c r="A1953" s="7"/>
      <c r="D1953" s="7"/>
      <c r="I1953" s="7"/>
      <c r="J1953" s="7"/>
      <c r="K1953" s="7"/>
      <c r="N1953" s="7"/>
      <c r="V1953" s="8"/>
      <c r="W1953" s="7"/>
      <c r="Y1953" s="8"/>
      <c r="Z1953" s="8"/>
      <c r="AA1953" s="8"/>
      <c r="AB1953" s="7"/>
      <c r="AD1953" s="8"/>
    </row>
    <row r="1954" spans="1:30">
      <c r="A1954" s="7"/>
      <c r="D1954" s="7"/>
      <c r="I1954" s="7"/>
      <c r="J1954" s="7"/>
      <c r="K1954" s="7"/>
      <c r="N1954" s="7"/>
      <c r="V1954" s="8"/>
      <c r="W1954" s="7"/>
      <c r="Y1954" s="8"/>
      <c r="Z1954" s="8"/>
      <c r="AA1954" s="8"/>
      <c r="AB1954" s="7"/>
      <c r="AD1954" s="8"/>
    </row>
    <row r="1955" spans="1:30">
      <c r="A1955" s="7"/>
      <c r="D1955" s="7"/>
      <c r="I1955" s="7"/>
      <c r="J1955" s="7"/>
      <c r="K1955" s="7"/>
      <c r="N1955" s="7"/>
      <c r="V1955" s="8"/>
      <c r="W1955" s="7"/>
      <c r="Y1955" s="8"/>
      <c r="Z1955" s="8"/>
      <c r="AA1955" s="8"/>
      <c r="AB1955" s="7"/>
      <c r="AD1955" s="8"/>
    </row>
    <row r="1956" spans="1:30">
      <c r="A1956" s="7"/>
      <c r="D1956" s="7"/>
      <c r="I1956" s="7"/>
      <c r="J1956" s="7"/>
      <c r="K1956" s="7"/>
      <c r="N1956" s="7"/>
      <c r="V1956" s="8"/>
      <c r="W1956" s="7"/>
      <c r="Y1956" s="8"/>
      <c r="Z1956" s="8"/>
      <c r="AA1956" s="8"/>
      <c r="AB1956" s="7"/>
      <c r="AD1956" s="8"/>
    </row>
    <row r="1957" spans="1:30">
      <c r="A1957" s="7"/>
      <c r="D1957" s="7"/>
      <c r="I1957" s="7"/>
      <c r="J1957" s="7"/>
      <c r="K1957" s="7"/>
      <c r="N1957" s="7"/>
      <c r="V1957" s="8"/>
      <c r="W1957" s="7"/>
      <c r="Y1957" s="8"/>
      <c r="Z1957" s="8"/>
      <c r="AA1957" s="8"/>
      <c r="AB1957" s="7"/>
      <c r="AD1957" s="8"/>
    </row>
    <row r="1958" spans="1:30">
      <c r="A1958" s="7"/>
      <c r="D1958" s="7"/>
      <c r="I1958" s="7"/>
      <c r="J1958" s="7"/>
      <c r="K1958" s="7"/>
      <c r="N1958" s="7"/>
      <c r="V1958" s="8"/>
      <c r="W1958" s="7"/>
      <c r="Y1958" s="8"/>
      <c r="Z1958" s="8"/>
      <c r="AA1958" s="8"/>
      <c r="AB1958" s="7"/>
      <c r="AD1958" s="8"/>
    </row>
    <row r="1959" spans="1:30">
      <c r="A1959" s="7"/>
      <c r="D1959" s="7"/>
      <c r="I1959" s="7"/>
      <c r="J1959" s="7"/>
      <c r="K1959" s="7"/>
      <c r="N1959" s="7"/>
      <c r="V1959" s="8"/>
      <c r="W1959" s="7"/>
      <c r="Y1959" s="8"/>
      <c r="Z1959" s="8"/>
      <c r="AA1959" s="8"/>
      <c r="AB1959" s="7"/>
      <c r="AD1959" s="8"/>
    </row>
    <row r="1960" spans="1:30">
      <c r="A1960" s="7"/>
      <c r="D1960" s="7"/>
      <c r="I1960" s="7"/>
      <c r="J1960" s="7"/>
      <c r="K1960" s="7"/>
      <c r="N1960" s="7"/>
      <c r="V1960" s="8"/>
      <c r="W1960" s="7"/>
      <c r="Y1960" s="8"/>
      <c r="Z1960" s="8"/>
      <c r="AA1960" s="8"/>
      <c r="AB1960" s="7"/>
      <c r="AD1960" s="8"/>
    </row>
    <row r="1961" spans="1:30">
      <c r="A1961" s="7"/>
      <c r="D1961" s="7"/>
      <c r="I1961" s="7"/>
      <c r="J1961" s="7"/>
      <c r="K1961" s="7"/>
      <c r="N1961" s="7"/>
      <c r="V1961" s="8"/>
      <c r="W1961" s="7"/>
      <c r="Y1961" s="8"/>
      <c r="Z1961" s="8"/>
      <c r="AA1961" s="8"/>
      <c r="AB1961" s="7"/>
      <c r="AD1961" s="8"/>
    </row>
    <row r="1962" spans="1:30">
      <c r="A1962" s="7"/>
      <c r="D1962" s="7"/>
      <c r="I1962" s="7"/>
      <c r="J1962" s="7"/>
      <c r="K1962" s="7"/>
      <c r="N1962" s="7"/>
      <c r="V1962" s="8"/>
      <c r="W1962" s="7"/>
      <c r="Y1962" s="8"/>
      <c r="Z1962" s="8"/>
      <c r="AA1962" s="8"/>
      <c r="AB1962" s="7"/>
      <c r="AD1962" s="8"/>
    </row>
    <row r="1963" spans="1:30">
      <c r="A1963" s="7"/>
      <c r="D1963" s="7"/>
      <c r="I1963" s="7"/>
      <c r="J1963" s="7"/>
      <c r="K1963" s="7"/>
      <c r="N1963" s="7"/>
      <c r="V1963" s="8"/>
      <c r="W1963" s="7"/>
      <c r="Y1963" s="8"/>
      <c r="Z1963" s="8"/>
      <c r="AA1963" s="8"/>
      <c r="AB1963" s="7"/>
      <c r="AD1963" s="8"/>
    </row>
    <row r="1964" spans="1:30">
      <c r="A1964" s="7"/>
      <c r="D1964" s="7"/>
      <c r="I1964" s="7"/>
      <c r="J1964" s="7"/>
      <c r="K1964" s="7"/>
      <c r="N1964" s="7"/>
      <c r="V1964" s="8"/>
      <c r="W1964" s="7"/>
      <c r="Y1964" s="8"/>
      <c r="Z1964" s="8"/>
      <c r="AA1964" s="8"/>
      <c r="AB1964" s="7"/>
      <c r="AD1964" s="8"/>
    </row>
    <row r="1965" spans="1:30">
      <c r="A1965" s="7"/>
      <c r="D1965" s="7"/>
      <c r="I1965" s="7"/>
      <c r="J1965" s="7"/>
      <c r="K1965" s="7"/>
      <c r="N1965" s="7"/>
      <c r="V1965" s="8"/>
      <c r="W1965" s="7"/>
      <c r="Y1965" s="8"/>
      <c r="Z1965" s="8"/>
      <c r="AA1965" s="8"/>
      <c r="AB1965" s="7"/>
      <c r="AD1965" s="8"/>
    </row>
    <row r="1966" spans="1:30">
      <c r="A1966" s="7"/>
      <c r="D1966" s="7"/>
      <c r="I1966" s="7"/>
      <c r="J1966" s="7"/>
      <c r="K1966" s="7"/>
      <c r="N1966" s="7"/>
      <c r="V1966" s="8"/>
      <c r="W1966" s="7"/>
      <c r="Y1966" s="8"/>
      <c r="Z1966" s="8"/>
      <c r="AA1966" s="8"/>
      <c r="AB1966" s="7"/>
      <c r="AD1966" s="8"/>
    </row>
    <row r="1967" spans="1:30">
      <c r="A1967" s="7"/>
      <c r="D1967" s="7"/>
      <c r="I1967" s="7"/>
      <c r="J1967" s="7"/>
      <c r="K1967" s="7"/>
      <c r="N1967" s="7"/>
      <c r="V1967" s="8"/>
      <c r="W1967" s="7"/>
      <c r="Y1967" s="8"/>
      <c r="Z1967" s="8"/>
      <c r="AA1967" s="8"/>
      <c r="AB1967" s="7"/>
      <c r="AD1967" s="8"/>
    </row>
    <row r="1968" spans="1:30">
      <c r="A1968" s="7"/>
      <c r="D1968" s="7"/>
      <c r="I1968" s="7"/>
      <c r="J1968" s="7"/>
      <c r="K1968" s="7"/>
      <c r="N1968" s="7"/>
      <c r="V1968" s="8"/>
      <c r="W1968" s="7"/>
      <c r="Y1968" s="8"/>
      <c r="Z1968" s="8"/>
      <c r="AA1968" s="8"/>
      <c r="AB1968" s="7"/>
      <c r="AD1968" s="8"/>
    </row>
    <row r="1969" spans="1:30">
      <c r="A1969" s="7"/>
      <c r="D1969" s="7"/>
      <c r="I1969" s="7"/>
      <c r="J1969" s="7"/>
      <c r="K1969" s="7"/>
      <c r="N1969" s="7"/>
      <c r="V1969" s="8"/>
      <c r="W1969" s="7"/>
      <c r="Y1969" s="8"/>
      <c r="Z1969" s="8"/>
      <c r="AA1969" s="8"/>
      <c r="AB1969" s="7"/>
      <c r="AD1969" s="8"/>
    </row>
    <row r="1970" spans="1:30">
      <c r="A1970" s="7"/>
      <c r="D1970" s="7"/>
      <c r="I1970" s="7"/>
      <c r="J1970" s="7"/>
      <c r="K1970" s="7"/>
      <c r="N1970" s="7"/>
      <c r="V1970" s="8"/>
      <c r="W1970" s="7"/>
      <c r="Y1970" s="8"/>
      <c r="Z1970" s="8"/>
      <c r="AA1970" s="8"/>
      <c r="AB1970" s="7"/>
      <c r="AD1970" s="8"/>
    </row>
    <row r="1971" spans="1:30">
      <c r="A1971" s="7"/>
      <c r="D1971" s="7"/>
      <c r="I1971" s="7"/>
      <c r="J1971" s="7"/>
      <c r="K1971" s="7"/>
      <c r="N1971" s="7"/>
      <c r="V1971" s="8"/>
      <c r="W1971" s="7"/>
      <c r="Y1971" s="8"/>
      <c r="Z1971" s="8"/>
      <c r="AA1971" s="8"/>
      <c r="AB1971" s="7"/>
      <c r="AD1971" s="8"/>
    </row>
    <row r="1972" spans="1:30">
      <c r="A1972" s="7"/>
      <c r="D1972" s="7"/>
      <c r="I1972" s="7"/>
      <c r="J1972" s="7"/>
      <c r="K1972" s="7"/>
      <c r="N1972" s="7"/>
      <c r="V1972" s="8"/>
      <c r="W1972" s="7"/>
      <c r="Y1972" s="8"/>
      <c r="Z1972" s="8"/>
      <c r="AA1972" s="8"/>
      <c r="AB1972" s="7"/>
      <c r="AD1972" s="8"/>
    </row>
    <row r="1973" spans="1:30">
      <c r="A1973" s="7"/>
      <c r="D1973" s="7"/>
      <c r="I1973" s="7"/>
      <c r="J1973" s="7"/>
      <c r="K1973" s="7"/>
      <c r="N1973" s="7"/>
      <c r="V1973" s="8"/>
      <c r="W1973" s="7"/>
      <c r="Y1973" s="8"/>
      <c r="Z1973" s="8"/>
      <c r="AA1973" s="8"/>
      <c r="AB1973" s="7"/>
      <c r="AD1973" s="8"/>
    </row>
    <row r="1974" spans="1:30">
      <c r="A1974" s="7"/>
      <c r="D1974" s="7"/>
      <c r="I1974" s="7"/>
      <c r="J1974" s="7"/>
      <c r="K1974" s="7"/>
      <c r="N1974" s="7"/>
      <c r="V1974" s="8"/>
      <c r="W1974" s="7"/>
      <c r="Y1974" s="8"/>
      <c r="Z1974" s="8"/>
      <c r="AA1974" s="8"/>
      <c r="AB1974" s="7"/>
      <c r="AD1974" s="8"/>
    </row>
    <row r="1975" spans="1:30">
      <c r="A1975" s="7"/>
      <c r="D1975" s="7"/>
      <c r="I1975" s="7"/>
      <c r="J1975" s="7"/>
      <c r="K1975" s="7"/>
      <c r="N1975" s="7"/>
      <c r="V1975" s="8"/>
      <c r="W1975" s="7"/>
      <c r="Y1975" s="8"/>
      <c r="Z1975" s="8"/>
      <c r="AA1975" s="8"/>
      <c r="AB1975" s="7"/>
      <c r="AD1975" s="8"/>
    </row>
    <row r="1976" spans="1:30">
      <c r="A1976" s="7"/>
      <c r="D1976" s="7"/>
      <c r="I1976" s="7"/>
      <c r="J1976" s="7"/>
      <c r="K1976" s="7"/>
      <c r="N1976" s="7"/>
      <c r="V1976" s="8"/>
      <c r="W1976" s="7"/>
      <c r="Y1976" s="8"/>
      <c r="Z1976" s="8"/>
      <c r="AA1976" s="8"/>
      <c r="AB1976" s="7"/>
      <c r="AD1976" s="8"/>
    </row>
    <row r="1977" spans="1:30">
      <c r="A1977" s="7"/>
      <c r="D1977" s="7"/>
      <c r="I1977" s="7"/>
      <c r="J1977" s="7"/>
      <c r="K1977" s="7"/>
      <c r="N1977" s="7"/>
      <c r="V1977" s="8"/>
      <c r="W1977" s="7"/>
      <c r="Y1977" s="8"/>
      <c r="Z1977" s="8"/>
      <c r="AA1977" s="8"/>
      <c r="AB1977" s="7"/>
      <c r="AD1977" s="8"/>
    </row>
    <row r="1978" spans="1:30">
      <c r="A1978" s="7"/>
      <c r="D1978" s="7"/>
      <c r="I1978" s="7"/>
      <c r="J1978" s="7"/>
      <c r="K1978" s="7"/>
      <c r="N1978" s="7"/>
      <c r="V1978" s="8"/>
      <c r="W1978" s="7"/>
      <c r="Y1978" s="8"/>
      <c r="Z1978" s="8"/>
      <c r="AA1978" s="8"/>
      <c r="AB1978" s="7"/>
      <c r="AD1978" s="8"/>
    </row>
    <row r="1979" spans="1:30">
      <c r="A1979" s="7"/>
      <c r="D1979" s="7"/>
      <c r="I1979" s="7"/>
      <c r="J1979" s="7"/>
      <c r="K1979" s="7"/>
      <c r="N1979" s="7"/>
      <c r="V1979" s="8"/>
      <c r="W1979" s="7"/>
      <c r="Y1979" s="8"/>
      <c r="Z1979" s="8"/>
      <c r="AA1979" s="8"/>
      <c r="AB1979" s="7"/>
      <c r="AD1979" s="8"/>
    </row>
    <row r="1980" spans="1:30">
      <c r="A1980" s="7"/>
      <c r="D1980" s="7"/>
      <c r="I1980" s="7"/>
      <c r="J1980" s="7"/>
      <c r="K1980" s="7"/>
      <c r="N1980" s="7"/>
      <c r="V1980" s="8"/>
      <c r="W1980" s="7"/>
      <c r="Y1980" s="8"/>
      <c r="Z1980" s="8"/>
      <c r="AA1980" s="8"/>
      <c r="AB1980" s="7"/>
      <c r="AD1980" s="8"/>
    </row>
    <row r="1981" spans="1:30">
      <c r="A1981" s="7"/>
      <c r="D1981" s="7"/>
      <c r="I1981" s="7"/>
      <c r="J1981" s="7"/>
      <c r="K1981" s="7"/>
      <c r="N1981" s="7"/>
      <c r="V1981" s="8"/>
      <c r="W1981" s="7"/>
      <c r="Y1981" s="8"/>
      <c r="Z1981" s="8"/>
      <c r="AA1981" s="8"/>
      <c r="AB1981" s="7"/>
      <c r="AD1981" s="8"/>
    </row>
    <row r="1982" spans="1:30">
      <c r="A1982" s="7"/>
      <c r="D1982" s="7"/>
      <c r="I1982" s="7"/>
      <c r="J1982" s="7"/>
      <c r="K1982" s="7"/>
      <c r="N1982" s="7"/>
      <c r="V1982" s="8"/>
      <c r="W1982" s="7"/>
      <c r="Y1982" s="8"/>
      <c r="Z1982" s="8"/>
      <c r="AA1982" s="8"/>
      <c r="AB1982" s="7"/>
      <c r="AD1982" s="8"/>
    </row>
    <row r="1983" spans="1:30">
      <c r="A1983" s="7"/>
      <c r="D1983" s="7"/>
      <c r="I1983" s="7"/>
      <c r="J1983" s="7"/>
      <c r="K1983" s="7"/>
      <c r="N1983" s="7"/>
      <c r="V1983" s="8"/>
      <c r="W1983" s="7"/>
      <c r="Y1983" s="8"/>
      <c r="Z1983" s="8"/>
      <c r="AA1983" s="8"/>
      <c r="AB1983" s="7"/>
      <c r="AD1983" s="8"/>
    </row>
    <row r="1984" spans="1:30">
      <c r="A1984" s="7"/>
      <c r="D1984" s="7"/>
      <c r="I1984" s="7"/>
      <c r="J1984" s="7"/>
      <c r="K1984" s="7"/>
      <c r="N1984" s="7"/>
      <c r="V1984" s="8"/>
      <c r="W1984" s="7"/>
      <c r="Y1984" s="8"/>
      <c r="Z1984" s="8"/>
      <c r="AA1984" s="8"/>
      <c r="AB1984" s="7"/>
      <c r="AD1984" s="8"/>
    </row>
    <row r="1985" spans="1:30">
      <c r="A1985" s="7"/>
      <c r="D1985" s="7"/>
      <c r="I1985" s="7"/>
      <c r="J1985" s="7"/>
      <c r="K1985" s="7"/>
      <c r="N1985" s="7"/>
      <c r="V1985" s="8"/>
      <c r="W1985" s="7"/>
      <c r="Y1985" s="8"/>
      <c r="Z1985" s="8"/>
      <c r="AA1985" s="8"/>
      <c r="AB1985" s="7"/>
      <c r="AD1985" s="8"/>
    </row>
    <row r="1986" spans="1:30">
      <c r="A1986" s="7"/>
      <c r="D1986" s="7"/>
      <c r="I1986" s="7"/>
      <c r="J1986" s="7"/>
      <c r="K1986" s="7"/>
      <c r="N1986" s="7"/>
      <c r="V1986" s="8"/>
      <c r="W1986" s="7"/>
      <c r="Y1986" s="8"/>
      <c r="Z1986" s="8"/>
      <c r="AA1986" s="8"/>
      <c r="AB1986" s="7"/>
      <c r="AD1986" s="8"/>
    </row>
    <row r="1987" spans="1:30">
      <c r="A1987" s="7"/>
      <c r="D1987" s="7"/>
      <c r="I1987" s="7"/>
      <c r="J1987" s="7"/>
      <c r="K1987" s="7"/>
      <c r="N1987" s="7"/>
      <c r="V1987" s="8"/>
      <c r="W1987" s="7"/>
      <c r="Y1987" s="8"/>
      <c r="Z1987" s="8"/>
      <c r="AA1987" s="8"/>
      <c r="AB1987" s="7"/>
      <c r="AD1987" s="8"/>
    </row>
    <row r="1988" spans="1:30">
      <c r="A1988" s="7"/>
      <c r="D1988" s="7"/>
      <c r="I1988" s="7"/>
      <c r="J1988" s="7"/>
      <c r="K1988" s="7"/>
      <c r="N1988" s="7"/>
      <c r="V1988" s="8"/>
      <c r="W1988" s="7"/>
      <c r="Y1988" s="8"/>
      <c r="Z1988" s="8"/>
      <c r="AA1988" s="8"/>
      <c r="AB1988" s="7"/>
      <c r="AD1988" s="8"/>
    </row>
    <row r="1989" spans="1:30">
      <c r="A1989" s="7"/>
      <c r="D1989" s="7"/>
      <c r="I1989" s="7"/>
      <c r="J1989" s="7"/>
      <c r="K1989" s="7"/>
      <c r="N1989" s="7"/>
      <c r="V1989" s="8"/>
      <c r="W1989" s="7"/>
      <c r="Y1989" s="8"/>
      <c r="Z1989" s="8"/>
      <c r="AA1989" s="8"/>
      <c r="AB1989" s="7"/>
      <c r="AD1989" s="8"/>
    </row>
    <row r="1990" spans="1:30">
      <c r="A1990" s="7"/>
      <c r="D1990" s="7"/>
      <c r="I1990" s="7"/>
      <c r="J1990" s="7"/>
      <c r="K1990" s="7"/>
      <c r="N1990" s="7"/>
      <c r="V1990" s="8"/>
      <c r="W1990" s="7"/>
      <c r="Y1990" s="8"/>
      <c r="Z1990" s="8"/>
      <c r="AA1990" s="8"/>
      <c r="AB1990" s="7"/>
      <c r="AD1990" s="8"/>
    </row>
    <row r="1991" spans="1:30">
      <c r="A1991" s="7"/>
      <c r="D1991" s="7"/>
      <c r="I1991" s="7"/>
      <c r="J1991" s="7"/>
      <c r="K1991" s="7"/>
      <c r="N1991" s="7"/>
      <c r="V1991" s="8"/>
      <c r="W1991" s="7"/>
      <c r="Y1991" s="8"/>
      <c r="Z1991" s="8"/>
      <c r="AA1991" s="8"/>
      <c r="AB1991" s="7"/>
      <c r="AD1991" s="8"/>
    </row>
    <row r="1992" spans="1:30">
      <c r="A1992" s="7"/>
      <c r="D1992" s="7"/>
      <c r="I1992" s="7"/>
      <c r="J1992" s="7"/>
      <c r="K1992" s="7"/>
      <c r="N1992" s="7"/>
      <c r="V1992" s="8"/>
      <c r="W1992" s="7"/>
      <c r="Y1992" s="8"/>
      <c r="Z1992" s="8"/>
      <c r="AA1992" s="8"/>
      <c r="AB1992" s="7"/>
      <c r="AD1992" s="8"/>
    </row>
    <row r="1993" spans="1:30">
      <c r="A1993" s="7"/>
      <c r="D1993" s="7"/>
      <c r="I1993" s="7"/>
      <c r="J1993" s="7"/>
      <c r="K1993" s="7"/>
      <c r="N1993" s="7"/>
      <c r="V1993" s="8"/>
      <c r="W1993" s="7"/>
      <c r="Y1993" s="8"/>
      <c r="Z1993" s="8"/>
      <c r="AA1993" s="8"/>
      <c r="AB1993" s="7"/>
      <c r="AD1993" s="8"/>
    </row>
    <row r="1994" spans="1:30">
      <c r="A1994" s="7"/>
      <c r="D1994" s="7"/>
      <c r="I1994" s="7"/>
      <c r="J1994" s="7"/>
      <c r="K1994" s="7"/>
      <c r="N1994" s="7"/>
      <c r="V1994" s="8"/>
      <c r="W1994" s="7"/>
      <c r="Y1994" s="8"/>
      <c r="Z1994" s="8"/>
      <c r="AA1994" s="8"/>
      <c r="AB1994" s="7"/>
      <c r="AD1994" s="8"/>
    </row>
    <row r="1995" spans="1:30">
      <c r="A1995" s="7"/>
      <c r="D1995" s="7"/>
      <c r="I1995" s="7"/>
      <c r="J1995" s="7"/>
      <c r="K1995" s="7"/>
      <c r="N1995" s="7"/>
      <c r="V1995" s="8"/>
      <c r="W1995" s="7"/>
      <c r="Y1995" s="8"/>
      <c r="Z1995" s="8"/>
      <c r="AA1995" s="8"/>
      <c r="AB1995" s="7"/>
      <c r="AD1995" s="8"/>
    </row>
    <row r="1996" spans="1:30">
      <c r="A1996" s="7"/>
      <c r="D1996" s="7"/>
      <c r="I1996" s="7"/>
      <c r="J1996" s="7"/>
      <c r="K1996" s="7"/>
      <c r="N1996" s="7"/>
      <c r="V1996" s="8"/>
      <c r="W1996" s="7"/>
      <c r="Y1996" s="8"/>
      <c r="Z1996" s="8"/>
      <c r="AA1996" s="8"/>
      <c r="AB1996" s="7"/>
      <c r="AD1996" s="8"/>
    </row>
    <row r="1997" spans="1:30">
      <c r="A1997" s="7"/>
      <c r="D1997" s="7"/>
      <c r="I1997" s="7"/>
      <c r="J1997" s="7"/>
      <c r="K1997" s="7"/>
      <c r="N1997" s="7"/>
      <c r="V1997" s="8"/>
      <c r="W1997" s="7"/>
      <c r="Y1997" s="8"/>
      <c r="Z1997" s="8"/>
      <c r="AA1997" s="8"/>
      <c r="AB1997" s="7"/>
      <c r="AD1997" s="8"/>
    </row>
    <row r="1998" spans="1:30">
      <c r="A1998" s="7"/>
      <c r="D1998" s="7"/>
      <c r="I1998" s="7"/>
      <c r="J1998" s="7"/>
      <c r="K1998" s="7"/>
      <c r="N1998" s="7"/>
      <c r="V1998" s="8"/>
      <c r="W1998" s="7"/>
      <c r="Y1998" s="8"/>
      <c r="Z1998" s="8"/>
      <c r="AA1998" s="8"/>
      <c r="AB1998" s="7"/>
      <c r="AD1998" s="8"/>
    </row>
    <row r="1999" spans="1:30">
      <c r="A1999" s="7"/>
      <c r="D1999" s="7"/>
      <c r="I1999" s="7"/>
      <c r="J1999" s="7"/>
      <c r="K1999" s="7"/>
      <c r="N1999" s="7"/>
      <c r="V1999" s="8"/>
      <c r="W1999" s="7"/>
      <c r="Y1999" s="8"/>
      <c r="Z1999" s="8"/>
      <c r="AA1999" s="8"/>
      <c r="AB1999" s="7"/>
      <c r="AD1999" s="8"/>
    </row>
    <row r="2000" spans="1:30">
      <c r="A2000" s="7"/>
      <c r="D2000" s="7"/>
      <c r="I2000" s="7"/>
      <c r="J2000" s="7"/>
      <c r="K2000" s="7"/>
      <c r="N2000" s="7"/>
      <c r="V2000" s="8"/>
      <c r="W2000" s="7"/>
      <c r="Y2000" s="8"/>
      <c r="Z2000" s="8"/>
      <c r="AA2000" s="8"/>
      <c r="AB2000" s="7"/>
      <c r="AD2000" s="8"/>
    </row>
    <row r="2001" spans="1:30">
      <c r="A2001" s="7"/>
      <c r="D2001" s="7"/>
      <c r="I2001" s="7"/>
      <c r="J2001" s="7"/>
      <c r="K2001" s="7"/>
      <c r="N2001" s="7"/>
      <c r="V2001" s="8"/>
      <c r="W2001" s="7"/>
      <c r="Y2001" s="8"/>
      <c r="Z2001" s="8"/>
      <c r="AA2001" s="8"/>
      <c r="AB2001" s="7"/>
      <c r="AD2001" s="8"/>
    </row>
    <row r="2002" spans="1:30">
      <c r="A2002" s="7"/>
      <c r="D2002" s="7"/>
      <c r="I2002" s="7"/>
      <c r="J2002" s="7"/>
      <c r="K2002" s="7"/>
      <c r="N2002" s="7"/>
      <c r="V2002" s="8"/>
      <c r="W2002" s="7"/>
      <c r="Y2002" s="8"/>
      <c r="Z2002" s="8"/>
      <c r="AA2002" s="8"/>
      <c r="AB2002" s="7"/>
      <c r="AD2002" s="8"/>
    </row>
    <row r="2003" spans="1:30">
      <c r="A2003" s="7"/>
      <c r="D2003" s="7"/>
      <c r="I2003" s="7"/>
      <c r="J2003" s="7"/>
      <c r="K2003" s="7"/>
      <c r="N2003" s="7"/>
      <c r="V2003" s="8"/>
      <c r="W2003" s="7"/>
      <c r="Y2003" s="8"/>
      <c r="Z2003" s="8"/>
      <c r="AA2003" s="8"/>
      <c r="AB2003" s="7"/>
      <c r="AD2003" s="8"/>
    </row>
    <row r="2004" spans="1:30">
      <c r="A2004" s="7"/>
      <c r="D2004" s="7"/>
      <c r="I2004" s="7"/>
      <c r="J2004" s="7"/>
      <c r="K2004" s="7"/>
      <c r="N2004" s="7"/>
      <c r="V2004" s="8"/>
      <c r="W2004" s="7"/>
      <c r="Y2004" s="8"/>
      <c r="Z2004" s="8"/>
      <c r="AA2004" s="8"/>
      <c r="AB2004" s="7"/>
      <c r="AD2004" s="8"/>
    </row>
    <row r="2005" spans="1:30">
      <c r="A2005" s="7"/>
      <c r="D2005" s="7"/>
      <c r="I2005" s="7"/>
      <c r="J2005" s="7"/>
      <c r="K2005" s="7"/>
      <c r="N2005" s="7"/>
      <c r="V2005" s="8"/>
      <c r="W2005" s="7"/>
      <c r="Y2005" s="8"/>
      <c r="Z2005" s="8"/>
      <c r="AA2005" s="8"/>
      <c r="AB2005" s="7"/>
      <c r="AD2005" s="8"/>
    </row>
    <row r="2006" spans="1:30">
      <c r="A2006" s="7"/>
      <c r="D2006" s="7"/>
      <c r="I2006" s="7"/>
      <c r="J2006" s="7"/>
      <c r="K2006" s="7"/>
      <c r="N2006" s="7"/>
      <c r="V2006" s="8"/>
      <c r="W2006" s="7"/>
      <c r="Y2006" s="8"/>
      <c r="Z2006" s="8"/>
      <c r="AA2006" s="8"/>
      <c r="AB2006" s="7"/>
      <c r="AD2006" s="8"/>
    </row>
    <row r="2007" spans="1:30">
      <c r="A2007" s="7"/>
      <c r="D2007" s="7"/>
      <c r="I2007" s="7"/>
      <c r="J2007" s="7"/>
      <c r="K2007" s="7"/>
      <c r="N2007" s="7"/>
      <c r="V2007" s="8"/>
      <c r="W2007" s="7"/>
      <c r="Y2007" s="8"/>
      <c r="Z2007" s="8"/>
      <c r="AA2007" s="8"/>
      <c r="AB2007" s="7"/>
      <c r="AD2007" s="8"/>
    </row>
    <row r="2008" spans="1:30">
      <c r="A2008" s="7"/>
      <c r="D2008" s="7"/>
      <c r="I2008" s="7"/>
      <c r="J2008" s="7"/>
      <c r="K2008" s="7"/>
      <c r="N2008" s="7"/>
      <c r="V2008" s="8"/>
      <c r="W2008" s="7"/>
      <c r="Y2008" s="8"/>
      <c r="Z2008" s="8"/>
      <c r="AA2008" s="8"/>
      <c r="AB2008" s="7"/>
      <c r="AD2008" s="8"/>
    </row>
    <row r="2009" spans="1:30">
      <c r="A2009" s="7"/>
      <c r="D2009" s="7"/>
      <c r="I2009" s="7"/>
      <c r="J2009" s="7"/>
      <c r="K2009" s="7"/>
      <c r="N2009" s="7"/>
      <c r="V2009" s="8"/>
      <c r="W2009" s="7"/>
      <c r="Y2009" s="8"/>
      <c r="Z2009" s="8"/>
      <c r="AA2009" s="8"/>
      <c r="AB2009" s="7"/>
      <c r="AD2009" s="8"/>
    </row>
    <row r="2010" spans="1:30">
      <c r="A2010" s="7"/>
      <c r="D2010" s="7"/>
      <c r="I2010" s="7"/>
      <c r="J2010" s="7"/>
      <c r="K2010" s="7"/>
      <c r="N2010" s="7"/>
      <c r="V2010" s="8"/>
      <c r="W2010" s="7"/>
      <c r="Y2010" s="8"/>
      <c r="Z2010" s="8"/>
      <c r="AA2010" s="8"/>
      <c r="AB2010" s="7"/>
      <c r="AD2010" s="8"/>
    </row>
    <row r="2011" spans="1:30">
      <c r="A2011" s="7"/>
      <c r="D2011" s="7"/>
      <c r="I2011" s="7"/>
      <c r="J2011" s="7"/>
      <c r="K2011" s="7"/>
      <c r="N2011" s="7"/>
      <c r="V2011" s="8"/>
      <c r="W2011" s="7"/>
      <c r="Y2011" s="8"/>
      <c r="Z2011" s="8"/>
      <c r="AA2011" s="8"/>
      <c r="AB2011" s="7"/>
      <c r="AD2011" s="8"/>
    </row>
    <row r="2012" spans="1:30">
      <c r="A2012" s="7"/>
      <c r="D2012" s="7"/>
      <c r="I2012" s="7"/>
      <c r="J2012" s="7"/>
      <c r="K2012" s="7"/>
      <c r="N2012" s="7"/>
      <c r="V2012" s="8"/>
      <c r="W2012" s="7"/>
      <c r="Y2012" s="8"/>
      <c r="Z2012" s="8"/>
      <c r="AA2012" s="8"/>
      <c r="AB2012" s="7"/>
      <c r="AD2012" s="8"/>
    </row>
    <row r="2013" spans="1:30">
      <c r="A2013" s="7"/>
      <c r="D2013" s="7"/>
      <c r="I2013" s="7"/>
      <c r="J2013" s="7"/>
      <c r="K2013" s="7"/>
      <c r="N2013" s="7"/>
      <c r="V2013" s="8"/>
      <c r="W2013" s="7"/>
      <c r="Y2013" s="8"/>
      <c r="Z2013" s="8"/>
      <c r="AA2013" s="8"/>
      <c r="AB2013" s="7"/>
      <c r="AD2013" s="8"/>
    </row>
    <row r="2014" spans="1:30">
      <c r="A2014" s="7"/>
      <c r="D2014" s="7"/>
      <c r="I2014" s="7"/>
      <c r="J2014" s="7"/>
      <c r="K2014" s="7"/>
      <c r="N2014" s="7"/>
      <c r="V2014" s="8"/>
      <c r="W2014" s="7"/>
      <c r="Y2014" s="8"/>
      <c r="Z2014" s="8"/>
      <c r="AA2014" s="8"/>
      <c r="AB2014" s="7"/>
      <c r="AD2014" s="8"/>
    </row>
    <row r="2015" spans="1:30">
      <c r="A2015" s="7"/>
      <c r="D2015" s="7"/>
      <c r="I2015" s="7"/>
      <c r="J2015" s="7"/>
      <c r="K2015" s="7"/>
      <c r="N2015" s="7"/>
      <c r="V2015" s="8"/>
      <c r="W2015" s="7"/>
      <c r="Y2015" s="8"/>
      <c r="Z2015" s="8"/>
      <c r="AA2015" s="8"/>
      <c r="AB2015" s="7"/>
      <c r="AD2015" s="8"/>
    </row>
    <row r="2016" spans="1:30">
      <c r="A2016" s="7"/>
      <c r="D2016" s="7"/>
      <c r="I2016" s="7"/>
      <c r="J2016" s="7"/>
      <c r="K2016" s="7"/>
      <c r="N2016" s="7"/>
      <c r="V2016" s="8"/>
      <c r="W2016" s="7"/>
      <c r="Y2016" s="8"/>
      <c r="Z2016" s="8"/>
      <c r="AA2016" s="8"/>
      <c r="AB2016" s="7"/>
      <c r="AD2016" s="8"/>
    </row>
    <row r="2017" spans="1:30">
      <c r="A2017" s="7"/>
      <c r="D2017" s="7"/>
      <c r="I2017" s="7"/>
      <c r="J2017" s="7"/>
      <c r="K2017" s="7"/>
      <c r="N2017" s="7"/>
      <c r="V2017" s="8"/>
      <c r="W2017" s="7"/>
      <c r="Y2017" s="8"/>
      <c r="Z2017" s="8"/>
      <c r="AA2017" s="8"/>
      <c r="AB2017" s="7"/>
      <c r="AD2017" s="8"/>
    </row>
    <row r="2018" spans="1:30">
      <c r="A2018" s="7"/>
      <c r="D2018" s="7"/>
      <c r="I2018" s="7"/>
      <c r="J2018" s="7"/>
      <c r="K2018" s="7"/>
      <c r="N2018" s="7"/>
      <c r="V2018" s="8"/>
      <c r="W2018" s="7"/>
      <c r="Y2018" s="8"/>
      <c r="Z2018" s="8"/>
      <c r="AA2018" s="8"/>
      <c r="AB2018" s="7"/>
      <c r="AD2018" s="8"/>
    </row>
    <row r="2019" spans="1:30">
      <c r="A2019" s="7"/>
      <c r="D2019" s="7"/>
      <c r="I2019" s="7"/>
      <c r="J2019" s="7"/>
      <c r="K2019" s="7"/>
      <c r="N2019" s="7"/>
      <c r="V2019" s="8"/>
      <c r="W2019" s="7"/>
      <c r="Y2019" s="8"/>
      <c r="Z2019" s="8"/>
      <c r="AA2019" s="8"/>
      <c r="AB2019" s="7"/>
      <c r="AD2019" s="8"/>
    </row>
    <row r="2020" spans="1:30">
      <c r="A2020" s="7"/>
      <c r="D2020" s="7"/>
      <c r="I2020" s="7"/>
      <c r="J2020" s="7"/>
      <c r="K2020" s="7"/>
      <c r="N2020" s="7"/>
      <c r="V2020" s="8"/>
      <c r="W2020" s="7"/>
      <c r="Y2020" s="8"/>
      <c r="Z2020" s="8"/>
      <c r="AA2020" s="8"/>
      <c r="AB2020" s="7"/>
      <c r="AD2020" s="8"/>
    </row>
    <row r="2021" spans="1:30">
      <c r="A2021" s="7"/>
      <c r="D2021" s="7"/>
      <c r="I2021" s="7"/>
      <c r="J2021" s="7"/>
      <c r="K2021" s="7"/>
      <c r="N2021" s="7"/>
      <c r="V2021" s="8"/>
      <c r="W2021" s="7"/>
      <c r="Y2021" s="8"/>
      <c r="Z2021" s="8"/>
      <c r="AA2021" s="8"/>
      <c r="AB2021" s="7"/>
      <c r="AD2021" s="8"/>
    </row>
    <row r="2022" spans="1:30">
      <c r="A2022" s="7"/>
      <c r="D2022" s="7"/>
      <c r="I2022" s="7"/>
      <c r="J2022" s="7"/>
      <c r="K2022" s="7"/>
      <c r="N2022" s="7"/>
      <c r="V2022" s="8"/>
      <c r="W2022" s="7"/>
      <c r="Y2022" s="8"/>
      <c r="Z2022" s="8"/>
      <c r="AA2022" s="8"/>
      <c r="AB2022" s="7"/>
      <c r="AD2022" s="8"/>
    </row>
    <row r="2023" spans="1:30">
      <c r="A2023" s="7"/>
      <c r="D2023" s="7"/>
      <c r="I2023" s="7"/>
      <c r="J2023" s="7"/>
      <c r="K2023" s="7"/>
      <c r="N2023" s="7"/>
      <c r="V2023" s="8"/>
      <c r="W2023" s="7"/>
      <c r="Y2023" s="8"/>
      <c r="Z2023" s="8"/>
      <c r="AA2023" s="8"/>
      <c r="AB2023" s="7"/>
      <c r="AD2023" s="8"/>
    </row>
    <row r="2024" spans="1:30">
      <c r="A2024" s="7"/>
      <c r="D2024" s="7"/>
      <c r="I2024" s="7"/>
      <c r="J2024" s="7"/>
      <c r="K2024" s="7"/>
      <c r="N2024" s="7"/>
      <c r="V2024" s="8"/>
      <c r="W2024" s="7"/>
      <c r="Y2024" s="8"/>
      <c r="Z2024" s="8"/>
      <c r="AA2024" s="8"/>
      <c r="AB2024" s="7"/>
      <c r="AD2024" s="8"/>
    </row>
    <row r="2025" spans="1:30">
      <c r="A2025" s="7"/>
      <c r="D2025" s="7"/>
      <c r="I2025" s="7"/>
      <c r="J2025" s="7"/>
      <c r="K2025" s="7"/>
      <c r="N2025" s="7"/>
      <c r="V2025" s="8"/>
      <c r="W2025" s="7"/>
      <c r="Y2025" s="8"/>
      <c r="Z2025" s="8"/>
      <c r="AA2025" s="8"/>
      <c r="AB2025" s="7"/>
      <c r="AD2025" s="8"/>
    </row>
    <row r="2026" spans="1:30">
      <c r="A2026" s="7"/>
      <c r="D2026" s="7"/>
      <c r="I2026" s="7"/>
      <c r="J2026" s="7"/>
      <c r="K2026" s="7"/>
      <c r="N2026" s="7"/>
      <c r="V2026" s="8"/>
      <c r="W2026" s="7"/>
      <c r="Y2026" s="8"/>
      <c r="Z2026" s="8"/>
      <c r="AA2026" s="8"/>
      <c r="AB2026" s="7"/>
      <c r="AD2026" s="8"/>
    </row>
    <row r="2027" spans="1:30">
      <c r="A2027" s="7"/>
      <c r="D2027" s="7"/>
      <c r="I2027" s="7"/>
      <c r="J2027" s="7"/>
      <c r="K2027" s="7"/>
      <c r="N2027" s="7"/>
      <c r="V2027" s="8"/>
      <c r="W2027" s="7"/>
      <c r="Y2027" s="8"/>
      <c r="Z2027" s="8"/>
      <c r="AA2027" s="8"/>
      <c r="AB2027" s="7"/>
      <c r="AD2027" s="8"/>
    </row>
    <row r="2028" spans="1:30">
      <c r="A2028" s="7"/>
      <c r="D2028" s="7"/>
      <c r="I2028" s="7"/>
      <c r="J2028" s="7"/>
      <c r="K2028" s="7"/>
      <c r="N2028" s="7"/>
      <c r="V2028" s="8"/>
      <c r="W2028" s="7"/>
      <c r="Y2028" s="8"/>
      <c r="Z2028" s="8"/>
      <c r="AA2028" s="8"/>
      <c r="AB2028" s="7"/>
      <c r="AD2028" s="8"/>
    </row>
    <row r="2029" spans="1:30">
      <c r="A2029" s="7"/>
      <c r="D2029" s="7"/>
      <c r="I2029" s="7"/>
      <c r="J2029" s="7"/>
      <c r="K2029" s="7"/>
      <c r="N2029" s="7"/>
      <c r="V2029" s="8"/>
      <c r="W2029" s="7"/>
      <c r="Y2029" s="8"/>
      <c r="Z2029" s="8"/>
      <c r="AA2029" s="8"/>
      <c r="AB2029" s="7"/>
      <c r="AD2029" s="8"/>
    </row>
    <row r="2030" spans="1:30">
      <c r="A2030" s="7"/>
      <c r="D2030" s="7"/>
      <c r="I2030" s="7"/>
      <c r="J2030" s="7"/>
      <c r="K2030" s="7"/>
      <c r="N2030" s="7"/>
      <c r="V2030" s="8"/>
      <c r="W2030" s="7"/>
      <c r="Y2030" s="8"/>
      <c r="Z2030" s="8"/>
      <c r="AA2030" s="8"/>
      <c r="AB2030" s="7"/>
      <c r="AD2030" s="8"/>
    </row>
    <row r="2031" spans="1:30">
      <c r="A2031" s="7"/>
      <c r="D2031" s="7"/>
      <c r="I2031" s="7"/>
      <c r="J2031" s="7"/>
      <c r="K2031" s="7"/>
      <c r="N2031" s="7"/>
      <c r="V2031" s="8"/>
      <c r="W2031" s="7"/>
      <c r="Y2031" s="8"/>
      <c r="Z2031" s="8"/>
      <c r="AA2031" s="8"/>
      <c r="AB2031" s="7"/>
      <c r="AD2031" s="8"/>
    </row>
    <row r="2032" spans="1:30">
      <c r="A2032" s="7"/>
      <c r="D2032" s="7"/>
      <c r="I2032" s="7"/>
      <c r="J2032" s="7"/>
      <c r="K2032" s="7"/>
      <c r="N2032" s="7"/>
      <c r="V2032" s="8"/>
      <c r="W2032" s="7"/>
      <c r="Y2032" s="8"/>
      <c r="Z2032" s="8"/>
      <c r="AA2032" s="8"/>
      <c r="AB2032" s="7"/>
      <c r="AD2032" s="8"/>
    </row>
    <row r="2033" spans="1:30">
      <c r="A2033" s="7"/>
      <c r="D2033" s="7"/>
      <c r="I2033" s="7"/>
      <c r="J2033" s="7"/>
      <c r="K2033" s="7"/>
      <c r="N2033" s="7"/>
      <c r="V2033" s="8"/>
      <c r="W2033" s="7"/>
      <c r="Y2033" s="8"/>
      <c r="Z2033" s="8"/>
      <c r="AA2033" s="8"/>
      <c r="AB2033" s="7"/>
      <c r="AD2033" s="8"/>
    </row>
    <row r="2034" spans="1:30">
      <c r="A2034" s="7"/>
      <c r="D2034" s="7"/>
      <c r="I2034" s="7"/>
      <c r="J2034" s="7"/>
      <c r="K2034" s="7"/>
      <c r="N2034" s="7"/>
      <c r="V2034" s="8"/>
      <c r="W2034" s="7"/>
      <c r="Y2034" s="8"/>
      <c r="Z2034" s="8"/>
      <c r="AA2034" s="8"/>
      <c r="AB2034" s="7"/>
      <c r="AD2034" s="8"/>
    </row>
    <row r="2035" spans="1:30">
      <c r="A2035" s="7"/>
      <c r="D2035" s="7"/>
      <c r="I2035" s="7"/>
      <c r="J2035" s="7"/>
      <c r="K2035" s="7"/>
      <c r="N2035" s="7"/>
      <c r="V2035" s="8"/>
      <c r="W2035" s="7"/>
      <c r="Y2035" s="8"/>
      <c r="Z2035" s="8"/>
      <c r="AA2035" s="8"/>
      <c r="AB2035" s="7"/>
      <c r="AD2035" s="8"/>
    </row>
    <row r="2036" spans="1:30">
      <c r="A2036" s="7"/>
      <c r="D2036" s="7"/>
      <c r="I2036" s="7"/>
      <c r="J2036" s="7"/>
      <c r="K2036" s="7"/>
      <c r="N2036" s="7"/>
      <c r="V2036" s="8"/>
      <c r="W2036" s="7"/>
      <c r="Y2036" s="8"/>
      <c r="Z2036" s="8"/>
      <c r="AA2036" s="8"/>
      <c r="AB2036" s="7"/>
      <c r="AD2036" s="8"/>
    </row>
    <row r="2037" spans="1:30">
      <c r="A2037" s="7"/>
      <c r="D2037" s="7"/>
      <c r="I2037" s="7"/>
      <c r="J2037" s="7"/>
      <c r="K2037" s="7"/>
      <c r="N2037" s="7"/>
      <c r="V2037" s="8"/>
      <c r="W2037" s="7"/>
      <c r="Y2037" s="8"/>
      <c r="Z2037" s="8"/>
      <c r="AA2037" s="8"/>
      <c r="AB2037" s="7"/>
      <c r="AD2037" s="8"/>
    </row>
    <row r="2038" spans="1:30">
      <c r="A2038" s="7"/>
      <c r="D2038" s="7"/>
      <c r="I2038" s="7"/>
      <c r="J2038" s="7"/>
      <c r="K2038" s="7"/>
      <c r="N2038" s="7"/>
      <c r="V2038" s="8"/>
      <c r="W2038" s="7"/>
      <c r="Y2038" s="8"/>
      <c r="Z2038" s="8"/>
      <c r="AA2038" s="8"/>
      <c r="AB2038" s="7"/>
      <c r="AD2038" s="8"/>
    </row>
    <row r="2039" spans="1:30">
      <c r="A2039" s="7"/>
      <c r="D2039" s="7"/>
      <c r="I2039" s="7"/>
      <c r="J2039" s="7"/>
      <c r="K2039" s="7"/>
      <c r="N2039" s="7"/>
      <c r="V2039" s="8"/>
      <c r="W2039" s="7"/>
      <c r="Y2039" s="8"/>
      <c r="Z2039" s="8"/>
      <c r="AA2039" s="8"/>
      <c r="AB2039" s="7"/>
      <c r="AD2039" s="8"/>
    </row>
    <row r="2040" spans="1:30">
      <c r="A2040" s="7"/>
      <c r="D2040" s="7"/>
      <c r="I2040" s="7"/>
      <c r="J2040" s="7"/>
      <c r="K2040" s="7"/>
      <c r="N2040" s="7"/>
      <c r="V2040" s="8"/>
      <c r="W2040" s="7"/>
      <c r="Y2040" s="8"/>
      <c r="Z2040" s="8"/>
      <c r="AA2040" s="8"/>
      <c r="AB2040" s="7"/>
      <c r="AD2040" s="8"/>
    </row>
    <row r="2041" spans="1:30">
      <c r="A2041" s="7"/>
      <c r="D2041" s="7"/>
      <c r="I2041" s="7"/>
      <c r="J2041" s="7"/>
      <c r="K2041" s="7"/>
      <c r="N2041" s="7"/>
      <c r="V2041" s="8"/>
      <c r="W2041" s="7"/>
      <c r="Y2041" s="8"/>
      <c r="Z2041" s="8"/>
      <c r="AA2041" s="8"/>
      <c r="AB2041" s="7"/>
      <c r="AD2041" s="8"/>
    </row>
    <row r="2042" spans="1:30">
      <c r="A2042" s="7"/>
      <c r="D2042" s="7"/>
      <c r="I2042" s="7"/>
      <c r="J2042" s="7"/>
      <c r="K2042" s="7"/>
      <c r="N2042" s="7"/>
      <c r="V2042" s="8"/>
      <c r="W2042" s="7"/>
      <c r="Y2042" s="8"/>
      <c r="Z2042" s="8"/>
      <c r="AA2042" s="8"/>
      <c r="AB2042" s="7"/>
      <c r="AD2042" s="8"/>
    </row>
    <row r="2043" spans="1:30">
      <c r="A2043" s="7"/>
      <c r="D2043" s="7"/>
      <c r="I2043" s="7"/>
      <c r="J2043" s="7"/>
      <c r="K2043" s="7"/>
      <c r="N2043" s="7"/>
      <c r="V2043" s="8"/>
      <c r="W2043" s="7"/>
      <c r="Y2043" s="8"/>
      <c r="Z2043" s="8"/>
      <c r="AA2043" s="8"/>
      <c r="AB2043" s="7"/>
      <c r="AD2043" s="8"/>
    </row>
    <row r="2044" spans="1:30">
      <c r="A2044" s="7"/>
      <c r="D2044" s="7"/>
      <c r="I2044" s="7"/>
      <c r="J2044" s="7"/>
      <c r="K2044" s="7"/>
      <c r="N2044" s="7"/>
      <c r="V2044" s="8"/>
      <c r="W2044" s="7"/>
      <c r="Y2044" s="8"/>
      <c r="Z2044" s="8"/>
      <c r="AA2044" s="8"/>
      <c r="AB2044" s="7"/>
      <c r="AD2044" s="8"/>
    </row>
    <row r="2045" spans="1:30">
      <c r="A2045" s="7"/>
      <c r="D2045" s="7"/>
      <c r="I2045" s="7"/>
      <c r="J2045" s="7"/>
      <c r="K2045" s="7"/>
      <c r="N2045" s="7"/>
      <c r="V2045" s="8"/>
      <c r="W2045" s="7"/>
      <c r="Y2045" s="8"/>
      <c r="Z2045" s="8"/>
      <c r="AA2045" s="8"/>
      <c r="AB2045" s="7"/>
      <c r="AD2045" s="8"/>
    </row>
    <row r="2046" spans="1:30">
      <c r="A2046" s="7"/>
      <c r="D2046" s="7"/>
      <c r="I2046" s="7"/>
      <c r="J2046" s="7"/>
      <c r="K2046" s="7"/>
      <c r="N2046" s="7"/>
      <c r="V2046" s="8"/>
      <c r="W2046" s="7"/>
      <c r="Y2046" s="8"/>
      <c r="Z2046" s="8"/>
      <c r="AA2046" s="8"/>
      <c r="AB2046" s="7"/>
      <c r="AD2046" s="8"/>
    </row>
    <row r="2047" spans="1:30">
      <c r="A2047" s="7"/>
      <c r="D2047" s="7"/>
      <c r="I2047" s="7"/>
      <c r="J2047" s="7"/>
      <c r="K2047" s="7"/>
      <c r="N2047" s="7"/>
      <c r="V2047" s="8"/>
      <c r="W2047" s="7"/>
      <c r="Y2047" s="8"/>
      <c r="Z2047" s="8"/>
      <c r="AA2047" s="8"/>
      <c r="AB2047" s="7"/>
      <c r="AD2047" s="8"/>
    </row>
    <row r="2048" spans="1:30">
      <c r="A2048" s="7"/>
      <c r="D2048" s="7"/>
      <c r="I2048" s="7"/>
      <c r="J2048" s="7"/>
      <c r="K2048" s="7"/>
      <c r="N2048" s="7"/>
      <c r="V2048" s="8"/>
      <c r="W2048" s="7"/>
      <c r="Y2048" s="8"/>
      <c r="Z2048" s="8"/>
      <c r="AA2048" s="8"/>
      <c r="AB2048" s="7"/>
      <c r="AD2048" s="8"/>
    </row>
    <row r="2049" spans="1:30">
      <c r="A2049" s="7"/>
      <c r="D2049" s="7"/>
      <c r="I2049" s="7"/>
      <c r="J2049" s="7"/>
      <c r="K2049" s="7"/>
      <c r="N2049" s="7"/>
      <c r="V2049" s="8"/>
      <c r="W2049" s="7"/>
      <c r="Y2049" s="8"/>
      <c r="Z2049" s="8"/>
      <c r="AA2049" s="8"/>
      <c r="AB2049" s="7"/>
      <c r="AD2049" s="8"/>
    </row>
    <row r="2050" spans="1:30">
      <c r="A2050" s="7"/>
      <c r="D2050" s="7"/>
      <c r="I2050" s="7"/>
      <c r="J2050" s="7"/>
      <c r="K2050" s="7"/>
      <c r="N2050" s="7"/>
      <c r="V2050" s="8"/>
      <c r="W2050" s="7"/>
      <c r="Y2050" s="8"/>
      <c r="Z2050" s="8"/>
      <c r="AA2050" s="8"/>
      <c r="AB2050" s="7"/>
      <c r="AD2050" s="8"/>
    </row>
    <row r="2051" spans="1:30">
      <c r="A2051" s="7"/>
      <c r="D2051" s="7"/>
      <c r="I2051" s="7"/>
      <c r="J2051" s="7"/>
      <c r="K2051" s="7"/>
      <c r="N2051" s="7"/>
      <c r="V2051" s="8"/>
      <c r="W2051" s="7"/>
      <c r="Y2051" s="8"/>
      <c r="Z2051" s="8"/>
      <c r="AA2051" s="8"/>
      <c r="AB2051" s="7"/>
      <c r="AD2051" s="8"/>
    </row>
    <row r="2052" spans="1:30">
      <c r="A2052" s="7"/>
      <c r="D2052" s="7"/>
      <c r="I2052" s="7"/>
      <c r="J2052" s="7"/>
      <c r="K2052" s="7"/>
      <c r="N2052" s="7"/>
      <c r="V2052" s="8"/>
      <c r="W2052" s="7"/>
      <c r="Y2052" s="8"/>
      <c r="Z2052" s="8"/>
      <c r="AA2052" s="8"/>
      <c r="AB2052" s="7"/>
      <c r="AD2052" s="8"/>
    </row>
    <row r="2053" spans="1:30">
      <c r="A2053" s="7"/>
      <c r="D2053" s="7"/>
      <c r="I2053" s="7"/>
      <c r="J2053" s="7"/>
      <c r="K2053" s="7"/>
      <c r="N2053" s="7"/>
      <c r="V2053" s="8"/>
      <c r="W2053" s="7"/>
      <c r="Y2053" s="8"/>
      <c r="Z2053" s="8"/>
      <c r="AA2053" s="8"/>
      <c r="AB2053" s="7"/>
      <c r="AD2053" s="8"/>
    </row>
    <row r="2054" spans="1:30">
      <c r="A2054" s="7"/>
      <c r="D2054" s="7"/>
      <c r="I2054" s="7"/>
      <c r="J2054" s="7"/>
      <c r="K2054" s="7"/>
      <c r="N2054" s="7"/>
      <c r="V2054" s="8"/>
      <c r="W2054" s="7"/>
      <c r="Y2054" s="8"/>
      <c r="Z2054" s="8"/>
      <c r="AA2054" s="8"/>
      <c r="AB2054" s="7"/>
      <c r="AD2054" s="8"/>
    </row>
    <row r="2055" spans="1:30">
      <c r="A2055" s="7"/>
      <c r="D2055" s="7"/>
      <c r="I2055" s="7"/>
      <c r="J2055" s="7"/>
      <c r="K2055" s="7"/>
      <c r="N2055" s="7"/>
      <c r="V2055" s="8"/>
      <c r="W2055" s="7"/>
      <c r="Y2055" s="8"/>
      <c r="Z2055" s="8"/>
      <c r="AA2055" s="8"/>
      <c r="AB2055" s="7"/>
      <c r="AD2055" s="8"/>
    </row>
    <row r="2056" spans="1:30">
      <c r="A2056" s="7"/>
      <c r="D2056" s="7"/>
      <c r="I2056" s="7"/>
      <c r="J2056" s="7"/>
      <c r="K2056" s="7"/>
      <c r="N2056" s="7"/>
      <c r="V2056" s="8"/>
      <c r="W2056" s="7"/>
      <c r="Y2056" s="8"/>
      <c r="Z2056" s="8"/>
      <c r="AA2056" s="8"/>
      <c r="AB2056" s="7"/>
      <c r="AD2056" s="8"/>
    </row>
    <row r="2057" spans="1:30">
      <c r="A2057" s="7"/>
      <c r="D2057" s="7"/>
      <c r="I2057" s="7"/>
      <c r="J2057" s="7"/>
      <c r="K2057" s="7"/>
      <c r="N2057" s="7"/>
      <c r="V2057" s="8"/>
      <c r="W2057" s="7"/>
      <c r="Y2057" s="8"/>
      <c r="Z2057" s="8"/>
      <c r="AA2057" s="8"/>
      <c r="AB2057" s="7"/>
      <c r="AD2057" s="8"/>
    </row>
    <row r="2058" spans="1:30">
      <c r="A2058" s="7"/>
      <c r="D2058" s="7"/>
      <c r="I2058" s="7"/>
      <c r="J2058" s="7"/>
      <c r="K2058" s="7"/>
      <c r="N2058" s="7"/>
      <c r="V2058" s="8"/>
      <c r="W2058" s="7"/>
      <c r="Y2058" s="8"/>
      <c r="Z2058" s="8"/>
      <c r="AA2058" s="8"/>
      <c r="AB2058" s="7"/>
      <c r="AD2058" s="8"/>
    </row>
    <row r="2059" spans="1:30">
      <c r="A2059" s="7"/>
      <c r="D2059" s="7"/>
      <c r="I2059" s="7"/>
      <c r="J2059" s="7"/>
      <c r="K2059" s="7"/>
      <c r="N2059" s="7"/>
      <c r="V2059" s="8"/>
      <c r="W2059" s="7"/>
      <c r="Y2059" s="8"/>
      <c r="Z2059" s="8"/>
      <c r="AA2059" s="8"/>
      <c r="AB2059" s="7"/>
      <c r="AD2059" s="8"/>
    </row>
    <row r="2060" spans="1:30">
      <c r="A2060" s="7"/>
      <c r="D2060" s="7"/>
      <c r="I2060" s="7"/>
      <c r="J2060" s="7"/>
      <c r="K2060" s="7"/>
      <c r="N2060" s="7"/>
      <c r="V2060" s="8"/>
      <c r="W2060" s="7"/>
      <c r="Y2060" s="8"/>
      <c r="Z2060" s="8"/>
      <c r="AA2060" s="8"/>
      <c r="AB2060" s="7"/>
      <c r="AD2060" s="8"/>
    </row>
    <row r="2061" spans="1:30">
      <c r="A2061" s="7"/>
      <c r="D2061" s="7"/>
      <c r="I2061" s="7"/>
      <c r="J2061" s="7"/>
      <c r="K2061" s="7"/>
      <c r="N2061" s="7"/>
      <c r="V2061" s="8"/>
      <c r="W2061" s="7"/>
      <c r="Y2061" s="8"/>
      <c r="Z2061" s="8"/>
      <c r="AA2061" s="8"/>
      <c r="AB2061" s="7"/>
      <c r="AD2061" s="8"/>
    </row>
    <row r="2062" spans="1:30">
      <c r="A2062" s="7"/>
      <c r="D2062" s="7"/>
      <c r="I2062" s="7"/>
      <c r="J2062" s="7"/>
      <c r="K2062" s="7"/>
      <c r="N2062" s="7"/>
      <c r="V2062" s="8"/>
      <c r="W2062" s="7"/>
      <c r="Y2062" s="8"/>
      <c r="Z2062" s="8"/>
      <c r="AA2062" s="8"/>
      <c r="AB2062" s="7"/>
      <c r="AD2062" s="8"/>
    </row>
    <row r="2063" spans="1:30">
      <c r="A2063" s="7"/>
      <c r="D2063" s="7"/>
      <c r="I2063" s="7"/>
      <c r="J2063" s="7"/>
      <c r="K2063" s="7"/>
      <c r="N2063" s="7"/>
      <c r="V2063" s="8"/>
      <c r="W2063" s="7"/>
      <c r="Y2063" s="8"/>
      <c r="Z2063" s="8"/>
      <c r="AA2063" s="8"/>
      <c r="AB2063" s="7"/>
      <c r="AD2063" s="8"/>
    </row>
    <row r="2064" spans="1:30">
      <c r="A2064" s="7"/>
      <c r="D2064" s="7"/>
      <c r="I2064" s="7"/>
      <c r="J2064" s="7"/>
      <c r="K2064" s="7"/>
      <c r="N2064" s="7"/>
      <c r="V2064" s="8"/>
      <c r="W2064" s="7"/>
      <c r="Y2064" s="8"/>
      <c r="Z2064" s="8"/>
      <c r="AA2064" s="8"/>
      <c r="AB2064" s="7"/>
      <c r="AD2064" s="8"/>
    </row>
    <row r="2065" spans="1:30">
      <c r="A2065" s="7"/>
      <c r="D2065" s="7"/>
      <c r="I2065" s="7"/>
      <c r="J2065" s="7"/>
      <c r="K2065" s="7"/>
      <c r="N2065" s="7"/>
      <c r="V2065" s="8"/>
      <c r="W2065" s="7"/>
      <c r="Y2065" s="8"/>
      <c r="Z2065" s="8"/>
      <c r="AA2065" s="8"/>
      <c r="AB2065" s="7"/>
      <c r="AD2065" s="8"/>
    </row>
    <row r="2066" spans="1:30">
      <c r="A2066" s="7"/>
      <c r="D2066" s="7"/>
      <c r="I2066" s="7"/>
      <c r="J2066" s="7"/>
      <c r="K2066" s="7"/>
      <c r="N2066" s="7"/>
      <c r="V2066" s="8"/>
      <c r="W2066" s="7"/>
      <c r="Y2066" s="8"/>
      <c r="Z2066" s="8"/>
      <c r="AA2066" s="8"/>
      <c r="AB2066" s="7"/>
      <c r="AD2066" s="8"/>
    </row>
    <row r="2067" spans="1:30">
      <c r="A2067" s="7"/>
      <c r="D2067" s="7"/>
      <c r="I2067" s="7"/>
      <c r="J2067" s="7"/>
      <c r="K2067" s="7"/>
      <c r="N2067" s="7"/>
      <c r="V2067" s="8"/>
      <c r="W2067" s="7"/>
      <c r="Y2067" s="8"/>
      <c r="Z2067" s="8"/>
      <c r="AA2067" s="8"/>
      <c r="AB2067" s="7"/>
      <c r="AD2067" s="8"/>
    </row>
    <row r="2068" spans="1:30">
      <c r="A2068" s="7"/>
      <c r="D2068" s="7"/>
      <c r="I2068" s="7"/>
      <c r="J2068" s="7"/>
      <c r="K2068" s="7"/>
      <c r="N2068" s="7"/>
      <c r="V2068" s="8"/>
      <c r="W2068" s="7"/>
      <c r="Y2068" s="8"/>
      <c r="Z2068" s="8"/>
      <c r="AA2068" s="8"/>
      <c r="AB2068" s="7"/>
      <c r="AD2068" s="8"/>
    </row>
    <row r="2069" spans="1:30">
      <c r="A2069" s="7"/>
      <c r="D2069" s="7"/>
      <c r="I2069" s="7"/>
      <c r="J2069" s="7"/>
      <c r="K2069" s="7"/>
      <c r="N2069" s="7"/>
      <c r="V2069" s="8"/>
      <c r="W2069" s="7"/>
      <c r="Y2069" s="8"/>
      <c r="Z2069" s="8"/>
      <c r="AA2069" s="8"/>
      <c r="AB2069" s="7"/>
      <c r="AD2069" s="8"/>
    </row>
    <row r="2070" spans="1:30">
      <c r="A2070" s="7"/>
      <c r="D2070" s="7"/>
      <c r="I2070" s="7"/>
      <c r="J2070" s="7"/>
      <c r="K2070" s="7"/>
      <c r="N2070" s="7"/>
      <c r="V2070" s="8"/>
      <c r="W2070" s="7"/>
      <c r="Y2070" s="8"/>
      <c r="Z2070" s="8"/>
      <c r="AA2070" s="8"/>
      <c r="AB2070" s="7"/>
      <c r="AD2070" s="8"/>
    </row>
    <row r="2071" spans="1:30">
      <c r="A2071" s="7"/>
      <c r="D2071" s="7"/>
      <c r="I2071" s="7"/>
      <c r="J2071" s="7"/>
      <c r="K2071" s="7"/>
      <c r="N2071" s="7"/>
      <c r="V2071" s="8"/>
      <c r="W2071" s="7"/>
      <c r="Y2071" s="8"/>
      <c r="Z2071" s="8"/>
      <c r="AA2071" s="8"/>
      <c r="AB2071" s="7"/>
      <c r="AD2071" s="8"/>
    </row>
    <row r="2072" spans="1:30">
      <c r="A2072" s="7"/>
      <c r="D2072" s="7"/>
      <c r="I2072" s="7"/>
      <c r="J2072" s="7"/>
      <c r="K2072" s="7"/>
      <c r="N2072" s="7"/>
      <c r="V2072" s="8"/>
      <c r="W2072" s="7"/>
      <c r="Y2072" s="8"/>
      <c r="Z2072" s="8"/>
      <c r="AA2072" s="8"/>
      <c r="AB2072" s="7"/>
      <c r="AD2072" s="8"/>
    </row>
    <row r="2073" spans="1:30">
      <c r="A2073" s="7"/>
      <c r="D2073" s="7"/>
      <c r="I2073" s="7"/>
      <c r="J2073" s="7"/>
      <c r="K2073" s="7"/>
      <c r="N2073" s="7"/>
      <c r="V2073" s="8"/>
      <c r="W2073" s="7"/>
      <c r="Y2073" s="8"/>
      <c r="Z2073" s="8"/>
      <c r="AA2073" s="8"/>
      <c r="AB2073" s="7"/>
      <c r="AD2073" s="8"/>
    </row>
    <row r="2074" spans="1:30">
      <c r="A2074" s="7"/>
      <c r="D2074" s="7"/>
      <c r="I2074" s="7"/>
      <c r="J2074" s="7"/>
      <c r="K2074" s="7"/>
      <c r="N2074" s="7"/>
      <c r="V2074" s="8"/>
      <c r="W2074" s="7"/>
      <c r="Y2074" s="8"/>
      <c r="Z2074" s="8"/>
      <c r="AA2074" s="8"/>
      <c r="AB2074" s="7"/>
      <c r="AD2074" s="8"/>
    </row>
    <row r="2075" spans="1:30">
      <c r="A2075" s="7"/>
      <c r="D2075" s="7"/>
      <c r="I2075" s="7"/>
      <c r="J2075" s="7"/>
      <c r="K2075" s="7"/>
      <c r="N2075" s="7"/>
      <c r="V2075" s="8"/>
      <c r="W2075" s="7"/>
      <c r="Y2075" s="8"/>
      <c r="Z2075" s="8"/>
      <c r="AA2075" s="8"/>
      <c r="AB2075" s="7"/>
      <c r="AD2075" s="8"/>
    </row>
    <row r="2076" spans="1:30">
      <c r="A2076" s="7"/>
      <c r="D2076" s="7"/>
      <c r="I2076" s="7"/>
      <c r="J2076" s="7"/>
      <c r="K2076" s="7"/>
      <c r="N2076" s="7"/>
      <c r="V2076" s="8"/>
      <c r="W2076" s="7"/>
      <c r="Y2076" s="8"/>
      <c r="Z2076" s="8"/>
      <c r="AA2076" s="8"/>
      <c r="AB2076" s="7"/>
      <c r="AD2076" s="8"/>
    </row>
    <row r="2077" spans="1:30">
      <c r="A2077" s="7"/>
      <c r="D2077" s="7"/>
      <c r="I2077" s="7"/>
      <c r="J2077" s="7"/>
      <c r="K2077" s="7"/>
      <c r="N2077" s="7"/>
      <c r="V2077" s="8"/>
      <c r="W2077" s="7"/>
      <c r="Y2077" s="8"/>
      <c r="Z2077" s="8"/>
      <c r="AA2077" s="8"/>
      <c r="AB2077" s="7"/>
      <c r="AD2077" s="8"/>
    </row>
    <row r="2078" spans="1:30">
      <c r="A2078" s="7"/>
      <c r="D2078" s="7"/>
      <c r="I2078" s="7"/>
      <c r="J2078" s="7"/>
      <c r="K2078" s="7"/>
      <c r="N2078" s="7"/>
      <c r="V2078" s="8"/>
      <c r="W2078" s="7"/>
      <c r="Y2078" s="8"/>
      <c r="Z2078" s="8"/>
      <c r="AA2078" s="8"/>
      <c r="AB2078" s="7"/>
      <c r="AD2078" s="8"/>
    </row>
    <row r="2079" spans="1:30">
      <c r="A2079" s="7"/>
      <c r="D2079" s="7"/>
      <c r="I2079" s="7"/>
      <c r="J2079" s="7"/>
      <c r="K2079" s="7"/>
      <c r="N2079" s="7"/>
      <c r="V2079" s="8"/>
      <c r="W2079" s="7"/>
      <c r="Y2079" s="8"/>
      <c r="Z2079" s="8"/>
      <c r="AA2079" s="8"/>
      <c r="AB2079" s="7"/>
      <c r="AD2079" s="8"/>
    </row>
    <row r="2080" spans="1:30">
      <c r="A2080" s="7"/>
      <c r="D2080" s="7"/>
      <c r="I2080" s="7"/>
      <c r="J2080" s="7"/>
      <c r="K2080" s="7"/>
      <c r="N2080" s="7"/>
      <c r="V2080" s="8"/>
      <c r="W2080" s="7"/>
      <c r="Y2080" s="8"/>
      <c r="Z2080" s="8"/>
      <c r="AA2080" s="8"/>
      <c r="AB2080" s="7"/>
      <c r="AD2080" s="8"/>
    </row>
    <row r="2081" spans="1:30">
      <c r="A2081" s="7"/>
      <c r="D2081" s="7"/>
      <c r="I2081" s="7"/>
      <c r="J2081" s="7"/>
      <c r="K2081" s="7"/>
      <c r="N2081" s="7"/>
      <c r="V2081" s="8"/>
      <c r="W2081" s="7"/>
      <c r="Y2081" s="8"/>
      <c r="Z2081" s="8"/>
      <c r="AA2081" s="8"/>
      <c r="AB2081" s="7"/>
      <c r="AD2081" s="8"/>
    </row>
    <row r="2082" spans="1:30">
      <c r="A2082" s="7"/>
      <c r="D2082" s="7"/>
      <c r="I2082" s="7"/>
      <c r="J2082" s="7"/>
      <c r="K2082" s="7"/>
      <c r="N2082" s="7"/>
      <c r="V2082" s="8"/>
      <c r="W2082" s="7"/>
      <c r="Y2082" s="8"/>
      <c r="Z2082" s="8"/>
      <c r="AA2082" s="8"/>
      <c r="AB2082" s="7"/>
      <c r="AD2082" s="8"/>
    </row>
    <row r="2083" spans="1:30">
      <c r="A2083" s="7"/>
      <c r="D2083" s="7"/>
      <c r="I2083" s="7"/>
      <c r="J2083" s="7"/>
      <c r="K2083" s="7"/>
      <c r="N2083" s="7"/>
      <c r="V2083" s="8"/>
      <c r="W2083" s="7"/>
      <c r="Y2083" s="8"/>
      <c r="Z2083" s="8"/>
      <c r="AA2083" s="8"/>
      <c r="AB2083" s="7"/>
      <c r="AD2083" s="8"/>
    </row>
    <row r="2084" spans="1:30">
      <c r="A2084" s="7"/>
      <c r="D2084" s="7"/>
      <c r="I2084" s="7"/>
      <c r="J2084" s="7"/>
      <c r="K2084" s="7"/>
      <c r="N2084" s="7"/>
      <c r="V2084" s="8"/>
      <c r="W2084" s="7"/>
      <c r="Y2084" s="8"/>
      <c r="Z2084" s="8"/>
      <c r="AA2084" s="8"/>
      <c r="AB2084" s="7"/>
      <c r="AD2084" s="8"/>
    </row>
    <row r="2085" spans="1:30">
      <c r="A2085" s="7"/>
      <c r="D2085" s="7"/>
      <c r="I2085" s="7"/>
      <c r="J2085" s="7"/>
      <c r="K2085" s="7"/>
      <c r="N2085" s="7"/>
      <c r="V2085" s="8"/>
      <c r="W2085" s="7"/>
      <c r="Y2085" s="8"/>
      <c r="Z2085" s="8"/>
      <c r="AA2085" s="8"/>
      <c r="AB2085" s="7"/>
      <c r="AD2085" s="8"/>
    </row>
    <row r="2086" spans="1:30">
      <c r="A2086" s="7"/>
      <c r="D2086" s="7"/>
      <c r="I2086" s="7"/>
      <c r="J2086" s="7"/>
      <c r="K2086" s="7"/>
      <c r="N2086" s="7"/>
      <c r="V2086" s="8"/>
      <c r="W2086" s="7"/>
      <c r="Y2086" s="8"/>
      <c r="Z2086" s="8"/>
      <c r="AA2086" s="8"/>
      <c r="AB2086" s="7"/>
      <c r="AD2086" s="8"/>
    </row>
    <row r="2087" spans="1:30">
      <c r="A2087" s="7"/>
      <c r="D2087" s="7"/>
      <c r="I2087" s="7"/>
      <c r="J2087" s="7"/>
      <c r="K2087" s="7"/>
      <c r="N2087" s="7"/>
      <c r="V2087" s="8"/>
      <c r="W2087" s="7"/>
      <c r="Y2087" s="8"/>
      <c r="Z2087" s="8"/>
      <c r="AA2087" s="8"/>
      <c r="AB2087" s="7"/>
      <c r="AD2087" s="8"/>
    </row>
    <row r="2088" spans="1:30">
      <c r="A2088" s="7"/>
      <c r="D2088" s="7"/>
      <c r="I2088" s="7"/>
      <c r="J2088" s="7"/>
      <c r="K2088" s="7"/>
      <c r="N2088" s="7"/>
      <c r="V2088" s="8"/>
      <c r="W2088" s="7"/>
      <c r="Y2088" s="8"/>
      <c r="Z2088" s="8"/>
      <c r="AA2088" s="8"/>
      <c r="AB2088" s="7"/>
      <c r="AD2088" s="8"/>
    </row>
    <row r="2089" spans="1:30">
      <c r="A2089" s="7"/>
      <c r="D2089" s="7"/>
      <c r="I2089" s="7"/>
      <c r="J2089" s="7"/>
      <c r="K2089" s="7"/>
      <c r="N2089" s="7"/>
      <c r="V2089" s="8"/>
      <c r="W2089" s="7"/>
      <c r="Y2089" s="8"/>
      <c r="Z2089" s="8"/>
      <c r="AA2089" s="8"/>
      <c r="AB2089" s="7"/>
      <c r="AD2089" s="8"/>
    </row>
    <row r="2090" spans="1:30">
      <c r="A2090" s="7"/>
      <c r="D2090" s="7"/>
      <c r="I2090" s="7"/>
      <c r="J2090" s="7"/>
      <c r="K2090" s="7"/>
      <c r="N2090" s="7"/>
      <c r="V2090" s="8"/>
      <c r="W2090" s="7"/>
      <c r="Y2090" s="8"/>
      <c r="Z2090" s="8"/>
      <c r="AA2090" s="8"/>
      <c r="AB2090" s="7"/>
      <c r="AD2090" s="8"/>
    </row>
    <row r="2091" spans="1:30">
      <c r="A2091" s="7"/>
      <c r="D2091" s="7"/>
      <c r="I2091" s="7"/>
      <c r="J2091" s="7"/>
      <c r="K2091" s="7"/>
      <c r="N2091" s="7"/>
      <c r="V2091" s="8"/>
      <c r="W2091" s="7"/>
      <c r="Y2091" s="8"/>
      <c r="Z2091" s="8"/>
      <c r="AA2091" s="8"/>
      <c r="AB2091" s="7"/>
      <c r="AD2091" s="8"/>
    </row>
    <row r="2092" spans="1:30">
      <c r="A2092" s="7"/>
      <c r="D2092" s="7"/>
      <c r="I2092" s="7"/>
      <c r="J2092" s="7"/>
      <c r="K2092" s="7"/>
      <c r="N2092" s="7"/>
      <c r="V2092" s="8"/>
      <c r="W2092" s="7"/>
      <c r="Y2092" s="8"/>
      <c r="Z2092" s="8"/>
      <c r="AA2092" s="8"/>
      <c r="AB2092" s="7"/>
      <c r="AD2092" s="8"/>
    </row>
    <row r="2093" spans="1:30">
      <c r="A2093" s="7"/>
      <c r="D2093" s="7"/>
      <c r="I2093" s="7"/>
      <c r="J2093" s="7"/>
      <c r="K2093" s="7"/>
      <c r="N2093" s="7"/>
      <c r="V2093" s="8"/>
      <c r="W2093" s="7"/>
      <c r="Y2093" s="8"/>
      <c r="Z2093" s="8"/>
      <c r="AA2093" s="8"/>
      <c r="AB2093" s="7"/>
      <c r="AD2093" s="8"/>
    </row>
    <row r="2094" spans="1:30">
      <c r="A2094" s="7"/>
      <c r="D2094" s="7"/>
      <c r="I2094" s="7"/>
      <c r="J2094" s="7"/>
      <c r="K2094" s="7"/>
      <c r="N2094" s="7"/>
      <c r="V2094" s="8"/>
      <c r="W2094" s="7"/>
      <c r="Y2094" s="8"/>
      <c r="Z2094" s="8"/>
      <c r="AA2094" s="8"/>
      <c r="AB2094" s="7"/>
      <c r="AD2094" s="8"/>
    </row>
    <row r="2095" spans="1:30">
      <c r="A2095" s="7"/>
      <c r="D2095" s="7"/>
      <c r="I2095" s="7"/>
      <c r="J2095" s="7"/>
      <c r="K2095" s="7"/>
      <c r="N2095" s="7"/>
      <c r="V2095" s="8"/>
      <c r="W2095" s="7"/>
      <c r="Y2095" s="8"/>
      <c r="Z2095" s="8"/>
      <c r="AA2095" s="8"/>
      <c r="AB2095" s="7"/>
      <c r="AD2095" s="8"/>
    </row>
    <row r="2096" spans="1:30">
      <c r="A2096" s="7"/>
      <c r="D2096" s="7"/>
      <c r="I2096" s="7"/>
      <c r="J2096" s="7"/>
      <c r="K2096" s="7"/>
      <c r="N2096" s="7"/>
      <c r="V2096" s="8"/>
      <c r="W2096" s="7"/>
      <c r="Y2096" s="8"/>
      <c r="Z2096" s="8"/>
      <c r="AA2096" s="8"/>
      <c r="AB2096" s="7"/>
      <c r="AD2096" s="8"/>
    </row>
    <row r="2097" spans="1:30">
      <c r="A2097" s="7"/>
      <c r="D2097" s="7"/>
      <c r="I2097" s="7"/>
      <c r="J2097" s="7"/>
      <c r="K2097" s="7"/>
      <c r="N2097" s="7"/>
      <c r="V2097" s="8"/>
      <c r="W2097" s="7"/>
      <c r="Y2097" s="8"/>
      <c r="Z2097" s="8"/>
      <c r="AA2097" s="8"/>
      <c r="AB2097" s="7"/>
      <c r="AD2097" s="8"/>
    </row>
    <row r="2098" spans="1:30">
      <c r="A2098" s="7"/>
      <c r="D2098" s="7"/>
      <c r="I2098" s="7"/>
      <c r="J2098" s="7"/>
      <c r="K2098" s="7"/>
      <c r="N2098" s="7"/>
      <c r="V2098" s="8"/>
      <c r="W2098" s="7"/>
      <c r="Y2098" s="8"/>
      <c r="Z2098" s="8"/>
      <c r="AA2098" s="8"/>
      <c r="AB2098" s="7"/>
      <c r="AD2098" s="8"/>
    </row>
    <row r="2099" spans="1:30">
      <c r="A2099" s="7"/>
      <c r="D2099" s="7"/>
      <c r="I2099" s="7"/>
      <c r="J2099" s="7"/>
      <c r="K2099" s="7"/>
      <c r="N2099" s="7"/>
      <c r="V2099" s="8"/>
      <c r="W2099" s="7"/>
      <c r="Y2099" s="8"/>
      <c r="Z2099" s="8"/>
      <c r="AA2099" s="8"/>
      <c r="AB2099" s="7"/>
      <c r="AD2099" s="8"/>
    </row>
    <row r="2100" spans="1:30">
      <c r="A2100" s="7"/>
      <c r="D2100" s="7"/>
      <c r="I2100" s="7"/>
      <c r="J2100" s="7"/>
      <c r="K2100" s="7"/>
      <c r="N2100" s="7"/>
      <c r="V2100" s="8"/>
      <c r="W2100" s="7"/>
      <c r="Y2100" s="8"/>
      <c r="Z2100" s="8"/>
      <c r="AA2100" s="8"/>
      <c r="AB2100" s="7"/>
      <c r="AD2100" s="8"/>
    </row>
    <row r="2101" spans="1:30">
      <c r="A2101" s="7"/>
      <c r="D2101" s="7"/>
      <c r="I2101" s="7"/>
      <c r="J2101" s="7"/>
      <c r="K2101" s="7"/>
      <c r="N2101" s="7"/>
      <c r="V2101" s="8"/>
      <c r="W2101" s="7"/>
      <c r="Y2101" s="8"/>
      <c r="Z2101" s="8"/>
      <c r="AA2101" s="8"/>
      <c r="AB2101" s="7"/>
      <c r="AD2101" s="8"/>
    </row>
    <row r="2102" spans="1:30">
      <c r="A2102" s="7"/>
      <c r="D2102" s="7"/>
      <c r="I2102" s="7"/>
      <c r="J2102" s="7"/>
      <c r="K2102" s="7"/>
      <c r="N2102" s="7"/>
      <c r="V2102" s="8"/>
      <c r="W2102" s="7"/>
      <c r="Y2102" s="8"/>
      <c r="Z2102" s="8"/>
      <c r="AA2102" s="8"/>
      <c r="AB2102" s="7"/>
      <c r="AD2102" s="8"/>
    </row>
    <row r="2103" spans="1:30">
      <c r="A2103" s="7"/>
      <c r="D2103" s="7"/>
      <c r="I2103" s="7"/>
      <c r="J2103" s="7"/>
      <c r="K2103" s="7"/>
      <c r="N2103" s="7"/>
      <c r="V2103" s="8"/>
      <c r="W2103" s="7"/>
      <c r="Y2103" s="8"/>
      <c r="Z2103" s="8"/>
      <c r="AA2103" s="8"/>
      <c r="AB2103" s="7"/>
      <c r="AD2103" s="8"/>
    </row>
    <row r="2104" spans="1:30">
      <c r="A2104" s="7"/>
      <c r="D2104" s="7"/>
      <c r="I2104" s="7"/>
      <c r="J2104" s="7"/>
      <c r="K2104" s="7"/>
      <c r="N2104" s="7"/>
      <c r="V2104" s="8"/>
      <c r="W2104" s="7"/>
      <c r="Y2104" s="8"/>
      <c r="Z2104" s="8"/>
      <c r="AA2104" s="8"/>
      <c r="AB2104" s="7"/>
      <c r="AD2104" s="8"/>
    </row>
    <row r="2105" spans="1:30">
      <c r="A2105" s="7"/>
      <c r="D2105" s="7"/>
      <c r="I2105" s="7"/>
      <c r="J2105" s="7"/>
      <c r="K2105" s="7"/>
      <c r="N2105" s="7"/>
      <c r="V2105" s="8"/>
      <c r="W2105" s="7"/>
      <c r="Y2105" s="8"/>
      <c r="Z2105" s="8"/>
      <c r="AA2105" s="8"/>
      <c r="AB2105" s="7"/>
      <c r="AD2105" s="8"/>
    </row>
    <row r="2106" spans="1:30">
      <c r="A2106" s="7"/>
      <c r="D2106" s="7"/>
      <c r="I2106" s="7"/>
      <c r="J2106" s="7"/>
      <c r="K2106" s="7"/>
      <c r="N2106" s="7"/>
      <c r="V2106" s="8"/>
      <c r="W2106" s="7"/>
      <c r="Y2106" s="8"/>
      <c r="Z2106" s="8"/>
      <c r="AA2106" s="8"/>
      <c r="AB2106" s="7"/>
      <c r="AD2106" s="8"/>
    </row>
    <row r="2107" spans="1:30">
      <c r="A2107" s="7"/>
      <c r="D2107" s="7"/>
      <c r="I2107" s="7"/>
      <c r="J2107" s="7"/>
      <c r="K2107" s="7"/>
      <c r="N2107" s="7"/>
      <c r="V2107" s="8"/>
      <c r="W2107" s="7"/>
      <c r="Y2107" s="8"/>
      <c r="Z2107" s="8"/>
      <c r="AA2107" s="8"/>
      <c r="AB2107" s="7"/>
      <c r="AD2107" s="8"/>
    </row>
    <row r="2108" spans="1:30">
      <c r="A2108" s="7"/>
      <c r="D2108" s="7"/>
      <c r="I2108" s="7"/>
      <c r="J2108" s="7"/>
      <c r="K2108" s="7"/>
      <c r="N2108" s="7"/>
      <c r="V2108" s="8"/>
      <c r="W2108" s="7"/>
      <c r="Y2108" s="8"/>
      <c r="Z2108" s="8"/>
      <c r="AA2108" s="8"/>
      <c r="AB2108" s="7"/>
      <c r="AD2108" s="8"/>
    </row>
    <row r="2109" spans="1:30">
      <c r="A2109" s="7"/>
      <c r="D2109" s="7"/>
      <c r="I2109" s="7"/>
      <c r="J2109" s="7"/>
      <c r="K2109" s="7"/>
      <c r="N2109" s="7"/>
      <c r="V2109" s="8"/>
      <c r="W2109" s="7"/>
      <c r="Y2109" s="8"/>
      <c r="Z2109" s="8"/>
      <c r="AA2109" s="8"/>
      <c r="AB2109" s="7"/>
      <c r="AD2109" s="8"/>
    </row>
    <row r="2110" spans="1:30">
      <c r="A2110" s="7"/>
      <c r="D2110" s="7"/>
      <c r="I2110" s="7"/>
      <c r="J2110" s="7"/>
      <c r="K2110" s="7"/>
      <c r="N2110" s="7"/>
      <c r="V2110" s="8"/>
      <c r="W2110" s="7"/>
      <c r="Y2110" s="8"/>
      <c r="Z2110" s="8"/>
      <c r="AA2110" s="8"/>
      <c r="AB2110" s="7"/>
      <c r="AD2110" s="8"/>
    </row>
    <row r="2111" spans="1:30">
      <c r="A2111" s="7"/>
      <c r="D2111" s="7"/>
      <c r="I2111" s="7"/>
      <c r="J2111" s="7"/>
      <c r="K2111" s="7"/>
      <c r="N2111" s="7"/>
      <c r="V2111" s="8"/>
      <c r="W2111" s="7"/>
      <c r="Y2111" s="8"/>
      <c r="Z2111" s="8"/>
      <c r="AA2111" s="8"/>
      <c r="AB2111" s="7"/>
      <c r="AD2111" s="8"/>
    </row>
    <row r="2112" spans="1:30">
      <c r="A2112" s="7"/>
      <c r="D2112" s="7"/>
      <c r="I2112" s="7"/>
      <c r="J2112" s="7"/>
      <c r="K2112" s="7"/>
      <c r="N2112" s="7"/>
      <c r="V2112" s="8"/>
      <c r="W2112" s="7"/>
      <c r="Y2112" s="8"/>
      <c r="Z2112" s="8"/>
      <c r="AA2112" s="8"/>
      <c r="AB2112" s="7"/>
      <c r="AD2112" s="8"/>
    </row>
    <row r="2113" spans="1:30">
      <c r="A2113" s="7"/>
      <c r="D2113" s="7"/>
      <c r="I2113" s="7"/>
      <c r="J2113" s="7"/>
      <c r="K2113" s="7"/>
      <c r="N2113" s="7"/>
      <c r="V2113" s="8"/>
      <c r="W2113" s="7"/>
      <c r="Y2113" s="8"/>
      <c r="Z2113" s="8"/>
      <c r="AA2113" s="8"/>
      <c r="AB2113" s="7"/>
      <c r="AD2113" s="8"/>
    </row>
    <row r="2114" spans="1:30">
      <c r="A2114" s="7"/>
      <c r="D2114" s="7"/>
      <c r="I2114" s="7"/>
      <c r="J2114" s="7"/>
      <c r="K2114" s="7"/>
      <c r="N2114" s="7"/>
      <c r="V2114" s="8"/>
      <c r="W2114" s="7"/>
      <c r="Y2114" s="8"/>
      <c r="Z2114" s="8"/>
      <c r="AA2114" s="8"/>
      <c r="AB2114" s="7"/>
      <c r="AD2114" s="8"/>
    </row>
    <row r="2115" spans="1:30">
      <c r="A2115" s="7"/>
      <c r="D2115" s="7"/>
      <c r="I2115" s="7"/>
      <c r="J2115" s="7"/>
      <c r="K2115" s="7"/>
      <c r="N2115" s="7"/>
      <c r="V2115" s="8"/>
      <c r="W2115" s="7"/>
      <c r="Y2115" s="8"/>
      <c r="Z2115" s="8"/>
      <c r="AA2115" s="8"/>
      <c r="AB2115" s="7"/>
      <c r="AD2115" s="8"/>
    </row>
    <row r="2116" spans="1:30">
      <c r="A2116" s="7"/>
      <c r="D2116" s="7"/>
      <c r="I2116" s="7"/>
      <c r="J2116" s="7"/>
      <c r="K2116" s="7"/>
      <c r="N2116" s="7"/>
      <c r="V2116" s="8"/>
      <c r="W2116" s="7"/>
      <c r="Y2116" s="8"/>
      <c r="Z2116" s="8"/>
      <c r="AA2116" s="8"/>
      <c r="AB2116" s="7"/>
      <c r="AD2116" s="8"/>
    </row>
    <row r="2117" spans="1:30">
      <c r="A2117" s="7"/>
      <c r="D2117" s="7"/>
      <c r="I2117" s="7"/>
      <c r="J2117" s="7"/>
      <c r="K2117" s="7"/>
      <c r="N2117" s="7"/>
      <c r="V2117" s="8"/>
      <c r="W2117" s="7"/>
      <c r="Y2117" s="8"/>
      <c r="Z2117" s="8"/>
      <c r="AA2117" s="8"/>
      <c r="AB2117" s="7"/>
      <c r="AD2117" s="8"/>
    </row>
    <row r="2118" spans="1:30">
      <c r="A2118" s="7"/>
      <c r="D2118" s="7"/>
      <c r="I2118" s="7"/>
      <c r="J2118" s="7"/>
      <c r="K2118" s="7"/>
      <c r="N2118" s="7"/>
      <c r="V2118" s="8"/>
      <c r="W2118" s="7"/>
      <c r="Y2118" s="8"/>
      <c r="Z2118" s="8"/>
      <c r="AA2118" s="8"/>
      <c r="AB2118" s="7"/>
      <c r="AD2118" s="8"/>
    </row>
    <row r="2119" spans="1:30">
      <c r="A2119" s="7"/>
      <c r="D2119" s="7"/>
      <c r="I2119" s="7"/>
      <c r="J2119" s="7"/>
      <c r="K2119" s="7"/>
      <c r="N2119" s="7"/>
      <c r="V2119" s="8"/>
      <c r="W2119" s="7"/>
      <c r="Y2119" s="8"/>
      <c r="Z2119" s="8"/>
      <c r="AA2119" s="8"/>
      <c r="AB2119" s="7"/>
      <c r="AD2119" s="8"/>
    </row>
    <row r="2120" spans="1:30">
      <c r="A2120" s="7"/>
      <c r="D2120" s="7"/>
      <c r="I2120" s="7"/>
      <c r="J2120" s="7"/>
      <c r="K2120" s="7"/>
      <c r="N2120" s="7"/>
      <c r="V2120" s="8"/>
      <c r="W2120" s="7"/>
      <c r="Y2120" s="8"/>
      <c r="Z2120" s="8"/>
      <c r="AA2120" s="8"/>
      <c r="AB2120" s="7"/>
      <c r="AD2120" s="8"/>
    </row>
    <row r="2121" spans="1:30">
      <c r="A2121" s="7"/>
      <c r="D2121" s="7"/>
      <c r="I2121" s="7"/>
      <c r="J2121" s="7"/>
      <c r="K2121" s="7"/>
      <c r="N2121" s="7"/>
      <c r="V2121" s="8"/>
      <c r="W2121" s="7"/>
      <c r="Y2121" s="8"/>
      <c r="Z2121" s="8"/>
      <c r="AA2121" s="8"/>
      <c r="AB2121" s="7"/>
      <c r="AD2121" s="8"/>
    </row>
    <row r="2122" spans="1:30">
      <c r="A2122" s="7"/>
      <c r="D2122" s="7"/>
      <c r="I2122" s="7"/>
      <c r="J2122" s="7"/>
      <c r="K2122" s="7"/>
      <c r="N2122" s="7"/>
      <c r="V2122" s="8"/>
      <c r="W2122" s="7"/>
      <c r="Y2122" s="8"/>
      <c r="Z2122" s="8"/>
      <c r="AA2122" s="8"/>
      <c r="AB2122" s="7"/>
      <c r="AD2122" s="8"/>
    </row>
    <row r="2123" spans="1:30">
      <c r="A2123" s="7"/>
      <c r="D2123" s="7"/>
      <c r="I2123" s="7"/>
      <c r="J2123" s="7"/>
      <c r="K2123" s="7"/>
      <c r="N2123" s="7"/>
      <c r="V2123" s="8"/>
      <c r="W2123" s="7"/>
      <c r="Y2123" s="8"/>
      <c r="Z2123" s="8"/>
      <c r="AA2123" s="8"/>
      <c r="AB2123" s="7"/>
      <c r="AD2123" s="8"/>
    </row>
    <row r="2124" spans="1:30">
      <c r="A2124" s="7"/>
      <c r="D2124" s="7"/>
      <c r="I2124" s="7"/>
      <c r="J2124" s="7"/>
      <c r="K2124" s="7"/>
      <c r="N2124" s="7"/>
      <c r="V2124" s="8"/>
      <c r="W2124" s="7"/>
      <c r="Y2124" s="8"/>
      <c r="Z2124" s="8"/>
      <c r="AA2124" s="8"/>
      <c r="AB2124" s="7"/>
      <c r="AD2124" s="8"/>
    </row>
    <row r="2125" spans="1:30">
      <c r="A2125" s="7"/>
      <c r="D2125" s="7"/>
      <c r="I2125" s="7"/>
      <c r="J2125" s="7"/>
      <c r="K2125" s="7"/>
      <c r="N2125" s="7"/>
      <c r="V2125" s="8"/>
      <c r="W2125" s="7"/>
      <c r="Y2125" s="8"/>
      <c r="Z2125" s="8"/>
      <c r="AA2125" s="8"/>
      <c r="AB2125" s="7"/>
      <c r="AD2125" s="8"/>
    </row>
    <row r="2126" spans="1:30">
      <c r="A2126" s="7"/>
      <c r="D2126" s="7"/>
      <c r="I2126" s="7"/>
      <c r="J2126" s="7"/>
      <c r="K2126" s="7"/>
      <c r="N2126" s="7"/>
      <c r="V2126" s="8"/>
      <c r="W2126" s="7"/>
      <c r="Y2126" s="8"/>
      <c r="Z2126" s="8"/>
      <c r="AA2126" s="8"/>
      <c r="AB2126" s="7"/>
      <c r="AD2126" s="8"/>
    </row>
    <row r="2127" spans="1:30">
      <c r="A2127" s="7"/>
      <c r="D2127" s="7"/>
      <c r="I2127" s="7"/>
      <c r="J2127" s="7"/>
      <c r="K2127" s="7"/>
      <c r="N2127" s="7"/>
      <c r="V2127" s="8"/>
      <c r="W2127" s="7"/>
      <c r="Y2127" s="8"/>
      <c r="Z2127" s="8"/>
      <c r="AA2127" s="8"/>
      <c r="AB2127" s="7"/>
      <c r="AD2127" s="8"/>
    </row>
    <row r="2128" spans="1:30">
      <c r="A2128" s="7"/>
      <c r="D2128" s="7"/>
      <c r="I2128" s="7"/>
      <c r="J2128" s="7"/>
      <c r="K2128" s="7"/>
      <c r="N2128" s="7"/>
      <c r="V2128" s="8"/>
      <c r="W2128" s="7"/>
      <c r="Y2128" s="8"/>
      <c r="Z2128" s="8"/>
      <c r="AA2128" s="8"/>
      <c r="AB2128" s="7"/>
      <c r="AD2128" s="8"/>
    </row>
    <row r="2129" spans="1:30">
      <c r="A2129" s="7"/>
      <c r="D2129" s="7"/>
      <c r="I2129" s="7"/>
      <c r="J2129" s="7"/>
      <c r="K2129" s="7"/>
      <c r="N2129" s="7"/>
      <c r="V2129" s="8"/>
      <c r="W2129" s="7"/>
      <c r="Y2129" s="8"/>
      <c r="Z2129" s="8"/>
      <c r="AA2129" s="8"/>
      <c r="AB2129" s="7"/>
      <c r="AD2129" s="8"/>
    </row>
    <row r="2130" spans="1:30">
      <c r="A2130" s="7"/>
      <c r="D2130" s="7"/>
      <c r="I2130" s="7"/>
      <c r="J2130" s="7"/>
      <c r="K2130" s="7"/>
      <c r="N2130" s="7"/>
      <c r="V2130" s="8"/>
      <c r="W2130" s="7"/>
      <c r="Y2130" s="8"/>
      <c r="Z2130" s="8"/>
      <c r="AA2130" s="8"/>
      <c r="AB2130" s="7"/>
      <c r="AD2130" s="8"/>
    </row>
    <row r="2131" spans="1:30">
      <c r="A2131" s="7"/>
      <c r="D2131" s="7"/>
      <c r="I2131" s="7"/>
      <c r="J2131" s="7"/>
      <c r="K2131" s="7"/>
      <c r="N2131" s="7"/>
      <c r="V2131" s="8"/>
      <c r="W2131" s="7"/>
      <c r="Y2131" s="8"/>
      <c r="Z2131" s="8"/>
      <c r="AA2131" s="8"/>
      <c r="AB2131" s="7"/>
      <c r="AD2131" s="8"/>
    </row>
    <row r="2132" spans="1:30">
      <c r="A2132" s="7"/>
      <c r="D2132" s="7"/>
      <c r="I2132" s="7"/>
      <c r="J2132" s="7"/>
      <c r="K2132" s="7"/>
      <c r="N2132" s="7"/>
      <c r="V2132" s="8"/>
      <c r="W2132" s="7"/>
      <c r="Y2132" s="8"/>
      <c r="Z2132" s="8"/>
      <c r="AA2132" s="8"/>
      <c r="AB2132" s="7"/>
      <c r="AD2132" s="8"/>
    </row>
    <row r="2133" spans="1:30">
      <c r="A2133" s="7"/>
      <c r="D2133" s="7"/>
      <c r="I2133" s="7"/>
      <c r="J2133" s="7"/>
      <c r="K2133" s="7"/>
      <c r="N2133" s="7"/>
      <c r="V2133" s="8"/>
      <c r="W2133" s="7"/>
      <c r="Y2133" s="8"/>
      <c r="Z2133" s="8"/>
      <c r="AA2133" s="8"/>
      <c r="AB2133" s="7"/>
      <c r="AD2133" s="8"/>
    </row>
    <row r="2134" spans="1:30">
      <c r="A2134" s="7"/>
      <c r="D2134" s="7"/>
      <c r="I2134" s="7"/>
      <c r="J2134" s="7"/>
      <c r="K2134" s="7"/>
      <c r="N2134" s="7"/>
      <c r="V2134" s="8"/>
      <c r="W2134" s="7"/>
      <c r="Y2134" s="8"/>
      <c r="Z2134" s="8"/>
      <c r="AA2134" s="8"/>
      <c r="AB2134" s="7"/>
      <c r="AD2134" s="8"/>
    </row>
    <row r="2135" spans="1:30">
      <c r="A2135" s="7"/>
      <c r="D2135" s="7"/>
      <c r="I2135" s="7"/>
      <c r="J2135" s="7"/>
      <c r="K2135" s="7"/>
      <c r="N2135" s="7"/>
      <c r="V2135" s="8"/>
      <c r="W2135" s="7"/>
      <c r="Y2135" s="8"/>
      <c r="Z2135" s="8"/>
      <c r="AA2135" s="8"/>
      <c r="AB2135" s="7"/>
      <c r="AD2135" s="8"/>
    </row>
    <row r="2136" spans="1:30">
      <c r="A2136" s="7"/>
      <c r="D2136" s="7"/>
      <c r="I2136" s="7"/>
      <c r="J2136" s="7"/>
      <c r="K2136" s="7"/>
      <c r="N2136" s="7"/>
      <c r="V2136" s="8"/>
      <c r="W2136" s="7"/>
      <c r="Y2136" s="8"/>
      <c r="Z2136" s="8"/>
      <c r="AA2136" s="8"/>
      <c r="AB2136" s="7"/>
      <c r="AD2136" s="8"/>
    </row>
    <row r="2137" spans="1:30">
      <c r="A2137" s="7"/>
      <c r="D2137" s="7"/>
      <c r="I2137" s="7"/>
      <c r="J2137" s="7"/>
      <c r="K2137" s="7"/>
      <c r="N2137" s="7"/>
      <c r="V2137" s="8"/>
      <c r="W2137" s="7"/>
      <c r="Y2137" s="8"/>
      <c r="Z2137" s="8"/>
      <c r="AA2137" s="8"/>
      <c r="AB2137" s="7"/>
      <c r="AD2137" s="8"/>
    </row>
    <row r="2138" spans="1:30">
      <c r="A2138" s="7"/>
      <c r="D2138" s="7"/>
      <c r="I2138" s="7"/>
      <c r="J2138" s="7"/>
      <c r="K2138" s="7"/>
      <c r="N2138" s="7"/>
      <c r="V2138" s="8"/>
      <c r="W2138" s="7"/>
      <c r="Y2138" s="8"/>
      <c r="Z2138" s="8"/>
      <c r="AA2138" s="8"/>
      <c r="AB2138" s="7"/>
      <c r="AD2138" s="8"/>
    </row>
    <row r="2139" spans="1:30">
      <c r="A2139" s="7"/>
      <c r="D2139" s="7"/>
      <c r="I2139" s="7"/>
      <c r="J2139" s="7"/>
      <c r="K2139" s="7"/>
      <c r="N2139" s="7"/>
      <c r="V2139" s="8"/>
      <c r="W2139" s="7"/>
      <c r="Y2139" s="8"/>
      <c r="Z2139" s="8"/>
      <c r="AA2139" s="8"/>
      <c r="AB2139" s="7"/>
      <c r="AD2139" s="8"/>
    </row>
    <row r="2140" spans="1:30">
      <c r="A2140" s="7"/>
      <c r="D2140" s="7"/>
      <c r="I2140" s="7"/>
      <c r="J2140" s="7"/>
      <c r="K2140" s="7"/>
      <c r="N2140" s="7"/>
      <c r="V2140" s="8"/>
      <c r="W2140" s="7"/>
      <c r="Y2140" s="8"/>
      <c r="Z2140" s="8"/>
      <c r="AA2140" s="8"/>
      <c r="AB2140" s="7"/>
      <c r="AD2140" s="8"/>
    </row>
    <row r="2141" spans="1:30">
      <c r="A2141" s="7"/>
      <c r="D2141" s="7"/>
      <c r="I2141" s="7"/>
      <c r="J2141" s="7"/>
      <c r="K2141" s="7"/>
      <c r="N2141" s="7"/>
      <c r="V2141" s="8"/>
      <c r="W2141" s="7"/>
      <c r="Y2141" s="8"/>
      <c r="Z2141" s="8"/>
      <c r="AA2141" s="8"/>
      <c r="AB2141" s="7"/>
      <c r="AD2141" s="8"/>
    </row>
    <row r="2142" spans="1:30">
      <c r="A2142" s="7"/>
      <c r="D2142" s="7"/>
      <c r="I2142" s="7"/>
      <c r="J2142" s="7"/>
      <c r="K2142" s="7"/>
      <c r="N2142" s="7"/>
      <c r="V2142" s="8"/>
      <c r="W2142" s="7"/>
      <c r="Y2142" s="8"/>
      <c r="Z2142" s="8"/>
      <c r="AA2142" s="8"/>
      <c r="AB2142" s="7"/>
      <c r="AD2142" s="8"/>
    </row>
    <row r="2143" spans="1:30">
      <c r="A2143" s="7"/>
      <c r="D2143" s="7"/>
      <c r="I2143" s="7"/>
      <c r="J2143" s="7"/>
      <c r="K2143" s="7"/>
      <c r="N2143" s="7"/>
      <c r="V2143" s="8"/>
      <c r="W2143" s="7"/>
      <c r="Y2143" s="8"/>
      <c r="Z2143" s="8"/>
      <c r="AA2143" s="8"/>
      <c r="AB2143" s="7"/>
      <c r="AD2143" s="8"/>
    </row>
    <row r="2144" spans="1:30">
      <c r="A2144" s="7"/>
      <c r="D2144" s="7"/>
      <c r="I2144" s="7"/>
      <c r="J2144" s="7"/>
      <c r="K2144" s="7"/>
      <c r="N2144" s="7"/>
      <c r="V2144" s="8"/>
      <c r="W2144" s="7"/>
      <c r="Y2144" s="8"/>
      <c r="Z2144" s="8"/>
      <c r="AA2144" s="8"/>
      <c r="AB2144" s="7"/>
      <c r="AD2144" s="8"/>
    </row>
    <row r="2145" spans="1:30">
      <c r="A2145" s="7"/>
      <c r="D2145" s="7"/>
      <c r="I2145" s="7"/>
      <c r="J2145" s="7"/>
      <c r="K2145" s="7"/>
      <c r="N2145" s="7"/>
      <c r="V2145" s="8"/>
      <c r="W2145" s="7"/>
      <c r="Y2145" s="8"/>
      <c r="Z2145" s="8"/>
      <c r="AA2145" s="8"/>
      <c r="AB2145" s="7"/>
      <c r="AD2145" s="8"/>
    </row>
    <row r="2146" spans="1:30">
      <c r="A2146" s="7"/>
      <c r="D2146" s="7"/>
      <c r="I2146" s="7"/>
      <c r="J2146" s="7"/>
      <c r="K2146" s="7"/>
      <c r="N2146" s="7"/>
      <c r="V2146" s="8"/>
      <c r="W2146" s="7"/>
      <c r="Y2146" s="8"/>
      <c r="Z2146" s="8"/>
      <c r="AA2146" s="8"/>
      <c r="AB2146" s="7"/>
      <c r="AD2146" s="8"/>
    </row>
    <row r="2147" spans="1:30">
      <c r="A2147" s="7"/>
      <c r="D2147" s="7"/>
      <c r="I2147" s="7"/>
      <c r="J2147" s="7"/>
      <c r="K2147" s="7"/>
      <c r="N2147" s="7"/>
      <c r="V2147" s="8"/>
      <c r="W2147" s="7"/>
      <c r="Y2147" s="8"/>
      <c r="Z2147" s="8"/>
      <c r="AA2147" s="8"/>
      <c r="AB2147" s="7"/>
      <c r="AD2147" s="8"/>
    </row>
    <row r="2148" spans="1:30">
      <c r="A2148" s="7"/>
      <c r="D2148" s="7"/>
      <c r="I2148" s="7"/>
      <c r="J2148" s="7"/>
      <c r="K2148" s="7"/>
      <c r="N2148" s="7"/>
      <c r="V2148" s="8"/>
      <c r="W2148" s="7"/>
      <c r="Y2148" s="8"/>
      <c r="Z2148" s="8"/>
      <c r="AA2148" s="8"/>
      <c r="AB2148" s="7"/>
      <c r="AD2148" s="8"/>
    </row>
    <row r="2149" spans="1:30">
      <c r="A2149" s="7"/>
      <c r="D2149" s="7"/>
      <c r="I2149" s="7"/>
      <c r="J2149" s="7"/>
      <c r="K2149" s="7"/>
      <c r="N2149" s="7"/>
      <c r="V2149" s="8"/>
      <c r="W2149" s="7"/>
      <c r="Y2149" s="8"/>
      <c r="Z2149" s="8"/>
      <c r="AA2149" s="8"/>
      <c r="AB2149" s="7"/>
      <c r="AD2149" s="8"/>
    </row>
    <row r="2150" spans="1:30">
      <c r="A2150" s="7"/>
      <c r="D2150" s="7"/>
      <c r="I2150" s="7"/>
      <c r="J2150" s="7"/>
      <c r="K2150" s="7"/>
      <c r="N2150" s="7"/>
      <c r="V2150" s="8"/>
      <c r="W2150" s="7"/>
      <c r="Y2150" s="8"/>
      <c r="Z2150" s="8"/>
      <c r="AA2150" s="8"/>
      <c r="AB2150" s="7"/>
      <c r="AD2150" s="8"/>
    </row>
    <row r="2151" spans="1:30">
      <c r="A2151" s="7"/>
      <c r="D2151" s="7"/>
      <c r="I2151" s="7"/>
      <c r="J2151" s="7"/>
      <c r="K2151" s="7"/>
      <c r="N2151" s="7"/>
      <c r="V2151" s="8"/>
      <c r="W2151" s="7"/>
      <c r="Y2151" s="8"/>
      <c r="Z2151" s="8"/>
      <c r="AA2151" s="8"/>
      <c r="AB2151" s="7"/>
      <c r="AD2151" s="8"/>
    </row>
    <row r="2152" spans="1:30">
      <c r="A2152" s="7"/>
      <c r="D2152" s="7"/>
      <c r="I2152" s="7"/>
      <c r="J2152" s="7"/>
      <c r="K2152" s="7"/>
      <c r="N2152" s="7"/>
      <c r="V2152" s="8"/>
      <c r="W2152" s="7"/>
      <c r="Y2152" s="8"/>
      <c r="Z2152" s="8"/>
      <c r="AA2152" s="8"/>
      <c r="AB2152" s="7"/>
      <c r="AD2152" s="8"/>
    </row>
    <row r="2153" spans="1:30">
      <c r="A2153" s="7"/>
      <c r="D2153" s="7"/>
      <c r="I2153" s="7"/>
      <c r="J2153" s="7"/>
      <c r="K2153" s="7"/>
      <c r="N2153" s="7"/>
      <c r="V2153" s="8"/>
      <c r="W2153" s="7"/>
      <c r="Y2153" s="8"/>
      <c r="Z2153" s="8"/>
      <c r="AA2153" s="8"/>
      <c r="AB2153" s="7"/>
      <c r="AD2153" s="8"/>
    </row>
    <row r="2154" spans="1:30">
      <c r="A2154" s="7"/>
      <c r="D2154" s="7"/>
      <c r="I2154" s="7"/>
      <c r="J2154" s="7"/>
      <c r="K2154" s="7"/>
      <c r="N2154" s="7"/>
      <c r="V2154" s="8"/>
      <c r="W2154" s="7"/>
      <c r="Y2154" s="8"/>
      <c r="Z2154" s="8"/>
      <c r="AA2154" s="8"/>
      <c r="AB2154" s="7"/>
      <c r="AD2154" s="8"/>
    </row>
    <row r="2155" spans="1:30">
      <c r="A2155" s="7"/>
      <c r="D2155" s="7"/>
      <c r="I2155" s="7"/>
      <c r="J2155" s="7"/>
      <c r="K2155" s="7"/>
      <c r="N2155" s="7"/>
      <c r="V2155" s="8"/>
      <c r="W2155" s="7"/>
      <c r="Y2155" s="8"/>
      <c r="Z2155" s="8"/>
      <c r="AA2155" s="8"/>
      <c r="AB2155" s="7"/>
      <c r="AD2155" s="8"/>
    </row>
    <row r="2156" spans="1:30">
      <c r="A2156" s="7"/>
      <c r="D2156" s="7"/>
      <c r="I2156" s="7"/>
      <c r="J2156" s="7"/>
      <c r="K2156" s="7"/>
      <c r="N2156" s="7"/>
      <c r="V2156" s="8"/>
      <c r="W2156" s="7"/>
      <c r="Y2156" s="8"/>
      <c r="Z2156" s="8"/>
      <c r="AA2156" s="8"/>
      <c r="AB2156" s="7"/>
      <c r="AD2156" s="8"/>
    </row>
    <row r="2157" spans="1:30">
      <c r="A2157" s="7"/>
      <c r="D2157" s="7"/>
      <c r="I2157" s="7"/>
      <c r="J2157" s="7"/>
      <c r="K2157" s="7"/>
      <c r="N2157" s="7"/>
      <c r="V2157" s="8"/>
      <c r="W2157" s="7"/>
      <c r="Y2157" s="8"/>
      <c r="Z2157" s="8"/>
      <c r="AA2157" s="8"/>
      <c r="AB2157" s="7"/>
      <c r="AD2157" s="8"/>
    </row>
    <row r="2158" spans="1:30">
      <c r="A2158" s="7"/>
      <c r="D2158" s="7"/>
      <c r="I2158" s="7"/>
      <c r="J2158" s="7"/>
      <c r="K2158" s="7"/>
      <c r="N2158" s="7"/>
      <c r="V2158" s="8"/>
      <c r="W2158" s="7"/>
      <c r="Y2158" s="8"/>
      <c r="Z2158" s="8"/>
      <c r="AA2158" s="8"/>
      <c r="AB2158" s="7"/>
      <c r="AD2158" s="8"/>
    </row>
    <row r="2159" spans="1:30">
      <c r="A2159" s="7"/>
      <c r="D2159" s="7"/>
      <c r="I2159" s="7"/>
      <c r="J2159" s="7"/>
      <c r="K2159" s="7"/>
      <c r="N2159" s="7"/>
      <c r="V2159" s="8"/>
      <c r="W2159" s="7"/>
      <c r="Y2159" s="8"/>
      <c r="Z2159" s="8"/>
      <c r="AA2159" s="8"/>
      <c r="AB2159" s="7"/>
      <c r="AD2159" s="8"/>
    </row>
    <row r="2160" spans="1:30">
      <c r="A2160" s="7"/>
      <c r="D2160" s="7"/>
      <c r="I2160" s="7"/>
      <c r="J2160" s="7"/>
      <c r="K2160" s="7"/>
      <c r="N2160" s="7"/>
      <c r="V2160" s="8"/>
      <c r="W2160" s="7"/>
      <c r="Y2160" s="8"/>
      <c r="Z2160" s="8"/>
      <c r="AA2160" s="8"/>
      <c r="AB2160" s="7"/>
      <c r="AD2160" s="8"/>
    </row>
    <row r="2161" spans="1:30">
      <c r="A2161" s="7"/>
      <c r="D2161" s="7"/>
      <c r="I2161" s="7"/>
      <c r="J2161" s="7"/>
      <c r="K2161" s="7"/>
      <c r="N2161" s="7"/>
      <c r="V2161" s="8"/>
      <c r="W2161" s="7"/>
      <c r="Y2161" s="8"/>
      <c r="Z2161" s="8"/>
      <c r="AA2161" s="8"/>
      <c r="AB2161" s="7"/>
      <c r="AD2161" s="8"/>
    </row>
    <row r="2162" spans="1:30">
      <c r="A2162" s="7"/>
      <c r="D2162" s="7"/>
      <c r="I2162" s="7"/>
      <c r="J2162" s="7"/>
      <c r="K2162" s="7"/>
      <c r="N2162" s="7"/>
      <c r="V2162" s="8"/>
      <c r="W2162" s="7"/>
      <c r="Y2162" s="8"/>
      <c r="Z2162" s="8"/>
      <c r="AA2162" s="8"/>
      <c r="AB2162" s="7"/>
      <c r="AD2162" s="8"/>
    </row>
    <row r="2163" spans="1:30">
      <c r="A2163" s="7"/>
      <c r="D2163" s="7"/>
      <c r="I2163" s="7"/>
      <c r="J2163" s="7"/>
      <c r="K2163" s="7"/>
      <c r="N2163" s="7"/>
      <c r="V2163" s="8"/>
      <c r="W2163" s="7"/>
      <c r="Y2163" s="8"/>
      <c r="Z2163" s="8"/>
      <c r="AA2163" s="8"/>
      <c r="AB2163" s="7"/>
      <c r="AD2163" s="8"/>
    </row>
    <row r="2164" spans="1:30">
      <c r="A2164" s="7"/>
      <c r="D2164" s="7"/>
      <c r="I2164" s="7"/>
      <c r="J2164" s="7"/>
      <c r="K2164" s="7"/>
      <c r="N2164" s="7"/>
      <c r="V2164" s="8"/>
      <c r="W2164" s="7"/>
      <c r="Y2164" s="8"/>
      <c r="Z2164" s="8"/>
      <c r="AA2164" s="8"/>
      <c r="AB2164" s="7"/>
      <c r="AD2164" s="8"/>
    </row>
    <row r="2165" spans="1:30">
      <c r="A2165" s="7"/>
      <c r="D2165" s="7"/>
      <c r="I2165" s="7"/>
      <c r="J2165" s="7"/>
      <c r="K2165" s="7"/>
      <c r="N2165" s="7"/>
      <c r="V2165" s="8"/>
      <c r="W2165" s="7"/>
      <c r="Y2165" s="8"/>
      <c r="Z2165" s="8"/>
      <c r="AA2165" s="8"/>
      <c r="AB2165" s="7"/>
      <c r="AD2165" s="8"/>
    </row>
    <row r="2166" spans="1:30">
      <c r="A2166" s="7"/>
      <c r="D2166" s="7"/>
      <c r="I2166" s="7"/>
      <c r="J2166" s="7"/>
      <c r="K2166" s="7"/>
      <c r="N2166" s="7"/>
      <c r="V2166" s="8"/>
      <c r="W2166" s="7"/>
      <c r="Y2166" s="8"/>
      <c r="Z2166" s="8"/>
      <c r="AA2166" s="8"/>
      <c r="AB2166" s="7"/>
      <c r="AD2166" s="8"/>
    </row>
    <row r="2167" spans="1:30">
      <c r="A2167" s="7"/>
      <c r="D2167" s="7"/>
      <c r="I2167" s="7"/>
      <c r="J2167" s="7"/>
      <c r="K2167" s="7"/>
      <c r="N2167" s="7"/>
      <c r="V2167" s="8"/>
      <c r="W2167" s="7"/>
      <c r="Y2167" s="8"/>
      <c r="Z2167" s="8"/>
      <c r="AA2167" s="8"/>
      <c r="AB2167" s="7"/>
      <c r="AD2167" s="8"/>
    </row>
    <row r="2168" spans="1:30">
      <c r="A2168" s="7"/>
      <c r="D2168" s="7"/>
      <c r="I2168" s="7"/>
      <c r="J2168" s="7"/>
      <c r="K2168" s="7"/>
      <c r="N2168" s="7"/>
      <c r="V2168" s="8"/>
      <c r="W2168" s="7"/>
      <c r="Y2168" s="8"/>
      <c r="Z2168" s="8"/>
      <c r="AA2168" s="8"/>
      <c r="AB2168" s="7"/>
      <c r="AD2168" s="8"/>
    </row>
    <row r="2169" spans="1:30">
      <c r="A2169" s="7"/>
      <c r="D2169" s="7"/>
      <c r="I2169" s="7"/>
      <c r="J2169" s="7"/>
      <c r="K2169" s="7"/>
      <c r="N2169" s="7"/>
      <c r="V2169" s="8"/>
      <c r="W2169" s="7"/>
      <c r="Y2169" s="8"/>
      <c r="Z2169" s="8"/>
      <c r="AA2169" s="8"/>
      <c r="AB2169" s="7"/>
      <c r="AD2169" s="8"/>
    </row>
    <row r="2170" spans="1:30">
      <c r="A2170" s="7"/>
      <c r="D2170" s="7"/>
      <c r="I2170" s="7"/>
      <c r="J2170" s="7"/>
      <c r="K2170" s="7"/>
      <c r="N2170" s="7"/>
      <c r="V2170" s="8"/>
      <c r="W2170" s="7"/>
      <c r="Y2170" s="8"/>
      <c r="Z2170" s="8"/>
      <c r="AA2170" s="8"/>
      <c r="AB2170" s="7"/>
      <c r="AD2170" s="8"/>
    </row>
    <row r="2171" spans="1:30">
      <c r="A2171" s="7"/>
      <c r="D2171" s="7"/>
      <c r="I2171" s="7"/>
      <c r="J2171" s="7"/>
      <c r="K2171" s="7"/>
      <c r="N2171" s="7"/>
      <c r="V2171" s="8"/>
      <c r="W2171" s="7"/>
      <c r="Y2171" s="8"/>
      <c r="Z2171" s="8"/>
      <c r="AA2171" s="8"/>
      <c r="AB2171" s="7"/>
      <c r="AD2171" s="8"/>
    </row>
    <row r="2172" spans="1:30">
      <c r="A2172" s="7"/>
      <c r="D2172" s="7"/>
      <c r="I2172" s="7"/>
      <c r="J2172" s="7"/>
      <c r="K2172" s="7"/>
      <c r="N2172" s="7"/>
      <c r="V2172" s="8"/>
      <c r="W2172" s="7"/>
      <c r="Y2172" s="8"/>
      <c r="Z2172" s="8"/>
      <c r="AA2172" s="8"/>
      <c r="AB2172" s="7"/>
      <c r="AD2172" s="8"/>
    </row>
    <row r="2173" spans="1:30">
      <c r="A2173" s="7"/>
      <c r="D2173" s="7"/>
      <c r="I2173" s="7"/>
      <c r="J2173" s="7"/>
      <c r="K2173" s="7"/>
      <c r="N2173" s="7"/>
      <c r="V2173" s="8"/>
      <c r="W2173" s="7"/>
      <c r="Y2173" s="8"/>
      <c r="Z2173" s="8"/>
      <c r="AA2173" s="8"/>
      <c r="AB2173" s="7"/>
      <c r="AD2173" s="8"/>
    </row>
    <row r="2174" spans="1:30">
      <c r="A2174" s="7"/>
      <c r="D2174" s="7"/>
      <c r="I2174" s="7"/>
      <c r="J2174" s="7"/>
      <c r="K2174" s="7"/>
      <c r="N2174" s="7"/>
      <c r="V2174" s="8"/>
      <c r="W2174" s="7"/>
      <c r="Y2174" s="8"/>
      <c r="Z2174" s="8"/>
      <c r="AA2174" s="8"/>
      <c r="AB2174" s="7"/>
      <c r="AD2174" s="8"/>
    </row>
    <row r="2175" spans="1:30">
      <c r="A2175" s="7"/>
      <c r="D2175" s="7"/>
      <c r="I2175" s="7"/>
      <c r="J2175" s="7"/>
      <c r="K2175" s="7"/>
      <c r="N2175" s="7"/>
      <c r="V2175" s="8"/>
      <c r="W2175" s="7"/>
      <c r="Y2175" s="8"/>
      <c r="Z2175" s="8"/>
      <c r="AA2175" s="8"/>
      <c r="AB2175" s="7"/>
      <c r="AD2175" s="8"/>
    </row>
    <row r="2176" spans="1:30">
      <c r="A2176" s="7"/>
      <c r="D2176" s="7"/>
      <c r="I2176" s="7"/>
      <c r="J2176" s="7"/>
      <c r="K2176" s="7"/>
      <c r="N2176" s="7"/>
      <c r="V2176" s="8"/>
      <c r="W2176" s="7"/>
      <c r="Y2176" s="8"/>
      <c r="Z2176" s="8"/>
      <c r="AA2176" s="8"/>
      <c r="AB2176" s="7"/>
      <c r="AD2176" s="8"/>
    </row>
    <row r="2177" spans="1:30">
      <c r="A2177" s="7"/>
      <c r="D2177" s="7"/>
      <c r="I2177" s="7"/>
      <c r="J2177" s="7"/>
      <c r="K2177" s="7"/>
      <c r="N2177" s="7"/>
      <c r="V2177" s="8"/>
      <c r="W2177" s="7"/>
      <c r="Y2177" s="8"/>
      <c r="Z2177" s="8"/>
      <c r="AA2177" s="8"/>
      <c r="AB2177" s="7"/>
      <c r="AD2177" s="8"/>
    </row>
    <row r="2178" spans="1:30">
      <c r="A2178" s="7"/>
      <c r="D2178" s="7"/>
      <c r="I2178" s="7"/>
      <c r="J2178" s="7"/>
      <c r="K2178" s="7"/>
      <c r="N2178" s="7"/>
      <c r="V2178" s="8"/>
      <c r="W2178" s="7"/>
      <c r="Y2178" s="8"/>
      <c r="Z2178" s="8"/>
      <c r="AA2178" s="8"/>
      <c r="AB2178" s="7"/>
      <c r="AD2178" s="8"/>
    </row>
    <row r="2179" spans="1:30">
      <c r="A2179" s="7"/>
      <c r="D2179" s="7"/>
      <c r="I2179" s="7"/>
      <c r="J2179" s="7"/>
      <c r="K2179" s="7"/>
      <c r="N2179" s="7"/>
      <c r="V2179" s="8"/>
      <c r="W2179" s="7"/>
      <c r="Y2179" s="8"/>
      <c r="Z2179" s="8"/>
      <c r="AA2179" s="8"/>
      <c r="AB2179" s="7"/>
      <c r="AD2179" s="8"/>
    </row>
    <row r="2180" spans="1:30">
      <c r="A2180" s="7"/>
      <c r="D2180" s="7"/>
      <c r="I2180" s="7"/>
      <c r="J2180" s="7"/>
      <c r="K2180" s="7"/>
      <c r="N2180" s="7"/>
      <c r="V2180" s="8"/>
      <c r="W2180" s="7"/>
      <c r="Y2180" s="8"/>
      <c r="Z2180" s="8"/>
      <c r="AA2180" s="8"/>
      <c r="AB2180" s="7"/>
      <c r="AD2180" s="8"/>
    </row>
    <row r="2181" spans="1:30">
      <c r="A2181" s="7"/>
      <c r="D2181" s="7"/>
      <c r="I2181" s="7"/>
      <c r="J2181" s="7"/>
      <c r="K2181" s="7"/>
      <c r="N2181" s="7"/>
      <c r="V2181" s="8"/>
      <c r="W2181" s="7"/>
      <c r="Y2181" s="8"/>
      <c r="Z2181" s="8"/>
      <c r="AA2181" s="8"/>
      <c r="AB2181" s="7"/>
      <c r="AD2181" s="8"/>
    </row>
    <row r="2182" spans="1:30">
      <c r="A2182" s="7"/>
      <c r="D2182" s="7"/>
      <c r="I2182" s="7"/>
      <c r="J2182" s="7"/>
      <c r="K2182" s="7"/>
      <c r="N2182" s="7"/>
      <c r="V2182" s="8"/>
      <c r="W2182" s="7"/>
      <c r="Y2182" s="8"/>
      <c r="Z2182" s="8"/>
      <c r="AA2182" s="8"/>
      <c r="AB2182" s="7"/>
      <c r="AD2182" s="8"/>
    </row>
    <row r="2183" spans="1:30">
      <c r="A2183" s="7"/>
      <c r="D2183" s="7"/>
      <c r="I2183" s="7"/>
      <c r="J2183" s="7"/>
      <c r="K2183" s="7"/>
      <c r="N2183" s="7"/>
      <c r="V2183" s="8"/>
      <c r="W2183" s="7"/>
      <c r="Y2183" s="8"/>
      <c r="Z2183" s="8"/>
      <c r="AA2183" s="8"/>
      <c r="AB2183" s="7"/>
      <c r="AD2183" s="8"/>
    </row>
    <row r="2184" spans="1:30">
      <c r="A2184" s="7"/>
      <c r="D2184" s="7"/>
      <c r="I2184" s="7"/>
      <c r="J2184" s="7"/>
      <c r="K2184" s="7"/>
      <c r="N2184" s="7"/>
      <c r="V2184" s="8"/>
      <c r="W2184" s="7"/>
      <c r="Y2184" s="8"/>
      <c r="Z2184" s="8"/>
      <c r="AA2184" s="8"/>
      <c r="AB2184" s="7"/>
      <c r="AD2184" s="8"/>
    </row>
    <row r="2185" spans="1:30">
      <c r="A2185" s="7"/>
      <c r="D2185" s="7"/>
      <c r="I2185" s="7"/>
      <c r="J2185" s="7"/>
      <c r="K2185" s="7"/>
      <c r="N2185" s="7"/>
      <c r="V2185" s="8"/>
      <c r="W2185" s="7"/>
      <c r="Y2185" s="8"/>
      <c r="Z2185" s="8"/>
      <c r="AA2185" s="8"/>
      <c r="AB2185" s="7"/>
      <c r="AD2185" s="8"/>
    </row>
    <row r="2186" spans="1:30">
      <c r="A2186" s="7"/>
      <c r="D2186" s="7"/>
      <c r="I2186" s="7"/>
      <c r="J2186" s="7"/>
      <c r="K2186" s="7"/>
      <c r="N2186" s="7"/>
      <c r="V2186" s="8"/>
      <c r="W2186" s="7"/>
      <c r="Y2186" s="8"/>
      <c r="Z2186" s="8"/>
      <c r="AA2186" s="8"/>
      <c r="AB2186" s="7"/>
      <c r="AD2186" s="8"/>
    </row>
    <row r="2187" spans="1:30">
      <c r="A2187" s="7"/>
      <c r="D2187" s="7"/>
      <c r="I2187" s="7"/>
      <c r="J2187" s="7"/>
      <c r="K2187" s="7"/>
      <c r="N2187" s="7"/>
      <c r="V2187" s="8"/>
      <c r="W2187" s="7"/>
      <c r="Y2187" s="8"/>
      <c r="Z2187" s="8"/>
      <c r="AA2187" s="8"/>
      <c r="AB2187" s="7"/>
      <c r="AD2187" s="8"/>
    </row>
    <row r="2188" spans="1:30">
      <c r="A2188" s="7"/>
      <c r="D2188" s="7"/>
      <c r="I2188" s="7"/>
      <c r="J2188" s="7"/>
      <c r="K2188" s="7"/>
      <c r="N2188" s="7"/>
      <c r="V2188" s="8"/>
      <c r="W2188" s="7"/>
      <c r="Y2188" s="8"/>
      <c r="Z2188" s="8"/>
      <c r="AA2188" s="8"/>
      <c r="AB2188" s="7"/>
      <c r="AD2188" s="8"/>
    </row>
    <row r="2189" spans="1:30">
      <c r="A2189" s="7"/>
      <c r="D2189" s="7"/>
      <c r="I2189" s="7"/>
      <c r="J2189" s="7"/>
      <c r="K2189" s="7"/>
      <c r="N2189" s="7"/>
      <c r="V2189" s="8"/>
      <c r="W2189" s="7"/>
      <c r="Y2189" s="8"/>
      <c r="Z2189" s="8"/>
      <c r="AA2189" s="8"/>
      <c r="AB2189" s="7"/>
      <c r="AD2189" s="8"/>
    </row>
    <row r="2190" spans="1:30">
      <c r="A2190" s="7"/>
      <c r="D2190" s="7"/>
      <c r="I2190" s="7"/>
      <c r="J2190" s="7"/>
      <c r="K2190" s="7"/>
      <c r="N2190" s="7"/>
      <c r="V2190" s="8"/>
      <c r="W2190" s="7"/>
      <c r="Y2190" s="8"/>
      <c r="Z2190" s="8"/>
      <c r="AA2190" s="8"/>
      <c r="AB2190" s="7"/>
      <c r="AD2190" s="8"/>
    </row>
    <row r="2191" spans="1:30">
      <c r="A2191" s="7"/>
      <c r="D2191" s="7"/>
      <c r="I2191" s="7"/>
      <c r="J2191" s="7"/>
      <c r="K2191" s="7"/>
      <c r="N2191" s="7"/>
      <c r="V2191" s="8"/>
      <c r="W2191" s="7"/>
      <c r="Y2191" s="8"/>
      <c r="Z2191" s="8"/>
      <c r="AA2191" s="8"/>
      <c r="AB2191" s="7"/>
      <c r="AD2191" s="8"/>
    </row>
    <row r="2192" spans="1:30">
      <c r="A2192" s="7"/>
      <c r="D2192" s="7"/>
      <c r="I2192" s="7"/>
      <c r="J2192" s="7"/>
      <c r="K2192" s="7"/>
      <c r="N2192" s="7"/>
      <c r="V2192" s="8"/>
      <c r="W2192" s="7"/>
      <c r="Y2192" s="8"/>
      <c r="Z2192" s="8"/>
      <c r="AA2192" s="8"/>
      <c r="AB2192" s="7"/>
      <c r="AD2192" s="8"/>
    </row>
    <row r="2193" spans="1:30">
      <c r="A2193" s="7"/>
      <c r="D2193" s="7"/>
      <c r="I2193" s="7"/>
      <c r="J2193" s="7"/>
      <c r="K2193" s="7"/>
      <c r="N2193" s="7"/>
      <c r="V2193" s="8"/>
      <c r="W2193" s="7"/>
      <c r="Y2193" s="8"/>
      <c r="Z2193" s="8"/>
      <c r="AA2193" s="8"/>
      <c r="AB2193" s="7"/>
      <c r="AD2193" s="8"/>
    </row>
    <row r="2194" spans="1:30">
      <c r="A2194" s="7"/>
      <c r="D2194" s="7"/>
      <c r="I2194" s="7"/>
      <c r="J2194" s="7"/>
      <c r="K2194" s="7"/>
      <c r="N2194" s="7"/>
      <c r="V2194" s="8"/>
      <c r="W2194" s="7"/>
      <c r="Y2194" s="8"/>
      <c r="Z2194" s="8"/>
      <c r="AA2194" s="8"/>
      <c r="AB2194" s="7"/>
      <c r="AD2194" s="8"/>
    </row>
    <row r="2195" spans="1:30">
      <c r="A2195" s="7"/>
      <c r="D2195" s="7"/>
      <c r="I2195" s="7"/>
      <c r="J2195" s="7"/>
      <c r="K2195" s="7"/>
      <c r="N2195" s="7"/>
      <c r="V2195" s="8"/>
      <c r="W2195" s="7"/>
      <c r="Y2195" s="8"/>
      <c r="Z2195" s="8"/>
      <c r="AA2195" s="8"/>
      <c r="AB2195" s="7"/>
      <c r="AD2195" s="8"/>
    </row>
    <row r="2196" spans="1:30">
      <c r="A2196" s="7"/>
      <c r="D2196" s="7"/>
      <c r="I2196" s="7"/>
      <c r="J2196" s="7"/>
      <c r="K2196" s="7"/>
      <c r="N2196" s="7"/>
      <c r="V2196" s="8"/>
      <c r="W2196" s="7"/>
      <c r="Y2196" s="8"/>
      <c r="Z2196" s="8"/>
      <c r="AA2196" s="8"/>
      <c r="AB2196" s="7"/>
      <c r="AD2196" s="8"/>
    </row>
    <row r="2197" spans="1:30">
      <c r="A2197" s="7"/>
      <c r="D2197" s="7"/>
      <c r="I2197" s="7"/>
      <c r="J2197" s="7"/>
      <c r="K2197" s="7"/>
      <c r="N2197" s="7"/>
      <c r="V2197" s="8"/>
      <c r="W2197" s="7"/>
      <c r="Y2197" s="8"/>
      <c r="Z2197" s="8"/>
      <c r="AA2197" s="8"/>
      <c r="AB2197" s="7"/>
      <c r="AD2197" s="8"/>
    </row>
    <row r="2198" spans="1:30">
      <c r="A2198" s="7"/>
      <c r="D2198" s="7"/>
      <c r="I2198" s="7"/>
      <c r="J2198" s="7"/>
      <c r="K2198" s="7"/>
      <c r="N2198" s="7"/>
      <c r="V2198" s="8"/>
      <c r="W2198" s="7"/>
      <c r="Y2198" s="8"/>
      <c r="Z2198" s="8"/>
      <c r="AA2198" s="8"/>
      <c r="AB2198" s="7"/>
      <c r="AD2198" s="8"/>
    </row>
    <row r="2199" spans="1:30">
      <c r="A2199" s="7"/>
      <c r="D2199" s="7"/>
      <c r="I2199" s="7"/>
      <c r="J2199" s="7"/>
      <c r="K2199" s="7"/>
      <c r="N2199" s="7"/>
      <c r="V2199" s="8"/>
      <c r="W2199" s="7"/>
      <c r="Y2199" s="8"/>
      <c r="Z2199" s="8"/>
      <c r="AA2199" s="8"/>
      <c r="AB2199" s="7"/>
      <c r="AD2199" s="8"/>
    </row>
    <row r="2200" spans="1:30">
      <c r="A2200" s="7"/>
      <c r="D2200" s="7"/>
      <c r="I2200" s="7"/>
      <c r="J2200" s="7"/>
      <c r="K2200" s="7"/>
      <c r="N2200" s="7"/>
      <c r="V2200" s="8"/>
      <c r="W2200" s="7"/>
      <c r="Y2200" s="8"/>
      <c r="Z2200" s="8"/>
      <c r="AA2200" s="8"/>
      <c r="AB2200" s="7"/>
      <c r="AD2200" s="8"/>
    </row>
    <row r="2201" spans="1:30">
      <c r="A2201" s="7"/>
      <c r="D2201" s="7"/>
      <c r="I2201" s="7"/>
      <c r="J2201" s="7"/>
      <c r="K2201" s="7"/>
      <c r="N2201" s="7"/>
      <c r="V2201" s="8"/>
      <c r="W2201" s="7"/>
      <c r="Y2201" s="8"/>
      <c r="Z2201" s="8"/>
      <c r="AA2201" s="8"/>
      <c r="AB2201" s="7"/>
      <c r="AD2201" s="8"/>
    </row>
    <row r="2202" spans="1:30">
      <c r="A2202" s="7"/>
      <c r="D2202" s="7"/>
      <c r="I2202" s="7"/>
      <c r="J2202" s="7"/>
      <c r="K2202" s="7"/>
      <c r="N2202" s="7"/>
      <c r="V2202" s="8"/>
      <c r="W2202" s="7"/>
      <c r="Y2202" s="8"/>
      <c r="Z2202" s="8"/>
      <c r="AA2202" s="8"/>
      <c r="AB2202" s="7"/>
      <c r="AD2202" s="8"/>
    </row>
    <row r="2203" spans="1:30">
      <c r="A2203" s="7"/>
      <c r="D2203" s="7"/>
      <c r="I2203" s="7"/>
      <c r="J2203" s="7"/>
      <c r="K2203" s="7"/>
      <c r="N2203" s="7"/>
      <c r="V2203" s="8"/>
      <c r="W2203" s="7"/>
      <c r="Y2203" s="8"/>
      <c r="Z2203" s="8"/>
      <c r="AA2203" s="8"/>
      <c r="AB2203" s="7"/>
      <c r="AD2203" s="8"/>
    </row>
    <row r="2204" spans="1:30">
      <c r="A2204" s="7"/>
      <c r="D2204" s="7"/>
      <c r="I2204" s="7"/>
      <c r="J2204" s="7"/>
      <c r="K2204" s="7"/>
      <c r="N2204" s="7"/>
      <c r="V2204" s="8"/>
      <c r="W2204" s="7"/>
      <c r="Y2204" s="8"/>
      <c r="Z2204" s="8"/>
      <c r="AA2204" s="8"/>
      <c r="AB2204" s="7"/>
      <c r="AD2204" s="8"/>
    </row>
    <row r="2205" spans="1:30">
      <c r="A2205" s="7"/>
      <c r="D2205" s="7"/>
      <c r="I2205" s="7"/>
      <c r="J2205" s="7"/>
      <c r="K2205" s="7"/>
      <c r="N2205" s="7"/>
      <c r="V2205" s="8"/>
      <c r="W2205" s="7"/>
      <c r="Y2205" s="8"/>
      <c r="Z2205" s="8"/>
      <c r="AA2205" s="8"/>
      <c r="AB2205" s="7"/>
      <c r="AD2205" s="8"/>
    </row>
    <row r="2206" spans="1:30">
      <c r="A2206" s="7"/>
      <c r="D2206" s="7"/>
      <c r="I2206" s="7"/>
      <c r="J2206" s="7"/>
      <c r="K2206" s="7"/>
      <c r="N2206" s="7"/>
      <c r="V2206" s="8"/>
      <c r="W2206" s="7"/>
      <c r="Y2206" s="8"/>
      <c r="Z2206" s="8"/>
      <c r="AA2206" s="8"/>
      <c r="AB2206" s="7"/>
      <c r="AD2206" s="8"/>
    </row>
    <row r="2207" spans="1:30">
      <c r="A2207" s="7"/>
      <c r="D2207" s="7"/>
      <c r="I2207" s="7"/>
      <c r="J2207" s="7"/>
      <c r="K2207" s="7"/>
      <c r="N2207" s="7"/>
      <c r="V2207" s="8"/>
      <c r="W2207" s="7"/>
      <c r="Y2207" s="8"/>
      <c r="Z2207" s="8"/>
      <c r="AA2207" s="8"/>
      <c r="AB2207" s="7"/>
      <c r="AD2207" s="8"/>
    </row>
    <row r="2208" spans="1:30">
      <c r="A2208" s="7"/>
      <c r="D2208" s="7"/>
      <c r="I2208" s="7"/>
      <c r="J2208" s="7"/>
      <c r="K2208" s="7"/>
      <c r="N2208" s="7"/>
      <c r="V2208" s="8"/>
      <c r="W2208" s="7"/>
      <c r="Y2208" s="8"/>
      <c r="Z2208" s="8"/>
      <c r="AA2208" s="8"/>
      <c r="AB2208" s="7"/>
      <c r="AD2208" s="8"/>
    </row>
    <row r="2209" spans="1:30">
      <c r="A2209" s="7"/>
      <c r="D2209" s="7"/>
      <c r="I2209" s="7"/>
      <c r="J2209" s="7"/>
      <c r="K2209" s="7"/>
      <c r="N2209" s="7"/>
      <c r="V2209" s="8"/>
      <c r="W2209" s="7"/>
      <c r="Y2209" s="8"/>
      <c r="Z2209" s="8"/>
      <c r="AA2209" s="8"/>
      <c r="AB2209" s="7"/>
      <c r="AD2209" s="8"/>
    </row>
    <row r="2210" spans="1:30">
      <c r="A2210" s="7"/>
      <c r="D2210" s="7"/>
      <c r="I2210" s="7"/>
      <c r="J2210" s="7"/>
      <c r="K2210" s="7"/>
      <c r="N2210" s="7"/>
      <c r="V2210" s="8"/>
      <c r="W2210" s="7"/>
      <c r="Y2210" s="8"/>
      <c r="Z2210" s="8"/>
      <c r="AA2210" s="8"/>
      <c r="AB2210" s="7"/>
      <c r="AD2210" s="8"/>
    </row>
    <row r="2211" spans="1:30">
      <c r="A2211" s="7"/>
      <c r="D2211" s="7"/>
      <c r="I2211" s="7"/>
      <c r="J2211" s="7"/>
      <c r="K2211" s="7"/>
      <c r="N2211" s="7"/>
      <c r="V2211" s="8"/>
      <c r="W2211" s="7"/>
      <c r="Y2211" s="8"/>
      <c r="Z2211" s="8"/>
      <c r="AA2211" s="8"/>
      <c r="AB2211" s="7"/>
      <c r="AD2211" s="8"/>
    </row>
    <row r="2212" spans="1:30">
      <c r="A2212" s="7"/>
      <c r="D2212" s="7"/>
      <c r="I2212" s="7"/>
      <c r="J2212" s="7"/>
      <c r="K2212" s="7"/>
      <c r="N2212" s="7"/>
      <c r="V2212" s="8"/>
      <c r="W2212" s="7"/>
      <c r="Y2212" s="8"/>
      <c r="Z2212" s="8"/>
      <c r="AA2212" s="8"/>
      <c r="AB2212" s="7"/>
      <c r="AD2212" s="8"/>
    </row>
    <row r="2213" spans="1:30">
      <c r="A2213" s="7"/>
      <c r="D2213" s="7"/>
      <c r="I2213" s="7"/>
      <c r="J2213" s="7"/>
      <c r="K2213" s="7"/>
      <c r="N2213" s="7"/>
      <c r="V2213" s="8"/>
      <c r="W2213" s="7"/>
      <c r="Y2213" s="8"/>
      <c r="Z2213" s="8"/>
      <c r="AA2213" s="8"/>
      <c r="AB2213" s="7"/>
      <c r="AD2213" s="8"/>
    </row>
    <row r="2214" spans="1:30">
      <c r="A2214" s="7"/>
      <c r="D2214" s="7"/>
      <c r="I2214" s="7"/>
      <c r="J2214" s="7"/>
      <c r="K2214" s="7"/>
      <c r="N2214" s="7"/>
      <c r="V2214" s="8"/>
      <c r="W2214" s="7"/>
      <c r="Y2214" s="8"/>
      <c r="Z2214" s="8"/>
      <c r="AA2214" s="8"/>
      <c r="AB2214" s="7"/>
      <c r="AD2214" s="8"/>
    </row>
    <row r="2215" spans="1:30">
      <c r="A2215" s="7"/>
      <c r="D2215" s="7"/>
      <c r="I2215" s="7"/>
      <c r="J2215" s="7"/>
      <c r="K2215" s="7"/>
      <c r="N2215" s="7"/>
      <c r="V2215" s="8"/>
      <c r="W2215" s="7"/>
      <c r="Y2215" s="8"/>
      <c r="Z2215" s="8"/>
      <c r="AA2215" s="8"/>
      <c r="AB2215" s="7"/>
      <c r="AD2215" s="8"/>
    </row>
    <row r="2216" spans="1:30">
      <c r="A2216" s="7"/>
      <c r="D2216" s="7"/>
      <c r="I2216" s="7"/>
      <c r="J2216" s="7"/>
      <c r="K2216" s="7"/>
      <c r="N2216" s="7"/>
      <c r="V2216" s="8"/>
      <c r="W2216" s="7"/>
      <c r="Y2216" s="8"/>
      <c r="Z2216" s="8"/>
      <c r="AA2216" s="8"/>
      <c r="AB2216" s="7"/>
      <c r="AD2216" s="8"/>
    </row>
    <row r="2217" spans="1:30">
      <c r="A2217" s="7"/>
      <c r="D2217" s="7"/>
      <c r="I2217" s="7"/>
      <c r="J2217" s="7"/>
      <c r="K2217" s="7"/>
      <c r="N2217" s="7"/>
      <c r="V2217" s="8"/>
      <c r="W2217" s="7"/>
      <c r="Y2217" s="8"/>
      <c r="Z2217" s="8"/>
      <c r="AA2217" s="8"/>
      <c r="AB2217" s="7"/>
      <c r="AD2217" s="8"/>
    </row>
    <row r="2218" spans="1:30">
      <c r="A2218" s="7"/>
      <c r="D2218" s="7"/>
      <c r="I2218" s="7"/>
      <c r="J2218" s="7"/>
      <c r="K2218" s="7"/>
      <c r="N2218" s="7"/>
      <c r="V2218" s="8"/>
      <c r="W2218" s="7"/>
      <c r="Y2218" s="8"/>
      <c r="Z2218" s="8"/>
      <c r="AA2218" s="8"/>
      <c r="AB2218" s="7"/>
      <c r="AD2218" s="8"/>
    </row>
    <row r="2219" spans="1:30">
      <c r="A2219" s="7"/>
      <c r="D2219" s="7"/>
      <c r="I2219" s="7"/>
      <c r="J2219" s="7"/>
      <c r="K2219" s="7"/>
      <c r="N2219" s="7"/>
      <c r="V2219" s="8"/>
      <c r="W2219" s="7"/>
      <c r="Y2219" s="8"/>
      <c r="Z2219" s="8"/>
      <c r="AA2219" s="8"/>
      <c r="AB2219" s="7"/>
      <c r="AD2219" s="8"/>
    </row>
    <row r="2220" spans="1:30">
      <c r="A2220" s="7"/>
      <c r="D2220" s="7"/>
      <c r="I2220" s="7"/>
      <c r="J2220" s="7"/>
      <c r="K2220" s="7"/>
      <c r="N2220" s="7"/>
      <c r="V2220" s="8"/>
      <c r="W2220" s="7"/>
      <c r="Y2220" s="8"/>
      <c r="Z2220" s="8"/>
      <c r="AA2220" s="8"/>
      <c r="AB2220" s="7"/>
      <c r="AD2220" s="8"/>
    </row>
    <row r="2221" spans="1:30">
      <c r="A2221" s="7"/>
      <c r="D2221" s="7"/>
      <c r="I2221" s="7"/>
      <c r="J2221" s="7"/>
      <c r="K2221" s="7"/>
      <c r="N2221" s="7"/>
      <c r="V2221" s="8"/>
      <c r="W2221" s="7"/>
      <c r="Y2221" s="8"/>
      <c r="Z2221" s="8"/>
      <c r="AA2221" s="8"/>
      <c r="AB2221" s="7"/>
      <c r="AD2221" s="8"/>
    </row>
    <row r="2222" spans="1:30">
      <c r="A2222" s="7"/>
      <c r="D2222" s="7"/>
      <c r="I2222" s="7"/>
      <c r="J2222" s="7"/>
      <c r="K2222" s="7"/>
      <c r="N2222" s="7"/>
      <c r="V2222" s="8"/>
      <c r="W2222" s="7"/>
      <c r="Y2222" s="8"/>
      <c r="Z2222" s="8"/>
      <c r="AA2222" s="8"/>
      <c r="AB2222" s="7"/>
      <c r="AD2222" s="8"/>
    </row>
    <row r="2223" spans="1:30">
      <c r="A2223" s="7"/>
      <c r="D2223" s="7"/>
      <c r="I2223" s="7"/>
      <c r="J2223" s="7"/>
      <c r="K2223" s="7"/>
      <c r="N2223" s="7"/>
      <c r="V2223" s="8"/>
      <c r="W2223" s="7"/>
      <c r="Y2223" s="8"/>
      <c r="Z2223" s="8"/>
      <c r="AA2223" s="8"/>
      <c r="AB2223" s="7"/>
      <c r="AD2223" s="8"/>
    </row>
    <row r="2224" spans="1:30">
      <c r="A2224" s="7"/>
      <c r="D2224" s="7"/>
      <c r="I2224" s="7"/>
      <c r="J2224" s="7"/>
      <c r="K2224" s="7"/>
      <c r="N2224" s="7"/>
      <c r="V2224" s="8"/>
      <c r="W2224" s="7"/>
      <c r="Y2224" s="8"/>
      <c r="Z2224" s="8"/>
      <c r="AA2224" s="8"/>
      <c r="AB2224" s="7"/>
      <c r="AD2224" s="8"/>
    </row>
    <row r="2225" spans="1:30">
      <c r="A2225" s="7"/>
      <c r="D2225" s="7"/>
      <c r="I2225" s="7"/>
      <c r="J2225" s="7"/>
      <c r="K2225" s="7"/>
      <c r="N2225" s="7"/>
      <c r="V2225" s="8"/>
      <c r="W2225" s="7"/>
      <c r="Y2225" s="8"/>
      <c r="Z2225" s="8"/>
      <c r="AA2225" s="8"/>
      <c r="AB2225" s="7"/>
      <c r="AD2225" s="8"/>
    </row>
    <row r="2226" spans="1:30">
      <c r="A2226" s="7"/>
      <c r="D2226" s="7"/>
      <c r="I2226" s="7"/>
      <c r="J2226" s="7"/>
      <c r="K2226" s="7"/>
      <c r="N2226" s="7"/>
      <c r="V2226" s="8"/>
      <c r="W2226" s="7"/>
      <c r="Y2226" s="8"/>
      <c r="Z2226" s="8"/>
      <c r="AA2226" s="8"/>
      <c r="AB2226" s="7"/>
      <c r="AD2226" s="8"/>
    </row>
    <row r="2227" spans="1:30">
      <c r="A2227" s="7"/>
      <c r="D2227" s="7"/>
      <c r="I2227" s="7"/>
      <c r="J2227" s="7"/>
      <c r="K2227" s="7"/>
      <c r="N2227" s="7"/>
      <c r="V2227" s="8"/>
      <c r="W2227" s="7"/>
      <c r="Y2227" s="8"/>
      <c r="Z2227" s="8"/>
      <c r="AA2227" s="8"/>
      <c r="AB2227" s="7"/>
      <c r="AD2227" s="8"/>
    </row>
    <row r="2228" spans="1:30">
      <c r="A2228" s="7"/>
      <c r="D2228" s="7"/>
      <c r="I2228" s="7"/>
      <c r="J2228" s="7"/>
      <c r="K2228" s="7"/>
      <c r="N2228" s="7"/>
      <c r="V2228" s="8"/>
      <c r="W2228" s="7"/>
      <c r="Y2228" s="8"/>
      <c r="Z2228" s="8"/>
      <c r="AA2228" s="8"/>
      <c r="AB2228" s="7"/>
      <c r="AD2228" s="8"/>
    </row>
    <row r="2229" spans="1:30">
      <c r="A2229" s="7"/>
      <c r="D2229" s="7"/>
      <c r="I2229" s="7"/>
      <c r="J2229" s="7"/>
      <c r="K2229" s="7"/>
      <c r="N2229" s="7"/>
      <c r="V2229" s="8"/>
      <c r="W2229" s="7"/>
      <c r="Y2229" s="8"/>
      <c r="Z2229" s="8"/>
      <c r="AA2229" s="8"/>
      <c r="AB2229" s="7"/>
      <c r="AD2229" s="8"/>
    </row>
    <row r="2230" spans="1:30">
      <c r="A2230" s="7"/>
      <c r="D2230" s="7"/>
      <c r="I2230" s="7"/>
      <c r="J2230" s="7"/>
      <c r="K2230" s="7"/>
      <c r="N2230" s="7"/>
      <c r="V2230" s="8"/>
      <c r="W2230" s="7"/>
      <c r="Y2230" s="8"/>
      <c r="Z2230" s="8"/>
      <c r="AA2230" s="8"/>
      <c r="AB2230" s="7"/>
      <c r="AD2230" s="8"/>
    </row>
    <row r="2231" spans="1:30">
      <c r="A2231" s="7"/>
      <c r="D2231" s="7"/>
      <c r="I2231" s="7"/>
      <c r="J2231" s="7"/>
      <c r="K2231" s="7"/>
      <c r="N2231" s="7"/>
      <c r="V2231" s="8"/>
      <c r="W2231" s="7"/>
      <c r="Y2231" s="8"/>
      <c r="Z2231" s="8"/>
      <c r="AA2231" s="8"/>
      <c r="AB2231" s="7"/>
      <c r="AD2231" s="8"/>
    </row>
    <row r="2232" spans="1:30">
      <c r="A2232" s="7"/>
      <c r="D2232" s="7"/>
      <c r="I2232" s="7"/>
      <c r="J2232" s="7"/>
      <c r="K2232" s="7"/>
      <c r="N2232" s="7"/>
      <c r="V2232" s="8"/>
      <c r="W2232" s="7"/>
      <c r="Y2232" s="8"/>
      <c r="Z2232" s="8"/>
      <c r="AA2232" s="8"/>
      <c r="AB2232" s="7"/>
      <c r="AD2232" s="8"/>
    </row>
    <row r="2233" spans="1:30">
      <c r="A2233" s="7"/>
      <c r="D2233" s="7"/>
      <c r="I2233" s="7"/>
      <c r="J2233" s="7"/>
      <c r="K2233" s="7"/>
      <c r="N2233" s="7"/>
      <c r="V2233" s="8"/>
      <c r="W2233" s="7"/>
      <c r="Y2233" s="8"/>
      <c r="Z2233" s="8"/>
      <c r="AA2233" s="8"/>
      <c r="AB2233" s="7"/>
      <c r="AD2233" s="8"/>
    </row>
    <row r="2234" spans="1:30">
      <c r="A2234" s="7"/>
      <c r="D2234" s="7"/>
      <c r="I2234" s="7"/>
      <c r="J2234" s="7"/>
      <c r="K2234" s="7"/>
      <c r="N2234" s="7"/>
      <c r="V2234" s="8"/>
      <c r="W2234" s="7"/>
      <c r="Y2234" s="8"/>
      <c r="Z2234" s="8"/>
      <c r="AA2234" s="8"/>
      <c r="AB2234" s="7"/>
      <c r="AD2234" s="8"/>
    </row>
    <row r="2235" spans="1:30">
      <c r="A2235" s="7"/>
      <c r="D2235" s="7"/>
      <c r="I2235" s="7"/>
      <c r="J2235" s="7"/>
      <c r="K2235" s="7"/>
      <c r="N2235" s="7"/>
      <c r="V2235" s="8"/>
      <c r="W2235" s="7"/>
      <c r="Y2235" s="8"/>
      <c r="Z2235" s="8"/>
      <c r="AA2235" s="8"/>
      <c r="AB2235" s="7"/>
      <c r="AD2235" s="8"/>
    </row>
    <row r="2236" spans="1:30">
      <c r="A2236" s="7"/>
      <c r="D2236" s="7"/>
      <c r="I2236" s="7"/>
      <c r="J2236" s="7"/>
      <c r="K2236" s="7"/>
      <c r="N2236" s="7"/>
      <c r="V2236" s="8"/>
      <c r="W2236" s="7"/>
      <c r="Y2236" s="8"/>
      <c r="Z2236" s="8"/>
      <c r="AA2236" s="8"/>
      <c r="AB2236" s="7"/>
      <c r="AD2236" s="8"/>
    </row>
    <row r="2237" spans="1:30">
      <c r="A2237" s="7"/>
      <c r="D2237" s="7"/>
      <c r="I2237" s="7"/>
      <c r="J2237" s="7"/>
      <c r="K2237" s="7"/>
      <c r="N2237" s="7"/>
      <c r="V2237" s="8"/>
      <c r="W2237" s="7"/>
      <c r="Y2237" s="8"/>
      <c r="Z2237" s="8"/>
      <c r="AA2237" s="8"/>
      <c r="AB2237" s="7"/>
      <c r="AD2237" s="8"/>
    </row>
    <row r="2238" spans="1:30">
      <c r="A2238" s="7"/>
      <c r="D2238" s="7"/>
      <c r="I2238" s="7"/>
      <c r="J2238" s="7"/>
      <c r="K2238" s="7"/>
      <c r="N2238" s="7"/>
      <c r="V2238" s="8"/>
      <c r="W2238" s="7"/>
      <c r="Y2238" s="8"/>
      <c r="Z2238" s="8"/>
      <c r="AA2238" s="8"/>
      <c r="AB2238" s="7"/>
      <c r="AD2238" s="8"/>
    </row>
    <row r="2239" spans="1:30">
      <c r="A2239" s="7"/>
      <c r="D2239" s="7"/>
      <c r="I2239" s="7"/>
      <c r="J2239" s="7"/>
      <c r="K2239" s="7"/>
      <c r="N2239" s="7"/>
      <c r="V2239" s="8"/>
      <c r="W2239" s="7"/>
      <c r="Y2239" s="8"/>
      <c r="Z2239" s="8"/>
      <c r="AA2239" s="8"/>
      <c r="AB2239" s="7"/>
      <c r="AD2239" s="8"/>
    </row>
    <row r="2240" spans="1:30">
      <c r="A2240" s="7"/>
      <c r="D2240" s="7"/>
      <c r="I2240" s="7"/>
      <c r="J2240" s="7"/>
      <c r="K2240" s="7"/>
      <c r="N2240" s="7"/>
      <c r="V2240" s="8"/>
      <c r="W2240" s="7"/>
      <c r="Y2240" s="8"/>
      <c r="Z2240" s="8"/>
      <c r="AA2240" s="8"/>
      <c r="AB2240" s="7"/>
      <c r="AD2240" s="8"/>
    </row>
    <row r="2241" spans="1:30">
      <c r="A2241" s="7"/>
      <c r="D2241" s="7"/>
      <c r="I2241" s="7"/>
      <c r="J2241" s="7"/>
      <c r="K2241" s="7"/>
      <c r="N2241" s="7"/>
      <c r="V2241" s="8"/>
      <c r="W2241" s="7"/>
      <c r="Y2241" s="8"/>
      <c r="Z2241" s="8"/>
      <c r="AA2241" s="8"/>
      <c r="AB2241" s="7"/>
      <c r="AD2241" s="8"/>
    </row>
    <row r="2242" spans="1:30">
      <c r="A2242" s="7"/>
      <c r="D2242" s="7"/>
      <c r="I2242" s="7"/>
      <c r="J2242" s="7"/>
      <c r="K2242" s="7"/>
      <c r="N2242" s="7"/>
      <c r="V2242" s="8"/>
      <c r="W2242" s="7"/>
      <c r="Y2242" s="8"/>
      <c r="Z2242" s="8"/>
      <c r="AA2242" s="8"/>
      <c r="AB2242" s="7"/>
      <c r="AD2242" s="8"/>
    </row>
    <row r="2243" spans="1:30">
      <c r="A2243" s="7"/>
      <c r="D2243" s="7"/>
      <c r="I2243" s="7"/>
      <c r="J2243" s="7"/>
      <c r="K2243" s="7"/>
      <c r="N2243" s="7"/>
      <c r="V2243" s="8"/>
      <c r="W2243" s="7"/>
      <c r="Y2243" s="8"/>
      <c r="Z2243" s="8"/>
      <c r="AA2243" s="8"/>
      <c r="AB2243" s="7"/>
      <c r="AD2243" s="8"/>
    </row>
    <row r="2244" spans="1:30">
      <c r="A2244" s="7"/>
      <c r="D2244" s="7"/>
      <c r="I2244" s="7"/>
      <c r="J2244" s="7"/>
      <c r="K2244" s="7"/>
      <c r="N2244" s="7"/>
      <c r="V2244" s="8"/>
      <c r="W2244" s="7"/>
      <c r="Y2244" s="8"/>
      <c r="Z2244" s="8"/>
      <c r="AA2244" s="8"/>
      <c r="AB2244" s="7"/>
      <c r="AD2244" s="8"/>
    </row>
    <row r="2245" spans="1:30">
      <c r="A2245" s="7"/>
      <c r="D2245" s="7"/>
      <c r="I2245" s="7"/>
      <c r="J2245" s="7"/>
      <c r="K2245" s="7"/>
      <c r="N2245" s="7"/>
      <c r="V2245" s="8"/>
      <c r="W2245" s="7"/>
      <c r="Y2245" s="8"/>
      <c r="Z2245" s="8"/>
      <c r="AA2245" s="8"/>
      <c r="AB2245" s="7"/>
      <c r="AD2245" s="8"/>
    </row>
    <row r="2246" spans="1:30">
      <c r="A2246" s="7"/>
      <c r="D2246" s="7"/>
      <c r="I2246" s="7"/>
      <c r="J2246" s="7"/>
      <c r="K2246" s="7"/>
      <c r="N2246" s="7"/>
      <c r="V2246" s="8"/>
      <c r="W2246" s="7"/>
      <c r="Y2246" s="8"/>
      <c r="Z2246" s="8"/>
      <c r="AA2246" s="8"/>
      <c r="AB2246" s="7"/>
      <c r="AD2246" s="8"/>
    </row>
    <row r="2247" spans="1:30">
      <c r="A2247" s="7"/>
      <c r="D2247" s="7"/>
      <c r="I2247" s="7"/>
      <c r="J2247" s="7"/>
      <c r="K2247" s="7"/>
      <c r="N2247" s="7"/>
      <c r="V2247" s="8"/>
      <c r="W2247" s="7"/>
      <c r="Y2247" s="8"/>
      <c r="Z2247" s="8"/>
      <c r="AA2247" s="8"/>
      <c r="AB2247" s="7"/>
      <c r="AD2247" s="8"/>
    </row>
    <row r="2248" spans="1:30">
      <c r="A2248" s="7"/>
      <c r="D2248" s="7"/>
      <c r="I2248" s="7"/>
      <c r="J2248" s="7"/>
      <c r="K2248" s="7"/>
      <c r="N2248" s="7"/>
      <c r="V2248" s="8"/>
      <c r="W2248" s="7"/>
      <c r="Y2248" s="8"/>
      <c r="Z2248" s="8"/>
      <c r="AA2248" s="8"/>
      <c r="AB2248" s="7"/>
      <c r="AD2248" s="8"/>
    </row>
    <row r="2249" spans="1:30">
      <c r="A2249" s="7"/>
      <c r="D2249" s="7"/>
      <c r="I2249" s="7"/>
      <c r="J2249" s="7"/>
      <c r="K2249" s="7"/>
      <c r="N2249" s="7"/>
      <c r="V2249" s="8"/>
      <c r="W2249" s="7"/>
      <c r="Y2249" s="8"/>
      <c r="Z2249" s="8"/>
      <c r="AA2249" s="8"/>
      <c r="AB2249" s="7"/>
      <c r="AD2249" s="8"/>
    </row>
    <row r="2250" spans="1:30">
      <c r="A2250" s="7"/>
      <c r="D2250" s="7"/>
      <c r="I2250" s="7"/>
      <c r="J2250" s="7"/>
      <c r="K2250" s="7"/>
      <c r="N2250" s="7"/>
      <c r="V2250" s="8"/>
      <c r="W2250" s="7"/>
      <c r="Y2250" s="8"/>
      <c r="Z2250" s="8"/>
      <c r="AA2250" s="8"/>
      <c r="AB2250" s="7"/>
      <c r="AD2250" s="8"/>
    </row>
    <row r="2251" spans="1:30">
      <c r="A2251" s="7"/>
      <c r="D2251" s="7"/>
      <c r="I2251" s="7"/>
      <c r="J2251" s="7"/>
      <c r="K2251" s="7"/>
      <c r="N2251" s="7"/>
      <c r="V2251" s="8"/>
      <c r="W2251" s="7"/>
      <c r="Y2251" s="8"/>
      <c r="Z2251" s="8"/>
      <c r="AA2251" s="8"/>
      <c r="AB2251" s="7"/>
      <c r="AD2251" s="8"/>
    </row>
    <row r="2252" spans="1:30">
      <c r="A2252" s="7"/>
      <c r="D2252" s="7"/>
      <c r="I2252" s="7"/>
      <c r="J2252" s="7"/>
      <c r="K2252" s="7"/>
      <c r="N2252" s="7"/>
      <c r="V2252" s="8"/>
      <c r="W2252" s="7"/>
      <c r="Y2252" s="8"/>
      <c r="Z2252" s="8"/>
      <c r="AA2252" s="8"/>
      <c r="AB2252" s="7"/>
      <c r="AD2252" s="8"/>
    </row>
    <row r="2253" spans="1:30">
      <c r="A2253" s="7"/>
      <c r="D2253" s="7"/>
      <c r="I2253" s="7"/>
      <c r="J2253" s="7"/>
      <c r="K2253" s="7"/>
      <c r="N2253" s="7"/>
      <c r="V2253" s="8"/>
      <c r="W2253" s="7"/>
      <c r="Y2253" s="8"/>
      <c r="Z2253" s="8"/>
      <c r="AA2253" s="8"/>
      <c r="AB2253" s="7"/>
      <c r="AD2253" s="8"/>
    </row>
    <row r="2254" spans="1:30">
      <c r="A2254" s="7"/>
      <c r="D2254" s="7"/>
      <c r="I2254" s="7"/>
      <c r="J2254" s="7"/>
      <c r="K2254" s="7"/>
      <c r="N2254" s="7"/>
      <c r="V2254" s="8"/>
      <c r="W2254" s="7"/>
      <c r="Y2254" s="8"/>
      <c r="Z2254" s="8"/>
      <c r="AA2254" s="8"/>
      <c r="AB2254" s="7"/>
      <c r="AD2254" s="8"/>
    </row>
    <row r="2255" spans="1:30">
      <c r="A2255" s="7"/>
      <c r="D2255" s="7"/>
      <c r="I2255" s="7"/>
      <c r="J2255" s="7"/>
      <c r="K2255" s="7"/>
      <c r="N2255" s="7"/>
      <c r="V2255" s="8"/>
      <c r="W2255" s="7"/>
      <c r="Y2255" s="8"/>
      <c r="Z2255" s="8"/>
      <c r="AA2255" s="8"/>
      <c r="AB2255" s="7"/>
      <c r="AD2255" s="8"/>
    </row>
    <row r="2256" spans="1:30">
      <c r="A2256" s="7"/>
      <c r="D2256" s="7"/>
      <c r="I2256" s="7"/>
      <c r="J2256" s="7"/>
      <c r="K2256" s="7"/>
      <c r="N2256" s="7"/>
      <c r="V2256" s="8"/>
      <c r="W2256" s="7"/>
      <c r="Y2256" s="8"/>
      <c r="Z2256" s="8"/>
      <c r="AA2256" s="8"/>
      <c r="AB2256" s="7"/>
      <c r="AD2256" s="8"/>
    </row>
    <row r="2257" spans="1:30">
      <c r="A2257" s="7"/>
      <c r="D2257" s="7"/>
      <c r="I2257" s="7"/>
      <c r="J2257" s="7"/>
      <c r="K2257" s="7"/>
      <c r="N2257" s="7"/>
      <c r="V2257" s="8"/>
      <c r="W2257" s="7"/>
      <c r="Y2257" s="8"/>
      <c r="Z2257" s="8"/>
      <c r="AA2257" s="8"/>
      <c r="AB2257" s="7"/>
      <c r="AD2257" s="8"/>
    </row>
    <row r="2258" spans="1:30">
      <c r="A2258" s="7"/>
      <c r="D2258" s="7"/>
      <c r="I2258" s="7"/>
      <c r="J2258" s="7"/>
      <c r="K2258" s="7"/>
      <c r="N2258" s="7"/>
      <c r="V2258" s="8"/>
      <c r="W2258" s="7"/>
      <c r="Y2258" s="8"/>
      <c r="Z2258" s="8"/>
      <c r="AA2258" s="8"/>
      <c r="AB2258" s="7"/>
      <c r="AD2258" s="8"/>
    </row>
    <row r="2259" spans="1:30">
      <c r="A2259" s="7"/>
      <c r="D2259" s="7"/>
      <c r="I2259" s="7"/>
      <c r="J2259" s="7"/>
      <c r="K2259" s="7"/>
      <c r="N2259" s="7"/>
      <c r="V2259" s="8"/>
      <c r="W2259" s="7"/>
      <c r="Y2259" s="8"/>
      <c r="Z2259" s="8"/>
      <c r="AA2259" s="8"/>
      <c r="AB2259" s="7"/>
      <c r="AD2259" s="8"/>
    </row>
    <row r="2260" spans="1:30">
      <c r="A2260" s="7"/>
      <c r="D2260" s="7"/>
      <c r="I2260" s="7"/>
      <c r="J2260" s="7"/>
      <c r="K2260" s="7"/>
      <c r="N2260" s="7"/>
      <c r="V2260" s="8"/>
      <c r="W2260" s="7"/>
      <c r="Y2260" s="8"/>
      <c r="Z2260" s="8"/>
      <c r="AA2260" s="8"/>
      <c r="AB2260" s="7"/>
      <c r="AD2260" s="8"/>
    </row>
    <row r="2261" spans="1:30">
      <c r="A2261" s="7"/>
      <c r="D2261" s="7"/>
      <c r="I2261" s="7"/>
      <c r="J2261" s="7"/>
      <c r="K2261" s="7"/>
      <c r="N2261" s="7"/>
      <c r="V2261" s="8"/>
      <c r="W2261" s="7"/>
      <c r="Y2261" s="8"/>
      <c r="Z2261" s="8"/>
      <c r="AA2261" s="8"/>
      <c r="AB2261" s="7"/>
      <c r="AD2261" s="8"/>
    </row>
    <row r="2262" spans="1:30">
      <c r="A2262" s="7"/>
      <c r="D2262" s="7"/>
      <c r="I2262" s="7"/>
      <c r="J2262" s="7"/>
      <c r="K2262" s="7"/>
      <c r="N2262" s="7"/>
      <c r="V2262" s="8"/>
      <c r="W2262" s="7"/>
      <c r="Y2262" s="8"/>
      <c r="Z2262" s="8"/>
      <c r="AA2262" s="8"/>
      <c r="AB2262" s="7"/>
      <c r="AD2262" s="8"/>
    </row>
    <row r="2263" spans="1:30">
      <c r="A2263" s="7"/>
      <c r="D2263" s="7"/>
      <c r="I2263" s="7"/>
      <c r="J2263" s="7"/>
      <c r="K2263" s="7"/>
      <c r="N2263" s="7"/>
      <c r="V2263" s="8"/>
      <c r="W2263" s="7"/>
      <c r="Y2263" s="8"/>
      <c r="Z2263" s="8"/>
      <c r="AA2263" s="8"/>
      <c r="AB2263" s="7"/>
      <c r="AD2263" s="8"/>
    </row>
    <row r="2264" spans="1:30">
      <c r="A2264" s="7"/>
      <c r="D2264" s="7"/>
      <c r="I2264" s="7"/>
      <c r="J2264" s="7"/>
      <c r="K2264" s="7"/>
      <c r="N2264" s="7"/>
      <c r="V2264" s="8"/>
      <c r="W2264" s="7"/>
      <c r="Y2264" s="8"/>
      <c r="Z2264" s="8"/>
      <c r="AA2264" s="8"/>
      <c r="AB2264" s="7"/>
      <c r="AD2264" s="8"/>
    </row>
    <row r="2265" spans="1:30">
      <c r="A2265" s="7"/>
      <c r="D2265" s="7"/>
      <c r="I2265" s="7"/>
      <c r="J2265" s="7"/>
      <c r="K2265" s="7"/>
      <c r="N2265" s="7"/>
      <c r="V2265" s="8"/>
      <c r="W2265" s="7"/>
      <c r="Y2265" s="8"/>
      <c r="Z2265" s="8"/>
      <c r="AA2265" s="8"/>
      <c r="AB2265" s="7"/>
      <c r="AD2265" s="8"/>
    </row>
    <row r="2266" spans="1:30">
      <c r="A2266" s="7"/>
      <c r="D2266" s="7"/>
      <c r="I2266" s="7"/>
      <c r="J2266" s="7"/>
      <c r="K2266" s="7"/>
      <c r="N2266" s="7"/>
      <c r="V2266" s="8"/>
      <c r="W2266" s="7"/>
      <c r="Y2266" s="8"/>
      <c r="Z2266" s="8"/>
      <c r="AA2266" s="8"/>
      <c r="AB2266" s="7"/>
      <c r="AD2266" s="8"/>
    </row>
    <row r="2267" spans="1:30">
      <c r="A2267" s="7"/>
      <c r="D2267" s="7"/>
      <c r="I2267" s="7"/>
      <c r="J2267" s="7"/>
      <c r="K2267" s="7"/>
      <c r="N2267" s="7"/>
      <c r="V2267" s="8"/>
      <c r="W2267" s="7"/>
      <c r="Y2267" s="8"/>
      <c r="Z2267" s="8"/>
      <c r="AA2267" s="8"/>
      <c r="AB2267" s="7"/>
      <c r="AD2267" s="8"/>
    </row>
    <row r="2268" spans="1:30">
      <c r="A2268" s="7"/>
      <c r="D2268" s="7"/>
      <c r="I2268" s="7"/>
      <c r="J2268" s="7"/>
      <c r="K2268" s="7"/>
      <c r="N2268" s="7"/>
      <c r="V2268" s="8"/>
      <c r="W2268" s="7"/>
      <c r="Y2268" s="8"/>
      <c r="Z2268" s="8"/>
      <c r="AA2268" s="8"/>
      <c r="AB2268" s="7"/>
      <c r="AD2268" s="8"/>
    </row>
    <row r="2269" spans="1:30">
      <c r="A2269" s="7"/>
      <c r="D2269" s="7"/>
      <c r="I2269" s="7"/>
      <c r="J2269" s="7"/>
      <c r="K2269" s="7"/>
      <c r="N2269" s="7"/>
      <c r="V2269" s="8"/>
      <c r="W2269" s="7"/>
      <c r="Y2269" s="8"/>
      <c r="Z2269" s="8"/>
      <c r="AA2269" s="8"/>
      <c r="AB2269" s="7"/>
      <c r="AD2269" s="8"/>
    </row>
    <row r="2270" spans="1:30">
      <c r="A2270" s="7"/>
      <c r="D2270" s="7"/>
      <c r="I2270" s="7"/>
      <c r="J2270" s="7"/>
      <c r="K2270" s="7"/>
      <c r="N2270" s="7"/>
      <c r="V2270" s="8"/>
      <c r="W2270" s="7"/>
      <c r="Y2270" s="8"/>
      <c r="Z2270" s="8"/>
      <c r="AA2270" s="8"/>
      <c r="AB2270" s="7"/>
      <c r="AD2270" s="8"/>
    </row>
    <row r="2271" spans="1:30">
      <c r="A2271" s="7"/>
      <c r="D2271" s="7"/>
      <c r="I2271" s="7"/>
      <c r="J2271" s="7"/>
      <c r="K2271" s="7"/>
      <c r="N2271" s="7"/>
      <c r="V2271" s="8"/>
      <c r="W2271" s="7"/>
      <c r="Y2271" s="8"/>
      <c r="Z2271" s="8"/>
      <c r="AA2271" s="8"/>
      <c r="AB2271" s="7"/>
      <c r="AD2271" s="8"/>
    </row>
    <row r="2272" spans="1:30">
      <c r="A2272" s="7"/>
      <c r="D2272" s="7"/>
      <c r="I2272" s="7"/>
      <c r="J2272" s="7"/>
      <c r="K2272" s="7"/>
      <c r="N2272" s="7"/>
      <c r="V2272" s="8"/>
      <c r="W2272" s="7"/>
      <c r="Y2272" s="8"/>
      <c r="Z2272" s="8"/>
      <c r="AA2272" s="8"/>
      <c r="AB2272" s="7"/>
      <c r="AD2272" s="8"/>
    </row>
    <row r="2273" spans="1:30">
      <c r="A2273" s="7"/>
      <c r="D2273" s="7"/>
      <c r="I2273" s="7"/>
      <c r="J2273" s="7"/>
      <c r="K2273" s="7"/>
      <c r="N2273" s="7"/>
      <c r="V2273" s="8"/>
      <c r="W2273" s="7"/>
      <c r="Y2273" s="8"/>
      <c r="Z2273" s="8"/>
      <c r="AA2273" s="8"/>
      <c r="AB2273" s="7"/>
      <c r="AD2273" s="8"/>
    </row>
    <row r="2274" spans="1:30">
      <c r="A2274" s="7"/>
      <c r="D2274" s="7"/>
      <c r="I2274" s="7"/>
      <c r="J2274" s="7"/>
      <c r="K2274" s="7"/>
      <c r="N2274" s="7"/>
      <c r="V2274" s="8"/>
      <c r="W2274" s="7"/>
      <c r="Y2274" s="8"/>
      <c r="Z2274" s="8"/>
      <c r="AA2274" s="8"/>
      <c r="AB2274" s="7"/>
      <c r="AD2274" s="8"/>
    </row>
    <row r="2275" spans="1:30">
      <c r="A2275" s="7"/>
      <c r="D2275" s="7"/>
      <c r="I2275" s="7"/>
      <c r="J2275" s="7"/>
      <c r="K2275" s="7"/>
      <c r="N2275" s="7"/>
      <c r="V2275" s="8"/>
      <c r="W2275" s="7"/>
      <c r="Y2275" s="8"/>
      <c r="Z2275" s="8"/>
      <c r="AA2275" s="8"/>
      <c r="AB2275" s="7"/>
      <c r="AD2275" s="8"/>
    </row>
    <row r="2276" spans="1:30">
      <c r="A2276" s="7"/>
      <c r="D2276" s="7"/>
      <c r="I2276" s="7"/>
      <c r="J2276" s="7"/>
      <c r="K2276" s="7"/>
      <c r="N2276" s="7"/>
      <c r="V2276" s="8"/>
      <c r="W2276" s="7"/>
      <c r="Y2276" s="8"/>
      <c r="Z2276" s="8"/>
      <c r="AA2276" s="8"/>
      <c r="AB2276" s="7"/>
      <c r="AD2276" s="8"/>
    </row>
    <row r="2277" spans="1:30">
      <c r="A2277" s="7"/>
      <c r="D2277" s="7"/>
      <c r="I2277" s="7"/>
      <c r="J2277" s="7"/>
      <c r="K2277" s="7"/>
      <c r="N2277" s="7"/>
      <c r="V2277" s="8"/>
      <c r="W2277" s="7"/>
      <c r="Y2277" s="8"/>
      <c r="Z2277" s="8"/>
      <c r="AA2277" s="8"/>
      <c r="AB2277" s="7"/>
      <c r="AD2277" s="8"/>
    </row>
    <row r="2278" spans="1:30">
      <c r="A2278" s="7"/>
      <c r="D2278" s="7"/>
      <c r="I2278" s="7"/>
      <c r="J2278" s="7"/>
      <c r="K2278" s="7"/>
      <c r="N2278" s="7"/>
      <c r="V2278" s="8"/>
      <c r="W2278" s="7"/>
      <c r="Y2278" s="8"/>
      <c r="Z2278" s="8"/>
      <c r="AA2278" s="8"/>
      <c r="AB2278" s="7"/>
      <c r="AD2278" s="8"/>
    </row>
    <row r="2279" spans="1:30">
      <c r="A2279" s="7"/>
      <c r="D2279" s="7"/>
      <c r="I2279" s="7"/>
      <c r="J2279" s="7"/>
      <c r="K2279" s="7"/>
      <c r="N2279" s="7"/>
      <c r="V2279" s="8"/>
      <c r="W2279" s="7"/>
      <c r="Y2279" s="8"/>
      <c r="Z2279" s="8"/>
      <c r="AA2279" s="8"/>
      <c r="AB2279" s="7"/>
      <c r="AD2279" s="8"/>
    </row>
    <row r="2280" spans="1:30">
      <c r="A2280" s="7"/>
      <c r="D2280" s="7"/>
      <c r="I2280" s="7"/>
      <c r="J2280" s="7"/>
      <c r="K2280" s="7"/>
      <c r="N2280" s="7"/>
      <c r="V2280" s="8"/>
      <c r="W2280" s="7"/>
      <c r="Y2280" s="8"/>
      <c r="Z2280" s="8"/>
      <c r="AA2280" s="8"/>
      <c r="AB2280" s="7"/>
      <c r="AD2280" s="8"/>
    </row>
    <row r="2281" spans="1:30">
      <c r="A2281" s="7"/>
      <c r="D2281" s="7"/>
      <c r="I2281" s="7"/>
      <c r="J2281" s="7"/>
      <c r="K2281" s="7"/>
      <c r="N2281" s="7"/>
      <c r="V2281" s="8"/>
      <c r="W2281" s="7"/>
      <c r="Y2281" s="8"/>
      <c r="Z2281" s="8"/>
      <c r="AA2281" s="8"/>
      <c r="AB2281" s="7"/>
      <c r="AD2281" s="8"/>
    </row>
    <row r="2282" spans="1:30">
      <c r="A2282" s="7"/>
      <c r="D2282" s="7"/>
      <c r="I2282" s="7"/>
      <c r="J2282" s="7"/>
      <c r="K2282" s="7"/>
      <c r="N2282" s="7"/>
      <c r="V2282" s="8"/>
      <c r="W2282" s="7"/>
      <c r="Y2282" s="8"/>
      <c r="Z2282" s="8"/>
      <c r="AA2282" s="8"/>
      <c r="AB2282" s="7"/>
      <c r="AD2282" s="8"/>
    </row>
    <row r="2283" spans="1:30">
      <c r="A2283" s="7"/>
      <c r="D2283" s="7"/>
      <c r="I2283" s="7"/>
      <c r="J2283" s="7"/>
      <c r="K2283" s="7"/>
      <c r="N2283" s="7"/>
      <c r="V2283" s="8"/>
      <c r="W2283" s="7"/>
      <c r="Y2283" s="8"/>
      <c r="Z2283" s="8"/>
      <c r="AA2283" s="8"/>
      <c r="AB2283" s="7"/>
      <c r="AD2283" s="8"/>
    </row>
    <row r="2284" spans="1:30">
      <c r="A2284" s="7"/>
      <c r="D2284" s="7"/>
      <c r="I2284" s="7"/>
      <c r="J2284" s="7"/>
      <c r="K2284" s="7"/>
      <c r="N2284" s="7"/>
      <c r="V2284" s="8"/>
      <c r="W2284" s="7"/>
      <c r="Y2284" s="8"/>
      <c r="Z2284" s="8"/>
      <c r="AA2284" s="8"/>
      <c r="AB2284" s="7"/>
      <c r="AD2284" s="8"/>
    </row>
    <row r="2285" spans="1:30">
      <c r="A2285" s="7"/>
      <c r="D2285" s="7"/>
      <c r="I2285" s="7"/>
      <c r="J2285" s="7"/>
      <c r="K2285" s="7"/>
      <c r="N2285" s="7"/>
      <c r="V2285" s="8"/>
      <c r="W2285" s="7"/>
      <c r="Y2285" s="8"/>
      <c r="Z2285" s="8"/>
      <c r="AA2285" s="8"/>
      <c r="AB2285" s="7"/>
      <c r="AD2285" s="8"/>
    </row>
    <row r="2286" spans="1:30">
      <c r="A2286" s="7"/>
      <c r="D2286" s="7"/>
      <c r="I2286" s="7"/>
      <c r="J2286" s="7"/>
      <c r="K2286" s="7"/>
      <c r="N2286" s="7"/>
      <c r="V2286" s="8"/>
      <c r="W2286" s="7"/>
      <c r="Y2286" s="8"/>
      <c r="Z2286" s="8"/>
      <c r="AA2286" s="8"/>
      <c r="AB2286" s="7"/>
      <c r="AD2286" s="8"/>
    </row>
    <row r="2287" spans="1:30">
      <c r="A2287" s="7"/>
      <c r="D2287" s="7"/>
      <c r="I2287" s="7"/>
      <c r="J2287" s="7"/>
      <c r="K2287" s="7"/>
      <c r="N2287" s="7"/>
      <c r="V2287" s="8"/>
      <c r="W2287" s="7"/>
      <c r="Y2287" s="8"/>
      <c r="Z2287" s="8"/>
      <c r="AA2287" s="8"/>
      <c r="AB2287" s="7"/>
      <c r="AD2287" s="8"/>
    </row>
    <row r="2288" spans="1:30">
      <c r="A2288" s="7"/>
      <c r="D2288" s="7"/>
      <c r="I2288" s="7"/>
      <c r="J2288" s="7"/>
      <c r="K2288" s="7"/>
      <c r="N2288" s="7"/>
      <c r="V2288" s="8"/>
      <c r="W2288" s="7"/>
      <c r="Y2288" s="8"/>
      <c r="Z2288" s="8"/>
      <c r="AA2288" s="8"/>
      <c r="AB2288" s="7"/>
      <c r="AD2288" s="8"/>
    </row>
    <row r="2289" spans="1:30">
      <c r="A2289" s="7"/>
      <c r="D2289" s="7"/>
      <c r="I2289" s="7"/>
      <c r="J2289" s="7"/>
      <c r="K2289" s="7"/>
      <c r="N2289" s="7"/>
      <c r="V2289" s="8"/>
      <c r="W2289" s="7"/>
      <c r="Y2289" s="8"/>
      <c r="Z2289" s="8"/>
      <c r="AA2289" s="8"/>
      <c r="AB2289" s="7"/>
      <c r="AD2289" s="8"/>
    </row>
    <row r="2290" spans="1:30">
      <c r="A2290" s="7"/>
      <c r="D2290" s="7"/>
      <c r="I2290" s="7"/>
      <c r="J2290" s="7"/>
      <c r="K2290" s="7"/>
      <c r="N2290" s="7"/>
      <c r="V2290" s="8"/>
      <c r="W2290" s="7"/>
      <c r="Y2290" s="8"/>
      <c r="Z2290" s="8"/>
      <c r="AA2290" s="8"/>
      <c r="AB2290" s="7"/>
      <c r="AD2290" s="8"/>
    </row>
    <row r="2291" spans="1:30">
      <c r="A2291" s="7"/>
      <c r="D2291" s="7"/>
      <c r="I2291" s="7"/>
      <c r="J2291" s="7"/>
      <c r="K2291" s="7"/>
      <c r="N2291" s="7"/>
      <c r="V2291" s="8"/>
      <c r="W2291" s="7"/>
      <c r="Y2291" s="8"/>
      <c r="Z2291" s="8"/>
      <c r="AA2291" s="8"/>
      <c r="AB2291" s="7"/>
      <c r="AD2291" s="8"/>
    </row>
    <row r="2292" spans="1:30">
      <c r="A2292" s="7"/>
      <c r="D2292" s="7"/>
      <c r="I2292" s="7"/>
      <c r="J2292" s="7"/>
      <c r="K2292" s="7"/>
      <c r="N2292" s="7"/>
      <c r="V2292" s="8"/>
      <c r="W2292" s="7"/>
      <c r="Y2292" s="8"/>
      <c r="Z2292" s="8"/>
      <c r="AA2292" s="8"/>
      <c r="AB2292" s="7"/>
      <c r="AD2292" s="8"/>
    </row>
    <row r="2293" spans="1:30">
      <c r="A2293" s="7"/>
      <c r="D2293" s="7"/>
      <c r="I2293" s="7"/>
      <c r="J2293" s="7"/>
      <c r="K2293" s="7"/>
      <c r="N2293" s="7"/>
      <c r="V2293" s="8"/>
      <c r="W2293" s="7"/>
      <c r="Y2293" s="8"/>
      <c r="Z2293" s="8"/>
      <c r="AA2293" s="8"/>
      <c r="AB2293" s="7"/>
      <c r="AD2293" s="8"/>
    </row>
    <row r="2294" spans="1:30">
      <c r="A2294" s="7"/>
      <c r="D2294" s="7"/>
      <c r="I2294" s="7"/>
      <c r="J2294" s="7"/>
      <c r="K2294" s="7"/>
      <c r="N2294" s="7"/>
      <c r="V2294" s="8"/>
      <c r="W2294" s="7"/>
      <c r="Y2294" s="8"/>
      <c r="Z2294" s="8"/>
      <c r="AA2294" s="8"/>
      <c r="AB2294" s="7"/>
      <c r="AD2294" s="8"/>
    </row>
    <row r="2295" spans="1:30">
      <c r="A2295" s="7"/>
      <c r="D2295" s="7"/>
      <c r="I2295" s="7"/>
      <c r="J2295" s="7"/>
      <c r="K2295" s="7"/>
      <c r="N2295" s="7"/>
      <c r="V2295" s="8"/>
      <c r="W2295" s="7"/>
      <c r="Y2295" s="8"/>
      <c r="Z2295" s="8"/>
      <c r="AA2295" s="8"/>
      <c r="AB2295" s="7"/>
      <c r="AD2295" s="8"/>
    </row>
    <row r="2296" spans="1:30">
      <c r="A2296" s="7"/>
      <c r="D2296" s="7"/>
      <c r="I2296" s="7"/>
      <c r="J2296" s="7"/>
      <c r="K2296" s="7"/>
      <c r="N2296" s="7"/>
      <c r="V2296" s="8"/>
      <c r="W2296" s="7"/>
      <c r="Y2296" s="8"/>
      <c r="Z2296" s="8"/>
      <c r="AA2296" s="8"/>
      <c r="AB2296" s="7"/>
      <c r="AD2296" s="8"/>
    </row>
    <row r="2297" spans="1:30">
      <c r="A2297" s="7"/>
      <c r="D2297" s="7"/>
      <c r="I2297" s="7"/>
      <c r="J2297" s="7"/>
      <c r="K2297" s="7"/>
      <c r="N2297" s="7"/>
      <c r="V2297" s="8"/>
      <c r="W2297" s="7"/>
      <c r="Y2297" s="8"/>
      <c r="Z2297" s="8"/>
      <c r="AA2297" s="8"/>
      <c r="AB2297" s="7"/>
      <c r="AD2297" s="8"/>
    </row>
    <row r="2298" spans="1:30">
      <c r="A2298" s="7"/>
      <c r="D2298" s="7"/>
      <c r="I2298" s="7"/>
      <c r="J2298" s="7"/>
      <c r="K2298" s="7"/>
      <c r="N2298" s="7"/>
      <c r="V2298" s="8"/>
      <c r="W2298" s="7"/>
      <c r="Y2298" s="8"/>
      <c r="Z2298" s="8"/>
      <c r="AA2298" s="8"/>
      <c r="AB2298" s="7"/>
      <c r="AD2298" s="8"/>
    </row>
    <row r="2299" spans="1:30">
      <c r="A2299" s="7"/>
      <c r="D2299" s="7"/>
      <c r="I2299" s="7"/>
      <c r="J2299" s="7"/>
      <c r="K2299" s="7"/>
      <c r="N2299" s="7"/>
      <c r="V2299" s="8"/>
      <c r="W2299" s="7"/>
      <c r="Y2299" s="8"/>
      <c r="Z2299" s="8"/>
      <c r="AA2299" s="8"/>
      <c r="AB2299" s="7"/>
      <c r="AD2299" s="8"/>
    </row>
    <row r="2300" spans="1:30">
      <c r="A2300" s="7"/>
      <c r="D2300" s="7"/>
      <c r="I2300" s="7"/>
      <c r="J2300" s="7"/>
      <c r="K2300" s="7"/>
      <c r="N2300" s="7"/>
      <c r="V2300" s="8"/>
      <c r="W2300" s="7"/>
      <c r="Y2300" s="8"/>
      <c r="Z2300" s="8"/>
      <c r="AA2300" s="8"/>
      <c r="AB2300" s="7"/>
      <c r="AD2300" s="8"/>
    </row>
    <row r="2301" spans="1:30">
      <c r="A2301" s="7"/>
      <c r="D2301" s="7"/>
      <c r="I2301" s="7"/>
      <c r="J2301" s="7"/>
      <c r="K2301" s="7"/>
      <c r="N2301" s="7"/>
      <c r="V2301" s="8"/>
      <c r="W2301" s="7"/>
      <c r="Y2301" s="8"/>
      <c r="Z2301" s="8"/>
      <c r="AA2301" s="8"/>
      <c r="AB2301" s="7"/>
      <c r="AD2301" s="8"/>
    </row>
    <row r="2302" spans="1:30">
      <c r="A2302" s="7"/>
      <c r="D2302" s="7"/>
      <c r="I2302" s="7"/>
      <c r="J2302" s="7"/>
      <c r="K2302" s="7"/>
      <c r="N2302" s="7"/>
      <c r="V2302" s="8"/>
      <c r="W2302" s="7"/>
      <c r="Y2302" s="8"/>
      <c r="Z2302" s="8"/>
      <c r="AA2302" s="8"/>
      <c r="AB2302" s="7"/>
      <c r="AD2302" s="8"/>
    </row>
    <row r="2303" spans="1:30">
      <c r="A2303" s="7"/>
      <c r="D2303" s="7"/>
      <c r="I2303" s="7"/>
      <c r="J2303" s="7"/>
      <c r="K2303" s="7"/>
      <c r="N2303" s="7"/>
      <c r="V2303" s="8"/>
      <c r="W2303" s="7"/>
      <c r="Y2303" s="8"/>
      <c r="Z2303" s="8"/>
      <c r="AA2303" s="8"/>
      <c r="AB2303" s="7"/>
      <c r="AD2303" s="8"/>
    </row>
    <row r="2304" spans="1:30">
      <c r="A2304" s="7"/>
      <c r="D2304" s="7"/>
      <c r="I2304" s="7"/>
      <c r="J2304" s="7"/>
      <c r="K2304" s="7"/>
      <c r="N2304" s="7"/>
      <c r="V2304" s="8"/>
      <c r="W2304" s="7"/>
      <c r="Y2304" s="8"/>
      <c r="Z2304" s="8"/>
      <c r="AA2304" s="8"/>
      <c r="AB2304" s="7"/>
      <c r="AD2304" s="8"/>
    </row>
    <row r="2305" spans="1:30">
      <c r="A2305" s="7"/>
      <c r="D2305" s="7"/>
      <c r="I2305" s="7"/>
      <c r="J2305" s="7"/>
      <c r="K2305" s="7"/>
      <c r="N2305" s="7"/>
      <c r="V2305" s="8"/>
      <c r="W2305" s="7"/>
      <c r="Y2305" s="8"/>
      <c r="Z2305" s="8"/>
      <c r="AA2305" s="8"/>
      <c r="AB2305" s="7"/>
      <c r="AD2305" s="8"/>
    </row>
    <row r="2306" spans="1:30">
      <c r="A2306" s="7"/>
      <c r="D2306" s="7"/>
      <c r="I2306" s="7"/>
      <c r="J2306" s="7"/>
      <c r="K2306" s="7"/>
      <c r="N2306" s="7"/>
      <c r="V2306" s="8"/>
      <c r="W2306" s="7"/>
      <c r="Y2306" s="8"/>
      <c r="Z2306" s="8"/>
      <c r="AA2306" s="8"/>
      <c r="AB2306" s="7"/>
      <c r="AD2306" s="8"/>
    </row>
    <row r="2307" spans="1:30">
      <c r="A2307" s="7"/>
      <c r="D2307" s="7"/>
      <c r="I2307" s="7"/>
      <c r="J2307" s="7"/>
      <c r="K2307" s="7"/>
      <c r="N2307" s="7"/>
      <c r="V2307" s="8"/>
      <c r="W2307" s="7"/>
      <c r="Y2307" s="8"/>
      <c r="Z2307" s="8"/>
      <c r="AA2307" s="8"/>
      <c r="AB2307" s="7"/>
      <c r="AD2307" s="8"/>
    </row>
    <row r="2308" spans="1:30">
      <c r="A2308" s="7"/>
      <c r="D2308" s="7"/>
      <c r="I2308" s="7"/>
      <c r="J2308" s="7"/>
      <c r="K2308" s="7"/>
      <c r="N2308" s="7"/>
      <c r="V2308" s="8"/>
      <c r="W2308" s="7"/>
      <c r="Y2308" s="8"/>
      <c r="Z2308" s="8"/>
      <c r="AA2308" s="8"/>
      <c r="AB2308" s="7"/>
      <c r="AD2308" s="8"/>
    </row>
    <row r="2309" spans="1:30">
      <c r="A2309" s="7"/>
      <c r="D2309" s="7"/>
      <c r="I2309" s="7"/>
      <c r="J2309" s="7"/>
      <c r="K2309" s="7"/>
      <c r="N2309" s="7"/>
      <c r="V2309" s="8"/>
      <c r="W2309" s="7"/>
      <c r="Y2309" s="8"/>
      <c r="Z2309" s="8"/>
      <c r="AA2309" s="8"/>
      <c r="AB2309" s="7"/>
      <c r="AD2309" s="8"/>
    </row>
    <row r="2310" spans="1:30">
      <c r="A2310" s="7"/>
      <c r="D2310" s="7"/>
      <c r="I2310" s="7"/>
      <c r="J2310" s="7"/>
      <c r="K2310" s="7"/>
      <c r="N2310" s="7"/>
      <c r="V2310" s="8"/>
      <c r="W2310" s="7"/>
      <c r="Y2310" s="8"/>
      <c r="Z2310" s="8"/>
      <c r="AA2310" s="8"/>
      <c r="AB2310" s="7"/>
      <c r="AD2310" s="8"/>
    </row>
    <row r="2311" spans="1:30">
      <c r="A2311" s="7"/>
      <c r="D2311" s="7"/>
      <c r="I2311" s="7"/>
      <c r="J2311" s="7"/>
      <c r="K2311" s="7"/>
      <c r="N2311" s="7"/>
      <c r="V2311" s="8"/>
      <c r="W2311" s="7"/>
      <c r="Y2311" s="8"/>
      <c r="Z2311" s="8"/>
      <c r="AA2311" s="8"/>
      <c r="AB2311" s="7"/>
      <c r="AD2311" s="8"/>
    </row>
    <row r="2312" spans="1:30">
      <c r="A2312" s="7"/>
      <c r="D2312" s="7"/>
      <c r="I2312" s="7"/>
      <c r="J2312" s="7"/>
      <c r="K2312" s="7"/>
      <c r="N2312" s="7"/>
      <c r="V2312" s="8"/>
      <c r="W2312" s="7"/>
      <c r="Y2312" s="8"/>
      <c r="Z2312" s="8"/>
      <c r="AA2312" s="8"/>
      <c r="AB2312" s="7"/>
      <c r="AD2312" s="8"/>
    </row>
    <row r="2313" spans="1:30">
      <c r="A2313" s="7"/>
      <c r="D2313" s="7"/>
      <c r="I2313" s="7"/>
      <c r="J2313" s="7"/>
      <c r="K2313" s="7"/>
      <c r="N2313" s="7"/>
      <c r="V2313" s="8"/>
      <c r="W2313" s="7"/>
      <c r="Y2313" s="8"/>
      <c r="Z2313" s="8"/>
      <c r="AA2313" s="8"/>
      <c r="AB2313" s="7"/>
      <c r="AD2313" s="8"/>
    </row>
    <row r="2314" spans="1:30">
      <c r="A2314" s="7"/>
      <c r="D2314" s="7"/>
      <c r="I2314" s="7"/>
      <c r="J2314" s="7"/>
      <c r="K2314" s="7"/>
      <c r="N2314" s="7"/>
      <c r="V2314" s="8"/>
      <c r="W2314" s="7"/>
      <c r="Y2314" s="8"/>
      <c r="Z2314" s="8"/>
      <c r="AA2314" s="8"/>
      <c r="AB2314" s="7"/>
      <c r="AD2314" s="8"/>
    </row>
    <row r="2315" spans="1:30">
      <c r="A2315" s="7"/>
      <c r="D2315" s="7"/>
      <c r="I2315" s="7"/>
      <c r="J2315" s="7"/>
      <c r="K2315" s="7"/>
      <c r="N2315" s="7"/>
      <c r="V2315" s="8"/>
      <c r="W2315" s="7"/>
      <c r="Y2315" s="8"/>
      <c r="Z2315" s="8"/>
      <c r="AA2315" s="8"/>
      <c r="AB2315" s="7"/>
      <c r="AD2315" s="8"/>
    </row>
    <row r="2316" spans="1:30">
      <c r="A2316" s="7"/>
      <c r="D2316" s="7"/>
      <c r="I2316" s="7"/>
      <c r="J2316" s="7"/>
      <c r="K2316" s="7"/>
      <c r="N2316" s="7"/>
      <c r="V2316" s="8"/>
      <c r="W2316" s="7"/>
      <c r="Y2316" s="8"/>
      <c r="Z2316" s="8"/>
      <c r="AA2316" s="8"/>
      <c r="AB2316" s="7"/>
      <c r="AD2316" s="8"/>
    </row>
    <row r="2317" spans="1:30">
      <c r="A2317" s="7"/>
      <c r="D2317" s="7"/>
      <c r="I2317" s="7"/>
      <c r="J2317" s="7"/>
      <c r="K2317" s="7"/>
      <c r="N2317" s="7"/>
      <c r="V2317" s="8"/>
      <c r="W2317" s="7"/>
      <c r="Y2317" s="8"/>
      <c r="Z2317" s="8"/>
      <c r="AA2317" s="8"/>
      <c r="AB2317" s="7"/>
      <c r="AD2317" s="8"/>
    </row>
    <row r="2318" spans="1:30">
      <c r="A2318" s="7"/>
      <c r="D2318" s="7"/>
      <c r="I2318" s="7"/>
      <c r="J2318" s="7"/>
      <c r="K2318" s="7"/>
      <c r="N2318" s="7"/>
      <c r="V2318" s="8"/>
      <c r="W2318" s="7"/>
      <c r="Y2318" s="8"/>
      <c r="Z2318" s="8"/>
      <c r="AA2318" s="8"/>
      <c r="AB2318" s="7"/>
      <c r="AD2318" s="8"/>
    </row>
    <row r="2319" spans="1:30">
      <c r="A2319" s="7"/>
      <c r="D2319" s="7"/>
      <c r="I2319" s="7"/>
      <c r="J2319" s="7"/>
      <c r="K2319" s="7"/>
      <c r="N2319" s="7"/>
      <c r="V2319" s="8"/>
      <c r="W2319" s="7"/>
      <c r="Y2319" s="8"/>
      <c r="Z2319" s="8"/>
      <c r="AA2319" s="8"/>
      <c r="AB2319" s="7"/>
      <c r="AD2319" s="8"/>
    </row>
    <row r="2320" spans="1:30">
      <c r="A2320" s="7"/>
      <c r="D2320" s="7"/>
      <c r="I2320" s="7"/>
      <c r="J2320" s="7"/>
      <c r="K2320" s="7"/>
      <c r="N2320" s="7"/>
      <c r="V2320" s="8"/>
      <c r="W2320" s="7"/>
      <c r="Y2320" s="8"/>
      <c r="Z2320" s="8"/>
      <c r="AA2320" s="8"/>
      <c r="AB2320" s="7"/>
      <c r="AD2320" s="8"/>
    </row>
    <row r="2321" spans="1:30">
      <c r="A2321" s="7"/>
      <c r="D2321" s="7"/>
      <c r="I2321" s="7"/>
      <c r="J2321" s="7"/>
      <c r="K2321" s="7"/>
      <c r="N2321" s="7"/>
      <c r="V2321" s="8"/>
      <c r="W2321" s="7"/>
      <c r="Y2321" s="8"/>
      <c r="Z2321" s="8"/>
      <c r="AA2321" s="8"/>
      <c r="AB2321" s="7"/>
      <c r="AD2321" s="8"/>
    </row>
    <row r="2322" spans="1:30">
      <c r="A2322" s="7"/>
      <c r="D2322" s="7"/>
      <c r="I2322" s="7"/>
      <c r="J2322" s="7"/>
      <c r="K2322" s="7"/>
      <c r="N2322" s="7"/>
      <c r="V2322" s="8"/>
      <c r="W2322" s="7"/>
      <c r="Y2322" s="8"/>
      <c r="Z2322" s="8"/>
      <c r="AA2322" s="8"/>
      <c r="AB2322" s="7"/>
      <c r="AD2322" s="8"/>
    </row>
    <row r="2323" spans="1:30">
      <c r="A2323" s="7"/>
      <c r="D2323" s="7"/>
      <c r="I2323" s="7"/>
      <c r="J2323" s="7"/>
      <c r="K2323" s="7"/>
      <c r="N2323" s="7"/>
      <c r="V2323" s="8"/>
      <c r="W2323" s="7"/>
      <c r="Y2323" s="8"/>
      <c r="Z2323" s="8"/>
      <c r="AA2323" s="8"/>
      <c r="AB2323" s="7"/>
      <c r="AD2323" s="8"/>
    </row>
    <row r="2324" spans="1:30">
      <c r="A2324" s="7"/>
      <c r="D2324" s="7"/>
      <c r="I2324" s="7"/>
      <c r="J2324" s="7"/>
      <c r="K2324" s="7"/>
      <c r="N2324" s="7"/>
      <c r="V2324" s="8"/>
      <c r="W2324" s="7"/>
      <c r="Y2324" s="8"/>
      <c r="Z2324" s="8"/>
      <c r="AA2324" s="8"/>
      <c r="AB2324" s="7"/>
      <c r="AD2324" s="8"/>
    </row>
    <row r="2325" spans="1:30">
      <c r="A2325" s="7"/>
      <c r="D2325" s="7"/>
      <c r="I2325" s="7"/>
      <c r="J2325" s="7"/>
      <c r="K2325" s="7"/>
      <c r="N2325" s="7"/>
      <c r="V2325" s="8"/>
      <c r="W2325" s="7"/>
      <c r="Y2325" s="8"/>
      <c r="Z2325" s="8"/>
      <c r="AA2325" s="8"/>
      <c r="AB2325" s="7"/>
      <c r="AD2325" s="8"/>
    </row>
    <row r="2326" spans="1:30">
      <c r="A2326" s="7"/>
      <c r="D2326" s="7"/>
      <c r="I2326" s="7"/>
      <c r="J2326" s="7"/>
      <c r="K2326" s="7"/>
      <c r="N2326" s="7"/>
      <c r="V2326" s="8"/>
      <c r="W2326" s="7"/>
      <c r="Y2326" s="8"/>
      <c r="Z2326" s="8"/>
      <c r="AA2326" s="8"/>
      <c r="AB2326" s="7"/>
      <c r="AD2326" s="8"/>
    </row>
    <row r="2327" spans="1:30">
      <c r="A2327" s="7"/>
      <c r="D2327" s="7"/>
      <c r="I2327" s="7"/>
      <c r="J2327" s="7"/>
      <c r="K2327" s="7"/>
      <c r="N2327" s="7"/>
      <c r="V2327" s="8"/>
      <c r="W2327" s="7"/>
      <c r="Y2327" s="8"/>
      <c r="Z2327" s="8"/>
      <c r="AA2327" s="8"/>
      <c r="AB2327" s="7"/>
      <c r="AD2327" s="8"/>
    </row>
    <row r="2328" spans="1:30">
      <c r="A2328" s="7"/>
      <c r="D2328" s="7"/>
      <c r="I2328" s="7"/>
      <c r="J2328" s="7"/>
      <c r="K2328" s="7"/>
      <c r="N2328" s="7"/>
      <c r="V2328" s="8"/>
      <c r="W2328" s="7"/>
      <c r="Y2328" s="8"/>
      <c r="Z2328" s="8"/>
      <c r="AA2328" s="8"/>
      <c r="AB2328" s="7"/>
      <c r="AD2328" s="8"/>
    </row>
    <row r="2329" spans="1:30">
      <c r="A2329" s="7"/>
      <c r="D2329" s="7"/>
      <c r="I2329" s="7"/>
      <c r="J2329" s="7"/>
      <c r="K2329" s="7"/>
      <c r="N2329" s="7"/>
      <c r="V2329" s="8"/>
      <c r="W2329" s="7"/>
      <c r="Y2329" s="8"/>
      <c r="Z2329" s="8"/>
      <c r="AA2329" s="8"/>
      <c r="AB2329" s="7"/>
      <c r="AD2329" s="8"/>
    </row>
    <row r="2330" spans="1:30">
      <c r="A2330" s="7"/>
      <c r="D2330" s="7"/>
      <c r="I2330" s="7"/>
      <c r="J2330" s="7"/>
      <c r="K2330" s="7"/>
      <c r="N2330" s="7"/>
      <c r="V2330" s="8"/>
      <c r="W2330" s="7"/>
      <c r="Y2330" s="8"/>
      <c r="Z2330" s="8"/>
      <c r="AA2330" s="8"/>
      <c r="AB2330" s="7"/>
      <c r="AD2330" s="8"/>
    </row>
    <row r="2331" spans="1:30">
      <c r="A2331" s="7"/>
      <c r="D2331" s="7"/>
      <c r="I2331" s="7"/>
      <c r="J2331" s="7"/>
      <c r="K2331" s="7"/>
      <c r="N2331" s="7"/>
      <c r="V2331" s="8"/>
      <c r="W2331" s="7"/>
      <c r="Y2331" s="8"/>
      <c r="Z2331" s="8"/>
      <c r="AA2331" s="8"/>
      <c r="AB2331" s="7"/>
      <c r="AD2331" s="8"/>
    </row>
    <row r="2332" spans="1:30">
      <c r="A2332" s="7"/>
      <c r="D2332" s="7"/>
      <c r="I2332" s="7"/>
      <c r="J2332" s="7"/>
      <c r="K2332" s="7"/>
      <c r="N2332" s="7"/>
      <c r="V2332" s="8"/>
      <c r="W2332" s="7"/>
      <c r="Y2332" s="8"/>
      <c r="Z2332" s="8"/>
      <c r="AA2332" s="8"/>
      <c r="AB2332" s="7"/>
      <c r="AD2332" s="8"/>
    </row>
    <row r="2333" spans="1:30">
      <c r="A2333" s="7"/>
      <c r="D2333" s="7"/>
      <c r="I2333" s="7"/>
      <c r="J2333" s="7"/>
      <c r="K2333" s="7"/>
      <c r="N2333" s="7"/>
      <c r="V2333" s="8"/>
      <c r="W2333" s="7"/>
      <c r="Y2333" s="8"/>
      <c r="Z2333" s="8"/>
      <c r="AA2333" s="8"/>
      <c r="AB2333" s="7"/>
      <c r="AD2333" s="8"/>
    </row>
    <row r="2334" spans="1:30">
      <c r="A2334" s="7"/>
      <c r="D2334" s="7"/>
      <c r="I2334" s="7"/>
      <c r="J2334" s="7"/>
      <c r="K2334" s="7"/>
      <c r="N2334" s="7"/>
      <c r="V2334" s="8"/>
      <c r="W2334" s="7"/>
      <c r="Y2334" s="8"/>
      <c r="Z2334" s="8"/>
      <c r="AA2334" s="8"/>
      <c r="AB2334" s="7"/>
      <c r="AD2334" s="8"/>
    </row>
    <row r="2335" spans="1:30">
      <c r="A2335" s="7"/>
      <c r="D2335" s="7"/>
      <c r="I2335" s="7"/>
      <c r="J2335" s="7"/>
      <c r="K2335" s="7"/>
      <c r="N2335" s="7"/>
      <c r="V2335" s="8"/>
      <c r="W2335" s="7"/>
      <c r="Y2335" s="8"/>
      <c r="Z2335" s="8"/>
      <c r="AA2335" s="8"/>
      <c r="AB2335" s="7"/>
      <c r="AD2335" s="8"/>
    </row>
    <row r="2336" spans="1:30">
      <c r="A2336" s="7"/>
      <c r="D2336" s="7"/>
      <c r="I2336" s="7"/>
      <c r="J2336" s="7"/>
      <c r="K2336" s="7"/>
      <c r="N2336" s="7"/>
      <c r="V2336" s="8"/>
      <c r="W2336" s="7"/>
      <c r="Y2336" s="8"/>
      <c r="Z2336" s="8"/>
      <c r="AA2336" s="8"/>
      <c r="AB2336" s="7"/>
      <c r="AD2336" s="8"/>
    </row>
    <row r="2337" spans="1:30">
      <c r="A2337" s="7"/>
      <c r="D2337" s="7"/>
      <c r="I2337" s="7"/>
      <c r="J2337" s="7"/>
      <c r="K2337" s="7"/>
      <c r="N2337" s="7"/>
      <c r="V2337" s="8"/>
      <c r="W2337" s="7"/>
      <c r="Y2337" s="8"/>
      <c r="Z2337" s="8"/>
      <c r="AA2337" s="8"/>
      <c r="AB2337" s="7"/>
      <c r="AD2337" s="8"/>
    </row>
    <row r="2338" spans="1:30">
      <c r="A2338" s="7"/>
      <c r="D2338" s="7"/>
      <c r="I2338" s="7"/>
      <c r="J2338" s="7"/>
      <c r="K2338" s="7"/>
      <c r="N2338" s="7"/>
      <c r="V2338" s="8"/>
      <c r="W2338" s="7"/>
      <c r="Y2338" s="8"/>
      <c r="Z2338" s="8"/>
      <c r="AA2338" s="8"/>
      <c r="AB2338" s="7"/>
      <c r="AD2338" s="8"/>
    </row>
    <row r="2339" spans="1:30">
      <c r="A2339" s="7"/>
      <c r="D2339" s="7"/>
      <c r="I2339" s="7"/>
      <c r="J2339" s="7"/>
      <c r="K2339" s="7"/>
      <c r="N2339" s="7"/>
      <c r="V2339" s="8"/>
      <c r="W2339" s="7"/>
      <c r="Y2339" s="8"/>
      <c r="Z2339" s="8"/>
      <c r="AA2339" s="8"/>
      <c r="AB2339" s="7"/>
      <c r="AD2339" s="8"/>
    </row>
    <row r="2340" spans="1:30">
      <c r="A2340" s="7"/>
      <c r="D2340" s="7"/>
      <c r="I2340" s="7"/>
      <c r="J2340" s="7"/>
      <c r="K2340" s="7"/>
      <c r="N2340" s="7"/>
      <c r="V2340" s="8"/>
      <c r="W2340" s="7"/>
      <c r="Y2340" s="8"/>
      <c r="Z2340" s="8"/>
      <c r="AA2340" s="8"/>
      <c r="AB2340" s="7"/>
      <c r="AD2340" s="8"/>
    </row>
    <row r="2341" spans="1:30">
      <c r="A2341" s="7"/>
      <c r="D2341" s="7"/>
      <c r="I2341" s="7"/>
      <c r="J2341" s="7"/>
      <c r="K2341" s="7"/>
      <c r="N2341" s="7"/>
      <c r="V2341" s="8"/>
      <c r="W2341" s="7"/>
      <c r="Y2341" s="8"/>
      <c r="Z2341" s="8"/>
      <c r="AA2341" s="8"/>
      <c r="AB2341" s="7"/>
      <c r="AD2341" s="8"/>
    </row>
    <row r="2342" spans="1:30">
      <c r="A2342" s="7"/>
      <c r="D2342" s="7"/>
      <c r="I2342" s="7"/>
      <c r="J2342" s="7"/>
      <c r="K2342" s="7"/>
      <c r="N2342" s="7"/>
      <c r="V2342" s="8"/>
      <c r="W2342" s="7"/>
      <c r="Y2342" s="8"/>
      <c r="Z2342" s="8"/>
      <c r="AA2342" s="8"/>
      <c r="AB2342" s="7"/>
      <c r="AD2342" s="8"/>
    </row>
    <row r="2343" spans="1:30">
      <c r="A2343" s="7"/>
      <c r="D2343" s="7"/>
      <c r="I2343" s="7"/>
      <c r="J2343" s="7"/>
      <c r="K2343" s="7"/>
      <c r="N2343" s="7"/>
      <c r="V2343" s="8"/>
      <c r="W2343" s="7"/>
      <c r="Y2343" s="8"/>
      <c r="Z2343" s="8"/>
      <c r="AA2343" s="8"/>
      <c r="AB2343" s="7"/>
      <c r="AD2343" s="8"/>
    </row>
    <row r="2344" spans="1:30">
      <c r="A2344" s="7"/>
      <c r="D2344" s="7"/>
      <c r="I2344" s="7"/>
      <c r="J2344" s="7"/>
      <c r="K2344" s="7"/>
      <c r="N2344" s="7"/>
      <c r="V2344" s="8"/>
      <c r="W2344" s="7"/>
      <c r="Y2344" s="8"/>
      <c r="Z2344" s="8"/>
      <c r="AA2344" s="8"/>
      <c r="AB2344" s="7"/>
      <c r="AD2344" s="8"/>
    </row>
    <row r="2345" spans="1:30">
      <c r="A2345" s="7"/>
      <c r="D2345" s="7"/>
      <c r="I2345" s="7"/>
      <c r="J2345" s="7"/>
      <c r="K2345" s="7"/>
      <c r="N2345" s="7"/>
      <c r="V2345" s="8"/>
      <c r="W2345" s="7"/>
      <c r="Y2345" s="8"/>
      <c r="Z2345" s="8"/>
      <c r="AA2345" s="8"/>
      <c r="AB2345" s="7"/>
      <c r="AD2345" s="8"/>
    </row>
    <row r="2346" spans="1:30">
      <c r="A2346" s="7"/>
      <c r="D2346" s="7"/>
      <c r="I2346" s="7"/>
      <c r="J2346" s="7"/>
      <c r="K2346" s="7"/>
      <c r="N2346" s="7"/>
      <c r="V2346" s="8"/>
      <c r="W2346" s="7"/>
      <c r="Y2346" s="8"/>
      <c r="Z2346" s="8"/>
      <c r="AA2346" s="8"/>
      <c r="AB2346" s="7"/>
      <c r="AD2346" s="8"/>
    </row>
    <row r="2347" spans="1:30">
      <c r="A2347" s="7"/>
      <c r="D2347" s="7"/>
      <c r="I2347" s="7"/>
      <c r="J2347" s="7"/>
      <c r="K2347" s="7"/>
      <c r="N2347" s="7"/>
      <c r="V2347" s="8"/>
      <c r="W2347" s="7"/>
      <c r="Y2347" s="8"/>
      <c r="Z2347" s="8"/>
      <c r="AA2347" s="8"/>
      <c r="AB2347" s="7"/>
      <c r="AD2347" s="8"/>
    </row>
    <row r="2348" spans="1:30">
      <c r="A2348" s="7"/>
      <c r="D2348" s="7"/>
      <c r="I2348" s="7"/>
      <c r="J2348" s="7"/>
      <c r="K2348" s="7"/>
      <c r="N2348" s="7"/>
      <c r="V2348" s="8"/>
      <c r="W2348" s="7"/>
      <c r="Y2348" s="8"/>
      <c r="Z2348" s="8"/>
      <c r="AA2348" s="8"/>
      <c r="AB2348" s="7"/>
      <c r="AD2348" s="8"/>
    </row>
    <row r="2349" spans="1:30">
      <c r="A2349" s="7"/>
      <c r="D2349" s="7"/>
      <c r="I2349" s="7"/>
      <c r="J2349" s="7"/>
      <c r="K2349" s="7"/>
      <c r="N2349" s="7"/>
      <c r="V2349" s="8"/>
      <c r="W2349" s="7"/>
      <c r="Y2349" s="8"/>
      <c r="Z2349" s="8"/>
      <c r="AA2349" s="8"/>
      <c r="AB2349" s="7"/>
      <c r="AD2349" s="8"/>
    </row>
    <row r="2350" spans="1:30">
      <c r="A2350" s="7"/>
      <c r="D2350" s="7"/>
      <c r="I2350" s="7"/>
      <c r="J2350" s="7"/>
      <c r="K2350" s="7"/>
      <c r="N2350" s="7"/>
      <c r="V2350" s="8"/>
      <c r="W2350" s="7"/>
      <c r="Y2350" s="8"/>
      <c r="Z2350" s="8"/>
      <c r="AA2350" s="8"/>
      <c r="AB2350" s="7"/>
      <c r="AD2350" s="8"/>
    </row>
    <row r="2351" spans="1:30">
      <c r="A2351" s="7"/>
      <c r="D2351" s="7"/>
      <c r="I2351" s="7"/>
      <c r="J2351" s="7"/>
      <c r="K2351" s="7"/>
      <c r="N2351" s="7"/>
      <c r="V2351" s="8"/>
      <c r="W2351" s="7"/>
      <c r="Y2351" s="8"/>
      <c r="Z2351" s="8"/>
      <c r="AA2351" s="8"/>
      <c r="AB2351" s="7"/>
      <c r="AD2351" s="8"/>
    </row>
    <row r="2352" spans="1:30">
      <c r="A2352" s="7"/>
      <c r="D2352" s="7"/>
      <c r="I2352" s="7"/>
      <c r="J2352" s="7"/>
      <c r="K2352" s="7"/>
      <c r="N2352" s="7"/>
      <c r="V2352" s="8"/>
      <c r="W2352" s="7"/>
      <c r="Y2352" s="8"/>
      <c r="Z2352" s="8"/>
      <c r="AA2352" s="8"/>
      <c r="AB2352" s="7"/>
      <c r="AD2352" s="8"/>
    </row>
    <row r="2353" spans="1:30">
      <c r="A2353" s="7"/>
      <c r="D2353" s="7"/>
      <c r="I2353" s="7"/>
      <c r="J2353" s="7"/>
      <c r="K2353" s="7"/>
      <c r="N2353" s="7"/>
      <c r="V2353" s="8"/>
      <c r="W2353" s="7"/>
      <c r="Y2353" s="8"/>
      <c r="Z2353" s="8"/>
      <c r="AA2353" s="8"/>
      <c r="AB2353" s="7"/>
      <c r="AD2353" s="8"/>
    </row>
    <row r="2354" spans="1:30">
      <c r="A2354" s="7"/>
      <c r="D2354" s="7"/>
      <c r="I2354" s="7"/>
      <c r="J2354" s="7"/>
      <c r="K2354" s="7"/>
      <c r="N2354" s="7"/>
      <c r="V2354" s="8"/>
      <c r="W2354" s="7"/>
      <c r="Y2354" s="8"/>
      <c r="Z2354" s="8"/>
      <c r="AA2354" s="8"/>
      <c r="AB2354" s="7"/>
      <c r="AD2354" s="8"/>
    </row>
    <row r="2355" spans="1:30">
      <c r="A2355" s="7"/>
      <c r="D2355" s="7"/>
      <c r="I2355" s="7"/>
      <c r="J2355" s="7"/>
      <c r="K2355" s="7"/>
      <c r="N2355" s="7"/>
      <c r="V2355" s="8"/>
      <c r="W2355" s="7"/>
      <c r="Y2355" s="8"/>
      <c r="Z2355" s="8"/>
      <c r="AA2355" s="8"/>
      <c r="AB2355" s="7"/>
      <c r="AD2355" s="8"/>
    </row>
    <row r="2356" spans="1:30">
      <c r="A2356" s="7"/>
      <c r="D2356" s="7"/>
      <c r="I2356" s="7"/>
      <c r="J2356" s="7"/>
      <c r="K2356" s="7"/>
      <c r="N2356" s="7"/>
      <c r="V2356" s="8"/>
      <c r="W2356" s="7"/>
      <c r="Y2356" s="8"/>
      <c r="Z2356" s="8"/>
      <c r="AA2356" s="8"/>
      <c r="AB2356" s="7"/>
      <c r="AD2356" s="8"/>
    </row>
    <row r="2357" spans="1:30">
      <c r="A2357" s="7"/>
      <c r="D2357" s="7"/>
      <c r="I2357" s="7"/>
      <c r="J2357" s="7"/>
      <c r="K2357" s="7"/>
      <c r="N2357" s="7"/>
      <c r="V2357" s="8"/>
      <c r="W2357" s="7"/>
      <c r="Y2357" s="8"/>
      <c r="Z2357" s="8"/>
      <c r="AA2357" s="8"/>
      <c r="AB2357" s="7"/>
      <c r="AD2357" s="8"/>
    </row>
    <row r="2358" spans="1:30">
      <c r="A2358" s="7"/>
      <c r="D2358" s="7"/>
      <c r="I2358" s="7"/>
      <c r="J2358" s="7"/>
      <c r="K2358" s="7"/>
      <c r="N2358" s="7"/>
      <c r="V2358" s="8"/>
      <c r="W2358" s="7"/>
      <c r="Y2358" s="8"/>
      <c r="Z2358" s="8"/>
      <c r="AA2358" s="8"/>
      <c r="AB2358" s="7"/>
      <c r="AD2358" s="8"/>
    </row>
    <row r="2359" spans="1:30">
      <c r="A2359" s="7"/>
      <c r="D2359" s="7"/>
      <c r="I2359" s="7"/>
      <c r="J2359" s="7"/>
      <c r="K2359" s="7"/>
      <c r="N2359" s="7"/>
      <c r="V2359" s="8"/>
      <c r="W2359" s="7"/>
      <c r="Y2359" s="8"/>
      <c r="Z2359" s="8"/>
      <c r="AA2359" s="8"/>
      <c r="AB2359" s="7"/>
      <c r="AD2359" s="8"/>
    </row>
    <row r="2360" spans="1:30">
      <c r="A2360" s="7"/>
      <c r="D2360" s="7"/>
      <c r="I2360" s="7"/>
      <c r="J2360" s="7"/>
      <c r="K2360" s="7"/>
      <c r="N2360" s="7"/>
      <c r="V2360" s="8"/>
      <c r="W2360" s="7"/>
      <c r="Y2360" s="8"/>
      <c r="Z2360" s="8"/>
      <c r="AA2360" s="8"/>
      <c r="AB2360" s="7"/>
      <c r="AD2360" s="8"/>
    </row>
    <row r="2361" spans="1:30">
      <c r="A2361" s="7"/>
      <c r="D2361" s="7"/>
      <c r="I2361" s="7"/>
      <c r="J2361" s="7"/>
      <c r="K2361" s="7"/>
      <c r="N2361" s="7"/>
      <c r="V2361" s="8"/>
      <c r="W2361" s="7"/>
      <c r="Y2361" s="8"/>
      <c r="Z2361" s="8"/>
      <c r="AA2361" s="8"/>
      <c r="AB2361" s="7"/>
      <c r="AD2361" s="8"/>
    </row>
    <row r="2362" spans="1:30">
      <c r="A2362" s="7"/>
      <c r="D2362" s="7"/>
      <c r="I2362" s="7"/>
      <c r="J2362" s="7"/>
      <c r="K2362" s="7"/>
      <c r="N2362" s="7"/>
      <c r="V2362" s="8"/>
      <c r="W2362" s="7"/>
      <c r="Y2362" s="8"/>
      <c r="Z2362" s="8"/>
      <c r="AA2362" s="8"/>
      <c r="AB2362" s="7"/>
      <c r="AD2362" s="8"/>
    </row>
    <row r="2363" spans="1:30">
      <c r="A2363" s="7"/>
      <c r="D2363" s="7"/>
      <c r="I2363" s="7"/>
      <c r="J2363" s="7"/>
      <c r="K2363" s="7"/>
      <c r="N2363" s="7"/>
      <c r="V2363" s="8"/>
      <c r="W2363" s="7"/>
      <c r="Y2363" s="8"/>
      <c r="Z2363" s="8"/>
      <c r="AA2363" s="8"/>
      <c r="AB2363" s="7"/>
      <c r="AD2363" s="8"/>
    </row>
    <row r="2364" spans="1:30">
      <c r="A2364" s="7"/>
      <c r="D2364" s="7"/>
      <c r="I2364" s="7"/>
      <c r="J2364" s="7"/>
      <c r="K2364" s="7"/>
      <c r="N2364" s="7"/>
      <c r="V2364" s="8"/>
      <c r="W2364" s="7"/>
      <c r="Y2364" s="8"/>
      <c r="Z2364" s="8"/>
      <c r="AA2364" s="8"/>
      <c r="AB2364" s="7"/>
      <c r="AD2364" s="8"/>
    </row>
    <row r="2365" spans="1:30">
      <c r="A2365" s="7"/>
      <c r="D2365" s="7"/>
      <c r="I2365" s="7"/>
      <c r="J2365" s="7"/>
      <c r="K2365" s="7"/>
      <c r="N2365" s="7"/>
      <c r="V2365" s="8"/>
      <c r="W2365" s="7"/>
      <c r="Y2365" s="8"/>
      <c r="Z2365" s="8"/>
      <c r="AA2365" s="8"/>
      <c r="AB2365" s="7"/>
      <c r="AD2365" s="8"/>
    </row>
    <row r="2366" spans="1:30">
      <c r="A2366" s="7"/>
      <c r="D2366" s="7"/>
      <c r="I2366" s="7"/>
      <c r="J2366" s="7"/>
      <c r="K2366" s="7"/>
      <c r="N2366" s="7"/>
      <c r="V2366" s="8"/>
      <c r="W2366" s="7"/>
      <c r="Y2366" s="8"/>
      <c r="Z2366" s="8"/>
      <c r="AA2366" s="8"/>
      <c r="AB2366" s="7"/>
      <c r="AD2366" s="8"/>
    </row>
    <row r="2367" spans="1:30">
      <c r="A2367" s="7"/>
      <c r="D2367" s="7"/>
      <c r="I2367" s="7"/>
      <c r="J2367" s="7"/>
      <c r="K2367" s="7"/>
      <c r="N2367" s="7"/>
      <c r="V2367" s="8"/>
      <c r="W2367" s="7"/>
      <c r="Y2367" s="8"/>
      <c r="Z2367" s="8"/>
      <c r="AA2367" s="8"/>
      <c r="AB2367" s="7"/>
      <c r="AD2367" s="8"/>
    </row>
    <row r="2368" spans="1:30">
      <c r="A2368" s="7"/>
      <c r="D2368" s="7"/>
      <c r="I2368" s="7"/>
      <c r="J2368" s="7"/>
      <c r="K2368" s="7"/>
      <c r="N2368" s="7"/>
      <c r="V2368" s="8"/>
      <c r="W2368" s="7"/>
      <c r="Y2368" s="8"/>
      <c r="Z2368" s="8"/>
      <c r="AA2368" s="8"/>
      <c r="AB2368" s="7"/>
      <c r="AD2368" s="8"/>
    </row>
    <row r="2369" spans="1:30">
      <c r="A2369" s="7"/>
      <c r="D2369" s="7"/>
      <c r="I2369" s="7"/>
      <c r="J2369" s="7"/>
      <c r="K2369" s="7"/>
      <c r="N2369" s="7"/>
      <c r="V2369" s="8"/>
      <c r="W2369" s="7"/>
      <c r="Y2369" s="8"/>
      <c r="Z2369" s="8"/>
      <c r="AA2369" s="8"/>
      <c r="AB2369" s="7"/>
      <c r="AD2369" s="8"/>
    </row>
    <row r="2370" spans="1:30">
      <c r="A2370" s="7"/>
      <c r="D2370" s="7"/>
      <c r="I2370" s="7"/>
      <c r="J2370" s="7"/>
      <c r="K2370" s="7"/>
      <c r="N2370" s="7"/>
      <c r="V2370" s="8"/>
      <c r="W2370" s="7"/>
      <c r="Y2370" s="8"/>
      <c r="Z2370" s="8"/>
      <c r="AA2370" s="8"/>
      <c r="AB2370" s="7"/>
      <c r="AD2370" s="8"/>
    </row>
    <row r="2371" spans="1:30">
      <c r="A2371" s="7"/>
      <c r="D2371" s="7"/>
      <c r="I2371" s="7"/>
      <c r="J2371" s="7"/>
      <c r="K2371" s="7"/>
      <c r="N2371" s="7"/>
      <c r="V2371" s="8"/>
      <c r="W2371" s="7"/>
      <c r="Y2371" s="8"/>
      <c r="Z2371" s="8"/>
      <c r="AA2371" s="8"/>
      <c r="AB2371" s="7"/>
      <c r="AD2371" s="8"/>
    </row>
    <row r="2372" spans="1:30">
      <c r="A2372" s="7"/>
      <c r="D2372" s="7"/>
      <c r="I2372" s="7"/>
      <c r="J2372" s="7"/>
      <c r="K2372" s="7"/>
      <c r="N2372" s="7"/>
      <c r="V2372" s="8"/>
      <c r="W2372" s="7"/>
      <c r="Y2372" s="8"/>
      <c r="Z2372" s="8"/>
      <c r="AA2372" s="8"/>
      <c r="AB2372" s="7"/>
      <c r="AD2372" s="8"/>
    </row>
    <row r="2373" spans="1:30">
      <c r="A2373" s="7"/>
      <c r="D2373" s="7"/>
      <c r="I2373" s="7"/>
      <c r="J2373" s="7"/>
      <c r="K2373" s="7"/>
      <c r="N2373" s="7"/>
      <c r="V2373" s="8"/>
      <c r="W2373" s="7"/>
      <c r="Y2373" s="8"/>
      <c r="Z2373" s="8"/>
      <c r="AA2373" s="8"/>
      <c r="AB2373" s="7"/>
      <c r="AD2373" s="8"/>
    </row>
    <row r="2374" spans="1:30">
      <c r="A2374" s="7"/>
      <c r="D2374" s="7"/>
      <c r="I2374" s="7"/>
      <c r="J2374" s="7"/>
      <c r="K2374" s="7"/>
      <c r="N2374" s="7"/>
      <c r="V2374" s="8"/>
      <c r="W2374" s="7"/>
      <c r="Y2374" s="8"/>
      <c r="Z2374" s="8"/>
      <c r="AA2374" s="8"/>
      <c r="AB2374" s="7"/>
      <c r="AD2374" s="8"/>
    </row>
    <row r="2375" spans="1:30">
      <c r="A2375" s="7"/>
      <c r="D2375" s="7"/>
      <c r="I2375" s="7"/>
      <c r="J2375" s="7"/>
      <c r="K2375" s="7"/>
      <c r="N2375" s="7"/>
      <c r="V2375" s="8"/>
      <c r="W2375" s="7"/>
      <c r="Y2375" s="8"/>
      <c r="Z2375" s="8"/>
      <c r="AA2375" s="8"/>
      <c r="AB2375" s="7"/>
      <c r="AD2375" s="8"/>
    </row>
    <row r="2376" spans="1:30">
      <c r="A2376" s="7"/>
      <c r="D2376" s="7"/>
      <c r="I2376" s="7"/>
      <c r="J2376" s="7"/>
      <c r="K2376" s="7"/>
      <c r="N2376" s="7"/>
      <c r="V2376" s="8"/>
      <c r="W2376" s="7"/>
      <c r="Y2376" s="8"/>
      <c r="Z2376" s="8"/>
      <c r="AA2376" s="8"/>
      <c r="AB2376" s="7"/>
      <c r="AD2376" s="8"/>
    </row>
    <row r="2377" spans="1:30">
      <c r="A2377" s="7"/>
      <c r="D2377" s="7"/>
      <c r="I2377" s="7"/>
      <c r="J2377" s="7"/>
      <c r="K2377" s="7"/>
      <c r="N2377" s="7"/>
      <c r="V2377" s="8"/>
      <c r="W2377" s="7"/>
      <c r="Y2377" s="8"/>
      <c r="Z2377" s="8"/>
      <c r="AA2377" s="8"/>
      <c r="AB2377" s="7"/>
      <c r="AD2377" s="8"/>
    </row>
    <row r="2378" spans="1:30">
      <c r="A2378" s="7"/>
      <c r="D2378" s="7"/>
      <c r="I2378" s="7"/>
      <c r="J2378" s="7"/>
      <c r="K2378" s="7"/>
      <c r="N2378" s="7"/>
      <c r="V2378" s="8"/>
      <c r="W2378" s="7"/>
      <c r="Y2378" s="8"/>
      <c r="Z2378" s="8"/>
      <c r="AA2378" s="8"/>
      <c r="AB2378" s="7"/>
      <c r="AD2378" s="8"/>
    </row>
    <row r="2379" spans="1:30">
      <c r="A2379" s="7"/>
      <c r="D2379" s="7"/>
      <c r="I2379" s="7"/>
      <c r="J2379" s="7"/>
      <c r="K2379" s="7"/>
      <c r="N2379" s="7"/>
      <c r="V2379" s="8"/>
      <c r="W2379" s="7"/>
      <c r="Y2379" s="8"/>
      <c r="Z2379" s="8"/>
      <c r="AA2379" s="8"/>
      <c r="AB2379" s="7"/>
      <c r="AD2379" s="8"/>
    </row>
    <row r="2380" spans="1:30">
      <c r="A2380" s="7"/>
      <c r="D2380" s="7"/>
      <c r="I2380" s="7"/>
      <c r="J2380" s="7"/>
      <c r="K2380" s="7"/>
      <c r="N2380" s="7"/>
      <c r="V2380" s="8"/>
      <c r="W2380" s="7"/>
      <c r="Y2380" s="8"/>
      <c r="Z2380" s="8"/>
      <c r="AA2380" s="8"/>
      <c r="AB2380" s="7"/>
      <c r="AD2380" s="8"/>
    </row>
    <row r="2381" spans="1:30">
      <c r="A2381" s="7"/>
      <c r="D2381" s="7"/>
      <c r="I2381" s="7"/>
      <c r="J2381" s="7"/>
      <c r="K2381" s="7"/>
      <c r="N2381" s="7"/>
      <c r="V2381" s="8"/>
      <c r="W2381" s="7"/>
      <c r="Y2381" s="8"/>
      <c r="Z2381" s="8"/>
      <c r="AA2381" s="8"/>
      <c r="AB2381" s="7"/>
      <c r="AD2381" s="8"/>
    </row>
    <row r="2382" spans="1:30">
      <c r="A2382" s="7"/>
      <c r="D2382" s="7"/>
      <c r="I2382" s="7"/>
      <c r="J2382" s="7"/>
      <c r="K2382" s="7"/>
      <c r="N2382" s="7"/>
      <c r="V2382" s="8"/>
      <c r="W2382" s="7"/>
      <c r="Y2382" s="8"/>
      <c r="Z2382" s="8"/>
      <c r="AA2382" s="8"/>
      <c r="AB2382" s="7"/>
      <c r="AD2382" s="8"/>
    </row>
    <row r="2383" spans="1:30">
      <c r="A2383" s="7"/>
      <c r="D2383" s="7"/>
      <c r="I2383" s="7"/>
      <c r="J2383" s="7"/>
      <c r="K2383" s="7"/>
      <c r="N2383" s="7"/>
      <c r="V2383" s="8"/>
      <c r="W2383" s="7"/>
      <c r="Y2383" s="8"/>
      <c r="Z2383" s="8"/>
      <c r="AA2383" s="8"/>
      <c r="AB2383" s="7"/>
      <c r="AD2383" s="8"/>
    </row>
    <row r="2384" spans="1:30">
      <c r="A2384" s="7"/>
      <c r="D2384" s="7"/>
      <c r="I2384" s="7"/>
      <c r="J2384" s="7"/>
      <c r="K2384" s="7"/>
      <c r="N2384" s="7"/>
      <c r="V2384" s="8"/>
      <c r="W2384" s="7"/>
      <c r="Y2384" s="8"/>
      <c r="Z2384" s="8"/>
      <c r="AA2384" s="8"/>
      <c r="AB2384" s="7"/>
      <c r="AD2384" s="8"/>
    </row>
    <row r="2385" spans="1:30">
      <c r="A2385" s="7"/>
      <c r="D2385" s="7"/>
      <c r="I2385" s="7"/>
      <c r="J2385" s="7"/>
      <c r="K2385" s="7"/>
      <c r="N2385" s="7"/>
      <c r="V2385" s="8"/>
      <c r="W2385" s="7"/>
      <c r="Y2385" s="8"/>
      <c r="Z2385" s="8"/>
      <c r="AA2385" s="8"/>
      <c r="AB2385" s="7"/>
      <c r="AD2385" s="8"/>
    </row>
    <row r="2386" spans="1:30">
      <c r="A2386" s="7"/>
      <c r="D2386" s="7"/>
      <c r="I2386" s="7"/>
      <c r="J2386" s="7"/>
      <c r="K2386" s="7"/>
      <c r="N2386" s="7"/>
      <c r="V2386" s="8"/>
      <c r="W2386" s="7"/>
      <c r="Y2386" s="8"/>
      <c r="Z2386" s="8"/>
      <c r="AA2386" s="8"/>
      <c r="AB2386" s="7"/>
      <c r="AD2386" s="8"/>
    </row>
    <row r="2387" spans="1:30">
      <c r="A2387" s="7"/>
      <c r="D2387" s="7"/>
      <c r="I2387" s="7"/>
      <c r="J2387" s="7"/>
      <c r="K2387" s="7"/>
      <c r="N2387" s="7"/>
      <c r="V2387" s="8"/>
      <c r="W2387" s="7"/>
      <c r="Y2387" s="8"/>
      <c r="Z2387" s="8"/>
      <c r="AA2387" s="8"/>
      <c r="AB2387" s="7"/>
      <c r="AD2387" s="8"/>
    </row>
    <row r="2388" spans="1:30">
      <c r="A2388" s="7"/>
      <c r="D2388" s="7"/>
      <c r="I2388" s="7"/>
      <c r="J2388" s="7"/>
      <c r="K2388" s="7"/>
      <c r="N2388" s="7"/>
      <c r="V2388" s="8"/>
      <c r="W2388" s="7"/>
      <c r="Y2388" s="8"/>
      <c r="Z2388" s="8"/>
      <c r="AA2388" s="8"/>
      <c r="AB2388" s="7"/>
      <c r="AD2388" s="8"/>
    </row>
    <row r="2389" spans="1:30">
      <c r="A2389" s="7"/>
      <c r="D2389" s="7"/>
      <c r="I2389" s="7"/>
      <c r="J2389" s="7"/>
      <c r="K2389" s="7"/>
      <c r="N2389" s="7"/>
      <c r="V2389" s="8"/>
      <c r="W2389" s="7"/>
      <c r="Y2389" s="8"/>
      <c r="Z2389" s="8"/>
      <c r="AA2389" s="8"/>
      <c r="AB2389" s="7"/>
      <c r="AD2389" s="8"/>
    </row>
    <row r="2390" spans="1:30">
      <c r="A2390" s="7"/>
      <c r="D2390" s="7"/>
      <c r="I2390" s="7"/>
      <c r="J2390" s="7"/>
      <c r="K2390" s="7"/>
      <c r="N2390" s="7"/>
      <c r="V2390" s="8"/>
      <c r="W2390" s="7"/>
      <c r="Y2390" s="8"/>
      <c r="Z2390" s="8"/>
      <c r="AA2390" s="8"/>
      <c r="AB2390" s="7"/>
      <c r="AD2390" s="8"/>
    </row>
    <row r="2391" spans="1:30">
      <c r="A2391" s="7"/>
      <c r="D2391" s="7"/>
      <c r="I2391" s="7"/>
      <c r="J2391" s="7"/>
      <c r="K2391" s="7"/>
      <c r="N2391" s="7"/>
      <c r="V2391" s="8"/>
      <c r="W2391" s="7"/>
      <c r="Y2391" s="8"/>
      <c r="Z2391" s="8"/>
      <c r="AA2391" s="8"/>
      <c r="AB2391" s="7"/>
      <c r="AD2391" s="8"/>
    </row>
    <row r="2392" spans="1:30">
      <c r="A2392" s="7"/>
      <c r="D2392" s="7"/>
      <c r="I2392" s="7"/>
      <c r="J2392" s="7"/>
      <c r="K2392" s="7"/>
      <c r="N2392" s="7"/>
      <c r="V2392" s="8"/>
      <c r="W2392" s="7"/>
      <c r="Y2392" s="8"/>
      <c r="Z2392" s="8"/>
      <c r="AA2392" s="8"/>
      <c r="AB2392" s="7"/>
      <c r="AD2392" s="8"/>
    </row>
    <row r="2393" spans="1:30">
      <c r="A2393" s="7"/>
      <c r="D2393" s="7"/>
      <c r="I2393" s="7"/>
      <c r="J2393" s="7"/>
      <c r="K2393" s="7"/>
      <c r="N2393" s="7"/>
      <c r="V2393" s="8"/>
      <c r="W2393" s="7"/>
      <c r="Y2393" s="8"/>
      <c r="Z2393" s="8"/>
      <c r="AA2393" s="8"/>
      <c r="AB2393" s="7"/>
      <c r="AD2393" s="8"/>
    </row>
    <row r="2394" spans="1:30">
      <c r="A2394" s="7"/>
      <c r="D2394" s="7"/>
      <c r="I2394" s="7"/>
      <c r="J2394" s="7"/>
      <c r="K2394" s="7"/>
      <c r="N2394" s="7"/>
      <c r="V2394" s="8"/>
      <c r="W2394" s="7"/>
      <c r="Y2394" s="8"/>
      <c r="Z2394" s="8"/>
      <c r="AA2394" s="8"/>
      <c r="AB2394" s="7"/>
      <c r="AD2394" s="8"/>
    </row>
    <row r="2395" spans="1:30">
      <c r="A2395" s="7"/>
      <c r="D2395" s="7"/>
      <c r="I2395" s="7"/>
      <c r="J2395" s="7"/>
      <c r="K2395" s="7"/>
      <c r="N2395" s="7"/>
      <c r="V2395" s="8"/>
      <c r="W2395" s="7"/>
      <c r="Y2395" s="8"/>
      <c r="Z2395" s="8"/>
      <c r="AA2395" s="8"/>
      <c r="AB2395" s="7"/>
      <c r="AD2395" s="8"/>
    </row>
    <row r="2396" spans="1:30">
      <c r="A2396" s="7"/>
      <c r="D2396" s="7"/>
      <c r="I2396" s="7"/>
      <c r="J2396" s="7"/>
      <c r="K2396" s="7"/>
      <c r="N2396" s="7"/>
      <c r="V2396" s="8"/>
      <c r="W2396" s="7"/>
      <c r="Y2396" s="8"/>
      <c r="Z2396" s="8"/>
      <c r="AA2396" s="8"/>
      <c r="AB2396" s="7"/>
      <c r="AD2396" s="8"/>
    </row>
    <row r="2397" spans="1:30">
      <c r="A2397" s="7"/>
      <c r="D2397" s="7"/>
      <c r="I2397" s="7"/>
      <c r="J2397" s="7"/>
      <c r="K2397" s="7"/>
      <c r="N2397" s="7"/>
      <c r="V2397" s="8"/>
      <c r="W2397" s="7"/>
      <c r="Y2397" s="8"/>
      <c r="Z2397" s="8"/>
      <c r="AA2397" s="8"/>
      <c r="AB2397" s="7"/>
      <c r="AD2397" s="8"/>
    </row>
    <row r="2398" spans="1:30">
      <c r="A2398" s="7"/>
      <c r="D2398" s="7"/>
      <c r="I2398" s="7"/>
      <c r="J2398" s="7"/>
      <c r="K2398" s="7"/>
      <c r="N2398" s="7"/>
      <c r="V2398" s="8"/>
      <c r="W2398" s="7"/>
      <c r="Y2398" s="8"/>
      <c r="Z2398" s="8"/>
      <c r="AA2398" s="8"/>
      <c r="AB2398" s="7"/>
      <c r="AD2398" s="8"/>
    </row>
    <row r="2399" spans="1:30">
      <c r="A2399" s="7"/>
      <c r="D2399" s="7"/>
      <c r="I2399" s="7"/>
      <c r="J2399" s="7"/>
      <c r="K2399" s="7"/>
      <c r="N2399" s="7"/>
      <c r="V2399" s="8"/>
      <c r="W2399" s="7"/>
      <c r="Y2399" s="8"/>
      <c r="Z2399" s="8"/>
      <c r="AA2399" s="8"/>
      <c r="AB2399" s="7"/>
      <c r="AD2399" s="8"/>
    </row>
    <row r="2400" spans="1:30">
      <c r="A2400" s="7"/>
      <c r="D2400" s="7"/>
      <c r="I2400" s="7"/>
      <c r="J2400" s="7"/>
      <c r="K2400" s="7"/>
      <c r="N2400" s="7"/>
      <c r="V2400" s="8"/>
      <c r="W2400" s="7"/>
      <c r="Y2400" s="8"/>
      <c r="Z2400" s="8"/>
      <c r="AA2400" s="8"/>
      <c r="AB2400" s="7"/>
      <c r="AD2400" s="8"/>
    </row>
    <row r="2401" spans="1:30">
      <c r="A2401" s="7"/>
      <c r="D2401" s="7"/>
      <c r="I2401" s="7"/>
      <c r="J2401" s="7"/>
      <c r="K2401" s="7"/>
      <c r="N2401" s="7"/>
      <c r="V2401" s="8"/>
      <c r="W2401" s="7"/>
      <c r="Y2401" s="8"/>
      <c r="Z2401" s="8"/>
      <c r="AA2401" s="8"/>
      <c r="AB2401" s="7"/>
      <c r="AD2401" s="8"/>
    </row>
    <row r="2402" spans="1:30">
      <c r="A2402" s="7"/>
      <c r="D2402" s="7"/>
      <c r="I2402" s="7"/>
      <c r="J2402" s="7"/>
      <c r="K2402" s="7"/>
      <c r="N2402" s="7"/>
      <c r="V2402" s="8"/>
      <c r="W2402" s="7"/>
      <c r="Y2402" s="8"/>
      <c r="Z2402" s="8"/>
      <c r="AA2402" s="8"/>
      <c r="AB2402" s="7"/>
      <c r="AD2402" s="8"/>
    </row>
    <row r="2403" spans="1:30">
      <c r="A2403" s="7"/>
      <c r="D2403" s="7"/>
      <c r="I2403" s="7"/>
      <c r="J2403" s="7"/>
      <c r="K2403" s="7"/>
      <c r="N2403" s="7"/>
      <c r="V2403" s="8"/>
      <c r="W2403" s="7"/>
      <c r="Y2403" s="8"/>
      <c r="Z2403" s="8"/>
      <c r="AA2403" s="8"/>
      <c r="AB2403" s="7"/>
      <c r="AD2403" s="8"/>
    </row>
    <row r="2404" spans="1:30">
      <c r="A2404" s="7"/>
      <c r="D2404" s="7"/>
      <c r="I2404" s="7"/>
      <c r="J2404" s="7"/>
      <c r="K2404" s="7"/>
      <c r="N2404" s="7"/>
      <c r="V2404" s="8"/>
      <c r="W2404" s="7"/>
      <c r="Y2404" s="8"/>
      <c r="Z2404" s="8"/>
      <c r="AA2404" s="8"/>
      <c r="AB2404" s="7"/>
      <c r="AD2404" s="8"/>
    </row>
    <row r="2405" spans="1:30">
      <c r="A2405" s="7"/>
      <c r="D2405" s="7"/>
      <c r="I2405" s="7"/>
      <c r="J2405" s="7"/>
      <c r="K2405" s="7"/>
      <c r="N2405" s="7"/>
      <c r="V2405" s="8"/>
      <c r="W2405" s="7"/>
      <c r="Y2405" s="8"/>
      <c r="Z2405" s="8"/>
      <c r="AA2405" s="8"/>
      <c r="AB2405" s="7"/>
      <c r="AD2405" s="8"/>
    </row>
    <row r="2406" spans="1:30">
      <c r="A2406" s="7"/>
      <c r="D2406" s="7"/>
      <c r="I2406" s="7"/>
      <c r="J2406" s="7"/>
      <c r="K2406" s="7"/>
      <c r="N2406" s="7"/>
      <c r="V2406" s="8"/>
      <c r="W2406" s="7"/>
      <c r="Y2406" s="8"/>
      <c r="Z2406" s="8"/>
      <c r="AA2406" s="8"/>
      <c r="AB2406" s="7"/>
      <c r="AD2406" s="8"/>
    </row>
    <row r="2407" spans="1:30">
      <c r="A2407" s="7"/>
      <c r="D2407" s="7"/>
      <c r="I2407" s="7"/>
      <c r="J2407" s="7"/>
      <c r="K2407" s="7"/>
      <c r="N2407" s="7"/>
      <c r="V2407" s="8"/>
      <c r="W2407" s="7"/>
      <c r="Y2407" s="8"/>
      <c r="Z2407" s="8"/>
      <c r="AA2407" s="8"/>
      <c r="AB2407" s="7"/>
      <c r="AD2407" s="8"/>
    </row>
    <row r="2408" spans="1:30">
      <c r="A2408" s="7"/>
      <c r="D2408" s="7"/>
      <c r="I2408" s="7"/>
      <c r="J2408" s="7"/>
      <c r="K2408" s="7"/>
      <c r="N2408" s="7"/>
      <c r="V2408" s="8"/>
      <c r="W2408" s="7"/>
      <c r="Y2408" s="8"/>
      <c r="Z2408" s="8"/>
      <c r="AA2408" s="8"/>
      <c r="AB2408" s="7"/>
      <c r="AD2408" s="8"/>
    </row>
    <row r="2409" spans="1:30">
      <c r="A2409" s="7"/>
      <c r="D2409" s="7"/>
      <c r="I2409" s="7"/>
      <c r="J2409" s="7"/>
      <c r="K2409" s="7"/>
      <c r="N2409" s="7"/>
      <c r="V2409" s="8"/>
      <c r="W2409" s="7"/>
      <c r="Y2409" s="8"/>
      <c r="Z2409" s="8"/>
      <c r="AA2409" s="8"/>
      <c r="AB2409" s="7"/>
      <c r="AD2409" s="8"/>
    </row>
    <row r="2410" spans="1:30">
      <c r="A2410" s="7"/>
      <c r="D2410" s="7"/>
      <c r="I2410" s="7"/>
      <c r="J2410" s="7"/>
      <c r="K2410" s="7"/>
      <c r="N2410" s="7"/>
      <c r="V2410" s="8"/>
      <c r="W2410" s="7"/>
      <c r="Y2410" s="8"/>
      <c r="Z2410" s="8"/>
      <c r="AA2410" s="8"/>
      <c r="AB2410" s="7"/>
      <c r="AD2410" s="8"/>
    </row>
    <row r="2411" spans="1:30">
      <c r="A2411" s="7"/>
      <c r="D2411" s="7"/>
      <c r="I2411" s="7"/>
      <c r="J2411" s="7"/>
      <c r="K2411" s="7"/>
      <c r="N2411" s="7"/>
      <c r="V2411" s="8"/>
      <c r="W2411" s="7"/>
      <c r="Y2411" s="8"/>
      <c r="Z2411" s="8"/>
      <c r="AA2411" s="8"/>
      <c r="AB2411" s="7"/>
      <c r="AD2411" s="8"/>
    </row>
    <row r="2412" spans="1:30">
      <c r="A2412" s="7"/>
      <c r="D2412" s="7"/>
      <c r="I2412" s="7"/>
      <c r="J2412" s="7"/>
      <c r="K2412" s="7"/>
      <c r="N2412" s="7"/>
      <c r="V2412" s="8"/>
      <c r="W2412" s="7"/>
      <c r="Y2412" s="8"/>
      <c r="Z2412" s="8"/>
      <c r="AA2412" s="8"/>
      <c r="AB2412" s="7"/>
      <c r="AD2412" s="8"/>
    </row>
    <row r="2413" spans="1:30">
      <c r="A2413" s="7"/>
      <c r="D2413" s="7"/>
      <c r="I2413" s="7"/>
      <c r="J2413" s="7"/>
      <c r="K2413" s="7"/>
      <c r="N2413" s="7"/>
      <c r="V2413" s="8"/>
      <c r="W2413" s="7"/>
      <c r="Y2413" s="8"/>
      <c r="Z2413" s="8"/>
      <c r="AA2413" s="8"/>
      <c r="AB2413" s="7"/>
      <c r="AD2413" s="8"/>
    </row>
    <row r="2414" spans="1:30">
      <c r="A2414" s="7"/>
      <c r="D2414" s="7"/>
      <c r="I2414" s="7"/>
      <c r="J2414" s="7"/>
      <c r="K2414" s="7"/>
      <c r="N2414" s="7"/>
      <c r="V2414" s="8"/>
      <c r="W2414" s="7"/>
      <c r="Y2414" s="8"/>
      <c r="Z2414" s="8"/>
      <c r="AA2414" s="8"/>
      <c r="AB2414" s="7"/>
      <c r="AD2414" s="8"/>
    </row>
    <row r="2415" spans="1:30">
      <c r="A2415" s="7"/>
      <c r="D2415" s="7"/>
      <c r="I2415" s="7"/>
      <c r="J2415" s="7"/>
      <c r="K2415" s="7"/>
      <c r="N2415" s="7"/>
      <c r="V2415" s="8"/>
      <c r="W2415" s="7"/>
      <c r="Y2415" s="8"/>
      <c r="Z2415" s="8"/>
      <c r="AA2415" s="8"/>
      <c r="AB2415" s="7"/>
      <c r="AD2415" s="8"/>
    </row>
    <row r="2416" spans="1:30">
      <c r="A2416" s="7"/>
      <c r="D2416" s="7"/>
      <c r="I2416" s="7"/>
      <c r="J2416" s="7"/>
      <c r="K2416" s="7"/>
      <c r="N2416" s="7"/>
      <c r="V2416" s="8"/>
      <c r="W2416" s="7"/>
      <c r="Y2416" s="8"/>
      <c r="Z2416" s="8"/>
      <c r="AA2416" s="8"/>
      <c r="AB2416" s="7"/>
      <c r="AD2416" s="8"/>
    </row>
    <row r="2417" spans="1:30">
      <c r="A2417" s="7"/>
      <c r="D2417" s="7"/>
      <c r="I2417" s="7"/>
      <c r="J2417" s="7"/>
      <c r="K2417" s="7"/>
      <c r="N2417" s="7"/>
      <c r="V2417" s="8"/>
      <c r="W2417" s="7"/>
      <c r="Y2417" s="8"/>
      <c r="Z2417" s="8"/>
      <c r="AA2417" s="8"/>
      <c r="AB2417" s="7"/>
      <c r="AD2417" s="8"/>
    </row>
    <row r="2418" spans="1:30">
      <c r="A2418" s="7"/>
      <c r="D2418" s="7"/>
      <c r="I2418" s="7"/>
      <c r="J2418" s="7"/>
      <c r="K2418" s="7"/>
      <c r="N2418" s="7"/>
      <c r="V2418" s="8"/>
      <c r="W2418" s="7"/>
      <c r="Y2418" s="8"/>
      <c r="Z2418" s="8"/>
      <c r="AA2418" s="8"/>
      <c r="AB2418" s="7"/>
      <c r="AD2418" s="8"/>
    </row>
    <row r="2419" spans="1:30">
      <c r="A2419" s="7"/>
      <c r="D2419" s="7"/>
      <c r="I2419" s="7"/>
      <c r="J2419" s="7"/>
      <c r="K2419" s="7"/>
      <c r="N2419" s="7"/>
      <c r="V2419" s="8"/>
      <c r="W2419" s="7"/>
      <c r="Y2419" s="8"/>
      <c r="Z2419" s="8"/>
      <c r="AA2419" s="8"/>
      <c r="AB2419" s="7"/>
      <c r="AD2419" s="8"/>
    </row>
    <row r="2420" spans="1:30">
      <c r="A2420" s="7"/>
      <c r="D2420" s="7"/>
      <c r="I2420" s="7"/>
      <c r="J2420" s="7"/>
      <c r="K2420" s="7"/>
      <c r="N2420" s="7"/>
      <c r="V2420" s="8"/>
      <c r="W2420" s="7"/>
      <c r="Y2420" s="8"/>
      <c r="Z2420" s="8"/>
      <c r="AA2420" s="8"/>
      <c r="AB2420" s="7"/>
      <c r="AD2420" s="8"/>
    </row>
    <row r="2421" spans="1:30">
      <c r="A2421" s="7"/>
      <c r="D2421" s="7"/>
      <c r="I2421" s="7"/>
      <c r="J2421" s="7"/>
      <c r="K2421" s="7"/>
      <c r="N2421" s="7"/>
      <c r="V2421" s="8"/>
      <c r="W2421" s="7"/>
      <c r="Y2421" s="8"/>
      <c r="Z2421" s="8"/>
      <c r="AA2421" s="8"/>
      <c r="AB2421" s="7"/>
      <c r="AD2421" s="8"/>
    </row>
    <row r="2422" spans="1:30">
      <c r="A2422" s="7"/>
      <c r="D2422" s="7"/>
      <c r="I2422" s="7"/>
      <c r="J2422" s="7"/>
      <c r="K2422" s="7"/>
      <c r="N2422" s="7"/>
      <c r="V2422" s="8"/>
      <c r="W2422" s="7"/>
      <c r="Y2422" s="8"/>
      <c r="Z2422" s="8"/>
      <c r="AA2422" s="8"/>
      <c r="AB2422" s="7"/>
      <c r="AD2422" s="8"/>
    </row>
    <row r="2423" spans="1:30">
      <c r="A2423" s="7"/>
      <c r="D2423" s="7"/>
      <c r="I2423" s="7"/>
      <c r="J2423" s="7"/>
      <c r="K2423" s="7"/>
      <c r="N2423" s="7"/>
      <c r="V2423" s="8"/>
      <c r="W2423" s="7"/>
      <c r="Y2423" s="8"/>
      <c r="Z2423" s="8"/>
      <c r="AA2423" s="8"/>
      <c r="AB2423" s="7"/>
      <c r="AD2423" s="8"/>
    </row>
    <row r="2424" spans="1:30">
      <c r="A2424" s="7"/>
      <c r="D2424" s="7"/>
      <c r="I2424" s="7"/>
      <c r="J2424" s="7"/>
      <c r="K2424" s="7"/>
      <c r="N2424" s="7"/>
      <c r="V2424" s="8"/>
      <c r="W2424" s="7"/>
      <c r="Y2424" s="8"/>
      <c r="Z2424" s="8"/>
      <c r="AA2424" s="8"/>
      <c r="AB2424" s="7"/>
      <c r="AD2424" s="8"/>
    </row>
    <row r="2425" spans="1:30">
      <c r="A2425" s="7"/>
      <c r="D2425" s="7"/>
      <c r="I2425" s="7"/>
      <c r="J2425" s="7"/>
      <c r="K2425" s="7"/>
      <c r="N2425" s="7"/>
      <c r="V2425" s="8"/>
      <c r="W2425" s="7"/>
      <c r="Y2425" s="8"/>
      <c r="Z2425" s="8"/>
      <c r="AA2425" s="8"/>
      <c r="AB2425" s="7"/>
      <c r="AD2425" s="8"/>
    </row>
    <row r="2426" spans="1:30">
      <c r="A2426" s="7"/>
      <c r="D2426" s="7"/>
      <c r="I2426" s="7"/>
      <c r="J2426" s="7"/>
      <c r="K2426" s="7"/>
      <c r="N2426" s="7"/>
      <c r="V2426" s="8"/>
      <c r="W2426" s="7"/>
      <c r="Y2426" s="8"/>
      <c r="Z2426" s="8"/>
      <c r="AA2426" s="8"/>
      <c r="AB2426" s="7"/>
      <c r="AD2426" s="8"/>
    </row>
    <row r="2427" spans="1:30">
      <c r="A2427" s="7"/>
      <c r="D2427" s="7"/>
      <c r="I2427" s="7"/>
      <c r="J2427" s="7"/>
      <c r="K2427" s="7"/>
      <c r="N2427" s="7"/>
      <c r="V2427" s="8"/>
      <c r="W2427" s="7"/>
      <c r="Y2427" s="8"/>
      <c r="Z2427" s="8"/>
      <c r="AA2427" s="8"/>
      <c r="AB2427" s="7"/>
      <c r="AD2427" s="8"/>
    </row>
    <row r="2428" spans="1:30">
      <c r="A2428" s="7"/>
      <c r="D2428" s="7"/>
      <c r="I2428" s="7"/>
      <c r="J2428" s="7"/>
      <c r="K2428" s="7"/>
      <c r="N2428" s="7"/>
      <c r="V2428" s="8"/>
      <c r="W2428" s="7"/>
      <c r="Y2428" s="8"/>
      <c r="Z2428" s="8"/>
      <c r="AA2428" s="8"/>
      <c r="AB2428" s="7"/>
      <c r="AD2428" s="8"/>
    </row>
    <row r="2429" spans="1:30">
      <c r="A2429" s="7"/>
      <c r="D2429" s="7"/>
      <c r="I2429" s="7"/>
      <c r="J2429" s="7"/>
      <c r="K2429" s="7"/>
      <c r="N2429" s="7"/>
      <c r="V2429" s="8"/>
      <c r="W2429" s="7"/>
      <c r="Y2429" s="8"/>
      <c r="Z2429" s="8"/>
      <c r="AA2429" s="8"/>
      <c r="AB2429" s="7"/>
      <c r="AD2429" s="8"/>
    </row>
    <row r="2430" spans="1:30">
      <c r="A2430" s="7"/>
      <c r="D2430" s="7"/>
      <c r="I2430" s="7"/>
      <c r="J2430" s="7"/>
      <c r="K2430" s="7"/>
      <c r="N2430" s="7"/>
      <c r="V2430" s="8"/>
      <c r="W2430" s="7"/>
      <c r="Y2430" s="8"/>
      <c r="Z2430" s="8"/>
      <c r="AA2430" s="8"/>
      <c r="AB2430" s="7"/>
      <c r="AD2430" s="8"/>
    </row>
    <row r="2431" spans="1:30">
      <c r="A2431" s="7"/>
      <c r="D2431" s="7"/>
      <c r="I2431" s="7"/>
      <c r="J2431" s="7"/>
      <c r="K2431" s="7"/>
      <c r="N2431" s="7"/>
      <c r="V2431" s="8"/>
      <c r="W2431" s="7"/>
      <c r="Y2431" s="8"/>
      <c r="Z2431" s="8"/>
      <c r="AA2431" s="8"/>
      <c r="AB2431" s="7"/>
      <c r="AD2431" s="8"/>
    </row>
    <row r="2432" spans="1:30">
      <c r="A2432" s="7"/>
      <c r="D2432" s="7"/>
      <c r="I2432" s="7"/>
      <c r="J2432" s="7"/>
      <c r="K2432" s="7"/>
      <c r="N2432" s="7"/>
      <c r="V2432" s="8"/>
      <c r="W2432" s="7"/>
      <c r="Y2432" s="8"/>
      <c r="Z2432" s="8"/>
      <c r="AA2432" s="8"/>
      <c r="AB2432" s="7"/>
      <c r="AD2432" s="8"/>
    </row>
    <row r="2433" spans="1:30">
      <c r="A2433" s="7"/>
      <c r="D2433" s="7"/>
      <c r="I2433" s="7"/>
      <c r="J2433" s="7"/>
      <c r="K2433" s="7"/>
      <c r="N2433" s="7"/>
      <c r="V2433" s="8"/>
      <c r="W2433" s="7"/>
      <c r="Y2433" s="8"/>
      <c r="Z2433" s="8"/>
      <c r="AA2433" s="8"/>
      <c r="AB2433" s="7"/>
      <c r="AD2433" s="8"/>
    </row>
    <row r="2434" spans="1:30">
      <c r="A2434" s="7"/>
      <c r="D2434" s="7"/>
      <c r="I2434" s="7"/>
      <c r="J2434" s="7"/>
      <c r="K2434" s="7"/>
      <c r="N2434" s="7"/>
      <c r="V2434" s="8"/>
      <c r="W2434" s="7"/>
      <c r="Y2434" s="8"/>
      <c r="Z2434" s="8"/>
      <c r="AA2434" s="8"/>
      <c r="AB2434" s="7"/>
      <c r="AD2434" s="8"/>
    </row>
    <row r="2435" spans="1:30">
      <c r="A2435" s="7"/>
      <c r="D2435" s="7"/>
      <c r="I2435" s="7"/>
      <c r="J2435" s="7"/>
      <c r="K2435" s="7"/>
      <c r="N2435" s="7"/>
      <c r="V2435" s="8"/>
      <c r="W2435" s="7"/>
      <c r="Y2435" s="8"/>
      <c r="Z2435" s="8"/>
      <c r="AA2435" s="8"/>
      <c r="AB2435" s="7"/>
      <c r="AD2435" s="8"/>
    </row>
    <row r="2436" spans="1:30">
      <c r="A2436" s="7"/>
      <c r="D2436" s="7"/>
      <c r="I2436" s="7"/>
      <c r="J2436" s="7"/>
      <c r="K2436" s="7"/>
      <c r="N2436" s="7"/>
      <c r="V2436" s="8"/>
      <c r="W2436" s="7"/>
      <c r="Y2436" s="8"/>
      <c r="Z2436" s="8"/>
      <c r="AA2436" s="8"/>
      <c r="AB2436" s="7"/>
      <c r="AD2436" s="8"/>
    </row>
    <row r="2437" spans="1:30">
      <c r="A2437" s="7"/>
      <c r="D2437" s="7"/>
      <c r="I2437" s="7"/>
      <c r="J2437" s="7"/>
      <c r="K2437" s="7"/>
      <c r="N2437" s="7"/>
      <c r="V2437" s="8"/>
      <c r="W2437" s="7"/>
      <c r="Y2437" s="8"/>
      <c r="Z2437" s="8"/>
      <c r="AA2437" s="8"/>
      <c r="AB2437" s="7"/>
      <c r="AD2437" s="8"/>
    </row>
    <row r="2438" spans="1:30">
      <c r="A2438" s="7"/>
      <c r="D2438" s="7"/>
      <c r="I2438" s="7"/>
      <c r="J2438" s="7"/>
      <c r="K2438" s="7"/>
      <c r="N2438" s="7"/>
      <c r="V2438" s="8"/>
      <c r="W2438" s="7"/>
      <c r="Y2438" s="8"/>
      <c r="Z2438" s="8"/>
      <c r="AA2438" s="8"/>
      <c r="AB2438" s="7"/>
      <c r="AD2438" s="8"/>
    </row>
    <row r="2439" spans="1:30">
      <c r="A2439" s="7"/>
      <c r="D2439" s="7"/>
      <c r="I2439" s="7"/>
      <c r="J2439" s="7"/>
      <c r="K2439" s="7"/>
      <c r="N2439" s="7"/>
      <c r="V2439" s="8"/>
      <c r="W2439" s="7"/>
      <c r="Y2439" s="8"/>
      <c r="Z2439" s="8"/>
      <c r="AA2439" s="8"/>
      <c r="AB2439" s="7"/>
      <c r="AD2439" s="8"/>
    </row>
    <row r="2440" spans="1:30">
      <c r="A2440" s="7"/>
      <c r="D2440" s="7"/>
      <c r="I2440" s="7"/>
      <c r="J2440" s="7"/>
      <c r="K2440" s="7"/>
      <c r="N2440" s="7"/>
      <c r="V2440" s="8"/>
      <c r="W2440" s="7"/>
      <c r="Y2440" s="8"/>
      <c r="Z2440" s="8"/>
      <c r="AA2440" s="8"/>
      <c r="AB2440" s="7"/>
      <c r="AD2440" s="8"/>
    </row>
    <row r="2441" spans="1:30">
      <c r="A2441" s="7"/>
      <c r="D2441" s="7"/>
      <c r="I2441" s="7"/>
      <c r="J2441" s="7"/>
      <c r="K2441" s="7"/>
      <c r="N2441" s="7"/>
      <c r="V2441" s="8"/>
      <c r="W2441" s="7"/>
      <c r="Y2441" s="8"/>
      <c r="Z2441" s="8"/>
      <c r="AA2441" s="8"/>
      <c r="AB2441" s="7"/>
      <c r="AD2441" s="8"/>
    </row>
    <row r="2442" spans="1:30">
      <c r="A2442" s="7"/>
      <c r="D2442" s="7"/>
      <c r="I2442" s="7"/>
      <c r="J2442" s="7"/>
      <c r="K2442" s="7"/>
      <c r="N2442" s="7"/>
      <c r="V2442" s="8"/>
      <c r="W2442" s="7"/>
      <c r="Y2442" s="8"/>
      <c r="Z2442" s="8"/>
      <c r="AA2442" s="8"/>
      <c r="AB2442" s="7"/>
      <c r="AD2442" s="8"/>
    </row>
    <row r="2443" spans="1:30">
      <c r="A2443" s="7"/>
      <c r="D2443" s="7"/>
      <c r="I2443" s="7"/>
      <c r="J2443" s="7"/>
      <c r="K2443" s="7"/>
      <c r="N2443" s="7"/>
      <c r="V2443" s="8"/>
      <c r="W2443" s="7"/>
      <c r="Y2443" s="8"/>
      <c r="Z2443" s="8"/>
      <c r="AA2443" s="8"/>
      <c r="AB2443" s="7"/>
      <c r="AD2443" s="8"/>
    </row>
    <row r="2444" spans="1:30">
      <c r="A2444" s="7"/>
      <c r="D2444" s="7"/>
      <c r="I2444" s="7"/>
      <c r="J2444" s="7"/>
      <c r="K2444" s="7"/>
      <c r="N2444" s="7"/>
      <c r="V2444" s="8"/>
      <c r="W2444" s="7"/>
      <c r="Y2444" s="8"/>
      <c r="Z2444" s="8"/>
      <c r="AA2444" s="8"/>
      <c r="AB2444" s="7"/>
      <c r="AD2444" s="8"/>
    </row>
    <row r="2445" spans="1:30">
      <c r="A2445" s="7"/>
      <c r="D2445" s="7"/>
      <c r="I2445" s="7"/>
      <c r="J2445" s="7"/>
      <c r="K2445" s="7"/>
      <c r="N2445" s="7"/>
      <c r="V2445" s="8"/>
      <c r="W2445" s="7"/>
      <c r="Y2445" s="8"/>
      <c r="Z2445" s="8"/>
      <c r="AA2445" s="8"/>
      <c r="AB2445" s="7"/>
      <c r="AD2445" s="8"/>
    </row>
    <row r="2446" spans="1:30">
      <c r="A2446" s="7"/>
      <c r="D2446" s="7"/>
      <c r="I2446" s="7"/>
      <c r="J2446" s="7"/>
      <c r="K2446" s="7"/>
      <c r="N2446" s="7"/>
      <c r="V2446" s="8"/>
      <c r="W2446" s="7"/>
      <c r="Y2446" s="8"/>
      <c r="Z2446" s="8"/>
      <c r="AA2446" s="8"/>
      <c r="AB2446" s="7"/>
      <c r="AD2446" s="8"/>
    </row>
    <row r="2447" spans="1:30">
      <c r="A2447" s="7"/>
      <c r="D2447" s="7"/>
      <c r="I2447" s="7"/>
      <c r="J2447" s="7"/>
      <c r="K2447" s="7"/>
      <c r="N2447" s="7"/>
      <c r="V2447" s="8"/>
      <c r="W2447" s="7"/>
      <c r="Y2447" s="8"/>
      <c r="Z2447" s="8"/>
      <c r="AA2447" s="8"/>
      <c r="AB2447" s="7"/>
      <c r="AD2447" s="8"/>
    </row>
    <row r="2448" spans="1:30">
      <c r="A2448" s="7"/>
      <c r="D2448" s="7"/>
      <c r="I2448" s="7"/>
      <c r="J2448" s="7"/>
      <c r="K2448" s="7"/>
      <c r="N2448" s="7"/>
      <c r="V2448" s="8"/>
      <c r="W2448" s="7"/>
      <c r="Y2448" s="8"/>
      <c r="Z2448" s="8"/>
      <c r="AA2448" s="8"/>
      <c r="AB2448" s="7"/>
      <c r="AD2448" s="8"/>
    </row>
    <row r="2449" spans="1:30">
      <c r="A2449" s="7"/>
      <c r="D2449" s="7"/>
      <c r="I2449" s="7"/>
      <c r="J2449" s="7"/>
      <c r="K2449" s="7"/>
      <c r="N2449" s="7"/>
      <c r="V2449" s="8"/>
      <c r="W2449" s="7"/>
      <c r="Y2449" s="8"/>
      <c r="Z2449" s="8"/>
      <c r="AA2449" s="8"/>
      <c r="AB2449" s="7"/>
      <c r="AD2449" s="8"/>
    </row>
    <row r="2450" spans="1:30">
      <c r="A2450" s="7"/>
      <c r="D2450" s="7"/>
      <c r="I2450" s="7"/>
      <c r="J2450" s="7"/>
      <c r="K2450" s="7"/>
      <c r="N2450" s="7"/>
      <c r="V2450" s="8"/>
      <c r="W2450" s="7"/>
      <c r="Y2450" s="8"/>
      <c r="Z2450" s="8"/>
      <c r="AA2450" s="8"/>
      <c r="AB2450" s="7"/>
      <c r="AD2450" s="8"/>
    </row>
    <row r="2451" spans="1:30">
      <c r="A2451" s="7"/>
      <c r="D2451" s="7"/>
      <c r="I2451" s="7"/>
      <c r="J2451" s="7"/>
      <c r="K2451" s="7"/>
      <c r="N2451" s="7"/>
      <c r="V2451" s="8"/>
      <c r="W2451" s="7"/>
      <c r="Y2451" s="8"/>
      <c r="Z2451" s="8"/>
      <c r="AA2451" s="8"/>
      <c r="AB2451" s="7"/>
      <c r="AD2451" s="8"/>
    </row>
    <row r="2452" spans="1:30">
      <c r="A2452" s="7"/>
      <c r="D2452" s="7"/>
      <c r="I2452" s="7"/>
      <c r="J2452" s="7"/>
      <c r="K2452" s="7"/>
      <c r="N2452" s="7"/>
      <c r="V2452" s="8"/>
      <c r="W2452" s="7"/>
      <c r="Y2452" s="8"/>
      <c r="Z2452" s="8"/>
      <c r="AA2452" s="8"/>
      <c r="AB2452" s="7"/>
      <c r="AD2452" s="8"/>
    </row>
    <row r="2453" spans="1:30">
      <c r="A2453" s="7"/>
      <c r="D2453" s="7"/>
      <c r="I2453" s="7"/>
      <c r="J2453" s="7"/>
      <c r="K2453" s="7"/>
      <c r="N2453" s="7"/>
      <c r="V2453" s="8"/>
      <c r="W2453" s="7"/>
      <c r="Y2453" s="8"/>
      <c r="Z2453" s="8"/>
      <c r="AA2453" s="8"/>
      <c r="AB2453" s="7"/>
      <c r="AD2453" s="8"/>
    </row>
    <row r="2454" spans="1:30">
      <c r="A2454" s="7"/>
      <c r="D2454" s="7"/>
      <c r="I2454" s="7"/>
      <c r="J2454" s="7"/>
      <c r="K2454" s="7"/>
      <c r="N2454" s="7"/>
      <c r="V2454" s="8"/>
      <c r="W2454" s="7"/>
      <c r="Y2454" s="8"/>
      <c r="Z2454" s="8"/>
      <c r="AA2454" s="8"/>
      <c r="AB2454" s="7"/>
      <c r="AD2454" s="8"/>
    </row>
    <row r="2455" spans="1:30">
      <c r="A2455" s="7"/>
      <c r="D2455" s="7"/>
      <c r="I2455" s="7"/>
      <c r="J2455" s="7"/>
      <c r="K2455" s="7"/>
      <c r="N2455" s="7"/>
      <c r="V2455" s="8"/>
      <c r="W2455" s="7"/>
      <c r="Y2455" s="8"/>
      <c r="Z2455" s="8"/>
      <c r="AA2455" s="8"/>
      <c r="AB2455" s="7"/>
      <c r="AD2455" s="8"/>
    </row>
    <row r="2456" spans="1:30">
      <c r="A2456" s="7"/>
      <c r="D2456" s="7"/>
      <c r="I2456" s="7"/>
      <c r="J2456" s="7"/>
      <c r="K2456" s="7"/>
      <c r="N2456" s="7"/>
      <c r="V2456" s="8"/>
      <c r="W2456" s="7"/>
      <c r="Y2456" s="8"/>
      <c r="Z2456" s="8"/>
      <c r="AA2456" s="8"/>
      <c r="AB2456" s="7"/>
      <c r="AD2456" s="8"/>
    </row>
    <row r="2457" spans="1:30">
      <c r="A2457" s="7"/>
      <c r="D2457" s="7"/>
      <c r="I2457" s="7"/>
      <c r="J2457" s="7"/>
      <c r="K2457" s="7"/>
      <c r="N2457" s="7"/>
      <c r="V2457" s="8"/>
      <c r="W2457" s="7"/>
      <c r="Y2457" s="8"/>
      <c r="Z2457" s="8"/>
      <c r="AA2457" s="8"/>
      <c r="AB2457" s="7"/>
      <c r="AD2457" s="8"/>
    </row>
    <row r="2458" spans="1:30">
      <c r="A2458" s="7"/>
      <c r="D2458" s="7"/>
      <c r="I2458" s="7"/>
      <c r="J2458" s="7"/>
      <c r="K2458" s="7"/>
      <c r="N2458" s="7"/>
      <c r="V2458" s="8"/>
      <c r="W2458" s="7"/>
      <c r="Y2458" s="8"/>
      <c r="Z2458" s="8"/>
      <c r="AA2458" s="8"/>
      <c r="AB2458" s="7"/>
      <c r="AD2458" s="8"/>
    </row>
    <row r="2459" spans="1:30">
      <c r="A2459" s="7"/>
      <c r="D2459" s="7"/>
      <c r="I2459" s="7"/>
      <c r="J2459" s="7"/>
      <c r="K2459" s="7"/>
      <c r="N2459" s="7"/>
      <c r="V2459" s="8"/>
      <c r="W2459" s="7"/>
      <c r="Y2459" s="8"/>
      <c r="Z2459" s="8"/>
      <c r="AA2459" s="8"/>
      <c r="AB2459" s="7"/>
      <c r="AD2459" s="8"/>
    </row>
    <row r="2460" spans="1:30">
      <c r="A2460" s="7"/>
      <c r="D2460" s="7"/>
      <c r="I2460" s="7"/>
      <c r="J2460" s="7"/>
      <c r="K2460" s="7"/>
      <c r="N2460" s="7"/>
      <c r="V2460" s="8"/>
      <c r="W2460" s="7"/>
      <c r="Y2460" s="8"/>
      <c r="Z2460" s="8"/>
      <c r="AA2460" s="8"/>
      <c r="AB2460" s="7"/>
      <c r="AD2460" s="8"/>
    </row>
    <row r="2461" spans="1:30">
      <c r="A2461" s="7"/>
      <c r="D2461" s="7"/>
      <c r="I2461" s="7"/>
      <c r="J2461" s="7"/>
      <c r="K2461" s="7"/>
      <c r="N2461" s="7"/>
      <c r="V2461" s="8"/>
      <c r="W2461" s="7"/>
      <c r="Y2461" s="8"/>
      <c r="Z2461" s="8"/>
      <c r="AA2461" s="8"/>
      <c r="AB2461" s="7"/>
      <c r="AD2461" s="8"/>
    </row>
    <row r="2462" spans="1:30">
      <c r="A2462" s="7"/>
      <c r="D2462" s="7"/>
      <c r="I2462" s="7"/>
      <c r="J2462" s="7"/>
      <c r="K2462" s="7"/>
      <c r="N2462" s="7"/>
      <c r="V2462" s="8"/>
      <c r="W2462" s="7"/>
      <c r="Y2462" s="8"/>
      <c r="Z2462" s="8"/>
      <c r="AA2462" s="8"/>
      <c r="AB2462" s="7"/>
      <c r="AD2462" s="8"/>
    </row>
    <row r="2463" spans="1:30">
      <c r="A2463" s="7"/>
      <c r="D2463" s="7"/>
      <c r="I2463" s="7"/>
      <c r="J2463" s="7"/>
      <c r="K2463" s="7"/>
      <c r="N2463" s="7"/>
      <c r="V2463" s="8"/>
      <c r="W2463" s="7"/>
      <c r="Y2463" s="8"/>
      <c r="Z2463" s="8"/>
      <c r="AA2463" s="8"/>
      <c r="AB2463" s="7"/>
      <c r="AD2463" s="8"/>
    </row>
    <row r="2464" spans="1:30">
      <c r="A2464" s="7"/>
      <c r="D2464" s="7"/>
      <c r="I2464" s="7"/>
      <c r="J2464" s="7"/>
      <c r="K2464" s="7"/>
      <c r="N2464" s="7"/>
      <c r="V2464" s="8"/>
      <c r="W2464" s="7"/>
      <c r="Y2464" s="8"/>
      <c r="Z2464" s="8"/>
      <c r="AA2464" s="8"/>
      <c r="AB2464" s="7"/>
      <c r="AD2464" s="8"/>
    </row>
    <row r="2465" spans="1:30">
      <c r="A2465" s="7"/>
      <c r="D2465" s="7"/>
      <c r="I2465" s="7"/>
      <c r="J2465" s="7"/>
      <c r="K2465" s="7"/>
      <c r="N2465" s="7"/>
      <c r="V2465" s="8"/>
      <c r="W2465" s="7"/>
      <c r="Y2465" s="8"/>
      <c r="Z2465" s="8"/>
      <c r="AA2465" s="8"/>
      <c r="AB2465" s="7"/>
      <c r="AD2465" s="8"/>
    </row>
    <row r="2466" spans="1:30">
      <c r="A2466" s="7"/>
      <c r="D2466" s="7"/>
      <c r="I2466" s="7"/>
      <c r="J2466" s="7"/>
      <c r="K2466" s="7"/>
      <c r="N2466" s="7"/>
      <c r="V2466" s="8"/>
      <c r="W2466" s="7"/>
      <c r="Y2466" s="8"/>
      <c r="Z2466" s="8"/>
      <c r="AA2466" s="8"/>
      <c r="AB2466" s="7"/>
      <c r="AD2466" s="8"/>
    </row>
    <row r="2467" spans="1:30">
      <c r="A2467" s="7"/>
      <c r="D2467" s="7"/>
      <c r="I2467" s="7"/>
      <c r="J2467" s="7"/>
      <c r="K2467" s="7"/>
      <c r="N2467" s="7"/>
      <c r="V2467" s="8"/>
      <c r="W2467" s="7"/>
      <c r="Y2467" s="8"/>
      <c r="Z2467" s="8"/>
      <c r="AA2467" s="8"/>
      <c r="AB2467" s="7"/>
      <c r="AD2467" s="8"/>
    </row>
    <row r="2468" spans="1:30">
      <c r="A2468" s="7"/>
      <c r="D2468" s="7"/>
      <c r="I2468" s="7"/>
      <c r="J2468" s="7"/>
      <c r="K2468" s="7"/>
      <c r="N2468" s="7"/>
      <c r="V2468" s="8"/>
      <c r="W2468" s="7"/>
      <c r="Y2468" s="8"/>
      <c r="Z2468" s="8"/>
      <c r="AA2468" s="8"/>
      <c r="AB2468" s="7"/>
      <c r="AD2468" s="8"/>
    </row>
    <row r="2469" spans="1:30">
      <c r="A2469" s="7"/>
      <c r="D2469" s="7"/>
      <c r="I2469" s="7"/>
      <c r="J2469" s="7"/>
      <c r="K2469" s="7"/>
      <c r="N2469" s="7"/>
      <c r="V2469" s="8"/>
      <c r="W2469" s="7"/>
      <c r="Y2469" s="8"/>
      <c r="Z2469" s="8"/>
      <c r="AA2469" s="8"/>
      <c r="AB2469" s="7"/>
      <c r="AD2469" s="8"/>
    </row>
    <row r="2470" spans="1:30">
      <c r="A2470" s="7"/>
      <c r="D2470" s="7"/>
      <c r="I2470" s="7"/>
      <c r="J2470" s="7"/>
      <c r="K2470" s="7"/>
      <c r="N2470" s="7"/>
      <c r="V2470" s="8"/>
      <c r="W2470" s="7"/>
      <c r="Y2470" s="8"/>
      <c r="Z2470" s="8"/>
      <c r="AA2470" s="8"/>
      <c r="AB2470" s="7"/>
      <c r="AD2470" s="8"/>
    </row>
    <row r="2471" spans="1:30">
      <c r="A2471" s="7"/>
      <c r="D2471" s="7"/>
      <c r="I2471" s="7"/>
      <c r="J2471" s="7"/>
      <c r="K2471" s="7"/>
      <c r="N2471" s="7"/>
      <c r="V2471" s="8"/>
      <c r="W2471" s="7"/>
      <c r="Y2471" s="8"/>
      <c r="Z2471" s="8"/>
      <c r="AA2471" s="8"/>
      <c r="AB2471" s="7"/>
      <c r="AD2471" s="8"/>
    </row>
  </sheetData>
  <autoFilter ref="A1:AI1910" xr:uid="{40587179-9316-4D92-9881-199DFBD22587}">
    <filterColumn colId="14">
      <filters>
        <filter val="MC1D1DCA2SP001618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9F2B8-8683-407A-B56E-F450D8D209DD}">
  <sheetPr filterMode="1">
    <tabColor rgb="FF92D050"/>
  </sheetPr>
  <dimension ref="A1:AI1064"/>
  <sheetViews>
    <sheetView workbookViewId="0">
      <pane xSplit="4" ySplit="1" topLeftCell="U294" activePane="bottomRight" state="frozen"/>
      <selection pane="topRight" activeCell="E1" sqref="E1"/>
      <selection pane="bottomLeft" activeCell="A2" sqref="A2"/>
      <selection pane="bottomRight" activeCell="V296" sqref="V294:V296"/>
    </sheetView>
  </sheetViews>
  <sheetFormatPr defaultRowHeight="14.5"/>
  <cols>
    <col min="1" max="1" width="9.08984375" customWidth="1"/>
    <col min="2" max="2" width="18.1796875" customWidth="1"/>
    <col min="3" max="3" width="15.6328125" customWidth="1"/>
    <col min="4" max="4" width="16.90625" customWidth="1"/>
    <col min="5" max="6" width="15.6328125" customWidth="1"/>
    <col min="7" max="7" width="16.90625" customWidth="1"/>
    <col min="8" max="8" width="14.26953125" customWidth="1"/>
    <col min="9" max="9" width="22.08984375" customWidth="1"/>
    <col min="10" max="10" width="13" customWidth="1"/>
    <col min="11" max="11" width="15.6328125" customWidth="1"/>
    <col min="12" max="12" width="13" customWidth="1"/>
    <col min="13" max="13" width="15.6328125" customWidth="1"/>
    <col min="14" max="14" width="13" customWidth="1"/>
    <col min="15" max="15" width="10.36328125" customWidth="1"/>
    <col min="16" max="16" width="18.1796875" customWidth="1"/>
    <col min="17" max="17" width="20.81640625" customWidth="1"/>
    <col min="18" max="18" width="14.26953125" customWidth="1"/>
    <col min="19" max="19" width="19.453125" customWidth="1"/>
    <col min="20" max="20" width="26" customWidth="1"/>
    <col min="21" max="21" width="6" customWidth="1"/>
    <col min="22" max="22" width="13" customWidth="1"/>
    <col min="23" max="24" width="10.36328125" customWidth="1"/>
    <col min="25" max="25" width="52" customWidth="1"/>
    <col min="26" max="26" width="27.26953125" customWidth="1"/>
    <col min="27" max="27" width="15.6328125" customWidth="1"/>
    <col min="28" max="28" width="19.453125" customWidth="1"/>
    <col min="29" max="29" width="26" customWidth="1"/>
    <col min="30" max="30" width="35.08984375" customWidth="1"/>
    <col min="31" max="31" width="16.90625" customWidth="1"/>
    <col min="32" max="32" width="42.90625" customWidth="1"/>
    <col min="33" max="34" width="18.1796875" customWidth="1"/>
    <col min="35" max="35" width="52" customWidth="1"/>
  </cols>
  <sheetData>
    <row r="1" spans="1:35">
      <c r="A1" s="6" t="s">
        <v>2229</v>
      </c>
      <c r="B1" s="6" t="s">
        <v>2230</v>
      </c>
      <c r="C1" s="6" t="s">
        <v>792</v>
      </c>
      <c r="D1" s="6" t="s">
        <v>2231</v>
      </c>
      <c r="E1" s="6" t="s">
        <v>2232</v>
      </c>
      <c r="F1" s="6" t="s">
        <v>2233</v>
      </c>
      <c r="G1" s="6" t="s">
        <v>2234</v>
      </c>
      <c r="H1" s="6" t="s">
        <v>2235</v>
      </c>
      <c r="I1" s="6" t="s">
        <v>223</v>
      </c>
      <c r="J1" s="6" t="s">
        <v>224</v>
      </c>
      <c r="K1" s="6" t="s">
        <v>225</v>
      </c>
      <c r="L1" s="6" t="s">
        <v>220</v>
      </c>
      <c r="M1" s="6" t="s">
        <v>2236</v>
      </c>
      <c r="N1" s="6" t="s">
        <v>2237</v>
      </c>
      <c r="O1" s="6" t="s">
        <v>2238</v>
      </c>
      <c r="P1" s="6" t="s">
        <v>2239</v>
      </c>
      <c r="Q1" s="6" t="s">
        <v>2240</v>
      </c>
      <c r="R1" s="6" t="s">
        <v>2241</v>
      </c>
      <c r="S1" s="6" t="s">
        <v>2242</v>
      </c>
      <c r="T1" s="6" t="s">
        <v>2243</v>
      </c>
      <c r="U1" s="6" t="s">
        <v>2244</v>
      </c>
      <c r="V1" s="6" t="s">
        <v>2245</v>
      </c>
      <c r="W1" s="6" t="s">
        <v>2246</v>
      </c>
      <c r="X1" s="6" t="s">
        <v>2247</v>
      </c>
      <c r="Y1" s="6" t="s">
        <v>2248</v>
      </c>
      <c r="Z1" s="6" t="s">
        <v>2249</v>
      </c>
      <c r="AA1" s="6" t="s">
        <v>2250</v>
      </c>
      <c r="AB1" s="6" t="s">
        <v>2251</v>
      </c>
      <c r="AC1" s="6" t="s">
        <v>2252</v>
      </c>
      <c r="AD1" s="6" t="s">
        <v>2253</v>
      </c>
      <c r="AE1" s="6" t="s">
        <v>2254</v>
      </c>
      <c r="AF1" s="6" t="s">
        <v>2255</v>
      </c>
      <c r="AG1" s="6" t="s">
        <v>2256</v>
      </c>
      <c r="AH1" s="6" t="s">
        <v>2257</v>
      </c>
      <c r="AI1" s="6" t="s">
        <v>2258</v>
      </c>
    </row>
    <row r="2" spans="1:35" hidden="1">
      <c r="A2" s="7">
        <v>1007718</v>
      </c>
      <c r="B2" t="s">
        <v>2259</v>
      </c>
      <c r="C2" t="s">
        <v>2260</v>
      </c>
      <c r="D2" s="7">
        <v>7134260110957</v>
      </c>
      <c r="E2" t="s">
        <v>2261</v>
      </c>
      <c r="F2" t="s">
        <v>2262</v>
      </c>
      <c r="G2" t="s">
        <v>2263</v>
      </c>
      <c r="H2" t="s">
        <v>2264</v>
      </c>
      <c r="I2" t="s">
        <v>1296</v>
      </c>
      <c r="J2" t="s">
        <v>1297</v>
      </c>
      <c r="K2" t="s">
        <v>252</v>
      </c>
      <c r="L2" t="s">
        <v>2265</v>
      </c>
      <c r="M2" s="7">
        <v>1165</v>
      </c>
      <c r="N2" t="s">
        <v>2266</v>
      </c>
      <c r="O2" s="7">
        <v>58623</v>
      </c>
      <c r="R2" s="7">
        <v>1</v>
      </c>
      <c r="S2" t="s">
        <v>2267</v>
      </c>
      <c r="T2" t="s">
        <v>2268</v>
      </c>
      <c r="U2" s="7">
        <v>1</v>
      </c>
      <c r="V2" s="8">
        <v>5322.44</v>
      </c>
      <c r="W2" t="s">
        <v>35</v>
      </c>
      <c r="Y2" t="s">
        <v>2269</v>
      </c>
      <c r="Z2" s="7">
        <v>1749467</v>
      </c>
      <c r="AA2" t="s">
        <v>36</v>
      </c>
      <c r="AB2" s="8">
        <v>6812.72</v>
      </c>
      <c r="AC2" s="7">
        <v>0</v>
      </c>
      <c r="AF2" s="8">
        <v>6812.72</v>
      </c>
    </row>
    <row r="3" spans="1:35" hidden="1">
      <c r="A3" s="7">
        <v>1007718</v>
      </c>
      <c r="B3" t="s">
        <v>2259</v>
      </c>
      <c r="C3" t="s">
        <v>2260</v>
      </c>
      <c r="D3" s="7">
        <v>7134260110957</v>
      </c>
      <c r="E3" t="s">
        <v>2261</v>
      </c>
      <c r="F3" t="s">
        <v>2262</v>
      </c>
      <c r="G3" t="s">
        <v>2263</v>
      </c>
      <c r="H3" t="s">
        <v>2264</v>
      </c>
      <c r="I3" t="s">
        <v>1296</v>
      </c>
      <c r="J3" t="s">
        <v>1297</v>
      </c>
      <c r="K3" t="s">
        <v>252</v>
      </c>
      <c r="L3" t="s">
        <v>2265</v>
      </c>
      <c r="M3" s="7">
        <v>1165</v>
      </c>
      <c r="N3" t="s">
        <v>2266</v>
      </c>
      <c r="O3" s="7">
        <v>58623</v>
      </c>
      <c r="R3" s="7">
        <v>2</v>
      </c>
      <c r="S3" t="s">
        <v>2270</v>
      </c>
      <c r="T3" t="s">
        <v>2271</v>
      </c>
      <c r="U3" s="7">
        <v>1</v>
      </c>
      <c r="V3">
        <v>247.5</v>
      </c>
      <c r="W3" t="s">
        <v>35</v>
      </c>
      <c r="Y3" t="s">
        <v>2269</v>
      </c>
      <c r="Z3" s="7">
        <v>1749467</v>
      </c>
      <c r="AA3" t="s">
        <v>36</v>
      </c>
      <c r="AB3" s="8">
        <v>292.05</v>
      </c>
      <c r="AC3" s="7">
        <v>0</v>
      </c>
      <c r="AF3" s="8">
        <v>292.05</v>
      </c>
    </row>
    <row r="4" spans="1:35" hidden="1">
      <c r="A4" s="7">
        <v>1007734</v>
      </c>
      <c r="B4" t="s">
        <v>2272</v>
      </c>
      <c r="C4" t="s">
        <v>2260</v>
      </c>
      <c r="D4" s="7">
        <v>7134260110956</v>
      </c>
      <c r="E4" t="s">
        <v>2273</v>
      </c>
      <c r="F4" t="s">
        <v>2274</v>
      </c>
      <c r="G4" t="s">
        <v>2263</v>
      </c>
      <c r="H4" t="s">
        <v>2264</v>
      </c>
      <c r="I4" t="s">
        <v>1138</v>
      </c>
      <c r="J4" t="s">
        <v>1139</v>
      </c>
      <c r="K4" t="s">
        <v>252</v>
      </c>
      <c r="L4" t="s">
        <v>2275</v>
      </c>
      <c r="M4" s="7">
        <v>1165</v>
      </c>
      <c r="N4" t="s">
        <v>2266</v>
      </c>
      <c r="O4" s="7">
        <v>42369</v>
      </c>
      <c r="R4" s="7">
        <v>1</v>
      </c>
      <c r="S4" t="s">
        <v>2267</v>
      </c>
      <c r="T4" t="s">
        <v>2268</v>
      </c>
      <c r="U4" s="7">
        <v>1</v>
      </c>
      <c r="V4" s="8">
        <v>5322.44</v>
      </c>
      <c r="W4" t="s">
        <v>35</v>
      </c>
      <c r="Y4" t="s">
        <v>2269</v>
      </c>
      <c r="Z4" s="7">
        <v>1749466</v>
      </c>
      <c r="AA4" t="s">
        <v>36</v>
      </c>
      <c r="AB4" s="8">
        <v>6812.72</v>
      </c>
      <c r="AC4" s="7">
        <v>0</v>
      </c>
      <c r="AF4" s="8">
        <v>6812.72</v>
      </c>
    </row>
    <row r="5" spans="1:35" hidden="1">
      <c r="A5" s="7">
        <v>1007734</v>
      </c>
      <c r="B5" t="s">
        <v>2272</v>
      </c>
      <c r="C5" t="s">
        <v>2260</v>
      </c>
      <c r="D5" s="7">
        <v>7134260110956</v>
      </c>
      <c r="E5" t="s">
        <v>2273</v>
      </c>
      <c r="F5" t="s">
        <v>2274</v>
      </c>
      <c r="G5" t="s">
        <v>2263</v>
      </c>
      <c r="H5" t="s">
        <v>2264</v>
      </c>
      <c r="I5" t="s">
        <v>1138</v>
      </c>
      <c r="J5" t="s">
        <v>1139</v>
      </c>
      <c r="K5" t="s">
        <v>252</v>
      </c>
      <c r="L5" t="s">
        <v>2275</v>
      </c>
      <c r="M5" s="7">
        <v>1165</v>
      </c>
      <c r="N5" t="s">
        <v>2266</v>
      </c>
      <c r="O5" s="7">
        <v>42369</v>
      </c>
      <c r="R5" s="7">
        <v>2</v>
      </c>
      <c r="S5" t="s">
        <v>2270</v>
      </c>
      <c r="T5" t="s">
        <v>2271</v>
      </c>
      <c r="U5" s="7">
        <v>1</v>
      </c>
      <c r="V5">
        <v>247.5</v>
      </c>
      <c r="W5" t="s">
        <v>35</v>
      </c>
      <c r="Y5" t="s">
        <v>2269</v>
      </c>
      <c r="Z5" s="7">
        <v>1749466</v>
      </c>
      <c r="AA5" t="s">
        <v>36</v>
      </c>
      <c r="AB5" s="8">
        <v>292.05</v>
      </c>
      <c r="AC5" s="7">
        <v>0</v>
      </c>
      <c r="AF5" s="8">
        <v>292.05</v>
      </c>
    </row>
    <row r="6" spans="1:35" hidden="1">
      <c r="A6" s="7">
        <v>1008722</v>
      </c>
      <c r="B6" t="s">
        <v>2276</v>
      </c>
      <c r="C6" t="s">
        <v>2277</v>
      </c>
      <c r="D6" s="7">
        <v>7134260112212</v>
      </c>
      <c r="E6" t="s">
        <v>2278</v>
      </c>
      <c r="F6" t="s">
        <v>16</v>
      </c>
      <c r="G6" t="s">
        <v>2279</v>
      </c>
      <c r="H6" t="s">
        <v>2280</v>
      </c>
      <c r="I6" t="s">
        <v>879</v>
      </c>
      <c r="J6" t="s">
        <v>880</v>
      </c>
      <c r="K6" t="s">
        <v>261</v>
      </c>
      <c r="L6" t="s">
        <v>2281</v>
      </c>
      <c r="M6" s="7">
        <v>1165</v>
      </c>
      <c r="N6" t="s">
        <v>2266</v>
      </c>
      <c r="O6" s="7">
        <v>32256</v>
      </c>
      <c r="R6" s="7">
        <v>1</v>
      </c>
      <c r="S6" t="s">
        <v>2282</v>
      </c>
      <c r="T6" t="s">
        <v>2283</v>
      </c>
      <c r="U6" s="7">
        <v>1</v>
      </c>
      <c r="V6" s="8">
        <v>1436.28</v>
      </c>
      <c r="W6" t="s">
        <v>35</v>
      </c>
      <c r="Y6" t="s">
        <v>2269</v>
      </c>
      <c r="Z6" s="7">
        <v>1750232</v>
      </c>
      <c r="AA6" t="s">
        <v>2284</v>
      </c>
      <c r="AB6" s="8">
        <v>1838.44</v>
      </c>
      <c r="AC6" s="7">
        <v>0</v>
      </c>
      <c r="AF6" s="8">
        <v>1838.44</v>
      </c>
    </row>
    <row r="7" spans="1:35" hidden="1">
      <c r="A7" s="7">
        <v>1008722</v>
      </c>
      <c r="B7" t="s">
        <v>2276</v>
      </c>
      <c r="C7" t="s">
        <v>2277</v>
      </c>
      <c r="D7" s="7">
        <v>7134260112212</v>
      </c>
      <c r="E7" t="s">
        <v>2278</v>
      </c>
      <c r="F7" t="s">
        <v>16</v>
      </c>
      <c r="G7" t="s">
        <v>2279</v>
      </c>
      <c r="H7" t="s">
        <v>2280</v>
      </c>
      <c r="I7" t="s">
        <v>879</v>
      </c>
      <c r="J7" t="s">
        <v>880</v>
      </c>
      <c r="K7" t="s">
        <v>261</v>
      </c>
      <c r="L7" t="s">
        <v>2281</v>
      </c>
      <c r="M7" s="7">
        <v>1165</v>
      </c>
      <c r="N7" t="s">
        <v>2266</v>
      </c>
      <c r="O7" s="7">
        <v>32256</v>
      </c>
      <c r="R7" s="7">
        <v>2</v>
      </c>
      <c r="S7" t="s">
        <v>2285</v>
      </c>
      <c r="T7" t="s">
        <v>2271</v>
      </c>
      <c r="U7" s="7">
        <v>1</v>
      </c>
      <c r="V7" s="7">
        <v>75</v>
      </c>
      <c r="W7" t="s">
        <v>35</v>
      </c>
      <c r="Y7" t="s">
        <v>2269</v>
      </c>
      <c r="Z7" s="7">
        <v>1750232</v>
      </c>
      <c r="AA7" t="s">
        <v>2284</v>
      </c>
      <c r="AB7" s="8">
        <v>88.5</v>
      </c>
      <c r="AC7" s="7">
        <v>0</v>
      </c>
      <c r="AF7" s="8">
        <v>88.5</v>
      </c>
    </row>
    <row r="8" spans="1:35" hidden="1">
      <c r="A8" s="7">
        <v>1008965</v>
      </c>
      <c r="B8" t="s">
        <v>2286</v>
      </c>
      <c r="C8" t="s">
        <v>2277</v>
      </c>
      <c r="D8" s="7">
        <v>7134260112223</v>
      </c>
      <c r="E8" t="s">
        <v>2287</v>
      </c>
      <c r="F8" t="s">
        <v>17</v>
      </c>
      <c r="G8" t="s">
        <v>2288</v>
      </c>
      <c r="H8" t="s">
        <v>2280</v>
      </c>
      <c r="I8" t="s">
        <v>1678</v>
      </c>
      <c r="J8" t="s">
        <v>1679</v>
      </c>
      <c r="K8" t="s">
        <v>261</v>
      </c>
      <c r="L8" t="s">
        <v>2289</v>
      </c>
      <c r="M8" s="7">
        <v>1165</v>
      </c>
      <c r="N8" t="s">
        <v>2266</v>
      </c>
      <c r="O8" s="7">
        <v>18290</v>
      </c>
      <c r="R8" s="7">
        <v>1</v>
      </c>
      <c r="S8" t="s">
        <v>2290</v>
      </c>
      <c r="T8" t="s">
        <v>2291</v>
      </c>
      <c r="U8" s="7">
        <v>1</v>
      </c>
      <c r="V8" s="8">
        <v>9241.26</v>
      </c>
      <c r="W8" t="s">
        <v>35</v>
      </c>
      <c r="Y8" t="s">
        <v>2269</v>
      </c>
      <c r="Z8" s="7">
        <v>1750233</v>
      </c>
      <c r="AA8" t="s">
        <v>2284</v>
      </c>
      <c r="AB8" s="8">
        <v>11828.81</v>
      </c>
      <c r="AC8" s="7">
        <v>0</v>
      </c>
      <c r="AF8" s="8">
        <v>11828.81</v>
      </c>
      <c r="AI8" t="s">
        <v>2292</v>
      </c>
    </row>
    <row r="9" spans="1:35" hidden="1">
      <c r="A9" s="7">
        <v>1008965</v>
      </c>
      <c r="B9" t="s">
        <v>2286</v>
      </c>
      <c r="C9" t="s">
        <v>2277</v>
      </c>
      <c r="D9" s="7">
        <v>7134260112223</v>
      </c>
      <c r="E9" t="s">
        <v>2287</v>
      </c>
      <c r="F9" t="s">
        <v>17</v>
      </c>
      <c r="G9" t="s">
        <v>2288</v>
      </c>
      <c r="H9" t="s">
        <v>2280</v>
      </c>
      <c r="I9" t="s">
        <v>1678</v>
      </c>
      <c r="J9" t="s">
        <v>1679</v>
      </c>
      <c r="K9" t="s">
        <v>261</v>
      </c>
      <c r="L9" t="s">
        <v>2289</v>
      </c>
      <c r="M9" s="7">
        <v>1165</v>
      </c>
      <c r="N9" t="s">
        <v>2266</v>
      </c>
      <c r="O9" s="7">
        <v>18290</v>
      </c>
      <c r="R9" s="7">
        <v>2</v>
      </c>
      <c r="S9" t="s">
        <v>2293</v>
      </c>
      <c r="T9" t="s">
        <v>2271</v>
      </c>
      <c r="U9" s="7">
        <v>1</v>
      </c>
      <c r="V9" s="7">
        <v>105</v>
      </c>
      <c r="W9" t="s">
        <v>35</v>
      </c>
      <c r="Y9" t="s">
        <v>2269</v>
      </c>
      <c r="Z9" s="7">
        <v>1750233</v>
      </c>
      <c r="AA9" t="s">
        <v>2284</v>
      </c>
      <c r="AB9" s="8">
        <v>123.9</v>
      </c>
      <c r="AC9" s="7">
        <v>0</v>
      </c>
      <c r="AF9" s="8">
        <v>123.9</v>
      </c>
      <c r="AI9" t="s">
        <v>2292</v>
      </c>
    </row>
    <row r="10" spans="1:35" hidden="1">
      <c r="A10" s="7">
        <v>1009012</v>
      </c>
      <c r="B10" t="s">
        <v>2294</v>
      </c>
      <c r="C10" t="s">
        <v>2277</v>
      </c>
      <c r="D10" s="7">
        <v>7134260112186</v>
      </c>
      <c r="E10" t="s">
        <v>2295</v>
      </c>
      <c r="F10" t="s">
        <v>8</v>
      </c>
      <c r="G10" t="s">
        <v>2288</v>
      </c>
      <c r="H10" t="s">
        <v>2280</v>
      </c>
      <c r="I10" t="s">
        <v>1288</v>
      </c>
      <c r="J10" t="s">
        <v>1289</v>
      </c>
      <c r="K10" t="s">
        <v>267</v>
      </c>
      <c r="L10" t="s">
        <v>2296</v>
      </c>
      <c r="M10" s="7">
        <v>1165</v>
      </c>
      <c r="N10" t="s">
        <v>2297</v>
      </c>
      <c r="O10" s="7">
        <v>31578</v>
      </c>
      <c r="R10" s="7">
        <v>1</v>
      </c>
      <c r="S10" t="s">
        <v>2298</v>
      </c>
      <c r="T10" t="s">
        <v>2299</v>
      </c>
      <c r="U10" s="7">
        <v>1</v>
      </c>
      <c r="V10" s="8">
        <v>1098.95</v>
      </c>
      <c r="W10" t="s">
        <v>2300</v>
      </c>
      <c r="X10" t="s">
        <v>2301</v>
      </c>
      <c r="Y10" t="s">
        <v>2302</v>
      </c>
      <c r="Z10" s="7">
        <v>1750225</v>
      </c>
      <c r="AA10" t="s">
        <v>2284</v>
      </c>
      <c r="AB10" s="8">
        <v>1296.76</v>
      </c>
      <c r="AC10" s="8">
        <v>1296.76</v>
      </c>
      <c r="AD10" s="7">
        <v>1517573</v>
      </c>
      <c r="AE10" t="s">
        <v>2284</v>
      </c>
      <c r="AF10" s="7">
        <v>0</v>
      </c>
    </row>
    <row r="11" spans="1:35" hidden="1">
      <c r="A11" s="7">
        <v>1009012</v>
      </c>
      <c r="B11" t="s">
        <v>2294</v>
      </c>
      <c r="C11" t="s">
        <v>2277</v>
      </c>
      <c r="D11" s="7">
        <v>7134260112186</v>
      </c>
      <c r="E11" t="s">
        <v>2295</v>
      </c>
      <c r="F11" t="s">
        <v>8</v>
      </c>
      <c r="G11" t="s">
        <v>2288</v>
      </c>
      <c r="H11" t="s">
        <v>2280</v>
      </c>
      <c r="I11" t="s">
        <v>1288</v>
      </c>
      <c r="J11" t="s">
        <v>1289</v>
      </c>
      <c r="K11" t="s">
        <v>267</v>
      </c>
      <c r="L11" t="s">
        <v>2296</v>
      </c>
      <c r="M11" s="7">
        <v>1165</v>
      </c>
      <c r="N11" t="s">
        <v>2297</v>
      </c>
      <c r="O11" s="7">
        <v>31578</v>
      </c>
      <c r="R11" s="7">
        <v>2</v>
      </c>
      <c r="S11" t="s">
        <v>2303</v>
      </c>
      <c r="T11" t="s">
        <v>2271</v>
      </c>
      <c r="U11" s="7">
        <v>1</v>
      </c>
      <c r="V11">
        <v>142.5</v>
      </c>
      <c r="W11" t="s">
        <v>2300</v>
      </c>
      <c r="X11" t="s">
        <v>2301</v>
      </c>
      <c r="Y11" t="s">
        <v>2302</v>
      </c>
      <c r="Z11" s="7">
        <v>1750225</v>
      </c>
      <c r="AA11" t="s">
        <v>2284</v>
      </c>
      <c r="AB11" s="8">
        <v>168.15</v>
      </c>
      <c r="AC11" s="8">
        <v>168.15</v>
      </c>
      <c r="AD11" s="7">
        <v>1517573</v>
      </c>
      <c r="AE11" t="s">
        <v>2284</v>
      </c>
      <c r="AF11" s="7">
        <v>0</v>
      </c>
    </row>
    <row r="12" spans="1:35" hidden="1">
      <c r="A12" s="7">
        <v>1009618</v>
      </c>
      <c r="B12" t="s">
        <v>2304</v>
      </c>
      <c r="C12" t="s">
        <v>2305</v>
      </c>
      <c r="D12" s="7">
        <v>7134260112969</v>
      </c>
      <c r="E12" t="s">
        <v>2306</v>
      </c>
      <c r="F12" t="s">
        <v>20</v>
      </c>
      <c r="G12" t="s">
        <v>2307</v>
      </c>
      <c r="H12" t="s">
        <v>2308</v>
      </c>
      <c r="I12" t="s">
        <v>1189</v>
      </c>
      <c r="J12" t="s">
        <v>1190</v>
      </c>
      <c r="K12" t="s">
        <v>261</v>
      </c>
      <c r="L12" t="s">
        <v>2309</v>
      </c>
      <c r="M12" s="7">
        <v>1160</v>
      </c>
      <c r="N12" t="s">
        <v>2310</v>
      </c>
      <c r="O12" s="7">
        <v>81254</v>
      </c>
      <c r="R12" s="7">
        <v>1</v>
      </c>
      <c r="S12" t="s">
        <v>2311</v>
      </c>
      <c r="T12" t="s">
        <v>2312</v>
      </c>
      <c r="U12" s="7">
        <v>1</v>
      </c>
      <c r="V12">
        <v>2541.6</v>
      </c>
      <c r="W12" t="s">
        <v>35</v>
      </c>
      <c r="Y12" t="s">
        <v>2269</v>
      </c>
      <c r="Z12" s="7">
        <v>1752230</v>
      </c>
      <c r="AA12" t="s">
        <v>3269</v>
      </c>
      <c r="AB12" s="8">
        <v>3091.9</v>
      </c>
      <c r="AC12" s="7">
        <v>0</v>
      </c>
      <c r="AF12" s="8">
        <v>3091.9</v>
      </c>
    </row>
    <row r="13" spans="1:35" hidden="1">
      <c r="A13" s="7">
        <v>1009618</v>
      </c>
      <c r="B13" t="s">
        <v>2304</v>
      </c>
      <c r="C13" t="s">
        <v>2305</v>
      </c>
      <c r="D13" s="7">
        <v>7134260112969</v>
      </c>
      <c r="E13" t="s">
        <v>2306</v>
      </c>
      <c r="F13" t="s">
        <v>20</v>
      </c>
      <c r="G13" t="s">
        <v>2307</v>
      </c>
      <c r="H13" t="s">
        <v>2308</v>
      </c>
      <c r="I13" t="s">
        <v>1189</v>
      </c>
      <c r="J13" t="s">
        <v>1190</v>
      </c>
      <c r="K13" t="s">
        <v>261</v>
      </c>
      <c r="L13" t="s">
        <v>2309</v>
      </c>
      <c r="M13" s="7">
        <v>1160</v>
      </c>
      <c r="N13" t="s">
        <v>2310</v>
      </c>
      <c r="O13" s="7">
        <v>81254</v>
      </c>
      <c r="R13" s="7">
        <v>2</v>
      </c>
      <c r="S13" t="s">
        <v>2314</v>
      </c>
      <c r="T13" t="s">
        <v>2271</v>
      </c>
      <c r="U13" s="7">
        <v>1</v>
      </c>
      <c r="V13">
        <v>277.5</v>
      </c>
      <c r="W13" t="s">
        <v>35</v>
      </c>
      <c r="Y13" t="s">
        <v>2269</v>
      </c>
      <c r="Z13" s="7">
        <v>1752230</v>
      </c>
      <c r="AA13" t="s">
        <v>3269</v>
      </c>
      <c r="AB13" s="8">
        <v>327.45</v>
      </c>
      <c r="AC13" s="7">
        <v>0</v>
      </c>
      <c r="AF13" s="8">
        <v>327.45</v>
      </c>
    </row>
    <row r="14" spans="1:35" hidden="1">
      <c r="A14" s="7">
        <v>1009935</v>
      </c>
      <c r="B14" t="s">
        <v>2315</v>
      </c>
      <c r="C14" t="s">
        <v>2305</v>
      </c>
      <c r="D14" s="7">
        <v>7134260112974</v>
      </c>
      <c r="E14" t="s">
        <v>2316</v>
      </c>
      <c r="F14" t="s">
        <v>21</v>
      </c>
      <c r="G14" t="s">
        <v>2317</v>
      </c>
      <c r="H14" t="s">
        <v>2308</v>
      </c>
      <c r="I14" t="s">
        <v>904</v>
      </c>
      <c r="J14" t="s">
        <v>905</v>
      </c>
      <c r="K14" t="s">
        <v>267</v>
      </c>
      <c r="L14" t="s">
        <v>2318</v>
      </c>
      <c r="M14" s="7">
        <v>1165</v>
      </c>
      <c r="N14" t="s">
        <v>2319</v>
      </c>
      <c r="O14" s="7">
        <v>13579</v>
      </c>
      <c r="R14" s="7">
        <v>1</v>
      </c>
      <c r="S14" t="s">
        <v>2320</v>
      </c>
      <c r="T14" t="s">
        <v>2321</v>
      </c>
      <c r="U14" s="7">
        <v>1</v>
      </c>
      <c r="V14" s="8">
        <v>1691.51</v>
      </c>
      <c r="W14" t="s">
        <v>35</v>
      </c>
      <c r="Y14" t="s">
        <v>2269</v>
      </c>
      <c r="Z14" s="7">
        <v>1752231</v>
      </c>
      <c r="AA14" t="s">
        <v>3269</v>
      </c>
      <c r="AB14" s="8">
        <v>1995.98</v>
      </c>
      <c r="AC14" s="7">
        <v>0</v>
      </c>
      <c r="AF14" s="8">
        <v>1995.98</v>
      </c>
    </row>
    <row r="15" spans="1:35" hidden="1">
      <c r="A15" s="7">
        <v>1009935</v>
      </c>
      <c r="B15" t="s">
        <v>2315</v>
      </c>
      <c r="C15" t="s">
        <v>2305</v>
      </c>
      <c r="D15" s="7">
        <v>7134260112974</v>
      </c>
      <c r="E15" t="s">
        <v>2316</v>
      </c>
      <c r="F15" t="s">
        <v>21</v>
      </c>
      <c r="G15" t="s">
        <v>2317</v>
      </c>
      <c r="H15" t="s">
        <v>2308</v>
      </c>
      <c r="I15" t="s">
        <v>904</v>
      </c>
      <c r="J15" t="s">
        <v>905</v>
      </c>
      <c r="K15" t="s">
        <v>267</v>
      </c>
      <c r="L15" t="s">
        <v>2318</v>
      </c>
      <c r="M15" s="7">
        <v>1165</v>
      </c>
      <c r="N15" t="s">
        <v>2319</v>
      </c>
      <c r="O15" s="7">
        <v>13579</v>
      </c>
      <c r="R15" s="7">
        <v>2</v>
      </c>
      <c r="S15" t="s">
        <v>2322</v>
      </c>
      <c r="T15" t="s">
        <v>2271</v>
      </c>
      <c r="U15" s="7">
        <v>1</v>
      </c>
      <c r="V15" s="7">
        <v>45</v>
      </c>
      <c r="W15" t="s">
        <v>35</v>
      </c>
      <c r="Y15" t="s">
        <v>2269</v>
      </c>
      <c r="Z15" s="7">
        <v>1752231</v>
      </c>
      <c r="AA15" t="s">
        <v>3269</v>
      </c>
      <c r="AB15" s="8">
        <v>53.1</v>
      </c>
      <c r="AC15" s="7">
        <v>0</v>
      </c>
      <c r="AF15" s="8">
        <v>53.1</v>
      </c>
    </row>
    <row r="16" spans="1:35" hidden="1">
      <c r="A16" s="7">
        <v>1009977</v>
      </c>
      <c r="B16" t="s">
        <v>2323</v>
      </c>
      <c r="C16" t="s">
        <v>2305</v>
      </c>
      <c r="D16" s="7">
        <v>7134260112944</v>
      </c>
      <c r="E16" t="s">
        <v>2324</v>
      </c>
      <c r="F16" t="s">
        <v>18</v>
      </c>
      <c r="G16" t="s">
        <v>2317</v>
      </c>
      <c r="H16" t="s">
        <v>2308</v>
      </c>
      <c r="I16" t="s">
        <v>1086</v>
      </c>
      <c r="J16" t="s">
        <v>1087</v>
      </c>
      <c r="K16" t="s">
        <v>252</v>
      </c>
      <c r="L16" t="s">
        <v>2325</v>
      </c>
      <c r="M16" s="7">
        <v>1165</v>
      </c>
      <c r="N16" t="s">
        <v>2297</v>
      </c>
      <c r="O16" s="7">
        <v>31259</v>
      </c>
      <c r="R16" s="7">
        <v>1</v>
      </c>
      <c r="S16" t="s">
        <v>2326</v>
      </c>
      <c r="T16" t="s">
        <v>2327</v>
      </c>
      <c r="U16" s="7">
        <v>1</v>
      </c>
      <c r="V16" s="8">
        <v>448.68</v>
      </c>
      <c r="W16" t="s">
        <v>35</v>
      </c>
      <c r="Y16" t="s">
        <v>2269</v>
      </c>
      <c r="Z16" s="7">
        <v>1752228</v>
      </c>
      <c r="AA16" t="s">
        <v>3269</v>
      </c>
      <c r="AB16" s="8">
        <v>574.30999999999995</v>
      </c>
      <c r="AC16" s="7">
        <v>0</v>
      </c>
      <c r="AF16" s="8">
        <v>574.30999999999995</v>
      </c>
    </row>
    <row r="17" spans="1:32" hidden="1">
      <c r="A17" s="7">
        <v>1009977</v>
      </c>
      <c r="B17" t="s">
        <v>2323</v>
      </c>
      <c r="C17" t="s">
        <v>2305</v>
      </c>
      <c r="D17" s="7">
        <v>7134260112944</v>
      </c>
      <c r="E17" t="s">
        <v>2324</v>
      </c>
      <c r="F17" t="s">
        <v>18</v>
      </c>
      <c r="G17" t="s">
        <v>2317</v>
      </c>
      <c r="H17" t="s">
        <v>2308</v>
      </c>
      <c r="I17" t="s">
        <v>1086</v>
      </c>
      <c r="J17" t="s">
        <v>1087</v>
      </c>
      <c r="K17" t="s">
        <v>252</v>
      </c>
      <c r="L17" t="s">
        <v>2325</v>
      </c>
      <c r="M17" s="7">
        <v>1165</v>
      </c>
      <c r="N17" t="s">
        <v>2297</v>
      </c>
      <c r="O17" s="7">
        <v>31259</v>
      </c>
      <c r="R17" s="7">
        <v>2</v>
      </c>
      <c r="S17" t="s">
        <v>2328</v>
      </c>
      <c r="T17" t="s">
        <v>2271</v>
      </c>
      <c r="U17" s="7">
        <v>1</v>
      </c>
      <c r="V17">
        <v>97.5</v>
      </c>
      <c r="W17" t="s">
        <v>35</v>
      </c>
      <c r="Y17" t="s">
        <v>2269</v>
      </c>
      <c r="Z17" s="7">
        <v>1752228</v>
      </c>
      <c r="AA17" t="s">
        <v>3269</v>
      </c>
      <c r="AB17" s="8">
        <v>115.05</v>
      </c>
      <c r="AC17" s="7">
        <v>0</v>
      </c>
      <c r="AF17" s="8">
        <v>115.05</v>
      </c>
    </row>
    <row r="18" spans="1:32" hidden="1">
      <c r="A18" s="7">
        <v>1009997</v>
      </c>
      <c r="B18" t="s">
        <v>2329</v>
      </c>
      <c r="C18" t="s">
        <v>2305</v>
      </c>
      <c r="D18" s="7">
        <v>7134260112968</v>
      </c>
      <c r="E18" t="s">
        <v>2330</v>
      </c>
      <c r="F18" t="s">
        <v>19</v>
      </c>
      <c r="G18" t="s">
        <v>2317</v>
      </c>
      <c r="H18" t="s">
        <v>2308</v>
      </c>
      <c r="I18" t="s">
        <v>943</v>
      </c>
      <c r="J18" t="s">
        <v>944</v>
      </c>
      <c r="K18" t="s">
        <v>252</v>
      </c>
      <c r="L18" t="s">
        <v>2331</v>
      </c>
      <c r="M18" s="7">
        <v>1165</v>
      </c>
      <c r="N18" t="s">
        <v>2297</v>
      </c>
      <c r="O18" s="7">
        <v>60215</v>
      </c>
      <c r="R18" s="7">
        <v>1</v>
      </c>
      <c r="S18" t="s">
        <v>2332</v>
      </c>
      <c r="T18" t="s">
        <v>2333</v>
      </c>
      <c r="U18" s="7">
        <v>1</v>
      </c>
      <c r="V18" s="8">
        <v>318.69</v>
      </c>
      <c r="W18" t="s">
        <v>35</v>
      </c>
      <c r="Y18" t="s">
        <v>2269</v>
      </c>
      <c r="Z18" s="7">
        <v>1752229</v>
      </c>
      <c r="AA18" t="s">
        <v>3269</v>
      </c>
      <c r="AB18" s="8">
        <v>406.91</v>
      </c>
      <c r="AC18" s="7">
        <v>0</v>
      </c>
      <c r="AF18" s="8">
        <v>406.91</v>
      </c>
    </row>
    <row r="19" spans="1:32" hidden="1">
      <c r="A19" s="7">
        <v>1009997</v>
      </c>
      <c r="B19" t="s">
        <v>2329</v>
      </c>
      <c r="C19" t="s">
        <v>2305</v>
      </c>
      <c r="D19" s="7">
        <v>7134260112968</v>
      </c>
      <c r="E19" t="s">
        <v>2330</v>
      </c>
      <c r="F19" t="s">
        <v>19</v>
      </c>
      <c r="G19" t="s">
        <v>2317</v>
      </c>
      <c r="H19" t="s">
        <v>2308</v>
      </c>
      <c r="I19" t="s">
        <v>943</v>
      </c>
      <c r="J19" t="s">
        <v>944</v>
      </c>
      <c r="K19" t="s">
        <v>252</v>
      </c>
      <c r="L19" t="s">
        <v>2331</v>
      </c>
      <c r="M19" s="7">
        <v>1165</v>
      </c>
      <c r="N19" t="s">
        <v>2297</v>
      </c>
      <c r="O19" s="7">
        <v>60215</v>
      </c>
      <c r="R19" s="7">
        <v>2</v>
      </c>
      <c r="S19" t="s">
        <v>2267</v>
      </c>
      <c r="T19" t="s">
        <v>2268</v>
      </c>
      <c r="U19" s="7">
        <v>1</v>
      </c>
      <c r="V19" s="8">
        <v>5322.44</v>
      </c>
      <c r="W19" t="s">
        <v>35</v>
      </c>
      <c r="Y19" t="s">
        <v>2269</v>
      </c>
      <c r="Z19" s="7">
        <v>1752229</v>
      </c>
      <c r="AA19" t="s">
        <v>3269</v>
      </c>
      <c r="AB19" s="8">
        <v>6812.72</v>
      </c>
      <c r="AC19" s="7">
        <v>0</v>
      </c>
      <c r="AF19" s="8">
        <v>6812.72</v>
      </c>
    </row>
    <row r="20" spans="1:32" hidden="1">
      <c r="A20" s="7">
        <v>1009997</v>
      </c>
      <c r="B20" t="s">
        <v>2329</v>
      </c>
      <c r="C20" t="s">
        <v>2305</v>
      </c>
      <c r="D20" s="7">
        <v>7134260112968</v>
      </c>
      <c r="E20" t="s">
        <v>2330</v>
      </c>
      <c r="F20" t="s">
        <v>19</v>
      </c>
      <c r="G20" t="s">
        <v>2317</v>
      </c>
      <c r="H20" t="s">
        <v>2308</v>
      </c>
      <c r="I20" t="s">
        <v>943</v>
      </c>
      <c r="J20" t="s">
        <v>944</v>
      </c>
      <c r="K20" t="s">
        <v>252</v>
      </c>
      <c r="L20" t="s">
        <v>2331</v>
      </c>
      <c r="M20" s="7">
        <v>1165</v>
      </c>
      <c r="N20" t="s">
        <v>2297</v>
      </c>
      <c r="O20" s="7">
        <v>60215</v>
      </c>
      <c r="R20" s="7">
        <v>3</v>
      </c>
      <c r="S20" t="s">
        <v>2270</v>
      </c>
      <c r="T20" t="s">
        <v>2271</v>
      </c>
      <c r="U20" s="7">
        <v>1</v>
      </c>
      <c r="V20">
        <v>247.5</v>
      </c>
      <c r="W20" t="s">
        <v>35</v>
      </c>
      <c r="Y20" t="s">
        <v>2269</v>
      </c>
      <c r="Z20" s="7">
        <v>1752229</v>
      </c>
      <c r="AA20" t="s">
        <v>3269</v>
      </c>
      <c r="AB20" s="8">
        <v>292.05</v>
      </c>
      <c r="AC20" s="7">
        <v>0</v>
      </c>
      <c r="AF20" s="8">
        <v>292.05</v>
      </c>
    </row>
    <row r="21" spans="1:32" hidden="1">
      <c r="A21" s="7">
        <v>1009997</v>
      </c>
      <c r="B21" t="s">
        <v>2329</v>
      </c>
      <c r="C21" t="s">
        <v>2305</v>
      </c>
      <c r="D21" s="7">
        <v>7134260112968</v>
      </c>
      <c r="E21" t="s">
        <v>2330</v>
      </c>
      <c r="F21" t="s">
        <v>19</v>
      </c>
      <c r="G21" t="s">
        <v>2317</v>
      </c>
      <c r="H21" t="s">
        <v>2308</v>
      </c>
      <c r="I21" t="s">
        <v>943</v>
      </c>
      <c r="J21" t="s">
        <v>944</v>
      </c>
      <c r="K21" t="s">
        <v>252</v>
      </c>
      <c r="L21" t="s">
        <v>2331</v>
      </c>
      <c r="M21" s="7">
        <v>1165</v>
      </c>
      <c r="N21" t="s">
        <v>2297</v>
      </c>
      <c r="O21" s="7">
        <v>60215</v>
      </c>
      <c r="R21" s="7">
        <v>4</v>
      </c>
      <c r="S21" t="s">
        <v>2334</v>
      </c>
      <c r="T21" t="s">
        <v>2271</v>
      </c>
      <c r="U21" s="7">
        <v>1</v>
      </c>
      <c r="V21" s="7">
        <v>105</v>
      </c>
      <c r="W21" t="s">
        <v>35</v>
      </c>
      <c r="Y21" t="s">
        <v>2269</v>
      </c>
      <c r="Z21" s="7">
        <v>1752229</v>
      </c>
      <c r="AA21" t="s">
        <v>3269</v>
      </c>
      <c r="AB21" s="8">
        <v>123.9</v>
      </c>
      <c r="AC21" s="7">
        <v>0</v>
      </c>
      <c r="AF21" s="8">
        <v>123.9</v>
      </c>
    </row>
    <row r="22" spans="1:32" hidden="1">
      <c r="A22" s="7">
        <v>1010394</v>
      </c>
      <c r="B22" t="s">
        <v>2335</v>
      </c>
      <c r="C22" t="s">
        <v>2336</v>
      </c>
      <c r="D22" s="7">
        <v>7134260114336</v>
      </c>
      <c r="E22" t="s">
        <v>2337</v>
      </c>
      <c r="F22" t="s">
        <v>26</v>
      </c>
      <c r="G22" t="s">
        <v>2338</v>
      </c>
      <c r="H22" t="s">
        <v>2308</v>
      </c>
      <c r="I22" t="s">
        <v>1222</v>
      </c>
      <c r="J22" t="s">
        <v>1223</v>
      </c>
      <c r="K22" t="s">
        <v>252</v>
      </c>
      <c r="L22" t="s">
        <v>2339</v>
      </c>
      <c r="M22" s="7">
        <v>1165</v>
      </c>
      <c r="N22" t="s">
        <v>2319</v>
      </c>
      <c r="O22" s="7">
        <v>87103</v>
      </c>
      <c r="R22" s="7">
        <v>1</v>
      </c>
      <c r="S22" t="s">
        <v>2267</v>
      </c>
      <c r="T22" t="s">
        <v>2268</v>
      </c>
      <c r="U22" s="7">
        <v>1</v>
      </c>
      <c r="V22" s="8">
        <v>5322.44</v>
      </c>
      <c r="W22" t="s">
        <v>35</v>
      </c>
      <c r="Y22" t="s">
        <v>2269</v>
      </c>
      <c r="Z22" s="7">
        <v>1752234</v>
      </c>
      <c r="AA22" t="s">
        <v>3269</v>
      </c>
      <c r="AB22" s="8">
        <v>6812.72</v>
      </c>
      <c r="AC22" s="7">
        <v>0</v>
      </c>
      <c r="AF22" s="8">
        <v>6812.72</v>
      </c>
    </row>
    <row r="23" spans="1:32" hidden="1">
      <c r="A23" s="7">
        <v>1010394</v>
      </c>
      <c r="B23" t="s">
        <v>2335</v>
      </c>
      <c r="C23" t="s">
        <v>2336</v>
      </c>
      <c r="D23" s="7">
        <v>7134260114336</v>
      </c>
      <c r="E23" t="s">
        <v>2337</v>
      </c>
      <c r="F23" t="s">
        <v>26</v>
      </c>
      <c r="G23" t="s">
        <v>2338</v>
      </c>
      <c r="H23" t="s">
        <v>2308</v>
      </c>
      <c r="I23" t="s">
        <v>1222</v>
      </c>
      <c r="J23" t="s">
        <v>1223</v>
      </c>
      <c r="K23" t="s">
        <v>252</v>
      </c>
      <c r="L23" t="s">
        <v>2339</v>
      </c>
      <c r="M23" s="7">
        <v>1165</v>
      </c>
      <c r="N23" t="s">
        <v>2319</v>
      </c>
      <c r="O23" s="7">
        <v>87103</v>
      </c>
      <c r="R23" s="7">
        <v>2</v>
      </c>
      <c r="S23" t="s">
        <v>2270</v>
      </c>
      <c r="T23" t="s">
        <v>2271</v>
      </c>
      <c r="U23" s="7">
        <v>1</v>
      </c>
      <c r="V23">
        <v>247.5</v>
      </c>
      <c r="W23" t="s">
        <v>35</v>
      </c>
      <c r="Y23" t="s">
        <v>2269</v>
      </c>
      <c r="Z23" s="7">
        <v>1752234</v>
      </c>
      <c r="AA23" t="s">
        <v>3269</v>
      </c>
      <c r="AB23" s="8">
        <v>292.05</v>
      </c>
      <c r="AC23" s="7">
        <v>0</v>
      </c>
      <c r="AF23" s="8">
        <v>292.05</v>
      </c>
    </row>
    <row r="24" spans="1:32" hidden="1">
      <c r="A24" s="7">
        <v>1010396</v>
      </c>
      <c r="B24" t="s">
        <v>2340</v>
      </c>
      <c r="C24" t="s">
        <v>2336</v>
      </c>
      <c r="D24" s="7">
        <v>7134260114956</v>
      </c>
      <c r="E24" t="s">
        <v>2341</v>
      </c>
      <c r="F24" t="s">
        <v>113</v>
      </c>
      <c r="G24" t="s">
        <v>2338</v>
      </c>
      <c r="H24" t="s">
        <v>2342</v>
      </c>
      <c r="I24" t="s">
        <v>2343</v>
      </c>
      <c r="J24" t="s">
        <v>2344</v>
      </c>
      <c r="K24" t="s">
        <v>267</v>
      </c>
      <c r="L24" t="s">
        <v>2345</v>
      </c>
      <c r="M24" s="7">
        <v>1165</v>
      </c>
      <c r="N24" t="s">
        <v>2346</v>
      </c>
      <c r="O24" s="7">
        <v>32523</v>
      </c>
      <c r="R24" s="7">
        <v>1</v>
      </c>
      <c r="S24" t="s">
        <v>2347</v>
      </c>
      <c r="T24" t="s">
        <v>2271</v>
      </c>
      <c r="U24" s="7">
        <v>1</v>
      </c>
      <c r="V24">
        <v>52.5</v>
      </c>
      <c r="W24" t="s">
        <v>35</v>
      </c>
      <c r="Y24" t="s">
        <v>2269</v>
      </c>
      <c r="Z24" s="7">
        <v>1752290</v>
      </c>
      <c r="AA24" t="s">
        <v>3269</v>
      </c>
      <c r="AB24" s="8">
        <v>61.95</v>
      </c>
      <c r="AC24" s="7">
        <v>0</v>
      </c>
      <c r="AF24" s="8">
        <v>61.95</v>
      </c>
    </row>
    <row r="25" spans="1:32" hidden="1">
      <c r="A25" s="7">
        <v>1010398</v>
      </c>
      <c r="B25" t="s">
        <v>2348</v>
      </c>
      <c r="C25" t="s">
        <v>2336</v>
      </c>
      <c r="D25" s="7">
        <v>7134260114984</v>
      </c>
      <c r="E25" t="s">
        <v>2349</v>
      </c>
      <c r="F25" t="s">
        <v>136</v>
      </c>
      <c r="G25" t="s">
        <v>2338</v>
      </c>
      <c r="H25" t="s">
        <v>2342</v>
      </c>
      <c r="I25" t="s">
        <v>2350</v>
      </c>
      <c r="J25" t="s">
        <v>2351</v>
      </c>
      <c r="K25" t="s">
        <v>267</v>
      </c>
      <c r="L25" t="s">
        <v>2352</v>
      </c>
      <c r="M25" s="7">
        <v>1165</v>
      </c>
      <c r="N25" t="s">
        <v>2353</v>
      </c>
      <c r="O25" s="7">
        <v>83120</v>
      </c>
      <c r="R25" s="7">
        <v>1</v>
      </c>
      <c r="S25" t="s">
        <v>2347</v>
      </c>
      <c r="T25" t="s">
        <v>2271</v>
      </c>
      <c r="U25" s="7">
        <v>1</v>
      </c>
      <c r="V25">
        <v>52.5</v>
      </c>
      <c r="W25" t="s">
        <v>35</v>
      </c>
      <c r="Y25" t="s">
        <v>2269</v>
      </c>
      <c r="Z25" s="7">
        <v>1752313</v>
      </c>
      <c r="AA25" t="s">
        <v>3269</v>
      </c>
      <c r="AB25" s="8">
        <v>61.95</v>
      </c>
      <c r="AC25" s="7">
        <v>0</v>
      </c>
      <c r="AF25" s="8">
        <v>61.95</v>
      </c>
    </row>
    <row r="26" spans="1:32" hidden="1">
      <c r="A26" s="7">
        <v>1010400</v>
      </c>
      <c r="B26" t="s">
        <v>2354</v>
      </c>
      <c r="C26" t="s">
        <v>2336</v>
      </c>
      <c r="D26" s="7">
        <v>7134260114575</v>
      </c>
      <c r="E26" t="s">
        <v>2355</v>
      </c>
      <c r="F26" t="s">
        <v>68</v>
      </c>
      <c r="G26" t="s">
        <v>2338</v>
      </c>
      <c r="H26" t="s">
        <v>2308</v>
      </c>
      <c r="I26" t="s">
        <v>2356</v>
      </c>
      <c r="J26" t="s">
        <v>2357</v>
      </c>
      <c r="K26" t="s">
        <v>267</v>
      </c>
      <c r="L26" t="s">
        <v>2358</v>
      </c>
      <c r="M26" s="7">
        <v>1165</v>
      </c>
      <c r="N26" t="s">
        <v>2359</v>
      </c>
      <c r="O26" s="7">
        <v>15310</v>
      </c>
      <c r="R26" s="7">
        <v>1</v>
      </c>
      <c r="S26" t="s">
        <v>2347</v>
      </c>
      <c r="T26" t="s">
        <v>2271</v>
      </c>
      <c r="U26" s="7">
        <v>1</v>
      </c>
      <c r="V26" s="7">
        <v>45</v>
      </c>
      <c r="W26" t="s">
        <v>35</v>
      </c>
      <c r="Y26" t="s">
        <v>2269</v>
      </c>
      <c r="Z26" s="7">
        <v>1752245</v>
      </c>
      <c r="AA26" t="s">
        <v>3269</v>
      </c>
      <c r="AB26" s="8">
        <v>53.1</v>
      </c>
      <c r="AC26" s="7">
        <v>0</v>
      </c>
      <c r="AF26" s="8">
        <v>53.1</v>
      </c>
    </row>
    <row r="27" spans="1:32" hidden="1">
      <c r="A27" s="7">
        <v>1010402</v>
      </c>
      <c r="B27" t="s">
        <v>2360</v>
      </c>
      <c r="C27" t="s">
        <v>2336</v>
      </c>
      <c r="D27" s="7">
        <v>7134260114949</v>
      </c>
      <c r="E27" t="s">
        <v>2361</v>
      </c>
      <c r="F27" t="s">
        <v>106</v>
      </c>
      <c r="G27" t="s">
        <v>2338</v>
      </c>
      <c r="H27" t="s">
        <v>2342</v>
      </c>
      <c r="I27" t="s">
        <v>2362</v>
      </c>
      <c r="J27" t="s">
        <v>2363</v>
      </c>
      <c r="K27" t="s">
        <v>267</v>
      </c>
      <c r="L27" t="s">
        <v>2364</v>
      </c>
      <c r="M27" s="7">
        <v>1165</v>
      </c>
      <c r="N27" t="s">
        <v>2346</v>
      </c>
      <c r="O27" s="7">
        <v>13520</v>
      </c>
      <c r="R27" s="7">
        <v>1</v>
      </c>
      <c r="S27" t="s">
        <v>2347</v>
      </c>
      <c r="T27" t="s">
        <v>2271</v>
      </c>
      <c r="U27" s="7">
        <v>1</v>
      </c>
      <c r="V27">
        <v>52.5</v>
      </c>
      <c r="W27" t="s">
        <v>35</v>
      </c>
      <c r="Y27" t="s">
        <v>2269</v>
      </c>
      <c r="Z27" s="7">
        <v>1752283</v>
      </c>
      <c r="AA27" t="s">
        <v>3269</v>
      </c>
      <c r="AB27" s="8">
        <v>61.95</v>
      </c>
      <c r="AC27" s="7">
        <v>0</v>
      </c>
      <c r="AF27" s="8">
        <v>61.95</v>
      </c>
    </row>
    <row r="28" spans="1:32" hidden="1">
      <c r="A28" s="7">
        <v>1010403</v>
      </c>
      <c r="B28" t="s">
        <v>2365</v>
      </c>
      <c r="C28" t="s">
        <v>2336</v>
      </c>
      <c r="D28" s="7">
        <v>7134260114913</v>
      </c>
      <c r="E28" t="s">
        <v>2366</v>
      </c>
      <c r="F28" t="s">
        <v>84</v>
      </c>
      <c r="G28" t="s">
        <v>2338</v>
      </c>
      <c r="H28" t="s">
        <v>2342</v>
      </c>
      <c r="I28" t="s">
        <v>2367</v>
      </c>
      <c r="J28" t="s">
        <v>2368</v>
      </c>
      <c r="K28" t="s">
        <v>267</v>
      </c>
      <c r="L28" t="s">
        <v>2369</v>
      </c>
      <c r="M28" s="7">
        <v>1165</v>
      </c>
      <c r="N28" t="s">
        <v>2370</v>
      </c>
      <c r="O28" s="7">
        <v>228588</v>
      </c>
      <c r="R28" s="7">
        <v>1</v>
      </c>
      <c r="S28" t="s">
        <v>2347</v>
      </c>
      <c r="T28" t="s">
        <v>2271</v>
      </c>
      <c r="U28" s="7">
        <v>1</v>
      </c>
      <c r="V28">
        <v>52.5</v>
      </c>
      <c r="W28" t="s">
        <v>35</v>
      </c>
      <c r="Y28" t="s">
        <v>2269</v>
      </c>
      <c r="Z28" s="7">
        <v>1752261</v>
      </c>
      <c r="AA28" t="s">
        <v>3269</v>
      </c>
      <c r="AB28" s="8">
        <v>61.95</v>
      </c>
      <c r="AC28" s="7">
        <v>0</v>
      </c>
      <c r="AF28" s="8">
        <v>61.95</v>
      </c>
    </row>
    <row r="29" spans="1:32" hidden="1">
      <c r="A29" s="7">
        <v>1010404</v>
      </c>
      <c r="B29" t="s">
        <v>2371</v>
      </c>
      <c r="C29" t="s">
        <v>2336</v>
      </c>
      <c r="D29" s="7">
        <v>7134260114953</v>
      </c>
      <c r="E29" t="s">
        <v>2372</v>
      </c>
      <c r="F29" t="s">
        <v>110</v>
      </c>
      <c r="G29" t="s">
        <v>2338</v>
      </c>
      <c r="H29" t="s">
        <v>2342</v>
      </c>
      <c r="I29" t="s">
        <v>2373</v>
      </c>
      <c r="J29" t="s">
        <v>2374</v>
      </c>
      <c r="K29" t="s">
        <v>267</v>
      </c>
      <c r="L29" t="s">
        <v>2375</v>
      </c>
      <c r="M29" s="7">
        <v>1165</v>
      </c>
      <c r="N29" t="s">
        <v>2346</v>
      </c>
      <c r="O29" s="7">
        <v>1230</v>
      </c>
      <c r="R29" s="7">
        <v>1</v>
      </c>
      <c r="S29" t="s">
        <v>2347</v>
      </c>
      <c r="T29" t="s">
        <v>2271</v>
      </c>
      <c r="U29" s="7">
        <v>1</v>
      </c>
      <c r="V29">
        <v>52.5</v>
      </c>
      <c r="W29" t="s">
        <v>35</v>
      </c>
      <c r="Y29" t="s">
        <v>2269</v>
      </c>
      <c r="Z29" s="7">
        <v>1752287</v>
      </c>
      <c r="AA29" t="s">
        <v>3269</v>
      </c>
      <c r="AB29" s="8">
        <v>61.95</v>
      </c>
      <c r="AC29" s="7">
        <v>0</v>
      </c>
      <c r="AF29" s="8">
        <v>61.95</v>
      </c>
    </row>
    <row r="30" spans="1:32" hidden="1">
      <c r="A30" s="7">
        <v>1010405</v>
      </c>
      <c r="B30" t="s">
        <v>2376</v>
      </c>
      <c r="C30" t="s">
        <v>2336</v>
      </c>
      <c r="D30" s="7">
        <v>7134260114823</v>
      </c>
      <c r="E30" t="s">
        <v>2377</v>
      </c>
      <c r="F30" t="s">
        <v>82</v>
      </c>
      <c r="G30" t="s">
        <v>2338</v>
      </c>
      <c r="H30" t="s">
        <v>2342</v>
      </c>
      <c r="I30" t="s">
        <v>2378</v>
      </c>
      <c r="J30" t="s">
        <v>2379</v>
      </c>
      <c r="K30" t="s">
        <v>267</v>
      </c>
      <c r="L30" t="s">
        <v>2380</v>
      </c>
      <c r="M30" s="7">
        <v>1165</v>
      </c>
      <c r="N30" t="s">
        <v>2381</v>
      </c>
      <c r="O30" s="7">
        <v>65100</v>
      </c>
      <c r="R30" s="7">
        <v>1</v>
      </c>
      <c r="S30" t="s">
        <v>2347</v>
      </c>
      <c r="T30" t="s">
        <v>2271</v>
      </c>
      <c r="U30" s="7">
        <v>1</v>
      </c>
      <c r="V30">
        <v>52.5</v>
      </c>
      <c r="W30" t="s">
        <v>35</v>
      </c>
      <c r="Y30" t="s">
        <v>2269</v>
      </c>
      <c r="Z30" s="7">
        <v>1752259</v>
      </c>
      <c r="AA30" t="s">
        <v>3269</v>
      </c>
      <c r="AB30" s="8">
        <v>61.95</v>
      </c>
      <c r="AC30" s="7">
        <v>0</v>
      </c>
      <c r="AF30" s="8">
        <v>61.95</v>
      </c>
    </row>
    <row r="31" spans="1:32" hidden="1">
      <c r="A31" s="7">
        <v>1010407</v>
      </c>
      <c r="B31" t="s">
        <v>2382</v>
      </c>
      <c r="C31" t="s">
        <v>2336</v>
      </c>
      <c r="D31" s="7">
        <v>7134260114572</v>
      </c>
      <c r="E31" t="s">
        <v>2383</v>
      </c>
      <c r="F31" t="s">
        <v>65</v>
      </c>
      <c r="G31" t="s">
        <v>2338</v>
      </c>
      <c r="H31" t="s">
        <v>2308</v>
      </c>
      <c r="I31" t="s">
        <v>2384</v>
      </c>
      <c r="J31" t="s">
        <v>2385</v>
      </c>
      <c r="K31" t="s">
        <v>267</v>
      </c>
      <c r="L31" t="s">
        <v>2386</v>
      </c>
      <c r="M31" s="7">
        <v>1165</v>
      </c>
      <c r="N31" t="s">
        <v>2359</v>
      </c>
      <c r="O31" s="7">
        <v>71098</v>
      </c>
      <c r="R31" s="7">
        <v>1</v>
      </c>
      <c r="S31" t="s">
        <v>2347</v>
      </c>
      <c r="T31" t="s">
        <v>2271</v>
      </c>
      <c r="U31" s="7">
        <v>1</v>
      </c>
      <c r="V31" s="7">
        <v>45</v>
      </c>
      <c r="W31" t="s">
        <v>35</v>
      </c>
      <c r="Y31" t="s">
        <v>2269</v>
      </c>
      <c r="Z31" s="7">
        <v>1752242</v>
      </c>
      <c r="AA31" t="s">
        <v>3269</v>
      </c>
      <c r="AB31" s="8">
        <v>53.1</v>
      </c>
      <c r="AC31" s="7">
        <v>0</v>
      </c>
      <c r="AF31" s="8">
        <v>53.1</v>
      </c>
    </row>
    <row r="32" spans="1:32" hidden="1">
      <c r="A32" s="7">
        <v>1010408</v>
      </c>
      <c r="B32" t="s">
        <v>2387</v>
      </c>
      <c r="C32" t="s">
        <v>2336</v>
      </c>
      <c r="D32" s="7">
        <v>7134260114966</v>
      </c>
      <c r="E32" t="s">
        <v>2388</v>
      </c>
      <c r="F32" t="s">
        <v>118</v>
      </c>
      <c r="G32" t="s">
        <v>2338</v>
      </c>
      <c r="H32" t="s">
        <v>2342</v>
      </c>
      <c r="I32" t="s">
        <v>955</v>
      </c>
      <c r="J32" t="s">
        <v>956</v>
      </c>
      <c r="K32" t="s">
        <v>267</v>
      </c>
      <c r="L32" t="s">
        <v>2389</v>
      </c>
      <c r="M32" s="7">
        <v>1165</v>
      </c>
      <c r="N32" t="s">
        <v>2390</v>
      </c>
      <c r="O32" s="7">
        <v>41200</v>
      </c>
      <c r="R32" s="7">
        <v>1</v>
      </c>
      <c r="S32" t="s">
        <v>2347</v>
      </c>
      <c r="T32" t="s">
        <v>2271</v>
      </c>
      <c r="U32" s="7">
        <v>1</v>
      </c>
      <c r="V32">
        <v>52.5</v>
      </c>
      <c r="W32" t="s">
        <v>35</v>
      </c>
      <c r="Y32" t="s">
        <v>2269</v>
      </c>
      <c r="Z32" s="7">
        <v>1752295</v>
      </c>
      <c r="AA32" t="s">
        <v>3269</v>
      </c>
      <c r="AB32" s="8">
        <v>61.95</v>
      </c>
      <c r="AC32" s="7">
        <v>0</v>
      </c>
      <c r="AF32" s="8">
        <v>61.95</v>
      </c>
    </row>
    <row r="33" spans="1:32" hidden="1">
      <c r="A33" s="7">
        <v>1010410</v>
      </c>
      <c r="B33" t="s">
        <v>2391</v>
      </c>
      <c r="C33" t="s">
        <v>2336</v>
      </c>
      <c r="D33" s="7">
        <v>7134260114920</v>
      </c>
      <c r="E33" t="s">
        <v>2392</v>
      </c>
      <c r="F33" t="s">
        <v>88</v>
      </c>
      <c r="G33" t="s">
        <v>2338</v>
      </c>
      <c r="H33" t="s">
        <v>2342</v>
      </c>
      <c r="I33" t="s">
        <v>2393</v>
      </c>
      <c r="J33" t="s">
        <v>2394</v>
      </c>
      <c r="K33" t="s">
        <v>267</v>
      </c>
      <c r="L33" t="s">
        <v>2395</v>
      </c>
      <c r="M33" s="7">
        <v>1165</v>
      </c>
      <c r="N33" t="s">
        <v>2370</v>
      </c>
      <c r="O33" s="7">
        <v>153192</v>
      </c>
      <c r="R33" s="7">
        <v>1</v>
      </c>
      <c r="S33" t="s">
        <v>2347</v>
      </c>
      <c r="T33" t="s">
        <v>2271</v>
      </c>
      <c r="U33" s="7">
        <v>1</v>
      </c>
      <c r="V33">
        <v>52.5</v>
      </c>
      <c r="W33" t="s">
        <v>35</v>
      </c>
      <c r="Y33" t="s">
        <v>2269</v>
      </c>
      <c r="Z33" s="7">
        <v>1752265</v>
      </c>
      <c r="AA33" t="s">
        <v>3269</v>
      </c>
      <c r="AB33" s="8">
        <v>61.95</v>
      </c>
      <c r="AC33" s="7">
        <v>0</v>
      </c>
      <c r="AF33" s="8">
        <v>61.95</v>
      </c>
    </row>
    <row r="34" spans="1:32" hidden="1">
      <c r="A34" s="7">
        <v>1010411</v>
      </c>
      <c r="B34" t="s">
        <v>2396</v>
      </c>
      <c r="C34" t="s">
        <v>2336</v>
      </c>
      <c r="D34" s="7">
        <v>7134260114922</v>
      </c>
      <c r="E34" t="s">
        <v>2397</v>
      </c>
      <c r="F34" t="s">
        <v>89</v>
      </c>
      <c r="G34" t="s">
        <v>2338</v>
      </c>
      <c r="H34" t="s">
        <v>2342</v>
      </c>
      <c r="I34" t="s">
        <v>1703</v>
      </c>
      <c r="J34" t="s">
        <v>1704</v>
      </c>
      <c r="K34" t="s">
        <v>267</v>
      </c>
      <c r="L34" t="s">
        <v>2398</v>
      </c>
      <c r="M34" s="7">
        <v>1165</v>
      </c>
      <c r="N34" t="s">
        <v>2370</v>
      </c>
      <c r="O34" s="7">
        <v>131610</v>
      </c>
      <c r="R34" s="7">
        <v>1</v>
      </c>
      <c r="S34" t="s">
        <v>2347</v>
      </c>
      <c r="T34" t="s">
        <v>2271</v>
      </c>
      <c r="U34" s="7">
        <v>1</v>
      </c>
      <c r="V34">
        <v>52.5</v>
      </c>
      <c r="W34" t="s">
        <v>35</v>
      </c>
      <c r="Y34" t="s">
        <v>2269</v>
      </c>
      <c r="Z34" s="7">
        <v>1752266</v>
      </c>
      <c r="AA34" t="s">
        <v>3269</v>
      </c>
      <c r="AB34" s="8">
        <v>61.95</v>
      </c>
      <c r="AC34" s="7">
        <v>0</v>
      </c>
      <c r="AF34" s="8">
        <v>61.95</v>
      </c>
    </row>
    <row r="35" spans="1:32" hidden="1">
      <c r="A35" s="7">
        <v>1010413</v>
      </c>
      <c r="B35" t="s">
        <v>2399</v>
      </c>
      <c r="C35" t="s">
        <v>2336</v>
      </c>
      <c r="D35" s="7">
        <v>7134260114934</v>
      </c>
      <c r="E35" t="s">
        <v>2400</v>
      </c>
      <c r="F35" t="s">
        <v>95</v>
      </c>
      <c r="G35" t="s">
        <v>2338</v>
      </c>
      <c r="H35" t="s">
        <v>2342</v>
      </c>
      <c r="I35" t="s">
        <v>2401</v>
      </c>
      <c r="J35" t="s">
        <v>2402</v>
      </c>
      <c r="K35" t="s">
        <v>267</v>
      </c>
      <c r="L35" t="s">
        <v>2403</v>
      </c>
      <c r="M35" s="7">
        <v>1165</v>
      </c>
      <c r="N35" t="s">
        <v>2370</v>
      </c>
      <c r="O35" s="7">
        <v>101815</v>
      </c>
      <c r="R35" s="7">
        <v>1</v>
      </c>
      <c r="S35" t="s">
        <v>2347</v>
      </c>
      <c r="T35" t="s">
        <v>2271</v>
      </c>
      <c r="U35" s="7">
        <v>1</v>
      </c>
      <c r="V35">
        <v>52.5</v>
      </c>
      <c r="W35" t="s">
        <v>35</v>
      </c>
      <c r="Y35" t="s">
        <v>2269</v>
      </c>
      <c r="Z35" s="7">
        <v>1752272</v>
      </c>
      <c r="AA35" t="s">
        <v>3269</v>
      </c>
      <c r="AB35" s="8">
        <v>61.95</v>
      </c>
      <c r="AC35" s="7">
        <v>0</v>
      </c>
      <c r="AF35" s="8">
        <v>61.95</v>
      </c>
    </row>
    <row r="36" spans="1:32" hidden="1">
      <c r="A36" s="7">
        <v>1010414</v>
      </c>
      <c r="B36" t="s">
        <v>2404</v>
      </c>
      <c r="C36" t="s">
        <v>2336</v>
      </c>
      <c r="D36" s="7">
        <v>7134260114573</v>
      </c>
      <c r="E36" t="s">
        <v>2405</v>
      </c>
      <c r="F36" t="s">
        <v>66</v>
      </c>
      <c r="G36" t="s">
        <v>2338</v>
      </c>
      <c r="H36" t="s">
        <v>2308</v>
      </c>
      <c r="I36" t="s">
        <v>2406</v>
      </c>
      <c r="J36" t="s">
        <v>2407</v>
      </c>
      <c r="K36" t="s">
        <v>267</v>
      </c>
      <c r="L36" t="s">
        <v>2408</v>
      </c>
      <c r="M36" s="7">
        <v>1165</v>
      </c>
      <c r="N36" t="s">
        <v>2359</v>
      </c>
      <c r="O36" s="7">
        <v>22750</v>
      </c>
      <c r="R36" s="7">
        <v>1</v>
      </c>
      <c r="S36" t="s">
        <v>2347</v>
      </c>
      <c r="T36" t="s">
        <v>2271</v>
      </c>
      <c r="U36" s="7">
        <v>1</v>
      </c>
      <c r="V36" s="7">
        <v>45</v>
      </c>
      <c r="W36" t="s">
        <v>35</v>
      </c>
      <c r="Y36" t="s">
        <v>2269</v>
      </c>
      <c r="Z36" s="7">
        <v>1752243</v>
      </c>
      <c r="AA36" t="s">
        <v>3269</v>
      </c>
      <c r="AB36" s="8">
        <v>53.1</v>
      </c>
      <c r="AC36" s="7">
        <v>0</v>
      </c>
      <c r="AF36" s="8">
        <v>53.1</v>
      </c>
    </row>
    <row r="37" spans="1:32" hidden="1">
      <c r="A37" s="7">
        <v>1010415</v>
      </c>
      <c r="B37" t="s">
        <v>2409</v>
      </c>
      <c r="C37" t="s">
        <v>2336</v>
      </c>
      <c r="D37" s="7">
        <v>7134260114967</v>
      </c>
      <c r="E37" t="s">
        <v>2410</v>
      </c>
      <c r="F37" t="s">
        <v>119</v>
      </c>
      <c r="G37" t="s">
        <v>2338</v>
      </c>
      <c r="H37" t="s">
        <v>2342</v>
      </c>
      <c r="I37" t="s">
        <v>1042</v>
      </c>
      <c r="J37" t="s">
        <v>1043</v>
      </c>
      <c r="K37" t="s">
        <v>267</v>
      </c>
      <c r="L37" t="s">
        <v>2411</v>
      </c>
      <c r="M37" s="7">
        <v>1165</v>
      </c>
      <c r="N37" t="s">
        <v>2390</v>
      </c>
      <c r="O37" s="7">
        <v>31200</v>
      </c>
      <c r="R37" s="7">
        <v>1</v>
      </c>
      <c r="S37" t="s">
        <v>2347</v>
      </c>
      <c r="T37" t="s">
        <v>2271</v>
      </c>
      <c r="U37" s="7">
        <v>1</v>
      </c>
      <c r="V37">
        <v>52.5</v>
      </c>
      <c r="W37" t="s">
        <v>35</v>
      </c>
      <c r="Y37" t="s">
        <v>2269</v>
      </c>
      <c r="Z37" s="7">
        <v>1752296</v>
      </c>
      <c r="AA37" t="s">
        <v>3269</v>
      </c>
      <c r="AB37" s="8">
        <v>61.95</v>
      </c>
      <c r="AC37" s="7">
        <v>0</v>
      </c>
      <c r="AF37" s="8">
        <v>61.95</v>
      </c>
    </row>
    <row r="38" spans="1:32" hidden="1">
      <c r="A38" s="7">
        <v>1010417</v>
      </c>
      <c r="B38" t="s">
        <v>2412</v>
      </c>
      <c r="C38" t="s">
        <v>2336</v>
      </c>
      <c r="D38" s="7">
        <v>7134260114986</v>
      </c>
      <c r="E38" t="s">
        <v>2413</v>
      </c>
      <c r="F38" t="s">
        <v>138</v>
      </c>
      <c r="G38" t="s">
        <v>2338</v>
      </c>
      <c r="H38" t="s">
        <v>2342</v>
      </c>
      <c r="I38" t="s">
        <v>2414</v>
      </c>
      <c r="J38" t="s">
        <v>2415</v>
      </c>
      <c r="K38" t="s">
        <v>267</v>
      </c>
      <c r="L38" t="s">
        <v>2416</v>
      </c>
      <c r="M38" s="7">
        <v>1165</v>
      </c>
      <c r="N38" t="s">
        <v>2353</v>
      </c>
      <c r="O38" s="7">
        <v>155089</v>
      </c>
      <c r="R38" s="7">
        <v>1</v>
      </c>
      <c r="S38" t="s">
        <v>2347</v>
      </c>
      <c r="T38" t="s">
        <v>2271</v>
      </c>
      <c r="U38" s="7">
        <v>1</v>
      </c>
      <c r="V38">
        <v>52.5</v>
      </c>
      <c r="W38" t="s">
        <v>35</v>
      </c>
      <c r="Y38" t="s">
        <v>2269</v>
      </c>
      <c r="Z38" s="7">
        <v>1752315</v>
      </c>
      <c r="AA38" t="s">
        <v>3269</v>
      </c>
      <c r="AB38" s="8">
        <v>61.95</v>
      </c>
      <c r="AC38" s="7">
        <v>0</v>
      </c>
      <c r="AF38" s="8">
        <v>61.95</v>
      </c>
    </row>
    <row r="39" spans="1:32" hidden="1">
      <c r="A39" s="7">
        <v>1010418</v>
      </c>
      <c r="B39" t="s">
        <v>2417</v>
      </c>
      <c r="C39" t="s">
        <v>2336</v>
      </c>
      <c r="D39" s="7">
        <v>7134260114944</v>
      </c>
      <c r="E39" t="s">
        <v>2418</v>
      </c>
      <c r="F39" t="s">
        <v>101</v>
      </c>
      <c r="G39" t="s">
        <v>2338</v>
      </c>
      <c r="H39" t="s">
        <v>2342</v>
      </c>
      <c r="I39" t="s">
        <v>2419</v>
      </c>
      <c r="J39" t="s">
        <v>2420</v>
      </c>
      <c r="K39" t="s">
        <v>267</v>
      </c>
      <c r="L39" t="s">
        <v>2421</v>
      </c>
      <c r="M39" s="7">
        <v>1165</v>
      </c>
      <c r="N39" t="s">
        <v>2346</v>
      </c>
      <c r="O39" s="7">
        <v>105589</v>
      </c>
      <c r="R39" s="7">
        <v>1</v>
      </c>
      <c r="S39" t="s">
        <v>2347</v>
      </c>
      <c r="T39" t="s">
        <v>2271</v>
      </c>
      <c r="U39" s="7">
        <v>1</v>
      </c>
      <c r="V39">
        <v>52.5</v>
      </c>
      <c r="W39" t="s">
        <v>35</v>
      </c>
      <c r="Y39" t="s">
        <v>2269</v>
      </c>
      <c r="Z39" s="7">
        <v>1752278</v>
      </c>
      <c r="AA39" t="s">
        <v>3269</v>
      </c>
      <c r="AB39" s="8">
        <v>61.95</v>
      </c>
      <c r="AC39" s="7">
        <v>0</v>
      </c>
      <c r="AF39" s="8">
        <v>61.95</v>
      </c>
    </row>
    <row r="40" spans="1:32" hidden="1">
      <c r="A40" s="7">
        <v>1010419</v>
      </c>
      <c r="B40" t="s">
        <v>2422</v>
      </c>
      <c r="C40" t="s">
        <v>2423</v>
      </c>
      <c r="D40" s="7">
        <v>7134260115228</v>
      </c>
      <c r="E40" t="s">
        <v>2424</v>
      </c>
      <c r="F40" t="s">
        <v>144</v>
      </c>
      <c r="G40" t="s">
        <v>2338</v>
      </c>
      <c r="H40" t="s">
        <v>2342</v>
      </c>
      <c r="I40" t="s">
        <v>2425</v>
      </c>
      <c r="J40" t="s">
        <v>2426</v>
      </c>
      <c r="K40" t="s">
        <v>267</v>
      </c>
      <c r="L40" t="s">
        <v>2427</v>
      </c>
      <c r="M40" s="7">
        <v>1165</v>
      </c>
      <c r="N40" t="s">
        <v>2428</v>
      </c>
      <c r="O40" s="7">
        <v>109523</v>
      </c>
      <c r="R40" s="7">
        <v>1</v>
      </c>
      <c r="S40" t="s">
        <v>2347</v>
      </c>
      <c r="T40" t="s">
        <v>2271</v>
      </c>
      <c r="U40" s="7">
        <v>1</v>
      </c>
      <c r="V40">
        <v>52.5</v>
      </c>
      <c r="W40" t="s">
        <v>35</v>
      </c>
      <c r="Y40" t="s">
        <v>2269</v>
      </c>
      <c r="Z40" s="7">
        <v>1752321</v>
      </c>
      <c r="AA40" t="s">
        <v>3269</v>
      </c>
      <c r="AB40" s="8">
        <v>61.95</v>
      </c>
      <c r="AC40" s="7">
        <v>0</v>
      </c>
      <c r="AF40" s="8">
        <v>61.95</v>
      </c>
    </row>
    <row r="41" spans="1:32" hidden="1">
      <c r="A41" s="7">
        <v>1010420</v>
      </c>
      <c r="B41" t="s">
        <v>2429</v>
      </c>
      <c r="C41" t="s">
        <v>2336</v>
      </c>
      <c r="D41" s="7">
        <v>7134260114982</v>
      </c>
      <c r="E41" t="s">
        <v>2430</v>
      </c>
      <c r="F41" t="s">
        <v>134</v>
      </c>
      <c r="G41" t="s">
        <v>2338</v>
      </c>
      <c r="H41" t="s">
        <v>2342</v>
      </c>
      <c r="I41" t="s">
        <v>1186</v>
      </c>
      <c r="J41" t="s">
        <v>1187</v>
      </c>
      <c r="K41" t="s">
        <v>267</v>
      </c>
      <c r="L41" t="s">
        <v>2431</v>
      </c>
      <c r="M41" s="7">
        <v>1165</v>
      </c>
      <c r="N41" t="s">
        <v>2353</v>
      </c>
      <c r="O41" s="7">
        <v>70120</v>
      </c>
      <c r="R41" s="7">
        <v>1</v>
      </c>
      <c r="S41" t="s">
        <v>2347</v>
      </c>
      <c r="T41" t="s">
        <v>2271</v>
      </c>
      <c r="U41" s="7">
        <v>1</v>
      </c>
      <c r="V41">
        <v>52.5</v>
      </c>
      <c r="W41" t="s">
        <v>35</v>
      </c>
      <c r="Y41" t="s">
        <v>2269</v>
      </c>
      <c r="Z41" s="7">
        <v>1752311</v>
      </c>
      <c r="AA41" t="s">
        <v>3269</v>
      </c>
      <c r="AB41" s="8">
        <v>61.95</v>
      </c>
      <c r="AC41" s="7">
        <v>0</v>
      </c>
      <c r="AF41" s="8">
        <v>61.95</v>
      </c>
    </row>
    <row r="42" spans="1:32" hidden="1">
      <c r="A42" s="7">
        <v>1010421</v>
      </c>
      <c r="B42" t="s">
        <v>2432</v>
      </c>
      <c r="C42" t="s">
        <v>2336</v>
      </c>
      <c r="D42" s="7">
        <v>7134260114822</v>
      </c>
      <c r="E42" t="s">
        <v>2433</v>
      </c>
      <c r="F42" t="s">
        <v>81</v>
      </c>
      <c r="G42" t="s">
        <v>2338</v>
      </c>
      <c r="H42" t="s">
        <v>2342</v>
      </c>
      <c r="I42" t="s">
        <v>2434</v>
      </c>
      <c r="J42" t="s">
        <v>2435</v>
      </c>
      <c r="K42" t="s">
        <v>267</v>
      </c>
      <c r="L42" t="s">
        <v>2436</v>
      </c>
      <c r="M42" s="7">
        <v>1165</v>
      </c>
      <c r="N42" t="s">
        <v>2381</v>
      </c>
      <c r="O42" s="7">
        <v>9600</v>
      </c>
      <c r="R42" s="7">
        <v>1</v>
      </c>
      <c r="S42" t="s">
        <v>2347</v>
      </c>
      <c r="T42" t="s">
        <v>2271</v>
      </c>
      <c r="U42" s="7">
        <v>1</v>
      </c>
      <c r="V42">
        <v>52.5</v>
      </c>
      <c r="W42" t="s">
        <v>35</v>
      </c>
      <c r="Y42" t="s">
        <v>2269</v>
      </c>
      <c r="Z42" s="7">
        <v>1752258</v>
      </c>
      <c r="AA42" t="s">
        <v>3269</v>
      </c>
      <c r="AB42" s="8">
        <v>61.95</v>
      </c>
      <c r="AC42" s="7">
        <v>0</v>
      </c>
      <c r="AF42" s="8">
        <v>61.95</v>
      </c>
    </row>
    <row r="43" spans="1:32" hidden="1">
      <c r="A43" s="7">
        <v>1010422</v>
      </c>
      <c r="B43" t="s">
        <v>2437</v>
      </c>
      <c r="C43" t="s">
        <v>2336</v>
      </c>
      <c r="D43" s="7">
        <v>7134260114570</v>
      </c>
      <c r="E43" t="s">
        <v>2438</v>
      </c>
      <c r="F43" t="s">
        <v>63</v>
      </c>
      <c r="G43" t="s">
        <v>2338</v>
      </c>
      <c r="H43" t="s">
        <v>2308</v>
      </c>
      <c r="I43" t="s">
        <v>1163</v>
      </c>
      <c r="J43" t="s">
        <v>1164</v>
      </c>
      <c r="K43" t="s">
        <v>267</v>
      </c>
      <c r="L43" t="s">
        <v>2439</v>
      </c>
      <c r="M43" s="7">
        <v>1165</v>
      </c>
      <c r="N43" t="s">
        <v>2359</v>
      </c>
      <c r="O43" s="7">
        <v>117010</v>
      </c>
      <c r="R43" s="7">
        <v>1</v>
      </c>
      <c r="S43" t="s">
        <v>2347</v>
      </c>
      <c r="T43" t="s">
        <v>2271</v>
      </c>
      <c r="U43" s="7">
        <v>1</v>
      </c>
      <c r="V43" s="7">
        <v>45</v>
      </c>
      <c r="W43" t="s">
        <v>35</v>
      </c>
      <c r="Y43" t="s">
        <v>2269</v>
      </c>
      <c r="Z43" s="7">
        <v>1752240</v>
      </c>
      <c r="AA43" t="s">
        <v>3269</v>
      </c>
      <c r="AB43" s="8">
        <v>53.1</v>
      </c>
      <c r="AC43" s="7">
        <v>0</v>
      </c>
      <c r="AF43" s="8">
        <v>53.1</v>
      </c>
    </row>
    <row r="44" spans="1:32" hidden="1">
      <c r="A44" s="7">
        <v>1010424</v>
      </c>
      <c r="B44" t="s">
        <v>2440</v>
      </c>
      <c r="C44" t="s">
        <v>2423</v>
      </c>
      <c r="D44" s="7">
        <v>7134260115230</v>
      </c>
      <c r="E44" t="s">
        <v>2441</v>
      </c>
      <c r="F44" t="s">
        <v>146</v>
      </c>
      <c r="G44" t="s">
        <v>2338</v>
      </c>
      <c r="H44" t="s">
        <v>2342</v>
      </c>
      <c r="I44" t="s">
        <v>1360</v>
      </c>
      <c r="J44" t="s">
        <v>1361</v>
      </c>
      <c r="K44" t="s">
        <v>261</v>
      </c>
      <c r="L44" t="s">
        <v>2442</v>
      </c>
      <c r="M44" s="7">
        <v>1165</v>
      </c>
      <c r="N44" t="s">
        <v>2428</v>
      </c>
      <c r="O44" s="7">
        <v>224562</v>
      </c>
      <c r="R44" s="7">
        <v>1</v>
      </c>
      <c r="S44" t="s">
        <v>2347</v>
      </c>
      <c r="T44" t="s">
        <v>2271</v>
      </c>
      <c r="U44" s="7">
        <v>1</v>
      </c>
      <c r="V44">
        <v>52.5</v>
      </c>
      <c r="W44" t="s">
        <v>35</v>
      </c>
      <c r="Y44" t="s">
        <v>2269</v>
      </c>
      <c r="Z44" s="7">
        <v>1752323</v>
      </c>
      <c r="AA44" t="s">
        <v>3269</v>
      </c>
      <c r="AB44" s="8">
        <v>61.95</v>
      </c>
      <c r="AC44" s="7">
        <v>0</v>
      </c>
      <c r="AF44" s="8">
        <v>61.95</v>
      </c>
    </row>
    <row r="45" spans="1:32" hidden="1">
      <c r="A45" s="7">
        <v>1010425</v>
      </c>
      <c r="B45" t="s">
        <v>2443</v>
      </c>
      <c r="C45" t="s">
        <v>2423</v>
      </c>
      <c r="D45" s="7">
        <v>7134260115231</v>
      </c>
      <c r="E45" t="s">
        <v>2444</v>
      </c>
      <c r="F45" t="s">
        <v>147</v>
      </c>
      <c r="G45" t="s">
        <v>2338</v>
      </c>
      <c r="H45" t="s">
        <v>2342</v>
      </c>
      <c r="I45" t="s">
        <v>1440</v>
      </c>
      <c r="J45" t="s">
        <v>1441</v>
      </c>
      <c r="K45" t="s">
        <v>261</v>
      </c>
      <c r="L45" t="s">
        <v>2445</v>
      </c>
      <c r="M45" s="7">
        <v>1165</v>
      </c>
      <c r="N45" t="s">
        <v>2428</v>
      </c>
      <c r="O45" s="7">
        <v>89120</v>
      </c>
      <c r="R45" s="7">
        <v>1</v>
      </c>
      <c r="S45" t="s">
        <v>2347</v>
      </c>
      <c r="T45" t="s">
        <v>2271</v>
      </c>
      <c r="U45" s="7">
        <v>1</v>
      </c>
      <c r="V45">
        <v>52.5</v>
      </c>
      <c r="W45" t="s">
        <v>35</v>
      </c>
      <c r="Y45" t="s">
        <v>2269</v>
      </c>
      <c r="Z45" s="7">
        <v>1752324</v>
      </c>
      <c r="AA45" t="s">
        <v>3269</v>
      </c>
      <c r="AB45" s="8">
        <v>61.95</v>
      </c>
      <c r="AC45" s="7">
        <v>0</v>
      </c>
      <c r="AF45" s="8">
        <v>61.95</v>
      </c>
    </row>
    <row r="46" spans="1:32" hidden="1">
      <c r="A46" s="7">
        <v>1010432</v>
      </c>
      <c r="B46" t="s">
        <v>2446</v>
      </c>
      <c r="C46" t="s">
        <v>2336</v>
      </c>
      <c r="D46" s="7">
        <v>7134260114577</v>
      </c>
      <c r="E46" t="s">
        <v>2447</v>
      </c>
      <c r="F46" t="s">
        <v>70</v>
      </c>
      <c r="G46" t="s">
        <v>2338</v>
      </c>
      <c r="H46" t="s">
        <v>2342</v>
      </c>
      <c r="I46" t="s">
        <v>2448</v>
      </c>
      <c r="J46" t="s">
        <v>2449</v>
      </c>
      <c r="K46" t="s">
        <v>261</v>
      </c>
      <c r="L46" t="s">
        <v>2450</v>
      </c>
      <c r="M46" s="7">
        <v>1165</v>
      </c>
      <c r="N46" t="s">
        <v>2359</v>
      </c>
      <c r="O46" s="7">
        <v>91112</v>
      </c>
      <c r="R46" s="7">
        <v>1</v>
      </c>
      <c r="S46" t="s">
        <v>2347</v>
      </c>
      <c r="T46" t="s">
        <v>2271</v>
      </c>
      <c r="U46" s="7">
        <v>1</v>
      </c>
      <c r="V46" s="7">
        <v>45</v>
      </c>
      <c r="W46" t="s">
        <v>35</v>
      </c>
      <c r="Y46" t="s">
        <v>2269</v>
      </c>
      <c r="Z46" s="7">
        <v>1752247</v>
      </c>
      <c r="AA46" t="s">
        <v>3269</v>
      </c>
      <c r="AB46" s="8">
        <v>53.1</v>
      </c>
      <c r="AC46" s="7">
        <v>0</v>
      </c>
      <c r="AF46" s="8">
        <v>53.1</v>
      </c>
    </row>
    <row r="47" spans="1:32" hidden="1">
      <c r="A47" s="7">
        <v>1010433</v>
      </c>
      <c r="B47" t="s">
        <v>2451</v>
      </c>
      <c r="C47" t="s">
        <v>2336</v>
      </c>
      <c r="D47" s="7">
        <v>7134260114978</v>
      </c>
      <c r="E47" t="s">
        <v>2452</v>
      </c>
      <c r="F47" t="s">
        <v>130</v>
      </c>
      <c r="G47" t="s">
        <v>2338</v>
      </c>
      <c r="H47" t="s">
        <v>2342</v>
      </c>
      <c r="I47" t="s">
        <v>1173</v>
      </c>
      <c r="J47" t="s">
        <v>1174</v>
      </c>
      <c r="K47" t="s">
        <v>261</v>
      </c>
      <c r="L47" t="s">
        <v>2453</v>
      </c>
      <c r="M47" s="7">
        <v>1165</v>
      </c>
      <c r="N47" t="s">
        <v>2353</v>
      </c>
      <c r="O47" s="7">
        <v>91200</v>
      </c>
      <c r="R47" s="7">
        <v>1</v>
      </c>
      <c r="S47" t="s">
        <v>2347</v>
      </c>
      <c r="T47" t="s">
        <v>2271</v>
      </c>
      <c r="U47" s="7">
        <v>1</v>
      </c>
      <c r="V47">
        <v>52.5</v>
      </c>
      <c r="W47" t="s">
        <v>35</v>
      </c>
      <c r="Y47" t="s">
        <v>2269</v>
      </c>
      <c r="Z47" s="7">
        <v>1752307</v>
      </c>
      <c r="AA47" t="s">
        <v>3269</v>
      </c>
      <c r="AB47" s="8">
        <v>61.95</v>
      </c>
      <c r="AC47" s="7">
        <v>0</v>
      </c>
      <c r="AF47" s="8">
        <v>61.95</v>
      </c>
    </row>
    <row r="48" spans="1:32" hidden="1">
      <c r="A48" s="7">
        <v>1010434</v>
      </c>
      <c r="B48" t="s">
        <v>2454</v>
      </c>
      <c r="C48" t="s">
        <v>2336</v>
      </c>
      <c r="D48" s="7">
        <v>7134260114925</v>
      </c>
      <c r="E48" t="s">
        <v>2455</v>
      </c>
      <c r="F48" t="s">
        <v>90</v>
      </c>
      <c r="G48" t="s">
        <v>2338</v>
      </c>
      <c r="H48" t="s">
        <v>2342</v>
      </c>
      <c r="I48" t="s">
        <v>2456</v>
      </c>
      <c r="J48" t="s">
        <v>2457</v>
      </c>
      <c r="K48" t="s">
        <v>261</v>
      </c>
      <c r="L48" t="s">
        <v>2458</v>
      </c>
      <c r="M48" s="7">
        <v>1165</v>
      </c>
      <c r="N48" t="s">
        <v>2370</v>
      </c>
      <c r="O48" s="7">
        <v>124050</v>
      </c>
      <c r="R48" s="7">
        <v>1</v>
      </c>
      <c r="S48" t="s">
        <v>2347</v>
      </c>
      <c r="T48" t="s">
        <v>2271</v>
      </c>
      <c r="U48" s="7">
        <v>1</v>
      </c>
      <c r="V48">
        <v>52.5</v>
      </c>
      <c r="W48" t="s">
        <v>35</v>
      </c>
      <c r="Y48" t="s">
        <v>2269</v>
      </c>
      <c r="Z48" s="7">
        <v>1752267</v>
      </c>
      <c r="AA48" t="s">
        <v>3269</v>
      </c>
      <c r="AB48" s="8">
        <v>61.95</v>
      </c>
      <c r="AC48" s="7">
        <v>0</v>
      </c>
      <c r="AF48" s="8">
        <v>61.95</v>
      </c>
    </row>
    <row r="49" spans="1:32" hidden="1">
      <c r="A49" s="7">
        <v>1010437</v>
      </c>
      <c r="B49" t="s">
        <v>2459</v>
      </c>
      <c r="C49" t="s">
        <v>2336</v>
      </c>
      <c r="D49" s="7">
        <v>7134260114580</v>
      </c>
      <c r="E49" t="s">
        <v>2460</v>
      </c>
      <c r="F49" t="s">
        <v>73</v>
      </c>
      <c r="G49" t="s">
        <v>2338</v>
      </c>
      <c r="H49" t="s">
        <v>2342</v>
      </c>
      <c r="I49" t="s">
        <v>1496</v>
      </c>
      <c r="J49" t="s">
        <v>1497</v>
      </c>
      <c r="K49" t="s">
        <v>261</v>
      </c>
      <c r="L49" t="s">
        <v>2461</v>
      </c>
      <c r="M49" s="7">
        <v>1165</v>
      </c>
      <c r="N49" t="s">
        <v>2359</v>
      </c>
      <c r="O49" s="7">
        <v>26010</v>
      </c>
      <c r="R49" s="7">
        <v>1</v>
      </c>
      <c r="S49" t="s">
        <v>2347</v>
      </c>
      <c r="T49" t="s">
        <v>2271</v>
      </c>
      <c r="U49" s="7">
        <v>1</v>
      </c>
      <c r="V49" s="7">
        <v>45</v>
      </c>
      <c r="W49" t="s">
        <v>35</v>
      </c>
      <c r="Y49" t="s">
        <v>2269</v>
      </c>
      <c r="Z49" s="7">
        <v>1752250</v>
      </c>
      <c r="AA49" t="s">
        <v>3269</v>
      </c>
      <c r="AB49" s="8">
        <v>53.1</v>
      </c>
      <c r="AC49" s="7">
        <v>0</v>
      </c>
      <c r="AF49" s="8">
        <v>53.1</v>
      </c>
    </row>
    <row r="50" spans="1:32" hidden="1">
      <c r="A50" s="7">
        <v>1010439</v>
      </c>
      <c r="B50" t="s">
        <v>2462</v>
      </c>
      <c r="C50" t="s">
        <v>2423</v>
      </c>
      <c r="D50" s="7">
        <v>7134260115226</v>
      </c>
      <c r="E50" t="s">
        <v>2463</v>
      </c>
      <c r="F50" t="s">
        <v>142</v>
      </c>
      <c r="G50" t="s">
        <v>2338</v>
      </c>
      <c r="H50" t="s">
        <v>2342</v>
      </c>
      <c r="I50" t="s">
        <v>1357</v>
      </c>
      <c r="J50" t="s">
        <v>1358</v>
      </c>
      <c r="K50" t="s">
        <v>261</v>
      </c>
      <c r="L50" t="s">
        <v>2464</v>
      </c>
      <c r="M50" s="7">
        <v>1165</v>
      </c>
      <c r="N50" t="s">
        <v>2428</v>
      </c>
      <c r="O50" s="7">
        <v>89120</v>
      </c>
      <c r="R50" s="7">
        <v>1</v>
      </c>
      <c r="S50" t="s">
        <v>2347</v>
      </c>
      <c r="T50" t="s">
        <v>2271</v>
      </c>
      <c r="U50" s="7">
        <v>1</v>
      </c>
      <c r="V50">
        <v>52.5</v>
      </c>
      <c r="W50" t="s">
        <v>35</v>
      </c>
      <c r="Y50" t="s">
        <v>2269</v>
      </c>
      <c r="Z50" s="7">
        <v>1752319</v>
      </c>
      <c r="AA50" t="s">
        <v>3269</v>
      </c>
      <c r="AB50" s="8">
        <v>61.95</v>
      </c>
      <c r="AC50" s="7">
        <v>0</v>
      </c>
      <c r="AF50" s="8">
        <v>61.95</v>
      </c>
    </row>
    <row r="51" spans="1:32" hidden="1">
      <c r="A51" s="7">
        <v>1010441</v>
      </c>
      <c r="B51" t="s">
        <v>2465</v>
      </c>
      <c r="C51" t="s">
        <v>2336</v>
      </c>
      <c r="D51" s="7">
        <v>7134260114932</v>
      </c>
      <c r="E51" t="s">
        <v>2466</v>
      </c>
      <c r="F51" t="s">
        <v>94</v>
      </c>
      <c r="G51" t="s">
        <v>2338</v>
      </c>
      <c r="H51" t="s">
        <v>2342</v>
      </c>
      <c r="I51" t="s">
        <v>2467</v>
      </c>
      <c r="J51" t="s">
        <v>2468</v>
      </c>
      <c r="K51" t="s">
        <v>261</v>
      </c>
      <c r="L51" t="s">
        <v>2469</v>
      </c>
      <c r="M51" s="7">
        <v>1165</v>
      </c>
      <c r="N51" t="s">
        <v>2370</v>
      </c>
      <c r="O51" s="7">
        <v>92610</v>
      </c>
      <c r="R51" s="7">
        <v>1</v>
      </c>
      <c r="S51" t="s">
        <v>2347</v>
      </c>
      <c r="T51" t="s">
        <v>2271</v>
      </c>
      <c r="U51" s="7">
        <v>1</v>
      </c>
      <c r="V51">
        <v>52.5</v>
      </c>
      <c r="W51" t="s">
        <v>35</v>
      </c>
      <c r="Y51" t="s">
        <v>2269</v>
      </c>
      <c r="Z51" s="7">
        <v>1752271</v>
      </c>
      <c r="AA51" t="s">
        <v>3269</v>
      </c>
      <c r="AB51" s="8">
        <v>61.95</v>
      </c>
      <c r="AC51" s="7">
        <v>0</v>
      </c>
      <c r="AF51" s="8">
        <v>61.95</v>
      </c>
    </row>
    <row r="52" spans="1:32" hidden="1">
      <c r="A52" s="7">
        <v>1010444</v>
      </c>
      <c r="B52" t="s">
        <v>2470</v>
      </c>
      <c r="C52" t="s">
        <v>2336</v>
      </c>
      <c r="D52" s="7">
        <v>7134260114817</v>
      </c>
      <c r="E52" t="s">
        <v>2471</v>
      </c>
      <c r="F52" t="s">
        <v>77</v>
      </c>
      <c r="G52" t="s">
        <v>2338</v>
      </c>
      <c r="H52" t="s">
        <v>2342</v>
      </c>
      <c r="I52" t="s">
        <v>2472</v>
      </c>
      <c r="J52" t="s">
        <v>2473</v>
      </c>
      <c r="K52" t="s">
        <v>261</v>
      </c>
      <c r="L52" t="s">
        <v>2474</v>
      </c>
      <c r="M52" s="7">
        <v>1165</v>
      </c>
      <c r="N52" t="s">
        <v>2381</v>
      </c>
      <c r="O52" s="7">
        <v>33800</v>
      </c>
      <c r="R52" s="7">
        <v>1</v>
      </c>
      <c r="S52" t="s">
        <v>2347</v>
      </c>
      <c r="T52" t="s">
        <v>2271</v>
      </c>
      <c r="U52" s="7">
        <v>1</v>
      </c>
      <c r="V52">
        <v>52.5</v>
      </c>
      <c r="W52" t="s">
        <v>35</v>
      </c>
      <c r="Y52" t="s">
        <v>2269</v>
      </c>
      <c r="Z52" s="7">
        <v>1752254</v>
      </c>
      <c r="AA52" t="s">
        <v>3269</v>
      </c>
      <c r="AB52" s="8">
        <v>61.95</v>
      </c>
      <c r="AC52" s="7">
        <v>0</v>
      </c>
      <c r="AF52" s="8">
        <v>61.95</v>
      </c>
    </row>
    <row r="53" spans="1:32" hidden="1">
      <c r="A53" s="7">
        <v>1010445</v>
      </c>
      <c r="B53" t="s">
        <v>2475</v>
      </c>
      <c r="C53" t="s">
        <v>2336</v>
      </c>
      <c r="D53" s="7">
        <v>7134260114937</v>
      </c>
      <c r="E53" t="s">
        <v>2476</v>
      </c>
      <c r="F53" t="s">
        <v>97</v>
      </c>
      <c r="G53" t="s">
        <v>2338</v>
      </c>
      <c r="H53" t="s">
        <v>2342</v>
      </c>
      <c r="I53" t="s">
        <v>1344</v>
      </c>
      <c r="J53" t="s">
        <v>1345</v>
      </c>
      <c r="K53" t="s">
        <v>261</v>
      </c>
      <c r="L53" t="s">
        <v>2477</v>
      </c>
      <c r="M53" s="7">
        <v>1165</v>
      </c>
      <c r="N53" t="s">
        <v>2370</v>
      </c>
      <c r="O53" s="7">
        <v>95850</v>
      </c>
      <c r="R53" s="7">
        <v>1</v>
      </c>
      <c r="S53" t="s">
        <v>2347</v>
      </c>
      <c r="T53" t="s">
        <v>2271</v>
      </c>
      <c r="U53" s="7">
        <v>1</v>
      </c>
      <c r="V53">
        <v>52.5</v>
      </c>
      <c r="W53" t="s">
        <v>35</v>
      </c>
      <c r="Y53" t="s">
        <v>2269</v>
      </c>
      <c r="Z53" s="7">
        <v>1752274</v>
      </c>
      <c r="AA53" t="s">
        <v>3269</v>
      </c>
      <c r="AB53" s="8">
        <v>61.95</v>
      </c>
      <c r="AC53" s="7">
        <v>0</v>
      </c>
      <c r="AF53" s="8">
        <v>61.95</v>
      </c>
    </row>
    <row r="54" spans="1:32" hidden="1">
      <c r="A54" s="7">
        <v>1010447</v>
      </c>
      <c r="B54" t="s">
        <v>2478</v>
      </c>
      <c r="C54" t="s">
        <v>2336</v>
      </c>
      <c r="D54" s="7">
        <v>7134260114955</v>
      </c>
      <c r="E54" t="s">
        <v>2479</v>
      </c>
      <c r="F54" t="s">
        <v>112</v>
      </c>
      <c r="G54" t="s">
        <v>2338</v>
      </c>
      <c r="H54" t="s">
        <v>2342</v>
      </c>
      <c r="I54" t="s">
        <v>1792</v>
      </c>
      <c r="J54" t="s">
        <v>1793</v>
      </c>
      <c r="K54" t="s">
        <v>261</v>
      </c>
      <c r="L54" t="s">
        <v>2480</v>
      </c>
      <c r="M54" s="7">
        <v>1165</v>
      </c>
      <c r="N54" t="s">
        <v>2346</v>
      </c>
      <c r="O54" s="7">
        <v>70120</v>
      </c>
      <c r="R54" s="7">
        <v>1</v>
      </c>
      <c r="S54" t="s">
        <v>2347</v>
      </c>
      <c r="T54" t="s">
        <v>2271</v>
      </c>
      <c r="U54" s="7">
        <v>1</v>
      </c>
      <c r="V54">
        <v>52.5</v>
      </c>
      <c r="W54" t="s">
        <v>35</v>
      </c>
      <c r="Y54" t="s">
        <v>2269</v>
      </c>
      <c r="Z54" s="7">
        <v>1752289</v>
      </c>
      <c r="AA54" t="s">
        <v>3269</v>
      </c>
      <c r="AB54" s="8">
        <v>61.95</v>
      </c>
      <c r="AC54" s="7">
        <v>0</v>
      </c>
      <c r="AF54" s="8">
        <v>61.95</v>
      </c>
    </row>
    <row r="55" spans="1:32" hidden="1">
      <c r="A55" s="7">
        <v>1010448</v>
      </c>
      <c r="B55" t="s">
        <v>2481</v>
      </c>
      <c r="C55" t="s">
        <v>2336</v>
      </c>
      <c r="D55" s="7">
        <v>7134260114918</v>
      </c>
      <c r="E55" t="s">
        <v>2482</v>
      </c>
      <c r="F55" t="s">
        <v>87</v>
      </c>
      <c r="G55" t="s">
        <v>2338</v>
      </c>
      <c r="H55" t="s">
        <v>2342</v>
      </c>
      <c r="I55" t="s">
        <v>2483</v>
      </c>
      <c r="J55" t="s">
        <v>2484</v>
      </c>
      <c r="K55" t="s">
        <v>261</v>
      </c>
      <c r="L55" t="s">
        <v>2485</v>
      </c>
      <c r="M55" s="7">
        <v>1165</v>
      </c>
      <c r="N55" t="s">
        <v>2370</v>
      </c>
      <c r="O55" s="7">
        <v>159800</v>
      </c>
      <c r="R55" s="7">
        <v>1</v>
      </c>
      <c r="S55" t="s">
        <v>2347</v>
      </c>
      <c r="T55" t="s">
        <v>2271</v>
      </c>
      <c r="U55" s="7">
        <v>1</v>
      </c>
      <c r="V55">
        <v>52.5</v>
      </c>
      <c r="W55" t="s">
        <v>35</v>
      </c>
      <c r="Y55" t="s">
        <v>2269</v>
      </c>
      <c r="Z55" s="7">
        <v>1752264</v>
      </c>
      <c r="AA55" t="s">
        <v>3269</v>
      </c>
      <c r="AB55" s="8">
        <v>61.95</v>
      </c>
      <c r="AC55" s="7">
        <v>0</v>
      </c>
      <c r="AF55" s="8">
        <v>61.95</v>
      </c>
    </row>
    <row r="56" spans="1:32" hidden="1">
      <c r="A56" s="7">
        <v>1010449</v>
      </c>
      <c r="B56" t="s">
        <v>2486</v>
      </c>
      <c r="C56" t="s">
        <v>2336</v>
      </c>
      <c r="D56" s="7">
        <v>7134260114976</v>
      </c>
      <c r="E56" t="s">
        <v>2487</v>
      </c>
      <c r="F56" t="s">
        <v>128</v>
      </c>
      <c r="G56" t="s">
        <v>2338</v>
      </c>
      <c r="H56" t="s">
        <v>2342</v>
      </c>
      <c r="I56" t="s">
        <v>2488</v>
      </c>
      <c r="J56" t="s">
        <v>2489</v>
      </c>
      <c r="K56" t="s">
        <v>261</v>
      </c>
      <c r="L56" t="s">
        <v>2490</v>
      </c>
      <c r="M56" s="7">
        <v>1165</v>
      </c>
      <c r="N56" t="s">
        <v>2353</v>
      </c>
      <c r="O56" s="7">
        <v>48200</v>
      </c>
      <c r="R56" s="7">
        <v>1</v>
      </c>
      <c r="S56" t="s">
        <v>2347</v>
      </c>
      <c r="T56" t="s">
        <v>2271</v>
      </c>
      <c r="U56" s="7">
        <v>1</v>
      </c>
      <c r="V56">
        <v>52.5</v>
      </c>
      <c r="W56" t="s">
        <v>35</v>
      </c>
      <c r="Y56" t="s">
        <v>2269</v>
      </c>
      <c r="Z56" s="7">
        <v>1752305</v>
      </c>
      <c r="AA56" t="s">
        <v>3269</v>
      </c>
      <c r="AB56" s="8">
        <v>61.95</v>
      </c>
      <c r="AC56" s="7">
        <v>0</v>
      </c>
      <c r="AF56" s="8">
        <v>61.95</v>
      </c>
    </row>
    <row r="57" spans="1:32" hidden="1">
      <c r="A57" s="7">
        <v>1010454</v>
      </c>
      <c r="B57" t="s">
        <v>2491</v>
      </c>
      <c r="C57" t="s">
        <v>2423</v>
      </c>
      <c r="D57" s="7">
        <v>7134260115225</v>
      </c>
      <c r="E57" t="s">
        <v>2492</v>
      </c>
      <c r="F57" t="s">
        <v>141</v>
      </c>
      <c r="G57" t="s">
        <v>2493</v>
      </c>
      <c r="H57" t="s">
        <v>2342</v>
      </c>
      <c r="I57" t="s">
        <v>2494</v>
      </c>
      <c r="J57" t="s">
        <v>2495</v>
      </c>
      <c r="K57" t="s">
        <v>261</v>
      </c>
      <c r="L57" t="s">
        <v>2496</v>
      </c>
      <c r="M57" s="7">
        <v>1165</v>
      </c>
      <c r="N57" t="s">
        <v>2428</v>
      </c>
      <c r="O57" s="7">
        <v>36120</v>
      </c>
      <c r="R57" s="7">
        <v>1</v>
      </c>
      <c r="S57" t="s">
        <v>2347</v>
      </c>
      <c r="T57" t="s">
        <v>2271</v>
      </c>
      <c r="U57" s="7">
        <v>1</v>
      </c>
      <c r="V57">
        <v>52.5</v>
      </c>
      <c r="W57" t="s">
        <v>35</v>
      </c>
      <c r="Y57" t="s">
        <v>2269</v>
      </c>
      <c r="Z57" s="7">
        <v>1752318</v>
      </c>
      <c r="AA57" t="s">
        <v>3269</v>
      </c>
      <c r="AB57" s="8">
        <v>61.95</v>
      </c>
      <c r="AC57" s="7">
        <v>0</v>
      </c>
      <c r="AF57" s="8">
        <v>61.95</v>
      </c>
    </row>
    <row r="58" spans="1:32" hidden="1">
      <c r="A58" s="7">
        <v>1010455</v>
      </c>
      <c r="B58" t="s">
        <v>2497</v>
      </c>
      <c r="C58" t="s">
        <v>2336</v>
      </c>
      <c r="D58" s="7">
        <v>7134260114927</v>
      </c>
      <c r="E58" t="s">
        <v>2498</v>
      </c>
      <c r="F58" t="s">
        <v>91</v>
      </c>
      <c r="G58" t="s">
        <v>2493</v>
      </c>
      <c r="H58" t="s">
        <v>2342</v>
      </c>
      <c r="I58" t="s">
        <v>1376</v>
      </c>
      <c r="J58" t="s">
        <v>1377</v>
      </c>
      <c r="K58" t="s">
        <v>261</v>
      </c>
      <c r="L58" t="s">
        <v>2499</v>
      </c>
      <c r="M58" s="7">
        <v>1165</v>
      </c>
      <c r="N58" t="s">
        <v>2370</v>
      </c>
      <c r="O58" s="7">
        <v>86310</v>
      </c>
      <c r="R58" s="7">
        <v>1</v>
      </c>
      <c r="S58" t="s">
        <v>2347</v>
      </c>
      <c r="T58" t="s">
        <v>2271</v>
      </c>
      <c r="U58" s="7">
        <v>1</v>
      </c>
      <c r="V58">
        <v>52.5</v>
      </c>
      <c r="W58" t="s">
        <v>35</v>
      </c>
      <c r="Y58" t="s">
        <v>2269</v>
      </c>
      <c r="Z58" s="7">
        <v>1752268</v>
      </c>
      <c r="AA58" t="s">
        <v>3269</v>
      </c>
      <c r="AB58" s="8">
        <v>61.95</v>
      </c>
      <c r="AC58" s="7">
        <v>0</v>
      </c>
      <c r="AF58" s="8">
        <v>61.95</v>
      </c>
    </row>
    <row r="59" spans="1:32" hidden="1">
      <c r="A59" s="7">
        <v>1010457</v>
      </c>
      <c r="B59" t="s">
        <v>2500</v>
      </c>
      <c r="C59" t="s">
        <v>2336</v>
      </c>
      <c r="D59" s="7">
        <v>7134260114568</v>
      </c>
      <c r="E59" t="s">
        <v>2501</v>
      </c>
      <c r="F59" t="s">
        <v>61</v>
      </c>
      <c r="G59" t="s">
        <v>2493</v>
      </c>
      <c r="H59" t="s">
        <v>2308</v>
      </c>
      <c r="I59" t="s">
        <v>1557</v>
      </c>
      <c r="J59" t="s">
        <v>1558</v>
      </c>
      <c r="K59" t="s">
        <v>261</v>
      </c>
      <c r="L59" t="s">
        <v>2502</v>
      </c>
      <c r="M59" s="7">
        <v>1165</v>
      </c>
      <c r="N59" t="s">
        <v>2359</v>
      </c>
      <c r="O59" s="7">
        <v>52090</v>
      </c>
      <c r="R59" s="7">
        <v>1</v>
      </c>
      <c r="S59" t="s">
        <v>2347</v>
      </c>
      <c r="T59" t="s">
        <v>2271</v>
      </c>
      <c r="U59" s="7">
        <v>1</v>
      </c>
      <c r="V59" s="7">
        <v>45</v>
      </c>
      <c r="W59" t="s">
        <v>35</v>
      </c>
      <c r="Y59" t="s">
        <v>2269</v>
      </c>
      <c r="Z59" s="7">
        <v>1752238</v>
      </c>
      <c r="AA59" t="s">
        <v>3269</v>
      </c>
      <c r="AB59" s="8">
        <v>53.1</v>
      </c>
      <c r="AC59" s="7">
        <v>0</v>
      </c>
      <c r="AF59" s="8">
        <v>53.1</v>
      </c>
    </row>
    <row r="60" spans="1:32" hidden="1">
      <c r="A60" s="7">
        <v>1010458</v>
      </c>
      <c r="B60" t="s">
        <v>2503</v>
      </c>
      <c r="C60" t="s">
        <v>2336</v>
      </c>
      <c r="D60" s="7">
        <v>7134260114930</v>
      </c>
      <c r="E60" t="s">
        <v>2504</v>
      </c>
      <c r="F60" t="s">
        <v>93</v>
      </c>
      <c r="G60" t="s">
        <v>2493</v>
      </c>
      <c r="H60" t="s">
        <v>2342</v>
      </c>
      <c r="I60" t="s">
        <v>2505</v>
      </c>
      <c r="J60" t="s">
        <v>2506</v>
      </c>
      <c r="K60" t="s">
        <v>261</v>
      </c>
      <c r="L60" t="s">
        <v>2458</v>
      </c>
      <c r="M60" s="7">
        <v>1165</v>
      </c>
      <c r="N60" t="s">
        <v>2370</v>
      </c>
      <c r="O60" s="7">
        <v>55210</v>
      </c>
      <c r="R60" s="7">
        <v>1</v>
      </c>
      <c r="S60" t="s">
        <v>2347</v>
      </c>
      <c r="T60" t="s">
        <v>2271</v>
      </c>
      <c r="U60" s="7">
        <v>1</v>
      </c>
      <c r="V60">
        <v>52.5</v>
      </c>
      <c r="W60" t="s">
        <v>35</v>
      </c>
      <c r="Y60" t="s">
        <v>2269</v>
      </c>
      <c r="Z60" s="7">
        <v>1752270</v>
      </c>
      <c r="AA60" t="s">
        <v>3269</v>
      </c>
      <c r="AB60" s="8">
        <v>61.95</v>
      </c>
      <c r="AC60" s="7">
        <v>0</v>
      </c>
      <c r="AF60" s="8">
        <v>61.95</v>
      </c>
    </row>
    <row r="61" spans="1:32" hidden="1">
      <c r="A61" s="7">
        <v>1010459</v>
      </c>
      <c r="B61" t="s">
        <v>2507</v>
      </c>
      <c r="C61" t="s">
        <v>2336</v>
      </c>
      <c r="D61" s="7">
        <v>7134260114946</v>
      </c>
      <c r="E61" t="s">
        <v>2508</v>
      </c>
      <c r="F61" t="s">
        <v>103</v>
      </c>
      <c r="G61" t="s">
        <v>2493</v>
      </c>
      <c r="H61" t="s">
        <v>2342</v>
      </c>
      <c r="I61" t="s">
        <v>2509</v>
      </c>
      <c r="J61" t="s">
        <v>2510</v>
      </c>
      <c r="K61" t="s">
        <v>261</v>
      </c>
      <c r="L61" t="s">
        <v>2511</v>
      </c>
      <c r="M61" s="7">
        <v>1165</v>
      </c>
      <c r="N61" t="s">
        <v>2346</v>
      </c>
      <c r="O61" s="7">
        <v>5512</v>
      </c>
      <c r="R61" s="7">
        <v>1</v>
      </c>
      <c r="S61" t="s">
        <v>2347</v>
      </c>
      <c r="T61" t="s">
        <v>2271</v>
      </c>
      <c r="U61" s="7">
        <v>1</v>
      </c>
      <c r="V61">
        <v>52.5</v>
      </c>
      <c r="W61" t="s">
        <v>35</v>
      </c>
      <c r="Y61" t="s">
        <v>2269</v>
      </c>
      <c r="Z61" s="7">
        <v>1752280</v>
      </c>
      <c r="AA61" t="s">
        <v>3269</v>
      </c>
      <c r="AB61" s="8">
        <v>61.95</v>
      </c>
      <c r="AC61" s="7">
        <v>0</v>
      </c>
      <c r="AF61" s="8">
        <v>61.95</v>
      </c>
    </row>
    <row r="62" spans="1:32" hidden="1">
      <c r="A62" s="7">
        <v>1010461</v>
      </c>
      <c r="B62" t="s">
        <v>2512</v>
      </c>
      <c r="C62" t="s">
        <v>2336</v>
      </c>
      <c r="D62" s="7">
        <v>7134260114939</v>
      </c>
      <c r="E62" t="s">
        <v>2513</v>
      </c>
      <c r="F62" t="s">
        <v>99</v>
      </c>
      <c r="G62" t="s">
        <v>2493</v>
      </c>
      <c r="H62" t="s">
        <v>2342</v>
      </c>
      <c r="I62" t="s">
        <v>2514</v>
      </c>
      <c r="J62" t="s">
        <v>2515</v>
      </c>
      <c r="K62" t="s">
        <v>261</v>
      </c>
      <c r="L62" t="s">
        <v>2516</v>
      </c>
      <c r="M62" s="7">
        <v>1165</v>
      </c>
      <c r="N62" t="s">
        <v>2346</v>
      </c>
      <c r="O62" s="7">
        <v>11620</v>
      </c>
      <c r="R62" s="7">
        <v>1</v>
      </c>
      <c r="S62" t="s">
        <v>2347</v>
      </c>
      <c r="T62" t="s">
        <v>2271</v>
      </c>
      <c r="U62" s="7">
        <v>1</v>
      </c>
      <c r="V62">
        <v>52.5</v>
      </c>
      <c r="W62" t="s">
        <v>35</v>
      </c>
      <c r="Y62" t="s">
        <v>2269</v>
      </c>
      <c r="Z62" s="7">
        <v>1752275</v>
      </c>
      <c r="AA62" t="s">
        <v>3269</v>
      </c>
      <c r="AB62" s="8">
        <v>61.95</v>
      </c>
      <c r="AC62" s="7">
        <v>0</v>
      </c>
      <c r="AF62" s="8">
        <v>61.95</v>
      </c>
    </row>
    <row r="63" spans="1:32" hidden="1">
      <c r="A63" s="7">
        <v>1010463</v>
      </c>
      <c r="B63" t="s">
        <v>2517</v>
      </c>
      <c r="C63" t="s">
        <v>2336</v>
      </c>
      <c r="D63" s="7">
        <v>7134260114929</v>
      </c>
      <c r="E63" t="s">
        <v>2518</v>
      </c>
      <c r="F63" t="s">
        <v>92</v>
      </c>
      <c r="G63" t="s">
        <v>2493</v>
      </c>
      <c r="H63" t="s">
        <v>2342</v>
      </c>
      <c r="I63" t="s">
        <v>2519</v>
      </c>
      <c r="J63" t="s">
        <v>2520</v>
      </c>
      <c r="K63" t="s">
        <v>261</v>
      </c>
      <c r="L63" t="s">
        <v>2499</v>
      </c>
      <c r="M63" s="7">
        <v>1165</v>
      </c>
      <c r="N63" t="s">
        <v>2370</v>
      </c>
      <c r="O63" s="7">
        <v>70525</v>
      </c>
      <c r="R63" s="7">
        <v>1</v>
      </c>
      <c r="S63" t="s">
        <v>2347</v>
      </c>
      <c r="T63" t="s">
        <v>2271</v>
      </c>
      <c r="U63" s="7">
        <v>1</v>
      </c>
      <c r="V63">
        <v>52.5</v>
      </c>
      <c r="W63" t="s">
        <v>35</v>
      </c>
      <c r="Y63" t="s">
        <v>2269</v>
      </c>
      <c r="Z63" s="7">
        <v>1752269</v>
      </c>
      <c r="AA63" t="s">
        <v>3269</v>
      </c>
      <c r="AB63" s="8">
        <v>61.95</v>
      </c>
      <c r="AC63" s="7">
        <v>0</v>
      </c>
      <c r="AF63" s="8">
        <v>61.95</v>
      </c>
    </row>
    <row r="64" spans="1:32" hidden="1">
      <c r="A64" s="7">
        <v>1010464</v>
      </c>
      <c r="B64" t="s">
        <v>2521</v>
      </c>
      <c r="C64" t="s">
        <v>2336</v>
      </c>
      <c r="D64" s="7">
        <v>7134260114962</v>
      </c>
      <c r="E64" t="s">
        <v>2522</v>
      </c>
      <c r="F64" t="s">
        <v>114</v>
      </c>
      <c r="G64" t="s">
        <v>2493</v>
      </c>
      <c r="H64" t="s">
        <v>2342</v>
      </c>
      <c r="I64" t="s">
        <v>868</v>
      </c>
      <c r="J64" t="s">
        <v>869</v>
      </c>
      <c r="K64" t="s">
        <v>261</v>
      </c>
      <c r="L64" t="s">
        <v>2523</v>
      </c>
      <c r="M64" s="7">
        <v>1165</v>
      </c>
      <c r="N64" t="s">
        <v>2390</v>
      </c>
      <c r="O64" s="7">
        <v>41200</v>
      </c>
      <c r="R64" s="7">
        <v>1</v>
      </c>
      <c r="S64" t="s">
        <v>2347</v>
      </c>
      <c r="T64" t="s">
        <v>2271</v>
      </c>
      <c r="U64" s="7">
        <v>1</v>
      </c>
      <c r="V64">
        <v>52.5</v>
      </c>
      <c r="W64" t="s">
        <v>35</v>
      </c>
      <c r="Y64" t="s">
        <v>2269</v>
      </c>
      <c r="Z64" s="7">
        <v>1752291</v>
      </c>
      <c r="AA64" t="s">
        <v>3269</v>
      </c>
      <c r="AB64" s="8">
        <v>61.95</v>
      </c>
      <c r="AC64" s="7">
        <v>0</v>
      </c>
      <c r="AF64" s="8">
        <v>61.95</v>
      </c>
    </row>
    <row r="65" spans="1:35" hidden="1">
      <c r="A65" s="7">
        <v>1010465</v>
      </c>
      <c r="B65" t="s">
        <v>2524</v>
      </c>
      <c r="C65" t="s">
        <v>2336</v>
      </c>
      <c r="D65" s="7">
        <v>7134260114979</v>
      </c>
      <c r="E65" t="s">
        <v>2525</v>
      </c>
      <c r="F65" t="s">
        <v>131</v>
      </c>
      <c r="G65" t="s">
        <v>2493</v>
      </c>
      <c r="H65" t="s">
        <v>2342</v>
      </c>
      <c r="I65" t="s">
        <v>1869</v>
      </c>
      <c r="J65" t="s">
        <v>1870</v>
      </c>
      <c r="K65" t="s">
        <v>261</v>
      </c>
      <c r="L65" t="s">
        <v>2526</v>
      </c>
      <c r="M65" s="7">
        <v>1165</v>
      </c>
      <c r="N65" t="s">
        <v>2353</v>
      </c>
      <c r="O65" s="7">
        <v>106589</v>
      </c>
      <c r="R65" s="7">
        <v>1</v>
      </c>
      <c r="S65" t="s">
        <v>2347</v>
      </c>
      <c r="T65" t="s">
        <v>2271</v>
      </c>
      <c r="U65" s="7">
        <v>1</v>
      </c>
      <c r="V65">
        <v>52.5</v>
      </c>
      <c r="W65" t="s">
        <v>35</v>
      </c>
      <c r="Y65" t="s">
        <v>2269</v>
      </c>
      <c r="Z65" s="7">
        <v>1752308</v>
      </c>
      <c r="AA65" t="s">
        <v>3269</v>
      </c>
      <c r="AB65" s="8">
        <v>61.95</v>
      </c>
      <c r="AC65" s="7">
        <v>0</v>
      </c>
      <c r="AF65" s="8">
        <v>61.95</v>
      </c>
    </row>
    <row r="66" spans="1:35" hidden="1">
      <c r="A66" s="7">
        <v>1010468</v>
      </c>
      <c r="B66" t="s">
        <v>2527</v>
      </c>
      <c r="C66" t="s">
        <v>2336</v>
      </c>
      <c r="D66" s="7">
        <v>7134260114936</v>
      </c>
      <c r="E66" t="s">
        <v>2528</v>
      </c>
      <c r="F66" t="s">
        <v>96</v>
      </c>
      <c r="G66" t="s">
        <v>2493</v>
      </c>
      <c r="H66" t="s">
        <v>2342</v>
      </c>
      <c r="I66" t="s">
        <v>2529</v>
      </c>
      <c r="J66" t="s">
        <v>2530</v>
      </c>
      <c r="K66" t="s">
        <v>261</v>
      </c>
      <c r="L66" t="s">
        <v>2477</v>
      </c>
      <c r="M66" s="7">
        <v>1165</v>
      </c>
      <c r="N66" t="s">
        <v>2370</v>
      </c>
      <c r="O66" s="7">
        <v>128210</v>
      </c>
      <c r="R66" s="7">
        <v>1</v>
      </c>
      <c r="S66" t="s">
        <v>2347</v>
      </c>
      <c r="T66" t="s">
        <v>2271</v>
      </c>
      <c r="U66" s="7">
        <v>1</v>
      </c>
      <c r="V66">
        <v>52.5</v>
      </c>
      <c r="W66" t="s">
        <v>35</v>
      </c>
      <c r="Y66" t="s">
        <v>2269</v>
      </c>
      <c r="Z66" s="7">
        <v>1752273</v>
      </c>
      <c r="AA66" t="s">
        <v>3269</v>
      </c>
      <c r="AB66" s="8">
        <v>61.95</v>
      </c>
      <c r="AC66" s="7">
        <v>0</v>
      </c>
      <c r="AF66" s="8">
        <v>61.95</v>
      </c>
    </row>
    <row r="67" spans="1:35" hidden="1">
      <c r="A67" s="7">
        <v>1010469</v>
      </c>
      <c r="B67" t="s">
        <v>2531</v>
      </c>
      <c r="C67" t="s">
        <v>2336</v>
      </c>
      <c r="D67" s="7">
        <v>7134260114948</v>
      </c>
      <c r="E67" t="s">
        <v>2532</v>
      </c>
      <c r="F67" t="s">
        <v>105</v>
      </c>
      <c r="G67" t="s">
        <v>2493</v>
      </c>
      <c r="H67" t="s">
        <v>2342</v>
      </c>
      <c r="I67" t="s">
        <v>2533</v>
      </c>
      <c r="J67" t="s">
        <v>2534</v>
      </c>
      <c r="K67" t="s">
        <v>261</v>
      </c>
      <c r="L67" t="s">
        <v>2535</v>
      </c>
      <c r="M67" s="7">
        <v>1165</v>
      </c>
      <c r="N67" t="s">
        <v>2346</v>
      </c>
      <c r="O67" s="7">
        <v>16830</v>
      </c>
      <c r="R67" s="7">
        <v>1</v>
      </c>
      <c r="S67" t="s">
        <v>2347</v>
      </c>
      <c r="T67" t="s">
        <v>2271</v>
      </c>
      <c r="U67" s="7">
        <v>1</v>
      </c>
      <c r="V67">
        <v>52.5</v>
      </c>
      <c r="W67" t="s">
        <v>35</v>
      </c>
      <c r="Y67" t="s">
        <v>2269</v>
      </c>
      <c r="Z67" s="7">
        <v>1752282</v>
      </c>
      <c r="AA67" t="s">
        <v>3269</v>
      </c>
      <c r="AB67" s="8">
        <v>61.95</v>
      </c>
      <c r="AC67" s="7">
        <v>0</v>
      </c>
      <c r="AF67" s="8">
        <v>61.95</v>
      </c>
    </row>
    <row r="68" spans="1:35" hidden="1">
      <c r="A68" s="7">
        <v>1010470</v>
      </c>
      <c r="B68" t="s">
        <v>2536</v>
      </c>
      <c r="C68" t="s">
        <v>2336</v>
      </c>
      <c r="D68" s="7">
        <v>7134260114578</v>
      </c>
      <c r="E68" t="s">
        <v>2537</v>
      </c>
      <c r="F68" t="s">
        <v>71</v>
      </c>
      <c r="G68" t="s">
        <v>2493</v>
      </c>
      <c r="H68" t="s">
        <v>2342</v>
      </c>
      <c r="I68" t="s">
        <v>2538</v>
      </c>
      <c r="J68" t="s">
        <v>2539</v>
      </c>
      <c r="K68" t="s">
        <v>261</v>
      </c>
      <c r="L68" t="s">
        <v>2540</v>
      </c>
      <c r="M68" s="7">
        <v>1165</v>
      </c>
      <c r="N68" t="s">
        <v>2359</v>
      </c>
      <c r="O68" s="7">
        <v>3310</v>
      </c>
      <c r="R68" s="7">
        <v>1</v>
      </c>
      <c r="S68" t="s">
        <v>2347</v>
      </c>
      <c r="T68" t="s">
        <v>2271</v>
      </c>
      <c r="U68" s="7">
        <v>1</v>
      </c>
      <c r="V68" s="7">
        <v>45</v>
      </c>
      <c r="W68" t="s">
        <v>35</v>
      </c>
      <c r="Y68" t="s">
        <v>2269</v>
      </c>
      <c r="Z68" s="7">
        <v>1752248</v>
      </c>
      <c r="AA68" t="s">
        <v>3269</v>
      </c>
      <c r="AB68" s="8">
        <v>53.1</v>
      </c>
      <c r="AC68" s="7">
        <v>0</v>
      </c>
      <c r="AF68" s="8">
        <v>53.1</v>
      </c>
    </row>
    <row r="69" spans="1:35" hidden="1">
      <c r="A69" s="7">
        <v>1010472</v>
      </c>
      <c r="B69" t="s">
        <v>2541</v>
      </c>
      <c r="C69" t="s">
        <v>2336</v>
      </c>
      <c r="D69" s="7">
        <v>7134260114969</v>
      </c>
      <c r="E69" t="s">
        <v>2542</v>
      </c>
      <c r="F69" t="s">
        <v>121</v>
      </c>
      <c r="G69" t="s">
        <v>2493</v>
      </c>
      <c r="H69" t="s">
        <v>2342</v>
      </c>
      <c r="I69" t="s">
        <v>925</v>
      </c>
      <c r="J69" t="s">
        <v>926</v>
      </c>
      <c r="K69" t="s">
        <v>261</v>
      </c>
      <c r="L69" t="s">
        <v>2543</v>
      </c>
      <c r="M69" s="7">
        <v>1165</v>
      </c>
      <c r="N69" t="s">
        <v>2390</v>
      </c>
      <c r="O69" s="7">
        <v>31200</v>
      </c>
      <c r="R69" s="7">
        <v>1</v>
      </c>
      <c r="S69" t="s">
        <v>2347</v>
      </c>
      <c r="T69" t="s">
        <v>2271</v>
      </c>
      <c r="U69" s="7">
        <v>1</v>
      </c>
      <c r="V69">
        <v>52.5</v>
      </c>
      <c r="W69" t="s">
        <v>35</v>
      </c>
      <c r="Y69" t="s">
        <v>2269</v>
      </c>
      <c r="Z69" s="7">
        <v>1752298</v>
      </c>
      <c r="AA69" t="s">
        <v>3269</v>
      </c>
      <c r="AB69" s="8">
        <v>61.95</v>
      </c>
      <c r="AC69" s="7">
        <v>0</v>
      </c>
      <c r="AF69" s="8">
        <v>61.95</v>
      </c>
    </row>
    <row r="70" spans="1:35" hidden="1">
      <c r="A70" s="7">
        <v>1010477</v>
      </c>
      <c r="B70" t="s">
        <v>2544</v>
      </c>
      <c r="C70" t="s">
        <v>2336</v>
      </c>
      <c r="D70" s="7">
        <v>7134260114977</v>
      </c>
      <c r="E70" t="s">
        <v>2545</v>
      </c>
      <c r="F70" t="s">
        <v>129</v>
      </c>
      <c r="G70" t="s">
        <v>2493</v>
      </c>
      <c r="H70" t="s">
        <v>2342</v>
      </c>
      <c r="I70" t="s">
        <v>1135</v>
      </c>
      <c r="J70" t="s">
        <v>1136</v>
      </c>
      <c r="K70" t="s">
        <v>261</v>
      </c>
      <c r="L70" t="s">
        <v>2490</v>
      </c>
      <c r="M70" s="7">
        <v>1165</v>
      </c>
      <c r="N70" t="s">
        <v>2353</v>
      </c>
      <c r="O70" s="7">
        <v>71200</v>
      </c>
      <c r="R70" s="7">
        <v>1</v>
      </c>
      <c r="S70" t="s">
        <v>2347</v>
      </c>
      <c r="T70" t="s">
        <v>2271</v>
      </c>
      <c r="U70" s="7">
        <v>1</v>
      </c>
      <c r="V70">
        <v>52.5</v>
      </c>
      <c r="W70" t="s">
        <v>35</v>
      </c>
      <c r="Y70" t="s">
        <v>2269</v>
      </c>
      <c r="Z70" s="7">
        <v>1752306</v>
      </c>
      <c r="AA70" t="s">
        <v>3269</v>
      </c>
      <c r="AB70" s="8">
        <v>61.95</v>
      </c>
      <c r="AC70" s="7">
        <v>0</v>
      </c>
      <c r="AF70" s="8">
        <v>61.95</v>
      </c>
    </row>
    <row r="71" spans="1:35" hidden="1">
      <c r="A71" s="7">
        <v>1010478</v>
      </c>
      <c r="B71" t="s">
        <v>2546</v>
      </c>
      <c r="C71" t="s">
        <v>2336</v>
      </c>
      <c r="D71" s="7">
        <v>7134260114968</v>
      </c>
      <c r="E71" t="s">
        <v>2547</v>
      </c>
      <c r="F71" t="s">
        <v>120</v>
      </c>
      <c r="G71" t="s">
        <v>2493</v>
      </c>
      <c r="H71" t="s">
        <v>2342</v>
      </c>
      <c r="I71" t="s">
        <v>2548</v>
      </c>
      <c r="J71" t="s">
        <v>2549</v>
      </c>
      <c r="K71" t="s">
        <v>261</v>
      </c>
      <c r="L71" t="s">
        <v>2550</v>
      </c>
      <c r="M71" s="7">
        <v>1165</v>
      </c>
      <c r="N71" t="s">
        <v>2390</v>
      </c>
      <c r="O71" s="7">
        <v>2856</v>
      </c>
      <c r="R71" s="7">
        <v>1</v>
      </c>
      <c r="S71" t="s">
        <v>2347</v>
      </c>
      <c r="T71" t="s">
        <v>2271</v>
      </c>
      <c r="U71" s="7">
        <v>1</v>
      </c>
      <c r="V71">
        <v>52.5</v>
      </c>
      <c r="W71" t="s">
        <v>35</v>
      </c>
      <c r="Y71" t="s">
        <v>2269</v>
      </c>
      <c r="Z71" s="7">
        <v>1752297</v>
      </c>
      <c r="AA71" t="s">
        <v>3269</v>
      </c>
      <c r="AB71" s="8">
        <v>61.95</v>
      </c>
      <c r="AC71" s="7">
        <v>0</v>
      </c>
      <c r="AF71" s="8">
        <v>61.95</v>
      </c>
    </row>
    <row r="72" spans="1:35" hidden="1">
      <c r="A72" s="7">
        <v>1010481</v>
      </c>
      <c r="B72" t="s">
        <v>2551</v>
      </c>
      <c r="C72" t="s">
        <v>2336</v>
      </c>
      <c r="D72" s="7">
        <v>7134260114981</v>
      </c>
      <c r="E72" t="s">
        <v>2552</v>
      </c>
      <c r="F72" t="s">
        <v>133</v>
      </c>
      <c r="G72" t="s">
        <v>2493</v>
      </c>
      <c r="H72" t="s">
        <v>2342</v>
      </c>
      <c r="I72" t="s">
        <v>798</v>
      </c>
      <c r="J72" t="s">
        <v>799</v>
      </c>
      <c r="K72" t="s">
        <v>261</v>
      </c>
      <c r="L72" t="s">
        <v>2553</v>
      </c>
      <c r="M72" s="7">
        <v>1165</v>
      </c>
      <c r="N72" t="s">
        <v>2353</v>
      </c>
      <c r="O72" s="7">
        <v>67120</v>
      </c>
      <c r="R72" s="7">
        <v>1</v>
      </c>
      <c r="S72" t="s">
        <v>2347</v>
      </c>
      <c r="T72" t="s">
        <v>2271</v>
      </c>
      <c r="U72" s="7">
        <v>1</v>
      </c>
      <c r="V72">
        <v>52.5</v>
      </c>
      <c r="W72" t="s">
        <v>35</v>
      </c>
      <c r="Y72" t="s">
        <v>2269</v>
      </c>
      <c r="Z72" s="7">
        <v>1752310</v>
      </c>
      <c r="AA72" t="s">
        <v>3269</v>
      </c>
      <c r="AB72" s="8">
        <v>61.95</v>
      </c>
      <c r="AC72" s="7">
        <v>0</v>
      </c>
      <c r="AF72" s="8">
        <v>61.95</v>
      </c>
    </row>
    <row r="73" spans="1:35" hidden="1">
      <c r="A73" s="7">
        <v>1010482</v>
      </c>
      <c r="B73" t="s">
        <v>2554</v>
      </c>
      <c r="C73" t="s">
        <v>2336</v>
      </c>
      <c r="D73" s="7">
        <v>7134260114571</v>
      </c>
      <c r="E73" t="s">
        <v>2555</v>
      </c>
      <c r="F73" t="s">
        <v>64</v>
      </c>
      <c r="G73" t="s">
        <v>2493</v>
      </c>
      <c r="H73" t="s">
        <v>2308</v>
      </c>
      <c r="I73" t="s">
        <v>2556</v>
      </c>
      <c r="J73" t="s">
        <v>2557</v>
      </c>
      <c r="K73" t="s">
        <v>261</v>
      </c>
      <c r="L73" t="s">
        <v>2386</v>
      </c>
      <c r="M73" s="7">
        <v>1165</v>
      </c>
      <c r="N73" t="s">
        <v>2359</v>
      </c>
      <c r="O73" s="7">
        <v>9310</v>
      </c>
      <c r="R73" s="7">
        <v>1</v>
      </c>
      <c r="S73" t="s">
        <v>2347</v>
      </c>
      <c r="T73" t="s">
        <v>2271</v>
      </c>
      <c r="U73" s="7">
        <v>1</v>
      </c>
      <c r="V73" s="7">
        <v>45</v>
      </c>
      <c r="W73" t="s">
        <v>35</v>
      </c>
      <c r="Y73" t="s">
        <v>2269</v>
      </c>
      <c r="Z73" s="7">
        <v>1752241</v>
      </c>
      <c r="AA73" t="s">
        <v>3269</v>
      </c>
      <c r="AB73" s="8">
        <v>53.1</v>
      </c>
      <c r="AC73" s="7">
        <v>0</v>
      </c>
      <c r="AF73" s="8">
        <v>53.1</v>
      </c>
    </row>
    <row r="74" spans="1:35" hidden="1">
      <c r="A74" s="7">
        <v>1010483</v>
      </c>
      <c r="B74" t="s">
        <v>2558</v>
      </c>
      <c r="C74" t="s">
        <v>2336</v>
      </c>
      <c r="D74" s="7">
        <v>7134260114914</v>
      </c>
      <c r="E74" t="s">
        <v>2559</v>
      </c>
      <c r="F74" t="s">
        <v>85</v>
      </c>
      <c r="G74" t="s">
        <v>2493</v>
      </c>
      <c r="H74" t="s">
        <v>2342</v>
      </c>
      <c r="I74" t="s">
        <v>2560</v>
      </c>
      <c r="J74" t="s">
        <v>2561</v>
      </c>
      <c r="K74" t="s">
        <v>261</v>
      </c>
      <c r="L74" t="s">
        <v>2562</v>
      </c>
      <c r="M74" s="7">
        <v>1165</v>
      </c>
      <c r="N74" t="s">
        <v>2370</v>
      </c>
      <c r="O74" s="7">
        <v>80600</v>
      </c>
      <c r="R74" s="7">
        <v>1</v>
      </c>
      <c r="S74" t="s">
        <v>2347</v>
      </c>
      <c r="T74" t="s">
        <v>2271</v>
      </c>
      <c r="U74" s="7">
        <v>1</v>
      </c>
      <c r="V74">
        <v>52.5</v>
      </c>
      <c r="W74" t="s">
        <v>35</v>
      </c>
      <c r="Y74" t="s">
        <v>2269</v>
      </c>
      <c r="Z74" s="7">
        <v>1752262</v>
      </c>
      <c r="AA74" t="s">
        <v>3269</v>
      </c>
      <c r="AB74" s="8">
        <v>61.95</v>
      </c>
      <c r="AC74" s="7">
        <v>0</v>
      </c>
      <c r="AF74" s="8">
        <v>61.95</v>
      </c>
    </row>
    <row r="75" spans="1:35" hidden="1">
      <c r="A75" s="7">
        <v>1010485</v>
      </c>
      <c r="B75" t="s">
        <v>2563</v>
      </c>
      <c r="C75" t="s">
        <v>2336</v>
      </c>
      <c r="D75" s="7">
        <v>7134260114371</v>
      </c>
      <c r="E75" t="s">
        <v>2564</v>
      </c>
      <c r="F75" t="s">
        <v>23</v>
      </c>
      <c r="G75" t="s">
        <v>2493</v>
      </c>
      <c r="H75" t="s">
        <v>2565</v>
      </c>
      <c r="I75" t="s">
        <v>1865</v>
      </c>
      <c r="J75" t="s">
        <v>1866</v>
      </c>
      <c r="K75" t="s">
        <v>261</v>
      </c>
      <c r="L75" t="s">
        <v>2566</v>
      </c>
      <c r="N75" t="s">
        <v>2319</v>
      </c>
      <c r="O75" s="7">
        <v>1788</v>
      </c>
      <c r="R75" s="7">
        <v>1</v>
      </c>
      <c r="S75" t="s">
        <v>2567</v>
      </c>
      <c r="T75" t="s">
        <v>2271</v>
      </c>
      <c r="U75" s="7">
        <v>1</v>
      </c>
      <c r="V75" s="7">
        <v>1200</v>
      </c>
      <c r="W75" t="s">
        <v>35</v>
      </c>
      <c r="Y75" t="s">
        <v>2269</v>
      </c>
      <c r="Z75" s="7">
        <v>1752235</v>
      </c>
      <c r="AA75" t="s">
        <v>3269</v>
      </c>
      <c r="AB75" s="7">
        <v>1416</v>
      </c>
      <c r="AC75" s="7">
        <v>0</v>
      </c>
      <c r="AF75" s="7">
        <v>1416</v>
      </c>
      <c r="AI75" t="s">
        <v>2568</v>
      </c>
    </row>
    <row r="76" spans="1:35" hidden="1">
      <c r="A76" s="7">
        <v>1010485</v>
      </c>
      <c r="B76" t="s">
        <v>2563</v>
      </c>
      <c r="C76" t="s">
        <v>2336</v>
      </c>
      <c r="D76" s="7">
        <v>7134260114371</v>
      </c>
      <c r="E76" t="s">
        <v>2564</v>
      </c>
      <c r="F76" t="s">
        <v>23</v>
      </c>
      <c r="G76" t="s">
        <v>2493</v>
      </c>
      <c r="H76" t="s">
        <v>2565</v>
      </c>
      <c r="I76" t="s">
        <v>1865</v>
      </c>
      <c r="J76" t="s">
        <v>1866</v>
      </c>
      <c r="K76" t="s">
        <v>261</v>
      </c>
      <c r="L76" t="s">
        <v>2566</v>
      </c>
      <c r="N76" t="s">
        <v>2319</v>
      </c>
      <c r="O76" s="7">
        <v>1788</v>
      </c>
      <c r="R76" s="7">
        <v>2</v>
      </c>
      <c r="S76" t="s">
        <v>2569</v>
      </c>
      <c r="T76" t="s">
        <v>2271</v>
      </c>
      <c r="U76" s="7">
        <v>1</v>
      </c>
      <c r="V76">
        <v>1312.5</v>
      </c>
      <c r="W76" t="s">
        <v>35</v>
      </c>
      <c r="Y76" t="s">
        <v>2269</v>
      </c>
      <c r="Z76" s="7">
        <v>1752235</v>
      </c>
      <c r="AA76" t="s">
        <v>3269</v>
      </c>
      <c r="AB76" s="8">
        <v>1548.75</v>
      </c>
      <c r="AC76" s="7">
        <v>0</v>
      </c>
      <c r="AF76" s="8">
        <v>1548.75</v>
      </c>
      <c r="AI76" t="s">
        <v>2568</v>
      </c>
    </row>
    <row r="77" spans="1:35" hidden="1">
      <c r="A77" s="7">
        <v>1010487</v>
      </c>
      <c r="B77" t="s">
        <v>2570</v>
      </c>
      <c r="C77" t="s">
        <v>2336</v>
      </c>
      <c r="D77" s="7">
        <v>7134260114824</v>
      </c>
      <c r="E77" t="s">
        <v>2571</v>
      </c>
      <c r="F77" t="s">
        <v>83</v>
      </c>
      <c r="G77" t="s">
        <v>2493</v>
      </c>
      <c r="H77" t="s">
        <v>2342</v>
      </c>
      <c r="I77" t="s">
        <v>2572</v>
      </c>
      <c r="J77" t="s">
        <v>2573</v>
      </c>
      <c r="K77" t="s">
        <v>261</v>
      </c>
      <c r="L77" t="s">
        <v>2574</v>
      </c>
      <c r="M77" s="7">
        <v>1165</v>
      </c>
      <c r="N77" t="s">
        <v>2381</v>
      </c>
      <c r="O77" s="7">
        <v>18800</v>
      </c>
      <c r="R77" s="7">
        <v>1</v>
      </c>
      <c r="S77" t="s">
        <v>2347</v>
      </c>
      <c r="T77" t="s">
        <v>2271</v>
      </c>
      <c r="U77" s="7">
        <v>1</v>
      </c>
      <c r="V77">
        <v>52.5</v>
      </c>
      <c r="W77" t="s">
        <v>35</v>
      </c>
      <c r="Y77" t="s">
        <v>2269</v>
      </c>
      <c r="Z77" s="7">
        <v>1752260</v>
      </c>
      <c r="AA77" t="s">
        <v>3269</v>
      </c>
      <c r="AB77" s="8">
        <v>61.95</v>
      </c>
      <c r="AC77" s="7">
        <v>0</v>
      </c>
      <c r="AF77" s="8">
        <v>61.95</v>
      </c>
    </row>
    <row r="78" spans="1:35" hidden="1">
      <c r="A78" s="7">
        <v>1010488</v>
      </c>
      <c r="B78" t="s">
        <v>2575</v>
      </c>
      <c r="C78" t="s">
        <v>2336</v>
      </c>
      <c r="D78" s="7">
        <v>7134260114963</v>
      </c>
      <c r="E78" t="s">
        <v>2576</v>
      </c>
      <c r="F78" t="s">
        <v>115</v>
      </c>
      <c r="G78" t="s">
        <v>2493</v>
      </c>
      <c r="H78" t="s">
        <v>2342</v>
      </c>
      <c r="I78" t="s">
        <v>1020</v>
      </c>
      <c r="J78" t="s">
        <v>1021</v>
      </c>
      <c r="K78" t="s">
        <v>261</v>
      </c>
      <c r="L78" t="s">
        <v>2523</v>
      </c>
      <c r="M78" s="7">
        <v>1165</v>
      </c>
      <c r="N78" t="s">
        <v>2390</v>
      </c>
      <c r="O78" s="7">
        <v>20200</v>
      </c>
      <c r="R78" s="7">
        <v>1</v>
      </c>
      <c r="S78" t="s">
        <v>2347</v>
      </c>
      <c r="T78" t="s">
        <v>2271</v>
      </c>
      <c r="U78" s="7">
        <v>1</v>
      </c>
      <c r="V78">
        <v>52.5</v>
      </c>
      <c r="W78" t="s">
        <v>35</v>
      </c>
      <c r="Y78" t="s">
        <v>2269</v>
      </c>
      <c r="Z78" s="7">
        <v>1752292</v>
      </c>
      <c r="AA78" t="s">
        <v>3269</v>
      </c>
      <c r="AB78" s="8">
        <v>61.95</v>
      </c>
      <c r="AC78" s="7">
        <v>0</v>
      </c>
      <c r="AF78" s="8">
        <v>61.95</v>
      </c>
    </row>
    <row r="79" spans="1:35" hidden="1">
      <c r="A79" s="7">
        <v>1010490</v>
      </c>
      <c r="B79" t="s">
        <v>2577</v>
      </c>
      <c r="C79" t="s">
        <v>2423</v>
      </c>
      <c r="D79" s="7">
        <v>7134260115223</v>
      </c>
      <c r="E79" t="s">
        <v>2578</v>
      </c>
      <c r="F79" t="s">
        <v>139</v>
      </c>
      <c r="G79" t="s">
        <v>2493</v>
      </c>
      <c r="H79" t="s">
        <v>2342</v>
      </c>
      <c r="I79" t="s">
        <v>847</v>
      </c>
      <c r="J79" t="s">
        <v>848</v>
      </c>
      <c r="K79" t="s">
        <v>261</v>
      </c>
      <c r="L79" t="s">
        <v>2579</v>
      </c>
      <c r="M79" s="7">
        <v>1165</v>
      </c>
      <c r="N79" t="s">
        <v>2428</v>
      </c>
      <c r="O79" s="7">
        <v>56200</v>
      </c>
      <c r="R79" s="7">
        <v>1</v>
      </c>
      <c r="S79" t="s">
        <v>2347</v>
      </c>
      <c r="T79" t="s">
        <v>2271</v>
      </c>
      <c r="U79" s="7">
        <v>1</v>
      </c>
      <c r="V79">
        <v>52.5</v>
      </c>
      <c r="W79" t="s">
        <v>35</v>
      </c>
      <c r="Y79" t="s">
        <v>2269</v>
      </c>
      <c r="Z79" s="7">
        <v>1752317</v>
      </c>
      <c r="AA79" t="s">
        <v>3269</v>
      </c>
      <c r="AB79" s="8">
        <v>61.95</v>
      </c>
      <c r="AC79" s="7">
        <v>0</v>
      </c>
      <c r="AF79" s="8">
        <v>61.95</v>
      </c>
    </row>
    <row r="80" spans="1:35" hidden="1">
      <c r="A80" s="7">
        <v>1010492</v>
      </c>
      <c r="B80" t="s">
        <v>2580</v>
      </c>
      <c r="C80" t="s">
        <v>2336</v>
      </c>
      <c r="D80" s="7">
        <v>7134260114952</v>
      </c>
      <c r="E80" t="s">
        <v>2581</v>
      </c>
      <c r="F80" t="s">
        <v>109</v>
      </c>
      <c r="G80" t="s">
        <v>2493</v>
      </c>
      <c r="H80" t="s">
        <v>2342</v>
      </c>
      <c r="I80" t="s">
        <v>2582</v>
      </c>
      <c r="J80" t="s">
        <v>2583</v>
      </c>
      <c r="K80" t="s">
        <v>261</v>
      </c>
      <c r="L80" t="s">
        <v>2584</v>
      </c>
      <c r="M80" s="7">
        <v>1165</v>
      </c>
      <c r="N80" t="s">
        <v>2346</v>
      </c>
      <c r="O80" s="7">
        <v>35960</v>
      </c>
      <c r="R80" s="7">
        <v>1</v>
      </c>
      <c r="S80" t="s">
        <v>2347</v>
      </c>
      <c r="T80" t="s">
        <v>2271</v>
      </c>
      <c r="U80" s="7">
        <v>1</v>
      </c>
      <c r="V80">
        <v>52.5</v>
      </c>
      <c r="W80" t="s">
        <v>35</v>
      </c>
      <c r="Y80" t="s">
        <v>2269</v>
      </c>
      <c r="Z80" s="7">
        <v>1752286</v>
      </c>
      <c r="AA80" t="s">
        <v>3269</v>
      </c>
      <c r="AB80" s="8">
        <v>61.95</v>
      </c>
      <c r="AC80" s="7">
        <v>0</v>
      </c>
      <c r="AF80" s="8">
        <v>61.95</v>
      </c>
    </row>
    <row r="81" spans="1:35" hidden="1">
      <c r="A81" s="7">
        <v>1010493</v>
      </c>
      <c r="B81" t="s">
        <v>2585</v>
      </c>
      <c r="C81" t="s">
        <v>2336</v>
      </c>
      <c r="D81" s="7">
        <v>7134260114574</v>
      </c>
      <c r="E81" t="s">
        <v>2586</v>
      </c>
      <c r="F81" t="s">
        <v>67</v>
      </c>
      <c r="G81" t="s">
        <v>2493</v>
      </c>
      <c r="H81" t="s">
        <v>2308</v>
      </c>
      <c r="I81" t="s">
        <v>854</v>
      </c>
      <c r="J81" t="s">
        <v>855</v>
      </c>
      <c r="K81" t="s">
        <v>261</v>
      </c>
      <c r="L81" t="s">
        <v>2587</v>
      </c>
      <c r="M81" s="7">
        <v>1165</v>
      </c>
      <c r="N81" t="s">
        <v>2359</v>
      </c>
      <c r="O81" s="7">
        <v>124610</v>
      </c>
      <c r="R81" s="7">
        <v>1</v>
      </c>
      <c r="S81" t="s">
        <v>2347</v>
      </c>
      <c r="T81" t="s">
        <v>2271</v>
      </c>
      <c r="U81" s="7">
        <v>1</v>
      </c>
      <c r="V81" s="7">
        <v>45</v>
      </c>
      <c r="W81" t="s">
        <v>35</v>
      </c>
      <c r="Y81" t="s">
        <v>2269</v>
      </c>
      <c r="Z81" s="7">
        <v>1752244</v>
      </c>
      <c r="AA81" t="s">
        <v>3269</v>
      </c>
      <c r="AB81" s="8">
        <v>53.1</v>
      </c>
      <c r="AC81" s="7">
        <v>0</v>
      </c>
      <c r="AF81" s="8">
        <v>53.1</v>
      </c>
    </row>
    <row r="82" spans="1:35" hidden="1">
      <c r="A82" s="7">
        <v>1010494</v>
      </c>
      <c r="B82" t="s">
        <v>2588</v>
      </c>
      <c r="C82" t="s">
        <v>2336</v>
      </c>
      <c r="D82" s="7">
        <v>7134260114334</v>
      </c>
      <c r="E82" t="s">
        <v>2589</v>
      </c>
      <c r="F82" t="s">
        <v>25</v>
      </c>
      <c r="G82" t="s">
        <v>2493</v>
      </c>
      <c r="H82" t="s">
        <v>2308</v>
      </c>
      <c r="I82" t="s">
        <v>2590</v>
      </c>
      <c r="J82" t="s">
        <v>2591</v>
      </c>
      <c r="K82" t="s">
        <v>261</v>
      </c>
      <c r="L82" t="s">
        <v>2592</v>
      </c>
      <c r="N82" t="s">
        <v>2319</v>
      </c>
      <c r="O82" s="7">
        <v>1845</v>
      </c>
      <c r="R82" s="7">
        <v>1</v>
      </c>
      <c r="S82" t="s">
        <v>2593</v>
      </c>
      <c r="T82" t="s">
        <v>2594</v>
      </c>
      <c r="U82" s="7">
        <v>1</v>
      </c>
      <c r="V82" s="8">
        <v>290.99</v>
      </c>
      <c r="W82" t="s">
        <v>35</v>
      </c>
      <c r="Y82" t="s">
        <v>2269</v>
      </c>
      <c r="Z82" s="7">
        <v>1752233</v>
      </c>
      <c r="AA82" t="s">
        <v>3269</v>
      </c>
      <c r="AB82" s="8">
        <v>343.37</v>
      </c>
      <c r="AC82" s="7">
        <v>0</v>
      </c>
      <c r="AF82" s="8">
        <v>343.37</v>
      </c>
    </row>
    <row r="83" spans="1:35" hidden="1">
      <c r="A83" s="7">
        <v>1010494</v>
      </c>
      <c r="B83" t="s">
        <v>2588</v>
      </c>
      <c r="C83" t="s">
        <v>2336</v>
      </c>
      <c r="D83" s="7">
        <v>7134260114334</v>
      </c>
      <c r="E83" t="s">
        <v>2589</v>
      </c>
      <c r="F83" t="s">
        <v>25</v>
      </c>
      <c r="G83" t="s">
        <v>2493</v>
      </c>
      <c r="H83" t="s">
        <v>2308</v>
      </c>
      <c r="I83" t="s">
        <v>2590</v>
      </c>
      <c r="J83" t="s">
        <v>2591</v>
      </c>
      <c r="K83" t="s">
        <v>261</v>
      </c>
      <c r="L83" t="s">
        <v>2592</v>
      </c>
      <c r="N83" t="s">
        <v>2319</v>
      </c>
      <c r="O83" s="7">
        <v>1845</v>
      </c>
      <c r="R83" s="7">
        <v>2</v>
      </c>
      <c r="S83" t="s">
        <v>2595</v>
      </c>
      <c r="T83" t="s">
        <v>2271</v>
      </c>
      <c r="U83" s="7">
        <v>1</v>
      </c>
      <c r="V83" s="7">
        <v>45</v>
      </c>
      <c r="W83" t="s">
        <v>35</v>
      </c>
      <c r="Y83" t="s">
        <v>2269</v>
      </c>
      <c r="Z83" s="7">
        <v>1752233</v>
      </c>
      <c r="AA83" t="s">
        <v>3269</v>
      </c>
      <c r="AB83" s="8">
        <v>53.1</v>
      </c>
      <c r="AC83" s="7">
        <v>0</v>
      </c>
      <c r="AF83" s="8">
        <v>53.1</v>
      </c>
    </row>
    <row r="84" spans="1:35" hidden="1">
      <c r="A84" s="7">
        <v>1010495</v>
      </c>
      <c r="B84" t="s">
        <v>2596</v>
      </c>
      <c r="C84" t="s">
        <v>2336</v>
      </c>
      <c r="D84" s="7">
        <v>7134260114821</v>
      </c>
      <c r="E84" t="s">
        <v>2597</v>
      </c>
      <c r="F84" t="s">
        <v>80</v>
      </c>
      <c r="G84" t="s">
        <v>2493</v>
      </c>
      <c r="H84" t="s">
        <v>2342</v>
      </c>
      <c r="I84" t="s">
        <v>2598</v>
      </c>
      <c r="J84" t="s">
        <v>2599</v>
      </c>
      <c r="K84" t="s">
        <v>261</v>
      </c>
      <c r="L84" t="s">
        <v>2600</v>
      </c>
      <c r="M84" s="7">
        <v>1165</v>
      </c>
      <c r="N84" t="s">
        <v>2381</v>
      </c>
      <c r="O84" s="7">
        <v>140700</v>
      </c>
      <c r="R84" s="7">
        <v>1</v>
      </c>
      <c r="S84" t="s">
        <v>2347</v>
      </c>
      <c r="T84" t="s">
        <v>2271</v>
      </c>
      <c r="U84" s="7">
        <v>1</v>
      </c>
      <c r="V84">
        <v>52.5</v>
      </c>
      <c r="W84" t="s">
        <v>35</v>
      </c>
      <c r="Y84" t="s">
        <v>2269</v>
      </c>
      <c r="Z84" s="7">
        <v>1752257</v>
      </c>
      <c r="AA84" t="s">
        <v>3269</v>
      </c>
      <c r="AB84" s="8">
        <v>61.95</v>
      </c>
      <c r="AC84" s="7">
        <v>0</v>
      </c>
      <c r="AF84" s="8">
        <v>61.95</v>
      </c>
    </row>
    <row r="85" spans="1:35" hidden="1">
      <c r="A85" s="7">
        <v>1010496</v>
      </c>
      <c r="B85" t="s">
        <v>2601</v>
      </c>
      <c r="C85" t="s">
        <v>2336</v>
      </c>
      <c r="D85" s="7">
        <v>7134260114938</v>
      </c>
      <c r="E85" t="s">
        <v>2602</v>
      </c>
      <c r="F85" t="s">
        <v>98</v>
      </c>
      <c r="G85" t="s">
        <v>2493</v>
      </c>
      <c r="H85" t="s">
        <v>2342</v>
      </c>
      <c r="I85" t="s">
        <v>836</v>
      </c>
      <c r="J85" t="s">
        <v>837</v>
      </c>
      <c r="K85" t="s">
        <v>261</v>
      </c>
      <c r="L85" t="s">
        <v>2603</v>
      </c>
      <c r="M85" s="7">
        <v>1160</v>
      </c>
      <c r="N85" t="s">
        <v>2370</v>
      </c>
      <c r="O85" s="7">
        <v>81100</v>
      </c>
      <c r="R85" s="7">
        <v>1</v>
      </c>
      <c r="S85" t="s">
        <v>2347</v>
      </c>
      <c r="T85" t="s">
        <v>2271</v>
      </c>
      <c r="U85" s="7">
        <v>1</v>
      </c>
      <c r="V85">
        <v>52.5</v>
      </c>
      <c r="W85" t="s">
        <v>35</v>
      </c>
      <c r="Y85" t="s">
        <v>2269</v>
      </c>
      <c r="Z85" s="7">
        <v>1752276</v>
      </c>
      <c r="AA85" t="s">
        <v>3269</v>
      </c>
      <c r="AB85" s="8">
        <v>61.95</v>
      </c>
      <c r="AC85" s="7">
        <v>0</v>
      </c>
      <c r="AF85" s="8">
        <v>61.95</v>
      </c>
    </row>
    <row r="86" spans="1:35" hidden="1">
      <c r="A86" s="7">
        <v>1010497</v>
      </c>
      <c r="B86" t="s">
        <v>2604</v>
      </c>
      <c r="C86" t="s">
        <v>2423</v>
      </c>
      <c r="D86" s="7">
        <v>7134260115224</v>
      </c>
      <c r="E86" t="s">
        <v>2605</v>
      </c>
      <c r="F86" t="s">
        <v>140</v>
      </c>
      <c r="G86" t="s">
        <v>2493</v>
      </c>
      <c r="H86" t="s">
        <v>2342</v>
      </c>
      <c r="I86" t="s">
        <v>856</v>
      </c>
      <c r="J86" t="s">
        <v>857</v>
      </c>
      <c r="K86" t="s">
        <v>261</v>
      </c>
      <c r="L86" t="s">
        <v>2579</v>
      </c>
      <c r="M86" s="7">
        <v>1165</v>
      </c>
      <c r="N86" t="s">
        <v>2428</v>
      </c>
      <c r="O86" s="7">
        <v>53120</v>
      </c>
      <c r="R86" s="7">
        <v>1</v>
      </c>
      <c r="S86" t="s">
        <v>2347</v>
      </c>
      <c r="T86" t="s">
        <v>2271</v>
      </c>
      <c r="U86" s="7">
        <v>1</v>
      </c>
      <c r="V86">
        <v>52.5</v>
      </c>
      <c r="W86" t="s">
        <v>35</v>
      </c>
      <c r="Y86" t="s">
        <v>2269</v>
      </c>
      <c r="Z86" s="7">
        <v>1752316</v>
      </c>
      <c r="AA86" t="s">
        <v>3269</v>
      </c>
      <c r="AB86" s="8">
        <v>61.95</v>
      </c>
      <c r="AC86" s="7">
        <v>0</v>
      </c>
      <c r="AF86" s="8">
        <v>61.95</v>
      </c>
    </row>
    <row r="87" spans="1:35" hidden="1">
      <c r="A87" s="7">
        <v>1010498</v>
      </c>
      <c r="B87" t="s">
        <v>2606</v>
      </c>
      <c r="C87" t="s">
        <v>2423</v>
      </c>
      <c r="D87" s="7">
        <v>7134260115232</v>
      </c>
      <c r="E87" t="s">
        <v>2607</v>
      </c>
      <c r="F87" t="s">
        <v>148</v>
      </c>
      <c r="G87" t="s">
        <v>2493</v>
      </c>
      <c r="H87" t="s">
        <v>2342</v>
      </c>
      <c r="I87" t="s">
        <v>2608</v>
      </c>
      <c r="J87" t="s">
        <v>2609</v>
      </c>
      <c r="K87" t="s">
        <v>261</v>
      </c>
      <c r="L87" t="s">
        <v>2610</v>
      </c>
      <c r="M87" s="7">
        <v>1165</v>
      </c>
      <c r="N87" t="s">
        <v>2428</v>
      </c>
      <c r="O87" s="7">
        <v>29920</v>
      </c>
      <c r="R87" s="7">
        <v>1</v>
      </c>
      <c r="S87" t="s">
        <v>2347</v>
      </c>
      <c r="T87" t="s">
        <v>2271</v>
      </c>
      <c r="U87" s="7">
        <v>1</v>
      </c>
      <c r="V87">
        <v>52.5</v>
      </c>
      <c r="W87" t="s">
        <v>35</v>
      </c>
      <c r="Y87" t="s">
        <v>2269</v>
      </c>
      <c r="Z87" s="7">
        <v>1752325</v>
      </c>
      <c r="AA87" t="s">
        <v>3269</v>
      </c>
      <c r="AB87" s="8">
        <v>61.95</v>
      </c>
      <c r="AC87" s="7">
        <v>0</v>
      </c>
      <c r="AF87" s="8">
        <v>61.95</v>
      </c>
    </row>
    <row r="88" spans="1:35" hidden="1">
      <c r="A88" s="7">
        <v>1010499</v>
      </c>
      <c r="B88" t="s">
        <v>2611</v>
      </c>
      <c r="C88" t="s">
        <v>2336</v>
      </c>
      <c r="D88" s="7">
        <v>7134260114569</v>
      </c>
      <c r="E88" t="s">
        <v>2612</v>
      </c>
      <c r="F88" t="s">
        <v>62</v>
      </c>
      <c r="G88" t="s">
        <v>2493</v>
      </c>
      <c r="H88" t="s">
        <v>2308</v>
      </c>
      <c r="I88" t="s">
        <v>2613</v>
      </c>
      <c r="J88" t="s">
        <v>2614</v>
      </c>
      <c r="K88" t="s">
        <v>261</v>
      </c>
      <c r="L88" t="s">
        <v>2615</v>
      </c>
      <c r="M88" s="7">
        <v>1165</v>
      </c>
      <c r="N88" t="s">
        <v>2359</v>
      </c>
      <c r="O88" s="7">
        <v>43710</v>
      </c>
      <c r="R88" s="7">
        <v>1</v>
      </c>
      <c r="S88" t="s">
        <v>2347</v>
      </c>
      <c r="T88" t="s">
        <v>2271</v>
      </c>
      <c r="U88" s="7">
        <v>1</v>
      </c>
      <c r="V88" s="7">
        <v>45</v>
      </c>
      <c r="W88" t="s">
        <v>35</v>
      </c>
      <c r="Y88" t="s">
        <v>2269</v>
      </c>
      <c r="Z88" s="7">
        <v>1752239</v>
      </c>
      <c r="AA88" t="s">
        <v>3269</v>
      </c>
      <c r="AB88" s="8">
        <v>53.1</v>
      </c>
      <c r="AC88" s="7">
        <v>0</v>
      </c>
      <c r="AF88" s="8">
        <v>53.1</v>
      </c>
    </row>
    <row r="89" spans="1:35" hidden="1">
      <c r="A89" s="7">
        <v>1010501</v>
      </c>
      <c r="B89" t="s">
        <v>2616</v>
      </c>
      <c r="C89" t="s">
        <v>2336</v>
      </c>
      <c r="D89" s="7">
        <v>7134260114950</v>
      </c>
      <c r="E89" t="s">
        <v>2617</v>
      </c>
      <c r="F89" t="s">
        <v>107</v>
      </c>
      <c r="G89" t="s">
        <v>2493</v>
      </c>
      <c r="H89" t="s">
        <v>2342</v>
      </c>
      <c r="I89" t="s">
        <v>2618</v>
      </c>
      <c r="J89" t="s">
        <v>2619</v>
      </c>
      <c r="K89" t="s">
        <v>261</v>
      </c>
      <c r="L89" t="s">
        <v>2620</v>
      </c>
      <c r="M89" s="7">
        <v>1165</v>
      </c>
      <c r="N89" t="s">
        <v>2346</v>
      </c>
      <c r="O89" s="7">
        <v>29920</v>
      </c>
      <c r="R89" s="7">
        <v>1</v>
      </c>
      <c r="S89" t="s">
        <v>2347</v>
      </c>
      <c r="T89" t="s">
        <v>2271</v>
      </c>
      <c r="U89" s="7">
        <v>1</v>
      </c>
      <c r="V89">
        <v>52.5</v>
      </c>
      <c r="W89" t="s">
        <v>35</v>
      </c>
      <c r="Y89" t="s">
        <v>2269</v>
      </c>
      <c r="Z89" s="7">
        <v>1752284</v>
      </c>
      <c r="AA89" t="s">
        <v>3269</v>
      </c>
      <c r="AB89" s="8">
        <v>61.95</v>
      </c>
      <c r="AC89" s="7">
        <v>0</v>
      </c>
      <c r="AF89" s="8">
        <v>61.95</v>
      </c>
    </row>
    <row r="90" spans="1:35" hidden="1">
      <c r="A90" s="7">
        <v>1010504</v>
      </c>
      <c r="B90" t="s">
        <v>2621</v>
      </c>
      <c r="C90" t="s">
        <v>2336</v>
      </c>
      <c r="D90" s="7">
        <v>7134260114372</v>
      </c>
      <c r="E90" t="s">
        <v>2622</v>
      </c>
      <c r="F90" t="s">
        <v>22</v>
      </c>
      <c r="G90" t="s">
        <v>2493</v>
      </c>
      <c r="H90" t="s">
        <v>2565</v>
      </c>
      <c r="I90" t="s">
        <v>2623</v>
      </c>
      <c r="J90" t="s">
        <v>2624</v>
      </c>
      <c r="K90" t="s">
        <v>261</v>
      </c>
      <c r="L90" t="s">
        <v>2625</v>
      </c>
      <c r="N90" t="s">
        <v>2319</v>
      </c>
      <c r="O90" s="7">
        <v>1779</v>
      </c>
      <c r="R90" s="7">
        <v>1</v>
      </c>
      <c r="S90" t="s">
        <v>2567</v>
      </c>
      <c r="T90" t="s">
        <v>2271</v>
      </c>
      <c r="U90" s="7">
        <v>1</v>
      </c>
      <c r="V90" s="7">
        <v>1200</v>
      </c>
      <c r="W90" t="s">
        <v>35</v>
      </c>
      <c r="Y90" t="s">
        <v>2269</v>
      </c>
      <c r="Z90" s="7">
        <v>1752236</v>
      </c>
      <c r="AA90" t="s">
        <v>3269</v>
      </c>
      <c r="AB90" s="7">
        <v>1416</v>
      </c>
      <c r="AC90" s="7">
        <v>0</v>
      </c>
      <c r="AF90" s="7">
        <v>1416</v>
      </c>
      <c r="AI90" t="s">
        <v>2626</v>
      </c>
    </row>
    <row r="91" spans="1:35" hidden="1">
      <c r="A91" s="7">
        <v>1010504</v>
      </c>
      <c r="B91" t="s">
        <v>2621</v>
      </c>
      <c r="C91" t="s">
        <v>2336</v>
      </c>
      <c r="D91" s="7">
        <v>7134260114372</v>
      </c>
      <c r="E91" t="s">
        <v>2622</v>
      </c>
      <c r="F91" t="s">
        <v>22</v>
      </c>
      <c r="G91" t="s">
        <v>2493</v>
      </c>
      <c r="H91" t="s">
        <v>2565</v>
      </c>
      <c r="I91" t="s">
        <v>2623</v>
      </c>
      <c r="J91" t="s">
        <v>2624</v>
      </c>
      <c r="K91" t="s">
        <v>261</v>
      </c>
      <c r="L91" t="s">
        <v>2625</v>
      </c>
      <c r="N91" t="s">
        <v>2319</v>
      </c>
      <c r="O91" s="7">
        <v>1779</v>
      </c>
      <c r="R91" s="7">
        <v>2</v>
      </c>
      <c r="S91" t="s">
        <v>2627</v>
      </c>
      <c r="T91" t="s">
        <v>2271</v>
      </c>
      <c r="U91" s="7">
        <v>1</v>
      </c>
      <c r="V91" s="7">
        <v>1500</v>
      </c>
      <c r="W91" t="s">
        <v>35</v>
      </c>
      <c r="Y91" t="s">
        <v>2269</v>
      </c>
      <c r="Z91" s="7">
        <v>1752236</v>
      </c>
      <c r="AA91" t="s">
        <v>3269</v>
      </c>
      <c r="AB91" s="7">
        <v>1770</v>
      </c>
      <c r="AC91" s="7">
        <v>0</v>
      </c>
      <c r="AF91" s="7">
        <v>1770</v>
      </c>
      <c r="AI91" t="s">
        <v>2626</v>
      </c>
    </row>
    <row r="92" spans="1:35" hidden="1">
      <c r="A92" s="7">
        <v>1010506</v>
      </c>
      <c r="B92" t="s">
        <v>2628</v>
      </c>
      <c r="C92" t="s">
        <v>2423</v>
      </c>
      <c r="D92" s="7">
        <v>7134260115233</v>
      </c>
      <c r="E92" t="s">
        <v>2629</v>
      </c>
      <c r="F92" t="s">
        <v>149</v>
      </c>
      <c r="G92" t="s">
        <v>2493</v>
      </c>
      <c r="H92" t="s">
        <v>2342</v>
      </c>
      <c r="I92" t="s">
        <v>2630</v>
      </c>
      <c r="J92" t="s">
        <v>2631</v>
      </c>
      <c r="K92" t="s">
        <v>261</v>
      </c>
      <c r="L92" t="s">
        <v>2632</v>
      </c>
      <c r="M92" s="7">
        <v>1165</v>
      </c>
      <c r="N92" t="s">
        <v>2428</v>
      </c>
      <c r="O92" s="7">
        <v>17120</v>
      </c>
      <c r="R92" s="7">
        <v>1</v>
      </c>
      <c r="S92" t="s">
        <v>2347</v>
      </c>
      <c r="T92" t="s">
        <v>2271</v>
      </c>
      <c r="U92" s="7">
        <v>1</v>
      </c>
      <c r="V92">
        <v>52.5</v>
      </c>
      <c r="W92" t="s">
        <v>35</v>
      </c>
      <c r="Y92" t="s">
        <v>2269</v>
      </c>
      <c r="Z92" s="7">
        <v>1752326</v>
      </c>
      <c r="AA92" t="s">
        <v>3269</v>
      </c>
      <c r="AB92" s="8">
        <v>61.95</v>
      </c>
      <c r="AC92" s="7">
        <v>0</v>
      </c>
      <c r="AF92" s="8">
        <v>61.95</v>
      </c>
    </row>
    <row r="93" spans="1:35" hidden="1">
      <c r="A93" s="7">
        <v>1010508</v>
      </c>
      <c r="B93" t="s">
        <v>2633</v>
      </c>
      <c r="C93" t="s">
        <v>2336</v>
      </c>
      <c r="D93" s="7">
        <v>7134260114816</v>
      </c>
      <c r="E93" t="s">
        <v>2634</v>
      </c>
      <c r="F93" t="s">
        <v>76</v>
      </c>
      <c r="G93" t="s">
        <v>2493</v>
      </c>
      <c r="H93" t="s">
        <v>2342</v>
      </c>
      <c r="I93" t="s">
        <v>2635</v>
      </c>
      <c r="J93" t="s">
        <v>2636</v>
      </c>
      <c r="K93" t="s">
        <v>261</v>
      </c>
      <c r="L93" t="s">
        <v>2637</v>
      </c>
      <c r="M93" s="7">
        <v>1165</v>
      </c>
      <c r="N93" t="s">
        <v>2381</v>
      </c>
      <c r="O93" s="7">
        <v>16600</v>
      </c>
      <c r="R93" s="7">
        <v>1</v>
      </c>
      <c r="S93" t="s">
        <v>2347</v>
      </c>
      <c r="T93" t="s">
        <v>2271</v>
      </c>
      <c r="U93" s="7">
        <v>1</v>
      </c>
      <c r="V93">
        <v>52.5</v>
      </c>
      <c r="W93" t="s">
        <v>35</v>
      </c>
      <c r="Y93" t="s">
        <v>2269</v>
      </c>
      <c r="Z93" s="7">
        <v>1752253</v>
      </c>
      <c r="AA93" t="s">
        <v>3269</v>
      </c>
      <c r="AB93" s="8">
        <v>61.95</v>
      </c>
      <c r="AC93" s="7">
        <v>0</v>
      </c>
      <c r="AF93" s="8">
        <v>61.95</v>
      </c>
    </row>
    <row r="94" spans="1:35" hidden="1">
      <c r="A94" s="7">
        <v>1010512</v>
      </c>
      <c r="B94" t="s">
        <v>2638</v>
      </c>
      <c r="C94" t="s">
        <v>2336</v>
      </c>
      <c r="D94" s="7">
        <v>7134260114818</v>
      </c>
      <c r="E94" t="s">
        <v>2639</v>
      </c>
      <c r="F94" t="s">
        <v>78</v>
      </c>
      <c r="G94" t="s">
        <v>2493</v>
      </c>
      <c r="H94" t="s">
        <v>2342</v>
      </c>
      <c r="I94" t="s">
        <v>2640</v>
      </c>
      <c r="J94" t="s">
        <v>2641</v>
      </c>
      <c r="K94" t="s">
        <v>261</v>
      </c>
      <c r="L94" t="s">
        <v>2642</v>
      </c>
      <c r="M94" s="7">
        <v>1165</v>
      </c>
      <c r="N94" t="s">
        <v>2381</v>
      </c>
      <c r="O94" s="7">
        <v>10500</v>
      </c>
      <c r="R94" s="7">
        <v>1</v>
      </c>
      <c r="S94" t="s">
        <v>2347</v>
      </c>
      <c r="T94" t="s">
        <v>2271</v>
      </c>
      <c r="U94" s="7">
        <v>1</v>
      </c>
      <c r="V94">
        <v>52.5</v>
      </c>
      <c r="W94" t="s">
        <v>35</v>
      </c>
      <c r="Y94" t="s">
        <v>2269</v>
      </c>
      <c r="Z94" s="7">
        <v>1752255</v>
      </c>
      <c r="AA94" t="s">
        <v>3269</v>
      </c>
      <c r="AB94" s="8">
        <v>61.95</v>
      </c>
      <c r="AC94" s="7">
        <v>0</v>
      </c>
      <c r="AF94" s="8">
        <v>61.95</v>
      </c>
    </row>
    <row r="95" spans="1:35" hidden="1">
      <c r="A95" s="7">
        <v>1010514</v>
      </c>
      <c r="B95" t="s">
        <v>2643</v>
      </c>
      <c r="C95" t="s">
        <v>2336</v>
      </c>
      <c r="D95" s="7">
        <v>7134260114954</v>
      </c>
      <c r="E95" t="s">
        <v>2644</v>
      </c>
      <c r="F95" t="s">
        <v>111</v>
      </c>
      <c r="G95" t="s">
        <v>2493</v>
      </c>
      <c r="H95" t="s">
        <v>2342</v>
      </c>
      <c r="I95" t="s">
        <v>2645</v>
      </c>
      <c r="J95" t="s">
        <v>2646</v>
      </c>
      <c r="K95" t="s">
        <v>261</v>
      </c>
      <c r="L95" t="s">
        <v>2647</v>
      </c>
      <c r="M95" s="7">
        <v>1165</v>
      </c>
      <c r="N95" t="s">
        <v>2346</v>
      </c>
      <c r="O95" s="7">
        <v>137020</v>
      </c>
      <c r="R95" s="7">
        <v>1</v>
      </c>
      <c r="S95" t="s">
        <v>2347</v>
      </c>
      <c r="T95" t="s">
        <v>2271</v>
      </c>
      <c r="U95" s="7">
        <v>1</v>
      </c>
      <c r="V95">
        <v>52.5</v>
      </c>
      <c r="W95" t="s">
        <v>35</v>
      </c>
      <c r="Y95" t="s">
        <v>2269</v>
      </c>
      <c r="Z95" s="7">
        <v>1752288</v>
      </c>
      <c r="AA95" t="s">
        <v>3269</v>
      </c>
      <c r="AB95" s="8">
        <v>61.95</v>
      </c>
      <c r="AC95" s="7">
        <v>0</v>
      </c>
      <c r="AF95" s="8">
        <v>61.95</v>
      </c>
    </row>
    <row r="96" spans="1:35" hidden="1">
      <c r="A96" s="7">
        <v>1010515</v>
      </c>
      <c r="B96" t="s">
        <v>2648</v>
      </c>
      <c r="C96" t="s">
        <v>2336</v>
      </c>
      <c r="D96" s="7">
        <v>7134260114819</v>
      </c>
      <c r="E96" t="s">
        <v>2649</v>
      </c>
      <c r="F96" t="s">
        <v>79</v>
      </c>
      <c r="G96" t="s">
        <v>2493</v>
      </c>
      <c r="H96" t="s">
        <v>2342</v>
      </c>
      <c r="I96" t="s">
        <v>2650</v>
      </c>
      <c r="J96" t="s">
        <v>2651</v>
      </c>
      <c r="K96" t="s">
        <v>261</v>
      </c>
      <c r="L96" t="s">
        <v>2600</v>
      </c>
      <c r="M96" s="7">
        <v>1165</v>
      </c>
      <c r="N96" t="s">
        <v>2381</v>
      </c>
      <c r="O96" s="7">
        <v>90800</v>
      </c>
      <c r="R96" s="7">
        <v>1</v>
      </c>
      <c r="S96" t="s">
        <v>2347</v>
      </c>
      <c r="T96" t="s">
        <v>2271</v>
      </c>
      <c r="U96" s="7">
        <v>1</v>
      </c>
      <c r="V96">
        <v>52.5</v>
      </c>
      <c r="W96" t="s">
        <v>35</v>
      </c>
      <c r="Y96" t="s">
        <v>2269</v>
      </c>
      <c r="Z96" s="7">
        <v>1752256</v>
      </c>
      <c r="AA96" t="s">
        <v>3269</v>
      </c>
      <c r="AB96" s="8">
        <v>61.95</v>
      </c>
      <c r="AC96" s="7">
        <v>0</v>
      </c>
      <c r="AF96" s="8">
        <v>61.95</v>
      </c>
    </row>
    <row r="97" spans="1:32" hidden="1">
      <c r="A97" s="7">
        <v>1010518</v>
      </c>
      <c r="B97" t="s">
        <v>2652</v>
      </c>
      <c r="C97" t="s">
        <v>2336</v>
      </c>
      <c r="D97" s="7">
        <v>7134260114576</v>
      </c>
      <c r="E97" t="s">
        <v>2653</v>
      </c>
      <c r="F97" t="s">
        <v>69</v>
      </c>
      <c r="G97" t="s">
        <v>2493</v>
      </c>
      <c r="H97" t="s">
        <v>2308</v>
      </c>
      <c r="I97" t="s">
        <v>2654</v>
      </c>
      <c r="J97" t="s">
        <v>2655</v>
      </c>
      <c r="K97" t="s">
        <v>261</v>
      </c>
      <c r="L97" t="s">
        <v>2656</v>
      </c>
      <c r="M97" s="7">
        <v>1165</v>
      </c>
      <c r="N97" t="s">
        <v>2359</v>
      </c>
      <c r="O97" s="7">
        <v>84111</v>
      </c>
      <c r="R97" s="7">
        <v>1</v>
      </c>
      <c r="S97" t="s">
        <v>2347</v>
      </c>
      <c r="T97" t="s">
        <v>2271</v>
      </c>
      <c r="U97" s="7">
        <v>1</v>
      </c>
      <c r="V97" s="7">
        <v>45</v>
      </c>
      <c r="W97" t="s">
        <v>35</v>
      </c>
      <c r="Y97" t="s">
        <v>2269</v>
      </c>
      <c r="Z97" s="7">
        <v>1752246</v>
      </c>
      <c r="AA97" t="s">
        <v>3269</v>
      </c>
      <c r="AB97" s="8">
        <v>53.1</v>
      </c>
      <c r="AC97" s="7">
        <v>0</v>
      </c>
      <c r="AF97" s="8">
        <v>53.1</v>
      </c>
    </row>
    <row r="98" spans="1:32" hidden="1">
      <c r="A98" s="7">
        <v>1010521</v>
      </c>
      <c r="B98" t="s">
        <v>2657</v>
      </c>
      <c r="C98" t="s">
        <v>2336</v>
      </c>
      <c r="D98" s="7">
        <v>7134260114815</v>
      </c>
      <c r="E98" t="s">
        <v>2658</v>
      </c>
      <c r="F98" t="s">
        <v>75</v>
      </c>
      <c r="G98" t="s">
        <v>2493</v>
      </c>
      <c r="H98" t="s">
        <v>2342</v>
      </c>
      <c r="I98" t="s">
        <v>2659</v>
      </c>
      <c r="J98" t="s">
        <v>2660</v>
      </c>
      <c r="K98" t="s">
        <v>261</v>
      </c>
      <c r="L98" t="s">
        <v>2661</v>
      </c>
      <c r="M98" s="7">
        <v>1165</v>
      </c>
      <c r="N98" t="s">
        <v>2381</v>
      </c>
      <c r="O98" s="7">
        <v>161110</v>
      </c>
      <c r="R98" s="7">
        <v>1</v>
      </c>
      <c r="S98" t="s">
        <v>2347</v>
      </c>
      <c r="T98" t="s">
        <v>2271</v>
      </c>
      <c r="U98" s="7">
        <v>1</v>
      </c>
      <c r="V98">
        <v>52.5</v>
      </c>
      <c r="W98" t="s">
        <v>35</v>
      </c>
      <c r="Y98" t="s">
        <v>2269</v>
      </c>
      <c r="Z98" s="7">
        <v>1752252</v>
      </c>
      <c r="AA98" t="s">
        <v>3269</v>
      </c>
      <c r="AB98" s="8">
        <v>61.95</v>
      </c>
      <c r="AC98" s="7">
        <v>0</v>
      </c>
      <c r="AF98" s="8">
        <v>61.95</v>
      </c>
    </row>
    <row r="99" spans="1:32" hidden="1">
      <c r="A99" s="7">
        <v>1010522</v>
      </c>
      <c r="B99" t="s">
        <v>2662</v>
      </c>
      <c r="C99" t="s">
        <v>2336</v>
      </c>
      <c r="D99" s="7">
        <v>7134260114916</v>
      </c>
      <c r="E99" t="s">
        <v>2663</v>
      </c>
      <c r="F99" t="s">
        <v>86</v>
      </c>
      <c r="G99" t="s">
        <v>2493</v>
      </c>
      <c r="H99" t="s">
        <v>2342</v>
      </c>
      <c r="I99" t="s">
        <v>2664</v>
      </c>
      <c r="J99" t="s">
        <v>2665</v>
      </c>
      <c r="K99" t="s">
        <v>261</v>
      </c>
      <c r="L99" t="s">
        <v>2666</v>
      </c>
      <c r="M99" s="7">
        <v>1165</v>
      </c>
      <c r="N99" t="s">
        <v>2370</v>
      </c>
      <c r="O99" s="7">
        <v>27300</v>
      </c>
      <c r="R99" s="7">
        <v>1</v>
      </c>
      <c r="S99" t="s">
        <v>2347</v>
      </c>
      <c r="T99" t="s">
        <v>2271</v>
      </c>
      <c r="U99" s="7">
        <v>1</v>
      </c>
      <c r="V99">
        <v>52.5</v>
      </c>
      <c r="W99" t="s">
        <v>35</v>
      </c>
      <c r="Y99" t="s">
        <v>2269</v>
      </c>
      <c r="Z99" s="7">
        <v>1752263</v>
      </c>
      <c r="AA99" t="s">
        <v>3269</v>
      </c>
      <c r="AB99" s="8">
        <v>61.95</v>
      </c>
      <c r="AC99" s="7">
        <v>0</v>
      </c>
      <c r="AF99" s="8">
        <v>61.95</v>
      </c>
    </row>
    <row r="100" spans="1:32" hidden="1">
      <c r="A100" s="7">
        <v>1010523</v>
      </c>
      <c r="B100" t="s">
        <v>2667</v>
      </c>
      <c r="C100" t="s">
        <v>2336</v>
      </c>
      <c r="D100" s="7">
        <v>7134260114579</v>
      </c>
      <c r="E100" t="s">
        <v>2668</v>
      </c>
      <c r="F100" t="s">
        <v>72</v>
      </c>
      <c r="G100" t="s">
        <v>2493</v>
      </c>
      <c r="H100" t="s">
        <v>2342</v>
      </c>
      <c r="I100" t="s">
        <v>2669</v>
      </c>
      <c r="J100" t="s">
        <v>2670</v>
      </c>
      <c r="K100" t="s">
        <v>261</v>
      </c>
      <c r="L100" t="s">
        <v>2671</v>
      </c>
      <c r="M100" s="7">
        <v>1165</v>
      </c>
      <c r="N100" t="s">
        <v>2359</v>
      </c>
      <c r="O100" s="7">
        <v>3114</v>
      </c>
      <c r="R100" s="7">
        <v>1</v>
      </c>
      <c r="S100" t="s">
        <v>2347</v>
      </c>
      <c r="T100" t="s">
        <v>2271</v>
      </c>
      <c r="U100" s="7">
        <v>1</v>
      </c>
      <c r="V100" s="7">
        <v>45</v>
      </c>
      <c r="W100" t="s">
        <v>35</v>
      </c>
      <c r="Y100" t="s">
        <v>2269</v>
      </c>
      <c r="Z100" s="7">
        <v>1752249</v>
      </c>
      <c r="AA100" t="s">
        <v>3269</v>
      </c>
      <c r="AB100" s="8">
        <v>53.1</v>
      </c>
      <c r="AC100" s="7">
        <v>0</v>
      </c>
      <c r="AF100" s="8">
        <v>53.1</v>
      </c>
    </row>
    <row r="101" spans="1:32" hidden="1">
      <c r="A101" s="7">
        <v>1010525</v>
      </c>
      <c r="B101" t="s">
        <v>2672</v>
      </c>
      <c r="C101" t="s">
        <v>2336</v>
      </c>
      <c r="D101" s="7">
        <v>7134260114951</v>
      </c>
      <c r="E101" t="s">
        <v>2673</v>
      </c>
      <c r="F101" t="s">
        <v>108</v>
      </c>
      <c r="G101" t="s">
        <v>2493</v>
      </c>
      <c r="H101" t="s">
        <v>2342</v>
      </c>
      <c r="I101" t="s">
        <v>2674</v>
      </c>
      <c r="J101" t="s">
        <v>2675</v>
      </c>
      <c r="K101" t="s">
        <v>261</v>
      </c>
      <c r="L101" t="s">
        <v>2584</v>
      </c>
      <c r="M101" s="7">
        <v>1165</v>
      </c>
      <c r="N101" t="s">
        <v>2346</v>
      </c>
      <c r="O101" s="7">
        <v>11102</v>
      </c>
      <c r="R101" s="7">
        <v>1</v>
      </c>
      <c r="S101" t="s">
        <v>2347</v>
      </c>
      <c r="T101" t="s">
        <v>2271</v>
      </c>
      <c r="U101" s="7">
        <v>1</v>
      </c>
      <c r="V101">
        <v>52.5</v>
      </c>
      <c r="W101" t="s">
        <v>35</v>
      </c>
      <c r="Y101" t="s">
        <v>2269</v>
      </c>
      <c r="Z101" s="7">
        <v>1752285</v>
      </c>
      <c r="AA101" t="s">
        <v>3269</v>
      </c>
      <c r="AB101" s="8">
        <v>61.95</v>
      </c>
      <c r="AC101" s="7">
        <v>0</v>
      </c>
      <c r="AF101" s="8">
        <v>61.95</v>
      </c>
    </row>
    <row r="102" spans="1:32" hidden="1">
      <c r="A102" s="7">
        <v>1010526</v>
      </c>
      <c r="B102" t="s">
        <v>2676</v>
      </c>
      <c r="C102" t="s">
        <v>2423</v>
      </c>
      <c r="D102" s="7">
        <v>7134260115227</v>
      </c>
      <c r="E102" t="s">
        <v>2677</v>
      </c>
      <c r="F102" t="s">
        <v>143</v>
      </c>
      <c r="G102" t="s">
        <v>2493</v>
      </c>
      <c r="H102" t="s">
        <v>2342</v>
      </c>
      <c r="I102" t="s">
        <v>2678</v>
      </c>
      <c r="J102" t="s">
        <v>2679</v>
      </c>
      <c r="K102" t="s">
        <v>261</v>
      </c>
      <c r="L102" t="s">
        <v>2680</v>
      </c>
      <c r="M102" s="7">
        <v>1165</v>
      </c>
      <c r="N102" t="s">
        <v>2428</v>
      </c>
      <c r="O102" s="7">
        <v>13200</v>
      </c>
      <c r="R102" s="7">
        <v>1</v>
      </c>
      <c r="S102" t="s">
        <v>2347</v>
      </c>
      <c r="T102" t="s">
        <v>2271</v>
      </c>
      <c r="U102" s="7">
        <v>1</v>
      </c>
      <c r="V102">
        <v>52.5</v>
      </c>
      <c r="W102" t="s">
        <v>35</v>
      </c>
      <c r="Y102" t="s">
        <v>2269</v>
      </c>
      <c r="Z102" s="7">
        <v>1752320</v>
      </c>
      <c r="AA102" t="s">
        <v>3269</v>
      </c>
      <c r="AB102" s="8">
        <v>61.95</v>
      </c>
      <c r="AC102" s="7">
        <v>0</v>
      </c>
      <c r="AF102" s="8">
        <v>61.95</v>
      </c>
    </row>
    <row r="103" spans="1:32" hidden="1">
      <c r="A103" s="7">
        <v>1010527</v>
      </c>
      <c r="B103" t="s">
        <v>2681</v>
      </c>
      <c r="C103" t="s">
        <v>2336</v>
      </c>
      <c r="D103" s="7">
        <v>7134260114567</v>
      </c>
      <c r="E103" t="s">
        <v>2682</v>
      </c>
      <c r="F103" t="s">
        <v>60</v>
      </c>
      <c r="G103" t="s">
        <v>2493</v>
      </c>
      <c r="H103" t="s">
        <v>2308</v>
      </c>
      <c r="I103" t="s">
        <v>2683</v>
      </c>
      <c r="J103" t="s">
        <v>2684</v>
      </c>
      <c r="K103" t="s">
        <v>261</v>
      </c>
      <c r="L103" t="s">
        <v>2685</v>
      </c>
      <c r="M103" s="7">
        <v>1165</v>
      </c>
      <c r="N103" t="s">
        <v>2359</v>
      </c>
      <c r="O103" s="7">
        <v>70100</v>
      </c>
      <c r="R103" s="7">
        <v>1</v>
      </c>
      <c r="S103" t="s">
        <v>2347</v>
      </c>
      <c r="T103" t="s">
        <v>2271</v>
      </c>
      <c r="U103" s="7">
        <v>1</v>
      </c>
      <c r="V103" s="7">
        <v>45</v>
      </c>
      <c r="W103" t="s">
        <v>35</v>
      </c>
      <c r="Y103" t="s">
        <v>2269</v>
      </c>
      <c r="Z103" s="7">
        <v>1752237</v>
      </c>
      <c r="AA103" t="s">
        <v>3269</v>
      </c>
      <c r="AB103" s="8">
        <v>53.1</v>
      </c>
      <c r="AC103" s="7">
        <v>0</v>
      </c>
      <c r="AF103" s="8">
        <v>53.1</v>
      </c>
    </row>
    <row r="104" spans="1:32" hidden="1">
      <c r="A104" s="7">
        <v>1010528</v>
      </c>
      <c r="B104" t="s">
        <v>2686</v>
      </c>
      <c r="C104" t="s">
        <v>2336</v>
      </c>
      <c r="D104" s="7">
        <v>7134260114974</v>
      </c>
      <c r="E104" t="s">
        <v>2687</v>
      </c>
      <c r="F104" t="s">
        <v>126</v>
      </c>
      <c r="G104" t="s">
        <v>2493</v>
      </c>
      <c r="H104" t="s">
        <v>2342</v>
      </c>
      <c r="I104" t="s">
        <v>1119</v>
      </c>
      <c r="J104" t="s">
        <v>1120</v>
      </c>
      <c r="K104" t="s">
        <v>261</v>
      </c>
      <c r="L104" t="s">
        <v>2688</v>
      </c>
      <c r="M104" s="7">
        <v>1165</v>
      </c>
      <c r="N104" t="s">
        <v>2390</v>
      </c>
      <c r="O104" s="7">
        <v>41200</v>
      </c>
      <c r="R104" s="7">
        <v>1</v>
      </c>
      <c r="S104" t="s">
        <v>2347</v>
      </c>
      <c r="T104" t="s">
        <v>2271</v>
      </c>
      <c r="U104" s="7">
        <v>1</v>
      </c>
      <c r="V104">
        <v>52.5</v>
      </c>
      <c r="W104" t="s">
        <v>35</v>
      </c>
      <c r="Y104" t="s">
        <v>2269</v>
      </c>
      <c r="Z104" s="7">
        <v>1752303</v>
      </c>
      <c r="AA104" t="s">
        <v>3269</v>
      </c>
      <c r="AB104" s="8">
        <v>61.95</v>
      </c>
      <c r="AC104" s="7">
        <v>0</v>
      </c>
      <c r="AF104" s="8">
        <v>61.95</v>
      </c>
    </row>
    <row r="105" spans="1:32" hidden="1">
      <c r="A105" s="7">
        <v>1010532</v>
      </c>
      <c r="B105" t="s">
        <v>2689</v>
      </c>
      <c r="C105" t="s">
        <v>2336</v>
      </c>
      <c r="D105" s="7">
        <v>7134260114975</v>
      </c>
      <c r="E105" t="s">
        <v>2690</v>
      </c>
      <c r="F105" t="s">
        <v>127</v>
      </c>
      <c r="G105" t="s">
        <v>2493</v>
      </c>
      <c r="H105" t="s">
        <v>2342</v>
      </c>
      <c r="I105" t="s">
        <v>2691</v>
      </c>
      <c r="J105" t="s">
        <v>2692</v>
      </c>
      <c r="K105" t="s">
        <v>261</v>
      </c>
      <c r="L105" t="s">
        <v>2693</v>
      </c>
      <c r="M105" s="7">
        <v>1165</v>
      </c>
      <c r="N105" t="s">
        <v>2390</v>
      </c>
      <c r="O105" s="7">
        <v>198523</v>
      </c>
      <c r="R105" s="7">
        <v>1</v>
      </c>
      <c r="S105" t="s">
        <v>2347</v>
      </c>
      <c r="T105" t="s">
        <v>2271</v>
      </c>
      <c r="U105" s="7">
        <v>1</v>
      </c>
      <c r="V105">
        <v>52.5</v>
      </c>
      <c r="W105" t="s">
        <v>35</v>
      </c>
      <c r="Y105" t="s">
        <v>2269</v>
      </c>
      <c r="Z105" s="7">
        <v>1752304</v>
      </c>
      <c r="AA105" t="s">
        <v>3269</v>
      </c>
      <c r="AB105" s="8">
        <v>61.95</v>
      </c>
      <c r="AC105" s="7">
        <v>0</v>
      </c>
      <c r="AF105" s="8">
        <v>61.95</v>
      </c>
    </row>
    <row r="106" spans="1:32" hidden="1">
      <c r="A106" s="7">
        <v>1011281</v>
      </c>
      <c r="B106" t="s">
        <v>2694</v>
      </c>
      <c r="C106" t="s">
        <v>2342</v>
      </c>
      <c r="D106" s="7">
        <v>7134260116171</v>
      </c>
      <c r="E106" t="s">
        <v>2695</v>
      </c>
      <c r="F106" t="s">
        <v>28</v>
      </c>
      <c r="G106" t="s">
        <v>2696</v>
      </c>
      <c r="H106" t="s">
        <v>3270</v>
      </c>
      <c r="I106" t="s">
        <v>1969</v>
      </c>
      <c r="J106" t="s">
        <v>1970</v>
      </c>
      <c r="K106" t="s">
        <v>261</v>
      </c>
      <c r="L106" t="s">
        <v>2625</v>
      </c>
      <c r="N106" t="s">
        <v>2697</v>
      </c>
      <c r="O106" s="7">
        <v>31101</v>
      </c>
      <c r="R106" s="7">
        <v>1</v>
      </c>
      <c r="S106" t="s">
        <v>2698</v>
      </c>
      <c r="T106" t="s">
        <v>2699</v>
      </c>
      <c r="U106" s="7">
        <v>8</v>
      </c>
      <c r="V106" s="7">
        <v>3216</v>
      </c>
      <c r="W106" t="s">
        <v>2300</v>
      </c>
      <c r="X106" s="7">
        <v>29</v>
      </c>
      <c r="Y106" t="s">
        <v>2700</v>
      </c>
      <c r="Z106" s="7">
        <v>1754009</v>
      </c>
      <c r="AA106" t="s">
        <v>3910</v>
      </c>
      <c r="AB106" s="8">
        <v>3794.88</v>
      </c>
      <c r="AC106" s="8">
        <v>3794.88</v>
      </c>
      <c r="AD106" s="7">
        <v>1517834</v>
      </c>
      <c r="AE106" t="s">
        <v>3910</v>
      </c>
      <c r="AF106" s="7">
        <v>0</v>
      </c>
    </row>
    <row r="107" spans="1:32" hidden="1">
      <c r="A107" s="7">
        <v>1011281</v>
      </c>
      <c r="B107" t="s">
        <v>2694</v>
      </c>
      <c r="C107" t="s">
        <v>2342</v>
      </c>
      <c r="D107" s="7">
        <v>7134260116171</v>
      </c>
      <c r="E107" t="s">
        <v>2695</v>
      </c>
      <c r="F107" t="s">
        <v>28</v>
      </c>
      <c r="G107" t="s">
        <v>2696</v>
      </c>
      <c r="H107" t="s">
        <v>3270</v>
      </c>
      <c r="I107" t="s">
        <v>1969</v>
      </c>
      <c r="J107" t="s">
        <v>1970</v>
      </c>
      <c r="K107" t="s">
        <v>261</v>
      </c>
      <c r="L107" t="s">
        <v>2625</v>
      </c>
      <c r="N107" t="s">
        <v>2697</v>
      </c>
      <c r="O107" s="7">
        <v>31101</v>
      </c>
      <c r="R107" s="7">
        <v>2</v>
      </c>
      <c r="S107" t="s">
        <v>2702</v>
      </c>
      <c r="T107" t="s">
        <v>2703</v>
      </c>
      <c r="U107" s="7">
        <v>1</v>
      </c>
      <c r="V107" s="8">
        <v>8496.56</v>
      </c>
      <c r="W107" t="s">
        <v>35</v>
      </c>
      <c r="Y107" t="s">
        <v>2269</v>
      </c>
      <c r="Z107" s="7">
        <v>1754009</v>
      </c>
      <c r="AA107" t="s">
        <v>3910</v>
      </c>
      <c r="AB107" s="8">
        <v>10875.6</v>
      </c>
      <c r="AC107" s="7">
        <v>0</v>
      </c>
      <c r="AF107" s="8">
        <v>10875.6</v>
      </c>
    </row>
    <row r="108" spans="1:32" hidden="1">
      <c r="A108" s="7">
        <v>1011281</v>
      </c>
      <c r="B108" t="s">
        <v>2694</v>
      </c>
      <c r="C108" t="s">
        <v>2342</v>
      </c>
      <c r="D108" s="7">
        <v>7134260116171</v>
      </c>
      <c r="E108" t="s">
        <v>2695</v>
      </c>
      <c r="F108" t="s">
        <v>28</v>
      </c>
      <c r="G108" t="s">
        <v>2696</v>
      </c>
      <c r="H108" t="s">
        <v>3270</v>
      </c>
      <c r="I108" t="s">
        <v>1969</v>
      </c>
      <c r="J108" t="s">
        <v>1970</v>
      </c>
      <c r="K108" t="s">
        <v>261</v>
      </c>
      <c r="L108" t="s">
        <v>2625</v>
      </c>
      <c r="N108" t="s">
        <v>2697</v>
      </c>
      <c r="O108" s="7">
        <v>31101</v>
      </c>
      <c r="R108" s="7">
        <v>3</v>
      </c>
      <c r="S108" t="s">
        <v>2270</v>
      </c>
      <c r="T108" t="s">
        <v>2271</v>
      </c>
      <c r="U108" s="7">
        <v>1</v>
      </c>
      <c r="V108" s="7">
        <v>245</v>
      </c>
      <c r="W108" t="s">
        <v>35</v>
      </c>
      <c r="Y108" t="s">
        <v>2269</v>
      </c>
      <c r="Z108" s="7">
        <v>1754009</v>
      </c>
      <c r="AA108" t="s">
        <v>3910</v>
      </c>
      <c r="AB108" s="8">
        <v>289.10000000000002</v>
      </c>
      <c r="AC108" s="7">
        <v>0</v>
      </c>
      <c r="AF108" s="8">
        <v>289.10000000000002</v>
      </c>
    </row>
    <row r="109" spans="1:32" hidden="1">
      <c r="A109" s="7">
        <v>1011359</v>
      </c>
      <c r="B109" t="s">
        <v>2704</v>
      </c>
      <c r="C109" t="s">
        <v>2342</v>
      </c>
      <c r="D109" s="7">
        <v>7134260116203</v>
      </c>
      <c r="E109" t="s">
        <v>2705</v>
      </c>
      <c r="F109" t="s">
        <v>30</v>
      </c>
      <c r="G109" t="s">
        <v>2706</v>
      </c>
      <c r="H109" t="s">
        <v>3270</v>
      </c>
      <c r="I109" t="s">
        <v>1086</v>
      </c>
      <c r="J109" t="s">
        <v>1087</v>
      </c>
      <c r="K109" t="s">
        <v>252</v>
      </c>
      <c r="L109" t="s">
        <v>2325</v>
      </c>
      <c r="M109" s="7">
        <v>1165</v>
      </c>
      <c r="N109" t="s">
        <v>2697</v>
      </c>
      <c r="O109" s="7">
        <v>49246</v>
      </c>
      <c r="R109" s="7">
        <v>1</v>
      </c>
      <c r="S109" t="s">
        <v>2707</v>
      </c>
      <c r="T109" t="s">
        <v>2708</v>
      </c>
      <c r="U109" s="7">
        <v>1</v>
      </c>
      <c r="V109" s="8">
        <v>6622.76</v>
      </c>
      <c r="W109" t="s">
        <v>35</v>
      </c>
      <c r="Y109" t="s">
        <v>2269</v>
      </c>
      <c r="Z109" s="7">
        <v>1754011</v>
      </c>
      <c r="AA109" t="s">
        <v>3910</v>
      </c>
      <c r="AB109" s="8">
        <v>8477.1299999999992</v>
      </c>
      <c r="AC109" s="7">
        <v>0</v>
      </c>
      <c r="AF109" s="8">
        <v>8477.1299999999992</v>
      </c>
    </row>
    <row r="110" spans="1:32" hidden="1">
      <c r="A110" s="7">
        <v>1011359</v>
      </c>
      <c r="B110" t="s">
        <v>2704</v>
      </c>
      <c r="C110" t="s">
        <v>2342</v>
      </c>
      <c r="D110" s="7">
        <v>7134260116203</v>
      </c>
      <c r="E110" t="s">
        <v>2705</v>
      </c>
      <c r="F110" t="s">
        <v>30</v>
      </c>
      <c r="G110" t="s">
        <v>2706</v>
      </c>
      <c r="H110" t="s">
        <v>3270</v>
      </c>
      <c r="I110" t="s">
        <v>1086</v>
      </c>
      <c r="J110" t="s">
        <v>1087</v>
      </c>
      <c r="K110" t="s">
        <v>252</v>
      </c>
      <c r="L110" t="s">
        <v>2325</v>
      </c>
      <c r="M110" s="7">
        <v>1165</v>
      </c>
      <c r="N110" t="s">
        <v>2697</v>
      </c>
      <c r="O110" s="7">
        <v>49246</v>
      </c>
      <c r="R110" s="7">
        <v>2</v>
      </c>
      <c r="S110" t="s">
        <v>2709</v>
      </c>
      <c r="T110" t="s">
        <v>2271</v>
      </c>
      <c r="U110" s="7">
        <v>1</v>
      </c>
      <c r="V110">
        <v>52.5</v>
      </c>
      <c r="W110" t="s">
        <v>35</v>
      </c>
      <c r="Y110" t="s">
        <v>2269</v>
      </c>
      <c r="Z110" s="7">
        <v>1754011</v>
      </c>
      <c r="AA110" t="s">
        <v>3910</v>
      </c>
      <c r="AB110" s="8">
        <v>61.95</v>
      </c>
      <c r="AC110" s="7">
        <v>0</v>
      </c>
      <c r="AF110" s="8">
        <v>61.95</v>
      </c>
    </row>
    <row r="111" spans="1:32" hidden="1">
      <c r="A111" s="7">
        <v>1011754</v>
      </c>
      <c r="B111" t="s">
        <v>2869</v>
      </c>
      <c r="C111" t="s">
        <v>2870</v>
      </c>
      <c r="D111" s="7">
        <v>7134260117124</v>
      </c>
      <c r="E111" t="s">
        <v>2871</v>
      </c>
      <c r="F111" t="s">
        <v>155</v>
      </c>
      <c r="G111" t="s">
        <v>2872</v>
      </c>
      <c r="H111" t="s">
        <v>2873</v>
      </c>
      <c r="I111" t="s">
        <v>1227</v>
      </c>
      <c r="J111" t="s">
        <v>1228</v>
      </c>
      <c r="K111" t="s">
        <v>261</v>
      </c>
      <c r="L111" t="s">
        <v>2874</v>
      </c>
      <c r="M111" s="7">
        <v>1165</v>
      </c>
      <c r="N111" t="s">
        <v>2493</v>
      </c>
      <c r="O111" s="7">
        <v>14520</v>
      </c>
      <c r="R111" s="7">
        <v>1</v>
      </c>
      <c r="S111" t="s">
        <v>2347</v>
      </c>
      <c r="T111" t="s">
        <v>2271</v>
      </c>
      <c r="U111" s="7">
        <v>1</v>
      </c>
      <c r="V111">
        <v>52.5</v>
      </c>
      <c r="W111" t="s">
        <v>35</v>
      </c>
      <c r="Y111" t="s">
        <v>2269</v>
      </c>
      <c r="Z111" s="7">
        <v>1754015</v>
      </c>
      <c r="AA111" t="s">
        <v>3910</v>
      </c>
      <c r="AB111" s="8">
        <v>61.95</v>
      </c>
      <c r="AC111" s="7">
        <v>0</v>
      </c>
      <c r="AF111" s="8">
        <v>61.95</v>
      </c>
    </row>
    <row r="112" spans="1:32" hidden="1">
      <c r="A112" s="7">
        <v>1011757</v>
      </c>
      <c r="B112" t="s">
        <v>2875</v>
      </c>
      <c r="C112" t="s">
        <v>2870</v>
      </c>
      <c r="D112" s="7">
        <v>7134260117128</v>
      </c>
      <c r="E112" t="s">
        <v>2876</v>
      </c>
      <c r="F112" t="s">
        <v>159</v>
      </c>
      <c r="G112" t="s">
        <v>2872</v>
      </c>
      <c r="H112" t="s">
        <v>2873</v>
      </c>
      <c r="I112" t="s">
        <v>2877</v>
      </c>
      <c r="J112" t="s">
        <v>2878</v>
      </c>
      <c r="K112" t="s">
        <v>261</v>
      </c>
      <c r="L112" t="s">
        <v>2874</v>
      </c>
      <c r="M112" s="7">
        <v>1165</v>
      </c>
      <c r="N112" t="s">
        <v>2493</v>
      </c>
      <c r="O112" s="7">
        <v>49920</v>
      </c>
      <c r="R112" s="7">
        <v>1</v>
      </c>
      <c r="S112" t="s">
        <v>2347</v>
      </c>
      <c r="T112" t="s">
        <v>2271</v>
      </c>
      <c r="U112" s="7">
        <v>1</v>
      </c>
      <c r="V112">
        <v>52.5</v>
      </c>
      <c r="W112" t="s">
        <v>35</v>
      </c>
      <c r="Y112" t="s">
        <v>2269</v>
      </c>
      <c r="Z112" s="7">
        <v>1754019</v>
      </c>
      <c r="AA112" t="s">
        <v>3910</v>
      </c>
      <c r="AB112" s="8">
        <v>61.95</v>
      </c>
      <c r="AC112" s="7">
        <v>0</v>
      </c>
      <c r="AF112" s="8">
        <v>61.95</v>
      </c>
    </row>
    <row r="113" spans="1:32" hidden="1">
      <c r="A113" s="7">
        <v>1011758</v>
      </c>
      <c r="B113" t="s">
        <v>2879</v>
      </c>
      <c r="C113" t="s">
        <v>2870</v>
      </c>
      <c r="D113" s="7">
        <v>7134260117155</v>
      </c>
      <c r="E113" t="s">
        <v>2880</v>
      </c>
      <c r="F113" t="s">
        <v>180</v>
      </c>
      <c r="G113" t="s">
        <v>2872</v>
      </c>
      <c r="H113" t="s">
        <v>2873</v>
      </c>
      <c r="I113" t="s">
        <v>1119</v>
      </c>
      <c r="J113" t="s">
        <v>1120</v>
      </c>
      <c r="K113" t="s">
        <v>261</v>
      </c>
      <c r="L113" t="s">
        <v>2688</v>
      </c>
      <c r="M113" s="7">
        <v>1165</v>
      </c>
      <c r="N113" t="s">
        <v>2881</v>
      </c>
      <c r="O113" s="7">
        <v>41920</v>
      </c>
      <c r="R113" s="7">
        <v>1</v>
      </c>
      <c r="S113" t="s">
        <v>2347</v>
      </c>
      <c r="T113" t="s">
        <v>2271</v>
      </c>
      <c r="U113" s="7">
        <v>1</v>
      </c>
      <c r="V113">
        <v>52.5</v>
      </c>
      <c r="W113" t="s">
        <v>35</v>
      </c>
      <c r="Y113" t="s">
        <v>2269</v>
      </c>
      <c r="Z113" s="7">
        <v>1754040</v>
      </c>
      <c r="AA113" t="s">
        <v>3910</v>
      </c>
      <c r="AB113" s="8">
        <v>61.95</v>
      </c>
      <c r="AC113" s="7">
        <v>0</v>
      </c>
      <c r="AF113" s="8">
        <v>61.95</v>
      </c>
    </row>
    <row r="114" spans="1:32" hidden="1">
      <c r="A114" s="7">
        <v>1011770</v>
      </c>
      <c r="B114" t="s">
        <v>2882</v>
      </c>
      <c r="C114" t="s">
        <v>2870</v>
      </c>
      <c r="D114" s="7">
        <v>7134260117133</v>
      </c>
      <c r="E114" t="s">
        <v>2883</v>
      </c>
      <c r="F114" t="s">
        <v>164</v>
      </c>
      <c r="G114" t="s">
        <v>2884</v>
      </c>
      <c r="H114" t="s">
        <v>2873</v>
      </c>
      <c r="I114" t="s">
        <v>2885</v>
      </c>
      <c r="J114" t="s">
        <v>2886</v>
      </c>
      <c r="K114" t="s">
        <v>261</v>
      </c>
      <c r="L114" t="s">
        <v>2821</v>
      </c>
      <c r="M114" s="7">
        <v>1165</v>
      </c>
      <c r="N114" t="s">
        <v>2887</v>
      </c>
      <c r="O114" s="7">
        <v>6200</v>
      </c>
      <c r="R114" s="7">
        <v>1</v>
      </c>
      <c r="S114" t="s">
        <v>2347</v>
      </c>
      <c r="T114" t="s">
        <v>2271</v>
      </c>
      <c r="U114" s="7">
        <v>1</v>
      </c>
      <c r="V114">
        <v>52.5</v>
      </c>
      <c r="W114" t="s">
        <v>35</v>
      </c>
      <c r="Y114" t="s">
        <v>2269</v>
      </c>
      <c r="Z114" s="7">
        <v>1754024</v>
      </c>
      <c r="AA114" t="s">
        <v>3910</v>
      </c>
      <c r="AB114" s="8">
        <v>61.95</v>
      </c>
      <c r="AC114" s="7">
        <v>0</v>
      </c>
      <c r="AF114" s="8">
        <v>61.95</v>
      </c>
    </row>
    <row r="115" spans="1:32" hidden="1">
      <c r="A115" s="7">
        <v>1011776</v>
      </c>
      <c r="B115" t="s">
        <v>2888</v>
      </c>
      <c r="C115" t="s">
        <v>2870</v>
      </c>
      <c r="D115" s="7">
        <v>7134260117125</v>
      </c>
      <c r="E115" t="s">
        <v>2889</v>
      </c>
      <c r="F115" t="s">
        <v>156</v>
      </c>
      <c r="G115" t="s">
        <v>2884</v>
      </c>
      <c r="H115" t="s">
        <v>2873</v>
      </c>
      <c r="I115" t="s">
        <v>2890</v>
      </c>
      <c r="J115" t="s">
        <v>2891</v>
      </c>
      <c r="K115" t="s">
        <v>261</v>
      </c>
      <c r="L115" t="s">
        <v>2892</v>
      </c>
      <c r="M115" s="7">
        <v>1165</v>
      </c>
      <c r="N115" t="s">
        <v>2493</v>
      </c>
      <c r="O115" s="7">
        <v>7120</v>
      </c>
      <c r="R115" s="7">
        <v>1</v>
      </c>
      <c r="S115" t="s">
        <v>2347</v>
      </c>
      <c r="T115" t="s">
        <v>2271</v>
      </c>
      <c r="U115" s="7">
        <v>1</v>
      </c>
      <c r="V115">
        <v>52.5</v>
      </c>
      <c r="W115" t="s">
        <v>35</v>
      </c>
      <c r="Y115" t="s">
        <v>2269</v>
      </c>
      <c r="Z115" s="7">
        <v>1754016</v>
      </c>
      <c r="AA115" t="s">
        <v>3910</v>
      </c>
      <c r="AB115" s="8">
        <v>61.95</v>
      </c>
      <c r="AC115" s="7">
        <v>0</v>
      </c>
      <c r="AF115" s="8">
        <v>61.95</v>
      </c>
    </row>
    <row r="116" spans="1:32" hidden="1">
      <c r="A116" s="7">
        <v>1011779</v>
      </c>
      <c r="B116" t="s">
        <v>2893</v>
      </c>
      <c r="C116" t="s">
        <v>2870</v>
      </c>
      <c r="D116" s="7">
        <v>7134260117180</v>
      </c>
      <c r="E116" t="s">
        <v>2894</v>
      </c>
      <c r="F116" t="s">
        <v>203</v>
      </c>
      <c r="G116" t="s">
        <v>2884</v>
      </c>
      <c r="H116" t="s">
        <v>2873</v>
      </c>
      <c r="I116" t="s">
        <v>1169</v>
      </c>
      <c r="J116" t="s">
        <v>1170</v>
      </c>
      <c r="K116" t="s">
        <v>261</v>
      </c>
      <c r="L116" t="s">
        <v>2895</v>
      </c>
      <c r="M116" s="7">
        <v>1160</v>
      </c>
      <c r="N116" t="s">
        <v>2342</v>
      </c>
      <c r="O116" s="7">
        <v>72100</v>
      </c>
      <c r="R116" s="7">
        <v>1</v>
      </c>
      <c r="S116" t="s">
        <v>2347</v>
      </c>
      <c r="T116" t="s">
        <v>2271</v>
      </c>
      <c r="U116" s="7">
        <v>1</v>
      </c>
      <c r="V116">
        <v>52.5</v>
      </c>
      <c r="W116" t="s">
        <v>35</v>
      </c>
      <c r="Y116" t="s">
        <v>2269</v>
      </c>
      <c r="Z116" s="7">
        <v>1754063</v>
      </c>
      <c r="AA116" t="s">
        <v>3910</v>
      </c>
      <c r="AB116" s="8">
        <v>61.95</v>
      </c>
      <c r="AC116" s="7">
        <v>0</v>
      </c>
      <c r="AF116" s="8">
        <v>61.95</v>
      </c>
    </row>
    <row r="117" spans="1:32" hidden="1">
      <c r="A117" s="7">
        <v>1011781</v>
      </c>
      <c r="B117" t="s">
        <v>2896</v>
      </c>
      <c r="C117" t="s">
        <v>2870</v>
      </c>
      <c r="D117" s="7">
        <v>7134260117134</v>
      </c>
      <c r="E117" t="s">
        <v>2897</v>
      </c>
      <c r="F117" t="s">
        <v>165</v>
      </c>
      <c r="G117" t="s">
        <v>2872</v>
      </c>
      <c r="H117" t="s">
        <v>2873</v>
      </c>
      <c r="I117" t="s">
        <v>2898</v>
      </c>
      <c r="J117" t="s">
        <v>2899</v>
      </c>
      <c r="K117" t="s">
        <v>261</v>
      </c>
      <c r="L117" t="s">
        <v>2900</v>
      </c>
      <c r="M117" s="7">
        <v>1165</v>
      </c>
      <c r="N117" t="s">
        <v>2887</v>
      </c>
      <c r="O117" s="7">
        <v>13200</v>
      </c>
      <c r="R117" s="7">
        <v>1</v>
      </c>
      <c r="S117" t="s">
        <v>2347</v>
      </c>
      <c r="T117" t="s">
        <v>2271</v>
      </c>
      <c r="U117" s="7">
        <v>1</v>
      </c>
      <c r="V117">
        <v>52.5</v>
      </c>
      <c r="W117" t="s">
        <v>35</v>
      </c>
      <c r="Y117" t="s">
        <v>2269</v>
      </c>
      <c r="Z117" s="7">
        <v>1754025</v>
      </c>
      <c r="AA117" t="s">
        <v>3910</v>
      </c>
      <c r="AB117" s="8">
        <v>61.95</v>
      </c>
      <c r="AC117" s="7">
        <v>0</v>
      </c>
      <c r="AF117" s="8">
        <v>61.95</v>
      </c>
    </row>
    <row r="118" spans="1:32" hidden="1">
      <c r="A118" s="7">
        <v>1011786</v>
      </c>
      <c r="B118" t="s">
        <v>2901</v>
      </c>
      <c r="C118" t="s">
        <v>2870</v>
      </c>
      <c r="D118" s="7">
        <v>7134260117147</v>
      </c>
      <c r="E118" t="s">
        <v>2902</v>
      </c>
      <c r="F118" t="s">
        <v>172</v>
      </c>
      <c r="G118" t="s">
        <v>2872</v>
      </c>
      <c r="H118" t="s">
        <v>2873</v>
      </c>
      <c r="I118" t="s">
        <v>2691</v>
      </c>
      <c r="J118" t="s">
        <v>2692</v>
      </c>
      <c r="K118" t="s">
        <v>261</v>
      </c>
      <c r="L118" t="s">
        <v>2693</v>
      </c>
      <c r="M118" s="7">
        <v>1165</v>
      </c>
      <c r="N118" t="s">
        <v>2887</v>
      </c>
      <c r="O118" s="7">
        <v>199645</v>
      </c>
      <c r="R118" s="7">
        <v>1</v>
      </c>
      <c r="S118" t="s">
        <v>2347</v>
      </c>
      <c r="T118" t="s">
        <v>2271</v>
      </c>
      <c r="U118" s="7">
        <v>1</v>
      </c>
      <c r="V118">
        <v>52.5</v>
      </c>
      <c r="W118" t="s">
        <v>35</v>
      </c>
      <c r="Y118" t="s">
        <v>2269</v>
      </c>
      <c r="Z118" s="7">
        <v>1754032</v>
      </c>
      <c r="AA118" t="s">
        <v>3910</v>
      </c>
      <c r="AB118" s="8">
        <v>61.95</v>
      </c>
      <c r="AC118" s="7">
        <v>0</v>
      </c>
      <c r="AF118" s="8">
        <v>61.95</v>
      </c>
    </row>
    <row r="119" spans="1:32" hidden="1">
      <c r="A119" s="7">
        <v>1011790</v>
      </c>
      <c r="B119" t="s">
        <v>2903</v>
      </c>
      <c r="C119" t="s">
        <v>2870</v>
      </c>
      <c r="D119" s="7">
        <v>7134260117153</v>
      </c>
      <c r="E119" t="s">
        <v>2904</v>
      </c>
      <c r="F119" t="s">
        <v>178</v>
      </c>
      <c r="G119" t="s">
        <v>2872</v>
      </c>
      <c r="H119" t="s">
        <v>2873</v>
      </c>
      <c r="I119" t="s">
        <v>2905</v>
      </c>
      <c r="J119" t="s">
        <v>2906</v>
      </c>
      <c r="K119" t="s">
        <v>261</v>
      </c>
      <c r="L119" t="s">
        <v>2758</v>
      </c>
      <c r="M119" s="7">
        <v>1160</v>
      </c>
      <c r="N119" t="s">
        <v>2881</v>
      </c>
      <c r="O119" s="7">
        <v>27230</v>
      </c>
      <c r="R119" s="7">
        <v>1</v>
      </c>
      <c r="S119" t="s">
        <v>2347</v>
      </c>
      <c r="T119" t="s">
        <v>2271</v>
      </c>
      <c r="U119" s="7">
        <v>1</v>
      </c>
      <c r="V119">
        <v>52.5</v>
      </c>
      <c r="W119" t="s">
        <v>35</v>
      </c>
      <c r="Y119" t="s">
        <v>2269</v>
      </c>
      <c r="Z119" s="7">
        <v>1754038</v>
      </c>
      <c r="AA119" t="s">
        <v>3910</v>
      </c>
      <c r="AB119" s="8">
        <v>61.95</v>
      </c>
      <c r="AC119" s="7">
        <v>0</v>
      </c>
      <c r="AF119" s="8">
        <v>61.95</v>
      </c>
    </row>
    <row r="120" spans="1:32" hidden="1">
      <c r="A120" s="7">
        <v>1011791</v>
      </c>
      <c r="B120" t="s">
        <v>2907</v>
      </c>
      <c r="C120" t="s">
        <v>2870</v>
      </c>
      <c r="D120" s="7">
        <v>7134260117165</v>
      </c>
      <c r="E120" t="s">
        <v>2908</v>
      </c>
      <c r="F120" t="s">
        <v>188</v>
      </c>
      <c r="G120" t="s">
        <v>2872</v>
      </c>
      <c r="H120" t="s">
        <v>2873</v>
      </c>
      <c r="I120" t="s">
        <v>1160</v>
      </c>
      <c r="J120" t="s">
        <v>1161</v>
      </c>
      <c r="K120" t="s">
        <v>261</v>
      </c>
      <c r="L120" t="s">
        <v>2909</v>
      </c>
      <c r="M120" s="7">
        <v>1165</v>
      </c>
      <c r="N120" t="s">
        <v>2910</v>
      </c>
      <c r="O120" s="7">
        <v>64520</v>
      </c>
      <c r="R120" s="7">
        <v>1</v>
      </c>
      <c r="S120" t="s">
        <v>2347</v>
      </c>
      <c r="T120" t="s">
        <v>2271</v>
      </c>
      <c r="U120" s="7">
        <v>1</v>
      </c>
      <c r="V120">
        <v>52.5</v>
      </c>
      <c r="W120" t="s">
        <v>35</v>
      </c>
      <c r="Y120" t="s">
        <v>2269</v>
      </c>
      <c r="Z120" s="7">
        <v>1754048</v>
      </c>
      <c r="AA120" t="s">
        <v>3910</v>
      </c>
      <c r="AB120" s="8">
        <v>61.95</v>
      </c>
      <c r="AC120" s="7">
        <v>0</v>
      </c>
      <c r="AF120" s="8">
        <v>61.95</v>
      </c>
    </row>
    <row r="121" spans="1:32" hidden="1">
      <c r="A121" s="7">
        <v>1011794</v>
      </c>
      <c r="B121" t="s">
        <v>2911</v>
      </c>
      <c r="C121" t="s">
        <v>2870</v>
      </c>
      <c r="D121" s="7">
        <v>7134260117146</v>
      </c>
      <c r="E121" t="s">
        <v>2912</v>
      </c>
      <c r="F121" t="s">
        <v>171</v>
      </c>
      <c r="G121" t="s">
        <v>2872</v>
      </c>
      <c r="H121" t="s">
        <v>2873</v>
      </c>
      <c r="I121" t="s">
        <v>1195</v>
      </c>
      <c r="J121" t="s">
        <v>1196</v>
      </c>
      <c r="K121" t="s">
        <v>261</v>
      </c>
      <c r="L121" t="s">
        <v>2913</v>
      </c>
      <c r="M121" s="7">
        <v>1165</v>
      </c>
      <c r="N121" t="s">
        <v>2887</v>
      </c>
      <c r="O121" s="7">
        <v>100020</v>
      </c>
      <c r="R121" s="7">
        <v>1</v>
      </c>
      <c r="S121" t="s">
        <v>2347</v>
      </c>
      <c r="T121" t="s">
        <v>2271</v>
      </c>
      <c r="U121" s="7">
        <v>1</v>
      </c>
      <c r="V121">
        <v>52.5</v>
      </c>
      <c r="W121" t="s">
        <v>35</v>
      </c>
      <c r="Y121" t="s">
        <v>2269</v>
      </c>
      <c r="Z121" s="7">
        <v>1754031</v>
      </c>
      <c r="AA121" t="s">
        <v>3910</v>
      </c>
      <c r="AB121" s="8">
        <v>61.95</v>
      </c>
      <c r="AC121" s="7">
        <v>0</v>
      </c>
      <c r="AF121" s="8">
        <v>61.95</v>
      </c>
    </row>
    <row r="122" spans="1:32" hidden="1">
      <c r="A122" s="7">
        <v>1011796</v>
      </c>
      <c r="B122" t="s">
        <v>2914</v>
      </c>
      <c r="C122" t="s">
        <v>2870</v>
      </c>
      <c r="D122" s="7">
        <v>7134260117169</v>
      </c>
      <c r="E122" t="s">
        <v>2915</v>
      </c>
      <c r="F122" t="s">
        <v>192</v>
      </c>
      <c r="G122" t="s">
        <v>2872</v>
      </c>
      <c r="H122" t="s">
        <v>2873</v>
      </c>
      <c r="I122" t="s">
        <v>815</v>
      </c>
      <c r="J122" t="s">
        <v>816</v>
      </c>
      <c r="K122" t="s">
        <v>261</v>
      </c>
      <c r="L122" t="s">
        <v>2916</v>
      </c>
      <c r="M122" s="7">
        <v>1165</v>
      </c>
      <c r="N122" t="s">
        <v>2917</v>
      </c>
      <c r="O122" s="7">
        <v>11100</v>
      </c>
      <c r="R122" s="7">
        <v>1</v>
      </c>
      <c r="S122" t="s">
        <v>2347</v>
      </c>
      <c r="T122" t="s">
        <v>2271</v>
      </c>
      <c r="U122" s="7">
        <v>1</v>
      </c>
      <c r="V122">
        <v>52.5</v>
      </c>
      <c r="W122" t="s">
        <v>35</v>
      </c>
      <c r="Y122" t="s">
        <v>2269</v>
      </c>
      <c r="Z122" s="7">
        <v>1754052</v>
      </c>
      <c r="AA122" t="s">
        <v>3910</v>
      </c>
      <c r="AB122" s="8">
        <v>61.95</v>
      </c>
      <c r="AC122" s="7">
        <v>0</v>
      </c>
      <c r="AF122" s="8">
        <v>61.95</v>
      </c>
    </row>
    <row r="123" spans="1:32" hidden="1">
      <c r="A123" s="7">
        <v>1011797</v>
      </c>
      <c r="B123" t="s">
        <v>2918</v>
      </c>
      <c r="C123" t="s">
        <v>2870</v>
      </c>
      <c r="D123" s="7">
        <v>7134260117138</v>
      </c>
      <c r="E123" t="s">
        <v>2919</v>
      </c>
      <c r="F123" t="s">
        <v>169</v>
      </c>
      <c r="G123" t="s">
        <v>2872</v>
      </c>
      <c r="H123" t="s">
        <v>2873</v>
      </c>
      <c r="I123" t="s">
        <v>2920</v>
      </c>
      <c r="J123" t="s">
        <v>2921</v>
      </c>
      <c r="K123" t="s">
        <v>261</v>
      </c>
      <c r="L123" t="s">
        <v>2922</v>
      </c>
      <c r="M123" s="7">
        <v>1165</v>
      </c>
      <c r="N123" t="s">
        <v>2887</v>
      </c>
      <c r="O123" s="7">
        <v>9200</v>
      </c>
      <c r="R123" s="7">
        <v>1</v>
      </c>
      <c r="S123" t="s">
        <v>2347</v>
      </c>
      <c r="T123" t="s">
        <v>2271</v>
      </c>
      <c r="U123" s="7">
        <v>1</v>
      </c>
      <c r="V123">
        <v>52.5</v>
      </c>
      <c r="W123" t="s">
        <v>35</v>
      </c>
      <c r="Y123" t="s">
        <v>2269</v>
      </c>
      <c r="Z123" s="7">
        <v>1754029</v>
      </c>
      <c r="AA123" t="s">
        <v>3910</v>
      </c>
      <c r="AB123" s="8">
        <v>61.95</v>
      </c>
      <c r="AC123" s="7">
        <v>0</v>
      </c>
      <c r="AF123" s="8">
        <v>61.95</v>
      </c>
    </row>
    <row r="124" spans="1:32" hidden="1">
      <c r="A124" s="7">
        <v>1011800</v>
      </c>
      <c r="B124" t="s">
        <v>2923</v>
      </c>
      <c r="C124" t="s">
        <v>2870</v>
      </c>
      <c r="D124" s="7">
        <v>7134260117172</v>
      </c>
      <c r="E124" t="s">
        <v>2924</v>
      </c>
      <c r="F124" t="s">
        <v>195</v>
      </c>
      <c r="G124" t="s">
        <v>2872</v>
      </c>
      <c r="H124" t="s">
        <v>2873</v>
      </c>
      <c r="I124" t="s">
        <v>1181</v>
      </c>
      <c r="J124" t="s">
        <v>1182</v>
      </c>
      <c r="K124" t="s">
        <v>261</v>
      </c>
      <c r="L124" t="s">
        <v>2925</v>
      </c>
      <c r="M124" s="7">
        <v>1165</v>
      </c>
      <c r="N124" t="s">
        <v>2917</v>
      </c>
      <c r="O124" s="7">
        <v>70100</v>
      </c>
      <c r="R124" s="7">
        <v>1</v>
      </c>
      <c r="S124" t="s">
        <v>2347</v>
      </c>
      <c r="T124" t="s">
        <v>2271</v>
      </c>
      <c r="U124" s="7">
        <v>1</v>
      </c>
      <c r="V124">
        <v>52.5</v>
      </c>
      <c r="W124" t="s">
        <v>35</v>
      </c>
      <c r="Y124" t="s">
        <v>2269</v>
      </c>
      <c r="Z124" s="7">
        <v>1754055</v>
      </c>
      <c r="AA124" t="s">
        <v>3910</v>
      </c>
      <c r="AB124" s="8">
        <v>61.95</v>
      </c>
      <c r="AC124" s="7">
        <v>0</v>
      </c>
      <c r="AF124" s="8">
        <v>61.95</v>
      </c>
    </row>
    <row r="125" spans="1:32" hidden="1">
      <c r="A125" s="7">
        <v>1011813</v>
      </c>
      <c r="B125" t="s">
        <v>2926</v>
      </c>
      <c r="C125" t="s">
        <v>2870</v>
      </c>
      <c r="D125" s="7">
        <v>7134260117135</v>
      </c>
      <c r="E125" t="s">
        <v>2927</v>
      </c>
      <c r="F125" t="s">
        <v>166</v>
      </c>
      <c r="G125" t="s">
        <v>2872</v>
      </c>
      <c r="H125" t="s">
        <v>2873</v>
      </c>
      <c r="I125" t="s">
        <v>1507</v>
      </c>
      <c r="J125" t="s">
        <v>1508</v>
      </c>
      <c r="K125" t="s">
        <v>261</v>
      </c>
      <c r="L125" t="s">
        <v>2922</v>
      </c>
      <c r="M125" s="7">
        <v>1165</v>
      </c>
      <c r="N125" t="s">
        <v>2887</v>
      </c>
      <c r="O125" s="7">
        <v>13200</v>
      </c>
      <c r="R125" s="7">
        <v>1</v>
      </c>
      <c r="S125" t="s">
        <v>2347</v>
      </c>
      <c r="T125" t="s">
        <v>2271</v>
      </c>
      <c r="U125" s="7">
        <v>1</v>
      </c>
      <c r="V125">
        <v>52.5</v>
      </c>
      <c r="W125" t="s">
        <v>35</v>
      </c>
      <c r="Y125" t="s">
        <v>2269</v>
      </c>
      <c r="Z125" s="7">
        <v>1754026</v>
      </c>
      <c r="AA125" t="s">
        <v>3910</v>
      </c>
      <c r="AB125" s="8">
        <v>61.95</v>
      </c>
      <c r="AC125" s="7">
        <v>0</v>
      </c>
      <c r="AF125" s="8">
        <v>61.95</v>
      </c>
    </row>
    <row r="126" spans="1:32" hidden="1">
      <c r="A126" s="7">
        <v>1011822</v>
      </c>
      <c r="B126" t="s">
        <v>2928</v>
      </c>
      <c r="C126" t="s">
        <v>2870</v>
      </c>
      <c r="D126" s="7">
        <v>7134260117126</v>
      </c>
      <c r="E126" t="s">
        <v>2929</v>
      </c>
      <c r="F126" t="s">
        <v>157</v>
      </c>
      <c r="G126" t="s">
        <v>2884</v>
      </c>
      <c r="H126" t="s">
        <v>2873</v>
      </c>
      <c r="I126" t="s">
        <v>2930</v>
      </c>
      <c r="J126" t="s">
        <v>2931</v>
      </c>
      <c r="K126" t="s">
        <v>261</v>
      </c>
      <c r="L126" t="s">
        <v>2932</v>
      </c>
      <c r="M126" s="7">
        <v>1165</v>
      </c>
      <c r="N126" t="s">
        <v>2493</v>
      </c>
      <c r="O126" s="7">
        <v>2510</v>
      </c>
      <c r="R126" s="7">
        <v>1</v>
      </c>
      <c r="S126" t="s">
        <v>2347</v>
      </c>
      <c r="T126" t="s">
        <v>2271</v>
      </c>
      <c r="U126" s="7">
        <v>1</v>
      </c>
      <c r="V126">
        <v>52.5</v>
      </c>
      <c r="W126" t="s">
        <v>35</v>
      </c>
      <c r="Y126" t="s">
        <v>2269</v>
      </c>
      <c r="Z126" s="7">
        <v>1754017</v>
      </c>
      <c r="AA126" t="s">
        <v>3910</v>
      </c>
      <c r="AB126" s="8">
        <v>61.95</v>
      </c>
      <c r="AC126" s="7">
        <v>0</v>
      </c>
      <c r="AF126" s="8">
        <v>61.95</v>
      </c>
    </row>
    <row r="127" spans="1:32" hidden="1">
      <c r="A127" s="7">
        <v>1011831</v>
      </c>
      <c r="B127" t="s">
        <v>2933</v>
      </c>
      <c r="C127" t="s">
        <v>2870</v>
      </c>
      <c r="D127" s="7">
        <v>7134260117140</v>
      </c>
      <c r="E127" t="s">
        <v>2934</v>
      </c>
      <c r="F127" t="s">
        <v>170</v>
      </c>
      <c r="G127" t="s">
        <v>2884</v>
      </c>
      <c r="H127" t="s">
        <v>2873</v>
      </c>
      <c r="I127" t="s">
        <v>2935</v>
      </c>
      <c r="J127" t="s">
        <v>2936</v>
      </c>
      <c r="K127" t="s">
        <v>261</v>
      </c>
      <c r="L127" t="s">
        <v>2937</v>
      </c>
      <c r="M127" s="7">
        <v>1165</v>
      </c>
      <c r="N127" t="s">
        <v>2887</v>
      </c>
      <c r="O127" s="7">
        <v>2650</v>
      </c>
      <c r="R127" s="7">
        <v>1</v>
      </c>
      <c r="S127" t="s">
        <v>2347</v>
      </c>
      <c r="T127" t="s">
        <v>2271</v>
      </c>
      <c r="U127" s="7">
        <v>1</v>
      </c>
      <c r="V127">
        <v>52.5</v>
      </c>
      <c r="W127" t="s">
        <v>35</v>
      </c>
      <c r="Y127" t="s">
        <v>2269</v>
      </c>
      <c r="Z127" s="7">
        <v>1754030</v>
      </c>
      <c r="AA127" t="s">
        <v>3910</v>
      </c>
      <c r="AB127" s="8">
        <v>61.95</v>
      </c>
      <c r="AC127" s="7">
        <v>0</v>
      </c>
      <c r="AF127" s="8">
        <v>61.95</v>
      </c>
    </row>
    <row r="128" spans="1:32" hidden="1">
      <c r="A128" s="7">
        <v>1011847</v>
      </c>
      <c r="B128" t="s">
        <v>2938</v>
      </c>
      <c r="C128" t="s">
        <v>2870</v>
      </c>
      <c r="D128" s="7">
        <v>7134260117163</v>
      </c>
      <c r="E128" t="s">
        <v>2939</v>
      </c>
      <c r="F128" t="s">
        <v>186</v>
      </c>
      <c r="G128" t="s">
        <v>2884</v>
      </c>
      <c r="H128" t="s">
        <v>2873</v>
      </c>
      <c r="I128" t="s">
        <v>1763</v>
      </c>
      <c r="J128" t="s">
        <v>1764</v>
      </c>
      <c r="K128" t="s">
        <v>261</v>
      </c>
      <c r="L128" t="s">
        <v>2940</v>
      </c>
      <c r="M128" s="7">
        <v>1165</v>
      </c>
      <c r="N128" t="s">
        <v>2910</v>
      </c>
      <c r="O128" s="7">
        <v>8520</v>
      </c>
      <c r="R128" s="7">
        <v>1</v>
      </c>
      <c r="S128" t="s">
        <v>2347</v>
      </c>
      <c r="T128" t="s">
        <v>2271</v>
      </c>
      <c r="U128" s="7">
        <v>1</v>
      </c>
      <c r="V128">
        <v>52.5</v>
      </c>
      <c r="W128" t="s">
        <v>35</v>
      </c>
      <c r="Y128" t="s">
        <v>2269</v>
      </c>
      <c r="Z128" s="7">
        <v>1754046</v>
      </c>
      <c r="AA128" t="s">
        <v>3910</v>
      </c>
      <c r="AB128" s="8">
        <v>61.95</v>
      </c>
      <c r="AC128" s="7">
        <v>0</v>
      </c>
      <c r="AF128" s="8">
        <v>61.95</v>
      </c>
    </row>
    <row r="129" spans="1:32" hidden="1">
      <c r="A129" s="7">
        <v>1011859</v>
      </c>
      <c r="B129" t="s">
        <v>2941</v>
      </c>
      <c r="C129" t="s">
        <v>2870</v>
      </c>
      <c r="D129" s="7">
        <v>7134260117157</v>
      </c>
      <c r="E129" t="s">
        <v>2942</v>
      </c>
      <c r="F129" t="s">
        <v>182</v>
      </c>
      <c r="G129" t="s">
        <v>2884</v>
      </c>
      <c r="H129" t="s">
        <v>2873</v>
      </c>
      <c r="I129" t="s">
        <v>1533</v>
      </c>
      <c r="J129" t="s">
        <v>1534</v>
      </c>
      <c r="K129" t="s">
        <v>261</v>
      </c>
      <c r="L129" t="s">
        <v>2943</v>
      </c>
      <c r="M129" s="7">
        <v>1165</v>
      </c>
      <c r="N129" t="s">
        <v>2697</v>
      </c>
      <c r="O129" s="7">
        <v>36850</v>
      </c>
      <c r="R129" s="7">
        <v>1</v>
      </c>
      <c r="S129" t="s">
        <v>2347</v>
      </c>
      <c r="T129" t="s">
        <v>2271</v>
      </c>
      <c r="U129" s="7">
        <v>1</v>
      </c>
      <c r="V129">
        <v>52.5</v>
      </c>
      <c r="W129" t="s">
        <v>35</v>
      </c>
      <c r="Y129" t="s">
        <v>2269</v>
      </c>
      <c r="Z129" s="7">
        <v>1754042</v>
      </c>
      <c r="AA129" t="s">
        <v>3910</v>
      </c>
      <c r="AB129" s="8">
        <v>61.95</v>
      </c>
      <c r="AC129" s="7">
        <v>0</v>
      </c>
      <c r="AF129" s="8">
        <v>61.95</v>
      </c>
    </row>
    <row r="130" spans="1:32" hidden="1">
      <c r="A130" s="7">
        <v>1011862</v>
      </c>
      <c r="B130" t="s">
        <v>2944</v>
      </c>
      <c r="C130" t="s">
        <v>2870</v>
      </c>
      <c r="D130" s="7">
        <v>7134260117176</v>
      </c>
      <c r="E130" t="s">
        <v>2945</v>
      </c>
      <c r="F130" t="s">
        <v>199</v>
      </c>
      <c r="G130" t="s">
        <v>2884</v>
      </c>
      <c r="H130" t="s">
        <v>2873</v>
      </c>
      <c r="I130" t="s">
        <v>2946</v>
      </c>
      <c r="J130" t="s">
        <v>2947</v>
      </c>
      <c r="K130" t="s">
        <v>261</v>
      </c>
      <c r="L130" t="s">
        <v>2516</v>
      </c>
      <c r="M130" s="7">
        <v>1165</v>
      </c>
      <c r="N130" t="s">
        <v>2342</v>
      </c>
      <c r="O130" s="7">
        <v>43200</v>
      </c>
      <c r="R130" s="7">
        <v>1</v>
      </c>
      <c r="S130" t="s">
        <v>2347</v>
      </c>
      <c r="T130" t="s">
        <v>2271</v>
      </c>
      <c r="U130" s="7">
        <v>1</v>
      </c>
      <c r="V130">
        <v>52.5</v>
      </c>
      <c r="W130" t="s">
        <v>35</v>
      </c>
      <c r="Y130" t="s">
        <v>2269</v>
      </c>
      <c r="Z130" s="7">
        <v>1754059</v>
      </c>
      <c r="AA130" t="s">
        <v>3910</v>
      </c>
      <c r="AB130" s="8">
        <v>61.95</v>
      </c>
      <c r="AC130" s="7">
        <v>0</v>
      </c>
      <c r="AF130" s="8">
        <v>61.95</v>
      </c>
    </row>
    <row r="131" spans="1:32" hidden="1">
      <c r="A131" s="7">
        <v>1011864</v>
      </c>
      <c r="B131" t="s">
        <v>2948</v>
      </c>
      <c r="C131" t="s">
        <v>2870</v>
      </c>
      <c r="D131" s="7">
        <v>7134260117173</v>
      </c>
      <c r="E131" t="s">
        <v>2949</v>
      </c>
      <c r="F131" t="s">
        <v>196</v>
      </c>
      <c r="G131" t="s">
        <v>2884</v>
      </c>
      <c r="H131" t="s">
        <v>2873</v>
      </c>
      <c r="I131" t="s">
        <v>2950</v>
      </c>
      <c r="J131" t="s">
        <v>2951</v>
      </c>
      <c r="K131" t="s">
        <v>261</v>
      </c>
      <c r="L131" t="s">
        <v>2952</v>
      </c>
      <c r="M131" s="7">
        <v>1165</v>
      </c>
      <c r="N131" t="s">
        <v>2917</v>
      </c>
      <c r="O131" s="7">
        <v>78520</v>
      </c>
      <c r="R131" s="7">
        <v>1</v>
      </c>
      <c r="S131" t="s">
        <v>2347</v>
      </c>
      <c r="T131" t="s">
        <v>2271</v>
      </c>
      <c r="U131" s="7">
        <v>1</v>
      </c>
      <c r="V131">
        <v>52.5</v>
      </c>
      <c r="W131" t="s">
        <v>35</v>
      </c>
      <c r="Y131" t="s">
        <v>2269</v>
      </c>
      <c r="Z131" s="7">
        <v>1754056</v>
      </c>
      <c r="AA131" t="s">
        <v>3910</v>
      </c>
      <c r="AB131" s="8">
        <v>61.95</v>
      </c>
      <c r="AC131" s="7">
        <v>0</v>
      </c>
      <c r="AF131" s="8">
        <v>61.95</v>
      </c>
    </row>
    <row r="132" spans="1:32" hidden="1">
      <c r="A132" s="7">
        <v>1011872</v>
      </c>
      <c r="B132" t="s">
        <v>2953</v>
      </c>
      <c r="C132" t="s">
        <v>2870</v>
      </c>
      <c r="D132" s="7">
        <v>7134260117164</v>
      </c>
      <c r="E132" t="s">
        <v>2954</v>
      </c>
      <c r="F132" t="s">
        <v>187</v>
      </c>
      <c r="G132" t="s">
        <v>2884</v>
      </c>
      <c r="H132" t="s">
        <v>2873</v>
      </c>
      <c r="I132" t="s">
        <v>1064</v>
      </c>
      <c r="J132" t="s">
        <v>1065</v>
      </c>
      <c r="K132" t="s">
        <v>261</v>
      </c>
      <c r="L132" t="s">
        <v>2955</v>
      </c>
      <c r="M132" s="7">
        <v>1165</v>
      </c>
      <c r="N132" t="s">
        <v>2910</v>
      </c>
      <c r="O132" s="7">
        <v>70120</v>
      </c>
      <c r="R132" s="7">
        <v>1</v>
      </c>
      <c r="S132" t="s">
        <v>2347</v>
      </c>
      <c r="T132" t="s">
        <v>2271</v>
      </c>
      <c r="U132" s="7">
        <v>1</v>
      </c>
      <c r="V132">
        <v>52.5</v>
      </c>
      <c r="W132" t="s">
        <v>35</v>
      </c>
      <c r="Y132" t="s">
        <v>2269</v>
      </c>
      <c r="Z132" s="7">
        <v>1754047</v>
      </c>
      <c r="AA132" t="s">
        <v>3910</v>
      </c>
      <c r="AB132" s="8">
        <v>61.95</v>
      </c>
      <c r="AC132" s="7">
        <v>0</v>
      </c>
      <c r="AF132" s="8">
        <v>61.95</v>
      </c>
    </row>
    <row r="133" spans="1:32" hidden="1">
      <c r="A133" s="7">
        <v>1011874</v>
      </c>
      <c r="B133" t="s">
        <v>2956</v>
      </c>
      <c r="C133" t="s">
        <v>2870</v>
      </c>
      <c r="D133" s="7">
        <v>7134260117158</v>
      </c>
      <c r="E133" t="s">
        <v>2957</v>
      </c>
      <c r="F133" t="s">
        <v>183</v>
      </c>
      <c r="G133" t="s">
        <v>2884</v>
      </c>
      <c r="H133" t="s">
        <v>2873</v>
      </c>
      <c r="I133" t="s">
        <v>1036</v>
      </c>
      <c r="J133" t="s">
        <v>1037</v>
      </c>
      <c r="K133" t="s">
        <v>261</v>
      </c>
      <c r="L133" t="s">
        <v>2943</v>
      </c>
      <c r="M133" s="7">
        <v>1165</v>
      </c>
      <c r="N133" t="s">
        <v>2697</v>
      </c>
      <c r="O133" s="7">
        <v>49200</v>
      </c>
      <c r="R133" s="7">
        <v>1</v>
      </c>
      <c r="S133" t="s">
        <v>2347</v>
      </c>
      <c r="T133" t="s">
        <v>2271</v>
      </c>
      <c r="U133" s="7">
        <v>1</v>
      </c>
      <c r="V133">
        <v>52.5</v>
      </c>
      <c r="W133" t="s">
        <v>35</v>
      </c>
      <c r="Y133" t="s">
        <v>2269</v>
      </c>
      <c r="Z133" s="7">
        <v>1754043</v>
      </c>
      <c r="AA133" t="s">
        <v>3910</v>
      </c>
      <c r="AB133" s="8">
        <v>61.95</v>
      </c>
      <c r="AC133" s="7">
        <v>0</v>
      </c>
      <c r="AF133" s="8">
        <v>61.95</v>
      </c>
    </row>
    <row r="134" spans="1:32" hidden="1">
      <c r="A134" s="7">
        <v>1011875</v>
      </c>
      <c r="B134" t="s">
        <v>2958</v>
      </c>
      <c r="C134" t="s">
        <v>2870</v>
      </c>
      <c r="D134" s="7">
        <v>7134260117156</v>
      </c>
      <c r="E134" t="s">
        <v>2959</v>
      </c>
      <c r="F134" t="s">
        <v>181</v>
      </c>
      <c r="G134" t="s">
        <v>2884</v>
      </c>
      <c r="H134" t="s">
        <v>2873</v>
      </c>
      <c r="I134" t="s">
        <v>1083</v>
      </c>
      <c r="J134" t="s">
        <v>1084</v>
      </c>
      <c r="K134" t="s">
        <v>261</v>
      </c>
      <c r="L134" t="s">
        <v>2688</v>
      </c>
      <c r="M134" s="7">
        <v>1165</v>
      </c>
      <c r="N134" t="s">
        <v>2881</v>
      </c>
      <c r="O134" s="7">
        <v>21200</v>
      </c>
      <c r="R134" s="7">
        <v>1</v>
      </c>
      <c r="S134" t="s">
        <v>2347</v>
      </c>
      <c r="T134" t="s">
        <v>2271</v>
      </c>
      <c r="U134" s="7">
        <v>1</v>
      </c>
      <c r="V134">
        <v>52.5</v>
      </c>
      <c r="W134" t="s">
        <v>35</v>
      </c>
      <c r="Y134" t="s">
        <v>2269</v>
      </c>
      <c r="Z134" s="7">
        <v>1754041</v>
      </c>
      <c r="AA134" t="s">
        <v>3910</v>
      </c>
      <c r="AB134" s="8">
        <v>61.95</v>
      </c>
      <c r="AC134" s="7">
        <v>0</v>
      </c>
      <c r="AF134" s="8">
        <v>61.95</v>
      </c>
    </row>
    <row r="135" spans="1:32" hidden="1">
      <c r="A135" s="7">
        <v>1011876</v>
      </c>
      <c r="B135" t="s">
        <v>2960</v>
      </c>
      <c r="C135" t="s">
        <v>2870</v>
      </c>
      <c r="D135" s="7">
        <v>7134260117154</v>
      </c>
      <c r="E135" t="s">
        <v>2961</v>
      </c>
      <c r="F135" t="s">
        <v>179</v>
      </c>
      <c r="G135" t="s">
        <v>2884</v>
      </c>
      <c r="H135" t="s">
        <v>2873</v>
      </c>
      <c r="I135" t="s">
        <v>1590</v>
      </c>
      <c r="J135" t="s">
        <v>1591</v>
      </c>
      <c r="K135" t="s">
        <v>261</v>
      </c>
      <c r="L135" t="s">
        <v>2962</v>
      </c>
      <c r="M135" s="7">
        <v>1165</v>
      </c>
      <c r="N135" t="s">
        <v>2881</v>
      </c>
      <c r="O135" s="7">
        <v>30500</v>
      </c>
      <c r="R135" s="7">
        <v>1</v>
      </c>
      <c r="S135" t="s">
        <v>2347</v>
      </c>
      <c r="T135" t="s">
        <v>2271</v>
      </c>
      <c r="U135" s="7">
        <v>1</v>
      </c>
      <c r="V135">
        <v>52.5</v>
      </c>
      <c r="W135" t="s">
        <v>35</v>
      </c>
      <c r="Y135" t="s">
        <v>2269</v>
      </c>
      <c r="Z135" s="7">
        <v>1754039</v>
      </c>
      <c r="AA135" t="s">
        <v>3910</v>
      </c>
      <c r="AB135" s="8">
        <v>61.95</v>
      </c>
      <c r="AC135" s="7">
        <v>0</v>
      </c>
      <c r="AF135" s="8">
        <v>61.95</v>
      </c>
    </row>
    <row r="136" spans="1:32" hidden="1">
      <c r="A136" s="7">
        <v>1011882</v>
      </c>
      <c r="B136" t="s">
        <v>2963</v>
      </c>
      <c r="C136" t="s">
        <v>2870</v>
      </c>
      <c r="D136" s="7">
        <v>7134260117162</v>
      </c>
      <c r="E136" t="s">
        <v>2964</v>
      </c>
      <c r="F136" t="s">
        <v>185</v>
      </c>
      <c r="G136" t="s">
        <v>2884</v>
      </c>
      <c r="H136" t="s">
        <v>2873</v>
      </c>
      <c r="I136" t="s">
        <v>1567</v>
      </c>
      <c r="J136" t="s">
        <v>1568</v>
      </c>
      <c r="K136" t="s">
        <v>261</v>
      </c>
      <c r="L136" t="s">
        <v>2965</v>
      </c>
      <c r="M136" s="7">
        <v>1165</v>
      </c>
      <c r="N136" t="s">
        <v>2910</v>
      </c>
      <c r="O136" s="7">
        <v>16420</v>
      </c>
      <c r="R136" s="7">
        <v>1</v>
      </c>
      <c r="S136" t="s">
        <v>2347</v>
      </c>
      <c r="T136" t="s">
        <v>2271</v>
      </c>
      <c r="U136" s="7">
        <v>1</v>
      </c>
      <c r="V136">
        <v>52.5</v>
      </c>
      <c r="W136" t="s">
        <v>35</v>
      </c>
      <c r="Y136" t="s">
        <v>2269</v>
      </c>
      <c r="Z136" s="7">
        <v>1754045</v>
      </c>
      <c r="AA136" t="s">
        <v>3910</v>
      </c>
      <c r="AB136" s="8">
        <v>61.95</v>
      </c>
      <c r="AC136" s="7">
        <v>0</v>
      </c>
      <c r="AF136" s="8">
        <v>61.95</v>
      </c>
    </row>
    <row r="137" spans="1:32" hidden="1">
      <c r="A137" s="7">
        <v>1011893</v>
      </c>
      <c r="B137" t="s">
        <v>2966</v>
      </c>
      <c r="C137" t="s">
        <v>2870</v>
      </c>
      <c r="D137" s="7">
        <v>7134260116234</v>
      </c>
      <c r="E137" t="s">
        <v>2967</v>
      </c>
      <c r="F137" t="s">
        <v>31</v>
      </c>
      <c r="G137" t="s">
        <v>2884</v>
      </c>
      <c r="H137" t="s">
        <v>3270</v>
      </c>
      <c r="I137" t="s">
        <v>1533</v>
      </c>
      <c r="J137" t="s">
        <v>1534</v>
      </c>
      <c r="K137" t="s">
        <v>261</v>
      </c>
      <c r="L137" t="s">
        <v>2943</v>
      </c>
      <c r="M137" s="7">
        <v>1165</v>
      </c>
      <c r="N137" t="s">
        <v>2697</v>
      </c>
      <c r="O137" s="7">
        <v>36589</v>
      </c>
      <c r="R137" s="7">
        <v>1</v>
      </c>
      <c r="S137" t="s">
        <v>2968</v>
      </c>
      <c r="T137" t="s">
        <v>2969</v>
      </c>
      <c r="U137" s="7">
        <v>1</v>
      </c>
      <c r="V137" s="8">
        <v>1081.8800000000001</v>
      </c>
      <c r="W137" t="s">
        <v>35</v>
      </c>
      <c r="Y137" t="s">
        <v>2269</v>
      </c>
      <c r="Z137" s="7">
        <v>1754012</v>
      </c>
      <c r="AA137" t="s">
        <v>3910</v>
      </c>
      <c r="AB137" s="8">
        <v>1384.81</v>
      </c>
      <c r="AC137" s="7">
        <v>0</v>
      </c>
      <c r="AF137" s="8">
        <v>1384.81</v>
      </c>
    </row>
    <row r="138" spans="1:32" hidden="1">
      <c r="A138" s="7">
        <v>1011893</v>
      </c>
      <c r="B138" t="s">
        <v>2966</v>
      </c>
      <c r="C138" t="s">
        <v>2870</v>
      </c>
      <c r="D138" s="7">
        <v>7134260116234</v>
      </c>
      <c r="E138" t="s">
        <v>2967</v>
      </c>
      <c r="F138" t="s">
        <v>31</v>
      </c>
      <c r="G138" t="s">
        <v>2884</v>
      </c>
      <c r="H138" t="s">
        <v>3270</v>
      </c>
      <c r="I138" t="s">
        <v>1533</v>
      </c>
      <c r="J138" t="s">
        <v>1534</v>
      </c>
      <c r="K138" t="s">
        <v>261</v>
      </c>
      <c r="L138" t="s">
        <v>2943</v>
      </c>
      <c r="M138" s="7">
        <v>1165</v>
      </c>
      <c r="N138" t="s">
        <v>2697</v>
      </c>
      <c r="O138" s="7">
        <v>36589</v>
      </c>
      <c r="R138" s="7">
        <v>2</v>
      </c>
      <c r="S138" t="s">
        <v>2970</v>
      </c>
      <c r="T138" t="s">
        <v>2271</v>
      </c>
      <c r="U138" s="7">
        <v>1</v>
      </c>
      <c r="V138" s="8">
        <v>1268.75</v>
      </c>
      <c r="W138" t="s">
        <v>35</v>
      </c>
      <c r="Y138" t="s">
        <v>2269</v>
      </c>
      <c r="Z138" s="7">
        <v>1754012</v>
      </c>
      <c r="AA138" t="s">
        <v>3910</v>
      </c>
      <c r="AB138" s="8">
        <v>1497.13</v>
      </c>
      <c r="AC138" s="7">
        <v>0</v>
      </c>
      <c r="AF138" s="8">
        <v>1497.13</v>
      </c>
    </row>
    <row r="139" spans="1:32" hidden="1">
      <c r="A139" s="7">
        <v>1011899</v>
      </c>
      <c r="B139" t="s">
        <v>2971</v>
      </c>
      <c r="C139" t="s">
        <v>2870</v>
      </c>
      <c r="D139" s="7">
        <v>7134260116983</v>
      </c>
      <c r="E139" t="s">
        <v>2972</v>
      </c>
      <c r="F139" t="s">
        <v>44</v>
      </c>
      <c r="G139" t="s">
        <v>2884</v>
      </c>
      <c r="H139" t="s">
        <v>3270</v>
      </c>
      <c r="I139" t="s">
        <v>586</v>
      </c>
      <c r="J139" t="s">
        <v>587</v>
      </c>
      <c r="K139" t="s">
        <v>261</v>
      </c>
      <c r="L139" t="s">
        <v>36</v>
      </c>
      <c r="M139" s="7">
        <v>1165</v>
      </c>
      <c r="N139" t="s">
        <v>2910</v>
      </c>
      <c r="O139" s="7">
        <v>4174</v>
      </c>
      <c r="R139" s="7">
        <v>1</v>
      </c>
      <c r="S139" t="s">
        <v>2973</v>
      </c>
      <c r="T139" t="s">
        <v>2974</v>
      </c>
      <c r="U139" s="7">
        <v>1</v>
      </c>
      <c r="V139">
        <v>952.9</v>
      </c>
      <c r="W139" t="s">
        <v>35</v>
      </c>
      <c r="Y139" t="s">
        <v>2269</v>
      </c>
      <c r="Z139" s="7">
        <v>1754014</v>
      </c>
      <c r="AA139" t="s">
        <v>3910</v>
      </c>
      <c r="AB139" s="8">
        <v>1219.71</v>
      </c>
      <c r="AC139" s="7">
        <v>0</v>
      </c>
      <c r="AF139" s="8">
        <v>1219.71</v>
      </c>
    </row>
    <row r="140" spans="1:32" hidden="1">
      <c r="A140" s="7">
        <v>1011899</v>
      </c>
      <c r="B140" t="s">
        <v>2971</v>
      </c>
      <c r="C140" t="s">
        <v>2870</v>
      </c>
      <c r="D140" s="7">
        <v>7134260116983</v>
      </c>
      <c r="E140" t="s">
        <v>2972</v>
      </c>
      <c r="F140" t="s">
        <v>44</v>
      </c>
      <c r="G140" t="s">
        <v>2884</v>
      </c>
      <c r="H140" t="s">
        <v>3270</v>
      </c>
      <c r="I140" t="s">
        <v>586</v>
      </c>
      <c r="J140" t="s">
        <v>587</v>
      </c>
      <c r="K140" t="s">
        <v>261</v>
      </c>
      <c r="L140" t="s">
        <v>36</v>
      </c>
      <c r="M140" s="7">
        <v>1165</v>
      </c>
      <c r="N140" t="s">
        <v>2910</v>
      </c>
      <c r="O140" s="7">
        <v>4174</v>
      </c>
      <c r="R140" s="7">
        <v>2</v>
      </c>
      <c r="S140" t="s">
        <v>2975</v>
      </c>
      <c r="T140" t="s">
        <v>2271</v>
      </c>
      <c r="U140" s="7">
        <v>1</v>
      </c>
      <c r="V140">
        <v>192.5</v>
      </c>
      <c r="W140" t="s">
        <v>35</v>
      </c>
      <c r="Y140" t="s">
        <v>2269</v>
      </c>
      <c r="Z140" s="7">
        <v>1754014</v>
      </c>
      <c r="AA140" t="s">
        <v>3910</v>
      </c>
      <c r="AB140" s="8">
        <v>227.15</v>
      </c>
      <c r="AC140" s="7">
        <v>0</v>
      </c>
      <c r="AF140" s="8">
        <v>227.15</v>
      </c>
    </row>
    <row r="141" spans="1:32" hidden="1">
      <c r="A141" s="7">
        <v>1011902</v>
      </c>
      <c r="B141" t="s">
        <v>2976</v>
      </c>
      <c r="C141" t="s">
        <v>2870</v>
      </c>
      <c r="D141" s="7">
        <v>7134260117136</v>
      </c>
      <c r="E141" t="s">
        <v>2977</v>
      </c>
      <c r="F141" t="s">
        <v>167</v>
      </c>
      <c r="G141" t="s">
        <v>2884</v>
      </c>
      <c r="H141" t="s">
        <v>2873</v>
      </c>
      <c r="I141" t="s">
        <v>2978</v>
      </c>
      <c r="J141" t="s">
        <v>2979</v>
      </c>
      <c r="K141" t="s">
        <v>261</v>
      </c>
      <c r="L141" t="s">
        <v>2980</v>
      </c>
      <c r="M141" s="7">
        <v>1165</v>
      </c>
      <c r="N141" t="s">
        <v>2887</v>
      </c>
      <c r="O141" s="7">
        <v>5720</v>
      </c>
      <c r="R141" s="7">
        <v>1</v>
      </c>
      <c r="S141" t="s">
        <v>2347</v>
      </c>
      <c r="T141" t="s">
        <v>2271</v>
      </c>
      <c r="U141" s="7">
        <v>1</v>
      </c>
      <c r="V141">
        <v>52.5</v>
      </c>
      <c r="W141" t="s">
        <v>35</v>
      </c>
      <c r="Y141" t="s">
        <v>2269</v>
      </c>
      <c r="Z141" s="7">
        <v>1754027</v>
      </c>
      <c r="AA141" t="s">
        <v>3910</v>
      </c>
      <c r="AB141" s="8">
        <v>61.95</v>
      </c>
      <c r="AC141" s="7">
        <v>0</v>
      </c>
      <c r="AF141" s="8">
        <v>61.95</v>
      </c>
    </row>
    <row r="142" spans="1:32" hidden="1">
      <c r="A142" s="7">
        <v>1011917</v>
      </c>
      <c r="B142" t="s">
        <v>2981</v>
      </c>
      <c r="C142" t="s">
        <v>2870</v>
      </c>
      <c r="D142" s="7">
        <v>7134260117178</v>
      </c>
      <c r="E142" t="s">
        <v>2982</v>
      </c>
      <c r="F142" t="s">
        <v>201</v>
      </c>
      <c r="G142" t="s">
        <v>2884</v>
      </c>
      <c r="H142" t="s">
        <v>2873</v>
      </c>
      <c r="I142" t="s">
        <v>2983</v>
      </c>
      <c r="J142" t="s">
        <v>2984</v>
      </c>
      <c r="K142" t="s">
        <v>261</v>
      </c>
      <c r="L142" t="s">
        <v>2985</v>
      </c>
      <c r="M142" s="7">
        <v>1165</v>
      </c>
      <c r="N142" t="s">
        <v>2342</v>
      </c>
      <c r="O142" s="7">
        <v>31920</v>
      </c>
      <c r="R142" s="7">
        <v>1</v>
      </c>
      <c r="S142" t="s">
        <v>2347</v>
      </c>
      <c r="T142" t="s">
        <v>2271</v>
      </c>
      <c r="U142" s="7">
        <v>1</v>
      </c>
      <c r="V142">
        <v>52.5</v>
      </c>
      <c r="W142" t="s">
        <v>35</v>
      </c>
      <c r="Y142" t="s">
        <v>2269</v>
      </c>
      <c r="Z142" s="7">
        <v>1754061</v>
      </c>
      <c r="AA142" t="s">
        <v>3910</v>
      </c>
      <c r="AB142" s="8">
        <v>61.95</v>
      </c>
      <c r="AC142" s="7">
        <v>0</v>
      </c>
      <c r="AF142" s="8">
        <v>61.95</v>
      </c>
    </row>
    <row r="143" spans="1:32" hidden="1">
      <c r="A143" s="7">
        <v>1011927</v>
      </c>
      <c r="B143" t="s">
        <v>2986</v>
      </c>
      <c r="C143" t="s">
        <v>2870</v>
      </c>
      <c r="D143" s="7">
        <v>7134260117127</v>
      </c>
      <c r="E143" t="s">
        <v>2987</v>
      </c>
      <c r="F143" t="s">
        <v>158</v>
      </c>
      <c r="G143" t="s">
        <v>2884</v>
      </c>
      <c r="H143" t="s">
        <v>2873</v>
      </c>
      <c r="I143" t="s">
        <v>2988</v>
      </c>
      <c r="J143" t="s">
        <v>2989</v>
      </c>
      <c r="K143" t="s">
        <v>261</v>
      </c>
      <c r="L143" t="s">
        <v>2990</v>
      </c>
      <c r="M143" s="7">
        <v>1165</v>
      </c>
      <c r="N143" t="s">
        <v>2493</v>
      </c>
      <c r="O143" s="7">
        <v>11200</v>
      </c>
      <c r="R143" s="7">
        <v>1</v>
      </c>
      <c r="S143" t="s">
        <v>2347</v>
      </c>
      <c r="T143" t="s">
        <v>2271</v>
      </c>
      <c r="U143" s="7">
        <v>1</v>
      </c>
      <c r="V143">
        <v>52.5</v>
      </c>
      <c r="W143" t="s">
        <v>35</v>
      </c>
      <c r="Y143" t="s">
        <v>2269</v>
      </c>
      <c r="Z143" s="7">
        <v>1754018</v>
      </c>
      <c r="AA143" t="s">
        <v>3910</v>
      </c>
      <c r="AB143" s="8">
        <v>61.95</v>
      </c>
      <c r="AC143" s="7">
        <v>0</v>
      </c>
      <c r="AF143" s="8">
        <v>61.95</v>
      </c>
    </row>
    <row r="144" spans="1:32" hidden="1">
      <c r="A144" s="7">
        <v>1011932</v>
      </c>
      <c r="B144" t="s">
        <v>2991</v>
      </c>
      <c r="C144" t="s">
        <v>2870</v>
      </c>
      <c r="D144" s="7">
        <v>7134260117129</v>
      </c>
      <c r="E144" t="s">
        <v>2992</v>
      </c>
      <c r="F144" t="s">
        <v>160</v>
      </c>
      <c r="G144" t="s">
        <v>2884</v>
      </c>
      <c r="H144" t="s">
        <v>2873</v>
      </c>
      <c r="I144" t="s">
        <v>2993</v>
      </c>
      <c r="J144" t="s">
        <v>2994</v>
      </c>
      <c r="K144" t="s">
        <v>261</v>
      </c>
      <c r="L144" t="s">
        <v>2995</v>
      </c>
      <c r="M144" s="7">
        <v>1165</v>
      </c>
      <c r="N144" t="s">
        <v>2493</v>
      </c>
      <c r="O144" s="7">
        <v>2620</v>
      </c>
      <c r="R144" s="7">
        <v>1</v>
      </c>
      <c r="S144" t="s">
        <v>2347</v>
      </c>
      <c r="T144" t="s">
        <v>2271</v>
      </c>
      <c r="U144" s="7">
        <v>1</v>
      </c>
      <c r="V144">
        <v>52.5</v>
      </c>
      <c r="W144" t="s">
        <v>35</v>
      </c>
      <c r="Y144" t="s">
        <v>2269</v>
      </c>
      <c r="Z144" s="7">
        <v>1754020</v>
      </c>
      <c r="AA144" t="s">
        <v>3910</v>
      </c>
      <c r="AB144" s="8">
        <v>61.95</v>
      </c>
      <c r="AC144" s="7">
        <v>0</v>
      </c>
      <c r="AF144" s="8">
        <v>61.95</v>
      </c>
    </row>
    <row r="145" spans="1:32" hidden="1">
      <c r="A145" s="7">
        <v>1011935</v>
      </c>
      <c r="B145" t="s">
        <v>2996</v>
      </c>
      <c r="C145" t="s">
        <v>2870</v>
      </c>
      <c r="D145" s="7">
        <v>7134260117137</v>
      </c>
      <c r="E145" t="s">
        <v>2997</v>
      </c>
      <c r="F145" t="s">
        <v>168</v>
      </c>
      <c r="G145" t="s">
        <v>2884</v>
      </c>
      <c r="H145" t="s">
        <v>2873</v>
      </c>
      <c r="I145" t="s">
        <v>2998</v>
      </c>
      <c r="J145" t="s">
        <v>2999</v>
      </c>
      <c r="K145" t="s">
        <v>261</v>
      </c>
      <c r="L145" t="s">
        <v>2932</v>
      </c>
      <c r="M145" s="7">
        <v>1165</v>
      </c>
      <c r="N145" t="s">
        <v>2887</v>
      </c>
      <c r="O145" s="7">
        <v>15200</v>
      </c>
      <c r="R145" s="7">
        <v>1</v>
      </c>
      <c r="S145" t="s">
        <v>2347</v>
      </c>
      <c r="T145" t="s">
        <v>2271</v>
      </c>
      <c r="U145" s="7">
        <v>1</v>
      </c>
      <c r="V145">
        <v>52.5</v>
      </c>
      <c r="W145" t="s">
        <v>35</v>
      </c>
      <c r="Y145" t="s">
        <v>2269</v>
      </c>
      <c r="Z145" s="7">
        <v>1754028</v>
      </c>
      <c r="AA145" t="s">
        <v>3910</v>
      </c>
      <c r="AB145" s="8">
        <v>61.95</v>
      </c>
      <c r="AC145" s="7">
        <v>0</v>
      </c>
      <c r="AF145" s="8">
        <v>61.95</v>
      </c>
    </row>
    <row r="146" spans="1:32" hidden="1">
      <c r="A146" s="7">
        <v>1011936</v>
      </c>
      <c r="B146" t="s">
        <v>3000</v>
      </c>
      <c r="C146" t="s">
        <v>2870</v>
      </c>
      <c r="D146" s="7">
        <v>7134260117161</v>
      </c>
      <c r="E146" t="s">
        <v>3001</v>
      </c>
      <c r="F146" t="s">
        <v>184</v>
      </c>
      <c r="G146" t="s">
        <v>2884</v>
      </c>
      <c r="H146" t="s">
        <v>2873</v>
      </c>
      <c r="I146" t="s">
        <v>3002</v>
      </c>
      <c r="J146" t="s">
        <v>3003</v>
      </c>
      <c r="K146" t="s">
        <v>261</v>
      </c>
      <c r="L146" t="s">
        <v>3004</v>
      </c>
      <c r="M146" s="7">
        <v>1165</v>
      </c>
      <c r="N146" t="s">
        <v>2697</v>
      </c>
      <c r="O146" s="7">
        <v>51200</v>
      </c>
      <c r="R146" s="7">
        <v>1</v>
      </c>
      <c r="S146" t="s">
        <v>2347</v>
      </c>
      <c r="T146" t="s">
        <v>2271</v>
      </c>
      <c r="U146" s="7">
        <v>1</v>
      </c>
      <c r="V146">
        <v>52.5</v>
      </c>
      <c r="W146" t="s">
        <v>35</v>
      </c>
      <c r="Y146" t="s">
        <v>2269</v>
      </c>
      <c r="Z146" s="7">
        <v>1754044</v>
      </c>
      <c r="AA146" t="s">
        <v>3910</v>
      </c>
      <c r="AB146" s="8">
        <v>61.95</v>
      </c>
      <c r="AC146" s="7">
        <v>0</v>
      </c>
      <c r="AF146" s="8">
        <v>61.95</v>
      </c>
    </row>
    <row r="147" spans="1:32" hidden="1">
      <c r="A147" s="7">
        <v>1011938</v>
      </c>
      <c r="B147" t="s">
        <v>3005</v>
      </c>
      <c r="C147" t="s">
        <v>2870</v>
      </c>
      <c r="D147" s="7">
        <v>7134260117175</v>
      </c>
      <c r="E147" t="s">
        <v>3006</v>
      </c>
      <c r="F147" t="s">
        <v>198</v>
      </c>
      <c r="G147" t="s">
        <v>2884</v>
      </c>
      <c r="H147" t="s">
        <v>2873</v>
      </c>
      <c r="I147" t="s">
        <v>1725</v>
      </c>
      <c r="J147" t="s">
        <v>1726</v>
      </c>
      <c r="K147" t="s">
        <v>261</v>
      </c>
      <c r="L147" t="s">
        <v>2516</v>
      </c>
      <c r="M147" s="7">
        <v>1165</v>
      </c>
      <c r="N147" t="s">
        <v>2342</v>
      </c>
      <c r="O147" s="7">
        <v>33520</v>
      </c>
      <c r="R147" s="7">
        <v>1</v>
      </c>
      <c r="S147" t="s">
        <v>2347</v>
      </c>
      <c r="T147" t="s">
        <v>2271</v>
      </c>
      <c r="U147" s="7">
        <v>1</v>
      </c>
      <c r="V147">
        <v>52.5</v>
      </c>
      <c r="W147" t="s">
        <v>35</v>
      </c>
      <c r="Y147" t="s">
        <v>2269</v>
      </c>
      <c r="Z147" s="7">
        <v>1754058</v>
      </c>
      <c r="AA147" t="s">
        <v>3910</v>
      </c>
      <c r="AB147" s="8">
        <v>61.95</v>
      </c>
      <c r="AC147" s="7">
        <v>0</v>
      </c>
      <c r="AF147" s="8">
        <v>61.95</v>
      </c>
    </row>
    <row r="148" spans="1:32" hidden="1">
      <c r="A148" s="7">
        <v>1011943</v>
      </c>
      <c r="B148" t="s">
        <v>3007</v>
      </c>
      <c r="C148" t="s">
        <v>2870</v>
      </c>
      <c r="D148" s="7">
        <v>7134260117177</v>
      </c>
      <c r="E148" t="s">
        <v>3008</v>
      </c>
      <c r="F148" t="s">
        <v>200</v>
      </c>
      <c r="G148" t="s">
        <v>2884</v>
      </c>
      <c r="H148" t="s">
        <v>2873</v>
      </c>
      <c r="I148" t="s">
        <v>1033</v>
      </c>
      <c r="J148" t="s">
        <v>1034</v>
      </c>
      <c r="K148" t="s">
        <v>261</v>
      </c>
      <c r="L148" t="s">
        <v>3009</v>
      </c>
      <c r="M148" s="7">
        <v>1165</v>
      </c>
      <c r="N148" t="s">
        <v>2342</v>
      </c>
      <c r="O148" s="7">
        <v>97952</v>
      </c>
      <c r="R148" s="7">
        <v>1</v>
      </c>
      <c r="S148" t="s">
        <v>2347</v>
      </c>
      <c r="T148" t="s">
        <v>2271</v>
      </c>
      <c r="U148" s="7">
        <v>1</v>
      </c>
      <c r="V148">
        <v>52.5</v>
      </c>
      <c r="W148" t="s">
        <v>35</v>
      </c>
      <c r="Y148" t="s">
        <v>2269</v>
      </c>
      <c r="Z148" s="7">
        <v>1754060</v>
      </c>
      <c r="AA148" t="s">
        <v>3910</v>
      </c>
      <c r="AB148" s="8">
        <v>61.95</v>
      </c>
      <c r="AC148" s="7">
        <v>0</v>
      </c>
      <c r="AF148" s="8">
        <v>61.95</v>
      </c>
    </row>
    <row r="149" spans="1:32" hidden="1">
      <c r="A149" s="7">
        <v>1011955</v>
      </c>
      <c r="B149" t="s">
        <v>3010</v>
      </c>
      <c r="C149" t="s">
        <v>2870</v>
      </c>
      <c r="D149" s="7">
        <v>7134260117130</v>
      </c>
      <c r="E149" t="s">
        <v>3011</v>
      </c>
      <c r="F149" t="s">
        <v>161</v>
      </c>
      <c r="G149" t="s">
        <v>3012</v>
      </c>
      <c r="H149" t="s">
        <v>2873</v>
      </c>
      <c r="I149" t="s">
        <v>3013</v>
      </c>
      <c r="J149" t="s">
        <v>3014</v>
      </c>
      <c r="K149" t="s">
        <v>261</v>
      </c>
      <c r="L149" t="s">
        <v>2874</v>
      </c>
      <c r="M149" s="7">
        <v>1165</v>
      </c>
      <c r="N149" t="s">
        <v>2493</v>
      </c>
      <c r="O149" s="7">
        <v>76850</v>
      </c>
      <c r="R149" s="7">
        <v>1</v>
      </c>
      <c r="S149" t="s">
        <v>2347</v>
      </c>
      <c r="T149" t="s">
        <v>2271</v>
      </c>
      <c r="U149" s="7">
        <v>1</v>
      </c>
      <c r="V149">
        <v>52.5</v>
      </c>
      <c r="W149" t="s">
        <v>35</v>
      </c>
      <c r="Y149" t="s">
        <v>2269</v>
      </c>
      <c r="Z149" s="7">
        <v>1754021</v>
      </c>
      <c r="AA149" t="s">
        <v>3910</v>
      </c>
      <c r="AB149" s="8">
        <v>61.95</v>
      </c>
      <c r="AC149" s="7">
        <v>0</v>
      </c>
      <c r="AF149" s="8">
        <v>61.95</v>
      </c>
    </row>
    <row r="150" spans="1:32" hidden="1">
      <c r="A150" s="7">
        <v>1011964</v>
      </c>
      <c r="B150" t="s">
        <v>3015</v>
      </c>
      <c r="C150" t="s">
        <v>2870</v>
      </c>
      <c r="D150" s="7">
        <v>7134260117171</v>
      </c>
      <c r="E150" t="s">
        <v>3016</v>
      </c>
      <c r="F150" t="s">
        <v>194</v>
      </c>
      <c r="G150" t="s">
        <v>3012</v>
      </c>
      <c r="H150" t="s">
        <v>2873</v>
      </c>
      <c r="I150" t="s">
        <v>1248</v>
      </c>
      <c r="J150" t="s">
        <v>1249</v>
      </c>
      <c r="K150" t="s">
        <v>261</v>
      </c>
      <c r="L150" t="s">
        <v>2916</v>
      </c>
      <c r="M150" s="7">
        <v>1165</v>
      </c>
      <c r="N150" t="s">
        <v>2917</v>
      </c>
      <c r="O150" s="7">
        <v>34120</v>
      </c>
      <c r="R150" s="7">
        <v>1</v>
      </c>
      <c r="S150" t="s">
        <v>2347</v>
      </c>
      <c r="T150" t="s">
        <v>2271</v>
      </c>
      <c r="U150" s="7">
        <v>1</v>
      </c>
      <c r="V150">
        <v>52.5</v>
      </c>
      <c r="W150" t="s">
        <v>35</v>
      </c>
      <c r="Y150" t="s">
        <v>2269</v>
      </c>
      <c r="Z150" s="7">
        <v>1754054</v>
      </c>
      <c r="AA150" t="s">
        <v>3910</v>
      </c>
      <c r="AB150" s="8">
        <v>61.95</v>
      </c>
      <c r="AC150" s="7">
        <v>0</v>
      </c>
      <c r="AF150" s="8">
        <v>61.95</v>
      </c>
    </row>
    <row r="151" spans="1:32" hidden="1">
      <c r="A151" s="7">
        <v>1011974</v>
      </c>
      <c r="B151" t="s">
        <v>3017</v>
      </c>
      <c r="C151" t="s">
        <v>2870</v>
      </c>
      <c r="D151" s="7">
        <v>7134260117152</v>
      </c>
      <c r="E151" t="s">
        <v>3018</v>
      </c>
      <c r="F151" t="s">
        <v>177</v>
      </c>
      <c r="G151" t="s">
        <v>3012</v>
      </c>
      <c r="H151" t="s">
        <v>2873</v>
      </c>
      <c r="I151" t="s">
        <v>3019</v>
      </c>
      <c r="J151" t="s">
        <v>3020</v>
      </c>
      <c r="K151" t="s">
        <v>261</v>
      </c>
      <c r="L151" t="s">
        <v>2962</v>
      </c>
      <c r="M151" s="7">
        <v>1165</v>
      </c>
      <c r="N151" t="s">
        <v>2881</v>
      </c>
      <c r="O151" s="7">
        <v>11200</v>
      </c>
      <c r="R151" s="7">
        <v>1</v>
      </c>
      <c r="S151" t="s">
        <v>2347</v>
      </c>
      <c r="T151" t="s">
        <v>2271</v>
      </c>
      <c r="U151" s="7">
        <v>1</v>
      </c>
      <c r="V151">
        <v>52.5</v>
      </c>
      <c r="W151" t="s">
        <v>35</v>
      </c>
      <c r="Y151" t="s">
        <v>2269</v>
      </c>
      <c r="Z151" s="7">
        <v>1754037</v>
      </c>
      <c r="AA151" t="s">
        <v>3910</v>
      </c>
      <c r="AB151" s="8">
        <v>61.95</v>
      </c>
      <c r="AC151" s="7">
        <v>0</v>
      </c>
      <c r="AF151" s="8">
        <v>61.95</v>
      </c>
    </row>
    <row r="152" spans="1:32" hidden="1">
      <c r="A152" s="7">
        <v>1011979</v>
      </c>
      <c r="B152" t="s">
        <v>3021</v>
      </c>
      <c r="C152" t="s">
        <v>2870</v>
      </c>
      <c r="D152" s="7">
        <v>7134260117170</v>
      </c>
      <c r="E152" t="s">
        <v>3022</v>
      </c>
      <c r="F152" t="s">
        <v>193</v>
      </c>
      <c r="G152" t="s">
        <v>3012</v>
      </c>
      <c r="H152" t="s">
        <v>2873</v>
      </c>
      <c r="I152" t="s">
        <v>2132</v>
      </c>
      <c r="J152" t="s">
        <v>2133</v>
      </c>
      <c r="K152" t="s">
        <v>261</v>
      </c>
      <c r="L152" t="s">
        <v>2952</v>
      </c>
      <c r="M152" s="7">
        <v>1165</v>
      </c>
      <c r="N152" t="s">
        <v>2917</v>
      </c>
      <c r="O152" s="7">
        <v>15420</v>
      </c>
      <c r="R152" s="7">
        <v>1</v>
      </c>
      <c r="S152" t="s">
        <v>2347</v>
      </c>
      <c r="T152" t="s">
        <v>2271</v>
      </c>
      <c r="U152" s="7">
        <v>1</v>
      </c>
      <c r="V152">
        <v>52.5</v>
      </c>
      <c r="W152" t="s">
        <v>35</v>
      </c>
      <c r="Y152" t="s">
        <v>2269</v>
      </c>
      <c r="Z152" s="7">
        <v>1754053</v>
      </c>
      <c r="AA152" t="s">
        <v>3910</v>
      </c>
      <c r="AB152" s="8">
        <v>61.95</v>
      </c>
      <c r="AC152" s="7">
        <v>0</v>
      </c>
      <c r="AF152" s="8">
        <v>61.95</v>
      </c>
    </row>
    <row r="153" spans="1:32" hidden="1">
      <c r="A153" s="7">
        <v>1011981</v>
      </c>
      <c r="B153" t="s">
        <v>3023</v>
      </c>
      <c r="C153" t="s">
        <v>2870</v>
      </c>
      <c r="D153" s="7">
        <v>7134260117179</v>
      </c>
      <c r="E153" t="s">
        <v>3024</v>
      </c>
      <c r="F153" t="s">
        <v>202</v>
      </c>
      <c r="G153" t="s">
        <v>3012</v>
      </c>
      <c r="H153" t="s">
        <v>2873</v>
      </c>
      <c r="I153" t="s">
        <v>3025</v>
      </c>
      <c r="J153" t="s">
        <v>3026</v>
      </c>
      <c r="K153" t="s">
        <v>261</v>
      </c>
      <c r="L153" t="s">
        <v>3027</v>
      </c>
      <c r="M153" s="7">
        <v>1165</v>
      </c>
      <c r="N153" t="s">
        <v>2342</v>
      </c>
      <c r="O153" s="7">
        <v>179520</v>
      </c>
      <c r="R153" s="7">
        <v>1</v>
      </c>
      <c r="S153" t="s">
        <v>2347</v>
      </c>
      <c r="T153" t="s">
        <v>2271</v>
      </c>
      <c r="U153" s="7">
        <v>1</v>
      </c>
      <c r="V153">
        <v>52.5</v>
      </c>
      <c r="W153" t="s">
        <v>35</v>
      </c>
      <c r="Y153" t="s">
        <v>2269</v>
      </c>
      <c r="Z153" s="7">
        <v>1754062</v>
      </c>
      <c r="AA153" t="s">
        <v>3910</v>
      </c>
      <c r="AB153" s="8">
        <v>61.95</v>
      </c>
      <c r="AC153" s="7">
        <v>0</v>
      </c>
      <c r="AF153" s="8">
        <v>61.95</v>
      </c>
    </row>
    <row r="154" spans="1:32" hidden="1">
      <c r="A154" s="7">
        <v>1011992</v>
      </c>
      <c r="B154" t="s">
        <v>3028</v>
      </c>
      <c r="C154" t="s">
        <v>2870</v>
      </c>
      <c r="D154" s="7">
        <v>7134260117148</v>
      </c>
      <c r="E154" t="s">
        <v>3029</v>
      </c>
      <c r="F154" t="s">
        <v>173</v>
      </c>
      <c r="G154" t="s">
        <v>3012</v>
      </c>
      <c r="H154" t="s">
        <v>2873</v>
      </c>
      <c r="I154" t="s">
        <v>1662</v>
      </c>
      <c r="J154" t="s">
        <v>1663</v>
      </c>
      <c r="K154" t="s">
        <v>267</v>
      </c>
      <c r="L154" t="s">
        <v>3030</v>
      </c>
      <c r="M154" s="7">
        <v>1165</v>
      </c>
      <c r="N154" t="s">
        <v>2887</v>
      </c>
      <c r="O154" s="7">
        <v>13560</v>
      </c>
      <c r="R154" s="7">
        <v>1</v>
      </c>
      <c r="S154" t="s">
        <v>2347</v>
      </c>
      <c r="T154" t="s">
        <v>2271</v>
      </c>
      <c r="U154" s="7">
        <v>1</v>
      </c>
      <c r="V154">
        <v>52.5</v>
      </c>
      <c r="W154" t="s">
        <v>35</v>
      </c>
      <c r="Y154" t="s">
        <v>2269</v>
      </c>
      <c r="Z154" s="7">
        <v>1754033</v>
      </c>
      <c r="AA154" t="s">
        <v>3910</v>
      </c>
      <c r="AB154" s="8">
        <v>61.95</v>
      </c>
      <c r="AC154" s="7">
        <v>0</v>
      </c>
      <c r="AF154" s="8">
        <v>61.95</v>
      </c>
    </row>
    <row r="155" spans="1:32" hidden="1">
      <c r="A155" s="7">
        <v>1011997</v>
      </c>
      <c r="B155" t="s">
        <v>3031</v>
      </c>
      <c r="C155" t="s">
        <v>2870</v>
      </c>
      <c r="D155" s="7">
        <v>7134260117174</v>
      </c>
      <c r="E155" t="s">
        <v>3032</v>
      </c>
      <c r="F155" t="s">
        <v>197</v>
      </c>
      <c r="G155" t="s">
        <v>3012</v>
      </c>
      <c r="H155" t="s">
        <v>2873</v>
      </c>
      <c r="I155" t="s">
        <v>1658</v>
      </c>
      <c r="J155" t="s">
        <v>1659</v>
      </c>
      <c r="K155" t="s">
        <v>267</v>
      </c>
      <c r="L155" t="s">
        <v>3033</v>
      </c>
      <c r="M155" s="7">
        <v>1165</v>
      </c>
      <c r="N155" t="s">
        <v>2917</v>
      </c>
      <c r="O155" s="7">
        <v>11200</v>
      </c>
      <c r="R155" s="7">
        <v>1</v>
      </c>
      <c r="S155" t="s">
        <v>2347</v>
      </c>
      <c r="T155" t="s">
        <v>2271</v>
      </c>
      <c r="U155" s="7">
        <v>1</v>
      </c>
      <c r="V155">
        <v>52.5</v>
      </c>
      <c r="W155" t="s">
        <v>35</v>
      </c>
      <c r="Y155" t="s">
        <v>2269</v>
      </c>
      <c r="Z155" s="7">
        <v>1754057</v>
      </c>
      <c r="AA155" t="s">
        <v>3910</v>
      </c>
      <c r="AB155" s="8">
        <v>61.95</v>
      </c>
      <c r="AC155" s="7">
        <v>0</v>
      </c>
      <c r="AF155" s="8">
        <v>61.95</v>
      </c>
    </row>
    <row r="156" spans="1:32" hidden="1">
      <c r="A156" s="7">
        <v>1012004</v>
      </c>
      <c r="B156" t="s">
        <v>3034</v>
      </c>
      <c r="C156" t="s">
        <v>2870</v>
      </c>
      <c r="D156" s="7">
        <v>7134260117149</v>
      </c>
      <c r="E156" t="s">
        <v>3035</v>
      </c>
      <c r="F156" t="s">
        <v>174</v>
      </c>
      <c r="G156" t="s">
        <v>3036</v>
      </c>
      <c r="H156" t="s">
        <v>2873</v>
      </c>
      <c r="I156" t="s">
        <v>1493</v>
      </c>
      <c r="J156" t="s">
        <v>1494</v>
      </c>
      <c r="K156" t="s">
        <v>267</v>
      </c>
      <c r="L156" t="s">
        <v>2913</v>
      </c>
      <c r="M156" s="7">
        <v>1165</v>
      </c>
      <c r="N156" t="s">
        <v>2887</v>
      </c>
      <c r="O156" s="7">
        <v>71200</v>
      </c>
      <c r="R156" s="7">
        <v>1</v>
      </c>
      <c r="S156" t="s">
        <v>2347</v>
      </c>
      <c r="T156" t="s">
        <v>2271</v>
      </c>
      <c r="U156" s="7">
        <v>1</v>
      </c>
      <c r="V156">
        <v>52.5</v>
      </c>
      <c r="W156" t="s">
        <v>35</v>
      </c>
      <c r="Y156" t="s">
        <v>2269</v>
      </c>
      <c r="Z156" s="7">
        <v>1754034</v>
      </c>
      <c r="AA156" t="s">
        <v>3910</v>
      </c>
      <c r="AB156" s="8">
        <v>61.95</v>
      </c>
      <c r="AC156" s="7">
        <v>0</v>
      </c>
      <c r="AF156" s="8">
        <v>61.95</v>
      </c>
    </row>
    <row r="157" spans="1:32" hidden="1">
      <c r="A157" s="7">
        <v>1012017</v>
      </c>
      <c r="B157" t="s">
        <v>3037</v>
      </c>
      <c r="C157" t="s">
        <v>2870</v>
      </c>
      <c r="D157" s="7">
        <v>7134260117150</v>
      </c>
      <c r="E157" t="s">
        <v>3038</v>
      </c>
      <c r="F157" t="s">
        <v>175</v>
      </c>
      <c r="G157" t="s">
        <v>3036</v>
      </c>
      <c r="H157" t="s">
        <v>2873</v>
      </c>
      <c r="I157" t="s">
        <v>1405</v>
      </c>
      <c r="J157" t="s">
        <v>1406</v>
      </c>
      <c r="K157" t="s">
        <v>267</v>
      </c>
      <c r="L157" t="s">
        <v>3030</v>
      </c>
      <c r="M157" s="7">
        <v>1165</v>
      </c>
      <c r="N157" t="s">
        <v>2887</v>
      </c>
      <c r="O157" s="7">
        <v>83500</v>
      </c>
      <c r="R157" s="7">
        <v>1</v>
      </c>
      <c r="S157" t="s">
        <v>2347</v>
      </c>
      <c r="T157" t="s">
        <v>2271</v>
      </c>
      <c r="U157" s="7">
        <v>1</v>
      </c>
      <c r="V157">
        <v>52.5</v>
      </c>
      <c r="W157" t="s">
        <v>35</v>
      </c>
      <c r="Y157" t="s">
        <v>2269</v>
      </c>
      <c r="Z157" s="7">
        <v>1754035</v>
      </c>
      <c r="AA157" t="s">
        <v>3910</v>
      </c>
      <c r="AB157" s="8">
        <v>61.95</v>
      </c>
      <c r="AC157" s="7">
        <v>0</v>
      </c>
      <c r="AF157" s="8">
        <v>61.95</v>
      </c>
    </row>
    <row r="158" spans="1:32" hidden="1">
      <c r="A158" s="7">
        <v>1012019</v>
      </c>
      <c r="B158" t="s">
        <v>3039</v>
      </c>
      <c r="C158" t="s">
        <v>2870</v>
      </c>
      <c r="D158" s="7">
        <v>7134260117181</v>
      </c>
      <c r="E158" t="s">
        <v>3040</v>
      </c>
      <c r="F158" t="s">
        <v>204</v>
      </c>
      <c r="G158" t="s">
        <v>3036</v>
      </c>
      <c r="H158" t="s">
        <v>2873</v>
      </c>
      <c r="I158" t="s">
        <v>3041</v>
      </c>
      <c r="J158" t="s">
        <v>3042</v>
      </c>
      <c r="K158" t="s">
        <v>267</v>
      </c>
      <c r="L158" t="s">
        <v>3043</v>
      </c>
      <c r="M158" s="7">
        <v>1165</v>
      </c>
      <c r="N158" t="s">
        <v>2342</v>
      </c>
      <c r="O158" s="7">
        <v>56920</v>
      </c>
      <c r="R158" s="7">
        <v>1</v>
      </c>
      <c r="S158" t="s">
        <v>2347</v>
      </c>
      <c r="T158" t="s">
        <v>2271</v>
      </c>
      <c r="U158" s="7">
        <v>1</v>
      </c>
      <c r="V158">
        <v>52.5</v>
      </c>
      <c r="W158" t="s">
        <v>35</v>
      </c>
      <c r="Y158" t="s">
        <v>2269</v>
      </c>
      <c r="Z158" s="7">
        <v>1754064</v>
      </c>
      <c r="AA158" t="s">
        <v>3910</v>
      </c>
      <c r="AB158" s="8">
        <v>61.95</v>
      </c>
      <c r="AC158" s="7">
        <v>0</v>
      </c>
      <c r="AF158" s="8">
        <v>61.95</v>
      </c>
    </row>
    <row r="159" spans="1:32" hidden="1">
      <c r="A159" s="7">
        <v>1012025</v>
      </c>
      <c r="B159" t="s">
        <v>3044</v>
      </c>
      <c r="C159" t="s">
        <v>2870</v>
      </c>
      <c r="D159" s="7">
        <v>7134260117131</v>
      </c>
      <c r="E159" t="s">
        <v>3045</v>
      </c>
      <c r="F159" t="s">
        <v>162</v>
      </c>
      <c r="G159" t="s">
        <v>3036</v>
      </c>
      <c r="H159" t="s">
        <v>2873</v>
      </c>
      <c r="I159" t="s">
        <v>3046</v>
      </c>
      <c r="J159" t="s">
        <v>3047</v>
      </c>
      <c r="K159" t="s">
        <v>267</v>
      </c>
      <c r="L159" t="s">
        <v>3048</v>
      </c>
      <c r="M159" s="7">
        <v>1165</v>
      </c>
      <c r="N159" t="s">
        <v>2493</v>
      </c>
      <c r="O159" s="7">
        <v>12320</v>
      </c>
      <c r="R159" s="7">
        <v>1</v>
      </c>
      <c r="S159" t="s">
        <v>2347</v>
      </c>
      <c r="T159" t="s">
        <v>2271</v>
      </c>
      <c r="U159" s="7">
        <v>1</v>
      </c>
      <c r="V159">
        <v>52.5</v>
      </c>
      <c r="W159" t="s">
        <v>35</v>
      </c>
      <c r="Y159" t="s">
        <v>2269</v>
      </c>
      <c r="Z159" s="7">
        <v>1754022</v>
      </c>
      <c r="AA159" t="s">
        <v>3910</v>
      </c>
      <c r="AB159" s="8">
        <v>61.95</v>
      </c>
      <c r="AC159" s="7">
        <v>0</v>
      </c>
      <c r="AF159" s="8">
        <v>61.95</v>
      </c>
    </row>
    <row r="160" spans="1:32" hidden="1">
      <c r="A160" s="7">
        <v>1012507</v>
      </c>
      <c r="B160" t="s">
        <v>3271</v>
      </c>
      <c r="C160" t="s">
        <v>3270</v>
      </c>
      <c r="D160" s="7">
        <v>7134260116984</v>
      </c>
      <c r="E160" t="s">
        <v>3272</v>
      </c>
      <c r="F160" t="s">
        <v>45</v>
      </c>
      <c r="G160" t="s">
        <v>3273</v>
      </c>
      <c r="H160" t="s">
        <v>3556</v>
      </c>
      <c r="I160" t="s">
        <v>448</v>
      </c>
      <c r="J160" t="s">
        <v>449</v>
      </c>
      <c r="K160" t="s">
        <v>261</v>
      </c>
      <c r="L160" t="s">
        <v>3274</v>
      </c>
      <c r="M160" s="7">
        <v>1165</v>
      </c>
      <c r="N160" t="s">
        <v>3275</v>
      </c>
      <c r="O160" s="7">
        <v>20325</v>
      </c>
      <c r="R160" s="7">
        <v>1</v>
      </c>
      <c r="S160" t="s">
        <v>3276</v>
      </c>
      <c r="T160" t="s">
        <v>3277</v>
      </c>
      <c r="U160" s="7">
        <v>1</v>
      </c>
      <c r="V160" s="8">
        <v>1686.21</v>
      </c>
      <c r="W160" t="s">
        <v>35</v>
      </c>
      <c r="Y160" t="s">
        <v>2269</v>
      </c>
      <c r="Z160" s="7">
        <v>1755734</v>
      </c>
      <c r="AA160" t="s">
        <v>4809</v>
      </c>
      <c r="AB160" s="8">
        <v>1989.73</v>
      </c>
      <c r="AC160" s="7">
        <v>0</v>
      </c>
      <c r="AF160" s="8">
        <v>1989.73</v>
      </c>
    </row>
    <row r="161" spans="1:32" hidden="1">
      <c r="A161" s="7">
        <v>1012512</v>
      </c>
      <c r="B161" t="s">
        <v>3278</v>
      </c>
      <c r="C161" t="s">
        <v>3270</v>
      </c>
      <c r="D161" s="7">
        <v>7134260117754</v>
      </c>
      <c r="E161" t="s">
        <v>3279</v>
      </c>
      <c r="F161" t="s">
        <v>3268</v>
      </c>
      <c r="G161" t="s">
        <v>3273</v>
      </c>
      <c r="H161" t="s">
        <v>3556</v>
      </c>
      <c r="I161" t="s">
        <v>3280</v>
      </c>
      <c r="J161" t="s">
        <v>3281</v>
      </c>
      <c r="K161" t="s">
        <v>261</v>
      </c>
      <c r="L161" t="s">
        <v>3282</v>
      </c>
      <c r="N161" t="s">
        <v>3283</v>
      </c>
      <c r="O161" s="7">
        <v>30400</v>
      </c>
      <c r="R161" s="7">
        <v>1</v>
      </c>
      <c r="S161" t="s">
        <v>3284</v>
      </c>
      <c r="T161" t="s">
        <v>3285</v>
      </c>
      <c r="U161" s="7">
        <v>1</v>
      </c>
      <c r="V161" s="8">
        <v>2709.18</v>
      </c>
      <c r="W161" t="s">
        <v>35</v>
      </c>
      <c r="Y161" t="s">
        <v>2269</v>
      </c>
      <c r="Z161" s="7">
        <v>1755738</v>
      </c>
      <c r="AA161" t="s">
        <v>4809</v>
      </c>
      <c r="AB161" s="8">
        <v>3196.83</v>
      </c>
      <c r="AC161" s="7">
        <v>0</v>
      </c>
      <c r="AF161" s="8">
        <v>3196.83</v>
      </c>
    </row>
    <row r="162" spans="1:32" hidden="1">
      <c r="A162" s="7">
        <v>1012512</v>
      </c>
      <c r="B162" t="s">
        <v>3278</v>
      </c>
      <c r="C162" t="s">
        <v>3270</v>
      </c>
      <c r="D162" s="7">
        <v>7134260117754</v>
      </c>
      <c r="E162" t="s">
        <v>3279</v>
      </c>
      <c r="F162" t="s">
        <v>3268</v>
      </c>
      <c r="G162" t="s">
        <v>3273</v>
      </c>
      <c r="H162" t="s">
        <v>3556</v>
      </c>
      <c r="I162" t="s">
        <v>3280</v>
      </c>
      <c r="J162" t="s">
        <v>3281</v>
      </c>
      <c r="K162" t="s">
        <v>261</v>
      </c>
      <c r="L162" t="s">
        <v>3282</v>
      </c>
      <c r="N162" t="s">
        <v>3283</v>
      </c>
      <c r="O162" s="7">
        <v>30400</v>
      </c>
      <c r="R162" s="7">
        <v>2</v>
      </c>
      <c r="S162" t="s">
        <v>2702</v>
      </c>
      <c r="T162" t="s">
        <v>2703</v>
      </c>
      <c r="U162" s="7">
        <v>1</v>
      </c>
      <c r="V162" s="8">
        <v>8496.56</v>
      </c>
      <c r="W162" t="s">
        <v>35</v>
      </c>
      <c r="Y162" t="s">
        <v>2269</v>
      </c>
      <c r="Z162" s="7">
        <v>1755738</v>
      </c>
      <c r="AA162" t="s">
        <v>4809</v>
      </c>
      <c r="AB162" s="8">
        <v>10025.94</v>
      </c>
      <c r="AC162" s="7">
        <v>0</v>
      </c>
      <c r="AF162" s="8">
        <v>10025.94</v>
      </c>
    </row>
    <row r="163" spans="1:32" hidden="1">
      <c r="A163" s="7">
        <v>1012512</v>
      </c>
      <c r="B163" t="s">
        <v>3278</v>
      </c>
      <c r="C163" t="s">
        <v>3270</v>
      </c>
      <c r="D163" s="7">
        <v>7134260117754</v>
      </c>
      <c r="E163" t="s">
        <v>3279</v>
      </c>
      <c r="F163" t="s">
        <v>3268</v>
      </c>
      <c r="G163" t="s">
        <v>3273</v>
      </c>
      <c r="H163" t="s">
        <v>3556</v>
      </c>
      <c r="I163" t="s">
        <v>3280</v>
      </c>
      <c r="J163" t="s">
        <v>3281</v>
      </c>
      <c r="K163" t="s">
        <v>261</v>
      </c>
      <c r="L163" t="s">
        <v>3282</v>
      </c>
      <c r="N163" t="s">
        <v>3283</v>
      </c>
      <c r="O163" s="7">
        <v>30400</v>
      </c>
      <c r="R163" s="7">
        <v>3</v>
      </c>
      <c r="S163" t="s">
        <v>2270</v>
      </c>
      <c r="T163" t="s">
        <v>2271</v>
      </c>
      <c r="U163" s="7">
        <v>1</v>
      </c>
      <c r="V163" s="7">
        <v>245</v>
      </c>
      <c r="W163" t="s">
        <v>35</v>
      </c>
      <c r="Y163" t="s">
        <v>2269</v>
      </c>
      <c r="Z163" s="7">
        <v>1755738</v>
      </c>
      <c r="AA163" t="s">
        <v>4809</v>
      </c>
      <c r="AB163" s="8">
        <v>289.10000000000002</v>
      </c>
      <c r="AC163" s="7">
        <v>0</v>
      </c>
      <c r="AF163" s="8">
        <v>289.10000000000002</v>
      </c>
    </row>
    <row r="164" spans="1:32" hidden="1">
      <c r="A164" s="7">
        <v>1012512</v>
      </c>
      <c r="B164" t="s">
        <v>3278</v>
      </c>
      <c r="C164" t="s">
        <v>3270</v>
      </c>
      <c r="D164" s="7">
        <v>7134260117754</v>
      </c>
      <c r="E164" t="s">
        <v>3279</v>
      </c>
      <c r="F164" t="s">
        <v>3268</v>
      </c>
      <c r="G164" t="s">
        <v>3273</v>
      </c>
      <c r="H164" t="s">
        <v>3556</v>
      </c>
      <c r="I164" t="s">
        <v>3280</v>
      </c>
      <c r="J164" t="s">
        <v>3281</v>
      </c>
      <c r="K164" t="s">
        <v>261</v>
      </c>
      <c r="L164" t="s">
        <v>3282</v>
      </c>
      <c r="N164" t="s">
        <v>3283</v>
      </c>
      <c r="O164" s="7">
        <v>30400</v>
      </c>
      <c r="R164" s="7">
        <v>4</v>
      </c>
      <c r="S164" t="s">
        <v>3286</v>
      </c>
      <c r="T164" t="s">
        <v>2271</v>
      </c>
      <c r="U164" s="7">
        <v>1</v>
      </c>
      <c r="V164" s="8">
        <v>131.25</v>
      </c>
      <c r="W164" t="s">
        <v>35</v>
      </c>
      <c r="Y164" t="s">
        <v>2269</v>
      </c>
      <c r="Z164" s="7">
        <v>1755738</v>
      </c>
      <c r="AA164" t="s">
        <v>4809</v>
      </c>
      <c r="AB164" s="8">
        <v>154.88</v>
      </c>
      <c r="AC164" s="7">
        <v>0</v>
      </c>
      <c r="AF164" s="8">
        <v>154.88</v>
      </c>
    </row>
    <row r="165" spans="1:32" hidden="1">
      <c r="A165" s="7">
        <v>1012532</v>
      </c>
      <c r="B165" t="s">
        <v>3287</v>
      </c>
      <c r="C165" t="s">
        <v>3270</v>
      </c>
      <c r="D165" s="7">
        <v>7134260116770</v>
      </c>
      <c r="E165" t="s">
        <v>3288</v>
      </c>
      <c r="F165" t="s">
        <v>207</v>
      </c>
      <c r="G165" t="s">
        <v>3273</v>
      </c>
      <c r="H165" t="s">
        <v>3556</v>
      </c>
      <c r="I165" t="s">
        <v>3289</v>
      </c>
      <c r="J165" t="s">
        <v>3290</v>
      </c>
      <c r="K165" t="s">
        <v>261</v>
      </c>
      <c r="L165" t="s">
        <v>3291</v>
      </c>
      <c r="N165" t="s">
        <v>2338</v>
      </c>
      <c r="O165" s="7">
        <v>18842</v>
      </c>
      <c r="R165" s="7">
        <v>1</v>
      </c>
      <c r="S165" t="s">
        <v>3292</v>
      </c>
      <c r="T165" t="s">
        <v>3293</v>
      </c>
      <c r="U165" s="7">
        <v>1</v>
      </c>
      <c r="V165" s="8">
        <v>400.73</v>
      </c>
      <c r="W165" t="s">
        <v>35</v>
      </c>
      <c r="Y165" t="s">
        <v>2269</v>
      </c>
      <c r="Z165" s="7">
        <v>1755732</v>
      </c>
      <c r="AA165" t="s">
        <v>4809</v>
      </c>
      <c r="AB165" s="8">
        <v>472.86</v>
      </c>
      <c r="AC165" s="7">
        <v>0</v>
      </c>
      <c r="AF165" s="8">
        <v>472.86</v>
      </c>
    </row>
    <row r="166" spans="1:32" hidden="1">
      <c r="A166" s="7">
        <v>1012532</v>
      </c>
      <c r="B166" t="s">
        <v>3287</v>
      </c>
      <c r="C166" t="s">
        <v>3270</v>
      </c>
      <c r="D166" s="7">
        <v>7134260116770</v>
      </c>
      <c r="E166" t="s">
        <v>3288</v>
      </c>
      <c r="F166" t="s">
        <v>207</v>
      </c>
      <c r="G166" t="s">
        <v>3273</v>
      </c>
      <c r="H166" t="s">
        <v>3556</v>
      </c>
      <c r="I166" t="s">
        <v>3289</v>
      </c>
      <c r="J166" t="s">
        <v>3290</v>
      </c>
      <c r="K166" t="s">
        <v>261</v>
      </c>
      <c r="L166" t="s">
        <v>3291</v>
      </c>
      <c r="N166" t="s">
        <v>2338</v>
      </c>
      <c r="O166" s="7">
        <v>18842</v>
      </c>
      <c r="R166" s="7">
        <v>2</v>
      </c>
      <c r="S166" t="s">
        <v>2303</v>
      </c>
      <c r="T166" t="s">
        <v>2271</v>
      </c>
      <c r="U166" s="7">
        <v>1</v>
      </c>
      <c r="V166" s="8">
        <v>166.25</v>
      </c>
      <c r="W166" t="s">
        <v>35</v>
      </c>
      <c r="Y166" t="s">
        <v>2269</v>
      </c>
      <c r="Z166" s="7">
        <v>1755732</v>
      </c>
      <c r="AA166" t="s">
        <v>4809</v>
      </c>
      <c r="AB166" s="8">
        <v>196.18</v>
      </c>
      <c r="AC166" s="7">
        <v>0</v>
      </c>
      <c r="AF166" s="8">
        <v>196.18</v>
      </c>
    </row>
    <row r="167" spans="1:32" hidden="1">
      <c r="A167" s="7">
        <v>1012537</v>
      </c>
      <c r="B167" t="s">
        <v>3294</v>
      </c>
      <c r="C167" t="s">
        <v>3270</v>
      </c>
      <c r="D167" s="7">
        <v>7134260116767</v>
      </c>
      <c r="E167" t="s">
        <v>3295</v>
      </c>
      <c r="F167" t="s">
        <v>206</v>
      </c>
      <c r="G167" t="s">
        <v>3273</v>
      </c>
      <c r="H167" t="s">
        <v>3556</v>
      </c>
      <c r="I167" t="s">
        <v>1849</v>
      </c>
      <c r="J167" t="s">
        <v>1850</v>
      </c>
      <c r="K167" t="s">
        <v>261</v>
      </c>
      <c r="L167" t="s">
        <v>3296</v>
      </c>
      <c r="N167" t="s">
        <v>2338</v>
      </c>
      <c r="O167" s="7">
        <v>11200</v>
      </c>
      <c r="R167" s="7">
        <v>1</v>
      </c>
      <c r="S167" t="s">
        <v>3297</v>
      </c>
      <c r="T167" t="s">
        <v>3298</v>
      </c>
      <c r="U167" s="7">
        <v>1</v>
      </c>
      <c r="V167" s="8">
        <v>254.06</v>
      </c>
      <c r="W167" t="s">
        <v>35</v>
      </c>
      <c r="Y167" t="s">
        <v>2269</v>
      </c>
      <c r="Z167" s="7">
        <v>1755731</v>
      </c>
      <c r="AA167" t="s">
        <v>4809</v>
      </c>
      <c r="AB167" s="8">
        <v>299.79000000000002</v>
      </c>
      <c r="AC167" s="7">
        <v>0</v>
      </c>
      <c r="AF167" s="8">
        <v>299.79000000000002</v>
      </c>
    </row>
    <row r="168" spans="1:32" hidden="1">
      <c r="A168" s="7">
        <v>1012597</v>
      </c>
      <c r="B168" t="s">
        <v>3299</v>
      </c>
      <c r="C168" t="s">
        <v>3270</v>
      </c>
      <c r="D168" s="7">
        <v>7134260116981</v>
      </c>
      <c r="E168" t="s">
        <v>3300</v>
      </c>
      <c r="F168" t="s">
        <v>41</v>
      </c>
      <c r="G168" t="s">
        <v>3301</v>
      </c>
      <c r="H168" t="s">
        <v>3556</v>
      </c>
      <c r="I168" t="s">
        <v>3302</v>
      </c>
      <c r="J168" t="s">
        <v>3303</v>
      </c>
      <c r="K168" t="s">
        <v>252</v>
      </c>
      <c r="L168" t="s">
        <v>3304</v>
      </c>
      <c r="N168" t="s">
        <v>3283</v>
      </c>
      <c r="O168" s="7">
        <v>1160</v>
      </c>
      <c r="R168" s="7">
        <v>1</v>
      </c>
      <c r="S168" t="s">
        <v>2845</v>
      </c>
      <c r="T168" t="s">
        <v>2846</v>
      </c>
      <c r="U168" s="7">
        <v>1</v>
      </c>
      <c r="V168" s="8">
        <v>73.97</v>
      </c>
      <c r="W168" t="s">
        <v>35</v>
      </c>
      <c r="Y168" t="s">
        <v>2269</v>
      </c>
      <c r="Z168" s="7">
        <v>1755733</v>
      </c>
      <c r="AA168" t="s">
        <v>4809</v>
      </c>
      <c r="AB168" s="8">
        <v>87.28</v>
      </c>
      <c r="AC168" s="7">
        <v>0</v>
      </c>
      <c r="AF168" s="8">
        <v>87.28</v>
      </c>
    </row>
    <row r="169" spans="1:32" hidden="1">
      <c r="A169" s="7">
        <v>1012597</v>
      </c>
      <c r="B169" t="s">
        <v>3299</v>
      </c>
      <c r="C169" t="s">
        <v>3270</v>
      </c>
      <c r="D169" s="7">
        <v>7134260116981</v>
      </c>
      <c r="E169" t="s">
        <v>3300</v>
      </c>
      <c r="F169" t="s">
        <v>41</v>
      </c>
      <c r="G169" t="s">
        <v>3301</v>
      </c>
      <c r="H169" t="s">
        <v>3556</v>
      </c>
      <c r="I169" t="s">
        <v>3302</v>
      </c>
      <c r="J169" t="s">
        <v>3303</v>
      </c>
      <c r="K169" t="s">
        <v>252</v>
      </c>
      <c r="L169" t="s">
        <v>3304</v>
      </c>
      <c r="N169" t="s">
        <v>3283</v>
      </c>
      <c r="O169" s="7">
        <v>1160</v>
      </c>
      <c r="R169" s="7">
        <v>2</v>
      </c>
      <c r="S169" t="s">
        <v>2848</v>
      </c>
      <c r="T169" t="s">
        <v>2849</v>
      </c>
      <c r="U169" s="7">
        <v>2</v>
      </c>
      <c r="V169" s="8">
        <v>682.78</v>
      </c>
      <c r="W169" t="s">
        <v>35</v>
      </c>
      <c r="Y169" t="s">
        <v>2269</v>
      </c>
      <c r="Z169" s="7">
        <v>1755733</v>
      </c>
      <c r="AA169" t="s">
        <v>4809</v>
      </c>
      <c r="AB169" s="8">
        <v>805.68</v>
      </c>
      <c r="AC169" s="7">
        <v>0</v>
      </c>
      <c r="AF169" s="8">
        <v>805.68</v>
      </c>
    </row>
    <row r="170" spans="1:32" hidden="1">
      <c r="A170" s="7">
        <v>1012597</v>
      </c>
      <c r="B170" t="s">
        <v>3299</v>
      </c>
      <c r="C170" t="s">
        <v>3270</v>
      </c>
      <c r="D170" s="7">
        <v>7134260116981</v>
      </c>
      <c r="E170" t="s">
        <v>3300</v>
      </c>
      <c r="F170" t="s">
        <v>41</v>
      </c>
      <c r="G170" t="s">
        <v>3301</v>
      </c>
      <c r="H170" t="s">
        <v>3556</v>
      </c>
      <c r="I170" t="s">
        <v>3302</v>
      </c>
      <c r="J170" t="s">
        <v>3303</v>
      </c>
      <c r="K170" t="s">
        <v>252</v>
      </c>
      <c r="L170" t="s">
        <v>3304</v>
      </c>
      <c r="N170" t="s">
        <v>3283</v>
      </c>
      <c r="O170" s="7">
        <v>1160</v>
      </c>
      <c r="R170" s="7">
        <v>3</v>
      </c>
      <c r="S170" t="s">
        <v>3305</v>
      </c>
      <c r="T170" t="s">
        <v>2271</v>
      </c>
      <c r="U170" s="7">
        <v>1</v>
      </c>
      <c r="V170">
        <v>192.5</v>
      </c>
      <c r="W170" t="s">
        <v>35</v>
      </c>
      <c r="Y170" t="s">
        <v>2269</v>
      </c>
      <c r="Z170" s="7">
        <v>1755733</v>
      </c>
      <c r="AA170" t="s">
        <v>4809</v>
      </c>
      <c r="AB170" s="8">
        <v>227.15</v>
      </c>
      <c r="AC170" s="7">
        <v>0</v>
      </c>
      <c r="AF170" s="8">
        <v>227.15</v>
      </c>
    </row>
    <row r="171" spans="1:32" hidden="1">
      <c r="A171" s="7">
        <v>1012618</v>
      </c>
      <c r="B171" t="s">
        <v>3306</v>
      </c>
      <c r="C171" t="s">
        <v>3270</v>
      </c>
      <c r="D171" s="7">
        <v>7134260117557</v>
      </c>
      <c r="E171" t="s">
        <v>3307</v>
      </c>
      <c r="F171" t="s">
        <v>3308</v>
      </c>
      <c r="G171" t="s">
        <v>3301</v>
      </c>
      <c r="H171" t="s">
        <v>3556</v>
      </c>
      <c r="I171" t="s">
        <v>1157</v>
      </c>
      <c r="J171" t="s">
        <v>1158</v>
      </c>
      <c r="K171" t="s">
        <v>252</v>
      </c>
      <c r="L171" t="s">
        <v>3309</v>
      </c>
      <c r="M171" s="7">
        <v>1165</v>
      </c>
      <c r="N171" t="s">
        <v>3310</v>
      </c>
      <c r="O171" s="7">
        <v>62998</v>
      </c>
      <c r="R171" s="7">
        <v>1</v>
      </c>
      <c r="S171" t="s">
        <v>2727</v>
      </c>
      <c r="T171" t="s">
        <v>2728</v>
      </c>
      <c r="U171" s="7">
        <v>1</v>
      </c>
      <c r="V171" s="8">
        <v>3236.86</v>
      </c>
      <c r="W171" t="s">
        <v>35</v>
      </c>
      <c r="Y171" t="s">
        <v>2269</v>
      </c>
      <c r="Z171" s="7">
        <v>1755735</v>
      </c>
      <c r="AA171" t="s">
        <v>4809</v>
      </c>
      <c r="AB171" s="8">
        <v>3819.49</v>
      </c>
      <c r="AC171" s="7">
        <v>0</v>
      </c>
      <c r="AF171" s="8">
        <v>3819.49</v>
      </c>
    </row>
    <row r="172" spans="1:32" hidden="1">
      <c r="A172" s="7">
        <v>1012618</v>
      </c>
      <c r="B172" t="s">
        <v>3306</v>
      </c>
      <c r="C172" t="s">
        <v>3270</v>
      </c>
      <c r="D172" s="7">
        <v>7134260117557</v>
      </c>
      <c r="E172" t="s">
        <v>3307</v>
      </c>
      <c r="F172" t="s">
        <v>3308</v>
      </c>
      <c r="G172" t="s">
        <v>3301</v>
      </c>
      <c r="H172" t="s">
        <v>3556</v>
      </c>
      <c r="I172" t="s">
        <v>1157</v>
      </c>
      <c r="J172" t="s">
        <v>1158</v>
      </c>
      <c r="K172" t="s">
        <v>252</v>
      </c>
      <c r="L172" t="s">
        <v>3309</v>
      </c>
      <c r="M172" s="7">
        <v>1165</v>
      </c>
      <c r="N172" t="s">
        <v>3310</v>
      </c>
      <c r="O172" s="7">
        <v>62998</v>
      </c>
      <c r="R172" s="7">
        <v>2</v>
      </c>
      <c r="S172" t="s">
        <v>2314</v>
      </c>
      <c r="T172" t="s">
        <v>2271</v>
      </c>
      <c r="U172" s="7">
        <v>1</v>
      </c>
      <c r="V172" s="8">
        <v>306.25</v>
      </c>
      <c r="W172" t="s">
        <v>35</v>
      </c>
      <c r="Y172" t="s">
        <v>2269</v>
      </c>
      <c r="Z172" s="7">
        <v>1755735</v>
      </c>
      <c r="AA172" t="s">
        <v>4809</v>
      </c>
      <c r="AB172" s="8">
        <v>361.38</v>
      </c>
      <c r="AC172" s="7">
        <v>0</v>
      </c>
      <c r="AF172" s="8">
        <v>361.38</v>
      </c>
    </row>
    <row r="173" spans="1:32" hidden="1">
      <c r="A173" s="7">
        <v>1013104</v>
      </c>
      <c r="B173" t="s">
        <v>3346</v>
      </c>
      <c r="C173" t="s">
        <v>3557</v>
      </c>
      <c r="D173" s="7">
        <v>7134260119214</v>
      </c>
      <c r="E173" t="s">
        <v>3558</v>
      </c>
      <c r="F173" t="s">
        <v>3559</v>
      </c>
      <c r="G173" t="s">
        <v>3557</v>
      </c>
      <c r="H173" t="s">
        <v>3911</v>
      </c>
      <c r="I173" t="s">
        <v>3560</v>
      </c>
      <c r="J173" t="s">
        <v>3561</v>
      </c>
      <c r="K173" t="s">
        <v>261</v>
      </c>
      <c r="L173" t="s">
        <v>2625</v>
      </c>
      <c r="N173" t="s">
        <v>3562</v>
      </c>
      <c r="O173" s="7">
        <v>49936</v>
      </c>
      <c r="R173" s="7">
        <v>1</v>
      </c>
      <c r="S173" t="s">
        <v>3563</v>
      </c>
      <c r="T173" t="s">
        <v>2271</v>
      </c>
      <c r="U173" s="7">
        <v>1</v>
      </c>
      <c r="V173" s="7">
        <v>1400</v>
      </c>
      <c r="W173" t="s">
        <v>35</v>
      </c>
      <c r="Y173" t="s">
        <v>2269</v>
      </c>
      <c r="Z173" t="s">
        <v>2313</v>
      </c>
      <c r="AB173" s="7">
        <v>1652</v>
      </c>
      <c r="AC173" s="7">
        <v>0</v>
      </c>
      <c r="AF173" s="7">
        <v>1652</v>
      </c>
    </row>
    <row r="174" spans="1:32" hidden="1">
      <c r="A174" s="7">
        <v>1013104</v>
      </c>
      <c r="B174" t="s">
        <v>3346</v>
      </c>
      <c r="C174" t="s">
        <v>3557</v>
      </c>
      <c r="D174" s="7">
        <v>7134260119214</v>
      </c>
      <c r="E174" t="s">
        <v>3558</v>
      </c>
      <c r="F174" t="s">
        <v>3559</v>
      </c>
      <c r="G174" t="s">
        <v>3557</v>
      </c>
      <c r="H174" t="s">
        <v>3911</v>
      </c>
      <c r="I174" t="s">
        <v>3560</v>
      </c>
      <c r="J174" t="s">
        <v>3561</v>
      </c>
      <c r="K174" t="s">
        <v>261</v>
      </c>
      <c r="L174" t="s">
        <v>2625</v>
      </c>
      <c r="N174" t="s">
        <v>3562</v>
      </c>
      <c r="O174" s="7">
        <v>49936</v>
      </c>
      <c r="R174" s="7">
        <v>2</v>
      </c>
      <c r="S174" t="s">
        <v>3564</v>
      </c>
      <c r="T174" t="s">
        <v>2271</v>
      </c>
      <c r="U174" s="7">
        <v>1</v>
      </c>
      <c r="V174" s="7">
        <v>2800</v>
      </c>
      <c r="W174" t="s">
        <v>35</v>
      </c>
      <c r="Y174" t="s">
        <v>2269</v>
      </c>
      <c r="Z174" t="s">
        <v>2313</v>
      </c>
      <c r="AB174" s="7">
        <v>3304</v>
      </c>
      <c r="AC174" s="7">
        <v>0</v>
      </c>
      <c r="AF174" s="7">
        <v>3304</v>
      </c>
    </row>
    <row r="175" spans="1:32" hidden="1">
      <c r="A175" s="7">
        <v>1013129</v>
      </c>
      <c r="B175" t="s">
        <v>3340</v>
      </c>
      <c r="C175" t="s">
        <v>3557</v>
      </c>
      <c r="D175" s="7">
        <v>7134260119224</v>
      </c>
      <c r="E175" t="s">
        <v>3565</v>
      </c>
      <c r="F175" t="s">
        <v>3566</v>
      </c>
      <c r="G175" t="s">
        <v>3567</v>
      </c>
      <c r="H175" t="s">
        <v>3911</v>
      </c>
      <c r="I175" t="s">
        <v>3568</v>
      </c>
      <c r="J175" t="s">
        <v>3569</v>
      </c>
      <c r="K175" t="s">
        <v>261</v>
      </c>
      <c r="L175" t="s">
        <v>2625</v>
      </c>
      <c r="N175" t="s">
        <v>3570</v>
      </c>
      <c r="O175" s="7">
        <v>47749</v>
      </c>
      <c r="R175" s="7">
        <v>1</v>
      </c>
      <c r="S175" t="s">
        <v>3563</v>
      </c>
      <c r="T175" t="s">
        <v>2271</v>
      </c>
      <c r="U175" s="7">
        <v>1</v>
      </c>
      <c r="V175" s="7">
        <v>1400</v>
      </c>
      <c r="W175" t="s">
        <v>35</v>
      </c>
      <c r="Y175" t="s">
        <v>2269</v>
      </c>
      <c r="Z175" t="s">
        <v>2313</v>
      </c>
      <c r="AB175" s="7">
        <v>1652</v>
      </c>
      <c r="AC175" s="7">
        <v>0</v>
      </c>
      <c r="AF175" s="7">
        <v>1652</v>
      </c>
    </row>
    <row r="176" spans="1:32" hidden="1">
      <c r="A176" s="7">
        <v>1013129</v>
      </c>
      <c r="B176" t="s">
        <v>3340</v>
      </c>
      <c r="C176" t="s">
        <v>3557</v>
      </c>
      <c r="D176" s="7">
        <v>7134260119224</v>
      </c>
      <c r="E176" t="s">
        <v>3565</v>
      </c>
      <c r="F176" t="s">
        <v>3566</v>
      </c>
      <c r="G176" t="s">
        <v>3567</v>
      </c>
      <c r="H176" t="s">
        <v>3911</v>
      </c>
      <c r="I176" t="s">
        <v>3568</v>
      </c>
      <c r="J176" t="s">
        <v>3569</v>
      </c>
      <c r="K176" t="s">
        <v>261</v>
      </c>
      <c r="L176" t="s">
        <v>2625</v>
      </c>
      <c r="N176" t="s">
        <v>3570</v>
      </c>
      <c r="O176" s="7">
        <v>47749</v>
      </c>
      <c r="R176" s="7">
        <v>2</v>
      </c>
      <c r="S176" t="s">
        <v>3564</v>
      </c>
      <c r="T176" t="s">
        <v>2271</v>
      </c>
      <c r="U176" s="7">
        <v>1</v>
      </c>
      <c r="V176" s="7">
        <v>2800</v>
      </c>
      <c r="W176" t="s">
        <v>35</v>
      </c>
      <c r="Y176" t="s">
        <v>2269</v>
      </c>
      <c r="Z176" t="s">
        <v>2313</v>
      </c>
      <c r="AB176" s="7">
        <v>3304</v>
      </c>
      <c r="AC176" s="7">
        <v>0</v>
      </c>
      <c r="AF176" s="7">
        <v>3304</v>
      </c>
    </row>
    <row r="177" spans="1:35" hidden="1">
      <c r="A177" s="7">
        <v>1013130</v>
      </c>
      <c r="B177" t="s">
        <v>3339</v>
      </c>
      <c r="C177" t="s">
        <v>3557</v>
      </c>
      <c r="D177" s="7">
        <v>7134260119205</v>
      </c>
      <c r="E177" t="s">
        <v>3571</v>
      </c>
      <c r="F177" t="s">
        <v>3572</v>
      </c>
      <c r="G177" t="s">
        <v>3567</v>
      </c>
      <c r="H177" t="s">
        <v>3912</v>
      </c>
      <c r="I177" t="s">
        <v>3573</v>
      </c>
      <c r="J177" t="s">
        <v>3574</v>
      </c>
      <c r="K177" t="s">
        <v>261</v>
      </c>
      <c r="L177" t="s">
        <v>3575</v>
      </c>
      <c r="N177" t="s">
        <v>3576</v>
      </c>
      <c r="O177" s="7">
        <v>43000</v>
      </c>
      <c r="R177" s="7">
        <v>1</v>
      </c>
      <c r="S177" t="s">
        <v>2825</v>
      </c>
      <c r="T177" t="s">
        <v>2826</v>
      </c>
      <c r="U177" s="7">
        <v>1</v>
      </c>
      <c r="V177" s="8">
        <v>12374.27</v>
      </c>
      <c r="W177" t="s">
        <v>35</v>
      </c>
      <c r="Y177" t="s">
        <v>2269</v>
      </c>
      <c r="Z177" t="s">
        <v>2313</v>
      </c>
      <c r="AB177" s="8">
        <v>14601.64</v>
      </c>
      <c r="AC177" s="7">
        <v>0</v>
      </c>
      <c r="AF177" s="8">
        <v>14601.64</v>
      </c>
      <c r="AI177" t="s">
        <v>3577</v>
      </c>
    </row>
    <row r="178" spans="1:35" hidden="1">
      <c r="A178" s="7">
        <v>1013130</v>
      </c>
      <c r="B178" t="s">
        <v>3339</v>
      </c>
      <c r="C178" t="s">
        <v>3557</v>
      </c>
      <c r="D178" s="7">
        <v>7134260119205</v>
      </c>
      <c r="E178" t="s">
        <v>3571</v>
      </c>
      <c r="F178" t="s">
        <v>3572</v>
      </c>
      <c r="G178" t="s">
        <v>3567</v>
      </c>
      <c r="H178" t="s">
        <v>3912</v>
      </c>
      <c r="I178" t="s">
        <v>3573</v>
      </c>
      <c r="J178" t="s">
        <v>3574</v>
      </c>
      <c r="K178" t="s">
        <v>261</v>
      </c>
      <c r="L178" t="s">
        <v>3575</v>
      </c>
      <c r="N178" t="s">
        <v>3576</v>
      </c>
      <c r="O178" s="7">
        <v>43000</v>
      </c>
      <c r="R178" s="7">
        <v>2</v>
      </c>
      <c r="S178" t="s">
        <v>2837</v>
      </c>
      <c r="T178" t="s">
        <v>2271</v>
      </c>
      <c r="U178" s="7">
        <v>1</v>
      </c>
      <c r="V178" s="8">
        <v>61.25</v>
      </c>
      <c r="W178" t="s">
        <v>35</v>
      </c>
      <c r="Y178" t="s">
        <v>2269</v>
      </c>
      <c r="Z178" t="s">
        <v>2313</v>
      </c>
      <c r="AB178" s="8">
        <v>72.28</v>
      </c>
      <c r="AC178" s="7">
        <v>0</v>
      </c>
      <c r="AF178" s="8">
        <v>72.28</v>
      </c>
      <c r="AI178" t="s">
        <v>3577</v>
      </c>
    </row>
    <row r="179" spans="1:35" hidden="1">
      <c r="A179" s="7">
        <v>1013138</v>
      </c>
      <c r="B179" t="s">
        <v>3344</v>
      </c>
      <c r="C179" t="s">
        <v>3557</v>
      </c>
      <c r="D179" s="7">
        <v>7134260119223</v>
      </c>
      <c r="E179" t="s">
        <v>3578</v>
      </c>
      <c r="F179" t="s">
        <v>3579</v>
      </c>
      <c r="G179" t="s">
        <v>3567</v>
      </c>
      <c r="H179" t="s">
        <v>3911</v>
      </c>
      <c r="I179" t="s">
        <v>3580</v>
      </c>
      <c r="J179" t="s">
        <v>3581</v>
      </c>
      <c r="K179" t="s">
        <v>261</v>
      </c>
      <c r="L179" t="s">
        <v>3291</v>
      </c>
      <c r="N179" t="s">
        <v>3562</v>
      </c>
      <c r="O179" s="7">
        <v>42610</v>
      </c>
      <c r="R179" s="7">
        <v>1</v>
      </c>
      <c r="S179" t="s">
        <v>3563</v>
      </c>
      <c r="T179" t="s">
        <v>2271</v>
      </c>
      <c r="U179" s="7">
        <v>1</v>
      </c>
      <c r="V179" s="7">
        <v>1400</v>
      </c>
      <c r="W179" t="s">
        <v>35</v>
      </c>
      <c r="Y179" t="s">
        <v>2269</v>
      </c>
      <c r="Z179" t="s">
        <v>2313</v>
      </c>
      <c r="AB179" s="7">
        <v>1652</v>
      </c>
      <c r="AC179" s="7">
        <v>0</v>
      </c>
      <c r="AF179" s="7">
        <v>1652</v>
      </c>
    </row>
    <row r="180" spans="1:35" hidden="1">
      <c r="A180" s="7">
        <v>1013138</v>
      </c>
      <c r="B180" t="s">
        <v>3344</v>
      </c>
      <c r="C180" t="s">
        <v>3557</v>
      </c>
      <c r="D180" s="7">
        <v>7134260119223</v>
      </c>
      <c r="E180" t="s">
        <v>3578</v>
      </c>
      <c r="F180" t="s">
        <v>3579</v>
      </c>
      <c r="G180" t="s">
        <v>3567</v>
      </c>
      <c r="H180" t="s">
        <v>3911</v>
      </c>
      <c r="I180" t="s">
        <v>3580</v>
      </c>
      <c r="J180" t="s">
        <v>3581</v>
      </c>
      <c r="K180" t="s">
        <v>261</v>
      </c>
      <c r="L180" t="s">
        <v>3291</v>
      </c>
      <c r="N180" t="s">
        <v>3562</v>
      </c>
      <c r="O180" s="7">
        <v>42610</v>
      </c>
      <c r="R180" s="7">
        <v>2</v>
      </c>
      <c r="S180" t="s">
        <v>3564</v>
      </c>
      <c r="T180" t="s">
        <v>2271</v>
      </c>
      <c r="U180" s="7">
        <v>1</v>
      </c>
      <c r="V180" s="7">
        <v>2800</v>
      </c>
      <c r="W180" t="s">
        <v>35</v>
      </c>
      <c r="Y180" t="s">
        <v>2269</v>
      </c>
      <c r="Z180" t="s">
        <v>2313</v>
      </c>
      <c r="AB180" s="7">
        <v>3304</v>
      </c>
      <c r="AC180" s="7">
        <v>0</v>
      </c>
      <c r="AF180" s="7">
        <v>3304</v>
      </c>
    </row>
    <row r="181" spans="1:35" hidden="1">
      <c r="A181" s="7">
        <v>1013139</v>
      </c>
      <c r="B181" t="s">
        <v>3338</v>
      </c>
      <c r="C181" t="s">
        <v>3557</v>
      </c>
      <c r="D181" s="7">
        <v>7134260119196</v>
      </c>
      <c r="E181" t="s">
        <v>3582</v>
      </c>
      <c r="F181" t="s">
        <v>3583</v>
      </c>
      <c r="G181" t="s">
        <v>3567</v>
      </c>
      <c r="H181" t="s">
        <v>3912</v>
      </c>
      <c r="I181" t="s">
        <v>1939</v>
      </c>
      <c r="J181" t="s">
        <v>1940</v>
      </c>
      <c r="K181" t="s">
        <v>261</v>
      </c>
      <c r="L181" t="s">
        <v>3282</v>
      </c>
      <c r="N181" t="s">
        <v>3584</v>
      </c>
      <c r="O181" s="7">
        <v>52283</v>
      </c>
      <c r="R181" s="7">
        <v>1</v>
      </c>
      <c r="S181" t="s">
        <v>3284</v>
      </c>
      <c r="T181" t="s">
        <v>3285</v>
      </c>
      <c r="U181" s="7">
        <v>1</v>
      </c>
      <c r="V181" s="8">
        <v>2709.18</v>
      </c>
      <c r="W181" t="s">
        <v>35</v>
      </c>
      <c r="Y181" t="s">
        <v>2269</v>
      </c>
      <c r="Z181" t="s">
        <v>2313</v>
      </c>
      <c r="AB181" s="8">
        <v>3196.83</v>
      </c>
      <c r="AC181" s="7">
        <v>0</v>
      </c>
      <c r="AF181" s="8">
        <v>3196.83</v>
      </c>
    </row>
    <row r="182" spans="1:35" hidden="1">
      <c r="A182" s="7">
        <v>1013139</v>
      </c>
      <c r="B182" t="s">
        <v>3338</v>
      </c>
      <c r="C182" t="s">
        <v>3557</v>
      </c>
      <c r="D182" s="7">
        <v>7134260119196</v>
      </c>
      <c r="E182" t="s">
        <v>3582</v>
      </c>
      <c r="F182" t="s">
        <v>3583</v>
      </c>
      <c r="G182" t="s">
        <v>3567</v>
      </c>
      <c r="H182" t="s">
        <v>3912</v>
      </c>
      <c r="I182" t="s">
        <v>1939</v>
      </c>
      <c r="J182" t="s">
        <v>1940</v>
      </c>
      <c r="K182" t="s">
        <v>261</v>
      </c>
      <c r="L182" t="s">
        <v>3282</v>
      </c>
      <c r="N182" t="s">
        <v>3584</v>
      </c>
      <c r="O182" s="7">
        <v>52283</v>
      </c>
      <c r="R182" s="7">
        <v>2</v>
      </c>
      <c r="S182" t="s">
        <v>3585</v>
      </c>
      <c r="T182" t="s">
        <v>3586</v>
      </c>
      <c r="U182" s="7">
        <v>1</v>
      </c>
      <c r="V182" s="8">
        <v>9477.66</v>
      </c>
      <c r="W182" t="s">
        <v>2300</v>
      </c>
      <c r="X182" s="7">
        <v>47</v>
      </c>
      <c r="Y182" t="s">
        <v>3587</v>
      </c>
      <c r="Z182" t="s">
        <v>2701</v>
      </c>
      <c r="AB182" s="8">
        <v>11183.64</v>
      </c>
      <c r="AC182" s="8">
        <v>11183.64</v>
      </c>
      <c r="AF182" s="7">
        <v>0</v>
      </c>
    </row>
    <row r="183" spans="1:35" hidden="1">
      <c r="A183" s="7">
        <v>1013139</v>
      </c>
      <c r="B183" t="s">
        <v>3338</v>
      </c>
      <c r="C183" t="s">
        <v>3557</v>
      </c>
      <c r="D183" s="7">
        <v>7134260119196</v>
      </c>
      <c r="E183" t="s">
        <v>3582</v>
      </c>
      <c r="F183" t="s">
        <v>3583</v>
      </c>
      <c r="G183" t="s">
        <v>3567</v>
      </c>
      <c r="H183" t="s">
        <v>3912</v>
      </c>
      <c r="I183" t="s">
        <v>1939</v>
      </c>
      <c r="J183" t="s">
        <v>1940</v>
      </c>
      <c r="K183" t="s">
        <v>261</v>
      </c>
      <c r="L183" t="s">
        <v>3282</v>
      </c>
      <c r="N183" t="s">
        <v>3584</v>
      </c>
      <c r="O183" s="7">
        <v>52283</v>
      </c>
      <c r="R183" s="7">
        <v>3</v>
      </c>
      <c r="S183" t="s">
        <v>2270</v>
      </c>
      <c r="T183" t="s">
        <v>2271</v>
      </c>
      <c r="U183" s="7">
        <v>1</v>
      </c>
      <c r="V183" s="7">
        <v>245</v>
      </c>
      <c r="W183" t="s">
        <v>35</v>
      </c>
      <c r="Y183" t="s">
        <v>2269</v>
      </c>
      <c r="Z183" t="s">
        <v>2313</v>
      </c>
      <c r="AB183" s="8">
        <v>289.10000000000002</v>
      </c>
      <c r="AC183" s="7">
        <v>0</v>
      </c>
      <c r="AF183" s="8">
        <v>289.10000000000002</v>
      </c>
    </row>
    <row r="184" spans="1:35" hidden="1">
      <c r="A184" s="7">
        <v>1013144</v>
      </c>
      <c r="B184" t="s">
        <v>3348</v>
      </c>
      <c r="C184" t="s">
        <v>3557</v>
      </c>
      <c r="D184" s="7">
        <v>7134260119216</v>
      </c>
      <c r="E184" t="s">
        <v>3588</v>
      </c>
      <c r="F184" t="s">
        <v>3589</v>
      </c>
      <c r="G184" t="s">
        <v>3567</v>
      </c>
      <c r="H184" t="s">
        <v>3911</v>
      </c>
      <c r="I184" t="s">
        <v>3590</v>
      </c>
      <c r="J184" t="s">
        <v>3591</v>
      </c>
      <c r="K184" t="s">
        <v>261</v>
      </c>
      <c r="L184" t="s">
        <v>3291</v>
      </c>
      <c r="N184" t="s">
        <v>3562</v>
      </c>
      <c r="O184" s="7">
        <v>49750</v>
      </c>
      <c r="R184" s="7">
        <v>1</v>
      </c>
      <c r="S184" t="s">
        <v>3563</v>
      </c>
      <c r="T184" t="s">
        <v>2271</v>
      </c>
      <c r="U184" s="7">
        <v>1</v>
      </c>
      <c r="V184" s="7">
        <v>1400</v>
      </c>
      <c r="W184" t="s">
        <v>35</v>
      </c>
      <c r="Y184" t="s">
        <v>2269</v>
      </c>
      <c r="Z184" t="s">
        <v>2313</v>
      </c>
      <c r="AB184" s="7">
        <v>1652</v>
      </c>
      <c r="AC184" s="7">
        <v>0</v>
      </c>
      <c r="AF184" s="7">
        <v>1652</v>
      </c>
    </row>
    <row r="185" spans="1:35" hidden="1">
      <c r="A185" s="7">
        <v>1013144</v>
      </c>
      <c r="B185" t="s">
        <v>3348</v>
      </c>
      <c r="C185" t="s">
        <v>3557</v>
      </c>
      <c r="D185" s="7">
        <v>7134260119216</v>
      </c>
      <c r="E185" t="s">
        <v>3588</v>
      </c>
      <c r="F185" t="s">
        <v>3589</v>
      </c>
      <c r="G185" t="s">
        <v>3567</v>
      </c>
      <c r="H185" t="s">
        <v>3911</v>
      </c>
      <c r="I185" t="s">
        <v>3590</v>
      </c>
      <c r="J185" t="s">
        <v>3591</v>
      </c>
      <c r="K185" t="s">
        <v>261</v>
      </c>
      <c r="L185" t="s">
        <v>3291</v>
      </c>
      <c r="N185" t="s">
        <v>3562</v>
      </c>
      <c r="O185" s="7">
        <v>49750</v>
      </c>
      <c r="R185" s="7">
        <v>2</v>
      </c>
      <c r="S185" t="s">
        <v>3564</v>
      </c>
      <c r="T185" t="s">
        <v>2271</v>
      </c>
      <c r="U185" s="7">
        <v>1</v>
      </c>
      <c r="V185" s="7">
        <v>2800</v>
      </c>
      <c r="W185" t="s">
        <v>35</v>
      </c>
      <c r="Y185" t="s">
        <v>2269</v>
      </c>
      <c r="Z185" t="s">
        <v>2313</v>
      </c>
      <c r="AB185" s="7">
        <v>3304</v>
      </c>
      <c r="AC185" s="7">
        <v>0</v>
      </c>
      <c r="AF185" s="7">
        <v>3304</v>
      </c>
    </row>
    <row r="186" spans="1:35" hidden="1">
      <c r="A186" s="7">
        <v>1013145</v>
      </c>
      <c r="B186" t="s">
        <v>3343</v>
      </c>
      <c r="C186" t="s">
        <v>3557</v>
      </c>
      <c r="D186" s="7">
        <v>7134260119227</v>
      </c>
      <c r="E186" t="s">
        <v>3592</v>
      </c>
      <c r="F186" t="s">
        <v>3593</v>
      </c>
      <c r="G186" t="s">
        <v>3567</v>
      </c>
      <c r="H186" t="s">
        <v>3911</v>
      </c>
      <c r="I186" t="s">
        <v>3594</v>
      </c>
      <c r="J186" t="s">
        <v>3595</v>
      </c>
      <c r="K186" t="s">
        <v>261</v>
      </c>
      <c r="L186" t="s">
        <v>2625</v>
      </c>
      <c r="N186" t="s">
        <v>3596</v>
      </c>
      <c r="O186" s="7">
        <v>46929</v>
      </c>
      <c r="R186" s="7">
        <v>1</v>
      </c>
      <c r="S186" t="s">
        <v>3563</v>
      </c>
      <c r="T186" t="s">
        <v>2271</v>
      </c>
      <c r="U186" s="7">
        <v>1</v>
      </c>
      <c r="V186" s="7">
        <v>1400</v>
      </c>
      <c r="W186" t="s">
        <v>35</v>
      </c>
      <c r="Y186" t="s">
        <v>2269</v>
      </c>
      <c r="Z186" t="s">
        <v>2313</v>
      </c>
      <c r="AB186" s="7">
        <v>1652</v>
      </c>
      <c r="AC186" s="7">
        <v>0</v>
      </c>
      <c r="AF186" s="7">
        <v>1652</v>
      </c>
    </row>
    <row r="187" spans="1:35" hidden="1">
      <c r="A187" s="7">
        <v>1013145</v>
      </c>
      <c r="B187" t="s">
        <v>3343</v>
      </c>
      <c r="C187" t="s">
        <v>3557</v>
      </c>
      <c r="D187" s="7">
        <v>7134260119227</v>
      </c>
      <c r="E187" t="s">
        <v>3592</v>
      </c>
      <c r="F187" t="s">
        <v>3593</v>
      </c>
      <c r="G187" t="s">
        <v>3567</v>
      </c>
      <c r="H187" t="s">
        <v>3911</v>
      </c>
      <c r="I187" t="s">
        <v>3594</v>
      </c>
      <c r="J187" t="s">
        <v>3595</v>
      </c>
      <c r="K187" t="s">
        <v>261</v>
      </c>
      <c r="L187" t="s">
        <v>2625</v>
      </c>
      <c r="N187" t="s">
        <v>3596</v>
      </c>
      <c r="O187" s="7">
        <v>46929</v>
      </c>
      <c r="R187" s="7">
        <v>2</v>
      </c>
      <c r="S187" t="s">
        <v>3564</v>
      </c>
      <c r="T187" t="s">
        <v>2271</v>
      </c>
      <c r="U187" s="7">
        <v>1</v>
      </c>
      <c r="V187" s="7">
        <v>2800</v>
      </c>
      <c r="W187" t="s">
        <v>35</v>
      </c>
      <c r="Y187" t="s">
        <v>2269</v>
      </c>
      <c r="Z187" t="s">
        <v>2313</v>
      </c>
      <c r="AB187" s="7">
        <v>3304</v>
      </c>
      <c r="AC187" s="7">
        <v>0</v>
      </c>
      <c r="AF187" s="7">
        <v>3304</v>
      </c>
    </row>
    <row r="188" spans="1:35" hidden="1">
      <c r="A188" s="7">
        <v>1013146</v>
      </c>
      <c r="B188" t="s">
        <v>3332</v>
      </c>
      <c r="C188" t="s">
        <v>3557</v>
      </c>
      <c r="D188" s="7">
        <v>7134260118320</v>
      </c>
      <c r="E188" t="s">
        <v>3597</v>
      </c>
      <c r="F188" t="s">
        <v>3598</v>
      </c>
      <c r="G188" t="s">
        <v>3567</v>
      </c>
      <c r="H188" t="s">
        <v>3912</v>
      </c>
      <c r="I188" t="s">
        <v>2056</v>
      </c>
      <c r="J188" t="s">
        <v>2057</v>
      </c>
      <c r="K188" t="s">
        <v>261</v>
      </c>
      <c r="L188" t="s">
        <v>3282</v>
      </c>
      <c r="N188" t="s">
        <v>3599</v>
      </c>
      <c r="O188" s="7">
        <v>38413</v>
      </c>
      <c r="R188" s="7">
        <v>1</v>
      </c>
      <c r="S188" t="s">
        <v>3600</v>
      </c>
      <c r="T188" t="s">
        <v>3601</v>
      </c>
      <c r="U188" s="7">
        <v>1</v>
      </c>
      <c r="V188" s="8">
        <v>3088.77</v>
      </c>
      <c r="W188" t="s">
        <v>35</v>
      </c>
      <c r="Y188" t="s">
        <v>2269</v>
      </c>
      <c r="Z188" t="s">
        <v>2313</v>
      </c>
      <c r="AB188" s="8">
        <v>3644.75</v>
      </c>
      <c r="AC188" s="7">
        <v>0</v>
      </c>
      <c r="AF188" s="8">
        <v>3644.75</v>
      </c>
    </row>
    <row r="189" spans="1:35" hidden="1">
      <c r="A189" s="7">
        <v>1013146</v>
      </c>
      <c r="B189" t="s">
        <v>3332</v>
      </c>
      <c r="C189" t="s">
        <v>3557</v>
      </c>
      <c r="D189" s="7">
        <v>7134260118320</v>
      </c>
      <c r="E189" t="s">
        <v>3597</v>
      </c>
      <c r="F189" t="s">
        <v>3598</v>
      </c>
      <c r="G189" t="s">
        <v>3567</v>
      </c>
      <c r="H189" t="s">
        <v>3912</v>
      </c>
      <c r="I189" t="s">
        <v>2056</v>
      </c>
      <c r="J189" t="s">
        <v>2057</v>
      </c>
      <c r="K189" t="s">
        <v>261</v>
      </c>
      <c r="L189" t="s">
        <v>3282</v>
      </c>
      <c r="N189" t="s">
        <v>3599</v>
      </c>
      <c r="O189" s="7">
        <v>38413</v>
      </c>
      <c r="R189" s="7">
        <v>2</v>
      </c>
      <c r="S189" t="s">
        <v>3602</v>
      </c>
      <c r="T189" t="s">
        <v>2271</v>
      </c>
      <c r="U189" s="7">
        <v>1</v>
      </c>
      <c r="V189" s="8">
        <v>288.75</v>
      </c>
      <c r="W189" t="s">
        <v>35</v>
      </c>
      <c r="Y189" t="s">
        <v>2269</v>
      </c>
      <c r="Z189" t="s">
        <v>2313</v>
      </c>
      <c r="AB189" s="8">
        <v>340.73</v>
      </c>
      <c r="AC189" s="7">
        <v>0</v>
      </c>
      <c r="AF189" s="8">
        <v>340.73</v>
      </c>
    </row>
    <row r="190" spans="1:35" hidden="1">
      <c r="A190" s="7">
        <v>1013150</v>
      </c>
      <c r="B190" t="s">
        <v>3341</v>
      </c>
      <c r="C190" t="s">
        <v>3557</v>
      </c>
      <c r="D190" s="7">
        <v>7134260119225</v>
      </c>
      <c r="E190" t="s">
        <v>3603</v>
      </c>
      <c r="F190" t="s">
        <v>3604</v>
      </c>
      <c r="G190" t="s">
        <v>3567</v>
      </c>
      <c r="H190" t="s">
        <v>3911</v>
      </c>
      <c r="I190" t="s">
        <v>3605</v>
      </c>
      <c r="J190" t="s">
        <v>3606</v>
      </c>
      <c r="K190" t="s">
        <v>261</v>
      </c>
      <c r="L190" t="s">
        <v>3291</v>
      </c>
      <c r="N190" t="s">
        <v>3570</v>
      </c>
      <c r="O190" s="7">
        <v>45551</v>
      </c>
      <c r="R190" s="7">
        <v>1</v>
      </c>
      <c r="S190" t="s">
        <v>3563</v>
      </c>
      <c r="T190" t="s">
        <v>2271</v>
      </c>
      <c r="U190" s="7">
        <v>1</v>
      </c>
      <c r="V190" s="7">
        <v>1400</v>
      </c>
      <c r="W190" t="s">
        <v>35</v>
      </c>
      <c r="Y190" t="s">
        <v>2269</v>
      </c>
      <c r="Z190" t="s">
        <v>2313</v>
      </c>
      <c r="AB190" s="7">
        <v>1652</v>
      </c>
      <c r="AC190" s="7">
        <v>0</v>
      </c>
      <c r="AF190" s="7">
        <v>1652</v>
      </c>
    </row>
    <row r="191" spans="1:35" hidden="1">
      <c r="A191" s="7">
        <v>1013150</v>
      </c>
      <c r="B191" t="s">
        <v>3341</v>
      </c>
      <c r="C191" t="s">
        <v>3557</v>
      </c>
      <c r="D191" s="7">
        <v>7134260119225</v>
      </c>
      <c r="E191" t="s">
        <v>3603</v>
      </c>
      <c r="F191" t="s">
        <v>3604</v>
      </c>
      <c r="G191" t="s">
        <v>3567</v>
      </c>
      <c r="H191" t="s">
        <v>3911</v>
      </c>
      <c r="I191" t="s">
        <v>3605</v>
      </c>
      <c r="J191" t="s">
        <v>3606</v>
      </c>
      <c r="K191" t="s">
        <v>261</v>
      </c>
      <c r="L191" t="s">
        <v>3291</v>
      </c>
      <c r="N191" t="s">
        <v>3570</v>
      </c>
      <c r="O191" s="7">
        <v>45551</v>
      </c>
      <c r="R191" s="7">
        <v>2</v>
      </c>
      <c r="S191" t="s">
        <v>3564</v>
      </c>
      <c r="T191" t="s">
        <v>2271</v>
      </c>
      <c r="U191" s="7">
        <v>1</v>
      </c>
      <c r="V191" s="7">
        <v>2800</v>
      </c>
      <c r="W191" t="s">
        <v>35</v>
      </c>
      <c r="Y191" t="s">
        <v>2269</v>
      </c>
      <c r="Z191" t="s">
        <v>2313</v>
      </c>
      <c r="AB191" s="7">
        <v>3304</v>
      </c>
      <c r="AC191" s="7">
        <v>0</v>
      </c>
      <c r="AF191" s="7">
        <v>3304</v>
      </c>
    </row>
    <row r="192" spans="1:35" hidden="1">
      <c r="A192" s="7">
        <v>1013152</v>
      </c>
      <c r="B192" t="s">
        <v>3345</v>
      </c>
      <c r="C192" t="s">
        <v>3557</v>
      </c>
      <c r="D192" s="7">
        <v>7134260119219</v>
      </c>
      <c r="E192" t="s">
        <v>3607</v>
      </c>
      <c r="F192" t="s">
        <v>3608</v>
      </c>
      <c r="G192" t="s">
        <v>3567</v>
      </c>
      <c r="H192" t="s">
        <v>3911</v>
      </c>
      <c r="I192" t="s">
        <v>3609</v>
      </c>
      <c r="J192" t="s">
        <v>3610</v>
      </c>
      <c r="K192" t="s">
        <v>261</v>
      </c>
      <c r="L192" t="s">
        <v>2625</v>
      </c>
      <c r="N192" t="s">
        <v>3562</v>
      </c>
      <c r="O192" s="7">
        <v>42577</v>
      </c>
      <c r="R192" s="7">
        <v>1</v>
      </c>
      <c r="S192" t="s">
        <v>3563</v>
      </c>
      <c r="T192" t="s">
        <v>2271</v>
      </c>
      <c r="U192" s="7">
        <v>1</v>
      </c>
      <c r="V192" s="7">
        <v>1400</v>
      </c>
      <c r="W192" t="s">
        <v>35</v>
      </c>
      <c r="Y192" t="s">
        <v>2269</v>
      </c>
      <c r="Z192" t="s">
        <v>2313</v>
      </c>
      <c r="AB192" s="7">
        <v>1652</v>
      </c>
      <c r="AC192" s="7">
        <v>0</v>
      </c>
      <c r="AF192" s="7">
        <v>1652</v>
      </c>
    </row>
    <row r="193" spans="1:35" hidden="1">
      <c r="A193" s="7">
        <v>1013152</v>
      </c>
      <c r="B193" t="s">
        <v>3345</v>
      </c>
      <c r="C193" t="s">
        <v>3557</v>
      </c>
      <c r="D193" s="7">
        <v>7134260119219</v>
      </c>
      <c r="E193" t="s">
        <v>3607</v>
      </c>
      <c r="F193" t="s">
        <v>3608</v>
      </c>
      <c r="G193" t="s">
        <v>3567</v>
      </c>
      <c r="H193" t="s">
        <v>3911</v>
      </c>
      <c r="I193" t="s">
        <v>3609</v>
      </c>
      <c r="J193" t="s">
        <v>3610</v>
      </c>
      <c r="K193" t="s">
        <v>261</v>
      </c>
      <c r="L193" t="s">
        <v>2625</v>
      </c>
      <c r="N193" t="s">
        <v>3562</v>
      </c>
      <c r="O193" s="7">
        <v>42577</v>
      </c>
      <c r="R193" s="7">
        <v>2</v>
      </c>
      <c r="S193" t="s">
        <v>3564</v>
      </c>
      <c r="T193" t="s">
        <v>2271</v>
      </c>
      <c r="U193" s="7">
        <v>1</v>
      </c>
      <c r="V193" s="7">
        <v>2800</v>
      </c>
      <c r="W193" t="s">
        <v>35</v>
      </c>
      <c r="Y193" t="s">
        <v>2269</v>
      </c>
      <c r="Z193" t="s">
        <v>2313</v>
      </c>
      <c r="AB193" s="7">
        <v>3304</v>
      </c>
      <c r="AC193" s="7">
        <v>0</v>
      </c>
      <c r="AF193" s="7">
        <v>3304</v>
      </c>
    </row>
    <row r="194" spans="1:35" hidden="1">
      <c r="A194" s="7">
        <v>1013153</v>
      </c>
      <c r="B194" t="s">
        <v>3331</v>
      </c>
      <c r="C194" t="s">
        <v>3557</v>
      </c>
      <c r="D194" s="7">
        <v>7134260118316</v>
      </c>
      <c r="E194" t="s">
        <v>3611</v>
      </c>
      <c r="F194" t="s">
        <v>3612</v>
      </c>
      <c r="G194" t="s">
        <v>3567</v>
      </c>
      <c r="H194" t="s">
        <v>3912</v>
      </c>
      <c r="I194" t="s">
        <v>1338</v>
      </c>
      <c r="J194" t="s">
        <v>1339</v>
      </c>
      <c r="K194" t="s">
        <v>261</v>
      </c>
      <c r="L194" t="s">
        <v>3613</v>
      </c>
      <c r="N194" t="s">
        <v>3614</v>
      </c>
      <c r="O194" s="7">
        <v>32006</v>
      </c>
      <c r="R194" s="7">
        <v>1</v>
      </c>
      <c r="S194" t="s">
        <v>3615</v>
      </c>
      <c r="T194" t="s">
        <v>3616</v>
      </c>
      <c r="U194" s="7">
        <v>1</v>
      </c>
      <c r="V194" s="8">
        <v>303.63</v>
      </c>
      <c r="W194" t="s">
        <v>35</v>
      </c>
      <c r="Y194" t="s">
        <v>2269</v>
      </c>
      <c r="Z194" t="s">
        <v>2313</v>
      </c>
      <c r="AB194" s="8">
        <v>358.28</v>
      </c>
      <c r="AC194" s="7">
        <v>0</v>
      </c>
      <c r="AF194" s="8">
        <v>358.28</v>
      </c>
    </row>
    <row r="195" spans="1:35" hidden="1">
      <c r="A195" s="7">
        <v>1013153</v>
      </c>
      <c r="B195" t="s">
        <v>3331</v>
      </c>
      <c r="C195" t="s">
        <v>3557</v>
      </c>
      <c r="D195" s="7">
        <v>7134260118316</v>
      </c>
      <c r="E195" t="s">
        <v>3611</v>
      </c>
      <c r="F195" t="s">
        <v>3612</v>
      </c>
      <c r="G195" t="s">
        <v>3567</v>
      </c>
      <c r="H195" t="s">
        <v>3912</v>
      </c>
      <c r="I195" t="s">
        <v>1338</v>
      </c>
      <c r="J195" t="s">
        <v>1339</v>
      </c>
      <c r="K195" t="s">
        <v>261</v>
      </c>
      <c r="L195" t="s">
        <v>3613</v>
      </c>
      <c r="N195" t="s">
        <v>3614</v>
      </c>
      <c r="O195" s="7">
        <v>32006</v>
      </c>
      <c r="R195" s="7">
        <v>2</v>
      </c>
      <c r="S195" t="s">
        <v>3617</v>
      </c>
      <c r="T195" t="s">
        <v>2271</v>
      </c>
      <c r="U195" s="7">
        <v>1</v>
      </c>
      <c r="V195">
        <v>1137.5</v>
      </c>
      <c r="W195" t="s">
        <v>35</v>
      </c>
      <c r="Y195" t="s">
        <v>2269</v>
      </c>
      <c r="Z195" t="s">
        <v>2313</v>
      </c>
      <c r="AB195" s="8">
        <v>1342.25</v>
      </c>
      <c r="AC195" s="7">
        <v>0</v>
      </c>
      <c r="AF195" s="8">
        <v>1342.25</v>
      </c>
    </row>
    <row r="196" spans="1:35" hidden="1">
      <c r="A196" s="7">
        <v>1013162</v>
      </c>
      <c r="B196" t="s">
        <v>3347</v>
      </c>
      <c r="C196" t="s">
        <v>3557</v>
      </c>
      <c r="D196" s="7">
        <v>7134260119221</v>
      </c>
      <c r="E196" t="s">
        <v>3618</v>
      </c>
      <c r="F196" t="s">
        <v>3619</v>
      </c>
      <c r="G196" t="s">
        <v>3567</v>
      </c>
      <c r="H196" t="s">
        <v>3911</v>
      </c>
      <c r="I196" t="s">
        <v>1987</v>
      </c>
      <c r="J196" t="s">
        <v>1988</v>
      </c>
      <c r="K196" t="s">
        <v>261</v>
      </c>
      <c r="L196" t="s">
        <v>3291</v>
      </c>
      <c r="N196" t="s">
        <v>3562</v>
      </c>
      <c r="O196" s="7">
        <v>33640</v>
      </c>
      <c r="R196" s="7">
        <v>1</v>
      </c>
      <c r="S196" t="s">
        <v>3563</v>
      </c>
      <c r="T196" t="s">
        <v>2271</v>
      </c>
      <c r="U196" s="7">
        <v>1</v>
      </c>
      <c r="V196" s="7">
        <v>1400</v>
      </c>
      <c r="W196" t="s">
        <v>35</v>
      </c>
      <c r="Y196" t="s">
        <v>2269</v>
      </c>
      <c r="Z196" t="s">
        <v>2313</v>
      </c>
      <c r="AB196" s="7">
        <v>1652</v>
      </c>
      <c r="AC196" s="7">
        <v>0</v>
      </c>
      <c r="AF196" s="7">
        <v>1652</v>
      </c>
    </row>
    <row r="197" spans="1:35" hidden="1">
      <c r="A197" s="7">
        <v>1013162</v>
      </c>
      <c r="B197" t="s">
        <v>3347</v>
      </c>
      <c r="C197" t="s">
        <v>3557</v>
      </c>
      <c r="D197" s="7">
        <v>7134260119221</v>
      </c>
      <c r="E197" t="s">
        <v>3618</v>
      </c>
      <c r="F197" t="s">
        <v>3619</v>
      </c>
      <c r="G197" t="s">
        <v>3567</v>
      </c>
      <c r="H197" t="s">
        <v>3911</v>
      </c>
      <c r="I197" t="s">
        <v>1987</v>
      </c>
      <c r="J197" t="s">
        <v>1988</v>
      </c>
      <c r="K197" t="s">
        <v>261</v>
      </c>
      <c r="L197" t="s">
        <v>3291</v>
      </c>
      <c r="N197" t="s">
        <v>3562</v>
      </c>
      <c r="O197" s="7">
        <v>33640</v>
      </c>
      <c r="R197" s="7">
        <v>2</v>
      </c>
      <c r="S197" t="s">
        <v>3564</v>
      </c>
      <c r="T197" t="s">
        <v>2271</v>
      </c>
      <c r="U197" s="7">
        <v>1</v>
      </c>
      <c r="V197" s="7">
        <v>2800</v>
      </c>
      <c r="W197" t="s">
        <v>35</v>
      </c>
      <c r="Y197" t="s">
        <v>2269</v>
      </c>
      <c r="Z197" t="s">
        <v>2313</v>
      </c>
      <c r="AB197" s="7">
        <v>3304</v>
      </c>
      <c r="AC197" s="7">
        <v>0</v>
      </c>
      <c r="AF197" s="7">
        <v>3304</v>
      </c>
    </row>
    <row r="198" spans="1:35" hidden="1">
      <c r="A198" s="7">
        <v>1013178</v>
      </c>
      <c r="B198" t="s">
        <v>3335</v>
      </c>
      <c r="C198" t="s">
        <v>3557</v>
      </c>
      <c r="D198" s="7">
        <v>7134260119093</v>
      </c>
      <c r="E198" t="s">
        <v>3620</v>
      </c>
      <c r="F198" t="s">
        <v>3621</v>
      </c>
      <c r="G198" t="s">
        <v>3567</v>
      </c>
      <c r="H198" t="s">
        <v>3912</v>
      </c>
      <c r="I198" t="s">
        <v>1892</v>
      </c>
      <c r="J198" t="s">
        <v>1893</v>
      </c>
      <c r="K198" t="s">
        <v>261</v>
      </c>
      <c r="L198" t="s">
        <v>2260</v>
      </c>
      <c r="N198" t="s">
        <v>3622</v>
      </c>
      <c r="O198" s="7">
        <v>43470</v>
      </c>
      <c r="R198" s="7">
        <v>1</v>
      </c>
      <c r="S198" t="s">
        <v>2290</v>
      </c>
      <c r="T198" t="s">
        <v>2291</v>
      </c>
      <c r="U198" s="7">
        <v>1</v>
      </c>
      <c r="V198" s="8">
        <v>9241.26</v>
      </c>
      <c r="W198" t="s">
        <v>35</v>
      </c>
      <c r="Y198" t="s">
        <v>2269</v>
      </c>
      <c r="Z198" t="s">
        <v>2313</v>
      </c>
      <c r="AB198" s="8">
        <v>10904.69</v>
      </c>
      <c r="AC198" s="7">
        <v>0</v>
      </c>
      <c r="AF198" s="8">
        <v>10904.69</v>
      </c>
      <c r="AI198" t="s">
        <v>3623</v>
      </c>
    </row>
    <row r="199" spans="1:35" hidden="1">
      <c r="A199" s="7">
        <v>1013178</v>
      </c>
      <c r="B199" t="s">
        <v>3335</v>
      </c>
      <c r="C199" t="s">
        <v>3557</v>
      </c>
      <c r="D199" s="7">
        <v>7134260119093</v>
      </c>
      <c r="E199" t="s">
        <v>3620</v>
      </c>
      <c r="F199" t="s">
        <v>3621</v>
      </c>
      <c r="G199" t="s">
        <v>3567</v>
      </c>
      <c r="H199" t="s">
        <v>3912</v>
      </c>
      <c r="I199" t="s">
        <v>1892</v>
      </c>
      <c r="J199" t="s">
        <v>1893</v>
      </c>
      <c r="K199" t="s">
        <v>261</v>
      </c>
      <c r="L199" t="s">
        <v>2260</v>
      </c>
      <c r="N199" t="s">
        <v>3622</v>
      </c>
      <c r="O199" s="7">
        <v>43470</v>
      </c>
      <c r="R199" s="7">
        <v>2</v>
      </c>
      <c r="S199" t="s">
        <v>3624</v>
      </c>
      <c r="T199" t="s">
        <v>2271</v>
      </c>
      <c r="U199" s="7">
        <v>1</v>
      </c>
      <c r="V199" s="8">
        <v>43.75</v>
      </c>
      <c r="W199" t="s">
        <v>35</v>
      </c>
      <c r="Y199" t="s">
        <v>2269</v>
      </c>
      <c r="Z199" t="s">
        <v>2313</v>
      </c>
      <c r="AB199" s="8">
        <v>51.63</v>
      </c>
      <c r="AC199" s="7">
        <v>0</v>
      </c>
      <c r="AF199" s="8">
        <v>51.63</v>
      </c>
      <c r="AI199" t="s">
        <v>3623</v>
      </c>
    </row>
    <row r="200" spans="1:35" hidden="1">
      <c r="A200" s="7">
        <v>1013184</v>
      </c>
      <c r="B200" t="s">
        <v>3334</v>
      </c>
      <c r="C200" t="s">
        <v>3557</v>
      </c>
      <c r="D200" s="7">
        <v>7134260119089</v>
      </c>
      <c r="E200" t="s">
        <v>3625</v>
      </c>
      <c r="F200" t="s">
        <v>3626</v>
      </c>
      <c r="G200" t="s">
        <v>3567</v>
      </c>
      <c r="H200" t="s">
        <v>3912</v>
      </c>
      <c r="I200" t="s">
        <v>414</v>
      </c>
      <c r="J200" t="s">
        <v>415</v>
      </c>
      <c r="K200" t="s">
        <v>261</v>
      </c>
      <c r="L200" t="s">
        <v>3627</v>
      </c>
      <c r="M200" s="7">
        <v>1165</v>
      </c>
      <c r="N200" t="s">
        <v>3628</v>
      </c>
      <c r="O200" s="7">
        <v>15843</v>
      </c>
      <c r="R200" s="7">
        <v>1</v>
      </c>
      <c r="S200" t="s">
        <v>2827</v>
      </c>
      <c r="T200" t="s">
        <v>2828</v>
      </c>
      <c r="U200" s="7">
        <v>1</v>
      </c>
      <c r="V200" s="8">
        <v>2884.75</v>
      </c>
      <c r="W200" t="s">
        <v>2300</v>
      </c>
      <c r="X200" s="7">
        <v>10</v>
      </c>
      <c r="Y200" t="s">
        <v>3629</v>
      </c>
      <c r="Z200" t="s">
        <v>2701</v>
      </c>
      <c r="AB200" s="8">
        <v>3404.01</v>
      </c>
      <c r="AC200" s="8">
        <v>3404.01</v>
      </c>
      <c r="AF200" s="7">
        <v>0</v>
      </c>
      <c r="AI200" t="s">
        <v>3630</v>
      </c>
    </row>
    <row r="201" spans="1:35" hidden="1">
      <c r="A201" s="7">
        <v>1013187</v>
      </c>
      <c r="B201" t="s">
        <v>3342</v>
      </c>
      <c r="C201" t="s">
        <v>3557</v>
      </c>
      <c r="D201" s="7">
        <v>7134260119226</v>
      </c>
      <c r="E201" t="s">
        <v>3631</v>
      </c>
      <c r="F201" t="s">
        <v>3632</v>
      </c>
      <c r="G201" t="s">
        <v>3567</v>
      </c>
      <c r="H201" t="s">
        <v>3911</v>
      </c>
      <c r="I201" t="s">
        <v>3364</v>
      </c>
      <c r="J201" t="s">
        <v>3365</v>
      </c>
      <c r="K201" t="s">
        <v>261</v>
      </c>
      <c r="L201" t="s">
        <v>3291</v>
      </c>
      <c r="N201" t="s">
        <v>3596</v>
      </c>
      <c r="O201" s="7">
        <v>43666</v>
      </c>
      <c r="R201" s="7">
        <v>1</v>
      </c>
      <c r="S201" t="s">
        <v>3563</v>
      </c>
      <c r="T201" t="s">
        <v>2271</v>
      </c>
      <c r="U201" s="7">
        <v>1</v>
      </c>
      <c r="V201" s="7">
        <v>1400</v>
      </c>
      <c r="W201" t="s">
        <v>35</v>
      </c>
      <c r="Y201" t="s">
        <v>2269</v>
      </c>
      <c r="Z201" t="s">
        <v>2313</v>
      </c>
      <c r="AB201" s="7">
        <v>1652</v>
      </c>
      <c r="AC201" s="7">
        <v>0</v>
      </c>
      <c r="AF201" s="7">
        <v>1652</v>
      </c>
    </row>
    <row r="202" spans="1:35" hidden="1">
      <c r="A202" s="7">
        <v>1013187</v>
      </c>
      <c r="B202" t="s">
        <v>3342</v>
      </c>
      <c r="C202" t="s">
        <v>3557</v>
      </c>
      <c r="D202" s="7">
        <v>7134260119226</v>
      </c>
      <c r="E202" t="s">
        <v>3631</v>
      </c>
      <c r="F202" t="s">
        <v>3632</v>
      </c>
      <c r="G202" t="s">
        <v>3567</v>
      </c>
      <c r="H202" t="s">
        <v>3911</v>
      </c>
      <c r="I202" t="s">
        <v>3364</v>
      </c>
      <c r="J202" t="s">
        <v>3365</v>
      </c>
      <c r="K202" t="s">
        <v>261</v>
      </c>
      <c r="L202" t="s">
        <v>3291</v>
      </c>
      <c r="N202" t="s">
        <v>3596</v>
      </c>
      <c r="O202" s="7">
        <v>43666</v>
      </c>
      <c r="R202" s="7">
        <v>2</v>
      </c>
      <c r="S202" t="s">
        <v>3564</v>
      </c>
      <c r="T202" t="s">
        <v>2271</v>
      </c>
      <c r="U202" s="7">
        <v>1</v>
      </c>
      <c r="V202" s="7">
        <v>2800</v>
      </c>
      <c r="W202" t="s">
        <v>35</v>
      </c>
      <c r="Y202" t="s">
        <v>2269</v>
      </c>
      <c r="Z202" t="s">
        <v>2313</v>
      </c>
      <c r="AB202" s="7">
        <v>3304</v>
      </c>
      <c r="AC202" s="7">
        <v>0</v>
      </c>
      <c r="AF202" s="7">
        <v>3304</v>
      </c>
    </row>
    <row r="203" spans="1:35" hidden="1">
      <c r="A203" s="7">
        <v>1013768</v>
      </c>
      <c r="B203" t="s">
        <v>3633</v>
      </c>
      <c r="C203" t="s">
        <v>3557</v>
      </c>
      <c r="D203" s="7">
        <v>7134260119018</v>
      </c>
      <c r="E203" t="s">
        <v>3634</v>
      </c>
      <c r="F203" t="s">
        <v>3325</v>
      </c>
      <c r="G203" t="s">
        <v>3635</v>
      </c>
      <c r="H203" t="s">
        <v>4448</v>
      </c>
      <c r="I203" t="s">
        <v>1081</v>
      </c>
      <c r="J203" t="s">
        <v>1082</v>
      </c>
      <c r="K203" t="s">
        <v>252</v>
      </c>
      <c r="L203" t="s">
        <v>3636</v>
      </c>
      <c r="M203" s="7">
        <v>1165</v>
      </c>
      <c r="N203" t="s">
        <v>3637</v>
      </c>
      <c r="O203" s="7">
        <v>92549</v>
      </c>
      <c r="R203" s="7">
        <v>1</v>
      </c>
      <c r="S203" t="s">
        <v>2850</v>
      </c>
      <c r="T203" t="s">
        <v>2851</v>
      </c>
      <c r="U203" s="7">
        <v>1</v>
      </c>
      <c r="V203" s="8">
        <v>25475.87</v>
      </c>
      <c r="W203" t="s">
        <v>35</v>
      </c>
      <c r="Y203" t="s">
        <v>2269</v>
      </c>
      <c r="Z203" t="s">
        <v>2313</v>
      </c>
      <c r="AB203" s="8">
        <v>30061.53</v>
      </c>
      <c r="AC203" s="7">
        <v>0</v>
      </c>
      <c r="AF203" s="8">
        <v>30061.53</v>
      </c>
      <c r="AI203" t="s">
        <v>4810</v>
      </c>
    </row>
    <row r="204" spans="1:35" hidden="1">
      <c r="A204" s="7">
        <v>1013768</v>
      </c>
      <c r="B204" t="s">
        <v>3633</v>
      </c>
      <c r="C204" t="s">
        <v>3557</v>
      </c>
      <c r="D204" s="7">
        <v>7134260119018</v>
      </c>
      <c r="E204" t="s">
        <v>3634</v>
      </c>
      <c r="F204" t="s">
        <v>3325</v>
      </c>
      <c r="G204" t="s">
        <v>3635</v>
      </c>
      <c r="H204" t="s">
        <v>4448</v>
      </c>
      <c r="I204" t="s">
        <v>1081</v>
      </c>
      <c r="J204" t="s">
        <v>1082</v>
      </c>
      <c r="K204" t="s">
        <v>252</v>
      </c>
      <c r="L204" t="s">
        <v>3636</v>
      </c>
      <c r="M204" s="7">
        <v>1165</v>
      </c>
      <c r="N204" t="s">
        <v>3637</v>
      </c>
      <c r="O204" s="7">
        <v>92549</v>
      </c>
      <c r="R204" s="7">
        <v>2</v>
      </c>
      <c r="S204" t="s">
        <v>3638</v>
      </c>
      <c r="T204" t="s">
        <v>2271</v>
      </c>
      <c r="U204" s="7">
        <v>1</v>
      </c>
      <c r="V204" s="7">
        <v>920</v>
      </c>
      <c r="W204" t="s">
        <v>35</v>
      </c>
      <c r="Y204" t="s">
        <v>2269</v>
      </c>
      <c r="Z204" t="s">
        <v>2313</v>
      </c>
      <c r="AB204" s="8">
        <v>1085.5999999999999</v>
      </c>
      <c r="AC204" s="7">
        <v>0</v>
      </c>
      <c r="AF204" s="8">
        <v>1085.5999999999999</v>
      </c>
      <c r="AI204" t="s">
        <v>4810</v>
      </c>
    </row>
    <row r="205" spans="1:35" hidden="1">
      <c r="A205" s="7">
        <v>1013829</v>
      </c>
      <c r="B205" t="s">
        <v>3330</v>
      </c>
      <c r="C205" t="s">
        <v>3596</v>
      </c>
      <c r="D205" s="7">
        <v>7134260117569</v>
      </c>
      <c r="E205" t="s">
        <v>3639</v>
      </c>
      <c r="F205" t="s">
        <v>3640</v>
      </c>
      <c r="G205" t="s">
        <v>3635</v>
      </c>
      <c r="H205" t="s">
        <v>3912</v>
      </c>
      <c r="I205" t="s">
        <v>596</v>
      </c>
      <c r="J205" t="s">
        <v>597</v>
      </c>
      <c r="K205" t="s">
        <v>252</v>
      </c>
      <c r="L205" t="s">
        <v>2288</v>
      </c>
      <c r="M205" s="7">
        <v>1165</v>
      </c>
      <c r="N205" t="s">
        <v>3641</v>
      </c>
      <c r="O205" s="7">
        <v>14186</v>
      </c>
      <c r="R205" s="7">
        <v>1</v>
      </c>
      <c r="S205" t="s">
        <v>3642</v>
      </c>
      <c r="T205" t="s">
        <v>2594</v>
      </c>
      <c r="U205" s="7">
        <v>1</v>
      </c>
      <c r="V205" s="8">
        <v>1124.96</v>
      </c>
      <c r="W205" t="s">
        <v>2300</v>
      </c>
      <c r="X205" s="7">
        <v>73</v>
      </c>
      <c r="Y205" t="s">
        <v>3643</v>
      </c>
      <c r="Z205" t="s">
        <v>2701</v>
      </c>
      <c r="AB205" s="8">
        <v>1327.45</v>
      </c>
      <c r="AC205" s="8">
        <v>1327.45</v>
      </c>
      <c r="AF205" s="7">
        <v>0</v>
      </c>
    </row>
    <row r="206" spans="1:35" hidden="1">
      <c r="A206" s="7">
        <v>1013875</v>
      </c>
      <c r="B206" t="s">
        <v>3329</v>
      </c>
      <c r="C206" t="s">
        <v>3557</v>
      </c>
      <c r="D206" s="7">
        <v>7134260119001</v>
      </c>
      <c r="E206" t="s">
        <v>3644</v>
      </c>
      <c r="F206" t="s">
        <v>3645</v>
      </c>
      <c r="G206" t="s">
        <v>3635</v>
      </c>
      <c r="H206" t="s">
        <v>3912</v>
      </c>
      <c r="I206" t="s">
        <v>1288</v>
      </c>
      <c r="J206" t="s">
        <v>1289</v>
      </c>
      <c r="K206" t="s">
        <v>267</v>
      </c>
      <c r="L206" t="s">
        <v>2296</v>
      </c>
      <c r="M206" s="7">
        <v>1165</v>
      </c>
      <c r="N206" t="s">
        <v>3646</v>
      </c>
      <c r="O206" s="7">
        <v>49997</v>
      </c>
      <c r="R206" s="7">
        <v>1</v>
      </c>
      <c r="S206" t="s">
        <v>3647</v>
      </c>
      <c r="T206" t="s">
        <v>3648</v>
      </c>
      <c r="U206" s="7">
        <v>1</v>
      </c>
      <c r="V206" s="8">
        <v>6169.81</v>
      </c>
      <c r="W206" t="s">
        <v>2300</v>
      </c>
      <c r="X206" s="7">
        <v>47</v>
      </c>
      <c r="Y206" t="s">
        <v>3587</v>
      </c>
      <c r="Z206" t="s">
        <v>2701</v>
      </c>
      <c r="AB206" s="8">
        <v>21005.64</v>
      </c>
      <c r="AC206" s="8">
        <v>21005.64</v>
      </c>
      <c r="AF206" s="7">
        <v>0</v>
      </c>
      <c r="AI206" t="s">
        <v>3649</v>
      </c>
    </row>
    <row r="207" spans="1:35" hidden="1">
      <c r="A207" s="7">
        <v>1013875</v>
      </c>
      <c r="B207" t="s">
        <v>3329</v>
      </c>
      <c r="C207" t="s">
        <v>3557</v>
      </c>
      <c r="D207" s="7">
        <v>7134260119001</v>
      </c>
      <c r="E207" t="s">
        <v>3644</v>
      </c>
      <c r="F207" t="s">
        <v>3645</v>
      </c>
      <c r="G207" t="s">
        <v>3635</v>
      </c>
      <c r="H207" t="s">
        <v>3912</v>
      </c>
      <c r="I207" t="s">
        <v>1288</v>
      </c>
      <c r="J207" t="s">
        <v>1289</v>
      </c>
      <c r="K207" t="s">
        <v>267</v>
      </c>
      <c r="L207" t="s">
        <v>2296</v>
      </c>
      <c r="M207" s="7">
        <v>1165</v>
      </c>
      <c r="N207" t="s">
        <v>3646</v>
      </c>
      <c r="O207" s="7">
        <v>49997</v>
      </c>
      <c r="R207" s="7">
        <v>2</v>
      </c>
      <c r="S207" t="s">
        <v>3324</v>
      </c>
      <c r="T207" t="s">
        <v>2271</v>
      </c>
      <c r="U207" s="7">
        <v>1</v>
      </c>
      <c r="V207" s="7">
        <v>560</v>
      </c>
      <c r="W207" t="s">
        <v>2300</v>
      </c>
      <c r="X207" s="7">
        <v>47</v>
      </c>
      <c r="Y207" t="s">
        <v>3587</v>
      </c>
      <c r="Z207" t="s">
        <v>2701</v>
      </c>
      <c r="AB207" s="8">
        <v>660.8</v>
      </c>
      <c r="AC207" s="8">
        <v>660.8</v>
      </c>
      <c r="AF207" s="7">
        <v>0</v>
      </c>
      <c r="AI207" t="s">
        <v>3649</v>
      </c>
    </row>
    <row r="208" spans="1:35" hidden="1">
      <c r="A208" s="7">
        <v>1014055</v>
      </c>
      <c r="B208" t="s">
        <v>3328</v>
      </c>
      <c r="C208" t="s">
        <v>3270</v>
      </c>
      <c r="D208" s="7">
        <v>7134260116982</v>
      </c>
      <c r="E208" t="s">
        <v>3650</v>
      </c>
      <c r="F208" t="s">
        <v>3651</v>
      </c>
      <c r="G208" t="s">
        <v>3652</v>
      </c>
      <c r="H208" t="s">
        <v>3913</v>
      </c>
      <c r="I208" t="s">
        <v>503</v>
      </c>
      <c r="J208" t="s">
        <v>504</v>
      </c>
      <c r="K208" t="s">
        <v>252</v>
      </c>
      <c r="L208" t="s">
        <v>3653</v>
      </c>
      <c r="M208" s="7">
        <v>1165</v>
      </c>
      <c r="N208" t="s">
        <v>3654</v>
      </c>
      <c r="O208" s="7">
        <v>3212</v>
      </c>
      <c r="R208" s="7">
        <v>1</v>
      </c>
      <c r="S208" t="s">
        <v>2845</v>
      </c>
      <c r="T208" t="s">
        <v>2846</v>
      </c>
      <c r="U208" s="7">
        <v>1</v>
      </c>
      <c r="V208" s="8">
        <v>73.97</v>
      </c>
      <c r="W208" t="s">
        <v>35</v>
      </c>
      <c r="Y208" t="s">
        <v>2269</v>
      </c>
      <c r="Z208" t="s">
        <v>2313</v>
      </c>
      <c r="AB208" s="8">
        <v>87.28</v>
      </c>
      <c r="AC208" s="7">
        <v>0</v>
      </c>
      <c r="AF208" s="8">
        <v>87.28</v>
      </c>
    </row>
    <row r="209" spans="1:32" hidden="1">
      <c r="A209" s="7">
        <v>1014055</v>
      </c>
      <c r="B209" t="s">
        <v>3328</v>
      </c>
      <c r="C209" t="s">
        <v>3270</v>
      </c>
      <c r="D209" s="7">
        <v>7134260116982</v>
      </c>
      <c r="E209" t="s">
        <v>3650</v>
      </c>
      <c r="F209" t="s">
        <v>3651</v>
      </c>
      <c r="G209" t="s">
        <v>3652</v>
      </c>
      <c r="H209" t="s">
        <v>3913</v>
      </c>
      <c r="I209" t="s">
        <v>503</v>
      </c>
      <c r="J209" t="s">
        <v>504</v>
      </c>
      <c r="K209" t="s">
        <v>252</v>
      </c>
      <c r="L209" t="s">
        <v>3653</v>
      </c>
      <c r="M209" s="7">
        <v>1165</v>
      </c>
      <c r="N209" t="s">
        <v>3654</v>
      </c>
      <c r="O209" s="7">
        <v>3212</v>
      </c>
      <c r="R209" s="7">
        <v>2</v>
      </c>
      <c r="S209" t="s">
        <v>2848</v>
      </c>
      <c r="T209" t="s">
        <v>2849</v>
      </c>
      <c r="U209" s="7">
        <v>1</v>
      </c>
      <c r="V209" s="8">
        <v>341.39</v>
      </c>
      <c r="W209" t="s">
        <v>35</v>
      </c>
      <c r="Y209" t="s">
        <v>2269</v>
      </c>
      <c r="Z209" t="s">
        <v>2313</v>
      </c>
      <c r="AB209" s="8">
        <v>402.84</v>
      </c>
      <c r="AC209" s="7">
        <v>0</v>
      </c>
      <c r="AF209" s="8">
        <v>402.84</v>
      </c>
    </row>
    <row r="210" spans="1:32" hidden="1">
      <c r="A210" s="7">
        <v>1014055</v>
      </c>
      <c r="B210" t="s">
        <v>3328</v>
      </c>
      <c r="C210" t="s">
        <v>3270</v>
      </c>
      <c r="D210" s="7">
        <v>7134260116982</v>
      </c>
      <c r="E210" t="s">
        <v>3650</v>
      </c>
      <c r="F210" t="s">
        <v>3651</v>
      </c>
      <c r="G210" t="s">
        <v>3652</v>
      </c>
      <c r="H210" t="s">
        <v>3913</v>
      </c>
      <c r="I210" t="s">
        <v>503</v>
      </c>
      <c r="J210" t="s">
        <v>504</v>
      </c>
      <c r="K210" t="s">
        <v>252</v>
      </c>
      <c r="L210" t="s">
        <v>3653</v>
      </c>
      <c r="M210" s="7">
        <v>1165</v>
      </c>
      <c r="N210" t="s">
        <v>3654</v>
      </c>
      <c r="O210" s="7">
        <v>3212</v>
      </c>
      <c r="R210" s="7">
        <v>3</v>
      </c>
      <c r="S210" t="s">
        <v>3305</v>
      </c>
      <c r="T210" t="s">
        <v>2271</v>
      </c>
      <c r="U210" s="7">
        <v>1</v>
      </c>
      <c r="V210">
        <v>192.5</v>
      </c>
      <c r="W210" t="s">
        <v>35</v>
      </c>
      <c r="Y210" t="s">
        <v>2269</v>
      </c>
      <c r="Z210" t="s">
        <v>2313</v>
      </c>
      <c r="AB210" s="8">
        <v>227.15</v>
      </c>
      <c r="AC210" s="7">
        <v>0</v>
      </c>
      <c r="AF210" s="8">
        <v>227.15</v>
      </c>
    </row>
    <row r="211" spans="1:32" hidden="1">
      <c r="A211" s="7">
        <v>1014136</v>
      </c>
      <c r="B211" t="s">
        <v>3836</v>
      </c>
      <c r="C211" t="s">
        <v>3914</v>
      </c>
      <c r="D211" s="7">
        <v>7134260119784</v>
      </c>
      <c r="E211" t="s">
        <v>3915</v>
      </c>
      <c r="F211" t="s">
        <v>3916</v>
      </c>
      <c r="G211" t="s">
        <v>3912</v>
      </c>
      <c r="H211" t="s">
        <v>3917</v>
      </c>
      <c r="I211" t="s">
        <v>1498</v>
      </c>
      <c r="J211" t="s">
        <v>1499</v>
      </c>
      <c r="K211" t="s">
        <v>252</v>
      </c>
      <c r="L211" t="s">
        <v>3918</v>
      </c>
      <c r="M211" s="7">
        <v>1165</v>
      </c>
      <c r="N211" t="s">
        <v>3919</v>
      </c>
      <c r="O211" s="7">
        <v>14120</v>
      </c>
      <c r="R211" s="7">
        <v>1</v>
      </c>
      <c r="S211" t="s">
        <v>3920</v>
      </c>
      <c r="T211" t="s">
        <v>2271</v>
      </c>
      <c r="U211" s="7">
        <v>1</v>
      </c>
      <c r="V211">
        <v>87.5</v>
      </c>
      <c r="W211" t="s">
        <v>35</v>
      </c>
      <c r="Y211" t="s">
        <v>2269</v>
      </c>
      <c r="Z211" t="s">
        <v>2313</v>
      </c>
      <c r="AB211" s="8">
        <v>103.25</v>
      </c>
      <c r="AC211" s="7">
        <v>0</v>
      </c>
      <c r="AF211" s="8">
        <v>103.25</v>
      </c>
    </row>
    <row r="212" spans="1:32" hidden="1">
      <c r="A212" s="7">
        <v>1014213</v>
      </c>
      <c r="B212" t="s">
        <v>3832</v>
      </c>
      <c r="C212" t="s">
        <v>3914</v>
      </c>
      <c r="D212" s="7">
        <v>7134260119780</v>
      </c>
      <c r="E212" t="s">
        <v>3921</v>
      </c>
      <c r="F212" t="s">
        <v>3922</v>
      </c>
      <c r="G212" t="s">
        <v>3912</v>
      </c>
      <c r="H212" t="s">
        <v>3917</v>
      </c>
      <c r="I212" t="s">
        <v>958</v>
      </c>
      <c r="J212" t="s">
        <v>959</v>
      </c>
      <c r="K212" t="s">
        <v>252</v>
      </c>
      <c r="L212" t="s">
        <v>2725</v>
      </c>
      <c r="M212" s="7">
        <v>1165</v>
      </c>
      <c r="N212" t="s">
        <v>3919</v>
      </c>
      <c r="O212" s="7">
        <v>15720</v>
      </c>
      <c r="R212" s="7">
        <v>1</v>
      </c>
      <c r="S212" t="s">
        <v>3920</v>
      </c>
      <c r="T212" t="s">
        <v>2271</v>
      </c>
      <c r="U212" s="7">
        <v>1</v>
      </c>
      <c r="V212">
        <v>87.5</v>
      </c>
      <c r="W212" t="s">
        <v>35</v>
      </c>
      <c r="Y212" t="s">
        <v>2269</v>
      </c>
      <c r="Z212" t="s">
        <v>2313</v>
      </c>
      <c r="AB212" s="8">
        <v>103.25</v>
      </c>
      <c r="AC212" s="7">
        <v>0</v>
      </c>
      <c r="AF212" s="8">
        <v>103.25</v>
      </c>
    </row>
    <row r="213" spans="1:32" hidden="1">
      <c r="A213" s="7">
        <v>1014214</v>
      </c>
      <c r="B213" t="s">
        <v>3845</v>
      </c>
      <c r="C213" t="s">
        <v>3914</v>
      </c>
      <c r="D213" s="7">
        <v>7134260119795</v>
      </c>
      <c r="E213" t="s">
        <v>3923</v>
      </c>
      <c r="F213" t="s">
        <v>3924</v>
      </c>
      <c r="G213" t="s">
        <v>3912</v>
      </c>
      <c r="H213" t="s">
        <v>3917</v>
      </c>
      <c r="I213" t="s">
        <v>3925</v>
      </c>
      <c r="J213" t="s">
        <v>3926</v>
      </c>
      <c r="K213" t="s">
        <v>252</v>
      </c>
      <c r="L213" t="s">
        <v>3304</v>
      </c>
      <c r="M213" s="7">
        <v>1165</v>
      </c>
      <c r="N213" t="s">
        <v>3919</v>
      </c>
      <c r="O213" s="7">
        <v>1520</v>
      </c>
      <c r="R213" s="7">
        <v>1</v>
      </c>
      <c r="S213" t="s">
        <v>3920</v>
      </c>
      <c r="T213" t="s">
        <v>2271</v>
      </c>
      <c r="U213" s="7">
        <v>1</v>
      </c>
      <c r="V213">
        <v>87.5</v>
      </c>
      <c r="W213" t="s">
        <v>35</v>
      </c>
      <c r="Y213" t="s">
        <v>2269</v>
      </c>
      <c r="Z213" t="s">
        <v>2313</v>
      </c>
      <c r="AB213" s="8">
        <v>103.25</v>
      </c>
      <c r="AC213" s="7">
        <v>0</v>
      </c>
      <c r="AF213" s="8">
        <v>103.25</v>
      </c>
    </row>
    <row r="214" spans="1:32" hidden="1">
      <c r="A214" s="7">
        <v>1014217</v>
      </c>
      <c r="B214" t="s">
        <v>3890</v>
      </c>
      <c r="C214" t="s">
        <v>3914</v>
      </c>
      <c r="D214" s="7">
        <v>7134260120313</v>
      </c>
      <c r="E214" t="s">
        <v>3927</v>
      </c>
      <c r="F214" t="s">
        <v>3928</v>
      </c>
      <c r="G214" t="s">
        <v>3912</v>
      </c>
      <c r="H214" t="s">
        <v>3911</v>
      </c>
      <c r="I214" t="s">
        <v>286</v>
      </c>
      <c r="J214" t="s">
        <v>287</v>
      </c>
      <c r="K214" t="s">
        <v>252</v>
      </c>
      <c r="L214" t="s">
        <v>3929</v>
      </c>
      <c r="M214" s="7">
        <v>1160</v>
      </c>
      <c r="N214" t="s">
        <v>3930</v>
      </c>
      <c r="O214" s="7">
        <v>2560</v>
      </c>
      <c r="R214" s="7">
        <v>1</v>
      </c>
      <c r="S214" t="s">
        <v>3920</v>
      </c>
      <c r="T214" t="s">
        <v>2271</v>
      </c>
      <c r="U214" s="7">
        <v>1</v>
      </c>
      <c r="V214">
        <v>87.5</v>
      </c>
      <c r="W214" t="s">
        <v>35</v>
      </c>
      <c r="Y214" t="s">
        <v>2269</v>
      </c>
      <c r="Z214" t="s">
        <v>2313</v>
      </c>
      <c r="AB214" s="8">
        <v>103.25</v>
      </c>
      <c r="AC214" s="7">
        <v>0</v>
      </c>
      <c r="AF214" s="8">
        <v>103.25</v>
      </c>
    </row>
    <row r="215" spans="1:32" hidden="1">
      <c r="A215" s="7">
        <v>1014221</v>
      </c>
      <c r="B215" t="s">
        <v>3846</v>
      </c>
      <c r="C215" t="s">
        <v>3914</v>
      </c>
      <c r="D215" s="7">
        <v>7134260119797</v>
      </c>
      <c r="E215" t="s">
        <v>3931</v>
      </c>
      <c r="F215" t="s">
        <v>3932</v>
      </c>
      <c r="G215" t="s">
        <v>3912</v>
      </c>
      <c r="H215" t="s">
        <v>3917</v>
      </c>
      <c r="I215" t="s">
        <v>1712</v>
      </c>
      <c r="J215" t="s">
        <v>1713</v>
      </c>
      <c r="K215" t="s">
        <v>252</v>
      </c>
      <c r="L215" t="s">
        <v>3933</v>
      </c>
      <c r="M215" s="7">
        <v>1165</v>
      </c>
      <c r="N215" t="s">
        <v>3919</v>
      </c>
      <c r="O215" s="7">
        <v>10200</v>
      </c>
      <c r="R215" s="7">
        <v>1</v>
      </c>
      <c r="S215" t="s">
        <v>3920</v>
      </c>
      <c r="T215" t="s">
        <v>2271</v>
      </c>
      <c r="U215" s="7">
        <v>1</v>
      </c>
      <c r="V215">
        <v>87.5</v>
      </c>
      <c r="W215" t="s">
        <v>35</v>
      </c>
      <c r="Y215" t="s">
        <v>2269</v>
      </c>
      <c r="Z215" t="s">
        <v>2313</v>
      </c>
      <c r="AB215" s="8">
        <v>103.25</v>
      </c>
      <c r="AC215" s="7">
        <v>0</v>
      </c>
      <c r="AF215" s="8">
        <v>103.25</v>
      </c>
    </row>
    <row r="216" spans="1:32" hidden="1">
      <c r="A216" s="7">
        <v>1014227</v>
      </c>
      <c r="B216" t="s">
        <v>3906</v>
      </c>
      <c r="C216" t="s">
        <v>3914</v>
      </c>
      <c r="D216" s="7">
        <v>7134260120452</v>
      </c>
      <c r="E216" t="s">
        <v>3934</v>
      </c>
      <c r="F216" t="s">
        <v>3935</v>
      </c>
      <c r="G216" t="s">
        <v>3912</v>
      </c>
      <c r="H216" t="s">
        <v>4449</v>
      </c>
      <c r="I216" t="s">
        <v>3936</v>
      </c>
      <c r="J216" t="s">
        <v>3937</v>
      </c>
      <c r="K216" t="s">
        <v>252</v>
      </c>
      <c r="L216" t="s">
        <v>3584</v>
      </c>
      <c r="M216" s="7">
        <v>1165</v>
      </c>
      <c r="N216" t="s">
        <v>3938</v>
      </c>
      <c r="O216" s="7">
        <v>1659</v>
      </c>
      <c r="R216" s="7">
        <v>1</v>
      </c>
      <c r="S216" t="s">
        <v>2845</v>
      </c>
      <c r="T216" t="s">
        <v>2846</v>
      </c>
      <c r="U216" s="7">
        <v>1</v>
      </c>
      <c r="V216" s="8">
        <v>73.97</v>
      </c>
      <c r="W216" t="s">
        <v>35</v>
      </c>
      <c r="Y216" t="s">
        <v>2269</v>
      </c>
      <c r="Z216" t="s">
        <v>2313</v>
      </c>
      <c r="AB216" s="8">
        <v>87.28</v>
      </c>
      <c r="AC216" s="7">
        <v>0</v>
      </c>
      <c r="AF216" s="8">
        <v>87.28</v>
      </c>
    </row>
    <row r="217" spans="1:32" hidden="1">
      <c r="A217" s="7">
        <v>1014227</v>
      </c>
      <c r="B217" t="s">
        <v>3906</v>
      </c>
      <c r="C217" t="s">
        <v>3914</v>
      </c>
      <c r="D217" s="7">
        <v>7134260120452</v>
      </c>
      <c r="E217" t="s">
        <v>3934</v>
      </c>
      <c r="F217" t="s">
        <v>3935</v>
      </c>
      <c r="G217" t="s">
        <v>3912</v>
      </c>
      <c r="H217" t="s">
        <v>4449</v>
      </c>
      <c r="I217" t="s">
        <v>3936</v>
      </c>
      <c r="J217" t="s">
        <v>3937</v>
      </c>
      <c r="K217" t="s">
        <v>252</v>
      </c>
      <c r="L217" t="s">
        <v>3584</v>
      </c>
      <c r="M217" s="7">
        <v>1165</v>
      </c>
      <c r="N217" t="s">
        <v>3938</v>
      </c>
      <c r="O217" s="7">
        <v>1659</v>
      </c>
      <c r="R217" s="7">
        <v>2</v>
      </c>
      <c r="S217" t="s">
        <v>2848</v>
      </c>
      <c r="T217" t="s">
        <v>2849</v>
      </c>
      <c r="U217" s="7">
        <v>1</v>
      </c>
      <c r="V217" s="8">
        <v>341.39</v>
      </c>
      <c r="W217" t="s">
        <v>35</v>
      </c>
      <c r="Y217" t="s">
        <v>2269</v>
      </c>
      <c r="Z217" t="s">
        <v>2313</v>
      </c>
      <c r="AB217" s="8">
        <v>402.84</v>
      </c>
      <c r="AC217" s="7">
        <v>0</v>
      </c>
      <c r="AF217" s="8">
        <v>402.84</v>
      </c>
    </row>
    <row r="218" spans="1:32" hidden="1">
      <c r="A218" s="7">
        <v>1014227</v>
      </c>
      <c r="B218" t="s">
        <v>3906</v>
      </c>
      <c r="C218" t="s">
        <v>3914</v>
      </c>
      <c r="D218" s="7">
        <v>7134260120452</v>
      </c>
      <c r="E218" t="s">
        <v>3934</v>
      </c>
      <c r="F218" t="s">
        <v>3935</v>
      </c>
      <c r="G218" t="s">
        <v>3912</v>
      </c>
      <c r="H218" t="s">
        <v>4449</v>
      </c>
      <c r="I218" t="s">
        <v>3936</v>
      </c>
      <c r="J218" t="s">
        <v>3937</v>
      </c>
      <c r="K218" t="s">
        <v>252</v>
      </c>
      <c r="L218" t="s">
        <v>3584</v>
      </c>
      <c r="M218" s="7">
        <v>1165</v>
      </c>
      <c r="N218" t="s">
        <v>3938</v>
      </c>
      <c r="O218" s="7">
        <v>1659</v>
      </c>
      <c r="R218" s="7">
        <v>3</v>
      </c>
      <c r="S218" t="s">
        <v>3305</v>
      </c>
      <c r="T218" t="s">
        <v>2271</v>
      </c>
      <c r="U218" s="7">
        <v>1</v>
      </c>
      <c r="V218">
        <v>192.5</v>
      </c>
      <c r="W218" t="s">
        <v>35</v>
      </c>
      <c r="Y218" t="s">
        <v>2269</v>
      </c>
      <c r="Z218" t="s">
        <v>2313</v>
      </c>
      <c r="AB218" s="8">
        <v>227.15</v>
      </c>
      <c r="AC218" s="7">
        <v>0</v>
      </c>
      <c r="AF218" s="8">
        <v>227.15</v>
      </c>
    </row>
    <row r="219" spans="1:32" hidden="1">
      <c r="A219" s="7">
        <v>1014229</v>
      </c>
      <c r="B219" t="s">
        <v>3840</v>
      </c>
      <c r="C219" t="s">
        <v>3914</v>
      </c>
      <c r="D219" s="7">
        <v>7134260119789</v>
      </c>
      <c r="E219" t="s">
        <v>3939</v>
      </c>
      <c r="F219" t="s">
        <v>3940</v>
      </c>
      <c r="G219" t="s">
        <v>3912</v>
      </c>
      <c r="H219" t="s">
        <v>3917</v>
      </c>
      <c r="I219" t="s">
        <v>365</v>
      </c>
      <c r="J219" t="s">
        <v>366</v>
      </c>
      <c r="K219" t="s">
        <v>252</v>
      </c>
      <c r="L219" t="s">
        <v>3291</v>
      </c>
      <c r="M219" s="7">
        <v>1165</v>
      </c>
      <c r="N219" t="s">
        <v>3919</v>
      </c>
      <c r="O219" s="7">
        <v>4203</v>
      </c>
      <c r="R219" s="7">
        <v>1</v>
      </c>
      <c r="S219" t="s">
        <v>3920</v>
      </c>
      <c r="T219" t="s">
        <v>2271</v>
      </c>
      <c r="U219" s="7">
        <v>1</v>
      </c>
      <c r="V219">
        <v>87.5</v>
      </c>
      <c r="W219" t="s">
        <v>35</v>
      </c>
      <c r="Y219" t="s">
        <v>2269</v>
      </c>
      <c r="Z219" t="s">
        <v>2313</v>
      </c>
      <c r="AB219" s="8">
        <v>103.25</v>
      </c>
      <c r="AC219" s="7">
        <v>0</v>
      </c>
      <c r="AF219" s="8">
        <v>103.25</v>
      </c>
    </row>
    <row r="220" spans="1:32" hidden="1">
      <c r="A220" s="7">
        <v>1014231</v>
      </c>
      <c r="B220" t="s">
        <v>3892</v>
      </c>
      <c r="C220" t="s">
        <v>3914</v>
      </c>
      <c r="D220" s="7">
        <v>7134260120315</v>
      </c>
      <c r="E220" t="s">
        <v>3941</v>
      </c>
      <c r="F220" t="s">
        <v>3942</v>
      </c>
      <c r="G220" t="s">
        <v>3912</v>
      </c>
      <c r="H220" t="s">
        <v>3911</v>
      </c>
      <c r="I220" t="s">
        <v>3943</v>
      </c>
      <c r="J220" t="s">
        <v>3944</v>
      </c>
      <c r="K220" t="s">
        <v>252</v>
      </c>
      <c r="L220" t="s">
        <v>3304</v>
      </c>
      <c r="M220" s="7">
        <v>1165</v>
      </c>
      <c r="N220" t="s">
        <v>3930</v>
      </c>
      <c r="O220" s="7">
        <v>9978</v>
      </c>
      <c r="R220" s="7">
        <v>1</v>
      </c>
      <c r="S220" t="s">
        <v>3920</v>
      </c>
      <c r="T220" t="s">
        <v>2271</v>
      </c>
      <c r="U220" s="7">
        <v>1</v>
      </c>
      <c r="V220">
        <v>87.5</v>
      </c>
      <c r="W220" t="s">
        <v>35</v>
      </c>
      <c r="Y220" t="s">
        <v>2269</v>
      </c>
      <c r="Z220" t="s">
        <v>2313</v>
      </c>
      <c r="AB220" s="8">
        <v>103.25</v>
      </c>
      <c r="AC220" s="7">
        <v>0</v>
      </c>
      <c r="AF220" s="8">
        <v>103.25</v>
      </c>
    </row>
    <row r="221" spans="1:32" hidden="1">
      <c r="A221" s="7">
        <v>1014236</v>
      </c>
      <c r="B221" t="s">
        <v>3849</v>
      </c>
      <c r="C221" t="s">
        <v>3914</v>
      </c>
      <c r="D221" s="7">
        <v>7134260119800</v>
      </c>
      <c r="E221" t="s">
        <v>3945</v>
      </c>
      <c r="F221" t="s">
        <v>3946</v>
      </c>
      <c r="G221" t="s">
        <v>3912</v>
      </c>
      <c r="H221" t="s">
        <v>3917</v>
      </c>
      <c r="I221" t="s">
        <v>3454</v>
      </c>
      <c r="J221" t="s">
        <v>3455</v>
      </c>
      <c r="K221" t="s">
        <v>252</v>
      </c>
      <c r="L221" t="s">
        <v>3947</v>
      </c>
      <c r="M221" s="7">
        <v>1165</v>
      </c>
      <c r="N221" t="s">
        <v>3919</v>
      </c>
      <c r="O221" s="7">
        <v>3940</v>
      </c>
      <c r="R221" s="7">
        <v>1</v>
      </c>
      <c r="S221" t="s">
        <v>3920</v>
      </c>
      <c r="T221" t="s">
        <v>2271</v>
      </c>
      <c r="U221" s="7">
        <v>1</v>
      </c>
      <c r="V221">
        <v>87.5</v>
      </c>
      <c r="W221" t="s">
        <v>35</v>
      </c>
      <c r="Y221" t="s">
        <v>2269</v>
      </c>
      <c r="Z221" t="s">
        <v>2313</v>
      </c>
      <c r="AB221" s="8">
        <v>103.25</v>
      </c>
      <c r="AC221" s="7">
        <v>0</v>
      </c>
      <c r="AF221" s="8">
        <v>103.25</v>
      </c>
    </row>
    <row r="222" spans="1:32" hidden="1">
      <c r="A222" s="7">
        <v>1014237</v>
      </c>
      <c r="B222" t="s">
        <v>3833</v>
      </c>
      <c r="C222" t="s">
        <v>3914</v>
      </c>
      <c r="D222" s="7">
        <v>7134260119781</v>
      </c>
      <c r="E222" t="s">
        <v>3948</v>
      </c>
      <c r="F222" t="s">
        <v>3949</v>
      </c>
      <c r="G222" t="s">
        <v>3912</v>
      </c>
      <c r="H222" t="s">
        <v>3917</v>
      </c>
      <c r="I222" t="s">
        <v>1081</v>
      </c>
      <c r="J222" t="s">
        <v>1082</v>
      </c>
      <c r="K222" t="s">
        <v>252</v>
      </c>
      <c r="L222" t="s">
        <v>3636</v>
      </c>
      <c r="M222" s="7">
        <v>1165</v>
      </c>
      <c r="N222" t="s">
        <v>3919</v>
      </c>
      <c r="O222" s="7">
        <v>90710</v>
      </c>
      <c r="R222" s="7">
        <v>1</v>
      </c>
      <c r="S222" t="s">
        <v>3920</v>
      </c>
      <c r="T222" t="s">
        <v>2271</v>
      </c>
      <c r="U222" s="7">
        <v>1</v>
      </c>
      <c r="V222">
        <v>87.5</v>
      </c>
      <c r="W222" t="s">
        <v>35</v>
      </c>
      <c r="Y222" t="s">
        <v>2269</v>
      </c>
      <c r="Z222" t="s">
        <v>2313</v>
      </c>
      <c r="AB222" s="8">
        <v>103.25</v>
      </c>
      <c r="AC222" s="7">
        <v>0</v>
      </c>
      <c r="AF222" s="8">
        <v>103.25</v>
      </c>
    </row>
    <row r="223" spans="1:32" hidden="1">
      <c r="A223" s="7">
        <v>1014239</v>
      </c>
      <c r="B223" t="s">
        <v>3903</v>
      </c>
      <c r="C223" t="s">
        <v>3914</v>
      </c>
      <c r="D223" s="7">
        <v>7134260120326</v>
      </c>
      <c r="E223" t="s">
        <v>3950</v>
      </c>
      <c r="F223" t="s">
        <v>3951</v>
      </c>
      <c r="G223" t="s">
        <v>3912</v>
      </c>
      <c r="H223" t="s">
        <v>3911</v>
      </c>
      <c r="I223" t="s">
        <v>1616</v>
      </c>
      <c r="J223" t="s">
        <v>1617</v>
      </c>
      <c r="K223" t="s">
        <v>252</v>
      </c>
      <c r="L223" t="s">
        <v>3952</v>
      </c>
      <c r="M223" s="7">
        <v>1165</v>
      </c>
      <c r="N223" t="s">
        <v>3652</v>
      </c>
      <c r="O223" s="7">
        <v>72561</v>
      </c>
      <c r="R223" s="7">
        <v>1</v>
      </c>
      <c r="S223" t="s">
        <v>3920</v>
      </c>
      <c r="T223" t="s">
        <v>2271</v>
      </c>
      <c r="U223" s="7">
        <v>1</v>
      </c>
      <c r="V223">
        <v>87.5</v>
      </c>
      <c r="W223" t="s">
        <v>35</v>
      </c>
      <c r="Y223" t="s">
        <v>2269</v>
      </c>
      <c r="Z223" t="s">
        <v>2313</v>
      </c>
      <c r="AB223" s="8">
        <v>103.25</v>
      </c>
      <c r="AC223" s="7">
        <v>0</v>
      </c>
      <c r="AF223" s="8">
        <v>103.25</v>
      </c>
    </row>
    <row r="224" spans="1:32" hidden="1">
      <c r="A224" s="7">
        <v>1014243</v>
      </c>
      <c r="B224" t="s">
        <v>3902</v>
      </c>
      <c r="C224" t="s">
        <v>3914</v>
      </c>
      <c r="D224" s="7">
        <v>7134260120325</v>
      </c>
      <c r="E224" t="s">
        <v>3953</v>
      </c>
      <c r="F224" t="s">
        <v>3954</v>
      </c>
      <c r="G224" t="s">
        <v>3912</v>
      </c>
      <c r="H224" t="s">
        <v>3911</v>
      </c>
      <c r="I224" t="s">
        <v>1067</v>
      </c>
      <c r="J224" t="s">
        <v>1068</v>
      </c>
      <c r="K224" t="s">
        <v>252</v>
      </c>
      <c r="L224" t="s">
        <v>3955</v>
      </c>
      <c r="M224" s="7">
        <v>1165</v>
      </c>
      <c r="N224" t="s">
        <v>3652</v>
      </c>
      <c r="O224" s="7">
        <v>119290</v>
      </c>
      <c r="R224" s="7">
        <v>1</v>
      </c>
      <c r="S224" t="s">
        <v>3920</v>
      </c>
      <c r="T224" t="s">
        <v>2271</v>
      </c>
      <c r="U224" s="7">
        <v>1</v>
      </c>
      <c r="V224">
        <v>87.5</v>
      </c>
      <c r="W224" t="s">
        <v>35</v>
      </c>
      <c r="Y224" t="s">
        <v>2269</v>
      </c>
      <c r="Z224" t="s">
        <v>2313</v>
      </c>
      <c r="AB224" s="8">
        <v>103.25</v>
      </c>
      <c r="AC224" s="7">
        <v>0</v>
      </c>
      <c r="AF224" s="8">
        <v>103.25</v>
      </c>
    </row>
    <row r="225" spans="1:32" hidden="1">
      <c r="A225" s="7">
        <v>1014251</v>
      </c>
      <c r="B225" t="s">
        <v>3857</v>
      </c>
      <c r="C225" t="s">
        <v>3914</v>
      </c>
      <c r="D225" s="7">
        <v>7134260119810</v>
      </c>
      <c r="E225" t="s">
        <v>3956</v>
      </c>
      <c r="F225" t="s">
        <v>3957</v>
      </c>
      <c r="G225" t="s">
        <v>3912</v>
      </c>
      <c r="H225" t="s">
        <v>3917</v>
      </c>
      <c r="I225" t="s">
        <v>3459</v>
      </c>
      <c r="J225" t="s">
        <v>3460</v>
      </c>
      <c r="K225" t="s">
        <v>252</v>
      </c>
      <c r="L225" t="s">
        <v>3958</v>
      </c>
      <c r="M225" s="7">
        <v>1165</v>
      </c>
      <c r="N225" t="s">
        <v>3919</v>
      </c>
      <c r="O225" s="7">
        <v>1520</v>
      </c>
      <c r="R225" s="7">
        <v>1</v>
      </c>
      <c r="S225" t="s">
        <v>3920</v>
      </c>
      <c r="T225" t="s">
        <v>2271</v>
      </c>
      <c r="U225" s="7">
        <v>1</v>
      </c>
      <c r="V225">
        <v>87.5</v>
      </c>
      <c r="W225" t="s">
        <v>35</v>
      </c>
      <c r="Y225" t="s">
        <v>2269</v>
      </c>
      <c r="Z225" t="s">
        <v>2313</v>
      </c>
      <c r="AB225" s="8">
        <v>103.25</v>
      </c>
      <c r="AC225" s="7">
        <v>0</v>
      </c>
      <c r="AF225" s="8">
        <v>103.25</v>
      </c>
    </row>
    <row r="226" spans="1:32" hidden="1">
      <c r="A226" s="7">
        <v>1014255</v>
      </c>
      <c r="B226" t="s">
        <v>3837</v>
      </c>
      <c r="C226" t="s">
        <v>3914</v>
      </c>
      <c r="D226" s="7">
        <v>7134260119786</v>
      </c>
      <c r="E226" t="s">
        <v>3959</v>
      </c>
      <c r="F226" t="s">
        <v>3960</v>
      </c>
      <c r="G226" t="s">
        <v>3912</v>
      </c>
      <c r="H226" t="s">
        <v>3917</v>
      </c>
      <c r="I226" t="s">
        <v>1796</v>
      </c>
      <c r="J226" t="s">
        <v>1797</v>
      </c>
      <c r="K226" t="s">
        <v>252</v>
      </c>
      <c r="L226" t="s">
        <v>3961</v>
      </c>
      <c r="M226" s="7">
        <v>1165</v>
      </c>
      <c r="N226" t="s">
        <v>3919</v>
      </c>
      <c r="O226" s="7">
        <v>24530</v>
      </c>
      <c r="R226" s="7">
        <v>1</v>
      </c>
      <c r="S226" t="s">
        <v>3920</v>
      </c>
      <c r="T226" t="s">
        <v>2271</v>
      </c>
      <c r="U226" s="7">
        <v>1</v>
      </c>
      <c r="V226">
        <v>87.5</v>
      </c>
      <c r="W226" t="s">
        <v>35</v>
      </c>
      <c r="Y226" t="s">
        <v>2269</v>
      </c>
      <c r="Z226" t="s">
        <v>2313</v>
      </c>
      <c r="AB226" s="8">
        <v>103.25</v>
      </c>
      <c r="AC226" s="7">
        <v>0</v>
      </c>
      <c r="AF226" s="8">
        <v>103.25</v>
      </c>
    </row>
    <row r="227" spans="1:32" hidden="1">
      <c r="A227" s="7">
        <v>1014260</v>
      </c>
      <c r="B227" t="s">
        <v>3852</v>
      </c>
      <c r="C227" t="s">
        <v>3914</v>
      </c>
      <c r="D227" s="7">
        <v>7134260119804</v>
      </c>
      <c r="E227" t="s">
        <v>3962</v>
      </c>
      <c r="F227" t="s">
        <v>3963</v>
      </c>
      <c r="G227" t="s">
        <v>3912</v>
      </c>
      <c r="H227" t="s">
        <v>3917</v>
      </c>
      <c r="I227" t="s">
        <v>560</v>
      </c>
      <c r="J227" t="s">
        <v>561</v>
      </c>
      <c r="K227" t="s">
        <v>252</v>
      </c>
      <c r="L227" t="s">
        <v>3964</v>
      </c>
      <c r="M227" s="7">
        <v>1165</v>
      </c>
      <c r="N227" t="s">
        <v>3919</v>
      </c>
      <c r="O227" s="7">
        <v>4420</v>
      </c>
      <c r="R227" s="7">
        <v>1</v>
      </c>
      <c r="S227" t="s">
        <v>3920</v>
      </c>
      <c r="T227" t="s">
        <v>2271</v>
      </c>
      <c r="U227" s="7">
        <v>1</v>
      </c>
      <c r="V227">
        <v>87.5</v>
      </c>
      <c r="W227" t="s">
        <v>35</v>
      </c>
      <c r="Y227" t="s">
        <v>2269</v>
      </c>
      <c r="Z227" t="s">
        <v>2313</v>
      </c>
      <c r="AB227" s="8">
        <v>103.25</v>
      </c>
      <c r="AC227" s="7">
        <v>0</v>
      </c>
      <c r="AF227" s="8">
        <v>103.25</v>
      </c>
    </row>
    <row r="228" spans="1:32" hidden="1">
      <c r="A228" s="7">
        <v>1014264</v>
      </c>
      <c r="B228" t="s">
        <v>3847</v>
      </c>
      <c r="C228" t="s">
        <v>3914</v>
      </c>
      <c r="D228" s="7">
        <v>7134260119798</v>
      </c>
      <c r="E228" t="s">
        <v>3965</v>
      </c>
      <c r="F228" t="s">
        <v>3966</v>
      </c>
      <c r="G228" t="s">
        <v>3912</v>
      </c>
      <c r="H228" t="s">
        <v>3917</v>
      </c>
      <c r="I228" t="s">
        <v>1222</v>
      </c>
      <c r="J228" t="s">
        <v>1223</v>
      </c>
      <c r="K228" t="s">
        <v>252</v>
      </c>
      <c r="L228" t="s">
        <v>2339</v>
      </c>
      <c r="M228" s="7">
        <v>1165</v>
      </c>
      <c r="N228" t="s">
        <v>3919</v>
      </c>
      <c r="O228" s="7">
        <v>115510</v>
      </c>
      <c r="R228" s="7">
        <v>1</v>
      </c>
      <c r="S228" t="s">
        <v>3920</v>
      </c>
      <c r="T228" t="s">
        <v>2271</v>
      </c>
      <c r="U228" s="7">
        <v>1</v>
      </c>
      <c r="V228">
        <v>87.5</v>
      </c>
      <c r="W228" t="s">
        <v>35</v>
      </c>
      <c r="Y228" t="s">
        <v>2269</v>
      </c>
      <c r="Z228" t="s">
        <v>2313</v>
      </c>
      <c r="AB228" s="8">
        <v>103.25</v>
      </c>
      <c r="AC228" s="7">
        <v>0</v>
      </c>
      <c r="AF228" s="8">
        <v>103.25</v>
      </c>
    </row>
    <row r="229" spans="1:32" hidden="1">
      <c r="A229" s="7">
        <v>1014266</v>
      </c>
      <c r="B229" t="s">
        <v>3844</v>
      </c>
      <c r="C229" t="s">
        <v>3914</v>
      </c>
      <c r="D229" s="7">
        <v>7134260119794</v>
      </c>
      <c r="E229" t="s">
        <v>3967</v>
      </c>
      <c r="F229" t="s">
        <v>3968</v>
      </c>
      <c r="G229" t="s">
        <v>3912</v>
      </c>
      <c r="H229" t="s">
        <v>3917</v>
      </c>
      <c r="I229" t="s">
        <v>529</v>
      </c>
      <c r="J229" t="s">
        <v>530</v>
      </c>
      <c r="K229" t="s">
        <v>252</v>
      </c>
      <c r="L229" t="s">
        <v>3969</v>
      </c>
      <c r="M229" s="7">
        <v>1165</v>
      </c>
      <c r="N229" t="s">
        <v>3919</v>
      </c>
      <c r="O229" s="7">
        <v>1562</v>
      </c>
      <c r="R229" s="7">
        <v>1</v>
      </c>
      <c r="S229" t="s">
        <v>3920</v>
      </c>
      <c r="T229" t="s">
        <v>2271</v>
      </c>
      <c r="U229" s="7">
        <v>1</v>
      </c>
      <c r="V229">
        <v>87.5</v>
      </c>
      <c r="W229" t="s">
        <v>35</v>
      </c>
      <c r="Y229" t="s">
        <v>2269</v>
      </c>
      <c r="Z229" t="s">
        <v>2313</v>
      </c>
      <c r="AB229" s="8">
        <v>103.25</v>
      </c>
      <c r="AC229" s="7">
        <v>0</v>
      </c>
      <c r="AF229" s="8">
        <v>103.25</v>
      </c>
    </row>
    <row r="230" spans="1:32" hidden="1">
      <c r="A230" s="7">
        <v>1014268</v>
      </c>
      <c r="B230" t="s">
        <v>3834</v>
      </c>
      <c r="C230" t="s">
        <v>3914</v>
      </c>
      <c r="D230" s="7">
        <v>7134260119782</v>
      </c>
      <c r="E230" t="s">
        <v>3970</v>
      </c>
      <c r="F230" t="s">
        <v>3971</v>
      </c>
      <c r="G230" t="s">
        <v>3912</v>
      </c>
      <c r="H230" t="s">
        <v>3917</v>
      </c>
      <c r="I230" t="s">
        <v>1907</v>
      </c>
      <c r="J230" t="s">
        <v>1908</v>
      </c>
      <c r="K230" t="s">
        <v>252</v>
      </c>
      <c r="L230" t="s">
        <v>3972</v>
      </c>
      <c r="M230" s="7">
        <v>1160</v>
      </c>
      <c r="N230" t="s">
        <v>3919</v>
      </c>
      <c r="O230" s="7">
        <v>8120</v>
      </c>
      <c r="R230" s="7">
        <v>1</v>
      </c>
      <c r="S230" t="s">
        <v>3920</v>
      </c>
      <c r="T230" t="s">
        <v>2271</v>
      </c>
      <c r="U230" s="7">
        <v>1</v>
      </c>
      <c r="V230">
        <v>87.5</v>
      </c>
      <c r="W230" t="s">
        <v>35</v>
      </c>
      <c r="Y230" t="s">
        <v>2269</v>
      </c>
      <c r="Z230" t="s">
        <v>2313</v>
      </c>
      <c r="AB230" s="8">
        <v>103.25</v>
      </c>
      <c r="AC230" s="7">
        <v>0</v>
      </c>
      <c r="AF230" s="8">
        <v>103.25</v>
      </c>
    </row>
    <row r="231" spans="1:32" hidden="1">
      <c r="A231" s="7">
        <v>1014269</v>
      </c>
      <c r="B231" t="s">
        <v>3843</v>
      </c>
      <c r="C231" t="s">
        <v>3914</v>
      </c>
      <c r="D231" s="7">
        <v>7134260119793</v>
      </c>
      <c r="E231" t="s">
        <v>3973</v>
      </c>
      <c r="F231" t="s">
        <v>3974</v>
      </c>
      <c r="G231" t="s">
        <v>3912</v>
      </c>
      <c r="H231" t="s">
        <v>3917</v>
      </c>
      <c r="I231" t="s">
        <v>3415</v>
      </c>
      <c r="J231" t="s">
        <v>3416</v>
      </c>
      <c r="K231" t="s">
        <v>252</v>
      </c>
      <c r="L231" t="s">
        <v>3975</v>
      </c>
      <c r="M231" s="7">
        <v>1165</v>
      </c>
      <c r="N231" t="s">
        <v>3919</v>
      </c>
      <c r="O231" s="7">
        <v>57840</v>
      </c>
      <c r="R231" s="7">
        <v>1</v>
      </c>
      <c r="S231" t="s">
        <v>3920</v>
      </c>
      <c r="T231" t="s">
        <v>2271</v>
      </c>
      <c r="U231" s="7">
        <v>1</v>
      </c>
      <c r="V231">
        <v>87.5</v>
      </c>
      <c r="W231" t="s">
        <v>35</v>
      </c>
      <c r="Y231" t="s">
        <v>2269</v>
      </c>
      <c r="Z231" t="s">
        <v>2313</v>
      </c>
      <c r="AB231" s="8">
        <v>103.25</v>
      </c>
      <c r="AC231" s="7">
        <v>0</v>
      </c>
      <c r="AF231" s="8">
        <v>103.25</v>
      </c>
    </row>
    <row r="232" spans="1:32" hidden="1">
      <c r="A232" s="7">
        <v>1014271</v>
      </c>
      <c r="B232" t="s">
        <v>3904</v>
      </c>
      <c r="C232" t="s">
        <v>3914</v>
      </c>
      <c r="D232" s="7">
        <v>7134260120327</v>
      </c>
      <c r="E232" t="s">
        <v>3976</v>
      </c>
      <c r="F232" t="s">
        <v>3977</v>
      </c>
      <c r="G232" t="s">
        <v>3912</v>
      </c>
      <c r="H232" t="s">
        <v>3911</v>
      </c>
      <c r="I232" t="s">
        <v>1157</v>
      </c>
      <c r="J232" t="s">
        <v>1158</v>
      </c>
      <c r="K232" t="s">
        <v>252</v>
      </c>
      <c r="L232" t="s">
        <v>3309</v>
      </c>
      <c r="M232" s="7">
        <v>1165</v>
      </c>
      <c r="N232" t="s">
        <v>3652</v>
      </c>
      <c r="O232" s="7">
        <v>96918</v>
      </c>
      <c r="R232" s="7">
        <v>1</v>
      </c>
      <c r="S232" t="s">
        <v>3920</v>
      </c>
      <c r="T232" t="s">
        <v>2271</v>
      </c>
      <c r="U232" s="7">
        <v>1</v>
      </c>
      <c r="V232">
        <v>87.5</v>
      </c>
      <c r="W232" t="s">
        <v>35</v>
      </c>
      <c r="Y232" t="s">
        <v>2269</v>
      </c>
      <c r="Z232" t="s">
        <v>2313</v>
      </c>
      <c r="AB232" s="8">
        <v>103.25</v>
      </c>
      <c r="AC232" s="7">
        <v>0</v>
      </c>
      <c r="AF232" s="8">
        <v>103.25</v>
      </c>
    </row>
    <row r="233" spans="1:32" hidden="1">
      <c r="A233" s="7">
        <v>1014274</v>
      </c>
      <c r="B233" t="s">
        <v>3899</v>
      </c>
      <c r="C233" t="s">
        <v>3914</v>
      </c>
      <c r="D233" s="7">
        <v>7134260120322</v>
      </c>
      <c r="E233" t="s">
        <v>3978</v>
      </c>
      <c r="F233" t="s">
        <v>3979</v>
      </c>
      <c r="G233" t="s">
        <v>3912</v>
      </c>
      <c r="H233" t="s">
        <v>3911</v>
      </c>
      <c r="I233" t="s">
        <v>3980</v>
      </c>
      <c r="J233" t="s">
        <v>3981</v>
      </c>
      <c r="K233" t="s">
        <v>252</v>
      </c>
      <c r="L233" t="s">
        <v>3961</v>
      </c>
      <c r="M233" s="7">
        <v>1165</v>
      </c>
      <c r="N233" t="s">
        <v>3930</v>
      </c>
      <c r="O233" s="7">
        <v>17668</v>
      </c>
      <c r="R233" s="7">
        <v>1</v>
      </c>
      <c r="S233" t="s">
        <v>3920</v>
      </c>
      <c r="T233" t="s">
        <v>2271</v>
      </c>
      <c r="U233" s="7">
        <v>1</v>
      </c>
      <c r="V233">
        <v>87.5</v>
      </c>
      <c r="W233" t="s">
        <v>35</v>
      </c>
      <c r="Y233" t="s">
        <v>2269</v>
      </c>
      <c r="Z233" t="s">
        <v>2313</v>
      </c>
      <c r="AB233" s="8">
        <v>103.25</v>
      </c>
      <c r="AC233" s="7">
        <v>0</v>
      </c>
      <c r="AF233" s="8">
        <v>103.25</v>
      </c>
    </row>
    <row r="234" spans="1:32" hidden="1">
      <c r="A234" s="7">
        <v>1014276</v>
      </c>
      <c r="B234" t="s">
        <v>3901</v>
      </c>
      <c r="C234" t="s">
        <v>3914</v>
      </c>
      <c r="D234" s="7">
        <v>7134260120324</v>
      </c>
      <c r="E234" t="s">
        <v>3982</v>
      </c>
      <c r="F234" t="s">
        <v>3983</v>
      </c>
      <c r="G234" t="s">
        <v>3912</v>
      </c>
      <c r="H234" t="s">
        <v>3911</v>
      </c>
      <c r="I234" t="s">
        <v>3461</v>
      </c>
      <c r="J234" t="s">
        <v>3462</v>
      </c>
      <c r="K234" t="s">
        <v>252</v>
      </c>
      <c r="L234" t="s">
        <v>3984</v>
      </c>
      <c r="M234" s="7">
        <v>1165</v>
      </c>
      <c r="N234" t="s">
        <v>3930</v>
      </c>
      <c r="O234" s="7">
        <v>3879</v>
      </c>
      <c r="R234" s="7">
        <v>1</v>
      </c>
      <c r="S234" t="s">
        <v>3920</v>
      </c>
      <c r="T234" t="s">
        <v>2271</v>
      </c>
      <c r="U234" s="7">
        <v>1</v>
      </c>
      <c r="V234">
        <v>87.5</v>
      </c>
      <c r="W234" t="s">
        <v>35</v>
      </c>
      <c r="Y234" t="s">
        <v>2269</v>
      </c>
      <c r="Z234" t="s">
        <v>2313</v>
      </c>
      <c r="AB234" s="8">
        <v>103.25</v>
      </c>
      <c r="AC234" s="7">
        <v>0</v>
      </c>
      <c r="AF234" s="8">
        <v>103.25</v>
      </c>
    </row>
    <row r="235" spans="1:32" hidden="1">
      <c r="A235" s="7">
        <v>1014279</v>
      </c>
      <c r="B235" t="s">
        <v>3898</v>
      </c>
      <c r="C235" t="s">
        <v>3914</v>
      </c>
      <c r="D235" s="7">
        <v>7134260120321</v>
      </c>
      <c r="E235" t="s">
        <v>3985</v>
      </c>
      <c r="F235" t="s">
        <v>3986</v>
      </c>
      <c r="G235" t="s">
        <v>3912</v>
      </c>
      <c r="H235" t="s">
        <v>3911</v>
      </c>
      <c r="I235" t="s">
        <v>3987</v>
      </c>
      <c r="J235" t="s">
        <v>3988</v>
      </c>
      <c r="K235" t="s">
        <v>252</v>
      </c>
      <c r="L235" t="s">
        <v>3270</v>
      </c>
      <c r="M235" s="7">
        <v>1165</v>
      </c>
      <c r="N235" t="s">
        <v>3930</v>
      </c>
      <c r="O235" s="7">
        <v>1435</v>
      </c>
      <c r="R235" s="7">
        <v>1</v>
      </c>
      <c r="S235" t="s">
        <v>3920</v>
      </c>
      <c r="T235" t="s">
        <v>2271</v>
      </c>
      <c r="U235" s="7">
        <v>1</v>
      </c>
      <c r="V235">
        <v>87.5</v>
      </c>
      <c r="W235" t="s">
        <v>35</v>
      </c>
      <c r="Y235" t="s">
        <v>2269</v>
      </c>
      <c r="Z235" t="s">
        <v>2313</v>
      </c>
      <c r="AB235" s="8">
        <v>103.25</v>
      </c>
      <c r="AC235" s="7">
        <v>0</v>
      </c>
      <c r="AF235" s="8">
        <v>103.25</v>
      </c>
    </row>
    <row r="236" spans="1:32" hidden="1">
      <c r="A236" s="7">
        <v>1014282</v>
      </c>
      <c r="B236" t="s">
        <v>3900</v>
      </c>
      <c r="C236" t="s">
        <v>3914</v>
      </c>
      <c r="D236" s="7">
        <v>7134260120323</v>
      </c>
      <c r="E236" t="s">
        <v>3989</v>
      </c>
      <c r="F236" t="s">
        <v>3990</v>
      </c>
      <c r="G236" t="s">
        <v>3912</v>
      </c>
      <c r="H236" t="s">
        <v>3911</v>
      </c>
      <c r="I236" t="s">
        <v>685</v>
      </c>
      <c r="J236" t="s">
        <v>686</v>
      </c>
      <c r="K236" t="s">
        <v>252</v>
      </c>
      <c r="L236" t="s">
        <v>3991</v>
      </c>
      <c r="M236" s="7">
        <v>1165</v>
      </c>
      <c r="N236" t="s">
        <v>3930</v>
      </c>
      <c r="O236" s="7">
        <v>1345</v>
      </c>
      <c r="R236" s="7">
        <v>1</v>
      </c>
      <c r="S236" t="s">
        <v>3920</v>
      </c>
      <c r="T236" t="s">
        <v>2271</v>
      </c>
      <c r="U236" s="7">
        <v>1</v>
      </c>
      <c r="V236">
        <v>87.5</v>
      </c>
      <c r="W236" t="s">
        <v>35</v>
      </c>
      <c r="Y236" t="s">
        <v>2269</v>
      </c>
      <c r="Z236" t="s">
        <v>2313</v>
      </c>
      <c r="AB236" s="8">
        <v>103.25</v>
      </c>
      <c r="AC236" s="7">
        <v>0</v>
      </c>
      <c r="AF236" s="8">
        <v>103.25</v>
      </c>
    </row>
    <row r="237" spans="1:32" hidden="1">
      <c r="A237" s="7">
        <v>1014286</v>
      </c>
      <c r="B237" t="s">
        <v>3838</v>
      </c>
      <c r="C237" t="s">
        <v>3914</v>
      </c>
      <c r="D237" s="7">
        <v>7134260119787</v>
      </c>
      <c r="E237" t="s">
        <v>3992</v>
      </c>
      <c r="F237" t="s">
        <v>3993</v>
      </c>
      <c r="G237" t="s">
        <v>3912</v>
      </c>
      <c r="H237" t="s">
        <v>3917</v>
      </c>
      <c r="I237" t="s">
        <v>1743</v>
      </c>
      <c r="J237" t="s">
        <v>1744</v>
      </c>
      <c r="K237" t="s">
        <v>252</v>
      </c>
      <c r="L237" t="s">
        <v>3994</v>
      </c>
      <c r="M237" s="7">
        <v>1165</v>
      </c>
      <c r="N237" t="s">
        <v>3919</v>
      </c>
      <c r="O237" s="7">
        <v>9123</v>
      </c>
      <c r="R237" s="7">
        <v>1</v>
      </c>
      <c r="S237" t="s">
        <v>3920</v>
      </c>
      <c r="T237" t="s">
        <v>2271</v>
      </c>
      <c r="U237" s="7">
        <v>1</v>
      </c>
      <c r="V237">
        <v>87.5</v>
      </c>
      <c r="W237" t="s">
        <v>35</v>
      </c>
      <c r="Y237" t="s">
        <v>2269</v>
      </c>
      <c r="Z237" t="s">
        <v>2313</v>
      </c>
      <c r="AB237" s="8">
        <v>103.25</v>
      </c>
      <c r="AC237" s="7">
        <v>0</v>
      </c>
      <c r="AF237" s="8">
        <v>103.25</v>
      </c>
    </row>
    <row r="238" spans="1:32" hidden="1">
      <c r="A238" s="7">
        <v>1014288</v>
      </c>
      <c r="B238" t="s">
        <v>3897</v>
      </c>
      <c r="C238" t="s">
        <v>3914</v>
      </c>
      <c r="D238" s="7">
        <v>7134260120320</v>
      </c>
      <c r="E238" t="s">
        <v>3995</v>
      </c>
      <c r="F238" t="s">
        <v>3996</v>
      </c>
      <c r="G238" t="s">
        <v>3912</v>
      </c>
      <c r="H238" t="s">
        <v>3911</v>
      </c>
      <c r="I238" t="s">
        <v>748</v>
      </c>
      <c r="J238" t="s">
        <v>749</v>
      </c>
      <c r="K238" t="s">
        <v>252</v>
      </c>
      <c r="L238" t="s">
        <v>3997</v>
      </c>
      <c r="M238" s="7">
        <v>1165</v>
      </c>
      <c r="N238" t="s">
        <v>3930</v>
      </c>
      <c r="O238" s="7">
        <v>31234</v>
      </c>
      <c r="R238" s="7">
        <v>1</v>
      </c>
      <c r="S238" t="s">
        <v>3920</v>
      </c>
      <c r="T238" t="s">
        <v>2271</v>
      </c>
      <c r="U238" s="7">
        <v>1</v>
      </c>
      <c r="V238">
        <v>87.5</v>
      </c>
      <c r="W238" t="s">
        <v>35</v>
      </c>
      <c r="Y238" t="s">
        <v>2269</v>
      </c>
      <c r="Z238" t="s">
        <v>2313</v>
      </c>
      <c r="AB238" s="8">
        <v>103.25</v>
      </c>
      <c r="AC238" s="7">
        <v>0</v>
      </c>
      <c r="AF238" s="8">
        <v>103.25</v>
      </c>
    </row>
    <row r="239" spans="1:32" hidden="1">
      <c r="A239" s="7">
        <v>1014294</v>
      </c>
      <c r="B239" t="s">
        <v>3842</v>
      </c>
      <c r="C239" t="s">
        <v>3914</v>
      </c>
      <c r="D239" s="7">
        <v>7134260119791</v>
      </c>
      <c r="E239" t="s">
        <v>3998</v>
      </c>
      <c r="F239" t="s">
        <v>3999</v>
      </c>
      <c r="G239" t="s">
        <v>3912</v>
      </c>
      <c r="H239" t="s">
        <v>3917</v>
      </c>
      <c r="I239" t="s">
        <v>991</v>
      </c>
      <c r="J239" t="s">
        <v>992</v>
      </c>
      <c r="K239" t="s">
        <v>252</v>
      </c>
      <c r="L239" t="s">
        <v>4000</v>
      </c>
      <c r="M239" s="7">
        <v>1165</v>
      </c>
      <c r="N239" t="s">
        <v>3919</v>
      </c>
      <c r="O239" s="7">
        <v>100940</v>
      </c>
      <c r="R239" s="7">
        <v>1</v>
      </c>
      <c r="S239" t="s">
        <v>3920</v>
      </c>
      <c r="T239" t="s">
        <v>2271</v>
      </c>
      <c r="U239" s="7">
        <v>1</v>
      </c>
      <c r="V239">
        <v>87.5</v>
      </c>
      <c r="W239" t="s">
        <v>35</v>
      </c>
      <c r="Y239" t="s">
        <v>2269</v>
      </c>
      <c r="Z239" t="s">
        <v>2313</v>
      </c>
      <c r="AB239" s="8">
        <v>103.25</v>
      </c>
      <c r="AC239" s="7">
        <v>0</v>
      </c>
      <c r="AF239" s="8">
        <v>103.25</v>
      </c>
    </row>
    <row r="240" spans="1:32" hidden="1">
      <c r="A240" s="7">
        <v>1014297</v>
      </c>
      <c r="B240" t="s">
        <v>3848</v>
      </c>
      <c r="C240" t="s">
        <v>3914</v>
      </c>
      <c r="D240" s="7">
        <v>7134260119799</v>
      </c>
      <c r="E240" t="s">
        <v>4001</v>
      </c>
      <c r="F240" t="s">
        <v>4002</v>
      </c>
      <c r="G240" t="s">
        <v>3912</v>
      </c>
      <c r="H240" t="s">
        <v>3917</v>
      </c>
      <c r="I240" t="s">
        <v>4003</v>
      </c>
      <c r="J240" t="s">
        <v>4004</v>
      </c>
      <c r="K240" t="s">
        <v>252</v>
      </c>
      <c r="L240" t="s">
        <v>4005</v>
      </c>
      <c r="M240" s="7">
        <v>1165</v>
      </c>
      <c r="N240" t="s">
        <v>3919</v>
      </c>
      <c r="O240" s="7">
        <v>209420</v>
      </c>
      <c r="R240" s="7">
        <v>1</v>
      </c>
      <c r="S240" t="s">
        <v>3920</v>
      </c>
      <c r="T240" t="s">
        <v>2271</v>
      </c>
      <c r="U240" s="7">
        <v>1</v>
      </c>
      <c r="V240">
        <v>87.5</v>
      </c>
      <c r="W240" t="s">
        <v>35</v>
      </c>
      <c r="Y240" t="s">
        <v>2269</v>
      </c>
      <c r="Z240" t="s">
        <v>2313</v>
      </c>
      <c r="AB240" s="8">
        <v>103.25</v>
      </c>
      <c r="AC240" s="7">
        <v>0</v>
      </c>
      <c r="AF240" s="8">
        <v>103.25</v>
      </c>
    </row>
    <row r="241" spans="1:32" hidden="1">
      <c r="A241" s="7">
        <v>1014299</v>
      </c>
      <c r="B241" t="s">
        <v>3894</v>
      </c>
      <c r="C241" t="s">
        <v>3914</v>
      </c>
      <c r="D241" s="7">
        <v>7134260120317</v>
      </c>
      <c r="E241" t="s">
        <v>4006</v>
      </c>
      <c r="F241" t="s">
        <v>4007</v>
      </c>
      <c r="G241" t="s">
        <v>3912</v>
      </c>
      <c r="H241" t="s">
        <v>3911</v>
      </c>
      <c r="I241" t="s">
        <v>4008</v>
      </c>
      <c r="J241" t="s">
        <v>4009</v>
      </c>
      <c r="K241" t="s">
        <v>252</v>
      </c>
      <c r="L241" t="s">
        <v>4010</v>
      </c>
      <c r="M241" s="7">
        <v>1165</v>
      </c>
      <c r="N241" t="s">
        <v>3930</v>
      </c>
      <c r="O241" s="7">
        <v>121808</v>
      </c>
      <c r="R241" s="7">
        <v>1</v>
      </c>
      <c r="S241" t="s">
        <v>3920</v>
      </c>
      <c r="T241" t="s">
        <v>2271</v>
      </c>
      <c r="U241" s="7">
        <v>1</v>
      </c>
      <c r="V241">
        <v>87.5</v>
      </c>
      <c r="W241" t="s">
        <v>35</v>
      </c>
      <c r="Y241" t="s">
        <v>2269</v>
      </c>
      <c r="Z241" t="s">
        <v>2313</v>
      </c>
      <c r="AB241" s="8">
        <v>103.25</v>
      </c>
      <c r="AC241" s="7">
        <v>0</v>
      </c>
      <c r="AF241" s="8">
        <v>103.25</v>
      </c>
    </row>
    <row r="242" spans="1:32" hidden="1">
      <c r="A242" s="7">
        <v>1014300</v>
      </c>
      <c r="B242" t="s">
        <v>3835</v>
      </c>
      <c r="C242" t="s">
        <v>3914</v>
      </c>
      <c r="D242" s="7">
        <v>7134260119783</v>
      </c>
      <c r="E242" t="s">
        <v>4011</v>
      </c>
      <c r="F242" t="s">
        <v>4012</v>
      </c>
      <c r="G242" t="s">
        <v>3912</v>
      </c>
      <c r="H242" t="s">
        <v>3917</v>
      </c>
      <c r="I242" t="s">
        <v>4013</v>
      </c>
      <c r="J242" t="s">
        <v>4014</v>
      </c>
      <c r="K242" t="s">
        <v>252</v>
      </c>
      <c r="L242" t="s">
        <v>3657</v>
      </c>
      <c r="M242" s="7">
        <v>1165</v>
      </c>
      <c r="N242" t="s">
        <v>3919</v>
      </c>
      <c r="O242" s="7">
        <v>1520</v>
      </c>
      <c r="R242" s="7">
        <v>1</v>
      </c>
      <c r="S242" t="s">
        <v>3920</v>
      </c>
      <c r="T242" t="s">
        <v>2271</v>
      </c>
      <c r="U242" s="7">
        <v>1</v>
      </c>
      <c r="V242">
        <v>87.5</v>
      </c>
      <c r="W242" t="s">
        <v>35</v>
      </c>
      <c r="Y242" t="s">
        <v>2269</v>
      </c>
      <c r="Z242" t="s">
        <v>2313</v>
      </c>
      <c r="AB242" s="8">
        <v>103.25</v>
      </c>
      <c r="AC242" s="7">
        <v>0</v>
      </c>
      <c r="AF242" s="8">
        <v>103.25</v>
      </c>
    </row>
    <row r="243" spans="1:32" hidden="1">
      <c r="A243" s="7">
        <v>1014301</v>
      </c>
      <c r="B243" t="s">
        <v>3893</v>
      </c>
      <c r="C243" t="s">
        <v>3914</v>
      </c>
      <c r="D243" s="7">
        <v>7134260120316</v>
      </c>
      <c r="E243" t="s">
        <v>4015</v>
      </c>
      <c r="F243" t="s">
        <v>4016</v>
      </c>
      <c r="G243" t="s">
        <v>3912</v>
      </c>
      <c r="H243" t="s">
        <v>3911</v>
      </c>
      <c r="I243" t="s">
        <v>1166</v>
      </c>
      <c r="J243" t="s">
        <v>1167</v>
      </c>
      <c r="K243" t="s">
        <v>252</v>
      </c>
      <c r="L243" t="s">
        <v>4017</v>
      </c>
      <c r="M243" s="7">
        <v>1165</v>
      </c>
      <c r="N243" t="s">
        <v>3930</v>
      </c>
      <c r="O243" s="7">
        <v>128978</v>
      </c>
      <c r="R243" s="7">
        <v>1</v>
      </c>
      <c r="S243" t="s">
        <v>3920</v>
      </c>
      <c r="T243" t="s">
        <v>2271</v>
      </c>
      <c r="U243" s="7">
        <v>1</v>
      </c>
      <c r="V243">
        <v>87.5</v>
      </c>
      <c r="W243" t="s">
        <v>35</v>
      </c>
      <c r="Y243" t="s">
        <v>2269</v>
      </c>
      <c r="Z243" t="s">
        <v>2313</v>
      </c>
      <c r="AB243" s="8">
        <v>103.25</v>
      </c>
      <c r="AC243" s="7">
        <v>0</v>
      </c>
      <c r="AF243" s="8">
        <v>103.25</v>
      </c>
    </row>
    <row r="244" spans="1:32" hidden="1">
      <c r="A244" s="7">
        <v>1014303</v>
      </c>
      <c r="B244" t="s">
        <v>3905</v>
      </c>
      <c r="C244" t="s">
        <v>3914</v>
      </c>
      <c r="D244" s="7">
        <v>7134260120328</v>
      </c>
      <c r="E244" t="s">
        <v>4018</v>
      </c>
      <c r="F244" t="s">
        <v>4019</v>
      </c>
      <c r="G244" t="s">
        <v>3912</v>
      </c>
      <c r="H244" t="s">
        <v>3911</v>
      </c>
      <c r="I244" t="s">
        <v>980</v>
      </c>
      <c r="J244" t="s">
        <v>981</v>
      </c>
      <c r="K244" t="s">
        <v>252</v>
      </c>
      <c r="L244" t="s">
        <v>4020</v>
      </c>
      <c r="M244" s="7">
        <v>1165</v>
      </c>
      <c r="N244" t="s">
        <v>3652</v>
      </c>
      <c r="O244" s="7">
        <v>39821</v>
      </c>
      <c r="R244" s="7">
        <v>1</v>
      </c>
      <c r="S244" t="s">
        <v>3920</v>
      </c>
      <c r="T244" t="s">
        <v>2271</v>
      </c>
      <c r="U244" s="7">
        <v>1</v>
      </c>
      <c r="V244">
        <v>87.5</v>
      </c>
      <c r="W244" t="s">
        <v>35</v>
      </c>
      <c r="Y244" t="s">
        <v>2269</v>
      </c>
      <c r="Z244" t="s">
        <v>2313</v>
      </c>
      <c r="AB244" s="8">
        <v>103.25</v>
      </c>
      <c r="AC244" s="7">
        <v>0</v>
      </c>
      <c r="AF244" s="8">
        <v>103.25</v>
      </c>
    </row>
    <row r="245" spans="1:32" hidden="1">
      <c r="A245" s="7">
        <v>1014308</v>
      </c>
      <c r="B245" t="s">
        <v>3856</v>
      </c>
      <c r="C245" t="s">
        <v>3914</v>
      </c>
      <c r="D245" s="7">
        <v>7134260119809</v>
      </c>
      <c r="E245" t="s">
        <v>4021</v>
      </c>
      <c r="F245" t="s">
        <v>4022</v>
      </c>
      <c r="G245" t="s">
        <v>3912</v>
      </c>
      <c r="H245" t="s">
        <v>3917</v>
      </c>
      <c r="I245" t="s">
        <v>4023</v>
      </c>
      <c r="J245" t="s">
        <v>4024</v>
      </c>
      <c r="K245" t="s">
        <v>252</v>
      </c>
      <c r="L245" t="s">
        <v>3657</v>
      </c>
      <c r="M245" s="7">
        <v>1165</v>
      </c>
      <c r="N245" t="s">
        <v>3919</v>
      </c>
      <c r="O245" s="7">
        <v>4820</v>
      </c>
      <c r="R245" s="7">
        <v>1</v>
      </c>
      <c r="S245" t="s">
        <v>3920</v>
      </c>
      <c r="T245" t="s">
        <v>2271</v>
      </c>
      <c r="U245" s="7">
        <v>1</v>
      </c>
      <c r="V245">
        <v>87.5</v>
      </c>
      <c r="W245" t="s">
        <v>35</v>
      </c>
      <c r="Y245" t="s">
        <v>2269</v>
      </c>
      <c r="Z245" t="s">
        <v>2313</v>
      </c>
      <c r="AB245" s="8">
        <v>103.25</v>
      </c>
      <c r="AC245" s="7">
        <v>0</v>
      </c>
      <c r="AF245" s="8">
        <v>103.25</v>
      </c>
    </row>
    <row r="246" spans="1:32" hidden="1">
      <c r="A246" s="7">
        <v>1014310</v>
      </c>
      <c r="B246" t="s">
        <v>3891</v>
      </c>
      <c r="C246" t="s">
        <v>3914</v>
      </c>
      <c r="D246" s="7">
        <v>7134260120314</v>
      </c>
      <c r="E246" t="s">
        <v>4025</v>
      </c>
      <c r="F246" t="s">
        <v>4026</v>
      </c>
      <c r="G246" t="s">
        <v>3912</v>
      </c>
      <c r="H246" t="s">
        <v>3911</v>
      </c>
      <c r="I246" t="s">
        <v>380</v>
      </c>
      <c r="J246" t="s">
        <v>381</v>
      </c>
      <c r="K246" t="s">
        <v>252</v>
      </c>
      <c r="L246" t="s">
        <v>2726</v>
      </c>
      <c r="M246" s="7">
        <v>1165</v>
      </c>
      <c r="N246" t="s">
        <v>3930</v>
      </c>
      <c r="O246" s="7">
        <v>34560</v>
      </c>
      <c r="R246" s="7">
        <v>1</v>
      </c>
      <c r="S246" t="s">
        <v>3920</v>
      </c>
      <c r="T246" t="s">
        <v>2271</v>
      </c>
      <c r="U246" s="7">
        <v>1</v>
      </c>
      <c r="V246">
        <v>87.5</v>
      </c>
      <c r="W246" t="s">
        <v>35</v>
      </c>
      <c r="Y246" t="s">
        <v>2269</v>
      </c>
      <c r="Z246" t="s">
        <v>2313</v>
      </c>
      <c r="AB246" s="8">
        <v>103.25</v>
      </c>
      <c r="AC246" s="7">
        <v>0</v>
      </c>
      <c r="AF246" s="8">
        <v>103.25</v>
      </c>
    </row>
    <row r="247" spans="1:32" hidden="1">
      <c r="A247" s="7">
        <v>1014312</v>
      </c>
      <c r="B247" t="s">
        <v>3841</v>
      </c>
      <c r="C247" t="s">
        <v>3914</v>
      </c>
      <c r="D247" s="7">
        <v>7134260119790</v>
      </c>
      <c r="E247" t="s">
        <v>4027</v>
      </c>
      <c r="F247" t="s">
        <v>4028</v>
      </c>
      <c r="G247" t="s">
        <v>3913</v>
      </c>
      <c r="H247" t="s">
        <v>3917</v>
      </c>
      <c r="I247" t="s">
        <v>250</v>
      </c>
      <c r="J247" t="s">
        <v>251</v>
      </c>
      <c r="K247" t="s">
        <v>252</v>
      </c>
      <c r="L247" t="s">
        <v>3296</v>
      </c>
      <c r="M247" s="7">
        <v>1165</v>
      </c>
      <c r="N247" t="s">
        <v>3919</v>
      </c>
      <c r="O247" s="7">
        <v>6420</v>
      </c>
      <c r="R247" s="7">
        <v>1</v>
      </c>
      <c r="S247" t="s">
        <v>3920</v>
      </c>
      <c r="T247" t="s">
        <v>2271</v>
      </c>
      <c r="U247" s="7">
        <v>1</v>
      </c>
      <c r="V247">
        <v>87.5</v>
      </c>
      <c r="W247" t="s">
        <v>35</v>
      </c>
      <c r="Y247" t="s">
        <v>2269</v>
      </c>
      <c r="Z247" t="s">
        <v>2313</v>
      </c>
      <c r="AB247" s="8">
        <v>103.25</v>
      </c>
      <c r="AC247" s="7">
        <v>0</v>
      </c>
      <c r="AF247" s="8">
        <v>103.25</v>
      </c>
    </row>
    <row r="248" spans="1:32" hidden="1">
      <c r="A248" s="7">
        <v>1014316</v>
      </c>
      <c r="B248" t="s">
        <v>3839</v>
      </c>
      <c r="C248" t="s">
        <v>3914</v>
      </c>
      <c r="D248" s="7">
        <v>7134260119788</v>
      </c>
      <c r="E248" t="s">
        <v>4029</v>
      </c>
      <c r="F248" t="s">
        <v>4030</v>
      </c>
      <c r="G248" t="s">
        <v>3913</v>
      </c>
      <c r="H248" t="s">
        <v>3917</v>
      </c>
      <c r="I248" t="s">
        <v>402</v>
      </c>
      <c r="J248" t="s">
        <v>403</v>
      </c>
      <c r="K248" t="s">
        <v>252</v>
      </c>
      <c r="L248" t="s">
        <v>4031</v>
      </c>
      <c r="M248" s="7">
        <v>1165</v>
      </c>
      <c r="N248" t="s">
        <v>3919</v>
      </c>
      <c r="O248" s="7">
        <v>69710</v>
      </c>
      <c r="R248" s="7">
        <v>1</v>
      </c>
      <c r="S248" t="s">
        <v>3920</v>
      </c>
      <c r="T248" t="s">
        <v>2271</v>
      </c>
      <c r="U248" s="7">
        <v>1</v>
      </c>
      <c r="V248">
        <v>87.5</v>
      </c>
      <c r="W248" t="s">
        <v>35</v>
      </c>
      <c r="Y248" t="s">
        <v>2269</v>
      </c>
      <c r="Z248" t="s">
        <v>2313</v>
      </c>
      <c r="AB248" s="8">
        <v>103.25</v>
      </c>
      <c r="AC248" s="7">
        <v>0</v>
      </c>
      <c r="AF248" s="8">
        <v>103.25</v>
      </c>
    </row>
    <row r="249" spans="1:32" hidden="1">
      <c r="A249" s="7">
        <v>1014317</v>
      </c>
      <c r="B249" t="s">
        <v>3855</v>
      </c>
      <c r="C249" t="s">
        <v>3914</v>
      </c>
      <c r="D249" s="7">
        <v>7134260119808</v>
      </c>
      <c r="E249" t="s">
        <v>4032</v>
      </c>
      <c r="F249" t="s">
        <v>4033</v>
      </c>
      <c r="G249" t="s">
        <v>3913</v>
      </c>
      <c r="H249" t="s">
        <v>3917</v>
      </c>
      <c r="I249" t="s">
        <v>1178</v>
      </c>
      <c r="J249" t="s">
        <v>1179</v>
      </c>
      <c r="K249" t="s">
        <v>252</v>
      </c>
      <c r="L249" t="s">
        <v>4034</v>
      </c>
      <c r="M249" s="7">
        <v>1165</v>
      </c>
      <c r="N249" t="s">
        <v>3919</v>
      </c>
      <c r="O249" s="7">
        <v>16520</v>
      </c>
      <c r="R249" s="7">
        <v>1</v>
      </c>
      <c r="S249" t="s">
        <v>3920</v>
      </c>
      <c r="T249" t="s">
        <v>2271</v>
      </c>
      <c r="U249" s="7">
        <v>1</v>
      </c>
      <c r="V249">
        <v>87.5</v>
      </c>
      <c r="W249" t="s">
        <v>35</v>
      </c>
      <c r="Y249" t="s">
        <v>2269</v>
      </c>
      <c r="Z249" t="s">
        <v>2313</v>
      </c>
      <c r="AB249" s="8">
        <v>103.25</v>
      </c>
      <c r="AC249" s="7">
        <v>0</v>
      </c>
      <c r="AF249" s="8">
        <v>103.25</v>
      </c>
    </row>
    <row r="250" spans="1:32" hidden="1">
      <c r="A250" s="7">
        <v>1014325</v>
      </c>
      <c r="B250" t="s">
        <v>3884</v>
      </c>
      <c r="C250" t="s">
        <v>3914</v>
      </c>
      <c r="D250" s="7">
        <v>7134260119840</v>
      </c>
      <c r="E250" t="s">
        <v>4035</v>
      </c>
      <c r="F250" t="s">
        <v>4036</v>
      </c>
      <c r="G250" t="s">
        <v>3913</v>
      </c>
      <c r="H250" t="s">
        <v>3917</v>
      </c>
      <c r="I250" t="s">
        <v>1288</v>
      </c>
      <c r="J250" t="s">
        <v>1289</v>
      </c>
      <c r="K250" t="s">
        <v>267</v>
      </c>
      <c r="L250" t="s">
        <v>2296</v>
      </c>
      <c r="M250" s="7">
        <v>1165</v>
      </c>
      <c r="N250" t="s">
        <v>3919</v>
      </c>
      <c r="O250" s="7">
        <v>49998</v>
      </c>
      <c r="R250" s="7">
        <v>1</v>
      </c>
      <c r="S250" t="s">
        <v>2347</v>
      </c>
      <c r="T250" t="s">
        <v>2271</v>
      </c>
      <c r="U250" s="7">
        <v>1</v>
      </c>
      <c r="V250">
        <v>52.5</v>
      </c>
      <c r="W250" t="s">
        <v>35</v>
      </c>
      <c r="Y250" t="s">
        <v>2269</v>
      </c>
      <c r="Z250" t="s">
        <v>2313</v>
      </c>
      <c r="AB250" s="8">
        <v>61.95</v>
      </c>
      <c r="AC250" s="7">
        <v>0</v>
      </c>
      <c r="AF250" s="8">
        <v>61.95</v>
      </c>
    </row>
    <row r="251" spans="1:32" hidden="1">
      <c r="A251" s="7">
        <v>1014326</v>
      </c>
      <c r="B251" t="s">
        <v>3869</v>
      </c>
      <c r="C251" t="s">
        <v>3914</v>
      </c>
      <c r="D251" s="7">
        <v>7134260119823</v>
      </c>
      <c r="E251" t="s">
        <v>4037</v>
      </c>
      <c r="F251" t="s">
        <v>4038</v>
      </c>
      <c r="G251" t="s">
        <v>3913</v>
      </c>
      <c r="H251" t="s">
        <v>3917</v>
      </c>
      <c r="I251" t="s">
        <v>1171</v>
      </c>
      <c r="J251" t="s">
        <v>1172</v>
      </c>
      <c r="K251" t="s">
        <v>267</v>
      </c>
      <c r="L251" t="s">
        <v>4039</v>
      </c>
      <c r="M251" s="7">
        <v>1165</v>
      </c>
      <c r="N251" t="s">
        <v>3919</v>
      </c>
      <c r="O251" s="7">
        <v>60000</v>
      </c>
      <c r="R251" s="7">
        <v>1</v>
      </c>
      <c r="S251" t="s">
        <v>2347</v>
      </c>
      <c r="T251" t="s">
        <v>2271</v>
      </c>
      <c r="U251" s="7">
        <v>1</v>
      </c>
      <c r="V251">
        <v>52.5</v>
      </c>
      <c r="W251" t="s">
        <v>35</v>
      </c>
      <c r="Y251" t="s">
        <v>2269</v>
      </c>
      <c r="Z251" t="s">
        <v>2313</v>
      </c>
      <c r="AB251" s="8">
        <v>61.95</v>
      </c>
      <c r="AC251" s="7">
        <v>0</v>
      </c>
      <c r="AF251" s="8">
        <v>61.95</v>
      </c>
    </row>
    <row r="252" spans="1:32" hidden="1">
      <c r="A252" s="7">
        <v>1014327</v>
      </c>
      <c r="B252" t="s">
        <v>3868</v>
      </c>
      <c r="C252" t="s">
        <v>3914</v>
      </c>
      <c r="D252" s="7">
        <v>7134260119822</v>
      </c>
      <c r="E252" t="s">
        <v>4040</v>
      </c>
      <c r="F252" t="s">
        <v>4041</v>
      </c>
      <c r="G252" t="s">
        <v>3913</v>
      </c>
      <c r="H252" t="s">
        <v>3917</v>
      </c>
      <c r="I252" t="s">
        <v>1721</v>
      </c>
      <c r="J252" t="s">
        <v>1722</v>
      </c>
      <c r="K252" t="s">
        <v>267</v>
      </c>
      <c r="L252" t="s">
        <v>4042</v>
      </c>
      <c r="M252" s="7">
        <v>1165</v>
      </c>
      <c r="N252" t="s">
        <v>3919</v>
      </c>
      <c r="O252" s="7">
        <v>35276</v>
      </c>
      <c r="R252" s="7">
        <v>1</v>
      </c>
      <c r="S252" t="s">
        <v>2347</v>
      </c>
      <c r="T252" t="s">
        <v>2271</v>
      </c>
      <c r="U252" s="7">
        <v>1</v>
      </c>
      <c r="V252">
        <v>52.5</v>
      </c>
      <c r="W252" t="s">
        <v>35</v>
      </c>
      <c r="Y252" t="s">
        <v>2269</v>
      </c>
      <c r="Z252" t="s">
        <v>2313</v>
      </c>
      <c r="AB252" s="8">
        <v>61.95</v>
      </c>
      <c r="AC252" s="7">
        <v>0</v>
      </c>
      <c r="AF252" s="8">
        <v>61.95</v>
      </c>
    </row>
    <row r="253" spans="1:32" hidden="1">
      <c r="A253" s="7">
        <v>1014328</v>
      </c>
      <c r="B253" t="s">
        <v>3883</v>
      </c>
      <c r="C253" t="s">
        <v>3914</v>
      </c>
      <c r="D253" s="7">
        <v>7134260119839</v>
      </c>
      <c r="E253" t="s">
        <v>4043</v>
      </c>
      <c r="F253" t="s">
        <v>4044</v>
      </c>
      <c r="G253" t="s">
        <v>3913</v>
      </c>
      <c r="H253" t="s">
        <v>3917</v>
      </c>
      <c r="I253" t="s">
        <v>1475</v>
      </c>
      <c r="J253" t="s">
        <v>1476</v>
      </c>
      <c r="K253" t="s">
        <v>267</v>
      </c>
      <c r="L253" t="s">
        <v>4045</v>
      </c>
      <c r="M253" s="7">
        <v>1165</v>
      </c>
      <c r="N253" t="s">
        <v>3919</v>
      </c>
      <c r="O253" s="7">
        <v>34748</v>
      </c>
      <c r="R253" s="7">
        <v>1</v>
      </c>
      <c r="S253" t="s">
        <v>2347</v>
      </c>
      <c r="T253" t="s">
        <v>2271</v>
      </c>
      <c r="U253" s="7">
        <v>1</v>
      </c>
      <c r="V253">
        <v>52.5</v>
      </c>
      <c r="W253" t="s">
        <v>35</v>
      </c>
      <c r="Y253" t="s">
        <v>2269</v>
      </c>
      <c r="Z253" t="s">
        <v>2313</v>
      </c>
      <c r="AB253" s="8">
        <v>61.95</v>
      </c>
      <c r="AC253" s="7">
        <v>0</v>
      </c>
      <c r="AF253" s="8">
        <v>61.95</v>
      </c>
    </row>
    <row r="254" spans="1:32" hidden="1">
      <c r="A254" s="7">
        <v>1014338</v>
      </c>
      <c r="B254" t="s">
        <v>3850</v>
      </c>
      <c r="C254" t="s">
        <v>3914</v>
      </c>
      <c r="D254" s="7">
        <v>7134260119801</v>
      </c>
      <c r="E254" t="s">
        <v>4046</v>
      </c>
      <c r="F254" t="s">
        <v>4047</v>
      </c>
      <c r="G254" t="s">
        <v>3913</v>
      </c>
      <c r="H254" t="s">
        <v>3917</v>
      </c>
      <c r="I254" t="s">
        <v>3402</v>
      </c>
      <c r="J254" t="s">
        <v>3403</v>
      </c>
      <c r="K254" t="s">
        <v>252</v>
      </c>
      <c r="L254" t="s">
        <v>2523</v>
      </c>
      <c r="M254" s="7">
        <v>1165</v>
      </c>
      <c r="N254" t="s">
        <v>3919</v>
      </c>
      <c r="O254" s="7">
        <v>4210</v>
      </c>
      <c r="R254" s="7">
        <v>1</v>
      </c>
      <c r="S254" t="s">
        <v>3920</v>
      </c>
      <c r="T254" t="s">
        <v>2271</v>
      </c>
      <c r="U254" s="7">
        <v>1</v>
      </c>
      <c r="V254">
        <v>87.5</v>
      </c>
      <c r="W254" t="s">
        <v>35</v>
      </c>
      <c r="Y254" t="s">
        <v>2269</v>
      </c>
      <c r="Z254" t="s">
        <v>2313</v>
      </c>
      <c r="AB254" s="8">
        <v>103.25</v>
      </c>
      <c r="AC254" s="7">
        <v>0</v>
      </c>
      <c r="AF254" s="8">
        <v>103.25</v>
      </c>
    </row>
    <row r="255" spans="1:32" hidden="1">
      <c r="A255" s="7">
        <v>1014339</v>
      </c>
      <c r="B255" t="s">
        <v>3851</v>
      </c>
      <c r="C255" t="s">
        <v>3914</v>
      </c>
      <c r="D255" s="7">
        <v>7134260119802</v>
      </c>
      <c r="E255" t="s">
        <v>4048</v>
      </c>
      <c r="F255" t="s">
        <v>4049</v>
      </c>
      <c r="G255" t="s">
        <v>3913</v>
      </c>
      <c r="H255" t="s">
        <v>3917</v>
      </c>
      <c r="I255" t="s">
        <v>1129</v>
      </c>
      <c r="J255" t="s">
        <v>1130</v>
      </c>
      <c r="K255" t="s">
        <v>252</v>
      </c>
      <c r="L255" t="s">
        <v>4050</v>
      </c>
      <c r="M255" s="7">
        <v>1165</v>
      </c>
      <c r="N255" t="s">
        <v>3919</v>
      </c>
      <c r="O255" s="7">
        <v>31520</v>
      </c>
      <c r="R255" s="7">
        <v>1</v>
      </c>
      <c r="S255" t="s">
        <v>3920</v>
      </c>
      <c r="T255" t="s">
        <v>2271</v>
      </c>
      <c r="U255" s="7">
        <v>1</v>
      </c>
      <c r="V255">
        <v>87.5</v>
      </c>
      <c r="W255" t="s">
        <v>35</v>
      </c>
      <c r="Y255" t="s">
        <v>2269</v>
      </c>
      <c r="Z255" t="s">
        <v>2313</v>
      </c>
      <c r="AB255" s="8">
        <v>103.25</v>
      </c>
      <c r="AC255" s="7">
        <v>0</v>
      </c>
      <c r="AF255" s="8">
        <v>103.25</v>
      </c>
    </row>
    <row r="256" spans="1:32" hidden="1">
      <c r="A256" s="7">
        <v>1014340</v>
      </c>
      <c r="B256" t="s">
        <v>3853</v>
      </c>
      <c r="C256" t="s">
        <v>3914</v>
      </c>
      <c r="D256" s="7">
        <v>7134260119805</v>
      </c>
      <c r="E256" t="s">
        <v>4051</v>
      </c>
      <c r="F256" t="s">
        <v>4052</v>
      </c>
      <c r="G256" t="s">
        <v>3913</v>
      </c>
      <c r="H256" t="s">
        <v>3917</v>
      </c>
      <c r="I256" t="s">
        <v>386</v>
      </c>
      <c r="J256" t="s">
        <v>387</v>
      </c>
      <c r="K256" t="s">
        <v>252</v>
      </c>
      <c r="L256" t="s">
        <v>3274</v>
      </c>
      <c r="M256" s="7">
        <v>1160</v>
      </c>
      <c r="N256" t="s">
        <v>3919</v>
      </c>
      <c r="O256" s="7">
        <v>6812</v>
      </c>
      <c r="R256" s="7">
        <v>1</v>
      </c>
      <c r="S256" t="s">
        <v>3920</v>
      </c>
      <c r="T256" t="s">
        <v>2271</v>
      </c>
      <c r="U256" s="7">
        <v>1</v>
      </c>
      <c r="V256">
        <v>87.5</v>
      </c>
      <c r="W256" t="s">
        <v>35</v>
      </c>
      <c r="Y256" t="s">
        <v>2269</v>
      </c>
      <c r="Z256" t="s">
        <v>2313</v>
      </c>
      <c r="AB256" s="8">
        <v>103.25</v>
      </c>
      <c r="AC256" s="7">
        <v>0</v>
      </c>
      <c r="AF256" s="8">
        <v>103.25</v>
      </c>
    </row>
    <row r="257" spans="1:35" hidden="1">
      <c r="A257" s="7">
        <v>1014341</v>
      </c>
      <c r="B257" t="s">
        <v>3896</v>
      </c>
      <c r="C257" t="s">
        <v>3914</v>
      </c>
      <c r="D257" s="7">
        <v>7134260120319</v>
      </c>
      <c r="E257" t="s">
        <v>4053</v>
      </c>
      <c r="F257" t="s">
        <v>4054</v>
      </c>
      <c r="G257" t="s">
        <v>3913</v>
      </c>
      <c r="H257" t="s">
        <v>3911</v>
      </c>
      <c r="I257" t="s">
        <v>4055</v>
      </c>
      <c r="J257" t="s">
        <v>4056</v>
      </c>
      <c r="K257" t="s">
        <v>252</v>
      </c>
      <c r="L257" t="s">
        <v>4057</v>
      </c>
      <c r="M257" s="7">
        <v>1165</v>
      </c>
      <c r="N257" t="s">
        <v>3930</v>
      </c>
      <c r="O257" s="7">
        <v>1897</v>
      </c>
      <c r="R257" s="7">
        <v>1</v>
      </c>
      <c r="S257" t="s">
        <v>3920</v>
      </c>
      <c r="T257" t="s">
        <v>2271</v>
      </c>
      <c r="U257" s="7">
        <v>1</v>
      </c>
      <c r="V257">
        <v>87.5</v>
      </c>
      <c r="W257" t="s">
        <v>35</v>
      </c>
      <c r="Y257" t="s">
        <v>2269</v>
      </c>
      <c r="Z257" t="s">
        <v>2313</v>
      </c>
      <c r="AB257" s="8">
        <v>103.25</v>
      </c>
      <c r="AC257" s="7">
        <v>0</v>
      </c>
      <c r="AF257" s="8">
        <v>103.25</v>
      </c>
    </row>
    <row r="258" spans="1:35" hidden="1">
      <c r="A258" s="7">
        <v>1014342</v>
      </c>
      <c r="B258" t="s">
        <v>3854</v>
      </c>
      <c r="C258" t="s">
        <v>3914</v>
      </c>
      <c r="D258" s="7">
        <v>7134260119806</v>
      </c>
      <c r="E258" t="s">
        <v>4058</v>
      </c>
      <c r="F258" t="s">
        <v>4059</v>
      </c>
      <c r="G258" t="s">
        <v>3913</v>
      </c>
      <c r="H258" t="s">
        <v>3917</v>
      </c>
      <c r="I258" t="s">
        <v>335</v>
      </c>
      <c r="J258" t="s">
        <v>336</v>
      </c>
      <c r="K258" t="s">
        <v>252</v>
      </c>
      <c r="L258" t="s">
        <v>3274</v>
      </c>
      <c r="M258" s="7">
        <v>1165</v>
      </c>
      <c r="N258" t="s">
        <v>3919</v>
      </c>
      <c r="O258" s="7">
        <v>8420</v>
      </c>
      <c r="R258" s="7">
        <v>1</v>
      </c>
      <c r="S258" t="s">
        <v>3920</v>
      </c>
      <c r="T258" t="s">
        <v>2271</v>
      </c>
      <c r="U258" s="7">
        <v>1</v>
      </c>
      <c r="V258">
        <v>87.5</v>
      </c>
      <c r="W258" t="s">
        <v>35</v>
      </c>
      <c r="Y258" t="s">
        <v>2269</v>
      </c>
      <c r="Z258" t="s">
        <v>2313</v>
      </c>
      <c r="AB258" s="8">
        <v>103.25</v>
      </c>
      <c r="AC258" s="7">
        <v>0</v>
      </c>
      <c r="AF258" s="8">
        <v>103.25</v>
      </c>
    </row>
    <row r="259" spans="1:35" hidden="1">
      <c r="A259" s="7">
        <v>1014343</v>
      </c>
      <c r="B259" t="s">
        <v>3895</v>
      </c>
      <c r="C259" t="s">
        <v>3914</v>
      </c>
      <c r="D259" s="7">
        <v>7134260120318</v>
      </c>
      <c r="E259" t="s">
        <v>4060</v>
      </c>
      <c r="F259" t="s">
        <v>4061</v>
      </c>
      <c r="G259" t="s">
        <v>3913</v>
      </c>
      <c r="H259" t="s">
        <v>3911</v>
      </c>
      <c r="I259" t="s">
        <v>4062</v>
      </c>
      <c r="J259" t="s">
        <v>4063</v>
      </c>
      <c r="K259" t="s">
        <v>252</v>
      </c>
      <c r="L259" t="s">
        <v>4064</v>
      </c>
      <c r="M259" s="7">
        <v>1165</v>
      </c>
      <c r="N259" t="s">
        <v>3930</v>
      </c>
      <c r="O259" s="7">
        <v>34500</v>
      </c>
      <c r="R259" s="7">
        <v>1</v>
      </c>
      <c r="S259" t="s">
        <v>3920</v>
      </c>
      <c r="T259" t="s">
        <v>2271</v>
      </c>
      <c r="U259" s="7">
        <v>1</v>
      </c>
      <c r="V259">
        <v>87.5</v>
      </c>
      <c r="W259" t="s">
        <v>35</v>
      </c>
      <c r="Y259" t="s">
        <v>2269</v>
      </c>
      <c r="Z259" t="s">
        <v>2313</v>
      </c>
      <c r="AB259" s="8">
        <v>103.25</v>
      </c>
      <c r="AC259" s="7">
        <v>0</v>
      </c>
      <c r="AF259" s="8">
        <v>103.25</v>
      </c>
    </row>
    <row r="260" spans="1:35" hidden="1">
      <c r="A260" s="7">
        <v>1014344</v>
      </c>
      <c r="B260" t="s">
        <v>3880</v>
      </c>
      <c r="C260" t="s">
        <v>3914</v>
      </c>
      <c r="D260" s="7">
        <v>7134260119836</v>
      </c>
      <c r="E260" t="s">
        <v>4065</v>
      </c>
      <c r="F260" t="s">
        <v>4066</v>
      </c>
      <c r="G260" t="s">
        <v>3913</v>
      </c>
      <c r="H260" t="s">
        <v>3917</v>
      </c>
      <c r="I260" t="s">
        <v>4067</v>
      </c>
      <c r="J260" t="s">
        <v>4068</v>
      </c>
      <c r="K260" t="s">
        <v>361</v>
      </c>
      <c r="L260" t="s">
        <v>3321</v>
      </c>
      <c r="M260" s="7">
        <v>1165</v>
      </c>
      <c r="N260" t="s">
        <v>3919</v>
      </c>
      <c r="O260" s="7">
        <v>39510</v>
      </c>
      <c r="R260" s="7">
        <v>1</v>
      </c>
      <c r="S260" t="s">
        <v>2347</v>
      </c>
      <c r="T260" t="s">
        <v>2271</v>
      </c>
      <c r="U260" s="7">
        <v>1</v>
      </c>
      <c r="V260">
        <v>52.5</v>
      </c>
      <c r="W260" t="s">
        <v>35</v>
      </c>
      <c r="Y260" t="s">
        <v>2269</v>
      </c>
      <c r="Z260" t="s">
        <v>2313</v>
      </c>
      <c r="AB260" s="8">
        <v>61.95</v>
      </c>
      <c r="AC260" s="7">
        <v>0</v>
      </c>
      <c r="AF260" s="8">
        <v>61.95</v>
      </c>
    </row>
    <row r="261" spans="1:35" hidden="1">
      <c r="A261" s="7">
        <v>1014347</v>
      </c>
      <c r="B261" t="s">
        <v>3889</v>
      </c>
      <c r="C261" t="s">
        <v>3914</v>
      </c>
      <c r="D261" s="7">
        <v>7134260119845</v>
      </c>
      <c r="E261" t="s">
        <v>4069</v>
      </c>
      <c r="F261" t="s">
        <v>4070</v>
      </c>
      <c r="G261" t="s">
        <v>3913</v>
      </c>
      <c r="H261" t="s">
        <v>3911</v>
      </c>
      <c r="I261" t="s">
        <v>2172</v>
      </c>
      <c r="J261" t="s">
        <v>2173</v>
      </c>
      <c r="K261" t="s">
        <v>361</v>
      </c>
      <c r="L261" t="s">
        <v>4071</v>
      </c>
      <c r="M261" s="7">
        <v>1165</v>
      </c>
      <c r="N261" t="s">
        <v>3919</v>
      </c>
      <c r="O261" s="7">
        <v>30256</v>
      </c>
      <c r="R261" s="7">
        <v>1</v>
      </c>
      <c r="S261" t="s">
        <v>2347</v>
      </c>
      <c r="T261" t="s">
        <v>2271</v>
      </c>
      <c r="U261" s="7">
        <v>1</v>
      </c>
      <c r="V261">
        <v>52.5</v>
      </c>
      <c r="W261" t="s">
        <v>35</v>
      </c>
      <c r="Y261" t="s">
        <v>2269</v>
      </c>
      <c r="Z261" t="s">
        <v>2313</v>
      </c>
      <c r="AB261" s="8">
        <v>61.95</v>
      </c>
      <c r="AC261" s="7">
        <v>0</v>
      </c>
      <c r="AF261" s="8">
        <v>61.95</v>
      </c>
    </row>
    <row r="262" spans="1:35" hidden="1">
      <c r="A262" s="7">
        <v>1014348</v>
      </c>
      <c r="B262" t="s">
        <v>3878</v>
      </c>
      <c r="C262" t="s">
        <v>3914</v>
      </c>
      <c r="D262" s="7">
        <v>7134260119832</v>
      </c>
      <c r="E262" t="s">
        <v>4072</v>
      </c>
      <c r="F262" t="s">
        <v>4073</v>
      </c>
      <c r="G262" t="s">
        <v>3913</v>
      </c>
      <c r="H262" t="s">
        <v>3917</v>
      </c>
      <c r="I262" t="s">
        <v>1250</v>
      </c>
      <c r="J262" t="s">
        <v>1251</v>
      </c>
      <c r="K262" t="s">
        <v>361</v>
      </c>
      <c r="L262" t="s">
        <v>3321</v>
      </c>
      <c r="M262" s="7">
        <v>1165</v>
      </c>
      <c r="N262" t="s">
        <v>3919</v>
      </c>
      <c r="O262" s="7">
        <v>40120</v>
      </c>
      <c r="R262" s="7">
        <v>1</v>
      </c>
      <c r="S262" t="s">
        <v>2347</v>
      </c>
      <c r="T262" t="s">
        <v>2271</v>
      </c>
      <c r="U262" s="7">
        <v>1</v>
      </c>
      <c r="V262">
        <v>52.5</v>
      </c>
      <c r="W262" t="s">
        <v>35</v>
      </c>
      <c r="Y262" t="s">
        <v>2269</v>
      </c>
      <c r="Z262" t="s">
        <v>2313</v>
      </c>
      <c r="AB262" s="8">
        <v>61.95</v>
      </c>
      <c r="AC262" s="7">
        <v>0</v>
      </c>
      <c r="AF262" s="8">
        <v>61.95</v>
      </c>
    </row>
    <row r="263" spans="1:35" hidden="1">
      <c r="A263" s="7">
        <v>1014365</v>
      </c>
      <c r="B263" t="s">
        <v>3778</v>
      </c>
      <c r="C263" t="s">
        <v>3914</v>
      </c>
      <c r="D263" s="7">
        <v>7134260120472</v>
      </c>
      <c r="E263" t="s">
        <v>4074</v>
      </c>
      <c r="F263" t="s">
        <v>4075</v>
      </c>
      <c r="G263" t="s">
        <v>3913</v>
      </c>
      <c r="H263" t="s">
        <v>4449</v>
      </c>
      <c r="I263" t="s">
        <v>1183</v>
      </c>
      <c r="J263" t="s">
        <v>1184</v>
      </c>
      <c r="K263" t="s">
        <v>361</v>
      </c>
      <c r="L263" t="s">
        <v>2748</v>
      </c>
      <c r="M263" s="7">
        <v>1165</v>
      </c>
      <c r="N263" t="s">
        <v>3557</v>
      </c>
      <c r="O263" s="7">
        <v>35752</v>
      </c>
      <c r="R263" s="7">
        <v>1</v>
      </c>
      <c r="S263" t="s">
        <v>2827</v>
      </c>
      <c r="T263" t="s">
        <v>2828</v>
      </c>
      <c r="U263" s="7">
        <v>1</v>
      </c>
      <c r="V263" s="8">
        <v>2884.75</v>
      </c>
      <c r="W263" t="s">
        <v>35</v>
      </c>
      <c r="Y263" t="s">
        <v>2269</v>
      </c>
      <c r="Z263" t="s">
        <v>2313</v>
      </c>
      <c r="AB263" s="8">
        <v>3404.01</v>
      </c>
      <c r="AC263" s="7">
        <v>0</v>
      </c>
      <c r="AF263" s="8">
        <v>3404.01</v>
      </c>
      <c r="AI263" t="s">
        <v>4076</v>
      </c>
    </row>
    <row r="264" spans="1:35" hidden="1">
      <c r="A264" s="7">
        <v>1014365</v>
      </c>
      <c r="B264" t="s">
        <v>3778</v>
      </c>
      <c r="C264" t="s">
        <v>3914</v>
      </c>
      <c r="D264" s="7">
        <v>7134260120472</v>
      </c>
      <c r="E264" t="s">
        <v>4074</v>
      </c>
      <c r="F264" t="s">
        <v>4075</v>
      </c>
      <c r="G264" t="s">
        <v>3913</v>
      </c>
      <c r="H264" t="s">
        <v>4449</v>
      </c>
      <c r="I264" t="s">
        <v>1183</v>
      </c>
      <c r="J264" t="s">
        <v>1184</v>
      </c>
      <c r="K264" t="s">
        <v>361</v>
      </c>
      <c r="L264" t="s">
        <v>2748</v>
      </c>
      <c r="M264" s="7">
        <v>1165</v>
      </c>
      <c r="N264" t="s">
        <v>3557</v>
      </c>
      <c r="O264" s="7">
        <v>35752</v>
      </c>
      <c r="R264" s="7">
        <v>2</v>
      </c>
      <c r="S264" t="s">
        <v>2835</v>
      </c>
      <c r="T264" t="s">
        <v>2271</v>
      </c>
      <c r="U264" s="7">
        <v>1</v>
      </c>
      <c r="V264">
        <v>52.5</v>
      </c>
      <c r="W264" t="s">
        <v>35</v>
      </c>
      <c r="Y264" t="s">
        <v>2269</v>
      </c>
      <c r="Z264" t="s">
        <v>2313</v>
      </c>
      <c r="AB264" s="8">
        <v>61.95</v>
      </c>
      <c r="AC264" s="7">
        <v>0</v>
      </c>
      <c r="AF264" s="8">
        <v>61.95</v>
      </c>
      <c r="AI264" t="s">
        <v>4076</v>
      </c>
    </row>
    <row r="265" spans="1:35" hidden="1">
      <c r="A265" s="7">
        <v>1014367</v>
      </c>
      <c r="B265" t="s">
        <v>3861</v>
      </c>
      <c r="C265" t="s">
        <v>3914</v>
      </c>
      <c r="D265" s="7">
        <v>7134260119815</v>
      </c>
      <c r="E265" t="s">
        <v>4077</v>
      </c>
      <c r="F265" t="s">
        <v>4078</v>
      </c>
      <c r="G265" t="s">
        <v>3913</v>
      </c>
      <c r="H265" t="s">
        <v>3917</v>
      </c>
      <c r="I265" t="s">
        <v>4079</v>
      </c>
      <c r="J265" t="s">
        <v>4080</v>
      </c>
      <c r="K265" t="s">
        <v>361</v>
      </c>
      <c r="L265" t="s">
        <v>3053</v>
      </c>
      <c r="M265" s="7">
        <v>1165</v>
      </c>
      <c r="N265" t="s">
        <v>3919</v>
      </c>
      <c r="O265" s="7">
        <v>17820</v>
      </c>
      <c r="R265" s="7">
        <v>1</v>
      </c>
      <c r="S265" t="s">
        <v>2347</v>
      </c>
      <c r="T265" t="s">
        <v>2271</v>
      </c>
      <c r="U265" s="7">
        <v>1</v>
      </c>
      <c r="V265">
        <v>52.5</v>
      </c>
      <c r="W265" t="s">
        <v>35</v>
      </c>
      <c r="Y265" t="s">
        <v>2269</v>
      </c>
      <c r="Z265" t="s">
        <v>2313</v>
      </c>
      <c r="AB265" s="8">
        <v>61.95</v>
      </c>
      <c r="AC265" s="7">
        <v>0</v>
      </c>
      <c r="AF265" s="8">
        <v>61.95</v>
      </c>
    </row>
    <row r="266" spans="1:35" hidden="1">
      <c r="A266" s="7">
        <v>1014368</v>
      </c>
      <c r="B266" t="s">
        <v>3877</v>
      </c>
      <c r="C266" t="s">
        <v>3914</v>
      </c>
      <c r="D266" s="7">
        <v>7134260119831</v>
      </c>
      <c r="E266" t="s">
        <v>4081</v>
      </c>
      <c r="F266" t="s">
        <v>4082</v>
      </c>
      <c r="G266" t="s">
        <v>3913</v>
      </c>
      <c r="H266" t="s">
        <v>3917</v>
      </c>
      <c r="I266" t="s">
        <v>4083</v>
      </c>
      <c r="J266" t="s">
        <v>4084</v>
      </c>
      <c r="K266" t="s">
        <v>361</v>
      </c>
      <c r="L266" t="s">
        <v>3321</v>
      </c>
      <c r="M266" s="7">
        <v>1165</v>
      </c>
      <c r="N266" t="s">
        <v>3919</v>
      </c>
      <c r="O266" s="7">
        <v>9898</v>
      </c>
      <c r="R266" s="7">
        <v>1</v>
      </c>
      <c r="S266" t="s">
        <v>2347</v>
      </c>
      <c r="T266" t="s">
        <v>2271</v>
      </c>
      <c r="U266" s="7">
        <v>1</v>
      </c>
      <c r="V266">
        <v>52.5</v>
      </c>
      <c r="W266" t="s">
        <v>35</v>
      </c>
      <c r="Y266" t="s">
        <v>2269</v>
      </c>
      <c r="Z266" t="s">
        <v>2313</v>
      </c>
      <c r="AB266" s="8">
        <v>61.95</v>
      </c>
      <c r="AC266" s="7">
        <v>0</v>
      </c>
      <c r="AF266" s="8">
        <v>61.95</v>
      </c>
    </row>
    <row r="267" spans="1:35" hidden="1">
      <c r="A267" s="7">
        <v>1014369</v>
      </c>
      <c r="B267" t="s">
        <v>3879</v>
      </c>
      <c r="C267" t="s">
        <v>3914</v>
      </c>
      <c r="D267" s="7">
        <v>7134260119834</v>
      </c>
      <c r="E267" t="s">
        <v>4085</v>
      </c>
      <c r="F267" t="s">
        <v>4086</v>
      </c>
      <c r="G267" t="s">
        <v>3913</v>
      </c>
      <c r="H267" t="s">
        <v>3917</v>
      </c>
      <c r="I267" t="s">
        <v>1604</v>
      </c>
      <c r="J267" t="s">
        <v>1605</v>
      </c>
      <c r="K267" t="s">
        <v>361</v>
      </c>
      <c r="L267" t="s">
        <v>3321</v>
      </c>
      <c r="M267" s="7">
        <v>1165</v>
      </c>
      <c r="N267" t="s">
        <v>3919</v>
      </c>
      <c r="O267" s="7">
        <v>45930</v>
      </c>
      <c r="R267" s="7">
        <v>1</v>
      </c>
      <c r="S267" t="s">
        <v>2347</v>
      </c>
      <c r="T267" t="s">
        <v>2271</v>
      </c>
      <c r="U267" s="7">
        <v>1</v>
      </c>
      <c r="V267">
        <v>52.5</v>
      </c>
      <c r="W267" t="s">
        <v>35</v>
      </c>
      <c r="Y267" t="s">
        <v>2269</v>
      </c>
      <c r="Z267" t="s">
        <v>2313</v>
      </c>
      <c r="AB267" s="8">
        <v>61.95</v>
      </c>
      <c r="AC267" s="7">
        <v>0</v>
      </c>
      <c r="AF267" s="8">
        <v>61.95</v>
      </c>
    </row>
    <row r="268" spans="1:35" hidden="1">
      <c r="A268" s="7">
        <v>1014382</v>
      </c>
      <c r="B268" t="s">
        <v>3862</v>
      </c>
      <c r="C268" t="s">
        <v>3914</v>
      </c>
      <c r="D268" s="7">
        <v>7134260119816</v>
      </c>
      <c r="E268" t="s">
        <v>4087</v>
      </c>
      <c r="F268" t="s">
        <v>4088</v>
      </c>
      <c r="G268" t="s">
        <v>4089</v>
      </c>
      <c r="H268" t="s">
        <v>3917</v>
      </c>
      <c r="I268" t="s">
        <v>4090</v>
      </c>
      <c r="J268" t="s">
        <v>4091</v>
      </c>
      <c r="K268" t="s">
        <v>261</v>
      </c>
      <c r="L268" t="s">
        <v>4092</v>
      </c>
      <c r="M268" s="7">
        <v>1165</v>
      </c>
      <c r="N268" t="s">
        <v>3919</v>
      </c>
      <c r="O268" s="7">
        <v>8997</v>
      </c>
      <c r="R268" s="7">
        <v>1</v>
      </c>
      <c r="S268" t="s">
        <v>2347</v>
      </c>
      <c r="T268" t="s">
        <v>2271</v>
      </c>
      <c r="U268" s="7">
        <v>1</v>
      </c>
      <c r="V268">
        <v>52.5</v>
      </c>
      <c r="W268" t="s">
        <v>35</v>
      </c>
      <c r="Y268" t="s">
        <v>2269</v>
      </c>
      <c r="Z268" t="s">
        <v>2313</v>
      </c>
      <c r="AB268" s="8">
        <v>61.95</v>
      </c>
      <c r="AC268" s="7">
        <v>0</v>
      </c>
      <c r="AF268" s="8">
        <v>61.95</v>
      </c>
    </row>
    <row r="269" spans="1:35" hidden="1">
      <c r="A269" s="7">
        <v>1014383</v>
      </c>
      <c r="B269" t="s">
        <v>3786</v>
      </c>
      <c r="C269" t="s">
        <v>3914</v>
      </c>
      <c r="D269" s="7">
        <v>7134260120481</v>
      </c>
      <c r="E269" t="s">
        <v>4093</v>
      </c>
      <c r="F269" t="s">
        <v>4094</v>
      </c>
      <c r="G269" t="s">
        <v>4089</v>
      </c>
      <c r="H269" t="s">
        <v>3911</v>
      </c>
      <c r="I269" t="s">
        <v>1843</v>
      </c>
      <c r="J269" t="s">
        <v>1844</v>
      </c>
      <c r="K269" t="s">
        <v>261</v>
      </c>
      <c r="L269" t="s">
        <v>3291</v>
      </c>
      <c r="N269" t="s">
        <v>4095</v>
      </c>
      <c r="O269" s="7">
        <v>57436</v>
      </c>
      <c r="R269" s="7">
        <v>1</v>
      </c>
      <c r="S269" t="s">
        <v>3563</v>
      </c>
      <c r="T269" t="s">
        <v>2271</v>
      </c>
      <c r="U269" s="7">
        <v>1</v>
      </c>
      <c r="V269" s="7">
        <v>1400</v>
      </c>
      <c r="W269" t="s">
        <v>35</v>
      </c>
      <c r="Y269" t="s">
        <v>2269</v>
      </c>
      <c r="Z269" t="s">
        <v>2313</v>
      </c>
      <c r="AB269" s="7">
        <v>1652</v>
      </c>
      <c r="AC269" s="7">
        <v>0</v>
      </c>
      <c r="AF269" s="7">
        <v>1652</v>
      </c>
    </row>
    <row r="270" spans="1:35" hidden="1">
      <c r="A270" s="7">
        <v>1014383</v>
      </c>
      <c r="B270" t="s">
        <v>3786</v>
      </c>
      <c r="C270" t="s">
        <v>3914</v>
      </c>
      <c r="D270" s="7">
        <v>7134260120481</v>
      </c>
      <c r="E270" t="s">
        <v>4093</v>
      </c>
      <c r="F270" t="s">
        <v>4094</v>
      </c>
      <c r="G270" t="s">
        <v>4089</v>
      </c>
      <c r="H270" t="s">
        <v>3911</v>
      </c>
      <c r="I270" t="s">
        <v>1843</v>
      </c>
      <c r="J270" t="s">
        <v>1844</v>
      </c>
      <c r="K270" t="s">
        <v>261</v>
      </c>
      <c r="L270" t="s">
        <v>3291</v>
      </c>
      <c r="N270" t="s">
        <v>4095</v>
      </c>
      <c r="O270" s="7">
        <v>57436</v>
      </c>
      <c r="R270" s="7">
        <v>2</v>
      </c>
      <c r="S270" t="s">
        <v>3564</v>
      </c>
      <c r="T270" t="s">
        <v>2271</v>
      </c>
      <c r="U270" s="7">
        <v>1</v>
      </c>
      <c r="V270" s="7">
        <v>2800</v>
      </c>
      <c r="W270" t="s">
        <v>35</v>
      </c>
      <c r="Y270" t="s">
        <v>2269</v>
      </c>
      <c r="Z270" t="s">
        <v>2313</v>
      </c>
      <c r="AB270" s="7">
        <v>3304</v>
      </c>
      <c r="AC270" s="7">
        <v>0</v>
      </c>
      <c r="AF270" s="7">
        <v>3304</v>
      </c>
    </row>
    <row r="271" spans="1:35" hidden="1">
      <c r="A271" s="7">
        <v>1014388</v>
      </c>
      <c r="B271" t="s">
        <v>3866</v>
      </c>
      <c r="C271" t="s">
        <v>3914</v>
      </c>
      <c r="D271" s="7">
        <v>7134260119820</v>
      </c>
      <c r="E271" t="s">
        <v>4096</v>
      </c>
      <c r="F271" t="s">
        <v>4097</v>
      </c>
      <c r="G271" t="s">
        <v>4089</v>
      </c>
      <c r="H271" t="s">
        <v>3917</v>
      </c>
      <c r="I271" t="s">
        <v>1790</v>
      </c>
      <c r="J271" t="s">
        <v>1791</v>
      </c>
      <c r="K271" t="s">
        <v>261</v>
      </c>
      <c r="L271" t="s">
        <v>4098</v>
      </c>
      <c r="M271" s="7">
        <v>1165</v>
      </c>
      <c r="N271" t="s">
        <v>3919</v>
      </c>
      <c r="O271" s="7">
        <v>29800</v>
      </c>
      <c r="R271" s="7">
        <v>1</v>
      </c>
      <c r="S271" t="s">
        <v>2347</v>
      </c>
      <c r="T271" t="s">
        <v>2271</v>
      </c>
      <c r="U271" s="7">
        <v>1</v>
      </c>
      <c r="V271">
        <v>52.5</v>
      </c>
      <c r="W271" t="s">
        <v>35</v>
      </c>
      <c r="Y271" t="s">
        <v>2269</v>
      </c>
      <c r="Z271" t="s">
        <v>2313</v>
      </c>
      <c r="AB271" s="8">
        <v>61.95</v>
      </c>
      <c r="AC271" s="7">
        <v>0</v>
      </c>
      <c r="AF271" s="8">
        <v>61.95</v>
      </c>
    </row>
    <row r="272" spans="1:35" hidden="1">
      <c r="A272" s="7">
        <v>1014389</v>
      </c>
      <c r="B272" t="s">
        <v>3790</v>
      </c>
      <c r="C272" t="s">
        <v>3914</v>
      </c>
      <c r="D272" s="7">
        <v>7134260120486</v>
      </c>
      <c r="E272" t="s">
        <v>4099</v>
      </c>
      <c r="F272" t="s">
        <v>4100</v>
      </c>
      <c r="G272" t="s">
        <v>4089</v>
      </c>
      <c r="H272" t="s">
        <v>3911</v>
      </c>
      <c r="I272" t="s">
        <v>4101</v>
      </c>
      <c r="J272" t="s">
        <v>4102</v>
      </c>
      <c r="K272" t="s">
        <v>261</v>
      </c>
      <c r="L272" t="s">
        <v>2625</v>
      </c>
      <c r="N272" t="s">
        <v>4103</v>
      </c>
      <c r="O272" s="7">
        <v>45298</v>
      </c>
      <c r="R272" s="7">
        <v>1</v>
      </c>
      <c r="S272" t="s">
        <v>3563</v>
      </c>
      <c r="T272" t="s">
        <v>2271</v>
      </c>
      <c r="U272" s="7">
        <v>1</v>
      </c>
      <c r="V272" s="7">
        <v>1400</v>
      </c>
      <c r="W272" t="s">
        <v>35</v>
      </c>
      <c r="Y272" t="s">
        <v>2269</v>
      </c>
      <c r="Z272" t="s">
        <v>2313</v>
      </c>
      <c r="AB272" s="7">
        <v>1652</v>
      </c>
      <c r="AC272" s="7">
        <v>0</v>
      </c>
      <c r="AF272" s="7">
        <v>1652</v>
      </c>
    </row>
    <row r="273" spans="1:32" hidden="1">
      <c r="A273" s="7">
        <v>1014389</v>
      </c>
      <c r="B273" t="s">
        <v>3790</v>
      </c>
      <c r="C273" t="s">
        <v>3914</v>
      </c>
      <c r="D273" s="7">
        <v>7134260120486</v>
      </c>
      <c r="E273" t="s">
        <v>4099</v>
      </c>
      <c r="F273" t="s">
        <v>4100</v>
      </c>
      <c r="G273" t="s">
        <v>4089</v>
      </c>
      <c r="H273" t="s">
        <v>3911</v>
      </c>
      <c r="I273" t="s">
        <v>4101</v>
      </c>
      <c r="J273" t="s">
        <v>4102</v>
      </c>
      <c r="K273" t="s">
        <v>261</v>
      </c>
      <c r="L273" t="s">
        <v>2625</v>
      </c>
      <c r="N273" t="s">
        <v>4103</v>
      </c>
      <c r="O273" s="7">
        <v>45298</v>
      </c>
      <c r="R273" s="7">
        <v>2</v>
      </c>
      <c r="S273" t="s">
        <v>3564</v>
      </c>
      <c r="T273" t="s">
        <v>2271</v>
      </c>
      <c r="U273" s="7">
        <v>1</v>
      </c>
      <c r="V273" s="7">
        <v>2800</v>
      </c>
      <c r="W273" t="s">
        <v>35</v>
      </c>
      <c r="Y273" t="s">
        <v>2269</v>
      </c>
      <c r="Z273" t="s">
        <v>2313</v>
      </c>
      <c r="AB273" s="7">
        <v>3304</v>
      </c>
      <c r="AC273" s="7">
        <v>0</v>
      </c>
      <c r="AF273" s="7">
        <v>3304</v>
      </c>
    </row>
    <row r="274" spans="1:32" hidden="1">
      <c r="A274" s="7">
        <v>1014392</v>
      </c>
      <c r="B274" t="s">
        <v>3859</v>
      </c>
      <c r="C274" t="s">
        <v>3914</v>
      </c>
      <c r="D274" s="7">
        <v>7134260119813</v>
      </c>
      <c r="E274" t="s">
        <v>4104</v>
      </c>
      <c r="F274" t="s">
        <v>4105</v>
      </c>
      <c r="G274" t="s">
        <v>4089</v>
      </c>
      <c r="H274" t="s">
        <v>3917</v>
      </c>
      <c r="I274" t="s">
        <v>1265</v>
      </c>
      <c r="J274" t="s">
        <v>1266</v>
      </c>
      <c r="K274" t="s">
        <v>261</v>
      </c>
      <c r="L274" t="s">
        <v>4106</v>
      </c>
      <c r="M274" s="7">
        <v>1165</v>
      </c>
      <c r="N274" t="s">
        <v>3919</v>
      </c>
      <c r="O274" s="7">
        <v>41200</v>
      </c>
      <c r="R274" s="7">
        <v>1</v>
      </c>
      <c r="S274" t="s">
        <v>2347</v>
      </c>
      <c r="T274" t="s">
        <v>2271</v>
      </c>
      <c r="U274" s="7">
        <v>1</v>
      </c>
      <c r="V274">
        <v>52.5</v>
      </c>
      <c r="W274" t="s">
        <v>35</v>
      </c>
      <c r="Y274" t="s">
        <v>2269</v>
      </c>
      <c r="Z274" t="s">
        <v>2313</v>
      </c>
      <c r="AB274" s="8">
        <v>61.95</v>
      </c>
      <c r="AC274" s="7">
        <v>0</v>
      </c>
      <c r="AF274" s="8">
        <v>61.95</v>
      </c>
    </row>
    <row r="275" spans="1:32" hidden="1">
      <c r="A275" s="7">
        <v>1014393</v>
      </c>
      <c r="B275" t="s">
        <v>3789</v>
      </c>
      <c r="C275" t="s">
        <v>3914</v>
      </c>
      <c r="D275" s="7">
        <v>7134260120484</v>
      </c>
      <c r="E275" t="s">
        <v>4107</v>
      </c>
      <c r="F275" t="s">
        <v>4108</v>
      </c>
      <c r="G275" t="s">
        <v>4089</v>
      </c>
      <c r="H275" t="s">
        <v>3911</v>
      </c>
      <c r="I275" t="s">
        <v>4109</v>
      </c>
      <c r="J275" t="s">
        <v>4110</v>
      </c>
      <c r="K275" t="s">
        <v>261</v>
      </c>
      <c r="L275" t="s">
        <v>2625</v>
      </c>
      <c r="N275" t="s">
        <v>4103</v>
      </c>
      <c r="O275" s="7">
        <v>59637</v>
      </c>
      <c r="R275" s="7">
        <v>1</v>
      </c>
      <c r="S275" t="s">
        <v>3563</v>
      </c>
      <c r="T275" t="s">
        <v>2271</v>
      </c>
      <c r="U275" s="7">
        <v>1</v>
      </c>
      <c r="V275" s="7">
        <v>1400</v>
      </c>
      <c r="W275" t="s">
        <v>35</v>
      </c>
      <c r="Y275" t="s">
        <v>2269</v>
      </c>
      <c r="Z275" t="s">
        <v>2313</v>
      </c>
      <c r="AB275" s="7">
        <v>1652</v>
      </c>
      <c r="AC275" s="7">
        <v>0</v>
      </c>
      <c r="AF275" s="7">
        <v>1652</v>
      </c>
    </row>
    <row r="276" spans="1:32" hidden="1">
      <c r="A276" s="7">
        <v>1014393</v>
      </c>
      <c r="B276" t="s">
        <v>3789</v>
      </c>
      <c r="C276" t="s">
        <v>3914</v>
      </c>
      <c r="D276" s="7">
        <v>7134260120484</v>
      </c>
      <c r="E276" t="s">
        <v>4107</v>
      </c>
      <c r="F276" t="s">
        <v>4108</v>
      </c>
      <c r="G276" t="s">
        <v>4089</v>
      </c>
      <c r="H276" t="s">
        <v>3911</v>
      </c>
      <c r="I276" t="s">
        <v>4109</v>
      </c>
      <c r="J276" t="s">
        <v>4110</v>
      </c>
      <c r="K276" t="s">
        <v>261</v>
      </c>
      <c r="L276" t="s">
        <v>2625</v>
      </c>
      <c r="N276" t="s">
        <v>4103</v>
      </c>
      <c r="O276" s="7">
        <v>59637</v>
      </c>
      <c r="R276" s="7">
        <v>2</v>
      </c>
      <c r="S276" t="s">
        <v>3564</v>
      </c>
      <c r="T276" t="s">
        <v>2271</v>
      </c>
      <c r="U276" s="7">
        <v>1</v>
      </c>
      <c r="V276" s="7">
        <v>2800</v>
      </c>
      <c r="W276" t="s">
        <v>35</v>
      </c>
      <c r="Y276" t="s">
        <v>2269</v>
      </c>
      <c r="Z276" t="s">
        <v>2313</v>
      </c>
      <c r="AB276" s="7">
        <v>3304</v>
      </c>
      <c r="AC276" s="7">
        <v>0</v>
      </c>
      <c r="AF276" s="7">
        <v>3304</v>
      </c>
    </row>
    <row r="277" spans="1:32" hidden="1">
      <c r="A277" s="7">
        <v>1014397</v>
      </c>
      <c r="B277" t="s">
        <v>3867</v>
      </c>
      <c r="C277" t="s">
        <v>3914</v>
      </c>
      <c r="D277" s="7">
        <v>7134260119821</v>
      </c>
      <c r="E277" t="s">
        <v>4111</v>
      </c>
      <c r="F277" t="s">
        <v>4112</v>
      </c>
      <c r="G277" t="s">
        <v>4089</v>
      </c>
      <c r="H277" t="s">
        <v>3917</v>
      </c>
      <c r="I277" t="s">
        <v>4113</v>
      </c>
      <c r="J277" t="s">
        <v>4114</v>
      </c>
      <c r="K277" t="s">
        <v>261</v>
      </c>
      <c r="L277" t="s">
        <v>4042</v>
      </c>
      <c r="M277" s="7">
        <v>1165</v>
      </c>
      <c r="N277" t="s">
        <v>3919</v>
      </c>
      <c r="O277" s="7">
        <v>6420</v>
      </c>
      <c r="R277" s="7">
        <v>1</v>
      </c>
      <c r="S277" t="s">
        <v>2347</v>
      </c>
      <c r="T277" t="s">
        <v>2271</v>
      </c>
      <c r="U277" s="7">
        <v>1</v>
      </c>
      <c r="V277">
        <v>52.5</v>
      </c>
      <c r="W277" t="s">
        <v>35</v>
      </c>
      <c r="Y277" t="s">
        <v>2269</v>
      </c>
      <c r="Z277" t="s">
        <v>2313</v>
      </c>
      <c r="AB277" s="8">
        <v>61.95</v>
      </c>
      <c r="AC277" s="7">
        <v>0</v>
      </c>
      <c r="AF277" s="8">
        <v>61.95</v>
      </c>
    </row>
    <row r="278" spans="1:32" hidden="1">
      <c r="A278" s="7">
        <v>1014398</v>
      </c>
      <c r="B278" t="s">
        <v>3779</v>
      </c>
      <c r="C278" t="s">
        <v>3914</v>
      </c>
      <c r="D278" s="7">
        <v>7134260120473</v>
      </c>
      <c r="E278" t="s">
        <v>4115</v>
      </c>
      <c r="F278" t="s">
        <v>4116</v>
      </c>
      <c r="G278" t="s">
        <v>4089</v>
      </c>
      <c r="H278" t="s">
        <v>3911</v>
      </c>
      <c r="I278" t="s">
        <v>3404</v>
      </c>
      <c r="J278" t="s">
        <v>3405</v>
      </c>
      <c r="K278" t="s">
        <v>261</v>
      </c>
      <c r="L278" t="s">
        <v>3291</v>
      </c>
      <c r="N278" t="s">
        <v>4117</v>
      </c>
      <c r="O278" s="7">
        <v>51994</v>
      </c>
      <c r="R278" s="7">
        <v>1</v>
      </c>
      <c r="S278" t="s">
        <v>3563</v>
      </c>
      <c r="T278" t="s">
        <v>2271</v>
      </c>
      <c r="U278" s="7">
        <v>1</v>
      </c>
      <c r="V278" s="7">
        <v>1400</v>
      </c>
      <c r="W278" t="s">
        <v>35</v>
      </c>
      <c r="Y278" t="s">
        <v>2269</v>
      </c>
      <c r="Z278" t="s">
        <v>2313</v>
      </c>
      <c r="AB278" s="7">
        <v>1652</v>
      </c>
      <c r="AC278" s="7">
        <v>0</v>
      </c>
      <c r="AF278" s="7">
        <v>1652</v>
      </c>
    </row>
    <row r="279" spans="1:32" hidden="1">
      <c r="A279" s="7">
        <v>1014398</v>
      </c>
      <c r="B279" t="s">
        <v>3779</v>
      </c>
      <c r="C279" t="s">
        <v>3914</v>
      </c>
      <c r="D279" s="7">
        <v>7134260120473</v>
      </c>
      <c r="E279" t="s">
        <v>4115</v>
      </c>
      <c r="F279" t="s">
        <v>4116</v>
      </c>
      <c r="G279" t="s">
        <v>4089</v>
      </c>
      <c r="H279" t="s">
        <v>3911</v>
      </c>
      <c r="I279" t="s">
        <v>3404</v>
      </c>
      <c r="J279" t="s">
        <v>3405</v>
      </c>
      <c r="K279" t="s">
        <v>261</v>
      </c>
      <c r="L279" t="s">
        <v>3291</v>
      </c>
      <c r="N279" t="s">
        <v>4117</v>
      </c>
      <c r="O279" s="7">
        <v>51994</v>
      </c>
      <c r="R279" s="7">
        <v>2</v>
      </c>
      <c r="S279" t="s">
        <v>3564</v>
      </c>
      <c r="T279" t="s">
        <v>2271</v>
      </c>
      <c r="U279" s="7">
        <v>1</v>
      </c>
      <c r="V279" s="7">
        <v>2800</v>
      </c>
      <c r="W279" t="s">
        <v>35</v>
      </c>
      <c r="Y279" t="s">
        <v>2269</v>
      </c>
      <c r="Z279" t="s">
        <v>2313</v>
      </c>
      <c r="AB279" s="7">
        <v>3304</v>
      </c>
      <c r="AC279" s="7">
        <v>0</v>
      </c>
      <c r="AF279" s="7">
        <v>3304</v>
      </c>
    </row>
    <row r="280" spans="1:32" hidden="1">
      <c r="A280" s="7">
        <v>1014399</v>
      </c>
      <c r="B280" t="s">
        <v>3865</v>
      </c>
      <c r="C280" t="s">
        <v>3914</v>
      </c>
      <c r="D280" s="7">
        <v>7134260119819</v>
      </c>
      <c r="E280" t="s">
        <v>4118</v>
      </c>
      <c r="F280" t="s">
        <v>4119</v>
      </c>
      <c r="G280" t="s">
        <v>4089</v>
      </c>
      <c r="H280" t="s">
        <v>3917</v>
      </c>
      <c r="I280" t="s">
        <v>892</v>
      </c>
      <c r="J280" t="s">
        <v>893</v>
      </c>
      <c r="K280" t="s">
        <v>261</v>
      </c>
      <c r="L280" t="s">
        <v>4120</v>
      </c>
      <c r="M280" s="7">
        <v>1165</v>
      </c>
      <c r="N280" t="s">
        <v>3919</v>
      </c>
      <c r="O280" s="7">
        <v>39999</v>
      </c>
      <c r="R280" s="7">
        <v>1</v>
      </c>
      <c r="S280" t="s">
        <v>2347</v>
      </c>
      <c r="T280" t="s">
        <v>2271</v>
      </c>
      <c r="U280" s="7">
        <v>1</v>
      </c>
      <c r="V280">
        <v>52.5</v>
      </c>
      <c r="W280" t="s">
        <v>35</v>
      </c>
      <c r="Y280" t="s">
        <v>2269</v>
      </c>
      <c r="Z280" t="s">
        <v>2313</v>
      </c>
      <c r="AB280" s="8">
        <v>61.95</v>
      </c>
      <c r="AC280" s="7">
        <v>0</v>
      </c>
      <c r="AF280" s="8">
        <v>61.95</v>
      </c>
    </row>
    <row r="281" spans="1:32" hidden="1">
      <c r="A281" s="7">
        <v>1014404</v>
      </c>
      <c r="B281" t="s">
        <v>3876</v>
      </c>
      <c r="C281" t="s">
        <v>3914</v>
      </c>
      <c r="D281" s="7">
        <v>7134260119830</v>
      </c>
      <c r="E281" t="s">
        <v>4121</v>
      </c>
      <c r="F281" t="s">
        <v>4122</v>
      </c>
      <c r="G281" t="s">
        <v>4089</v>
      </c>
      <c r="H281" t="s">
        <v>3917</v>
      </c>
      <c r="I281" t="s">
        <v>1045</v>
      </c>
      <c r="J281" t="s">
        <v>1046</v>
      </c>
      <c r="K281" t="s">
        <v>261</v>
      </c>
      <c r="L281" t="s">
        <v>3321</v>
      </c>
      <c r="M281" s="7">
        <v>1165</v>
      </c>
      <c r="N281" t="s">
        <v>3919</v>
      </c>
      <c r="O281" s="7">
        <v>33220</v>
      </c>
      <c r="R281" s="7">
        <v>1</v>
      </c>
      <c r="S281" t="s">
        <v>2347</v>
      </c>
      <c r="T281" t="s">
        <v>2271</v>
      </c>
      <c r="U281" s="7">
        <v>1</v>
      </c>
      <c r="V281">
        <v>52.5</v>
      </c>
      <c r="W281" t="s">
        <v>35</v>
      </c>
      <c r="Y281" t="s">
        <v>2269</v>
      </c>
      <c r="Z281" t="s">
        <v>2313</v>
      </c>
      <c r="AB281" s="8">
        <v>61.95</v>
      </c>
      <c r="AC281" s="7">
        <v>0</v>
      </c>
      <c r="AF281" s="8">
        <v>61.95</v>
      </c>
    </row>
    <row r="282" spans="1:32" hidden="1">
      <c r="A282" s="7">
        <v>1014411</v>
      </c>
      <c r="B282" t="s">
        <v>3858</v>
      </c>
      <c r="C282" t="s">
        <v>3914</v>
      </c>
      <c r="D282" s="7">
        <v>7134260119812</v>
      </c>
      <c r="E282" t="s">
        <v>4123</v>
      </c>
      <c r="F282" t="s">
        <v>4124</v>
      </c>
      <c r="G282" t="s">
        <v>4089</v>
      </c>
      <c r="H282" t="s">
        <v>3917</v>
      </c>
      <c r="I282" t="s">
        <v>1735</v>
      </c>
      <c r="J282" t="s">
        <v>1736</v>
      </c>
      <c r="K282" t="s">
        <v>261</v>
      </c>
      <c r="L282" t="s">
        <v>4125</v>
      </c>
      <c r="M282" s="7">
        <v>1165</v>
      </c>
      <c r="N282" t="s">
        <v>3919</v>
      </c>
      <c r="O282" s="7">
        <v>56130</v>
      </c>
      <c r="R282" s="7">
        <v>1</v>
      </c>
      <c r="S282" t="s">
        <v>2347</v>
      </c>
      <c r="T282" t="s">
        <v>2271</v>
      </c>
      <c r="U282" s="7">
        <v>1</v>
      </c>
      <c r="V282">
        <v>52.5</v>
      </c>
      <c r="W282" t="s">
        <v>35</v>
      </c>
      <c r="Y282" t="s">
        <v>2269</v>
      </c>
      <c r="Z282" t="s">
        <v>2313</v>
      </c>
      <c r="AB282" s="8">
        <v>61.95</v>
      </c>
      <c r="AC282" s="7">
        <v>0</v>
      </c>
      <c r="AF282" s="8">
        <v>61.95</v>
      </c>
    </row>
    <row r="283" spans="1:32" hidden="1">
      <c r="A283" s="7">
        <v>1014412</v>
      </c>
      <c r="B283" t="s">
        <v>3874</v>
      </c>
      <c r="C283" t="s">
        <v>3914</v>
      </c>
      <c r="D283" s="7">
        <v>7134260119828</v>
      </c>
      <c r="E283" t="s">
        <v>4126</v>
      </c>
      <c r="F283" t="s">
        <v>4127</v>
      </c>
      <c r="G283" t="s">
        <v>3917</v>
      </c>
      <c r="H283" t="s">
        <v>3917</v>
      </c>
      <c r="I283" t="s">
        <v>2094</v>
      </c>
      <c r="J283" t="s">
        <v>2095</v>
      </c>
      <c r="K283" t="s">
        <v>261</v>
      </c>
      <c r="L283" t="s">
        <v>4128</v>
      </c>
      <c r="M283" s="7">
        <v>1165</v>
      </c>
      <c r="N283" t="s">
        <v>3919</v>
      </c>
      <c r="O283" s="7">
        <v>12990</v>
      </c>
      <c r="R283" s="7">
        <v>1</v>
      </c>
      <c r="S283" t="s">
        <v>2347</v>
      </c>
      <c r="T283" t="s">
        <v>2271</v>
      </c>
      <c r="U283" s="7">
        <v>1</v>
      </c>
      <c r="V283">
        <v>52.5</v>
      </c>
      <c r="W283" t="s">
        <v>35</v>
      </c>
      <c r="Y283" t="s">
        <v>2269</v>
      </c>
      <c r="Z283" t="s">
        <v>2313</v>
      </c>
      <c r="AB283" s="8">
        <v>61.95</v>
      </c>
      <c r="AC283" s="7">
        <v>0</v>
      </c>
      <c r="AF283" s="8">
        <v>61.95</v>
      </c>
    </row>
    <row r="284" spans="1:32" hidden="1">
      <c r="A284" s="7">
        <v>1014416</v>
      </c>
      <c r="B284" t="s">
        <v>3777</v>
      </c>
      <c r="C284" t="s">
        <v>3914</v>
      </c>
      <c r="D284" s="7">
        <v>7134260120462</v>
      </c>
      <c r="E284" t="s">
        <v>4129</v>
      </c>
      <c r="F284" t="s">
        <v>4130</v>
      </c>
      <c r="G284" t="s">
        <v>3917</v>
      </c>
      <c r="H284" t="s">
        <v>4449</v>
      </c>
      <c r="I284" t="s">
        <v>4131</v>
      </c>
      <c r="J284" t="s">
        <v>4132</v>
      </c>
      <c r="K284" t="s">
        <v>261</v>
      </c>
      <c r="L284" t="s">
        <v>3596</v>
      </c>
      <c r="M284" s="7">
        <v>1165</v>
      </c>
      <c r="N284" t="s">
        <v>4133</v>
      </c>
      <c r="O284" s="7">
        <v>1166</v>
      </c>
      <c r="R284" s="7">
        <v>1</v>
      </c>
      <c r="S284" t="s">
        <v>4134</v>
      </c>
      <c r="T284" t="s">
        <v>4135</v>
      </c>
      <c r="U284" s="7">
        <v>1</v>
      </c>
      <c r="V284" s="8">
        <v>172.03</v>
      </c>
      <c r="W284" t="s">
        <v>35</v>
      </c>
      <c r="Y284" t="s">
        <v>2269</v>
      </c>
      <c r="Z284" t="s">
        <v>2313</v>
      </c>
      <c r="AB284" s="7">
        <v>203</v>
      </c>
      <c r="AC284" s="7">
        <v>0</v>
      </c>
      <c r="AF284" s="7">
        <v>203</v>
      </c>
    </row>
    <row r="285" spans="1:32" hidden="1">
      <c r="A285" s="7">
        <v>1014417</v>
      </c>
      <c r="B285" t="s">
        <v>3785</v>
      </c>
      <c r="C285" t="s">
        <v>3914</v>
      </c>
      <c r="D285" s="7">
        <v>7134260120480</v>
      </c>
      <c r="E285" t="s">
        <v>4136</v>
      </c>
      <c r="F285" t="s">
        <v>4137</v>
      </c>
      <c r="G285" t="s">
        <v>3917</v>
      </c>
      <c r="H285" t="s">
        <v>3911</v>
      </c>
      <c r="I285" t="s">
        <v>2192</v>
      </c>
      <c r="J285" t="s">
        <v>2193</v>
      </c>
      <c r="K285" t="s">
        <v>261</v>
      </c>
      <c r="L285" t="s">
        <v>2625</v>
      </c>
      <c r="N285" t="s">
        <v>4138</v>
      </c>
      <c r="O285" s="7">
        <v>72219</v>
      </c>
      <c r="R285" s="7">
        <v>1</v>
      </c>
      <c r="S285" t="s">
        <v>4139</v>
      </c>
      <c r="T285" t="s">
        <v>2271</v>
      </c>
      <c r="U285" s="7">
        <v>1</v>
      </c>
      <c r="V285" s="7">
        <v>420</v>
      </c>
      <c r="W285" t="s">
        <v>35</v>
      </c>
      <c r="Y285" t="s">
        <v>2269</v>
      </c>
      <c r="Z285" t="s">
        <v>2313</v>
      </c>
      <c r="AB285" s="8">
        <v>495.6</v>
      </c>
      <c r="AC285" s="7">
        <v>0</v>
      </c>
      <c r="AF285" s="8">
        <v>495.6</v>
      </c>
    </row>
    <row r="286" spans="1:32" hidden="1">
      <c r="A286" s="7">
        <v>1014417</v>
      </c>
      <c r="B286" t="s">
        <v>3785</v>
      </c>
      <c r="C286" t="s">
        <v>3914</v>
      </c>
      <c r="D286" s="7">
        <v>7134260120480</v>
      </c>
      <c r="E286" t="s">
        <v>4136</v>
      </c>
      <c r="F286" t="s">
        <v>4137</v>
      </c>
      <c r="G286" t="s">
        <v>3917</v>
      </c>
      <c r="H286" t="s">
        <v>3911</v>
      </c>
      <c r="I286" t="s">
        <v>2192</v>
      </c>
      <c r="J286" t="s">
        <v>2193</v>
      </c>
      <c r="K286" t="s">
        <v>261</v>
      </c>
      <c r="L286" t="s">
        <v>2625</v>
      </c>
      <c r="N286" t="s">
        <v>4138</v>
      </c>
      <c r="O286" s="7">
        <v>72219</v>
      </c>
      <c r="R286" s="7">
        <v>2</v>
      </c>
      <c r="S286" t="s">
        <v>3563</v>
      </c>
      <c r="T286" t="s">
        <v>2271</v>
      </c>
      <c r="U286" s="7">
        <v>1</v>
      </c>
      <c r="V286" s="7">
        <v>1400</v>
      </c>
      <c r="W286" t="s">
        <v>35</v>
      </c>
      <c r="Y286" t="s">
        <v>2269</v>
      </c>
      <c r="Z286" t="s">
        <v>2313</v>
      </c>
      <c r="AB286" s="7">
        <v>1652</v>
      </c>
      <c r="AC286" s="7">
        <v>0</v>
      </c>
      <c r="AF286" s="7">
        <v>1652</v>
      </c>
    </row>
    <row r="287" spans="1:32" hidden="1">
      <c r="A287" s="7">
        <v>1014417</v>
      </c>
      <c r="B287" t="s">
        <v>3785</v>
      </c>
      <c r="C287" t="s">
        <v>3914</v>
      </c>
      <c r="D287" s="7">
        <v>7134260120480</v>
      </c>
      <c r="E287" t="s">
        <v>4136</v>
      </c>
      <c r="F287" t="s">
        <v>4137</v>
      </c>
      <c r="G287" t="s">
        <v>3917</v>
      </c>
      <c r="H287" t="s">
        <v>3911</v>
      </c>
      <c r="I287" t="s">
        <v>2192</v>
      </c>
      <c r="J287" t="s">
        <v>2193</v>
      </c>
      <c r="K287" t="s">
        <v>261</v>
      </c>
      <c r="L287" t="s">
        <v>2625</v>
      </c>
      <c r="N287" t="s">
        <v>4138</v>
      </c>
      <c r="O287" s="7">
        <v>72219</v>
      </c>
      <c r="R287" s="7">
        <v>3</v>
      </c>
      <c r="S287" t="s">
        <v>3564</v>
      </c>
      <c r="T287" t="s">
        <v>2271</v>
      </c>
      <c r="U287" s="7">
        <v>1</v>
      </c>
      <c r="V287" s="7">
        <v>2800</v>
      </c>
      <c r="W287" t="s">
        <v>35</v>
      </c>
      <c r="Y287" t="s">
        <v>2269</v>
      </c>
      <c r="Z287" t="s">
        <v>2313</v>
      </c>
      <c r="AB287" s="7">
        <v>3304</v>
      </c>
      <c r="AC287" s="7">
        <v>0</v>
      </c>
      <c r="AF287" s="7">
        <v>3304</v>
      </c>
    </row>
    <row r="288" spans="1:32" hidden="1">
      <c r="A288" s="7">
        <v>1014419</v>
      </c>
      <c r="B288" t="s">
        <v>3860</v>
      </c>
      <c r="C288" t="s">
        <v>3914</v>
      </c>
      <c r="D288" s="7">
        <v>7134260119814</v>
      </c>
      <c r="E288" t="s">
        <v>4140</v>
      </c>
      <c r="F288" t="s">
        <v>4141</v>
      </c>
      <c r="G288" t="s">
        <v>3917</v>
      </c>
      <c r="H288" t="s">
        <v>3917</v>
      </c>
      <c r="I288" t="s">
        <v>1975</v>
      </c>
      <c r="J288" t="s">
        <v>1976</v>
      </c>
      <c r="K288" t="s">
        <v>261</v>
      </c>
      <c r="L288" t="s">
        <v>4106</v>
      </c>
      <c r="M288" s="7">
        <v>1165</v>
      </c>
      <c r="N288" t="s">
        <v>3919</v>
      </c>
      <c r="O288" s="7">
        <v>17995</v>
      </c>
      <c r="R288" s="7">
        <v>1</v>
      </c>
      <c r="S288" t="s">
        <v>2347</v>
      </c>
      <c r="T288" t="s">
        <v>2271</v>
      </c>
      <c r="U288" s="7">
        <v>1</v>
      </c>
      <c r="V288">
        <v>52.5</v>
      </c>
      <c r="W288" t="s">
        <v>35</v>
      </c>
      <c r="Y288" t="s">
        <v>2269</v>
      </c>
      <c r="Z288" t="s">
        <v>2313</v>
      </c>
      <c r="AB288" s="8">
        <v>61.95</v>
      </c>
      <c r="AC288" s="7">
        <v>0</v>
      </c>
      <c r="AF288" s="8">
        <v>61.95</v>
      </c>
    </row>
    <row r="289" spans="1:32" hidden="1">
      <c r="A289" s="7">
        <v>1014422</v>
      </c>
      <c r="B289" t="s">
        <v>3885</v>
      </c>
      <c r="C289" t="s">
        <v>3914</v>
      </c>
      <c r="D289" s="7">
        <v>7134260119841</v>
      </c>
      <c r="E289" t="s">
        <v>4142</v>
      </c>
      <c r="F289" t="s">
        <v>4143</v>
      </c>
      <c r="G289" t="s">
        <v>3917</v>
      </c>
      <c r="H289" t="s">
        <v>3917</v>
      </c>
      <c r="I289" t="s">
        <v>1322</v>
      </c>
      <c r="J289" t="s">
        <v>1323</v>
      </c>
      <c r="K289" t="s">
        <v>261</v>
      </c>
      <c r="L289" t="s">
        <v>4144</v>
      </c>
      <c r="M289" s="7">
        <v>1165</v>
      </c>
      <c r="N289" t="s">
        <v>3919</v>
      </c>
      <c r="O289" s="7">
        <v>81594</v>
      </c>
      <c r="R289" s="7">
        <v>1</v>
      </c>
      <c r="S289" t="s">
        <v>2347</v>
      </c>
      <c r="T289" t="s">
        <v>2271</v>
      </c>
      <c r="U289" s="7">
        <v>1</v>
      </c>
      <c r="V289">
        <v>52.5</v>
      </c>
      <c r="W289" t="s">
        <v>35</v>
      </c>
      <c r="Y289" t="s">
        <v>2269</v>
      </c>
      <c r="Z289" t="s">
        <v>2313</v>
      </c>
      <c r="AB289" s="8">
        <v>61.95</v>
      </c>
      <c r="AC289" s="7">
        <v>0</v>
      </c>
      <c r="AF289" s="8">
        <v>61.95</v>
      </c>
    </row>
    <row r="290" spans="1:32" hidden="1">
      <c r="A290" s="7">
        <v>1014424</v>
      </c>
      <c r="B290" t="s">
        <v>3780</v>
      </c>
      <c r="C290" t="s">
        <v>3914</v>
      </c>
      <c r="D290" s="7">
        <v>7134260120474</v>
      </c>
      <c r="E290" t="s">
        <v>4145</v>
      </c>
      <c r="F290" t="s">
        <v>4146</v>
      </c>
      <c r="G290" t="s">
        <v>3917</v>
      </c>
      <c r="H290" t="s">
        <v>3911</v>
      </c>
      <c r="I290" t="s">
        <v>3362</v>
      </c>
      <c r="J290" t="s">
        <v>3363</v>
      </c>
      <c r="K290" t="s">
        <v>261</v>
      </c>
      <c r="L290" t="s">
        <v>2566</v>
      </c>
      <c r="N290" t="s">
        <v>4117</v>
      </c>
      <c r="O290" s="7">
        <v>46713</v>
      </c>
      <c r="R290" s="7">
        <v>1</v>
      </c>
      <c r="S290" t="s">
        <v>3563</v>
      </c>
      <c r="T290" t="s">
        <v>2271</v>
      </c>
      <c r="U290" s="7">
        <v>1</v>
      </c>
      <c r="V290" s="7">
        <v>1400</v>
      </c>
      <c r="W290" t="s">
        <v>35</v>
      </c>
      <c r="Y290" t="s">
        <v>2269</v>
      </c>
      <c r="Z290" t="s">
        <v>2313</v>
      </c>
      <c r="AB290" s="7">
        <v>1652</v>
      </c>
      <c r="AC290" s="7">
        <v>0</v>
      </c>
      <c r="AF290" s="7">
        <v>1652</v>
      </c>
    </row>
    <row r="291" spans="1:32" hidden="1">
      <c r="A291" s="7">
        <v>1014424</v>
      </c>
      <c r="B291" t="s">
        <v>3780</v>
      </c>
      <c r="C291" t="s">
        <v>3914</v>
      </c>
      <c r="D291" s="7">
        <v>7134260120474</v>
      </c>
      <c r="E291" t="s">
        <v>4145</v>
      </c>
      <c r="F291" t="s">
        <v>4146</v>
      </c>
      <c r="G291" t="s">
        <v>3917</v>
      </c>
      <c r="H291" t="s">
        <v>3911</v>
      </c>
      <c r="I291" t="s">
        <v>3362</v>
      </c>
      <c r="J291" t="s">
        <v>3363</v>
      </c>
      <c r="K291" t="s">
        <v>261</v>
      </c>
      <c r="L291" t="s">
        <v>2566</v>
      </c>
      <c r="N291" t="s">
        <v>4117</v>
      </c>
      <c r="O291" s="7">
        <v>46713</v>
      </c>
      <c r="R291" s="7">
        <v>2</v>
      </c>
      <c r="S291" t="s">
        <v>3564</v>
      </c>
      <c r="T291" t="s">
        <v>2271</v>
      </c>
      <c r="U291" s="7">
        <v>1</v>
      </c>
      <c r="V291" s="7">
        <v>2800</v>
      </c>
      <c r="W291" t="s">
        <v>35</v>
      </c>
      <c r="Y291" t="s">
        <v>2269</v>
      </c>
      <c r="Z291" t="s">
        <v>2313</v>
      </c>
      <c r="AB291" s="7">
        <v>3304</v>
      </c>
      <c r="AC291" s="7">
        <v>0</v>
      </c>
      <c r="AF291" s="7">
        <v>3304</v>
      </c>
    </row>
    <row r="292" spans="1:32" hidden="1">
      <c r="A292" s="7">
        <v>1014426</v>
      </c>
      <c r="B292" t="s">
        <v>3787</v>
      </c>
      <c r="C292" t="s">
        <v>3914</v>
      </c>
      <c r="D292" s="7">
        <v>7134260120482</v>
      </c>
      <c r="E292" t="s">
        <v>4147</v>
      </c>
      <c r="F292" t="s">
        <v>4148</v>
      </c>
      <c r="G292" t="s">
        <v>3917</v>
      </c>
      <c r="H292" t="s">
        <v>3911</v>
      </c>
      <c r="I292" t="s">
        <v>1924</v>
      </c>
      <c r="J292" t="s">
        <v>1925</v>
      </c>
      <c r="K292" t="s">
        <v>261</v>
      </c>
      <c r="L292" t="s">
        <v>3296</v>
      </c>
      <c r="N292" t="s">
        <v>4095</v>
      </c>
      <c r="O292" s="7">
        <v>58018</v>
      </c>
      <c r="R292" s="7">
        <v>1</v>
      </c>
      <c r="S292" t="s">
        <v>3563</v>
      </c>
      <c r="T292" t="s">
        <v>2271</v>
      </c>
      <c r="U292" s="7">
        <v>1</v>
      </c>
      <c r="V292" s="7">
        <v>1400</v>
      </c>
      <c r="W292" t="s">
        <v>35</v>
      </c>
      <c r="Y292" t="s">
        <v>2269</v>
      </c>
      <c r="Z292" t="s">
        <v>2313</v>
      </c>
      <c r="AB292" s="7">
        <v>1652</v>
      </c>
      <c r="AC292" s="7">
        <v>0</v>
      </c>
      <c r="AF292" s="7">
        <v>1652</v>
      </c>
    </row>
    <row r="293" spans="1:32" hidden="1">
      <c r="A293" s="7">
        <v>1014426</v>
      </c>
      <c r="B293" t="s">
        <v>3787</v>
      </c>
      <c r="C293" t="s">
        <v>3914</v>
      </c>
      <c r="D293" s="7">
        <v>7134260120482</v>
      </c>
      <c r="E293" t="s">
        <v>4147</v>
      </c>
      <c r="F293" t="s">
        <v>4148</v>
      </c>
      <c r="G293" t="s">
        <v>3917</v>
      </c>
      <c r="H293" t="s">
        <v>3911</v>
      </c>
      <c r="I293" t="s">
        <v>1924</v>
      </c>
      <c r="J293" t="s">
        <v>1925</v>
      </c>
      <c r="K293" t="s">
        <v>261</v>
      </c>
      <c r="L293" t="s">
        <v>3296</v>
      </c>
      <c r="N293" t="s">
        <v>4095</v>
      </c>
      <c r="O293" s="7">
        <v>58018</v>
      </c>
      <c r="R293" s="7">
        <v>2</v>
      </c>
      <c r="S293" t="s">
        <v>3564</v>
      </c>
      <c r="T293" t="s">
        <v>2271</v>
      </c>
      <c r="U293" s="7">
        <v>1</v>
      </c>
      <c r="V293" s="7">
        <v>2800</v>
      </c>
      <c r="W293" t="s">
        <v>35</v>
      </c>
      <c r="Y293" t="s">
        <v>2269</v>
      </c>
      <c r="Z293" t="s">
        <v>2313</v>
      </c>
      <c r="AB293" s="7">
        <v>3304</v>
      </c>
      <c r="AC293" s="7">
        <v>0</v>
      </c>
      <c r="AF293" s="7">
        <v>3304</v>
      </c>
    </row>
    <row r="294" spans="1:32">
      <c r="A294" s="7">
        <v>1014432</v>
      </c>
      <c r="B294" t="s">
        <v>3783</v>
      </c>
      <c r="C294" t="s">
        <v>3914</v>
      </c>
      <c r="D294" s="7">
        <v>7134260120477</v>
      </c>
      <c r="E294" t="s">
        <v>4149</v>
      </c>
      <c r="F294" t="s">
        <v>4150</v>
      </c>
      <c r="G294" t="s">
        <v>3917</v>
      </c>
      <c r="H294" t="s">
        <v>3911</v>
      </c>
      <c r="I294" t="s">
        <v>1939</v>
      </c>
      <c r="J294" t="s">
        <v>1940</v>
      </c>
      <c r="K294" t="s">
        <v>261</v>
      </c>
      <c r="L294" t="s">
        <v>3282</v>
      </c>
      <c r="N294" t="s">
        <v>4151</v>
      </c>
      <c r="O294" s="7">
        <v>58104</v>
      </c>
      <c r="R294" s="7">
        <v>1</v>
      </c>
      <c r="S294" t="s">
        <v>4139</v>
      </c>
      <c r="T294" t="s">
        <v>2271</v>
      </c>
      <c r="U294" s="7">
        <v>1</v>
      </c>
      <c r="V294" s="7">
        <v>420</v>
      </c>
      <c r="W294" t="s">
        <v>35</v>
      </c>
      <c r="Y294" t="s">
        <v>2269</v>
      </c>
      <c r="Z294" t="s">
        <v>2313</v>
      </c>
      <c r="AB294" s="8">
        <v>495.6</v>
      </c>
      <c r="AC294" s="7">
        <v>0</v>
      </c>
      <c r="AF294" s="8">
        <v>495.6</v>
      </c>
    </row>
    <row r="295" spans="1:32">
      <c r="A295" s="7">
        <v>1014432</v>
      </c>
      <c r="B295" t="s">
        <v>3783</v>
      </c>
      <c r="C295" t="s">
        <v>3914</v>
      </c>
      <c r="D295" s="7">
        <v>7134260120477</v>
      </c>
      <c r="E295" t="s">
        <v>4149</v>
      </c>
      <c r="F295" t="s">
        <v>4150</v>
      </c>
      <c r="G295" t="s">
        <v>3917</v>
      </c>
      <c r="H295" t="s">
        <v>3911</v>
      </c>
      <c r="I295" t="s">
        <v>1939</v>
      </c>
      <c r="J295" t="s">
        <v>1940</v>
      </c>
      <c r="K295" t="s">
        <v>261</v>
      </c>
      <c r="L295" t="s">
        <v>3282</v>
      </c>
      <c r="N295" t="s">
        <v>4151</v>
      </c>
      <c r="O295" s="7">
        <v>58104</v>
      </c>
      <c r="R295" s="7">
        <v>2</v>
      </c>
      <c r="S295" t="s">
        <v>3563</v>
      </c>
      <c r="T295" t="s">
        <v>2271</v>
      </c>
      <c r="U295" s="7">
        <v>1</v>
      </c>
      <c r="V295" s="7">
        <v>1400</v>
      </c>
      <c r="W295" t="s">
        <v>35</v>
      </c>
      <c r="Y295" t="s">
        <v>2269</v>
      </c>
      <c r="Z295" t="s">
        <v>2313</v>
      </c>
      <c r="AB295" s="7">
        <v>1652</v>
      </c>
      <c r="AC295" s="7">
        <v>0</v>
      </c>
      <c r="AF295" s="7">
        <v>1652</v>
      </c>
    </row>
    <row r="296" spans="1:32">
      <c r="A296" s="7">
        <v>1014432</v>
      </c>
      <c r="B296" t="s">
        <v>3783</v>
      </c>
      <c r="C296" t="s">
        <v>3914</v>
      </c>
      <c r="D296" s="7">
        <v>7134260120477</v>
      </c>
      <c r="E296" t="s">
        <v>4149</v>
      </c>
      <c r="F296" t="s">
        <v>4150</v>
      </c>
      <c r="G296" t="s">
        <v>3917</v>
      </c>
      <c r="H296" t="s">
        <v>3911</v>
      </c>
      <c r="I296" t="s">
        <v>1939</v>
      </c>
      <c r="J296" t="s">
        <v>1940</v>
      </c>
      <c r="K296" t="s">
        <v>261</v>
      </c>
      <c r="L296" t="s">
        <v>3282</v>
      </c>
      <c r="N296" t="s">
        <v>4151</v>
      </c>
      <c r="O296" s="7">
        <v>58104</v>
      </c>
      <c r="R296" s="7">
        <v>3</v>
      </c>
      <c r="S296" t="s">
        <v>3564</v>
      </c>
      <c r="T296" t="s">
        <v>2271</v>
      </c>
      <c r="U296" s="7">
        <v>1</v>
      </c>
      <c r="V296" s="7">
        <v>2800</v>
      </c>
      <c r="W296" t="s">
        <v>35</v>
      </c>
      <c r="Y296" t="s">
        <v>2269</v>
      </c>
      <c r="Z296" t="s">
        <v>2313</v>
      </c>
      <c r="AB296" s="7">
        <v>3304</v>
      </c>
      <c r="AC296" s="7">
        <v>0</v>
      </c>
      <c r="AF296" s="7">
        <v>3304</v>
      </c>
    </row>
    <row r="297" spans="1:32" hidden="1">
      <c r="A297" s="7">
        <v>1014434</v>
      </c>
      <c r="B297" t="s">
        <v>3781</v>
      </c>
      <c r="C297" t="s">
        <v>3914</v>
      </c>
      <c r="D297" s="7">
        <v>7134260120475</v>
      </c>
      <c r="E297" t="s">
        <v>4152</v>
      </c>
      <c r="F297" t="s">
        <v>4153</v>
      </c>
      <c r="G297" t="s">
        <v>3917</v>
      </c>
      <c r="H297" t="s">
        <v>3911</v>
      </c>
      <c r="I297" t="s">
        <v>3409</v>
      </c>
      <c r="J297" t="s">
        <v>3410</v>
      </c>
      <c r="K297" t="s">
        <v>261</v>
      </c>
      <c r="L297" t="s">
        <v>2625</v>
      </c>
      <c r="N297" t="s">
        <v>4138</v>
      </c>
      <c r="O297" s="7">
        <v>56073</v>
      </c>
      <c r="R297" s="7">
        <v>1</v>
      </c>
      <c r="S297" t="s">
        <v>3563</v>
      </c>
      <c r="T297" t="s">
        <v>2271</v>
      </c>
      <c r="U297" s="7">
        <v>1</v>
      </c>
      <c r="V297" s="7">
        <v>1400</v>
      </c>
      <c r="W297" t="s">
        <v>35</v>
      </c>
      <c r="Y297" t="s">
        <v>2269</v>
      </c>
      <c r="Z297" t="s">
        <v>2313</v>
      </c>
      <c r="AB297" s="7">
        <v>1652</v>
      </c>
      <c r="AC297" s="7">
        <v>0</v>
      </c>
      <c r="AF297" s="7">
        <v>1652</v>
      </c>
    </row>
    <row r="298" spans="1:32" hidden="1">
      <c r="A298" s="7">
        <v>1014434</v>
      </c>
      <c r="B298" t="s">
        <v>3781</v>
      </c>
      <c r="C298" t="s">
        <v>3914</v>
      </c>
      <c r="D298" s="7">
        <v>7134260120475</v>
      </c>
      <c r="E298" t="s">
        <v>4152</v>
      </c>
      <c r="F298" t="s">
        <v>4153</v>
      </c>
      <c r="G298" t="s">
        <v>3917</v>
      </c>
      <c r="H298" t="s">
        <v>3911</v>
      </c>
      <c r="I298" t="s">
        <v>3409</v>
      </c>
      <c r="J298" t="s">
        <v>3410</v>
      </c>
      <c r="K298" t="s">
        <v>261</v>
      </c>
      <c r="L298" t="s">
        <v>2625</v>
      </c>
      <c r="N298" t="s">
        <v>4138</v>
      </c>
      <c r="O298" s="7">
        <v>56073</v>
      </c>
      <c r="R298" s="7">
        <v>2</v>
      </c>
      <c r="S298" t="s">
        <v>3564</v>
      </c>
      <c r="T298" t="s">
        <v>2271</v>
      </c>
      <c r="U298" s="7">
        <v>1</v>
      </c>
      <c r="V298" s="7">
        <v>2800</v>
      </c>
      <c r="W298" t="s">
        <v>35</v>
      </c>
      <c r="Y298" t="s">
        <v>2269</v>
      </c>
      <c r="Z298" t="s">
        <v>2313</v>
      </c>
      <c r="AB298" s="7">
        <v>3304</v>
      </c>
      <c r="AC298" s="7">
        <v>0</v>
      </c>
      <c r="AF298" s="7">
        <v>3304</v>
      </c>
    </row>
    <row r="299" spans="1:32" hidden="1">
      <c r="A299" s="7">
        <v>1014435</v>
      </c>
      <c r="B299" t="s">
        <v>3791</v>
      </c>
      <c r="C299" t="s">
        <v>3914</v>
      </c>
      <c r="D299" s="7">
        <v>7134260120487</v>
      </c>
      <c r="E299" t="s">
        <v>4154</v>
      </c>
      <c r="F299" t="s">
        <v>4155</v>
      </c>
      <c r="G299" t="s">
        <v>3917</v>
      </c>
      <c r="H299" t="s">
        <v>3911</v>
      </c>
      <c r="I299" t="s">
        <v>4156</v>
      </c>
      <c r="J299" t="s">
        <v>4157</v>
      </c>
      <c r="K299" t="s">
        <v>261</v>
      </c>
      <c r="L299" t="s">
        <v>3291</v>
      </c>
      <c r="N299" t="s">
        <v>3652</v>
      </c>
      <c r="O299" s="7">
        <v>46473</v>
      </c>
      <c r="R299" s="7">
        <v>1</v>
      </c>
      <c r="S299" t="s">
        <v>3563</v>
      </c>
      <c r="T299" t="s">
        <v>2271</v>
      </c>
      <c r="U299" s="7">
        <v>1</v>
      </c>
      <c r="V299" s="7">
        <v>1400</v>
      </c>
      <c r="W299" t="s">
        <v>35</v>
      </c>
      <c r="Y299" t="s">
        <v>2269</v>
      </c>
      <c r="Z299" t="s">
        <v>2313</v>
      </c>
      <c r="AB299" s="7">
        <v>1652</v>
      </c>
      <c r="AC299" s="7">
        <v>0</v>
      </c>
      <c r="AF299" s="7">
        <v>1652</v>
      </c>
    </row>
    <row r="300" spans="1:32" hidden="1">
      <c r="A300" s="7">
        <v>1014435</v>
      </c>
      <c r="B300" t="s">
        <v>3791</v>
      </c>
      <c r="C300" t="s">
        <v>3914</v>
      </c>
      <c r="D300" s="7">
        <v>7134260120487</v>
      </c>
      <c r="E300" t="s">
        <v>4154</v>
      </c>
      <c r="F300" t="s">
        <v>4155</v>
      </c>
      <c r="G300" t="s">
        <v>3917</v>
      </c>
      <c r="H300" t="s">
        <v>3911</v>
      </c>
      <c r="I300" t="s">
        <v>4156</v>
      </c>
      <c r="J300" t="s">
        <v>4157</v>
      </c>
      <c r="K300" t="s">
        <v>261</v>
      </c>
      <c r="L300" t="s">
        <v>3291</v>
      </c>
      <c r="N300" t="s">
        <v>3652</v>
      </c>
      <c r="O300" s="7">
        <v>46473</v>
      </c>
      <c r="R300" s="7">
        <v>2</v>
      </c>
      <c r="S300" t="s">
        <v>3564</v>
      </c>
      <c r="T300" t="s">
        <v>2271</v>
      </c>
      <c r="U300" s="7">
        <v>1</v>
      </c>
      <c r="V300" s="7">
        <v>2800</v>
      </c>
      <c r="W300" t="s">
        <v>35</v>
      </c>
      <c r="Y300" t="s">
        <v>2269</v>
      </c>
      <c r="Z300" t="s">
        <v>2313</v>
      </c>
      <c r="AB300" s="7">
        <v>3304</v>
      </c>
      <c r="AC300" s="7">
        <v>0</v>
      </c>
      <c r="AF300" s="7">
        <v>3304</v>
      </c>
    </row>
    <row r="301" spans="1:32" hidden="1">
      <c r="A301" s="7">
        <v>1014439</v>
      </c>
      <c r="B301" t="s">
        <v>3872</v>
      </c>
      <c r="C301" t="s">
        <v>3914</v>
      </c>
      <c r="D301" s="7">
        <v>7134260119826</v>
      </c>
      <c r="E301" t="s">
        <v>4158</v>
      </c>
      <c r="F301" t="s">
        <v>4159</v>
      </c>
      <c r="G301" t="s">
        <v>3917</v>
      </c>
      <c r="H301" t="s">
        <v>3917</v>
      </c>
      <c r="I301" t="s">
        <v>2080</v>
      </c>
      <c r="J301" t="s">
        <v>2081</v>
      </c>
      <c r="K301" t="s">
        <v>261</v>
      </c>
      <c r="L301" t="s">
        <v>4160</v>
      </c>
      <c r="M301" s="7">
        <v>1165</v>
      </c>
      <c r="N301" t="s">
        <v>3919</v>
      </c>
      <c r="O301" s="7">
        <v>15415</v>
      </c>
      <c r="R301" s="7">
        <v>1</v>
      </c>
      <c r="S301" t="s">
        <v>2347</v>
      </c>
      <c r="T301" t="s">
        <v>2271</v>
      </c>
      <c r="U301" s="7">
        <v>1</v>
      </c>
      <c r="V301">
        <v>52.5</v>
      </c>
      <c r="W301" t="s">
        <v>35</v>
      </c>
      <c r="Y301" t="s">
        <v>2269</v>
      </c>
      <c r="Z301" t="s">
        <v>2313</v>
      </c>
      <c r="AB301" s="8">
        <v>61.95</v>
      </c>
      <c r="AC301" s="7">
        <v>0</v>
      </c>
      <c r="AF301" s="8">
        <v>61.95</v>
      </c>
    </row>
    <row r="302" spans="1:32" hidden="1">
      <c r="A302" s="7">
        <v>1014449</v>
      </c>
      <c r="B302" t="s">
        <v>3873</v>
      </c>
      <c r="C302" t="s">
        <v>3914</v>
      </c>
      <c r="D302" s="7">
        <v>7134260119827</v>
      </c>
      <c r="E302" t="s">
        <v>4161</v>
      </c>
      <c r="F302" t="s">
        <v>4162</v>
      </c>
      <c r="G302" t="s">
        <v>3917</v>
      </c>
      <c r="H302" t="s">
        <v>3917</v>
      </c>
      <c r="I302" t="s">
        <v>1117</v>
      </c>
      <c r="J302" t="s">
        <v>1118</v>
      </c>
      <c r="K302" t="s">
        <v>261</v>
      </c>
      <c r="L302" t="s">
        <v>4128</v>
      </c>
      <c r="M302" s="7">
        <v>1165</v>
      </c>
      <c r="N302" t="s">
        <v>3919</v>
      </c>
      <c r="O302" s="7">
        <v>51268</v>
      </c>
      <c r="R302" s="7">
        <v>1</v>
      </c>
      <c r="S302" t="s">
        <v>2347</v>
      </c>
      <c r="T302" t="s">
        <v>2271</v>
      </c>
      <c r="U302" s="7">
        <v>1</v>
      </c>
      <c r="V302">
        <v>52.5</v>
      </c>
      <c r="W302" t="s">
        <v>35</v>
      </c>
      <c r="Y302" t="s">
        <v>2269</v>
      </c>
      <c r="Z302" t="s">
        <v>2313</v>
      </c>
      <c r="AB302" s="8">
        <v>61.95</v>
      </c>
      <c r="AC302" s="7">
        <v>0</v>
      </c>
      <c r="AF302" s="8">
        <v>61.95</v>
      </c>
    </row>
    <row r="303" spans="1:32" hidden="1">
      <c r="A303" s="7">
        <v>1014452</v>
      </c>
      <c r="B303" t="s">
        <v>3784</v>
      </c>
      <c r="C303" t="s">
        <v>3914</v>
      </c>
      <c r="D303" s="7">
        <v>7134260120479</v>
      </c>
      <c r="E303" t="s">
        <v>4163</v>
      </c>
      <c r="F303" t="s">
        <v>4164</v>
      </c>
      <c r="G303" t="s">
        <v>3917</v>
      </c>
      <c r="H303" t="s">
        <v>3911</v>
      </c>
      <c r="I303" t="s">
        <v>1979</v>
      </c>
      <c r="J303" t="s">
        <v>1980</v>
      </c>
      <c r="K303" t="s">
        <v>261</v>
      </c>
      <c r="L303" t="s">
        <v>2625</v>
      </c>
      <c r="N303" t="s">
        <v>4138</v>
      </c>
      <c r="O303" s="7">
        <v>56492</v>
      </c>
      <c r="R303" s="7">
        <v>1</v>
      </c>
      <c r="S303" t="s">
        <v>4139</v>
      </c>
      <c r="T303" t="s">
        <v>2271</v>
      </c>
      <c r="U303" s="7">
        <v>1</v>
      </c>
      <c r="V303" s="7">
        <v>420</v>
      </c>
      <c r="W303" t="s">
        <v>35</v>
      </c>
      <c r="Y303" t="s">
        <v>2269</v>
      </c>
      <c r="Z303" t="s">
        <v>2313</v>
      </c>
      <c r="AB303" s="8">
        <v>495.6</v>
      </c>
      <c r="AC303" s="7">
        <v>0</v>
      </c>
      <c r="AF303" s="8">
        <v>495.6</v>
      </c>
    </row>
    <row r="304" spans="1:32" hidden="1">
      <c r="A304" s="7">
        <v>1014452</v>
      </c>
      <c r="B304" t="s">
        <v>3784</v>
      </c>
      <c r="C304" t="s">
        <v>3914</v>
      </c>
      <c r="D304" s="7">
        <v>7134260120479</v>
      </c>
      <c r="E304" t="s">
        <v>4163</v>
      </c>
      <c r="F304" t="s">
        <v>4164</v>
      </c>
      <c r="G304" t="s">
        <v>3917</v>
      </c>
      <c r="H304" t="s">
        <v>3911</v>
      </c>
      <c r="I304" t="s">
        <v>1979</v>
      </c>
      <c r="J304" t="s">
        <v>1980</v>
      </c>
      <c r="K304" t="s">
        <v>261</v>
      </c>
      <c r="L304" t="s">
        <v>2625</v>
      </c>
      <c r="N304" t="s">
        <v>4138</v>
      </c>
      <c r="O304" s="7">
        <v>56492</v>
      </c>
      <c r="R304" s="7">
        <v>2</v>
      </c>
      <c r="S304" t="s">
        <v>3563</v>
      </c>
      <c r="T304" t="s">
        <v>2271</v>
      </c>
      <c r="U304" s="7">
        <v>1</v>
      </c>
      <c r="V304" s="7">
        <v>1400</v>
      </c>
      <c r="W304" t="s">
        <v>35</v>
      </c>
      <c r="Y304" t="s">
        <v>2269</v>
      </c>
      <c r="Z304" t="s">
        <v>2313</v>
      </c>
      <c r="AB304" s="7">
        <v>1652</v>
      </c>
      <c r="AC304" s="7">
        <v>0</v>
      </c>
      <c r="AF304" s="7">
        <v>1652</v>
      </c>
    </row>
    <row r="305" spans="1:35" hidden="1">
      <c r="A305" s="7">
        <v>1014452</v>
      </c>
      <c r="B305" t="s">
        <v>3784</v>
      </c>
      <c r="C305" t="s">
        <v>3914</v>
      </c>
      <c r="D305" s="7">
        <v>7134260120479</v>
      </c>
      <c r="E305" t="s">
        <v>4163</v>
      </c>
      <c r="F305" t="s">
        <v>4164</v>
      </c>
      <c r="G305" t="s">
        <v>3917</v>
      </c>
      <c r="H305" t="s">
        <v>3911</v>
      </c>
      <c r="I305" t="s">
        <v>1979</v>
      </c>
      <c r="J305" t="s">
        <v>1980</v>
      </c>
      <c r="K305" t="s">
        <v>261</v>
      </c>
      <c r="L305" t="s">
        <v>2625</v>
      </c>
      <c r="N305" t="s">
        <v>4138</v>
      </c>
      <c r="O305" s="7">
        <v>56492</v>
      </c>
      <c r="R305" s="7">
        <v>3</v>
      </c>
      <c r="S305" t="s">
        <v>3564</v>
      </c>
      <c r="T305" t="s">
        <v>2271</v>
      </c>
      <c r="U305" s="7">
        <v>1</v>
      </c>
      <c r="V305" s="7">
        <v>2800</v>
      </c>
      <c r="W305" t="s">
        <v>35</v>
      </c>
      <c r="Y305" t="s">
        <v>2269</v>
      </c>
      <c r="Z305" t="s">
        <v>2313</v>
      </c>
      <c r="AB305" s="7">
        <v>3304</v>
      </c>
      <c r="AC305" s="7">
        <v>0</v>
      </c>
      <c r="AF305" s="7">
        <v>3304</v>
      </c>
    </row>
    <row r="306" spans="1:35" hidden="1">
      <c r="A306" s="7">
        <v>1014457</v>
      </c>
      <c r="B306" t="s">
        <v>3792</v>
      </c>
      <c r="C306" t="s">
        <v>3914</v>
      </c>
      <c r="D306" s="7">
        <v>7134260120488</v>
      </c>
      <c r="E306" t="s">
        <v>4165</v>
      </c>
      <c r="F306" t="s">
        <v>4166</v>
      </c>
      <c r="G306" t="s">
        <v>3917</v>
      </c>
      <c r="H306" t="s">
        <v>3911</v>
      </c>
      <c r="I306" t="s">
        <v>1894</v>
      </c>
      <c r="J306" t="s">
        <v>1895</v>
      </c>
      <c r="K306" t="s">
        <v>261</v>
      </c>
      <c r="L306" t="s">
        <v>2625</v>
      </c>
      <c r="N306" t="s">
        <v>3652</v>
      </c>
      <c r="O306" s="7">
        <v>48323</v>
      </c>
      <c r="R306" s="7">
        <v>1</v>
      </c>
      <c r="S306" t="s">
        <v>3563</v>
      </c>
      <c r="T306" t="s">
        <v>2271</v>
      </c>
      <c r="U306" s="7">
        <v>1</v>
      </c>
      <c r="V306" s="7">
        <v>1400</v>
      </c>
      <c r="W306" t="s">
        <v>35</v>
      </c>
      <c r="Y306" t="s">
        <v>2269</v>
      </c>
      <c r="Z306" t="s">
        <v>2313</v>
      </c>
      <c r="AB306" s="7">
        <v>1652</v>
      </c>
      <c r="AC306" s="7">
        <v>0</v>
      </c>
      <c r="AF306" s="7">
        <v>1652</v>
      </c>
    </row>
    <row r="307" spans="1:35" hidden="1">
      <c r="A307" s="7">
        <v>1014457</v>
      </c>
      <c r="B307" t="s">
        <v>3792</v>
      </c>
      <c r="C307" t="s">
        <v>3914</v>
      </c>
      <c r="D307" s="7">
        <v>7134260120488</v>
      </c>
      <c r="E307" t="s">
        <v>4165</v>
      </c>
      <c r="F307" t="s">
        <v>4166</v>
      </c>
      <c r="G307" t="s">
        <v>3917</v>
      </c>
      <c r="H307" t="s">
        <v>3911</v>
      </c>
      <c r="I307" t="s">
        <v>1894</v>
      </c>
      <c r="J307" t="s">
        <v>1895</v>
      </c>
      <c r="K307" t="s">
        <v>261</v>
      </c>
      <c r="L307" t="s">
        <v>2625</v>
      </c>
      <c r="N307" t="s">
        <v>3652</v>
      </c>
      <c r="O307" s="7">
        <v>48323</v>
      </c>
      <c r="R307" s="7">
        <v>2</v>
      </c>
      <c r="S307" t="s">
        <v>3564</v>
      </c>
      <c r="T307" t="s">
        <v>2271</v>
      </c>
      <c r="U307" s="7">
        <v>1</v>
      </c>
      <c r="V307" s="7">
        <v>2800</v>
      </c>
      <c r="W307" t="s">
        <v>35</v>
      </c>
      <c r="Y307" t="s">
        <v>2269</v>
      </c>
      <c r="Z307" t="s">
        <v>2313</v>
      </c>
      <c r="AB307" s="7">
        <v>3304</v>
      </c>
      <c r="AC307" s="7">
        <v>0</v>
      </c>
      <c r="AF307" s="7">
        <v>3304</v>
      </c>
    </row>
    <row r="308" spans="1:35" hidden="1">
      <c r="A308" s="7">
        <v>1014462</v>
      </c>
      <c r="B308" t="s">
        <v>3882</v>
      </c>
      <c r="C308" t="s">
        <v>3914</v>
      </c>
      <c r="D308" s="7">
        <v>7134260119838</v>
      </c>
      <c r="E308" t="s">
        <v>4167</v>
      </c>
      <c r="F308" t="s">
        <v>4168</v>
      </c>
      <c r="G308" t="s">
        <v>3917</v>
      </c>
      <c r="H308" t="s">
        <v>3917</v>
      </c>
      <c r="I308" t="s">
        <v>1564</v>
      </c>
      <c r="J308" t="s">
        <v>1565</v>
      </c>
      <c r="K308" t="s">
        <v>261</v>
      </c>
      <c r="L308" t="s">
        <v>4045</v>
      </c>
      <c r="M308" s="7">
        <v>1165</v>
      </c>
      <c r="N308" t="s">
        <v>3919</v>
      </c>
      <c r="O308" s="7">
        <v>106578</v>
      </c>
      <c r="R308" s="7">
        <v>1</v>
      </c>
      <c r="S308" t="s">
        <v>2347</v>
      </c>
      <c r="T308" t="s">
        <v>2271</v>
      </c>
      <c r="U308" s="7">
        <v>1</v>
      </c>
      <c r="V308">
        <v>52.5</v>
      </c>
      <c r="W308" t="s">
        <v>35</v>
      </c>
      <c r="Y308" t="s">
        <v>2269</v>
      </c>
      <c r="Z308" t="s">
        <v>2313</v>
      </c>
      <c r="AB308" s="8">
        <v>61.95</v>
      </c>
      <c r="AC308" s="7">
        <v>0</v>
      </c>
      <c r="AF308" s="8">
        <v>61.95</v>
      </c>
    </row>
    <row r="309" spans="1:35" hidden="1">
      <c r="A309" s="7">
        <v>1014466</v>
      </c>
      <c r="B309" t="s">
        <v>3871</v>
      </c>
      <c r="C309" t="s">
        <v>3914</v>
      </c>
      <c r="D309" s="7">
        <v>7134260119825</v>
      </c>
      <c r="E309" t="s">
        <v>4169</v>
      </c>
      <c r="F309" t="s">
        <v>4170</v>
      </c>
      <c r="G309" t="s">
        <v>3917</v>
      </c>
      <c r="H309" t="s">
        <v>3917</v>
      </c>
      <c r="I309" t="s">
        <v>1271</v>
      </c>
      <c r="J309" t="s">
        <v>1272</v>
      </c>
      <c r="K309" t="s">
        <v>261</v>
      </c>
      <c r="L309" t="s">
        <v>4171</v>
      </c>
      <c r="M309" s="7">
        <v>1165</v>
      </c>
      <c r="N309" t="s">
        <v>3919</v>
      </c>
      <c r="O309" s="7">
        <v>45518</v>
      </c>
      <c r="R309" s="7">
        <v>1</v>
      </c>
      <c r="S309" t="s">
        <v>2347</v>
      </c>
      <c r="T309" t="s">
        <v>2271</v>
      </c>
      <c r="U309" s="7">
        <v>1</v>
      </c>
      <c r="V309">
        <v>52.5</v>
      </c>
      <c r="W309" t="s">
        <v>35</v>
      </c>
      <c r="Y309" t="s">
        <v>2269</v>
      </c>
      <c r="Z309" t="s">
        <v>2313</v>
      </c>
      <c r="AB309" s="8">
        <v>61.95</v>
      </c>
      <c r="AC309" s="7">
        <v>0</v>
      </c>
      <c r="AF309" s="8">
        <v>61.95</v>
      </c>
    </row>
    <row r="310" spans="1:35" hidden="1">
      <c r="A310" s="7">
        <v>1014470</v>
      </c>
      <c r="B310" t="s">
        <v>3888</v>
      </c>
      <c r="C310" t="s">
        <v>3914</v>
      </c>
      <c r="D310" s="7">
        <v>7134260119844</v>
      </c>
      <c r="E310" t="s">
        <v>4172</v>
      </c>
      <c r="F310" t="s">
        <v>4173</v>
      </c>
      <c r="G310" t="s">
        <v>3917</v>
      </c>
      <c r="H310" t="s">
        <v>3911</v>
      </c>
      <c r="I310" t="s">
        <v>4174</v>
      </c>
      <c r="J310" t="s">
        <v>4175</v>
      </c>
      <c r="K310" t="s">
        <v>261</v>
      </c>
      <c r="L310" t="s">
        <v>4176</v>
      </c>
      <c r="M310" s="7">
        <v>1165</v>
      </c>
      <c r="N310" t="s">
        <v>3919</v>
      </c>
      <c r="O310" s="7">
        <v>7430</v>
      </c>
      <c r="R310" s="7">
        <v>1</v>
      </c>
      <c r="S310" t="s">
        <v>2347</v>
      </c>
      <c r="T310" t="s">
        <v>2271</v>
      </c>
      <c r="U310" s="7">
        <v>1</v>
      </c>
      <c r="V310">
        <v>52.5</v>
      </c>
      <c r="W310" t="s">
        <v>35</v>
      </c>
      <c r="Y310" t="s">
        <v>2269</v>
      </c>
      <c r="Z310" t="s">
        <v>2313</v>
      </c>
      <c r="AB310" s="8">
        <v>61.95</v>
      </c>
      <c r="AC310" s="7">
        <v>0</v>
      </c>
      <c r="AF310" s="8">
        <v>61.95</v>
      </c>
    </row>
    <row r="311" spans="1:35" hidden="1">
      <c r="A311" s="7">
        <v>1014472</v>
      </c>
      <c r="B311" t="s">
        <v>3870</v>
      </c>
      <c r="C311" t="s">
        <v>3914</v>
      </c>
      <c r="D311" s="7">
        <v>7134260119824</v>
      </c>
      <c r="E311" t="s">
        <v>4177</v>
      </c>
      <c r="F311" t="s">
        <v>4178</v>
      </c>
      <c r="G311" t="s">
        <v>3917</v>
      </c>
      <c r="H311" t="s">
        <v>3917</v>
      </c>
      <c r="I311" t="s">
        <v>4179</v>
      </c>
      <c r="J311" t="s">
        <v>4180</v>
      </c>
      <c r="K311" t="s">
        <v>261</v>
      </c>
      <c r="L311" t="s">
        <v>2275</v>
      </c>
      <c r="M311" s="7">
        <v>1165</v>
      </c>
      <c r="N311" t="s">
        <v>3919</v>
      </c>
      <c r="O311" s="7">
        <v>10978</v>
      </c>
      <c r="R311" s="7">
        <v>1</v>
      </c>
      <c r="S311" t="s">
        <v>2347</v>
      </c>
      <c r="T311" t="s">
        <v>2271</v>
      </c>
      <c r="U311" s="7">
        <v>1</v>
      </c>
      <c r="V311">
        <v>52.5</v>
      </c>
      <c r="W311" t="s">
        <v>35</v>
      </c>
      <c r="Y311" t="s">
        <v>2269</v>
      </c>
      <c r="Z311" t="s">
        <v>2313</v>
      </c>
      <c r="AB311" s="8">
        <v>61.95</v>
      </c>
      <c r="AC311" s="7">
        <v>0</v>
      </c>
      <c r="AF311" s="8">
        <v>61.95</v>
      </c>
    </row>
    <row r="312" spans="1:35" hidden="1">
      <c r="A312" s="7">
        <v>1014473</v>
      </c>
      <c r="B312" t="s">
        <v>3887</v>
      </c>
      <c r="C312" t="s">
        <v>3914</v>
      </c>
      <c r="D312" s="7">
        <v>7134260119843</v>
      </c>
      <c r="E312" t="s">
        <v>4181</v>
      </c>
      <c r="F312" t="s">
        <v>4182</v>
      </c>
      <c r="G312" t="s">
        <v>3917</v>
      </c>
      <c r="H312" t="s">
        <v>3911</v>
      </c>
      <c r="I312" t="s">
        <v>1766</v>
      </c>
      <c r="J312" t="s">
        <v>1767</v>
      </c>
      <c r="K312" t="s">
        <v>261</v>
      </c>
      <c r="L312" t="s">
        <v>4183</v>
      </c>
      <c r="M312" s="7">
        <v>1165</v>
      </c>
      <c r="N312" t="s">
        <v>3919</v>
      </c>
      <c r="O312" s="7">
        <v>39991</v>
      </c>
      <c r="R312" s="7">
        <v>1</v>
      </c>
      <c r="S312" t="s">
        <v>2347</v>
      </c>
      <c r="T312" t="s">
        <v>2271</v>
      </c>
      <c r="U312" s="7">
        <v>1</v>
      </c>
      <c r="V312">
        <v>52.5</v>
      </c>
      <c r="W312" t="s">
        <v>35</v>
      </c>
      <c r="Y312" t="s">
        <v>2269</v>
      </c>
      <c r="Z312" t="s">
        <v>2313</v>
      </c>
      <c r="AB312" s="8">
        <v>61.95</v>
      </c>
      <c r="AC312" s="7">
        <v>0</v>
      </c>
      <c r="AF312" s="8">
        <v>61.95</v>
      </c>
    </row>
    <row r="313" spans="1:35" hidden="1">
      <c r="A313" s="7">
        <v>1014474</v>
      </c>
      <c r="B313" t="s">
        <v>3782</v>
      </c>
      <c r="C313" t="s">
        <v>3914</v>
      </c>
      <c r="D313" s="7">
        <v>7134260120476</v>
      </c>
      <c r="E313" t="s">
        <v>4184</v>
      </c>
      <c r="F313" t="s">
        <v>4185</v>
      </c>
      <c r="G313" t="s">
        <v>3917</v>
      </c>
      <c r="H313" t="s">
        <v>4450</v>
      </c>
      <c r="I313" t="s">
        <v>3417</v>
      </c>
      <c r="J313" t="s">
        <v>3418</v>
      </c>
      <c r="K313" t="s">
        <v>261</v>
      </c>
      <c r="L313" t="s">
        <v>2625</v>
      </c>
      <c r="N313" t="s">
        <v>4138</v>
      </c>
      <c r="O313" s="7">
        <v>50272</v>
      </c>
      <c r="R313" s="7">
        <v>1</v>
      </c>
      <c r="S313" t="s">
        <v>3563</v>
      </c>
      <c r="T313" t="s">
        <v>2271</v>
      </c>
      <c r="U313" s="7">
        <v>1</v>
      </c>
      <c r="V313" s="7">
        <v>1400</v>
      </c>
      <c r="W313" t="s">
        <v>35</v>
      </c>
      <c r="Y313" t="s">
        <v>2269</v>
      </c>
      <c r="Z313" t="s">
        <v>2313</v>
      </c>
      <c r="AB313" s="7">
        <v>1652</v>
      </c>
      <c r="AC313" s="7">
        <v>0</v>
      </c>
      <c r="AF313" s="7">
        <v>1652</v>
      </c>
    </row>
    <row r="314" spans="1:35" hidden="1">
      <c r="A314" s="7">
        <v>1014474</v>
      </c>
      <c r="B314" t="s">
        <v>3782</v>
      </c>
      <c r="C314" t="s">
        <v>3914</v>
      </c>
      <c r="D314" s="7">
        <v>7134260120476</v>
      </c>
      <c r="E314" t="s">
        <v>4184</v>
      </c>
      <c r="F314" t="s">
        <v>4185</v>
      </c>
      <c r="G314" t="s">
        <v>3917</v>
      </c>
      <c r="H314" t="s">
        <v>4450</v>
      </c>
      <c r="I314" t="s">
        <v>3417</v>
      </c>
      <c r="J314" t="s">
        <v>3418</v>
      </c>
      <c r="K314" t="s">
        <v>261</v>
      </c>
      <c r="L314" t="s">
        <v>2625</v>
      </c>
      <c r="N314" t="s">
        <v>4138</v>
      </c>
      <c r="O314" s="7">
        <v>50272</v>
      </c>
      <c r="R314" s="7">
        <v>2</v>
      </c>
      <c r="S314" t="s">
        <v>3564</v>
      </c>
      <c r="T314" t="s">
        <v>2271</v>
      </c>
      <c r="U314" s="7">
        <v>1</v>
      </c>
      <c r="V314" s="7">
        <v>2800</v>
      </c>
      <c r="W314" t="s">
        <v>35</v>
      </c>
      <c r="Y314" t="s">
        <v>2269</v>
      </c>
      <c r="Z314" t="s">
        <v>2313</v>
      </c>
      <c r="AB314" s="7">
        <v>3304</v>
      </c>
      <c r="AC314" s="7">
        <v>0</v>
      </c>
      <c r="AF314" s="7">
        <v>3304</v>
      </c>
    </row>
    <row r="315" spans="1:35" hidden="1">
      <c r="A315" s="7">
        <v>1014476</v>
      </c>
      <c r="B315" t="s">
        <v>3788</v>
      </c>
      <c r="C315" t="s">
        <v>3914</v>
      </c>
      <c r="D315" s="7">
        <v>7134260120483</v>
      </c>
      <c r="E315" t="s">
        <v>4186</v>
      </c>
      <c r="F315" t="s">
        <v>4187</v>
      </c>
      <c r="G315" t="s">
        <v>3917</v>
      </c>
      <c r="H315" t="s">
        <v>3911</v>
      </c>
      <c r="I315" t="s">
        <v>2032</v>
      </c>
      <c r="J315" t="s">
        <v>2033</v>
      </c>
      <c r="K315" t="s">
        <v>261</v>
      </c>
      <c r="L315" t="s">
        <v>3296</v>
      </c>
      <c r="N315" t="s">
        <v>4103</v>
      </c>
      <c r="O315" s="7">
        <v>42994</v>
      </c>
      <c r="R315" s="7">
        <v>1</v>
      </c>
      <c r="S315" t="s">
        <v>3563</v>
      </c>
      <c r="T315" t="s">
        <v>2271</v>
      </c>
      <c r="U315" s="7">
        <v>1</v>
      </c>
      <c r="V315" s="7">
        <v>1400</v>
      </c>
      <c r="W315" t="s">
        <v>35</v>
      </c>
      <c r="Y315" t="s">
        <v>2269</v>
      </c>
      <c r="Z315" t="s">
        <v>2313</v>
      </c>
      <c r="AB315" s="7">
        <v>1652</v>
      </c>
      <c r="AC315" s="7">
        <v>0</v>
      </c>
      <c r="AF315" s="7">
        <v>1652</v>
      </c>
    </row>
    <row r="316" spans="1:35" hidden="1">
      <c r="A316" s="7">
        <v>1014476</v>
      </c>
      <c r="B316" t="s">
        <v>3788</v>
      </c>
      <c r="C316" t="s">
        <v>3914</v>
      </c>
      <c r="D316" s="7">
        <v>7134260120483</v>
      </c>
      <c r="E316" t="s">
        <v>4186</v>
      </c>
      <c r="F316" t="s">
        <v>4187</v>
      </c>
      <c r="G316" t="s">
        <v>3917</v>
      </c>
      <c r="H316" t="s">
        <v>3911</v>
      </c>
      <c r="I316" t="s">
        <v>2032</v>
      </c>
      <c r="J316" t="s">
        <v>2033</v>
      </c>
      <c r="K316" t="s">
        <v>261</v>
      </c>
      <c r="L316" t="s">
        <v>3296</v>
      </c>
      <c r="N316" t="s">
        <v>4103</v>
      </c>
      <c r="O316" s="7">
        <v>42994</v>
      </c>
      <c r="R316" s="7">
        <v>2</v>
      </c>
      <c r="S316" t="s">
        <v>3564</v>
      </c>
      <c r="T316" t="s">
        <v>2271</v>
      </c>
      <c r="U316" s="7">
        <v>1</v>
      </c>
      <c r="V316" s="7">
        <v>2800</v>
      </c>
      <c r="W316" t="s">
        <v>35</v>
      </c>
      <c r="Y316" t="s">
        <v>2269</v>
      </c>
      <c r="Z316" t="s">
        <v>2313</v>
      </c>
      <c r="AB316" s="7">
        <v>3304</v>
      </c>
      <c r="AC316" s="7">
        <v>0</v>
      </c>
      <c r="AF316" s="7">
        <v>3304</v>
      </c>
    </row>
    <row r="317" spans="1:35" hidden="1">
      <c r="A317" s="7">
        <v>1014477</v>
      </c>
      <c r="B317" t="s">
        <v>3863</v>
      </c>
      <c r="C317" t="s">
        <v>3914</v>
      </c>
      <c r="D317" s="7">
        <v>7134260119817</v>
      </c>
      <c r="E317" t="s">
        <v>4188</v>
      </c>
      <c r="F317" t="s">
        <v>4189</v>
      </c>
      <c r="G317" t="s">
        <v>3917</v>
      </c>
      <c r="H317" t="s">
        <v>3917</v>
      </c>
      <c r="I317" t="s">
        <v>1700</v>
      </c>
      <c r="J317" t="s">
        <v>1701</v>
      </c>
      <c r="K317" t="s">
        <v>261</v>
      </c>
      <c r="L317" t="s">
        <v>4190</v>
      </c>
      <c r="M317" s="7">
        <v>1165</v>
      </c>
      <c r="N317" t="s">
        <v>3919</v>
      </c>
      <c r="O317" s="7">
        <v>39887</v>
      </c>
      <c r="R317" s="7">
        <v>1</v>
      </c>
      <c r="S317" t="s">
        <v>2347</v>
      </c>
      <c r="T317" t="s">
        <v>2271</v>
      </c>
      <c r="U317" s="7">
        <v>1</v>
      </c>
      <c r="V317">
        <v>52.5</v>
      </c>
      <c r="W317" t="s">
        <v>35</v>
      </c>
      <c r="Y317" t="s">
        <v>2269</v>
      </c>
      <c r="Z317" t="s">
        <v>2313</v>
      </c>
      <c r="AB317" s="8">
        <v>61.95</v>
      </c>
      <c r="AC317" s="7">
        <v>0</v>
      </c>
      <c r="AF317" s="8">
        <v>61.95</v>
      </c>
    </row>
    <row r="318" spans="1:35" hidden="1">
      <c r="A318" s="7">
        <v>1014479</v>
      </c>
      <c r="B318" t="s">
        <v>3864</v>
      </c>
      <c r="C318" t="s">
        <v>3914</v>
      </c>
      <c r="D318" s="7">
        <v>7134260119818</v>
      </c>
      <c r="E318" t="s">
        <v>4191</v>
      </c>
      <c r="F318" t="s">
        <v>4192</v>
      </c>
      <c r="G318" t="s">
        <v>3917</v>
      </c>
      <c r="H318" t="s">
        <v>3917</v>
      </c>
      <c r="I318" t="s">
        <v>4193</v>
      </c>
      <c r="J318" t="s">
        <v>4194</v>
      </c>
      <c r="K318" t="s">
        <v>261</v>
      </c>
      <c r="L318" t="s">
        <v>4190</v>
      </c>
      <c r="M318" s="7">
        <v>1165</v>
      </c>
      <c r="N318" t="s">
        <v>3919</v>
      </c>
      <c r="O318" s="7">
        <v>26903</v>
      </c>
      <c r="R318" s="7">
        <v>1</v>
      </c>
      <c r="S318" t="s">
        <v>2347</v>
      </c>
      <c r="T318" t="s">
        <v>2271</v>
      </c>
      <c r="U318" s="7">
        <v>1</v>
      </c>
      <c r="V318">
        <v>52.5</v>
      </c>
      <c r="W318" t="s">
        <v>35</v>
      </c>
      <c r="Y318" t="s">
        <v>2269</v>
      </c>
      <c r="Z318" t="s">
        <v>2313</v>
      </c>
      <c r="AB318" s="8">
        <v>61.95</v>
      </c>
      <c r="AC318" s="7">
        <v>0</v>
      </c>
      <c r="AF318" s="8">
        <v>61.95</v>
      </c>
    </row>
    <row r="319" spans="1:35" hidden="1">
      <c r="A319" s="7">
        <v>1014483</v>
      </c>
      <c r="B319" t="s">
        <v>3886</v>
      </c>
      <c r="C319" t="s">
        <v>3914</v>
      </c>
      <c r="D319" s="7">
        <v>7134260119842</v>
      </c>
      <c r="E319" t="s">
        <v>4195</v>
      </c>
      <c r="F319" t="s">
        <v>4196</v>
      </c>
      <c r="G319" t="s">
        <v>3917</v>
      </c>
      <c r="H319" t="s">
        <v>3917</v>
      </c>
      <c r="I319" t="s">
        <v>1025</v>
      </c>
      <c r="J319" t="s">
        <v>1026</v>
      </c>
      <c r="K319" t="s">
        <v>261</v>
      </c>
      <c r="L319" t="s">
        <v>4144</v>
      </c>
      <c r="M319" s="7">
        <v>1165</v>
      </c>
      <c r="N319" t="s">
        <v>3919</v>
      </c>
      <c r="O319" s="7">
        <v>46960</v>
      </c>
      <c r="R319" s="7">
        <v>1</v>
      </c>
      <c r="S319" t="s">
        <v>2347</v>
      </c>
      <c r="T319" t="s">
        <v>2271</v>
      </c>
      <c r="U319" s="7">
        <v>1</v>
      </c>
      <c r="V319">
        <v>52.5</v>
      </c>
      <c r="W319" t="s">
        <v>35</v>
      </c>
      <c r="Y319" t="s">
        <v>2269</v>
      </c>
      <c r="Z319" t="s">
        <v>2313</v>
      </c>
      <c r="AB319" s="8">
        <v>61.95</v>
      </c>
      <c r="AC319" s="7">
        <v>0</v>
      </c>
      <c r="AF319" s="8">
        <v>61.95</v>
      </c>
    </row>
    <row r="320" spans="1:35" hidden="1">
      <c r="A320" s="7">
        <v>1015185</v>
      </c>
      <c r="B320" t="s">
        <v>3802</v>
      </c>
      <c r="C320" t="s">
        <v>4197</v>
      </c>
      <c r="D320" s="7">
        <v>7134260121018</v>
      </c>
      <c r="E320" t="s">
        <v>4198</v>
      </c>
      <c r="F320" t="s">
        <v>4199</v>
      </c>
      <c r="G320" t="s">
        <v>4200</v>
      </c>
      <c r="H320" t="s">
        <v>4449</v>
      </c>
      <c r="I320" t="s">
        <v>2192</v>
      </c>
      <c r="J320" t="s">
        <v>2193</v>
      </c>
      <c r="K320" t="s">
        <v>261</v>
      </c>
      <c r="L320" t="s">
        <v>2625</v>
      </c>
      <c r="N320" t="s">
        <v>4201</v>
      </c>
      <c r="O320" s="7">
        <v>72219</v>
      </c>
      <c r="R320" s="7">
        <v>1</v>
      </c>
      <c r="S320" t="s">
        <v>2825</v>
      </c>
      <c r="T320" t="s">
        <v>2826</v>
      </c>
      <c r="U320" s="7">
        <v>1</v>
      </c>
      <c r="V320" s="8">
        <v>12374.27</v>
      </c>
      <c r="W320" t="s">
        <v>35</v>
      </c>
      <c r="Y320" t="s">
        <v>2269</v>
      </c>
      <c r="Z320" t="s">
        <v>2313</v>
      </c>
      <c r="AB320" s="8">
        <v>14601.64</v>
      </c>
      <c r="AC320" s="7">
        <v>0</v>
      </c>
      <c r="AF320" s="8">
        <v>14601.64</v>
      </c>
      <c r="AI320" t="s">
        <v>3577</v>
      </c>
    </row>
    <row r="321" spans="1:35" hidden="1">
      <c r="A321" s="7">
        <v>1015185</v>
      </c>
      <c r="B321" t="s">
        <v>3802</v>
      </c>
      <c r="C321" t="s">
        <v>4197</v>
      </c>
      <c r="D321" s="7">
        <v>7134260121018</v>
      </c>
      <c r="E321" t="s">
        <v>4198</v>
      </c>
      <c r="F321" t="s">
        <v>4199</v>
      </c>
      <c r="G321" t="s">
        <v>4200</v>
      </c>
      <c r="H321" t="s">
        <v>4449</v>
      </c>
      <c r="I321" t="s">
        <v>2192</v>
      </c>
      <c r="J321" t="s">
        <v>2193</v>
      </c>
      <c r="K321" t="s">
        <v>261</v>
      </c>
      <c r="L321" t="s">
        <v>2625</v>
      </c>
      <c r="N321" t="s">
        <v>4201</v>
      </c>
      <c r="O321" s="7">
        <v>72219</v>
      </c>
      <c r="R321" s="7">
        <v>2</v>
      </c>
      <c r="S321" t="s">
        <v>2837</v>
      </c>
      <c r="T321" t="s">
        <v>2271</v>
      </c>
      <c r="U321" s="7">
        <v>1</v>
      </c>
      <c r="V321" s="8">
        <v>61.25</v>
      </c>
      <c r="W321" t="s">
        <v>35</v>
      </c>
      <c r="Y321" t="s">
        <v>2269</v>
      </c>
      <c r="Z321" t="s">
        <v>2313</v>
      </c>
      <c r="AB321" s="8">
        <v>72.28</v>
      </c>
      <c r="AC321" s="7">
        <v>0</v>
      </c>
      <c r="AF321" s="8">
        <v>72.28</v>
      </c>
      <c r="AI321" t="s">
        <v>3577</v>
      </c>
    </row>
    <row r="322" spans="1:35" hidden="1">
      <c r="A322" s="7">
        <v>1015190</v>
      </c>
      <c r="B322" t="s">
        <v>3817</v>
      </c>
      <c r="C322" t="s">
        <v>4197</v>
      </c>
      <c r="D322" s="7">
        <v>7134260121394</v>
      </c>
      <c r="E322" t="s">
        <v>4202</v>
      </c>
      <c r="F322" t="s">
        <v>4203</v>
      </c>
      <c r="G322" t="s">
        <v>4200</v>
      </c>
      <c r="H322" t="s">
        <v>4449</v>
      </c>
      <c r="I322" t="s">
        <v>2045</v>
      </c>
      <c r="J322" t="s">
        <v>2046</v>
      </c>
      <c r="K322" t="s">
        <v>261</v>
      </c>
      <c r="L322" t="s">
        <v>4031</v>
      </c>
      <c r="N322" t="s">
        <v>4204</v>
      </c>
      <c r="O322" s="7">
        <v>51295</v>
      </c>
      <c r="R322" s="7">
        <v>1</v>
      </c>
      <c r="S322" t="s">
        <v>3563</v>
      </c>
      <c r="T322" t="s">
        <v>2271</v>
      </c>
      <c r="U322" s="7">
        <v>1</v>
      </c>
      <c r="V322" s="7">
        <v>1400</v>
      </c>
      <c r="W322" t="s">
        <v>35</v>
      </c>
      <c r="Y322" t="s">
        <v>2269</v>
      </c>
      <c r="Z322" t="s">
        <v>2313</v>
      </c>
      <c r="AB322" s="7">
        <v>1652</v>
      </c>
      <c r="AC322" s="7">
        <v>0</v>
      </c>
      <c r="AF322" s="7">
        <v>1652</v>
      </c>
    </row>
    <row r="323" spans="1:35" hidden="1">
      <c r="A323" s="7">
        <v>1015190</v>
      </c>
      <c r="B323" t="s">
        <v>3817</v>
      </c>
      <c r="C323" t="s">
        <v>4197</v>
      </c>
      <c r="D323" s="7">
        <v>7134260121394</v>
      </c>
      <c r="E323" t="s">
        <v>4202</v>
      </c>
      <c r="F323" t="s">
        <v>4203</v>
      </c>
      <c r="G323" t="s">
        <v>4200</v>
      </c>
      <c r="H323" t="s">
        <v>4449</v>
      </c>
      <c r="I323" t="s">
        <v>2045</v>
      </c>
      <c r="J323" t="s">
        <v>2046</v>
      </c>
      <c r="K323" t="s">
        <v>261</v>
      </c>
      <c r="L323" t="s">
        <v>4031</v>
      </c>
      <c r="N323" t="s">
        <v>4204</v>
      </c>
      <c r="O323" s="7">
        <v>51295</v>
      </c>
      <c r="R323" s="7">
        <v>2</v>
      </c>
      <c r="S323" t="s">
        <v>3564</v>
      </c>
      <c r="T323" t="s">
        <v>2271</v>
      </c>
      <c r="U323" s="7">
        <v>1</v>
      </c>
      <c r="V323" s="7">
        <v>2800</v>
      </c>
      <c r="W323" t="s">
        <v>35</v>
      </c>
      <c r="Y323" t="s">
        <v>2269</v>
      </c>
      <c r="Z323" t="s">
        <v>2313</v>
      </c>
      <c r="AB323" s="7">
        <v>3304</v>
      </c>
      <c r="AC323" s="7">
        <v>0</v>
      </c>
      <c r="AF323" s="7">
        <v>3304</v>
      </c>
    </row>
    <row r="324" spans="1:35" hidden="1">
      <c r="A324" s="7">
        <v>1015191</v>
      </c>
      <c r="B324" t="s">
        <v>3810</v>
      </c>
      <c r="C324" t="s">
        <v>4197</v>
      </c>
      <c r="D324" s="7">
        <v>7134260121043</v>
      </c>
      <c r="E324" t="s">
        <v>4205</v>
      </c>
      <c r="F324" t="s">
        <v>4206</v>
      </c>
      <c r="G324" t="s">
        <v>4200</v>
      </c>
      <c r="H324" t="s">
        <v>4449</v>
      </c>
      <c r="I324" t="s">
        <v>1867</v>
      </c>
      <c r="J324" t="s">
        <v>1868</v>
      </c>
      <c r="K324" t="s">
        <v>261</v>
      </c>
      <c r="L324" t="s">
        <v>2566</v>
      </c>
      <c r="N324" t="s">
        <v>4207</v>
      </c>
      <c r="O324" s="7">
        <v>46485</v>
      </c>
      <c r="R324" s="7">
        <v>1</v>
      </c>
      <c r="S324" t="s">
        <v>2825</v>
      </c>
      <c r="T324" t="s">
        <v>2826</v>
      </c>
      <c r="U324" s="7">
        <v>1</v>
      </c>
      <c r="V324" s="8">
        <v>12374.27</v>
      </c>
      <c r="W324" t="s">
        <v>35</v>
      </c>
      <c r="Y324" t="s">
        <v>2269</v>
      </c>
      <c r="Z324" t="s">
        <v>2313</v>
      </c>
      <c r="AB324" s="8">
        <v>14601.64</v>
      </c>
      <c r="AC324" s="7">
        <v>0</v>
      </c>
      <c r="AF324" s="8">
        <v>14601.64</v>
      </c>
      <c r="AI324" t="s">
        <v>4208</v>
      </c>
    </row>
    <row r="325" spans="1:35" hidden="1">
      <c r="A325" s="7">
        <v>1015195</v>
      </c>
      <c r="B325" t="s">
        <v>3807</v>
      </c>
      <c r="C325" t="s">
        <v>4197</v>
      </c>
      <c r="D325" s="7">
        <v>7134260121032</v>
      </c>
      <c r="E325" t="s">
        <v>4209</v>
      </c>
      <c r="F325" t="s">
        <v>4210</v>
      </c>
      <c r="G325" t="s">
        <v>4200</v>
      </c>
      <c r="H325" t="s">
        <v>4449</v>
      </c>
      <c r="I325" t="s">
        <v>2206</v>
      </c>
      <c r="J325" t="s">
        <v>2207</v>
      </c>
      <c r="K325" t="s">
        <v>261</v>
      </c>
      <c r="L325" t="s">
        <v>3282</v>
      </c>
      <c r="N325" t="s">
        <v>3938</v>
      </c>
      <c r="O325" s="7">
        <v>43847</v>
      </c>
      <c r="R325" s="7">
        <v>1</v>
      </c>
      <c r="S325" t="s">
        <v>4211</v>
      </c>
      <c r="T325" t="s">
        <v>4212</v>
      </c>
      <c r="U325" s="7">
        <v>1</v>
      </c>
      <c r="V325" s="8">
        <v>14186.41</v>
      </c>
      <c r="W325" t="s">
        <v>35</v>
      </c>
      <c r="Y325" t="s">
        <v>2269</v>
      </c>
      <c r="Z325" t="s">
        <v>2313</v>
      </c>
      <c r="AB325" s="8">
        <v>16739.96</v>
      </c>
      <c r="AC325" s="7">
        <v>0</v>
      </c>
      <c r="AF325" s="8">
        <v>16739.96</v>
      </c>
    </row>
    <row r="326" spans="1:35" hidden="1">
      <c r="A326" s="7">
        <v>1015195</v>
      </c>
      <c r="B326" t="s">
        <v>3807</v>
      </c>
      <c r="C326" t="s">
        <v>4197</v>
      </c>
      <c r="D326" s="7">
        <v>7134260121032</v>
      </c>
      <c r="E326" t="s">
        <v>4209</v>
      </c>
      <c r="F326" t="s">
        <v>4210</v>
      </c>
      <c r="G326" t="s">
        <v>4200</v>
      </c>
      <c r="H326" t="s">
        <v>4449</v>
      </c>
      <c r="I326" t="s">
        <v>2206</v>
      </c>
      <c r="J326" t="s">
        <v>2207</v>
      </c>
      <c r="K326" t="s">
        <v>261</v>
      </c>
      <c r="L326" t="s">
        <v>3282</v>
      </c>
      <c r="N326" t="s">
        <v>3938</v>
      </c>
      <c r="O326" s="7">
        <v>43847</v>
      </c>
      <c r="R326" s="7">
        <v>2</v>
      </c>
      <c r="S326" t="s">
        <v>4139</v>
      </c>
      <c r="T326" t="s">
        <v>2271</v>
      </c>
      <c r="U326" s="7">
        <v>1</v>
      </c>
      <c r="V326" s="7">
        <v>420</v>
      </c>
      <c r="W326" t="s">
        <v>35</v>
      </c>
      <c r="Y326" t="s">
        <v>2269</v>
      </c>
      <c r="Z326" t="s">
        <v>2313</v>
      </c>
      <c r="AB326" s="8">
        <v>495.6</v>
      </c>
      <c r="AC326" s="7">
        <v>0</v>
      </c>
      <c r="AF326" s="8">
        <v>495.6</v>
      </c>
    </row>
    <row r="327" spans="1:35" hidden="1">
      <c r="A327" s="7">
        <v>1015195</v>
      </c>
      <c r="B327" t="s">
        <v>3807</v>
      </c>
      <c r="C327" t="s">
        <v>4197</v>
      </c>
      <c r="D327" s="7">
        <v>7134260121032</v>
      </c>
      <c r="E327" t="s">
        <v>4209</v>
      </c>
      <c r="F327" t="s">
        <v>4210</v>
      </c>
      <c r="G327" t="s">
        <v>4200</v>
      </c>
      <c r="H327" t="s">
        <v>4449</v>
      </c>
      <c r="I327" t="s">
        <v>2206</v>
      </c>
      <c r="J327" t="s">
        <v>2207</v>
      </c>
      <c r="K327" t="s">
        <v>261</v>
      </c>
      <c r="L327" t="s">
        <v>3282</v>
      </c>
      <c r="N327" t="s">
        <v>3938</v>
      </c>
      <c r="O327" s="7">
        <v>43847</v>
      </c>
      <c r="R327" s="7">
        <v>3</v>
      </c>
      <c r="S327" t="s">
        <v>3563</v>
      </c>
      <c r="T327" t="s">
        <v>2271</v>
      </c>
      <c r="U327" s="7">
        <v>1</v>
      </c>
      <c r="V327" s="7">
        <v>1400</v>
      </c>
      <c r="W327" t="s">
        <v>35</v>
      </c>
      <c r="Y327" t="s">
        <v>2269</v>
      </c>
      <c r="Z327" t="s">
        <v>2313</v>
      </c>
      <c r="AB327" s="7">
        <v>1652</v>
      </c>
      <c r="AC327" s="7">
        <v>0</v>
      </c>
      <c r="AF327" s="7">
        <v>1652</v>
      </c>
    </row>
    <row r="328" spans="1:35" hidden="1">
      <c r="A328" s="7">
        <v>1015195</v>
      </c>
      <c r="B328" t="s">
        <v>3807</v>
      </c>
      <c r="C328" t="s">
        <v>4197</v>
      </c>
      <c r="D328" s="7">
        <v>7134260121032</v>
      </c>
      <c r="E328" t="s">
        <v>4209</v>
      </c>
      <c r="F328" t="s">
        <v>4210</v>
      </c>
      <c r="G328" t="s">
        <v>4200</v>
      </c>
      <c r="H328" t="s">
        <v>4449</v>
      </c>
      <c r="I328" t="s">
        <v>2206</v>
      </c>
      <c r="J328" t="s">
        <v>2207</v>
      </c>
      <c r="K328" t="s">
        <v>261</v>
      </c>
      <c r="L328" t="s">
        <v>3282</v>
      </c>
      <c r="N328" t="s">
        <v>3938</v>
      </c>
      <c r="O328" s="7">
        <v>43847</v>
      </c>
      <c r="R328" s="7">
        <v>4</v>
      </c>
      <c r="S328" t="s">
        <v>3564</v>
      </c>
      <c r="T328" t="s">
        <v>2271</v>
      </c>
      <c r="U328" s="7">
        <v>1</v>
      </c>
      <c r="V328" s="7">
        <v>2800</v>
      </c>
      <c r="W328" t="s">
        <v>35</v>
      </c>
      <c r="Y328" t="s">
        <v>2269</v>
      </c>
      <c r="Z328" t="s">
        <v>2313</v>
      </c>
      <c r="AB328" s="7">
        <v>3304</v>
      </c>
      <c r="AC328" s="7">
        <v>0</v>
      </c>
      <c r="AF328" s="7">
        <v>3304</v>
      </c>
    </row>
    <row r="329" spans="1:35" hidden="1">
      <c r="A329" s="7">
        <v>1015198</v>
      </c>
      <c r="B329" t="s">
        <v>3815</v>
      </c>
      <c r="C329" t="s">
        <v>4197</v>
      </c>
      <c r="D329" s="7">
        <v>7134260121340</v>
      </c>
      <c r="E329" t="s">
        <v>4213</v>
      </c>
      <c r="F329" t="s">
        <v>4214</v>
      </c>
      <c r="G329" t="s">
        <v>4200</v>
      </c>
      <c r="H329" t="s">
        <v>4449</v>
      </c>
      <c r="I329" t="s">
        <v>1811</v>
      </c>
      <c r="J329" t="s">
        <v>1812</v>
      </c>
      <c r="K329" t="s">
        <v>261</v>
      </c>
      <c r="L329" t="s">
        <v>3291</v>
      </c>
      <c r="N329" t="s">
        <v>4215</v>
      </c>
      <c r="O329" s="7">
        <v>52135</v>
      </c>
      <c r="R329" s="7">
        <v>1</v>
      </c>
      <c r="S329" t="s">
        <v>3563</v>
      </c>
      <c r="T329" t="s">
        <v>2271</v>
      </c>
      <c r="U329" s="7">
        <v>1</v>
      </c>
      <c r="V329" s="7">
        <v>1400</v>
      </c>
      <c r="W329" t="s">
        <v>35</v>
      </c>
      <c r="Y329" t="s">
        <v>2269</v>
      </c>
      <c r="Z329" t="s">
        <v>2313</v>
      </c>
      <c r="AB329" s="7">
        <v>1652</v>
      </c>
      <c r="AC329" s="7">
        <v>0</v>
      </c>
      <c r="AF329" s="7">
        <v>1652</v>
      </c>
    </row>
    <row r="330" spans="1:35" hidden="1">
      <c r="A330" s="7">
        <v>1015198</v>
      </c>
      <c r="B330" t="s">
        <v>3815</v>
      </c>
      <c r="C330" t="s">
        <v>4197</v>
      </c>
      <c r="D330" s="7">
        <v>7134260121340</v>
      </c>
      <c r="E330" t="s">
        <v>4213</v>
      </c>
      <c r="F330" t="s">
        <v>4214</v>
      </c>
      <c r="G330" t="s">
        <v>4200</v>
      </c>
      <c r="H330" t="s">
        <v>4449</v>
      </c>
      <c r="I330" t="s">
        <v>1811</v>
      </c>
      <c r="J330" t="s">
        <v>1812</v>
      </c>
      <c r="K330" t="s">
        <v>261</v>
      </c>
      <c r="L330" t="s">
        <v>3291</v>
      </c>
      <c r="N330" t="s">
        <v>4215</v>
      </c>
      <c r="O330" s="7">
        <v>52135</v>
      </c>
      <c r="R330" s="7">
        <v>2</v>
      </c>
      <c r="S330" t="s">
        <v>3564</v>
      </c>
      <c r="T330" t="s">
        <v>2271</v>
      </c>
      <c r="U330" s="7">
        <v>1</v>
      </c>
      <c r="V330" s="7">
        <v>2800</v>
      </c>
      <c r="W330" t="s">
        <v>35</v>
      </c>
      <c r="Y330" t="s">
        <v>2269</v>
      </c>
      <c r="Z330" t="s">
        <v>2313</v>
      </c>
      <c r="AB330" s="7">
        <v>3304</v>
      </c>
      <c r="AC330" s="7">
        <v>0</v>
      </c>
      <c r="AF330" s="7">
        <v>3304</v>
      </c>
    </row>
    <row r="331" spans="1:35" hidden="1">
      <c r="A331" s="7">
        <v>1015200</v>
      </c>
      <c r="B331" t="s">
        <v>3809</v>
      </c>
      <c r="C331" t="s">
        <v>4197</v>
      </c>
      <c r="D331" s="7">
        <v>7134260121040</v>
      </c>
      <c r="E331" t="s">
        <v>4216</v>
      </c>
      <c r="F331" t="s">
        <v>4217</v>
      </c>
      <c r="G331" t="s">
        <v>4200</v>
      </c>
      <c r="H331" t="s">
        <v>4449</v>
      </c>
      <c r="I331" t="s">
        <v>1979</v>
      </c>
      <c r="J331" t="s">
        <v>1980</v>
      </c>
      <c r="K331" t="s">
        <v>261</v>
      </c>
      <c r="L331" t="s">
        <v>2625</v>
      </c>
      <c r="N331" t="s">
        <v>3652</v>
      </c>
      <c r="O331" s="7">
        <v>56552</v>
      </c>
      <c r="R331" s="7">
        <v>1</v>
      </c>
      <c r="S331" t="s">
        <v>4211</v>
      </c>
      <c r="T331" t="s">
        <v>4212</v>
      </c>
      <c r="U331" s="7">
        <v>1</v>
      </c>
      <c r="V331" s="8">
        <v>14186.41</v>
      </c>
      <c r="W331" t="s">
        <v>35</v>
      </c>
      <c r="Y331" t="s">
        <v>2269</v>
      </c>
      <c r="Z331" t="s">
        <v>2313</v>
      </c>
      <c r="AB331" s="8">
        <v>16739.96</v>
      </c>
      <c r="AC331" s="7">
        <v>0</v>
      </c>
      <c r="AF331" s="8">
        <v>16739.96</v>
      </c>
    </row>
    <row r="332" spans="1:35" hidden="1">
      <c r="A332" s="7">
        <v>1015200</v>
      </c>
      <c r="B332" t="s">
        <v>3809</v>
      </c>
      <c r="C332" t="s">
        <v>4197</v>
      </c>
      <c r="D332" s="7">
        <v>7134260121040</v>
      </c>
      <c r="E332" t="s">
        <v>4216</v>
      </c>
      <c r="F332" t="s">
        <v>4217</v>
      </c>
      <c r="G332" t="s">
        <v>4200</v>
      </c>
      <c r="H332" t="s">
        <v>4449</v>
      </c>
      <c r="I332" t="s">
        <v>1979</v>
      </c>
      <c r="J332" t="s">
        <v>1980</v>
      </c>
      <c r="K332" t="s">
        <v>261</v>
      </c>
      <c r="L332" t="s">
        <v>2625</v>
      </c>
      <c r="N332" t="s">
        <v>3652</v>
      </c>
      <c r="O332" s="7">
        <v>56552</v>
      </c>
      <c r="R332" s="7">
        <v>2</v>
      </c>
      <c r="S332" t="s">
        <v>4139</v>
      </c>
      <c r="T332" t="s">
        <v>2271</v>
      </c>
      <c r="U332" s="7">
        <v>1</v>
      </c>
      <c r="V332" s="7">
        <v>420</v>
      </c>
      <c r="W332" t="s">
        <v>35</v>
      </c>
      <c r="Y332" t="s">
        <v>2269</v>
      </c>
      <c r="Z332" t="s">
        <v>2313</v>
      </c>
      <c r="AB332" s="8">
        <v>495.6</v>
      </c>
      <c r="AC332" s="7">
        <v>0</v>
      </c>
      <c r="AF332" s="8">
        <v>495.6</v>
      </c>
    </row>
    <row r="333" spans="1:35" hidden="1">
      <c r="A333" s="7">
        <v>1015205</v>
      </c>
      <c r="B333" t="s">
        <v>3819</v>
      </c>
      <c r="C333" t="s">
        <v>4197</v>
      </c>
      <c r="D333" s="7">
        <v>7134260121396</v>
      </c>
      <c r="E333" t="s">
        <v>4218</v>
      </c>
      <c r="F333" t="s">
        <v>4219</v>
      </c>
      <c r="G333" t="s">
        <v>4200</v>
      </c>
      <c r="H333" t="s">
        <v>4449</v>
      </c>
      <c r="I333" t="s">
        <v>2128</v>
      </c>
      <c r="J333" t="s">
        <v>2129</v>
      </c>
      <c r="K333" t="s">
        <v>261</v>
      </c>
      <c r="L333" t="s">
        <v>2260</v>
      </c>
      <c r="N333" t="s">
        <v>4204</v>
      </c>
      <c r="O333" s="7">
        <v>59337</v>
      </c>
      <c r="R333" s="7">
        <v>1</v>
      </c>
      <c r="S333" t="s">
        <v>3563</v>
      </c>
      <c r="T333" t="s">
        <v>2271</v>
      </c>
      <c r="U333" s="7">
        <v>1</v>
      </c>
      <c r="V333" s="7">
        <v>1400</v>
      </c>
      <c r="W333" t="s">
        <v>35</v>
      </c>
      <c r="Y333" t="s">
        <v>2269</v>
      </c>
      <c r="Z333" t="s">
        <v>2313</v>
      </c>
      <c r="AB333" s="7">
        <v>1652</v>
      </c>
      <c r="AC333" s="7">
        <v>0</v>
      </c>
      <c r="AF333" s="7">
        <v>1652</v>
      </c>
    </row>
    <row r="334" spans="1:35" hidden="1">
      <c r="A334" s="7">
        <v>1015205</v>
      </c>
      <c r="B334" t="s">
        <v>3819</v>
      </c>
      <c r="C334" t="s">
        <v>4197</v>
      </c>
      <c r="D334" s="7">
        <v>7134260121396</v>
      </c>
      <c r="E334" t="s">
        <v>4218</v>
      </c>
      <c r="F334" t="s">
        <v>4219</v>
      </c>
      <c r="G334" t="s">
        <v>4200</v>
      </c>
      <c r="H334" t="s">
        <v>4449</v>
      </c>
      <c r="I334" t="s">
        <v>2128</v>
      </c>
      <c r="J334" t="s">
        <v>2129</v>
      </c>
      <c r="K334" t="s">
        <v>261</v>
      </c>
      <c r="L334" t="s">
        <v>2260</v>
      </c>
      <c r="N334" t="s">
        <v>4204</v>
      </c>
      <c r="O334" s="7">
        <v>59337</v>
      </c>
      <c r="R334" s="7">
        <v>2</v>
      </c>
      <c r="S334" t="s">
        <v>3564</v>
      </c>
      <c r="T334" t="s">
        <v>2271</v>
      </c>
      <c r="U334" s="7">
        <v>1</v>
      </c>
      <c r="V334" s="7">
        <v>2800</v>
      </c>
      <c r="W334" t="s">
        <v>35</v>
      </c>
      <c r="Y334" t="s">
        <v>2269</v>
      </c>
      <c r="Z334" t="s">
        <v>2313</v>
      </c>
      <c r="AB334" s="7">
        <v>3304</v>
      </c>
      <c r="AC334" s="7">
        <v>0</v>
      </c>
      <c r="AF334" s="7">
        <v>3304</v>
      </c>
    </row>
    <row r="335" spans="1:35" hidden="1">
      <c r="A335" s="7">
        <v>1015207</v>
      </c>
      <c r="B335" t="s">
        <v>3814</v>
      </c>
      <c r="C335" t="s">
        <v>4197</v>
      </c>
      <c r="D335" s="7">
        <v>7134260121339</v>
      </c>
      <c r="E335" t="s">
        <v>4220</v>
      </c>
      <c r="F335" t="s">
        <v>4221</v>
      </c>
      <c r="G335" t="s">
        <v>4200</v>
      </c>
      <c r="H335" t="s">
        <v>4449</v>
      </c>
      <c r="I335" t="s">
        <v>4222</v>
      </c>
      <c r="J335" t="s">
        <v>4223</v>
      </c>
      <c r="K335" t="s">
        <v>261</v>
      </c>
      <c r="L335" t="s">
        <v>3291</v>
      </c>
      <c r="N335" t="s">
        <v>4215</v>
      </c>
      <c r="O335" s="7">
        <v>50271</v>
      </c>
      <c r="R335" s="7">
        <v>1</v>
      </c>
      <c r="S335" t="s">
        <v>3563</v>
      </c>
      <c r="T335" t="s">
        <v>2271</v>
      </c>
      <c r="U335" s="7">
        <v>1</v>
      </c>
      <c r="V335" s="7">
        <v>1400</v>
      </c>
      <c r="W335" t="s">
        <v>35</v>
      </c>
      <c r="Y335" t="s">
        <v>2269</v>
      </c>
      <c r="Z335" t="s">
        <v>2313</v>
      </c>
      <c r="AB335" s="7">
        <v>1652</v>
      </c>
      <c r="AC335" s="7">
        <v>0</v>
      </c>
      <c r="AF335" s="7">
        <v>1652</v>
      </c>
    </row>
    <row r="336" spans="1:35" hidden="1">
      <c r="A336" s="7">
        <v>1015207</v>
      </c>
      <c r="B336" t="s">
        <v>3814</v>
      </c>
      <c r="C336" t="s">
        <v>4197</v>
      </c>
      <c r="D336" s="7">
        <v>7134260121339</v>
      </c>
      <c r="E336" t="s">
        <v>4220</v>
      </c>
      <c r="F336" t="s">
        <v>4221</v>
      </c>
      <c r="G336" t="s">
        <v>4200</v>
      </c>
      <c r="H336" t="s">
        <v>4449</v>
      </c>
      <c r="I336" t="s">
        <v>4222</v>
      </c>
      <c r="J336" t="s">
        <v>4223</v>
      </c>
      <c r="K336" t="s">
        <v>261</v>
      </c>
      <c r="L336" t="s">
        <v>3291</v>
      </c>
      <c r="N336" t="s">
        <v>4215</v>
      </c>
      <c r="O336" s="7">
        <v>50271</v>
      </c>
      <c r="R336" s="7">
        <v>2</v>
      </c>
      <c r="S336" t="s">
        <v>3564</v>
      </c>
      <c r="T336" t="s">
        <v>2271</v>
      </c>
      <c r="U336" s="7">
        <v>1</v>
      </c>
      <c r="V336" s="7">
        <v>2800</v>
      </c>
      <c r="W336" t="s">
        <v>35</v>
      </c>
      <c r="Y336" t="s">
        <v>2269</v>
      </c>
      <c r="Z336" t="s">
        <v>2313</v>
      </c>
      <c r="AB336" s="7">
        <v>3304</v>
      </c>
      <c r="AC336" s="7">
        <v>0</v>
      </c>
      <c r="AF336" s="7">
        <v>3304</v>
      </c>
    </row>
    <row r="337" spans="1:35" hidden="1">
      <c r="A337" s="7">
        <v>1015208</v>
      </c>
      <c r="B337" t="s">
        <v>3806</v>
      </c>
      <c r="C337" t="s">
        <v>4197</v>
      </c>
      <c r="D337" s="7">
        <v>7134260121023</v>
      </c>
      <c r="E337" t="s">
        <v>4224</v>
      </c>
      <c r="F337" t="s">
        <v>4225</v>
      </c>
      <c r="G337" t="s">
        <v>4200</v>
      </c>
      <c r="H337" t="s">
        <v>4449</v>
      </c>
      <c r="I337" t="s">
        <v>4226</v>
      </c>
      <c r="J337" t="s">
        <v>4227</v>
      </c>
      <c r="K337" t="s">
        <v>261</v>
      </c>
      <c r="L337" t="s">
        <v>3562</v>
      </c>
      <c r="M337" s="7">
        <v>1165</v>
      </c>
      <c r="N337" t="s">
        <v>4228</v>
      </c>
      <c r="O337" s="7">
        <v>3396</v>
      </c>
      <c r="R337" s="7">
        <v>1</v>
      </c>
      <c r="S337" t="s">
        <v>4229</v>
      </c>
      <c r="T337" t="s">
        <v>4230</v>
      </c>
      <c r="U337" s="7">
        <v>1</v>
      </c>
      <c r="V337" s="8">
        <v>75.59</v>
      </c>
      <c r="W337" t="s">
        <v>35</v>
      </c>
      <c r="Y337" t="s">
        <v>2269</v>
      </c>
      <c r="Z337" t="s">
        <v>2313</v>
      </c>
      <c r="AB337" s="8">
        <v>89.2</v>
      </c>
      <c r="AC337" s="7">
        <v>0</v>
      </c>
      <c r="AF337" s="8">
        <v>89.2</v>
      </c>
    </row>
    <row r="338" spans="1:35" hidden="1">
      <c r="A338" s="7">
        <v>1015209</v>
      </c>
      <c r="B338" t="s">
        <v>3805</v>
      </c>
      <c r="C338" t="s">
        <v>4197</v>
      </c>
      <c r="D338" s="7">
        <v>7134260121022</v>
      </c>
      <c r="E338" t="s">
        <v>4231</v>
      </c>
      <c r="F338" t="s">
        <v>4232</v>
      </c>
      <c r="G338" t="s">
        <v>4200</v>
      </c>
      <c r="H338" t="s">
        <v>4449</v>
      </c>
      <c r="I338" t="s">
        <v>2590</v>
      </c>
      <c r="J338" t="s">
        <v>2591</v>
      </c>
      <c r="K338" t="s">
        <v>261</v>
      </c>
      <c r="L338" t="s">
        <v>2592</v>
      </c>
      <c r="N338" t="s">
        <v>4138</v>
      </c>
      <c r="O338" s="7">
        <v>25865</v>
      </c>
      <c r="R338" s="7">
        <v>1</v>
      </c>
      <c r="S338" t="s">
        <v>2727</v>
      </c>
      <c r="T338" t="s">
        <v>2728</v>
      </c>
      <c r="U338" s="7">
        <v>1</v>
      </c>
      <c r="V338" s="8">
        <v>3236.86</v>
      </c>
      <c r="W338" t="s">
        <v>35</v>
      </c>
      <c r="Y338" t="s">
        <v>2269</v>
      </c>
      <c r="Z338" t="s">
        <v>2313</v>
      </c>
      <c r="AB338" s="8">
        <v>3819.49</v>
      </c>
      <c r="AC338" s="7">
        <v>0</v>
      </c>
      <c r="AF338" s="8">
        <v>3819.49</v>
      </c>
    </row>
    <row r="339" spans="1:35" hidden="1">
      <c r="A339" s="7">
        <v>1015210</v>
      </c>
      <c r="B339" t="s">
        <v>3816</v>
      </c>
      <c r="C339" t="s">
        <v>4197</v>
      </c>
      <c r="D339" s="7">
        <v>7134260121393</v>
      </c>
      <c r="E339" t="s">
        <v>4233</v>
      </c>
      <c r="F339" t="s">
        <v>4234</v>
      </c>
      <c r="G339" t="s">
        <v>4200</v>
      </c>
      <c r="H339" t="s">
        <v>4449</v>
      </c>
      <c r="I339" t="s">
        <v>3590</v>
      </c>
      <c r="J339" t="s">
        <v>3591</v>
      </c>
      <c r="K339" t="s">
        <v>261</v>
      </c>
      <c r="L339" t="s">
        <v>3291</v>
      </c>
      <c r="N339" t="s">
        <v>4204</v>
      </c>
      <c r="O339" s="7">
        <v>60164</v>
      </c>
      <c r="R339" s="7">
        <v>1</v>
      </c>
      <c r="S339" t="s">
        <v>4235</v>
      </c>
      <c r="T339" t="s">
        <v>4236</v>
      </c>
      <c r="U339" s="7">
        <v>1</v>
      </c>
      <c r="V339" s="8">
        <v>3.25</v>
      </c>
      <c r="W339" t="s">
        <v>35</v>
      </c>
      <c r="Y339" t="s">
        <v>2269</v>
      </c>
      <c r="Z339" t="s">
        <v>2313</v>
      </c>
      <c r="AB339" s="8">
        <v>3.84</v>
      </c>
      <c r="AC339" s="7">
        <v>0</v>
      </c>
      <c r="AF339" s="8">
        <v>3.84</v>
      </c>
      <c r="AI339" t="s">
        <v>4237</v>
      </c>
    </row>
    <row r="340" spans="1:35" hidden="1">
      <c r="A340" s="7">
        <v>1015210</v>
      </c>
      <c r="B340" t="s">
        <v>3816</v>
      </c>
      <c r="C340" t="s">
        <v>4197</v>
      </c>
      <c r="D340" s="7">
        <v>7134260121393</v>
      </c>
      <c r="E340" t="s">
        <v>4233</v>
      </c>
      <c r="F340" t="s">
        <v>4234</v>
      </c>
      <c r="G340" t="s">
        <v>4200</v>
      </c>
      <c r="H340" t="s">
        <v>4449</v>
      </c>
      <c r="I340" t="s">
        <v>3590</v>
      </c>
      <c r="J340" t="s">
        <v>3591</v>
      </c>
      <c r="K340" t="s">
        <v>261</v>
      </c>
      <c r="L340" t="s">
        <v>3291</v>
      </c>
      <c r="N340" t="s">
        <v>4204</v>
      </c>
      <c r="O340" s="7">
        <v>60164</v>
      </c>
      <c r="R340" s="7">
        <v>2</v>
      </c>
      <c r="S340" t="s">
        <v>4238</v>
      </c>
      <c r="T340" t="s">
        <v>4239</v>
      </c>
      <c r="U340" s="7">
        <v>1</v>
      </c>
      <c r="V340" s="8">
        <v>4.88</v>
      </c>
      <c r="W340" t="s">
        <v>35</v>
      </c>
      <c r="Y340" t="s">
        <v>2269</v>
      </c>
      <c r="Z340" t="s">
        <v>2313</v>
      </c>
      <c r="AB340" s="8">
        <v>5.76</v>
      </c>
      <c r="AC340" s="7">
        <v>0</v>
      </c>
      <c r="AF340" s="8">
        <v>5.76</v>
      </c>
      <c r="AI340" t="s">
        <v>4237</v>
      </c>
    </row>
    <row r="341" spans="1:35" hidden="1">
      <c r="A341" s="7">
        <v>1015210</v>
      </c>
      <c r="B341" t="s">
        <v>3816</v>
      </c>
      <c r="C341" t="s">
        <v>4197</v>
      </c>
      <c r="D341" s="7">
        <v>7134260121393</v>
      </c>
      <c r="E341" t="s">
        <v>4233</v>
      </c>
      <c r="F341" t="s">
        <v>4234</v>
      </c>
      <c r="G341" t="s">
        <v>4200</v>
      </c>
      <c r="H341" t="s">
        <v>4449</v>
      </c>
      <c r="I341" t="s">
        <v>3590</v>
      </c>
      <c r="J341" t="s">
        <v>3591</v>
      </c>
      <c r="K341" t="s">
        <v>261</v>
      </c>
      <c r="L341" t="s">
        <v>3291</v>
      </c>
      <c r="N341" t="s">
        <v>4204</v>
      </c>
      <c r="O341" s="7">
        <v>60164</v>
      </c>
      <c r="R341" s="7">
        <v>3</v>
      </c>
      <c r="S341" t="s">
        <v>2326</v>
      </c>
      <c r="T341" t="s">
        <v>2327</v>
      </c>
      <c r="U341" s="7">
        <v>1</v>
      </c>
      <c r="V341" s="8">
        <v>448.68</v>
      </c>
      <c r="W341" t="s">
        <v>35</v>
      </c>
      <c r="Y341" t="s">
        <v>2269</v>
      </c>
      <c r="Z341" t="s">
        <v>2313</v>
      </c>
      <c r="AB341" s="8">
        <v>529.44000000000005</v>
      </c>
      <c r="AC341" s="7">
        <v>0</v>
      </c>
      <c r="AF341" s="8">
        <v>529.44000000000005</v>
      </c>
      <c r="AI341" t="s">
        <v>4237</v>
      </c>
    </row>
    <row r="342" spans="1:35" hidden="1">
      <c r="A342" s="7">
        <v>1015210</v>
      </c>
      <c r="B342" t="s">
        <v>3816</v>
      </c>
      <c r="C342" t="s">
        <v>4197</v>
      </c>
      <c r="D342" s="7">
        <v>7134260121393</v>
      </c>
      <c r="E342" t="s">
        <v>4233</v>
      </c>
      <c r="F342" t="s">
        <v>4234</v>
      </c>
      <c r="G342" t="s">
        <v>4200</v>
      </c>
      <c r="H342" t="s">
        <v>4449</v>
      </c>
      <c r="I342" t="s">
        <v>3590</v>
      </c>
      <c r="J342" t="s">
        <v>3591</v>
      </c>
      <c r="K342" t="s">
        <v>261</v>
      </c>
      <c r="L342" t="s">
        <v>3291</v>
      </c>
      <c r="N342" t="s">
        <v>4204</v>
      </c>
      <c r="O342" s="7">
        <v>60164</v>
      </c>
      <c r="R342" s="7">
        <v>4</v>
      </c>
      <c r="S342" t="s">
        <v>4240</v>
      </c>
      <c r="T342" t="s">
        <v>4241</v>
      </c>
      <c r="U342" s="7">
        <v>1</v>
      </c>
      <c r="V342" s="8">
        <v>4.0599999999999996</v>
      </c>
      <c r="W342" t="s">
        <v>35</v>
      </c>
      <c r="Y342" t="s">
        <v>2269</v>
      </c>
      <c r="Z342" t="s">
        <v>2313</v>
      </c>
      <c r="AB342" s="8">
        <v>4.79</v>
      </c>
      <c r="AC342" s="7">
        <v>0</v>
      </c>
      <c r="AF342" s="8">
        <v>4.79</v>
      </c>
      <c r="AI342" t="s">
        <v>4237</v>
      </c>
    </row>
    <row r="343" spans="1:35" hidden="1">
      <c r="A343" s="7">
        <v>1015210</v>
      </c>
      <c r="B343" t="s">
        <v>3816</v>
      </c>
      <c r="C343" t="s">
        <v>4197</v>
      </c>
      <c r="D343" s="7">
        <v>7134260121393</v>
      </c>
      <c r="E343" t="s">
        <v>4233</v>
      </c>
      <c r="F343" t="s">
        <v>4234</v>
      </c>
      <c r="G343" t="s">
        <v>4200</v>
      </c>
      <c r="H343" t="s">
        <v>4449</v>
      </c>
      <c r="I343" t="s">
        <v>3590</v>
      </c>
      <c r="J343" t="s">
        <v>3591</v>
      </c>
      <c r="K343" t="s">
        <v>261</v>
      </c>
      <c r="L343" t="s">
        <v>3291</v>
      </c>
      <c r="N343" t="s">
        <v>4204</v>
      </c>
      <c r="O343" s="7">
        <v>60164</v>
      </c>
      <c r="R343" s="7">
        <v>5</v>
      </c>
      <c r="S343" t="s">
        <v>4242</v>
      </c>
      <c r="T343" t="s">
        <v>4243</v>
      </c>
      <c r="U343" s="7">
        <v>1</v>
      </c>
      <c r="V343" s="8">
        <v>30.89</v>
      </c>
      <c r="W343" t="s">
        <v>35</v>
      </c>
      <c r="Y343" t="s">
        <v>2269</v>
      </c>
      <c r="Z343" t="s">
        <v>2313</v>
      </c>
      <c r="AB343" s="8">
        <v>36.450000000000003</v>
      </c>
      <c r="AC343" s="7">
        <v>0</v>
      </c>
      <c r="AF343" s="8">
        <v>36.450000000000003</v>
      </c>
      <c r="AI343" t="s">
        <v>4237</v>
      </c>
    </row>
    <row r="344" spans="1:35" hidden="1">
      <c r="A344" s="7">
        <v>1015210</v>
      </c>
      <c r="B344" t="s">
        <v>3816</v>
      </c>
      <c r="C344" t="s">
        <v>4197</v>
      </c>
      <c r="D344" s="7">
        <v>7134260121393</v>
      </c>
      <c r="E344" t="s">
        <v>4233</v>
      </c>
      <c r="F344" t="s">
        <v>4234</v>
      </c>
      <c r="G344" t="s">
        <v>4200</v>
      </c>
      <c r="H344" t="s">
        <v>4449</v>
      </c>
      <c r="I344" t="s">
        <v>3590</v>
      </c>
      <c r="J344" t="s">
        <v>3591</v>
      </c>
      <c r="K344" t="s">
        <v>261</v>
      </c>
      <c r="L344" t="s">
        <v>3291</v>
      </c>
      <c r="N344" t="s">
        <v>4204</v>
      </c>
      <c r="O344" s="7">
        <v>60164</v>
      </c>
      <c r="R344" s="7">
        <v>6</v>
      </c>
      <c r="S344" t="s">
        <v>4244</v>
      </c>
      <c r="T344" t="s">
        <v>4245</v>
      </c>
      <c r="U344" s="7">
        <v>1</v>
      </c>
      <c r="V344" s="8">
        <v>35.76</v>
      </c>
      <c r="W344" t="s">
        <v>35</v>
      </c>
      <c r="Y344" t="s">
        <v>2269</v>
      </c>
      <c r="Z344" t="s">
        <v>2313</v>
      </c>
      <c r="AB344" s="8">
        <v>42.2</v>
      </c>
      <c r="AC344" s="7">
        <v>0</v>
      </c>
      <c r="AF344" s="8">
        <v>42.2</v>
      </c>
      <c r="AI344" t="s">
        <v>4237</v>
      </c>
    </row>
    <row r="345" spans="1:35" hidden="1">
      <c r="A345" s="7">
        <v>1015210</v>
      </c>
      <c r="B345" t="s">
        <v>3816</v>
      </c>
      <c r="C345" t="s">
        <v>4197</v>
      </c>
      <c r="D345" s="7">
        <v>7134260121393</v>
      </c>
      <c r="E345" t="s">
        <v>4233</v>
      </c>
      <c r="F345" t="s">
        <v>4234</v>
      </c>
      <c r="G345" t="s">
        <v>4200</v>
      </c>
      <c r="H345" t="s">
        <v>4449</v>
      </c>
      <c r="I345" t="s">
        <v>3590</v>
      </c>
      <c r="J345" t="s">
        <v>3591</v>
      </c>
      <c r="K345" t="s">
        <v>261</v>
      </c>
      <c r="L345" t="s">
        <v>3291</v>
      </c>
      <c r="N345" t="s">
        <v>4204</v>
      </c>
      <c r="O345" s="7">
        <v>60164</v>
      </c>
      <c r="R345" s="7">
        <v>7</v>
      </c>
      <c r="S345" t="s">
        <v>4246</v>
      </c>
      <c r="T345" t="s">
        <v>4247</v>
      </c>
      <c r="U345" s="7">
        <v>1</v>
      </c>
      <c r="V345" s="8">
        <v>179.16</v>
      </c>
      <c r="W345" t="s">
        <v>35</v>
      </c>
      <c r="Y345" t="s">
        <v>2269</v>
      </c>
      <c r="Z345" t="s">
        <v>2313</v>
      </c>
      <c r="AB345" s="8">
        <v>211.41</v>
      </c>
      <c r="AC345" s="7">
        <v>0</v>
      </c>
      <c r="AF345" s="8">
        <v>211.41</v>
      </c>
      <c r="AI345" t="s">
        <v>4237</v>
      </c>
    </row>
    <row r="346" spans="1:35" hidden="1">
      <c r="A346" s="7">
        <v>1015210</v>
      </c>
      <c r="B346" t="s">
        <v>3816</v>
      </c>
      <c r="C346" t="s">
        <v>4197</v>
      </c>
      <c r="D346" s="7">
        <v>7134260121393</v>
      </c>
      <c r="E346" t="s">
        <v>4233</v>
      </c>
      <c r="F346" t="s">
        <v>4234</v>
      </c>
      <c r="G346" t="s">
        <v>4200</v>
      </c>
      <c r="H346" t="s">
        <v>4449</v>
      </c>
      <c r="I346" t="s">
        <v>3590</v>
      </c>
      <c r="J346" t="s">
        <v>3591</v>
      </c>
      <c r="K346" t="s">
        <v>261</v>
      </c>
      <c r="L346" t="s">
        <v>3291</v>
      </c>
      <c r="N346" t="s">
        <v>4204</v>
      </c>
      <c r="O346" s="7">
        <v>60164</v>
      </c>
      <c r="R346" s="7">
        <v>8</v>
      </c>
      <c r="S346" t="s">
        <v>4248</v>
      </c>
      <c r="T346" t="s">
        <v>4249</v>
      </c>
      <c r="U346" s="7">
        <v>1</v>
      </c>
      <c r="V346" s="8">
        <v>118.12</v>
      </c>
      <c r="W346" t="s">
        <v>35</v>
      </c>
      <c r="Y346" t="s">
        <v>2269</v>
      </c>
      <c r="Z346" t="s">
        <v>2313</v>
      </c>
      <c r="AB346" s="8">
        <v>139.38</v>
      </c>
      <c r="AC346" s="7">
        <v>0</v>
      </c>
      <c r="AF346" s="8">
        <v>139.38</v>
      </c>
      <c r="AI346" t="s">
        <v>4237</v>
      </c>
    </row>
    <row r="347" spans="1:35" hidden="1">
      <c r="A347" s="7">
        <v>1015210</v>
      </c>
      <c r="B347" t="s">
        <v>3816</v>
      </c>
      <c r="C347" t="s">
        <v>4197</v>
      </c>
      <c r="D347" s="7">
        <v>7134260121393</v>
      </c>
      <c r="E347" t="s">
        <v>4233</v>
      </c>
      <c r="F347" t="s">
        <v>4234</v>
      </c>
      <c r="G347" t="s">
        <v>4200</v>
      </c>
      <c r="H347" t="s">
        <v>4449</v>
      </c>
      <c r="I347" t="s">
        <v>3590</v>
      </c>
      <c r="J347" t="s">
        <v>3591</v>
      </c>
      <c r="K347" t="s">
        <v>261</v>
      </c>
      <c r="L347" t="s">
        <v>3291</v>
      </c>
      <c r="N347" t="s">
        <v>4204</v>
      </c>
      <c r="O347" s="7">
        <v>60164</v>
      </c>
      <c r="R347" s="7">
        <v>9</v>
      </c>
      <c r="S347" t="s">
        <v>3716</v>
      </c>
      <c r="T347" t="s">
        <v>3717</v>
      </c>
      <c r="U347" s="7">
        <v>1</v>
      </c>
      <c r="V347" s="8">
        <v>1074.57</v>
      </c>
      <c r="W347" t="s">
        <v>35</v>
      </c>
      <c r="Y347" t="s">
        <v>2269</v>
      </c>
      <c r="Z347" t="s">
        <v>2313</v>
      </c>
      <c r="AB347" s="8">
        <v>1267.99</v>
      </c>
      <c r="AC347" s="7">
        <v>0</v>
      </c>
      <c r="AF347" s="8">
        <v>1267.99</v>
      </c>
      <c r="AI347" t="s">
        <v>4237</v>
      </c>
    </row>
    <row r="348" spans="1:35" hidden="1">
      <c r="A348" s="7">
        <v>1015210</v>
      </c>
      <c r="B348" t="s">
        <v>3816</v>
      </c>
      <c r="C348" t="s">
        <v>4197</v>
      </c>
      <c r="D348" s="7">
        <v>7134260121393</v>
      </c>
      <c r="E348" t="s">
        <v>4233</v>
      </c>
      <c r="F348" t="s">
        <v>4234</v>
      </c>
      <c r="G348" t="s">
        <v>4200</v>
      </c>
      <c r="H348" t="s">
        <v>4449</v>
      </c>
      <c r="I348" t="s">
        <v>3590</v>
      </c>
      <c r="J348" t="s">
        <v>3591</v>
      </c>
      <c r="K348" t="s">
        <v>261</v>
      </c>
      <c r="L348" t="s">
        <v>3291</v>
      </c>
      <c r="N348" t="s">
        <v>4204</v>
      </c>
      <c r="O348" s="7">
        <v>60164</v>
      </c>
      <c r="R348" s="7">
        <v>10</v>
      </c>
      <c r="S348" t="s">
        <v>4250</v>
      </c>
      <c r="T348" t="s">
        <v>4251</v>
      </c>
      <c r="U348" s="7">
        <v>1</v>
      </c>
      <c r="V348" s="8">
        <v>39.020000000000003</v>
      </c>
      <c r="W348" t="s">
        <v>35</v>
      </c>
      <c r="Y348" t="s">
        <v>2269</v>
      </c>
      <c r="Z348" t="s">
        <v>2313</v>
      </c>
      <c r="AB348" s="8">
        <v>46.04</v>
      </c>
      <c r="AC348" s="7">
        <v>0</v>
      </c>
      <c r="AF348" s="8">
        <v>46.04</v>
      </c>
      <c r="AI348" t="s">
        <v>4237</v>
      </c>
    </row>
    <row r="349" spans="1:35" hidden="1">
      <c r="A349" s="7">
        <v>1015210</v>
      </c>
      <c r="B349" t="s">
        <v>3816</v>
      </c>
      <c r="C349" t="s">
        <v>4197</v>
      </c>
      <c r="D349" s="7">
        <v>7134260121393</v>
      </c>
      <c r="E349" t="s">
        <v>4233</v>
      </c>
      <c r="F349" t="s">
        <v>4234</v>
      </c>
      <c r="G349" t="s">
        <v>4200</v>
      </c>
      <c r="H349" t="s">
        <v>4449</v>
      </c>
      <c r="I349" t="s">
        <v>3590</v>
      </c>
      <c r="J349" t="s">
        <v>3591</v>
      </c>
      <c r="K349" t="s">
        <v>261</v>
      </c>
      <c r="L349" t="s">
        <v>3291</v>
      </c>
      <c r="N349" t="s">
        <v>4204</v>
      </c>
      <c r="O349" s="7">
        <v>60164</v>
      </c>
      <c r="R349" s="7">
        <v>11</v>
      </c>
      <c r="S349" t="s">
        <v>4252</v>
      </c>
      <c r="T349" t="s">
        <v>4253</v>
      </c>
      <c r="U349" s="7">
        <v>1</v>
      </c>
      <c r="V349" s="8">
        <v>246.29</v>
      </c>
      <c r="W349" t="s">
        <v>35</v>
      </c>
      <c r="Y349" t="s">
        <v>2269</v>
      </c>
      <c r="Z349" t="s">
        <v>2313</v>
      </c>
      <c r="AB349" s="8">
        <v>290.62</v>
      </c>
      <c r="AC349" s="7">
        <v>0</v>
      </c>
      <c r="AF349" s="8">
        <v>290.62</v>
      </c>
      <c r="AI349" t="s">
        <v>4237</v>
      </c>
    </row>
    <row r="350" spans="1:35" hidden="1">
      <c r="A350" s="7">
        <v>1015210</v>
      </c>
      <c r="B350" t="s">
        <v>3816</v>
      </c>
      <c r="C350" t="s">
        <v>4197</v>
      </c>
      <c r="D350" s="7">
        <v>7134260121393</v>
      </c>
      <c r="E350" t="s">
        <v>4233</v>
      </c>
      <c r="F350" t="s">
        <v>4234</v>
      </c>
      <c r="G350" t="s">
        <v>4200</v>
      </c>
      <c r="H350" t="s">
        <v>4449</v>
      </c>
      <c r="I350" t="s">
        <v>3590</v>
      </c>
      <c r="J350" t="s">
        <v>3591</v>
      </c>
      <c r="K350" t="s">
        <v>261</v>
      </c>
      <c r="L350" t="s">
        <v>3291</v>
      </c>
      <c r="N350" t="s">
        <v>4204</v>
      </c>
      <c r="O350" s="7">
        <v>60164</v>
      </c>
      <c r="R350" s="7">
        <v>12</v>
      </c>
      <c r="S350" t="s">
        <v>4254</v>
      </c>
      <c r="T350" t="s">
        <v>4255</v>
      </c>
      <c r="U350" s="7">
        <v>7</v>
      </c>
      <c r="V350" s="7">
        <v>2080</v>
      </c>
      <c r="W350" t="s">
        <v>35</v>
      </c>
      <c r="Y350" t="s">
        <v>2269</v>
      </c>
      <c r="Z350" t="s">
        <v>2313</v>
      </c>
      <c r="AB350" s="8">
        <v>2454.4</v>
      </c>
      <c r="AC350" s="7">
        <v>0</v>
      </c>
      <c r="AF350" s="8">
        <v>2454.4</v>
      </c>
      <c r="AI350" t="s">
        <v>4237</v>
      </c>
    </row>
    <row r="351" spans="1:35" hidden="1">
      <c r="A351" s="7">
        <v>1015210</v>
      </c>
      <c r="B351" t="s">
        <v>3816</v>
      </c>
      <c r="C351" t="s">
        <v>4197</v>
      </c>
      <c r="D351" s="7">
        <v>7134260121393</v>
      </c>
      <c r="E351" t="s">
        <v>4233</v>
      </c>
      <c r="F351" t="s">
        <v>4234</v>
      </c>
      <c r="G351" t="s">
        <v>4200</v>
      </c>
      <c r="H351" t="s">
        <v>4449</v>
      </c>
      <c r="I351" t="s">
        <v>3590</v>
      </c>
      <c r="J351" t="s">
        <v>3591</v>
      </c>
      <c r="K351" t="s">
        <v>261</v>
      </c>
      <c r="L351" t="s">
        <v>3291</v>
      </c>
      <c r="N351" t="s">
        <v>4204</v>
      </c>
      <c r="O351" s="7">
        <v>60164</v>
      </c>
      <c r="R351" s="7">
        <v>13</v>
      </c>
      <c r="S351" t="s">
        <v>4256</v>
      </c>
      <c r="T351" t="s">
        <v>4257</v>
      </c>
      <c r="U351" s="7">
        <v>1</v>
      </c>
      <c r="V351" s="8">
        <v>276.36</v>
      </c>
      <c r="W351" t="s">
        <v>35</v>
      </c>
      <c r="Y351" t="s">
        <v>2269</v>
      </c>
      <c r="Z351" t="s">
        <v>2313</v>
      </c>
      <c r="AB351" s="8">
        <v>326.10000000000002</v>
      </c>
      <c r="AC351" s="7">
        <v>0</v>
      </c>
      <c r="AF351" s="8">
        <v>326.10000000000002</v>
      </c>
      <c r="AI351" t="s">
        <v>4237</v>
      </c>
    </row>
    <row r="352" spans="1:35" hidden="1">
      <c r="A352" s="7">
        <v>1015210</v>
      </c>
      <c r="B352" t="s">
        <v>3816</v>
      </c>
      <c r="C352" t="s">
        <v>4197</v>
      </c>
      <c r="D352" s="7">
        <v>7134260121393</v>
      </c>
      <c r="E352" t="s">
        <v>4233</v>
      </c>
      <c r="F352" t="s">
        <v>4234</v>
      </c>
      <c r="G352" t="s">
        <v>4200</v>
      </c>
      <c r="H352" t="s">
        <v>4449</v>
      </c>
      <c r="I352" t="s">
        <v>3590</v>
      </c>
      <c r="J352" t="s">
        <v>3591</v>
      </c>
      <c r="K352" t="s">
        <v>261</v>
      </c>
      <c r="L352" t="s">
        <v>3291</v>
      </c>
      <c r="N352" t="s">
        <v>4204</v>
      </c>
      <c r="O352" s="7">
        <v>60164</v>
      </c>
      <c r="R352" s="7">
        <v>14</v>
      </c>
      <c r="S352" t="s">
        <v>4258</v>
      </c>
      <c r="T352" t="s">
        <v>4259</v>
      </c>
      <c r="U352" s="7">
        <v>1</v>
      </c>
      <c r="V352" s="8">
        <v>99964.53</v>
      </c>
      <c r="W352" t="s">
        <v>35</v>
      </c>
      <c r="Y352" t="s">
        <v>2269</v>
      </c>
      <c r="Z352" t="s">
        <v>2313</v>
      </c>
      <c r="AB352" s="8">
        <v>117958.15</v>
      </c>
      <c r="AC352" s="7">
        <v>0</v>
      </c>
      <c r="AF352" s="8">
        <v>117958.15</v>
      </c>
      <c r="AI352" t="s">
        <v>4237</v>
      </c>
    </row>
    <row r="353" spans="1:35" hidden="1">
      <c r="A353" s="7">
        <v>1015210</v>
      </c>
      <c r="B353" t="s">
        <v>3816</v>
      </c>
      <c r="C353" t="s">
        <v>4197</v>
      </c>
      <c r="D353" s="7">
        <v>7134260121393</v>
      </c>
      <c r="E353" t="s">
        <v>4233</v>
      </c>
      <c r="F353" t="s">
        <v>4234</v>
      </c>
      <c r="G353" t="s">
        <v>4200</v>
      </c>
      <c r="H353" t="s">
        <v>4449</v>
      </c>
      <c r="I353" t="s">
        <v>3590</v>
      </c>
      <c r="J353" t="s">
        <v>3591</v>
      </c>
      <c r="K353" t="s">
        <v>261</v>
      </c>
      <c r="L353" t="s">
        <v>3291</v>
      </c>
      <c r="N353" t="s">
        <v>4204</v>
      </c>
      <c r="O353" s="7">
        <v>60164</v>
      </c>
      <c r="R353" s="7">
        <v>15</v>
      </c>
      <c r="S353" t="s">
        <v>3724</v>
      </c>
      <c r="T353" t="s">
        <v>2271</v>
      </c>
      <c r="U353" s="7">
        <v>1</v>
      </c>
      <c r="V353" s="7">
        <v>4550</v>
      </c>
      <c r="W353" t="s">
        <v>35</v>
      </c>
      <c r="Y353" t="s">
        <v>2269</v>
      </c>
      <c r="Z353" t="s">
        <v>2313</v>
      </c>
      <c r="AB353" s="7">
        <v>5369</v>
      </c>
      <c r="AC353" s="7">
        <v>0</v>
      </c>
      <c r="AF353" s="7">
        <v>5369</v>
      </c>
      <c r="AI353" t="s">
        <v>4237</v>
      </c>
    </row>
    <row r="354" spans="1:35" hidden="1">
      <c r="A354" s="7">
        <v>1015211</v>
      </c>
      <c r="B354" t="s">
        <v>3818</v>
      </c>
      <c r="C354" t="s">
        <v>4197</v>
      </c>
      <c r="D354" s="7">
        <v>7134260121395</v>
      </c>
      <c r="E354" t="s">
        <v>4260</v>
      </c>
      <c r="F354" t="s">
        <v>4261</v>
      </c>
      <c r="G354" t="s">
        <v>4200</v>
      </c>
      <c r="H354" t="s">
        <v>4449</v>
      </c>
      <c r="I354" t="s">
        <v>4262</v>
      </c>
      <c r="J354" t="s">
        <v>4263</v>
      </c>
      <c r="K354" t="s">
        <v>261</v>
      </c>
      <c r="L354" t="s">
        <v>3296</v>
      </c>
      <c r="N354" t="s">
        <v>4204</v>
      </c>
      <c r="O354" s="7">
        <v>57014</v>
      </c>
      <c r="R354" s="7">
        <v>1</v>
      </c>
      <c r="S354" t="s">
        <v>3563</v>
      </c>
      <c r="T354" t="s">
        <v>2271</v>
      </c>
      <c r="U354" s="7">
        <v>1</v>
      </c>
      <c r="V354" s="7">
        <v>1400</v>
      </c>
      <c r="W354" t="s">
        <v>35</v>
      </c>
      <c r="Y354" t="s">
        <v>2269</v>
      </c>
      <c r="Z354" t="s">
        <v>2313</v>
      </c>
      <c r="AB354" s="7">
        <v>1652</v>
      </c>
      <c r="AC354" s="7">
        <v>0</v>
      </c>
      <c r="AF354" s="7">
        <v>1652</v>
      </c>
    </row>
    <row r="355" spans="1:35" hidden="1">
      <c r="A355" s="7">
        <v>1015211</v>
      </c>
      <c r="B355" t="s">
        <v>3818</v>
      </c>
      <c r="C355" t="s">
        <v>4197</v>
      </c>
      <c r="D355" s="7">
        <v>7134260121395</v>
      </c>
      <c r="E355" t="s">
        <v>4260</v>
      </c>
      <c r="F355" t="s">
        <v>4261</v>
      </c>
      <c r="G355" t="s">
        <v>4200</v>
      </c>
      <c r="H355" t="s">
        <v>4449</v>
      </c>
      <c r="I355" t="s">
        <v>4262</v>
      </c>
      <c r="J355" t="s">
        <v>4263</v>
      </c>
      <c r="K355" t="s">
        <v>261</v>
      </c>
      <c r="L355" t="s">
        <v>3296</v>
      </c>
      <c r="N355" t="s">
        <v>4204</v>
      </c>
      <c r="O355" s="7">
        <v>57014</v>
      </c>
      <c r="R355" s="7">
        <v>2</v>
      </c>
      <c r="S355" t="s">
        <v>3564</v>
      </c>
      <c r="T355" t="s">
        <v>2271</v>
      </c>
      <c r="U355" s="7">
        <v>1</v>
      </c>
      <c r="V355" s="7">
        <v>2800</v>
      </c>
      <c r="W355" t="s">
        <v>35</v>
      </c>
      <c r="Y355" t="s">
        <v>2269</v>
      </c>
      <c r="Z355" t="s">
        <v>2313</v>
      </c>
      <c r="AB355" s="7">
        <v>3304</v>
      </c>
      <c r="AC355" s="7">
        <v>0</v>
      </c>
      <c r="AF355" s="7">
        <v>3304</v>
      </c>
    </row>
    <row r="356" spans="1:35" hidden="1">
      <c r="A356" s="7">
        <v>1015217</v>
      </c>
      <c r="B356" t="s">
        <v>3804</v>
      </c>
      <c r="C356" t="s">
        <v>4197</v>
      </c>
      <c r="D356" s="7">
        <v>7134260121021</v>
      </c>
      <c r="E356" t="s">
        <v>4264</v>
      </c>
      <c r="F356" t="s">
        <v>4265</v>
      </c>
      <c r="G356" t="s">
        <v>4266</v>
      </c>
      <c r="H356" t="s">
        <v>4449</v>
      </c>
      <c r="I356" t="s">
        <v>3543</v>
      </c>
      <c r="J356" t="s">
        <v>3544</v>
      </c>
      <c r="K356" t="s">
        <v>361</v>
      </c>
      <c r="L356" t="s">
        <v>4267</v>
      </c>
      <c r="M356" s="7">
        <v>1165</v>
      </c>
      <c r="N356" t="s">
        <v>4268</v>
      </c>
      <c r="O356" s="7">
        <v>11507</v>
      </c>
      <c r="R356" s="7">
        <v>1</v>
      </c>
      <c r="S356" t="s">
        <v>4269</v>
      </c>
      <c r="T356" t="s">
        <v>4270</v>
      </c>
      <c r="U356" s="7">
        <v>1</v>
      </c>
      <c r="V356" s="8">
        <v>427.55</v>
      </c>
      <c r="W356" t="s">
        <v>35</v>
      </c>
      <c r="Y356" t="s">
        <v>2269</v>
      </c>
      <c r="Z356" t="s">
        <v>2313</v>
      </c>
      <c r="AB356" s="8">
        <v>504.51</v>
      </c>
      <c r="AC356" s="7">
        <v>0</v>
      </c>
      <c r="AF356" s="8">
        <v>504.51</v>
      </c>
    </row>
    <row r="357" spans="1:35" hidden="1">
      <c r="A357" s="7">
        <v>1015217</v>
      </c>
      <c r="B357" t="s">
        <v>3804</v>
      </c>
      <c r="C357" t="s">
        <v>4197</v>
      </c>
      <c r="D357" s="7">
        <v>7134260121021</v>
      </c>
      <c r="E357" t="s">
        <v>4264</v>
      </c>
      <c r="F357" t="s">
        <v>4265</v>
      </c>
      <c r="G357" t="s">
        <v>4266</v>
      </c>
      <c r="H357" t="s">
        <v>4449</v>
      </c>
      <c r="I357" t="s">
        <v>3543</v>
      </c>
      <c r="J357" t="s">
        <v>3544</v>
      </c>
      <c r="K357" t="s">
        <v>361</v>
      </c>
      <c r="L357" t="s">
        <v>4267</v>
      </c>
      <c r="M357" s="7">
        <v>1165</v>
      </c>
      <c r="N357" t="s">
        <v>4268</v>
      </c>
      <c r="O357" s="7">
        <v>11507</v>
      </c>
      <c r="R357" s="7">
        <v>2</v>
      </c>
      <c r="S357" t="s">
        <v>4271</v>
      </c>
      <c r="T357" t="s">
        <v>2271</v>
      </c>
      <c r="U357" s="7">
        <v>1</v>
      </c>
      <c r="V357" s="7">
        <v>875</v>
      </c>
      <c r="W357" t="s">
        <v>35</v>
      </c>
      <c r="Y357" t="s">
        <v>2269</v>
      </c>
      <c r="Z357" t="s">
        <v>2313</v>
      </c>
      <c r="AB357" s="8">
        <v>1032.5</v>
      </c>
      <c r="AC357" s="7">
        <v>0</v>
      </c>
      <c r="AF357" s="8">
        <v>1032.5</v>
      </c>
    </row>
    <row r="358" spans="1:35" hidden="1">
      <c r="A358" s="7">
        <v>1015238</v>
      </c>
      <c r="B358" t="s">
        <v>3820</v>
      </c>
      <c r="C358" t="s">
        <v>4272</v>
      </c>
      <c r="D358" s="7">
        <v>7134260121684</v>
      </c>
      <c r="E358" t="s">
        <v>4273</v>
      </c>
      <c r="F358" t="s">
        <v>4274</v>
      </c>
      <c r="G358" t="s">
        <v>4266</v>
      </c>
      <c r="H358" t="s">
        <v>4449</v>
      </c>
      <c r="I358" t="s">
        <v>759</v>
      </c>
      <c r="J358" t="s">
        <v>760</v>
      </c>
      <c r="K358" t="s">
        <v>261</v>
      </c>
      <c r="L358" t="s">
        <v>3997</v>
      </c>
      <c r="M358" s="7">
        <v>1165</v>
      </c>
      <c r="N358" t="s">
        <v>4204</v>
      </c>
      <c r="O358" s="7">
        <v>12659</v>
      </c>
      <c r="R358" s="7">
        <v>1</v>
      </c>
      <c r="S358" t="s">
        <v>4275</v>
      </c>
      <c r="T358" t="s">
        <v>4276</v>
      </c>
      <c r="U358" s="7">
        <v>1</v>
      </c>
      <c r="V358" s="8">
        <v>2269.44</v>
      </c>
      <c r="W358" t="s">
        <v>2300</v>
      </c>
      <c r="X358" t="s">
        <v>2301</v>
      </c>
      <c r="Y358" t="s">
        <v>2302</v>
      </c>
      <c r="Z358" t="s">
        <v>2701</v>
      </c>
      <c r="AB358" s="8">
        <v>2677.94</v>
      </c>
      <c r="AC358" s="8">
        <v>2677.94</v>
      </c>
      <c r="AF358" s="7">
        <v>0</v>
      </c>
      <c r="AI358" t="s">
        <v>4277</v>
      </c>
    </row>
    <row r="359" spans="1:35" hidden="1">
      <c r="A359" s="7">
        <v>1015246</v>
      </c>
      <c r="B359" t="s">
        <v>3823</v>
      </c>
      <c r="C359" t="s">
        <v>4272</v>
      </c>
      <c r="D359" s="7">
        <v>7134260121688</v>
      </c>
      <c r="E359" t="s">
        <v>4278</v>
      </c>
      <c r="F359" t="s">
        <v>4279</v>
      </c>
      <c r="G359" t="s">
        <v>4266</v>
      </c>
      <c r="H359" t="s">
        <v>4449</v>
      </c>
      <c r="I359" t="s">
        <v>4280</v>
      </c>
      <c r="J359" t="s">
        <v>4281</v>
      </c>
      <c r="K359" t="s">
        <v>261</v>
      </c>
      <c r="L359" t="s">
        <v>3291</v>
      </c>
      <c r="N359" t="s">
        <v>4282</v>
      </c>
      <c r="O359" s="7">
        <v>51200</v>
      </c>
      <c r="R359" s="7">
        <v>1</v>
      </c>
      <c r="S359" t="s">
        <v>4211</v>
      </c>
      <c r="T359" t="s">
        <v>4212</v>
      </c>
      <c r="U359" s="7">
        <v>1</v>
      </c>
      <c r="V359" s="8">
        <v>14186.41</v>
      </c>
      <c r="W359" t="s">
        <v>35</v>
      </c>
      <c r="Y359" t="s">
        <v>2269</v>
      </c>
      <c r="Z359" t="s">
        <v>2313</v>
      </c>
      <c r="AB359" s="8">
        <v>16739.96</v>
      </c>
      <c r="AC359" s="7">
        <v>0</v>
      </c>
      <c r="AF359" s="8">
        <v>16739.96</v>
      </c>
    </row>
    <row r="360" spans="1:35" hidden="1">
      <c r="A360" s="7">
        <v>1015246</v>
      </c>
      <c r="B360" t="s">
        <v>3823</v>
      </c>
      <c r="C360" t="s">
        <v>4272</v>
      </c>
      <c r="D360" s="7">
        <v>7134260121688</v>
      </c>
      <c r="E360" t="s">
        <v>4278</v>
      </c>
      <c r="F360" t="s">
        <v>4279</v>
      </c>
      <c r="G360" t="s">
        <v>4266</v>
      </c>
      <c r="H360" t="s">
        <v>4449</v>
      </c>
      <c r="I360" t="s">
        <v>4280</v>
      </c>
      <c r="J360" t="s">
        <v>4281</v>
      </c>
      <c r="K360" t="s">
        <v>261</v>
      </c>
      <c r="L360" t="s">
        <v>3291</v>
      </c>
      <c r="N360" t="s">
        <v>4282</v>
      </c>
      <c r="O360" s="7">
        <v>51200</v>
      </c>
      <c r="R360" s="7">
        <v>2</v>
      </c>
      <c r="S360" t="s">
        <v>4139</v>
      </c>
      <c r="T360" t="s">
        <v>2271</v>
      </c>
      <c r="U360" s="7">
        <v>1</v>
      </c>
      <c r="V360" s="7">
        <v>420</v>
      </c>
      <c r="W360" t="s">
        <v>35</v>
      </c>
      <c r="Y360" t="s">
        <v>2269</v>
      </c>
      <c r="Z360" t="s">
        <v>2313</v>
      </c>
      <c r="AB360" s="8">
        <v>495.6</v>
      </c>
      <c r="AC360" s="7">
        <v>0</v>
      </c>
      <c r="AF360" s="8">
        <v>495.6</v>
      </c>
    </row>
    <row r="361" spans="1:35" hidden="1">
      <c r="A361" s="7">
        <v>1015246</v>
      </c>
      <c r="B361" t="s">
        <v>3823</v>
      </c>
      <c r="C361" t="s">
        <v>4272</v>
      </c>
      <c r="D361" s="7">
        <v>7134260121688</v>
      </c>
      <c r="E361" t="s">
        <v>4278</v>
      </c>
      <c r="F361" t="s">
        <v>4279</v>
      </c>
      <c r="G361" t="s">
        <v>4266</v>
      </c>
      <c r="H361" t="s">
        <v>4449</v>
      </c>
      <c r="I361" t="s">
        <v>4280</v>
      </c>
      <c r="J361" t="s">
        <v>4281</v>
      </c>
      <c r="K361" t="s">
        <v>261</v>
      </c>
      <c r="L361" t="s">
        <v>3291</v>
      </c>
      <c r="N361" t="s">
        <v>4282</v>
      </c>
      <c r="O361" s="7">
        <v>51200</v>
      </c>
      <c r="R361" s="7">
        <v>3</v>
      </c>
      <c r="S361" t="s">
        <v>3563</v>
      </c>
      <c r="T361" t="s">
        <v>2271</v>
      </c>
      <c r="U361" s="7">
        <v>1</v>
      </c>
      <c r="V361" s="7">
        <v>1400</v>
      </c>
      <c r="W361" t="s">
        <v>35</v>
      </c>
      <c r="Y361" t="s">
        <v>2269</v>
      </c>
      <c r="Z361" t="s">
        <v>2313</v>
      </c>
      <c r="AB361" s="7">
        <v>1652</v>
      </c>
      <c r="AC361" s="7">
        <v>0</v>
      </c>
      <c r="AF361" s="7">
        <v>1652</v>
      </c>
    </row>
    <row r="362" spans="1:35" hidden="1">
      <c r="A362" s="7">
        <v>1015246</v>
      </c>
      <c r="B362" t="s">
        <v>3823</v>
      </c>
      <c r="C362" t="s">
        <v>4272</v>
      </c>
      <c r="D362" s="7">
        <v>7134260121688</v>
      </c>
      <c r="E362" t="s">
        <v>4278</v>
      </c>
      <c r="F362" t="s">
        <v>4279</v>
      </c>
      <c r="G362" t="s">
        <v>4266</v>
      </c>
      <c r="H362" t="s">
        <v>4449</v>
      </c>
      <c r="I362" t="s">
        <v>4280</v>
      </c>
      <c r="J362" t="s">
        <v>4281</v>
      </c>
      <c r="K362" t="s">
        <v>261</v>
      </c>
      <c r="L362" t="s">
        <v>3291</v>
      </c>
      <c r="N362" t="s">
        <v>4282</v>
      </c>
      <c r="O362" s="7">
        <v>51200</v>
      </c>
      <c r="R362" s="7">
        <v>4</v>
      </c>
      <c r="S362" t="s">
        <v>3564</v>
      </c>
      <c r="T362" t="s">
        <v>2271</v>
      </c>
      <c r="U362" s="7">
        <v>1</v>
      </c>
      <c r="V362" s="7">
        <v>2800</v>
      </c>
      <c r="W362" t="s">
        <v>35</v>
      </c>
      <c r="Y362" t="s">
        <v>2269</v>
      </c>
      <c r="Z362" t="s">
        <v>2313</v>
      </c>
      <c r="AB362" s="7">
        <v>3304</v>
      </c>
      <c r="AC362" s="7">
        <v>0</v>
      </c>
      <c r="AF362" s="7">
        <v>3304</v>
      </c>
    </row>
    <row r="363" spans="1:35" hidden="1">
      <c r="A363" s="7">
        <v>1015247</v>
      </c>
      <c r="B363" t="s">
        <v>3827</v>
      </c>
      <c r="C363" t="s">
        <v>4272</v>
      </c>
      <c r="D363" s="7">
        <v>7134260121693</v>
      </c>
      <c r="E363" t="s">
        <v>4283</v>
      </c>
      <c r="F363" t="s">
        <v>4284</v>
      </c>
      <c r="G363" t="s">
        <v>4266</v>
      </c>
      <c r="H363" t="s">
        <v>4449</v>
      </c>
      <c r="I363" t="s">
        <v>4285</v>
      </c>
      <c r="J363" t="s">
        <v>4286</v>
      </c>
      <c r="K363" t="s">
        <v>261</v>
      </c>
      <c r="L363" t="s">
        <v>3282</v>
      </c>
      <c r="N363" t="s">
        <v>4287</v>
      </c>
      <c r="O363" s="7">
        <v>60430</v>
      </c>
      <c r="R363" s="7">
        <v>1</v>
      </c>
      <c r="S363" t="s">
        <v>3563</v>
      </c>
      <c r="T363" t="s">
        <v>2271</v>
      </c>
      <c r="U363" s="7">
        <v>1</v>
      </c>
      <c r="V363" s="7">
        <v>1400</v>
      </c>
      <c r="W363" t="s">
        <v>35</v>
      </c>
      <c r="Y363" t="s">
        <v>2269</v>
      </c>
      <c r="Z363" t="s">
        <v>2313</v>
      </c>
      <c r="AB363" s="7">
        <v>1652</v>
      </c>
      <c r="AC363" s="7">
        <v>0</v>
      </c>
      <c r="AF363" s="7">
        <v>1652</v>
      </c>
    </row>
    <row r="364" spans="1:35" hidden="1">
      <c r="A364" s="7">
        <v>1015247</v>
      </c>
      <c r="B364" t="s">
        <v>3827</v>
      </c>
      <c r="C364" t="s">
        <v>4272</v>
      </c>
      <c r="D364" s="7">
        <v>7134260121693</v>
      </c>
      <c r="E364" t="s">
        <v>4283</v>
      </c>
      <c r="F364" t="s">
        <v>4284</v>
      </c>
      <c r="G364" t="s">
        <v>4266</v>
      </c>
      <c r="H364" t="s">
        <v>4449</v>
      </c>
      <c r="I364" t="s">
        <v>4285</v>
      </c>
      <c r="J364" t="s">
        <v>4286</v>
      </c>
      <c r="K364" t="s">
        <v>261</v>
      </c>
      <c r="L364" t="s">
        <v>3282</v>
      </c>
      <c r="N364" t="s">
        <v>4287</v>
      </c>
      <c r="O364" s="7">
        <v>60430</v>
      </c>
      <c r="R364" s="7">
        <v>2</v>
      </c>
      <c r="S364" t="s">
        <v>3564</v>
      </c>
      <c r="T364" t="s">
        <v>2271</v>
      </c>
      <c r="U364" s="7">
        <v>1</v>
      </c>
      <c r="V364" s="7">
        <v>2800</v>
      </c>
      <c r="W364" t="s">
        <v>35</v>
      </c>
      <c r="Y364" t="s">
        <v>2269</v>
      </c>
      <c r="Z364" t="s">
        <v>2313</v>
      </c>
      <c r="AB364" s="7">
        <v>3304</v>
      </c>
      <c r="AC364" s="7">
        <v>0</v>
      </c>
      <c r="AF364" s="7">
        <v>3304</v>
      </c>
    </row>
    <row r="365" spans="1:35" hidden="1">
      <c r="A365" s="7">
        <v>1015252</v>
      </c>
      <c r="B365" t="s">
        <v>3826</v>
      </c>
      <c r="C365" t="s">
        <v>4272</v>
      </c>
      <c r="D365" s="7">
        <v>7134260121692</v>
      </c>
      <c r="E365" t="s">
        <v>4288</v>
      </c>
      <c r="F365" t="s">
        <v>4289</v>
      </c>
      <c r="G365" t="s">
        <v>4266</v>
      </c>
      <c r="H365" t="s">
        <v>4449</v>
      </c>
      <c r="I365" t="s">
        <v>4290</v>
      </c>
      <c r="J365" t="s">
        <v>4291</v>
      </c>
      <c r="K365" t="s">
        <v>261</v>
      </c>
      <c r="L365" t="s">
        <v>3296</v>
      </c>
      <c r="N365" t="s">
        <v>4287</v>
      </c>
      <c r="O365" s="7">
        <v>50399</v>
      </c>
      <c r="R365" s="7">
        <v>1</v>
      </c>
      <c r="S365" t="s">
        <v>3563</v>
      </c>
      <c r="T365" t="s">
        <v>2271</v>
      </c>
      <c r="U365" s="7">
        <v>1</v>
      </c>
      <c r="V365" s="7">
        <v>1400</v>
      </c>
      <c r="W365" t="s">
        <v>35</v>
      </c>
      <c r="Y365" t="s">
        <v>2269</v>
      </c>
      <c r="Z365" t="s">
        <v>2313</v>
      </c>
      <c r="AB365" s="7">
        <v>1652</v>
      </c>
      <c r="AC365" s="7">
        <v>0</v>
      </c>
      <c r="AF365" s="7">
        <v>1652</v>
      </c>
    </row>
    <row r="366" spans="1:35" hidden="1">
      <c r="A366" s="7">
        <v>1015252</v>
      </c>
      <c r="B366" t="s">
        <v>3826</v>
      </c>
      <c r="C366" t="s">
        <v>4272</v>
      </c>
      <c r="D366" s="7">
        <v>7134260121692</v>
      </c>
      <c r="E366" t="s">
        <v>4288</v>
      </c>
      <c r="F366" t="s">
        <v>4289</v>
      </c>
      <c r="G366" t="s">
        <v>4266</v>
      </c>
      <c r="H366" t="s">
        <v>4449</v>
      </c>
      <c r="I366" t="s">
        <v>4290</v>
      </c>
      <c r="J366" t="s">
        <v>4291</v>
      </c>
      <c r="K366" t="s">
        <v>261</v>
      </c>
      <c r="L366" t="s">
        <v>3296</v>
      </c>
      <c r="N366" t="s">
        <v>4287</v>
      </c>
      <c r="O366" s="7">
        <v>50399</v>
      </c>
      <c r="R366" s="7">
        <v>2</v>
      </c>
      <c r="S366" t="s">
        <v>3564</v>
      </c>
      <c r="T366" t="s">
        <v>2271</v>
      </c>
      <c r="U366" s="7">
        <v>1</v>
      </c>
      <c r="V366" s="7">
        <v>2800</v>
      </c>
      <c r="W366" t="s">
        <v>35</v>
      </c>
      <c r="Y366" t="s">
        <v>2269</v>
      </c>
      <c r="Z366" t="s">
        <v>2313</v>
      </c>
      <c r="AB366" s="7">
        <v>3304</v>
      </c>
      <c r="AC366" s="7">
        <v>0</v>
      </c>
      <c r="AF366" s="7">
        <v>3304</v>
      </c>
    </row>
    <row r="367" spans="1:35" hidden="1">
      <c r="A367" s="7">
        <v>1015259</v>
      </c>
      <c r="B367" t="s">
        <v>3825</v>
      </c>
      <c r="C367" t="s">
        <v>4272</v>
      </c>
      <c r="D367" s="7">
        <v>7134260121691</v>
      </c>
      <c r="E367" t="s">
        <v>4292</v>
      </c>
      <c r="F367" t="s">
        <v>4293</v>
      </c>
      <c r="G367" t="s">
        <v>4266</v>
      </c>
      <c r="H367" t="s">
        <v>4449</v>
      </c>
      <c r="I367" t="s">
        <v>4294</v>
      </c>
      <c r="J367" t="s">
        <v>4295</v>
      </c>
      <c r="K367" t="s">
        <v>261</v>
      </c>
      <c r="L367" t="s">
        <v>3929</v>
      </c>
      <c r="N367" t="s">
        <v>4287</v>
      </c>
      <c r="O367" s="7">
        <v>56397</v>
      </c>
      <c r="R367" s="7">
        <v>1</v>
      </c>
      <c r="S367" t="s">
        <v>3563</v>
      </c>
      <c r="T367" t="s">
        <v>2271</v>
      </c>
      <c r="U367" s="7">
        <v>1</v>
      </c>
      <c r="V367" s="7">
        <v>1400</v>
      </c>
      <c r="W367" t="s">
        <v>35</v>
      </c>
      <c r="Y367" t="s">
        <v>2269</v>
      </c>
      <c r="Z367" t="s">
        <v>2313</v>
      </c>
      <c r="AB367" s="7">
        <v>1652</v>
      </c>
      <c r="AC367" s="7">
        <v>0</v>
      </c>
      <c r="AF367" s="7">
        <v>1652</v>
      </c>
    </row>
    <row r="368" spans="1:35" hidden="1">
      <c r="A368" s="7">
        <v>1015259</v>
      </c>
      <c r="B368" t="s">
        <v>3825</v>
      </c>
      <c r="C368" t="s">
        <v>4272</v>
      </c>
      <c r="D368" s="7">
        <v>7134260121691</v>
      </c>
      <c r="E368" t="s">
        <v>4292</v>
      </c>
      <c r="F368" t="s">
        <v>4293</v>
      </c>
      <c r="G368" t="s">
        <v>4266</v>
      </c>
      <c r="H368" t="s">
        <v>4449</v>
      </c>
      <c r="I368" t="s">
        <v>4294</v>
      </c>
      <c r="J368" t="s">
        <v>4295</v>
      </c>
      <c r="K368" t="s">
        <v>261</v>
      </c>
      <c r="L368" t="s">
        <v>3929</v>
      </c>
      <c r="N368" t="s">
        <v>4287</v>
      </c>
      <c r="O368" s="7">
        <v>56397</v>
      </c>
      <c r="R368" s="7">
        <v>2</v>
      </c>
      <c r="S368" t="s">
        <v>3564</v>
      </c>
      <c r="T368" t="s">
        <v>2271</v>
      </c>
      <c r="U368" s="7">
        <v>1</v>
      </c>
      <c r="V368" s="7">
        <v>2800</v>
      </c>
      <c r="W368" t="s">
        <v>35</v>
      </c>
      <c r="Y368" t="s">
        <v>2269</v>
      </c>
      <c r="Z368" t="s">
        <v>2313</v>
      </c>
      <c r="AB368" s="7">
        <v>3304</v>
      </c>
      <c r="AC368" s="7">
        <v>0</v>
      </c>
      <c r="AF368" s="7">
        <v>3304</v>
      </c>
    </row>
    <row r="369" spans="1:35" hidden="1">
      <c r="A369" s="7">
        <v>1015265</v>
      </c>
      <c r="B369" t="s">
        <v>3821</v>
      </c>
      <c r="C369" t="s">
        <v>4272</v>
      </c>
      <c r="D369" s="7">
        <v>7134260121685</v>
      </c>
      <c r="E369" t="s">
        <v>4296</v>
      </c>
      <c r="F369" t="s">
        <v>4297</v>
      </c>
      <c r="G369" t="s">
        <v>4266</v>
      </c>
      <c r="H369" t="s">
        <v>4449</v>
      </c>
      <c r="I369" t="s">
        <v>2128</v>
      </c>
      <c r="J369" t="s">
        <v>2129</v>
      </c>
      <c r="K369" t="s">
        <v>261</v>
      </c>
      <c r="L369" t="s">
        <v>2260</v>
      </c>
      <c r="N369" t="s">
        <v>4282</v>
      </c>
      <c r="O369" s="7">
        <v>59338</v>
      </c>
      <c r="R369" s="7">
        <v>1</v>
      </c>
      <c r="S369" t="s">
        <v>4139</v>
      </c>
      <c r="T369" t="s">
        <v>2271</v>
      </c>
      <c r="U369" s="7">
        <v>1</v>
      </c>
      <c r="V369" s="7">
        <v>420</v>
      </c>
      <c r="W369" t="s">
        <v>35</v>
      </c>
      <c r="Y369" t="s">
        <v>2269</v>
      </c>
      <c r="Z369" t="s">
        <v>2313</v>
      </c>
      <c r="AB369" s="8">
        <v>495.6</v>
      </c>
      <c r="AC369" s="7">
        <v>0</v>
      </c>
      <c r="AF369" s="8">
        <v>495.6</v>
      </c>
    </row>
    <row r="370" spans="1:35" hidden="1">
      <c r="A370" s="7">
        <v>1015266</v>
      </c>
      <c r="B370" t="s">
        <v>3824</v>
      </c>
      <c r="C370" t="s">
        <v>4272</v>
      </c>
      <c r="D370" s="7">
        <v>7134260121689</v>
      </c>
      <c r="E370" t="s">
        <v>4298</v>
      </c>
      <c r="F370" t="s">
        <v>4299</v>
      </c>
      <c r="G370" t="s">
        <v>4266</v>
      </c>
      <c r="H370" t="s">
        <v>4449</v>
      </c>
      <c r="I370" t="s">
        <v>2105</v>
      </c>
      <c r="J370" t="s">
        <v>2106</v>
      </c>
      <c r="K370" t="s">
        <v>261</v>
      </c>
      <c r="L370" t="s">
        <v>3282</v>
      </c>
      <c r="N370" t="s">
        <v>4287</v>
      </c>
      <c r="O370" s="7">
        <v>42195</v>
      </c>
      <c r="R370" s="7">
        <v>1</v>
      </c>
      <c r="S370" t="s">
        <v>4211</v>
      </c>
      <c r="T370" t="s">
        <v>4212</v>
      </c>
      <c r="U370" s="7">
        <v>1</v>
      </c>
      <c r="V370" s="8">
        <v>14186.41</v>
      </c>
      <c r="W370" t="s">
        <v>35</v>
      </c>
      <c r="Y370" t="s">
        <v>2269</v>
      </c>
      <c r="Z370" t="s">
        <v>2313</v>
      </c>
      <c r="AB370" s="8">
        <v>16739.96</v>
      </c>
      <c r="AC370" s="7">
        <v>0</v>
      </c>
      <c r="AF370" s="8">
        <v>16739.96</v>
      </c>
      <c r="AI370" t="s">
        <v>4811</v>
      </c>
    </row>
    <row r="371" spans="1:35" hidden="1">
      <c r="A371" s="7">
        <v>1015266</v>
      </c>
      <c r="B371" t="s">
        <v>3824</v>
      </c>
      <c r="C371" t="s">
        <v>4272</v>
      </c>
      <c r="D371" s="7">
        <v>7134260121689</v>
      </c>
      <c r="E371" t="s">
        <v>4298</v>
      </c>
      <c r="F371" t="s">
        <v>4299</v>
      </c>
      <c r="G371" t="s">
        <v>4266</v>
      </c>
      <c r="H371" t="s">
        <v>4449</v>
      </c>
      <c r="I371" t="s">
        <v>2105</v>
      </c>
      <c r="J371" t="s">
        <v>2106</v>
      </c>
      <c r="K371" t="s">
        <v>261</v>
      </c>
      <c r="L371" t="s">
        <v>3282</v>
      </c>
      <c r="N371" t="s">
        <v>4287</v>
      </c>
      <c r="O371" s="7">
        <v>42195</v>
      </c>
      <c r="R371" s="7">
        <v>2</v>
      </c>
      <c r="S371" t="s">
        <v>4139</v>
      </c>
      <c r="T371" t="s">
        <v>2271</v>
      </c>
      <c r="U371" s="7">
        <v>1</v>
      </c>
      <c r="V371" s="7">
        <v>420</v>
      </c>
      <c r="W371" t="s">
        <v>35</v>
      </c>
      <c r="Y371" t="s">
        <v>2269</v>
      </c>
      <c r="Z371" t="s">
        <v>2313</v>
      </c>
      <c r="AB371" s="8">
        <v>495.6</v>
      </c>
      <c r="AC371" s="7">
        <v>0</v>
      </c>
      <c r="AF371" s="8">
        <v>495.6</v>
      </c>
      <c r="AI371" t="s">
        <v>4811</v>
      </c>
    </row>
    <row r="372" spans="1:35" hidden="1">
      <c r="A372" s="7">
        <v>1015266</v>
      </c>
      <c r="B372" t="s">
        <v>3824</v>
      </c>
      <c r="C372" t="s">
        <v>4272</v>
      </c>
      <c r="D372" s="7">
        <v>7134260121689</v>
      </c>
      <c r="E372" t="s">
        <v>4298</v>
      </c>
      <c r="F372" t="s">
        <v>4299</v>
      </c>
      <c r="G372" t="s">
        <v>4266</v>
      </c>
      <c r="H372" t="s">
        <v>4449</v>
      </c>
      <c r="I372" t="s">
        <v>2105</v>
      </c>
      <c r="J372" t="s">
        <v>2106</v>
      </c>
      <c r="K372" t="s">
        <v>261</v>
      </c>
      <c r="L372" t="s">
        <v>3282</v>
      </c>
      <c r="N372" t="s">
        <v>4287</v>
      </c>
      <c r="O372" s="7">
        <v>42195</v>
      </c>
      <c r="R372" s="7">
        <v>3</v>
      </c>
      <c r="S372" t="s">
        <v>3563</v>
      </c>
      <c r="T372" t="s">
        <v>2271</v>
      </c>
      <c r="U372" s="7">
        <v>1</v>
      </c>
      <c r="V372" s="7">
        <v>1400</v>
      </c>
      <c r="W372" t="s">
        <v>35</v>
      </c>
      <c r="Y372" t="s">
        <v>2269</v>
      </c>
      <c r="Z372" t="s">
        <v>2313</v>
      </c>
      <c r="AB372" s="7">
        <v>1652</v>
      </c>
      <c r="AC372" s="7">
        <v>0</v>
      </c>
      <c r="AF372" s="7">
        <v>1652</v>
      </c>
      <c r="AI372" t="s">
        <v>4811</v>
      </c>
    </row>
    <row r="373" spans="1:35" hidden="1">
      <c r="A373" s="7">
        <v>1015266</v>
      </c>
      <c r="B373" t="s">
        <v>3824</v>
      </c>
      <c r="C373" t="s">
        <v>4272</v>
      </c>
      <c r="D373" s="7">
        <v>7134260121689</v>
      </c>
      <c r="E373" t="s">
        <v>4298</v>
      </c>
      <c r="F373" t="s">
        <v>4299</v>
      </c>
      <c r="G373" t="s">
        <v>4266</v>
      </c>
      <c r="H373" t="s">
        <v>4449</v>
      </c>
      <c r="I373" t="s">
        <v>2105</v>
      </c>
      <c r="J373" t="s">
        <v>2106</v>
      </c>
      <c r="K373" t="s">
        <v>261</v>
      </c>
      <c r="L373" t="s">
        <v>3282</v>
      </c>
      <c r="N373" t="s">
        <v>4287</v>
      </c>
      <c r="O373" s="7">
        <v>42195</v>
      </c>
      <c r="R373" s="7">
        <v>4</v>
      </c>
      <c r="S373" t="s">
        <v>3564</v>
      </c>
      <c r="T373" t="s">
        <v>2271</v>
      </c>
      <c r="U373" s="7">
        <v>1</v>
      </c>
      <c r="V373" s="7">
        <v>2800</v>
      </c>
      <c r="W373" t="s">
        <v>35</v>
      </c>
      <c r="Y373" t="s">
        <v>2269</v>
      </c>
      <c r="Z373" t="s">
        <v>2313</v>
      </c>
      <c r="AB373" s="7">
        <v>3304</v>
      </c>
      <c r="AC373" s="7">
        <v>0</v>
      </c>
      <c r="AF373" s="7">
        <v>3304</v>
      </c>
      <c r="AI373" t="s">
        <v>4811</v>
      </c>
    </row>
    <row r="374" spans="1:35" hidden="1">
      <c r="A374" s="7">
        <v>1015272</v>
      </c>
      <c r="B374" t="s">
        <v>3822</v>
      </c>
      <c r="C374" t="s">
        <v>4272</v>
      </c>
      <c r="D374" s="7">
        <v>7134260121686</v>
      </c>
      <c r="E374" t="s">
        <v>4300</v>
      </c>
      <c r="F374" t="s">
        <v>4301</v>
      </c>
      <c r="G374" t="s">
        <v>4266</v>
      </c>
      <c r="H374" t="s">
        <v>4449</v>
      </c>
      <c r="I374" t="s">
        <v>1821</v>
      </c>
      <c r="J374" t="s">
        <v>1822</v>
      </c>
      <c r="K374" t="s">
        <v>261</v>
      </c>
      <c r="L374" t="s">
        <v>2260</v>
      </c>
      <c r="N374" t="s">
        <v>4282</v>
      </c>
      <c r="O374" s="7">
        <v>52104</v>
      </c>
      <c r="R374" s="7">
        <v>1</v>
      </c>
      <c r="S374" t="s">
        <v>4211</v>
      </c>
      <c r="T374" t="s">
        <v>4212</v>
      </c>
      <c r="U374" s="7">
        <v>1</v>
      </c>
      <c r="V374" s="8">
        <v>14186.41</v>
      </c>
      <c r="W374" t="s">
        <v>35</v>
      </c>
      <c r="Y374" t="s">
        <v>2269</v>
      </c>
      <c r="Z374" t="s">
        <v>2313</v>
      </c>
      <c r="AB374" s="8">
        <v>16739.96</v>
      </c>
      <c r="AC374" s="7">
        <v>0</v>
      </c>
      <c r="AF374" s="8">
        <v>16739.96</v>
      </c>
    </row>
    <row r="375" spans="1:35" hidden="1">
      <c r="A375" s="7">
        <v>1015272</v>
      </c>
      <c r="B375" t="s">
        <v>3822</v>
      </c>
      <c r="C375" t="s">
        <v>4272</v>
      </c>
      <c r="D375" s="7">
        <v>7134260121686</v>
      </c>
      <c r="E375" t="s">
        <v>4300</v>
      </c>
      <c r="F375" t="s">
        <v>4301</v>
      </c>
      <c r="G375" t="s">
        <v>4266</v>
      </c>
      <c r="H375" t="s">
        <v>4449</v>
      </c>
      <c r="I375" t="s">
        <v>1821</v>
      </c>
      <c r="J375" t="s">
        <v>1822</v>
      </c>
      <c r="K375" t="s">
        <v>261</v>
      </c>
      <c r="L375" t="s">
        <v>2260</v>
      </c>
      <c r="N375" t="s">
        <v>4282</v>
      </c>
      <c r="O375" s="7">
        <v>52104</v>
      </c>
      <c r="R375" s="7">
        <v>2</v>
      </c>
      <c r="S375" t="s">
        <v>4139</v>
      </c>
      <c r="T375" t="s">
        <v>2271</v>
      </c>
      <c r="U375" s="7">
        <v>1</v>
      </c>
      <c r="V375" s="7">
        <v>420</v>
      </c>
      <c r="W375" t="s">
        <v>35</v>
      </c>
      <c r="Y375" t="s">
        <v>2269</v>
      </c>
      <c r="Z375" t="s">
        <v>2313</v>
      </c>
      <c r="AB375" s="8">
        <v>495.6</v>
      </c>
      <c r="AC375" s="7">
        <v>0</v>
      </c>
      <c r="AF375" s="8">
        <v>495.6</v>
      </c>
    </row>
    <row r="376" spans="1:35" hidden="1">
      <c r="A376" s="7">
        <v>1015272</v>
      </c>
      <c r="B376" t="s">
        <v>3822</v>
      </c>
      <c r="C376" t="s">
        <v>4272</v>
      </c>
      <c r="D376" s="7">
        <v>7134260121686</v>
      </c>
      <c r="E376" t="s">
        <v>4300</v>
      </c>
      <c r="F376" t="s">
        <v>4301</v>
      </c>
      <c r="G376" t="s">
        <v>4266</v>
      </c>
      <c r="H376" t="s">
        <v>4449</v>
      </c>
      <c r="I376" t="s">
        <v>1821</v>
      </c>
      <c r="J376" t="s">
        <v>1822</v>
      </c>
      <c r="K376" t="s">
        <v>261</v>
      </c>
      <c r="L376" t="s">
        <v>2260</v>
      </c>
      <c r="N376" t="s">
        <v>4282</v>
      </c>
      <c r="O376" s="7">
        <v>52104</v>
      </c>
      <c r="R376" s="7">
        <v>3</v>
      </c>
      <c r="S376" t="s">
        <v>3563</v>
      </c>
      <c r="T376" t="s">
        <v>2271</v>
      </c>
      <c r="U376" s="7">
        <v>1</v>
      </c>
      <c r="V376" s="7">
        <v>1400</v>
      </c>
      <c r="W376" t="s">
        <v>35</v>
      </c>
      <c r="Y376" t="s">
        <v>2269</v>
      </c>
      <c r="Z376" t="s">
        <v>2313</v>
      </c>
      <c r="AB376" s="7">
        <v>1652</v>
      </c>
      <c r="AC376" s="7">
        <v>0</v>
      </c>
      <c r="AF376" s="7">
        <v>1652</v>
      </c>
    </row>
    <row r="377" spans="1:35" hidden="1">
      <c r="A377" s="7">
        <v>1015272</v>
      </c>
      <c r="B377" t="s">
        <v>3822</v>
      </c>
      <c r="C377" t="s">
        <v>4272</v>
      </c>
      <c r="D377" s="7">
        <v>7134260121686</v>
      </c>
      <c r="E377" t="s">
        <v>4300</v>
      </c>
      <c r="F377" t="s">
        <v>4301</v>
      </c>
      <c r="G377" t="s">
        <v>4266</v>
      </c>
      <c r="H377" t="s">
        <v>4449</v>
      </c>
      <c r="I377" t="s">
        <v>1821</v>
      </c>
      <c r="J377" t="s">
        <v>1822</v>
      </c>
      <c r="K377" t="s">
        <v>261</v>
      </c>
      <c r="L377" t="s">
        <v>2260</v>
      </c>
      <c r="N377" t="s">
        <v>4282</v>
      </c>
      <c r="O377" s="7">
        <v>52104</v>
      </c>
      <c r="R377" s="7">
        <v>4</v>
      </c>
      <c r="S377" t="s">
        <v>3564</v>
      </c>
      <c r="T377" t="s">
        <v>2271</v>
      </c>
      <c r="U377" s="7">
        <v>1</v>
      </c>
      <c r="V377" s="7">
        <v>2800</v>
      </c>
      <c r="W377" t="s">
        <v>35</v>
      </c>
      <c r="Y377" t="s">
        <v>2269</v>
      </c>
      <c r="Z377" t="s">
        <v>2313</v>
      </c>
      <c r="AB377" s="7">
        <v>3304</v>
      </c>
      <c r="AC377" s="7">
        <v>0</v>
      </c>
      <c r="AF377" s="7">
        <v>3304</v>
      </c>
    </row>
    <row r="378" spans="1:35" hidden="1">
      <c r="A378" s="7">
        <v>1015290</v>
      </c>
      <c r="B378" t="s">
        <v>3808</v>
      </c>
      <c r="C378" t="s">
        <v>4197</v>
      </c>
      <c r="D378" s="7">
        <v>7134260121036</v>
      </c>
      <c r="E378" t="s">
        <v>4302</v>
      </c>
      <c r="F378" t="s">
        <v>4303</v>
      </c>
      <c r="G378" t="s">
        <v>4266</v>
      </c>
      <c r="H378" t="s">
        <v>4449</v>
      </c>
      <c r="I378" t="s">
        <v>958</v>
      </c>
      <c r="J378" t="s">
        <v>959</v>
      </c>
      <c r="K378" t="s">
        <v>252</v>
      </c>
      <c r="L378" t="s">
        <v>2725</v>
      </c>
      <c r="M378" s="7">
        <v>1165</v>
      </c>
      <c r="N378" t="s">
        <v>4304</v>
      </c>
      <c r="O378" s="7">
        <v>17338</v>
      </c>
      <c r="R378" s="7">
        <v>1</v>
      </c>
      <c r="S378" t="s">
        <v>4305</v>
      </c>
      <c r="T378" t="s">
        <v>4306</v>
      </c>
      <c r="U378" s="7">
        <v>1</v>
      </c>
      <c r="V378" s="8">
        <v>8064.14</v>
      </c>
      <c r="W378" t="s">
        <v>35</v>
      </c>
      <c r="Y378" t="s">
        <v>2269</v>
      </c>
      <c r="Z378" t="s">
        <v>2313</v>
      </c>
      <c r="AB378" s="8">
        <v>9515.69</v>
      </c>
      <c r="AC378" s="7">
        <v>0</v>
      </c>
      <c r="AF378" s="8">
        <v>9515.69</v>
      </c>
      <c r="AI378" t="s">
        <v>4812</v>
      </c>
    </row>
    <row r="379" spans="1:35" hidden="1">
      <c r="A379" s="7">
        <v>1015290</v>
      </c>
      <c r="B379" t="s">
        <v>3808</v>
      </c>
      <c r="C379" t="s">
        <v>4197</v>
      </c>
      <c r="D379" s="7">
        <v>7134260121036</v>
      </c>
      <c r="E379" t="s">
        <v>4302</v>
      </c>
      <c r="F379" t="s">
        <v>4303</v>
      </c>
      <c r="G379" t="s">
        <v>4266</v>
      </c>
      <c r="H379" t="s">
        <v>4449</v>
      </c>
      <c r="I379" t="s">
        <v>958</v>
      </c>
      <c r="J379" t="s">
        <v>959</v>
      </c>
      <c r="K379" t="s">
        <v>252</v>
      </c>
      <c r="L379" t="s">
        <v>2725</v>
      </c>
      <c r="M379" s="7">
        <v>1165</v>
      </c>
      <c r="N379" t="s">
        <v>4304</v>
      </c>
      <c r="O379" s="7">
        <v>17338</v>
      </c>
      <c r="R379" s="7">
        <v>2</v>
      </c>
      <c r="S379" t="s">
        <v>4307</v>
      </c>
      <c r="T379" t="s">
        <v>2271</v>
      </c>
      <c r="U379" s="7">
        <v>1</v>
      </c>
      <c r="V379" s="8">
        <v>148.75</v>
      </c>
      <c r="W379" t="s">
        <v>35</v>
      </c>
      <c r="Y379" t="s">
        <v>2269</v>
      </c>
      <c r="Z379" t="s">
        <v>2313</v>
      </c>
      <c r="AB379" s="8">
        <v>175.53</v>
      </c>
      <c r="AC379" s="7">
        <v>0</v>
      </c>
      <c r="AF379" s="8">
        <v>175.53</v>
      </c>
      <c r="AI379" t="s">
        <v>4812</v>
      </c>
    </row>
    <row r="380" spans="1:35" hidden="1">
      <c r="A380" s="7">
        <v>1015308</v>
      </c>
      <c r="B380" t="s">
        <v>3812</v>
      </c>
      <c r="C380" t="s">
        <v>4197</v>
      </c>
      <c r="D380" s="7">
        <v>7134260121332</v>
      </c>
      <c r="E380" t="s">
        <v>4308</v>
      </c>
      <c r="F380" t="s">
        <v>4309</v>
      </c>
      <c r="G380" t="s">
        <v>4266</v>
      </c>
      <c r="H380" t="s">
        <v>4449</v>
      </c>
      <c r="I380" t="s">
        <v>4310</v>
      </c>
      <c r="J380" t="s">
        <v>4311</v>
      </c>
      <c r="K380" t="s">
        <v>398</v>
      </c>
      <c r="L380" t="s">
        <v>3637</v>
      </c>
      <c r="M380" s="7">
        <v>1165</v>
      </c>
      <c r="N380" t="s">
        <v>4312</v>
      </c>
      <c r="O380" s="7">
        <v>2279</v>
      </c>
      <c r="R380" s="7">
        <v>1</v>
      </c>
      <c r="S380" t="s">
        <v>4313</v>
      </c>
      <c r="T380" t="s">
        <v>4314</v>
      </c>
      <c r="U380" s="7">
        <v>1</v>
      </c>
      <c r="V380" s="8">
        <v>298.31</v>
      </c>
      <c r="W380" t="s">
        <v>35</v>
      </c>
      <c r="Y380" t="s">
        <v>2269</v>
      </c>
      <c r="Z380" t="s">
        <v>2313</v>
      </c>
      <c r="AB380" s="8">
        <v>352.01</v>
      </c>
      <c r="AC380" s="7">
        <v>0</v>
      </c>
      <c r="AF380" s="8">
        <v>352.01</v>
      </c>
    </row>
    <row r="381" spans="1:35" hidden="1">
      <c r="A381" s="7">
        <v>1015308</v>
      </c>
      <c r="B381" t="s">
        <v>3812</v>
      </c>
      <c r="C381" t="s">
        <v>4197</v>
      </c>
      <c r="D381" s="7">
        <v>7134260121332</v>
      </c>
      <c r="E381" t="s">
        <v>4308</v>
      </c>
      <c r="F381" t="s">
        <v>4309</v>
      </c>
      <c r="G381" t="s">
        <v>4266</v>
      </c>
      <c r="H381" t="s">
        <v>4449</v>
      </c>
      <c r="I381" t="s">
        <v>4310</v>
      </c>
      <c r="J381" t="s">
        <v>4311</v>
      </c>
      <c r="K381" t="s">
        <v>398</v>
      </c>
      <c r="L381" t="s">
        <v>3637</v>
      </c>
      <c r="M381" s="7">
        <v>1165</v>
      </c>
      <c r="N381" t="s">
        <v>4312</v>
      </c>
      <c r="O381" s="7">
        <v>2279</v>
      </c>
      <c r="R381" s="7">
        <v>2</v>
      </c>
      <c r="S381" t="s">
        <v>4315</v>
      </c>
      <c r="T381" t="s">
        <v>2271</v>
      </c>
      <c r="U381" s="7">
        <v>1</v>
      </c>
      <c r="V381" s="7">
        <v>70</v>
      </c>
      <c r="W381" t="s">
        <v>35</v>
      </c>
      <c r="Y381" t="s">
        <v>2269</v>
      </c>
      <c r="Z381" t="s">
        <v>2313</v>
      </c>
      <c r="AB381" s="8">
        <v>82.6</v>
      </c>
      <c r="AC381" s="7">
        <v>0</v>
      </c>
      <c r="AF381" s="8">
        <v>82.6</v>
      </c>
    </row>
    <row r="382" spans="1:35" hidden="1">
      <c r="A382" s="7">
        <v>1015310</v>
      </c>
      <c r="B382" t="s">
        <v>3811</v>
      </c>
      <c r="C382" t="s">
        <v>4197</v>
      </c>
      <c r="D382" s="7">
        <v>7134260121330</v>
      </c>
      <c r="E382" t="s">
        <v>4316</v>
      </c>
      <c r="F382" t="s">
        <v>4317</v>
      </c>
      <c r="G382" t="s">
        <v>4266</v>
      </c>
      <c r="H382" t="s">
        <v>4449</v>
      </c>
      <c r="I382" t="s">
        <v>4318</v>
      </c>
      <c r="J382" t="s">
        <v>4319</v>
      </c>
      <c r="K382" t="s">
        <v>398</v>
      </c>
      <c r="L382" t="s">
        <v>3919</v>
      </c>
      <c r="M382" s="7">
        <v>1165</v>
      </c>
      <c r="N382" t="s">
        <v>4312</v>
      </c>
      <c r="O382" s="7">
        <v>2459</v>
      </c>
      <c r="R382" s="7">
        <v>1</v>
      </c>
      <c r="S382" t="s">
        <v>4313</v>
      </c>
      <c r="T382" t="s">
        <v>4314</v>
      </c>
      <c r="U382" s="7">
        <v>1</v>
      </c>
      <c r="V382" s="8">
        <v>298.31</v>
      </c>
      <c r="W382" t="s">
        <v>35</v>
      </c>
      <c r="Y382" t="s">
        <v>2269</v>
      </c>
      <c r="Z382" t="s">
        <v>2313</v>
      </c>
      <c r="AB382" s="8">
        <v>352.01</v>
      </c>
      <c r="AC382" s="7">
        <v>0</v>
      </c>
      <c r="AF382" s="8">
        <v>352.01</v>
      </c>
    </row>
    <row r="383" spans="1:35" hidden="1">
      <c r="A383" s="7">
        <v>1015310</v>
      </c>
      <c r="B383" t="s">
        <v>3811</v>
      </c>
      <c r="C383" t="s">
        <v>4197</v>
      </c>
      <c r="D383" s="7">
        <v>7134260121330</v>
      </c>
      <c r="E383" t="s">
        <v>4316</v>
      </c>
      <c r="F383" t="s">
        <v>4317</v>
      </c>
      <c r="G383" t="s">
        <v>4266</v>
      </c>
      <c r="H383" t="s">
        <v>4449</v>
      </c>
      <c r="I383" t="s">
        <v>4318</v>
      </c>
      <c r="J383" t="s">
        <v>4319</v>
      </c>
      <c r="K383" t="s">
        <v>398</v>
      </c>
      <c r="L383" t="s">
        <v>3919</v>
      </c>
      <c r="M383" s="7">
        <v>1165</v>
      </c>
      <c r="N383" t="s">
        <v>4312</v>
      </c>
      <c r="O383" s="7">
        <v>2459</v>
      </c>
      <c r="R383" s="7">
        <v>2</v>
      </c>
      <c r="S383" t="s">
        <v>4315</v>
      </c>
      <c r="T383" t="s">
        <v>2271</v>
      </c>
      <c r="U383" s="7">
        <v>1</v>
      </c>
      <c r="V383" s="7">
        <v>70</v>
      </c>
      <c r="W383" t="s">
        <v>35</v>
      </c>
      <c r="Y383" t="s">
        <v>2269</v>
      </c>
      <c r="Z383" t="s">
        <v>2313</v>
      </c>
      <c r="AB383" s="8">
        <v>82.6</v>
      </c>
      <c r="AC383" s="7">
        <v>0</v>
      </c>
      <c r="AF383" s="8">
        <v>82.6</v>
      </c>
    </row>
    <row r="384" spans="1:35" hidden="1">
      <c r="A384" s="7">
        <v>1015315</v>
      </c>
      <c r="B384" t="s">
        <v>3803</v>
      </c>
      <c r="C384" t="s">
        <v>4197</v>
      </c>
      <c r="D384" s="7">
        <v>7134260121020</v>
      </c>
      <c r="E384" t="s">
        <v>4320</v>
      </c>
      <c r="F384" t="s">
        <v>4321</v>
      </c>
      <c r="G384" t="s">
        <v>4266</v>
      </c>
      <c r="H384" t="s">
        <v>4449</v>
      </c>
      <c r="I384" t="s">
        <v>4322</v>
      </c>
      <c r="J384" t="s">
        <v>4323</v>
      </c>
      <c r="K384" t="s">
        <v>398</v>
      </c>
      <c r="L384" t="s">
        <v>4324</v>
      </c>
      <c r="N384" t="s">
        <v>4325</v>
      </c>
      <c r="O384" s="7">
        <v>3455</v>
      </c>
      <c r="R384" s="7">
        <v>1</v>
      </c>
      <c r="S384" t="s">
        <v>4313</v>
      </c>
      <c r="T384" t="s">
        <v>4314</v>
      </c>
      <c r="U384" s="7">
        <v>1</v>
      </c>
      <c r="V384" s="8">
        <v>298.31</v>
      </c>
      <c r="W384" t="s">
        <v>35</v>
      </c>
      <c r="Y384" t="s">
        <v>2269</v>
      </c>
      <c r="Z384" t="s">
        <v>2313</v>
      </c>
      <c r="AB384" s="8">
        <v>352.01</v>
      </c>
      <c r="AC384" s="7">
        <v>0</v>
      </c>
      <c r="AF384" s="8">
        <v>352.01</v>
      </c>
    </row>
    <row r="385" spans="1:32" hidden="1">
      <c r="A385" s="7">
        <v>1015315</v>
      </c>
      <c r="B385" t="s">
        <v>3803</v>
      </c>
      <c r="C385" t="s">
        <v>4197</v>
      </c>
      <c r="D385" s="7">
        <v>7134260121020</v>
      </c>
      <c r="E385" t="s">
        <v>4320</v>
      </c>
      <c r="F385" t="s">
        <v>4321</v>
      </c>
      <c r="G385" t="s">
        <v>4266</v>
      </c>
      <c r="H385" t="s">
        <v>4449</v>
      </c>
      <c r="I385" t="s">
        <v>4322</v>
      </c>
      <c r="J385" t="s">
        <v>4323</v>
      </c>
      <c r="K385" t="s">
        <v>398</v>
      </c>
      <c r="L385" t="s">
        <v>4324</v>
      </c>
      <c r="N385" t="s">
        <v>4325</v>
      </c>
      <c r="O385" s="7">
        <v>3455</v>
      </c>
      <c r="R385" s="7">
        <v>2</v>
      </c>
      <c r="S385" t="s">
        <v>4315</v>
      </c>
      <c r="T385" t="s">
        <v>2271</v>
      </c>
      <c r="U385" s="7">
        <v>1</v>
      </c>
      <c r="V385" s="7">
        <v>70</v>
      </c>
      <c r="W385" t="s">
        <v>35</v>
      </c>
      <c r="Y385" t="s">
        <v>2269</v>
      </c>
      <c r="Z385" t="s">
        <v>2313</v>
      </c>
      <c r="AB385" s="8">
        <v>82.6</v>
      </c>
      <c r="AC385" s="7">
        <v>0</v>
      </c>
      <c r="AF385" s="8">
        <v>82.6</v>
      </c>
    </row>
    <row r="386" spans="1:32" hidden="1">
      <c r="A386" s="7">
        <v>1015316</v>
      </c>
      <c r="B386" t="s">
        <v>3813</v>
      </c>
      <c r="C386" t="s">
        <v>4197</v>
      </c>
      <c r="D386" s="7">
        <v>7134260121334</v>
      </c>
      <c r="E386" t="s">
        <v>4326</v>
      </c>
      <c r="F386" t="s">
        <v>4327</v>
      </c>
      <c r="G386" t="s">
        <v>4266</v>
      </c>
      <c r="H386" t="s">
        <v>4449</v>
      </c>
      <c r="I386" t="s">
        <v>4328</v>
      </c>
      <c r="J386" t="s">
        <v>4329</v>
      </c>
      <c r="K386" t="s">
        <v>398</v>
      </c>
      <c r="L386" t="s">
        <v>3919</v>
      </c>
      <c r="M386" s="7">
        <v>1165</v>
      </c>
      <c r="N386" t="s">
        <v>4312</v>
      </c>
      <c r="O386" s="7">
        <v>3265</v>
      </c>
      <c r="R386" s="7">
        <v>1</v>
      </c>
      <c r="S386" t="s">
        <v>4330</v>
      </c>
      <c r="T386" t="s">
        <v>4331</v>
      </c>
      <c r="U386" s="7">
        <v>1</v>
      </c>
      <c r="V386" s="8">
        <v>25444.99</v>
      </c>
      <c r="W386" t="s">
        <v>35</v>
      </c>
      <c r="Y386" t="s">
        <v>2269</v>
      </c>
      <c r="Z386" t="s">
        <v>2313</v>
      </c>
      <c r="AB386" s="8">
        <v>30025.09</v>
      </c>
      <c r="AC386" s="7">
        <v>0</v>
      </c>
      <c r="AF386" s="8">
        <v>30025.09</v>
      </c>
    </row>
    <row r="387" spans="1:32" hidden="1">
      <c r="A387" s="7">
        <v>1015316</v>
      </c>
      <c r="B387" t="s">
        <v>3813</v>
      </c>
      <c r="C387" t="s">
        <v>4197</v>
      </c>
      <c r="D387" s="7">
        <v>7134260121334</v>
      </c>
      <c r="E387" t="s">
        <v>4326</v>
      </c>
      <c r="F387" t="s">
        <v>4327</v>
      </c>
      <c r="G387" t="s">
        <v>4266</v>
      </c>
      <c r="H387" t="s">
        <v>4449</v>
      </c>
      <c r="I387" t="s">
        <v>4328</v>
      </c>
      <c r="J387" t="s">
        <v>4329</v>
      </c>
      <c r="K387" t="s">
        <v>398</v>
      </c>
      <c r="L387" t="s">
        <v>3919</v>
      </c>
      <c r="M387" s="7">
        <v>1165</v>
      </c>
      <c r="N387" t="s">
        <v>4312</v>
      </c>
      <c r="O387" s="7">
        <v>3265</v>
      </c>
      <c r="R387" s="7">
        <v>2</v>
      </c>
      <c r="S387" t="s">
        <v>4332</v>
      </c>
      <c r="T387" t="s">
        <v>2271</v>
      </c>
      <c r="U387" s="7">
        <v>1</v>
      </c>
      <c r="V387">
        <v>262.5</v>
      </c>
      <c r="W387" t="s">
        <v>35</v>
      </c>
      <c r="Y387" t="s">
        <v>2269</v>
      </c>
      <c r="Z387" t="s">
        <v>2313</v>
      </c>
      <c r="AB387" s="8">
        <v>309.75</v>
      </c>
      <c r="AC387" s="7">
        <v>0</v>
      </c>
      <c r="AF387" s="8">
        <v>309.75</v>
      </c>
    </row>
    <row r="388" spans="1:32" hidden="1">
      <c r="A388" s="7">
        <v>1015870</v>
      </c>
      <c r="B388" t="s">
        <v>4451</v>
      </c>
      <c r="C388" t="s">
        <v>4452</v>
      </c>
      <c r="D388" s="7">
        <v>7134260122482</v>
      </c>
      <c r="E388" t="s">
        <v>4453</v>
      </c>
      <c r="F388" t="s">
        <v>4454</v>
      </c>
      <c r="G388" t="s">
        <v>4452</v>
      </c>
      <c r="H388" t="s">
        <v>4455</v>
      </c>
      <c r="I388" t="s">
        <v>493</v>
      </c>
      <c r="J388" t="s">
        <v>494</v>
      </c>
      <c r="K388" t="s">
        <v>252</v>
      </c>
      <c r="L388" t="s">
        <v>4456</v>
      </c>
      <c r="M388" s="7">
        <v>1165</v>
      </c>
      <c r="N388" t="s">
        <v>4457</v>
      </c>
      <c r="O388" s="7">
        <v>22566</v>
      </c>
      <c r="R388" s="7">
        <v>1</v>
      </c>
      <c r="S388" t="s">
        <v>3920</v>
      </c>
      <c r="T388" t="s">
        <v>2271</v>
      </c>
      <c r="U388" s="7">
        <v>1</v>
      </c>
      <c r="V388">
        <v>87.5</v>
      </c>
      <c r="W388" t="s">
        <v>35</v>
      </c>
      <c r="Y388" t="s">
        <v>2269</v>
      </c>
      <c r="Z388" t="s">
        <v>2313</v>
      </c>
      <c r="AB388" s="8">
        <v>103.25</v>
      </c>
      <c r="AC388" s="7">
        <v>0</v>
      </c>
      <c r="AF388" s="8">
        <v>103.25</v>
      </c>
    </row>
    <row r="389" spans="1:32" hidden="1">
      <c r="A389" s="7">
        <v>1015871</v>
      </c>
      <c r="B389" t="s">
        <v>4458</v>
      </c>
      <c r="C389" t="s">
        <v>4452</v>
      </c>
      <c r="D389" s="7">
        <v>7134260122455</v>
      </c>
      <c r="E389" t="s">
        <v>4459</v>
      </c>
      <c r="F389" t="s">
        <v>4460</v>
      </c>
      <c r="G389" t="s">
        <v>4452</v>
      </c>
      <c r="H389" t="s">
        <v>4455</v>
      </c>
      <c r="I389" t="s">
        <v>780</v>
      </c>
      <c r="J389" t="s">
        <v>781</v>
      </c>
      <c r="K389" t="s">
        <v>252</v>
      </c>
      <c r="L389" t="s">
        <v>4461</v>
      </c>
      <c r="M389" s="7">
        <v>1075</v>
      </c>
      <c r="N389" t="s">
        <v>4272</v>
      </c>
      <c r="O389" s="7">
        <v>22456</v>
      </c>
      <c r="R389" s="7">
        <v>1</v>
      </c>
      <c r="S389" t="s">
        <v>3920</v>
      </c>
      <c r="T389" t="s">
        <v>2271</v>
      </c>
      <c r="U389" s="7">
        <v>1</v>
      </c>
      <c r="V389">
        <v>87.5</v>
      </c>
      <c r="W389" t="s">
        <v>35</v>
      </c>
      <c r="Y389" t="s">
        <v>2269</v>
      </c>
      <c r="Z389" t="s">
        <v>2313</v>
      </c>
      <c r="AB389" s="8">
        <v>103.25</v>
      </c>
      <c r="AC389" s="7">
        <v>0</v>
      </c>
      <c r="AF389" s="8">
        <v>103.25</v>
      </c>
    </row>
    <row r="390" spans="1:32" hidden="1">
      <c r="A390" s="7">
        <v>1015872</v>
      </c>
      <c r="B390" t="s">
        <v>4462</v>
      </c>
      <c r="C390" t="s">
        <v>4452</v>
      </c>
      <c r="D390" s="7">
        <v>7134260122477</v>
      </c>
      <c r="E390" t="s">
        <v>4463</v>
      </c>
      <c r="F390" t="s">
        <v>4464</v>
      </c>
      <c r="G390" t="s">
        <v>4452</v>
      </c>
      <c r="H390" t="s">
        <v>4455</v>
      </c>
      <c r="I390" t="s">
        <v>1477</v>
      </c>
      <c r="J390" t="s">
        <v>1478</v>
      </c>
      <c r="K390" t="s">
        <v>252</v>
      </c>
      <c r="L390" t="s">
        <v>3309</v>
      </c>
      <c r="M390" s="7">
        <v>1165</v>
      </c>
      <c r="N390" t="s">
        <v>4457</v>
      </c>
      <c r="O390" s="7">
        <v>14987</v>
      </c>
      <c r="R390" s="7">
        <v>1</v>
      </c>
      <c r="S390" t="s">
        <v>3920</v>
      </c>
      <c r="T390" t="s">
        <v>2271</v>
      </c>
      <c r="U390" s="7">
        <v>1</v>
      </c>
      <c r="V390">
        <v>87.5</v>
      </c>
      <c r="W390" t="s">
        <v>35</v>
      </c>
      <c r="Y390" t="s">
        <v>2269</v>
      </c>
      <c r="Z390" t="s">
        <v>2313</v>
      </c>
      <c r="AB390" s="8">
        <v>103.25</v>
      </c>
      <c r="AC390" s="7">
        <v>0</v>
      </c>
      <c r="AF390" s="8">
        <v>103.25</v>
      </c>
    </row>
    <row r="391" spans="1:32" hidden="1">
      <c r="A391" s="7">
        <v>1015873</v>
      </c>
      <c r="B391" t="s">
        <v>4465</v>
      </c>
      <c r="C391" t="s">
        <v>4452</v>
      </c>
      <c r="D391" s="7">
        <v>7134260122467</v>
      </c>
      <c r="E391" t="s">
        <v>4466</v>
      </c>
      <c r="F391" t="s">
        <v>4467</v>
      </c>
      <c r="G391" t="s">
        <v>4468</v>
      </c>
      <c r="H391" t="s">
        <v>4455</v>
      </c>
      <c r="I391" t="s">
        <v>1178</v>
      </c>
      <c r="J391" t="s">
        <v>1179</v>
      </c>
      <c r="K391" t="s">
        <v>252</v>
      </c>
      <c r="L391" t="s">
        <v>4034</v>
      </c>
      <c r="M391" s="7">
        <v>1165</v>
      </c>
      <c r="N391" t="s">
        <v>4272</v>
      </c>
      <c r="O391" s="7">
        <v>18978</v>
      </c>
      <c r="R391" s="7">
        <v>1</v>
      </c>
      <c r="S391" t="s">
        <v>3920</v>
      </c>
      <c r="T391" t="s">
        <v>2271</v>
      </c>
      <c r="U391" s="7">
        <v>1</v>
      </c>
      <c r="V391">
        <v>87.5</v>
      </c>
      <c r="W391" t="s">
        <v>35</v>
      </c>
      <c r="Y391" t="s">
        <v>2269</v>
      </c>
      <c r="Z391" t="s">
        <v>2313</v>
      </c>
      <c r="AB391" s="8">
        <v>103.25</v>
      </c>
      <c r="AC391" s="7">
        <v>0</v>
      </c>
      <c r="AF391" s="8">
        <v>103.25</v>
      </c>
    </row>
    <row r="392" spans="1:32" hidden="1">
      <c r="A392" s="7">
        <v>1015874</v>
      </c>
      <c r="B392" t="s">
        <v>4469</v>
      </c>
      <c r="C392" t="s">
        <v>4452</v>
      </c>
      <c r="D392" s="7">
        <v>7134260122446</v>
      </c>
      <c r="E392" t="s">
        <v>4470</v>
      </c>
      <c r="F392" t="s">
        <v>4471</v>
      </c>
      <c r="G392" t="s">
        <v>4468</v>
      </c>
      <c r="H392" t="s">
        <v>4455</v>
      </c>
      <c r="I392" t="s">
        <v>4472</v>
      </c>
      <c r="J392" t="s">
        <v>4473</v>
      </c>
      <c r="K392" t="s">
        <v>252</v>
      </c>
      <c r="L392" t="s">
        <v>4474</v>
      </c>
      <c r="M392" s="7">
        <v>1165</v>
      </c>
      <c r="N392" t="s">
        <v>4475</v>
      </c>
      <c r="O392" s="7">
        <v>89678</v>
      </c>
      <c r="R392" s="7">
        <v>1</v>
      </c>
      <c r="S392" t="s">
        <v>3920</v>
      </c>
      <c r="T392" t="s">
        <v>2271</v>
      </c>
      <c r="U392" s="7">
        <v>1</v>
      </c>
      <c r="V392">
        <v>87.5</v>
      </c>
      <c r="W392" t="s">
        <v>35</v>
      </c>
      <c r="Y392" t="s">
        <v>2269</v>
      </c>
      <c r="Z392" t="s">
        <v>2313</v>
      </c>
      <c r="AB392" s="8">
        <v>103.25</v>
      </c>
      <c r="AC392" s="7">
        <v>0</v>
      </c>
      <c r="AF392" s="8">
        <v>103.25</v>
      </c>
    </row>
    <row r="393" spans="1:32" hidden="1">
      <c r="A393" s="7">
        <v>1015875</v>
      </c>
      <c r="B393" t="s">
        <v>4476</v>
      </c>
      <c r="C393" t="s">
        <v>4452</v>
      </c>
      <c r="D393" s="7">
        <v>7134260122444</v>
      </c>
      <c r="E393" t="s">
        <v>4477</v>
      </c>
      <c r="F393" t="s">
        <v>4478</v>
      </c>
      <c r="G393" t="s">
        <v>4468</v>
      </c>
      <c r="H393" t="s">
        <v>4455</v>
      </c>
      <c r="I393" t="s">
        <v>1370</v>
      </c>
      <c r="J393" t="s">
        <v>1371</v>
      </c>
      <c r="K393" t="s">
        <v>252</v>
      </c>
      <c r="L393" t="s">
        <v>4479</v>
      </c>
      <c r="M393" s="7">
        <v>1165</v>
      </c>
      <c r="N393" t="s">
        <v>4475</v>
      </c>
      <c r="O393" s="7">
        <v>93234</v>
      </c>
      <c r="R393" s="7">
        <v>1</v>
      </c>
      <c r="S393" t="s">
        <v>3920</v>
      </c>
      <c r="T393" t="s">
        <v>2271</v>
      </c>
      <c r="U393" s="7">
        <v>1</v>
      </c>
      <c r="V393">
        <v>87.5</v>
      </c>
      <c r="W393" t="s">
        <v>35</v>
      </c>
      <c r="Y393" t="s">
        <v>2269</v>
      </c>
      <c r="Z393" t="s">
        <v>2313</v>
      </c>
      <c r="AB393" s="8">
        <v>103.25</v>
      </c>
      <c r="AC393" s="7">
        <v>0</v>
      </c>
      <c r="AF393" s="8">
        <v>103.25</v>
      </c>
    </row>
    <row r="394" spans="1:32" hidden="1">
      <c r="A394" s="7">
        <v>1015876</v>
      </c>
      <c r="B394" t="s">
        <v>4480</v>
      </c>
      <c r="C394" t="s">
        <v>4452</v>
      </c>
      <c r="D394" s="7">
        <v>7134260122462</v>
      </c>
      <c r="E394" t="s">
        <v>4481</v>
      </c>
      <c r="F394" t="s">
        <v>4482</v>
      </c>
      <c r="G394" t="s">
        <v>4468</v>
      </c>
      <c r="H394" t="s">
        <v>4455</v>
      </c>
      <c r="I394" t="s">
        <v>1728</v>
      </c>
      <c r="J394" t="s">
        <v>1729</v>
      </c>
      <c r="K394" t="s">
        <v>252</v>
      </c>
      <c r="L394" t="s">
        <v>4483</v>
      </c>
      <c r="M394" s="7">
        <v>1165</v>
      </c>
      <c r="N394" t="s">
        <v>4272</v>
      </c>
      <c r="O394" s="7">
        <v>56455</v>
      </c>
      <c r="R394" s="7">
        <v>1</v>
      </c>
      <c r="S394" t="s">
        <v>3920</v>
      </c>
      <c r="T394" t="s">
        <v>2271</v>
      </c>
      <c r="U394" s="7">
        <v>1</v>
      </c>
      <c r="V394">
        <v>87.5</v>
      </c>
      <c r="W394" t="s">
        <v>35</v>
      </c>
      <c r="Y394" t="s">
        <v>2269</v>
      </c>
      <c r="Z394" t="s">
        <v>2313</v>
      </c>
      <c r="AB394" s="8">
        <v>103.25</v>
      </c>
      <c r="AC394" s="7">
        <v>0</v>
      </c>
      <c r="AF394" s="8">
        <v>103.25</v>
      </c>
    </row>
    <row r="395" spans="1:32" hidden="1">
      <c r="A395" s="7">
        <v>1015877</v>
      </c>
      <c r="B395" t="s">
        <v>4484</v>
      </c>
      <c r="C395" t="s">
        <v>4452</v>
      </c>
      <c r="D395" s="7">
        <v>7134260122445</v>
      </c>
      <c r="E395" t="s">
        <v>4485</v>
      </c>
      <c r="F395" t="s">
        <v>4486</v>
      </c>
      <c r="G395" t="s">
        <v>4468</v>
      </c>
      <c r="H395" t="s">
        <v>4455</v>
      </c>
      <c r="I395" t="s">
        <v>1610</v>
      </c>
      <c r="J395" t="s">
        <v>1611</v>
      </c>
      <c r="K395" t="s">
        <v>252</v>
      </c>
      <c r="L395" t="s">
        <v>4487</v>
      </c>
      <c r="M395" s="7">
        <v>1165</v>
      </c>
      <c r="N395" t="s">
        <v>4475</v>
      </c>
      <c r="O395" s="7">
        <v>56456</v>
      </c>
      <c r="R395" s="7">
        <v>1</v>
      </c>
      <c r="S395" t="s">
        <v>3920</v>
      </c>
      <c r="T395" t="s">
        <v>2271</v>
      </c>
      <c r="U395" s="7">
        <v>1</v>
      </c>
      <c r="V395">
        <v>87.5</v>
      </c>
      <c r="W395" t="s">
        <v>35</v>
      </c>
      <c r="Y395" t="s">
        <v>2269</v>
      </c>
      <c r="Z395" t="s">
        <v>2313</v>
      </c>
      <c r="AB395" s="8">
        <v>103.25</v>
      </c>
      <c r="AC395" s="7">
        <v>0</v>
      </c>
      <c r="AF395" s="8">
        <v>103.25</v>
      </c>
    </row>
    <row r="396" spans="1:32" hidden="1">
      <c r="A396" s="7">
        <v>1015878</v>
      </c>
      <c r="B396" t="s">
        <v>4488</v>
      </c>
      <c r="C396" t="s">
        <v>4452</v>
      </c>
      <c r="D396" s="7">
        <v>7134260122465</v>
      </c>
      <c r="E396" t="s">
        <v>4489</v>
      </c>
      <c r="F396" t="s">
        <v>4490</v>
      </c>
      <c r="G396" t="s">
        <v>4468</v>
      </c>
      <c r="H396" t="s">
        <v>4455</v>
      </c>
      <c r="I396" t="s">
        <v>4491</v>
      </c>
      <c r="J396" t="s">
        <v>4492</v>
      </c>
      <c r="K396" t="s">
        <v>252</v>
      </c>
      <c r="L396" t="s">
        <v>4493</v>
      </c>
      <c r="M396" s="7">
        <v>1165</v>
      </c>
      <c r="N396" t="s">
        <v>4272</v>
      </c>
      <c r="O396" s="7">
        <v>93677</v>
      </c>
      <c r="R396" s="7">
        <v>1</v>
      </c>
      <c r="S396" t="s">
        <v>3920</v>
      </c>
      <c r="T396" t="s">
        <v>2271</v>
      </c>
      <c r="U396" s="7">
        <v>1</v>
      </c>
      <c r="V396">
        <v>87.5</v>
      </c>
      <c r="W396" t="s">
        <v>35</v>
      </c>
      <c r="Y396" t="s">
        <v>2269</v>
      </c>
      <c r="Z396" t="s">
        <v>2313</v>
      </c>
      <c r="AB396" s="8">
        <v>103.25</v>
      </c>
      <c r="AC396" s="7">
        <v>0</v>
      </c>
      <c r="AF396" s="8">
        <v>103.25</v>
      </c>
    </row>
    <row r="397" spans="1:32" hidden="1">
      <c r="A397" s="7">
        <v>1015879</v>
      </c>
      <c r="B397" t="s">
        <v>4494</v>
      </c>
      <c r="C397" t="s">
        <v>4452</v>
      </c>
      <c r="D397" s="7">
        <v>7134260122480</v>
      </c>
      <c r="E397" t="s">
        <v>4495</v>
      </c>
      <c r="F397" t="s">
        <v>4496</v>
      </c>
      <c r="G397" t="s">
        <v>4468</v>
      </c>
      <c r="H397" t="s">
        <v>4455</v>
      </c>
      <c r="I397" t="s">
        <v>663</v>
      </c>
      <c r="J397" t="s">
        <v>664</v>
      </c>
      <c r="K397" t="s">
        <v>252</v>
      </c>
      <c r="L397" t="s">
        <v>4497</v>
      </c>
      <c r="M397" s="7">
        <v>1165</v>
      </c>
      <c r="N397" t="s">
        <v>4457</v>
      </c>
      <c r="O397" s="7">
        <v>9978</v>
      </c>
      <c r="R397" s="7">
        <v>1</v>
      </c>
      <c r="S397" t="s">
        <v>3920</v>
      </c>
      <c r="T397" t="s">
        <v>2271</v>
      </c>
      <c r="U397" s="7">
        <v>1</v>
      </c>
      <c r="V397">
        <v>87.5</v>
      </c>
      <c r="W397" t="s">
        <v>35</v>
      </c>
      <c r="Y397" t="s">
        <v>2269</v>
      </c>
      <c r="Z397" t="s">
        <v>2313</v>
      </c>
      <c r="AB397" s="8">
        <v>103.25</v>
      </c>
      <c r="AC397" s="7">
        <v>0</v>
      </c>
      <c r="AF397" s="8">
        <v>103.25</v>
      </c>
    </row>
    <row r="398" spans="1:32" hidden="1">
      <c r="A398" s="7">
        <v>1015880</v>
      </c>
      <c r="B398" t="s">
        <v>4498</v>
      </c>
      <c r="C398" t="s">
        <v>4452</v>
      </c>
      <c r="D398" s="7">
        <v>7134260122453</v>
      </c>
      <c r="E398" t="s">
        <v>4499</v>
      </c>
      <c r="F398" t="s">
        <v>4500</v>
      </c>
      <c r="G398" t="s">
        <v>4468</v>
      </c>
      <c r="H398" t="s">
        <v>4455</v>
      </c>
      <c r="I398" t="s">
        <v>713</v>
      </c>
      <c r="J398" t="s">
        <v>714</v>
      </c>
      <c r="K398" t="s">
        <v>252</v>
      </c>
      <c r="L398" t="s">
        <v>3991</v>
      </c>
      <c r="M398" s="7">
        <v>1165</v>
      </c>
      <c r="N398" t="s">
        <v>4204</v>
      </c>
      <c r="O398" s="7">
        <v>1450</v>
      </c>
      <c r="R398" s="7">
        <v>1</v>
      </c>
      <c r="S398" t="s">
        <v>3920</v>
      </c>
      <c r="T398" t="s">
        <v>2271</v>
      </c>
      <c r="U398" s="7">
        <v>1</v>
      </c>
      <c r="V398">
        <v>87.5</v>
      </c>
      <c r="W398" t="s">
        <v>35</v>
      </c>
      <c r="Y398" t="s">
        <v>2269</v>
      </c>
      <c r="Z398" t="s">
        <v>2313</v>
      </c>
      <c r="AB398" s="8">
        <v>103.25</v>
      </c>
      <c r="AC398" s="7">
        <v>0</v>
      </c>
      <c r="AF398" s="8">
        <v>103.25</v>
      </c>
    </row>
    <row r="399" spans="1:32" hidden="1">
      <c r="A399" s="7">
        <v>1015881</v>
      </c>
      <c r="B399" t="s">
        <v>4501</v>
      </c>
      <c r="C399" t="s">
        <v>4452</v>
      </c>
      <c r="D399" s="7">
        <v>7134260122464</v>
      </c>
      <c r="E399" t="s">
        <v>4502</v>
      </c>
      <c r="F399" t="s">
        <v>4503</v>
      </c>
      <c r="G399" t="s">
        <v>4468</v>
      </c>
      <c r="H399" t="s">
        <v>4455</v>
      </c>
      <c r="I399" t="s">
        <v>4504</v>
      </c>
      <c r="J399" t="s">
        <v>4505</v>
      </c>
      <c r="K399" t="s">
        <v>252</v>
      </c>
      <c r="L399" t="s">
        <v>2632</v>
      </c>
      <c r="M399" s="7">
        <v>1165</v>
      </c>
      <c r="N399" t="s">
        <v>4272</v>
      </c>
      <c r="O399" s="7">
        <v>47677</v>
      </c>
      <c r="R399" s="7">
        <v>1</v>
      </c>
      <c r="S399" t="s">
        <v>3920</v>
      </c>
      <c r="T399" t="s">
        <v>2271</v>
      </c>
      <c r="U399" s="7">
        <v>1</v>
      </c>
      <c r="V399">
        <v>87.5</v>
      </c>
      <c r="W399" t="s">
        <v>35</v>
      </c>
      <c r="Y399" t="s">
        <v>2269</v>
      </c>
      <c r="Z399" t="s">
        <v>2313</v>
      </c>
      <c r="AB399" s="8">
        <v>103.25</v>
      </c>
      <c r="AC399" s="7">
        <v>0</v>
      </c>
      <c r="AF399" s="8">
        <v>103.25</v>
      </c>
    </row>
    <row r="400" spans="1:32" hidden="1">
      <c r="A400" s="7">
        <v>1015882</v>
      </c>
      <c r="B400" t="s">
        <v>4506</v>
      </c>
      <c r="C400" t="s">
        <v>4452</v>
      </c>
      <c r="D400" s="7">
        <v>7134260122459</v>
      </c>
      <c r="E400" t="s">
        <v>4507</v>
      </c>
      <c r="F400" t="s">
        <v>4508</v>
      </c>
      <c r="G400" t="s">
        <v>4468</v>
      </c>
      <c r="H400" t="s">
        <v>4455</v>
      </c>
      <c r="I400" t="s">
        <v>1587</v>
      </c>
      <c r="J400" t="s">
        <v>1588</v>
      </c>
      <c r="K400" t="s">
        <v>252</v>
      </c>
      <c r="L400" t="s">
        <v>4509</v>
      </c>
      <c r="M400" s="7">
        <v>1165</v>
      </c>
      <c r="N400" t="s">
        <v>4272</v>
      </c>
      <c r="O400" s="7">
        <v>9789</v>
      </c>
      <c r="R400" s="7">
        <v>1</v>
      </c>
      <c r="S400" t="s">
        <v>3920</v>
      </c>
      <c r="T400" t="s">
        <v>2271</v>
      </c>
      <c r="U400" s="7">
        <v>1</v>
      </c>
      <c r="V400">
        <v>87.5</v>
      </c>
      <c r="W400" t="s">
        <v>35</v>
      </c>
      <c r="Y400" t="s">
        <v>2269</v>
      </c>
      <c r="Z400" t="s">
        <v>2313</v>
      </c>
      <c r="AB400" s="8">
        <v>103.25</v>
      </c>
      <c r="AC400" s="7">
        <v>0</v>
      </c>
      <c r="AF400" s="8">
        <v>103.25</v>
      </c>
    </row>
    <row r="401" spans="1:32" hidden="1">
      <c r="A401" s="7">
        <v>1015883</v>
      </c>
      <c r="B401" t="s">
        <v>4510</v>
      </c>
      <c r="C401" t="s">
        <v>4452</v>
      </c>
      <c r="D401" s="7">
        <v>7134260122441</v>
      </c>
      <c r="E401" t="s">
        <v>4511</v>
      </c>
      <c r="F401" t="s">
        <v>4512</v>
      </c>
      <c r="G401" t="s">
        <v>4468</v>
      </c>
      <c r="H401" t="s">
        <v>4455</v>
      </c>
      <c r="I401" t="s">
        <v>3302</v>
      </c>
      <c r="J401" t="s">
        <v>3303</v>
      </c>
      <c r="K401" t="s">
        <v>252</v>
      </c>
      <c r="L401" t="s">
        <v>3304</v>
      </c>
      <c r="N401" t="s">
        <v>4475</v>
      </c>
      <c r="O401" s="7">
        <v>1234</v>
      </c>
      <c r="R401" s="7">
        <v>1</v>
      </c>
      <c r="S401" t="s">
        <v>3920</v>
      </c>
      <c r="T401" t="s">
        <v>2271</v>
      </c>
      <c r="U401" s="7">
        <v>1</v>
      </c>
      <c r="V401">
        <v>87.5</v>
      </c>
      <c r="W401" t="s">
        <v>35</v>
      </c>
      <c r="Y401" t="s">
        <v>2269</v>
      </c>
      <c r="Z401" t="s">
        <v>2313</v>
      </c>
      <c r="AB401" s="8">
        <v>103.25</v>
      </c>
      <c r="AC401" s="7">
        <v>0</v>
      </c>
      <c r="AF401" s="8">
        <v>103.25</v>
      </c>
    </row>
    <row r="402" spans="1:32" hidden="1">
      <c r="A402" s="7">
        <v>1015884</v>
      </c>
      <c r="B402" t="s">
        <v>4513</v>
      </c>
      <c r="C402" t="s">
        <v>4452</v>
      </c>
      <c r="D402" s="7">
        <v>7134260122457</v>
      </c>
      <c r="E402" t="s">
        <v>4514</v>
      </c>
      <c r="F402" t="s">
        <v>4515</v>
      </c>
      <c r="G402" t="s">
        <v>4468</v>
      </c>
      <c r="H402" t="s">
        <v>4455</v>
      </c>
      <c r="I402" t="s">
        <v>1275</v>
      </c>
      <c r="J402" t="s">
        <v>1276</v>
      </c>
      <c r="K402" t="s">
        <v>252</v>
      </c>
      <c r="L402" t="s">
        <v>4516</v>
      </c>
      <c r="M402" s="7">
        <v>1165</v>
      </c>
      <c r="N402" t="s">
        <v>4272</v>
      </c>
      <c r="O402" s="7">
        <v>20455</v>
      </c>
      <c r="R402" s="7">
        <v>1</v>
      </c>
      <c r="S402" t="s">
        <v>3920</v>
      </c>
      <c r="T402" t="s">
        <v>2271</v>
      </c>
      <c r="U402" s="7">
        <v>1</v>
      </c>
      <c r="V402">
        <v>87.5</v>
      </c>
      <c r="W402" t="s">
        <v>35</v>
      </c>
      <c r="Y402" t="s">
        <v>2269</v>
      </c>
      <c r="Z402" t="s">
        <v>2313</v>
      </c>
      <c r="AB402" s="8">
        <v>103.25</v>
      </c>
      <c r="AC402" s="7">
        <v>0</v>
      </c>
      <c r="AF402" s="8">
        <v>103.25</v>
      </c>
    </row>
    <row r="403" spans="1:32" hidden="1">
      <c r="A403" s="7">
        <v>1015885</v>
      </c>
      <c r="B403" t="s">
        <v>4517</v>
      </c>
      <c r="C403" t="s">
        <v>4452</v>
      </c>
      <c r="D403" s="7">
        <v>7134260122440</v>
      </c>
      <c r="E403" t="s">
        <v>4518</v>
      </c>
      <c r="F403" t="s">
        <v>4519</v>
      </c>
      <c r="G403" t="s">
        <v>4468</v>
      </c>
      <c r="H403" t="s">
        <v>4455</v>
      </c>
      <c r="I403" t="s">
        <v>1435</v>
      </c>
      <c r="J403" t="s">
        <v>1436</v>
      </c>
      <c r="K403" t="s">
        <v>252</v>
      </c>
      <c r="L403" t="s">
        <v>4520</v>
      </c>
      <c r="M403" s="7">
        <v>1165</v>
      </c>
      <c r="N403" t="s">
        <v>4475</v>
      </c>
      <c r="O403" s="7">
        <v>118827</v>
      </c>
      <c r="R403" s="7">
        <v>1</v>
      </c>
      <c r="S403" t="s">
        <v>3920</v>
      </c>
      <c r="T403" t="s">
        <v>2271</v>
      </c>
      <c r="U403" s="7">
        <v>1</v>
      </c>
      <c r="V403">
        <v>87.5</v>
      </c>
      <c r="W403" t="s">
        <v>35</v>
      </c>
      <c r="Y403" t="s">
        <v>2269</v>
      </c>
      <c r="Z403" t="s">
        <v>2313</v>
      </c>
      <c r="AB403" s="8">
        <v>103.25</v>
      </c>
      <c r="AC403" s="7">
        <v>0</v>
      </c>
      <c r="AF403" s="8">
        <v>103.25</v>
      </c>
    </row>
    <row r="404" spans="1:32" hidden="1">
      <c r="A404" s="7">
        <v>1015886</v>
      </c>
      <c r="B404" t="s">
        <v>4521</v>
      </c>
      <c r="C404" t="s">
        <v>4452</v>
      </c>
      <c r="D404" s="7">
        <v>7134260122481</v>
      </c>
      <c r="E404" t="s">
        <v>4522</v>
      </c>
      <c r="F404" t="s">
        <v>4523</v>
      </c>
      <c r="G404" t="s">
        <v>4468</v>
      </c>
      <c r="H404" t="s">
        <v>4455</v>
      </c>
      <c r="I404" t="s">
        <v>377</v>
      </c>
      <c r="J404" t="s">
        <v>378</v>
      </c>
      <c r="K404" t="s">
        <v>252</v>
      </c>
      <c r="L404" t="s">
        <v>4524</v>
      </c>
      <c r="M404" s="7">
        <v>1165</v>
      </c>
      <c r="N404" t="s">
        <v>4457</v>
      </c>
      <c r="O404" s="7">
        <v>9987</v>
      </c>
      <c r="R404" s="7">
        <v>1</v>
      </c>
      <c r="S404" t="s">
        <v>3920</v>
      </c>
      <c r="T404" t="s">
        <v>2271</v>
      </c>
      <c r="U404" s="7">
        <v>1</v>
      </c>
      <c r="V404">
        <v>87.5</v>
      </c>
      <c r="W404" t="s">
        <v>35</v>
      </c>
      <c r="Y404" t="s">
        <v>2269</v>
      </c>
      <c r="Z404" t="s">
        <v>2313</v>
      </c>
      <c r="AB404" s="8">
        <v>103.25</v>
      </c>
      <c r="AC404" s="7">
        <v>0</v>
      </c>
      <c r="AF404" s="8">
        <v>103.25</v>
      </c>
    </row>
    <row r="405" spans="1:32" hidden="1">
      <c r="A405" s="7">
        <v>1015887</v>
      </c>
      <c r="B405" t="s">
        <v>4525</v>
      </c>
      <c r="C405" t="s">
        <v>4452</v>
      </c>
      <c r="D405" s="7">
        <v>7134260122476</v>
      </c>
      <c r="E405" t="s">
        <v>4526</v>
      </c>
      <c r="F405" t="s">
        <v>4527</v>
      </c>
      <c r="G405" t="s">
        <v>4468</v>
      </c>
      <c r="H405" t="s">
        <v>4455</v>
      </c>
      <c r="I405" t="s">
        <v>4528</v>
      </c>
      <c r="J405" t="s">
        <v>4529</v>
      </c>
      <c r="K405" t="s">
        <v>252</v>
      </c>
      <c r="L405" t="s">
        <v>4341</v>
      </c>
      <c r="M405" s="7">
        <v>1165</v>
      </c>
      <c r="N405" t="s">
        <v>4457</v>
      </c>
      <c r="O405" s="7">
        <v>154567</v>
      </c>
      <c r="R405" s="7">
        <v>1</v>
      </c>
      <c r="S405" t="s">
        <v>3920</v>
      </c>
      <c r="T405" t="s">
        <v>2271</v>
      </c>
      <c r="U405" s="7">
        <v>1</v>
      </c>
      <c r="V405">
        <v>87.5</v>
      </c>
      <c r="W405" t="s">
        <v>35</v>
      </c>
      <c r="Y405" t="s">
        <v>2269</v>
      </c>
      <c r="Z405" t="s">
        <v>2313</v>
      </c>
      <c r="AB405" s="8">
        <v>103.25</v>
      </c>
      <c r="AC405" s="7">
        <v>0</v>
      </c>
      <c r="AF405" s="8">
        <v>103.25</v>
      </c>
    </row>
    <row r="406" spans="1:32" hidden="1">
      <c r="A406" s="7">
        <v>1015888</v>
      </c>
      <c r="B406" t="s">
        <v>4530</v>
      </c>
      <c r="C406" t="s">
        <v>4452</v>
      </c>
      <c r="D406" s="7">
        <v>7134260122466</v>
      </c>
      <c r="E406" t="s">
        <v>4531</v>
      </c>
      <c r="F406" t="s">
        <v>4532</v>
      </c>
      <c r="G406" t="s">
        <v>4468</v>
      </c>
      <c r="H406" t="s">
        <v>4455</v>
      </c>
      <c r="I406" t="s">
        <v>310</v>
      </c>
      <c r="J406" t="s">
        <v>311</v>
      </c>
      <c r="K406" t="s">
        <v>252</v>
      </c>
      <c r="L406" t="s">
        <v>4533</v>
      </c>
      <c r="M406" s="7">
        <v>1165</v>
      </c>
      <c r="N406" t="s">
        <v>4272</v>
      </c>
      <c r="O406" s="7">
        <v>40123</v>
      </c>
      <c r="R406" s="7">
        <v>1</v>
      </c>
      <c r="S406" t="s">
        <v>3920</v>
      </c>
      <c r="T406" t="s">
        <v>2271</v>
      </c>
      <c r="U406" s="7">
        <v>1</v>
      </c>
      <c r="V406">
        <v>87.5</v>
      </c>
      <c r="W406" t="s">
        <v>35</v>
      </c>
      <c r="Y406" t="s">
        <v>2269</v>
      </c>
      <c r="Z406" t="s">
        <v>2313</v>
      </c>
      <c r="AB406" s="8">
        <v>103.25</v>
      </c>
      <c r="AC406" s="7">
        <v>0</v>
      </c>
      <c r="AF406" s="8">
        <v>103.25</v>
      </c>
    </row>
    <row r="407" spans="1:32" hidden="1">
      <c r="A407" s="7">
        <v>1015889</v>
      </c>
      <c r="B407" t="s">
        <v>4534</v>
      </c>
      <c r="C407" t="s">
        <v>4452</v>
      </c>
      <c r="D407" s="7">
        <v>7134260122472</v>
      </c>
      <c r="E407" t="s">
        <v>4535</v>
      </c>
      <c r="F407" t="s">
        <v>4536</v>
      </c>
      <c r="G407" t="s">
        <v>4468</v>
      </c>
      <c r="H407" t="s">
        <v>4455</v>
      </c>
      <c r="I407" t="s">
        <v>596</v>
      </c>
      <c r="J407" t="s">
        <v>597</v>
      </c>
      <c r="K407" t="s">
        <v>252</v>
      </c>
      <c r="L407" t="s">
        <v>2288</v>
      </c>
      <c r="M407" s="7">
        <v>1165</v>
      </c>
      <c r="N407" t="s">
        <v>4457</v>
      </c>
      <c r="O407" s="7">
        <v>32122</v>
      </c>
      <c r="R407" s="7">
        <v>1</v>
      </c>
      <c r="S407" t="s">
        <v>3920</v>
      </c>
      <c r="T407" t="s">
        <v>2271</v>
      </c>
      <c r="U407" s="7">
        <v>1</v>
      </c>
      <c r="V407">
        <v>87.5</v>
      </c>
      <c r="W407" t="s">
        <v>35</v>
      </c>
      <c r="Y407" t="s">
        <v>2269</v>
      </c>
      <c r="Z407" t="s">
        <v>2313</v>
      </c>
      <c r="AB407" s="8">
        <v>103.25</v>
      </c>
      <c r="AC407" s="7">
        <v>0</v>
      </c>
      <c r="AF407" s="8">
        <v>103.25</v>
      </c>
    </row>
    <row r="408" spans="1:32" hidden="1">
      <c r="A408" s="7">
        <v>1015890</v>
      </c>
      <c r="B408" t="s">
        <v>4537</v>
      </c>
      <c r="C408" t="s">
        <v>4452</v>
      </c>
      <c r="D408" s="7">
        <v>7134260122478</v>
      </c>
      <c r="E408" t="s">
        <v>4538</v>
      </c>
      <c r="F408" t="s">
        <v>4539</v>
      </c>
      <c r="G408" t="s">
        <v>4468</v>
      </c>
      <c r="H408" t="s">
        <v>4455</v>
      </c>
      <c r="I408" t="s">
        <v>1326</v>
      </c>
      <c r="J408" t="s">
        <v>1327</v>
      </c>
      <c r="K408" t="s">
        <v>252</v>
      </c>
      <c r="L408" t="s">
        <v>4540</v>
      </c>
      <c r="M408" s="7">
        <v>1165</v>
      </c>
      <c r="N408" t="s">
        <v>4457</v>
      </c>
      <c r="O408" s="7">
        <v>16899</v>
      </c>
      <c r="R408" s="7">
        <v>1</v>
      </c>
      <c r="S408" t="s">
        <v>3920</v>
      </c>
      <c r="T408" t="s">
        <v>2271</v>
      </c>
      <c r="U408" s="7">
        <v>1</v>
      </c>
      <c r="V408">
        <v>87.5</v>
      </c>
      <c r="W408" t="s">
        <v>35</v>
      </c>
      <c r="Y408" t="s">
        <v>2269</v>
      </c>
      <c r="Z408" t="s">
        <v>2313</v>
      </c>
      <c r="AB408" s="8">
        <v>103.25</v>
      </c>
      <c r="AC408" s="7">
        <v>0</v>
      </c>
      <c r="AF408" s="8">
        <v>103.25</v>
      </c>
    </row>
    <row r="409" spans="1:32" hidden="1">
      <c r="A409" s="7">
        <v>1015891</v>
      </c>
      <c r="B409" t="s">
        <v>4541</v>
      </c>
      <c r="C409" t="s">
        <v>4452</v>
      </c>
      <c r="D409" s="7">
        <v>7134260122469</v>
      </c>
      <c r="E409" t="s">
        <v>4542</v>
      </c>
      <c r="F409" t="s">
        <v>4543</v>
      </c>
      <c r="G409" t="s">
        <v>4468</v>
      </c>
      <c r="H409" t="s">
        <v>4455</v>
      </c>
      <c r="I409" t="s">
        <v>4544</v>
      </c>
      <c r="J409" t="s">
        <v>4545</v>
      </c>
      <c r="K409" t="s">
        <v>252</v>
      </c>
      <c r="L409" t="s">
        <v>4546</v>
      </c>
      <c r="M409" s="7">
        <v>1165</v>
      </c>
      <c r="N409" t="s">
        <v>4457</v>
      </c>
      <c r="O409" s="7">
        <v>6788</v>
      </c>
      <c r="R409" s="7">
        <v>1</v>
      </c>
      <c r="S409" t="s">
        <v>3920</v>
      </c>
      <c r="T409" t="s">
        <v>2271</v>
      </c>
      <c r="U409" s="7">
        <v>1</v>
      </c>
      <c r="V409">
        <v>87.5</v>
      </c>
      <c r="W409" t="s">
        <v>35</v>
      </c>
      <c r="Y409" t="s">
        <v>2269</v>
      </c>
      <c r="Z409" t="s">
        <v>2313</v>
      </c>
      <c r="AB409" s="8">
        <v>103.25</v>
      </c>
      <c r="AC409" s="7">
        <v>0</v>
      </c>
      <c r="AF409" s="8">
        <v>103.25</v>
      </c>
    </row>
    <row r="410" spans="1:32" hidden="1">
      <c r="A410" s="7">
        <v>1015892</v>
      </c>
      <c r="B410" t="s">
        <v>4547</v>
      </c>
      <c r="C410" t="s">
        <v>4452</v>
      </c>
      <c r="D410" s="7">
        <v>7134260122461</v>
      </c>
      <c r="E410" t="s">
        <v>4548</v>
      </c>
      <c r="F410" t="s">
        <v>4549</v>
      </c>
      <c r="G410" t="s">
        <v>4468</v>
      </c>
      <c r="H410" t="s">
        <v>4455</v>
      </c>
      <c r="I410" t="s">
        <v>552</v>
      </c>
      <c r="J410" t="s">
        <v>553</v>
      </c>
      <c r="K410" t="s">
        <v>252</v>
      </c>
      <c r="L410" t="s">
        <v>4550</v>
      </c>
      <c r="M410" s="7">
        <v>1165</v>
      </c>
      <c r="N410" t="s">
        <v>4272</v>
      </c>
      <c r="O410" s="7">
        <v>35455</v>
      </c>
      <c r="R410" s="7">
        <v>1</v>
      </c>
      <c r="S410" t="s">
        <v>3920</v>
      </c>
      <c r="T410" t="s">
        <v>2271</v>
      </c>
      <c r="U410" s="7">
        <v>1</v>
      </c>
      <c r="V410">
        <v>87.5</v>
      </c>
      <c r="W410" t="s">
        <v>35</v>
      </c>
      <c r="Y410" t="s">
        <v>2269</v>
      </c>
      <c r="Z410" t="s">
        <v>2313</v>
      </c>
      <c r="AB410" s="8">
        <v>103.25</v>
      </c>
      <c r="AC410" s="7">
        <v>0</v>
      </c>
      <c r="AF410" s="8">
        <v>103.25</v>
      </c>
    </row>
    <row r="411" spans="1:32" hidden="1">
      <c r="A411" s="7">
        <v>1015894</v>
      </c>
      <c r="B411" t="s">
        <v>4551</v>
      </c>
      <c r="C411" t="s">
        <v>4452</v>
      </c>
      <c r="D411" s="7">
        <v>7134260122463</v>
      </c>
      <c r="E411" t="s">
        <v>4552</v>
      </c>
      <c r="F411" t="s">
        <v>4553</v>
      </c>
      <c r="G411" t="s">
        <v>4468</v>
      </c>
      <c r="H411" t="s">
        <v>4455</v>
      </c>
      <c r="I411" t="s">
        <v>1086</v>
      </c>
      <c r="J411" t="s">
        <v>1087</v>
      </c>
      <c r="K411" t="s">
        <v>252</v>
      </c>
      <c r="L411" t="s">
        <v>2325</v>
      </c>
      <c r="M411" s="7">
        <v>1165</v>
      </c>
      <c r="N411" t="s">
        <v>4272</v>
      </c>
      <c r="O411" s="7">
        <v>49646</v>
      </c>
      <c r="R411" s="7">
        <v>1</v>
      </c>
      <c r="S411" t="s">
        <v>3920</v>
      </c>
      <c r="T411" t="s">
        <v>2271</v>
      </c>
      <c r="U411" s="7">
        <v>1</v>
      </c>
      <c r="V411">
        <v>87.5</v>
      </c>
      <c r="W411" t="s">
        <v>35</v>
      </c>
      <c r="Y411" t="s">
        <v>2269</v>
      </c>
      <c r="Z411" t="s">
        <v>2313</v>
      </c>
      <c r="AB411" s="8">
        <v>103.25</v>
      </c>
      <c r="AC411" s="7">
        <v>0</v>
      </c>
      <c r="AF411" s="8">
        <v>103.25</v>
      </c>
    </row>
    <row r="412" spans="1:32" hidden="1">
      <c r="A412" s="7">
        <v>1015895</v>
      </c>
      <c r="B412" t="s">
        <v>4554</v>
      </c>
      <c r="C412" t="s">
        <v>4452</v>
      </c>
      <c r="D412" s="7">
        <v>7134260122491</v>
      </c>
      <c r="E412" t="s">
        <v>4555</v>
      </c>
      <c r="F412" t="s">
        <v>4556</v>
      </c>
      <c r="G412" t="s">
        <v>4468</v>
      </c>
      <c r="H412" t="s">
        <v>4455</v>
      </c>
      <c r="I412" t="s">
        <v>755</v>
      </c>
      <c r="J412" t="s">
        <v>756</v>
      </c>
      <c r="K412" t="s">
        <v>252</v>
      </c>
      <c r="L412" t="s">
        <v>4557</v>
      </c>
      <c r="M412" s="7">
        <v>1075</v>
      </c>
      <c r="N412" t="s">
        <v>4558</v>
      </c>
      <c r="O412" s="7">
        <v>24788</v>
      </c>
      <c r="R412" s="7">
        <v>1</v>
      </c>
      <c r="S412" t="s">
        <v>3920</v>
      </c>
      <c r="T412" t="s">
        <v>2271</v>
      </c>
      <c r="U412" s="7">
        <v>1</v>
      </c>
      <c r="V412">
        <v>87.5</v>
      </c>
      <c r="W412" t="s">
        <v>35</v>
      </c>
      <c r="Y412" t="s">
        <v>2269</v>
      </c>
      <c r="Z412" t="s">
        <v>2313</v>
      </c>
      <c r="AB412" s="8">
        <v>103.25</v>
      </c>
      <c r="AC412" s="7">
        <v>0</v>
      </c>
      <c r="AF412" s="8">
        <v>103.25</v>
      </c>
    </row>
    <row r="413" spans="1:32" hidden="1">
      <c r="A413" s="7">
        <v>1015896</v>
      </c>
      <c r="B413" t="s">
        <v>4559</v>
      </c>
      <c r="C413" t="s">
        <v>4468</v>
      </c>
      <c r="D413" s="7">
        <v>7134260122513</v>
      </c>
      <c r="E413" t="s">
        <v>4560</v>
      </c>
      <c r="F413" t="s">
        <v>4561</v>
      </c>
      <c r="G413" t="s">
        <v>4468</v>
      </c>
      <c r="H413" t="s">
        <v>4455</v>
      </c>
      <c r="I413" t="s">
        <v>4562</v>
      </c>
      <c r="J413" t="s">
        <v>4563</v>
      </c>
      <c r="K413" t="s">
        <v>252</v>
      </c>
      <c r="L413" t="s">
        <v>4564</v>
      </c>
      <c r="M413" s="7">
        <v>1165</v>
      </c>
      <c r="N413" t="s">
        <v>4565</v>
      </c>
      <c r="O413" s="7">
        <v>20100</v>
      </c>
      <c r="R413" s="7">
        <v>1</v>
      </c>
      <c r="S413" t="s">
        <v>3920</v>
      </c>
      <c r="T413" t="s">
        <v>2271</v>
      </c>
      <c r="U413" s="7">
        <v>1</v>
      </c>
      <c r="V413">
        <v>87.5</v>
      </c>
      <c r="W413" t="s">
        <v>35</v>
      </c>
      <c r="Y413" t="s">
        <v>2269</v>
      </c>
      <c r="Z413" t="s">
        <v>2313</v>
      </c>
      <c r="AB413" s="8">
        <v>103.25</v>
      </c>
      <c r="AC413" s="7">
        <v>0</v>
      </c>
      <c r="AF413" s="8">
        <v>103.25</v>
      </c>
    </row>
    <row r="414" spans="1:32" hidden="1">
      <c r="A414" s="7">
        <v>1015897</v>
      </c>
      <c r="B414" t="s">
        <v>4566</v>
      </c>
      <c r="C414" t="s">
        <v>4468</v>
      </c>
      <c r="D414" s="7">
        <v>7134260122518</v>
      </c>
      <c r="E414" t="s">
        <v>4567</v>
      </c>
      <c r="F414" t="s">
        <v>4568</v>
      </c>
      <c r="G414" t="s">
        <v>4468</v>
      </c>
      <c r="H414" t="s">
        <v>4455</v>
      </c>
      <c r="I414" t="s">
        <v>4008</v>
      </c>
      <c r="J414" t="s">
        <v>4009</v>
      </c>
      <c r="K414" t="s">
        <v>252</v>
      </c>
      <c r="L414" t="s">
        <v>4010</v>
      </c>
      <c r="M414" s="7">
        <v>1165</v>
      </c>
      <c r="N414" t="s">
        <v>4565</v>
      </c>
      <c r="O414" s="7">
        <v>135946</v>
      </c>
      <c r="R414" s="7">
        <v>1</v>
      </c>
      <c r="S414" t="s">
        <v>3920</v>
      </c>
      <c r="T414" t="s">
        <v>2271</v>
      </c>
      <c r="U414" s="7">
        <v>1</v>
      </c>
      <c r="V414">
        <v>87.5</v>
      </c>
      <c r="W414" t="s">
        <v>35</v>
      </c>
      <c r="Y414" t="s">
        <v>2269</v>
      </c>
      <c r="Z414" t="s">
        <v>2313</v>
      </c>
      <c r="AB414" s="8">
        <v>103.25</v>
      </c>
      <c r="AC414" s="7">
        <v>0</v>
      </c>
      <c r="AF414" s="8">
        <v>103.25</v>
      </c>
    </row>
    <row r="415" spans="1:32" hidden="1">
      <c r="A415" s="7">
        <v>1015898</v>
      </c>
      <c r="B415" t="s">
        <v>4569</v>
      </c>
      <c r="C415" t="s">
        <v>4468</v>
      </c>
      <c r="D415" s="7">
        <v>7134260122512</v>
      </c>
      <c r="E415" t="s">
        <v>4570</v>
      </c>
      <c r="F415" t="s">
        <v>4571</v>
      </c>
      <c r="G415" t="s">
        <v>4468</v>
      </c>
      <c r="H415" t="s">
        <v>4455</v>
      </c>
      <c r="I415" t="s">
        <v>1018</v>
      </c>
      <c r="J415" t="s">
        <v>1019</v>
      </c>
      <c r="K415" t="s">
        <v>252</v>
      </c>
      <c r="L415" t="s">
        <v>4572</v>
      </c>
      <c r="M415" s="7">
        <v>1165</v>
      </c>
      <c r="N415" t="s">
        <v>4565</v>
      </c>
      <c r="O415" s="7">
        <v>79877</v>
      </c>
      <c r="R415" s="7">
        <v>1</v>
      </c>
      <c r="S415" t="s">
        <v>3920</v>
      </c>
      <c r="T415" t="s">
        <v>2271</v>
      </c>
      <c r="U415" s="7">
        <v>1</v>
      </c>
      <c r="V415">
        <v>87.5</v>
      </c>
      <c r="W415" t="s">
        <v>35</v>
      </c>
      <c r="Y415" t="s">
        <v>2269</v>
      </c>
      <c r="Z415" t="s">
        <v>2313</v>
      </c>
      <c r="AB415" s="8">
        <v>103.25</v>
      </c>
      <c r="AC415" s="7">
        <v>0</v>
      </c>
      <c r="AF415" s="8">
        <v>103.25</v>
      </c>
    </row>
    <row r="416" spans="1:32" hidden="1">
      <c r="A416" s="7">
        <v>1015899</v>
      </c>
      <c r="B416" t="s">
        <v>4573</v>
      </c>
      <c r="C416" t="s">
        <v>4468</v>
      </c>
      <c r="D416" s="7">
        <v>7134260122515</v>
      </c>
      <c r="E416" t="s">
        <v>4574</v>
      </c>
      <c r="F416" t="s">
        <v>4575</v>
      </c>
      <c r="G416" t="s">
        <v>4468</v>
      </c>
      <c r="H416" t="s">
        <v>4455</v>
      </c>
      <c r="I416" t="s">
        <v>4576</v>
      </c>
      <c r="J416" t="s">
        <v>4577</v>
      </c>
      <c r="K416" t="s">
        <v>252</v>
      </c>
      <c r="L416" t="s">
        <v>4493</v>
      </c>
      <c r="M416" s="7">
        <v>1165</v>
      </c>
      <c r="N416" t="s">
        <v>4565</v>
      </c>
      <c r="O416" s="7">
        <v>198939</v>
      </c>
      <c r="R416" s="7">
        <v>1</v>
      </c>
      <c r="S416" t="s">
        <v>3920</v>
      </c>
      <c r="T416" t="s">
        <v>2271</v>
      </c>
      <c r="U416" s="7">
        <v>1</v>
      </c>
      <c r="V416">
        <v>87.5</v>
      </c>
      <c r="W416" t="s">
        <v>35</v>
      </c>
      <c r="Y416" t="s">
        <v>2269</v>
      </c>
      <c r="Z416" t="s">
        <v>2313</v>
      </c>
      <c r="AB416" s="8">
        <v>103.25</v>
      </c>
      <c r="AC416" s="7">
        <v>0</v>
      </c>
      <c r="AF416" s="8">
        <v>103.25</v>
      </c>
    </row>
    <row r="417" spans="1:32" hidden="1">
      <c r="A417" s="7">
        <v>1015900</v>
      </c>
      <c r="B417" t="s">
        <v>4578</v>
      </c>
      <c r="C417" t="s">
        <v>4468</v>
      </c>
      <c r="D417" s="7">
        <v>7134260122548</v>
      </c>
      <c r="E417" t="s">
        <v>4579</v>
      </c>
      <c r="F417" t="s">
        <v>4580</v>
      </c>
      <c r="G417" t="s">
        <v>4468</v>
      </c>
      <c r="H417" t="s">
        <v>4455</v>
      </c>
      <c r="I417" t="s">
        <v>1022</v>
      </c>
      <c r="J417" t="s">
        <v>1023</v>
      </c>
      <c r="K417" t="s">
        <v>252</v>
      </c>
      <c r="L417" t="s">
        <v>2523</v>
      </c>
      <c r="M417" s="7">
        <v>1165</v>
      </c>
      <c r="N417" t="s">
        <v>4581</v>
      </c>
      <c r="O417" s="7">
        <v>19345</v>
      </c>
      <c r="R417" s="7">
        <v>1</v>
      </c>
      <c r="S417" t="s">
        <v>3920</v>
      </c>
      <c r="T417" t="s">
        <v>2271</v>
      </c>
      <c r="U417" s="7">
        <v>1</v>
      </c>
      <c r="V417">
        <v>87.5</v>
      </c>
      <c r="W417" t="s">
        <v>35</v>
      </c>
      <c r="Y417" t="s">
        <v>2269</v>
      </c>
      <c r="Z417" t="s">
        <v>2313</v>
      </c>
      <c r="AB417" s="8">
        <v>103.25</v>
      </c>
      <c r="AC417" s="7">
        <v>0</v>
      </c>
      <c r="AF417" s="8">
        <v>103.25</v>
      </c>
    </row>
    <row r="418" spans="1:32" hidden="1">
      <c r="A418" s="7">
        <v>1015901</v>
      </c>
      <c r="B418" t="s">
        <v>4582</v>
      </c>
      <c r="C418" t="s">
        <v>4468</v>
      </c>
      <c r="D418" s="7">
        <v>7134260122550</v>
      </c>
      <c r="E418" t="s">
        <v>4583</v>
      </c>
      <c r="F418" t="s">
        <v>4584</v>
      </c>
      <c r="G418" t="s">
        <v>4468</v>
      </c>
      <c r="H418" t="s">
        <v>4455</v>
      </c>
      <c r="I418" t="s">
        <v>4585</v>
      </c>
      <c r="J418" t="s">
        <v>4586</v>
      </c>
      <c r="K418" t="s">
        <v>252</v>
      </c>
      <c r="L418" t="s">
        <v>4587</v>
      </c>
      <c r="M418" s="7">
        <v>1165</v>
      </c>
      <c r="N418" t="s">
        <v>4581</v>
      </c>
      <c r="O418" s="7">
        <v>3878</v>
      </c>
      <c r="R418" s="7">
        <v>1</v>
      </c>
      <c r="S418" t="s">
        <v>3920</v>
      </c>
      <c r="T418" t="s">
        <v>2271</v>
      </c>
      <c r="U418" s="7">
        <v>1</v>
      </c>
      <c r="V418">
        <v>87.5</v>
      </c>
      <c r="W418" t="s">
        <v>35</v>
      </c>
      <c r="Y418" t="s">
        <v>2269</v>
      </c>
      <c r="Z418" t="s">
        <v>2313</v>
      </c>
      <c r="AB418" s="8">
        <v>103.25</v>
      </c>
      <c r="AC418" s="7">
        <v>0</v>
      </c>
      <c r="AF418" s="8">
        <v>103.25</v>
      </c>
    </row>
    <row r="419" spans="1:32" hidden="1">
      <c r="A419" s="7">
        <v>1015902</v>
      </c>
      <c r="B419" t="s">
        <v>4588</v>
      </c>
      <c r="C419" t="s">
        <v>4468</v>
      </c>
      <c r="D419" s="7">
        <v>7134260122510</v>
      </c>
      <c r="E419" t="s">
        <v>4589</v>
      </c>
      <c r="F419" t="s">
        <v>4590</v>
      </c>
      <c r="G419" t="s">
        <v>4468</v>
      </c>
      <c r="H419" t="s">
        <v>4455</v>
      </c>
      <c r="I419" t="s">
        <v>1067</v>
      </c>
      <c r="J419" t="s">
        <v>1068</v>
      </c>
      <c r="K419" t="s">
        <v>252</v>
      </c>
      <c r="L419" t="s">
        <v>3955</v>
      </c>
      <c r="M419" s="7">
        <v>1165</v>
      </c>
      <c r="N419" t="s">
        <v>4565</v>
      </c>
      <c r="O419" s="7">
        <v>126801</v>
      </c>
      <c r="R419" s="7">
        <v>1</v>
      </c>
      <c r="S419" t="s">
        <v>3920</v>
      </c>
      <c r="T419" t="s">
        <v>2271</v>
      </c>
      <c r="U419" s="7">
        <v>1</v>
      </c>
      <c r="V419">
        <v>87.5</v>
      </c>
      <c r="W419" t="s">
        <v>35</v>
      </c>
      <c r="Y419" t="s">
        <v>2269</v>
      </c>
      <c r="Z419" t="s">
        <v>2313</v>
      </c>
      <c r="AB419" s="8">
        <v>103.25</v>
      </c>
      <c r="AC419" s="7">
        <v>0</v>
      </c>
      <c r="AF419" s="8">
        <v>103.25</v>
      </c>
    </row>
    <row r="420" spans="1:32" hidden="1">
      <c r="A420" s="7">
        <v>1015903</v>
      </c>
      <c r="B420" t="s">
        <v>4591</v>
      </c>
      <c r="C420" t="s">
        <v>4468</v>
      </c>
      <c r="D420" s="7">
        <v>7134260122542</v>
      </c>
      <c r="E420" t="s">
        <v>4592</v>
      </c>
      <c r="F420" t="s">
        <v>4593</v>
      </c>
      <c r="G420" t="s">
        <v>4468</v>
      </c>
      <c r="H420" t="s">
        <v>4455</v>
      </c>
      <c r="I420" t="s">
        <v>1447</v>
      </c>
      <c r="J420" t="s">
        <v>1448</v>
      </c>
      <c r="K420" t="s">
        <v>252</v>
      </c>
      <c r="L420" t="s">
        <v>4594</v>
      </c>
      <c r="M420" s="7">
        <v>1165</v>
      </c>
      <c r="N420" t="s">
        <v>4581</v>
      </c>
      <c r="O420" s="7">
        <v>173200</v>
      </c>
      <c r="R420" s="7">
        <v>1</v>
      </c>
      <c r="S420" t="s">
        <v>3920</v>
      </c>
      <c r="T420" t="s">
        <v>2271</v>
      </c>
      <c r="U420" s="7">
        <v>1</v>
      </c>
      <c r="V420">
        <v>87.5</v>
      </c>
      <c r="W420" t="s">
        <v>35</v>
      </c>
      <c r="Y420" t="s">
        <v>2269</v>
      </c>
      <c r="Z420" t="s">
        <v>2313</v>
      </c>
      <c r="AB420" s="8">
        <v>103.25</v>
      </c>
      <c r="AC420" s="7">
        <v>0</v>
      </c>
      <c r="AF420" s="8">
        <v>103.25</v>
      </c>
    </row>
    <row r="421" spans="1:32" hidden="1">
      <c r="A421" s="7">
        <v>1015904</v>
      </c>
      <c r="B421" t="s">
        <v>4595</v>
      </c>
      <c r="C421" t="s">
        <v>4468</v>
      </c>
      <c r="D421" s="7">
        <v>7134260122536</v>
      </c>
      <c r="E421" t="s">
        <v>4596</v>
      </c>
      <c r="F421" t="s">
        <v>4597</v>
      </c>
      <c r="G421" t="s">
        <v>4468</v>
      </c>
      <c r="H421" t="s">
        <v>4455</v>
      </c>
      <c r="I421" t="s">
        <v>1154</v>
      </c>
      <c r="J421" t="s">
        <v>1155</v>
      </c>
      <c r="K421" t="s">
        <v>252</v>
      </c>
      <c r="L421" t="s">
        <v>2453</v>
      </c>
      <c r="M421" s="7">
        <v>1165</v>
      </c>
      <c r="N421" t="s">
        <v>4598</v>
      </c>
      <c r="O421" s="7">
        <v>154230</v>
      </c>
      <c r="R421" s="7">
        <v>1</v>
      </c>
      <c r="S421" t="s">
        <v>3920</v>
      </c>
      <c r="T421" t="s">
        <v>2271</v>
      </c>
      <c r="U421" s="7">
        <v>1</v>
      </c>
      <c r="V421">
        <v>87.5</v>
      </c>
      <c r="W421" t="s">
        <v>35</v>
      </c>
      <c r="Y421" t="s">
        <v>2269</v>
      </c>
      <c r="Z421" t="s">
        <v>2313</v>
      </c>
      <c r="AB421" s="8">
        <v>103.25</v>
      </c>
      <c r="AC421" s="7">
        <v>0</v>
      </c>
      <c r="AF421" s="8">
        <v>103.25</v>
      </c>
    </row>
    <row r="422" spans="1:32" hidden="1">
      <c r="A422" s="7">
        <v>1015905</v>
      </c>
      <c r="B422" t="s">
        <v>4599</v>
      </c>
      <c r="C422" t="s">
        <v>4468</v>
      </c>
      <c r="D422" s="7">
        <v>7134260122543</v>
      </c>
      <c r="E422" t="s">
        <v>4600</v>
      </c>
      <c r="F422" t="s">
        <v>4601</v>
      </c>
      <c r="G422" t="s">
        <v>4468</v>
      </c>
      <c r="H422" t="s">
        <v>4455</v>
      </c>
      <c r="I422" t="s">
        <v>4602</v>
      </c>
      <c r="J422" t="s">
        <v>4603</v>
      </c>
      <c r="K422" t="s">
        <v>252</v>
      </c>
      <c r="L422" t="s">
        <v>4604</v>
      </c>
      <c r="M422" s="7">
        <v>1165</v>
      </c>
      <c r="N422" t="s">
        <v>4581</v>
      </c>
      <c r="O422" s="7">
        <v>31510</v>
      </c>
      <c r="R422" s="7">
        <v>1</v>
      </c>
      <c r="S422" t="s">
        <v>3920</v>
      </c>
      <c r="T422" t="s">
        <v>2271</v>
      </c>
      <c r="U422" s="7">
        <v>1</v>
      </c>
      <c r="V422">
        <v>87.5</v>
      </c>
      <c r="W422" t="s">
        <v>35</v>
      </c>
      <c r="Y422" t="s">
        <v>2269</v>
      </c>
      <c r="Z422" t="s">
        <v>2313</v>
      </c>
      <c r="AB422" s="8">
        <v>103.25</v>
      </c>
      <c r="AC422" s="7">
        <v>0</v>
      </c>
      <c r="AF422" s="8">
        <v>103.25</v>
      </c>
    </row>
    <row r="423" spans="1:32" hidden="1">
      <c r="A423" s="7">
        <v>1015906</v>
      </c>
      <c r="B423" t="s">
        <v>4605</v>
      </c>
      <c r="C423" t="s">
        <v>4468</v>
      </c>
      <c r="D423" s="7">
        <v>7134260122535</v>
      </c>
      <c r="E423" t="s">
        <v>4606</v>
      </c>
      <c r="F423" t="s">
        <v>4607</v>
      </c>
      <c r="G423" t="s">
        <v>4468</v>
      </c>
      <c r="H423" t="s">
        <v>4455</v>
      </c>
      <c r="I423" t="s">
        <v>4608</v>
      </c>
      <c r="J423" t="s">
        <v>4609</v>
      </c>
      <c r="K423" t="s">
        <v>252</v>
      </c>
      <c r="L423" t="s">
        <v>4610</v>
      </c>
      <c r="M423" s="7">
        <v>1165</v>
      </c>
      <c r="N423" t="s">
        <v>4598</v>
      </c>
      <c r="O423" s="7">
        <v>86230</v>
      </c>
      <c r="R423" s="7">
        <v>1</v>
      </c>
      <c r="S423" t="s">
        <v>3920</v>
      </c>
      <c r="T423" t="s">
        <v>2271</v>
      </c>
      <c r="U423" s="7">
        <v>1</v>
      </c>
      <c r="V423">
        <v>87.5</v>
      </c>
      <c r="W423" t="s">
        <v>35</v>
      </c>
      <c r="Y423" t="s">
        <v>2269</v>
      </c>
      <c r="Z423" t="s">
        <v>2313</v>
      </c>
      <c r="AB423" s="8">
        <v>103.25</v>
      </c>
      <c r="AC423" s="7">
        <v>0</v>
      </c>
      <c r="AF423" s="8">
        <v>103.25</v>
      </c>
    </row>
    <row r="424" spans="1:32" hidden="1">
      <c r="A424" s="7">
        <v>1015907</v>
      </c>
      <c r="B424" t="s">
        <v>4611</v>
      </c>
      <c r="C424" t="s">
        <v>4468</v>
      </c>
      <c r="D424" s="7">
        <v>7134260122517</v>
      </c>
      <c r="E424" t="s">
        <v>4612</v>
      </c>
      <c r="F424" t="s">
        <v>4613</v>
      </c>
      <c r="G424" t="s">
        <v>4468</v>
      </c>
      <c r="H424" t="s">
        <v>4455</v>
      </c>
      <c r="I424" t="s">
        <v>4614</v>
      </c>
      <c r="J424" t="s">
        <v>4615</v>
      </c>
      <c r="K424" t="s">
        <v>252</v>
      </c>
      <c r="L424" t="s">
        <v>4616</v>
      </c>
      <c r="M424" s="7">
        <v>1165</v>
      </c>
      <c r="N424" t="s">
        <v>4565</v>
      </c>
      <c r="O424" s="7">
        <v>75898</v>
      </c>
      <c r="R424" s="7">
        <v>1</v>
      </c>
      <c r="S424" t="s">
        <v>3920</v>
      </c>
      <c r="T424" t="s">
        <v>2271</v>
      </c>
      <c r="U424" s="7">
        <v>1</v>
      </c>
      <c r="V424">
        <v>87.5</v>
      </c>
      <c r="W424" t="s">
        <v>35</v>
      </c>
      <c r="Y424" t="s">
        <v>2269</v>
      </c>
      <c r="Z424" t="s">
        <v>2313</v>
      </c>
      <c r="AB424" s="8">
        <v>103.25</v>
      </c>
      <c r="AC424" s="7">
        <v>0</v>
      </c>
      <c r="AF424" s="8">
        <v>103.25</v>
      </c>
    </row>
    <row r="425" spans="1:32" hidden="1">
      <c r="A425" s="7">
        <v>1015908</v>
      </c>
      <c r="B425" t="s">
        <v>4617</v>
      </c>
      <c r="C425" t="s">
        <v>4468</v>
      </c>
      <c r="D425" s="7">
        <v>7134260122511</v>
      </c>
      <c r="E425" t="s">
        <v>4618</v>
      </c>
      <c r="F425" t="s">
        <v>4619</v>
      </c>
      <c r="G425" t="s">
        <v>4468</v>
      </c>
      <c r="H425" t="s">
        <v>4455</v>
      </c>
      <c r="I425" t="s">
        <v>1552</v>
      </c>
      <c r="J425" t="s">
        <v>1553</v>
      </c>
      <c r="K425" t="s">
        <v>252</v>
      </c>
      <c r="L425" t="s">
        <v>4620</v>
      </c>
      <c r="M425" s="7">
        <v>1165</v>
      </c>
      <c r="N425" t="s">
        <v>4565</v>
      </c>
      <c r="O425" s="7">
        <v>127867</v>
      </c>
      <c r="R425" s="7">
        <v>1</v>
      </c>
      <c r="S425" t="s">
        <v>3920</v>
      </c>
      <c r="T425" t="s">
        <v>2271</v>
      </c>
      <c r="U425" s="7">
        <v>1</v>
      </c>
      <c r="V425">
        <v>87.5</v>
      </c>
      <c r="W425" t="s">
        <v>35</v>
      </c>
      <c r="Y425" t="s">
        <v>2269</v>
      </c>
      <c r="Z425" t="s">
        <v>2313</v>
      </c>
      <c r="AB425" s="8">
        <v>103.25</v>
      </c>
      <c r="AC425" s="7">
        <v>0</v>
      </c>
      <c r="AF425" s="8">
        <v>103.25</v>
      </c>
    </row>
    <row r="426" spans="1:32" hidden="1">
      <c r="A426" s="7">
        <v>1015909</v>
      </c>
      <c r="B426" t="s">
        <v>4621</v>
      </c>
      <c r="C426" t="s">
        <v>4468</v>
      </c>
      <c r="D426" s="7">
        <v>7134260122545</v>
      </c>
      <c r="E426" t="s">
        <v>4622</v>
      </c>
      <c r="F426" t="s">
        <v>4623</v>
      </c>
      <c r="G426" t="s">
        <v>4468</v>
      </c>
      <c r="H426" t="s">
        <v>4455</v>
      </c>
      <c r="I426" t="s">
        <v>4624</v>
      </c>
      <c r="J426" t="s">
        <v>4625</v>
      </c>
      <c r="K426" t="s">
        <v>252</v>
      </c>
      <c r="L426" t="s">
        <v>4487</v>
      </c>
      <c r="M426" s="7">
        <v>1165</v>
      </c>
      <c r="N426" t="s">
        <v>4581</v>
      </c>
      <c r="O426" s="7">
        <v>41200</v>
      </c>
      <c r="R426" s="7">
        <v>1</v>
      </c>
      <c r="S426" t="s">
        <v>3920</v>
      </c>
      <c r="T426" t="s">
        <v>2271</v>
      </c>
      <c r="U426" s="7">
        <v>1</v>
      </c>
      <c r="V426">
        <v>87.5</v>
      </c>
      <c r="W426" t="s">
        <v>35</v>
      </c>
      <c r="Y426" t="s">
        <v>2269</v>
      </c>
      <c r="Z426" t="s">
        <v>2313</v>
      </c>
      <c r="AB426" s="8">
        <v>103.25</v>
      </c>
      <c r="AC426" s="7">
        <v>0</v>
      </c>
      <c r="AF426" s="8">
        <v>103.25</v>
      </c>
    </row>
    <row r="427" spans="1:32" hidden="1">
      <c r="A427" s="7">
        <v>1015910</v>
      </c>
      <c r="B427" t="s">
        <v>4626</v>
      </c>
      <c r="C427" t="s">
        <v>4468</v>
      </c>
      <c r="D427" s="7">
        <v>7134260122546</v>
      </c>
      <c r="E427" t="s">
        <v>4627</v>
      </c>
      <c r="F427" t="s">
        <v>4628</v>
      </c>
      <c r="G427" t="s">
        <v>4468</v>
      </c>
      <c r="H427" t="s">
        <v>4455</v>
      </c>
      <c r="I427" t="s">
        <v>4629</v>
      </c>
      <c r="J427" t="s">
        <v>4630</v>
      </c>
      <c r="K427" t="s">
        <v>252</v>
      </c>
      <c r="L427" t="s">
        <v>2732</v>
      </c>
      <c r="M427" s="7">
        <v>1165</v>
      </c>
      <c r="N427" t="s">
        <v>4581</v>
      </c>
      <c r="O427" s="7">
        <v>10810</v>
      </c>
      <c r="R427" s="7">
        <v>1</v>
      </c>
      <c r="S427" t="s">
        <v>3920</v>
      </c>
      <c r="T427" t="s">
        <v>2271</v>
      </c>
      <c r="U427" s="7">
        <v>1</v>
      </c>
      <c r="V427">
        <v>87.5</v>
      </c>
      <c r="W427" t="s">
        <v>35</v>
      </c>
      <c r="Y427" t="s">
        <v>2269</v>
      </c>
      <c r="Z427" t="s">
        <v>2313</v>
      </c>
      <c r="AB427" s="8">
        <v>103.25</v>
      </c>
      <c r="AC427" s="7">
        <v>0</v>
      </c>
      <c r="AF427" s="8">
        <v>103.25</v>
      </c>
    </row>
    <row r="428" spans="1:32" hidden="1">
      <c r="A428" s="7">
        <v>1015911</v>
      </c>
      <c r="B428" t="s">
        <v>4631</v>
      </c>
      <c r="C428" t="s">
        <v>4468</v>
      </c>
      <c r="D428" s="7">
        <v>7134260122524</v>
      </c>
      <c r="E428" t="s">
        <v>4632</v>
      </c>
      <c r="F428" t="s">
        <v>4633</v>
      </c>
      <c r="G428" t="s">
        <v>4468</v>
      </c>
      <c r="H428" t="s">
        <v>4455</v>
      </c>
      <c r="I428" t="s">
        <v>943</v>
      </c>
      <c r="J428" t="s">
        <v>944</v>
      </c>
      <c r="K428" t="s">
        <v>252</v>
      </c>
      <c r="L428" t="s">
        <v>2331</v>
      </c>
      <c r="M428" s="7">
        <v>1165</v>
      </c>
      <c r="N428" t="s">
        <v>4598</v>
      </c>
      <c r="O428" s="7">
        <v>70456</v>
      </c>
      <c r="R428" s="7">
        <v>1</v>
      </c>
      <c r="S428" t="s">
        <v>3920</v>
      </c>
      <c r="T428" t="s">
        <v>2271</v>
      </c>
      <c r="U428" s="7">
        <v>1</v>
      </c>
      <c r="V428">
        <v>87.5</v>
      </c>
      <c r="W428" t="s">
        <v>35</v>
      </c>
      <c r="Y428" t="s">
        <v>2269</v>
      </c>
      <c r="Z428" t="s">
        <v>2313</v>
      </c>
      <c r="AB428" s="8">
        <v>103.25</v>
      </c>
      <c r="AC428" s="7">
        <v>0</v>
      </c>
      <c r="AF428" s="8">
        <v>103.25</v>
      </c>
    </row>
    <row r="429" spans="1:32" hidden="1">
      <c r="A429" s="7">
        <v>1015912</v>
      </c>
      <c r="B429" t="s">
        <v>4634</v>
      </c>
      <c r="C429" t="s">
        <v>4468</v>
      </c>
      <c r="D429" s="7">
        <v>7134260122527</v>
      </c>
      <c r="E429" t="s">
        <v>4635</v>
      </c>
      <c r="F429" t="s">
        <v>4636</v>
      </c>
      <c r="G429" t="s">
        <v>4468</v>
      </c>
      <c r="H429" t="s">
        <v>4455</v>
      </c>
      <c r="I429" t="s">
        <v>352</v>
      </c>
      <c r="J429" t="s">
        <v>353</v>
      </c>
      <c r="K429" t="s">
        <v>252</v>
      </c>
      <c r="L429" t="s">
        <v>2842</v>
      </c>
      <c r="M429" s="7">
        <v>1165</v>
      </c>
      <c r="N429" t="s">
        <v>4598</v>
      </c>
      <c r="O429" s="7">
        <v>40566</v>
      </c>
      <c r="R429" s="7">
        <v>1</v>
      </c>
      <c r="S429" t="s">
        <v>3920</v>
      </c>
      <c r="T429" t="s">
        <v>2271</v>
      </c>
      <c r="U429" s="7">
        <v>1</v>
      </c>
      <c r="V429">
        <v>87.5</v>
      </c>
      <c r="W429" t="s">
        <v>35</v>
      </c>
      <c r="Y429" t="s">
        <v>2269</v>
      </c>
      <c r="Z429" t="s">
        <v>2313</v>
      </c>
      <c r="AB429" s="8">
        <v>103.25</v>
      </c>
      <c r="AC429" s="7">
        <v>0</v>
      </c>
      <c r="AF429" s="8">
        <v>103.25</v>
      </c>
    </row>
    <row r="430" spans="1:32" hidden="1">
      <c r="A430" s="7">
        <v>1015913</v>
      </c>
      <c r="B430" t="s">
        <v>4637</v>
      </c>
      <c r="C430" t="s">
        <v>4468</v>
      </c>
      <c r="D430" s="7">
        <v>7134260122529</v>
      </c>
      <c r="E430" t="s">
        <v>4638</v>
      </c>
      <c r="F430" t="s">
        <v>4639</v>
      </c>
      <c r="G430" t="s">
        <v>4468</v>
      </c>
      <c r="H430" t="s">
        <v>4455</v>
      </c>
      <c r="I430" t="s">
        <v>639</v>
      </c>
      <c r="J430" t="s">
        <v>640</v>
      </c>
      <c r="K430" t="s">
        <v>252</v>
      </c>
      <c r="L430" t="s">
        <v>2722</v>
      </c>
      <c r="M430" s="7">
        <v>1165</v>
      </c>
      <c r="N430" t="s">
        <v>4598</v>
      </c>
      <c r="O430" s="7">
        <v>31233</v>
      </c>
      <c r="R430" s="7">
        <v>1</v>
      </c>
      <c r="S430" t="s">
        <v>3920</v>
      </c>
      <c r="T430" t="s">
        <v>2271</v>
      </c>
      <c r="U430" s="7">
        <v>1</v>
      </c>
      <c r="V430">
        <v>87.5</v>
      </c>
      <c r="W430" t="s">
        <v>35</v>
      </c>
      <c r="Y430" t="s">
        <v>2269</v>
      </c>
      <c r="Z430" t="s">
        <v>2313</v>
      </c>
      <c r="AB430" s="8">
        <v>103.25</v>
      </c>
      <c r="AC430" s="7">
        <v>0</v>
      </c>
      <c r="AF430" s="8">
        <v>103.25</v>
      </c>
    </row>
    <row r="431" spans="1:32" hidden="1">
      <c r="A431" s="7">
        <v>1015916</v>
      </c>
      <c r="B431" t="s">
        <v>4640</v>
      </c>
      <c r="C431" t="s">
        <v>4468</v>
      </c>
      <c r="D431" s="7">
        <v>7134260122523</v>
      </c>
      <c r="E431" t="s">
        <v>4641</v>
      </c>
      <c r="F431" t="s">
        <v>4642</v>
      </c>
      <c r="G431" t="s">
        <v>4468</v>
      </c>
      <c r="H431" t="s">
        <v>4455</v>
      </c>
      <c r="I431" t="s">
        <v>1504</v>
      </c>
      <c r="J431" t="s">
        <v>1505</v>
      </c>
      <c r="K431" t="s">
        <v>252</v>
      </c>
      <c r="L431" t="s">
        <v>4643</v>
      </c>
      <c r="M431" s="7">
        <v>1165</v>
      </c>
      <c r="N431" t="s">
        <v>4598</v>
      </c>
      <c r="O431" s="7">
        <v>50078</v>
      </c>
      <c r="R431" s="7">
        <v>1</v>
      </c>
      <c r="S431" t="s">
        <v>3920</v>
      </c>
      <c r="T431" t="s">
        <v>2271</v>
      </c>
      <c r="U431" s="7">
        <v>1</v>
      </c>
      <c r="V431">
        <v>87.5</v>
      </c>
      <c r="W431" t="s">
        <v>35</v>
      </c>
      <c r="Y431" t="s">
        <v>2269</v>
      </c>
      <c r="Z431" t="s">
        <v>2313</v>
      </c>
      <c r="AB431" s="8">
        <v>103.25</v>
      </c>
      <c r="AC431" s="7">
        <v>0</v>
      </c>
      <c r="AF431" s="8">
        <v>103.25</v>
      </c>
    </row>
    <row r="432" spans="1:32" hidden="1">
      <c r="A432" s="7">
        <v>1015917</v>
      </c>
      <c r="B432" t="s">
        <v>4644</v>
      </c>
      <c r="C432" t="s">
        <v>4468</v>
      </c>
      <c r="D432" s="7">
        <v>7134260122520</v>
      </c>
      <c r="E432" t="s">
        <v>4645</v>
      </c>
      <c r="F432" t="s">
        <v>4646</v>
      </c>
      <c r="G432" t="s">
        <v>4468</v>
      </c>
      <c r="H432" t="s">
        <v>4455</v>
      </c>
      <c r="I432" t="s">
        <v>433</v>
      </c>
      <c r="J432" t="s">
        <v>434</v>
      </c>
      <c r="K432" t="s">
        <v>252</v>
      </c>
      <c r="L432" t="s">
        <v>4647</v>
      </c>
      <c r="M432" s="7">
        <v>1165</v>
      </c>
      <c r="N432" t="s">
        <v>4598</v>
      </c>
      <c r="O432" s="7">
        <v>37310</v>
      </c>
      <c r="R432" s="7">
        <v>1</v>
      </c>
      <c r="S432" t="s">
        <v>3920</v>
      </c>
      <c r="T432" t="s">
        <v>2271</v>
      </c>
      <c r="U432" s="7">
        <v>1</v>
      </c>
      <c r="V432">
        <v>87.5</v>
      </c>
      <c r="W432" t="s">
        <v>35</v>
      </c>
      <c r="Y432" t="s">
        <v>2269</v>
      </c>
      <c r="Z432" t="s">
        <v>2313</v>
      </c>
      <c r="AB432" s="8">
        <v>103.25</v>
      </c>
      <c r="AC432" s="7">
        <v>0</v>
      </c>
      <c r="AF432" s="8">
        <v>103.25</v>
      </c>
    </row>
    <row r="433" spans="1:32" hidden="1">
      <c r="A433" s="7">
        <v>1015920</v>
      </c>
      <c r="B433" t="s">
        <v>4648</v>
      </c>
      <c r="C433" t="s">
        <v>4468</v>
      </c>
      <c r="D433" s="7">
        <v>7134260122525</v>
      </c>
      <c r="E433" t="s">
        <v>4649</v>
      </c>
      <c r="F433" t="s">
        <v>4650</v>
      </c>
      <c r="G433" t="s">
        <v>4468</v>
      </c>
      <c r="H433" t="s">
        <v>4455</v>
      </c>
      <c r="I433" t="s">
        <v>4651</v>
      </c>
      <c r="J433" t="s">
        <v>4652</v>
      </c>
      <c r="K433" t="s">
        <v>252</v>
      </c>
      <c r="L433" t="s">
        <v>4653</v>
      </c>
      <c r="M433" s="7">
        <v>1165</v>
      </c>
      <c r="N433" t="s">
        <v>4598</v>
      </c>
      <c r="O433" s="7">
        <v>72560</v>
      </c>
      <c r="R433" s="7">
        <v>1</v>
      </c>
      <c r="S433" t="s">
        <v>3920</v>
      </c>
      <c r="T433" t="s">
        <v>2271</v>
      </c>
      <c r="U433" s="7">
        <v>1</v>
      </c>
      <c r="V433">
        <v>87.5</v>
      </c>
      <c r="W433" t="s">
        <v>35</v>
      </c>
      <c r="Y433" t="s">
        <v>2269</v>
      </c>
      <c r="Z433" t="s">
        <v>2313</v>
      </c>
      <c r="AB433" s="8">
        <v>103.25</v>
      </c>
      <c r="AC433" s="7">
        <v>0</v>
      </c>
      <c r="AF433" s="8">
        <v>103.25</v>
      </c>
    </row>
    <row r="434" spans="1:32" hidden="1">
      <c r="A434" s="7">
        <v>1015921</v>
      </c>
      <c r="B434" t="s">
        <v>4654</v>
      </c>
      <c r="C434" t="s">
        <v>4468</v>
      </c>
      <c r="D434" s="7">
        <v>7134260122521</v>
      </c>
      <c r="E434" t="s">
        <v>4655</v>
      </c>
      <c r="F434" t="s">
        <v>4656</v>
      </c>
      <c r="G434" t="s">
        <v>4468</v>
      </c>
      <c r="H434" t="s">
        <v>4455</v>
      </c>
      <c r="I434" t="s">
        <v>2155</v>
      </c>
      <c r="J434" t="s">
        <v>2156</v>
      </c>
      <c r="K434" t="s">
        <v>252</v>
      </c>
      <c r="L434" t="s">
        <v>4657</v>
      </c>
      <c r="M434" s="7">
        <v>1165</v>
      </c>
      <c r="N434" t="s">
        <v>4598</v>
      </c>
      <c r="O434" s="7">
        <v>17400</v>
      </c>
      <c r="R434" s="7">
        <v>1</v>
      </c>
      <c r="S434" t="s">
        <v>3920</v>
      </c>
      <c r="T434" t="s">
        <v>2271</v>
      </c>
      <c r="U434" s="7">
        <v>1</v>
      </c>
      <c r="V434">
        <v>87.5</v>
      </c>
      <c r="W434" t="s">
        <v>35</v>
      </c>
      <c r="Y434" t="s">
        <v>2269</v>
      </c>
      <c r="Z434" t="s">
        <v>2313</v>
      </c>
      <c r="AB434" s="8">
        <v>103.25</v>
      </c>
      <c r="AC434" s="7">
        <v>0</v>
      </c>
      <c r="AF434" s="8">
        <v>103.25</v>
      </c>
    </row>
    <row r="435" spans="1:32" hidden="1">
      <c r="A435" s="7">
        <v>1015924</v>
      </c>
      <c r="B435" t="s">
        <v>4658</v>
      </c>
      <c r="C435" t="s">
        <v>4468</v>
      </c>
      <c r="D435" s="7">
        <v>7134260122519</v>
      </c>
      <c r="E435" t="s">
        <v>4659</v>
      </c>
      <c r="F435" t="s">
        <v>4660</v>
      </c>
      <c r="G435" t="s">
        <v>4468</v>
      </c>
      <c r="H435" t="s">
        <v>4455</v>
      </c>
      <c r="I435" t="s">
        <v>1296</v>
      </c>
      <c r="J435" t="s">
        <v>1297</v>
      </c>
      <c r="K435" t="s">
        <v>252</v>
      </c>
      <c r="L435" t="s">
        <v>2265</v>
      </c>
      <c r="M435" s="7">
        <v>1165</v>
      </c>
      <c r="N435" t="s">
        <v>4598</v>
      </c>
      <c r="O435" s="7">
        <v>102333</v>
      </c>
      <c r="R435" s="7">
        <v>1</v>
      </c>
      <c r="S435" t="s">
        <v>3920</v>
      </c>
      <c r="T435" t="s">
        <v>2271</v>
      </c>
      <c r="U435" s="7">
        <v>1</v>
      </c>
      <c r="V435">
        <v>87.5</v>
      </c>
      <c r="W435" t="s">
        <v>35</v>
      </c>
      <c r="Y435" t="s">
        <v>2269</v>
      </c>
      <c r="Z435" t="s">
        <v>2313</v>
      </c>
      <c r="AB435" s="8">
        <v>103.25</v>
      </c>
      <c r="AC435" s="7">
        <v>0</v>
      </c>
      <c r="AF435" s="8">
        <v>103.25</v>
      </c>
    </row>
    <row r="436" spans="1:32" hidden="1">
      <c r="A436" s="7">
        <v>1015927</v>
      </c>
      <c r="B436" t="s">
        <v>4661</v>
      </c>
      <c r="C436" t="s">
        <v>4468</v>
      </c>
      <c r="D436" s="7">
        <v>7134260122544</v>
      </c>
      <c r="E436" t="s">
        <v>4662</v>
      </c>
      <c r="F436" t="s">
        <v>4663</v>
      </c>
      <c r="G436" t="s">
        <v>4468</v>
      </c>
      <c r="H436" t="s">
        <v>4455</v>
      </c>
      <c r="I436" t="s">
        <v>1422</v>
      </c>
      <c r="J436" t="s">
        <v>1423</v>
      </c>
      <c r="K436" t="s">
        <v>252</v>
      </c>
      <c r="L436" t="s">
        <v>4664</v>
      </c>
      <c r="M436" s="7">
        <v>1165</v>
      </c>
      <c r="N436" t="s">
        <v>4581</v>
      </c>
      <c r="O436" s="7">
        <v>84230</v>
      </c>
      <c r="R436" s="7">
        <v>1</v>
      </c>
      <c r="S436" t="s">
        <v>3920</v>
      </c>
      <c r="T436" t="s">
        <v>2271</v>
      </c>
      <c r="U436" s="7">
        <v>1</v>
      </c>
      <c r="V436">
        <v>87.5</v>
      </c>
      <c r="W436" t="s">
        <v>35</v>
      </c>
      <c r="Y436" t="s">
        <v>2269</v>
      </c>
      <c r="Z436" t="s">
        <v>2313</v>
      </c>
      <c r="AB436" s="8">
        <v>103.25</v>
      </c>
      <c r="AC436" s="7">
        <v>0</v>
      </c>
      <c r="AF436" s="8">
        <v>103.25</v>
      </c>
    </row>
    <row r="437" spans="1:32" hidden="1">
      <c r="A437" s="7">
        <v>1015928</v>
      </c>
      <c r="B437" t="s">
        <v>4665</v>
      </c>
      <c r="C437" t="s">
        <v>4468</v>
      </c>
      <c r="D437" s="7">
        <v>7134260122547</v>
      </c>
      <c r="E437" t="s">
        <v>4666</v>
      </c>
      <c r="F437" t="s">
        <v>4667</v>
      </c>
      <c r="G437" t="s">
        <v>4468</v>
      </c>
      <c r="H437" t="s">
        <v>4455</v>
      </c>
      <c r="I437" t="s">
        <v>4668</v>
      </c>
      <c r="J437" t="s">
        <v>4669</v>
      </c>
      <c r="K437" t="s">
        <v>252</v>
      </c>
      <c r="L437" t="s">
        <v>2732</v>
      </c>
      <c r="M437" s="7">
        <v>1165</v>
      </c>
      <c r="N437" t="s">
        <v>4581</v>
      </c>
      <c r="O437" s="7">
        <v>11234</v>
      </c>
      <c r="R437" s="7">
        <v>1</v>
      </c>
      <c r="S437" t="s">
        <v>3920</v>
      </c>
      <c r="T437" t="s">
        <v>2271</v>
      </c>
      <c r="U437" s="7">
        <v>1</v>
      </c>
      <c r="V437">
        <v>87.5</v>
      </c>
      <c r="W437" t="s">
        <v>35</v>
      </c>
      <c r="Y437" t="s">
        <v>2269</v>
      </c>
      <c r="Z437" t="s">
        <v>2313</v>
      </c>
      <c r="AB437" s="8">
        <v>103.25</v>
      </c>
      <c r="AC437" s="7">
        <v>0</v>
      </c>
      <c r="AF437" s="8">
        <v>103.25</v>
      </c>
    </row>
    <row r="438" spans="1:32" hidden="1">
      <c r="A438" s="7">
        <v>1015929</v>
      </c>
      <c r="B438" t="s">
        <v>4670</v>
      </c>
      <c r="C438" t="s">
        <v>4468</v>
      </c>
      <c r="D438" s="7">
        <v>7134260122531</v>
      </c>
      <c r="E438" t="s">
        <v>4671</v>
      </c>
      <c r="F438" t="s">
        <v>4672</v>
      </c>
      <c r="G438" t="s">
        <v>4468</v>
      </c>
      <c r="H438" t="s">
        <v>4455</v>
      </c>
      <c r="I438" t="s">
        <v>3302</v>
      </c>
      <c r="J438" t="s">
        <v>3303</v>
      </c>
      <c r="K438" t="s">
        <v>252</v>
      </c>
      <c r="L438" t="s">
        <v>3304</v>
      </c>
      <c r="N438" t="s">
        <v>4598</v>
      </c>
      <c r="O438" s="7">
        <v>3423</v>
      </c>
      <c r="R438" s="7">
        <v>1</v>
      </c>
      <c r="S438" t="s">
        <v>3920</v>
      </c>
      <c r="T438" t="s">
        <v>2271</v>
      </c>
      <c r="U438" s="7">
        <v>1</v>
      </c>
      <c r="V438">
        <v>87.5</v>
      </c>
      <c r="W438" t="s">
        <v>35</v>
      </c>
      <c r="Y438" t="s">
        <v>2269</v>
      </c>
      <c r="Z438" t="s">
        <v>2313</v>
      </c>
      <c r="AB438" s="8">
        <v>103.25</v>
      </c>
      <c r="AC438" s="7">
        <v>0</v>
      </c>
      <c r="AF438" s="8">
        <v>103.25</v>
      </c>
    </row>
    <row r="439" spans="1:32" hidden="1">
      <c r="A439" s="7">
        <v>1015930</v>
      </c>
      <c r="B439" t="s">
        <v>4673</v>
      </c>
      <c r="C439" t="s">
        <v>4452</v>
      </c>
      <c r="D439" s="7">
        <v>7134260122443</v>
      </c>
      <c r="E439" t="s">
        <v>4674</v>
      </c>
      <c r="F439" t="s">
        <v>4675</v>
      </c>
      <c r="G439" t="s">
        <v>4468</v>
      </c>
      <c r="H439" t="s">
        <v>4455</v>
      </c>
      <c r="I439" t="s">
        <v>3159</v>
      </c>
      <c r="J439" t="s">
        <v>3160</v>
      </c>
      <c r="K439" t="s">
        <v>252</v>
      </c>
      <c r="L439" t="s">
        <v>4676</v>
      </c>
      <c r="M439" s="7">
        <v>1165</v>
      </c>
      <c r="N439" t="s">
        <v>4475</v>
      </c>
      <c r="O439" s="7">
        <v>7651</v>
      </c>
      <c r="R439" s="7">
        <v>1</v>
      </c>
      <c r="S439" t="s">
        <v>3920</v>
      </c>
      <c r="T439" t="s">
        <v>2271</v>
      </c>
      <c r="U439" s="7">
        <v>1</v>
      </c>
      <c r="V439">
        <v>87.5</v>
      </c>
      <c r="W439" t="s">
        <v>35</v>
      </c>
      <c r="Y439" t="s">
        <v>2269</v>
      </c>
      <c r="Z439" t="s">
        <v>2313</v>
      </c>
      <c r="AB439" s="8">
        <v>103.25</v>
      </c>
      <c r="AC439" s="7">
        <v>0</v>
      </c>
      <c r="AF439" s="8">
        <v>103.25</v>
      </c>
    </row>
    <row r="440" spans="1:32" hidden="1">
      <c r="A440" s="7">
        <v>1015931</v>
      </c>
      <c r="B440" t="s">
        <v>4677</v>
      </c>
      <c r="C440" t="s">
        <v>4468</v>
      </c>
      <c r="D440" s="7">
        <v>7134260122507</v>
      </c>
      <c r="E440" t="s">
        <v>4678</v>
      </c>
      <c r="F440" t="s">
        <v>4679</v>
      </c>
      <c r="G440" t="s">
        <v>4468</v>
      </c>
      <c r="H440" t="s">
        <v>4455</v>
      </c>
      <c r="I440" t="s">
        <v>339</v>
      </c>
      <c r="J440" t="s">
        <v>340</v>
      </c>
      <c r="K440" t="s">
        <v>252</v>
      </c>
      <c r="L440" t="s">
        <v>4680</v>
      </c>
      <c r="M440" s="7">
        <v>1165</v>
      </c>
      <c r="N440" t="s">
        <v>4565</v>
      </c>
      <c r="O440" s="7">
        <v>15666</v>
      </c>
      <c r="R440" s="7">
        <v>1</v>
      </c>
      <c r="S440" t="s">
        <v>3920</v>
      </c>
      <c r="T440" t="s">
        <v>2271</v>
      </c>
      <c r="U440" s="7">
        <v>1</v>
      </c>
      <c r="V440">
        <v>87.5</v>
      </c>
      <c r="W440" t="s">
        <v>35</v>
      </c>
      <c r="Y440" t="s">
        <v>2269</v>
      </c>
      <c r="Z440" t="s">
        <v>2313</v>
      </c>
      <c r="AB440" s="8">
        <v>103.25</v>
      </c>
      <c r="AC440" s="7">
        <v>0</v>
      </c>
      <c r="AF440" s="8">
        <v>103.25</v>
      </c>
    </row>
    <row r="441" spans="1:32" hidden="1">
      <c r="A441" s="7">
        <v>1015932</v>
      </c>
      <c r="B441" t="s">
        <v>4681</v>
      </c>
      <c r="C441" t="s">
        <v>4468</v>
      </c>
      <c r="D441" s="7">
        <v>7134260122530</v>
      </c>
      <c r="E441" t="s">
        <v>4682</v>
      </c>
      <c r="F441" t="s">
        <v>4683</v>
      </c>
      <c r="G441" t="s">
        <v>4468</v>
      </c>
      <c r="H441" t="s">
        <v>4455</v>
      </c>
      <c r="I441" t="s">
        <v>286</v>
      </c>
      <c r="J441" t="s">
        <v>287</v>
      </c>
      <c r="K441" t="s">
        <v>252</v>
      </c>
      <c r="L441" t="s">
        <v>3929</v>
      </c>
      <c r="M441" s="7">
        <v>1160</v>
      </c>
      <c r="N441" t="s">
        <v>4598</v>
      </c>
      <c r="O441" s="7">
        <v>2650</v>
      </c>
      <c r="R441" s="7">
        <v>1</v>
      </c>
      <c r="S441" t="s">
        <v>3920</v>
      </c>
      <c r="T441" t="s">
        <v>2271</v>
      </c>
      <c r="U441" s="7">
        <v>1</v>
      </c>
      <c r="V441">
        <v>87.5</v>
      </c>
      <c r="W441" t="s">
        <v>35</v>
      </c>
      <c r="Y441" t="s">
        <v>2269</v>
      </c>
      <c r="Z441" t="s">
        <v>2313</v>
      </c>
      <c r="AB441" s="8">
        <v>103.25</v>
      </c>
      <c r="AC441" s="7">
        <v>0</v>
      </c>
      <c r="AF441" s="8">
        <v>103.25</v>
      </c>
    </row>
    <row r="442" spans="1:32" hidden="1">
      <c r="A442" s="7">
        <v>1015933</v>
      </c>
      <c r="B442" t="s">
        <v>4684</v>
      </c>
      <c r="C442" t="s">
        <v>4452</v>
      </c>
      <c r="D442" s="7">
        <v>7134260122473</v>
      </c>
      <c r="E442" t="s">
        <v>4685</v>
      </c>
      <c r="F442" t="s">
        <v>4686</v>
      </c>
      <c r="G442" t="s">
        <v>4468</v>
      </c>
      <c r="H442" t="s">
        <v>4455</v>
      </c>
      <c r="I442" t="s">
        <v>734</v>
      </c>
      <c r="J442" t="s">
        <v>735</v>
      </c>
      <c r="K442" t="s">
        <v>252</v>
      </c>
      <c r="L442" t="s">
        <v>3997</v>
      </c>
      <c r="M442" s="7">
        <v>1165</v>
      </c>
      <c r="N442" t="s">
        <v>4457</v>
      </c>
      <c r="O442" s="7">
        <v>31222</v>
      </c>
      <c r="R442" s="7">
        <v>1</v>
      </c>
      <c r="S442" t="s">
        <v>3920</v>
      </c>
      <c r="T442" t="s">
        <v>2271</v>
      </c>
      <c r="U442" s="7">
        <v>1</v>
      </c>
      <c r="V442">
        <v>87.5</v>
      </c>
      <c r="W442" t="s">
        <v>35</v>
      </c>
      <c r="Y442" t="s">
        <v>2269</v>
      </c>
      <c r="Z442" t="s">
        <v>2313</v>
      </c>
      <c r="AB442" s="8">
        <v>103.25</v>
      </c>
      <c r="AC442" s="7">
        <v>0</v>
      </c>
      <c r="AF442" s="8">
        <v>103.25</v>
      </c>
    </row>
    <row r="443" spans="1:32" hidden="1">
      <c r="A443" s="7">
        <v>1015934</v>
      </c>
      <c r="B443" t="s">
        <v>4687</v>
      </c>
      <c r="C443" t="s">
        <v>4452</v>
      </c>
      <c r="D443" s="7">
        <v>7134260122458</v>
      </c>
      <c r="E443" t="s">
        <v>4688</v>
      </c>
      <c r="F443" t="s">
        <v>4689</v>
      </c>
      <c r="G443" t="s">
        <v>4468</v>
      </c>
      <c r="H443" t="s">
        <v>4455</v>
      </c>
      <c r="I443" t="s">
        <v>3389</v>
      </c>
      <c r="J443" t="s">
        <v>3390</v>
      </c>
      <c r="K443" t="s">
        <v>252</v>
      </c>
      <c r="L443" t="s">
        <v>3972</v>
      </c>
      <c r="M443" s="7">
        <v>1060</v>
      </c>
      <c r="N443" t="s">
        <v>4272</v>
      </c>
      <c r="O443" s="7">
        <v>5567</v>
      </c>
      <c r="R443" s="7">
        <v>1</v>
      </c>
      <c r="S443" t="s">
        <v>3920</v>
      </c>
      <c r="T443" t="s">
        <v>2271</v>
      </c>
      <c r="U443" s="7">
        <v>1</v>
      </c>
      <c r="V443">
        <v>87.5</v>
      </c>
      <c r="W443" t="s">
        <v>35</v>
      </c>
      <c r="Y443" t="s">
        <v>2269</v>
      </c>
      <c r="Z443" t="s">
        <v>2313</v>
      </c>
      <c r="AB443" s="8">
        <v>103.25</v>
      </c>
      <c r="AC443" s="7">
        <v>0</v>
      </c>
      <c r="AF443" s="8">
        <v>103.25</v>
      </c>
    </row>
    <row r="444" spans="1:32" hidden="1">
      <c r="A444" s="7">
        <v>1015935</v>
      </c>
      <c r="B444" t="s">
        <v>4690</v>
      </c>
      <c r="C444" t="s">
        <v>4452</v>
      </c>
      <c r="D444" s="7">
        <v>7134260122492</v>
      </c>
      <c r="E444" t="s">
        <v>4691</v>
      </c>
      <c r="F444" t="s">
        <v>4692</v>
      </c>
      <c r="G444" t="s">
        <v>4468</v>
      </c>
      <c r="H444" t="s">
        <v>4455</v>
      </c>
      <c r="I444" t="s">
        <v>4693</v>
      </c>
      <c r="J444" t="s">
        <v>4694</v>
      </c>
      <c r="K444" t="s">
        <v>252</v>
      </c>
      <c r="L444" t="s">
        <v>2566</v>
      </c>
      <c r="M444" s="7">
        <v>1165</v>
      </c>
      <c r="N444" t="s">
        <v>4558</v>
      </c>
      <c r="O444" s="7">
        <v>33998</v>
      </c>
      <c r="R444" s="7">
        <v>1</v>
      </c>
      <c r="S444" t="s">
        <v>3920</v>
      </c>
      <c r="T444" t="s">
        <v>2271</v>
      </c>
      <c r="U444" s="7">
        <v>1</v>
      </c>
      <c r="V444">
        <v>87.5</v>
      </c>
      <c r="W444" t="s">
        <v>35</v>
      </c>
      <c r="Y444" t="s">
        <v>2269</v>
      </c>
      <c r="Z444" t="s">
        <v>2313</v>
      </c>
      <c r="AB444" s="8">
        <v>103.25</v>
      </c>
      <c r="AC444" s="7">
        <v>0</v>
      </c>
      <c r="AF444" s="8">
        <v>103.25</v>
      </c>
    </row>
    <row r="445" spans="1:32" hidden="1">
      <c r="A445" s="7">
        <v>1015937</v>
      </c>
      <c r="B445" t="s">
        <v>4695</v>
      </c>
      <c r="C445" t="s">
        <v>4452</v>
      </c>
      <c r="D445" s="7">
        <v>7134260122470</v>
      </c>
      <c r="E445" t="s">
        <v>4696</v>
      </c>
      <c r="F445" t="s">
        <v>4697</v>
      </c>
      <c r="G445" t="s">
        <v>4468</v>
      </c>
      <c r="H445" t="s">
        <v>4455</v>
      </c>
      <c r="I445" t="s">
        <v>4698</v>
      </c>
      <c r="J445" t="s">
        <v>4699</v>
      </c>
      <c r="K445" t="s">
        <v>252</v>
      </c>
      <c r="L445" t="s">
        <v>3681</v>
      </c>
      <c r="M445" s="7">
        <v>1165</v>
      </c>
      <c r="N445" t="s">
        <v>4457</v>
      </c>
      <c r="O445" s="7">
        <v>95444</v>
      </c>
      <c r="R445" s="7">
        <v>1</v>
      </c>
      <c r="S445" t="s">
        <v>3920</v>
      </c>
      <c r="T445" t="s">
        <v>2271</v>
      </c>
      <c r="U445" s="7">
        <v>1</v>
      </c>
      <c r="V445">
        <v>87.5</v>
      </c>
      <c r="W445" t="s">
        <v>35</v>
      </c>
      <c r="Y445" t="s">
        <v>2269</v>
      </c>
      <c r="Z445" t="s">
        <v>2313</v>
      </c>
      <c r="AB445" s="8">
        <v>103.25</v>
      </c>
      <c r="AC445" s="7">
        <v>0</v>
      </c>
      <c r="AF445" s="8">
        <v>103.25</v>
      </c>
    </row>
    <row r="446" spans="1:32" hidden="1">
      <c r="A446" s="7">
        <v>1015938</v>
      </c>
      <c r="B446" t="s">
        <v>4700</v>
      </c>
      <c r="C446" t="s">
        <v>4468</v>
      </c>
      <c r="D446" s="7">
        <v>7134260122526</v>
      </c>
      <c r="E446" t="s">
        <v>4701</v>
      </c>
      <c r="F446" t="s">
        <v>4702</v>
      </c>
      <c r="G446" t="s">
        <v>4468</v>
      </c>
      <c r="H446" t="s">
        <v>4455</v>
      </c>
      <c r="I446" t="s">
        <v>1298</v>
      </c>
      <c r="J446" t="s">
        <v>1299</v>
      </c>
      <c r="K446" t="s">
        <v>252</v>
      </c>
      <c r="L446" t="s">
        <v>4703</v>
      </c>
      <c r="M446" s="7">
        <v>1165</v>
      </c>
      <c r="N446" t="s">
        <v>4598</v>
      </c>
      <c r="O446" s="7">
        <v>36455</v>
      </c>
      <c r="R446" s="7">
        <v>1</v>
      </c>
      <c r="S446" t="s">
        <v>3920</v>
      </c>
      <c r="T446" t="s">
        <v>2271</v>
      </c>
      <c r="U446" s="7">
        <v>1</v>
      </c>
      <c r="V446">
        <v>87.5</v>
      </c>
      <c r="W446" t="s">
        <v>35</v>
      </c>
      <c r="Y446" t="s">
        <v>2269</v>
      </c>
      <c r="Z446" t="s">
        <v>2313</v>
      </c>
      <c r="AB446" s="8">
        <v>103.25</v>
      </c>
      <c r="AC446" s="7">
        <v>0</v>
      </c>
      <c r="AF446" s="8">
        <v>103.25</v>
      </c>
    </row>
    <row r="447" spans="1:32" hidden="1">
      <c r="A447" s="7">
        <v>1015940</v>
      </c>
      <c r="B447" t="s">
        <v>4704</v>
      </c>
      <c r="C447" t="s">
        <v>4452</v>
      </c>
      <c r="D447" s="7">
        <v>7134260122460</v>
      </c>
      <c r="E447" t="s">
        <v>4705</v>
      </c>
      <c r="F447" t="s">
        <v>4706</v>
      </c>
      <c r="G447" t="s">
        <v>4468</v>
      </c>
      <c r="H447" t="s">
        <v>4455</v>
      </c>
      <c r="I447" t="s">
        <v>4707</v>
      </c>
      <c r="J447" t="s">
        <v>4708</v>
      </c>
      <c r="K447" t="s">
        <v>252</v>
      </c>
      <c r="L447" t="s">
        <v>2464</v>
      </c>
      <c r="M447" s="7">
        <v>1165</v>
      </c>
      <c r="N447" t="s">
        <v>4272</v>
      </c>
      <c r="O447" s="7">
        <v>17899</v>
      </c>
      <c r="R447" s="7">
        <v>1</v>
      </c>
      <c r="S447" t="s">
        <v>3920</v>
      </c>
      <c r="T447" t="s">
        <v>2271</v>
      </c>
      <c r="U447" s="7">
        <v>1</v>
      </c>
      <c r="V447">
        <v>87.5</v>
      </c>
      <c r="W447" t="s">
        <v>35</v>
      </c>
      <c r="Y447" t="s">
        <v>2269</v>
      </c>
      <c r="Z447" t="s">
        <v>2313</v>
      </c>
      <c r="AB447" s="8">
        <v>103.25</v>
      </c>
      <c r="AC447" s="7">
        <v>0</v>
      </c>
      <c r="AF447" s="8">
        <v>103.25</v>
      </c>
    </row>
    <row r="448" spans="1:32" hidden="1">
      <c r="A448" s="7">
        <v>1015941</v>
      </c>
      <c r="B448" t="s">
        <v>4709</v>
      </c>
      <c r="C448" t="s">
        <v>4468</v>
      </c>
      <c r="D448" s="7">
        <v>7134260122532</v>
      </c>
      <c r="E448" t="s">
        <v>4710</v>
      </c>
      <c r="F448" t="s">
        <v>4711</v>
      </c>
      <c r="G448" t="s">
        <v>4468</v>
      </c>
      <c r="H448" t="s">
        <v>4455</v>
      </c>
      <c r="I448" t="s">
        <v>4712</v>
      </c>
      <c r="J448" t="s">
        <v>4713</v>
      </c>
      <c r="K448" t="s">
        <v>252</v>
      </c>
      <c r="L448" t="s">
        <v>3304</v>
      </c>
      <c r="M448" s="7">
        <v>1160</v>
      </c>
      <c r="N448" t="s">
        <v>4598</v>
      </c>
      <c r="O448" s="7">
        <v>1435</v>
      </c>
      <c r="R448" s="7">
        <v>1</v>
      </c>
      <c r="S448" t="s">
        <v>3920</v>
      </c>
      <c r="T448" t="s">
        <v>2271</v>
      </c>
      <c r="U448" s="7">
        <v>1</v>
      </c>
      <c r="V448">
        <v>87.5</v>
      </c>
      <c r="W448" t="s">
        <v>35</v>
      </c>
      <c r="Y448" t="s">
        <v>2269</v>
      </c>
      <c r="Z448" t="s">
        <v>2313</v>
      </c>
      <c r="AB448" s="8">
        <v>103.25</v>
      </c>
      <c r="AC448" s="7">
        <v>0</v>
      </c>
      <c r="AF448" s="8">
        <v>103.25</v>
      </c>
    </row>
    <row r="449" spans="1:32" hidden="1">
      <c r="A449" s="7">
        <v>1015943</v>
      </c>
      <c r="B449" t="s">
        <v>4714</v>
      </c>
      <c r="C449" t="s">
        <v>4468</v>
      </c>
      <c r="D449" s="7">
        <v>7134260122534</v>
      </c>
      <c r="E449" t="s">
        <v>4715</v>
      </c>
      <c r="F449" t="s">
        <v>4716</v>
      </c>
      <c r="G449" t="s">
        <v>4468</v>
      </c>
      <c r="H449" t="s">
        <v>4455</v>
      </c>
      <c r="I449" t="s">
        <v>1370</v>
      </c>
      <c r="J449" t="s">
        <v>1371</v>
      </c>
      <c r="K449" t="s">
        <v>252</v>
      </c>
      <c r="L449" t="s">
        <v>4479</v>
      </c>
      <c r="M449" s="7">
        <v>1165</v>
      </c>
      <c r="N449" t="s">
        <v>4598</v>
      </c>
      <c r="O449" s="7">
        <v>93520</v>
      </c>
      <c r="R449" s="7">
        <v>1</v>
      </c>
      <c r="S449" t="s">
        <v>3920</v>
      </c>
      <c r="T449" t="s">
        <v>2271</v>
      </c>
      <c r="U449" s="7">
        <v>1</v>
      </c>
      <c r="V449">
        <v>87.5</v>
      </c>
      <c r="W449" t="s">
        <v>35</v>
      </c>
      <c r="Y449" t="s">
        <v>2269</v>
      </c>
      <c r="Z449" t="s">
        <v>2313</v>
      </c>
      <c r="AB449" s="8">
        <v>103.25</v>
      </c>
      <c r="AC449" s="7">
        <v>0</v>
      </c>
      <c r="AF449" s="8">
        <v>103.25</v>
      </c>
    </row>
    <row r="450" spans="1:32" hidden="1">
      <c r="A450" s="7">
        <v>1015944</v>
      </c>
      <c r="B450" t="s">
        <v>4717</v>
      </c>
      <c r="C450" t="s">
        <v>4452</v>
      </c>
      <c r="D450" s="7">
        <v>7134260122479</v>
      </c>
      <c r="E450" t="s">
        <v>4718</v>
      </c>
      <c r="F450" t="s">
        <v>4719</v>
      </c>
      <c r="G450" t="s">
        <v>4468</v>
      </c>
      <c r="H450" t="s">
        <v>4455</v>
      </c>
      <c r="I450" t="s">
        <v>772</v>
      </c>
      <c r="J450" t="s">
        <v>773</v>
      </c>
      <c r="K450" t="s">
        <v>252</v>
      </c>
      <c r="L450" t="s">
        <v>4720</v>
      </c>
      <c r="M450" s="7">
        <v>1165</v>
      </c>
      <c r="N450" t="s">
        <v>4457</v>
      </c>
      <c r="O450" s="7">
        <v>9878</v>
      </c>
      <c r="R450" s="7">
        <v>1</v>
      </c>
      <c r="S450" t="s">
        <v>3920</v>
      </c>
      <c r="T450" t="s">
        <v>2271</v>
      </c>
      <c r="U450" s="7">
        <v>1</v>
      </c>
      <c r="V450">
        <v>87.5</v>
      </c>
      <c r="W450" t="s">
        <v>35</v>
      </c>
      <c r="Y450" t="s">
        <v>2269</v>
      </c>
      <c r="Z450" t="s">
        <v>2313</v>
      </c>
      <c r="AB450" s="8">
        <v>103.25</v>
      </c>
      <c r="AC450" s="7">
        <v>0</v>
      </c>
      <c r="AF450" s="8">
        <v>103.25</v>
      </c>
    </row>
    <row r="451" spans="1:32" hidden="1">
      <c r="A451" s="7">
        <v>1015945</v>
      </c>
      <c r="B451" t="s">
        <v>4721</v>
      </c>
      <c r="C451" t="s">
        <v>4452</v>
      </c>
      <c r="D451" s="7">
        <v>7134260122454</v>
      </c>
      <c r="E451" t="s">
        <v>4722</v>
      </c>
      <c r="F451" t="s">
        <v>4723</v>
      </c>
      <c r="G451" t="s">
        <v>4468</v>
      </c>
      <c r="H451" t="s">
        <v>4455</v>
      </c>
      <c r="I451" t="s">
        <v>1283</v>
      </c>
      <c r="J451" t="s">
        <v>1284</v>
      </c>
      <c r="K451" t="s">
        <v>252</v>
      </c>
      <c r="L451" t="s">
        <v>2688</v>
      </c>
      <c r="M451" s="7">
        <v>1165</v>
      </c>
      <c r="N451" t="s">
        <v>4272</v>
      </c>
      <c r="O451" s="7">
        <v>33985</v>
      </c>
      <c r="R451" s="7">
        <v>1</v>
      </c>
      <c r="S451" t="s">
        <v>3920</v>
      </c>
      <c r="T451" t="s">
        <v>2271</v>
      </c>
      <c r="U451" s="7">
        <v>1</v>
      </c>
      <c r="V451">
        <v>87.5</v>
      </c>
      <c r="W451" t="s">
        <v>35</v>
      </c>
      <c r="Y451" t="s">
        <v>2269</v>
      </c>
      <c r="Z451" t="s">
        <v>2313</v>
      </c>
      <c r="AB451" s="8">
        <v>103.25</v>
      </c>
      <c r="AC451" s="7">
        <v>0</v>
      </c>
      <c r="AF451" s="8">
        <v>103.25</v>
      </c>
    </row>
    <row r="452" spans="1:32" hidden="1">
      <c r="A452" s="7">
        <v>1015946</v>
      </c>
      <c r="B452" t="s">
        <v>4724</v>
      </c>
      <c r="C452" t="s">
        <v>4468</v>
      </c>
      <c r="D452" s="7">
        <v>7134260122505</v>
      </c>
      <c r="E452" t="s">
        <v>4725</v>
      </c>
      <c r="F452" t="s">
        <v>4726</v>
      </c>
      <c r="G452" t="s">
        <v>4468</v>
      </c>
      <c r="H452" t="s">
        <v>4455</v>
      </c>
      <c r="I452" t="s">
        <v>3980</v>
      </c>
      <c r="J452" t="s">
        <v>3981</v>
      </c>
      <c r="K452" t="s">
        <v>252</v>
      </c>
      <c r="L452" t="s">
        <v>3961</v>
      </c>
      <c r="M452" s="7">
        <v>1165</v>
      </c>
      <c r="N452" t="s">
        <v>4565</v>
      </c>
      <c r="O452" s="7">
        <v>17766</v>
      </c>
      <c r="R452" s="7">
        <v>1</v>
      </c>
      <c r="S452" t="s">
        <v>3920</v>
      </c>
      <c r="T452" t="s">
        <v>2271</v>
      </c>
      <c r="U452" s="7">
        <v>1</v>
      </c>
      <c r="V452">
        <v>87.5</v>
      </c>
      <c r="W452" t="s">
        <v>35</v>
      </c>
      <c r="Y452" t="s">
        <v>2269</v>
      </c>
      <c r="Z452" t="s">
        <v>2313</v>
      </c>
      <c r="AB452" s="8">
        <v>103.25</v>
      </c>
      <c r="AC452" s="7">
        <v>0</v>
      </c>
      <c r="AF452" s="8">
        <v>103.25</v>
      </c>
    </row>
    <row r="453" spans="1:32" hidden="1">
      <c r="A453" s="7">
        <v>1015947</v>
      </c>
      <c r="B453" t="s">
        <v>4727</v>
      </c>
      <c r="C453" t="s">
        <v>4468</v>
      </c>
      <c r="D453" s="7">
        <v>7134260122533</v>
      </c>
      <c r="E453" t="s">
        <v>4728</v>
      </c>
      <c r="F453" t="s">
        <v>4729</v>
      </c>
      <c r="G453" t="s">
        <v>4468</v>
      </c>
      <c r="H453" t="s">
        <v>4455</v>
      </c>
      <c r="I453" t="s">
        <v>3159</v>
      </c>
      <c r="J453" t="s">
        <v>3160</v>
      </c>
      <c r="K453" t="s">
        <v>252</v>
      </c>
      <c r="L453" t="s">
        <v>4676</v>
      </c>
      <c r="M453" s="7">
        <v>1165</v>
      </c>
      <c r="N453" t="s">
        <v>4598</v>
      </c>
      <c r="O453" s="7">
        <v>7867</v>
      </c>
      <c r="R453" s="7">
        <v>1</v>
      </c>
      <c r="S453" t="s">
        <v>3920</v>
      </c>
      <c r="T453" t="s">
        <v>2271</v>
      </c>
      <c r="U453" s="7">
        <v>1</v>
      </c>
      <c r="V453">
        <v>87.5</v>
      </c>
      <c r="W453" t="s">
        <v>35</v>
      </c>
      <c r="Y453" t="s">
        <v>2269</v>
      </c>
      <c r="Z453" t="s">
        <v>2313</v>
      </c>
      <c r="AB453" s="8">
        <v>103.25</v>
      </c>
      <c r="AC453" s="7">
        <v>0</v>
      </c>
      <c r="AF453" s="8">
        <v>103.25</v>
      </c>
    </row>
    <row r="454" spans="1:32" hidden="1">
      <c r="A454" s="7">
        <v>1015951</v>
      </c>
      <c r="B454" t="s">
        <v>4730</v>
      </c>
      <c r="C454" t="s">
        <v>4452</v>
      </c>
      <c r="D454" s="7">
        <v>7134260122448</v>
      </c>
      <c r="E454" t="s">
        <v>4731</v>
      </c>
      <c r="F454" t="s">
        <v>4732</v>
      </c>
      <c r="G454" t="s">
        <v>4468</v>
      </c>
      <c r="H454" t="s">
        <v>4455</v>
      </c>
      <c r="I454" t="s">
        <v>596</v>
      </c>
      <c r="J454" t="s">
        <v>597</v>
      </c>
      <c r="K454" t="s">
        <v>252</v>
      </c>
      <c r="L454" t="s">
        <v>2288</v>
      </c>
      <c r="M454" s="7">
        <v>1165</v>
      </c>
      <c r="N454" t="s">
        <v>4475</v>
      </c>
      <c r="O454" s="7">
        <v>31223</v>
      </c>
      <c r="R454" s="7">
        <v>1</v>
      </c>
      <c r="S454" t="s">
        <v>3920</v>
      </c>
      <c r="T454" t="s">
        <v>2271</v>
      </c>
      <c r="U454" s="7">
        <v>1</v>
      </c>
      <c r="V454">
        <v>87.5</v>
      </c>
      <c r="W454" t="s">
        <v>35</v>
      </c>
      <c r="Y454" t="s">
        <v>2269</v>
      </c>
      <c r="Z454" t="s">
        <v>2313</v>
      </c>
      <c r="AB454" s="8">
        <v>103.25</v>
      </c>
      <c r="AC454" s="7">
        <v>0</v>
      </c>
      <c r="AF454" s="8">
        <v>103.25</v>
      </c>
    </row>
    <row r="455" spans="1:32" hidden="1">
      <c r="A455" s="7">
        <v>1015952</v>
      </c>
      <c r="B455" t="s">
        <v>4733</v>
      </c>
      <c r="C455" t="s">
        <v>4452</v>
      </c>
      <c r="D455" s="7">
        <v>7134260122442</v>
      </c>
      <c r="E455" t="s">
        <v>4734</v>
      </c>
      <c r="F455" t="s">
        <v>4735</v>
      </c>
      <c r="G455" t="s">
        <v>4468</v>
      </c>
      <c r="H455" t="s">
        <v>4455</v>
      </c>
      <c r="I455" t="s">
        <v>4712</v>
      </c>
      <c r="J455" t="s">
        <v>4713</v>
      </c>
      <c r="K455" t="s">
        <v>252</v>
      </c>
      <c r="L455" t="s">
        <v>3304</v>
      </c>
      <c r="M455" s="7">
        <v>1160</v>
      </c>
      <c r="N455" t="s">
        <v>4475</v>
      </c>
      <c r="O455" s="7">
        <v>1354</v>
      </c>
      <c r="R455" s="7">
        <v>1</v>
      </c>
      <c r="S455" t="s">
        <v>3920</v>
      </c>
      <c r="T455" t="s">
        <v>2271</v>
      </c>
      <c r="U455" s="7">
        <v>1</v>
      </c>
      <c r="V455">
        <v>87.5</v>
      </c>
      <c r="W455" t="s">
        <v>35</v>
      </c>
      <c r="Y455" t="s">
        <v>2269</v>
      </c>
      <c r="Z455" t="s">
        <v>2313</v>
      </c>
      <c r="AB455" s="8">
        <v>103.25</v>
      </c>
      <c r="AC455" s="7">
        <v>0</v>
      </c>
      <c r="AF455" s="8">
        <v>103.25</v>
      </c>
    </row>
    <row r="456" spans="1:32" hidden="1">
      <c r="A456" s="7">
        <v>1015955</v>
      </c>
      <c r="B456" t="s">
        <v>4736</v>
      </c>
      <c r="C456" t="s">
        <v>4468</v>
      </c>
      <c r="D456" s="7">
        <v>7134260122508</v>
      </c>
      <c r="E456" t="s">
        <v>4737</v>
      </c>
      <c r="F456" t="s">
        <v>4738</v>
      </c>
      <c r="G456" t="s">
        <v>4468</v>
      </c>
      <c r="H456" t="s">
        <v>4455</v>
      </c>
      <c r="I456" t="s">
        <v>271</v>
      </c>
      <c r="J456" t="s">
        <v>272</v>
      </c>
      <c r="K456" t="s">
        <v>252</v>
      </c>
      <c r="L456" t="s">
        <v>4739</v>
      </c>
      <c r="M456" s="7">
        <v>1165</v>
      </c>
      <c r="N456" t="s">
        <v>4565</v>
      </c>
      <c r="O456" s="7">
        <v>11233</v>
      </c>
      <c r="R456" s="7">
        <v>1</v>
      </c>
      <c r="S456" t="s">
        <v>3920</v>
      </c>
      <c r="T456" t="s">
        <v>2271</v>
      </c>
      <c r="U456" s="7">
        <v>1</v>
      </c>
      <c r="V456">
        <v>87.5</v>
      </c>
      <c r="W456" t="s">
        <v>35</v>
      </c>
      <c r="Y456" t="s">
        <v>2269</v>
      </c>
      <c r="Z456" t="s">
        <v>2313</v>
      </c>
      <c r="AB456" s="8">
        <v>103.25</v>
      </c>
      <c r="AC456" s="7">
        <v>0</v>
      </c>
      <c r="AF456" s="8">
        <v>103.25</v>
      </c>
    </row>
    <row r="457" spans="1:32" hidden="1">
      <c r="A457" s="7">
        <v>1015979</v>
      </c>
      <c r="B457" t="s">
        <v>4740</v>
      </c>
      <c r="C457" t="s">
        <v>4468</v>
      </c>
      <c r="D457" s="7">
        <v>7134260122539</v>
      </c>
      <c r="E457" t="s">
        <v>4741</v>
      </c>
      <c r="F457" t="s">
        <v>4742</v>
      </c>
      <c r="G457" t="s">
        <v>4743</v>
      </c>
      <c r="I457" t="s">
        <v>4744</v>
      </c>
      <c r="J457" t="s">
        <v>4745</v>
      </c>
      <c r="K457" t="s">
        <v>261</v>
      </c>
      <c r="L457" t="s">
        <v>2625</v>
      </c>
      <c r="N457" t="s">
        <v>4746</v>
      </c>
      <c r="O457" s="7">
        <v>72249</v>
      </c>
      <c r="R457" s="7">
        <v>1</v>
      </c>
      <c r="S457" t="s">
        <v>4211</v>
      </c>
      <c r="T457" t="s">
        <v>4212</v>
      </c>
      <c r="U457" s="7">
        <v>1</v>
      </c>
      <c r="V457" s="8">
        <v>14186.41</v>
      </c>
      <c r="W457" t="s">
        <v>35</v>
      </c>
      <c r="Y457" t="s">
        <v>2269</v>
      </c>
      <c r="Z457" t="s">
        <v>2313</v>
      </c>
      <c r="AB457" s="8">
        <v>16739.96</v>
      </c>
      <c r="AC457" s="7">
        <v>0</v>
      </c>
      <c r="AF457" s="8">
        <v>16739.96</v>
      </c>
    </row>
    <row r="458" spans="1:32" hidden="1">
      <c r="A458" s="7">
        <v>1015979</v>
      </c>
      <c r="B458" t="s">
        <v>4740</v>
      </c>
      <c r="C458" t="s">
        <v>4468</v>
      </c>
      <c r="D458" s="7">
        <v>7134260122539</v>
      </c>
      <c r="E458" t="s">
        <v>4741</v>
      </c>
      <c r="F458" t="s">
        <v>4742</v>
      </c>
      <c r="G458" t="s">
        <v>4743</v>
      </c>
      <c r="I458" t="s">
        <v>4744</v>
      </c>
      <c r="J458" t="s">
        <v>4745</v>
      </c>
      <c r="K458" t="s">
        <v>261</v>
      </c>
      <c r="L458" t="s">
        <v>2625</v>
      </c>
      <c r="N458" t="s">
        <v>4746</v>
      </c>
      <c r="O458" s="7">
        <v>72249</v>
      </c>
      <c r="R458" s="7">
        <v>2</v>
      </c>
      <c r="S458" t="s">
        <v>4139</v>
      </c>
      <c r="T458" t="s">
        <v>2271</v>
      </c>
      <c r="U458" s="7">
        <v>1</v>
      </c>
      <c r="V458" s="7">
        <v>420</v>
      </c>
      <c r="W458" t="s">
        <v>35</v>
      </c>
      <c r="Y458" t="s">
        <v>2269</v>
      </c>
      <c r="Z458" t="s">
        <v>2313</v>
      </c>
      <c r="AB458" s="8">
        <v>495.6</v>
      </c>
      <c r="AC458" s="7">
        <v>0</v>
      </c>
      <c r="AF458" s="8">
        <v>495.6</v>
      </c>
    </row>
    <row r="459" spans="1:32" hidden="1">
      <c r="A459" s="7">
        <v>1015979</v>
      </c>
      <c r="B459" t="s">
        <v>4740</v>
      </c>
      <c r="C459" t="s">
        <v>4468</v>
      </c>
      <c r="D459" s="7">
        <v>7134260122539</v>
      </c>
      <c r="E459" t="s">
        <v>4741</v>
      </c>
      <c r="F459" t="s">
        <v>4742</v>
      </c>
      <c r="G459" t="s">
        <v>4743</v>
      </c>
      <c r="I459" t="s">
        <v>4744</v>
      </c>
      <c r="J459" t="s">
        <v>4745</v>
      </c>
      <c r="K459" t="s">
        <v>261</v>
      </c>
      <c r="L459" t="s">
        <v>2625</v>
      </c>
      <c r="N459" t="s">
        <v>4746</v>
      </c>
      <c r="O459" s="7">
        <v>72249</v>
      </c>
      <c r="R459" s="7">
        <v>3</v>
      </c>
      <c r="S459" t="s">
        <v>3563</v>
      </c>
      <c r="T459" t="s">
        <v>2271</v>
      </c>
      <c r="U459" s="7">
        <v>1</v>
      </c>
      <c r="V459" s="7">
        <v>1400</v>
      </c>
      <c r="W459" t="s">
        <v>35</v>
      </c>
      <c r="Y459" t="s">
        <v>2269</v>
      </c>
      <c r="Z459" t="s">
        <v>2313</v>
      </c>
      <c r="AB459" s="7">
        <v>1652</v>
      </c>
      <c r="AC459" s="7">
        <v>0</v>
      </c>
      <c r="AF459" s="7">
        <v>1652</v>
      </c>
    </row>
    <row r="460" spans="1:32" hidden="1">
      <c r="A460" s="7">
        <v>1015979</v>
      </c>
      <c r="B460" t="s">
        <v>4740</v>
      </c>
      <c r="C460" t="s">
        <v>4468</v>
      </c>
      <c r="D460" s="7">
        <v>7134260122539</v>
      </c>
      <c r="E460" t="s">
        <v>4741</v>
      </c>
      <c r="F460" t="s">
        <v>4742</v>
      </c>
      <c r="G460" t="s">
        <v>4743</v>
      </c>
      <c r="I460" t="s">
        <v>4744</v>
      </c>
      <c r="J460" t="s">
        <v>4745</v>
      </c>
      <c r="K460" t="s">
        <v>261</v>
      </c>
      <c r="L460" t="s">
        <v>2625</v>
      </c>
      <c r="N460" t="s">
        <v>4746</v>
      </c>
      <c r="O460" s="7">
        <v>72249</v>
      </c>
      <c r="R460" s="7">
        <v>4</v>
      </c>
      <c r="S460" t="s">
        <v>3564</v>
      </c>
      <c r="T460" t="s">
        <v>2271</v>
      </c>
      <c r="U460" s="7">
        <v>1</v>
      </c>
      <c r="V460" s="7">
        <v>2800</v>
      </c>
      <c r="W460" t="s">
        <v>35</v>
      </c>
      <c r="Y460" t="s">
        <v>2269</v>
      </c>
      <c r="Z460" t="s">
        <v>2313</v>
      </c>
      <c r="AB460" s="7">
        <v>3304</v>
      </c>
      <c r="AC460" s="7">
        <v>0</v>
      </c>
      <c r="AF460" s="7">
        <v>3304</v>
      </c>
    </row>
    <row r="461" spans="1:32" hidden="1">
      <c r="A461" s="7">
        <v>1015985</v>
      </c>
      <c r="B461" t="s">
        <v>4747</v>
      </c>
      <c r="C461" t="s">
        <v>4468</v>
      </c>
      <c r="D461" s="7">
        <v>7134260122541</v>
      </c>
      <c r="E461" t="s">
        <v>4748</v>
      </c>
      <c r="F461" t="s">
        <v>4749</v>
      </c>
      <c r="G461" t="s">
        <v>4743</v>
      </c>
      <c r="H461" t="s">
        <v>4455</v>
      </c>
      <c r="I461" t="s">
        <v>4750</v>
      </c>
      <c r="J461" t="s">
        <v>4751</v>
      </c>
      <c r="K461" t="s">
        <v>261</v>
      </c>
      <c r="L461" t="s">
        <v>3291</v>
      </c>
      <c r="N461" t="s">
        <v>4746</v>
      </c>
      <c r="O461" s="7">
        <v>54206</v>
      </c>
      <c r="R461" s="7">
        <v>1</v>
      </c>
      <c r="S461" t="s">
        <v>3563</v>
      </c>
      <c r="T461" t="s">
        <v>2271</v>
      </c>
      <c r="U461" s="7">
        <v>1</v>
      </c>
      <c r="V461" s="7">
        <v>1400</v>
      </c>
      <c r="W461" t="s">
        <v>35</v>
      </c>
      <c r="Y461" t="s">
        <v>2269</v>
      </c>
      <c r="Z461" t="s">
        <v>2313</v>
      </c>
      <c r="AB461" s="7">
        <v>1652</v>
      </c>
      <c r="AC461" s="7">
        <v>0</v>
      </c>
      <c r="AF461" s="7">
        <v>1652</v>
      </c>
    </row>
    <row r="462" spans="1:32" hidden="1">
      <c r="A462" s="7">
        <v>1015985</v>
      </c>
      <c r="B462" t="s">
        <v>4747</v>
      </c>
      <c r="C462" t="s">
        <v>4468</v>
      </c>
      <c r="D462" s="7">
        <v>7134260122541</v>
      </c>
      <c r="E462" t="s">
        <v>4748</v>
      </c>
      <c r="F462" t="s">
        <v>4749</v>
      </c>
      <c r="G462" t="s">
        <v>4743</v>
      </c>
      <c r="H462" t="s">
        <v>4455</v>
      </c>
      <c r="I462" t="s">
        <v>4750</v>
      </c>
      <c r="J462" t="s">
        <v>4751</v>
      </c>
      <c r="K462" t="s">
        <v>261</v>
      </c>
      <c r="L462" t="s">
        <v>3291</v>
      </c>
      <c r="N462" t="s">
        <v>4746</v>
      </c>
      <c r="O462" s="7">
        <v>54206</v>
      </c>
      <c r="R462" s="7">
        <v>2</v>
      </c>
      <c r="S462" t="s">
        <v>3564</v>
      </c>
      <c r="T462" t="s">
        <v>2271</v>
      </c>
      <c r="U462" s="7">
        <v>1</v>
      </c>
      <c r="V462" s="7">
        <v>2800</v>
      </c>
      <c r="W462" t="s">
        <v>35</v>
      </c>
      <c r="Y462" t="s">
        <v>2269</v>
      </c>
      <c r="Z462" t="s">
        <v>2313</v>
      </c>
      <c r="AB462" s="7">
        <v>3304</v>
      </c>
      <c r="AC462" s="7">
        <v>0</v>
      </c>
      <c r="AF462" s="7">
        <v>3304</v>
      </c>
    </row>
    <row r="463" spans="1:32" hidden="1">
      <c r="A463" s="7">
        <v>1015996</v>
      </c>
      <c r="B463" t="s">
        <v>4752</v>
      </c>
      <c r="C463" t="s">
        <v>4468</v>
      </c>
      <c r="D463" s="7">
        <v>7134260122537</v>
      </c>
      <c r="E463" t="s">
        <v>4753</v>
      </c>
      <c r="F463" t="s">
        <v>4754</v>
      </c>
      <c r="G463" t="s">
        <v>4743</v>
      </c>
      <c r="H463" t="s">
        <v>4455</v>
      </c>
      <c r="I463" t="s">
        <v>1969</v>
      </c>
      <c r="J463" t="s">
        <v>1970</v>
      </c>
      <c r="K463" t="s">
        <v>261</v>
      </c>
      <c r="L463" t="s">
        <v>2625</v>
      </c>
      <c r="N463" t="s">
        <v>4746</v>
      </c>
      <c r="O463" s="7">
        <v>87425</v>
      </c>
      <c r="R463" s="7">
        <v>1</v>
      </c>
      <c r="S463" t="s">
        <v>3563</v>
      </c>
      <c r="T463" t="s">
        <v>2271</v>
      </c>
      <c r="U463" s="7">
        <v>1</v>
      </c>
      <c r="V463" s="7">
        <v>1400</v>
      </c>
      <c r="W463" t="s">
        <v>35</v>
      </c>
      <c r="Y463" t="s">
        <v>2269</v>
      </c>
      <c r="Z463" t="s">
        <v>2313</v>
      </c>
      <c r="AB463" s="7">
        <v>1652</v>
      </c>
      <c r="AC463" s="7">
        <v>0</v>
      </c>
      <c r="AF463" s="7">
        <v>1652</v>
      </c>
    </row>
    <row r="464" spans="1:32" hidden="1">
      <c r="A464" s="7">
        <v>1015996</v>
      </c>
      <c r="B464" t="s">
        <v>4752</v>
      </c>
      <c r="C464" t="s">
        <v>4468</v>
      </c>
      <c r="D464" s="7">
        <v>7134260122537</v>
      </c>
      <c r="E464" t="s">
        <v>4753</v>
      </c>
      <c r="F464" t="s">
        <v>4754</v>
      </c>
      <c r="G464" t="s">
        <v>4743</v>
      </c>
      <c r="H464" t="s">
        <v>4455</v>
      </c>
      <c r="I464" t="s">
        <v>1969</v>
      </c>
      <c r="J464" t="s">
        <v>1970</v>
      </c>
      <c r="K464" t="s">
        <v>261</v>
      </c>
      <c r="L464" t="s">
        <v>2625</v>
      </c>
      <c r="N464" t="s">
        <v>4746</v>
      </c>
      <c r="O464" s="7">
        <v>87425</v>
      </c>
      <c r="R464" s="7">
        <v>2</v>
      </c>
      <c r="S464" t="s">
        <v>3564</v>
      </c>
      <c r="T464" t="s">
        <v>2271</v>
      </c>
      <c r="U464" s="7">
        <v>1</v>
      </c>
      <c r="V464" s="7">
        <v>2800</v>
      </c>
      <c r="W464" t="s">
        <v>35</v>
      </c>
      <c r="Y464" t="s">
        <v>2269</v>
      </c>
      <c r="Z464" t="s">
        <v>2313</v>
      </c>
      <c r="AB464" s="7">
        <v>3304</v>
      </c>
      <c r="AC464" s="7">
        <v>0</v>
      </c>
      <c r="AF464" s="7">
        <v>3304</v>
      </c>
    </row>
    <row r="465" spans="1:32" hidden="1">
      <c r="A465" s="7">
        <v>1015997</v>
      </c>
      <c r="B465" t="s">
        <v>4755</v>
      </c>
      <c r="C465" t="s">
        <v>4468</v>
      </c>
      <c r="D465" s="7">
        <v>7134260122540</v>
      </c>
      <c r="E465" t="s">
        <v>4756</v>
      </c>
      <c r="F465" t="s">
        <v>4757</v>
      </c>
      <c r="G465" t="s">
        <v>4743</v>
      </c>
      <c r="H465" t="s">
        <v>4455</v>
      </c>
      <c r="I465" t="s">
        <v>4758</v>
      </c>
      <c r="J465" t="s">
        <v>4759</v>
      </c>
      <c r="K465" t="s">
        <v>261</v>
      </c>
      <c r="L465" t="s">
        <v>3929</v>
      </c>
      <c r="N465" t="s">
        <v>4746</v>
      </c>
      <c r="O465" s="7">
        <v>54203</v>
      </c>
      <c r="R465" s="7">
        <v>1</v>
      </c>
      <c r="S465" t="s">
        <v>3563</v>
      </c>
      <c r="T465" t="s">
        <v>2271</v>
      </c>
      <c r="U465" s="7">
        <v>1</v>
      </c>
      <c r="V465" s="7">
        <v>1400</v>
      </c>
      <c r="W465" t="s">
        <v>35</v>
      </c>
      <c r="Y465" t="s">
        <v>2269</v>
      </c>
      <c r="Z465" t="s">
        <v>2313</v>
      </c>
      <c r="AB465" s="7">
        <v>1652</v>
      </c>
      <c r="AC465" s="7">
        <v>0</v>
      </c>
      <c r="AF465" s="7">
        <v>1652</v>
      </c>
    </row>
    <row r="466" spans="1:32" hidden="1">
      <c r="A466" s="7">
        <v>1015997</v>
      </c>
      <c r="B466" t="s">
        <v>4755</v>
      </c>
      <c r="C466" t="s">
        <v>4468</v>
      </c>
      <c r="D466" s="7">
        <v>7134260122540</v>
      </c>
      <c r="E466" t="s">
        <v>4756</v>
      </c>
      <c r="F466" t="s">
        <v>4757</v>
      </c>
      <c r="G466" t="s">
        <v>4743</v>
      </c>
      <c r="H466" t="s">
        <v>4455</v>
      </c>
      <c r="I466" t="s">
        <v>4758</v>
      </c>
      <c r="J466" t="s">
        <v>4759</v>
      </c>
      <c r="K466" t="s">
        <v>261</v>
      </c>
      <c r="L466" t="s">
        <v>3929</v>
      </c>
      <c r="N466" t="s">
        <v>4746</v>
      </c>
      <c r="O466" s="7">
        <v>54203</v>
      </c>
      <c r="R466" s="7">
        <v>2</v>
      </c>
      <c r="S466" t="s">
        <v>3564</v>
      </c>
      <c r="T466" t="s">
        <v>2271</v>
      </c>
      <c r="U466" s="7">
        <v>1</v>
      </c>
      <c r="V466" s="7">
        <v>2800</v>
      </c>
      <c r="W466" t="s">
        <v>35</v>
      </c>
      <c r="Y466" t="s">
        <v>2269</v>
      </c>
      <c r="Z466" t="s">
        <v>2313</v>
      </c>
      <c r="AB466" s="7">
        <v>3304</v>
      </c>
      <c r="AC466" s="7">
        <v>0</v>
      </c>
      <c r="AF466" s="7">
        <v>3304</v>
      </c>
    </row>
    <row r="467" spans="1:32" hidden="1">
      <c r="A467" s="7">
        <v>1016167</v>
      </c>
      <c r="B467" t="s">
        <v>4760</v>
      </c>
      <c r="C467" t="s">
        <v>4449</v>
      </c>
      <c r="D467" s="7">
        <v>7134260122717</v>
      </c>
      <c r="E467" t="s">
        <v>4761</v>
      </c>
      <c r="F467" t="s">
        <v>4762</v>
      </c>
      <c r="G467" t="s">
        <v>4763</v>
      </c>
      <c r="H467" t="s">
        <v>4455</v>
      </c>
      <c r="I467" t="s">
        <v>1341</v>
      </c>
      <c r="J467" t="s">
        <v>1342</v>
      </c>
      <c r="K467" t="s">
        <v>252</v>
      </c>
      <c r="L467" t="s">
        <v>4764</v>
      </c>
      <c r="M467" s="7">
        <v>1165</v>
      </c>
      <c r="N467" t="s">
        <v>4581</v>
      </c>
      <c r="O467" s="7">
        <v>59120</v>
      </c>
      <c r="R467" s="7">
        <v>1</v>
      </c>
      <c r="S467" t="s">
        <v>3920</v>
      </c>
      <c r="T467" t="s">
        <v>2271</v>
      </c>
      <c r="U467" s="7">
        <v>1</v>
      </c>
      <c r="V467">
        <v>87.5</v>
      </c>
      <c r="W467" t="s">
        <v>35</v>
      </c>
      <c r="Y467" t="s">
        <v>2269</v>
      </c>
      <c r="Z467" t="s">
        <v>2313</v>
      </c>
      <c r="AB467" s="8">
        <v>103.25</v>
      </c>
      <c r="AC467" s="7">
        <v>0</v>
      </c>
      <c r="AF467" s="8">
        <v>103.25</v>
      </c>
    </row>
    <row r="468" spans="1:32" hidden="1">
      <c r="A468" s="7">
        <v>1016178</v>
      </c>
      <c r="B468" t="s">
        <v>4765</v>
      </c>
      <c r="C468" t="s">
        <v>4449</v>
      </c>
      <c r="D468" s="7">
        <v>7134260122714</v>
      </c>
      <c r="E468" t="s">
        <v>4766</v>
      </c>
      <c r="F468" t="s">
        <v>4767</v>
      </c>
      <c r="G468" t="s">
        <v>4763</v>
      </c>
      <c r="H468" t="s">
        <v>4455</v>
      </c>
      <c r="I468" t="s">
        <v>4768</v>
      </c>
      <c r="J468" t="s">
        <v>4769</v>
      </c>
      <c r="K468" t="s">
        <v>252</v>
      </c>
      <c r="L468" t="s">
        <v>3270</v>
      </c>
      <c r="M468" s="7">
        <v>1165</v>
      </c>
      <c r="N468" t="s">
        <v>4581</v>
      </c>
      <c r="O468" s="7">
        <v>2345</v>
      </c>
      <c r="R468" s="7">
        <v>1</v>
      </c>
      <c r="S468" t="s">
        <v>3920</v>
      </c>
      <c r="T468" t="s">
        <v>2271</v>
      </c>
      <c r="U468" s="7">
        <v>1</v>
      </c>
      <c r="V468">
        <v>87.5</v>
      </c>
      <c r="W468" t="s">
        <v>35</v>
      </c>
      <c r="Y468" t="s">
        <v>2269</v>
      </c>
      <c r="Z468" t="s">
        <v>2313</v>
      </c>
      <c r="AB468" s="8">
        <v>103.25</v>
      </c>
      <c r="AC468" s="7">
        <v>0</v>
      </c>
      <c r="AF468" s="8">
        <v>103.25</v>
      </c>
    </row>
    <row r="469" spans="1:32" hidden="1">
      <c r="A469" s="7">
        <v>1016192</v>
      </c>
      <c r="B469" t="s">
        <v>4770</v>
      </c>
      <c r="C469" t="s">
        <v>4449</v>
      </c>
      <c r="D469" s="7">
        <v>7134260122718</v>
      </c>
      <c r="E469" t="s">
        <v>4771</v>
      </c>
      <c r="F469" t="s">
        <v>4772</v>
      </c>
      <c r="G469" t="s">
        <v>4763</v>
      </c>
      <c r="H469" t="s">
        <v>4455</v>
      </c>
      <c r="I469" t="s">
        <v>3429</v>
      </c>
      <c r="J469" t="s">
        <v>3430</v>
      </c>
      <c r="K469" t="s">
        <v>252</v>
      </c>
      <c r="L469" t="s">
        <v>4773</v>
      </c>
      <c r="M469" s="7">
        <v>1165</v>
      </c>
      <c r="N469" t="s">
        <v>4581</v>
      </c>
      <c r="O469" s="7">
        <v>40120</v>
      </c>
      <c r="R469" s="7">
        <v>1</v>
      </c>
      <c r="S469" t="s">
        <v>3920</v>
      </c>
      <c r="T469" t="s">
        <v>2271</v>
      </c>
      <c r="U469" s="7">
        <v>1</v>
      </c>
      <c r="V469">
        <v>87.5</v>
      </c>
      <c r="W469" t="s">
        <v>35</v>
      </c>
      <c r="Y469" t="s">
        <v>2269</v>
      </c>
      <c r="Z469" t="s">
        <v>2313</v>
      </c>
      <c r="AB469" s="8">
        <v>103.25</v>
      </c>
      <c r="AC469" s="7">
        <v>0</v>
      </c>
      <c r="AF469" s="8">
        <v>103.25</v>
      </c>
    </row>
    <row r="470" spans="1:32" hidden="1">
      <c r="A470" s="7">
        <v>1016204</v>
      </c>
      <c r="B470" t="s">
        <v>4774</v>
      </c>
      <c r="C470" t="s">
        <v>4449</v>
      </c>
      <c r="D470" s="7">
        <v>7134260122721</v>
      </c>
      <c r="E470" t="s">
        <v>4775</v>
      </c>
      <c r="F470" t="s">
        <v>4776</v>
      </c>
      <c r="G470" t="s">
        <v>4763</v>
      </c>
      <c r="H470" t="s">
        <v>4455</v>
      </c>
      <c r="I470" t="s">
        <v>299</v>
      </c>
      <c r="J470" t="s">
        <v>300</v>
      </c>
      <c r="K470" t="s">
        <v>252</v>
      </c>
      <c r="L470" t="s">
        <v>4680</v>
      </c>
      <c r="M470" s="7">
        <v>1165</v>
      </c>
      <c r="N470" t="s">
        <v>4581</v>
      </c>
      <c r="O470" s="7">
        <v>12130</v>
      </c>
      <c r="R470" s="7">
        <v>1</v>
      </c>
      <c r="S470" t="s">
        <v>3920</v>
      </c>
      <c r="T470" t="s">
        <v>2271</v>
      </c>
      <c r="U470" s="7">
        <v>1</v>
      </c>
      <c r="V470">
        <v>87.5</v>
      </c>
      <c r="W470" t="s">
        <v>35</v>
      </c>
      <c r="Y470" t="s">
        <v>2269</v>
      </c>
      <c r="Z470" t="s">
        <v>2313</v>
      </c>
      <c r="AB470" s="8">
        <v>103.25</v>
      </c>
      <c r="AC470" s="7">
        <v>0</v>
      </c>
      <c r="AF470" s="8">
        <v>103.25</v>
      </c>
    </row>
    <row r="471" spans="1:32" hidden="1">
      <c r="A471" s="7">
        <v>1016206</v>
      </c>
      <c r="B471" t="s">
        <v>4777</v>
      </c>
      <c r="C471" t="s">
        <v>4449</v>
      </c>
      <c r="D471" s="7">
        <v>7134260122720</v>
      </c>
      <c r="E471" t="s">
        <v>4778</v>
      </c>
      <c r="F471" t="s">
        <v>4779</v>
      </c>
      <c r="G471" t="s">
        <v>4763</v>
      </c>
      <c r="H471" t="s">
        <v>4455</v>
      </c>
      <c r="I471" t="s">
        <v>3156</v>
      </c>
      <c r="J471" t="s">
        <v>3157</v>
      </c>
      <c r="K471" t="s">
        <v>252</v>
      </c>
      <c r="L471" t="s">
        <v>3275</v>
      </c>
      <c r="M471" s="7">
        <v>1165</v>
      </c>
      <c r="N471" t="s">
        <v>4581</v>
      </c>
      <c r="O471" s="7">
        <v>4120</v>
      </c>
      <c r="R471" s="7">
        <v>1</v>
      </c>
      <c r="S471" t="s">
        <v>3920</v>
      </c>
      <c r="T471" t="s">
        <v>2271</v>
      </c>
      <c r="U471" s="7">
        <v>1</v>
      </c>
      <c r="V471">
        <v>87.5</v>
      </c>
      <c r="W471" t="s">
        <v>35</v>
      </c>
      <c r="Y471" t="s">
        <v>2269</v>
      </c>
      <c r="Z471" t="s">
        <v>2313</v>
      </c>
      <c r="AB471" s="8">
        <v>103.25</v>
      </c>
      <c r="AC471" s="7">
        <v>0</v>
      </c>
      <c r="AF471" s="8">
        <v>103.25</v>
      </c>
    </row>
    <row r="472" spans="1:32" hidden="1">
      <c r="A472" s="7">
        <v>1016471</v>
      </c>
      <c r="B472" t="s">
        <v>4780</v>
      </c>
      <c r="C472" t="s">
        <v>4449</v>
      </c>
      <c r="D472" s="7">
        <v>7134260122713</v>
      </c>
      <c r="E472" t="s">
        <v>4781</v>
      </c>
      <c r="F472" t="s">
        <v>4782</v>
      </c>
      <c r="G472" t="s">
        <v>4448</v>
      </c>
      <c r="H472" t="s">
        <v>4455</v>
      </c>
      <c r="I472" t="s">
        <v>971</v>
      </c>
      <c r="J472" t="s">
        <v>972</v>
      </c>
      <c r="K472" t="s">
        <v>252</v>
      </c>
      <c r="L472" t="s">
        <v>4000</v>
      </c>
      <c r="M472" s="7">
        <v>1165</v>
      </c>
      <c r="N472" t="s">
        <v>4581</v>
      </c>
      <c r="O472" s="7">
        <v>77420</v>
      </c>
      <c r="R472" s="7">
        <v>1</v>
      </c>
      <c r="S472" t="s">
        <v>3920</v>
      </c>
      <c r="T472" t="s">
        <v>2271</v>
      </c>
      <c r="U472" s="7">
        <v>1</v>
      </c>
      <c r="V472">
        <v>87.5</v>
      </c>
      <c r="W472" t="s">
        <v>35</v>
      </c>
      <c r="Y472" t="s">
        <v>2269</v>
      </c>
      <c r="Z472" t="s">
        <v>2313</v>
      </c>
      <c r="AB472" s="8">
        <v>103.25</v>
      </c>
      <c r="AC472" s="7">
        <v>0</v>
      </c>
      <c r="AF472" s="8">
        <v>103.25</v>
      </c>
    </row>
    <row r="473" spans="1:32" hidden="1">
      <c r="A473" s="7">
        <v>1016849</v>
      </c>
      <c r="B473" t="s">
        <v>4783</v>
      </c>
      <c r="C473" t="s">
        <v>4784</v>
      </c>
      <c r="D473" s="7">
        <v>7134260121009</v>
      </c>
      <c r="E473" t="s">
        <v>4785</v>
      </c>
      <c r="F473" t="s">
        <v>4786</v>
      </c>
      <c r="G473" t="s">
        <v>4787</v>
      </c>
      <c r="I473" t="s">
        <v>2192</v>
      </c>
      <c r="J473" t="s">
        <v>2193</v>
      </c>
      <c r="K473" t="s">
        <v>261</v>
      </c>
      <c r="L473" t="s">
        <v>2625</v>
      </c>
      <c r="N473" t="s">
        <v>3637</v>
      </c>
      <c r="O473" s="7">
        <v>65736</v>
      </c>
      <c r="R473" s="7">
        <v>1</v>
      </c>
      <c r="S473" t="s">
        <v>4813</v>
      </c>
      <c r="T473" t="s">
        <v>4814</v>
      </c>
      <c r="U473" s="7">
        <v>1</v>
      </c>
      <c r="V473" s="8">
        <v>45.52</v>
      </c>
      <c r="W473" t="s">
        <v>35</v>
      </c>
      <c r="Y473" t="s">
        <v>2269</v>
      </c>
      <c r="Z473" t="s">
        <v>2313</v>
      </c>
      <c r="AB473" s="8">
        <v>53.71</v>
      </c>
      <c r="AC473" s="7">
        <v>0</v>
      </c>
      <c r="AF473" s="8">
        <v>53.71</v>
      </c>
    </row>
    <row r="474" spans="1:32" hidden="1">
      <c r="A474" s="7">
        <v>1016849</v>
      </c>
      <c r="B474" t="s">
        <v>4783</v>
      </c>
      <c r="C474" t="s">
        <v>4784</v>
      </c>
      <c r="D474" s="7">
        <v>7134260121009</v>
      </c>
      <c r="E474" t="s">
        <v>4785</v>
      </c>
      <c r="F474" t="s">
        <v>4786</v>
      </c>
      <c r="G474" t="s">
        <v>4787</v>
      </c>
      <c r="I474" t="s">
        <v>2192</v>
      </c>
      <c r="J474" t="s">
        <v>2193</v>
      </c>
      <c r="K474" t="s">
        <v>261</v>
      </c>
      <c r="L474" t="s">
        <v>2625</v>
      </c>
      <c r="N474" t="s">
        <v>3637</v>
      </c>
      <c r="O474" s="7">
        <v>65736</v>
      </c>
      <c r="R474" s="7">
        <v>2</v>
      </c>
      <c r="S474" t="s">
        <v>4815</v>
      </c>
      <c r="T474" t="s">
        <v>4816</v>
      </c>
      <c r="U474" s="7">
        <v>8</v>
      </c>
      <c r="V474" s="8">
        <v>448.72</v>
      </c>
      <c r="W474" t="s">
        <v>35</v>
      </c>
      <c r="Y474" t="s">
        <v>2269</v>
      </c>
      <c r="Z474" t="s">
        <v>2313</v>
      </c>
      <c r="AB474" s="8">
        <v>529.49</v>
      </c>
      <c r="AC474" s="7">
        <v>0</v>
      </c>
      <c r="AF474" s="8">
        <v>529.49</v>
      </c>
    </row>
    <row r="475" spans="1:32" hidden="1">
      <c r="A475" s="7">
        <v>1016849</v>
      </c>
      <c r="B475" t="s">
        <v>4783</v>
      </c>
      <c r="C475" t="s">
        <v>4784</v>
      </c>
      <c r="D475" s="7">
        <v>7134260121009</v>
      </c>
      <c r="E475" t="s">
        <v>4785</v>
      </c>
      <c r="F475" t="s">
        <v>4786</v>
      </c>
      <c r="G475" t="s">
        <v>4787</v>
      </c>
      <c r="I475" t="s">
        <v>2192</v>
      </c>
      <c r="J475" t="s">
        <v>2193</v>
      </c>
      <c r="K475" t="s">
        <v>261</v>
      </c>
      <c r="L475" t="s">
        <v>2625</v>
      </c>
      <c r="N475" t="s">
        <v>3637</v>
      </c>
      <c r="O475" s="7">
        <v>65736</v>
      </c>
      <c r="R475" s="7">
        <v>3</v>
      </c>
      <c r="S475" t="s">
        <v>4817</v>
      </c>
      <c r="T475" t="s">
        <v>4818</v>
      </c>
      <c r="U475" s="7">
        <v>2</v>
      </c>
      <c r="V475">
        <v>69.900000000000006</v>
      </c>
      <c r="W475" t="s">
        <v>35</v>
      </c>
      <c r="Y475" t="s">
        <v>2269</v>
      </c>
      <c r="Z475" t="s">
        <v>2313</v>
      </c>
      <c r="AB475" s="8">
        <v>82.48</v>
      </c>
      <c r="AC475" s="7">
        <v>0</v>
      </c>
      <c r="AF475" s="8">
        <v>82.48</v>
      </c>
    </row>
    <row r="476" spans="1:32" hidden="1">
      <c r="A476" s="7">
        <v>1016849</v>
      </c>
      <c r="B476" t="s">
        <v>4783</v>
      </c>
      <c r="C476" t="s">
        <v>4784</v>
      </c>
      <c r="D476" s="7">
        <v>7134260121009</v>
      </c>
      <c r="E476" t="s">
        <v>4785</v>
      </c>
      <c r="F476" t="s">
        <v>4786</v>
      </c>
      <c r="G476" t="s">
        <v>4787</v>
      </c>
      <c r="I476" t="s">
        <v>2192</v>
      </c>
      <c r="J476" t="s">
        <v>2193</v>
      </c>
      <c r="K476" t="s">
        <v>261</v>
      </c>
      <c r="L476" t="s">
        <v>2625</v>
      </c>
      <c r="N476" t="s">
        <v>3637</v>
      </c>
      <c r="O476" s="7">
        <v>65736</v>
      </c>
      <c r="R476" s="7">
        <v>4</v>
      </c>
      <c r="S476" t="s">
        <v>4819</v>
      </c>
      <c r="T476" t="s">
        <v>4820</v>
      </c>
      <c r="U476" s="7">
        <v>2</v>
      </c>
      <c r="V476">
        <v>82.9</v>
      </c>
      <c r="W476" t="s">
        <v>35</v>
      </c>
      <c r="Y476" t="s">
        <v>2269</v>
      </c>
      <c r="Z476" t="s">
        <v>2313</v>
      </c>
      <c r="AB476" s="8">
        <v>97.82</v>
      </c>
      <c r="AC476" s="7">
        <v>0</v>
      </c>
      <c r="AF476" s="8">
        <v>97.82</v>
      </c>
    </row>
    <row r="477" spans="1:32" hidden="1">
      <c r="A477" s="7">
        <v>1016849</v>
      </c>
      <c r="B477" t="s">
        <v>4783</v>
      </c>
      <c r="C477" t="s">
        <v>4784</v>
      </c>
      <c r="D477" s="7">
        <v>7134260121009</v>
      </c>
      <c r="E477" t="s">
        <v>4785</v>
      </c>
      <c r="F477" t="s">
        <v>4786</v>
      </c>
      <c r="G477" t="s">
        <v>4787</v>
      </c>
      <c r="I477" t="s">
        <v>2192</v>
      </c>
      <c r="J477" t="s">
        <v>2193</v>
      </c>
      <c r="K477" t="s">
        <v>261</v>
      </c>
      <c r="L477" t="s">
        <v>2625</v>
      </c>
      <c r="N477" t="s">
        <v>3637</v>
      </c>
      <c r="O477" s="7">
        <v>65736</v>
      </c>
      <c r="R477" s="7">
        <v>5</v>
      </c>
      <c r="S477" t="s">
        <v>4235</v>
      </c>
      <c r="T477" t="s">
        <v>4236</v>
      </c>
      <c r="U477" s="7">
        <v>1</v>
      </c>
      <c r="V477" s="8">
        <v>3.25</v>
      </c>
      <c r="W477" t="s">
        <v>35</v>
      </c>
      <c r="Y477" t="s">
        <v>2269</v>
      </c>
      <c r="Z477" t="s">
        <v>2313</v>
      </c>
      <c r="AB477" s="8">
        <v>3.84</v>
      </c>
      <c r="AC477" s="7">
        <v>0</v>
      </c>
      <c r="AF477" s="8">
        <v>3.84</v>
      </c>
    </row>
    <row r="478" spans="1:32" hidden="1">
      <c r="A478" s="7">
        <v>1016849</v>
      </c>
      <c r="B478" t="s">
        <v>4783</v>
      </c>
      <c r="C478" t="s">
        <v>4784</v>
      </c>
      <c r="D478" s="7">
        <v>7134260121009</v>
      </c>
      <c r="E478" t="s">
        <v>4785</v>
      </c>
      <c r="F478" t="s">
        <v>4786</v>
      </c>
      <c r="G478" t="s">
        <v>4787</v>
      </c>
      <c r="I478" t="s">
        <v>2192</v>
      </c>
      <c r="J478" t="s">
        <v>2193</v>
      </c>
      <c r="K478" t="s">
        <v>261</v>
      </c>
      <c r="L478" t="s">
        <v>2625</v>
      </c>
      <c r="N478" t="s">
        <v>3637</v>
      </c>
      <c r="O478" s="7">
        <v>65736</v>
      </c>
      <c r="R478" s="7">
        <v>6</v>
      </c>
      <c r="S478" t="s">
        <v>4238</v>
      </c>
      <c r="T478" t="s">
        <v>4239</v>
      </c>
      <c r="U478" s="7">
        <v>1</v>
      </c>
      <c r="V478" s="8">
        <v>4.88</v>
      </c>
      <c r="W478" t="s">
        <v>35</v>
      </c>
      <c r="Y478" t="s">
        <v>2269</v>
      </c>
      <c r="Z478" t="s">
        <v>2313</v>
      </c>
      <c r="AB478" s="8">
        <v>5.76</v>
      </c>
      <c r="AC478" s="7">
        <v>0</v>
      </c>
      <c r="AF478" s="8">
        <v>5.76</v>
      </c>
    </row>
    <row r="479" spans="1:32" hidden="1">
      <c r="A479" s="7">
        <v>1016849</v>
      </c>
      <c r="B479" t="s">
        <v>4783</v>
      </c>
      <c r="C479" t="s">
        <v>4784</v>
      </c>
      <c r="D479" s="7">
        <v>7134260121009</v>
      </c>
      <c r="E479" t="s">
        <v>4785</v>
      </c>
      <c r="F479" t="s">
        <v>4786</v>
      </c>
      <c r="G479" t="s">
        <v>4787</v>
      </c>
      <c r="I479" t="s">
        <v>2192</v>
      </c>
      <c r="J479" t="s">
        <v>2193</v>
      </c>
      <c r="K479" t="s">
        <v>261</v>
      </c>
      <c r="L479" t="s">
        <v>2625</v>
      </c>
      <c r="N479" t="s">
        <v>3637</v>
      </c>
      <c r="O479" s="7">
        <v>65736</v>
      </c>
      <c r="R479" s="7">
        <v>7</v>
      </c>
      <c r="S479" t="s">
        <v>3712</v>
      </c>
      <c r="T479" t="s">
        <v>3713</v>
      </c>
      <c r="U479" s="7">
        <v>1</v>
      </c>
      <c r="V479" s="8">
        <v>445.53</v>
      </c>
      <c r="W479" t="s">
        <v>35</v>
      </c>
      <c r="Y479" t="s">
        <v>2269</v>
      </c>
      <c r="Z479" t="s">
        <v>2313</v>
      </c>
      <c r="AB479" s="8">
        <v>525.73</v>
      </c>
      <c r="AC479" s="7">
        <v>0</v>
      </c>
      <c r="AF479" s="8">
        <v>525.73</v>
      </c>
    </row>
    <row r="480" spans="1:32" hidden="1">
      <c r="A480" s="7">
        <v>1016849</v>
      </c>
      <c r="B480" t="s">
        <v>4783</v>
      </c>
      <c r="C480" t="s">
        <v>4784</v>
      </c>
      <c r="D480" s="7">
        <v>7134260121009</v>
      </c>
      <c r="E480" t="s">
        <v>4785</v>
      </c>
      <c r="F480" t="s">
        <v>4786</v>
      </c>
      <c r="G480" t="s">
        <v>4787</v>
      </c>
      <c r="I480" t="s">
        <v>2192</v>
      </c>
      <c r="J480" t="s">
        <v>2193</v>
      </c>
      <c r="K480" t="s">
        <v>261</v>
      </c>
      <c r="L480" t="s">
        <v>2625</v>
      </c>
      <c r="N480" t="s">
        <v>3637</v>
      </c>
      <c r="O480" s="7">
        <v>65736</v>
      </c>
      <c r="R480" s="7">
        <v>8</v>
      </c>
      <c r="S480" t="s">
        <v>4821</v>
      </c>
      <c r="T480" t="s">
        <v>4822</v>
      </c>
      <c r="U480" s="7">
        <v>4</v>
      </c>
      <c r="V480">
        <v>1102.2</v>
      </c>
      <c r="W480" t="s">
        <v>35</v>
      </c>
      <c r="Y480" t="s">
        <v>2269</v>
      </c>
      <c r="Z480" t="s">
        <v>2313</v>
      </c>
      <c r="AB480" s="8">
        <v>1300.5999999999999</v>
      </c>
      <c r="AC480" s="7">
        <v>0</v>
      </c>
      <c r="AF480" s="8">
        <v>1300.5999999999999</v>
      </c>
    </row>
    <row r="481" spans="1:32" hidden="1">
      <c r="A481" s="7">
        <v>1016849</v>
      </c>
      <c r="B481" t="s">
        <v>4783</v>
      </c>
      <c r="C481" t="s">
        <v>4784</v>
      </c>
      <c r="D481" s="7">
        <v>7134260121009</v>
      </c>
      <c r="E481" t="s">
        <v>4785</v>
      </c>
      <c r="F481" t="s">
        <v>4786</v>
      </c>
      <c r="G481" t="s">
        <v>4787</v>
      </c>
      <c r="I481" t="s">
        <v>2192</v>
      </c>
      <c r="J481" t="s">
        <v>2193</v>
      </c>
      <c r="K481" t="s">
        <v>261</v>
      </c>
      <c r="L481" t="s">
        <v>2625</v>
      </c>
      <c r="N481" t="s">
        <v>3637</v>
      </c>
      <c r="O481" s="7">
        <v>65736</v>
      </c>
      <c r="R481" s="7">
        <v>9</v>
      </c>
      <c r="S481" t="s">
        <v>4823</v>
      </c>
      <c r="T481" t="s">
        <v>4824</v>
      </c>
      <c r="U481" s="7">
        <v>4</v>
      </c>
      <c r="V481" s="8">
        <v>604.76</v>
      </c>
      <c r="W481" t="s">
        <v>35</v>
      </c>
      <c r="Y481" t="s">
        <v>2269</v>
      </c>
      <c r="Z481" t="s">
        <v>2313</v>
      </c>
      <c r="AB481" s="8">
        <v>713.62</v>
      </c>
      <c r="AC481" s="7">
        <v>0</v>
      </c>
      <c r="AF481" s="8">
        <v>713.62</v>
      </c>
    </row>
    <row r="482" spans="1:32" hidden="1">
      <c r="A482" s="7">
        <v>1016849</v>
      </c>
      <c r="B482" t="s">
        <v>4783</v>
      </c>
      <c r="C482" t="s">
        <v>4784</v>
      </c>
      <c r="D482" s="7">
        <v>7134260121009</v>
      </c>
      <c r="E482" t="s">
        <v>4785</v>
      </c>
      <c r="F482" t="s">
        <v>4786</v>
      </c>
      <c r="G482" t="s">
        <v>4787</v>
      </c>
      <c r="I482" t="s">
        <v>2192</v>
      </c>
      <c r="J482" t="s">
        <v>2193</v>
      </c>
      <c r="K482" t="s">
        <v>261</v>
      </c>
      <c r="L482" t="s">
        <v>2625</v>
      </c>
      <c r="N482" t="s">
        <v>3637</v>
      </c>
      <c r="O482" s="7">
        <v>65736</v>
      </c>
      <c r="R482" s="7">
        <v>10</v>
      </c>
      <c r="S482" t="s">
        <v>4825</v>
      </c>
      <c r="T482" t="s">
        <v>4826</v>
      </c>
      <c r="U482" s="7">
        <v>4</v>
      </c>
      <c r="V482" s="8">
        <v>780.32</v>
      </c>
      <c r="W482" t="s">
        <v>35</v>
      </c>
      <c r="Y482" t="s">
        <v>2269</v>
      </c>
      <c r="Z482" t="s">
        <v>2313</v>
      </c>
      <c r="AB482" s="8">
        <v>920.78</v>
      </c>
      <c r="AC482" s="7">
        <v>0</v>
      </c>
      <c r="AF482" s="8">
        <v>920.78</v>
      </c>
    </row>
    <row r="483" spans="1:32" hidden="1">
      <c r="A483" s="7">
        <v>1016849</v>
      </c>
      <c r="B483" t="s">
        <v>4783</v>
      </c>
      <c r="C483" t="s">
        <v>4784</v>
      </c>
      <c r="D483" s="7">
        <v>7134260121009</v>
      </c>
      <c r="E483" t="s">
        <v>4785</v>
      </c>
      <c r="F483" t="s">
        <v>4786</v>
      </c>
      <c r="G483" t="s">
        <v>4787</v>
      </c>
      <c r="I483" t="s">
        <v>2192</v>
      </c>
      <c r="J483" t="s">
        <v>2193</v>
      </c>
      <c r="K483" t="s">
        <v>261</v>
      </c>
      <c r="L483" t="s">
        <v>2625</v>
      </c>
      <c r="N483" t="s">
        <v>3637</v>
      </c>
      <c r="O483" s="7">
        <v>65736</v>
      </c>
      <c r="R483" s="7">
        <v>11</v>
      </c>
      <c r="S483" t="s">
        <v>4240</v>
      </c>
      <c r="T483" t="s">
        <v>4241</v>
      </c>
      <c r="U483" s="7">
        <v>5</v>
      </c>
      <c r="V483">
        <v>20.3</v>
      </c>
      <c r="W483" t="s">
        <v>35</v>
      </c>
      <c r="Y483" t="s">
        <v>2269</v>
      </c>
      <c r="Z483" t="s">
        <v>2313</v>
      </c>
      <c r="AB483" s="8">
        <v>23.95</v>
      </c>
      <c r="AC483" s="7">
        <v>0</v>
      </c>
      <c r="AF483" s="8">
        <v>23.95</v>
      </c>
    </row>
    <row r="484" spans="1:32" hidden="1">
      <c r="A484" s="7">
        <v>1016849</v>
      </c>
      <c r="B484" t="s">
        <v>4783</v>
      </c>
      <c r="C484" t="s">
        <v>4784</v>
      </c>
      <c r="D484" s="7">
        <v>7134260121009</v>
      </c>
      <c r="E484" t="s">
        <v>4785</v>
      </c>
      <c r="F484" t="s">
        <v>4786</v>
      </c>
      <c r="G484" t="s">
        <v>4787</v>
      </c>
      <c r="I484" t="s">
        <v>2192</v>
      </c>
      <c r="J484" t="s">
        <v>2193</v>
      </c>
      <c r="K484" t="s">
        <v>261</v>
      </c>
      <c r="L484" t="s">
        <v>2625</v>
      </c>
      <c r="N484" t="s">
        <v>3637</v>
      </c>
      <c r="O484" s="7">
        <v>65736</v>
      </c>
      <c r="R484" s="7">
        <v>12</v>
      </c>
      <c r="S484" t="s">
        <v>4242</v>
      </c>
      <c r="T484" t="s">
        <v>4243</v>
      </c>
      <c r="U484" s="7">
        <v>1</v>
      </c>
      <c r="V484" s="8">
        <v>30.89</v>
      </c>
      <c r="W484" t="s">
        <v>35</v>
      </c>
      <c r="Y484" t="s">
        <v>2269</v>
      </c>
      <c r="Z484" t="s">
        <v>2313</v>
      </c>
      <c r="AB484" s="8">
        <v>36.450000000000003</v>
      </c>
      <c r="AC484" s="7">
        <v>0</v>
      </c>
      <c r="AF484" s="8">
        <v>36.450000000000003</v>
      </c>
    </row>
    <row r="485" spans="1:32" hidden="1">
      <c r="A485" s="7">
        <v>1016849</v>
      </c>
      <c r="B485" t="s">
        <v>4783</v>
      </c>
      <c r="C485" t="s">
        <v>4784</v>
      </c>
      <c r="D485" s="7">
        <v>7134260121009</v>
      </c>
      <c r="E485" t="s">
        <v>4785</v>
      </c>
      <c r="F485" t="s">
        <v>4786</v>
      </c>
      <c r="G485" t="s">
        <v>4787</v>
      </c>
      <c r="I485" t="s">
        <v>2192</v>
      </c>
      <c r="J485" t="s">
        <v>2193</v>
      </c>
      <c r="K485" t="s">
        <v>261</v>
      </c>
      <c r="L485" t="s">
        <v>2625</v>
      </c>
      <c r="N485" t="s">
        <v>3637</v>
      </c>
      <c r="O485" s="7">
        <v>65736</v>
      </c>
      <c r="R485" s="7">
        <v>13</v>
      </c>
      <c r="S485" t="s">
        <v>4244</v>
      </c>
      <c r="T485" t="s">
        <v>4245</v>
      </c>
      <c r="U485" s="7">
        <v>1</v>
      </c>
      <c r="V485" s="8">
        <v>35.76</v>
      </c>
      <c r="W485" t="s">
        <v>35</v>
      </c>
      <c r="Y485" t="s">
        <v>2269</v>
      </c>
      <c r="Z485" t="s">
        <v>2313</v>
      </c>
      <c r="AB485" s="8">
        <v>42.2</v>
      </c>
      <c r="AC485" s="7">
        <v>0</v>
      </c>
      <c r="AF485" s="8">
        <v>42.2</v>
      </c>
    </row>
    <row r="486" spans="1:32" hidden="1">
      <c r="A486" s="7">
        <v>1016849</v>
      </c>
      <c r="B486" t="s">
        <v>4783</v>
      </c>
      <c r="C486" t="s">
        <v>4784</v>
      </c>
      <c r="D486" s="7">
        <v>7134260121009</v>
      </c>
      <c r="E486" t="s">
        <v>4785</v>
      </c>
      <c r="F486" t="s">
        <v>4786</v>
      </c>
      <c r="G486" t="s">
        <v>4787</v>
      </c>
      <c r="I486" t="s">
        <v>2192</v>
      </c>
      <c r="J486" t="s">
        <v>2193</v>
      </c>
      <c r="K486" t="s">
        <v>261</v>
      </c>
      <c r="L486" t="s">
        <v>2625</v>
      </c>
      <c r="N486" t="s">
        <v>3637</v>
      </c>
      <c r="O486" s="7">
        <v>65736</v>
      </c>
      <c r="R486" s="7">
        <v>14</v>
      </c>
      <c r="S486" t="s">
        <v>4827</v>
      </c>
      <c r="T486" t="s">
        <v>4828</v>
      </c>
      <c r="U486" s="7">
        <v>1</v>
      </c>
      <c r="V486">
        <v>2248.3000000000002</v>
      </c>
      <c r="W486" t="s">
        <v>35</v>
      </c>
      <c r="Y486" t="s">
        <v>2269</v>
      </c>
      <c r="Z486" t="s">
        <v>2313</v>
      </c>
      <c r="AB486" s="8">
        <v>2652.99</v>
      </c>
      <c r="AC486" s="7">
        <v>0</v>
      </c>
      <c r="AF486" s="8">
        <v>2652.99</v>
      </c>
    </row>
    <row r="487" spans="1:32" hidden="1">
      <c r="A487" s="7">
        <v>1016849</v>
      </c>
      <c r="B487" t="s">
        <v>4783</v>
      </c>
      <c r="C487" t="s">
        <v>4784</v>
      </c>
      <c r="D487" s="7">
        <v>7134260121009</v>
      </c>
      <c r="E487" t="s">
        <v>4785</v>
      </c>
      <c r="F487" t="s">
        <v>4786</v>
      </c>
      <c r="G487" t="s">
        <v>4787</v>
      </c>
      <c r="I487" t="s">
        <v>2192</v>
      </c>
      <c r="J487" t="s">
        <v>2193</v>
      </c>
      <c r="K487" t="s">
        <v>261</v>
      </c>
      <c r="L487" t="s">
        <v>2625</v>
      </c>
      <c r="N487" t="s">
        <v>3637</v>
      </c>
      <c r="O487" s="7">
        <v>65736</v>
      </c>
      <c r="R487" s="7">
        <v>15</v>
      </c>
      <c r="S487" t="s">
        <v>4229</v>
      </c>
      <c r="T487" t="s">
        <v>4230</v>
      </c>
      <c r="U487" s="7">
        <v>1</v>
      </c>
      <c r="V487" s="8">
        <v>75.59</v>
      </c>
      <c r="W487" t="s">
        <v>35</v>
      </c>
      <c r="Y487" t="s">
        <v>2269</v>
      </c>
      <c r="Z487" t="s">
        <v>2313</v>
      </c>
      <c r="AB487" s="8">
        <v>89.2</v>
      </c>
      <c r="AC487" s="7">
        <v>0</v>
      </c>
      <c r="AF487" s="8">
        <v>89.2</v>
      </c>
    </row>
    <row r="488" spans="1:32" hidden="1">
      <c r="A488" s="7">
        <v>1016849</v>
      </c>
      <c r="B488" t="s">
        <v>4783</v>
      </c>
      <c r="C488" t="s">
        <v>4784</v>
      </c>
      <c r="D488" s="7">
        <v>7134260121009</v>
      </c>
      <c r="E488" t="s">
        <v>4785</v>
      </c>
      <c r="F488" t="s">
        <v>4786</v>
      </c>
      <c r="G488" t="s">
        <v>4787</v>
      </c>
      <c r="I488" t="s">
        <v>2192</v>
      </c>
      <c r="J488" t="s">
        <v>2193</v>
      </c>
      <c r="K488" t="s">
        <v>261</v>
      </c>
      <c r="L488" t="s">
        <v>2625</v>
      </c>
      <c r="N488" t="s">
        <v>3637</v>
      </c>
      <c r="O488" s="7">
        <v>65736</v>
      </c>
      <c r="R488" s="7">
        <v>16</v>
      </c>
      <c r="S488" t="s">
        <v>4829</v>
      </c>
      <c r="T488" t="s">
        <v>4830</v>
      </c>
      <c r="U488" s="7">
        <v>8</v>
      </c>
      <c r="V488" s="8">
        <v>45.52</v>
      </c>
      <c r="W488" t="s">
        <v>35</v>
      </c>
      <c r="Y488" t="s">
        <v>2269</v>
      </c>
      <c r="Z488" t="s">
        <v>2313</v>
      </c>
      <c r="AB488" s="8">
        <v>53.71</v>
      </c>
      <c r="AC488" s="7">
        <v>0</v>
      </c>
      <c r="AF488" s="8">
        <v>53.71</v>
      </c>
    </row>
    <row r="489" spans="1:32" hidden="1">
      <c r="A489" s="7">
        <v>1016849</v>
      </c>
      <c r="B489" t="s">
        <v>4783</v>
      </c>
      <c r="C489" t="s">
        <v>4784</v>
      </c>
      <c r="D489" s="7">
        <v>7134260121009</v>
      </c>
      <c r="E489" t="s">
        <v>4785</v>
      </c>
      <c r="F489" t="s">
        <v>4786</v>
      </c>
      <c r="G489" t="s">
        <v>4787</v>
      </c>
      <c r="I489" t="s">
        <v>2192</v>
      </c>
      <c r="J489" t="s">
        <v>2193</v>
      </c>
      <c r="K489" t="s">
        <v>261</v>
      </c>
      <c r="L489" t="s">
        <v>2625</v>
      </c>
      <c r="N489" t="s">
        <v>3637</v>
      </c>
      <c r="O489" s="7">
        <v>65736</v>
      </c>
      <c r="R489" s="7">
        <v>17</v>
      </c>
      <c r="S489" t="s">
        <v>4831</v>
      </c>
      <c r="T489" t="s">
        <v>4832</v>
      </c>
      <c r="U489" s="7">
        <v>1</v>
      </c>
      <c r="V489" s="8">
        <v>110.55</v>
      </c>
      <c r="W489" t="s">
        <v>35</v>
      </c>
      <c r="Y489" t="s">
        <v>2269</v>
      </c>
      <c r="Z489" t="s">
        <v>2313</v>
      </c>
      <c r="AB489" s="8">
        <v>130.44999999999999</v>
      </c>
      <c r="AC489" s="7">
        <v>0</v>
      </c>
      <c r="AF489" s="8">
        <v>130.44999999999999</v>
      </c>
    </row>
    <row r="490" spans="1:32" hidden="1">
      <c r="A490" s="7">
        <v>1016849</v>
      </c>
      <c r="B490" t="s">
        <v>4783</v>
      </c>
      <c r="C490" t="s">
        <v>4784</v>
      </c>
      <c r="D490" s="7">
        <v>7134260121009</v>
      </c>
      <c r="E490" t="s">
        <v>4785</v>
      </c>
      <c r="F490" t="s">
        <v>4786</v>
      </c>
      <c r="G490" t="s">
        <v>4787</v>
      </c>
      <c r="I490" t="s">
        <v>2192</v>
      </c>
      <c r="J490" t="s">
        <v>2193</v>
      </c>
      <c r="K490" t="s">
        <v>261</v>
      </c>
      <c r="L490" t="s">
        <v>2625</v>
      </c>
      <c r="N490" t="s">
        <v>3637</v>
      </c>
      <c r="O490" s="7">
        <v>65736</v>
      </c>
      <c r="R490" s="7">
        <v>18</v>
      </c>
      <c r="S490" t="s">
        <v>4833</v>
      </c>
      <c r="T490" t="s">
        <v>4834</v>
      </c>
      <c r="U490" s="7">
        <v>1</v>
      </c>
      <c r="V490" s="8">
        <v>955.89</v>
      </c>
      <c r="W490" t="s">
        <v>35</v>
      </c>
      <c r="Y490" t="s">
        <v>2269</v>
      </c>
      <c r="Z490" t="s">
        <v>2313</v>
      </c>
      <c r="AB490" s="8">
        <v>1127.95</v>
      </c>
      <c r="AC490" s="7">
        <v>0</v>
      </c>
      <c r="AF490" s="8">
        <v>1127.95</v>
      </c>
    </row>
    <row r="491" spans="1:32" hidden="1">
      <c r="A491" s="7">
        <v>1016849</v>
      </c>
      <c r="B491" t="s">
        <v>4783</v>
      </c>
      <c r="C491" t="s">
        <v>4784</v>
      </c>
      <c r="D491" s="7">
        <v>7134260121009</v>
      </c>
      <c r="E491" t="s">
        <v>4785</v>
      </c>
      <c r="F491" t="s">
        <v>4786</v>
      </c>
      <c r="G491" t="s">
        <v>4787</v>
      </c>
      <c r="I491" t="s">
        <v>2192</v>
      </c>
      <c r="J491" t="s">
        <v>2193</v>
      </c>
      <c r="K491" t="s">
        <v>261</v>
      </c>
      <c r="L491" t="s">
        <v>2625</v>
      </c>
      <c r="N491" t="s">
        <v>3637</v>
      </c>
      <c r="O491" s="7">
        <v>65736</v>
      </c>
      <c r="R491" s="7">
        <v>19</v>
      </c>
      <c r="S491" t="s">
        <v>4835</v>
      </c>
      <c r="T491" t="s">
        <v>4836</v>
      </c>
      <c r="U491" s="7">
        <v>1</v>
      </c>
      <c r="V491" s="8">
        <v>929.07</v>
      </c>
      <c r="W491" t="s">
        <v>35</v>
      </c>
      <c r="Y491" t="s">
        <v>2269</v>
      </c>
      <c r="Z491" t="s">
        <v>2313</v>
      </c>
      <c r="AB491" s="8">
        <v>1096.3</v>
      </c>
      <c r="AC491" s="7">
        <v>0</v>
      </c>
      <c r="AF491" s="8">
        <v>1096.3</v>
      </c>
    </row>
    <row r="492" spans="1:32" hidden="1">
      <c r="A492" s="7">
        <v>1016849</v>
      </c>
      <c r="B492" t="s">
        <v>4783</v>
      </c>
      <c r="C492" t="s">
        <v>4784</v>
      </c>
      <c r="D492" s="7">
        <v>7134260121009</v>
      </c>
      <c r="E492" t="s">
        <v>4785</v>
      </c>
      <c r="F492" t="s">
        <v>4786</v>
      </c>
      <c r="G492" t="s">
        <v>4787</v>
      </c>
      <c r="I492" t="s">
        <v>2192</v>
      </c>
      <c r="J492" t="s">
        <v>2193</v>
      </c>
      <c r="K492" t="s">
        <v>261</v>
      </c>
      <c r="L492" t="s">
        <v>2625</v>
      </c>
      <c r="N492" t="s">
        <v>3637</v>
      </c>
      <c r="O492" s="7">
        <v>65736</v>
      </c>
      <c r="R492" s="7">
        <v>20</v>
      </c>
      <c r="S492" t="s">
        <v>4837</v>
      </c>
      <c r="T492" t="s">
        <v>4838</v>
      </c>
      <c r="U492" s="7">
        <v>8</v>
      </c>
      <c r="V492" s="8">
        <v>416.16</v>
      </c>
      <c r="W492" t="s">
        <v>35</v>
      </c>
      <c r="Y492" t="s">
        <v>2269</v>
      </c>
      <c r="Z492" t="s">
        <v>2313</v>
      </c>
      <c r="AB492" s="8">
        <v>491.07</v>
      </c>
      <c r="AC492" s="7">
        <v>0</v>
      </c>
      <c r="AF492" s="8">
        <v>491.07</v>
      </c>
    </row>
    <row r="493" spans="1:32" hidden="1">
      <c r="A493" s="7">
        <v>1016849</v>
      </c>
      <c r="B493" t="s">
        <v>4783</v>
      </c>
      <c r="C493" t="s">
        <v>4784</v>
      </c>
      <c r="D493" s="7">
        <v>7134260121009</v>
      </c>
      <c r="E493" t="s">
        <v>4785</v>
      </c>
      <c r="F493" t="s">
        <v>4786</v>
      </c>
      <c r="G493" t="s">
        <v>4787</v>
      </c>
      <c r="I493" t="s">
        <v>2192</v>
      </c>
      <c r="J493" t="s">
        <v>2193</v>
      </c>
      <c r="K493" t="s">
        <v>261</v>
      </c>
      <c r="L493" t="s">
        <v>2625</v>
      </c>
      <c r="N493" t="s">
        <v>3637</v>
      </c>
      <c r="O493" s="7">
        <v>65736</v>
      </c>
      <c r="R493" s="7">
        <v>21</v>
      </c>
      <c r="S493" t="s">
        <v>4839</v>
      </c>
      <c r="T493" t="s">
        <v>4840</v>
      </c>
      <c r="U493" s="7">
        <v>1</v>
      </c>
      <c r="V493" s="8">
        <v>4.0599999999999996</v>
      </c>
      <c r="W493" t="s">
        <v>35</v>
      </c>
      <c r="Y493" t="s">
        <v>2269</v>
      </c>
      <c r="Z493" t="s">
        <v>2313</v>
      </c>
      <c r="AB493" s="8">
        <v>4.79</v>
      </c>
      <c r="AC493" s="7">
        <v>0</v>
      </c>
      <c r="AF493" s="8">
        <v>4.79</v>
      </c>
    </row>
    <row r="494" spans="1:32" hidden="1">
      <c r="A494" s="7">
        <v>1016849</v>
      </c>
      <c r="B494" t="s">
        <v>4783</v>
      </c>
      <c r="C494" t="s">
        <v>4784</v>
      </c>
      <c r="D494" s="7">
        <v>7134260121009</v>
      </c>
      <c r="E494" t="s">
        <v>4785</v>
      </c>
      <c r="F494" t="s">
        <v>4786</v>
      </c>
      <c r="G494" t="s">
        <v>4787</v>
      </c>
      <c r="I494" t="s">
        <v>2192</v>
      </c>
      <c r="J494" t="s">
        <v>2193</v>
      </c>
      <c r="K494" t="s">
        <v>261</v>
      </c>
      <c r="L494" t="s">
        <v>2625</v>
      </c>
      <c r="N494" t="s">
        <v>3637</v>
      </c>
      <c r="O494" s="7">
        <v>65736</v>
      </c>
      <c r="R494" s="7">
        <v>22</v>
      </c>
      <c r="S494" t="s">
        <v>3716</v>
      </c>
      <c r="T494" t="s">
        <v>3717</v>
      </c>
      <c r="U494" s="7">
        <v>1</v>
      </c>
      <c r="V494" s="8">
        <v>1074.57</v>
      </c>
      <c r="W494" t="s">
        <v>35</v>
      </c>
      <c r="Y494" t="s">
        <v>2269</v>
      </c>
      <c r="Z494" t="s">
        <v>2313</v>
      </c>
      <c r="AB494" s="8">
        <v>1267.99</v>
      </c>
      <c r="AC494" s="7">
        <v>0</v>
      </c>
      <c r="AF494" s="8">
        <v>1267.99</v>
      </c>
    </row>
    <row r="495" spans="1:32" hidden="1">
      <c r="A495" s="7">
        <v>1016849</v>
      </c>
      <c r="B495" t="s">
        <v>4783</v>
      </c>
      <c r="C495" t="s">
        <v>4784</v>
      </c>
      <c r="D495" s="7">
        <v>7134260121009</v>
      </c>
      <c r="E495" t="s">
        <v>4785</v>
      </c>
      <c r="F495" t="s">
        <v>4786</v>
      </c>
      <c r="G495" t="s">
        <v>4787</v>
      </c>
      <c r="I495" t="s">
        <v>2192</v>
      </c>
      <c r="J495" t="s">
        <v>2193</v>
      </c>
      <c r="K495" t="s">
        <v>261</v>
      </c>
      <c r="L495" t="s">
        <v>2625</v>
      </c>
      <c r="N495" t="s">
        <v>3637</v>
      </c>
      <c r="O495" s="7">
        <v>65736</v>
      </c>
      <c r="R495" s="7">
        <v>23</v>
      </c>
      <c r="S495" t="s">
        <v>4841</v>
      </c>
      <c r="T495" t="s">
        <v>4842</v>
      </c>
      <c r="U495" s="7">
        <v>4</v>
      </c>
      <c r="V495" s="8">
        <v>416.16</v>
      </c>
      <c r="W495" t="s">
        <v>35</v>
      </c>
      <c r="Y495" t="s">
        <v>2269</v>
      </c>
      <c r="Z495" t="s">
        <v>2313</v>
      </c>
      <c r="AB495" s="8">
        <v>491.07</v>
      </c>
      <c r="AC495" s="7">
        <v>0</v>
      </c>
      <c r="AF495" s="8">
        <v>491.07</v>
      </c>
    </row>
    <row r="496" spans="1:32" hidden="1">
      <c r="A496" s="7">
        <v>1016849</v>
      </c>
      <c r="B496" t="s">
        <v>4783</v>
      </c>
      <c r="C496" t="s">
        <v>4784</v>
      </c>
      <c r="D496" s="7">
        <v>7134260121009</v>
      </c>
      <c r="E496" t="s">
        <v>4785</v>
      </c>
      <c r="F496" t="s">
        <v>4786</v>
      </c>
      <c r="G496" t="s">
        <v>4787</v>
      </c>
      <c r="I496" t="s">
        <v>2192</v>
      </c>
      <c r="J496" t="s">
        <v>2193</v>
      </c>
      <c r="K496" t="s">
        <v>261</v>
      </c>
      <c r="L496" t="s">
        <v>2625</v>
      </c>
      <c r="N496" t="s">
        <v>3637</v>
      </c>
      <c r="O496" s="7">
        <v>65736</v>
      </c>
      <c r="R496" s="7">
        <v>24</v>
      </c>
      <c r="S496" t="s">
        <v>4250</v>
      </c>
      <c r="T496" t="s">
        <v>4251</v>
      </c>
      <c r="U496" s="7">
        <v>1</v>
      </c>
      <c r="V496" s="8">
        <v>39.020000000000003</v>
      </c>
      <c r="W496" t="s">
        <v>35</v>
      </c>
      <c r="Y496" t="s">
        <v>2269</v>
      </c>
      <c r="Z496" t="s">
        <v>2313</v>
      </c>
      <c r="AB496" s="8">
        <v>46.04</v>
      </c>
      <c r="AC496" s="7">
        <v>0</v>
      </c>
      <c r="AF496" s="8">
        <v>46.04</v>
      </c>
    </row>
    <row r="497" spans="1:32" hidden="1">
      <c r="A497" s="7">
        <v>1016849</v>
      </c>
      <c r="B497" t="s">
        <v>4783</v>
      </c>
      <c r="C497" t="s">
        <v>4784</v>
      </c>
      <c r="D497" s="7">
        <v>7134260121009</v>
      </c>
      <c r="E497" t="s">
        <v>4785</v>
      </c>
      <c r="F497" t="s">
        <v>4786</v>
      </c>
      <c r="G497" t="s">
        <v>4787</v>
      </c>
      <c r="I497" t="s">
        <v>2192</v>
      </c>
      <c r="J497" t="s">
        <v>2193</v>
      </c>
      <c r="K497" t="s">
        <v>261</v>
      </c>
      <c r="L497" t="s">
        <v>2625</v>
      </c>
      <c r="N497" t="s">
        <v>3637</v>
      </c>
      <c r="O497" s="7">
        <v>65736</v>
      </c>
      <c r="R497" s="7">
        <v>25</v>
      </c>
      <c r="S497" t="s">
        <v>4843</v>
      </c>
      <c r="T497" t="s">
        <v>4844</v>
      </c>
      <c r="U497" s="7">
        <v>1</v>
      </c>
      <c r="V497" s="8">
        <v>286.12</v>
      </c>
      <c r="W497" t="s">
        <v>35</v>
      </c>
      <c r="Y497" t="s">
        <v>2269</v>
      </c>
      <c r="Z497" t="s">
        <v>2313</v>
      </c>
      <c r="AB497" s="8">
        <v>337.62</v>
      </c>
      <c r="AC497" s="7">
        <v>0</v>
      </c>
      <c r="AF497" s="8">
        <v>337.62</v>
      </c>
    </row>
    <row r="498" spans="1:32" hidden="1">
      <c r="A498" s="7">
        <v>1016849</v>
      </c>
      <c r="B498" t="s">
        <v>4783</v>
      </c>
      <c r="C498" t="s">
        <v>4784</v>
      </c>
      <c r="D498" s="7">
        <v>7134260121009</v>
      </c>
      <c r="E498" t="s">
        <v>4785</v>
      </c>
      <c r="F498" t="s">
        <v>4786</v>
      </c>
      <c r="G498" t="s">
        <v>4787</v>
      </c>
      <c r="I498" t="s">
        <v>2192</v>
      </c>
      <c r="J498" t="s">
        <v>2193</v>
      </c>
      <c r="K498" t="s">
        <v>261</v>
      </c>
      <c r="L498" t="s">
        <v>2625</v>
      </c>
      <c r="N498" t="s">
        <v>3637</v>
      </c>
      <c r="O498" s="7">
        <v>65736</v>
      </c>
      <c r="R498" s="7">
        <v>26</v>
      </c>
      <c r="S498" t="s">
        <v>4845</v>
      </c>
      <c r="T498" t="s">
        <v>4846</v>
      </c>
      <c r="U498" s="7">
        <v>5</v>
      </c>
      <c r="V498" s="8">
        <v>337.35</v>
      </c>
      <c r="W498" t="s">
        <v>35</v>
      </c>
      <c r="Y498" t="s">
        <v>2269</v>
      </c>
      <c r="Z498" t="s">
        <v>2313</v>
      </c>
      <c r="AB498" s="8">
        <v>398.07</v>
      </c>
      <c r="AC498" s="7">
        <v>0</v>
      </c>
      <c r="AF498" s="8">
        <v>398.07</v>
      </c>
    </row>
    <row r="499" spans="1:32" hidden="1">
      <c r="A499" s="7">
        <v>1016849</v>
      </c>
      <c r="B499" t="s">
        <v>4783</v>
      </c>
      <c r="C499" t="s">
        <v>4784</v>
      </c>
      <c r="D499" s="7">
        <v>7134260121009</v>
      </c>
      <c r="E499" t="s">
        <v>4785</v>
      </c>
      <c r="F499" t="s">
        <v>4786</v>
      </c>
      <c r="G499" t="s">
        <v>4787</v>
      </c>
      <c r="I499" t="s">
        <v>2192</v>
      </c>
      <c r="J499" t="s">
        <v>2193</v>
      </c>
      <c r="K499" t="s">
        <v>261</v>
      </c>
      <c r="L499" t="s">
        <v>2625</v>
      </c>
      <c r="N499" t="s">
        <v>3637</v>
      </c>
      <c r="O499" s="7">
        <v>65736</v>
      </c>
      <c r="R499" s="7">
        <v>27</v>
      </c>
      <c r="S499" t="s">
        <v>4847</v>
      </c>
      <c r="T499" t="s">
        <v>4848</v>
      </c>
      <c r="U499" s="7">
        <v>5</v>
      </c>
      <c r="V499" s="8">
        <v>345.45</v>
      </c>
      <c r="W499" t="s">
        <v>35</v>
      </c>
      <c r="Y499" t="s">
        <v>2269</v>
      </c>
      <c r="Z499" t="s">
        <v>2313</v>
      </c>
      <c r="AB499" s="8">
        <v>407.63</v>
      </c>
      <c r="AC499" s="7">
        <v>0</v>
      </c>
      <c r="AF499" s="8">
        <v>407.63</v>
      </c>
    </row>
    <row r="500" spans="1:32" hidden="1">
      <c r="A500" s="7">
        <v>1016849</v>
      </c>
      <c r="B500" t="s">
        <v>4783</v>
      </c>
      <c r="C500" t="s">
        <v>4784</v>
      </c>
      <c r="D500" s="7">
        <v>7134260121009</v>
      </c>
      <c r="E500" t="s">
        <v>4785</v>
      </c>
      <c r="F500" t="s">
        <v>4786</v>
      </c>
      <c r="G500" t="s">
        <v>4787</v>
      </c>
      <c r="I500" t="s">
        <v>2192</v>
      </c>
      <c r="J500" t="s">
        <v>2193</v>
      </c>
      <c r="K500" t="s">
        <v>261</v>
      </c>
      <c r="L500" t="s">
        <v>2625</v>
      </c>
      <c r="N500" t="s">
        <v>3637</v>
      </c>
      <c r="O500" s="7">
        <v>65736</v>
      </c>
      <c r="R500" s="7">
        <v>28</v>
      </c>
      <c r="S500" t="s">
        <v>4252</v>
      </c>
      <c r="T500" t="s">
        <v>4253</v>
      </c>
      <c r="U500" s="7">
        <v>1</v>
      </c>
      <c r="V500" s="8">
        <v>246.29</v>
      </c>
      <c r="W500" t="s">
        <v>35</v>
      </c>
      <c r="Y500" t="s">
        <v>2269</v>
      </c>
      <c r="Z500" t="s">
        <v>2313</v>
      </c>
      <c r="AB500" s="8">
        <v>290.62</v>
      </c>
      <c r="AC500" s="7">
        <v>0</v>
      </c>
      <c r="AF500" s="8">
        <v>290.62</v>
      </c>
    </row>
    <row r="501" spans="1:32" hidden="1">
      <c r="A501" s="7">
        <v>1016849</v>
      </c>
      <c r="B501" t="s">
        <v>4783</v>
      </c>
      <c r="C501" t="s">
        <v>4784</v>
      </c>
      <c r="D501" s="7">
        <v>7134260121009</v>
      </c>
      <c r="E501" t="s">
        <v>4785</v>
      </c>
      <c r="F501" t="s">
        <v>4786</v>
      </c>
      <c r="G501" t="s">
        <v>4787</v>
      </c>
      <c r="I501" t="s">
        <v>2192</v>
      </c>
      <c r="J501" t="s">
        <v>2193</v>
      </c>
      <c r="K501" t="s">
        <v>261</v>
      </c>
      <c r="L501" t="s">
        <v>2625</v>
      </c>
      <c r="N501" t="s">
        <v>3637</v>
      </c>
      <c r="O501" s="7">
        <v>65736</v>
      </c>
      <c r="R501" s="7">
        <v>29</v>
      </c>
      <c r="S501" t="s">
        <v>4254</v>
      </c>
      <c r="T501" t="s">
        <v>4255</v>
      </c>
      <c r="U501" s="7">
        <v>7</v>
      </c>
      <c r="V501" s="7">
        <v>2080</v>
      </c>
      <c r="W501" t="s">
        <v>35</v>
      </c>
      <c r="Y501" t="s">
        <v>2269</v>
      </c>
      <c r="Z501" t="s">
        <v>2313</v>
      </c>
      <c r="AB501" s="8">
        <v>2454.4</v>
      </c>
      <c r="AC501" s="7">
        <v>0</v>
      </c>
      <c r="AF501" s="8">
        <v>2454.4</v>
      </c>
    </row>
    <row r="502" spans="1:32" hidden="1">
      <c r="A502" s="7">
        <v>1016849</v>
      </c>
      <c r="B502" t="s">
        <v>4783</v>
      </c>
      <c r="C502" t="s">
        <v>4784</v>
      </c>
      <c r="D502" s="7">
        <v>7134260121009</v>
      </c>
      <c r="E502" t="s">
        <v>4785</v>
      </c>
      <c r="F502" t="s">
        <v>4786</v>
      </c>
      <c r="G502" t="s">
        <v>4787</v>
      </c>
      <c r="I502" t="s">
        <v>2192</v>
      </c>
      <c r="J502" t="s">
        <v>2193</v>
      </c>
      <c r="K502" t="s">
        <v>261</v>
      </c>
      <c r="L502" t="s">
        <v>2625</v>
      </c>
      <c r="N502" t="s">
        <v>3637</v>
      </c>
      <c r="O502" s="7">
        <v>65736</v>
      </c>
      <c r="R502" s="7">
        <v>30</v>
      </c>
      <c r="S502" t="s">
        <v>3718</v>
      </c>
      <c r="T502" t="s">
        <v>3719</v>
      </c>
      <c r="U502" s="7">
        <v>1</v>
      </c>
      <c r="V502" s="8">
        <v>4138.2299999999996</v>
      </c>
      <c r="W502" t="s">
        <v>35</v>
      </c>
      <c r="Y502" t="s">
        <v>2269</v>
      </c>
      <c r="Z502" t="s">
        <v>2313</v>
      </c>
      <c r="AB502" s="8">
        <v>4883.1099999999997</v>
      </c>
      <c r="AC502" s="7">
        <v>0</v>
      </c>
      <c r="AF502" s="8">
        <v>4883.1099999999997</v>
      </c>
    </row>
    <row r="503" spans="1:32" hidden="1">
      <c r="A503" s="7">
        <v>1016849</v>
      </c>
      <c r="B503" t="s">
        <v>4783</v>
      </c>
      <c r="C503" t="s">
        <v>4784</v>
      </c>
      <c r="D503" s="7">
        <v>7134260121009</v>
      </c>
      <c r="E503" t="s">
        <v>4785</v>
      </c>
      <c r="F503" t="s">
        <v>4786</v>
      </c>
      <c r="G503" t="s">
        <v>4787</v>
      </c>
      <c r="I503" t="s">
        <v>2192</v>
      </c>
      <c r="J503" t="s">
        <v>2193</v>
      </c>
      <c r="K503" t="s">
        <v>261</v>
      </c>
      <c r="L503" t="s">
        <v>2625</v>
      </c>
      <c r="N503" t="s">
        <v>3637</v>
      </c>
      <c r="O503" s="7">
        <v>65736</v>
      </c>
      <c r="R503" s="7">
        <v>31</v>
      </c>
      <c r="S503" t="s">
        <v>4849</v>
      </c>
      <c r="T503" t="s">
        <v>4850</v>
      </c>
      <c r="U503" s="7">
        <v>1</v>
      </c>
      <c r="V503" s="8">
        <v>23.57</v>
      </c>
      <c r="W503" t="s">
        <v>35</v>
      </c>
      <c r="Y503" t="s">
        <v>2269</v>
      </c>
      <c r="Z503" t="s">
        <v>2313</v>
      </c>
      <c r="AB503" s="8">
        <v>27.81</v>
      </c>
      <c r="AC503" s="7">
        <v>0</v>
      </c>
      <c r="AF503" s="8">
        <v>27.81</v>
      </c>
    </row>
    <row r="504" spans="1:32" hidden="1">
      <c r="A504" s="7">
        <v>1016849</v>
      </c>
      <c r="B504" t="s">
        <v>4783</v>
      </c>
      <c r="C504" t="s">
        <v>4784</v>
      </c>
      <c r="D504" s="7">
        <v>7134260121009</v>
      </c>
      <c r="E504" t="s">
        <v>4785</v>
      </c>
      <c r="F504" t="s">
        <v>4786</v>
      </c>
      <c r="G504" t="s">
        <v>4787</v>
      </c>
      <c r="I504" t="s">
        <v>2192</v>
      </c>
      <c r="J504" t="s">
        <v>2193</v>
      </c>
      <c r="K504" t="s">
        <v>261</v>
      </c>
      <c r="L504" t="s">
        <v>2625</v>
      </c>
      <c r="N504" t="s">
        <v>3637</v>
      </c>
      <c r="O504" s="7">
        <v>65736</v>
      </c>
      <c r="R504" s="7">
        <v>32</v>
      </c>
      <c r="S504" t="s">
        <v>4256</v>
      </c>
      <c r="T504" t="s">
        <v>4257</v>
      </c>
      <c r="U504" s="7">
        <v>2</v>
      </c>
      <c r="V504" s="8">
        <v>552.72</v>
      </c>
      <c r="W504" t="s">
        <v>35</v>
      </c>
      <c r="Y504" t="s">
        <v>2269</v>
      </c>
      <c r="Z504" t="s">
        <v>2313</v>
      </c>
      <c r="AB504" s="8">
        <v>652.21</v>
      </c>
      <c r="AC504" s="7">
        <v>0</v>
      </c>
      <c r="AF504" s="8">
        <v>652.21</v>
      </c>
    </row>
    <row r="505" spans="1:32" hidden="1">
      <c r="A505" s="7">
        <v>1016849</v>
      </c>
      <c r="B505" t="s">
        <v>4783</v>
      </c>
      <c r="C505" t="s">
        <v>4784</v>
      </c>
      <c r="D505" s="7">
        <v>7134260121009</v>
      </c>
      <c r="E505" t="s">
        <v>4785</v>
      </c>
      <c r="F505" t="s">
        <v>4786</v>
      </c>
      <c r="G505" t="s">
        <v>4787</v>
      </c>
      <c r="I505" t="s">
        <v>2192</v>
      </c>
      <c r="J505" t="s">
        <v>2193</v>
      </c>
      <c r="K505" t="s">
        <v>261</v>
      </c>
      <c r="L505" t="s">
        <v>2625</v>
      </c>
      <c r="N505" t="s">
        <v>3637</v>
      </c>
      <c r="O505" s="7">
        <v>65736</v>
      </c>
      <c r="R505" s="7">
        <v>33</v>
      </c>
      <c r="S505" t="s">
        <v>4851</v>
      </c>
      <c r="T505" t="s">
        <v>4852</v>
      </c>
      <c r="U505" s="7">
        <v>1</v>
      </c>
      <c r="V505" s="8">
        <v>160.13999999999999</v>
      </c>
      <c r="W505" t="s">
        <v>35</v>
      </c>
      <c r="Y505" t="s">
        <v>2269</v>
      </c>
      <c r="Z505" t="s">
        <v>2313</v>
      </c>
      <c r="AB505" s="8">
        <v>188.97</v>
      </c>
      <c r="AC505" s="7">
        <v>0</v>
      </c>
      <c r="AF505" s="8">
        <v>188.97</v>
      </c>
    </row>
    <row r="506" spans="1:32" hidden="1">
      <c r="A506" s="7">
        <v>1016849</v>
      </c>
      <c r="B506" t="s">
        <v>4783</v>
      </c>
      <c r="C506" t="s">
        <v>4784</v>
      </c>
      <c r="D506" s="7">
        <v>7134260121009</v>
      </c>
      <c r="E506" t="s">
        <v>4785</v>
      </c>
      <c r="F506" t="s">
        <v>4786</v>
      </c>
      <c r="G506" t="s">
        <v>4787</v>
      </c>
      <c r="I506" t="s">
        <v>2192</v>
      </c>
      <c r="J506" t="s">
        <v>2193</v>
      </c>
      <c r="K506" t="s">
        <v>261</v>
      </c>
      <c r="L506" t="s">
        <v>2625</v>
      </c>
      <c r="N506" t="s">
        <v>3637</v>
      </c>
      <c r="O506" s="7">
        <v>65736</v>
      </c>
      <c r="R506" s="7">
        <v>34</v>
      </c>
      <c r="S506" t="s">
        <v>2698</v>
      </c>
      <c r="T506" t="s">
        <v>2699</v>
      </c>
      <c r="U506" s="7">
        <v>13</v>
      </c>
      <c r="V506" s="7">
        <v>5226</v>
      </c>
      <c r="W506" t="s">
        <v>35</v>
      </c>
      <c r="Y506" t="s">
        <v>2269</v>
      </c>
      <c r="Z506" t="s">
        <v>2313</v>
      </c>
      <c r="AB506" s="8">
        <v>6166.68</v>
      </c>
      <c r="AC506" s="7">
        <v>0</v>
      </c>
      <c r="AF506" s="8">
        <v>6166.68</v>
      </c>
    </row>
    <row r="507" spans="1:32" hidden="1">
      <c r="A507" s="7">
        <v>1016849</v>
      </c>
      <c r="B507" t="s">
        <v>4783</v>
      </c>
      <c r="C507" t="s">
        <v>4784</v>
      </c>
      <c r="D507" s="7">
        <v>7134260121009</v>
      </c>
      <c r="E507" t="s">
        <v>4785</v>
      </c>
      <c r="F507" t="s">
        <v>4786</v>
      </c>
      <c r="G507" t="s">
        <v>4787</v>
      </c>
      <c r="I507" t="s">
        <v>2192</v>
      </c>
      <c r="J507" t="s">
        <v>2193</v>
      </c>
      <c r="K507" t="s">
        <v>261</v>
      </c>
      <c r="L507" t="s">
        <v>2625</v>
      </c>
      <c r="N507" t="s">
        <v>3637</v>
      </c>
      <c r="O507" s="7">
        <v>65736</v>
      </c>
      <c r="R507" s="7">
        <v>35</v>
      </c>
      <c r="S507" t="s">
        <v>4853</v>
      </c>
      <c r="T507" t="s">
        <v>4854</v>
      </c>
      <c r="U507" s="7">
        <v>1</v>
      </c>
      <c r="V507" s="8">
        <v>451.12</v>
      </c>
      <c r="W507" t="s">
        <v>35</v>
      </c>
      <c r="Y507" t="s">
        <v>2269</v>
      </c>
      <c r="Z507" t="s">
        <v>2313</v>
      </c>
      <c r="AB507" s="8">
        <v>532.32000000000005</v>
      </c>
      <c r="AC507" s="7">
        <v>0</v>
      </c>
      <c r="AF507" s="8">
        <v>532.32000000000005</v>
      </c>
    </row>
    <row r="508" spans="1:32" hidden="1">
      <c r="A508" s="7">
        <v>1016849</v>
      </c>
      <c r="B508" t="s">
        <v>4783</v>
      </c>
      <c r="C508" t="s">
        <v>4784</v>
      </c>
      <c r="D508" s="7">
        <v>7134260121009</v>
      </c>
      <c r="E508" t="s">
        <v>4785</v>
      </c>
      <c r="F508" t="s">
        <v>4786</v>
      </c>
      <c r="G508" t="s">
        <v>4787</v>
      </c>
      <c r="I508" t="s">
        <v>2192</v>
      </c>
      <c r="J508" t="s">
        <v>2193</v>
      </c>
      <c r="K508" t="s">
        <v>261</v>
      </c>
      <c r="L508" t="s">
        <v>2625</v>
      </c>
      <c r="N508" t="s">
        <v>3637</v>
      </c>
      <c r="O508" s="7">
        <v>65736</v>
      </c>
      <c r="R508" s="7">
        <v>36</v>
      </c>
      <c r="S508" t="s">
        <v>3724</v>
      </c>
      <c r="T508" t="s">
        <v>2271</v>
      </c>
      <c r="U508" s="7">
        <v>1</v>
      </c>
      <c r="V508" s="7">
        <v>10400</v>
      </c>
      <c r="W508" t="s">
        <v>35</v>
      </c>
      <c r="Y508" t="s">
        <v>2269</v>
      </c>
      <c r="Z508" t="s">
        <v>2313</v>
      </c>
      <c r="AB508" s="7">
        <v>12272</v>
      </c>
      <c r="AC508" s="7">
        <v>0</v>
      </c>
      <c r="AF508" s="7">
        <v>12272</v>
      </c>
    </row>
    <row r="509" spans="1:32" hidden="1">
      <c r="A509" s="7">
        <v>1016849</v>
      </c>
      <c r="B509" t="s">
        <v>4783</v>
      </c>
      <c r="C509" t="s">
        <v>4784</v>
      </c>
      <c r="D509" s="7">
        <v>7134260121009</v>
      </c>
      <c r="E509" t="s">
        <v>4785</v>
      </c>
      <c r="F509" t="s">
        <v>4786</v>
      </c>
      <c r="G509" t="s">
        <v>4787</v>
      </c>
      <c r="I509" t="s">
        <v>2192</v>
      </c>
      <c r="J509" t="s">
        <v>2193</v>
      </c>
      <c r="K509" t="s">
        <v>261</v>
      </c>
      <c r="L509" t="s">
        <v>2625</v>
      </c>
      <c r="N509" t="s">
        <v>3637</v>
      </c>
      <c r="O509" s="7">
        <v>65736</v>
      </c>
      <c r="R509" s="7">
        <v>37</v>
      </c>
      <c r="S509" t="s">
        <v>4855</v>
      </c>
      <c r="T509" t="s">
        <v>2271</v>
      </c>
      <c r="U509" s="7">
        <v>1</v>
      </c>
      <c r="V509" s="7">
        <v>2240</v>
      </c>
      <c r="W509" t="s">
        <v>35</v>
      </c>
      <c r="Y509" t="s">
        <v>2269</v>
      </c>
      <c r="Z509" t="s">
        <v>2313</v>
      </c>
      <c r="AB509" s="8">
        <v>2643.2</v>
      </c>
      <c r="AC509" s="7">
        <v>0</v>
      </c>
      <c r="AF509" s="8">
        <v>2643.2</v>
      </c>
    </row>
    <row r="510" spans="1:32" hidden="1">
      <c r="A510" s="7">
        <v>1016849</v>
      </c>
      <c r="B510" t="s">
        <v>4783</v>
      </c>
      <c r="C510" t="s">
        <v>4784</v>
      </c>
      <c r="D510" s="7">
        <v>7134260121009</v>
      </c>
      <c r="E510" t="s">
        <v>4785</v>
      </c>
      <c r="F510" t="s">
        <v>4786</v>
      </c>
      <c r="G510" t="s">
        <v>4787</v>
      </c>
      <c r="I510" t="s">
        <v>2192</v>
      </c>
      <c r="J510" t="s">
        <v>2193</v>
      </c>
      <c r="K510" t="s">
        <v>261</v>
      </c>
      <c r="L510" t="s">
        <v>2625</v>
      </c>
      <c r="N510" t="s">
        <v>3637</v>
      </c>
      <c r="O510" s="7">
        <v>65736</v>
      </c>
      <c r="R510" s="7">
        <v>38</v>
      </c>
      <c r="S510" t="s">
        <v>4856</v>
      </c>
      <c r="T510" t="s">
        <v>2271</v>
      </c>
      <c r="U510" s="7">
        <v>1</v>
      </c>
      <c r="V510" s="7">
        <v>1464</v>
      </c>
      <c r="W510" t="s">
        <v>35</v>
      </c>
      <c r="Y510" t="s">
        <v>2269</v>
      </c>
      <c r="Z510" t="s">
        <v>2313</v>
      </c>
      <c r="AB510" s="8">
        <v>1727.52</v>
      </c>
      <c r="AC510" s="7">
        <v>0</v>
      </c>
      <c r="AF510" s="8">
        <v>1727.52</v>
      </c>
    </row>
    <row r="511" spans="1:32" hidden="1">
      <c r="A511" s="7">
        <v>1016849</v>
      </c>
      <c r="B511" t="s">
        <v>4783</v>
      </c>
      <c r="C511" t="s">
        <v>4784</v>
      </c>
      <c r="D511" s="7">
        <v>7134260121009</v>
      </c>
      <c r="E511" t="s">
        <v>4785</v>
      </c>
      <c r="F511" t="s">
        <v>4786</v>
      </c>
      <c r="G511" t="s">
        <v>4787</v>
      </c>
      <c r="I511" t="s">
        <v>2192</v>
      </c>
      <c r="J511" t="s">
        <v>2193</v>
      </c>
      <c r="K511" t="s">
        <v>261</v>
      </c>
      <c r="L511" t="s">
        <v>2625</v>
      </c>
      <c r="N511" t="s">
        <v>3637</v>
      </c>
      <c r="O511" s="7">
        <v>65736</v>
      </c>
      <c r="R511" s="7">
        <v>39</v>
      </c>
      <c r="S511" t="s">
        <v>4857</v>
      </c>
      <c r="T511" t="s">
        <v>2271</v>
      </c>
      <c r="U511" s="7">
        <v>1</v>
      </c>
      <c r="V511" s="7">
        <v>8000</v>
      </c>
      <c r="W511" t="s">
        <v>35</v>
      </c>
      <c r="Y511" t="s">
        <v>2269</v>
      </c>
      <c r="Z511" t="s">
        <v>2313</v>
      </c>
      <c r="AB511" s="7">
        <v>9440</v>
      </c>
      <c r="AC511" s="7">
        <v>0</v>
      </c>
      <c r="AF511" s="7">
        <v>9440</v>
      </c>
    </row>
    <row r="512" spans="1:32" hidden="1">
      <c r="A512" s="7">
        <v>2002256</v>
      </c>
      <c r="B512" t="s">
        <v>2710</v>
      </c>
      <c r="C512" t="s">
        <v>2277</v>
      </c>
      <c r="D512" s="7">
        <v>7134260112199</v>
      </c>
      <c r="E512" t="s">
        <v>2711</v>
      </c>
      <c r="F512" t="s">
        <v>14</v>
      </c>
      <c r="G512" t="s">
        <v>2712</v>
      </c>
      <c r="H512" t="s">
        <v>2280</v>
      </c>
      <c r="I512" t="s">
        <v>2713</v>
      </c>
      <c r="J512" t="s">
        <v>2714</v>
      </c>
      <c r="K512" t="s">
        <v>361</v>
      </c>
      <c r="L512" t="s">
        <v>2715</v>
      </c>
      <c r="M512" s="7">
        <v>1165</v>
      </c>
      <c r="N512" t="s">
        <v>2716</v>
      </c>
      <c r="O512" s="7">
        <v>10710</v>
      </c>
      <c r="R512" s="7">
        <v>1</v>
      </c>
      <c r="S512" t="s">
        <v>2717</v>
      </c>
      <c r="T512" t="s">
        <v>2718</v>
      </c>
      <c r="U512" s="7">
        <v>1</v>
      </c>
      <c r="V512" s="8">
        <v>2140.19</v>
      </c>
      <c r="W512" t="s">
        <v>35</v>
      </c>
      <c r="Y512" t="s">
        <v>2269</v>
      </c>
      <c r="Z512" s="7">
        <v>1750230</v>
      </c>
      <c r="AA512" t="s">
        <v>2284</v>
      </c>
      <c r="AB512" s="8">
        <v>2739.44</v>
      </c>
      <c r="AC512" s="7">
        <v>0</v>
      </c>
      <c r="AF512" s="8">
        <v>2739.44</v>
      </c>
    </row>
    <row r="513" spans="1:32" hidden="1">
      <c r="A513" s="7">
        <v>2002256</v>
      </c>
      <c r="B513" t="s">
        <v>2710</v>
      </c>
      <c r="C513" t="s">
        <v>2277</v>
      </c>
      <c r="D513" s="7">
        <v>7134260112199</v>
      </c>
      <c r="E513" t="s">
        <v>2711</v>
      </c>
      <c r="F513" t="s">
        <v>14</v>
      </c>
      <c r="G513" t="s">
        <v>2712</v>
      </c>
      <c r="H513" t="s">
        <v>2280</v>
      </c>
      <c r="I513" t="s">
        <v>2713</v>
      </c>
      <c r="J513" t="s">
        <v>2714</v>
      </c>
      <c r="K513" t="s">
        <v>361</v>
      </c>
      <c r="L513" t="s">
        <v>2715</v>
      </c>
      <c r="M513" s="7">
        <v>1165</v>
      </c>
      <c r="N513" t="s">
        <v>2716</v>
      </c>
      <c r="O513" s="7">
        <v>10710</v>
      </c>
      <c r="R513" s="7">
        <v>2</v>
      </c>
      <c r="S513" t="s">
        <v>2719</v>
      </c>
      <c r="T513" t="s">
        <v>2271</v>
      </c>
      <c r="U513" s="7">
        <v>1</v>
      </c>
      <c r="V513" s="7">
        <v>150</v>
      </c>
      <c r="W513" t="s">
        <v>35</v>
      </c>
      <c r="Y513" t="s">
        <v>2269</v>
      </c>
      <c r="Z513" s="7">
        <v>1750230</v>
      </c>
      <c r="AA513" t="s">
        <v>2284</v>
      </c>
      <c r="AB513" s="7">
        <v>177</v>
      </c>
      <c r="AC513" s="7">
        <v>0</v>
      </c>
      <c r="AF513" s="7">
        <v>177</v>
      </c>
    </row>
    <row r="514" spans="1:32" hidden="1">
      <c r="A514" s="7">
        <v>2002261</v>
      </c>
      <c r="B514" t="s">
        <v>2720</v>
      </c>
      <c r="C514" t="s">
        <v>2277</v>
      </c>
      <c r="D514" s="7">
        <v>7134260112191</v>
      </c>
      <c r="E514" t="s">
        <v>2721</v>
      </c>
      <c r="F514" t="s">
        <v>11</v>
      </c>
      <c r="G514" t="s">
        <v>2722</v>
      </c>
      <c r="H514" t="s">
        <v>2280</v>
      </c>
      <c r="I514" t="s">
        <v>2723</v>
      </c>
      <c r="J514" t="s">
        <v>2724</v>
      </c>
      <c r="K514" t="s">
        <v>361</v>
      </c>
      <c r="L514" t="s">
        <v>2725</v>
      </c>
      <c r="N514" t="s">
        <v>2726</v>
      </c>
      <c r="O514" s="7">
        <v>11124</v>
      </c>
      <c r="R514" s="7">
        <v>1</v>
      </c>
      <c r="S514" t="s">
        <v>2727</v>
      </c>
      <c r="T514" t="s">
        <v>2728</v>
      </c>
      <c r="U514" s="7">
        <v>1</v>
      </c>
      <c r="V514" s="8">
        <v>3236.86</v>
      </c>
      <c r="W514" t="s">
        <v>35</v>
      </c>
      <c r="Y514" t="s">
        <v>2269</v>
      </c>
      <c r="Z514" s="7">
        <v>1750227</v>
      </c>
      <c r="AA514" t="s">
        <v>2284</v>
      </c>
      <c r="AB514" s="8">
        <v>4143.18</v>
      </c>
      <c r="AC514" s="7">
        <v>0</v>
      </c>
      <c r="AF514" s="8">
        <v>4143.18</v>
      </c>
    </row>
    <row r="515" spans="1:32" hidden="1">
      <c r="A515" s="7">
        <v>2002261</v>
      </c>
      <c r="B515" t="s">
        <v>2720</v>
      </c>
      <c r="C515" t="s">
        <v>2277</v>
      </c>
      <c r="D515" s="7">
        <v>7134260112191</v>
      </c>
      <c r="E515" t="s">
        <v>2721</v>
      </c>
      <c r="F515" t="s">
        <v>11</v>
      </c>
      <c r="G515" t="s">
        <v>2722</v>
      </c>
      <c r="H515" t="s">
        <v>2280</v>
      </c>
      <c r="I515" t="s">
        <v>2723</v>
      </c>
      <c r="J515" t="s">
        <v>2724</v>
      </c>
      <c r="K515" t="s">
        <v>361</v>
      </c>
      <c r="L515" t="s">
        <v>2725</v>
      </c>
      <c r="N515" t="s">
        <v>2726</v>
      </c>
      <c r="O515" s="7">
        <v>11124</v>
      </c>
      <c r="R515" s="7">
        <v>2</v>
      </c>
      <c r="S515" t="s">
        <v>2314</v>
      </c>
      <c r="T515" t="s">
        <v>2271</v>
      </c>
      <c r="U515" s="7">
        <v>1</v>
      </c>
      <c r="V515">
        <v>277.5</v>
      </c>
      <c r="W515" t="s">
        <v>35</v>
      </c>
      <c r="Y515" t="s">
        <v>2269</v>
      </c>
      <c r="Z515" s="7">
        <v>1750227</v>
      </c>
      <c r="AA515" t="s">
        <v>2284</v>
      </c>
      <c r="AB515" s="8">
        <v>327.45</v>
      </c>
      <c r="AC515" s="7">
        <v>0</v>
      </c>
      <c r="AF515" s="8">
        <v>327.45</v>
      </c>
    </row>
    <row r="516" spans="1:32" hidden="1">
      <c r="A516" s="7">
        <v>2002283</v>
      </c>
      <c r="B516" t="s">
        <v>2729</v>
      </c>
      <c r="C516" t="s">
        <v>2277</v>
      </c>
      <c r="D516" s="7">
        <v>7134260112192</v>
      </c>
      <c r="E516" t="s">
        <v>2730</v>
      </c>
      <c r="F516" t="s">
        <v>12</v>
      </c>
      <c r="G516" t="s">
        <v>2731</v>
      </c>
      <c r="H516" t="s">
        <v>2280</v>
      </c>
      <c r="I516" t="s">
        <v>1578</v>
      </c>
      <c r="J516" t="s">
        <v>1579</v>
      </c>
      <c r="K516" t="s">
        <v>361</v>
      </c>
      <c r="L516" t="s">
        <v>2732</v>
      </c>
      <c r="M516" s="7">
        <v>1165</v>
      </c>
      <c r="N516" t="s">
        <v>2726</v>
      </c>
      <c r="O516" s="7">
        <v>31245</v>
      </c>
      <c r="R516" s="7">
        <v>1</v>
      </c>
      <c r="S516" t="s">
        <v>2733</v>
      </c>
      <c r="T516" t="s">
        <v>2734</v>
      </c>
      <c r="U516" s="7">
        <v>1</v>
      </c>
      <c r="V516" s="8">
        <v>2193.58</v>
      </c>
      <c r="W516" t="s">
        <v>35</v>
      </c>
      <c r="Y516" t="s">
        <v>2269</v>
      </c>
      <c r="Z516" s="7">
        <v>1750228</v>
      </c>
      <c r="AA516" t="s">
        <v>2284</v>
      </c>
      <c r="AB516" s="8">
        <v>2588.42</v>
      </c>
      <c r="AC516" s="7">
        <v>0</v>
      </c>
      <c r="AF516" s="8">
        <v>2588.42</v>
      </c>
    </row>
    <row r="517" spans="1:32" hidden="1">
      <c r="A517" s="7">
        <v>2002283</v>
      </c>
      <c r="B517" t="s">
        <v>2729</v>
      </c>
      <c r="C517" t="s">
        <v>2277</v>
      </c>
      <c r="D517" s="7">
        <v>7134260112192</v>
      </c>
      <c r="E517" t="s">
        <v>2730</v>
      </c>
      <c r="F517" t="s">
        <v>12</v>
      </c>
      <c r="G517" t="s">
        <v>2731</v>
      </c>
      <c r="H517" t="s">
        <v>2280</v>
      </c>
      <c r="I517" t="s">
        <v>1578</v>
      </c>
      <c r="J517" t="s">
        <v>1579</v>
      </c>
      <c r="K517" t="s">
        <v>361</v>
      </c>
      <c r="L517" t="s">
        <v>2732</v>
      </c>
      <c r="M517" s="7">
        <v>1165</v>
      </c>
      <c r="N517" t="s">
        <v>2726</v>
      </c>
      <c r="O517" s="7">
        <v>31245</v>
      </c>
      <c r="R517" s="7">
        <v>2</v>
      </c>
      <c r="S517" t="s">
        <v>2719</v>
      </c>
      <c r="T517" t="s">
        <v>2271</v>
      </c>
      <c r="U517" s="7">
        <v>1</v>
      </c>
      <c r="V517" s="7">
        <v>150</v>
      </c>
      <c r="W517" t="s">
        <v>35</v>
      </c>
      <c r="Y517" t="s">
        <v>2269</v>
      </c>
      <c r="Z517" s="7">
        <v>1750228</v>
      </c>
      <c r="AA517" t="s">
        <v>2284</v>
      </c>
      <c r="AB517" s="7">
        <v>177</v>
      </c>
      <c r="AC517" s="7">
        <v>0</v>
      </c>
      <c r="AF517" s="7">
        <v>177</v>
      </c>
    </row>
    <row r="518" spans="1:32" hidden="1">
      <c r="A518" s="7">
        <v>2002285</v>
      </c>
      <c r="B518" t="s">
        <v>2735</v>
      </c>
      <c r="C518" t="s">
        <v>2277</v>
      </c>
      <c r="D518" s="7">
        <v>7134260112205</v>
      </c>
      <c r="E518" t="s">
        <v>2736</v>
      </c>
      <c r="F518" t="s">
        <v>15</v>
      </c>
      <c r="G518" t="s">
        <v>2731</v>
      </c>
      <c r="H518" t="s">
        <v>2280</v>
      </c>
      <c r="I518" t="s">
        <v>2737</v>
      </c>
      <c r="J518" t="s">
        <v>2738</v>
      </c>
      <c r="K518" t="s">
        <v>361</v>
      </c>
      <c r="L518" t="s">
        <v>2739</v>
      </c>
      <c r="N518" t="s">
        <v>2297</v>
      </c>
      <c r="O518" s="7">
        <v>38621</v>
      </c>
      <c r="R518" s="7">
        <v>1</v>
      </c>
      <c r="S518" t="s">
        <v>2740</v>
      </c>
      <c r="T518" t="s">
        <v>2741</v>
      </c>
      <c r="U518" s="7">
        <v>1</v>
      </c>
      <c r="V518">
        <v>6314.1</v>
      </c>
      <c r="W518" t="s">
        <v>35</v>
      </c>
      <c r="Y518" t="s">
        <v>2269</v>
      </c>
      <c r="Z518" s="7">
        <v>1750231</v>
      </c>
      <c r="AA518" t="s">
        <v>2284</v>
      </c>
      <c r="AB518" s="8">
        <v>8082.05</v>
      </c>
      <c r="AC518" s="7">
        <v>0</v>
      </c>
      <c r="AF518" s="8">
        <v>8082.05</v>
      </c>
    </row>
    <row r="519" spans="1:32" hidden="1">
      <c r="A519" s="7">
        <v>2002285</v>
      </c>
      <c r="B519" t="s">
        <v>2735</v>
      </c>
      <c r="C519" t="s">
        <v>2277</v>
      </c>
      <c r="D519" s="7">
        <v>7134260112205</v>
      </c>
      <c r="E519" t="s">
        <v>2736</v>
      </c>
      <c r="F519" t="s">
        <v>15</v>
      </c>
      <c r="G519" t="s">
        <v>2731</v>
      </c>
      <c r="H519" t="s">
        <v>2280</v>
      </c>
      <c r="I519" t="s">
        <v>2737</v>
      </c>
      <c r="J519" t="s">
        <v>2738</v>
      </c>
      <c r="K519" t="s">
        <v>361</v>
      </c>
      <c r="L519" t="s">
        <v>2739</v>
      </c>
      <c r="N519" t="s">
        <v>2297</v>
      </c>
      <c r="O519" s="7">
        <v>38621</v>
      </c>
      <c r="R519" s="7">
        <v>2</v>
      </c>
      <c r="S519" t="s">
        <v>2270</v>
      </c>
      <c r="T519" t="s">
        <v>2271</v>
      </c>
      <c r="U519" s="7">
        <v>1</v>
      </c>
      <c r="V519" s="7">
        <v>285</v>
      </c>
      <c r="W519" t="s">
        <v>35</v>
      </c>
      <c r="Y519" t="s">
        <v>2269</v>
      </c>
      <c r="Z519" s="7">
        <v>1750231</v>
      </c>
      <c r="AA519" t="s">
        <v>2284</v>
      </c>
      <c r="AB519" s="8">
        <v>336.3</v>
      </c>
      <c r="AC519" s="7">
        <v>0</v>
      </c>
      <c r="AF519" s="8">
        <v>336.3</v>
      </c>
    </row>
    <row r="520" spans="1:32" hidden="1">
      <c r="A520" s="7">
        <v>2002320</v>
      </c>
      <c r="B520" t="s">
        <v>2742</v>
      </c>
      <c r="C520" t="s">
        <v>2277</v>
      </c>
      <c r="D520" s="7">
        <v>7134260112193</v>
      </c>
      <c r="E520" t="s">
        <v>2743</v>
      </c>
      <c r="F520" t="s">
        <v>13</v>
      </c>
      <c r="G520" t="s">
        <v>2744</v>
      </c>
      <c r="H520" t="s">
        <v>2280</v>
      </c>
      <c r="I520" t="s">
        <v>865</v>
      </c>
      <c r="J520" t="s">
        <v>866</v>
      </c>
      <c r="K520" t="s">
        <v>361</v>
      </c>
      <c r="L520" t="s">
        <v>2745</v>
      </c>
      <c r="M520" s="7">
        <v>1160</v>
      </c>
      <c r="N520" t="s">
        <v>2726</v>
      </c>
      <c r="O520" s="7">
        <v>42259</v>
      </c>
      <c r="R520" s="7">
        <v>1</v>
      </c>
      <c r="S520" t="s">
        <v>2311</v>
      </c>
      <c r="T520" t="s">
        <v>2312</v>
      </c>
      <c r="U520" s="7">
        <v>1</v>
      </c>
      <c r="V520">
        <v>2541.6</v>
      </c>
      <c r="W520" t="s">
        <v>35</v>
      </c>
      <c r="Y520" t="s">
        <v>2269</v>
      </c>
      <c r="Z520" s="7">
        <v>1750229</v>
      </c>
      <c r="AA520" t="s">
        <v>2284</v>
      </c>
      <c r="AB520" s="8">
        <v>3091.9</v>
      </c>
      <c r="AC520" s="7">
        <v>0</v>
      </c>
      <c r="AF520" s="8">
        <v>3091.9</v>
      </c>
    </row>
    <row r="521" spans="1:32" hidden="1">
      <c r="A521" s="7">
        <v>2002320</v>
      </c>
      <c r="B521" t="s">
        <v>2742</v>
      </c>
      <c r="C521" t="s">
        <v>2277</v>
      </c>
      <c r="D521" s="7">
        <v>7134260112193</v>
      </c>
      <c r="E521" t="s">
        <v>2743</v>
      </c>
      <c r="F521" t="s">
        <v>13</v>
      </c>
      <c r="G521" t="s">
        <v>2744</v>
      </c>
      <c r="H521" t="s">
        <v>2280</v>
      </c>
      <c r="I521" t="s">
        <v>865</v>
      </c>
      <c r="J521" t="s">
        <v>866</v>
      </c>
      <c r="K521" t="s">
        <v>361</v>
      </c>
      <c r="L521" t="s">
        <v>2745</v>
      </c>
      <c r="M521" s="7">
        <v>1160</v>
      </c>
      <c r="N521" t="s">
        <v>2726</v>
      </c>
      <c r="O521" s="7">
        <v>42259</v>
      </c>
      <c r="R521" s="7">
        <v>2</v>
      </c>
      <c r="S521" t="s">
        <v>2314</v>
      </c>
      <c r="T521" t="s">
        <v>2271</v>
      </c>
      <c r="U521" s="7">
        <v>1</v>
      </c>
      <c r="V521">
        <v>277.5</v>
      </c>
      <c r="W521" t="s">
        <v>35</v>
      </c>
      <c r="Y521" t="s">
        <v>2269</v>
      </c>
      <c r="Z521" s="7">
        <v>1750229</v>
      </c>
      <c r="AA521" t="s">
        <v>2284</v>
      </c>
      <c r="AB521" s="8">
        <v>327.45</v>
      </c>
      <c r="AC521" s="7">
        <v>0</v>
      </c>
      <c r="AF521" s="8">
        <v>327.45</v>
      </c>
    </row>
    <row r="522" spans="1:32" hidden="1">
      <c r="A522" s="7">
        <v>2002334</v>
      </c>
      <c r="B522" t="s">
        <v>2746</v>
      </c>
      <c r="C522" t="s">
        <v>2277</v>
      </c>
      <c r="D522" s="7">
        <v>7134260112190</v>
      </c>
      <c r="E522" t="s">
        <v>2747</v>
      </c>
      <c r="F522" t="s">
        <v>9</v>
      </c>
      <c r="G522" t="s">
        <v>2744</v>
      </c>
      <c r="H522" t="s">
        <v>2280</v>
      </c>
      <c r="I522" t="s">
        <v>1351</v>
      </c>
      <c r="J522" t="s">
        <v>1352</v>
      </c>
      <c r="K522" t="s">
        <v>361</v>
      </c>
      <c r="L522" t="s">
        <v>2748</v>
      </c>
      <c r="M522" s="7">
        <v>1165</v>
      </c>
      <c r="N522" t="s">
        <v>2726</v>
      </c>
      <c r="O522" s="7">
        <v>12133</v>
      </c>
      <c r="R522" s="7">
        <v>1</v>
      </c>
      <c r="S522" t="s">
        <v>2749</v>
      </c>
      <c r="T522" t="s">
        <v>2750</v>
      </c>
      <c r="U522" s="7">
        <v>1</v>
      </c>
      <c r="V522" s="8">
        <v>2107.6799999999998</v>
      </c>
      <c r="W522" t="s">
        <v>35</v>
      </c>
      <c r="Y522" t="s">
        <v>2269</v>
      </c>
      <c r="Z522" s="7">
        <v>1750226</v>
      </c>
      <c r="AA522" t="s">
        <v>2284</v>
      </c>
      <c r="AB522" s="8">
        <v>2186.85</v>
      </c>
      <c r="AC522" s="7">
        <v>0</v>
      </c>
      <c r="AF522" s="8">
        <v>2186.85</v>
      </c>
    </row>
    <row r="523" spans="1:32" hidden="1">
      <c r="A523" s="7">
        <v>2002458</v>
      </c>
      <c r="B523" t="s">
        <v>2751</v>
      </c>
      <c r="C523" t="s">
        <v>2305</v>
      </c>
      <c r="D523" s="7">
        <v>7134260112942</v>
      </c>
      <c r="E523" t="s">
        <v>2752</v>
      </c>
      <c r="F523" t="s">
        <v>2753</v>
      </c>
      <c r="G523" t="s">
        <v>2754</v>
      </c>
      <c r="H523" t="s">
        <v>2308</v>
      </c>
      <c r="I523" t="s">
        <v>915</v>
      </c>
      <c r="J523" t="s">
        <v>916</v>
      </c>
      <c r="K523" t="s">
        <v>361</v>
      </c>
      <c r="L523" t="s">
        <v>2755</v>
      </c>
      <c r="M523" s="7">
        <v>1165</v>
      </c>
      <c r="N523" t="s">
        <v>2297</v>
      </c>
      <c r="O523" s="7">
        <v>42246</v>
      </c>
      <c r="R523" s="7">
        <v>1</v>
      </c>
      <c r="S523" t="s">
        <v>2740</v>
      </c>
      <c r="T523" t="s">
        <v>2741</v>
      </c>
      <c r="U523" s="7">
        <v>1</v>
      </c>
      <c r="V523">
        <v>6314.1</v>
      </c>
      <c r="W523" t="s">
        <v>35</v>
      </c>
      <c r="Y523" t="s">
        <v>2269</v>
      </c>
      <c r="Z523" s="7">
        <v>1752227</v>
      </c>
      <c r="AA523" t="s">
        <v>3269</v>
      </c>
      <c r="AB523" s="8">
        <v>8082.05</v>
      </c>
      <c r="AC523" s="7">
        <v>0</v>
      </c>
      <c r="AF523" s="8">
        <v>8082.05</v>
      </c>
    </row>
    <row r="524" spans="1:32" hidden="1">
      <c r="A524" s="7">
        <v>2002458</v>
      </c>
      <c r="B524" t="s">
        <v>2751</v>
      </c>
      <c r="C524" t="s">
        <v>2305</v>
      </c>
      <c r="D524" s="7">
        <v>7134260112942</v>
      </c>
      <c r="E524" t="s">
        <v>2752</v>
      </c>
      <c r="F524" t="s">
        <v>2753</v>
      </c>
      <c r="G524" t="s">
        <v>2754</v>
      </c>
      <c r="H524" t="s">
        <v>2308</v>
      </c>
      <c r="I524" t="s">
        <v>915</v>
      </c>
      <c r="J524" t="s">
        <v>916</v>
      </c>
      <c r="K524" t="s">
        <v>361</v>
      </c>
      <c r="L524" t="s">
        <v>2755</v>
      </c>
      <c r="M524" s="7">
        <v>1165</v>
      </c>
      <c r="N524" t="s">
        <v>2297</v>
      </c>
      <c r="O524" s="7">
        <v>42246</v>
      </c>
      <c r="R524" s="7">
        <v>2</v>
      </c>
      <c r="S524" t="s">
        <v>2270</v>
      </c>
      <c r="T524" t="s">
        <v>2271</v>
      </c>
      <c r="U524" s="7">
        <v>1</v>
      </c>
      <c r="V524" s="7">
        <v>285</v>
      </c>
      <c r="W524" t="s">
        <v>35</v>
      </c>
      <c r="Y524" t="s">
        <v>2269</v>
      </c>
      <c r="Z524" s="7">
        <v>1752227</v>
      </c>
      <c r="AA524" t="s">
        <v>3269</v>
      </c>
      <c r="AB524" s="8">
        <v>336.3</v>
      </c>
      <c r="AC524" s="7">
        <v>0</v>
      </c>
      <c r="AF524" s="8">
        <v>336.3</v>
      </c>
    </row>
    <row r="525" spans="1:32" hidden="1">
      <c r="A525" s="7">
        <v>2002581</v>
      </c>
      <c r="B525" t="s">
        <v>2756</v>
      </c>
      <c r="C525" t="s">
        <v>2336</v>
      </c>
      <c r="D525" s="7">
        <v>7134260114332</v>
      </c>
      <c r="E525" t="s">
        <v>2757</v>
      </c>
      <c r="F525" t="s">
        <v>24</v>
      </c>
      <c r="G525" t="s">
        <v>2423</v>
      </c>
      <c r="H525" t="s">
        <v>2308</v>
      </c>
      <c r="I525" t="s">
        <v>1383</v>
      </c>
      <c r="J525" t="s">
        <v>1384</v>
      </c>
      <c r="K525" t="s">
        <v>361</v>
      </c>
      <c r="L525" t="s">
        <v>2758</v>
      </c>
      <c r="M525" s="7">
        <v>1165</v>
      </c>
      <c r="N525" t="s">
        <v>2759</v>
      </c>
      <c r="O525" s="7">
        <v>29689</v>
      </c>
      <c r="R525" s="7">
        <v>1</v>
      </c>
      <c r="S525" t="s">
        <v>2760</v>
      </c>
      <c r="T525" t="s">
        <v>2761</v>
      </c>
      <c r="U525" s="7">
        <v>1</v>
      </c>
      <c r="V525" s="8">
        <v>2805.91</v>
      </c>
      <c r="W525" t="s">
        <v>35</v>
      </c>
      <c r="Y525" t="s">
        <v>2269</v>
      </c>
      <c r="Z525" s="7">
        <v>1752232</v>
      </c>
      <c r="AA525" t="s">
        <v>3269</v>
      </c>
      <c r="AB525" s="8">
        <v>3591.56</v>
      </c>
      <c r="AC525" s="7">
        <v>0</v>
      </c>
      <c r="AF525" s="8">
        <v>3591.56</v>
      </c>
    </row>
    <row r="526" spans="1:32" hidden="1">
      <c r="A526" s="7">
        <v>2002581</v>
      </c>
      <c r="B526" t="s">
        <v>2756</v>
      </c>
      <c r="C526" t="s">
        <v>2336</v>
      </c>
      <c r="D526" s="7">
        <v>7134260114332</v>
      </c>
      <c r="E526" t="s">
        <v>2757</v>
      </c>
      <c r="F526" t="s">
        <v>24</v>
      </c>
      <c r="G526" t="s">
        <v>2423</v>
      </c>
      <c r="H526" t="s">
        <v>2308</v>
      </c>
      <c r="I526" t="s">
        <v>1383</v>
      </c>
      <c r="J526" t="s">
        <v>1384</v>
      </c>
      <c r="K526" t="s">
        <v>361</v>
      </c>
      <c r="L526" t="s">
        <v>2758</v>
      </c>
      <c r="M526" s="7">
        <v>1165</v>
      </c>
      <c r="N526" t="s">
        <v>2759</v>
      </c>
      <c r="O526" s="7">
        <v>29689</v>
      </c>
      <c r="R526" s="7">
        <v>2</v>
      </c>
      <c r="S526" t="s">
        <v>2762</v>
      </c>
      <c r="T526" t="s">
        <v>2763</v>
      </c>
      <c r="U526" s="7">
        <v>1</v>
      </c>
      <c r="V526" s="8">
        <v>2940.02</v>
      </c>
      <c r="W526" t="s">
        <v>35</v>
      </c>
      <c r="Y526" t="s">
        <v>2269</v>
      </c>
      <c r="Z526" s="7">
        <v>1752232</v>
      </c>
      <c r="AA526" t="s">
        <v>3269</v>
      </c>
      <c r="AB526" s="8">
        <v>3763.23</v>
      </c>
      <c r="AC526" s="7">
        <v>0</v>
      </c>
      <c r="AF526" s="8">
        <v>3763.23</v>
      </c>
    </row>
    <row r="527" spans="1:32" hidden="1">
      <c r="A527" s="7">
        <v>2002581</v>
      </c>
      <c r="B527" t="s">
        <v>2756</v>
      </c>
      <c r="C527" t="s">
        <v>2336</v>
      </c>
      <c r="D527" s="7">
        <v>7134260114332</v>
      </c>
      <c r="E527" t="s">
        <v>2757</v>
      </c>
      <c r="F527" t="s">
        <v>24</v>
      </c>
      <c r="G527" t="s">
        <v>2423</v>
      </c>
      <c r="H527" t="s">
        <v>2308</v>
      </c>
      <c r="I527" t="s">
        <v>1383</v>
      </c>
      <c r="J527" t="s">
        <v>1384</v>
      </c>
      <c r="K527" t="s">
        <v>361</v>
      </c>
      <c r="L527" t="s">
        <v>2758</v>
      </c>
      <c r="M527" s="7">
        <v>1165</v>
      </c>
      <c r="N527" t="s">
        <v>2759</v>
      </c>
      <c r="O527" s="7">
        <v>29689</v>
      </c>
      <c r="R527" s="7">
        <v>3</v>
      </c>
      <c r="S527" t="s">
        <v>2764</v>
      </c>
      <c r="T527" t="s">
        <v>2271</v>
      </c>
      <c r="U527" s="7">
        <v>1</v>
      </c>
      <c r="V527" s="7">
        <v>585</v>
      </c>
      <c r="W527" t="s">
        <v>35</v>
      </c>
      <c r="Y527" t="s">
        <v>2269</v>
      </c>
      <c r="Z527" s="7">
        <v>1752232</v>
      </c>
      <c r="AA527" t="s">
        <v>3269</v>
      </c>
      <c r="AB527" s="8">
        <v>690.3</v>
      </c>
      <c r="AC527" s="7">
        <v>0</v>
      </c>
      <c r="AF527" s="8">
        <v>690.3</v>
      </c>
    </row>
    <row r="528" spans="1:32" hidden="1">
      <c r="A528" s="7">
        <v>2002583</v>
      </c>
      <c r="B528" t="s">
        <v>2765</v>
      </c>
      <c r="C528" t="s">
        <v>2336</v>
      </c>
      <c r="D528" s="7">
        <v>7134260114983</v>
      </c>
      <c r="E528" t="s">
        <v>2766</v>
      </c>
      <c r="F528" t="s">
        <v>135</v>
      </c>
      <c r="G528" t="s">
        <v>2423</v>
      </c>
      <c r="H528" t="s">
        <v>2342</v>
      </c>
      <c r="I528" t="s">
        <v>1105</v>
      </c>
      <c r="J528" t="s">
        <v>1106</v>
      </c>
      <c r="K528" t="s">
        <v>361</v>
      </c>
      <c r="L528" t="s">
        <v>2767</v>
      </c>
      <c r="M528" s="7">
        <v>1165</v>
      </c>
      <c r="N528" t="s">
        <v>2353</v>
      </c>
      <c r="O528" s="7">
        <v>50120</v>
      </c>
      <c r="R528" s="7">
        <v>1</v>
      </c>
      <c r="S528" t="s">
        <v>2347</v>
      </c>
      <c r="T528" t="s">
        <v>2271</v>
      </c>
      <c r="U528" s="7">
        <v>1</v>
      </c>
      <c r="V528">
        <v>52.5</v>
      </c>
      <c r="W528" t="s">
        <v>35</v>
      </c>
      <c r="Y528" t="s">
        <v>2269</v>
      </c>
      <c r="Z528" s="7">
        <v>1752312</v>
      </c>
      <c r="AA528" t="s">
        <v>3269</v>
      </c>
      <c r="AB528" s="8">
        <v>61.95</v>
      </c>
      <c r="AC528" s="7">
        <v>0</v>
      </c>
      <c r="AF528" s="8">
        <v>61.95</v>
      </c>
    </row>
    <row r="529" spans="1:32" hidden="1">
      <c r="A529" s="7">
        <v>2002585</v>
      </c>
      <c r="B529" t="s">
        <v>2768</v>
      </c>
      <c r="C529" t="s">
        <v>2336</v>
      </c>
      <c r="D529" s="7">
        <v>7134260114973</v>
      </c>
      <c r="E529" t="s">
        <v>2769</v>
      </c>
      <c r="F529" t="s">
        <v>125</v>
      </c>
      <c r="G529" t="s">
        <v>2423</v>
      </c>
      <c r="H529" t="s">
        <v>2342</v>
      </c>
      <c r="I529" t="s">
        <v>1444</v>
      </c>
      <c r="J529" t="s">
        <v>1445</v>
      </c>
      <c r="K529" t="s">
        <v>361</v>
      </c>
      <c r="L529" t="s">
        <v>2523</v>
      </c>
      <c r="M529" s="7">
        <v>1165</v>
      </c>
      <c r="N529" t="s">
        <v>2390</v>
      </c>
      <c r="O529" s="7">
        <v>19200</v>
      </c>
      <c r="R529" s="7">
        <v>1</v>
      </c>
      <c r="S529" t="s">
        <v>2347</v>
      </c>
      <c r="T529" t="s">
        <v>2271</v>
      </c>
      <c r="U529" s="7">
        <v>1</v>
      </c>
      <c r="V529">
        <v>52.5</v>
      </c>
      <c r="W529" t="s">
        <v>35</v>
      </c>
      <c r="Y529" t="s">
        <v>2269</v>
      </c>
      <c r="Z529" s="7">
        <v>1752302</v>
      </c>
      <c r="AA529" t="s">
        <v>3269</v>
      </c>
      <c r="AB529" s="8">
        <v>61.95</v>
      </c>
      <c r="AC529" s="7">
        <v>0</v>
      </c>
      <c r="AF529" s="8">
        <v>61.95</v>
      </c>
    </row>
    <row r="530" spans="1:32" hidden="1">
      <c r="A530" s="7">
        <v>2002589</v>
      </c>
      <c r="B530" t="s">
        <v>2770</v>
      </c>
      <c r="C530" t="s">
        <v>2336</v>
      </c>
      <c r="D530" s="7">
        <v>7134260114945</v>
      </c>
      <c r="E530" t="s">
        <v>2771</v>
      </c>
      <c r="F530" t="s">
        <v>102</v>
      </c>
      <c r="G530" t="s">
        <v>2423</v>
      </c>
      <c r="H530" t="s">
        <v>2342</v>
      </c>
      <c r="I530" t="s">
        <v>2772</v>
      </c>
      <c r="J530" t="s">
        <v>2773</v>
      </c>
      <c r="K530" t="s">
        <v>361</v>
      </c>
      <c r="L530" t="s">
        <v>2774</v>
      </c>
      <c r="M530" s="7">
        <v>1165</v>
      </c>
      <c r="N530" t="s">
        <v>2346</v>
      </c>
      <c r="O530" s="7">
        <v>67520</v>
      </c>
      <c r="R530" s="7">
        <v>1</v>
      </c>
      <c r="S530" t="s">
        <v>2347</v>
      </c>
      <c r="T530" t="s">
        <v>2271</v>
      </c>
      <c r="U530" s="7">
        <v>1</v>
      </c>
      <c r="V530">
        <v>52.5</v>
      </c>
      <c r="W530" t="s">
        <v>35</v>
      </c>
      <c r="Y530" t="s">
        <v>2269</v>
      </c>
      <c r="Z530" s="7">
        <v>1752279</v>
      </c>
      <c r="AA530" t="s">
        <v>3269</v>
      </c>
      <c r="AB530" s="8">
        <v>61.95</v>
      </c>
      <c r="AC530" s="7">
        <v>0</v>
      </c>
      <c r="AF530" s="8">
        <v>61.95</v>
      </c>
    </row>
    <row r="531" spans="1:32" hidden="1">
      <c r="A531" s="7">
        <v>2002592</v>
      </c>
      <c r="B531" t="s">
        <v>2775</v>
      </c>
      <c r="C531" t="s">
        <v>2336</v>
      </c>
      <c r="D531" s="7">
        <v>7134260114980</v>
      </c>
      <c r="E531" t="s">
        <v>2776</v>
      </c>
      <c r="F531" t="s">
        <v>132</v>
      </c>
      <c r="G531" t="s">
        <v>2423</v>
      </c>
      <c r="H531" t="s">
        <v>2342</v>
      </c>
      <c r="I531" t="s">
        <v>1258</v>
      </c>
      <c r="J531" t="s">
        <v>1259</v>
      </c>
      <c r="K531" t="s">
        <v>361</v>
      </c>
      <c r="L531" t="s">
        <v>2526</v>
      </c>
      <c r="M531" s="7">
        <v>1165</v>
      </c>
      <c r="N531" t="s">
        <v>2353</v>
      </c>
      <c r="O531" s="7">
        <v>60120</v>
      </c>
      <c r="R531" s="7">
        <v>1</v>
      </c>
      <c r="S531" t="s">
        <v>2347</v>
      </c>
      <c r="T531" t="s">
        <v>2271</v>
      </c>
      <c r="U531" s="7">
        <v>1</v>
      </c>
      <c r="V531">
        <v>52.5</v>
      </c>
      <c r="W531" t="s">
        <v>35</v>
      </c>
      <c r="Y531" t="s">
        <v>2269</v>
      </c>
      <c r="Z531" s="7">
        <v>1752309</v>
      </c>
      <c r="AA531" t="s">
        <v>3269</v>
      </c>
      <c r="AB531" s="8">
        <v>61.95</v>
      </c>
      <c r="AC531" s="7">
        <v>0</v>
      </c>
      <c r="AF531" s="8">
        <v>61.95</v>
      </c>
    </row>
    <row r="532" spans="1:32" hidden="1">
      <c r="A532" s="7">
        <v>2002595</v>
      </c>
      <c r="B532" t="s">
        <v>2777</v>
      </c>
      <c r="C532" t="s">
        <v>2336</v>
      </c>
      <c r="D532" s="7">
        <v>7134260114581</v>
      </c>
      <c r="E532" t="s">
        <v>2778</v>
      </c>
      <c r="F532" t="s">
        <v>74</v>
      </c>
      <c r="G532" t="s">
        <v>2423</v>
      </c>
      <c r="H532" t="s">
        <v>2342</v>
      </c>
      <c r="I532" t="s">
        <v>2779</v>
      </c>
      <c r="J532" t="s">
        <v>2780</v>
      </c>
      <c r="K532" t="s">
        <v>361</v>
      </c>
      <c r="L532" t="s">
        <v>2781</v>
      </c>
      <c r="M532" s="7">
        <v>1165</v>
      </c>
      <c r="N532" t="s">
        <v>2359</v>
      </c>
      <c r="O532" s="7">
        <v>35200</v>
      </c>
      <c r="R532" s="7">
        <v>1</v>
      </c>
      <c r="S532" t="s">
        <v>2347</v>
      </c>
      <c r="T532" t="s">
        <v>2271</v>
      </c>
      <c r="U532" s="7">
        <v>1</v>
      </c>
      <c r="V532" s="7">
        <v>45</v>
      </c>
      <c r="W532" t="s">
        <v>35</v>
      </c>
      <c r="Y532" t="s">
        <v>2269</v>
      </c>
      <c r="Z532" s="7">
        <v>1752251</v>
      </c>
      <c r="AA532" t="s">
        <v>3269</v>
      </c>
      <c r="AB532" s="8">
        <v>53.1</v>
      </c>
      <c r="AC532" s="7">
        <v>0</v>
      </c>
      <c r="AF532" s="8">
        <v>53.1</v>
      </c>
    </row>
    <row r="533" spans="1:32" hidden="1">
      <c r="A533" s="7">
        <v>2002597</v>
      </c>
      <c r="B533" t="s">
        <v>2782</v>
      </c>
      <c r="C533" t="s">
        <v>2336</v>
      </c>
      <c r="D533" s="7">
        <v>7134260114941</v>
      </c>
      <c r="E533" t="s">
        <v>2783</v>
      </c>
      <c r="F533" t="s">
        <v>100</v>
      </c>
      <c r="G533" t="s">
        <v>2423</v>
      </c>
      <c r="H533" t="s">
        <v>2342</v>
      </c>
      <c r="I533" t="s">
        <v>2779</v>
      </c>
      <c r="J533" t="s">
        <v>2780</v>
      </c>
      <c r="K533" t="s">
        <v>361</v>
      </c>
      <c r="L533" t="s">
        <v>2781</v>
      </c>
      <c r="M533" s="7">
        <v>1165</v>
      </c>
      <c r="N533" t="s">
        <v>2346</v>
      </c>
      <c r="O533" s="7">
        <v>35820</v>
      </c>
      <c r="R533" s="7">
        <v>1</v>
      </c>
      <c r="S533" t="s">
        <v>2347</v>
      </c>
      <c r="T533" t="s">
        <v>2271</v>
      </c>
      <c r="U533" s="7">
        <v>1</v>
      </c>
      <c r="V533">
        <v>52.5</v>
      </c>
      <c r="W533" t="s">
        <v>35</v>
      </c>
      <c r="Y533" t="s">
        <v>2269</v>
      </c>
      <c r="Z533" s="7">
        <v>1752277</v>
      </c>
      <c r="AA533" t="s">
        <v>3269</v>
      </c>
      <c r="AB533" s="8">
        <v>61.95</v>
      </c>
      <c r="AC533" s="7">
        <v>0</v>
      </c>
      <c r="AF533" s="8">
        <v>61.95</v>
      </c>
    </row>
    <row r="534" spans="1:32" hidden="1">
      <c r="A534" s="7">
        <v>2002598</v>
      </c>
      <c r="B534" t="s">
        <v>2784</v>
      </c>
      <c r="C534" t="s">
        <v>2336</v>
      </c>
      <c r="D534" s="7">
        <v>7134260114970</v>
      </c>
      <c r="E534" t="s">
        <v>2785</v>
      </c>
      <c r="F534" t="s">
        <v>122</v>
      </c>
      <c r="G534" t="s">
        <v>2423</v>
      </c>
      <c r="H534" t="s">
        <v>2342</v>
      </c>
      <c r="I534" t="s">
        <v>1060</v>
      </c>
      <c r="J534" t="s">
        <v>1061</v>
      </c>
      <c r="K534" t="s">
        <v>361</v>
      </c>
      <c r="L534" t="s">
        <v>2786</v>
      </c>
      <c r="M534" s="7">
        <v>1165</v>
      </c>
      <c r="N534" t="s">
        <v>2390</v>
      </c>
      <c r="O534" s="7">
        <v>21110</v>
      </c>
      <c r="R534" s="7">
        <v>1</v>
      </c>
      <c r="S534" t="s">
        <v>2347</v>
      </c>
      <c r="T534" t="s">
        <v>2271</v>
      </c>
      <c r="U534" s="7">
        <v>1</v>
      </c>
      <c r="V534">
        <v>52.5</v>
      </c>
      <c r="W534" t="s">
        <v>35</v>
      </c>
      <c r="Y534" t="s">
        <v>2269</v>
      </c>
      <c r="Z534" s="7">
        <v>1752299</v>
      </c>
      <c r="AA534" t="s">
        <v>3269</v>
      </c>
      <c r="AB534" s="8">
        <v>61.95</v>
      </c>
      <c r="AC534" s="7">
        <v>0</v>
      </c>
      <c r="AF534" s="8">
        <v>61.95</v>
      </c>
    </row>
    <row r="535" spans="1:32" hidden="1">
      <c r="A535" s="7">
        <v>2002599</v>
      </c>
      <c r="B535" t="s">
        <v>2787</v>
      </c>
      <c r="C535" t="s">
        <v>2336</v>
      </c>
      <c r="D535" s="7">
        <v>7134260114964</v>
      </c>
      <c r="E535" t="s">
        <v>2788</v>
      </c>
      <c r="F535" t="s">
        <v>116</v>
      </c>
      <c r="G535" t="s">
        <v>2423</v>
      </c>
      <c r="H535" t="s">
        <v>2342</v>
      </c>
      <c r="I535" t="s">
        <v>918</v>
      </c>
      <c r="J535" t="s">
        <v>919</v>
      </c>
      <c r="K535" t="s">
        <v>361</v>
      </c>
      <c r="L535" t="s">
        <v>2523</v>
      </c>
      <c r="M535" s="7">
        <v>1165</v>
      </c>
      <c r="N535" t="s">
        <v>2390</v>
      </c>
      <c r="O535" s="7">
        <v>23520</v>
      </c>
      <c r="R535" s="7">
        <v>1</v>
      </c>
      <c r="S535" t="s">
        <v>2347</v>
      </c>
      <c r="T535" t="s">
        <v>2271</v>
      </c>
      <c r="U535" s="7">
        <v>1</v>
      </c>
      <c r="V535">
        <v>52.5</v>
      </c>
      <c r="W535" t="s">
        <v>35</v>
      </c>
      <c r="Y535" t="s">
        <v>2269</v>
      </c>
      <c r="Z535" s="7">
        <v>1752293</v>
      </c>
      <c r="AA535" t="s">
        <v>3269</v>
      </c>
      <c r="AB535" s="8">
        <v>61.95</v>
      </c>
      <c r="AC535" s="7">
        <v>0</v>
      </c>
      <c r="AF535" s="8">
        <v>61.95</v>
      </c>
    </row>
    <row r="536" spans="1:32" hidden="1">
      <c r="A536" s="7">
        <v>2002602</v>
      </c>
      <c r="B536" t="s">
        <v>2789</v>
      </c>
      <c r="C536" t="s">
        <v>2336</v>
      </c>
      <c r="D536" s="7">
        <v>7134260114972</v>
      </c>
      <c r="E536" t="s">
        <v>2790</v>
      </c>
      <c r="F536" t="s">
        <v>124</v>
      </c>
      <c r="G536" t="s">
        <v>2423</v>
      </c>
      <c r="H536" t="s">
        <v>2342</v>
      </c>
      <c r="I536" t="s">
        <v>2791</v>
      </c>
      <c r="J536" t="s">
        <v>2792</v>
      </c>
      <c r="K536" t="s">
        <v>361</v>
      </c>
      <c r="L536" t="s">
        <v>2523</v>
      </c>
      <c r="M536" s="7">
        <v>1165</v>
      </c>
      <c r="N536" t="s">
        <v>2390</v>
      </c>
      <c r="O536" s="7">
        <v>21200</v>
      </c>
      <c r="R536" s="7">
        <v>1</v>
      </c>
      <c r="S536" t="s">
        <v>2347</v>
      </c>
      <c r="T536" t="s">
        <v>2271</v>
      </c>
      <c r="U536" s="7">
        <v>1</v>
      </c>
      <c r="V536">
        <v>52.5</v>
      </c>
      <c r="W536" t="s">
        <v>35</v>
      </c>
      <c r="Y536" t="s">
        <v>2269</v>
      </c>
      <c r="Z536" s="7">
        <v>1752301</v>
      </c>
      <c r="AA536" t="s">
        <v>3269</v>
      </c>
      <c r="AB536" s="8">
        <v>61.95</v>
      </c>
      <c r="AC536" s="7">
        <v>0</v>
      </c>
      <c r="AF536" s="8">
        <v>61.95</v>
      </c>
    </row>
    <row r="537" spans="1:32" hidden="1">
      <c r="A537" s="7">
        <v>2002603</v>
      </c>
      <c r="B537" t="s">
        <v>2793</v>
      </c>
      <c r="C537" t="s">
        <v>2336</v>
      </c>
      <c r="D537" s="7">
        <v>7134260114947</v>
      </c>
      <c r="E537" t="s">
        <v>2794</v>
      </c>
      <c r="F537" t="s">
        <v>104</v>
      </c>
      <c r="G537" t="s">
        <v>2423</v>
      </c>
      <c r="H537" t="s">
        <v>2342</v>
      </c>
      <c r="I537" t="s">
        <v>1099</v>
      </c>
      <c r="J537" t="s">
        <v>1100</v>
      </c>
      <c r="K537" t="s">
        <v>361</v>
      </c>
      <c r="L537" t="s">
        <v>2795</v>
      </c>
      <c r="M537" s="7">
        <v>1165</v>
      </c>
      <c r="N537" t="s">
        <v>2346</v>
      </c>
      <c r="O537" s="7">
        <v>94960</v>
      </c>
      <c r="R537" s="7">
        <v>1</v>
      </c>
      <c r="S537" t="s">
        <v>2347</v>
      </c>
      <c r="T537" t="s">
        <v>2271</v>
      </c>
      <c r="U537" s="7">
        <v>1</v>
      </c>
      <c r="V537">
        <v>52.5</v>
      </c>
      <c r="W537" t="s">
        <v>35</v>
      </c>
      <c r="Y537" t="s">
        <v>2269</v>
      </c>
      <c r="Z537" s="7">
        <v>1752281</v>
      </c>
      <c r="AA537" t="s">
        <v>3269</v>
      </c>
      <c r="AB537" s="8">
        <v>61.95</v>
      </c>
      <c r="AC537" s="7">
        <v>0</v>
      </c>
      <c r="AF537" s="8">
        <v>61.95</v>
      </c>
    </row>
    <row r="538" spans="1:32" hidden="1">
      <c r="A538" s="7">
        <v>2002605</v>
      </c>
      <c r="B538" t="s">
        <v>2796</v>
      </c>
      <c r="C538" t="s">
        <v>2336</v>
      </c>
      <c r="D538" s="7">
        <v>7134260114965</v>
      </c>
      <c r="E538" t="s">
        <v>2797</v>
      </c>
      <c r="F538" t="s">
        <v>117</v>
      </c>
      <c r="G538" t="s">
        <v>2423</v>
      </c>
      <c r="H538" t="s">
        <v>2342</v>
      </c>
      <c r="I538" t="s">
        <v>1655</v>
      </c>
      <c r="J538" t="s">
        <v>1656</v>
      </c>
      <c r="K538" t="s">
        <v>361</v>
      </c>
      <c r="L538" t="s">
        <v>2798</v>
      </c>
      <c r="M538" s="7">
        <v>1165</v>
      </c>
      <c r="N538" t="s">
        <v>2390</v>
      </c>
      <c r="O538" s="7">
        <v>41200</v>
      </c>
      <c r="R538" s="7">
        <v>1</v>
      </c>
      <c r="S538" t="s">
        <v>2347</v>
      </c>
      <c r="T538" t="s">
        <v>2271</v>
      </c>
      <c r="U538" s="7">
        <v>1</v>
      </c>
      <c r="V538">
        <v>52.5</v>
      </c>
      <c r="W538" t="s">
        <v>35</v>
      </c>
      <c r="Y538" t="s">
        <v>2269</v>
      </c>
      <c r="Z538" s="7">
        <v>1752294</v>
      </c>
      <c r="AA538" t="s">
        <v>3269</v>
      </c>
      <c r="AB538" s="8">
        <v>61.95</v>
      </c>
      <c r="AC538" s="7">
        <v>0</v>
      </c>
      <c r="AF538" s="8">
        <v>61.95</v>
      </c>
    </row>
    <row r="539" spans="1:32" hidden="1">
      <c r="A539" s="7">
        <v>2002608</v>
      </c>
      <c r="B539" t="s">
        <v>2799</v>
      </c>
      <c r="C539" t="s">
        <v>2336</v>
      </c>
      <c r="D539" s="7">
        <v>7134260114985</v>
      </c>
      <c r="E539" t="s">
        <v>2800</v>
      </c>
      <c r="F539" t="s">
        <v>137</v>
      </c>
      <c r="G539" t="s">
        <v>2423</v>
      </c>
      <c r="H539" t="s">
        <v>2342</v>
      </c>
      <c r="I539" t="s">
        <v>997</v>
      </c>
      <c r="J539" t="s">
        <v>998</v>
      </c>
      <c r="K539" t="s">
        <v>361</v>
      </c>
      <c r="L539" t="s">
        <v>2801</v>
      </c>
      <c r="M539" s="7">
        <v>1165</v>
      </c>
      <c r="N539" t="s">
        <v>2353</v>
      </c>
      <c r="O539" s="7">
        <v>79120</v>
      </c>
      <c r="R539" s="7">
        <v>1</v>
      </c>
      <c r="S539" t="s">
        <v>2347</v>
      </c>
      <c r="T539" t="s">
        <v>2271</v>
      </c>
      <c r="U539" s="7">
        <v>1</v>
      </c>
      <c r="V539">
        <v>52.5</v>
      </c>
      <c r="W539" t="s">
        <v>35</v>
      </c>
      <c r="Y539" t="s">
        <v>2269</v>
      </c>
      <c r="Z539" s="7">
        <v>1752314</v>
      </c>
      <c r="AA539" t="s">
        <v>3269</v>
      </c>
      <c r="AB539" s="8">
        <v>61.95</v>
      </c>
      <c r="AC539" s="7">
        <v>0</v>
      </c>
      <c r="AF539" s="8">
        <v>61.95</v>
      </c>
    </row>
    <row r="540" spans="1:32" hidden="1">
      <c r="A540" s="7">
        <v>2002609</v>
      </c>
      <c r="B540" t="s">
        <v>2802</v>
      </c>
      <c r="C540" t="s">
        <v>2336</v>
      </c>
      <c r="D540" s="7">
        <v>7134260114971</v>
      </c>
      <c r="E540" t="s">
        <v>2803</v>
      </c>
      <c r="F540" t="s">
        <v>123</v>
      </c>
      <c r="G540" t="s">
        <v>2423</v>
      </c>
      <c r="H540" t="s">
        <v>2342</v>
      </c>
      <c r="I540" t="s">
        <v>1489</v>
      </c>
      <c r="J540" t="s">
        <v>1490</v>
      </c>
      <c r="K540" t="s">
        <v>361</v>
      </c>
      <c r="L540" t="s">
        <v>2804</v>
      </c>
      <c r="M540" s="7">
        <v>1165</v>
      </c>
      <c r="N540" t="s">
        <v>2390</v>
      </c>
      <c r="O540" s="7">
        <v>21000</v>
      </c>
      <c r="R540" s="7">
        <v>1</v>
      </c>
      <c r="S540" t="s">
        <v>2347</v>
      </c>
      <c r="T540" t="s">
        <v>2271</v>
      </c>
      <c r="U540" s="7">
        <v>1</v>
      </c>
      <c r="V540">
        <v>52.5</v>
      </c>
      <c r="W540" t="s">
        <v>35</v>
      </c>
      <c r="Y540" t="s">
        <v>2269</v>
      </c>
      <c r="Z540" s="7">
        <v>1752300</v>
      </c>
      <c r="AA540" t="s">
        <v>3269</v>
      </c>
      <c r="AB540" s="8">
        <v>61.95</v>
      </c>
      <c r="AC540" s="7">
        <v>0</v>
      </c>
      <c r="AF540" s="8">
        <v>61.95</v>
      </c>
    </row>
    <row r="541" spans="1:32" hidden="1">
      <c r="A541" s="7">
        <v>2002612</v>
      </c>
      <c r="B541" t="s">
        <v>2805</v>
      </c>
      <c r="C541" t="s">
        <v>2423</v>
      </c>
      <c r="D541" s="7">
        <v>7134260115234</v>
      </c>
      <c r="E541" t="s">
        <v>2806</v>
      </c>
      <c r="F541" t="s">
        <v>150</v>
      </c>
      <c r="G541" t="s">
        <v>2338</v>
      </c>
      <c r="H541" t="s">
        <v>2342</v>
      </c>
      <c r="I541" t="s">
        <v>844</v>
      </c>
      <c r="J541" t="s">
        <v>845</v>
      </c>
      <c r="K541" t="s">
        <v>361</v>
      </c>
      <c r="L541" t="s">
        <v>2632</v>
      </c>
      <c r="M541" s="7">
        <v>1165</v>
      </c>
      <c r="N541" t="s">
        <v>2428</v>
      </c>
      <c r="O541" s="7">
        <v>65920</v>
      </c>
      <c r="R541" s="7">
        <v>1</v>
      </c>
      <c r="S541" t="s">
        <v>2347</v>
      </c>
      <c r="T541" t="s">
        <v>2271</v>
      </c>
      <c r="U541" s="7">
        <v>1</v>
      </c>
      <c r="V541">
        <v>52.5</v>
      </c>
      <c r="W541" t="s">
        <v>35</v>
      </c>
      <c r="Y541" t="s">
        <v>2269</v>
      </c>
      <c r="Z541" s="7">
        <v>1752327</v>
      </c>
      <c r="AA541" t="s">
        <v>3269</v>
      </c>
      <c r="AB541" s="8">
        <v>61.95</v>
      </c>
      <c r="AC541" s="7">
        <v>0</v>
      </c>
      <c r="AF541" s="8">
        <v>61.95</v>
      </c>
    </row>
    <row r="542" spans="1:32" hidden="1">
      <c r="A542" s="7">
        <v>2002615</v>
      </c>
      <c r="B542" t="s">
        <v>2807</v>
      </c>
      <c r="C542" t="s">
        <v>2423</v>
      </c>
      <c r="D542" s="7">
        <v>7134260115229</v>
      </c>
      <c r="E542" t="s">
        <v>2808</v>
      </c>
      <c r="F542" t="s">
        <v>145</v>
      </c>
      <c r="G542" t="s">
        <v>2338</v>
      </c>
      <c r="H542" t="s">
        <v>2342</v>
      </c>
      <c r="I542" t="s">
        <v>1400</v>
      </c>
      <c r="J542" t="s">
        <v>1401</v>
      </c>
      <c r="K542" t="s">
        <v>361</v>
      </c>
      <c r="L542" t="s">
        <v>2427</v>
      </c>
      <c r="M542" s="7">
        <v>1165</v>
      </c>
      <c r="N542" t="s">
        <v>2428</v>
      </c>
      <c r="O542" s="7">
        <v>4520</v>
      </c>
      <c r="R542" s="7">
        <v>1</v>
      </c>
      <c r="S542" t="s">
        <v>2347</v>
      </c>
      <c r="T542" t="s">
        <v>2271</v>
      </c>
      <c r="U542" s="7">
        <v>1</v>
      </c>
      <c r="V542">
        <v>52.5</v>
      </c>
      <c r="W542" t="s">
        <v>35</v>
      </c>
      <c r="Y542" t="s">
        <v>2269</v>
      </c>
      <c r="Z542" s="7">
        <v>1752322</v>
      </c>
      <c r="AA542" t="s">
        <v>3269</v>
      </c>
      <c r="AB542" s="8">
        <v>61.95</v>
      </c>
      <c r="AC542" s="7">
        <v>0</v>
      </c>
      <c r="AF542" s="8">
        <v>61.95</v>
      </c>
    </row>
    <row r="543" spans="1:32" hidden="1">
      <c r="A543" s="7">
        <v>2002793</v>
      </c>
      <c r="B543" t="s">
        <v>2809</v>
      </c>
      <c r="C543" t="s">
        <v>2342</v>
      </c>
      <c r="D543" s="7">
        <v>7134260116180</v>
      </c>
      <c r="E543" t="s">
        <v>2810</v>
      </c>
      <c r="F543" t="s">
        <v>29</v>
      </c>
      <c r="G543" t="s">
        <v>2811</v>
      </c>
      <c r="H543" t="s">
        <v>3270</v>
      </c>
      <c r="I543" t="s">
        <v>1351</v>
      </c>
      <c r="J543" t="s">
        <v>1352</v>
      </c>
      <c r="K543" t="s">
        <v>361</v>
      </c>
      <c r="L543" t="s">
        <v>2748</v>
      </c>
      <c r="M543" s="7">
        <v>1165</v>
      </c>
      <c r="N543" t="s">
        <v>2697</v>
      </c>
      <c r="O543" s="7">
        <v>30519</v>
      </c>
      <c r="R543" s="7">
        <v>1</v>
      </c>
      <c r="S543" t="s">
        <v>2698</v>
      </c>
      <c r="T543" t="s">
        <v>2699</v>
      </c>
      <c r="U543" s="7">
        <v>7</v>
      </c>
      <c r="V543" s="7">
        <v>2814</v>
      </c>
      <c r="W543" t="s">
        <v>35</v>
      </c>
      <c r="Y543" t="s">
        <v>2269</v>
      </c>
      <c r="Z543" s="7">
        <v>1754010</v>
      </c>
      <c r="AA543" t="s">
        <v>3910</v>
      </c>
      <c r="AB543" s="8">
        <v>3320.52</v>
      </c>
      <c r="AC543" s="7">
        <v>0</v>
      </c>
      <c r="AF543" s="8">
        <v>3320.52</v>
      </c>
    </row>
    <row r="544" spans="1:32" hidden="1">
      <c r="A544" s="7">
        <v>2002793</v>
      </c>
      <c r="B544" t="s">
        <v>2809</v>
      </c>
      <c r="C544" t="s">
        <v>2342</v>
      </c>
      <c r="D544" s="7">
        <v>7134260116180</v>
      </c>
      <c r="E544" t="s">
        <v>2810</v>
      </c>
      <c r="F544" t="s">
        <v>29</v>
      </c>
      <c r="G544" t="s">
        <v>2811</v>
      </c>
      <c r="H544" t="s">
        <v>3270</v>
      </c>
      <c r="I544" t="s">
        <v>1351</v>
      </c>
      <c r="J544" t="s">
        <v>1352</v>
      </c>
      <c r="K544" t="s">
        <v>361</v>
      </c>
      <c r="L544" t="s">
        <v>2748</v>
      </c>
      <c r="M544" s="7">
        <v>1165</v>
      </c>
      <c r="N544" t="s">
        <v>2697</v>
      </c>
      <c r="O544" s="7">
        <v>30519</v>
      </c>
      <c r="R544" s="7">
        <v>2</v>
      </c>
      <c r="S544" t="s">
        <v>2812</v>
      </c>
      <c r="T544" t="s">
        <v>2813</v>
      </c>
      <c r="U544" s="7">
        <v>1</v>
      </c>
      <c r="V544">
        <v>6314.1</v>
      </c>
      <c r="W544" t="s">
        <v>35</v>
      </c>
      <c r="Y544" t="s">
        <v>2269</v>
      </c>
      <c r="Z544" s="7">
        <v>1754010</v>
      </c>
      <c r="AA544" t="s">
        <v>3910</v>
      </c>
      <c r="AB544" s="8">
        <v>8082.05</v>
      </c>
      <c r="AC544" s="7">
        <v>0</v>
      </c>
      <c r="AF544" s="8">
        <v>8082.05</v>
      </c>
    </row>
    <row r="545" spans="1:32" hidden="1">
      <c r="A545" s="7">
        <v>2002793</v>
      </c>
      <c r="B545" t="s">
        <v>2809</v>
      </c>
      <c r="C545" t="s">
        <v>2342</v>
      </c>
      <c r="D545" s="7">
        <v>7134260116180</v>
      </c>
      <c r="E545" t="s">
        <v>2810</v>
      </c>
      <c r="F545" t="s">
        <v>29</v>
      </c>
      <c r="G545" t="s">
        <v>2811</v>
      </c>
      <c r="H545" t="s">
        <v>3270</v>
      </c>
      <c r="I545" t="s">
        <v>1351</v>
      </c>
      <c r="J545" t="s">
        <v>1352</v>
      </c>
      <c r="K545" t="s">
        <v>361</v>
      </c>
      <c r="L545" t="s">
        <v>2748</v>
      </c>
      <c r="M545" s="7">
        <v>1165</v>
      </c>
      <c r="N545" t="s">
        <v>2697</v>
      </c>
      <c r="O545" s="7">
        <v>30519</v>
      </c>
      <c r="R545" s="7">
        <v>3</v>
      </c>
      <c r="S545" t="s">
        <v>2270</v>
      </c>
      <c r="T545" t="s">
        <v>2271</v>
      </c>
      <c r="U545" s="7">
        <v>1</v>
      </c>
      <c r="V545">
        <v>332.5</v>
      </c>
      <c r="W545" t="s">
        <v>35</v>
      </c>
      <c r="Y545" t="s">
        <v>2269</v>
      </c>
      <c r="Z545" s="7">
        <v>1754010</v>
      </c>
      <c r="AA545" t="s">
        <v>3910</v>
      </c>
      <c r="AB545" s="8">
        <v>392.35</v>
      </c>
      <c r="AC545" s="7">
        <v>0</v>
      </c>
      <c r="AF545" s="8">
        <v>392.35</v>
      </c>
    </row>
    <row r="546" spans="1:32" hidden="1">
      <c r="A546" s="7">
        <v>2002794</v>
      </c>
      <c r="B546" t="s">
        <v>2814</v>
      </c>
      <c r="C546" t="s">
        <v>2342</v>
      </c>
      <c r="D546" s="7">
        <v>7134260115852</v>
      </c>
      <c r="E546" t="s">
        <v>2815</v>
      </c>
      <c r="F546" t="s">
        <v>27</v>
      </c>
      <c r="G546" t="s">
        <v>2811</v>
      </c>
      <c r="H546" t="s">
        <v>3270</v>
      </c>
      <c r="I546" t="s">
        <v>2052</v>
      </c>
      <c r="J546" t="s">
        <v>2053</v>
      </c>
      <c r="K546" t="s">
        <v>361</v>
      </c>
      <c r="L546" t="s">
        <v>2732</v>
      </c>
      <c r="N546" t="s">
        <v>2370</v>
      </c>
      <c r="O546" s="7">
        <v>21564</v>
      </c>
      <c r="R546" s="7">
        <v>1</v>
      </c>
      <c r="S546" t="s">
        <v>2749</v>
      </c>
      <c r="T546" t="s">
        <v>2750</v>
      </c>
      <c r="U546" s="7">
        <v>1</v>
      </c>
      <c r="V546" s="8">
        <v>2107.6799999999998</v>
      </c>
      <c r="W546" t="s">
        <v>35</v>
      </c>
      <c r="Y546" t="s">
        <v>2269</v>
      </c>
      <c r="Z546" s="7">
        <v>1754007</v>
      </c>
      <c r="AA546" t="s">
        <v>3910</v>
      </c>
      <c r="AB546" s="8">
        <v>2487.06</v>
      </c>
      <c r="AC546" s="7">
        <v>0</v>
      </c>
      <c r="AF546" s="8">
        <v>2487.06</v>
      </c>
    </row>
    <row r="547" spans="1:32" hidden="1">
      <c r="A547" s="7">
        <v>2002794</v>
      </c>
      <c r="B547" t="s">
        <v>2814</v>
      </c>
      <c r="C547" t="s">
        <v>2342</v>
      </c>
      <c r="D547" s="7">
        <v>7134260115852</v>
      </c>
      <c r="E547" t="s">
        <v>2815</v>
      </c>
      <c r="F547" t="s">
        <v>27</v>
      </c>
      <c r="G547" t="s">
        <v>2811</v>
      </c>
      <c r="H547" t="s">
        <v>3270</v>
      </c>
      <c r="I547" t="s">
        <v>2052</v>
      </c>
      <c r="J547" t="s">
        <v>2053</v>
      </c>
      <c r="K547" t="s">
        <v>361</v>
      </c>
      <c r="L547" t="s">
        <v>2732</v>
      </c>
      <c r="N547" t="s">
        <v>2370</v>
      </c>
      <c r="O547" s="7">
        <v>21564</v>
      </c>
      <c r="R547" s="7">
        <v>2</v>
      </c>
      <c r="S547" t="s">
        <v>2816</v>
      </c>
      <c r="T547" t="s">
        <v>2271</v>
      </c>
      <c r="U547" s="7">
        <v>1</v>
      </c>
      <c r="V547" s="8">
        <v>43.75</v>
      </c>
      <c r="W547" t="s">
        <v>35</v>
      </c>
      <c r="Y547" t="s">
        <v>2269</v>
      </c>
      <c r="Z547" s="7">
        <v>1754007</v>
      </c>
      <c r="AA547" t="s">
        <v>3910</v>
      </c>
      <c r="AB547" s="8">
        <v>51.63</v>
      </c>
      <c r="AC547" s="7">
        <v>0</v>
      </c>
      <c r="AF547" s="8">
        <v>51.63</v>
      </c>
    </row>
    <row r="548" spans="1:32" hidden="1">
      <c r="A548" s="7">
        <v>2002797</v>
      </c>
      <c r="B548" t="s">
        <v>2817</v>
      </c>
      <c r="C548" t="s">
        <v>2342</v>
      </c>
      <c r="D548" s="7">
        <v>7134260115947</v>
      </c>
      <c r="E548" t="s">
        <v>2818</v>
      </c>
      <c r="F548" t="s">
        <v>10</v>
      </c>
      <c r="G548" t="s">
        <v>2811</v>
      </c>
      <c r="H548" t="s">
        <v>3270</v>
      </c>
      <c r="I548" t="s">
        <v>2819</v>
      </c>
      <c r="J548" t="s">
        <v>2820</v>
      </c>
      <c r="K548" t="s">
        <v>361</v>
      </c>
      <c r="L548" t="s">
        <v>2821</v>
      </c>
      <c r="M548" s="7">
        <v>1165</v>
      </c>
      <c r="N548" t="s">
        <v>2822</v>
      </c>
      <c r="O548" s="7">
        <v>51002</v>
      </c>
      <c r="R548" s="7">
        <v>1</v>
      </c>
      <c r="S548" t="s">
        <v>2823</v>
      </c>
      <c r="T548" t="s">
        <v>2824</v>
      </c>
      <c r="U548" s="7">
        <v>1</v>
      </c>
      <c r="V548" s="8">
        <v>3144.86</v>
      </c>
      <c r="W548" t="s">
        <v>35</v>
      </c>
      <c r="Y548" t="s">
        <v>2269</v>
      </c>
      <c r="Z548" s="7">
        <v>1754008</v>
      </c>
      <c r="AA548" t="s">
        <v>3910</v>
      </c>
      <c r="AB548" s="8">
        <v>3710.93</v>
      </c>
      <c r="AC548" s="7">
        <v>0</v>
      </c>
      <c r="AF548" s="8">
        <v>3710.93</v>
      </c>
    </row>
    <row r="549" spans="1:32" hidden="1">
      <c r="A549" s="7">
        <v>2002797</v>
      </c>
      <c r="B549" t="s">
        <v>2817</v>
      </c>
      <c r="C549" t="s">
        <v>2342</v>
      </c>
      <c r="D549" s="7">
        <v>7134260115947</v>
      </c>
      <c r="E549" t="s">
        <v>2818</v>
      </c>
      <c r="F549" t="s">
        <v>10</v>
      </c>
      <c r="G549" t="s">
        <v>2811</v>
      </c>
      <c r="H549" t="s">
        <v>3270</v>
      </c>
      <c r="I549" t="s">
        <v>2819</v>
      </c>
      <c r="J549" t="s">
        <v>2820</v>
      </c>
      <c r="K549" t="s">
        <v>361</v>
      </c>
      <c r="L549" t="s">
        <v>2821</v>
      </c>
      <c r="M549" s="7">
        <v>1165</v>
      </c>
      <c r="N549" t="s">
        <v>2822</v>
      </c>
      <c r="O549" s="7">
        <v>51002</v>
      </c>
      <c r="R549" s="7">
        <v>2</v>
      </c>
      <c r="S549" t="s">
        <v>2825</v>
      </c>
      <c r="T549" t="s">
        <v>2826</v>
      </c>
      <c r="U549" s="7">
        <v>1</v>
      </c>
      <c r="V549" s="8">
        <v>12374.27</v>
      </c>
      <c r="W549" t="s">
        <v>35</v>
      </c>
      <c r="Y549" t="s">
        <v>2269</v>
      </c>
      <c r="Z549" s="7">
        <v>1754008</v>
      </c>
      <c r="AA549" t="s">
        <v>3910</v>
      </c>
      <c r="AB549" s="8">
        <v>15839.07</v>
      </c>
      <c r="AC549" s="7">
        <v>0</v>
      </c>
      <c r="AF549" s="8">
        <v>15839.07</v>
      </c>
    </row>
    <row r="550" spans="1:32" hidden="1">
      <c r="A550" s="7">
        <v>2002797</v>
      </c>
      <c r="B550" t="s">
        <v>2817</v>
      </c>
      <c r="C550" t="s">
        <v>2342</v>
      </c>
      <c r="D550" s="7">
        <v>7134260115947</v>
      </c>
      <c r="E550" t="s">
        <v>2818</v>
      </c>
      <c r="F550" t="s">
        <v>10</v>
      </c>
      <c r="G550" t="s">
        <v>2811</v>
      </c>
      <c r="H550" t="s">
        <v>3270</v>
      </c>
      <c r="I550" t="s">
        <v>2819</v>
      </c>
      <c r="J550" t="s">
        <v>2820</v>
      </c>
      <c r="K550" t="s">
        <v>361</v>
      </c>
      <c r="L550" t="s">
        <v>2821</v>
      </c>
      <c r="M550" s="7">
        <v>1165</v>
      </c>
      <c r="N550" t="s">
        <v>2822</v>
      </c>
      <c r="O550" s="7">
        <v>51002</v>
      </c>
      <c r="R550" s="7">
        <v>3</v>
      </c>
      <c r="S550" t="s">
        <v>2827</v>
      </c>
      <c r="T550" t="s">
        <v>2828</v>
      </c>
      <c r="U550" s="7">
        <v>1</v>
      </c>
      <c r="V550" s="8">
        <v>2884.75</v>
      </c>
      <c r="W550" t="s">
        <v>35</v>
      </c>
      <c r="Y550" t="s">
        <v>2269</v>
      </c>
      <c r="Z550" s="7">
        <v>1754008</v>
      </c>
      <c r="AA550" t="s">
        <v>3910</v>
      </c>
      <c r="AB550" s="8">
        <v>3692.48</v>
      </c>
      <c r="AC550" s="7">
        <v>0</v>
      </c>
      <c r="AF550" s="8">
        <v>3692.48</v>
      </c>
    </row>
    <row r="551" spans="1:32" hidden="1">
      <c r="A551" s="7">
        <v>2002797</v>
      </c>
      <c r="B551" t="s">
        <v>2817</v>
      </c>
      <c r="C551" t="s">
        <v>2342</v>
      </c>
      <c r="D551" s="7">
        <v>7134260115947</v>
      </c>
      <c r="E551" t="s">
        <v>2818</v>
      </c>
      <c r="F551" t="s">
        <v>10</v>
      </c>
      <c r="G551" t="s">
        <v>2811</v>
      </c>
      <c r="H551" t="s">
        <v>3270</v>
      </c>
      <c r="I551" t="s">
        <v>2819</v>
      </c>
      <c r="J551" t="s">
        <v>2820</v>
      </c>
      <c r="K551" t="s">
        <v>361</v>
      </c>
      <c r="L551" t="s">
        <v>2821</v>
      </c>
      <c r="M551" s="7">
        <v>1165</v>
      </c>
      <c r="N551" t="s">
        <v>2822</v>
      </c>
      <c r="O551" s="7">
        <v>51002</v>
      </c>
      <c r="R551" s="7">
        <v>4</v>
      </c>
      <c r="S551" t="s">
        <v>2829</v>
      </c>
      <c r="T551" t="s">
        <v>2830</v>
      </c>
      <c r="U551" s="7">
        <v>4</v>
      </c>
      <c r="V551" s="8">
        <v>27086.92</v>
      </c>
      <c r="W551" t="s">
        <v>35</v>
      </c>
      <c r="Y551" t="s">
        <v>2269</v>
      </c>
      <c r="Z551" s="7">
        <v>1754008</v>
      </c>
      <c r="AA551" t="s">
        <v>3910</v>
      </c>
      <c r="AB551" s="8">
        <v>34671.26</v>
      </c>
      <c r="AC551" s="7">
        <v>0</v>
      </c>
      <c r="AF551" s="8">
        <v>34671.26</v>
      </c>
    </row>
    <row r="552" spans="1:32" hidden="1">
      <c r="A552" s="7">
        <v>2002797</v>
      </c>
      <c r="B552" t="s">
        <v>2817</v>
      </c>
      <c r="C552" t="s">
        <v>2342</v>
      </c>
      <c r="D552" s="7">
        <v>7134260115947</v>
      </c>
      <c r="E552" t="s">
        <v>2818</v>
      </c>
      <c r="F552" t="s">
        <v>10</v>
      </c>
      <c r="G552" t="s">
        <v>2811</v>
      </c>
      <c r="H552" t="s">
        <v>3270</v>
      </c>
      <c r="I552" t="s">
        <v>2819</v>
      </c>
      <c r="J552" t="s">
        <v>2820</v>
      </c>
      <c r="K552" t="s">
        <v>361</v>
      </c>
      <c r="L552" t="s">
        <v>2821</v>
      </c>
      <c r="M552" s="7">
        <v>1165</v>
      </c>
      <c r="N552" t="s">
        <v>2822</v>
      </c>
      <c r="O552" s="7">
        <v>51002</v>
      </c>
      <c r="R552" s="7">
        <v>5</v>
      </c>
      <c r="S552" t="s">
        <v>2831</v>
      </c>
      <c r="T552" t="s">
        <v>2832</v>
      </c>
      <c r="U552" s="7">
        <v>1</v>
      </c>
      <c r="V552" s="8">
        <v>1103.02</v>
      </c>
      <c r="W552" t="s">
        <v>35</v>
      </c>
      <c r="Y552" t="s">
        <v>2269</v>
      </c>
      <c r="Z552" s="7">
        <v>1754008</v>
      </c>
      <c r="AA552" t="s">
        <v>3910</v>
      </c>
      <c r="AB552" s="8">
        <v>1411.87</v>
      </c>
      <c r="AC552" s="7">
        <v>0</v>
      </c>
      <c r="AF552" s="8">
        <v>1411.87</v>
      </c>
    </row>
    <row r="553" spans="1:32" hidden="1">
      <c r="A553" s="7">
        <v>2002797</v>
      </c>
      <c r="B553" t="s">
        <v>2817</v>
      </c>
      <c r="C553" t="s">
        <v>2342</v>
      </c>
      <c r="D553" s="7">
        <v>7134260115947</v>
      </c>
      <c r="E553" t="s">
        <v>2818</v>
      </c>
      <c r="F553" t="s">
        <v>10</v>
      </c>
      <c r="G553" t="s">
        <v>2811</v>
      </c>
      <c r="H553" t="s">
        <v>3270</v>
      </c>
      <c r="I553" t="s">
        <v>2819</v>
      </c>
      <c r="J553" t="s">
        <v>2820</v>
      </c>
      <c r="K553" t="s">
        <v>361</v>
      </c>
      <c r="L553" t="s">
        <v>2821</v>
      </c>
      <c r="M553" s="7">
        <v>1165</v>
      </c>
      <c r="N553" t="s">
        <v>2822</v>
      </c>
      <c r="O553" s="7">
        <v>51002</v>
      </c>
      <c r="R553" s="7">
        <v>6</v>
      </c>
      <c r="S553" t="s">
        <v>2833</v>
      </c>
      <c r="T553" t="s">
        <v>2834</v>
      </c>
      <c r="U553" s="7">
        <v>1</v>
      </c>
      <c r="V553" s="8">
        <v>20889.86</v>
      </c>
      <c r="W553" t="s">
        <v>35</v>
      </c>
      <c r="Y553" t="s">
        <v>2269</v>
      </c>
      <c r="Z553" s="7">
        <v>1754008</v>
      </c>
      <c r="AA553" t="s">
        <v>3910</v>
      </c>
      <c r="AB553" s="8">
        <v>26739.02</v>
      </c>
      <c r="AC553" s="7">
        <v>0</v>
      </c>
      <c r="AF553" s="8">
        <v>26739.02</v>
      </c>
    </row>
    <row r="554" spans="1:32" hidden="1">
      <c r="A554" s="7">
        <v>2002797</v>
      </c>
      <c r="B554" t="s">
        <v>2817</v>
      </c>
      <c r="C554" t="s">
        <v>2342</v>
      </c>
      <c r="D554" s="7">
        <v>7134260115947</v>
      </c>
      <c r="E554" t="s">
        <v>2818</v>
      </c>
      <c r="F554" t="s">
        <v>10</v>
      </c>
      <c r="G554" t="s">
        <v>2811</v>
      </c>
      <c r="H554" t="s">
        <v>3270</v>
      </c>
      <c r="I554" t="s">
        <v>2819</v>
      </c>
      <c r="J554" t="s">
        <v>2820</v>
      </c>
      <c r="K554" t="s">
        <v>361</v>
      </c>
      <c r="L554" t="s">
        <v>2821</v>
      </c>
      <c r="M554" s="7">
        <v>1165</v>
      </c>
      <c r="N554" t="s">
        <v>2822</v>
      </c>
      <c r="O554" s="7">
        <v>51002</v>
      </c>
      <c r="R554" s="7">
        <v>7</v>
      </c>
      <c r="S554" t="s">
        <v>2719</v>
      </c>
      <c r="T554" t="s">
        <v>2271</v>
      </c>
      <c r="U554" s="7">
        <v>1</v>
      </c>
      <c r="V554" s="7">
        <v>175</v>
      </c>
      <c r="W554" t="s">
        <v>35</v>
      </c>
      <c r="Y554" t="s">
        <v>2269</v>
      </c>
      <c r="Z554" s="7">
        <v>1754008</v>
      </c>
      <c r="AA554" t="s">
        <v>3910</v>
      </c>
      <c r="AB554" s="8">
        <v>206.5</v>
      </c>
      <c r="AC554" s="7">
        <v>0</v>
      </c>
      <c r="AF554" s="8">
        <v>206.5</v>
      </c>
    </row>
    <row r="555" spans="1:32" hidden="1">
      <c r="A555" s="7">
        <v>2002797</v>
      </c>
      <c r="B555" t="s">
        <v>2817</v>
      </c>
      <c r="C555" t="s">
        <v>2342</v>
      </c>
      <c r="D555" s="7">
        <v>7134260115947</v>
      </c>
      <c r="E555" t="s">
        <v>2818</v>
      </c>
      <c r="F555" t="s">
        <v>10</v>
      </c>
      <c r="G555" t="s">
        <v>2811</v>
      </c>
      <c r="H555" t="s">
        <v>3270</v>
      </c>
      <c r="I555" t="s">
        <v>2819</v>
      </c>
      <c r="J555" t="s">
        <v>2820</v>
      </c>
      <c r="K555" t="s">
        <v>361</v>
      </c>
      <c r="L555" t="s">
        <v>2821</v>
      </c>
      <c r="M555" s="7">
        <v>1165</v>
      </c>
      <c r="N555" t="s">
        <v>2822</v>
      </c>
      <c r="O555" s="7">
        <v>51002</v>
      </c>
      <c r="R555" s="7">
        <v>8</v>
      </c>
      <c r="S555" t="s">
        <v>2835</v>
      </c>
      <c r="T555" t="s">
        <v>2271</v>
      </c>
      <c r="U555" s="7">
        <v>1</v>
      </c>
      <c r="V555">
        <v>52.5</v>
      </c>
      <c r="W555" t="s">
        <v>35</v>
      </c>
      <c r="Y555" t="s">
        <v>2269</v>
      </c>
      <c r="Z555" s="7">
        <v>1754008</v>
      </c>
      <c r="AA555" t="s">
        <v>3910</v>
      </c>
      <c r="AB555" s="8">
        <v>61.95</v>
      </c>
      <c r="AC555" s="7">
        <v>0</v>
      </c>
      <c r="AF555" s="8">
        <v>61.95</v>
      </c>
    </row>
    <row r="556" spans="1:32" hidden="1">
      <c r="A556" s="7">
        <v>2002797</v>
      </c>
      <c r="B556" t="s">
        <v>2817</v>
      </c>
      <c r="C556" t="s">
        <v>2342</v>
      </c>
      <c r="D556" s="7">
        <v>7134260115947</v>
      </c>
      <c r="E556" t="s">
        <v>2818</v>
      </c>
      <c r="F556" t="s">
        <v>10</v>
      </c>
      <c r="G556" t="s">
        <v>2811</v>
      </c>
      <c r="H556" t="s">
        <v>3270</v>
      </c>
      <c r="I556" t="s">
        <v>2819</v>
      </c>
      <c r="J556" t="s">
        <v>2820</v>
      </c>
      <c r="K556" t="s">
        <v>361</v>
      </c>
      <c r="L556" t="s">
        <v>2821</v>
      </c>
      <c r="M556" s="7">
        <v>1165</v>
      </c>
      <c r="N556" t="s">
        <v>2822</v>
      </c>
      <c r="O556" s="7">
        <v>51002</v>
      </c>
      <c r="R556" s="7">
        <v>9</v>
      </c>
      <c r="S556" t="s">
        <v>2836</v>
      </c>
      <c r="T556" t="s">
        <v>2271</v>
      </c>
      <c r="U556" s="7">
        <v>1</v>
      </c>
      <c r="V556">
        <v>52.5</v>
      </c>
      <c r="W556" t="s">
        <v>35</v>
      </c>
      <c r="Y556" t="s">
        <v>2269</v>
      </c>
      <c r="Z556" s="7">
        <v>1754008</v>
      </c>
      <c r="AA556" t="s">
        <v>3910</v>
      </c>
      <c r="AB556" s="8">
        <v>61.95</v>
      </c>
      <c r="AC556" s="7">
        <v>0</v>
      </c>
      <c r="AF556" s="8">
        <v>61.95</v>
      </c>
    </row>
    <row r="557" spans="1:32" hidden="1">
      <c r="A557" s="7">
        <v>2002797</v>
      </c>
      <c r="B557" t="s">
        <v>2817</v>
      </c>
      <c r="C557" t="s">
        <v>2342</v>
      </c>
      <c r="D557" s="7">
        <v>7134260115947</v>
      </c>
      <c r="E557" t="s">
        <v>2818</v>
      </c>
      <c r="F557" t="s">
        <v>10</v>
      </c>
      <c r="G557" t="s">
        <v>2811</v>
      </c>
      <c r="H557" t="s">
        <v>3270</v>
      </c>
      <c r="I557" t="s">
        <v>2819</v>
      </c>
      <c r="J557" t="s">
        <v>2820</v>
      </c>
      <c r="K557" t="s">
        <v>361</v>
      </c>
      <c r="L557" t="s">
        <v>2821</v>
      </c>
      <c r="M557" s="7">
        <v>1165</v>
      </c>
      <c r="N557" t="s">
        <v>2822</v>
      </c>
      <c r="O557" s="7">
        <v>51002</v>
      </c>
      <c r="R557" s="7">
        <v>10</v>
      </c>
      <c r="S557" t="s">
        <v>2837</v>
      </c>
      <c r="T557" t="s">
        <v>2271</v>
      </c>
      <c r="U557" s="7">
        <v>1</v>
      </c>
      <c r="V557" s="8">
        <v>61.25</v>
      </c>
      <c r="W557" t="s">
        <v>35</v>
      </c>
      <c r="Y557" t="s">
        <v>2269</v>
      </c>
      <c r="Z557" s="7">
        <v>1754008</v>
      </c>
      <c r="AA557" t="s">
        <v>3910</v>
      </c>
      <c r="AB557" s="8">
        <v>72.28</v>
      </c>
      <c r="AC557" s="7">
        <v>0</v>
      </c>
      <c r="AF557" s="8">
        <v>72.28</v>
      </c>
    </row>
    <row r="558" spans="1:32" hidden="1">
      <c r="A558" s="7">
        <v>2002797</v>
      </c>
      <c r="B558" t="s">
        <v>2817</v>
      </c>
      <c r="C558" t="s">
        <v>2342</v>
      </c>
      <c r="D558" s="7">
        <v>7134260115947</v>
      </c>
      <c r="E558" t="s">
        <v>2818</v>
      </c>
      <c r="F558" t="s">
        <v>10</v>
      </c>
      <c r="G558" t="s">
        <v>2811</v>
      </c>
      <c r="H558" t="s">
        <v>3270</v>
      </c>
      <c r="I558" t="s">
        <v>2819</v>
      </c>
      <c r="J558" t="s">
        <v>2820</v>
      </c>
      <c r="K558" t="s">
        <v>361</v>
      </c>
      <c r="L558" t="s">
        <v>2821</v>
      </c>
      <c r="M558" s="7">
        <v>1165</v>
      </c>
      <c r="N558" t="s">
        <v>2822</v>
      </c>
      <c r="O558" s="7">
        <v>51002</v>
      </c>
      <c r="R558" s="7">
        <v>11</v>
      </c>
      <c r="S558" t="s">
        <v>2838</v>
      </c>
      <c r="T558" t="s">
        <v>2271</v>
      </c>
      <c r="U558" s="7">
        <v>1</v>
      </c>
      <c r="V558" s="8">
        <v>323.75</v>
      </c>
      <c r="W558" t="s">
        <v>35</v>
      </c>
      <c r="Y558" t="s">
        <v>2269</v>
      </c>
      <c r="Z558" s="7">
        <v>1754008</v>
      </c>
      <c r="AA558" t="s">
        <v>3910</v>
      </c>
      <c r="AB558" s="8">
        <v>382.03</v>
      </c>
      <c r="AC558" s="7">
        <v>0</v>
      </c>
      <c r="AF558" s="8">
        <v>382.03</v>
      </c>
    </row>
    <row r="559" spans="1:32" hidden="1">
      <c r="A559" s="7">
        <v>2002797</v>
      </c>
      <c r="B559" t="s">
        <v>2817</v>
      </c>
      <c r="C559" t="s">
        <v>2342</v>
      </c>
      <c r="D559" s="7">
        <v>7134260115947</v>
      </c>
      <c r="E559" t="s">
        <v>2818</v>
      </c>
      <c r="F559" t="s">
        <v>10</v>
      </c>
      <c r="G559" t="s">
        <v>2811</v>
      </c>
      <c r="H559" t="s">
        <v>3270</v>
      </c>
      <c r="I559" t="s">
        <v>2819</v>
      </c>
      <c r="J559" t="s">
        <v>2820</v>
      </c>
      <c r="K559" t="s">
        <v>361</v>
      </c>
      <c r="L559" t="s">
        <v>2821</v>
      </c>
      <c r="M559" s="7">
        <v>1165</v>
      </c>
      <c r="N559" t="s">
        <v>2822</v>
      </c>
      <c r="O559" s="7">
        <v>51002</v>
      </c>
      <c r="R559" s="7">
        <v>12</v>
      </c>
      <c r="S559" t="s">
        <v>2839</v>
      </c>
      <c r="T559" t="s">
        <v>2271</v>
      </c>
      <c r="U559" s="7">
        <v>1</v>
      </c>
      <c r="V559">
        <v>507.5</v>
      </c>
      <c r="W559" t="s">
        <v>35</v>
      </c>
      <c r="Y559" t="s">
        <v>2269</v>
      </c>
      <c r="Z559" s="7">
        <v>1754008</v>
      </c>
      <c r="AA559" t="s">
        <v>3910</v>
      </c>
      <c r="AB559" s="8">
        <v>598.85</v>
      </c>
      <c r="AC559" s="7">
        <v>0</v>
      </c>
      <c r="AF559" s="8">
        <v>598.85</v>
      </c>
    </row>
    <row r="560" spans="1:32" hidden="1">
      <c r="A560" s="7">
        <v>2002797</v>
      </c>
      <c r="B560" t="s">
        <v>2817</v>
      </c>
      <c r="C560" t="s">
        <v>2342</v>
      </c>
      <c r="D560" s="7">
        <v>7134260115947</v>
      </c>
      <c r="E560" t="s">
        <v>2818</v>
      </c>
      <c r="F560" t="s">
        <v>10</v>
      </c>
      <c r="G560" t="s">
        <v>2811</v>
      </c>
      <c r="H560" t="s">
        <v>3270</v>
      </c>
      <c r="I560" t="s">
        <v>2819</v>
      </c>
      <c r="J560" t="s">
        <v>2820</v>
      </c>
      <c r="K560" t="s">
        <v>361</v>
      </c>
      <c r="L560" t="s">
        <v>2821</v>
      </c>
      <c r="M560" s="7">
        <v>1165</v>
      </c>
      <c r="N560" t="s">
        <v>2822</v>
      </c>
      <c r="O560" s="7">
        <v>51002</v>
      </c>
      <c r="R560" s="7">
        <v>13</v>
      </c>
      <c r="S560" t="s">
        <v>2840</v>
      </c>
      <c r="T560" t="s">
        <v>2271</v>
      </c>
      <c r="U560" s="7">
        <v>1</v>
      </c>
      <c r="V560" s="7">
        <v>700</v>
      </c>
      <c r="W560" t="s">
        <v>35</v>
      </c>
      <c r="Y560" t="s">
        <v>2269</v>
      </c>
      <c r="Z560" s="7">
        <v>1754008</v>
      </c>
      <c r="AA560" t="s">
        <v>3910</v>
      </c>
      <c r="AB560" s="7">
        <v>826</v>
      </c>
      <c r="AC560" s="7">
        <v>0</v>
      </c>
      <c r="AF560" s="7">
        <v>826</v>
      </c>
    </row>
    <row r="561" spans="1:32" hidden="1">
      <c r="A561" s="7">
        <v>2002851</v>
      </c>
      <c r="B561" t="s">
        <v>3049</v>
      </c>
      <c r="C561" t="s">
        <v>2870</v>
      </c>
      <c r="D561" s="7">
        <v>7134260117166</v>
      </c>
      <c r="E561" t="s">
        <v>3050</v>
      </c>
      <c r="F561" t="s">
        <v>189</v>
      </c>
      <c r="G561" t="s">
        <v>2884</v>
      </c>
      <c r="H561" t="s">
        <v>2873</v>
      </c>
      <c r="I561" t="s">
        <v>3051</v>
      </c>
      <c r="J561" t="s">
        <v>3052</v>
      </c>
      <c r="K561" t="s">
        <v>361</v>
      </c>
      <c r="L561" t="s">
        <v>3053</v>
      </c>
      <c r="M561" s="7">
        <v>1165</v>
      </c>
      <c r="N561" t="s">
        <v>2910</v>
      </c>
      <c r="O561" s="7">
        <v>29230</v>
      </c>
      <c r="R561" s="7">
        <v>1</v>
      </c>
      <c r="S561" t="s">
        <v>2347</v>
      </c>
      <c r="T561" t="s">
        <v>2271</v>
      </c>
      <c r="U561" s="7">
        <v>1</v>
      </c>
      <c r="V561">
        <v>52.5</v>
      </c>
      <c r="W561" t="s">
        <v>35</v>
      </c>
      <c r="Y561" t="s">
        <v>2269</v>
      </c>
      <c r="Z561" s="7">
        <v>1754049</v>
      </c>
      <c r="AA561" t="s">
        <v>3910</v>
      </c>
      <c r="AB561" s="8">
        <v>61.95</v>
      </c>
      <c r="AC561" s="7">
        <v>0</v>
      </c>
      <c r="AF561" s="8">
        <v>61.95</v>
      </c>
    </row>
    <row r="562" spans="1:32" hidden="1">
      <c r="A562" s="7">
        <v>2002866</v>
      </c>
      <c r="B562" t="s">
        <v>3054</v>
      </c>
      <c r="C562" t="s">
        <v>2870</v>
      </c>
      <c r="D562" s="7">
        <v>7134260117168</v>
      </c>
      <c r="E562" t="s">
        <v>3055</v>
      </c>
      <c r="F562" t="s">
        <v>191</v>
      </c>
      <c r="G562" t="s">
        <v>2884</v>
      </c>
      <c r="H562" t="s">
        <v>2873</v>
      </c>
      <c r="I562" t="s">
        <v>1303</v>
      </c>
      <c r="J562" t="s">
        <v>1304</v>
      </c>
      <c r="K562" t="s">
        <v>361</v>
      </c>
      <c r="L562" t="s">
        <v>3053</v>
      </c>
      <c r="M562" s="7">
        <v>1165</v>
      </c>
      <c r="N562" t="s">
        <v>2910</v>
      </c>
      <c r="O562" s="7">
        <v>46200</v>
      </c>
      <c r="R562" s="7">
        <v>1</v>
      </c>
      <c r="S562" t="s">
        <v>2347</v>
      </c>
      <c r="T562" t="s">
        <v>2271</v>
      </c>
      <c r="U562" s="7">
        <v>1</v>
      </c>
      <c r="V562">
        <v>52.5</v>
      </c>
      <c r="W562" t="s">
        <v>35</v>
      </c>
      <c r="Y562" t="s">
        <v>2269</v>
      </c>
      <c r="Z562" s="7">
        <v>1754051</v>
      </c>
      <c r="AA562" t="s">
        <v>3910</v>
      </c>
      <c r="AB562" s="8">
        <v>61.95</v>
      </c>
      <c r="AC562" s="7">
        <v>0</v>
      </c>
      <c r="AF562" s="8">
        <v>61.95</v>
      </c>
    </row>
    <row r="563" spans="1:32" hidden="1">
      <c r="A563" s="7">
        <v>2002889</v>
      </c>
      <c r="B563" t="s">
        <v>3056</v>
      </c>
      <c r="C563" t="s">
        <v>2870</v>
      </c>
      <c r="D563" s="7">
        <v>7134260117151</v>
      </c>
      <c r="E563" t="s">
        <v>3057</v>
      </c>
      <c r="F563" t="s">
        <v>176</v>
      </c>
      <c r="G563" t="s">
        <v>2884</v>
      </c>
      <c r="H563" t="s">
        <v>2873</v>
      </c>
      <c r="I563" t="s">
        <v>1581</v>
      </c>
      <c r="J563" t="s">
        <v>1582</v>
      </c>
      <c r="K563" t="s">
        <v>361</v>
      </c>
      <c r="L563" t="s">
        <v>2937</v>
      </c>
      <c r="M563" s="7">
        <v>1165</v>
      </c>
      <c r="N563" t="s">
        <v>2887</v>
      </c>
      <c r="O563" s="7">
        <v>89230</v>
      </c>
      <c r="R563" s="7">
        <v>1</v>
      </c>
      <c r="S563" t="s">
        <v>2347</v>
      </c>
      <c r="T563" t="s">
        <v>2271</v>
      </c>
      <c r="U563" s="7">
        <v>1</v>
      </c>
      <c r="V563">
        <v>52.5</v>
      </c>
      <c r="W563" t="s">
        <v>35</v>
      </c>
      <c r="Y563" t="s">
        <v>2269</v>
      </c>
      <c r="Z563" s="7">
        <v>1754036</v>
      </c>
      <c r="AA563" t="s">
        <v>3910</v>
      </c>
      <c r="AB563" s="8">
        <v>61.95</v>
      </c>
      <c r="AC563" s="7">
        <v>0</v>
      </c>
      <c r="AF563" s="8">
        <v>61.95</v>
      </c>
    </row>
    <row r="564" spans="1:32" hidden="1">
      <c r="A564" s="7">
        <v>2002891</v>
      </c>
      <c r="B564" t="s">
        <v>3058</v>
      </c>
      <c r="C564" t="s">
        <v>2870</v>
      </c>
      <c r="D564" s="7">
        <v>7134260117132</v>
      </c>
      <c r="E564" t="s">
        <v>3059</v>
      </c>
      <c r="F564" t="s">
        <v>163</v>
      </c>
      <c r="G564" t="s">
        <v>2884</v>
      </c>
      <c r="H564" t="s">
        <v>2873</v>
      </c>
      <c r="I564" t="s">
        <v>1262</v>
      </c>
      <c r="J564" t="s">
        <v>1263</v>
      </c>
      <c r="K564" t="s">
        <v>361</v>
      </c>
      <c r="L564" t="s">
        <v>2874</v>
      </c>
      <c r="M564" s="7">
        <v>1160</v>
      </c>
      <c r="N564" t="s">
        <v>2493</v>
      </c>
      <c r="O564" s="7">
        <v>89230</v>
      </c>
      <c r="R564" s="7">
        <v>1</v>
      </c>
      <c r="S564" t="s">
        <v>2347</v>
      </c>
      <c r="T564" t="s">
        <v>2271</v>
      </c>
      <c r="U564" s="7">
        <v>1</v>
      </c>
      <c r="V564">
        <v>52.5</v>
      </c>
      <c r="W564" t="s">
        <v>35</v>
      </c>
      <c r="Y564" t="s">
        <v>2269</v>
      </c>
      <c r="Z564" s="7">
        <v>1754023</v>
      </c>
      <c r="AA564" t="s">
        <v>3910</v>
      </c>
      <c r="AB564" s="8">
        <v>61.95</v>
      </c>
      <c r="AC564" s="7">
        <v>0</v>
      </c>
      <c r="AF564" s="8">
        <v>61.95</v>
      </c>
    </row>
    <row r="565" spans="1:32" hidden="1">
      <c r="A565" s="7">
        <v>2002911</v>
      </c>
      <c r="B565" t="s">
        <v>3060</v>
      </c>
      <c r="C565" t="s">
        <v>2870</v>
      </c>
      <c r="D565" s="7">
        <v>7134260117182</v>
      </c>
      <c r="E565" t="s">
        <v>3061</v>
      </c>
      <c r="F565" t="s">
        <v>205</v>
      </c>
      <c r="G565" t="s">
        <v>3012</v>
      </c>
      <c r="H565" t="s">
        <v>2873</v>
      </c>
      <c r="I565" t="s">
        <v>1687</v>
      </c>
      <c r="J565" t="s">
        <v>1688</v>
      </c>
      <c r="K565" t="s">
        <v>361</v>
      </c>
      <c r="L565" t="s">
        <v>3062</v>
      </c>
      <c r="M565" s="7">
        <v>1165</v>
      </c>
      <c r="N565" t="s">
        <v>2342</v>
      </c>
      <c r="O565" s="7">
        <v>93650</v>
      </c>
      <c r="R565" s="7">
        <v>1</v>
      </c>
      <c r="S565" t="s">
        <v>2347</v>
      </c>
      <c r="T565" t="s">
        <v>2271</v>
      </c>
      <c r="U565" s="7">
        <v>1</v>
      </c>
      <c r="V565">
        <v>52.5</v>
      </c>
      <c r="W565" t="s">
        <v>35</v>
      </c>
      <c r="Y565" t="s">
        <v>2269</v>
      </c>
      <c r="Z565" s="7">
        <v>1754065</v>
      </c>
      <c r="AA565" t="s">
        <v>3910</v>
      </c>
      <c r="AB565" s="8">
        <v>61.95</v>
      </c>
      <c r="AC565" s="7">
        <v>0</v>
      </c>
      <c r="AF565" s="8">
        <v>61.95</v>
      </c>
    </row>
    <row r="566" spans="1:32" hidden="1">
      <c r="A566" s="7">
        <v>2002937</v>
      </c>
      <c r="B566" t="s">
        <v>3063</v>
      </c>
      <c r="C566" t="s">
        <v>2870</v>
      </c>
      <c r="D566" s="7">
        <v>7134260116367</v>
      </c>
      <c r="E566" t="s">
        <v>3064</v>
      </c>
      <c r="F566" t="s">
        <v>32</v>
      </c>
      <c r="G566" t="s">
        <v>3012</v>
      </c>
      <c r="H566" t="s">
        <v>3270</v>
      </c>
      <c r="I566" t="s">
        <v>1278</v>
      </c>
      <c r="J566" t="s">
        <v>1279</v>
      </c>
      <c r="K566" t="s">
        <v>361</v>
      </c>
      <c r="L566" t="s">
        <v>3065</v>
      </c>
      <c r="M566" s="7">
        <v>1165</v>
      </c>
      <c r="N566" t="s">
        <v>2428</v>
      </c>
      <c r="O566" s="7">
        <v>31020</v>
      </c>
      <c r="R566" s="7">
        <v>1</v>
      </c>
      <c r="S566" t="s">
        <v>3066</v>
      </c>
      <c r="T566" t="s">
        <v>3067</v>
      </c>
      <c r="U566" s="7">
        <v>1</v>
      </c>
      <c r="V566" s="8">
        <v>3895.92</v>
      </c>
      <c r="W566" t="s">
        <v>35</v>
      </c>
      <c r="Y566" t="s">
        <v>2269</v>
      </c>
      <c r="Z566" s="7">
        <v>1754013</v>
      </c>
      <c r="AA566" t="s">
        <v>3910</v>
      </c>
      <c r="AB566" s="8">
        <v>4986.78</v>
      </c>
      <c r="AC566" s="7">
        <v>0</v>
      </c>
      <c r="AF566" s="8">
        <v>4986.78</v>
      </c>
    </row>
    <row r="567" spans="1:32" hidden="1">
      <c r="A567" s="7">
        <v>2002937</v>
      </c>
      <c r="B567" t="s">
        <v>3063</v>
      </c>
      <c r="C567" t="s">
        <v>2870</v>
      </c>
      <c r="D567" s="7">
        <v>7134260116367</v>
      </c>
      <c r="E567" t="s">
        <v>3064</v>
      </c>
      <c r="F567" t="s">
        <v>32</v>
      </c>
      <c r="G567" t="s">
        <v>3012</v>
      </c>
      <c r="H567" t="s">
        <v>3270</v>
      </c>
      <c r="I567" t="s">
        <v>1278</v>
      </c>
      <c r="J567" t="s">
        <v>1279</v>
      </c>
      <c r="K567" t="s">
        <v>361</v>
      </c>
      <c r="L567" t="s">
        <v>3065</v>
      </c>
      <c r="M567" s="7">
        <v>1165</v>
      </c>
      <c r="N567" t="s">
        <v>2428</v>
      </c>
      <c r="O567" s="7">
        <v>31020</v>
      </c>
      <c r="R567" s="7">
        <v>2</v>
      </c>
      <c r="S567" t="s">
        <v>3068</v>
      </c>
      <c r="T567" t="s">
        <v>2271</v>
      </c>
      <c r="U567" s="7">
        <v>1</v>
      </c>
      <c r="V567" s="8">
        <v>306.25</v>
      </c>
      <c r="W567" t="s">
        <v>35</v>
      </c>
      <c r="Y567" t="s">
        <v>2269</v>
      </c>
      <c r="Z567" s="7">
        <v>1754013</v>
      </c>
      <c r="AA567" t="s">
        <v>3910</v>
      </c>
      <c r="AB567" s="8">
        <v>361.38</v>
      </c>
      <c r="AC567" s="7">
        <v>0</v>
      </c>
      <c r="AF567" s="8">
        <v>361.38</v>
      </c>
    </row>
    <row r="568" spans="1:32" hidden="1">
      <c r="A568" s="7">
        <v>2002937</v>
      </c>
      <c r="B568" t="s">
        <v>3063</v>
      </c>
      <c r="C568" t="s">
        <v>2870</v>
      </c>
      <c r="D568" s="7">
        <v>7134260116367</v>
      </c>
      <c r="E568" t="s">
        <v>3064</v>
      </c>
      <c r="F568" t="s">
        <v>32</v>
      </c>
      <c r="G568" t="s">
        <v>3012</v>
      </c>
      <c r="H568" t="s">
        <v>3270</v>
      </c>
      <c r="I568" t="s">
        <v>1278</v>
      </c>
      <c r="J568" t="s">
        <v>1279</v>
      </c>
      <c r="K568" t="s">
        <v>361</v>
      </c>
      <c r="L568" t="s">
        <v>3065</v>
      </c>
      <c r="M568" s="7">
        <v>1165</v>
      </c>
      <c r="N568" t="s">
        <v>2428</v>
      </c>
      <c r="O568" s="7">
        <v>31020</v>
      </c>
      <c r="R568" s="7">
        <v>3</v>
      </c>
      <c r="S568" t="s">
        <v>3069</v>
      </c>
      <c r="T568" t="s">
        <v>2271</v>
      </c>
      <c r="U568" s="7">
        <v>1</v>
      </c>
      <c r="V568">
        <v>52.5</v>
      </c>
      <c r="W568" t="s">
        <v>35</v>
      </c>
      <c r="Y568" t="s">
        <v>2269</v>
      </c>
      <c r="Z568" s="7">
        <v>1754013</v>
      </c>
      <c r="AA568" t="s">
        <v>3910</v>
      </c>
      <c r="AB568" s="8">
        <v>61.95</v>
      </c>
      <c r="AC568" s="7">
        <v>0</v>
      </c>
      <c r="AF568" s="8">
        <v>61.95</v>
      </c>
    </row>
    <row r="569" spans="1:32" hidden="1">
      <c r="A569" s="7">
        <v>2002937</v>
      </c>
      <c r="B569" t="s">
        <v>3063</v>
      </c>
      <c r="C569" t="s">
        <v>2870</v>
      </c>
      <c r="D569" s="7">
        <v>7134260116367</v>
      </c>
      <c r="E569" t="s">
        <v>3064</v>
      </c>
      <c r="F569" t="s">
        <v>32</v>
      </c>
      <c r="G569" t="s">
        <v>3012</v>
      </c>
      <c r="H569" t="s">
        <v>3270</v>
      </c>
      <c r="I569" t="s">
        <v>1278</v>
      </c>
      <c r="J569" t="s">
        <v>1279</v>
      </c>
      <c r="K569" t="s">
        <v>361</v>
      </c>
      <c r="L569" t="s">
        <v>3065</v>
      </c>
      <c r="M569" s="7">
        <v>1165</v>
      </c>
      <c r="N569" t="s">
        <v>2428</v>
      </c>
      <c r="O569" s="7">
        <v>31020</v>
      </c>
      <c r="R569" s="7">
        <v>4</v>
      </c>
      <c r="S569" t="s">
        <v>3070</v>
      </c>
      <c r="T569" t="s">
        <v>2271</v>
      </c>
      <c r="U569" s="7">
        <v>1</v>
      </c>
      <c r="V569">
        <v>262.5</v>
      </c>
      <c r="W569" t="s">
        <v>35</v>
      </c>
      <c r="Y569" t="s">
        <v>2269</v>
      </c>
      <c r="Z569" s="7">
        <v>1754013</v>
      </c>
      <c r="AA569" t="s">
        <v>3910</v>
      </c>
      <c r="AB569" s="8">
        <v>309.75</v>
      </c>
      <c r="AC569" s="7">
        <v>0</v>
      </c>
      <c r="AF569" s="8">
        <v>309.75</v>
      </c>
    </row>
    <row r="570" spans="1:32" hidden="1">
      <c r="A570" s="7">
        <v>2002948</v>
      </c>
      <c r="B570" t="s">
        <v>3071</v>
      </c>
      <c r="C570" t="s">
        <v>2870</v>
      </c>
      <c r="D570" s="7">
        <v>7134260117167</v>
      </c>
      <c r="E570" t="s">
        <v>3072</v>
      </c>
      <c r="F570" t="s">
        <v>190</v>
      </c>
      <c r="G570" t="s">
        <v>3012</v>
      </c>
      <c r="H570" t="s">
        <v>2873</v>
      </c>
      <c r="I570" t="s">
        <v>915</v>
      </c>
      <c r="J570" t="s">
        <v>916</v>
      </c>
      <c r="K570" t="s">
        <v>361</v>
      </c>
      <c r="L570" t="s">
        <v>2755</v>
      </c>
      <c r="M570" s="7">
        <v>1165</v>
      </c>
      <c r="N570" t="s">
        <v>2910</v>
      </c>
      <c r="O570" s="7">
        <v>55230</v>
      </c>
      <c r="R570" s="7">
        <v>1</v>
      </c>
      <c r="S570" t="s">
        <v>2347</v>
      </c>
      <c r="T570" t="s">
        <v>2271</v>
      </c>
      <c r="U570" s="7">
        <v>1</v>
      </c>
      <c r="V570">
        <v>52.5</v>
      </c>
      <c r="W570" t="s">
        <v>35</v>
      </c>
      <c r="Y570" t="s">
        <v>2269</v>
      </c>
      <c r="Z570" s="7">
        <v>1754050</v>
      </c>
      <c r="AA570" t="s">
        <v>3910</v>
      </c>
      <c r="AB570" s="8">
        <v>61.95</v>
      </c>
      <c r="AC570" s="7">
        <v>0</v>
      </c>
      <c r="AF570" s="8">
        <v>61.95</v>
      </c>
    </row>
    <row r="571" spans="1:32" hidden="1">
      <c r="A571" s="7">
        <v>2003067</v>
      </c>
      <c r="B571" t="s">
        <v>3311</v>
      </c>
      <c r="C571" t="s">
        <v>3270</v>
      </c>
      <c r="D571" s="7">
        <v>7134260117564</v>
      </c>
      <c r="E571" t="s">
        <v>3312</v>
      </c>
      <c r="F571" t="s">
        <v>3266</v>
      </c>
      <c r="G571" t="s">
        <v>3313</v>
      </c>
      <c r="H571" t="s">
        <v>3556</v>
      </c>
      <c r="I571" t="s">
        <v>3132</v>
      </c>
      <c r="J571" t="s">
        <v>3133</v>
      </c>
      <c r="K571" t="s">
        <v>361</v>
      </c>
      <c r="L571" t="s">
        <v>3314</v>
      </c>
      <c r="N571" t="s">
        <v>3315</v>
      </c>
      <c r="O571" s="7">
        <v>26584</v>
      </c>
      <c r="R571" s="7">
        <v>1</v>
      </c>
      <c r="S571" t="s">
        <v>3316</v>
      </c>
      <c r="T571" t="s">
        <v>3317</v>
      </c>
      <c r="U571" s="7">
        <v>1</v>
      </c>
      <c r="V571" s="8">
        <v>1220.8800000000001</v>
      </c>
      <c r="W571" t="s">
        <v>35</v>
      </c>
      <c r="Y571" t="s">
        <v>2269</v>
      </c>
      <c r="Z571" s="7">
        <v>1755736</v>
      </c>
      <c r="AA571" t="s">
        <v>4809</v>
      </c>
      <c r="AB571" s="8">
        <v>1440.64</v>
      </c>
      <c r="AC571" s="7">
        <v>0</v>
      </c>
      <c r="AF571" s="8">
        <v>1440.64</v>
      </c>
    </row>
    <row r="572" spans="1:32" hidden="1">
      <c r="A572" s="7">
        <v>2003067</v>
      </c>
      <c r="B572" t="s">
        <v>3311</v>
      </c>
      <c r="C572" t="s">
        <v>3270</v>
      </c>
      <c r="D572" s="7">
        <v>7134260117564</v>
      </c>
      <c r="E572" t="s">
        <v>3312</v>
      </c>
      <c r="F572" t="s">
        <v>3266</v>
      </c>
      <c r="G572" t="s">
        <v>3313</v>
      </c>
      <c r="H572" t="s">
        <v>3556</v>
      </c>
      <c r="I572" t="s">
        <v>3132</v>
      </c>
      <c r="J572" t="s">
        <v>3133</v>
      </c>
      <c r="K572" t="s">
        <v>361</v>
      </c>
      <c r="L572" t="s">
        <v>3314</v>
      </c>
      <c r="N572" t="s">
        <v>3315</v>
      </c>
      <c r="O572" s="7">
        <v>26584</v>
      </c>
      <c r="R572" s="7">
        <v>2</v>
      </c>
      <c r="S572" t="s">
        <v>2970</v>
      </c>
      <c r="T572" t="s">
        <v>2271</v>
      </c>
      <c r="U572" s="7">
        <v>1</v>
      </c>
      <c r="V572" s="8">
        <v>1268.75</v>
      </c>
      <c r="W572" t="s">
        <v>35</v>
      </c>
      <c r="Y572" t="s">
        <v>2269</v>
      </c>
      <c r="Z572" s="7">
        <v>1755736</v>
      </c>
      <c r="AA572" t="s">
        <v>4809</v>
      </c>
      <c r="AB572" s="8">
        <v>1497.13</v>
      </c>
      <c r="AC572" s="7">
        <v>0</v>
      </c>
      <c r="AF572" s="8">
        <v>1497.13</v>
      </c>
    </row>
    <row r="573" spans="1:32" hidden="1">
      <c r="A573" s="7">
        <v>2003079</v>
      </c>
      <c r="B573" t="s">
        <v>3318</v>
      </c>
      <c r="C573" t="s">
        <v>3270</v>
      </c>
      <c r="D573" s="7">
        <v>7134260117751</v>
      </c>
      <c r="E573" t="s">
        <v>3319</v>
      </c>
      <c r="F573" t="s">
        <v>3267</v>
      </c>
      <c r="G573" t="s">
        <v>3320</v>
      </c>
      <c r="H573" t="s">
        <v>3556</v>
      </c>
      <c r="I573" t="s">
        <v>1604</v>
      </c>
      <c r="J573" t="s">
        <v>1605</v>
      </c>
      <c r="K573" t="s">
        <v>361</v>
      </c>
      <c r="L573" t="s">
        <v>3321</v>
      </c>
      <c r="M573" s="7">
        <v>1165</v>
      </c>
      <c r="N573" t="s">
        <v>2342</v>
      </c>
      <c r="O573" s="7">
        <v>38607</v>
      </c>
      <c r="R573" s="7">
        <v>1</v>
      </c>
      <c r="S573" t="s">
        <v>3322</v>
      </c>
      <c r="T573" t="s">
        <v>3323</v>
      </c>
      <c r="U573" s="7">
        <v>1</v>
      </c>
      <c r="V573" s="8">
        <v>9190.5400000000009</v>
      </c>
      <c r="W573" t="s">
        <v>35</v>
      </c>
      <c r="Y573" t="s">
        <v>2269</v>
      </c>
      <c r="Z573" s="7">
        <v>1755737</v>
      </c>
      <c r="AA573" t="s">
        <v>4809</v>
      </c>
      <c r="AB573" s="8">
        <v>10844.84</v>
      </c>
      <c r="AC573" s="7">
        <v>0</v>
      </c>
      <c r="AF573" s="8">
        <v>10844.84</v>
      </c>
    </row>
    <row r="574" spans="1:32" hidden="1">
      <c r="A574" s="7">
        <v>2003079</v>
      </c>
      <c r="B574" t="s">
        <v>3318</v>
      </c>
      <c r="C574" t="s">
        <v>3270</v>
      </c>
      <c r="D574" s="7">
        <v>7134260117751</v>
      </c>
      <c r="E574" t="s">
        <v>3319</v>
      </c>
      <c r="F574" t="s">
        <v>3267</v>
      </c>
      <c r="G574" t="s">
        <v>3320</v>
      </c>
      <c r="H574" t="s">
        <v>3556</v>
      </c>
      <c r="I574" t="s">
        <v>1604</v>
      </c>
      <c r="J574" t="s">
        <v>1605</v>
      </c>
      <c r="K574" t="s">
        <v>361</v>
      </c>
      <c r="L574" t="s">
        <v>3321</v>
      </c>
      <c r="M574" s="7">
        <v>1165</v>
      </c>
      <c r="N574" t="s">
        <v>2342</v>
      </c>
      <c r="O574" s="7">
        <v>38607</v>
      </c>
      <c r="R574" s="7">
        <v>2</v>
      </c>
      <c r="S574" t="s">
        <v>3324</v>
      </c>
      <c r="T574" t="s">
        <v>2271</v>
      </c>
      <c r="U574" s="7">
        <v>1</v>
      </c>
      <c r="V574" s="7">
        <v>560</v>
      </c>
      <c r="W574" t="s">
        <v>35</v>
      </c>
      <c r="Y574" t="s">
        <v>2269</v>
      </c>
      <c r="Z574" s="7">
        <v>1755737</v>
      </c>
      <c r="AA574" t="s">
        <v>4809</v>
      </c>
      <c r="AB574" s="8">
        <v>660.8</v>
      </c>
      <c r="AC574" s="7">
        <v>0</v>
      </c>
      <c r="AF574" s="8">
        <v>660.8</v>
      </c>
    </row>
    <row r="575" spans="1:32" hidden="1">
      <c r="A575" s="7">
        <v>2003169</v>
      </c>
      <c r="B575" t="s">
        <v>3327</v>
      </c>
      <c r="C575" t="s">
        <v>3596</v>
      </c>
      <c r="D575" s="7">
        <v>7134260117560</v>
      </c>
      <c r="E575" t="s">
        <v>3655</v>
      </c>
      <c r="F575" t="s">
        <v>3656</v>
      </c>
      <c r="G575" t="s">
        <v>3557</v>
      </c>
      <c r="H575" t="s">
        <v>3912</v>
      </c>
      <c r="I575" t="s">
        <v>1694</v>
      </c>
      <c r="J575" t="s">
        <v>1695</v>
      </c>
      <c r="K575" t="s">
        <v>361</v>
      </c>
      <c r="L575" t="s">
        <v>3657</v>
      </c>
      <c r="M575" s="7">
        <v>1165</v>
      </c>
      <c r="N575" t="s">
        <v>3315</v>
      </c>
      <c r="O575" s="7">
        <v>30001</v>
      </c>
      <c r="R575" s="7">
        <v>1</v>
      </c>
      <c r="S575" t="s">
        <v>2733</v>
      </c>
      <c r="T575" t="s">
        <v>2734</v>
      </c>
      <c r="U575" s="7">
        <v>1</v>
      </c>
      <c r="V575" s="8">
        <v>2193.58</v>
      </c>
      <c r="W575" t="s">
        <v>35</v>
      </c>
      <c r="Y575" t="s">
        <v>2269</v>
      </c>
      <c r="Z575" t="s">
        <v>2313</v>
      </c>
      <c r="AB575" s="8">
        <v>2588.42</v>
      </c>
      <c r="AC575" s="7">
        <v>0</v>
      </c>
      <c r="AF575" s="8">
        <v>2588.42</v>
      </c>
    </row>
    <row r="576" spans="1:32" hidden="1">
      <c r="A576" s="7">
        <v>2003180</v>
      </c>
      <c r="B576" t="s">
        <v>3337</v>
      </c>
      <c r="C576" t="s">
        <v>3557</v>
      </c>
      <c r="D576" s="7">
        <v>7134260119131</v>
      </c>
      <c r="E576" t="s">
        <v>3658</v>
      </c>
      <c r="F576" t="s">
        <v>3659</v>
      </c>
      <c r="G576" t="s">
        <v>3660</v>
      </c>
      <c r="H576" t="s">
        <v>3912</v>
      </c>
      <c r="I576" t="s">
        <v>3253</v>
      </c>
      <c r="J576" t="s">
        <v>3254</v>
      </c>
      <c r="K576" t="s">
        <v>361</v>
      </c>
      <c r="L576" t="s">
        <v>2910</v>
      </c>
      <c r="M576" s="7">
        <v>1165</v>
      </c>
      <c r="N576" t="s">
        <v>3301</v>
      </c>
      <c r="O576" s="7">
        <v>5910</v>
      </c>
      <c r="R576" s="7">
        <v>1</v>
      </c>
      <c r="S576" t="s">
        <v>3661</v>
      </c>
      <c r="T576" t="s">
        <v>3662</v>
      </c>
      <c r="U576" s="7">
        <v>1</v>
      </c>
      <c r="V576" s="8">
        <v>1334.68</v>
      </c>
      <c r="W576" t="s">
        <v>35</v>
      </c>
      <c r="Y576" t="s">
        <v>2269</v>
      </c>
      <c r="Z576" t="s">
        <v>2313</v>
      </c>
      <c r="AB576" s="8">
        <v>1574.92</v>
      </c>
      <c r="AC576" s="7">
        <v>0</v>
      </c>
      <c r="AF576" s="8">
        <v>1574.92</v>
      </c>
    </row>
    <row r="577" spans="1:35" hidden="1">
      <c r="A577" s="7">
        <v>2003181</v>
      </c>
      <c r="B577" t="s">
        <v>3333</v>
      </c>
      <c r="C577" t="s">
        <v>3557</v>
      </c>
      <c r="D577" s="7">
        <v>7134260118321</v>
      </c>
      <c r="E577" t="s">
        <v>3663</v>
      </c>
      <c r="F577" t="s">
        <v>3664</v>
      </c>
      <c r="G577" t="s">
        <v>3660</v>
      </c>
      <c r="H577" t="s">
        <v>3912</v>
      </c>
      <c r="I577" t="s">
        <v>1383</v>
      </c>
      <c r="J577" t="s">
        <v>1384</v>
      </c>
      <c r="K577" t="s">
        <v>361</v>
      </c>
      <c r="L577" t="s">
        <v>2758</v>
      </c>
      <c r="M577" s="7">
        <v>1165</v>
      </c>
      <c r="N577" t="s">
        <v>3665</v>
      </c>
      <c r="O577" s="7">
        <v>42020</v>
      </c>
      <c r="R577" s="7">
        <v>1</v>
      </c>
      <c r="S577" t="s">
        <v>3666</v>
      </c>
      <c r="T577" t="s">
        <v>3667</v>
      </c>
      <c r="U577" s="7">
        <v>1</v>
      </c>
      <c r="V577">
        <v>3071.7</v>
      </c>
      <c r="W577" t="s">
        <v>35</v>
      </c>
      <c r="Y577" t="s">
        <v>2269</v>
      </c>
      <c r="Z577" t="s">
        <v>2313</v>
      </c>
      <c r="AB577" s="8">
        <v>3624.61</v>
      </c>
      <c r="AC577" s="7">
        <v>0</v>
      </c>
      <c r="AF577" s="8">
        <v>3624.61</v>
      </c>
    </row>
    <row r="578" spans="1:35" hidden="1">
      <c r="A578" s="7">
        <v>2003181</v>
      </c>
      <c r="B578" t="s">
        <v>3333</v>
      </c>
      <c r="C578" t="s">
        <v>3557</v>
      </c>
      <c r="D578" s="7">
        <v>7134260118321</v>
      </c>
      <c r="E578" t="s">
        <v>3663</v>
      </c>
      <c r="F578" t="s">
        <v>3664</v>
      </c>
      <c r="G578" t="s">
        <v>3660</v>
      </c>
      <c r="H578" t="s">
        <v>3912</v>
      </c>
      <c r="I578" t="s">
        <v>1383</v>
      </c>
      <c r="J578" t="s">
        <v>1384</v>
      </c>
      <c r="K578" t="s">
        <v>361</v>
      </c>
      <c r="L578" t="s">
        <v>2758</v>
      </c>
      <c r="M578" s="7">
        <v>1165</v>
      </c>
      <c r="N578" t="s">
        <v>3665</v>
      </c>
      <c r="O578" s="7">
        <v>42020</v>
      </c>
      <c r="R578" s="7">
        <v>2</v>
      </c>
      <c r="S578" t="s">
        <v>3068</v>
      </c>
      <c r="T578" t="s">
        <v>2271</v>
      </c>
      <c r="U578" s="7">
        <v>1</v>
      </c>
      <c r="V578" s="8">
        <v>306.25</v>
      </c>
      <c r="W578" t="s">
        <v>35</v>
      </c>
      <c r="Y578" t="s">
        <v>2269</v>
      </c>
      <c r="Z578" t="s">
        <v>2313</v>
      </c>
      <c r="AB578" s="8">
        <v>361.38</v>
      </c>
      <c r="AC578" s="7">
        <v>0</v>
      </c>
      <c r="AF578" s="8">
        <v>361.38</v>
      </c>
    </row>
    <row r="579" spans="1:35" hidden="1">
      <c r="A579" s="7">
        <v>2003181</v>
      </c>
      <c r="B579" t="s">
        <v>3333</v>
      </c>
      <c r="C579" t="s">
        <v>3557</v>
      </c>
      <c r="D579" s="7">
        <v>7134260118321</v>
      </c>
      <c r="E579" t="s">
        <v>3663</v>
      </c>
      <c r="F579" t="s">
        <v>3664</v>
      </c>
      <c r="G579" t="s">
        <v>3660</v>
      </c>
      <c r="H579" t="s">
        <v>3912</v>
      </c>
      <c r="I579" t="s">
        <v>1383</v>
      </c>
      <c r="J579" t="s">
        <v>1384</v>
      </c>
      <c r="K579" t="s">
        <v>361</v>
      </c>
      <c r="L579" t="s">
        <v>2758</v>
      </c>
      <c r="M579" s="7">
        <v>1165</v>
      </c>
      <c r="N579" t="s">
        <v>3665</v>
      </c>
      <c r="O579" s="7">
        <v>42020</v>
      </c>
      <c r="R579" s="7">
        <v>3</v>
      </c>
      <c r="S579" t="s">
        <v>3069</v>
      </c>
      <c r="T579" t="s">
        <v>2271</v>
      </c>
      <c r="U579" s="7">
        <v>1</v>
      </c>
      <c r="V579">
        <v>52.5</v>
      </c>
      <c r="W579" t="s">
        <v>35</v>
      </c>
      <c r="Y579" t="s">
        <v>2269</v>
      </c>
      <c r="Z579" t="s">
        <v>2313</v>
      </c>
      <c r="AB579" s="8">
        <v>61.95</v>
      </c>
      <c r="AC579" s="7">
        <v>0</v>
      </c>
      <c r="AF579" s="8">
        <v>61.95</v>
      </c>
    </row>
    <row r="580" spans="1:35" hidden="1">
      <c r="A580" s="7">
        <v>2003185</v>
      </c>
      <c r="B580" t="s">
        <v>3336</v>
      </c>
      <c r="C580" t="s">
        <v>3557</v>
      </c>
      <c r="D580" s="7">
        <v>7134260119128</v>
      </c>
      <c r="E580" t="s">
        <v>3668</v>
      </c>
      <c r="F580" t="s">
        <v>3669</v>
      </c>
      <c r="G580" t="s">
        <v>3660</v>
      </c>
      <c r="H580" t="s">
        <v>3912</v>
      </c>
      <c r="I580" t="s">
        <v>3670</v>
      </c>
      <c r="J580" t="s">
        <v>3671</v>
      </c>
      <c r="K580" t="s">
        <v>361</v>
      </c>
      <c r="L580" t="s">
        <v>3622</v>
      </c>
      <c r="M580" s="7">
        <v>1138</v>
      </c>
      <c r="N580" t="s">
        <v>3672</v>
      </c>
      <c r="O580" s="7">
        <v>4049</v>
      </c>
      <c r="R580" s="7">
        <v>1</v>
      </c>
      <c r="S580" t="s">
        <v>2823</v>
      </c>
      <c r="T580" t="s">
        <v>2824</v>
      </c>
      <c r="U580" s="7">
        <v>1</v>
      </c>
      <c r="V580" s="8">
        <v>3144.86</v>
      </c>
      <c r="W580" t="s">
        <v>35</v>
      </c>
      <c r="Y580" t="s">
        <v>2269</v>
      </c>
      <c r="Z580" t="s">
        <v>2313</v>
      </c>
      <c r="AB580" s="8">
        <v>3710.93</v>
      </c>
      <c r="AC580" s="7">
        <v>0</v>
      </c>
      <c r="AF580" s="8">
        <v>3710.93</v>
      </c>
    </row>
    <row r="581" spans="1:35" hidden="1">
      <c r="A581" s="7">
        <v>2003185</v>
      </c>
      <c r="B581" t="s">
        <v>3336</v>
      </c>
      <c r="C581" t="s">
        <v>3557</v>
      </c>
      <c r="D581" s="7">
        <v>7134260119128</v>
      </c>
      <c r="E581" t="s">
        <v>3668</v>
      </c>
      <c r="F581" t="s">
        <v>3669</v>
      </c>
      <c r="G581" t="s">
        <v>3660</v>
      </c>
      <c r="H581" t="s">
        <v>3912</v>
      </c>
      <c r="I581" t="s">
        <v>3670</v>
      </c>
      <c r="J581" t="s">
        <v>3671</v>
      </c>
      <c r="K581" t="s">
        <v>361</v>
      </c>
      <c r="L581" t="s">
        <v>3622</v>
      </c>
      <c r="M581" s="7">
        <v>1138</v>
      </c>
      <c r="N581" t="s">
        <v>3672</v>
      </c>
      <c r="O581" s="7">
        <v>4049</v>
      </c>
      <c r="R581" s="7">
        <v>2</v>
      </c>
      <c r="S581" t="s">
        <v>3673</v>
      </c>
      <c r="T581" t="s">
        <v>2271</v>
      </c>
      <c r="U581" s="7">
        <v>1</v>
      </c>
      <c r="V581" s="7">
        <v>175</v>
      </c>
      <c r="W581" t="s">
        <v>35</v>
      </c>
      <c r="Y581" t="s">
        <v>2269</v>
      </c>
      <c r="Z581" t="s">
        <v>2313</v>
      </c>
      <c r="AB581" s="8">
        <v>206.5</v>
      </c>
      <c r="AC581" s="7">
        <v>0</v>
      </c>
      <c r="AF581" s="8">
        <v>206.5</v>
      </c>
    </row>
    <row r="582" spans="1:35" hidden="1">
      <c r="A582" s="7">
        <v>3000374</v>
      </c>
      <c r="B582" t="s">
        <v>2841</v>
      </c>
      <c r="C582" t="s">
        <v>2842</v>
      </c>
      <c r="D582" s="7">
        <v>713425042</v>
      </c>
      <c r="G582" t="s">
        <v>2843</v>
      </c>
      <c r="H582" t="s">
        <v>2277</v>
      </c>
      <c r="I582" t="s">
        <v>1154</v>
      </c>
      <c r="J582" t="s">
        <v>1155</v>
      </c>
      <c r="K582" t="s">
        <v>252</v>
      </c>
      <c r="L582" t="s">
        <v>2345</v>
      </c>
      <c r="N582" t="s">
        <v>2844</v>
      </c>
      <c r="O582" s="7">
        <v>55314</v>
      </c>
      <c r="R582" s="7">
        <v>1</v>
      </c>
      <c r="S582" t="s">
        <v>2845</v>
      </c>
      <c r="T582" t="s">
        <v>2846</v>
      </c>
      <c r="U582" s="7">
        <v>1</v>
      </c>
      <c r="V582" s="8">
        <v>73.97</v>
      </c>
      <c r="W582" t="s">
        <v>35</v>
      </c>
      <c r="Y582" t="s">
        <v>2269</v>
      </c>
      <c r="Z582" s="7">
        <v>1749457</v>
      </c>
      <c r="AA582" t="s">
        <v>36</v>
      </c>
      <c r="AB582" s="8">
        <v>94.68</v>
      </c>
      <c r="AC582" s="7">
        <v>0</v>
      </c>
      <c r="AF582" s="8">
        <v>94.68</v>
      </c>
      <c r="AI582" t="s">
        <v>2847</v>
      </c>
    </row>
    <row r="583" spans="1:35" hidden="1">
      <c r="A583" s="7">
        <v>3000374</v>
      </c>
      <c r="B583" t="s">
        <v>2841</v>
      </c>
      <c r="C583" t="s">
        <v>2842</v>
      </c>
      <c r="D583" s="7">
        <v>713425042</v>
      </c>
      <c r="G583" t="s">
        <v>2843</v>
      </c>
      <c r="H583" t="s">
        <v>2277</v>
      </c>
      <c r="I583" t="s">
        <v>1154</v>
      </c>
      <c r="J583" t="s">
        <v>1155</v>
      </c>
      <c r="K583" t="s">
        <v>252</v>
      </c>
      <c r="L583" t="s">
        <v>2345</v>
      </c>
      <c r="N583" t="s">
        <v>2844</v>
      </c>
      <c r="O583" s="7">
        <v>55314</v>
      </c>
      <c r="R583" s="7">
        <v>2</v>
      </c>
      <c r="S583" t="s">
        <v>2848</v>
      </c>
      <c r="T583" t="s">
        <v>2849</v>
      </c>
      <c r="U583" s="7">
        <v>1</v>
      </c>
      <c r="V583" s="8">
        <v>341.39</v>
      </c>
      <c r="W583" t="s">
        <v>35</v>
      </c>
      <c r="Y583" t="s">
        <v>2269</v>
      </c>
      <c r="Z583" s="7">
        <v>1749457</v>
      </c>
      <c r="AA583" t="s">
        <v>36</v>
      </c>
      <c r="AB583" s="8">
        <v>436.98</v>
      </c>
      <c r="AC583" s="7">
        <v>0</v>
      </c>
      <c r="AF583" s="8">
        <v>436.98</v>
      </c>
      <c r="AI583" t="s">
        <v>2847</v>
      </c>
    </row>
    <row r="584" spans="1:35" hidden="1">
      <c r="A584" s="7">
        <v>3000374</v>
      </c>
      <c r="B584" t="s">
        <v>2841</v>
      </c>
      <c r="C584" t="s">
        <v>2842</v>
      </c>
      <c r="D584" s="7">
        <v>713425042</v>
      </c>
      <c r="G584" t="s">
        <v>2843</v>
      </c>
      <c r="H584" t="s">
        <v>2277</v>
      </c>
      <c r="I584" t="s">
        <v>1154</v>
      </c>
      <c r="J584" t="s">
        <v>1155</v>
      </c>
      <c r="K584" t="s">
        <v>252</v>
      </c>
      <c r="L584" t="s">
        <v>2345</v>
      </c>
      <c r="N584" t="s">
        <v>2844</v>
      </c>
      <c r="O584" s="7">
        <v>55314</v>
      </c>
      <c r="R584" s="7">
        <v>3</v>
      </c>
      <c r="S584" t="s">
        <v>2850</v>
      </c>
      <c r="T584" t="s">
        <v>2851</v>
      </c>
      <c r="U584" s="7">
        <v>1</v>
      </c>
      <c r="V584" s="8">
        <v>25475.87</v>
      </c>
      <c r="W584" t="s">
        <v>35</v>
      </c>
      <c r="Y584" t="s">
        <v>2269</v>
      </c>
      <c r="Z584" s="7">
        <v>1749457</v>
      </c>
      <c r="AA584" t="s">
        <v>36</v>
      </c>
      <c r="AB584" s="8">
        <v>32609.11</v>
      </c>
      <c r="AC584" s="7">
        <v>0</v>
      </c>
      <c r="AF584" s="8">
        <v>32609.11</v>
      </c>
      <c r="AI584" t="s">
        <v>2847</v>
      </c>
    </row>
    <row r="585" spans="1:35" hidden="1">
      <c r="A585" s="7">
        <v>3000374</v>
      </c>
      <c r="B585" t="s">
        <v>2841</v>
      </c>
      <c r="C585" t="s">
        <v>2842</v>
      </c>
      <c r="D585" s="7">
        <v>713425042</v>
      </c>
      <c r="G585" t="s">
        <v>2843</v>
      </c>
      <c r="H585" t="s">
        <v>2277</v>
      </c>
      <c r="I585" t="s">
        <v>1154</v>
      </c>
      <c r="J585" t="s">
        <v>1155</v>
      </c>
      <c r="K585" t="s">
        <v>252</v>
      </c>
      <c r="L585" t="s">
        <v>2345</v>
      </c>
      <c r="N585" t="s">
        <v>2844</v>
      </c>
      <c r="O585" s="7">
        <v>55314</v>
      </c>
      <c r="R585" s="7">
        <v>4</v>
      </c>
      <c r="S585" t="s">
        <v>2852</v>
      </c>
      <c r="T585" t="s">
        <v>2271</v>
      </c>
      <c r="U585" s="7">
        <v>1</v>
      </c>
      <c r="V585" s="7">
        <v>345</v>
      </c>
      <c r="W585" t="s">
        <v>35</v>
      </c>
      <c r="Y585" t="s">
        <v>2269</v>
      </c>
      <c r="Z585" s="7">
        <v>1749457</v>
      </c>
      <c r="AA585" t="s">
        <v>36</v>
      </c>
      <c r="AB585" s="8">
        <v>407.1</v>
      </c>
      <c r="AC585" s="7">
        <v>0</v>
      </c>
      <c r="AF585" s="8">
        <v>407.1</v>
      </c>
      <c r="AI585" t="s">
        <v>2847</v>
      </c>
    </row>
    <row r="586" spans="1:35" hidden="1">
      <c r="A586" s="7">
        <v>10143237</v>
      </c>
      <c r="B586" t="s">
        <v>3875</v>
      </c>
      <c r="C586" t="s">
        <v>3914</v>
      </c>
      <c r="D586" s="7">
        <v>7134260119829</v>
      </c>
      <c r="E586" t="s">
        <v>4333</v>
      </c>
      <c r="F586" t="s">
        <v>4334</v>
      </c>
      <c r="G586" t="s">
        <v>3913</v>
      </c>
      <c r="H586" t="s">
        <v>3917</v>
      </c>
      <c r="I586" t="s">
        <v>4335</v>
      </c>
      <c r="J586" t="s">
        <v>4336</v>
      </c>
      <c r="K586" t="s">
        <v>267</v>
      </c>
      <c r="L586" t="s">
        <v>4128</v>
      </c>
      <c r="M586" s="7">
        <v>1165</v>
      </c>
      <c r="N586" t="s">
        <v>3919</v>
      </c>
      <c r="O586" s="7">
        <v>13687</v>
      </c>
      <c r="R586" s="7">
        <v>1</v>
      </c>
      <c r="S586" t="s">
        <v>2347</v>
      </c>
      <c r="T586" t="s">
        <v>2271</v>
      </c>
      <c r="U586" s="7">
        <v>1</v>
      </c>
      <c r="V586">
        <v>52.5</v>
      </c>
      <c r="W586" t="s">
        <v>35</v>
      </c>
      <c r="Y586" t="s">
        <v>2269</v>
      </c>
      <c r="Z586" t="s">
        <v>2313</v>
      </c>
      <c r="AB586" s="8">
        <v>61.95</v>
      </c>
      <c r="AC586" s="7">
        <v>0</v>
      </c>
      <c r="AF586" s="8">
        <v>61.95</v>
      </c>
    </row>
    <row r="587" spans="1:35" hidden="1">
      <c r="A587" s="7">
        <v>10143238</v>
      </c>
      <c r="B587" t="s">
        <v>3881</v>
      </c>
      <c r="C587" t="s">
        <v>3914</v>
      </c>
      <c r="D587" s="7">
        <v>7134260119837</v>
      </c>
      <c r="E587" t="s">
        <v>4337</v>
      </c>
      <c r="F587" t="s">
        <v>4338</v>
      </c>
      <c r="G587" t="s">
        <v>3913</v>
      </c>
      <c r="H587" t="s">
        <v>3917</v>
      </c>
      <c r="I587" t="s">
        <v>4339</v>
      </c>
      <c r="J587" t="s">
        <v>4340</v>
      </c>
      <c r="K587" t="s">
        <v>267</v>
      </c>
      <c r="L587" t="s">
        <v>4341</v>
      </c>
      <c r="M587" s="7">
        <v>1165</v>
      </c>
      <c r="N587" t="s">
        <v>3919</v>
      </c>
      <c r="O587" s="7">
        <v>85506</v>
      </c>
      <c r="R587" s="7">
        <v>1</v>
      </c>
      <c r="S587" t="s">
        <v>2347</v>
      </c>
      <c r="T587" t="s">
        <v>2271</v>
      </c>
      <c r="U587" s="7">
        <v>1</v>
      </c>
      <c r="V587">
        <v>52.5</v>
      </c>
      <c r="W587" t="s">
        <v>35</v>
      </c>
      <c r="Y587" t="s">
        <v>2269</v>
      </c>
      <c r="Z587" t="s">
        <v>2313</v>
      </c>
      <c r="AB587" s="8">
        <v>61.95</v>
      </c>
      <c r="AC587" s="7">
        <v>0</v>
      </c>
      <c r="AF587" s="8">
        <v>61.95</v>
      </c>
    </row>
    <row r="588" spans="1:35" hidden="1">
      <c r="A588" s="7">
        <v>1007683</v>
      </c>
      <c r="B588" t="s">
        <v>3674</v>
      </c>
      <c r="C588" t="s">
        <v>2260</v>
      </c>
      <c r="D588" s="7">
        <v>7160260110951</v>
      </c>
      <c r="E588" t="s">
        <v>3675</v>
      </c>
      <c r="F588" t="s">
        <v>3676</v>
      </c>
      <c r="G588" t="s">
        <v>2263</v>
      </c>
      <c r="H588" t="s">
        <v>3677</v>
      </c>
      <c r="I588" t="s">
        <v>3678</v>
      </c>
      <c r="J588" t="s">
        <v>3679</v>
      </c>
      <c r="K588" t="s">
        <v>3680</v>
      </c>
      <c r="L588" t="s">
        <v>3681</v>
      </c>
      <c r="N588" t="s">
        <v>2266</v>
      </c>
      <c r="O588" s="7">
        <v>9318</v>
      </c>
      <c r="R588" s="7">
        <v>1</v>
      </c>
      <c r="S588" t="s">
        <v>3682</v>
      </c>
      <c r="T588" t="s">
        <v>3683</v>
      </c>
      <c r="U588" s="7">
        <v>1</v>
      </c>
      <c r="V588">
        <v>12064.1</v>
      </c>
      <c r="W588" t="s">
        <v>35</v>
      </c>
      <c r="Y588" t="s">
        <v>2269</v>
      </c>
      <c r="Z588" s="7">
        <v>1750063</v>
      </c>
      <c r="AA588" t="s">
        <v>36</v>
      </c>
      <c r="AB588" s="8">
        <v>15442.05</v>
      </c>
      <c r="AC588" s="7">
        <v>0</v>
      </c>
      <c r="AF588" s="8">
        <v>15442.05</v>
      </c>
    </row>
    <row r="589" spans="1:35" hidden="1">
      <c r="A589" s="7">
        <v>1007683</v>
      </c>
      <c r="B589" t="s">
        <v>3674</v>
      </c>
      <c r="C589" t="s">
        <v>2260</v>
      </c>
      <c r="D589" s="7">
        <v>7160260110951</v>
      </c>
      <c r="E589" t="s">
        <v>3675</v>
      </c>
      <c r="F589" t="s">
        <v>3676</v>
      </c>
      <c r="G589" t="s">
        <v>2263</v>
      </c>
      <c r="H589" t="s">
        <v>3677</v>
      </c>
      <c r="I589" t="s">
        <v>3678</v>
      </c>
      <c r="J589" t="s">
        <v>3679</v>
      </c>
      <c r="K589" t="s">
        <v>3680</v>
      </c>
      <c r="L589" t="s">
        <v>3681</v>
      </c>
      <c r="N589" t="s">
        <v>2266</v>
      </c>
      <c r="O589" s="7">
        <v>9318</v>
      </c>
      <c r="R589" s="7">
        <v>2</v>
      </c>
      <c r="S589" t="s">
        <v>2595</v>
      </c>
      <c r="T589" t="s">
        <v>2271</v>
      </c>
      <c r="U589" s="7">
        <v>1</v>
      </c>
      <c r="V589" s="7">
        <v>75</v>
      </c>
      <c r="W589" t="s">
        <v>35</v>
      </c>
      <c r="Y589" t="s">
        <v>2269</v>
      </c>
      <c r="Z589" s="7">
        <v>1750063</v>
      </c>
      <c r="AA589" t="s">
        <v>36</v>
      </c>
      <c r="AB589" s="8">
        <v>88.5</v>
      </c>
      <c r="AC589" s="7">
        <v>0</v>
      </c>
      <c r="AF589" s="8">
        <v>88.5</v>
      </c>
    </row>
    <row r="590" spans="1:35" hidden="1">
      <c r="A590" s="7">
        <v>1007691</v>
      </c>
      <c r="B590" t="s">
        <v>3684</v>
      </c>
      <c r="C590" t="s">
        <v>2260</v>
      </c>
      <c r="D590" s="7">
        <v>7160260110945</v>
      </c>
      <c r="E590" t="s">
        <v>3685</v>
      </c>
      <c r="F590" t="s">
        <v>3686</v>
      </c>
      <c r="G590" t="s">
        <v>2263</v>
      </c>
      <c r="H590" t="s">
        <v>3677</v>
      </c>
      <c r="I590" t="s">
        <v>3678</v>
      </c>
      <c r="J590" t="s">
        <v>3679</v>
      </c>
      <c r="K590" t="s">
        <v>3680</v>
      </c>
      <c r="L590" t="s">
        <v>3681</v>
      </c>
      <c r="N590" t="s">
        <v>3296</v>
      </c>
      <c r="O590" s="7">
        <v>10015</v>
      </c>
      <c r="R590" s="7">
        <v>1</v>
      </c>
      <c r="S590" t="s">
        <v>3687</v>
      </c>
      <c r="T590" t="s">
        <v>3688</v>
      </c>
      <c r="U590" s="7">
        <v>1</v>
      </c>
      <c r="V590" s="8">
        <v>5704.48</v>
      </c>
      <c r="W590" t="s">
        <v>35</v>
      </c>
      <c r="Y590" t="s">
        <v>2269</v>
      </c>
      <c r="Z590" s="7">
        <v>1750062</v>
      </c>
      <c r="AA590" t="s">
        <v>36</v>
      </c>
      <c r="AB590" s="8">
        <v>7301.73</v>
      </c>
      <c r="AC590" s="7">
        <v>0</v>
      </c>
      <c r="AF590" s="8">
        <v>7301.73</v>
      </c>
    </row>
    <row r="591" spans="1:35" hidden="1">
      <c r="A591" s="7">
        <v>1007691</v>
      </c>
      <c r="B591" t="s">
        <v>3684</v>
      </c>
      <c r="C591" t="s">
        <v>2260</v>
      </c>
      <c r="D591" s="7">
        <v>7160260110945</v>
      </c>
      <c r="E591" t="s">
        <v>3685</v>
      </c>
      <c r="F591" t="s">
        <v>3686</v>
      </c>
      <c r="G591" t="s">
        <v>2263</v>
      </c>
      <c r="H591" t="s">
        <v>3677</v>
      </c>
      <c r="I591" t="s">
        <v>3678</v>
      </c>
      <c r="J591" t="s">
        <v>3679</v>
      </c>
      <c r="K591" t="s">
        <v>3680</v>
      </c>
      <c r="L591" t="s">
        <v>3681</v>
      </c>
      <c r="N591" t="s">
        <v>3296</v>
      </c>
      <c r="O591" s="7">
        <v>10015</v>
      </c>
      <c r="R591" s="7">
        <v>2</v>
      </c>
      <c r="S591" t="s">
        <v>3689</v>
      </c>
      <c r="T591" t="s">
        <v>2271</v>
      </c>
      <c r="U591" s="7">
        <v>1</v>
      </c>
      <c r="V591" s="7">
        <v>2250</v>
      </c>
      <c r="W591" t="s">
        <v>35</v>
      </c>
      <c r="Y591" t="s">
        <v>2269</v>
      </c>
      <c r="Z591" s="7">
        <v>1750062</v>
      </c>
      <c r="AA591" t="s">
        <v>36</v>
      </c>
      <c r="AB591" s="7">
        <v>2655</v>
      </c>
      <c r="AC591" s="7">
        <v>0</v>
      </c>
      <c r="AF591" s="7">
        <v>2655</v>
      </c>
    </row>
    <row r="592" spans="1:35" hidden="1">
      <c r="A592" s="7">
        <v>1007693</v>
      </c>
      <c r="B592" t="s">
        <v>3690</v>
      </c>
      <c r="C592" t="s">
        <v>2260</v>
      </c>
      <c r="D592" s="7">
        <v>7160260110936</v>
      </c>
      <c r="E592" t="s">
        <v>3691</v>
      </c>
      <c r="F592" t="s">
        <v>3692</v>
      </c>
      <c r="G592" t="s">
        <v>2263</v>
      </c>
      <c r="H592" t="s">
        <v>3677</v>
      </c>
      <c r="I592" t="s">
        <v>3693</v>
      </c>
      <c r="J592" t="s">
        <v>3694</v>
      </c>
      <c r="K592" t="s">
        <v>3680</v>
      </c>
      <c r="L592" t="s">
        <v>3695</v>
      </c>
      <c r="N592" t="s">
        <v>3696</v>
      </c>
      <c r="O592" s="7">
        <v>17539</v>
      </c>
      <c r="R592" s="7">
        <v>1</v>
      </c>
      <c r="S592" t="s">
        <v>3697</v>
      </c>
      <c r="T592" t="s">
        <v>3698</v>
      </c>
      <c r="U592" s="7">
        <v>1</v>
      </c>
      <c r="V592" s="8">
        <v>364.15</v>
      </c>
      <c r="W592" t="s">
        <v>35</v>
      </c>
      <c r="Y592" t="s">
        <v>2269</v>
      </c>
      <c r="Z592" s="7">
        <v>1750061</v>
      </c>
      <c r="AA592" t="s">
        <v>36</v>
      </c>
      <c r="AB592" s="8">
        <v>429.7</v>
      </c>
      <c r="AC592" s="7">
        <v>0</v>
      </c>
      <c r="AF592" s="8">
        <v>429.7</v>
      </c>
    </row>
    <row r="593" spans="1:35" hidden="1">
      <c r="A593" s="7">
        <v>1007693</v>
      </c>
      <c r="B593" t="s">
        <v>3690</v>
      </c>
      <c r="C593" t="s">
        <v>2260</v>
      </c>
      <c r="D593" s="7">
        <v>7160260110936</v>
      </c>
      <c r="E593" t="s">
        <v>3691</v>
      </c>
      <c r="F593" t="s">
        <v>3692</v>
      </c>
      <c r="G593" t="s">
        <v>2263</v>
      </c>
      <c r="H593" t="s">
        <v>3677</v>
      </c>
      <c r="I593" t="s">
        <v>3693</v>
      </c>
      <c r="J593" t="s">
        <v>3694</v>
      </c>
      <c r="K593" t="s">
        <v>3680</v>
      </c>
      <c r="L593" t="s">
        <v>3695</v>
      </c>
      <c r="N593" t="s">
        <v>3696</v>
      </c>
      <c r="O593" s="7">
        <v>17539</v>
      </c>
      <c r="R593" s="7">
        <v>2</v>
      </c>
      <c r="S593" t="s">
        <v>3699</v>
      </c>
      <c r="T593" t="s">
        <v>2271</v>
      </c>
      <c r="U593" s="7">
        <v>1</v>
      </c>
      <c r="V593" s="7">
        <v>75</v>
      </c>
      <c r="W593" t="s">
        <v>35</v>
      </c>
      <c r="Y593" t="s">
        <v>2269</v>
      </c>
      <c r="Z593" s="7">
        <v>1750061</v>
      </c>
      <c r="AA593" t="s">
        <v>36</v>
      </c>
      <c r="AB593" s="8">
        <v>88.5</v>
      </c>
      <c r="AC593" s="7">
        <v>0</v>
      </c>
      <c r="AF593" s="8">
        <v>88.5</v>
      </c>
    </row>
    <row r="594" spans="1:35" hidden="1">
      <c r="A594" s="7">
        <v>1012066</v>
      </c>
      <c r="B594" t="s">
        <v>3073</v>
      </c>
      <c r="C594" t="s">
        <v>2870</v>
      </c>
      <c r="D594" s="7">
        <v>7160260116364</v>
      </c>
      <c r="E594" t="s">
        <v>3700</v>
      </c>
      <c r="F594" t="s">
        <v>3701</v>
      </c>
      <c r="G594" t="s">
        <v>3702</v>
      </c>
      <c r="H594" t="s">
        <v>3270</v>
      </c>
      <c r="I594" t="s">
        <v>3693</v>
      </c>
      <c r="J594" t="s">
        <v>3694</v>
      </c>
      <c r="K594" t="s">
        <v>3680</v>
      </c>
      <c r="L594" t="s">
        <v>3695</v>
      </c>
      <c r="N594" t="s">
        <v>2565</v>
      </c>
      <c r="O594" s="7">
        <v>24906</v>
      </c>
      <c r="R594" s="7">
        <v>1</v>
      </c>
      <c r="S594" t="s">
        <v>3703</v>
      </c>
      <c r="T594" t="s">
        <v>3704</v>
      </c>
      <c r="U594" s="7">
        <v>1</v>
      </c>
      <c r="V594" s="8">
        <v>22404.080000000002</v>
      </c>
      <c r="W594" t="s">
        <v>2300</v>
      </c>
      <c r="X594" t="s">
        <v>2301</v>
      </c>
      <c r="Y594" t="s">
        <v>2302</v>
      </c>
      <c r="Z594" s="7">
        <v>1755237</v>
      </c>
      <c r="AA594" t="s">
        <v>3910</v>
      </c>
      <c r="AB594" s="8">
        <v>28677.22</v>
      </c>
      <c r="AC594" s="8">
        <v>28677.22</v>
      </c>
      <c r="AD594" s="7">
        <v>1517885</v>
      </c>
      <c r="AE594" t="s">
        <v>3910</v>
      </c>
      <c r="AF594" s="7">
        <v>0</v>
      </c>
      <c r="AI594" t="s">
        <v>3705</v>
      </c>
    </row>
    <row r="595" spans="1:35" hidden="1">
      <c r="A595" s="7">
        <v>1012066</v>
      </c>
      <c r="B595" t="s">
        <v>3073</v>
      </c>
      <c r="C595" t="s">
        <v>2870</v>
      </c>
      <c r="D595" s="7">
        <v>7160260116364</v>
      </c>
      <c r="E595" t="s">
        <v>3700</v>
      </c>
      <c r="F595" t="s">
        <v>3701</v>
      </c>
      <c r="G595" t="s">
        <v>3702</v>
      </c>
      <c r="H595" t="s">
        <v>3270</v>
      </c>
      <c r="I595" t="s">
        <v>3693</v>
      </c>
      <c r="J595" t="s">
        <v>3694</v>
      </c>
      <c r="K595" t="s">
        <v>3680</v>
      </c>
      <c r="L595" t="s">
        <v>3695</v>
      </c>
      <c r="N595" t="s">
        <v>2565</v>
      </c>
      <c r="O595" s="7">
        <v>24906</v>
      </c>
      <c r="R595" s="7">
        <v>2</v>
      </c>
      <c r="S595" t="s">
        <v>3706</v>
      </c>
      <c r="T595" t="s">
        <v>2271</v>
      </c>
      <c r="U595" s="7">
        <v>1</v>
      </c>
      <c r="V595" s="7">
        <v>475</v>
      </c>
      <c r="W595" t="s">
        <v>2300</v>
      </c>
      <c r="X595" t="s">
        <v>2301</v>
      </c>
      <c r="Y595" t="s">
        <v>2302</v>
      </c>
      <c r="Z595" s="7">
        <v>1755237</v>
      </c>
      <c r="AA595" t="s">
        <v>3910</v>
      </c>
      <c r="AB595" s="8">
        <v>560.5</v>
      </c>
      <c r="AC595" s="8">
        <v>560.5</v>
      </c>
      <c r="AD595" s="7">
        <v>1517885</v>
      </c>
      <c r="AE595" t="s">
        <v>3910</v>
      </c>
      <c r="AF595" s="7">
        <v>0</v>
      </c>
      <c r="AI595" t="s">
        <v>3705</v>
      </c>
    </row>
    <row r="596" spans="1:35" hidden="1">
      <c r="A596" s="7">
        <v>1013993</v>
      </c>
      <c r="B596" t="s">
        <v>3707</v>
      </c>
      <c r="C596" t="s">
        <v>3596</v>
      </c>
      <c r="D596" s="7">
        <v>7160260118712</v>
      </c>
      <c r="E596" t="s">
        <v>3708</v>
      </c>
      <c r="F596" t="s">
        <v>3709</v>
      </c>
      <c r="G596" t="s">
        <v>3652</v>
      </c>
      <c r="I596" t="s">
        <v>3710</v>
      </c>
      <c r="J596" t="s">
        <v>3711</v>
      </c>
      <c r="K596" t="s">
        <v>3680</v>
      </c>
      <c r="L596" t="s">
        <v>3053</v>
      </c>
      <c r="N596" t="s">
        <v>3654</v>
      </c>
      <c r="O596" s="7">
        <v>34409</v>
      </c>
      <c r="R596" s="7">
        <v>1</v>
      </c>
      <c r="S596" t="s">
        <v>3712</v>
      </c>
      <c r="T596" t="s">
        <v>3713</v>
      </c>
      <c r="U596" s="7">
        <v>1</v>
      </c>
      <c r="V596" s="8">
        <v>445.53</v>
      </c>
      <c r="W596" t="s">
        <v>35</v>
      </c>
      <c r="Y596" t="s">
        <v>2269</v>
      </c>
      <c r="Z596" t="s">
        <v>2313</v>
      </c>
      <c r="AB596" s="8">
        <v>262.87</v>
      </c>
      <c r="AC596" s="7">
        <v>0</v>
      </c>
      <c r="AF596" s="8">
        <v>262.87</v>
      </c>
    </row>
    <row r="597" spans="1:35" hidden="1">
      <c r="A597" s="7">
        <v>1013993</v>
      </c>
      <c r="B597" t="s">
        <v>3707</v>
      </c>
      <c r="C597" t="s">
        <v>3596</v>
      </c>
      <c r="D597" s="7">
        <v>7160260118712</v>
      </c>
      <c r="E597" t="s">
        <v>3708</v>
      </c>
      <c r="F597" t="s">
        <v>3709</v>
      </c>
      <c r="G597" t="s">
        <v>3652</v>
      </c>
      <c r="I597" t="s">
        <v>3710</v>
      </c>
      <c r="J597" t="s">
        <v>3711</v>
      </c>
      <c r="K597" t="s">
        <v>3680</v>
      </c>
      <c r="L597" t="s">
        <v>3053</v>
      </c>
      <c r="N597" t="s">
        <v>3654</v>
      </c>
      <c r="O597" s="7">
        <v>34409</v>
      </c>
      <c r="R597" s="7">
        <v>2</v>
      </c>
      <c r="S597" t="s">
        <v>3714</v>
      </c>
      <c r="T597" t="s">
        <v>3715</v>
      </c>
      <c r="U597" s="7">
        <v>4</v>
      </c>
      <c r="V597" s="8">
        <v>1997.76</v>
      </c>
      <c r="W597" t="s">
        <v>35</v>
      </c>
      <c r="Y597" t="s">
        <v>2269</v>
      </c>
      <c r="Z597" t="s">
        <v>2313</v>
      </c>
      <c r="AB597" s="8">
        <v>1178.68</v>
      </c>
      <c r="AC597" s="7">
        <v>0</v>
      </c>
      <c r="AF597" s="8">
        <v>1178.68</v>
      </c>
    </row>
    <row r="598" spans="1:35" hidden="1">
      <c r="A598" s="7">
        <v>1013993</v>
      </c>
      <c r="B598" t="s">
        <v>3707</v>
      </c>
      <c r="C598" t="s">
        <v>3596</v>
      </c>
      <c r="D598" s="7">
        <v>7160260118712</v>
      </c>
      <c r="E598" t="s">
        <v>3708</v>
      </c>
      <c r="F598" t="s">
        <v>3709</v>
      </c>
      <c r="G598" t="s">
        <v>3652</v>
      </c>
      <c r="I598" t="s">
        <v>3710</v>
      </c>
      <c r="J598" t="s">
        <v>3711</v>
      </c>
      <c r="K598" t="s">
        <v>3680</v>
      </c>
      <c r="L598" t="s">
        <v>3053</v>
      </c>
      <c r="N598" t="s">
        <v>3654</v>
      </c>
      <c r="O598" s="7">
        <v>34409</v>
      </c>
      <c r="R598" s="7">
        <v>3</v>
      </c>
      <c r="S598" t="s">
        <v>3716</v>
      </c>
      <c r="T598" t="s">
        <v>3717</v>
      </c>
      <c r="U598" s="7">
        <v>1</v>
      </c>
      <c r="V598" s="8">
        <v>1074.57</v>
      </c>
      <c r="W598" t="s">
        <v>35</v>
      </c>
      <c r="Y598" t="s">
        <v>2269</v>
      </c>
      <c r="Z598" t="s">
        <v>2313</v>
      </c>
      <c r="AB598" s="7">
        <v>634</v>
      </c>
      <c r="AC598" s="7">
        <v>0</v>
      </c>
      <c r="AF598" s="7">
        <v>634</v>
      </c>
    </row>
    <row r="599" spans="1:35" hidden="1">
      <c r="A599" s="7">
        <v>1013993</v>
      </c>
      <c r="B599" t="s">
        <v>3707</v>
      </c>
      <c r="C599" t="s">
        <v>3596</v>
      </c>
      <c r="D599" s="7">
        <v>7160260118712</v>
      </c>
      <c r="E599" t="s">
        <v>3708</v>
      </c>
      <c r="F599" t="s">
        <v>3709</v>
      </c>
      <c r="G599" t="s">
        <v>3652</v>
      </c>
      <c r="I599" t="s">
        <v>3710</v>
      </c>
      <c r="J599" t="s">
        <v>3711</v>
      </c>
      <c r="K599" t="s">
        <v>3680</v>
      </c>
      <c r="L599" t="s">
        <v>3053</v>
      </c>
      <c r="N599" t="s">
        <v>3654</v>
      </c>
      <c r="O599" s="7">
        <v>34409</v>
      </c>
      <c r="R599" s="7">
        <v>4</v>
      </c>
      <c r="S599" t="s">
        <v>3718</v>
      </c>
      <c r="T599" t="s">
        <v>3719</v>
      </c>
      <c r="U599" s="7">
        <v>1</v>
      </c>
      <c r="V599" s="8">
        <v>4138.2299999999996</v>
      </c>
      <c r="W599" t="s">
        <v>35</v>
      </c>
      <c r="Y599" t="s">
        <v>2269</v>
      </c>
      <c r="Z599" t="s">
        <v>2313</v>
      </c>
      <c r="AB599" s="8">
        <v>2441.56</v>
      </c>
      <c r="AC599" s="7">
        <v>0</v>
      </c>
      <c r="AF599" s="8">
        <v>2441.56</v>
      </c>
    </row>
    <row r="600" spans="1:35" hidden="1">
      <c r="A600" s="7">
        <v>1013993</v>
      </c>
      <c r="B600" t="s">
        <v>3707</v>
      </c>
      <c r="C600" t="s">
        <v>3596</v>
      </c>
      <c r="D600" s="7">
        <v>7160260118712</v>
      </c>
      <c r="E600" t="s">
        <v>3708</v>
      </c>
      <c r="F600" t="s">
        <v>3709</v>
      </c>
      <c r="G600" t="s">
        <v>3652</v>
      </c>
      <c r="I600" t="s">
        <v>3710</v>
      </c>
      <c r="J600" t="s">
        <v>3711</v>
      </c>
      <c r="K600" t="s">
        <v>3680</v>
      </c>
      <c r="L600" t="s">
        <v>3053</v>
      </c>
      <c r="N600" t="s">
        <v>3654</v>
      </c>
      <c r="O600" s="7">
        <v>34409</v>
      </c>
      <c r="R600" s="7">
        <v>5</v>
      </c>
      <c r="S600" t="s">
        <v>3720</v>
      </c>
      <c r="T600" t="s">
        <v>3721</v>
      </c>
      <c r="U600" s="7">
        <v>1</v>
      </c>
      <c r="V600" s="8">
        <v>22015.58</v>
      </c>
      <c r="W600" t="s">
        <v>35</v>
      </c>
      <c r="Y600" t="s">
        <v>2269</v>
      </c>
      <c r="Z600" t="s">
        <v>2313</v>
      </c>
      <c r="AB600" s="8">
        <v>12989.19</v>
      </c>
      <c r="AC600" s="7">
        <v>0</v>
      </c>
      <c r="AF600" s="8">
        <v>12989.19</v>
      </c>
    </row>
    <row r="601" spans="1:35" hidden="1">
      <c r="A601" s="7">
        <v>1013993</v>
      </c>
      <c r="B601" t="s">
        <v>3707</v>
      </c>
      <c r="C601" t="s">
        <v>3596</v>
      </c>
      <c r="D601" s="7">
        <v>7160260118712</v>
      </c>
      <c r="E601" t="s">
        <v>3708</v>
      </c>
      <c r="F601" t="s">
        <v>3709</v>
      </c>
      <c r="G601" t="s">
        <v>3652</v>
      </c>
      <c r="I601" t="s">
        <v>3710</v>
      </c>
      <c r="J601" t="s">
        <v>3711</v>
      </c>
      <c r="K601" t="s">
        <v>3680</v>
      </c>
      <c r="L601" t="s">
        <v>3053</v>
      </c>
      <c r="N601" t="s">
        <v>3654</v>
      </c>
      <c r="O601" s="7">
        <v>34409</v>
      </c>
      <c r="R601" s="7">
        <v>6</v>
      </c>
      <c r="S601" t="s">
        <v>2326</v>
      </c>
      <c r="T601" t="s">
        <v>2327</v>
      </c>
      <c r="U601" s="7">
        <v>1</v>
      </c>
      <c r="V601" s="8">
        <v>448.68</v>
      </c>
      <c r="W601" t="s">
        <v>35</v>
      </c>
      <c r="Y601" t="s">
        <v>2269</v>
      </c>
      <c r="Z601" t="s">
        <v>2313</v>
      </c>
      <c r="AB601" s="8">
        <v>264.72000000000003</v>
      </c>
      <c r="AC601" s="7">
        <v>0</v>
      </c>
      <c r="AF601" s="8">
        <v>264.72000000000003</v>
      </c>
    </row>
    <row r="602" spans="1:35" hidden="1">
      <c r="A602" s="7">
        <v>1013993</v>
      </c>
      <c r="B602" t="s">
        <v>3707</v>
      </c>
      <c r="C602" t="s">
        <v>3596</v>
      </c>
      <c r="D602" s="7">
        <v>7160260118712</v>
      </c>
      <c r="E602" t="s">
        <v>3708</v>
      </c>
      <c r="F602" t="s">
        <v>3709</v>
      </c>
      <c r="G602" t="s">
        <v>3652</v>
      </c>
      <c r="I602" t="s">
        <v>3710</v>
      </c>
      <c r="J602" t="s">
        <v>3711</v>
      </c>
      <c r="K602" t="s">
        <v>3680</v>
      </c>
      <c r="L602" t="s">
        <v>3053</v>
      </c>
      <c r="N602" t="s">
        <v>3654</v>
      </c>
      <c r="O602" s="7">
        <v>34409</v>
      </c>
      <c r="R602" s="7">
        <v>7</v>
      </c>
      <c r="S602" t="s">
        <v>3722</v>
      </c>
      <c r="T602" t="s">
        <v>3723</v>
      </c>
      <c r="U602" s="7">
        <v>1</v>
      </c>
      <c r="V602" s="8">
        <v>14726.94</v>
      </c>
      <c r="W602" t="s">
        <v>35</v>
      </c>
      <c r="Y602" t="s">
        <v>2269</v>
      </c>
      <c r="Z602" t="s">
        <v>2313</v>
      </c>
      <c r="AB602" s="8">
        <v>8688.89</v>
      </c>
      <c r="AC602" s="7">
        <v>0</v>
      </c>
      <c r="AF602" s="8">
        <v>8688.89</v>
      </c>
    </row>
    <row r="603" spans="1:35" hidden="1">
      <c r="A603" s="7">
        <v>1013993</v>
      </c>
      <c r="B603" t="s">
        <v>3707</v>
      </c>
      <c r="C603" t="s">
        <v>3596</v>
      </c>
      <c r="D603" s="7">
        <v>7160260118712</v>
      </c>
      <c r="E603" t="s">
        <v>3708</v>
      </c>
      <c r="F603" t="s">
        <v>3709</v>
      </c>
      <c r="G603" t="s">
        <v>3652</v>
      </c>
      <c r="I603" t="s">
        <v>3710</v>
      </c>
      <c r="J603" t="s">
        <v>3711</v>
      </c>
      <c r="K603" t="s">
        <v>3680</v>
      </c>
      <c r="L603" t="s">
        <v>3053</v>
      </c>
      <c r="N603" t="s">
        <v>3654</v>
      </c>
      <c r="O603" s="7">
        <v>34409</v>
      </c>
      <c r="R603" s="7">
        <v>8</v>
      </c>
      <c r="S603" t="s">
        <v>3724</v>
      </c>
      <c r="T603" t="s">
        <v>2271</v>
      </c>
      <c r="U603" s="7">
        <v>1</v>
      </c>
      <c r="V603" s="7">
        <v>7700</v>
      </c>
      <c r="W603" t="s">
        <v>35</v>
      </c>
      <c r="Y603" t="s">
        <v>2269</v>
      </c>
      <c r="Z603" t="s">
        <v>2313</v>
      </c>
      <c r="AB603" s="7">
        <v>9086</v>
      </c>
      <c r="AC603" s="7">
        <v>0</v>
      </c>
      <c r="AF603" s="7">
        <v>9086</v>
      </c>
    </row>
    <row r="604" spans="1:35" hidden="1">
      <c r="A604" s="7">
        <v>1016067</v>
      </c>
      <c r="B604" t="s">
        <v>4788</v>
      </c>
      <c r="C604" t="s">
        <v>4468</v>
      </c>
      <c r="D604" s="7">
        <v>7160260122028</v>
      </c>
      <c r="E604" t="s">
        <v>4789</v>
      </c>
      <c r="F604" t="s">
        <v>4790</v>
      </c>
      <c r="G604" t="s">
        <v>4791</v>
      </c>
      <c r="H604" t="s">
        <v>4455</v>
      </c>
      <c r="I604" t="s">
        <v>4792</v>
      </c>
      <c r="J604" t="s">
        <v>4793</v>
      </c>
      <c r="K604" t="s">
        <v>3680</v>
      </c>
      <c r="L604" t="s">
        <v>3570</v>
      </c>
      <c r="M604" s="7">
        <v>1165</v>
      </c>
      <c r="N604" t="s">
        <v>4794</v>
      </c>
      <c r="O604" s="7">
        <v>6215</v>
      </c>
      <c r="R604" s="7">
        <v>1</v>
      </c>
      <c r="S604" t="s">
        <v>4795</v>
      </c>
      <c r="T604" t="s">
        <v>4796</v>
      </c>
      <c r="U604" s="7">
        <v>1</v>
      </c>
      <c r="V604" s="8">
        <v>493.39</v>
      </c>
      <c r="W604" t="s">
        <v>35</v>
      </c>
      <c r="Y604" t="s">
        <v>2269</v>
      </c>
      <c r="Z604" t="s">
        <v>2313</v>
      </c>
      <c r="AB604" s="8">
        <v>582.20000000000005</v>
      </c>
      <c r="AC604" s="7">
        <v>0</v>
      </c>
      <c r="AF604" s="8">
        <v>582.20000000000005</v>
      </c>
    </row>
    <row r="605" spans="1:35" hidden="1">
      <c r="A605" s="7">
        <v>1016067</v>
      </c>
      <c r="B605" t="s">
        <v>4788</v>
      </c>
      <c r="C605" t="s">
        <v>4468</v>
      </c>
      <c r="D605" s="7">
        <v>7160260122028</v>
      </c>
      <c r="E605" t="s">
        <v>4789</v>
      </c>
      <c r="F605" t="s">
        <v>4790</v>
      </c>
      <c r="G605" t="s">
        <v>4791</v>
      </c>
      <c r="H605" t="s">
        <v>4455</v>
      </c>
      <c r="I605" t="s">
        <v>4792</v>
      </c>
      <c r="J605" t="s">
        <v>4793</v>
      </c>
      <c r="K605" t="s">
        <v>3680</v>
      </c>
      <c r="L605" t="s">
        <v>3570</v>
      </c>
      <c r="M605" s="7">
        <v>1165</v>
      </c>
      <c r="N605" t="s">
        <v>4794</v>
      </c>
      <c r="O605" s="7">
        <v>6215</v>
      </c>
      <c r="R605" s="7">
        <v>2</v>
      </c>
      <c r="S605" t="s">
        <v>4797</v>
      </c>
      <c r="T605" t="s">
        <v>4798</v>
      </c>
      <c r="U605" s="7">
        <v>1</v>
      </c>
      <c r="V605" s="8">
        <v>1073.76</v>
      </c>
      <c r="W605" t="s">
        <v>35</v>
      </c>
      <c r="Y605" t="s">
        <v>2269</v>
      </c>
      <c r="Z605" t="s">
        <v>2313</v>
      </c>
      <c r="AB605" s="8">
        <v>1267.04</v>
      </c>
      <c r="AC605" s="7">
        <v>0</v>
      </c>
      <c r="AF605" s="8">
        <v>1267.04</v>
      </c>
    </row>
    <row r="606" spans="1:35" hidden="1">
      <c r="A606" s="7">
        <v>1016067</v>
      </c>
      <c r="B606" t="s">
        <v>4788</v>
      </c>
      <c r="C606" t="s">
        <v>4468</v>
      </c>
      <c r="D606" s="7">
        <v>7160260122028</v>
      </c>
      <c r="E606" t="s">
        <v>4789</v>
      </c>
      <c r="F606" t="s">
        <v>4790</v>
      </c>
      <c r="G606" t="s">
        <v>4791</v>
      </c>
      <c r="H606" t="s">
        <v>4455</v>
      </c>
      <c r="I606" t="s">
        <v>4792</v>
      </c>
      <c r="J606" t="s">
        <v>4793</v>
      </c>
      <c r="K606" t="s">
        <v>3680</v>
      </c>
      <c r="L606" t="s">
        <v>3570</v>
      </c>
      <c r="M606" s="7">
        <v>1165</v>
      </c>
      <c r="N606" t="s">
        <v>4794</v>
      </c>
      <c r="O606" s="7">
        <v>6215</v>
      </c>
      <c r="R606" s="7">
        <v>3</v>
      </c>
      <c r="S606" t="s">
        <v>4799</v>
      </c>
      <c r="T606" t="s">
        <v>2271</v>
      </c>
      <c r="U606" s="7">
        <v>1</v>
      </c>
      <c r="V606" s="7">
        <v>125</v>
      </c>
      <c r="W606" t="s">
        <v>35</v>
      </c>
      <c r="Y606" t="s">
        <v>2269</v>
      </c>
      <c r="Z606" t="s">
        <v>2313</v>
      </c>
      <c r="AB606" s="8">
        <v>147.5</v>
      </c>
      <c r="AC606" s="7">
        <v>0</v>
      </c>
      <c r="AF606" s="8">
        <v>147.5</v>
      </c>
    </row>
    <row r="607" spans="1:35" hidden="1">
      <c r="A607" s="7">
        <v>1016067</v>
      </c>
      <c r="B607" t="s">
        <v>4788</v>
      </c>
      <c r="C607" t="s">
        <v>4468</v>
      </c>
      <c r="D607" s="7">
        <v>7160260122028</v>
      </c>
      <c r="E607" t="s">
        <v>4789</v>
      </c>
      <c r="F607" t="s">
        <v>4790</v>
      </c>
      <c r="G607" t="s">
        <v>4791</v>
      </c>
      <c r="H607" t="s">
        <v>4455</v>
      </c>
      <c r="I607" t="s">
        <v>4792</v>
      </c>
      <c r="J607" t="s">
        <v>4793</v>
      </c>
      <c r="K607" t="s">
        <v>3680</v>
      </c>
      <c r="L607" t="s">
        <v>3570</v>
      </c>
      <c r="M607" s="7">
        <v>1165</v>
      </c>
      <c r="N607" t="s">
        <v>4794</v>
      </c>
      <c r="O607" s="7">
        <v>6215</v>
      </c>
      <c r="R607" s="7">
        <v>4</v>
      </c>
      <c r="S607" t="s">
        <v>4800</v>
      </c>
      <c r="T607" t="s">
        <v>2271</v>
      </c>
      <c r="U607" s="7">
        <v>1</v>
      </c>
      <c r="V607">
        <v>62.5</v>
      </c>
      <c r="W607" t="s">
        <v>35</v>
      </c>
      <c r="Y607" t="s">
        <v>2269</v>
      </c>
      <c r="Z607" t="s">
        <v>2313</v>
      </c>
      <c r="AB607" s="8">
        <v>73.75</v>
      </c>
      <c r="AC607" s="7">
        <v>0</v>
      </c>
      <c r="AF607" s="8">
        <v>73.75</v>
      </c>
    </row>
    <row r="608" spans="1:35" hidden="1">
      <c r="A608" s="7">
        <v>1016069</v>
      </c>
      <c r="B608" t="s">
        <v>4801</v>
      </c>
      <c r="C608" t="s">
        <v>4468</v>
      </c>
      <c r="D608" s="7">
        <v>7160260122027</v>
      </c>
      <c r="E608" t="s">
        <v>4802</v>
      </c>
      <c r="F608" t="s">
        <v>4803</v>
      </c>
      <c r="G608" t="s">
        <v>4791</v>
      </c>
      <c r="H608" t="s">
        <v>4455</v>
      </c>
      <c r="I608" t="s">
        <v>3693</v>
      </c>
      <c r="J608" t="s">
        <v>3694</v>
      </c>
      <c r="K608" t="s">
        <v>3680</v>
      </c>
      <c r="L608" t="s">
        <v>3695</v>
      </c>
      <c r="N608" t="s">
        <v>4151</v>
      </c>
      <c r="O608" s="7">
        <v>27273</v>
      </c>
      <c r="R608" s="7">
        <v>1</v>
      </c>
      <c r="S608" t="s">
        <v>4804</v>
      </c>
      <c r="T608" t="s">
        <v>4805</v>
      </c>
      <c r="U608" s="7">
        <v>1</v>
      </c>
      <c r="V608" s="8">
        <v>1829.69</v>
      </c>
      <c r="W608" t="s">
        <v>35</v>
      </c>
      <c r="Y608" t="s">
        <v>2269</v>
      </c>
      <c r="Z608" t="s">
        <v>2313</v>
      </c>
      <c r="AB608" s="8">
        <v>2159.0300000000002</v>
      </c>
      <c r="AC608" s="7">
        <v>0</v>
      </c>
      <c r="AF608" s="8">
        <v>2159.0300000000002</v>
      </c>
    </row>
    <row r="609" spans="1:32" hidden="1">
      <c r="A609" s="7">
        <v>1016069</v>
      </c>
      <c r="B609" t="s">
        <v>4801</v>
      </c>
      <c r="C609" t="s">
        <v>4468</v>
      </c>
      <c r="D609" s="7">
        <v>7160260122027</v>
      </c>
      <c r="E609" t="s">
        <v>4802</v>
      </c>
      <c r="F609" t="s">
        <v>4803</v>
      </c>
      <c r="G609" t="s">
        <v>4791</v>
      </c>
      <c r="H609" t="s">
        <v>4455</v>
      </c>
      <c r="I609" t="s">
        <v>3693</v>
      </c>
      <c r="J609" t="s">
        <v>3694</v>
      </c>
      <c r="K609" t="s">
        <v>3680</v>
      </c>
      <c r="L609" t="s">
        <v>3695</v>
      </c>
      <c r="N609" t="s">
        <v>4151</v>
      </c>
      <c r="O609" s="7">
        <v>27273</v>
      </c>
      <c r="R609" s="7">
        <v>2</v>
      </c>
      <c r="S609" t="s">
        <v>4806</v>
      </c>
      <c r="T609" t="s">
        <v>4807</v>
      </c>
      <c r="U609" s="7">
        <v>1</v>
      </c>
      <c r="V609" s="8">
        <v>450.31</v>
      </c>
      <c r="W609" t="s">
        <v>35</v>
      </c>
      <c r="Y609" t="s">
        <v>2269</v>
      </c>
      <c r="Z609" t="s">
        <v>2313</v>
      </c>
      <c r="AB609" s="8">
        <v>531.37</v>
      </c>
      <c r="AC609" s="7">
        <v>0</v>
      </c>
      <c r="AF609" s="8">
        <v>531.37</v>
      </c>
    </row>
    <row r="610" spans="1:32" hidden="1">
      <c r="A610" s="7">
        <v>1016069</v>
      </c>
      <c r="B610" t="s">
        <v>4801</v>
      </c>
      <c r="C610" t="s">
        <v>4468</v>
      </c>
      <c r="D610" s="7">
        <v>7160260122027</v>
      </c>
      <c r="E610" t="s">
        <v>4802</v>
      </c>
      <c r="F610" t="s">
        <v>4803</v>
      </c>
      <c r="G610" t="s">
        <v>4791</v>
      </c>
      <c r="H610" t="s">
        <v>4455</v>
      </c>
      <c r="I610" t="s">
        <v>3693</v>
      </c>
      <c r="J610" t="s">
        <v>3694</v>
      </c>
      <c r="K610" t="s">
        <v>3680</v>
      </c>
      <c r="L610" t="s">
        <v>3695</v>
      </c>
      <c r="N610" t="s">
        <v>4151</v>
      </c>
      <c r="O610" s="7">
        <v>27273</v>
      </c>
      <c r="R610" s="7">
        <v>3</v>
      </c>
      <c r="S610" t="s">
        <v>4808</v>
      </c>
      <c r="T610" t="s">
        <v>2271</v>
      </c>
      <c r="U610" s="7">
        <v>1</v>
      </c>
      <c r="V610" s="7">
        <v>125</v>
      </c>
      <c r="W610" t="s">
        <v>35</v>
      </c>
      <c r="Y610" t="s">
        <v>2269</v>
      </c>
      <c r="Z610" t="s">
        <v>2313</v>
      </c>
      <c r="AB610" s="8">
        <v>147.5</v>
      </c>
      <c r="AC610" s="7">
        <v>0</v>
      </c>
      <c r="AF610" s="8">
        <v>147.5</v>
      </c>
    </row>
    <row r="611" spans="1:32">
      <c r="A611" s="7"/>
      <c r="D611" s="7"/>
      <c r="M611" s="7"/>
      <c r="O611" s="7"/>
      <c r="R611" s="7"/>
      <c r="U611" s="7"/>
      <c r="Z611" s="7"/>
      <c r="AB611" s="8"/>
      <c r="AC611" s="7"/>
      <c r="AF611" s="8"/>
    </row>
    <row r="612" spans="1:32">
      <c r="A612" s="7"/>
      <c r="D612" s="7"/>
      <c r="M612" s="7"/>
      <c r="O612" s="7"/>
      <c r="R612" s="7"/>
      <c r="U612" s="7"/>
      <c r="Z612" s="7"/>
      <c r="AB612" s="8"/>
      <c r="AC612" s="7"/>
      <c r="AF612" s="8"/>
    </row>
    <row r="613" spans="1:32">
      <c r="A613" s="7"/>
      <c r="D613" s="7"/>
      <c r="M613" s="7"/>
      <c r="O613" s="7"/>
      <c r="R613" s="7"/>
      <c r="U613" s="7"/>
      <c r="Z613" s="7"/>
      <c r="AB613" s="8"/>
      <c r="AC613" s="7"/>
      <c r="AF613" s="8"/>
    </row>
    <row r="614" spans="1:32">
      <c r="A614" s="7"/>
      <c r="D614" s="7"/>
      <c r="M614" s="7"/>
      <c r="O614" s="7"/>
      <c r="R614" s="7"/>
      <c r="U614" s="7"/>
      <c r="Z614" s="7"/>
      <c r="AB614" s="8"/>
      <c r="AC614" s="7"/>
      <c r="AF614" s="8"/>
    </row>
    <row r="615" spans="1:32">
      <c r="A615" s="7"/>
      <c r="D615" s="7"/>
      <c r="O615" s="7"/>
      <c r="R615" s="7"/>
      <c r="U615" s="7"/>
      <c r="V615" s="7"/>
      <c r="Z615" s="7"/>
      <c r="AB615" s="8"/>
      <c r="AC615" s="7"/>
      <c r="AF615" s="8"/>
    </row>
    <row r="616" spans="1:32">
      <c r="A616" s="7"/>
      <c r="D616" s="7"/>
      <c r="O616" s="7"/>
      <c r="R616" s="7"/>
      <c r="U616" s="7"/>
      <c r="Z616" s="7"/>
      <c r="AB616" s="8"/>
      <c r="AC616" s="7"/>
      <c r="AF616" s="8"/>
    </row>
    <row r="617" spans="1:32">
      <c r="A617" s="7"/>
      <c r="D617" s="7"/>
      <c r="O617" s="7"/>
      <c r="R617" s="7"/>
      <c r="U617" s="7"/>
      <c r="Z617" s="7"/>
      <c r="AB617" s="8"/>
      <c r="AC617" s="7"/>
      <c r="AF617" s="8"/>
    </row>
    <row r="618" spans="1:32">
      <c r="A618" s="7"/>
      <c r="D618" s="7"/>
      <c r="O618" s="7"/>
      <c r="R618" s="7"/>
      <c r="U618" s="7"/>
      <c r="V618" s="7"/>
      <c r="Z618" s="7"/>
      <c r="AB618" s="8"/>
      <c r="AC618" s="7"/>
      <c r="AF618" s="8"/>
    </row>
    <row r="619" spans="1:32">
      <c r="A619" s="7"/>
      <c r="D619" s="7"/>
      <c r="O619" s="7"/>
      <c r="R619" s="7"/>
      <c r="U619" s="7"/>
      <c r="Z619" s="7"/>
      <c r="AB619" s="8"/>
      <c r="AC619" s="7"/>
      <c r="AF619" s="8"/>
    </row>
    <row r="620" spans="1:32">
      <c r="A620" s="7"/>
      <c r="D620" s="7"/>
      <c r="O620" s="7"/>
      <c r="R620" s="7"/>
      <c r="U620" s="7"/>
      <c r="Z620" s="7"/>
      <c r="AB620" s="8"/>
      <c r="AC620" s="7"/>
      <c r="AF620" s="8"/>
    </row>
    <row r="621" spans="1:32">
      <c r="A621" s="7"/>
      <c r="D621" s="7"/>
      <c r="O621" s="7"/>
      <c r="R621" s="7"/>
      <c r="U621" s="7"/>
      <c r="V621" s="7"/>
      <c r="Z621" s="7"/>
      <c r="AB621" s="8"/>
      <c r="AC621" s="7"/>
      <c r="AF621" s="8"/>
    </row>
    <row r="622" spans="1:32">
      <c r="A622" s="7"/>
      <c r="D622" s="7"/>
      <c r="O622" s="7"/>
      <c r="R622" s="7"/>
      <c r="U622" s="7"/>
      <c r="Z622" s="7"/>
      <c r="AB622" s="8"/>
      <c r="AC622" s="7"/>
      <c r="AF622" s="8"/>
    </row>
    <row r="623" spans="1:32">
      <c r="A623" s="7"/>
      <c r="D623" s="7"/>
      <c r="O623" s="7"/>
      <c r="R623" s="7"/>
      <c r="U623" s="7"/>
      <c r="Z623" s="7"/>
      <c r="AB623" s="8"/>
      <c r="AC623" s="7"/>
      <c r="AF623" s="8"/>
    </row>
    <row r="624" spans="1:32">
      <c r="A624" s="7"/>
      <c r="D624" s="7"/>
      <c r="O624" s="7"/>
      <c r="R624" s="7"/>
      <c r="U624" s="7"/>
      <c r="V624" s="7"/>
      <c r="X624" s="7"/>
      <c r="AB624" s="8"/>
      <c r="AC624" s="8"/>
      <c r="AF624" s="7"/>
    </row>
    <row r="625" spans="1:32">
      <c r="A625" s="7"/>
      <c r="D625" s="7"/>
      <c r="M625" s="7"/>
      <c r="O625" s="7"/>
      <c r="R625" s="7"/>
      <c r="U625" s="7"/>
      <c r="V625" s="8"/>
      <c r="AB625" s="8"/>
      <c r="AC625" s="7"/>
      <c r="AF625" s="8"/>
    </row>
    <row r="626" spans="1:32">
      <c r="A626" s="7"/>
      <c r="D626" s="7"/>
      <c r="M626" s="7"/>
      <c r="O626" s="7"/>
      <c r="R626" s="7"/>
      <c r="U626" s="7"/>
      <c r="V626" s="7"/>
      <c r="AB626" s="8"/>
      <c r="AC626" s="7"/>
      <c r="AF626" s="8"/>
    </row>
    <row r="627" spans="1:32">
      <c r="A627" s="7"/>
      <c r="D627" s="7"/>
      <c r="O627" s="7"/>
      <c r="R627" s="7"/>
      <c r="U627" s="7"/>
      <c r="V627" s="8"/>
      <c r="AB627" s="8"/>
      <c r="AC627" s="7"/>
      <c r="AF627" s="8"/>
    </row>
    <row r="628" spans="1:32">
      <c r="A628" s="7"/>
      <c r="D628" s="7"/>
      <c r="O628" s="7"/>
      <c r="R628" s="7"/>
      <c r="U628" s="7"/>
      <c r="AB628" s="8"/>
      <c r="AC628" s="7"/>
      <c r="AF628" s="8"/>
    </row>
    <row r="629" spans="1:32">
      <c r="A629" s="7"/>
      <c r="D629" s="7"/>
      <c r="O629" s="7"/>
      <c r="R629" s="7"/>
      <c r="U629" s="7"/>
      <c r="AB629" s="8"/>
      <c r="AC629" s="7"/>
      <c r="AF629" s="8"/>
    </row>
    <row r="630" spans="1:32">
      <c r="A630" s="7"/>
      <c r="D630" s="7"/>
      <c r="O630" s="7"/>
      <c r="R630" s="7"/>
      <c r="U630" s="7"/>
      <c r="AB630" s="8"/>
      <c r="AC630" s="7"/>
      <c r="AF630" s="8"/>
    </row>
    <row r="631" spans="1:32">
      <c r="A631" s="7"/>
      <c r="D631" s="7"/>
      <c r="O631" s="7"/>
      <c r="R631" s="7"/>
      <c r="U631" s="7"/>
      <c r="AB631" s="8"/>
      <c r="AC631" s="7"/>
      <c r="AF631" s="8"/>
    </row>
    <row r="632" spans="1:32">
      <c r="A632" s="7"/>
      <c r="D632" s="7"/>
      <c r="O632" s="7"/>
      <c r="R632" s="7"/>
      <c r="U632" s="7"/>
      <c r="AB632" s="8"/>
      <c r="AC632" s="7"/>
      <c r="AF632" s="8"/>
    </row>
    <row r="633" spans="1:32">
      <c r="A633" s="7"/>
      <c r="D633" s="7"/>
      <c r="O633" s="7"/>
      <c r="R633" s="7"/>
      <c r="U633" s="7"/>
      <c r="AB633" s="8"/>
      <c r="AC633" s="7"/>
      <c r="AF633" s="8"/>
    </row>
    <row r="634" spans="1:32">
      <c r="A634" s="7"/>
      <c r="D634" s="7"/>
      <c r="O634" s="7"/>
      <c r="R634" s="7"/>
      <c r="U634" s="7"/>
      <c r="AB634" s="8"/>
      <c r="AC634" s="7"/>
      <c r="AF634" s="8"/>
    </row>
    <row r="635" spans="1:32">
      <c r="A635" s="7"/>
      <c r="D635" s="7"/>
      <c r="O635" s="7"/>
      <c r="R635" s="7"/>
      <c r="U635" s="7"/>
      <c r="AB635" s="8"/>
      <c r="AC635" s="7"/>
      <c r="AF635" s="8"/>
    </row>
    <row r="636" spans="1:32">
      <c r="A636" s="7"/>
      <c r="D636" s="7"/>
      <c r="O636" s="7"/>
      <c r="R636" s="7"/>
      <c r="U636" s="7"/>
      <c r="AB636" s="8"/>
      <c r="AC636" s="7"/>
      <c r="AF636" s="8"/>
    </row>
    <row r="637" spans="1:32">
      <c r="A637" s="7"/>
      <c r="D637" s="7"/>
      <c r="O637" s="7"/>
      <c r="R637" s="7"/>
      <c r="U637" s="7"/>
      <c r="AB637" s="8"/>
      <c r="AC637" s="7"/>
      <c r="AF637" s="8"/>
    </row>
    <row r="638" spans="1:32">
      <c r="A638" s="7"/>
      <c r="D638" s="7"/>
      <c r="O638" s="7"/>
      <c r="R638" s="7"/>
      <c r="U638" s="7"/>
      <c r="AB638" s="8"/>
      <c r="AC638" s="7"/>
      <c r="AF638" s="8"/>
    </row>
    <row r="639" spans="1:32">
      <c r="A639" s="7"/>
      <c r="D639" s="7"/>
      <c r="O639" s="7"/>
      <c r="R639" s="7"/>
      <c r="U639" s="7"/>
      <c r="AB639" s="8"/>
      <c r="AC639" s="7"/>
      <c r="AF639" s="8"/>
    </row>
    <row r="640" spans="1:32">
      <c r="A640" s="7"/>
      <c r="D640" s="7"/>
      <c r="O640" s="7"/>
      <c r="R640" s="7"/>
      <c r="U640" s="7"/>
      <c r="AB640" s="8"/>
      <c r="AC640" s="7"/>
      <c r="AF640" s="8"/>
    </row>
    <row r="641" spans="1:32">
      <c r="A641" s="7"/>
      <c r="D641" s="7"/>
      <c r="O641" s="7"/>
      <c r="R641" s="7"/>
      <c r="U641" s="7"/>
      <c r="AB641" s="8"/>
      <c r="AC641" s="7"/>
      <c r="AF641" s="8"/>
    </row>
    <row r="642" spans="1:32">
      <c r="A642" s="7"/>
      <c r="D642" s="7"/>
      <c r="O642" s="7"/>
      <c r="R642" s="7"/>
      <c r="U642" s="7"/>
      <c r="AB642" s="8"/>
      <c r="AC642" s="7"/>
      <c r="AF642" s="8"/>
    </row>
    <row r="643" spans="1:32">
      <c r="A643" s="7"/>
      <c r="D643" s="7"/>
      <c r="O643" s="7"/>
      <c r="R643" s="7"/>
      <c r="U643" s="7"/>
      <c r="AB643" s="8"/>
      <c r="AC643" s="7"/>
      <c r="AF643" s="8"/>
    </row>
    <row r="644" spans="1:32">
      <c r="A644" s="7"/>
      <c r="D644" s="7"/>
      <c r="O644" s="7"/>
      <c r="R644" s="7"/>
      <c r="U644" s="7"/>
      <c r="AB644" s="8"/>
      <c r="AC644" s="7"/>
      <c r="AF644" s="8"/>
    </row>
    <row r="645" spans="1:32">
      <c r="A645" s="7"/>
      <c r="D645" s="7"/>
      <c r="O645" s="7"/>
      <c r="R645" s="7"/>
      <c r="U645" s="7"/>
      <c r="AB645" s="8"/>
      <c r="AC645" s="7"/>
      <c r="AF645" s="8"/>
    </row>
    <row r="646" spans="1:32">
      <c r="A646" s="7"/>
      <c r="D646" s="7"/>
      <c r="O646" s="7"/>
      <c r="R646" s="7"/>
      <c r="U646" s="7"/>
      <c r="AB646" s="8"/>
      <c r="AC646" s="7"/>
      <c r="AF646" s="8"/>
    </row>
    <row r="647" spans="1:32">
      <c r="A647" s="7"/>
      <c r="D647" s="7"/>
      <c r="O647" s="7"/>
      <c r="R647" s="7"/>
      <c r="U647" s="7"/>
      <c r="AB647" s="8"/>
      <c r="AC647" s="7"/>
      <c r="AF647" s="8"/>
    </row>
    <row r="648" spans="1:32">
      <c r="A648" s="7"/>
      <c r="D648" s="7"/>
      <c r="O648" s="7"/>
      <c r="R648" s="7"/>
      <c r="U648" s="7"/>
      <c r="AB648" s="8"/>
      <c r="AC648" s="7"/>
      <c r="AF648" s="8"/>
    </row>
    <row r="649" spans="1:32">
      <c r="A649" s="7"/>
      <c r="D649" s="7"/>
      <c r="O649" s="7"/>
      <c r="R649" s="7"/>
      <c r="U649" s="7"/>
      <c r="AB649" s="8"/>
      <c r="AC649" s="7"/>
      <c r="AF649" s="8"/>
    </row>
    <row r="650" spans="1:32">
      <c r="A650" s="7"/>
      <c r="D650" s="7"/>
      <c r="O650" s="7"/>
      <c r="R650" s="7"/>
      <c r="U650" s="7"/>
      <c r="AB650" s="8"/>
      <c r="AC650" s="7"/>
      <c r="AF650" s="8"/>
    </row>
    <row r="651" spans="1:32">
      <c r="A651" s="7"/>
      <c r="D651" s="7"/>
      <c r="O651" s="7"/>
      <c r="R651" s="7"/>
      <c r="U651" s="7"/>
      <c r="AB651" s="8"/>
      <c r="AC651" s="7"/>
      <c r="AF651" s="8"/>
    </row>
    <row r="652" spans="1:32">
      <c r="A652" s="7"/>
      <c r="D652" s="7"/>
      <c r="O652" s="7"/>
      <c r="R652" s="7"/>
      <c r="U652" s="7"/>
      <c r="AB652" s="8"/>
      <c r="AC652" s="7"/>
      <c r="AF652" s="8"/>
    </row>
    <row r="653" spans="1:32">
      <c r="A653" s="7"/>
      <c r="D653" s="7"/>
      <c r="O653" s="7"/>
      <c r="R653" s="7"/>
      <c r="U653" s="7"/>
      <c r="AB653" s="8"/>
      <c r="AC653" s="7"/>
      <c r="AF653" s="8"/>
    </row>
    <row r="654" spans="1:32">
      <c r="A654" s="7"/>
      <c r="D654" s="7"/>
      <c r="M654" s="7"/>
      <c r="O654" s="7"/>
      <c r="R654" s="7"/>
      <c r="U654" s="7"/>
      <c r="AB654" s="8"/>
      <c r="AC654" s="7"/>
      <c r="AF654" s="8"/>
    </row>
    <row r="655" spans="1:32">
      <c r="A655" s="7"/>
      <c r="D655" s="7"/>
      <c r="O655" s="7"/>
      <c r="R655" s="7"/>
      <c r="U655" s="7"/>
      <c r="V655" s="8"/>
      <c r="AB655" s="8"/>
      <c r="AC655" s="7"/>
      <c r="AF655" s="8"/>
    </row>
    <row r="656" spans="1:32">
      <c r="A656" s="7"/>
      <c r="D656" s="7"/>
      <c r="O656" s="7"/>
      <c r="R656" s="7"/>
      <c r="U656" s="7"/>
      <c r="V656" s="8"/>
      <c r="AB656" s="8"/>
      <c r="AC656" s="7"/>
      <c r="AF656" s="8"/>
    </row>
    <row r="657" spans="1:32">
      <c r="A657" s="7"/>
      <c r="D657" s="7"/>
      <c r="M657" s="7"/>
      <c r="O657" s="7"/>
      <c r="R657" s="7"/>
      <c r="U657" s="7"/>
      <c r="AB657" s="8"/>
      <c r="AC657" s="7"/>
      <c r="AF657" s="8"/>
    </row>
    <row r="658" spans="1:32">
      <c r="A658" s="7"/>
      <c r="D658" s="7"/>
      <c r="M658" s="7"/>
      <c r="O658" s="7"/>
      <c r="R658" s="7"/>
      <c r="U658" s="7"/>
      <c r="AB658" s="8"/>
      <c r="AC658" s="7"/>
      <c r="AF658" s="8"/>
    </row>
    <row r="659" spans="1:32">
      <c r="A659" s="7"/>
      <c r="D659" s="7"/>
      <c r="M659" s="7"/>
      <c r="O659" s="7"/>
      <c r="R659" s="7"/>
      <c r="U659" s="7"/>
      <c r="AB659" s="8"/>
      <c r="AC659" s="7"/>
      <c r="AF659" s="8"/>
    </row>
    <row r="660" spans="1:32">
      <c r="A660" s="7"/>
      <c r="D660" s="7"/>
      <c r="M660" s="7"/>
      <c r="O660" s="7"/>
      <c r="R660" s="7"/>
      <c r="U660" s="7"/>
      <c r="AB660" s="8"/>
      <c r="AC660" s="7"/>
      <c r="AF660" s="8"/>
    </row>
    <row r="661" spans="1:32">
      <c r="A661" s="7"/>
      <c r="D661" s="7"/>
      <c r="M661" s="7"/>
      <c r="O661" s="7"/>
      <c r="R661" s="7"/>
      <c r="U661" s="7"/>
      <c r="AB661" s="8"/>
      <c r="AC661" s="7"/>
      <c r="AF661" s="8"/>
    </row>
    <row r="662" spans="1:32">
      <c r="A662" s="7"/>
      <c r="D662" s="7"/>
      <c r="M662" s="7"/>
      <c r="O662" s="7"/>
      <c r="R662" s="7"/>
      <c r="U662" s="7"/>
      <c r="AB662" s="8"/>
      <c r="AC662" s="7"/>
      <c r="AF662" s="8"/>
    </row>
    <row r="663" spans="1:32">
      <c r="A663" s="7"/>
      <c r="D663" s="7"/>
      <c r="M663" s="7"/>
      <c r="O663" s="7"/>
      <c r="R663" s="7"/>
      <c r="U663" s="7"/>
      <c r="AB663" s="8"/>
      <c r="AC663" s="7"/>
      <c r="AF663" s="8"/>
    </row>
    <row r="664" spans="1:32">
      <c r="A664" s="7"/>
      <c r="D664" s="7"/>
      <c r="M664" s="7"/>
      <c r="O664" s="7"/>
      <c r="R664" s="7"/>
      <c r="U664" s="7"/>
      <c r="AB664" s="8"/>
      <c r="AC664" s="7"/>
      <c r="AF664" s="8"/>
    </row>
    <row r="665" spans="1:32">
      <c r="A665" s="7"/>
      <c r="D665" s="7"/>
      <c r="M665" s="7"/>
      <c r="O665" s="7"/>
      <c r="R665" s="7"/>
      <c r="U665" s="7"/>
      <c r="AB665" s="8"/>
      <c r="AC665" s="7"/>
      <c r="AF665" s="8"/>
    </row>
    <row r="666" spans="1:32">
      <c r="A666" s="7"/>
      <c r="D666" s="7"/>
      <c r="M666" s="7"/>
      <c r="O666" s="7"/>
      <c r="R666" s="7"/>
      <c r="U666" s="7"/>
      <c r="AB666" s="8"/>
      <c r="AC666" s="7"/>
      <c r="AF666" s="8"/>
    </row>
    <row r="667" spans="1:32">
      <c r="A667" s="7"/>
      <c r="D667" s="7"/>
      <c r="M667" s="7"/>
      <c r="O667" s="7"/>
      <c r="R667" s="7"/>
      <c r="U667" s="7"/>
      <c r="AB667" s="8"/>
      <c r="AC667" s="7"/>
      <c r="AF667" s="8"/>
    </row>
    <row r="668" spans="1:32">
      <c r="A668" s="7"/>
      <c r="D668" s="7"/>
      <c r="M668" s="7"/>
      <c r="O668" s="7"/>
      <c r="R668" s="7"/>
      <c r="U668" s="7"/>
      <c r="AB668" s="8"/>
      <c r="AC668" s="7"/>
      <c r="AF668" s="8"/>
    </row>
    <row r="669" spans="1:32">
      <c r="A669" s="7"/>
      <c r="D669" s="7"/>
      <c r="M669" s="7"/>
      <c r="O669" s="7"/>
      <c r="R669" s="7"/>
      <c r="U669" s="7"/>
      <c r="AB669" s="8"/>
      <c r="AC669" s="7"/>
      <c r="AF669" s="8"/>
    </row>
    <row r="670" spans="1:32">
      <c r="A670" s="7"/>
      <c r="D670" s="7"/>
      <c r="M670" s="7"/>
      <c r="O670" s="7"/>
      <c r="R670" s="7"/>
      <c r="U670" s="7"/>
      <c r="AB670" s="8"/>
      <c r="AC670" s="7"/>
      <c r="AF670" s="8"/>
    </row>
    <row r="671" spans="1:32">
      <c r="A671" s="7"/>
      <c r="D671" s="7"/>
      <c r="M671" s="7"/>
      <c r="O671" s="7"/>
      <c r="R671" s="7"/>
      <c r="U671" s="7"/>
      <c r="AB671" s="8"/>
      <c r="AC671" s="7"/>
      <c r="AF671" s="8"/>
    </row>
    <row r="672" spans="1:32">
      <c r="A672" s="7"/>
      <c r="D672" s="7"/>
      <c r="M672" s="7"/>
      <c r="O672" s="7"/>
      <c r="R672" s="7"/>
      <c r="U672" s="7"/>
      <c r="AB672" s="8"/>
      <c r="AC672" s="7"/>
      <c r="AF672" s="8"/>
    </row>
    <row r="673" spans="1:32">
      <c r="A673" s="7"/>
      <c r="D673" s="7"/>
      <c r="M673" s="7"/>
      <c r="O673" s="7"/>
      <c r="R673" s="7"/>
      <c r="U673" s="7"/>
      <c r="AB673" s="8"/>
      <c r="AC673" s="7"/>
      <c r="AF673" s="8"/>
    </row>
    <row r="674" spans="1:32">
      <c r="A674" s="7"/>
      <c r="D674" s="7"/>
      <c r="M674" s="7"/>
      <c r="O674" s="7"/>
      <c r="R674" s="7"/>
      <c r="U674" s="7"/>
      <c r="AB674" s="8"/>
      <c r="AC674" s="7"/>
      <c r="AF674" s="8"/>
    </row>
    <row r="675" spans="1:32">
      <c r="A675" s="7"/>
      <c r="D675" s="7"/>
      <c r="M675" s="7"/>
      <c r="O675" s="7"/>
      <c r="R675" s="7"/>
      <c r="U675" s="7"/>
      <c r="AB675" s="8"/>
      <c r="AC675" s="7"/>
      <c r="AF675" s="8"/>
    </row>
    <row r="676" spans="1:32">
      <c r="A676" s="7"/>
      <c r="D676" s="7"/>
      <c r="M676" s="7"/>
      <c r="O676" s="7"/>
      <c r="R676" s="7"/>
      <c r="U676" s="7"/>
      <c r="AB676" s="8"/>
      <c r="AC676" s="7"/>
      <c r="AF676" s="8"/>
    </row>
    <row r="677" spans="1:32">
      <c r="A677" s="7"/>
      <c r="D677" s="7"/>
      <c r="M677" s="7"/>
      <c r="O677" s="7"/>
      <c r="R677" s="7"/>
      <c r="U677" s="7"/>
      <c r="AB677" s="8"/>
      <c r="AC677" s="7"/>
      <c r="AF677" s="8"/>
    </row>
    <row r="678" spans="1:32">
      <c r="A678" s="7"/>
      <c r="D678" s="7"/>
      <c r="M678" s="7"/>
      <c r="O678" s="7"/>
      <c r="R678" s="7"/>
      <c r="U678" s="7"/>
      <c r="V678" s="8"/>
      <c r="AB678" s="8"/>
      <c r="AC678" s="7"/>
      <c r="AF678" s="8"/>
    </row>
    <row r="679" spans="1:32">
      <c r="A679" s="7"/>
      <c r="D679" s="7"/>
      <c r="M679" s="7"/>
      <c r="O679" s="7"/>
      <c r="R679" s="7"/>
      <c r="U679" s="7"/>
      <c r="V679" s="8"/>
      <c r="AB679" s="8"/>
      <c r="AC679" s="7"/>
      <c r="AF679" s="8"/>
    </row>
    <row r="680" spans="1:32">
      <c r="A680" s="7"/>
      <c r="D680" s="7"/>
      <c r="M680" s="7"/>
      <c r="O680" s="7"/>
      <c r="R680" s="7"/>
      <c r="U680" s="7"/>
      <c r="V680" s="8"/>
      <c r="AB680" s="8"/>
      <c r="AC680" s="7"/>
      <c r="AF680" s="8"/>
    </row>
    <row r="681" spans="1:32">
      <c r="A681" s="7"/>
      <c r="D681" s="7"/>
      <c r="M681" s="7"/>
      <c r="O681" s="7"/>
      <c r="R681" s="7"/>
      <c r="U681" s="7"/>
      <c r="V681" s="7"/>
      <c r="AB681" s="8"/>
      <c r="AC681" s="7"/>
      <c r="AF681" s="8"/>
    </row>
    <row r="682" spans="1:32">
      <c r="A682" s="7"/>
      <c r="D682" s="7"/>
      <c r="M682" s="7"/>
      <c r="O682" s="7"/>
      <c r="R682" s="7"/>
      <c r="U682" s="7"/>
      <c r="V682" s="8"/>
      <c r="AB682" s="8"/>
      <c r="AC682" s="7"/>
      <c r="AF682" s="8"/>
    </row>
    <row r="683" spans="1:32">
      <c r="A683" s="7"/>
      <c r="D683" s="7"/>
      <c r="M683" s="7"/>
      <c r="O683" s="7"/>
      <c r="R683" s="7"/>
      <c r="U683" s="7"/>
      <c r="V683" s="8"/>
      <c r="AB683" s="8"/>
      <c r="AC683" s="7"/>
      <c r="AF683" s="8"/>
    </row>
    <row r="684" spans="1:32">
      <c r="A684" s="7"/>
      <c r="D684" s="7"/>
      <c r="M684" s="7"/>
      <c r="O684" s="7"/>
      <c r="R684" s="7"/>
      <c r="U684" s="7"/>
      <c r="V684" s="8"/>
      <c r="AB684" s="8"/>
      <c r="AC684" s="7"/>
      <c r="AF684" s="8"/>
    </row>
    <row r="685" spans="1:32">
      <c r="A685" s="7"/>
      <c r="D685" s="7"/>
      <c r="M685" s="7"/>
      <c r="O685" s="7"/>
      <c r="R685" s="7"/>
      <c r="U685" s="7"/>
      <c r="V685" s="8"/>
      <c r="AB685" s="8"/>
      <c r="AC685" s="7"/>
      <c r="AF685" s="8"/>
    </row>
    <row r="686" spans="1:32">
      <c r="A686" s="7"/>
      <c r="D686" s="7"/>
      <c r="M686" s="7"/>
      <c r="O686" s="7"/>
      <c r="R686" s="7"/>
      <c r="U686" s="7"/>
      <c r="V686" s="8"/>
      <c r="AB686" s="8"/>
      <c r="AC686" s="7"/>
      <c r="AF686" s="8"/>
    </row>
    <row r="687" spans="1:32">
      <c r="A687" s="7"/>
      <c r="D687" s="7"/>
      <c r="M687" s="7"/>
      <c r="O687" s="7"/>
      <c r="R687" s="7"/>
      <c r="U687" s="7"/>
      <c r="V687" s="8"/>
      <c r="AB687" s="8"/>
      <c r="AC687" s="7"/>
      <c r="AF687" s="8"/>
    </row>
    <row r="688" spans="1:32">
      <c r="A688" s="7"/>
      <c r="D688" s="7"/>
      <c r="M688" s="7"/>
      <c r="O688" s="7"/>
      <c r="R688" s="7"/>
      <c r="U688" s="7"/>
      <c r="AB688" s="8"/>
      <c r="AC688" s="7"/>
      <c r="AF688" s="8"/>
    </row>
    <row r="689" spans="1:32">
      <c r="A689" s="7"/>
      <c r="D689" s="7"/>
      <c r="M689" s="7"/>
      <c r="O689" s="7"/>
      <c r="R689" s="7"/>
      <c r="U689" s="7"/>
      <c r="V689" s="8"/>
      <c r="AB689" s="8"/>
      <c r="AC689" s="7"/>
      <c r="AF689" s="8"/>
    </row>
    <row r="690" spans="1:32">
      <c r="A690" s="7"/>
      <c r="D690" s="7"/>
      <c r="M690" s="7"/>
      <c r="O690" s="7"/>
      <c r="R690" s="7"/>
      <c r="U690" s="7"/>
      <c r="V690" s="8"/>
      <c r="AB690" s="8"/>
      <c r="AC690" s="7"/>
      <c r="AF690" s="8"/>
    </row>
    <row r="691" spans="1:32">
      <c r="A691" s="7"/>
      <c r="D691" s="7"/>
      <c r="M691" s="7"/>
      <c r="O691" s="7"/>
      <c r="R691" s="7"/>
      <c r="U691" s="7"/>
      <c r="V691" s="7"/>
      <c r="AB691" s="7"/>
      <c r="AC691" s="7"/>
      <c r="AF691" s="7"/>
    </row>
    <row r="692" spans="1:32">
      <c r="A692" s="7"/>
      <c r="D692" s="7"/>
      <c r="M692" s="7"/>
      <c r="O692" s="7"/>
      <c r="R692" s="7"/>
      <c r="U692" s="7"/>
      <c r="V692" s="7"/>
      <c r="AB692" s="7"/>
      <c r="AC692" s="7"/>
      <c r="AF692" s="7"/>
    </row>
    <row r="693" spans="1:32">
      <c r="A693" s="7"/>
      <c r="D693" s="7"/>
      <c r="M693" s="7"/>
      <c r="O693" s="7"/>
      <c r="R693" s="7"/>
      <c r="U693" s="7"/>
      <c r="V693" s="7"/>
      <c r="AB693" s="7"/>
      <c r="AC693" s="7"/>
      <c r="AF693" s="7"/>
    </row>
    <row r="694" spans="1:32">
      <c r="A694" s="7"/>
      <c r="D694" s="7"/>
      <c r="M694" s="7"/>
      <c r="O694" s="7"/>
      <c r="R694" s="7"/>
      <c r="U694" s="7"/>
      <c r="V694" s="7"/>
      <c r="AB694" s="7"/>
      <c r="AC694" s="7"/>
      <c r="AF694" s="7"/>
    </row>
    <row r="695" spans="1:32">
      <c r="A695" s="7"/>
      <c r="D695" s="7"/>
      <c r="M695" s="7"/>
      <c r="O695" s="7"/>
      <c r="R695" s="7"/>
      <c r="U695" s="7"/>
      <c r="V695" s="8"/>
      <c r="AB695" s="8"/>
      <c r="AC695" s="7"/>
      <c r="AF695" s="8"/>
    </row>
    <row r="696" spans="1:32">
      <c r="A696" s="7"/>
      <c r="D696" s="7"/>
      <c r="M696" s="7"/>
      <c r="O696" s="7"/>
      <c r="R696" s="7"/>
      <c r="U696" s="7"/>
      <c r="V696" s="8"/>
      <c r="AB696" s="8"/>
      <c r="AC696" s="7"/>
      <c r="AF696" s="8"/>
    </row>
    <row r="697" spans="1:32">
      <c r="A697" s="7"/>
      <c r="D697" s="7"/>
      <c r="M697" s="7"/>
      <c r="O697" s="7"/>
      <c r="R697" s="7"/>
      <c r="U697" s="7"/>
      <c r="V697" s="7"/>
      <c r="AB697" s="7"/>
      <c r="AC697" s="7"/>
      <c r="AF697" s="7"/>
    </row>
    <row r="698" spans="1:32">
      <c r="A698" s="7"/>
      <c r="D698" s="7"/>
      <c r="M698" s="7"/>
      <c r="O698" s="7"/>
      <c r="R698" s="7"/>
      <c r="U698" s="7"/>
      <c r="V698" s="7"/>
      <c r="AB698" s="7"/>
      <c r="AC698" s="7"/>
      <c r="AF698" s="7"/>
    </row>
    <row r="699" spans="1:32">
      <c r="A699" s="7"/>
      <c r="D699" s="7"/>
      <c r="M699" s="7"/>
      <c r="O699" s="7"/>
      <c r="R699" s="7"/>
      <c r="U699" s="7"/>
      <c r="V699" s="8"/>
      <c r="AB699" s="8"/>
      <c r="AC699" s="7"/>
      <c r="AF699" s="8"/>
    </row>
    <row r="700" spans="1:32">
      <c r="A700" s="7"/>
      <c r="D700" s="7"/>
      <c r="M700" s="7"/>
      <c r="O700" s="7"/>
      <c r="R700" s="7"/>
      <c r="U700" s="7"/>
      <c r="V700" s="8"/>
      <c r="X700" s="7"/>
      <c r="AB700" s="8"/>
      <c r="AC700" s="8"/>
      <c r="AF700" s="7"/>
    </row>
    <row r="701" spans="1:32">
      <c r="A701" s="7"/>
      <c r="D701" s="7"/>
      <c r="M701" s="7"/>
      <c r="O701" s="7"/>
      <c r="R701" s="7"/>
      <c r="U701" s="7"/>
      <c r="V701" s="7"/>
      <c r="AB701" s="8"/>
      <c r="AC701" s="7"/>
      <c r="AF701" s="8"/>
    </row>
    <row r="702" spans="1:32">
      <c r="A702" s="7"/>
      <c r="D702" s="7"/>
      <c r="M702" s="7"/>
      <c r="O702" s="7"/>
      <c r="R702" s="7"/>
      <c r="U702" s="7"/>
      <c r="V702" s="7"/>
      <c r="AB702" s="7"/>
      <c r="AC702" s="7"/>
      <c r="AF702" s="7"/>
    </row>
    <row r="703" spans="1:32">
      <c r="A703" s="7"/>
      <c r="D703" s="7"/>
      <c r="M703" s="7"/>
      <c r="O703" s="7"/>
      <c r="R703" s="7"/>
      <c r="U703" s="7"/>
      <c r="V703" s="7"/>
      <c r="AB703" s="7"/>
      <c r="AC703" s="7"/>
      <c r="AF703" s="7"/>
    </row>
    <row r="704" spans="1:32">
      <c r="A704" s="7"/>
      <c r="D704" s="7"/>
      <c r="M704" s="7"/>
      <c r="O704" s="7"/>
      <c r="R704" s="7"/>
      <c r="U704" s="7"/>
      <c r="V704" s="7"/>
      <c r="AB704" s="7"/>
      <c r="AC704" s="7"/>
      <c r="AF704" s="7"/>
    </row>
    <row r="705" spans="1:32">
      <c r="A705" s="7"/>
      <c r="D705" s="7"/>
      <c r="M705" s="7"/>
      <c r="O705" s="7"/>
      <c r="R705" s="7"/>
      <c r="U705" s="7"/>
      <c r="V705" s="7"/>
      <c r="AB705" s="7"/>
      <c r="AC705" s="7"/>
      <c r="AF705" s="7"/>
    </row>
    <row r="706" spans="1:32">
      <c r="A706" s="7"/>
      <c r="D706" s="7"/>
      <c r="M706" s="7"/>
      <c r="O706" s="7"/>
      <c r="R706" s="7"/>
      <c r="U706" s="7"/>
      <c r="V706" s="8"/>
      <c r="AB706" s="8"/>
      <c r="AC706" s="7"/>
      <c r="AF706" s="8"/>
    </row>
    <row r="707" spans="1:32">
      <c r="A707" s="7"/>
      <c r="D707" s="7"/>
      <c r="M707" s="7"/>
      <c r="O707" s="7"/>
      <c r="R707" s="7"/>
      <c r="U707" s="7"/>
      <c r="V707" s="8"/>
      <c r="AB707" s="8"/>
      <c r="AC707" s="7"/>
      <c r="AF707" s="8"/>
    </row>
    <row r="708" spans="1:32">
      <c r="A708" s="7"/>
      <c r="D708" s="7"/>
      <c r="M708" s="7"/>
      <c r="O708" s="7"/>
      <c r="R708" s="7"/>
      <c r="U708" s="7"/>
      <c r="V708" s="7"/>
      <c r="AB708" s="7"/>
      <c r="AC708" s="7"/>
      <c r="AF708" s="7"/>
    </row>
    <row r="709" spans="1:32">
      <c r="A709" s="7"/>
      <c r="D709" s="7"/>
      <c r="M709" s="7"/>
      <c r="O709" s="7"/>
      <c r="R709" s="7"/>
      <c r="U709" s="7"/>
      <c r="V709" s="7"/>
      <c r="AB709" s="7"/>
      <c r="AC709" s="7"/>
      <c r="AF709" s="7"/>
    </row>
    <row r="710" spans="1:32">
      <c r="A710" s="7"/>
      <c r="D710" s="7"/>
      <c r="M710" s="7"/>
      <c r="O710" s="7"/>
      <c r="R710" s="7"/>
      <c r="U710" s="7"/>
      <c r="V710" s="7"/>
      <c r="AB710" s="7"/>
      <c r="AC710" s="7"/>
      <c r="AF710" s="7"/>
    </row>
    <row r="711" spans="1:32">
      <c r="A711" s="7"/>
      <c r="D711" s="7"/>
      <c r="M711" s="7"/>
      <c r="O711" s="7"/>
      <c r="R711" s="7"/>
      <c r="U711" s="7"/>
      <c r="V711" s="7"/>
      <c r="AB711" s="7"/>
      <c r="AC711" s="7"/>
      <c r="AF711" s="7"/>
    </row>
    <row r="712" spans="1:32">
      <c r="A712" s="7"/>
      <c r="D712" s="7"/>
      <c r="M712" s="7"/>
      <c r="O712" s="7"/>
      <c r="R712" s="7"/>
      <c r="U712" s="7"/>
      <c r="V712" s="8"/>
      <c r="AB712" s="8"/>
      <c r="AC712" s="7"/>
      <c r="AF712" s="8"/>
    </row>
    <row r="713" spans="1:32">
      <c r="A713" s="7"/>
      <c r="D713" s="7"/>
      <c r="M713" s="7"/>
      <c r="O713" s="7"/>
      <c r="R713" s="7"/>
      <c r="U713" s="7"/>
      <c r="AB713" s="8"/>
      <c r="AC713" s="7"/>
      <c r="AF713" s="8"/>
    </row>
    <row r="714" spans="1:32">
      <c r="A714" s="7"/>
      <c r="D714" s="7"/>
      <c r="M714" s="7"/>
      <c r="O714" s="7"/>
      <c r="R714" s="7"/>
      <c r="U714" s="7"/>
      <c r="V714" s="7"/>
      <c r="AB714" s="7"/>
      <c r="AC714" s="7"/>
      <c r="AF714" s="7"/>
    </row>
    <row r="715" spans="1:32">
      <c r="A715" s="7"/>
      <c r="D715" s="7"/>
      <c r="M715" s="7"/>
      <c r="O715" s="7"/>
      <c r="R715" s="7"/>
      <c r="U715" s="7"/>
      <c r="V715" s="7"/>
      <c r="AB715" s="7"/>
      <c r="AC715" s="7"/>
      <c r="AF715" s="7"/>
    </row>
    <row r="716" spans="1:32">
      <c r="A716" s="7"/>
      <c r="D716" s="7"/>
      <c r="M716" s="7"/>
      <c r="O716" s="7"/>
      <c r="R716" s="7"/>
      <c r="U716" s="7"/>
      <c r="V716" s="8"/>
      <c r="AB716" s="8"/>
      <c r="AC716" s="7"/>
      <c r="AF716" s="8"/>
    </row>
    <row r="717" spans="1:32">
      <c r="A717" s="7"/>
      <c r="D717" s="7"/>
      <c r="M717" s="7"/>
      <c r="O717" s="7"/>
      <c r="R717" s="7"/>
      <c r="U717" s="7"/>
      <c r="V717" s="8"/>
      <c r="AB717" s="8"/>
      <c r="AC717" s="7"/>
      <c r="AF717" s="8"/>
    </row>
    <row r="718" spans="1:32">
      <c r="A718" s="7"/>
      <c r="D718" s="7"/>
      <c r="M718" s="7"/>
      <c r="O718" s="7"/>
      <c r="R718" s="7"/>
      <c r="U718" s="7"/>
      <c r="V718" s="8"/>
      <c r="X718" s="7"/>
      <c r="AB718" s="8"/>
      <c r="AC718" s="8"/>
      <c r="AF718" s="7"/>
    </row>
    <row r="719" spans="1:32">
      <c r="A719" s="7"/>
      <c r="D719" s="7"/>
      <c r="M719" s="7"/>
      <c r="O719" s="7"/>
      <c r="R719" s="7"/>
      <c r="U719" s="7"/>
      <c r="V719" s="7"/>
      <c r="AB719" s="7"/>
      <c r="AC719" s="7"/>
      <c r="AF719" s="7"/>
    </row>
    <row r="720" spans="1:32">
      <c r="A720" s="7"/>
      <c r="D720" s="7"/>
      <c r="M720" s="7"/>
      <c r="O720" s="7"/>
      <c r="R720" s="7"/>
      <c r="U720" s="7"/>
      <c r="V720" s="7"/>
      <c r="AB720" s="7"/>
      <c r="AC720" s="7"/>
      <c r="AF720" s="7"/>
    </row>
    <row r="721" spans="1:32">
      <c r="A721" s="7"/>
      <c r="D721" s="7"/>
      <c r="M721" s="7"/>
      <c r="O721" s="7"/>
      <c r="R721" s="7"/>
      <c r="U721" s="7"/>
      <c r="V721" s="8"/>
      <c r="AB721" s="8"/>
      <c r="AC721" s="7"/>
      <c r="AF721" s="8"/>
    </row>
    <row r="722" spans="1:32">
      <c r="A722" s="7"/>
      <c r="D722" s="7"/>
      <c r="M722" s="7"/>
      <c r="O722" s="7"/>
      <c r="R722" s="7"/>
      <c r="U722" s="7"/>
      <c r="V722" s="7"/>
      <c r="AB722" s="8"/>
      <c r="AC722" s="7"/>
      <c r="AF722" s="8"/>
    </row>
    <row r="723" spans="1:32">
      <c r="A723" s="7"/>
      <c r="D723" s="7"/>
      <c r="O723" s="7"/>
      <c r="R723" s="7"/>
      <c r="U723" s="7"/>
      <c r="V723" s="8"/>
      <c r="X723" s="7"/>
      <c r="AB723" s="8"/>
      <c r="AC723" s="8"/>
      <c r="AF723" s="7"/>
    </row>
    <row r="724" spans="1:32">
      <c r="A724" s="7"/>
      <c r="D724" s="7"/>
      <c r="O724" s="7"/>
      <c r="R724" s="7"/>
      <c r="U724" s="7"/>
      <c r="V724" s="8"/>
      <c r="X724" s="7"/>
      <c r="AB724" s="8"/>
      <c r="AC724" s="8"/>
      <c r="AF724" s="7"/>
    </row>
    <row r="725" spans="1:32">
      <c r="A725" s="7"/>
      <c r="D725" s="7"/>
      <c r="M725" s="7"/>
      <c r="O725" s="7"/>
      <c r="R725" s="7"/>
      <c r="U725" s="7"/>
      <c r="V725" s="7"/>
      <c r="X725" s="7"/>
      <c r="AB725" s="8"/>
      <c r="AC725" s="8"/>
      <c r="AF725" s="7"/>
    </row>
    <row r="726" spans="1:32">
      <c r="A726" s="7"/>
      <c r="D726" s="7"/>
      <c r="O726" s="7"/>
      <c r="R726" s="7"/>
      <c r="U726" s="7"/>
      <c r="V726" s="8"/>
      <c r="AB726" s="8"/>
      <c r="AC726" s="7"/>
      <c r="AF726" s="8"/>
    </row>
    <row r="727" spans="1:32">
      <c r="A727" s="7"/>
      <c r="D727" s="7"/>
      <c r="O727" s="7"/>
      <c r="R727" s="7"/>
      <c r="U727" s="7"/>
      <c r="V727" s="8"/>
      <c r="AB727" s="8"/>
      <c r="AC727" s="7"/>
      <c r="AF727" s="8"/>
    </row>
    <row r="728" spans="1:32">
      <c r="A728" s="7"/>
      <c r="D728" s="7"/>
      <c r="M728" s="7"/>
      <c r="O728" s="7"/>
      <c r="R728" s="7"/>
      <c r="U728" s="7"/>
      <c r="AB728" s="8"/>
      <c r="AC728" s="7"/>
      <c r="AF728" s="8"/>
    </row>
    <row r="729" spans="1:32">
      <c r="A729" s="7"/>
      <c r="D729" s="7"/>
      <c r="O729" s="7"/>
      <c r="R729" s="7"/>
      <c r="U729" s="7"/>
      <c r="V729" s="8"/>
      <c r="Z729" s="7"/>
      <c r="AB729" s="8"/>
      <c r="AC729" s="7"/>
      <c r="AF729" s="8"/>
    </row>
    <row r="730" spans="1:32">
      <c r="A730" s="7"/>
      <c r="D730" s="7"/>
      <c r="O730" s="7"/>
      <c r="R730" s="7"/>
      <c r="U730" s="7"/>
      <c r="V730" s="7"/>
      <c r="Z730" s="7"/>
      <c r="AB730" s="7"/>
      <c r="AC730" s="7"/>
      <c r="AF730" s="7"/>
    </row>
    <row r="731" spans="1:32">
      <c r="A731" s="7"/>
      <c r="D731" s="7"/>
      <c r="M731" s="7"/>
      <c r="O731" s="7"/>
      <c r="R731" s="7"/>
      <c r="U731" s="7"/>
      <c r="V731" s="8"/>
      <c r="Z731" s="7"/>
      <c r="AB731" s="8"/>
      <c r="AC731" s="7"/>
      <c r="AF731" s="8"/>
    </row>
    <row r="732" spans="1:32">
      <c r="A732" s="7"/>
      <c r="D732" s="7"/>
      <c r="O732" s="7"/>
      <c r="R732" s="7"/>
      <c r="U732" s="7"/>
      <c r="Z732" s="7"/>
      <c r="AB732" s="8"/>
      <c r="AC732" s="7"/>
      <c r="AF732" s="8"/>
    </row>
    <row r="733" spans="1:32">
      <c r="A733" s="7"/>
      <c r="D733" s="7"/>
      <c r="O733" s="7"/>
      <c r="R733" s="7"/>
      <c r="U733" s="7"/>
      <c r="V733" s="8"/>
      <c r="Z733" s="7"/>
      <c r="AB733" s="8"/>
      <c r="AC733" s="7"/>
      <c r="AF733" s="8"/>
    </row>
    <row r="734" spans="1:32">
      <c r="A734" s="7"/>
      <c r="D734" s="7"/>
      <c r="M734" s="7"/>
      <c r="O734" s="7"/>
      <c r="R734" s="7"/>
      <c r="U734" s="7"/>
      <c r="V734" s="7"/>
      <c r="Z734" s="7"/>
      <c r="AB734" s="7"/>
      <c r="AC734" s="7"/>
      <c r="AF734" s="7"/>
    </row>
    <row r="735" spans="1:32">
      <c r="A735" s="7"/>
      <c r="D735" s="7"/>
      <c r="M735" s="7"/>
      <c r="O735" s="7"/>
      <c r="R735" s="7"/>
      <c r="U735" s="7"/>
      <c r="Z735" s="7"/>
      <c r="AB735" s="8"/>
      <c r="AC735" s="7"/>
      <c r="AF735" s="8"/>
    </row>
    <row r="736" spans="1:32">
      <c r="A736" s="7"/>
      <c r="D736" s="7"/>
      <c r="M736" s="7"/>
      <c r="O736" s="7"/>
      <c r="R736" s="7"/>
      <c r="U736" s="7"/>
      <c r="V736" s="7"/>
      <c r="Z736" s="7"/>
      <c r="AB736" s="8"/>
      <c r="AC736" s="7"/>
      <c r="AF736" s="8"/>
    </row>
    <row r="737" spans="1:32">
      <c r="A737" s="7"/>
      <c r="D737" s="7"/>
      <c r="M737" s="7"/>
      <c r="O737" s="7"/>
      <c r="R737" s="7"/>
      <c r="U737" s="7"/>
      <c r="Z737" s="7"/>
      <c r="AB737" s="8"/>
      <c r="AC737" s="7"/>
      <c r="AF737" s="8"/>
    </row>
    <row r="738" spans="1:32">
      <c r="A738" s="7"/>
      <c r="D738" s="7"/>
      <c r="M738" s="7"/>
      <c r="O738" s="7"/>
      <c r="R738" s="7"/>
      <c r="U738" s="7"/>
      <c r="Z738" s="7"/>
      <c r="AB738" s="8"/>
      <c r="AC738" s="7"/>
      <c r="AF738" s="8"/>
    </row>
    <row r="739" spans="1:32">
      <c r="A739" s="7"/>
      <c r="D739" s="7"/>
      <c r="O739" s="7"/>
      <c r="R739" s="7"/>
      <c r="U739" s="7"/>
      <c r="V739" s="8"/>
      <c r="Z739" s="7"/>
      <c r="AB739" s="8"/>
      <c r="AC739" s="7"/>
      <c r="AF739" s="8"/>
    </row>
    <row r="740" spans="1:32">
      <c r="A740" s="7"/>
      <c r="D740" s="7"/>
      <c r="O740" s="7"/>
      <c r="R740" s="7"/>
      <c r="U740" s="7"/>
      <c r="Z740" s="7"/>
      <c r="AB740" s="8"/>
      <c r="AC740" s="7"/>
      <c r="AF740" s="8"/>
    </row>
    <row r="741" spans="1:32">
      <c r="A741" s="7"/>
      <c r="D741" s="7"/>
      <c r="O741" s="7"/>
      <c r="R741" s="7"/>
      <c r="U741" s="7"/>
      <c r="V741" s="7"/>
      <c r="Z741" s="7"/>
      <c r="AB741" s="8"/>
      <c r="AC741" s="7"/>
      <c r="AF741" s="8"/>
    </row>
    <row r="742" spans="1:32">
      <c r="A742" s="7"/>
      <c r="D742" s="7"/>
      <c r="M742" s="7"/>
      <c r="O742" s="7"/>
      <c r="R742" s="7"/>
      <c r="U742" s="7"/>
      <c r="V742" s="8"/>
      <c r="Z742" s="7"/>
      <c r="AB742" s="8"/>
      <c r="AC742" s="7"/>
      <c r="AF742" s="8"/>
    </row>
    <row r="743" spans="1:32">
      <c r="A743" s="7"/>
      <c r="D743" s="7"/>
      <c r="M743" s="7"/>
      <c r="O743" s="7"/>
      <c r="R743" s="7"/>
      <c r="U743" s="7"/>
      <c r="V743" s="8"/>
      <c r="Z743" s="7"/>
      <c r="AB743" s="8"/>
      <c r="AC743" s="7"/>
      <c r="AF743" s="8"/>
    </row>
    <row r="744" spans="1:32">
      <c r="A744" s="7"/>
      <c r="D744" s="7"/>
      <c r="O744" s="7"/>
      <c r="R744" s="7"/>
      <c r="U744" s="7"/>
      <c r="V744" s="7"/>
      <c r="Z744" s="7"/>
      <c r="AB744" s="8"/>
      <c r="AC744" s="7"/>
      <c r="AF744" s="8"/>
    </row>
    <row r="745" spans="1:32">
      <c r="A745" s="7"/>
      <c r="D745" s="7"/>
      <c r="O745" s="7"/>
      <c r="R745" s="7"/>
      <c r="U745" s="7"/>
      <c r="Z745" s="7"/>
      <c r="AB745" s="8"/>
      <c r="AC745" s="7"/>
      <c r="AF745" s="8"/>
    </row>
    <row r="746" spans="1:32">
      <c r="A746" s="7"/>
      <c r="D746" s="7"/>
      <c r="O746" s="7"/>
      <c r="R746" s="7"/>
      <c r="U746" s="7"/>
      <c r="Z746" s="7"/>
      <c r="AB746" s="8"/>
      <c r="AC746" s="7"/>
      <c r="AF746" s="8"/>
    </row>
    <row r="747" spans="1:32">
      <c r="A747" s="7"/>
      <c r="D747" s="7"/>
      <c r="O747" s="7"/>
      <c r="R747" s="7"/>
      <c r="U747" s="7"/>
      <c r="Z747" s="7"/>
      <c r="AB747" s="8"/>
      <c r="AC747" s="7"/>
      <c r="AF747" s="8"/>
    </row>
    <row r="748" spans="1:32">
      <c r="A748" s="7"/>
      <c r="D748" s="7"/>
      <c r="O748" s="7"/>
      <c r="R748" s="7"/>
      <c r="U748" s="7"/>
      <c r="Z748" s="7"/>
      <c r="AB748" s="8"/>
      <c r="AC748" s="7"/>
      <c r="AF748" s="8"/>
    </row>
    <row r="749" spans="1:32">
      <c r="A749" s="7"/>
      <c r="D749" s="7"/>
      <c r="O749" s="7"/>
      <c r="R749" s="7"/>
      <c r="U749" s="7"/>
      <c r="V749" s="7"/>
      <c r="Z749" s="7"/>
      <c r="AB749" s="8"/>
      <c r="AC749" s="7"/>
      <c r="AF749" s="8"/>
    </row>
    <row r="750" spans="1:32">
      <c r="A750" s="7"/>
      <c r="D750" s="7"/>
      <c r="O750" s="7"/>
      <c r="R750" s="7"/>
      <c r="U750" s="7"/>
      <c r="Z750" s="7"/>
      <c r="AB750" s="8"/>
      <c r="AC750" s="7"/>
      <c r="AF750" s="8"/>
    </row>
    <row r="751" spans="1:32">
      <c r="A751" s="7"/>
      <c r="D751" s="7"/>
      <c r="O751" s="7"/>
      <c r="R751" s="7"/>
      <c r="U751" s="7"/>
      <c r="Z751" s="7"/>
      <c r="AB751" s="8"/>
      <c r="AC751" s="7"/>
      <c r="AF751" s="8"/>
    </row>
    <row r="752" spans="1:32">
      <c r="A752" s="7"/>
      <c r="D752" s="7"/>
      <c r="O752" s="7"/>
      <c r="R752" s="7"/>
      <c r="U752" s="7"/>
      <c r="Z752" s="7"/>
      <c r="AB752" s="8"/>
      <c r="AC752" s="7"/>
      <c r="AF752" s="8"/>
    </row>
    <row r="753" spans="1:32">
      <c r="A753" s="7"/>
      <c r="D753" s="7"/>
      <c r="O753" s="7"/>
      <c r="R753" s="7"/>
      <c r="U753" s="7"/>
      <c r="Z753" s="7"/>
      <c r="AB753" s="8"/>
      <c r="AC753" s="7"/>
      <c r="AF753" s="8"/>
    </row>
    <row r="754" spans="1:32">
      <c r="A754" s="7"/>
      <c r="D754" s="7"/>
      <c r="O754" s="7"/>
      <c r="R754" s="7"/>
      <c r="U754" s="7"/>
      <c r="Z754" s="7"/>
      <c r="AB754" s="8"/>
      <c r="AC754" s="7"/>
      <c r="AF754" s="8"/>
    </row>
    <row r="755" spans="1:32">
      <c r="A755" s="7"/>
      <c r="D755" s="7"/>
      <c r="M755" s="7"/>
      <c r="O755" s="7"/>
      <c r="R755" s="7"/>
      <c r="U755" s="7"/>
      <c r="Z755" s="7"/>
      <c r="AB755" s="8"/>
      <c r="AC755" s="7"/>
      <c r="AF755" s="8"/>
    </row>
    <row r="756" spans="1:32">
      <c r="A756" s="7"/>
      <c r="D756" s="7"/>
      <c r="M756" s="7"/>
      <c r="O756" s="7"/>
      <c r="R756" s="7"/>
      <c r="U756" s="7"/>
      <c r="Z756" s="7"/>
      <c r="AB756" s="8"/>
      <c r="AC756" s="7"/>
      <c r="AF756" s="8"/>
    </row>
    <row r="757" spans="1:32">
      <c r="A757" s="7"/>
      <c r="D757" s="7"/>
      <c r="O757" s="7"/>
      <c r="R757" s="7"/>
      <c r="U757" s="7"/>
      <c r="Z757" s="7"/>
      <c r="AB757" s="8"/>
      <c r="AC757" s="7"/>
      <c r="AF757" s="8"/>
    </row>
    <row r="758" spans="1:32">
      <c r="A758" s="7"/>
      <c r="D758" s="7"/>
      <c r="O758" s="7"/>
      <c r="R758" s="7"/>
      <c r="U758" s="7"/>
      <c r="Z758" s="7"/>
      <c r="AB758" s="8"/>
      <c r="AC758" s="7"/>
      <c r="AF758" s="8"/>
    </row>
    <row r="759" spans="1:32">
      <c r="A759" s="7"/>
      <c r="D759" s="7"/>
      <c r="O759" s="7"/>
      <c r="R759" s="7"/>
      <c r="U759" s="7"/>
      <c r="Z759" s="7"/>
      <c r="AB759" s="8"/>
      <c r="AC759" s="7"/>
      <c r="AF759" s="8"/>
    </row>
    <row r="760" spans="1:32">
      <c r="A760" s="7"/>
      <c r="D760" s="7"/>
      <c r="O760" s="7"/>
      <c r="R760" s="7"/>
      <c r="U760" s="7"/>
      <c r="V760" s="7"/>
      <c r="AB760" s="8"/>
      <c r="AC760" s="7"/>
      <c r="AF760" s="8"/>
    </row>
    <row r="761" spans="1:32">
      <c r="A761" s="7"/>
      <c r="D761" s="7"/>
      <c r="O761" s="7"/>
      <c r="R761" s="7"/>
      <c r="U761" s="7"/>
      <c r="AB761" s="8"/>
      <c r="AC761" s="7"/>
      <c r="AF761" s="8"/>
    </row>
    <row r="762" spans="1:32">
      <c r="A762" s="7"/>
      <c r="D762" s="7"/>
      <c r="M762" s="7"/>
      <c r="O762" s="7"/>
      <c r="R762" s="7"/>
      <c r="U762" s="7"/>
      <c r="AB762" s="8"/>
      <c r="AC762" s="7"/>
      <c r="AF762" s="8"/>
    </row>
    <row r="763" spans="1:32">
      <c r="A763" s="7"/>
      <c r="D763" s="7"/>
      <c r="M763" s="7"/>
      <c r="O763" s="7"/>
      <c r="R763" s="7"/>
      <c r="U763" s="7"/>
      <c r="V763" s="8"/>
      <c r="AB763" s="8"/>
      <c r="AC763" s="7"/>
      <c r="AF763" s="8"/>
    </row>
    <row r="764" spans="1:32">
      <c r="A764" s="7"/>
      <c r="D764" s="7"/>
      <c r="M764" s="7"/>
      <c r="O764" s="7"/>
      <c r="R764" s="7"/>
      <c r="U764" s="7"/>
      <c r="V764" s="8"/>
      <c r="AB764" s="8"/>
      <c r="AC764" s="7"/>
      <c r="AF764" s="8"/>
    </row>
    <row r="765" spans="1:32">
      <c r="A765" s="7"/>
      <c r="D765" s="7"/>
      <c r="M765" s="7"/>
      <c r="O765" s="7"/>
      <c r="R765" s="7"/>
      <c r="U765" s="7"/>
      <c r="V765" s="8"/>
      <c r="AB765" s="8"/>
      <c r="AC765" s="7"/>
      <c r="AF765" s="8"/>
    </row>
    <row r="766" spans="1:32">
      <c r="A766" s="7"/>
      <c r="D766" s="7"/>
      <c r="M766" s="7"/>
      <c r="O766" s="7"/>
      <c r="R766" s="7"/>
      <c r="U766" s="7"/>
      <c r="V766" s="8"/>
      <c r="AB766" s="8"/>
      <c r="AC766" s="7"/>
      <c r="AF766" s="8"/>
    </row>
    <row r="767" spans="1:32">
      <c r="A767" s="7"/>
      <c r="D767" s="7"/>
      <c r="O767" s="7"/>
      <c r="R767" s="7"/>
      <c r="U767" s="7"/>
      <c r="V767" s="8"/>
      <c r="AB767" s="8"/>
      <c r="AC767" s="7"/>
      <c r="AF767" s="8"/>
    </row>
    <row r="768" spans="1:32">
      <c r="A768" s="7"/>
      <c r="D768" s="7"/>
      <c r="O768" s="7"/>
      <c r="R768" s="7"/>
      <c r="U768" s="7"/>
      <c r="V768" s="8"/>
      <c r="AB768" s="8"/>
      <c r="AC768" s="7"/>
      <c r="AF768" s="8"/>
    </row>
    <row r="769" spans="1:32">
      <c r="A769" s="7"/>
      <c r="D769" s="7"/>
      <c r="O769" s="7"/>
      <c r="R769" s="7"/>
      <c r="U769" s="7"/>
      <c r="V769" s="8"/>
      <c r="AB769" s="8"/>
      <c r="AC769" s="7"/>
      <c r="AF769" s="8"/>
    </row>
    <row r="770" spans="1:32">
      <c r="A770" s="7"/>
      <c r="D770" s="7"/>
      <c r="O770" s="7"/>
      <c r="R770" s="7"/>
      <c r="U770" s="7"/>
      <c r="V770" s="8"/>
      <c r="AB770" s="8"/>
      <c r="AC770" s="7"/>
      <c r="AF770" s="8"/>
    </row>
    <row r="771" spans="1:32">
      <c r="A771" s="7"/>
      <c r="D771" s="7"/>
      <c r="M771" s="7"/>
      <c r="O771" s="7"/>
      <c r="R771" s="7"/>
      <c r="U771" s="7"/>
      <c r="V771" s="7"/>
      <c r="AB771" s="8"/>
      <c r="AC771" s="7"/>
      <c r="AF771" s="8"/>
    </row>
    <row r="772" spans="1:32">
      <c r="A772" s="7"/>
      <c r="D772" s="7"/>
      <c r="M772" s="7"/>
      <c r="O772" s="7"/>
      <c r="R772" s="7"/>
      <c r="U772" s="7"/>
      <c r="AB772" s="8"/>
      <c r="AC772" s="7"/>
      <c r="AF772" s="8"/>
    </row>
    <row r="773" spans="1:32">
      <c r="A773" s="7"/>
      <c r="D773" s="7"/>
      <c r="M773" s="7"/>
      <c r="O773" s="7"/>
      <c r="R773" s="7"/>
      <c r="U773" s="7"/>
      <c r="AB773" s="8"/>
      <c r="AC773" s="7"/>
      <c r="AF773" s="8"/>
    </row>
    <row r="774" spans="1:32">
      <c r="A774" s="7"/>
      <c r="D774" s="7"/>
      <c r="O774" s="7"/>
      <c r="R774" s="7"/>
      <c r="U774" s="7"/>
      <c r="V774" s="8"/>
      <c r="AB774" s="8"/>
      <c r="AC774" s="7"/>
      <c r="AF774" s="8"/>
    </row>
    <row r="775" spans="1:32">
      <c r="A775" s="7"/>
      <c r="D775" s="7"/>
      <c r="O775" s="7"/>
      <c r="R775" s="7"/>
      <c r="U775" s="7"/>
      <c r="V775" s="8"/>
      <c r="AB775" s="8"/>
      <c r="AC775" s="7"/>
      <c r="AF775" s="8"/>
    </row>
    <row r="776" spans="1:32">
      <c r="A776" s="7"/>
      <c r="D776" s="7"/>
      <c r="O776" s="7"/>
      <c r="R776" s="7"/>
      <c r="U776" s="7"/>
      <c r="AB776" s="8"/>
      <c r="AC776" s="7"/>
      <c r="AF776" s="8"/>
    </row>
    <row r="777" spans="1:32">
      <c r="A777" s="7"/>
      <c r="D777" s="7"/>
      <c r="O777" s="7"/>
      <c r="R777" s="7"/>
      <c r="U777" s="7"/>
      <c r="V777" s="7"/>
      <c r="AB777" s="7"/>
      <c r="AC777" s="7"/>
      <c r="AF777" s="7"/>
    </row>
    <row r="778" spans="1:32">
      <c r="A778" s="7"/>
      <c r="D778" s="7"/>
      <c r="O778" s="7"/>
      <c r="R778" s="7"/>
      <c r="U778" s="7"/>
      <c r="AB778" s="8"/>
      <c r="AC778" s="7"/>
      <c r="AF778" s="8"/>
    </row>
    <row r="779" spans="1:32">
      <c r="A779" s="7"/>
      <c r="D779" s="7"/>
      <c r="O779" s="7"/>
      <c r="R779" s="7"/>
      <c r="U779" s="7"/>
      <c r="AB779" s="8"/>
      <c r="AC779" s="7"/>
      <c r="AF779" s="8"/>
    </row>
    <row r="780" spans="1:32">
      <c r="A780" s="7"/>
      <c r="D780" s="7"/>
      <c r="O780" s="7"/>
      <c r="R780" s="7"/>
      <c r="U780" s="7"/>
      <c r="AB780" s="8"/>
      <c r="AC780" s="7"/>
      <c r="AF780" s="8"/>
    </row>
    <row r="781" spans="1:32">
      <c r="A781" s="7"/>
      <c r="D781" s="7"/>
      <c r="O781" s="7"/>
      <c r="R781" s="7"/>
      <c r="U781" s="7"/>
      <c r="AB781" s="8"/>
      <c r="AC781" s="7"/>
      <c r="AF781" s="8"/>
    </row>
    <row r="782" spans="1:32">
      <c r="A782" s="7"/>
      <c r="D782" s="7"/>
      <c r="O782" s="7"/>
      <c r="R782" s="7"/>
      <c r="U782" s="7"/>
      <c r="AB782" s="8"/>
      <c r="AC782" s="7"/>
      <c r="AF782" s="8"/>
    </row>
    <row r="783" spans="1:32">
      <c r="A783" s="7"/>
      <c r="D783" s="7"/>
      <c r="O783" s="7"/>
      <c r="R783" s="7"/>
      <c r="U783" s="7"/>
      <c r="V783" s="8"/>
      <c r="AB783" s="8"/>
      <c r="AC783" s="7"/>
      <c r="AF783" s="8"/>
    </row>
    <row r="784" spans="1:32">
      <c r="A784" s="7"/>
      <c r="D784" s="7"/>
      <c r="O784" s="7"/>
      <c r="R784" s="7"/>
      <c r="U784" s="7"/>
      <c r="V784" s="8"/>
      <c r="AB784" s="8"/>
      <c r="AC784" s="7"/>
      <c r="AF784" s="8"/>
    </row>
    <row r="785" spans="1:32">
      <c r="A785" s="7"/>
      <c r="D785" s="7"/>
      <c r="O785" s="7"/>
      <c r="R785" s="7"/>
      <c r="U785" s="7"/>
      <c r="AB785" s="8"/>
      <c r="AC785" s="7"/>
      <c r="AF785" s="8"/>
    </row>
    <row r="786" spans="1:32">
      <c r="A786" s="7"/>
      <c r="D786" s="7"/>
      <c r="O786" s="7"/>
      <c r="R786" s="7"/>
      <c r="U786" s="7"/>
      <c r="AB786" s="8"/>
      <c r="AC786" s="7"/>
      <c r="AF786" s="8"/>
    </row>
    <row r="787" spans="1:32">
      <c r="A787" s="7"/>
      <c r="D787" s="7"/>
      <c r="O787" s="7"/>
      <c r="R787" s="7"/>
      <c r="U787" s="7"/>
      <c r="AB787" s="8"/>
      <c r="AC787" s="7"/>
      <c r="AF787" s="8"/>
    </row>
    <row r="788" spans="1:32">
      <c r="A788" s="7"/>
      <c r="D788" s="7"/>
      <c r="O788" s="7"/>
      <c r="R788" s="7"/>
      <c r="U788" s="7"/>
      <c r="V788" s="8"/>
      <c r="AB788" s="8"/>
      <c r="AC788" s="7"/>
      <c r="AF788" s="8"/>
    </row>
    <row r="789" spans="1:32">
      <c r="A789" s="7"/>
      <c r="D789" s="7"/>
      <c r="O789" s="7"/>
      <c r="R789" s="7"/>
      <c r="U789" s="7"/>
      <c r="V789" s="8"/>
      <c r="AB789" s="8"/>
      <c r="AC789" s="7"/>
      <c r="AF789" s="8"/>
    </row>
    <row r="790" spans="1:32">
      <c r="A790" s="7"/>
      <c r="D790" s="7"/>
      <c r="O790" s="7"/>
      <c r="R790" s="7"/>
      <c r="U790" s="7"/>
      <c r="V790" s="8"/>
      <c r="AB790" s="8"/>
      <c r="AC790" s="7"/>
      <c r="AF790" s="8"/>
    </row>
    <row r="791" spans="1:32">
      <c r="A791" s="7"/>
      <c r="D791" s="7"/>
      <c r="M791" s="7"/>
      <c r="O791" s="7"/>
      <c r="R791" s="7"/>
      <c r="U791" s="7"/>
      <c r="V791" s="7"/>
      <c r="AB791" s="8"/>
      <c r="AC791" s="7"/>
      <c r="AF791" s="8"/>
    </row>
    <row r="792" spans="1:32">
      <c r="A792" s="7"/>
      <c r="D792" s="7"/>
      <c r="O792" s="7"/>
      <c r="R792" s="7"/>
      <c r="U792" s="7"/>
      <c r="V792" s="8"/>
      <c r="AB792" s="8"/>
      <c r="AC792" s="7"/>
      <c r="AF792" s="8"/>
    </row>
    <row r="793" spans="1:32">
      <c r="A793" s="7"/>
      <c r="D793" s="7"/>
      <c r="O793" s="7"/>
      <c r="R793" s="7"/>
      <c r="U793" s="7"/>
      <c r="V793" s="8"/>
      <c r="AB793" s="8"/>
      <c r="AC793" s="7"/>
      <c r="AF793" s="8"/>
    </row>
    <row r="794" spans="1:32">
      <c r="A794" s="7"/>
      <c r="D794" s="7"/>
      <c r="O794" s="7"/>
      <c r="R794" s="7"/>
      <c r="U794" s="7"/>
      <c r="AB794" s="8"/>
      <c r="AC794" s="7"/>
      <c r="AF794" s="8"/>
    </row>
    <row r="795" spans="1:32">
      <c r="A795" s="7"/>
      <c r="D795" s="7"/>
      <c r="O795" s="7"/>
      <c r="R795" s="7"/>
      <c r="U795" s="7"/>
      <c r="V795" s="8"/>
      <c r="AB795" s="8"/>
      <c r="AC795" s="7"/>
      <c r="AF795" s="8"/>
    </row>
    <row r="796" spans="1:32">
      <c r="A796" s="7"/>
      <c r="D796" s="7"/>
      <c r="O796" s="7"/>
      <c r="R796" s="7"/>
      <c r="U796" s="7"/>
      <c r="AB796" s="8"/>
      <c r="AC796" s="7"/>
      <c r="AF796" s="8"/>
    </row>
    <row r="797" spans="1:32">
      <c r="A797" s="7"/>
      <c r="D797" s="7"/>
      <c r="O797" s="7"/>
      <c r="R797" s="7"/>
      <c r="U797" s="7"/>
      <c r="V797" s="8"/>
      <c r="AB797" s="8"/>
      <c r="AC797" s="7"/>
      <c r="AF797" s="8"/>
    </row>
    <row r="798" spans="1:32">
      <c r="A798" s="7"/>
      <c r="D798" s="7"/>
      <c r="O798" s="7"/>
      <c r="R798" s="7"/>
      <c r="U798" s="7"/>
      <c r="V798" s="7"/>
      <c r="AB798" s="8"/>
      <c r="AC798" s="7"/>
      <c r="AF798" s="8"/>
    </row>
    <row r="799" spans="1:32">
      <c r="A799" s="7"/>
      <c r="D799" s="7"/>
      <c r="O799" s="7"/>
      <c r="R799" s="7"/>
      <c r="U799" s="7"/>
      <c r="V799" s="8"/>
      <c r="Z799" s="7"/>
      <c r="AB799" s="8"/>
      <c r="AC799" s="7"/>
      <c r="AF799" s="8"/>
    </row>
    <row r="800" spans="1:32">
      <c r="A800" s="7"/>
      <c r="D800" s="7"/>
      <c r="O800" s="7"/>
      <c r="R800" s="7"/>
      <c r="U800" s="7"/>
      <c r="V800" s="8"/>
      <c r="Z800" s="7"/>
      <c r="AB800" s="8"/>
      <c r="AC800" s="7"/>
      <c r="AF800" s="8"/>
    </row>
    <row r="801" spans="1:32">
      <c r="A801" s="7"/>
      <c r="D801" s="7"/>
      <c r="O801" s="7"/>
      <c r="R801" s="7"/>
      <c r="U801" s="7"/>
      <c r="V801" s="8"/>
      <c r="Z801" s="7"/>
      <c r="AB801" s="8"/>
      <c r="AC801" s="7"/>
      <c r="AF801" s="8"/>
    </row>
    <row r="802" spans="1:32">
      <c r="A802" s="7"/>
      <c r="D802" s="7"/>
      <c r="O802" s="7"/>
      <c r="R802" s="7"/>
      <c r="U802" s="7"/>
      <c r="V802" s="7"/>
      <c r="Z802" s="7"/>
      <c r="AB802" s="8"/>
      <c r="AC802" s="7"/>
      <c r="AF802" s="8"/>
    </row>
    <row r="803" spans="1:32">
      <c r="A803" s="7"/>
      <c r="D803" s="7"/>
      <c r="O803" s="7"/>
      <c r="R803" s="7"/>
      <c r="U803" s="7"/>
      <c r="Z803" s="7"/>
      <c r="AB803" s="8"/>
      <c r="AC803" s="7"/>
      <c r="AF803" s="8"/>
    </row>
    <row r="804" spans="1:32">
      <c r="A804" s="7"/>
      <c r="D804" s="7"/>
      <c r="O804" s="7"/>
      <c r="R804" s="7"/>
      <c r="U804" s="7"/>
      <c r="V804" s="7"/>
      <c r="Z804" s="7"/>
      <c r="AB804" s="8"/>
      <c r="AC804" s="7"/>
      <c r="AF804" s="8"/>
    </row>
    <row r="805" spans="1:32">
      <c r="A805" s="7"/>
      <c r="D805" s="7"/>
      <c r="O805" s="7"/>
      <c r="R805" s="7"/>
      <c r="U805" s="7"/>
      <c r="V805" s="8"/>
      <c r="Z805" s="7"/>
      <c r="AB805" s="8"/>
      <c r="AC805" s="7"/>
      <c r="AF805" s="8"/>
    </row>
    <row r="806" spans="1:32">
      <c r="A806" s="7"/>
      <c r="D806" s="7"/>
      <c r="O806" s="7"/>
      <c r="R806" s="7"/>
      <c r="U806" s="7"/>
      <c r="V806" s="7"/>
      <c r="Z806" s="7"/>
      <c r="AB806" s="7"/>
      <c r="AC806" s="7"/>
      <c r="AF806" s="7"/>
    </row>
    <row r="807" spans="1:32">
      <c r="A807" s="7"/>
      <c r="D807" s="7"/>
      <c r="O807" s="7"/>
      <c r="R807" s="7"/>
      <c r="U807" s="7"/>
      <c r="V807" s="8"/>
      <c r="Z807" s="7"/>
      <c r="AB807" s="8"/>
      <c r="AC807" s="7"/>
      <c r="AF807" s="8"/>
    </row>
    <row r="808" spans="1:32">
      <c r="A808" s="7"/>
      <c r="D808" s="7"/>
      <c r="O808" s="7"/>
      <c r="R808" s="7"/>
      <c r="U808" s="7"/>
      <c r="V808" s="7"/>
      <c r="Z808" s="7"/>
      <c r="AB808" s="8"/>
      <c r="AC808" s="7"/>
      <c r="AF808" s="8"/>
    </row>
    <row r="809" spans="1:32">
      <c r="A809" s="7"/>
      <c r="D809" s="7"/>
      <c r="O809" s="7"/>
      <c r="R809" s="7"/>
      <c r="U809" s="7"/>
      <c r="V809" s="8"/>
      <c r="AB809" s="8"/>
      <c r="AC809" s="8"/>
      <c r="AF809" s="7"/>
    </row>
    <row r="810" spans="1:32">
      <c r="A810" s="7"/>
      <c r="D810" s="7"/>
      <c r="M810" s="7"/>
      <c r="O810" s="7"/>
      <c r="R810" s="7"/>
      <c r="U810" s="7"/>
      <c r="V810" s="7"/>
      <c r="AB810" s="8"/>
      <c r="AC810" s="8"/>
      <c r="AF810" s="7"/>
    </row>
    <row r="811" spans="1:32">
      <c r="A811" s="7"/>
      <c r="D811" s="7"/>
      <c r="M811" s="7"/>
      <c r="O811" s="7"/>
      <c r="R811" s="7"/>
      <c r="U811" s="7"/>
      <c r="V811" s="8"/>
      <c r="AB811" s="8"/>
      <c r="AC811" s="7"/>
      <c r="AF811" s="8"/>
    </row>
    <row r="812" spans="1:32">
      <c r="A812" s="7"/>
      <c r="D812" s="7"/>
      <c r="M812" s="7"/>
      <c r="O812" s="7"/>
      <c r="R812" s="7"/>
      <c r="U812" s="7"/>
      <c r="V812" s="8"/>
      <c r="AB812" s="8"/>
      <c r="AC812" s="7"/>
      <c r="AF812" s="8"/>
    </row>
    <row r="813" spans="1:32">
      <c r="A813" s="7"/>
      <c r="D813" s="7"/>
      <c r="O813" s="7"/>
      <c r="R813" s="7"/>
      <c r="U813" s="7"/>
      <c r="V813" s="8"/>
      <c r="AB813" s="7"/>
      <c r="AC813" s="7"/>
      <c r="AF813" s="7"/>
    </row>
    <row r="814" spans="1:32">
      <c r="A814" s="7"/>
      <c r="D814" s="7"/>
      <c r="O814" s="7"/>
      <c r="R814" s="7"/>
      <c r="U814" s="7"/>
      <c r="V814" s="8"/>
      <c r="AB814" s="8"/>
      <c r="AC814" s="7"/>
      <c r="AF814" s="8"/>
    </row>
    <row r="815" spans="1:32">
      <c r="A815" s="7"/>
      <c r="D815" s="7"/>
      <c r="O815" s="7"/>
      <c r="R815" s="7"/>
      <c r="U815" s="7"/>
      <c r="V815" s="8"/>
      <c r="AB815" s="8"/>
      <c r="AC815" s="7"/>
      <c r="AF815" s="8"/>
    </row>
    <row r="816" spans="1:32">
      <c r="A816" s="7"/>
      <c r="D816" s="7"/>
      <c r="O816" s="7"/>
      <c r="R816" s="7"/>
      <c r="U816" s="7"/>
      <c r="V816" s="8"/>
      <c r="AB816" s="8"/>
      <c r="AC816" s="7"/>
      <c r="AF816" s="8"/>
    </row>
    <row r="817" spans="1:32">
      <c r="A817" s="7"/>
      <c r="D817" s="7"/>
      <c r="O817" s="7"/>
      <c r="R817" s="7"/>
      <c r="U817" s="7"/>
      <c r="V817" s="8"/>
      <c r="AB817" s="8"/>
      <c r="AC817" s="7"/>
      <c r="AF817" s="8"/>
    </row>
    <row r="818" spans="1:32">
      <c r="A818" s="7"/>
      <c r="D818" s="7"/>
      <c r="O818" s="7"/>
      <c r="R818" s="7"/>
      <c r="U818" s="7"/>
      <c r="V818" s="7"/>
      <c r="AB818" s="7"/>
      <c r="AC818" s="7"/>
      <c r="AF818" s="7"/>
    </row>
    <row r="819" spans="1:32">
      <c r="A819" s="7"/>
      <c r="D819" s="7"/>
      <c r="O819" s="7"/>
    </row>
    <row r="820" spans="1:32">
      <c r="A820" s="7"/>
      <c r="D820" s="7"/>
      <c r="O820" s="7"/>
    </row>
    <row r="821" spans="1:32">
      <c r="A821" s="7"/>
      <c r="D821" s="7"/>
      <c r="O821" s="7"/>
    </row>
    <row r="822" spans="1:32">
      <c r="A822" s="7"/>
      <c r="D822" s="7"/>
      <c r="O822" s="7"/>
    </row>
    <row r="823" spans="1:32">
      <c r="A823" s="7"/>
      <c r="D823" s="7"/>
      <c r="O823" s="7"/>
    </row>
    <row r="824" spans="1:32">
      <c r="A824" s="7"/>
      <c r="D824" s="7"/>
      <c r="O824" s="7"/>
    </row>
    <row r="825" spans="1:32">
      <c r="A825" s="7"/>
      <c r="D825" s="7"/>
      <c r="O825" s="7"/>
    </row>
    <row r="826" spans="1:32">
      <c r="A826" s="7"/>
      <c r="D826" s="7"/>
      <c r="O826" s="7"/>
    </row>
    <row r="827" spans="1:32">
      <c r="A827" s="7"/>
      <c r="D827" s="7"/>
      <c r="O827" s="7"/>
    </row>
    <row r="828" spans="1:32">
      <c r="A828" s="7"/>
      <c r="D828" s="7"/>
      <c r="O828" s="7"/>
    </row>
    <row r="829" spans="1:32">
      <c r="A829" s="7"/>
      <c r="D829" s="7"/>
      <c r="O829" s="7"/>
    </row>
    <row r="830" spans="1:32">
      <c r="A830" s="7"/>
      <c r="D830" s="7"/>
      <c r="O830" s="7"/>
    </row>
    <row r="831" spans="1:32">
      <c r="A831" s="7"/>
      <c r="D831" s="7"/>
      <c r="O831" s="7"/>
    </row>
    <row r="832" spans="1:32">
      <c r="A832" s="7"/>
      <c r="D832" s="7"/>
      <c r="M832" s="7"/>
      <c r="O832" s="7"/>
    </row>
    <row r="833" spans="1:15">
      <c r="A833" s="7"/>
      <c r="D833" s="7"/>
      <c r="M833" s="7"/>
      <c r="O833" s="7"/>
    </row>
    <row r="834" spans="1:15">
      <c r="A834" s="7"/>
      <c r="D834" s="7"/>
      <c r="M834" s="7"/>
      <c r="O834" s="7"/>
    </row>
    <row r="835" spans="1:15">
      <c r="A835" s="7"/>
      <c r="D835" s="7"/>
      <c r="M835" s="7"/>
      <c r="O835" s="7"/>
    </row>
    <row r="836" spans="1:15">
      <c r="A836" s="7"/>
      <c r="D836" s="7"/>
      <c r="M836" s="7"/>
      <c r="O836" s="7"/>
    </row>
    <row r="837" spans="1:15">
      <c r="A837" s="7"/>
      <c r="D837" s="7"/>
      <c r="M837" s="7"/>
      <c r="O837" s="7"/>
    </row>
    <row r="838" spans="1:15">
      <c r="A838" s="7"/>
      <c r="D838" s="7"/>
      <c r="O838" s="7"/>
    </row>
    <row r="839" spans="1:15">
      <c r="A839" s="7"/>
      <c r="D839" s="7"/>
      <c r="O839" s="7"/>
    </row>
    <row r="840" spans="1:15">
      <c r="A840" s="7"/>
      <c r="D840" s="7"/>
      <c r="M840" s="7"/>
      <c r="O840" s="7"/>
    </row>
    <row r="841" spans="1:15">
      <c r="A841" s="7"/>
      <c r="D841" s="7"/>
      <c r="M841" s="7"/>
      <c r="O841" s="7"/>
    </row>
    <row r="842" spans="1:15">
      <c r="A842" s="7"/>
      <c r="D842" s="7"/>
      <c r="M842" s="7"/>
      <c r="O842" s="7"/>
    </row>
    <row r="843" spans="1:15">
      <c r="A843" s="7"/>
      <c r="D843" s="7"/>
      <c r="M843" s="7"/>
      <c r="O843" s="7"/>
    </row>
    <row r="844" spans="1:15">
      <c r="A844" s="7"/>
      <c r="D844" s="7"/>
      <c r="M844" s="7"/>
      <c r="O844" s="7"/>
    </row>
    <row r="845" spans="1:15">
      <c r="A845" s="7"/>
      <c r="D845" s="7"/>
      <c r="M845" s="7"/>
      <c r="O845" s="7"/>
    </row>
    <row r="846" spans="1:15">
      <c r="A846" s="7"/>
      <c r="D846" s="7"/>
      <c r="M846" s="7"/>
      <c r="O846" s="7"/>
    </row>
    <row r="847" spans="1:15">
      <c r="A847" s="7"/>
      <c r="D847" s="7"/>
      <c r="M847" s="7"/>
      <c r="O847" s="7"/>
    </row>
    <row r="848" spans="1:15">
      <c r="A848" s="7"/>
      <c r="D848" s="7"/>
      <c r="M848" s="7"/>
      <c r="O848" s="7"/>
    </row>
    <row r="849" spans="1:15">
      <c r="A849" s="7"/>
      <c r="D849" s="7"/>
      <c r="M849" s="7"/>
      <c r="O849" s="7"/>
    </row>
    <row r="850" spans="1:15">
      <c r="A850" s="7"/>
      <c r="D850" s="7"/>
      <c r="M850" s="7"/>
      <c r="O850" s="7"/>
    </row>
    <row r="851" spans="1:15">
      <c r="A851" s="7"/>
      <c r="D851" s="7"/>
      <c r="M851" s="7"/>
      <c r="O851" s="7"/>
    </row>
    <row r="852" spans="1:15">
      <c r="A852" s="7"/>
      <c r="D852" s="7"/>
      <c r="M852" s="7"/>
      <c r="O852" s="7"/>
    </row>
    <row r="853" spans="1:15">
      <c r="A853" s="7"/>
      <c r="D853" s="7"/>
      <c r="M853" s="7"/>
      <c r="O853" s="7"/>
    </row>
    <row r="854" spans="1:15">
      <c r="A854" s="7"/>
      <c r="D854" s="7"/>
      <c r="M854" s="7"/>
      <c r="O854" s="7"/>
    </row>
    <row r="855" spans="1:15">
      <c r="A855" s="7"/>
      <c r="D855" s="7"/>
      <c r="O855" s="7"/>
    </row>
    <row r="856" spans="1:15">
      <c r="A856" s="7"/>
      <c r="D856" s="7"/>
      <c r="M856" s="7"/>
      <c r="O856" s="7"/>
    </row>
    <row r="857" spans="1:15">
      <c r="A857" s="7"/>
      <c r="D857" s="7"/>
      <c r="M857" s="7"/>
      <c r="O857" s="7"/>
    </row>
    <row r="858" spans="1:15">
      <c r="A858" s="7"/>
      <c r="D858" s="7"/>
      <c r="M858" s="7"/>
      <c r="O858" s="7"/>
    </row>
    <row r="859" spans="1:15">
      <c r="A859" s="7"/>
      <c r="D859" s="7"/>
      <c r="M859" s="7"/>
      <c r="O859" s="7"/>
    </row>
    <row r="860" spans="1:15">
      <c r="A860" s="7"/>
      <c r="D860" s="7"/>
      <c r="M860" s="7"/>
      <c r="O860" s="7"/>
    </row>
    <row r="861" spans="1:15">
      <c r="A861" s="7"/>
      <c r="D861" s="7"/>
      <c r="M861" s="7"/>
      <c r="O861" s="7"/>
    </row>
    <row r="862" spans="1:15">
      <c r="A862" s="7"/>
      <c r="D862" s="7"/>
      <c r="M862" s="7"/>
      <c r="O862" s="7"/>
    </row>
    <row r="863" spans="1:15">
      <c r="A863" s="7"/>
      <c r="D863" s="7"/>
      <c r="M863" s="7"/>
      <c r="O863" s="7"/>
    </row>
    <row r="864" spans="1:15">
      <c r="A864" s="7"/>
      <c r="D864" s="7"/>
      <c r="M864" s="7"/>
      <c r="O864" s="7"/>
    </row>
    <row r="865" spans="1:15">
      <c r="A865" s="7"/>
      <c r="D865" s="7"/>
      <c r="M865" s="7"/>
      <c r="O865" s="7"/>
    </row>
    <row r="866" spans="1:15">
      <c r="A866" s="7"/>
      <c r="D866" s="7"/>
      <c r="M866" s="7"/>
      <c r="O866" s="7"/>
    </row>
    <row r="867" spans="1:15">
      <c r="A867" s="7"/>
      <c r="D867" s="7"/>
      <c r="M867" s="7"/>
      <c r="O867" s="7"/>
    </row>
    <row r="868" spans="1:15">
      <c r="A868" s="7"/>
      <c r="D868" s="7"/>
      <c r="M868" s="7"/>
      <c r="O868" s="7"/>
    </row>
    <row r="869" spans="1:15">
      <c r="A869" s="7"/>
      <c r="D869" s="7"/>
      <c r="M869" s="7"/>
      <c r="O869" s="7"/>
    </row>
    <row r="870" spans="1:15">
      <c r="A870" s="7"/>
      <c r="D870" s="7"/>
      <c r="M870" s="7"/>
      <c r="O870" s="7"/>
    </row>
    <row r="871" spans="1:15">
      <c r="A871" s="7"/>
      <c r="D871" s="7"/>
      <c r="M871" s="7"/>
      <c r="O871" s="7"/>
    </row>
    <row r="872" spans="1:15">
      <c r="A872" s="7"/>
      <c r="D872" s="7"/>
      <c r="M872" s="7"/>
      <c r="O872" s="7"/>
    </row>
    <row r="873" spans="1:15">
      <c r="A873" s="7"/>
      <c r="D873" s="7"/>
      <c r="M873" s="7"/>
      <c r="O873" s="7"/>
    </row>
    <row r="874" spans="1:15">
      <c r="A874" s="7"/>
      <c r="D874" s="7"/>
      <c r="M874" s="7"/>
      <c r="O874" s="7"/>
    </row>
    <row r="875" spans="1:15">
      <c r="A875" s="7"/>
      <c r="D875" s="7"/>
      <c r="M875" s="7"/>
      <c r="O875" s="7"/>
    </row>
    <row r="876" spans="1:15">
      <c r="A876" s="7"/>
      <c r="D876" s="7"/>
      <c r="M876" s="7"/>
      <c r="O876" s="7"/>
    </row>
    <row r="877" spans="1:15">
      <c r="A877" s="7"/>
      <c r="D877" s="7"/>
      <c r="M877" s="7"/>
      <c r="O877" s="7"/>
    </row>
    <row r="878" spans="1:15">
      <c r="A878" s="7"/>
      <c r="D878" s="7"/>
      <c r="M878" s="7"/>
      <c r="O878" s="7"/>
    </row>
    <row r="879" spans="1:15">
      <c r="A879" s="7"/>
      <c r="D879" s="7"/>
      <c r="M879" s="7"/>
      <c r="O879" s="7"/>
    </row>
    <row r="880" spans="1:15">
      <c r="A880" s="7"/>
      <c r="D880" s="7"/>
      <c r="M880" s="7"/>
      <c r="O880" s="7"/>
    </row>
    <row r="881" spans="1:15">
      <c r="A881" s="7"/>
      <c r="D881" s="7"/>
      <c r="M881" s="7"/>
      <c r="O881" s="7"/>
    </row>
    <row r="882" spans="1:15">
      <c r="A882" s="7"/>
      <c r="D882" s="7"/>
      <c r="M882" s="7"/>
      <c r="O882" s="7"/>
    </row>
    <row r="883" spans="1:15">
      <c r="A883" s="7"/>
      <c r="D883" s="7"/>
      <c r="M883" s="7"/>
      <c r="O883" s="7"/>
    </row>
    <row r="884" spans="1:15">
      <c r="A884" s="7"/>
      <c r="D884" s="7"/>
      <c r="M884" s="7"/>
      <c r="O884" s="7"/>
    </row>
    <row r="885" spans="1:15">
      <c r="A885" s="7"/>
      <c r="D885" s="7"/>
      <c r="M885" s="7"/>
      <c r="O885" s="7"/>
    </row>
    <row r="886" spans="1:15">
      <c r="A886" s="7"/>
      <c r="D886" s="7"/>
      <c r="M886" s="7"/>
      <c r="O886" s="7"/>
    </row>
    <row r="887" spans="1:15">
      <c r="A887" s="7"/>
      <c r="D887" s="7"/>
      <c r="M887" s="7"/>
      <c r="O887" s="7"/>
    </row>
    <row r="888" spans="1:15">
      <c r="A888" s="7"/>
      <c r="D888" s="7"/>
      <c r="M888" s="7"/>
      <c r="O888" s="7"/>
    </row>
    <row r="889" spans="1:15">
      <c r="A889" s="7"/>
      <c r="D889" s="7"/>
      <c r="M889" s="7"/>
      <c r="O889" s="7"/>
    </row>
    <row r="890" spans="1:15">
      <c r="A890" s="7"/>
      <c r="D890" s="7"/>
      <c r="M890" s="7"/>
      <c r="O890" s="7"/>
    </row>
    <row r="891" spans="1:15">
      <c r="A891" s="7"/>
      <c r="D891" s="7"/>
      <c r="M891" s="7"/>
      <c r="O891" s="7"/>
    </row>
    <row r="892" spans="1:15">
      <c r="A892" s="7"/>
      <c r="D892" s="7"/>
      <c r="O892" s="7"/>
    </row>
    <row r="893" spans="1:15">
      <c r="A893" s="7"/>
      <c r="D893" s="7"/>
      <c r="M893" s="7"/>
      <c r="O893" s="7"/>
    </row>
    <row r="894" spans="1:15">
      <c r="A894" s="7"/>
      <c r="D894" s="7"/>
      <c r="M894" s="7"/>
      <c r="O894" s="7"/>
    </row>
    <row r="895" spans="1:15">
      <c r="A895" s="7"/>
      <c r="D895" s="7"/>
      <c r="M895" s="7"/>
      <c r="O895" s="7"/>
    </row>
    <row r="896" spans="1:15">
      <c r="A896" s="7"/>
      <c r="D896" s="7"/>
      <c r="M896" s="7"/>
      <c r="O896" s="7"/>
    </row>
    <row r="897" spans="1:15">
      <c r="A897" s="7"/>
      <c r="D897" s="7"/>
      <c r="M897" s="7"/>
      <c r="O897" s="7"/>
    </row>
    <row r="898" spans="1:15">
      <c r="A898" s="7"/>
      <c r="D898" s="7"/>
      <c r="M898" s="7"/>
      <c r="O898" s="7"/>
    </row>
    <row r="899" spans="1:15">
      <c r="A899" s="7"/>
      <c r="D899" s="7"/>
      <c r="M899" s="7"/>
      <c r="O899" s="7"/>
    </row>
    <row r="900" spans="1:15">
      <c r="A900" s="7"/>
      <c r="D900" s="7"/>
      <c r="M900" s="7"/>
      <c r="O900" s="7"/>
    </row>
    <row r="901" spans="1:15">
      <c r="A901" s="7"/>
      <c r="D901" s="7"/>
      <c r="M901" s="7"/>
      <c r="O901" s="7"/>
    </row>
    <row r="902" spans="1:15">
      <c r="A902" s="7"/>
      <c r="D902" s="7"/>
      <c r="M902" s="7"/>
      <c r="O902" s="7"/>
    </row>
    <row r="903" spans="1:15">
      <c r="A903" s="7"/>
      <c r="D903" s="7"/>
      <c r="M903" s="7"/>
      <c r="O903" s="7"/>
    </row>
    <row r="904" spans="1:15">
      <c r="A904" s="7"/>
      <c r="D904" s="7"/>
      <c r="M904" s="7"/>
      <c r="O904" s="7"/>
    </row>
    <row r="905" spans="1:15">
      <c r="A905" s="7"/>
      <c r="D905" s="7"/>
      <c r="M905" s="7"/>
      <c r="O905" s="7"/>
    </row>
    <row r="906" spans="1:15">
      <c r="A906" s="7"/>
      <c r="D906" s="7"/>
      <c r="M906" s="7"/>
      <c r="O906" s="7"/>
    </row>
    <row r="907" spans="1:15">
      <c r="A907" s="7"/>
      <c r="D907" s="7"/>
      <c r="M907" s="7"/>
      <c r="O907" s="7"/>
    </row>
    <row r="908" spans="1:15">
      <c r="A908" s="7"/>
      <c r="D908" s="7"/>
      <c r="M908" s="7"/>
      <c r="O908" s="7"/>
    </row>
    <row r="909" spans="1:15">
      <c r="A909" s="7"/>
      <c r="D909" s="7"/>
      <c r="M909" s="7"/>
      <c r="O909" s="7"/>
    </row>
    <row r="910" spans="1:15">
      <c r="A910" s="7"/>
      <c r="D910" s="7"/>
      <c r="M910" s="7"/>
      <c r="O910" s="7"/>
    </row>
    <row r="911" spans="1:15">
      <c r="A911" s="7"/>
      <c r="D911" s="7"/>
      <c r="O911" s="7"/>
    </row>
    <row r="912" spans="1:15">
      <c r="A912" s="7"/>
      <c r="D912" s="7"/>
      <c r="O912" s="7"/>
    </row>
    <row r="913" spans="1:15">
      <c r="A913" s="7"/>
      <c r="D913" s="7"/>
      <c r="O913" s="7"/>
    </row>
    <row r="914" spans="1:15">
      <c r="A914" s="7"/>
      <c r="D914" s="7"/>
      <c r="O914" s="7"/>
    </row>
    <row r="915" spans="1:15">
      <c r="A915" s="7"/>
      <c r="D915" s="7"/>
      <c r="O915" s="7"/>
    </row>
    <row r="916" spans="1:15">
      <c r="A916" s="7"/>
      <c r="D916" s="7"/>
      <c r="O916" s="7"/>
    </row>
    <row r="917" spans="1:15">
      <c r="A917" s="7"/>
      <c r="D917" s="7"/>
      <c r="O917" s="7"/>
    </row>
    <row r="918" spans="1:15">
      <c r="A918" s="7"/>
      <c r="D918" s="7"/>
      <c r="O918" s="7"/>
    </row>
    <row r="919" spans="1:15">
      <c r="A919" s="7"/>
      <c r="D919" s="7"/>
      <c r="O919" s="7"/>
    </row>
    <row r="920" spans="1:15">
      <c r="A920" s="7"/>
      <c r="D920" s="7"/>
      <c r="O920" s="7"/>
    </row>
    <row r="921" spans="1:15">
      <c r="A921" s="7"/>
      <c r="D921" s="7"/>
      <c r="M921" s="7"/>
      <c r="O921" s="7"/>
    </row>
    <row r="922" spans="1:15">
      <c r="A922" s="7"/>
      <c r="D922" s="7"/>
      <c r="M922" s="7"/>
      <c r="O922" s="7"/>
    </row>
    <row r="923" spans="1:15">
      <c r="A923" s="7"/>
      <c r="D923" s="7"/>
      <c r="M923" s="7"/>
      <c r="O923" s="7"/>
    </row>
    <row r="924" spans="1:15">
      <c r="A924" s="7"/>
      <c r="D924" s="7"/>
      <c r="M924" s="7"/>
      <c r="O924" s="7"/>
    </row>
    <row r="925" spans="1:15">
      <c r="A925" s="7"/>
      <c r="D925" s="7"/>
      <c r="M925" s="7"/>
      <c r="O925" s="7"/>
    </row>
    <row r="926" spans="1:15">
      <c r="A926" s="7"/>
      <c r="D926" s="7"/>
      <c r="M926" s="7"/>
      <c r="O926" s="7"/>
    </row>
    <row r="927" spans="1:15">
      <c r="A927" s="7"/>
      <c r="D927" s="7"/>
      <c r="O927" s="7"/>
    </row>
    <row r="928" spans="1:15">
      <c r="A928" s="7"/>
      <c r="D928" s="7"/>
      <c r="O928" s="7"/>
    </row>
    <row r="929" spans="1:15">
      <c r="A929" s="7"/>
      <c r="D929" s="7"/>
      <c r="O929" s="7"/>
    </row>
    <row r="930" spans="1:15">
      <c r="A930" s="7"/>
      <c r="D930" s="7"/>
      <c r="O930" s="7"/>
    </row>
    <row r="931" spans="1:15">
      <c r="A931" s="7"/>
      <c r="D931" s="7"/>
      <c r="O931" s="7"/>
    </row>
    <row r="932" spans="1:15">
      <c r="A932" s="7"/>
      <c r="D932" s="7"/>
      <c r="O932" s="7"/>
    </row>
    <row r="933" spans="1:15">
      <c r="A933" s="7"/>
      <c r="D933" s="7"/>
      <c r="O933" s="7"/>
    </row>
    <row r="934" spans="1:15">
      <c r="A934" s="7"/>
      <c r="D934" s="7"/>
      <c r="O934" s="7"/>
    </row>
    <row r="935" spans="1:15">
      <c r="A935" s="7"/>
      <c r="D935" s="7"/>
      <c r="O935" s="7"/>
    </row>
    <row r="936" spans="1:15">
      <c r="A936" s="7"/>
      <c r="D936" s="7"/>
      <c r="O936" s="7"/>
    </row>
    <row r="937" spans="1:15">
      <c r="A937" s="7"/>
      <c r="D937" s="7"/>
      <c r="O937" s="7"/>
    </row>
    <row r="938" spans="1:15">
      <c r="A938" s="7"/>
      <c r="D938" s="7"/>
      <c r="O938" s="7"/>
    </row>
    <row r="939" spans="1:15">
      <c r="A939" s="7"/>
      <c r="D939" s="7"/>
      <c r="O939" s="7"/>
    </row>
    <row r="940" spans="1:15">
      <c r="A940" s="7"/>
      <c r="D940" s="7"/>
      <c r="O940" s="7"/>
    </row>
    <row r="941" spans="1:15">
      <c r="A941" s="7"/>
      <c r="D941" s="7"/>
      <c r="O941" s="7"/>
    </row>
    <row r="942" spans="1:15">
      <c r="A942" s="7"/>
      <c r="D942" s="7"/>
      <c r="O942" s="7"/>
    </row>
    <row r="943" spans="1:15">
      <c r="A943" s="7"/>
      <c r="D943" s="7"/>
      <c r="O943" s="7"/>
    </row>
    <row r="944" spans="1:15">
      <c r="A944" s="7"/>
      <c r="D944" s="7"/>
      <c r="O944" s="7"/>
    </row>
    <row r="945" spans="1:15">
      <c r="A945" s="7"/>
      <c r="D945" s="7"/>
      <c r="O945" s="7"/>
    </row>
    <row r="946" spans="1:15">
      <c r="A946" s="7"/>
      <c r="D946" s="7"/>
      <c r="O946" s="7"/>
    </row>
    <row r="947" spans="1:15">
      <c r="A947" s="7"/>
      <c r="D947" s="7"/>
      <c r="O947" s="7"/>
    </row>
    <row r="948" spans="1:15">
      <c r="A948" s="7"/>
      <c r="D948" s="7"/>
      <c r="O948" s="7"/>
    </row>
    <row r="949" spans="1:15">
      <c r="A949" s="7"/>
      <c r="D949" s="7"/>
      <c r="O949" s="7"/>
    </row>
    <row r="950" spans="1:15">
      <c r="A950" s="7"/>
      <c r="D950" s="7"/>
      <c r="O950" s="7"/>
    </row>
    <row r="951" spans="1:15">
      <c r="A951" s="7"/>
      <c r="D951" s="7"/>
      <c r="O951" s="7"/>
    </row>
    <row r="952" spans="1:15">
      <c r="A952" s="7"/>
      <c r="D952" s="7"/>
      <c r="O952" s="7"/>
    </row>
    <row r="953" spans="1:15">
      <c r="A953" s="7"/>
      <c r="D953" s="7"/>
      <c r="O953" s="7"/>
    </row>
    <row r="954" spans="1:15">
      <c r="A954" s="7"/>
      <c r="D954" s="7"/>
      <c r="O954" s="7"/>
    </row>
    <row r="955" spans="1:15">
      <c r="A955" s="7"/>
      <c r="D955" s="7"/>
      <c r="O955" s="7"/>
    </row>
    <row r="956" spans="1:15">
      <c r="A956" s="7"/>
      <c r="D956" s="7"/>
      <c r="O956" s="7"/>
    </row>
    <row r="957" spans="1:15">
      <c r="A957" s="7"/>
      <c r="D957" s="7"/>
      <c r="O957" s="7"/>
    </row>
    <row r="958" spans="1:15">
      <c r="A958" s="7"/>
      <c r="D958" s="7"/>
      <c r="O958" s="7"/>
    </row>
    <row r="959" spans="1:15">
      <c r="A959" s="7"/>
      <c r="D959" s="7"/>
      <c r="O959" s="7"/>
    </row>
    <row r="960" spans="1:15">
      <c r="A960" s="7"/>
      <c r="D960" s="7"/>
      <c r="O960" s="7"/>
    </row>
    <row r="961" spans="1:15">
      <c r="A961" s="7"/>
      <c r="D961" s="7"/>
      <c r="O961" s="7"/>
    </row>
    <row r="962" spans="1:15">
      <c r="A962" s="7"/>
      <c r="D962" s="7"/>
      <c r="O962" s="7"/>
    </row>
    <row r="963" spans="1:15">
      <c r="A963" s="7"/>
      <c r="D963" s="7"/>
      <c r="O963" s="7"/>
    </row>
    <row r="964" spans="1:15">
      <c r="A964" s="7"/>
      <c r="D964" s="7"/>
      <c r="O964" s="7"/>
    </row>
    <row r="965" spans="1:15">
      <c r="A965" s="7"/>
      <c r="D965" s="7"/>
      <c r="O965" s="7"/>
    </row>
    <row r="966" spans="1:15">
      <c r="A966" s="7"/>
      <c r="D966" s="7"/>
      <c r="M966" s="7"/>
      <c r="O966" s="7"/>
    </row>
    <row r="967" spans="1:15">
      <c r="A967" s="7"/>
      <c r="D967" s="7"/>
      <c r="M967" s="7"/>
      <c r="O967" s="7"/>
    </row>
    <row r="968" spans="1:15">
      <c r="A968" s="7"/>
      <c r="D968" s="7"/>
      <c r="O968" s="7"/>
    </row>
    <row r="969" spans="1:15">
      <c r="A969" s="7"/>
      <c r="D969" s="7"/>
      <c r="O969" s="7"/>
    </row>
    <row r="970" spans="1:15">
      <c r="A970" s="7"/>
      <c r="D970" s="7"/>
      <c r="M970" s="7"/>
      <c r="O970" s="7"/>
    </row>
    <row r="971" spans="1:15">
      <c r="A971" s="7"/>
      <c r="D971" s="7"/>
      <c r="M971" s="7"/>
      <c r="O971" s="7"/>
    </row>
    <row r="972" spans="1:15">
      <c r="A972" s="7"/>
      <c r="D972" s="7"/>
      <c r="O972" s="7"/>
    </row>
    <row r="973" spans="1:15">
      <c r="A973" s="7"/>
      <c r="D973" s="7"/>
      <c r="O973" s="7"/>
    </row>
    <row r="974" spans="1:15">
      <c r="A974" s="7"/>
      <c r="D974" s="7"/>
      <c r="M974" s="7"/>
      <c r="O974" s="7"/>
    </row>
    <row r="975" spans="1:15">
      <c r="A975" s="7"/>
      <c r="D975" s="7"/>
      <c r="M975" s="7"/>
      <c r="O975" s="7"/>
    </row>
    <row r="976" spans="1:15">
      <c r="A976" s="7"/>
      <c r="D976" s="7"/>
      <c r="M976" s="7"/>
      <c r="O976" s="7"/>
    </row>
    <row r="977" spans="1:15">
      <c r="A977" s="7"/>
      <c r="D977" s="7"/>
      <c r="M977" s="7"/>
      <c r="O977" s="7"/>
    </row>
    <row r="978" spans="1:15">
      <c r="A978" s="7"/>
      <c r="D978" s="7"/>
      <c r="M978" s="7"/>
      <c r="O978" s="7"/>
    </row>
    <row r="979" spans="1:15">
      <c r="A979" s="7"/>
      <c r="D979" s="7"/>
      <c r="M979" s="7"/>
      <c r="O979" s="7"/>
    </row>
    <row r="980" spans="1:15">
      <c r="A980" s="7"/>
      <c r="D980" s="7"/>
      <c r="M980" s="7"/>
      <c r="O980" s="7"/>
    </row>
    <row r="981" spans="1:15">
      <c r="A981" s="7"/>
      <c r="D981" s="7"/>
      <c r="M981" s="7"/>
      <c r="O981" s="7"/>
    </row>
    <row r="982" spans="1:15">
      <c r="A982" s="7"/>
      <c r="D982" s="7"/>
      <c r="M982" s="7"/>
      <c r="O982" s="7"/>
    </row>
    <row r="983" spans="1:15">
      <c r="A983" s="7"/>
      <c r="D983" s="7"/>
      <c r="M983" s="7"/>
      <c r="O983" s="7"/>
    </row>
    <row r="984" spans="1:15">
      <c r="A984" s="7"/>
      <c r="D984" s="7"/>
      <c r="M984" s="7"/>
      <c r="O984" s="7"/>
    </row>
    <row r="985" spans="1:15">
      <c r="A985" s="7"/>
      <c r="D985" s="7"/>
      <c r="M985" s="7"/>
      <c r="O985" s="7"/>
    </row>
    <row r="986" spans="1:15">
      <c r="A986" s="7"/>
      <c r="D986" s="7"/>
      <c r="M986" s="7"/>
      <c r="O986" s="7"/>
    </row>
    <row r="987" spans="1:15">
      <c r="A987" s="7"/>
      <c r="D987" s="7"/>
      <c r="M987" s="7"/>
      <c r="O987" s="7"/>
    </row>
    <row r="988" spans="1:15">
      <c r="A988" s="7"/>
      <c r="D988" s="7"/>
      <c r="M988" s="7"/>
      <c r="O988" s="7"/>
    </row>
    <row r="989" spans="1:15">
      <c r="A989" s="7"/>
      <c r="D989" s="7"/>
      <c r="M989" s="7"/>
      <c r="O989" s="7"/>
    </row>
    <row r="990" spans="1:15">
      <c r="A990" s="7"/>
      <c r="D990" s="7"/>
      <c r="M990" s="7"/>
      <c r="O990" s="7"/>
    </row>
    <row r="991" spans="1:15">
      <c r="A991" s="7"/>
      <c r="D991" s="7"/>
      <c r="M991" s="7"/>
      <c r="O991" s="7"/>
    </row>
    <row r="992" spans="1:15">
      <c r="A992" s="7"/>
      <c r="D992" s="7"/>
      <c r="M992" s="7"/>
      <c r="O992" s="7"/>
    </row>
    <row r="993" spans="1:15">
      <c r="A993" s="7"/>
      <c r="D993" s="7"/>
      <c r="M993" s="7"/>
      <c r="O993" s="7"/>
    </row>
    <row r="994" spans="1:15">
      <c r="A994" s="7"/>
      <c r="D994" s="7"/>
      <c r="M994" s="7"/>
      <c r="O994" s="7"/>
    </row>
    <row r="995" spans="1:15">
      <c r="A995" s="7"/>
      <c r="D995" s="7"/>
      <c r="M995" s="7"/>
      <c r="O995" s="7"/>
    </row>
    <row r="996" spans="1:15">
      <c r="A996" s="7"/>
      <c r="D996" s="7"/>
      <c r="M996" s="7"/>
      <c r="O996" s="7"/>
    </row>
    <row r="997" spans="1:15">
      <c r="A997" s="7"/>
      <c r="D997" s="7"/>
      <c r="M997" s="7"/>
      <c r="O997" s="7"/>
    </row>
    <row r="998" spans="1:15">
      <c r="A998" s="7"/>
      <c r="D998" s="7"/>
      <c r="M998" s="7"/>
      <c r="O998" s="7"/>
    </row>
    <row r="999" spans="1:15">
      <c r="A999" s="7"/>
      <c r="D999" s="7"/>
      <c r="M999" s="7"/>
      <c r="O999" s="7"/>
    </row>
    <row r="1000" spans="1:15">
      <c r="A1000" s="7"/>
      <c r="D1000" s="7"/>
      <c r="O1000" s="7"/>
    </row>
    <row r="1001" spans="1:15">
      <c r="A1001" s="7"/>
      <c r="D1001" s="7"/>
      <c r="O1001" s="7"/>
    </row>
    <row r="1002" spans="1:15">
      <c r="A1002" s="7"/>
      <c r="D1002" s="7"/>
      <c r="M1002" s="7"/>
      <c r="O1002" s="7"/>
    </row>
    <row r="1003" spans="1:15">
      <c r="A1003" s="7"/>
      <c r="D1003" s="7"/>
      <c r="M1003" s="7"/>
      <c r="O1003" s="7"/>
    </row>
    <row r="1004" spans="1:15">
      <c r="A1004" s="7"/>
      <c r="D1004" s="7"/>
      <c r="M1004" s="7"/>
      <c r="O1004" s="7"/>
    </row>
    <row r="1005" spans="1:15">
      <c r="A1005" s="7"/>
      <c r="D1005" s="7"/>
      <c r="M1005" s="7"/>
      <c r="O1005" s="7"/>
    </row>
    <row r="1006" spans="1:15">
      <c r="A1006" s="7"/>
      <c r="D1006" s="7"/>
      <c r="M1006" s="7"/>
      <c r="O1006" s="7"/>
    </row>
    <row r="1007" spans="1:15">
      <c r="A1007" s="7"/>
      <c r="D1007" s="7"/>
      <c r="M1007" s="7"/>
      <c r="O1007" s="7"/>
    </row>
    <row r="1008" spans="1:15">
      <c r="A1008" s="7"/>
      <c r="D1008" s="7"/>
      <c r="M1008" s="7"/>
      <c r="O1008" s="7"/>
    </row>
    <row r="1009" spans="1:15">
      <c r="A1009" s="7"/>
      <c r="D1009" s="7"/>
      <c r="M1009" s="7"/>
      <c r="O1009" s="7"/>
    </row>
    <row r="1010" spans="1:15">
      <c r="A1010" s="7"/>
      <c r="D1010" s="7"/>
      <c r="M1010" s="7"/>
      <c r="O1010" s="7"/>
    </row>
    <row r="1011" spans="1:15">
      <c r="A1011" s="7"/>
      <c r="D1011" s="7"/>
      <c r="M1011" s="7"/>
      <c r="O1011" s="7"/>
    </row>
    <row r="1012" spans="1:15">
      <c r="A1012" s="7"/>
      <c r="D1012" s="7"/>
      <c r="M1012" s="7"/>
      <c r="O1012" s="7"/>
    </row>
    <row r="1013" spans="1:15">
      <c r="A1013" s="7"/>
      <c r="D1013" s="7"/>
      <c r="M1013" s="7"/>
      <c r="O1013" s="7"/>
    </row>
    <row r="1014" spans="1:15">
      <c r="A1014" s="7"/>
      <c r="D1014" s="7"/>
      <c r="M1014" s="7"/>
      <c r="O1014" s="7"/>
    </row>
    <row r="1015" spans="1:15">
      <c r="A1015" s="7"/>
      <c r="D1015" s="7"/>
      <c r="M1015" s="7"/>
      <c r="O1015" s="7"/>
    </row>
    <row r="1016" spans="1:15">
      <c r="A1016" s="7"/>
      <c r="D1016" s="7"/>
      <c r="M1016" s="7"/>
      <c r="O1016" s="7"/>
    </row>
    <row r="1017" spans="1:15">
      <c r="A1017" s="7"/>
      <c r="D1017" s="7"/>
      <c r="M1017" s="7"/>
      <c r="O1017" s="7"/>
    </row>
    <row r="1018" spans="1:15">
      <c r="A1018" s="7"/>
      <c r="D1018" s="7"/>
      <c r="M1018" s="7"/>
      <c r="O1018" s="7"/>
    </row>
    <row r="1019" spans="1:15">
      <c r="A1019" s="7"/>
      <c r="D1019" s="7"/>
      <c r="M1019" s="7"/>
      <c r="O1019" s="7"/>
    </row>
    <row r="1020" spans="1:15">
      <c r="A1020" s="7"/>
      <c r="D1020" s="7"/>
      <c r="M1020" s="7"/>
      <c r="O1020" s="7"/>
    </row>
    <row r="1021" spans="1:15">
      <c r="A1021" s="7"/>
      <c r="D1021" s="7"/>
      <c r="M1021" s="7"/>
      <c r="O1021" s="7"/>
    </row>
    <row r="1022" spans="1:15">
      <c r="A1022" s="7"/>
      <c r="D1022" s="7"/>
      <c r="M1022" s="7"/>
      <c r="O1022" s="7"/>
    </row>
    <row r="1023" spans="1:15">
      <c r="A1023" s="7"/>
      <c r="D1023" s="7"/>
      <c r="M1023" s="7"/>
      <c r="O1023" s="7"/>
    </row>
    <row r="1024" spans="1:15">
      <c r="A1024" s="7"/>
      <c r="D1024" s="7"/>
      <c r="M1024" s="7"/>
      <c r="O1024" s="7"/>
    </row>
    <row r="1025" spans="1:15">
      <c r="A1025" s="7"/>
      <c r="D1025" s="7"/>
      <c r="O1025" s="7"/>
    </row>
    <row r="1026" spans="1:15">
      <c r="A1026" s="7"/>
      <c r="D1026" s="7"/>
      <c r="O1026" s="7"/>
    </row>
    <row r="1027" spans="1:15">
      <c r="A1027" s="7"/>
      <c r="D1027" s="7"/>
      <c r="M1027" s="7"/>
      <c r="O1027" s="7"/>
    </row>
    <row r="1028" spans="1:15">
      <c r="A1028" s="7"/>
      <c r="D1028" s="7"/>
      <c r="M1028" s="7"/>
      <c r="O1028" s="7"/>
    </row>
    <row r="1029" spans="1:15">
      <c r="A1029" s="7"/>
      <c r="D1029" s="7"/>
      <c r="M1029" s="7"/>
      <c r="O1029" s="7"/>
    </row>
    <row r="1030" spans="1:15">
      <c r="A1030" s="7"/>
      <c r="D1030" s="7"/>
      <c r="M1030" s="7"/>
      <c r="O1030" s="7"/>
    </row>
    <row r="1031" spans="1:15">
      <c r="A1031" s="7"/>
      <c r="D1031" s="7"/>
      <c r="M1031" s="7"/>
      <c r="O1031" s="7"/>
    </row>
    <row r="1032" spans="1:15">
      <c r="A1032" s="7"/>
      <c r="D1032" s="7"/>
      <c r="M1032" s="7"/>
      <c r="O1032" s="7"/>
    </row>
    <row r="1033" spans="1:15">
      <c r="A1033" s="7"/>
      <c r="D1033" s="7"/>
      <c r="M1033" s="7"/>
      <c r="O1033" s="7"/>
    </row>
    <row r="1034" spans="1:15">
      <c r="A1034" s="7"/>
      <c r="D1034" s="7"/>
      <c r="M1034" s="7"/>
      <c r="O1034" s="7"/>
    </row>
    <row r="1035" spans="1:15">
      <c r="A1035" s="7"/>
      <c r="D1035" s="7"/>
      <c r="M1035" s="7"/>
      <c r="O1035" s="7"/>
    </row>
    <row r="1036" spans="1:15">
      <c r="A1036" s="7"/>
      <c r="D1036" s="7"/>
      <c r="O1036" s="7"/>
    </row>
    <row r="1037" spans="1:15">
      <c r="A1037" s="7"/>
      <c r="D1037" s="7"/>
      <c r="O1037" s="7"/>
    </row>
    <row r="1038" spans="1:15">
      <c r="A1038" s="7"/>
      <c r="D1038" s="7"/>
      <c r="O1038" s="7"/>
    </row>
    <row r="1039" spans="1:15">
      <c r="A1039" s="7"/>
      <c r="D1039" s="7"/>
      <c r="O1039" s="7"/>
    </row>
    <row r="1040" spans="1:15">
      <c r="A1040" s="7"/>
      <c r="D1040" s="7"/>
      <c r="M1040" s="7"/>
      <c r="O1040" s="7"/>
    </row>
    <row r="1041" spans="1:32">
      <c r="A1041" s="7"/>
      <c r="D1041" s="7"/>
      <c r="M1041" s="7"/>
      <c r="O1041" s="7"/>
    </row>
    <row r="1042" spans="1:32">
      <c r="A1042" s="7"/>
      <c r="D1042" s="7"/>
      <c r="O1042" s="7"/>
      <c r="R1042" s="7"/>
      <c r="U1042" s="7"/>
      <c r="Z1042" s="7"/>
      <c r="AB1042" s="8"/>
      <c r="AC1042" s="7"/>
      <c r="AF1042" s="8"/>
    </row>
    <row r="1043" spans="1:32">
      <c r="A1043" s="7"/>
      <c r="D1043" s="7"/>
      <c r="O1043" s="7"/>
      <c r="R1043" s="7"/>
      <c r="U1043" s="7"/>
      <c r="V1043" s="7"/>
      <c r="Z1043" s="7"/>
      <c r="AB1043" s="8"/>
      <c r="AC1043" s="7"/>
      <c r="AF1043" s="8"/>
    </row>
    <row r="1044" spans="1:32">
      <c r="A1044" s="7"/>
      <c r="D1044" s="7"/>
      <c r="O1044" s="7"/>
      <c r="R1044" s="7"/>
      <c r="U1044" s="7"/>
      <c r="V1044" s="8"/>
      <c r="Z1044" s="7"/>
      <c r="AB1044" s="8"/>
      <c r="AC1044" s="7"/>
      <c r="AF1044" s="8"/>
    </row>
    <row r="1045" spans="1:32">
      <c r="A1045" s="7"/>
      <c r="D1045" s="7"/>
      <c r="O1045" s="7"/>
      <c r="R1045" s="7"/>
      <c r="U1045" s="7"/>
      <c r="V1045" s="7"/>
      <c r="Z1045" s="7"/>
      <c r="AB1045" s="7"/>
      <c r="AC1045" s="7"/>
      <c r="AF1045" s="7"/>
    </row>
    <row r="1046" spans="1:32">
      <c r="A1046" s="7"/>
      <c r="D1046" s="7"/>
      <c r="O1046" s="7"/>
      <c r="R1046" s="7"/>
      <c r="U1046" s="7"/>
      <c r="V1046" s="8"/>
      <c r="Z1046" s="7"/>
      <c r="AB1046" s="8"/>
      <c r="AC1046" s="7"/>
      <c r="AF1046" s="8"/>
    </row>
    <row r="1047" spans="1:32">
      <c r="A1047" s="7"/>
      <c r="D1047" s="7"/>
      <c r="O1047" s="7"/>
      <c r="R1047" s="7"/>
      <c r="U1047" s="7"/>
      <c r="V1047" s="7"/>
      <c r="Z1047" s="7"/>
      <c r="AB1047" s="8"/>
      <c r="AC1047" s="7"/>
      <c r="AF1047" s="8"/>
    </row>
    <row r="1048" spans="1:32">
      <c r="A1048" s="7"/>
      <c r="D1048" s="7"/>
      <c r="O1048" s="7"/>
      <c r="R1048" s="7"/>
      <c r="U1048" s="7"/>
      <c r="V1048" s="8"/>
      <c r="Z1048" s="7"/>
      <c r="AB1048" s="8"/>
      <c r="AC1048" s="8"/>
      <c r="AD1048" s="7"/>
      <c r="AF1048" s="7"/>
    </row>
    <row r="1049" spans="1:32">
      <c r="A1049" s="7"/>
      <c r="D1049" s="7"/>
      <c r="O1049" s="7"/>
      <c r="R1049" s="7"/>
      <c r="U1049" s="7"/>
      <c r="V1049" s="7"/>
      <c r="Z1049" s="7"/>
      <c r="AB1049" s="8"/>
      <c r="AC1049" s="8"/>
      <c r="AD1049" s="7"/>
      <c r="AF1049" s="7"/>
    </row>
    <row r="1050" spans="1:32">
      <c r="A1050" s="7"/>
      <c r="D1050" s="7"/>
      <c r="O1050" s="7"/>
      <c r="R1050" s="7"/>
      <c r="U1050" s="7"/>
      <c r="V1050" s="8"/>
      <c r="AB1050" s="8"/>
      <c r="AC1050" s="7"/>
      <c r="AF1050" s="8"/>
    </row>
    <row r="1051" spans="1:32">
      <c r="A1051" s="7"/>
      <c r="D1051" s="7"/>
      <c r="O1051" s="7"/>
      <c r="R1051" s="7"/>
      <c r="U1051" s="7"/>
      <c r="V1051" s="8"/>
      <c r="AB1051" s="8"/>
      <c r="AC1051" s="7"/>
      <c r="AF1051" s="8"/>
    </row>
    <row r="1052" spans="1:32">
      <c r="A1052" s="7"/>
      <c r="D1052" s="7"/>
      <c r="O1052" s="7"/>
      <c r="R1052" s="7"/>
      <c r="U1052" s="7"/>
      <c r="V1052" s="8"/>
      <c r="AB1052" s="7"/>
      <c r="AC1052" s="7"/>
      <c r="AF1052" s="7"/>
    </row>
    <row r="1053" spans="1:32">
      <c r="A1053" s="7"/>
      <c r="D1053" s="7"/>
      <c r="O1053" s="7"/>
      <c r="R1053" s="7"/>
      <c r="U1053" s="7"/>
      <c r="V1053" s="8"/>
      <c r="AB1053" s="8"/>
      <c r="AC1053" s="7"/>
      <c r="AF1053" s="8"/>
    </row>
    <row r="1054" spans="1:32">
      <c r="A1054" s="7"/>
      <c r="D1054" s="7"/>
      <c r="O1054" s="7"/>
      <c r="R1054" s="7"/>
      <c r="U1054" s="7"/>
      <c r="V1054" s="8"/>
      <c r="AB1054" s="8"/>
      <c r="AC1054" s="7"/>
      <c r="AF1054" s="8"/>
    </row>
    <row r="1055" spans="1:32">
      <c r="A1055" s="7"/>
      <c r="D1055" s="7"/>
      <c r="O1055" s="7"/>
      <c r="R1055" s="7"/>
      <c r="U1055" s="7"/>
      <c r="V1055" s="8"/>
      <c r="AB1055" s="8"/>
      <c r="AC1055" s="7"/>
      <c r="AF1055" s="8"/>
    </row>
    <row r="1056" spans="1:32">
      <c r="A1056" s="7"/>
      <c r="D1056" s="7"/>
      <c r="O1056" s="7"/>
      <c r="R1056" s="7"/>
      <c r="U1056" s="7"/>
      <c r="V1056" s="8"/>
      <c r="AB1056" s="8"/>
      <c r="AC1056" s="7"/>
      <c r="AF1056" s="8"/>
    </row>
    <row r="1057" spans="1:32">
      <c r="A1057" s="7"/>
      <c r="D1057" s="7"/>
      <c r="O1057" s="7"/>
      <c r="R1057" s="7"/>
      <c r="U1057" s="7"/>
      <c r="V1057" s="7"/>
      <c r="AB1057" s="7"/>
      <c r="AC1057" s="7"/>
      <c r="AF1057" s="7"/>
    </row>
    <row r="1058" spans="1:32">
      <c r="A1058" s="7"/>
      <c r="D1058" s="7"/>
      <c r="M1058" s="7"/>
      <c r="O1058" s="7"/>
      <c r="R1058" s="7"/>
      <c r="U1058" s="7"/>
      <c r="V1058" s="8"/>
      <c r="AB1058" s="8"/>
      <c r="AC1058" s="7"/>
      <c r="AF1058" s="8"/>
    </row>
    <row r="1059" spans="1:32">
      <c r="A1059" s="7"/>
      <c r="D1059" s="7"/>
      <c r="M1059" s="7"/>
      <c r="O1059" s="7"/>
      <c r="R1059" s="7"/>
      <c r="U1059" s="7"/>
      <c r="V1059" s="8"/>
      <c r="AB1059" s="8"/>
      <c r="AC1059" s="7"/>
      <c r="AF1059" s="8"/>
    </row>
    <row r="1060" spans="1:32">
      <c r="A1060" s="7"/>
      <c r="D1060" s="7"/>
      <c r="M1060" s="7"/>
      <c r="O1060" s="7"/>
      <c r="R1060" s="7"/>
      <c r="U1060" s="7"/>
      <c r="V1060" s="7"/>
      <c r="AB1060" s="8"/>
      <c r="AC1060" s="7"/>
      <c r="AF1060" s="8"/>
    </row>
    <row r="1061" spans="1:32">
      <c r="A1061" s="7"/>
      <c r="D1061" s="7"/>
      <c r="M1061" s="7"/>
      <c r="O1061" s="7"/>
      <c r="R1061" s="7"/>
      <c r="U1061" s="7"/>
      <c r="AB1061" s="8"/>
      <c r="AC1061" s="7"/>
      <c r="AF1061" s="8"/>
    </row>
    <row r="1062" spans="1:32">
      <c r="A1062" s="7"/>
      <c r="D1062" s="7"/>
      <c r="O1062" s="7"/>
      <c r="R1062" s="7"/>
      <c r="U1062" s="7"/>
      <c r="V1062" s="8"/>
      <c r="AB1062" s="8"/>
      <c r="AC1062" s="7"/>
      <c r="AF1062" s="8"/>
    </row>
    <row r="1063" spans="1:32">
      <c r="A1063" s="7"/>
      <c r="D1063" s="7"/>
      <c r="O1063" s="7"/>
      <c r="R1063" s="7"/>
      <c r="U1063" s="7"/>
      <c r="V1063" s="8"/>
      <c r="AB1063" s="8"/>
      <c r="AC1063" s="7"/>
      <c r="AF1063" s="8"/>
    </row>
    <row r="1064" spans="1:32">
      <c r="A1064" s="7"/>
      <c r="D1064" s="7"/>
      <c r="O1064" s="7"/>
      <c r="R1064" s="7"/>
      <c r="U1064" s="7"/>
      <c r="V1064" s="7"/>
      <c r="AB1064" s="8"/>
      <c r="AC1064" s="7"/>
      <c r="AF1064" s="8"/>
    </row>
  </sheetData>
  <autoFilter ref="A1:AI610" xr:uid="{ECA9F2B8-8683-407A-B56E-F450D8D209DD}">
    <filterColumn colId="1">
      <filters>
        <filter val="WCI26E000274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495C8-BE57-4E9B-8F70-BDF431EBDAFF}">
  <sheetPr>
    <tabColor rgb="FF7030A0"/>
  </sheetPr>
  <dimension ref="A2:D8015"/>
  <sheetViews>
    <sheetView topLeftCell="A7764" workbookViewId="0">
      <selection activeCell="E1" sqref="E1"/>
    </sheetView>
  </sheetViews>
  <sheetFormatPr defaultRowHeight="14.5"/>
  <cols>
    <col min="1" max="1" width="26.6328125" customWidth="1"/>
    <col min="2" max="2" width="16.90625" bestFit="1" customWidth="1"/>
    <col min="3" max="3" width="17.54296875" bestFit="1" customWidth="1"/>
    <col min="4" max="5" width="19.08984375" bestFit="1" customWidth="1"/>
    <col min="7" max="7" width="14.453125" bestFit="1" customWidth="1"/>
    <col min="8" max="8" width="16.90625" bestFit="1" customWidth="1"/>
    <col min="9" max="9" width="19.6328125" bestFit="1" customWidth="1"/>
    <col min="10" max="10" width="19.08984375" bestFit="1" customWidth="1"/>
    <col min="14" max="14" width="17" bestFit="1" customWidth="1"/>
    <col min="15" max="15" width="13.1796875" bestFit="1" customWidth="1"/>
    <col min="16" max="16" width="15.1796875" bestFit="1" customWidth="1"/>
    <col min="17" max="17" width="24.6328125" bestFit="1" customWidth="1"/>
  </cols>
  <sheetData>
    <row r="2" spans="1:4" ht="18">
      <c r="A2" s="10" t="s">
        <v>2858</v>
      </c>
    </row>
    <row r="3" spans="1:4">
      <c r="A3" s="9" t="s">
        <v>226</v>
      </c>
      <c r="B3" s="9" t="s">
        <v>228</v>
      </c>
      <c r="C3" t="s">
        <v>4443</v>
      </c>
      <c r="D3" t="s">
        <v>2857</v>
      </c>
    </row>
    <row r="4" spans="1:4">
      <c r="A4" t="s">
        <v>253</v>
      </c>
      <c r="B4" t="s">
        <v>255</v>
      </c>
      <c r="C4" s="66">
        <v>53336</v>
      </c>
      <c r="D4" s="66">
        <v>2300</v>
      </c>
    </row>
    <row r="5" spans="1:4">
      <c r="A5" t="s">
        <v>59</v>
      </c>
      <c r="B5" t="s">
        <v>2853</v>
      </c>
      <c r="C5" s="66">
        <v>1239</v>
      </c>
      <c r="D5" s="66">
        <v>0</v>
      </c>
    </row>
    <row r="6" spans="1:4">
      <c r="A6" t="s">
        <v>416</v>
      </c>
      <c r="B6" t="s">
        <v>417</v>
      </c>
      <c r="C6" s="66">
        <v>8555</v>
      </c>
      <c r="D6" s="66">
        <v>7250</v>
      </c>
    </row>
    <row r="7" spans="1:4">
      <c r="A7" t="s">
        <v>443</v>
      </c>
      <c r="B7" t="s">
        <v>417</v>
      </c>
      <c r="C7" s="66">
        <v>26196</v>
      </c>
      <c r="D7" s="66">
        <v>0</v>
      </c>
    </row>
    <row r="8" spans="1:4">
      <c r="A8" t="s">
        <v>505</v>
      </c>
      <c r="B8" t="s">
        <v>417</v>
      </c>
      <c r="C8" s="66">
        <v>27966</v>
      </c>
      <c r="D8" s="66">
        <v>0</v>
      </c>
    </row>
    <row r="9" spans="1:4">
      <c r="A9" t="s">
        <v>582</v>
      </c>
      <c r="B9" t="s">
        <v>417</v>
      </c>
      <c r="C9" s="66">
        <v>34751</v>
      </c>
      <c r="D9" s="66">
        <v>0</v>
      </c>
    </row>
    <row r="10" spans="1:4">
      <c r="A10" t="s">
        <v>58</v>
      </c>
      <c r="B10" t="s">
        <v>688</v>
      </c>
      <c r="C10" s="66">
        <v>34751</v>
      </c>
      <c r="D10" s="66">
        <v>0</v>
      </c>
    </row>
    <row r="11" spans="1:4">
      <c r="A11" t="s">
        <v>2855</v>
      </c>
      <c r="B11" t="s">
        <v>2855</v>
      </c>
      <c r="C11" s="66"/>
      <c r="D11" s="66"/>
    </row>
    <row r="12" spans="1:4">
      <c r="A12" t="s">
        <v>151</v>
      </c>
      <c r="B12" t="s">
        <v>3158</v>
      </c>
      <c r="C12" s="66">
        <v>45489</v>
      </c>
      <c r="D12" s="66">
        <v>0</v>
      </c>
    </row>
    <row r="13" spans="1:4">
      <c r="A13" t="s">
        <v>208</v>
      </c>
      <c r="B13" t="s">
        <v>3432</v>
      </c>
      <c r="C13" s="66">
        <v>9912</v>
      </c>
      <c r="D13" s="66">
        <v>0</v>
      </c>
    </row>
    <row r="14" spans="1:4">
      <c r="A14" t="s">
        <v>209</v>
      </c>
      <c r="B14" t="s">
        <v>3432</v>
      </c>
      <c r="C14" s="66">
        <v>36108</v>
      </c>
      <c r="D14" s="66">
        <v>0</v>
      </c>
    </row>
    <row r="15" spans="1:4">
      <c r="A15" t="s">
        <v>210</v>
      </c>
      <c r="B15" t="s">
        <v>3432</v>
      </c>
      <c r="C15" s="66">
        <v>4484</v>
      </c>
      <c r="D15" s="66">
        <v>0</v>
      </c>
    </row>
    <row r="16" spans="1:4">
      <c r="A16" t="s">
        <v>3793</v>
      </c>
      <c r="B16" t="s">
        <v>4347</v>
      </c>
      <c r="C16" s="66">
        <v>1357</v>
      </c>
      <c r="D16" s="66">
        <v>0</v>
      </c>
    </row>
    <row r="17" spans="1:4">
      <c r="A17" t="s">
        <v>3794</v>
      </c>
      <c r="B17" t="s">
        <v>4347</v>
      </c>
      <c r="C17" s="66">
        <v>45371</v>
      </c>
      <c r="D17" s="66">
        <v>0</v>
      </c>
    </row>
    <row r="18" spans="1:4">
      <c r="A18" t="s">
        <v>3798</v>
      </c>
      <c r="B18" t="s">
        <v>5063</v>
      </c>
      <c r="C18" s="66">
        <v>29205</v>
      </c>
      <c r="D18" s="66">
        <v>0</v>
      </c>
    </row>
    <row r="19" spans="1:4">
      <c r="A19" t="s">
        <v>3801</v>
      </c>
      <c r="B19" t="s">
        <v>5063</v>
      </c>
      <c r="C19" s="66">
        <v>11151</v>
      </c>
      <c r="D19" s="66">
        <v>0</v>
      </c>
    </row>
    <row r="20" spans="1:4" hidden="1">
      <c r="A20" t="s">
        <v>3828</v>
      </c>
      <c r="B20" t="s">
        <v>5149</v>
      </c>
      <c r="C20" s="66">
        <v>4071</v>
      </c>
      <c r="D20" s="66">
        <v>0</v>
      </c>
    </row>
    <row r="21" spans="1:4" hidden="1">
      <c r="A21" t="s">
        <v>3829</v>
      </c>
      <c r="B21" t="s">
        <v>5149</v>
      </c>
      <c r="C21" s="66">
        <v>4071</v>
      </c>
      <c r="D21" s="66">
        <v>0</v>
      </c>
    </row>
    <row r="22" spans="1:4" hidden="1">
      <c r="A22" t="s">
        <v>3830</v>
      </c>
      <c r="B22" t="s">
        <v>5149</v>
      </c>
      <c r="C22" s="66">
        <v>20532</v>
      </c>
      <c r="D22" s="66">
        <v>0</v>
      </c>
    </row>
    <row r="23" spans="1:4" hidden="1">
      <c r="A23" t="s">
        <v>2856</v>
      </c>
      <c r="C23" s="66">
        <v>398545</v>
      </c>
      <c r="D23" s="66">
        <v>9550</v>
      </c>
    </row>
    <row r="24" spans="1:4" hidden="1"/>
    <row r="25" spans="1:4" hidden="1"/>
    <row r="26" spans="1:4" hidden="1"/>
    <row r="27" spans="1:4" hidden="1"/>
    <row r="28" spans="1:4" hidden="1"/>
    <row r="29" spans="1:4" hidden="1"/>
    <row r="30" spans="1:4" hidden="1"/>
    <row r="31" spans="1:4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 hidden="1"/>
    <row r="1002" hidden="1"/>
    <row r="1003" hidden="1"/>
    <row r="1004" hidden="1"/>
    <row r="1005" hidden="1"/>
    <row r="1006" hidden="1"/>
    <row r="1007" hidden="1"/>
    <row r="1008" hidden="1"/>
    <row r="1009" hidden="1"/>
    <row r="1010" hidden="1"/>
    <row r="1011" hidden="1"/>
    <row r="1012" hidden="1"/>
    <row r="1013" hidden="1"/>
    <row r="1014" hidden="1"/>
    <row r="1015" hidden="1"/>
    <row r="1016" hidden="1"/>
    <row r="1017" hidden="1"/>
    <row r="1018" hidden="1"/>
    <row r="1019" hidden="1"/>
    <row r="1020" hidden="1"/>
    <row r="1021" hidden="1"/>
    <row r="1022" hidden="1"/>
    <row r="1023" hidden="1"/>
    <row r="1024" hidden="1"/>
    <row r="1025" hidden="1"/>
    <row r="1026" hidden="1"/>
    <row r="1027" hidden="1"/>
    <row r="1028" hidden="1"/>
    <row r="1029" hidden="1"/>
    <row r="1030" hidden="1"/>
    <row r="1031" hidden="1"/>
    <row r="1032" hidden="1"/>
    <row r="1033" hidden="1"/>
    <row r="1034" hidden="1"/>
    <row r="1035" hidden="1"/>
    <row r="1036" hidden="1"/>
    <row r="1037" hidden="1"/>
    <row r="1038" hidden="1"/>
    <row r="1039" hidden="1"/>
    <row r="1040" hidden="1"/>
    <row r="1041" hidden="1"/>
    <row r="1042" hidden="1"/>
    <row r="1043" hidden="1"/>
    <row r="1044" hidden="1"/>
    <row r="1045" hidden="1"/>
    <row r="1046" hidden="1"/>
    <row r="1047" hidden="1"/>
    <row r="1048" hidden="1"/>
    <row r="1049" hidden="1"/>
    <row r="1050" hidden="1"/>
    <row r="1051" hidden="1"/>
    <row r="1052" hidden="1"/>
    <row r="1053" hidden="1"/>
    <row r="1054" hidden="1"/>
    <row r="1055" hidden="1"/>
    <row r="1056" hidden="1"/>
    <row r="1057" hidden="1"/>
    <row r="1058" hidden="1"/>
    <row r="1059" hidden="1"/>
    <row r="1060" hidden="1"/>
    <row r="1061" hidden="1"/>
    <row r="1062" hidden="1"/>
    <row r="1063" hidden="1"/>
    <row r="1064" hidden="1"/>
    <row r="1065" hidden="1"/>
    <row r="1066" hidden="1"/>
    <row r="1067" hidden="1"/>
    <row r="1068" hidden="1"/>
    <row r="1069" hidden="1"/>
    <row r="1070" hidden="1"/>
    <row r="1071" hidden="1"/>
    <row r="1072" hidden="1"/>
    <row r="1073" hidden="1"/>
    <row r="1074" hidden="1"/>
    <row r="1075" hidden="1"/>
    <row r="1076" hidden="1"/>
    <row r="1077" hidden="1"/>
    <row r="1078" hidden="1"/>
    <row r="1079" hidden="1"/>
    <row r="1080" hidden="1"/>
    <row r="1081" hidden="1"/>
    <row r="1082" hidden="1"/>
    <row r="1083" hidden="1"/>
    <row r="1084" hidden="1"/>
    <row r="1085" hidden="1"/>
    <row r="1086" hidden="1"/>
    <row r="1087" hidden="1"/>
    <row r="1088" hidden="1"/>
    <row r="1089" hidden="1"/>
    <row r="1090" hidden="1"/>
    <row r="1091" hidden="1"/>
    <row r="1092" hidden="1"/>
    <row r="1093" hidden="1"/>
    <row r="1094" hidden="1"/>
    <row r="1095" hidden="1"/>
    <row r="1096" hidden="1"/>
    <row r="1097" hidden="1"/>
    <row r="1098" hidden="1"/>
    <row r="1099" hidden="1"/>
    <row r="1100" hidden="1"/>
    <row r="1101" hidden="1"/>
    <row r="1102" hidden="1"/>
    <row r="1103" hidden="1"/>
    <row r="1104" hidden="1"/>
    <row r="1105" hidden="1"/>
    <row r="1106" hidden="1"/>
    <row r="1107" hidden="1"/>
    <row r="1108" hidden="1"/>
    <row r="1109" hidden="1"/>
    <row r="1110" hidden="1"/>
    <row r="1111" hidden="1"/>
    <row r="1112" hidden="1"/>
    <row r="1113" hidden="1"/>
    <row r="1114" hidden="1"/>
    <row r="1115" hidden="1"/>
    <row r="1116" hidden="1"/>
    <row r="1117" hidden="1"/>
    <row r="1118" hidden="1"/>
    <row r="1119" hidden="1"/>
    <row r="1120" hidden="1"/>
    <row r="1121" hidden="1"/>
    <row r="1122" hidden="1"/>
    <row r="1123" hidden="1"/>
    <row r="1124" hidden="1"/>
    <row r="1125" hidden="1"/>
    <row r="1126" hidden="1"/>
    <row r="1127" hidden="1"/>
    <row r="1128" hidden="1"/>
    <row r="1129" hidden="1"/>
    <row r="1130" hidden="1"/>
    <row r="1131" hidden="1"/>
    <row r="1132" hidden="1"/>
    <row r="1133" hidden="1"/>
    <row r="1134" hidden="1"/>
    <row r="1135" hidden="1"/>
    <row r="1136" hidden="1"/>
    <row r="1137" hidden="1"/>
    <row r="1138" hidden="1"/>
    <row r="1139" hidden="1"/>
    <row r="1140" hidden="1"/>
    <row r="1141" hidden="1"/>
    <row r="1142" hidden="1"/>
    <row r="1143" hidden="1"/>
    <row r="1144" hidden="1"/>
    <row r="1145" hidden="1"/>
    <row r="1146" hidden="1"/>
    <row r="1147" hidden="1"/>
    <row r="1148" hidden="1"/>
    <row r="1149" hidden="1"/>
    <row r="1150" hidden="1"/>
    <row r="1151" hidden="1"/>
    <row r="1152" hidden="1"/>
    <row r="1153" hidden="1"/>
    <row r="1154" hidden="1"/>
    <row r="1155" hidden="1"/>
    <row r="1156" hidden="1"/>
    <row r="1157" hidden="1"/>
    <row r="1158" hidden="1"/>
    <row r="1159" hidden="1"/>
    <row r="1160" hidden="1"/>
    <row r="1161" hidden="1"/>
    <row r="1162" hidden="1"/>
    <row r="1163" hidden="1"/>
    <row r="1164" hidden="1"/>
    <row r="1165" hidden="1"/>
    <row r="1166" hidden="1"/>
    <row r="1167" hidden="1"/>
    <row r="1168" hidden="1"/>
    <row r="1169" hidden="1"/>
    <row r="1170" hidden="1"/>
    <row r="1171" hidden="1"/>
    <row r="1172" hidden="1"/>
    <row r="1173" hidden="1"/>
    <row r="1174" hidden="1"/>
    <row r="1175" hidden="1"/>
    <row r="1176" hidden="1"/>
    <row r="1177" hidden="1"/>
    <row r="1178" hidden="1"/>
    <row r="1179" hidden="1"/>
    <row r="1180" hidden="1"/>
    <row r="1181" hidden="1"/>
    <row r="1182" hidden="1"/>
    <row r="1183" hidden="1"/>
    <row r="1184" hidden="1"/>
    <row r="1185" hidden="1"/>
    <row r="1186" hidden="1"/>
    <row r="1187" hidden="1"/>
    <row r="1188" hidden="1"/>
    <row r="1189" hidden="1"/>
    <row r="1190" hidden="1"/>
    <row r="1191" hidden="1"/>
    <row r="1192" hidden="1"/>
    <row r="1193" hidden="1"/>
    <row r="1194" hidden="1"/>
    <row r="1195" hidden="1"/>
    <row r="1196" hidden="1"/>
    <row r="1197" hidden="1"/>
    <row r="1198" hidden="1"/>
    <row r="1199" hidden="1"/>
    <row r="1200" hidden="1"/>
    <row r="1201" hidden="1"/>
    <row r="1202" hidden="1"/>
    <row r="1203" hidden="1"/>
    <row r="1204" hidden="1"/>
    <row r="1205" hidden="1"/>
    <row r="1206" hidden="1"/>
    <row r="1207" hidden="1"/>
    <row r="1208" hidden="1"/>
    <row r="1209" hidden="1"/>
    <row r="1210" hidden="1"/>
    <row r="1211" hidden="1"/>
    <row r="1212" hidden="1"/>
    <row r="1213" hidden="1"/>
    <row r="1214" hidden="1"/>
    <row r="1215" hidden="1"/>
    <row r="1216" hidden="1"/>
    <row r="1217" hidden="1"/>
    <row r="1218" hidden="1"/>
    <row r="1219" hidden="1"/>
    <row r="1220" hidden="1"/>
    <row r="1221" hidden="1"/>
    <row r="1222" hidden="1"/>
    <row r="1223" hidden="1"/>
    <row r="1224" hidden="1"/>
    <row r="1225" hidden="1"/>
    <row r="1226" hidden="1"/>
    <row r="1227" hidden="1"/>
    <row r="1228" hidden="1"/>
    <row r="1229" hidden="1"/>
    <row r="1230" hidden="1"/>
    <row r="1231" hidden="1"/>
    <row r="1232" hidden="1"/>
    <row r="1233" hidden="1"/>
    <row r="1234" hidden="1"/>
    <row r="1235" hidden="1"/>
    <row r="1236" hidden="1"/>
    <row r="1237" hidden="1"/>
    <row r="1238" hidden="1"/>
    <row r="1239" hidden="1"/>
    <row r="1240" hidden="1"/>
    <row r="1241" hidden="1"/>
    <row r="1242" hidden="1"/>
    <row r="1243" hidden="1"/>
    <row r="1244" hidden="1"/>
    <row r="1245" hidden="1"/>
    <row r="1246" hidden="1"/>
    <row r="1247" hidden="1"/>
    <row r="1248" hidden="1"/>
    <row r="1249" hidden="1"/>
    <row r="1250" hidden="1"/>
    <row r="1251" hidden="1"/>
    <row r="1252" hidden="1"/>
    <row r="1253" hidden="1"/>
    <row r="1254" hidden="1"/>
    <row r="1255" hidden="1"/>
    <row r="1256" hidden="1"/>
    <row r="1257" hidden="1"/>
    <row r="1258" hidden="1"/>
    <row r="1259" hidden="1"/>
    <row r="1260" hidden="1"/>
    <row r="1261" hidden="1"/>
    <row r="1262" hidden="1"/>
    <row r="1263" hidden="1"/>
    <row r="1264" hidden="1"/>
    <row r="1265" hidden="1"/>
    <row r="1266" hidden="1"/>
    <row r="1267" hidden="1"/>
    <row r="1268" hidden="1"/>
    <row r="1269" hidden="1"/>
    <row r="1270" hidden="1"/>
    <row r="1271" hidden="1"/>
    <row r="1272" hidden="1"/>
    <row r="1273" hidden="1"/>
    <row r="1274" hidden="1"/>
    <row r="1275" hidden="1"/>
    <row r="1276" hidden="1"/>
    <row r="1277" hidden="1"/>
    <row r="1278" hidden="1"/>
    <row r="1279" hidden="1"/>
    <row r="1280" hidden="1"/>
    <row r="1281" hidden="1"/>
    <row r="1282" hidden="1"/>
    <row r="1283" hidden="1"/>
    <row r="1284" hidden="1"/>
    <row r="1285" hidden="1"/>
    <row r="1286" hidden="1"/>
    <row r="1287" hidden="1"/>
    <row r="1288" hidden="1"/>
    <row r="1289" hidden="1"/>
    <row r="1290" hidden="1"/>
    <row r="1291" hidden="1"/>
    <row r="1292" hidden="1"/>
    <row r="1293" hidden="1"/>
    <row r="1294" hidden="1"/>
    <row r="1295" hidden="1"/>
    <row r="1296" hidden="1"/>
    <row r="1297" hidden="1"/>
    <row r="1298" hidden="1"/>
    <row r="1299" hidden="1"/>
    <row r="1300" hidden="1"/>
    <row r="1301" hidden="1"/>
    <row r="1302" hidden="1"/>
    <row r="1303" hidden="1"/>
    <row r="1304" hidden="1"/>
    <row r="1305" hidden="1"/>
    <row r="1306" hidden="1"/>
    <row r="1307" hidden="1"/>
    <row r="1308" hidden="1"/>
    <row r="1309" hidden="1"/>
    <row r="1310" hidden="1"/>
    <row r="1311" hidden="1"/>
    <row r="1312" hidden="1"/>
    <row r="1313" hidden="1"/>
    <row r="1314" hidden="1"/>
    <row r="1315" hidden="1"/>
    <row r="1316" hidden="1"/>
    <row r="1317" hidden="1"/>
    <row r="1318" hidden="1"/>
    <row r="1319" hidden="1"/>
    <row r="1320" hidden="1"/>
    <row r="1321" hidden="1"/>
    <row r="1322" hidden="1"/>
    <row r="1323" hidden="1"/>
    <row r="1324" hidden="1"/>
    <row r="1325" hidden="1"/>
    <row r="1326" hidden="1"/>
    <row r="1327" hidden="1"/>
    <row r="1328" hidden="1"/>
    <row r="1329" hidden="1"/>
    <row r="1330" hidden="1"/>
    <row r="1331" hidden="1"/>
    <row r="1332" hidden="1"/>
    <row r="1333" hidden="1"/>
    <row r="1334" hidden="1"/>
    <row r="1335" hidden="1"/>
    <row r="1336" hidden="1"/>
    <row r="1337" hidden="1"/>
    <row r="1338" hidden="1"/>
    <row r="1339" hidden="1"/>
    <row r="1340" hidden="1"/>
    <row r="1341" hidden="1"/>
    <row r="1342" hidden="1"/>
    <row r="1343" hidden="1"/>
    <row r="1344" hidden="1"/>
    <row r="1345" hidden="1"/>
    <row r="1346" hidden="1"/>
    <row r="1347" hidden="1"/>
    <row r="1348" hidden="1"/>
    <row r="1349" hidden="1"/>
    <row r="1350" hidden="1"/>
    <row r="1351" hidden="1"/>
    <row r="1352" hidden="1"/>
    <row r="1353" hidden="1"/>
    <row r="1354" hidden="1"/>
    <row r="1355" hidden="1"/>
    <row r="1356" hidden="1"/>
    <row r="1357" hidden="1"/>
    <row r="1358" hidden="1"/>
    <row r="1359" hidden="1"/>
    <row r="1360" hidden="1"/>
    <row r="1361" hidden="1"/>
    <row r="1362" hidden="1"/>
    <row r="1363" hidden="1"/>
    <row r="1364" hidden="1"/>
    <row r="1365" hidden="1"/>
    <row r="1366" hidden="1"/>
    <row r="1367" hidden="1"/>
    <row r="1368" hidden="1"/>
    <row r="1369" hidden="1"/>
    <row r="1370" hidden="1"/>
    <row r="1371" hidden="1"/>
    <row r="1372" hidden="1"/>
    <row r="1373" hidden="1"/>
    <row r="1374" hidden="1"/>
    <row r="1375" hidden="1"/>
    <row r="1376" hidden="1"/>
    <row r="1377" hidden="1"/>
    <row r="1378" hidden="1"/>
    <row r="1379" hidden="1"/>
    <row r="1380" hidden="1"/>
    <row r="1381" hidden="1"/>
    <row r="1382" hidden="1"/>
    <row r="1383" hidden="1"/>
    <row r="1384" hidden="1"/>
    <row r="1385" hidden="1"/>
    <row r="1386" hidden="1"/>
    <row r="1387" hidden="1"/>
    <row r="1388" hidden="1"/>
    <row r="1389" hidden="1"/>
    <row r="1390" hidden="1"/>
    <row r="1391" hidden="1"/>
    <row r="1392" hidden="1"/>
    <row r="1393" hidden="1"/>
    <row r="1394" hidden="1"/>
    <row r="1395" hidden="1"/>
    <row r="1396" hidden="1"/>
    <row r="1397" hidden="1"/>
    <row r="1398" hidden="1"/>
    <row r="1399" hidden="1"/>
    <row r="1400" hidden="1"/>
    <row r="1401" hidden="1"/>
    <row r="1402" hidden="1"/>
    <row r="1403" hidden="1"/>
    <row r="1404" hidden="1"/>
    <row r="1405" hidden="1"/>
    <row r="1406" hidden="1"/>
    <row r="1407" hidden="1"/>
    <row r="1408" hidden="1"/>
    <row r="1409" hidden="1"/>
    <row r="1410" hidden="1"/>
    <row r="1411" hidden="1"/>
    <row r="1412" hidden="1"/>
    <row r="1413" hidden="1"/>
    <row r="1414" hidden="1"/>
    <row r="1415" hidden="1"/>
    <row r="1416" hidden="1"/>
    <row r="1417" hidden="1"/>
    <row r="1418" hidden="1"/>
    <row r="1419" hidden="1"/>
    <row r="1420" hidden="1"/>
    <row r="1421" hidden="1"/>
    <row r="1422" hidden="1"/>
    <row r="1423" hidden="1"/>
    <row r="1424" hidden="1"/>
    <row r="1425" hidden="1"/>
    <row r="1426" hidden="1"/>
    <row r="1427" hidden="1"/>
    <row r="1428" hidden="1"/>
    <row r="1429" hidden="1"/>
    <row r="1430" hidden="1"/>
    <row r="1431" hidden="1"/>
    <row r="1432" hidden="1"/>
    <row r="1433" hidden="1"/>
    <row r="1434" hidden="1"/>
    <row r="1435" hidden="1"/>
    <row r="1436" hidden="1"/>
    <row r="1437" hidden="1"/>
    <row r="1438" hidden="1"/>
    <row r="1439" hidden="1"/>
    <row r="1440" hidden="1"/>
    <row r="1441" hidden="1"/>
    <row r="1442" hidden="1"/>
    <row r="1443" hidden="1"/>
    <row r="1444" hidden="1"/>
    <row r="1445" hidden="1"/>
    <row r="1446" hidden="1"/>
    <row r="1447" hidden="1"/>
    <row r="1448" hidden="1"/>
    <row r="1449" hidden="1"/>
    <row r="1450" hidden="1"/>
    <row r="1451" hidden="1"/>
    <row r="1452" hidden="1"/>
    <row r="1453" hidden="1"/>
    <row r="1454" hidden="1"/>
    <row r="1455" hidden="1"/>
    <row r="1456" hidden="1"/>
    <row r="1457" hidden="1"/>
    <row r="1458" hidden="1"/>
    <row r="1459" hidden="1"/>
    <row r="1460" hidden="1"/>
    <row r="1461" hidden="1"/>
    <row r="1462" hidden="1"/>
    <row r="1463" hidden="1"/>
    <row r="1464" hidden="1"/>
    <row r="1465" hidden="1"/>
    <row r="1466" hidden="1"/>
    <row r="1467" hidden="1"/>
    <row r="1468" hidden="1"/>
    <row r="1469" hidden="1"/>
    <row r="1470" hidden="1"/>
    <row r="1471" hidden="1"/>
    <row r="1472" hidden="1"/>
    <row r="1473" hidden="1"/>
    <row r="1474" hidden="1"/>
    <row r="1475" hidden="1"/>
    <row r="1476" hidden="1"/>
    <row r="1477" hidden="1"/>
    <row r="1478" hidden="1"/>
    <row r="1479" hidden="1"/>
    <row r="1480" hidden="1"/>
    <row r="1481" hidden="1"/>
    <row r="1482" hidden="1"/>
    <row r="1483" hidden="1"/>
    <row r="1484" hidden="1"/>
    <row r="1485" hidden="1"/>
    <row r="1486" hidden="1"/>
    <row r="1487" hidden="1"/>
    <row r="1488" hidden="1"/>
    <row r="1489" hidden="1"/>
    <row r="1490" hidden="1"/>
    <row r="1491" hidden="1"/>
    <row r="1492" hidden="1"/>
    <row r="1493" hidden="1"/>
    <row r="1494" hidden="1"/>
    <row r="1495" hidden="1"/>
    <row r="1496" hidden="1"/>
    <row r="1497" hidden="1"/>
    <row r="1498" hidden="1"/>
    <row r="1499" hidden="1"/>
    <row r="1500" hidden="1"/>
    <row r="1501" hidden="1"/>
    <row r="1502" hidden="1"/>
    <row r="1503" hidden="1"/>
    <row r="1504" hidden="1"/>
    <row r="1505" hidden="1"/>
    <row r="1506" hidden="1"/>
    <row r="1507" hidden="1"/>
    <row r="1508" hidden="1"/>
    <row r="1509" hidden="1"/>
    <row r="1510" hidden="1"/>
    <row r="1511" hidden="1"/>
    <row r="1512" hidden="1"/>
    <row r="1513" hidden="1"/>
    <row r="1514" hidden="1"/>
    <row r="1515" hidden="1"/>
    <row r="1516" hidden="1"/>
    <row r="1517" hidden="1"/>
    <row r="1518" hidden="1"/>
    <row r="1519" hidden="1"/>
    <row r="1520" hidden="1"/>
    <row r="1521" hidden="1"/>
    <row r="1522" hidden="1"/>
    <row r="1523" hidden="1"/>
    <row r="1524" hidden="1"/>
    <row r="1525" hidden="1"/>
    <row r="1526" hidden="1"/>
    <row r="1527" hidden="1"/>
    <row r="1528" hidden="1"/>
    <row r="1529" hidden="1"/>
    <row r="1530" hidden="1"/>
    <row r="1531" hidden="1"/>
    <row r="1532" hidden="1"/>
    <row r="1533" hidden="1"/>
    <row r="1534" hidden="1"/>
    <row r="1535" hidden="1"/>
    <row r="1536" hidden="1"/>
    <row r="1537" hidden="1"/>
    <row r="1538" hidden="1"/>
    <row r="1539" hidden="1"/>
    <row r="1540" hidden="1"/>
    <row r="1541" hidden="1"/>
    <row r="1542" hidden="1"/>
    <row r="1543" hidden="1"/>
    <row r="1544" hidden="1"/>
    <row r="1545" hidden="1"/>
    <row r="1546" hidden="1"/>
    <row r="1547" hidden="1"/>
    <row r="1548" hidden="1"/>
    <row r="1549" hidden="1"/>
    <row r="1550" hidden="1"/>
    <row r="1551" hidden="1"/>
    <row r="1552" hidden="1"/>
    <row r="1553" hidden="1"/>
    <row r="1554" hidden="1"/>
    <row r="1555" hidden="1"/>
    <row r="1556" hidden="1"/>
    <row r="1557" hidden="1"/>
    <row r="1558" hidden="1"/>
    <row r="1559" hidden="1"/>
    <row r="1560" hidden="1"/>
    <row r="1561" hidden="1"/>
    <row r="1562" hidden="1"/>
    <row r="1563" hidden="1"/>
    <row r="1564" hidden="1"/>
    <row r="1565" hidden="1"/>
    <row r="1566" hidden="1"/>
    <row r="1567" hidden="1"/>
    <row r="1568" hidden="1"/>
    <row r="1569" hidden="1"/>
    <row r="1570" hidden="1"/>
    <row r="1571" hidden="1"/>
    <row r="1572" hidden="1"/>
    <row r="1573" hidden="1"/>
    <row r="1574" hidden="1"/>
    <row r="1575" hidden="1"/>
    <row r="1576" hidden="1"/>
    <row r="1577" hidden="1"/>
    <row r="1578" hidden="1"/>
    <row r="1579" hidden="1"/>
    <row r="1580" hidden="1"/>
    <row r="1581" hidden="1"/>
    <row r="1582" hidden="1"/>
    <row r="1583" hidden="1"/>
    <row r="1584" hidden="1"/>
    <row r="1585" hidden="1"/>
    <row r="1586" hidden="1"/>
    <row r="1587" hidden="1"/>
    <row r="1588" hidden="1"/>
    <row r="1589" hidden="1"/>
    <row r="1590" hidden="1"/>
    <row r="1591" hidden="1"/>
    <row r="1592" hidden="1"/>
    <row r="1593" hidden="1"/>
    <row r="1594" hidden="1"/>
    <row r="1595" hidden="1"/>
    <row r="1596" hidden="1"/>
    <row r="1597" hidden="1"/>
    <row r="1598" hidden="1"/>
    <row r="1599" hidden="1"/>
    <row r="1600" hidden="1"/>
    <row r="1601" hidden="1"/>
    <row r="1602" hidden="1"/>
    <row r="1603" hidden="1"/>
    <row r="1604" hidden="1"/>
    <row r="1605" hidden="1"/>
    <row r="1606" hidden="1"/>
    <row r="1607" hidden="1"/>
    <row r="1608" hidden="1"/>
    <row r="1609" hidden="1"/>
    <row r="1610" hidden="1"/>
    <row r="1611" hidden="1"/>
    <row r="1612" hidden="1"/>
    <row r="1613" hidden="1"/>
    <row r="1614" hidden="1"/>
    <row r="1615" hidden="1"/>
    <row r="1616" hidden="1"/>
    <row r="1617" hidden="1"/>
    <row r="1618" hidden="1"/>
    <row r="1619" hidden="1"/>
    <row r="1620" hidden="1"/>
    <row r="1621" hidden="1"/>
    <row r="1622" hidden="1"/>
    <row r="1623" hidden="1"/>
    <row r="1624" hidden="1"/>
    <row r="1625" hidden="1"/>
    <row r="1626" hidden="1"/>
    <row r="1627" hidden="1"/>
    <row r="1628" hidden="1"/>
    <row r="1629" hidden="1"/>
    <row r="1630" hidden="1"/>
    <row r="1631" hidden="1"/>
    <row r="1632" hidden="1"/>
    <row r="1633" hidden="1"/>
    <row r="1634" hidden="1"/>
    <row r="1635" hidden="1"/>
    <row r="1636" hidden="1"/>
    <row r="1637" hidden="1"/>
    <row r="1638" hidden="1"/>
    <row r="1639" hidden="1"/>
    <row r="1640" hidden="1"/>
    <row r="1641" hidden="1"/>
    <row r="1642" hidden="1"/>
    <row r="1643" hidden="1"/>
    <row r="1644" hidden="1"/>
    <row r="1645" hidden="1"/>
    <row r="1646" hidden="1"/>
    <row r="1647" hidden="1"/>
    <row r="1648" hidden="1"/>
    <row r="1649" hidden="1"/>
    <row r="1650" hidden="1"/>
    <row r="1651" hidden="1"/>
    <row r="1652" hidden="1"/>
    <row r="1653" hidden="1"/>
    <row r="1654" hidden="1"/>
    <row r="1655" hidden="1"/>
    <row r="1656" hidden="1"/>
    <row r="1657" hidden="1"/>
    <row r="1658" hidden="1"/>
    <row r="1659" hidden="1"/>
    <row r="1660" hidden="1"/>
    <row r="1661" hidden="1"/>
    <row r="1662" hidden="1"/>
    <row r="1663" hidden="1"/>
    <row r="1664" hidden="1"/>
    <row r="1665" hidden="1"/>
    <row r="1666" hidden="1"/>
    <row r="1667" hidden="1"/>
    <row r="1668" hidden="1"/>
    <row r="1669" hidden="1"/>
    <row r="1670" hidden="1"/>
    <row r="1671" hidden="1"/>
    <row r="1672" hidden="1"/>
    <row r="1673" hidden="1"/>
    <row r="1674" hidden="1"/>
    <row r="1675" hidden="1"/>
    <row r="1676" hidden="1"/>
    <row r="1677" hidden="1"/>
    <row r="1678" hidden="1"/>
    <row r="1679" hidden="1"/>
    <row r="1680" hidden="1"/>
    <row r="1681" hidden="1"/>
    <row r="1682" hidden="1"/>
    <row r="1683" hidden="1"/>
    <row r="1684" hidden="1"/>
    <row r="1685" hidden="1"/>
    <row r="1686" hidden="1"/>
    <row r="1687" hidden="1"/>
    <row r="1688" hidden="1"/>
    <row r="1689" hidden="1"/>
    <row r="1690" hidden="1"/>
    <row r="1691" hidden="1"/>
    <row r="1692" hidden="1"/>
    <row r="1693" hidden="1"/>
    <row r="1694" hidden="1"/>
    <row r="1695" hidden="1"/>
    <row r="1696" hidden="1"/>
    <row r="1697" hidden="1"/>
    <row r="1698" hidden="1"/>
    <row r="1699" hidden="1"/>
    <row r="1700" hidden="1"/>
    <row r="1701" hidden="1"/>
    <row r="1702" hidden="1"/>
    <row r="1703" hidden="1"/>
    <row r="1704" hidden="1"/>
    <row r="1705" hidden="1"/>
    <row r="1706" hidden="1"/>
    <row r="1707" hidden="1"/>
    <row r="1708" hidden="1"/>
    <row r="1709" hidden="1"/>
    <row r="1710" hidden="1"/>
    <row r="1711" hidden="1"/>
    <row r="1712" hidden="1"/>
    <row r="1713" hidden="1"/>
    <row r="1714" hidden="1"/>
    <row r="1715" hidden="1"/>
    <row r="1716" hidden="1"/>
    <row r="1717" hidden="1"/>
    <row r="1718" hidden="1"/>
    <row r="1719" hidden="1"/>
    <row r="1720" hidden="1"/>
    <row r="1721" hidden="1"/>
    <row r="1722" hidden="1"/>
    <row r="1723" hidden="1"/>
    <row r="1724" hidden="1"/>
    <row r="1725" hidden="1"/>
    <row r="1726" hidden="1"/>
    <row r="1727" hidden="1"/>
    <row r="1728" hidden="1"/>
    <row r="1729" hidden="1"/>
    <row r="1730" hidden="1"/>
    <row r="1731" hidden="1"/>
    <row r="1732" hidden="1"/>
    <row r="1733" hidden="1"/>
    <row r="1734" hidden="1"/>
    <row r="1735" hidden="1"/>
    <row r="1736" hidden="1"/>
    <row r="1737" hidden="1"/>
    <row r="1738" hidden="1"/>
    <row r="1739" hidden="1"/>
    <row r="1740" hidden="1"/>
    <row r="1741" hidden="1"/>
    <row r="1742" hidden="1"/>
    <row r="1743" hidden="1"/>
    <row r="1744" hidden="1"/>
    <row r="1745" hidden="1"/>
    <row r="1746" hidden="1"/>
    <row r="1747" hidden="1"/>
    <row r="1748" hidden="1"/>
    <row r="1749" hidden="1"/>
    <row r="1750" hidden="1"/>
    <row r="1751" hidden="1"/>
    <row r="1752" hidden="1"/>
    <row r="1753" hidden="1"/>
    <row r="1754" hidden="1"/>
    <row r="1755" hidden="1"/>
    <row r="1756" hidden="1"/>
    <row r="1757" hidden="1"/>
    <row r="1758" hidden="1"/>
    <row r="1759" hidden="1"/>
    <row r="1760" hidden="1"/>
    <row r="1761" hidden="1"/>
    <row r="1762" hidden="1"/>
    <row r="1763" hidden="1"/>
    <row r="1764" hidden="1"/>
    <row r="1765" hidden="1"/>
    <row r="1766" hidden="1"/>
    <row r="1767" hidden="1"/>
    <row r="1768" hidden="1"/>
    <row r="1769" hidden="1"/>
    <row r="1770" hidden="1"/>
    <row r="1771" hidden="1"/>
    <row r="1772" hidden="1"/>
    <row r="1773" hidden="1"/>
    <row r="1774" hidden="1"/>
    <row r="1775" hidden="1"/>
    <row r="1776" hidden="1"/>
    <row r="1777" hidden="1"/>
    <row r="1778" hidden="1"/>
    <row r="1779" hidden="1"/>
    <row r="1780" hidden="1"/>
    <row r="1781" hidden="1"/>
    <row r="1782" hidden="1"/>
    <row r="1783" hidden="1"/>
    <row r="1784" hidden="1"/>
    <row r="1785" hidden="1"/>
    <row r="1786" hidden="1"/>
    <row r="1787" hidden="1"/>
    <row r="1788" hidden="1"/>
    <row r="1789" hidden="1"/>
    <row r="1790" hidden="1"/>
    <row r="1791" hidden="1"/>
    <row r="1792" hidden="1"/>
    <row r="1793" hidden="1"/>
    <row r="1794" hidden="1"/>
    <row r="1795" hidden="1"/>
    <row r="1796" hidden="1"/>
    <row r="1797" hidden="1"/>
    <row r="1798" hidden="1"/>
    <row r="1799" hidden="1"/>
    <row r="1800" hidden="1"/>
    <row r="1801" hidden="1"/>
    <row r="1802" hidden="1"/>
    <row r="1803" hidden="1"/>
    <row r="1804" hidden="1"/>
    <row r="1805" hidden="1"/>
    <row r="1806" hidden="1"/>
    <row r="1807" hidden="1"/>
    <row r="1808" hidden="1"/>
    <row r="1809" hidden="1"/>
    <row r="1810" hidden="1"/>
    <row r="1811" hidden="1"/>
    <row r="1812" hidden="1"/>
    <row r="1813" hidden="1"/>
    <row r="1814" hidden="1"/>
    <row r="1815" hidden="1"/>
    <row r="1816" hidden="1"/>
    <row r="1817" hidden="1"/>
    <row r="1818" hidden="1"/>
    <row r="1819" hidden="1"/>
    <row r="1820" hidden="1"/>
    <row r="1821" hidden="1"/>
    <row r="1822" hidden="1"/>
    <row r="1823" hidden="1"/>
    <row r="1824" hidden="1"/>
    <row r="1825" hidden="1"/>
    <row r="1826" hidden="1"/>
    <row r="1827" hidden="1"/>
    <row r="1828" hidden="1"/>
    <row r="1829" hidden="1"/>
    <row r="1830" hidden="1"/>
    <row r="1831" hidden="1"/>
    <row r="1832" hidden="1"/>
    <row r="1833" hidden="1"/>
    <row r="1834" hidden="1"/>
    <row r="1835" hidden="1"/>
    <row r="1836" hidden="1"/>
    <row r="1837" hidden="1"/>
    <row r="1838" hidden="1"/>
    <row r="1839" hidden="1"/>
    <row r="1840" hidden="1"/>
    <row r="1841" hidden="1"/>
    <row r="1842" hidden="1"/>
    <row r="1843" hidden="1"/>
    <row r="1844" hidden="1"/>
    <row r="1845" hidden="1"/>
    <row r="1846" hidden="1"/>
    <row r="1847" hidden="1"/>
    <row r="1848" hidden="1"/>
    <row r="1849" hidden="1"/>
    <row r="1850" hidden="1"/>
    <row r="1851" hidden="1"/>
    <row r="1852" hidden="1"/>
    <row r="1853" hidden="1"/>
    <row r="1854" hidden="1"/>
    <row r="1855" hidden="1"/>
    <row r="1856" hidden="1"/>
    <row r="1857" hidden="1"/>
    <row r="1858" hidden="1"/>
    <row r="1859" hidden="1"/>
    <row r="1860" hidden="1"/>
    <row r="1861" hidden="1"/>
    <row r="1862" hidden="1"/>
    <row r="1863" hidden="1"/>
    <row r="1864" hidden="1"/>
    <row r="1865" hidden="1"/>
    <row r="1866" hidden="1"/>
    <row r="1867" hidden="1"/>
    <row r="1868" hidden="1"/>
    <row r="1869" hidden="1"/>
    <row r="1870" hidden="1"/>
    <row r="1871" hidden="1"/>
    <row r="1872" hidden="1"/>
    <row r="1873" hidden="1"/>
    <row r="1874" hidden="1"/>
    <row r="1875" hidden="1"/>
    <row r="1876" hidden="1"/>
    <row r="1877" hidden="1"/>
    <row r="1878" hidden="1"/>
    <row r="1879" hidden="1"/>
    <row r="1880" hidden="1"/>
    <row r="1881" hidden="1"/>
    <row r="1882" hidden="1"/>
    <row r="1883" hidden="1"/>
    <row r="1884" hidden="1"/>
    <row r="1885" hidden="1"/>
    <row r="1886" hidden="1"/>
    <row r="1887" hidden="1"/>
    <row r="1888" hidden="1"/>
    <row r="1889" hidden="1"/>
    <row r="1890" hidden="1"/>
    <row r="1891" hidden="1"/>
    <row r="1892" hidden="1"/>
    <row r="1893" hidden="1"/>
    <row r="1894" hidden="1"/>
    <row r="1895" hidden="1"/>
    <row r="1896" hidden="1"/>
    <row r="1897" hidden="1"/>
    <row r="1898" hidden="1"/>
    <row r="1899" hidden="1"/>
    <row r="1900" hidden="1"/>
    <row r="1901" hidden="1"/>
    <row r="1902" hidden="1"/>
    <row r="1903" hidden="1"/>
    <row r="1904" hidden="1"/>
    <row r="1905" hidden="1"/>
    <row r="1906" hidden="1"/>
    <row r="1907" hidden="1"/>
    <row r="1908" hidden="1"/>
    <row r="1909" hidden="1"/>
    <row r="1910" hidden="1"/>
    <row r="1911" hidden="1"/>
    <row r="1912" hidden="1"/>
    <row r="1913" hidden="1"/>
    <row r="1914" hidden="1"/>
    <row r="1915" hidden="1"/>
    <row r="1916" hidden="1"/>
    <row r="1917" hidden="1"/>
    <row r="1918" hidden="1"/>
    <row r="1919" hidden="1"/>
    <row r="1920" hidden="1"/>
    <row r="1921" hidden="1"/>
    <row r="1922" hidden="1"/>
    <row r="1923" hidden="1"/>
    <row r="1924" hidden="1"/>
    <row r="1925" hidden="1"/>
    <row r="1926" hidden="1"/>
    <row r="1927" hidden="1"/>
    <row r="1928" hidden="1"/>
    <row r="1929" hidden="1"/>
    <row r="1930" hidden="1"/>
    <row r="1931" hidden="1"/>
    <row r="1932" hidden="1"/>
    <row r="1933" hidden="1"/>
    <row r="1934" hidden="1"/>
    <row r="1935" hidden="1"/>
    <row r="1936" hidden="1"/>
    <row r="1937" hidden="1"/>
    <row r="1938" hidden="1"/>
    <row r="1939" hidden="1"/>
    <row r="1940" hidden="1"/>
    <row r="1941" hidden="1"/>
    <row r="1942" hidden="1"/>
    <row r="1943" hidden="1"/>
    <row r="1944" hidden="1"/>
    <row r="1945" hidden="1"/>
    <row r="1946" hidden="1"/>
    <row r="1947" hidden="1"/>
    <row r="1948" hidden="1"/>
    <row r="1949" hidden="1"/>
    <row r="1950" hidden="1"/>
    <row r="1951" hidden="1"/>
    <row r="1952" hidden="1"/>
    <row r="1953" hidden="1"/>
    <row r="1954" hidden="1"/>
    <row r="1955" hidden="1"/>
    <row r="1956" hidden="1"/>
    <row r="1957" hidden="1"/>
    <row r="1958" hidden="1"/>
    <row r="1959" hidden="1"/>
    <row r="1960" hidden="1"/>
    <row r="1961" hidden="1"/>
    <row r="1962" hidden="1"/>
    <row r="1963" hidden="1"/>
    <row r="1964" hidden="1"/>
    <row r="1965" hidden="1"/>
    <row r="1966" hidden="1"/>
    <row r="1967" hidden="1"/>
    <row r="1968" hidden="1"/>
    <row r="1969" hidden="1"/>
    <row r="1970" hidden="1"/>
    <row r="1971" hidden="1"/>
    <row r="1972" hidden="1"/>
    <row r="1973" hidden="1"/>
    <row r="1974" hidden="1"/>
    <row r="1975" hidden="1"/>
    <row r="1976" hidden="1"/>
    <row r="1977" hidden="1"/>
    <row r="1978" hidden="1"/>
    <row r="1979" hidden="1"/>
    <row r="1980" hidden="1"/>
    <row r="1981" hidden="1"/>
    <row r="1982" hidden="1"/>
    <row r="1983" hidden="1"/>
    <row r="1984" hidden="1"/>
    <row r="1985" hidden="1"/>
    <row r="1986" hidden="1"/>
    <row r="1987" hidden="1"/>
    <row r="1988" hidden="1"/>
    <row r="1989" hidden="1"/>
    <row r="1990" hidden="1"/>
    <row r="1991" hidden="1"/>
    <row r="1992" hidden="1"/>
    <row r="1993" hidden="1"/>
    <row r="1994" hidden="1"/>
    <row r="1995" hidden="1"/>
    <row r="1996" hidden="1"/>
    <row r="1997" hidden="1"/>
    <row r="1998" hidden="1"/>
    <row r="1999" hidden="1"/>
    <row r="2000" hidden="1"/>
    <row r="2001" hidden="1"/>
    <row r="2002" hidden="1"/>
    <row r="2003" hidden="1"/>
    <row r="2004" hidden="1"/>
    <row r="2005" hidden="1"/>
    <row r="2006" hidden="1"/>
    <row r="2007" hidden="1"/>
    <row r="2008" hidden="1"/>
    <row r="2009" hidden="1"/>
    <row r="2010" hidden="1"/>
    <row r="2011" hidden="1"/>
    <row r="2012" hidden="1"/>
    <row r="2013" hidden="1"/>
    <row r="2014" hidden="1"/>
    <row r="2015" hidden="1"/>
    <row r="2016" hidden="1"/>
    <row r="2017" hidden="1"/>
    <row r="2018" hidden="1"/>
    <row r="2019" hidden="1"/>
    <row r="2020" hidden="1"/>
    <row r="2021" hidden="1"/>
    <row r="2022" hidden="1"/>
    <row r="2023" hidden="1"/>
    <row r="2024" hidden="1"/>
    <row r="2025" hidden="1"/>
    <row r="2026" hidden="1"/>
    <row r="2027" hidden="1"/>
    <row r="2028" hidden="1"/>
    <row r="2029" hidden="1"/>
    <row r="2030" hidden="1"/>
    <row r="2031" hidden="1"/>
    <row r="2032" hidden="1"/>
    <row r="2033" hidden="1"/>
    <row r="2034" hidden="1"/>
    <row r="2035" hidden="1"/>
    <row r="2036" hidden="1"/>
    <row r="2037" hidden="1"/>
    <row r="2038" hidden="1"/>
    <row r="2039" hidden="1"/>
    <row r="2040" hidden="1"/>
    <row r="2041" hidden="1"/>
    <row r="2042" hidden="1"/>
    <row r="2043" hidden="1"/>
    <row r="2044" hidden="1"/>
    <row r="2045" hidden="1"/>
    <row r="2046" hidden="1"/>
    <row r="2047" hidden="1"/>
    <row r="2048" hidden="1"/>
    <row r="2049" hidden="1"/>
    <row r="2050" hidden="1"/>
    <row r="2051" hidden="1"/>
    <row r="2052" hidden="1"/>
    <row r="2053" hidden="1"/>
    <row r="2054" hidden="1"/>
    <row r="2055" hidden="1"/>
    <row r="2056" hidden="1"/>
    <row r="2057" hidden="1"/>
    <row r="2058" hidden="1"/>
    <row r="2059" hidden="1"/>
    <row r="2060" hidden="1"/>
    <row r="2061" hidden="1"/>
    <row r="2062" hidden="1"/>
    <row r="2063" hidden="1"/>
    <row r="2064" hidden="1"/>
    <row r="2065" hidden="1"/>
    <row r="2066" hidden="1"/>
    <row r="2067" hidden="1"/>
    <row r="2068" hidden="1"/>
    <row r="2069" hidden="1"/>
    <row r="2070" hidden="1"/>
    <row r="2071" hidden="1"/>
    <row r="2072" hidden="1"/>
    <row r="2073" hidden="1"/>
    <row r="2074" hidden="1"/>
    <row r="2075" hidden="1"/>
    <row r="2076" hidden="1"/>
    <row r="2077" hidden="1"/>
    <row r="2078" hidden="1"/>
    <row r="2079" hidden="1"/>
    <row r="2080" hidden="1"/>
    <row r="2081" hidden="1"/>
    <row r="2082" hidden="1"/>
    <row r="2083" hidden="1"/>
    <row r="2084" hidden="1"/>
    <row r="2085" hidden="1"/>
    <row r="2086" hidden="1"/>
    <row r="2087" hidden="1"/>
    <row r="2088" hidden="1"/>
    <row r="2089" hidden="1"/>
    <row r="2090" hidden="1"/>
    <row r="2091" hidden="1"/>
    <row r="2092" hidden="1"/>
    <row r="2093" hidden="1"/>
    <row r="2094" hidden="1"/>
    <row r="2095" hidden="1"/>
    <row r="2096" hidden="1"/>
    <row r="2097" hidden="1"/>
    <row r="2098" hidden="1"/>
    <row r="2099" hidden="1"/>
    <row r="2100" hidden="1"/>
    <row r="2101" hidden="1"/>
    <row r="2102" hidden="1"/>
    <row r="2103" hidden="1"/>
    <row r="2104" hidden="1"/>
    <row r="2105" hidden="1"/>
    <row r="2106" hidden="1"/>
    <row r="2107" hidden="1"/>
    <row r="2108" hidden="1"/>
    <row r="2109" hidden="1"/>
    <row r="2110" hidden="1"/>
    <row r="2111" hidden="1"/>
    <row r="2112" hidden="1"/>
    <row r="2113" hidden="1"/>
    <row r="2114" hidden="1"/>
    <row r="2115" hidden="1"/>
    <row r="2116" hidden="1"/>
    <row r="2117" hidden="1"/>
    <row r="2118" hidden="1"/>
    <row r="2119" hidden="1"/>
    <row r="2120" hidden="1"/>
    <row r="2121" hidden="1"/>
    <row r="2122" hidden="1"/>
    <row r="2123" hidden="1"/>
    <row r="2124" hidden="1"/>
    <row r="2125" hidden="1"/>
    <row r="2126" hidden="1"/>
    <row r="2127" hidden="1"/>
    <row r="2128" hidden="1"/>
    <row r="2129" hidden="1"/>
    <row r="2130" hidden="1"/>
    <row r="2131" hidden="1"/>
    <row r="2132" hidden="1"/>
    <row r="2133" hidden="1"/>
    <row r="2134" hidden="1"/>
    <row r="2135" hidden="1"/>
    <row r="2136" hidden="1"/>
    <row r="2137" hidden="1"/>
    <row r="2138" hidden="1"/>
    <row r="2139" hidden="1"/>
    <row r="2140" hidden="1"/>
    <row r="2141" hidden="1"/>
    <row r="2142" hidden="1"/>
    <row r="2143" hidden="1"/>
    <row r="2144" hidden="1"/>
    <row r="2145" hidden="1"/>
    <row r="2146" hidden="1"/>
    <row r="2147" hidden="1"/>
    <row r="2148" hidden="1"/>
    <row r="2149" hidden="1"/>
    <row r="2150" hidden="1"/>
    <row r="2151" hidden="1"/>
    <row r="2152" hidden="1"/>
    <row r="2153" hidden="1"/>
    <row r="2154" hidden="1"/>
    <row r="2155" hidden="1"/>
    <row r="2156" hidden="1"/>
    <row r="2157" hidden="1"/>
    <row r="2158" hidden="1"/>
    <row r="2159" hidden="1"/>
    <row r="2160" hidden="1"/>
    <row r="2161" hidden="1"/>
    <row r="2162" hidden="1"/>
    <row r="2163" hidden="1"/>
    <row r="2164" hidden="1"/>
    <row r="2165" hidden="1"/>
    <row r="2166" hidden="1"/>
    <row r="2167" hidden="1"/>
    <row r="2168" hidden="1"/>
    <row r="2169" hidden="1"/>
    <row r="2170" hidden="1"/>
    <row r="2171" hidden="1"/>
    <row r="2172" hidden="1"/>
    <row r="2173" hidden="1"/>
    <row r="2174" hidden="1"/>
    <row r="2175" hidden="1"/>
    <row r="2176" hidden="1"/>
    <row r="2177" hidden="1"/>
    <row r="2178" hidden="1"/>
    <row r="2179" hidden="1"/>
    <row r="2180" hidden="1"/>
    <row r="2181" hidden="1"/>
    <row r="2182" hidden="1"/>
    <row r="2183" hidden="1"/>
    <row r="2184" hidden="1"/>
    <row r="2185" hidden="1"/>
    <row r="2186" hidden="1"/>
    <row r="2187" hidden="1"/>
    <row r="2188" hidden="1"/>
    <row r="2189" hidden="1"/>
    <row r="2190" hidden="1"/>
    <row r="2191" hidden="1"/>
    <row r="2192" hidden="1"/>
    <row r="2193" hidden="1"/>
    <row r="2194" hidden="1"/>
    <row r="2195" hidden="1"/>
    <row r="2196" hidden="1"/>
    <row r="2197" hidden="1"/>
    <row r="2198" hidden="1"/>
    <row r="2199" hidden="1"/>
    <row r="2200" hidden="1"/>
    <row r="2201" hidden="1"/>
    <row r="2202" hidden="1"/>
    <row r="2203" hidden="1"/>
    <row r="2204" hidden="1"/>
    <row r="2205" hidden="1"/>
    <row r="2206" hidden="1"/>
    <row r="2207" hidden="1"/>
    <row r="2208" hidden="1"/>
    <row r="2209" hidden="1"/>
    <row r="2210" hidden="1"/>
    <row r="2211" hidden="1"/>
    <row r="2212" hidden="1"/>
    <row r="2213" hidden="1"/>
    <row r="2214" hidden="1"/>
    <row r="2215" hidden="1"/>
    <row r="2216" hidden="1"/>
    <row r="2217" hidden="1"/>
    <row r="2218" hidden="1"/>
    <row r="2219" hidden="1"/>
    <row r="2220" hidden="1"/>
    <row r="2221" hidden="1"/>
    <row r="2222" hidden="1"/>
    <row r="2223" hidden="1"/>
    <row r="2224" hidden="1"/>
    <row r="2225" hidden="1"/>
    <row r="2226" hidden="1"/>
    <row r="2227" hidden="1"/>
    <row r="2228" hidden="1"/>
    <row r="2229" hidden="1"/>
    <row r="2230" hidden="1"/>
    <row r="2231" hidden="1"/>
    <row r="2232" hidden="1"/>
    <row r="2233" hidden="1"/>
    <row r="2234" hidden="1"/>
    <row r="2235" hidden="1"/>
    <row r="2236" hidden="1"/>
    <row r="2237" hidden="1"/>
    <row r="2238" hidden="1"/>
    <row r="2239" hidden="1"/>
    <row r="2240" hidden="1"/>
    <row r="2241" hidden="1"/>
    <row r="2242" hidden="1"/>
    <row r="2243" hidden="1"/>
    <row r="2244" hidden="1"/>
    <row r="2245" hidden="1"/>
    <row r="2246" hidden="1"/>
    <row r="2247" hidden="1"/>
    <row r="2248" hidden="1"/>
    <row r="2249" hidden="1"/>
    <row r="2250" hidden="1"/>
    <row r="2251" hidden="1"/>
    <row r="2252" hidden="1"/>
    <row r="2253" hidden="1"/>
    <row r="2254" hidden="1"/>
    <row r="2255" hidden="1"/>
    <row r="2256" hidden="1"/>
    <row r="2257" hidden="1"/>
    <row r="2258" hidden="1"/>
    <row r="2259" hidden="1"/>
    <row r="2260" hidden="1"/>
    <row r="2261" hidden="1"/>
    <row r="2262" hidden="1"/>
    <row r="2263" hidden="1"/>
    <row r="2264" hidden="1"/>
    <row r="2265" hidden="1"/>
    <row r="2266" hidden="1"/>
    <row r="2267" hidden="1"/>
    <row r="2268" hidden="1"/>
    <row r="2269" hidden="1"/>
    <row r="2270" hidden="1"/>
    <row r="2271" hidden="1"/>
    <row r="2272" hidden="1"/>
    <row r="2273" hidden="1"/>
    <row r="2274" hidden="1"/>
    <row r="2275" hidden="1"/>
    <row r="2276" hidden="1"/>
    <row r="2277" hidden="1"/>
    <row r="2278" hidden="1"/>
    <row r="2279" hidden="1"/>
    <row r="2280" hidden="1"/>
    <row r="2281" hidden="1"/>
    <row r="2282" hidden="1"/>
    <row r="2283" hidden="1"/>
    <row r="2284" hidden="1"/>
    <row r="2285" hidden="1"/>
    <row r="2286" hidden="1"/>
    <row r="2287" hidden="1"/>
    <row r="2288" hidden="1"/>
    <row r="2289" hidden="1"/>
    <row r="2290" hidden="1"/>
    <row r="2291" hidden="1"/>
    <row r="2292" hidden="1"/>
    <row r="2293" hidden="1"/>
    <row r="2294" hidden="1"/>
    <row r="2295" hidden="1"/>
    <row r="2296" hidden="1"/>
    <row r="2297" hidden="1"/>
    <row r="2298" hidden="1"/>
    <row r="2299" hidden="1"/>
    <row r="2300" hidden="1"/>
    <row r="2301" hidden="1"/>
    <row r="2302" hidden="1"/>
    <row r="2303" hidden="1"/>
    <row r="2304" hidden="1"/>
    <row r="2305" hidden="1"/>
    <row r="2306" hidden="1"/>
    <row r="2307" hidden="1"/>
    <row r="2308" hidden="1"/>
    <row r="2309" hidden="1"/>
    <row r="2310" hidden="1"/>
    <row r="2311" hidden="1"/>
    <row r="2312" hidden="1"/>
    <row r="2313" hidden="1"/>
    <row r="2314" hidden="1"/>
    <row r="2315" hidden="1"/>
    <row r="2316" hidden="1"/>
    <row r="2317" hidden="1"/>
    <row r="2318" hidden="1"/>
    <row r="2319" hidden="1"/>
    <row r="2320" hidden="1"/>
    <row r="2321" hidden="1"/>
    <row r="2322" hidden="1"/>
    <row r="2323" hidden="1"/>
    <row r="2324" hidden="1"/>
    <row r="2325" hidden="1"/>
    <row r="2326" hidden="1"/>
    <row r="2327" hidden="1"/>
    <row r="2328" hidden="1"/>
    <row r="2329" hidden="1"/>
    <row r="2330" hidden="1"/>
    <row r="2331" hidden="1"/>
    <row r="2332" hidden="1"/>
    <row r="2333" hidden="1"/>
    <row r="2334" hidden="1"/>
    <row r="2335" hidden="1"/>
    <row r="2336" hidden="1"/>
    <row r="2337" hidden="1"/>
    <row r="2338" hidden="1"/>
    <row r="2339" hidden="1"/>
    <row r="2340" hidden="1"/>
    <row r="2341" hidden="1"/>
    <row r="2342" hidden="1"/>
    <row r="2343" hidden="1"/>
    <row r="2344" hidden="1"/>
    <row r="2345" hidden="1"/>
    <row r="2346" hidden="1"/>
    <row r="2347" hidden="1"/>
    <row r="2348" hidden="1"/>
    <row r="2349" hidden="1"/>
    <row r="2350" hidden="1"/>
    <row r="2351" hidden="1"/>
    <row r="2352" hidden="1"/>
    <row r="2353" hidden="1"/>
    <row r="2354" hidden="1"/>
    <row r="2355" hidden="1"/>
    <row r="2356" hidden="1"/>
    <row r="2357" hidden="1"/>
    <row r="2358" hidden="1"/>
    <row r="2359" hidden="1"/>
    <row r="2360" hidden="1"/>
    <row r="2361" hidden="1"/>
    <row r="2362" hidden="1"/>
    <row r="2363" hidden="1"/>
    <row r="2364" hidden="1"/>
    <row r="2365" hidden="1"/>
    <row r="2366" hidden="1"/>
    <row r="2367" hidden="1"/>
    <row r="2368" hidden="1"/>
    <row r="2369" hidden="1"/>
    <row r="2370" hidden="1"/>
    <row r="2371" hidden="1"/>
    <row r="2372" hidden="1"/>
    <row r="2373" hidden="1"/>
    <row r="2374" hidden="1"/>
    <row r="2375" hidden="1"/>
    <row r="2376" hidden="1"/>
    <row r="2377" hidden="1"/>
    <row r="2378" hidden="1"/>
    <row r="2379" hidden="1"/>
    <row r="2380" hidden="1"/>
    <row r="2381" hidden="1"/>
    <row r="2382" hidden="1"/>
    <row r="2383" hidden="1"/>
    <row r="2384" hidden="1"/>
    <row r="2385" hidden="1"/>
    <row r="2386" hidden="1"/>
    <row r="2387" hidden="1"/>
    <row r="2388" hidden="1"/>
    <row r="2389" hidden="1"/>
    <row r="2390" hidden="1"/>
    <row r="2391" hidden="1"/>
    <row r="2392" hidden="1"/>
    <row r="2393" hidden="1"/>
    <row r="2394" hidden="1"/>
    <row r="2395" hidden="1"/>
    <row r="2396" hidden="1"/>
    <row r="2397" hidden="1"/>
    <row r="2398" hidden="1"/>
    <row r="2399" hidden="1"/>
    <row r="2400" hidden="1"/>
    <row r="2401" hidden="1"/>
    <row r="2402" hidden="1"/>
    <row r="2403" hidden="1"/>
    <row r="2404" hidden="1"/>
    <row r="2405" hidden="1"/>
    <row r="2406" hidden="1"/>
    <row r="2407" hidden="1"/>
    <row r="2408" hidden="1"/>
    <row r="2409" hidden="1"/>
    <row r="2410" hidden="1"/>
    <row r="2411" hidden="1"/>
    <row r="2412" hidden="1"/>
    <row r="2413" hidden="1"/>
    <row r="2414" hidden="1"/>
    <row r="2415" hidden="1"/>
    <row r="2416" hidden="1"/>
    <row r="2417" hidden="1"/>
    <row r="2418" hidden="1"/>
    <row r="2419" hidden="1"/>
    <row r="2420" hidden="1"/>
    <row r="2421" hidden="1"/>
    <row r="2422" hidden="1"/>
    <row r="2423" hidden="1"/>
    <row r="2424" hidden="1"/>
    <row r="2425" hidden="1"/>
    <row r="2426" hidden="1"/>
    <row r="2427" hidden="1"/>
    <row r="2428" hidden="1"/>
    <row r="2429" hidden="1"/>
    <row r="2430" hidden="1"/>
    <row r="2431" hidden="1"/>
    <row r="2432" hidden="1"/>
    <row r="2433" hidden="1"/>
    <row r="2434" hidden="1"/>
    <row r="2435" hidden="1"/>
    <row r="2436" hidden="1"/>
    <row r="2437" hidden="1"/>
    <row r="2438" hidden="1"/>
    <row r="2439" hidden="1"/>
    <row r="2440" hidden="1"/>
    <row r="2441" hidden="1"/>
    <row r="2442" hidden="1"/>
    <row r="2443" hidden="1"/>
    <row r="2444" hidden="1"/>
    <row r="2445" hidden="1"/>
    <row r="2446" hidden="1"/>
    <row r="2447" hidden="1"/>
    <row r="2448" hidden="1"/>
    <row r="2449" hidden="1"/>
    <row r="2450" hidden="1"/>
    <row r="2451" hidden="1"/>
    <row r="2452" hidden="1"/>
    <row r="2453" hidden="1"/>
    <row r="2454" hidden="1"/>
    <row r="2455" hidden="1"/>
    <row r="2456" hidden="1"/>
    <row r="2457" hidden="1"/>
    <row r="2458" hidden="1"/>
    <row r="2459" hidden="1"/>
    <row r="2460" hidden="1"/>
    <row r="2461" hidden="1"/>
    <row r="2462" hidden="1"/>
    <row r="2463" hidden="1"/>
    <row r="2464" hidden="1"/>
    <row r="2465" hidden="1"/>
    <row r="2466" hidden="1"/>
    <row r="2467" hidden="1"/>
    <row r="2468" hidden="1"/>
    <row r="2469" hidden="1"/>
    <row r="2470" hidden="1"/>
    <row r="2471" hidden="1"/>
    <row r="2472" hidden="1"/>
    <row r="2473" hidden="1"/>
    <row r="2474" hidden="1"/>
    <row r="2475" hidden="1"/>
    <row r="2476" hidden="1"/>
    <row r="2477" hidden="1"/>
    <row r="2478" hidden="1"/>
    <row r="2479" hidden="1"/>
    <row r="2480" hidden="1"/>
    <row r="2481" hidden="1"/>
    <row r="2482" hidden="1"/>
    <row r="2483" hidden="1"/>
    <row r="2484" hidden="1"/>
    <row r="2485" hidden="1"/>
    <row r="2486" hidden="1"/>
    <row r="2487" hidden="1"/>
    <row r="2488" hidden="1"/>
    <row r="2489" hidden="1"/>
    <row r="2490" hidden="1"/>
    <row r="2491" hidden="1"/>
    <row r="2492" hidden="1"/>
    <row r="2493" hidden="1"/>
    <row r="2494" hidden="1"/>
    <row r="2495" hidden="1"/>
    <row r="2496" hidden="1"/>
    <row r="2497" hidden="1"/>
    <row r="2498" hidden="1"/>
    <row r="2499" hidden="1"/>
    <row r="2500" hidden="1"/>
    <row r="2501" hidden="1"/>
    <row r="2502" hidden="1"/>
    <row r="2503" hidden="1"/>
    <row r="2504" hidden="1"/>
    <row r="2505" hidden="1"/>
    <row r="2506" hidden="1"/>
    <row r="2507" hidden="1"/>
    <row r="2508" hidden="1"/>
    <row r="2509" hidden="1"/>
    <row r="2510" hidden="1"/>
    <row r="2511" hidden="1"/>
    <row r="2512" hidden="1"/>
    <row r="2513" hidden="1"/>
    <row r="2514" hidden="1"/>
    <row r="2515" hidden="1"/>
    <row r="2516" hidden="1"/>
    <row r="2517" hidden="1"/>
    <row r="2518" hidden="1"/>
    <row r="2519" hidden="1"/>
    <row r="2520" hidden="1"/>
    <row r="2521" hidden="1"/>
    <row r="2522" hidden="1"/>
    <row r="2523" hidden="1"/>
    <row r="2524" hidden="1"/>
    <row r="2525" hidden="1"/>
    <row r="2526" hidden="1"/>
    <row r="2527" hidden="1"/>
    <row r="2528" hidden="1"/>
    <row r="2529" hidden="1"/>
    <row r="2530" hidden="1"/>
    <row r="2531" hidden="1"/>
    <row r="2532" hidden="1"/>
    <row r="2533" hidden="1"/>
    <row r="2534" hidden="1"/>
    <row r="2535" hidden="1"/>
    <row r="2536" hidden="1"/>
    <row r="2537" hidden="1"/>
    <row r="2538" hidden="1"/>
    <row r="2539" hidden="1"/>
    <row r="2540" hidden="1"/>
    <row r="2541" hidden="1"/>
    <row r="2542" hidden="1"/>
    <row r="2543" hidden="1"/>
    <row r="2544" hidden="1"/>
    <row r="2545" hidden="1"/>
    <row r="2546" hidden="1"/>
    <row r="2547" hidden="1"/>
    <row r="2548" hidden="1"/>
    <row r="2549" hidden="1"/>
    <row r="2550" hidden="1"/>
    <row r="2551" hidden="1"/>
    <row r="2552" hidden="1"/>
    <row r="2553" hidden="1"/>
    <row r="2554" hidden="1"/>
    <row r="2555" hidden="1"/>
    <row r="2556" hidden="1"/>
    <row r="2557" hidden="1"/>
    <row r="2558" hidden="1"/>
    <row r="2559" hidden="1"/>
    <row r="2560" hidden="1"/>
    <row r="2561" hidden="1"/>
    <row r="2562" hidden="1"/>
    <row r="2563" hidden="1"/>
    <row r="2564" hidden="1"/>
    <row r="2565" hidden="1"/>
    <row r="2566" hidden="1"/>
    <row r="2567" hidden="1"/>
    <row r="2568" hidden="1"/>
    <row r="2569" hidden="1"/>
    <row r="2570" hidden="1"/>
    <row r="2571" hidden="1"/>
    <row r="2572" hidden="1"/>
    <row r="2573" hidden="1"/>
    <row r="2574" hidden="1"/>
    <row r="2575" hidden="1"/>
    <row r="2576" hidden="1"/>
    <row r="2577" hidden="1"/>
    <row r="2578" hidden="1"/>
    <row r="2579" hidden="1"/>
    <row r="2580" hidden="1"/>
    <row r="2581" hidden="1"/>
    <row r="2582" hidden="1"/>
    <row r="2583" hidden="1"/>
    <row r="2584" hidden="1"/>
    <row r="2585" hidden="1"/>
    <row r="2586" hidden="1"/>
    <row r="2587" hidden="1"/>
    <row r="2588" hidden="1"/>
    <row r="2589" hidden="1"/>
    <row r="2590" hidden="1"/>
    <row r="2591" hidden="1"/>
    <row r="2592" hidden="1"/>
    <row r="2593" hidden="1"/>
    <row r="2594" hidden="1"/>
    <row r="2595" hidden="1"/>
    <row r="2596" hidden="1"/>
    <row r="2597" hidden="1"/>
    <row r="2598" hidden="1"/>
    <row r="2599" hidden="1"/>
    <row r="2600" hidden="1"/>
    <row r="2601" hidden="1"/>
    <row r="2602" hidden="1"/>
    <row r="2603" hidden="1"/>
    <row r="2604" hidden="1"/>
    <row r="2605" hidden="1"/>
    <row r="2606" hidden="1"/>
    <row r="2607" hidden="1"/>
    <row r="2608" hidden="1"/>
    <row r="2609" hidden="1"/>
    <row r="2610" hidden="1"/>
    <row r="2611" hidden="1"/>
    <row r="2612" hidden="1"/>
    <row r="2613" hidden="1"/>
    <row r="2614" hidden="1"/>
    <row r="2615" hidden="1"/>
    <row r="2616" hidden="1"/>
    <row r="2617" hidden="1"/>
    <row r="2618" hidden="1"/>
    <row r="2619" hidden="1"/>
    <row r="2620" hidden="1"/>
    <row r="2621" hidden="1"/>
    <row r="2622" hidden="1"/>
    <row r="2623" hidden="1"/>
    <row r="2624" hidden="1"/>
    <row r="2625" hidden="1"/>
    <row r="2626" hidden="1"/>
    <row r="2627" hidden="1"/>
    <row r="2628" hidden="1"/>
    <row r="2629" hidden="1"/>
    <row r="2630" hidden="1"/>
    <row r="2631" hidden="1"/>
    <row r="2632" hidden="1"/>
    <row r="2633" hidden="1"/>
    <row r="2634" hidden="1"/>
    <row r="2635" hidden="1"/>
    <row r="2636" hidden="1"/>
    <row r="2637" hidden="1"/>
    <row r="2638" hidden="1"/>
    <row r="2639" hidden="1"/>
    <row r="2640" hidden="1"/>
    <row r="2641" hidden="1"/>
    <row r="2642" hidden="1"/>
    <row r="2643" hidden="1"/>
    <row r="2644" hidden="1"/>
    <row r="2645" hidden="1"/>
    <row r="2646" hidden="1"/>
    <row r="2647" hidden="1"/>
    <row r="2648" hidden="1"/>
    <row r="2649" hidden="1"/>
    <row r="2650" hidden="1"/>
    <row r="2651" hidden="1"/>
    <row r="2652" hidden="1"/>
    <row r="2653" hidden="1"/>
    <row r="2654" hidden="1"/>
    <row r="2655" hidden="1"/>
    <row r="2656" hidden="1"/>
    <row r="2657" hidden="1"/>
    <row r="2658" hidden="1"/>
    <row r="2659" hidden="1"/>
    <row r="2660" hidden="1"/>
    <row r="2661" hidden="1"/>
    <row r="2662" hidden="1"/>
    <row r="2663" hidden="1"/>
    <row r="2664" hidden="1"/>
    <row r="2665" hidden="1"/>
    <row r="2666" hidden="1"/>
    <row r="2667" hidden="1"/>
    <row r="2668" hidden="1"/>
    <row r="2669" hidden="1"/>
    <row r="2670" hidden="1"/>
    <row r="2671" hidden="1"/>
    <row r="2672" hidden="1"/>
    <row r="2673" hidden="1"/>
    <row r="2674" hidden="1"/>
    <row r="2675" hidden="1"/>
    <row r="2676" hidden="1"/>
    <row r="2677" hidden="1"/>
    <row r="2678" hidden="1"/>
    <row r="2679" hidden="1"/>
    <row r="2680" hidden="1"/>
    <row r="2681" hidden="1"/>
    <row r="2682" hidden="1"/>
    <row r="2683" hidden="1"/>
    <row r="2684" hidden="1"/>
    <row r="2685" hidden="1"/>
    <row r="2686" hidden="1"/>
    <row r="2687" hidden="1"/>
    <row r="2688" hidden="1"/>
    <row r="2689" hidden="1"/>
    <row r="2690" hidden="1"/>
    <row r="2691" hidden="1"/>
    <row r="2692" hidden="1"/>
    <row r="2693" hidden="1"/>
    <row r="2694" hidden="1"/>
    <row r="2695" hidden="1"/>
    <row r="2696" hidden="1"/>
    <row r="2697" hidden="1"/>
    <row r="2698" hidden="1"/>
    <row r="2699" hidden="1"/>
    <row r="2700" hidden="1"/>
    <row r="2701" hidden="1"/>
    <row r="2702" hidden="1"/>
    <row r="2703" hidden="1"/>
    <row r="2704" hidden="1"/>
    <row r="2705" hidden="1"/>
    <row r="2706" hidden="1"/>
    <row r="2707" hidden="1"/>
    <row r="2708" hidden="1"/>
    <row r="2709" hidden="1"/>
    <row r="2710" hidden="1"/>
    <row r="2711" hidden="1"/>
    <row r="2712" hidden="1"/>
    <row r="2713" hidden="1"/>
    <row r="2714" hidden="1"/>
    <row r="2715" hidden="1"/>
    <row r="2716" hidden="1"/>
    <row r="2717" hidden="1"/>
    <row r="2718" hidden="1"/>
    <row r="2719" hidden="1"/>
    <row r="2720" hidden="1"/>
    <row r="2721" hidden="1"/>
    <row r="2722" hidden="1"/>
    <row r="2723" hidden="1"/>
    <row r="2724" hidden="1"/>
    <row r="2725" hidden="1"/>
    <row r="2726" hidden="1"/>
    <row r="2727" hidden="1"/>
    <row r="2728" hidden="1"/>
    <row r="2729" hidden="1"/>
    <row r="2730" hidden="1"/>
    <row r="2731" hidden="1"/>
    <row r="2732" hidden="1"/>
    <row r="2733" hidden="1"/>
    <row r="2734" hidden="1"/>
    <row r="2735" hidden="1"/>
    <row r="2736" hidden="1"/>
    <row r="2737" hidden="1"/>
    <row r="2738" hidden="1"/>
    <row r="2739" hidden="1"/>
    <row r="2740" hidden="1"/>
    <row r="2741" hidden="1"/>
    <row r="2742" hidden="1"/>
    <row r="2743" hidden="1"/>
    <row r="2744" hidden="1"/>
    <row r="2745" hidden="1"/>
    <row r="2746" hidden="1"/>
    <row r="2747" hidden="1"/>
    <row r="2748" hidden="1"/>
    <row r="2749" hidden="1"/>
    <row r="2750" hidden="1"/>
    <row r="2751" hidden="1"/>
    <row r="2752" hidden="1"/>
    <row r="2753" hidden="1"/>
    <row r="2754" hidden="1"/>
    <row r="2755" hidden="1"/>
    <row r="2756" hidden="1"/>
    <row r="2757" hidden="1"/>
    <row r="2758" hidden="1"/>
    <row r="2759" hidden="1"/>
    <row r="2760" hidden="1"/>
    <row r="2761" hidden="1"/>
    <row r="2762" hidden="1"/>
    <row r="2763" hidden="1"/>
    <row r="2764" hidden="1"/>
    <row r="2765" hidden="1"/>
    <row r="2766" hidden="1"/>
    <row r="2767" hidden="1"/>
    <row r="2768" hidden="1"/>
    <row r="2769" hidden="1"/>
    <row r="2770" hidden="1"/>
    <row r="2771" hidden="1"/>
    <row r="2772" hidden="1"/>
    <row r="2773" hidden="1"/>
    <row r="2774" hidden="1"/>
    <row r="2775" hidden="1"/>
    <row r="2776" hidden="1"/>
    <row r="2777" hidden="1"/>
    <row r="2778" hidden="1"/>
    <row r="2779" hidden="1"/>
    <row r="2780" hidden="1"/>
    <row r="2781" hidden="1"/>
    <row r="2782" hidden="1"/>
    <row r="2783" hidden="1"/>
    <row r="2784" hidden="1"/>
    <row r="2785" hidden="1"/>
    <row r="2786" hidden="1"/>
    <row r="2787" hidden="1"/>
    <row r="2788" hidden="1"/>
    <row r="2789" hidden="1"/>
    <row r="2790" hidden="1"/>
    <row r="2791" hidden="1"/>
    <row r="2792" hidden="1"/>
    <row r="2793" hidden="1"/>
    <row r="2794" hidden="1"/>
    <row r="2795" hidden="1"/>
    <row r="2796" hidden="1"/>
    <row r="2797" hidden="1"/>
    <row r="2798" hidden="1"/>
    <row r="2799" hidden="1"/>
    <row r="2800" hidden="1"/>
    <row r="2801" hidden="1"/>
    <row r="2802" hidden="1"/>
    <row r="2803" hidden="1"/>
    <row r="2804" hidden="1"/>
    <row r="2805" hidden="1"/>
    <row r="2806" hidden="1"/>
    <row r="2807" hidden="1"/>
    <row r="2808" hidden="1"/>
    <row r="2809" hidden="1"/>
    <row r="2810" hidden="1"/>
    <row r="2811" hidden="1"/>
    <row r="2812" hidden="1"/>
    <row r="2813" hidden="1"/>
    <row r="2814" hidden="1"/>
    <row r="2815" hidden="1"/>
    <row r="2816" hidden="1"/>
    <row r="2817" hidden="1"/>
    <row r="2818" hidden="1"/>
    <row r="2819" hidden="1"/>
    <row r="2820" hidden="1"/>
    <row r="2821" hidden="1"/>
    <row r="2822" hidden="1"/>
    <row r="2823" hidden="1"/>
    <row r="2824" hidden="1"/>
    <row r="2825" hidden="1"/>
    <row r="2826" hidden="1"/>
    <row r="2827" hidden="1"/>
    <row r="2828" hidden="1"/>
    <row r="2829" hidden="1"/>
    <row r="2830" hidden="1"/>
    <row r="2831" hidden="1"/>
    <row r="2832" hidden="1"/>
    <row r="2833" hidden="1"/>
    <row r="2834" hidden="1"/>
    <row r="2835" hidden="1"/>
    <row r="2836" hidden="1"/>
    <row r="2837" hidden="1"/>
    <row r="2838" hidden="1"/>
    <row r="2839" hidden="1"/>
    <row r="2840" hidden="1"/>
    <row r="2841" hidden="1"/>
    <row r="2842" hidden="1"/>
    <row r="2843" hidden="1"/>
    <row r="2844" hidden="1"/>
    <row r="2845" hidden="1"/>
    <row r="2846" hidden="1"/>
    <row r="2847" hidden="1"/>
    <row r="2848" hidden="1"/>
    <row r="2849" hidden="1"/>
    <row r="2850" hidden="1"/>
    <row r="2851" hidden="1"/>
    <row r="2852" hidden="1"/>
    <row r="2853" hidden="1"/>
    <row r="2854" hidden="1"/>
    <row r="2855" hidden="1"/>
    <row r="2856" hidden="1"/>
    <row r="2857" hidden="1"/>
    <row r="2858" hidden="1"/>
    <row r="2859" hidden="1"/>
    <row r="2860" hidden="1"/>
    <row r="2861" hidden="1"/>
    <row r="2862" hidden="1"/>
    <row r="2863" hidden="1"/>
    <row r="2864" hidden="1"/>
    <row r="2865" hidden="1"/>
    <row r="2866" hidden="1"/>
    <row r="2867" hidden="1"/>
    <row r="2868" hidden="1"/>
    <row r="2869" hidden="1"/>
    <row r="2870" hidden="1"/>
    <row r="2871" hidden="1"/>
    <row r="2872" hidden="1"/>
    <row r="2873" hidden="1"/>
    <row r="2874" hidden="1"/>
    <row r="2875" hidden="1"/>
    <row r="2876" hidden="1"/>
    <row r="2877" hidden="1"/>
    <row r="2878" hidden="1"/>
    <row r="2879" hidden="1"/>
    <row r="2880" hidden="1"/>
    <row r="2881" hidden="1"/>
    <row r="2882" hidden="1"/>
    <row r="2883" hidden="1"/>
    <row r="2884" hidden="1"/>
    <row r="2885" hidden="1"/>
    <row r="2886" hidden="1"/>
    <row r="2887" hidden="1"/>
    <row r="2888" hidden="1"/>
    <row r="2889" hidden="1"/>
    <row r="2890" hidden="1"/>
    <row r="2891" hidden="1"/>
    <row r="2892" hidden="1"/>
    <row r="2893" hidden="1"/>
    <row r="2894" hidden="1"/>
    <row r="2895" hidden="1"/>
    <row r="2896" hidden="1"/>
    <row r="2897" hidden="1"/>
    <row r="2898" hidden="1"/>
    <row r="2899" hidden="1"/>
    <row r="2900" hidden="1"/>
    <row r="2901" hidden="1"/>
    <row r="2902" hidden="1"/>
    <row r="2903" hidden="1"/>
    <row r="2904" hidden="1"/>
    <row r="2905" hidden="1"/>
    <row r="2906" hidden="1"/>
    <row r="2907" hidden="1"/>
    <row r="2908" hidden="1"/>
    <row r="2909" hidden="1"/>
    <row r="2910" hidden="1"/>
    <row r="2911" hidden="1"/>
    <row r="2912" hidden="1"/>
    <row r="2913" hidden="1"/>
    <row r="2914" hidden="1"/>
    <row r="2915" hidden="1"/>
    <row r="2916" hidden="1"/>
    <row r="2917" hidden="1"/>
    <row r="2918" hidden="1"/>
    <row r="2919" hidden="1"/>
    <row r="2920" hidden="1"/>
    <row r="2921" hidden="1"/>
    <row r="2922" hidden="1"/>
    <row r="2923" hidden="1"/>
    <row r="2924" hidden="1"/>
    <row r="2925" hidden="1"/>
    <row r="2926" hidden="1"/>
    <row r="2927" hidden="1"/>
    <row r="2928" hidden="1"/>
    <row r="2929" hidden="1"/>
    <row r="2930" hidden="1"/>
    <row r="2931" hidden="1"/>
    <row r="2932" hidden="1"/>
    <row r="2933" hidden="1"/>
    <row r="2934" hidden="1"/>
    <row r="2935" hidden="1"/>
    <row r="2936" hidden="1"/>
    <row r="2937" hidden="1"/>
    <row r="2938" hidden="1"/>
    <row r="2939" hidden="1"/>
    <row r="2940" hidden="1"/>
    <row r="2941" hidden="1"/>
    <row r="2942" hidden="1"/>
    <row r="2943" hidden="1"/>
    <row r="2944" hidden="1"/>
    <row r="2945" hidden="1"/>
    <row r="2946" hidden="1"/>
    <row r="2947" hidden="1"/>
    <row r="2948" hidden="1"/>
    <row r="2949" hidden="1"/>
    <row r="2950" hidden="1"/>
    <row r="2951" hidden="1"/>
    <row r="2952" hidden="1"/>
    <row r="2953" hidden="1"/>
    <row r="2954" hidden="1"/>
    <row r="2955" hidden="1"/>
    <row r="2956" hidden="1"/>
    <row r="2957" hidden="1"/>
    <row r="2958" hidden="1"/>
    <row r="2959" hidden="1"/>
    <row r="2960" hidden="1"/>
    <row r="2961" hidden="1"/>
    <row r="2962" hidden="1"/>
    <row r="2963" hidden="1"/>
    <row r="2964" hidden="1"/>
    <row r="2965" hidden="1"/>
    <row r="2966" hidden="1"/>
    <row r="2967" hidden="1"/>
    <row r="2968" hidden="1"/>
    <row r="2969" hidden="1"/>
    <row r="2970" hidden="1"/>
    <row r="2971" hidden="1"/>
    <row r="2972" hidden="1"/>
    <row r="2973" hidden="1"/>
    <row r="2974" hidden="1"/>
    <row r="2975" hidden="1"/>
    <row r="2976" hidden="1"/>
    <row r="2977" hidden="1"/>
    <row r="2978" hidden="1"/>
    <row r="2979" hidden="1"/>
    <row r="2980" hidden="1"/>
    <row r="2981" hidden="1"/>
    <row r="2982" hidden="1"/>
    <row r="2983" hidden="1"/>
    <row r="2984" hidden="1"/>
    <row r="2985" hidden="1"/>
    <row r="2986" hidden="1"/>
    <row r="2987" hidden="1"/>
    <row r="2988" hidden="1"/>
    <row r="2989" hidden="1"/>
    <row r="2990" hidden="1"/>
    <row r="2991" hidden="1"/>
    <row r="2992" hidden="1"/>
    <row r="2993" spans="1:4" hidden="1"/>
    <row r="2994" spans="1:4" hidden="1"/>
    <row r="2995" spans="1:4" hidden="1"/>
    <row r="2996" spans="1:4" hidden="1"/>
    <row r="2997" spans="1:4" hidden="1"/>
    <row r="2998" spans="1:4" hidden="1"/>
    <row r="2999" spans="1:4" hidden="1"/>
    <row r="3000" spans="1:4" hidden="1"/>
    <row r="3001" spans="1:4" hidden="1"/>
    <row r="3002" spans="1:4" hidden="1"/>
    <row r="3003" spans="1:4" hidden="1"/>
    <row r="3004" spans="1:4" hidden="1"/>
    <row r="3005" spans="1:4" hidden="1"/>
    <row r="3007" spans="1:4" ht="18">
      <c r="A3007" s="10" t="s">
        <v>2859</v>
      </c>
    </row>
    <row r="3008" spans="1:4">
      <c r="A3008" s="9" t="s">
        <v>791</v>
      </c>
      <c r="B3008" s="9" t="s">
        <v>228</v>
      </c>
      <c r="C3008" t="s">
        <v>4443</v>
      </c>
      <c r="D3008" t="s">
        <v>2857</v>
      </c>
    </row>
    <row r="3009" spans="1:4">
      <c r="A3009" t="s">
        <v>800</v>
      </c>
      <c r="B3009" t="s">
        <v>550</v>
      </c>
      <c r="C3009" s="66">
        <v>104371</v>
      </c>
      <c r="D3009" s="66">
        <v>4390</v>
      </c>
    </row>
    <row r="3010" spans="1:4">
      <c r="A3010" t="s">
        <v>1225</v>
      </c>
      <c r="B3010" t="s">
        <v>633</v>
      </c>
      <c r="C3010" s="66">
        <v>125965</v>
      </c>
      <c r="D3010" s="66">
        <v>4400</v>
      </c>
    </row>
    <row r="3011" spans="1:4">
      <c r="A3011" t="s">
        <v>3765</v>
      </c>
      <c r="B3011" t="s">
        <v>2854</v>
      </c>
      <c r="C3011" s="66">
        <v>4425</v>
      </c>
      <c r="D3011" s="66">
        <v>0</v>
      </c>
    </row>
    <row r="3012" spans="1:4">
      <c r="A3012" t="s">
        <v>1600</v>
      </c>
      <c r="B3012" t="s">
        <v>1602</v>
      </c>
      <c r="C3012" s="66">
        <v>92217</v>
      </c>
      <c r="D3012" s="66">
        <v>2250</v>
      </c>
    </row>
    <row r="3013" spans="1:4">
      <c r="A3013" t="s">
        <v>1801</v>
      </c>
      <c r="B3013" t="s">
        <v>1802</v>
      </c>
      <c r="C3013" s="66">
        <v>213757</v>
      </c>
      <c r="D3013" s="66">
        <v>8750</v>
      </c>
    </row>
    <row r="3014" spans="1:4">
      <c r="A3014" t="s">
        <v>57</v>
      </c>
      <c r="B3014" t="s">
        <v>2082</v>
      </c>
      <c r="C3014" s="66">
        <v>159064</v>
      </c>
      <c r="D3014" s="66">
        <v>3750</v>
      </c>
    </row>
    <row r="3015" spans="1:4">
      <c r="A3015" t="s">
        <v>2855</v>
      </c>
      <c r="B3015" t="s">
        <v>2855</v>
      </c>
      <c r="C3015" s="66"/>
      <c r="D3015" s="66"/>
    </row>
    <row r="3016" spans="1:4">
      <c r="A3016" t="s">
        <v>3075</v>
      </c>
      <c r="B3016" t="s">
        <v>3076</v>
      </c>
      <c r="C3016" s="66">
        <v>0</v>
      </c>
      <c r="D3016" s="66">
        <v>0</v>
      </c>
    </row>
    <row r="3017" spans="1:4">
      <c r="A3017" t="s">
        <v>152</v>
      </c>
      <c r="B3017" t="s">
        <v>3076</v>
      </c>
      <c r="C3017" s="66">
        <v>118295</v>
      </c>
      <c r="D3017" s="66">
        <v>5320</v>
      </c>
    </row>
    <row r="3018" spans="1:4">
      <c r="A3018" t="s">
        <v>211</v>
      </c>
      <c r="B3018" t="s">
        <v>3355</v>
      </c>
      <c r="C3018" s="66">
        <v>141010</v>
      </c>
      <c r="D3018" s="66">
        <v>8000</v>
      </c>
    </row>
    <row r="3019" spans="1:4">
      <c r="A3019" t="s">
        <v>212</v>
      </c>
      <c r="B3019" t="s">
        <v>3426</v>
      </c>
      <c r="C3019" s="66">
        <v>10325</v>
      </c>
      <c r="D3019" s="66">
        <v>500</v>
      </c>
    </row>
    <row r="3020" spans="1:4" ht="5.5" customHeight="1">
      <c r="A3020" t="s">
        <v>3726</v>
      </c>
      <c r="B3020" t="s">
        <v>3728</v>
      </c>
      <c r="C3020" s="66">
        <v>147146</v>
      </c>
      <c r="D3020" s="66">
        <v>8910</v>
      </c>
    </row>
    <row r="3021" spans="1:4" ht="12" hidden="1" customHeight="1">
      <c r="A3021" t="s">
        <v>3799</v>
      </c>
      <c r="B3021" t="s">
        <v>4859</v>
      </c>
      <c r="C3021" s="66">
        <v>118118</v>
      </c>
      <c r="D3021" s="66">
        <v>6660</v>
      </c>
    </row>
    <row r="3022" spans="1:4" hidden="1">
      <c r="A3022" t="s">
        <v>3800</v>
      </c>
      <c r="B3022" t="s">
        <v>4859</v>
      </c>
      <c r="C3022" s="66">
        <v>175820</v>
      </c>
      <c r="D3022" s="66">
        <v>14910</v>
      </c>
    </row>
    <row r="3023" spans="1:4" hidden="1">
      <c r="A3023" t="s">
        <v>3831</v>
      </c>
      <c r="B3023" t="s">
        <v>4943</v>
      </c>
      <c r="C3023" s="66">
        <v>186794</v>
      </c>
      <c r="D3023" s="66">
        <v>9390</v>
      </c>
    </row>
    <row r="3024" spans="1:4" hidden="1">
      <c r="A3024" t="s">
        <v>5021</v>
      </c>
      <c r="B3024" t="s">
        <v>5023</v>
      </c>
      <c r="C3024" s="66">
        <v>131924</v>
      </c>
      <c r="D3024" s="66">
        <v>16860</v>
      </c>
    </row>
    <row r="3025" spans="1:4" hidden="1">
      <c r="A3025" t="s">
        <v>3907</v>
      </c>
      <c r="B3025" t="s">
        <v>4943</v>
      </c>
      <c r="C3025" s="66">
        <v>1475</v>
      </c>
      <c r="D3025" s="66">
        <v>1250</v>
      </c>
    </row>
    <row r="3026" spans="1:4" hidden="1">
      <c r="A3026" t="s">
        <v>3908</v>
      </c>
      <c r="B3026" t="s">
        <v>4943</v>
      </c>
      <c r="C3026" s="66">
        <v>1475</v>
      </c>
      <c r="D3026" s="66">
        <v>0</v>
      </c>
    </row>
    <row r="3027" spans="1:4" hidden="1">
      <c r="A3027" t="s">
        <v>2856</v>
      </c>
      <c r="C3027" s="66">
        <v>1732181</v>
      </c>
      <c r="D3027" s="66">
        <v>95340</v>
      </c>
    </row>
    <row r="3028" spans="1:4" hidden="1"/>
    <row r="3029" spans="1:4" hidden="1"/>
    <row r="3030" spans="1:4" hidden="1"/>
    <row r="3031" spans="1:4" hidden="1"/>
    <row r="3032" spans="1:4" hidden="1"/>
    <row r="3033" spans="1:4" hidden="1"/>
    <row r="3034" spans="1:4" hidden="1"/>
    <row r="3035" spans="1:4" hidden="1"/>
    <row r="3036" spans="1:4" hidden="1"/>
    <row r="3037" spans="1:4" hidden="1"/>
    <row r="3038" spans="1:4" hidden="1"/>
    <row r="3039" spans="1:4" hidden="1"/>
    <row r="3040" spans="1:4" hidden="1"/>
    <row r="3041" hidden="1"/>
    <row r="3042" hidden="1"/>
    <row r="3043" hidden="1"/>
    <row r="3044" hidden="1"/>
    <row r="3045" hidden="1"/>
    <row r="3046" hidden="1"/>
    <row r="3047" hidden="1"/>
    <row r="3048" hidden="1"/>
    <row r="3049" hidden="1"/>
    <row r="3050" hidden="1"/>
    <row r="3051" hidden="1"/>
    <row r="3052" hidden="1"/>
    <row r="3053" hidden="1"/>
    <row r="3054" hidden="1"/>
    <row r="3055" hidden="1"/>
    <row r="3056" hidden="1"/>
    <row r="3057" hidden="1"/>
    <row r="3058" hidden="1"/>
    <row r="3059" hidden="1"/>
    <row r="3060" hidden="1"/>
    <row r="3061" hidden="1"/>
    <row r="3062" hidden="1"/>
    <row r="3063" hidden="1"/>
    <row r="3064" hidden="1"/>
    <row r="3065" hidden="1"/>
    <row r="3066" hidden="1"/>
    <row r="3067" hidden="1"/>
    <row r="3068" hidden="1"/>
    <row r="3069" hidden="1"/>
    <row r="3070" hidden="1"/>
    <row r="3071" hidden="1"/>
    <row r="3072" hidden="1"/>
    <row r="3073" hidden="1"/>
    <row r="3074" hidden="1"/>
    <row r="3075" hidden="1"/>
    <row r="3076" hidden="1"/>
    <row r="3077" hidden="1"/>
    <row r="3078" hidden="1"/>
    <row r="3079" hidden="1"/>
    <row r="3080" hidden="1"/>
    <row r="3081" hidden="1"/>
    <row r="3082" hidden="1"/>
    <row r="3083" hidden="1"/>
    <row r="3084" hidden="1"/>
    <row r="3085" hidden="1"/>
    <row r="3086" hidden="1"/>
    <row r="3087" hidden="1"/>
    <row r="3088" hidden="1"/>
    <row r="3089" hidden="1"/>
    <row r="3090" hidden="1"/>
    <row r="3091" hidden="1"/>
    <row r="3092" hidden="1"/>
    <row r="3093" hidden="1"/>
    <row r="3094" hidden="1"/>
    <row r="3095" hidden="1"/>
    <row r="3096" hidden="1"/>
    <row r="3097" hidden="1"/>
    <row r="3098" hidden="1"/>
    <row r="3099" hidden="1"/>
    <row r="3100" hidden="1"/>
    <row r="3101" hidden="1"/>
    <row r="3102" hidden="1"/>
    <row r="3103" hidden="1"/>
    <row r="3104" hidden="1"/>
    <row r="3105" hidden="1"/>
    <row r="3106" hidden="1"/>
    <row r="3107" hidden="1"/>
    <row r="3108" hidden="1"/>
    <row r="3109" hidden="1"/>
    <row r="3110" hidden="1"/>
    <row r="3111" hidden="1"/>
    <row r="3112" hidden="1"/>
    <row r="3113" hidden="1"/>
    <row r="3114" hidden="1"/>
    <row r="3115" hidden="1"/>
    <row r="3116" hidden="1"/>
    <row r="3117" hidden="1"/>
    <row r="3118" hidden="1"/>
    <row r="3119" hidden="1"/>
    <row r="3120" hidden="1"/>
    <row r="3121" hidden="1"/>
    <row r="3122" hidden="1"/>
    <row r="3123" hidden="1"/>
    <row r="3124" hidden="1"/>
    <row r="3125" hidden="1"/>
    <row r="3126" hidden="1"/>
    <row r="3127" hidden="1"/>
    <row r="3128" hidden="1"/>
    <row r="3129" hidden="1"/>
    <row r="3130" hidden="1"/>
    <row r="3131" hidden="1"/>
    <row r="3132" hidden="1"/>
    <row r="3133" hidden="1"/>
    <row r="3134" hidden="1"/>
    <row r="3135" hidden="1"/>
    <row r="3136" hidden="1"/>
    <row r="3137" hidden="1"/>
    <row r="3138" hidden="1"/>
    <row r="3139" hidden="1"/>
    <row r="3140" hidden="1"/>
    <row r="3141" hidden="1"/>
    <row r="3142" hidden="1"/>
    <row r="3143" hidden="1"/>
    <row r="3144" hidden="1"/>
    <row r="3145" hidden="1"/>
    <row r="3146" hidden="1"/>
    <row r="3147" hidden="1"/>
    <row r="3148" hidden="1"/>
    <row r="3149" hidden="1"/>
    <row r="3150" hidden="1"/>
    <row r="3151" hidden="1"/>
    <row r="3152" hidden="1"/>
    <row r="3153" hidden="1"/>
    <row r="3154" hidden="1"/>
    <row r="3155" hidden="1"/>
    <row r="3156" hidden="1"/>
    <row r="3157" hidden="1"/>
    <row r="3158" hidden="1"/>
    <row r="3159" hidden="1"/>
    <row r="3160" hidden="1"/>
    <row r="3161" hidden="1"/>
    <row r="3162" hidden="1"/>
    <row r="3163" hidden="1"/>
    <row r="3164" hidden="1"/>
    <row r="3165" hidden="1"/>
    <row r="3166" hidden="1"/>
    <row r="3167" hidden="1"/>
    <row r="3168" hidden="1"/>
    <row r="3169" hidden="1"/>
    <row r="3170" hidden="1"/>
    <row r="3171" hidden="1"/>
    <row r="3172" hidden="1"/>
    <row r="3173" hidden="1"/>
    <row r="3174" hidden="1"/>
    <row r="3175" hidden="1"/>
    <row r="3176" hidden="1"/>
    <row r="3177" hidden="1"/>
    <row r="3178" hidden="1"/>
    <row r="3179" hidden="1"/>
    <row r="3180" hidden="1"/>
    <row r="3181" hidden="1"/>
    <row r="3182" hidden="1"/>
    <row r="3183" hidden="1"/>
    <row r="3184" hidden="1"/>
    <row r="3185" hidden="1"/>
    <row r="3186" hidden="1"/>
    <row r="3187" hidden="1"/>
    <row r="3188" hidden="1"/>
    <row r="3189" hidden="1"/>
    <row r="3190" hidden="1"/>
    <row r="3191" hidden="1"/>
    <row r="3192" hidden="1"/>
    <row r="3193" hidden="1"/>
    <row r="3194" hidden="1"/>
    <row r="3195" hidden="1"/>
    <row r="3196" hidden="1"/>
    <row r="3197" hidden="1"/>
    <row r="3198" hidden="1"/>
    <row r="3199" hidden="1"/>
    <row r="3200" hidden="1"/>
    <row r="3201" hidden="1"/>
    <row r="3202" hidden="1"/>
    <row r="3203" hidden="1"/>
    <row r="3204" hidden="1"/>
    <row r="3205" hidden="1"/>
    <row r="3206" hidden="1"/>
    <row r="3207" hidden="1"/>
    <row r="3208" hidden="1"/>
    <row r="3209" hidden="1"/>
    <row r="3210" hidden="1"/>
    <row r="3211" hidden="1"/>
    <row r="3212" hidden="1"/>
    <row r="3213" hidden="1"/>
    <row r="3214" hidden="1"/>
    <row r="3215" hidden="1"/>
    <row r="3216" hidden="1"/>
    <row r="3217" hidden="1"/>
    <row r="3218" hidden="1"/>
    <row r="3219" hidden="1"/>
    <row r="3220" hidden="1"/>
    <row r="3221" hidden="1"/>
    <row r="3222" hidden="1"/>
    <row r="3223" hidden="1"/>
    <row r="3224" hidden="1"/>
    <row r="3225" hidden="1"/>
    <row r="3226" hidden="1"/>
    <row r="3227" hidden="1"/>
    <row r="3228" hidden="1"/>
    <row r="3229" hidden="1"/>
    <row r="3230" hidden="1"/>
    <row r="3231" hidden="1"/>
    <row r="3232" hidden="1"/>
    <row r="3233" hidden="1"/>
    <row r="3234" hidden="1"/>
    <row r="3235" hidden="1"/>
    <row r="3236" hidden="1"/>
    <row r="3237" hidden="1"/>
    <row r="3238" hidden="1"/>
    <row r="3239" hidden="1"/>
    <row r="3240" hidden="1"/>
    <row r="3241" hidden="1"/>
    <row r="3242" hidden="1"/>
    <row r="3243" hidden="1"/>
    <row r="3244" hidden="1"/>
    <row r="3245" hidden="1"/>
    <row r="3246" hidden="1"/>
    <row r="3247" hidden="1"/>
    <row r="3248" hidden="1"/>
    <row r="3249" hidden="1"/>
    <row r="3250" hidden="1"/>
    <row r="3251" hidden="1"/>
    <row r="3252" hidden="1"/>
    <row r="3253" hidden="1"/>
    <row r="3254" hidden="1"/>
    <row r="3255" hidden="1"/>
    <row r="3256" hidden="1"/>
    <row r="3257" hidden="1"/>
    <row r="3258" hidden="1"/>
    <row r="3259" hidden="1"/>
    <row r="3260" hidden="1"/>
    <row r="3261" hidden="1"/>
    <row r="3262" hidden="1"/>
    <row r="3263" hidden="1"/>
    <row r="3264" hidden="1"/>
    <row r="3265" hidden="1"/>
    <row r="3266" hidden="1"/>
    <row r="3267" hidden="1"/>
    <row r="3268" hidden="1"/>
    <row r="3269" hidden="1"/>
    <row r="3270" hidden="1"/>
    <row r="3271" hidden="1"/>
    <row r="3272" hidden="1"/>
    <row r="3273" hidden="1"/>
    <row r="3274" hidden="1"/>
    <row r="3275" hidden="1"/>
    <row r="3276" hidden="1"/>
    <row r="3277" hidden="1"/>
    <row r="3278" hidden="1"/>
    <row r="3279" hidden="1"/>
    <row r="3280" hidden="1"/>
    <row r="3281" hidden="1"/>
    <row r="3282" hidden="1"/>
    <row r="3283" hidden="1"/>
    <row r="3284" hidden="1"/>
    <row r="3285" hidden="1"/>
    <row r="3286" hidden="1"/>
    <row r="3287" hidden="1"/>
    <row r="3288" hidden="1"/>
    <row r="3289" hidden="1"/>
    <row r="3290" hidden="1"/>
    <row r="3291" hidden="1"/>
    <row r="3292" hidden="1"/>
    <row r="3293" hidden="1"/>
    <row r="3294" hidden="1"/>
    <row r="3295" hidden="1"/>
    <row r="3296" hidden="1"/>
    <row r="3297" hidden="1"/>
    <row r="3298" hidden="1"/>
    <row r="3299" hidden="1"/>
    <row r="3300" hidden="1"/>
    <row r="3301" hidden="1"/>
    <row r="3302" hidden="1"/>
    <row r="3303" hidden="1"/>
    <row r="3304" hidden="1"/>
    <row r="3305" hidden="1"/>
    <row r="3306" hidden="1"/>
    <row r="3307" hidden="1"/>
    <row r="3308" hidden="1"/>
    <row r="3309" hidden="1"/>
    <row r="3310" hidden="1"/>
    <row r="3311" hidden="1"/>
    <row r="3312" hidden="1"/>
    <row r="3313" hidden="1"/>
    <row r="3314" hidden="1"/>
    <row r="3315" hidden="1"/>
    <row r="3316" hidden="1"/>
    <row r="3317" hidden="1"/>
    <row r="3318" hidden="1"/>
    <row r="3319" hidden="1"/>
    <row r="3320" hidden="1"/>
    <row r="3321" hidden="1"/>
    <row r="3322" hidden="1"/>
    <row r="3323" hidden="1"/>
    <row r="3324" hidden="1"/>
    <row r="3325" hidden="1"/>
    <row r="3326" hidden="1"/>
    <row r="3327" hidden="1"/>
    <row r="3328" hidden="1"/>
    <row r="3329" hidden="1"/>
    <row r="3330" hidden="1"/>
    <row r="3331" hidden="1"/>
    <row r="3332" hidden="1"/>
    <row r="3333" hidden="1"/>
    <row r="3334" hidden="1"/>
    <row r="3335" hidden="1"/>
    <row r="3336" hidden="1"/>
    <row r="3337" hidden="1"/>
    <row r="3338" hidden="1"/>
    <row r="3339" hidden="1"/>
    <row r="3340" hidden="1"/>
    <row r="3341" hidden="1"/>
    <row r="3342" hidden="1"/>
    <row r="3343" hidden="1"/>
    <row r="3344" hidden="1"/>
    <row r="3345" hidden="1"/>
    <row r="3346" hidden="1"/>
    <row r="3347" hidden="1"/>
    <row r="3348" hidden="1"/>
    <row r="3349" hidden="1"/>
    <row r="3350" hidden="1"/>
    <row r="3351" hidden="1"/>
    <row r="3352" hidden="1"/>
    <row r="3353" hidden="1"/>
    <row r="3354" hidden="1"/>
    <row r="3355" hidden="1"/>
    <row r="3356" hidden="1"/>
    <row r="3357" hidden="1"/>
    <row r="3358" hidden="1"/>
    <row r="3359" hidden="1"/>
    <row r="3360" hidden="1"/>
    <row r="3361" hidden="1"/>
    <row r="3362" hidden="1"/>
    <row r="3363" hidden="1"/>
    <row r="3364" hidden="1"/>
    <row r="3365" hidden="1"/>
    <row r="3366" hidden="1"/>
    <row r="3367" hidden="1"/>
    <row r="3368" hidden="1"/>
    <row r="3369" hidden="1"/>
    <row r="3370" hidden="1"/>
    <row r="3371" hidden="1"/>
    <row r="3372" hidden="1"/>
    <row r="3373" hidden="1"/>
    <row r="3374" hidden="1"/>
    <row r="3375" hidden="1"/>
    <row r="3376" hidden="1"/>
    <row r="3377" hidden="1"/>
    <row r="3378" hidden="1"/>
    <row r="3379" hidden="1"/>
    <row r="3380" hidden="1"/>
    <row r="3381" hidden="1"/>
    <row r="3382" hidden="1"/>
    <row r="3383" hidden="1"/>
    <row r="3384" hidden="1"/>
    <row r="3385" hidden="1"/>
    <row r="3386" hidden="1"/>
    <row r="3387" hidden="1"/>
    <row r="3388" hidden="1"/>
    <row r="3389" hidden="1"/>
    <row r="3390" hidden="1"/>
    <row r="3391" hidden="1"/>
    <row r="3392" hidden="1"/>
    <row r="3393" hidden="1"/>
    <row r="3394" hidden="1"/>
    <row r="3395" hidden="1"/>
    <row r="3396" hidden="1"/>
    <row r="3397" hidden="1"/>
    <row r="3398" hidden="1"/>
    <row r="3399" hidden="1"/>
    <row r="3400" hidden="1"/>
    <row r="3401" hidden="1"/>
    <row r="3402" hidden="1"/>
    <row r="3403" hidden="1"/>
    <row r="3404" hidden="1"/>
    <row r="3405" hidden="1"/>
    <row r="3406" hidden="1"/>
    <row r="3407" hidden="1"/>
    <row r="3408" hidden="1"/>
    <row r="3409" hidden="1"/>
    <row r="3410" hidden="1"/>
    <row r="3411" hidden="1"/>
    <row r="3412" hidden="1"/>
    <row r="3413" hidden="1"/>
    <row r="3414" hidden="1"/>
    <row r="3415" hidden="1"/>
    <row r="3416" hidden="1"/>
    <row r="3417" hidden="1"/>
    <row r="3418" hidden="1"/>
    <row r="3419" hidden="1"/>
    <row r="3420" hidden="1"/>
    <row r="3421" hidden="1"/>
    <row r="3422" hidden="1"/>
    <row r="3423" hidden="1"/>
    <row r="3424" hidden="1"/>
    <row r="3425" hidden="1"/>
    <row r="3426" hidden="1"/>
    <row r="3427" hidden="1"/>
    <row r="3428" hidden="1"/>
    <row r="3429" hidden="1"/>
    <row r="3430" hidden="1"/>
    <row r="3431" hidden="1"/>
    <row r="3432" hidden="1"/>
    <row r="3433" hidden="1"/>
    <row r="3434" hidden="1"/>
    <row r="3435" hidden="1"/>
    <row r="3436" hidden="1"/>
    <row r="3437" hidden="1"/>
    <row r="3438" hidden="1"/>
    <row r="3439" hidden="1"/>
    <row r="3440" hidden="1"/>
    <row r="3441" hidden="1"/>
    <row r="3442" hidden="1"/>
    <row r="3443" hidden="1"/>
    <row r="3444" hidden="1"/>
    <row r="3445" hidden="1"/>
    <row r="3446" hidden="1"/>
    <row r="3447" hidden="1"/>
    <row r="3448" hidden="1"/>
    <row r="3449" hidden="1"/>
    <row r="3450" hidden="1"/>
    <row r="3451" hidden="1"/>
    <row r="3452" hidden="1"/>
    <row r="3453" hidden="1"/>
    <row r="3454" hidden="1"/>
    <row r="3455" hidden="1"/>
    <row r="3456" hidden="1"/>
    <row r="3457" hidden="1"/>
    <row r="3458" hidden="1"/>
    <row r="3459" hidden="1"/>
    <row r="3460" hidden="1"/>
    <row r="3461" hidden="1"/>
    <row r="3462" hidden="1"/>
    <row r="3463" hidden="1"/>
    <row r="3464" hidden="1"/>
    <row r="3465" hidden="1"/>
    <row r="3466" hidden="1"/>
    <row r="3467" hidden="1"/>
    <row r="3468" hidden="1"/>
    <row r="3469" hidden="1"/>
    <row r="3470" hidden="1"/>
    <row r="3471" hidden="1"/>
    <row r="3472" hidden="1"/>
    <row r="3473" hidden="1"/>
    <row r="3474" hidden="1"/>
    <row r="3475" hidden="1"/>
    <row r="3476" hidden="1"/>
    <row r="3477" hidden="1"/>
    <row r="3478" hidden="1"/>
    <row r="3479" hidden="1"/>
    <row r="3480" hidden="1"/>
    <row r="3481" hidden="1"/>
    <row r="3482" hidden="1"/>
    <row r="3483" hidden="1"/>
    <row r="3484" hidden="1"/>
    <row r="3485" hidden="1"/>
    <row r="3486" hidden="1"/>
    <row r="3487" hidden="1"/>
    <row r="3488" hidden="1"/>
    <row r="3489" hidden="1"/>
    <row r="3490" hidden="1"/>
    <row r="3491" hidden="1"/>
    <row r="3492" hidden="1"/>
    <row r="3493" hidden="1"/>
    <row r="3494" hidden="1"/>
    <row r="3495" hidden="1"/>
    <row r="3496" hidden="1"/>
    <row r="3497" hidden="1"/>
    <row r="3498" hidden="1"/>
    <row r="3499" hidden="1"/>
    <row r="3500" hidden="1"/>
    <row r="3501" hidden="1"/>
    <row r="3502" hidden="1"/>
    <row r="3503" hidden="1"/>
    <row r="3504" hidden="1"/>
    <row r="3505" hidden="1"/>
    <row r="3506" hidden="1"/>
    <row r="3507" hidden="1"/>
    <row r="3508" hidden="1"/>
    <row r="3509" hidden="1"/>
    <row r="3510" hidden="1"/>
    <row r="3511" hidden="1"/>
    <row r="3512" hidden="1"/>
    <row r="3513" hidden="1"/>
    <row r="3514" hidden="1"/>
    <row r="3515" hidden="1"/>
    <row r="3516" hidden="1"/>
    <row r="3517" hidden="1"/>
    <row r="3518" hidden="1"/>
    <row r="3519" hidden="1"/>
    <row r="3520" hidden="1"/>
    <row r="3521" hidden="1"/>
    <row r="3522" hidden="1"/>
    <row r="3523" hidden="1"/>
    <row r="3524" hidden="1"/>
    <row r="3525" hidden="1"/>
    <row r="3526" hidden="1"/>
    <row r="3527" hidden="1"/>
    <row r="3528" hidden="1"/>
    <row r="3529" hidden="1"/>
    <row r="3530" hidden="1"/>
    <row r="3531" hidden="1"/>
    <row r="3532" hidden="1"/>
    <row r="3533" hidden="1"/>
    <row r="3534" hidden="1"/>
    <row r="3535" hidden="1"/>
    <row r="3536" hidden="1"/>
    <row r="3537" hidden="1"/>
    <row r="3538" hidden="1"/>
    <row r="3539" hidden="1"/>
    <row r="3540" hidden="1"/>
    <row r="3541" hidden="1"/>
    <row r="3542" hidden="1"/>
    <row r="3543" hidden="1"/>
    <row r="3544" hidden="1"/>
    <row r="3545" hidden="1"/>
    <row r="3546" hidden="1"/>
    <row r="3547" hidden="1"/>
    <row r="3548" hidden="1"/>
    <row r="3549" hidden="1"/>
    <row r="3550" hidden="1"/>
    <row r="3551" hidden="1"/>
    <row r="3552" hidden="1"/>
    <row r="3553" hidden="1"/>
    <row r="3554" hidden="1"/>
    <row r="3555" hidden="1"/>
    <row r="3556" hidden="1"/>
    <row r="3557" hidden="1"/>
    <row r="3558" hidden="1"/>
    <row r="3559" hidden="1"/>
    <row r="3560" hidden="1"/>
    <row r="3561" hidden="1"/>
    <row r="3562" hidden="1"/>
    <row r="3563" hidden="1"/>
    <row r="3564" hidden="1"/>
    <row r="3565" hidden="1"/>
    <row r="3566" hidden="1"/>
    <row r="3567" hidden="1"/>
    <row r="3568" hidden="1"/>
    <row r="3569" hidden="1"/>
    <row r="3570" hidden="1"/>
    <row r="3571" hidden="1"/>
    <row r="3572" hidden="1"/>
    <row r="3573" hidden="1"/>
    <row r="3574" hidden="1"/>
    <row r="3575" hidden="1"/>
    <row r="3576" hidden="1"/>
    <row r="3577" hidden="1"/>
    <row r="3578" hidden="1"/>
    <row r="3579" hidden="1"/>
    <row r="3580" hidden="1"/>
    <row r="3581" hidden="1"/>
    <row r="3582" hidden="1"/>
    <row r="3583" hidden="1"/>
    <row r="3584" hidden="1"/>
    <row r="3585" hidden="1"/>
    <row r="3586" hidden="1"/>
    <row r="3587" hidden="1"/>
    <row r="3588" hidden="1"/>
    <row r="3589" hidden="1"/>
    <row r="3590" hidden="1"/>
    <row r="3591" hidden="1"/>
    <row r="3592" hidden="1"/>
    <row r="3593" hidden="1"/>
    <row r="3594" hidden="1"/>
    <row r="3595" hidden="1"/>
    <row r="3596" hidden="1"/>
    <row r="3597" hidden="1"/>
    <row r="3598" hidden="1"/>
    <row r="3599" hidden="1"/>
    <row r="3600" hidden="1"/>
    <row r="3601" hidden="1"/>
    <row r="3602" hidden="1"/>
    <row r="3603" hidden="1"/>
    <row r="3604" hidden="1"/>
    <row r="3605" hidden="1"/>
    <row r="3606" hidden="1"/>
    <row r="3607" hidden="1"/>
    <row r="3608" hidden="1"/>
    <row r="3609" hidden="1"/>
    <row r="3610" hidden="1"/>
    <row r="3611" hidden="1"/>
    <row r="3612" hidden="1"/>
    <row r="3613" hidden="1"/>
    <row r="3614" hidden="1"/>
    <row r="3615" hidden="1"/>
    <row r="3616" hidden="1"/>
    <row r="3617" hidden="1"/>
    <row r="3618" hidden="1"/>
    <row r="3619" hidden="1"/>
    <row r="3620" hidden="1"/>
    <row r="3621" hidden="1"/>
    <row r="3622" hidden="1"/>
    <row r="3623" hidden="1"/>
    <row r="3624" hidden="1"/>
    <row r="3625" hidden="1"/>
    <row r="3626" hidden="1"/>
    <row r="3627" hidden="1"/>
    <row r="3628" hidden="1"/>
    <row r="3629" hidden="1"/>
    <row r="3630" hidden="1"/>
    <row r="3631" hidden="1"/>
    <row r="3632" hidden="1"/>
    <row r="3633" hidden="1"/>
    <row r="3634" hidden="1"/>
    <row r="3635" hidden="1"/>
    <row r="3636" hidden="1"/>
    <row r="3637" hidden="1"/>
    <row r="3638" hidden="1"/>
    <row r="3639" hidden="1"/>
    <row r="3640" hidden="1"/>
    <row r="3641" hidden="1"/>
    <row r="3642" hidden="1"/>
    <row r="3643" hidden="1"/>
    <row r="3644" hidden="1"/>
    <row r="3645" hidden="1"/>
    <row r="3646" hidden="1"/>
    <row r="3647" hidden="1"/>
    <row r="3648" hidden="1"/>
    <row r="3649" hidden="1"/>
    <row r="3650" hidden="1"/>
    <row r="3651" hidden="1"/>
    <row r="3652" hidden="1"/>
    <row r="3653" hidden="1"/>
    <row r="3654" hidden="1"/>
    <row r="3655" hidden="1"/>
    <row r="3656" hidden="1"/>
    <row r="3657" hidden="1"/>
    <row r="3658" hidden="1"/>
    <row r="3659" hidden="1"/>
    <row r="3660" hidden="1"/>
    <row r="3661" hidden="1"/>
    <row r="3662" hidden="1"/>
    <row r="3663" hidden="1"/>
    <row r="3664" hidden="1"/>
    <row r="3665" hidden="1"/>
    <row r="3666" hidden="1"/>
    <row r="3667" hidden="1"/>
    <row r="3668" hidden="1"/>
    <row r="3669" hidden="1"/>
    <row r="3670" hidden="1"/>
    <row r="3671" hidden="1"/>
    <row r="3672" hidden="1"/>
    <row r="3673" hidden="1"/>
    <row r="3674" hidden="1"/>
    <row r="3675" hidden="1"/>
    <row r="3676" hidden="1"/>
    <row r="3677" hidden="1"/>
    <row r="3678" hidden="1"/>
    <row r="3679" hidden="1"/>
    <row r="3680" hidden="1"/>
    <row r="3681" hidden="1"/>
    <row r="3682" hidden="1"/>
    <row r="3683" hidden="1"/>
    <row r="3684" hidden="1"/>
    <row r="3685" hidden="1"/>
    <row r="3686" hidden="1"/>
    <row r="3687" hidden="1"/>
    <row r="3688" hidden="1"/>
    <row r="3689" hidden="1"/>
    <row r="3690" hidden="1"/>
    <row r="3691" hidden="1"/>
    <row r="3692" hidden="1"/>
    <row r="3693" hidden="1"/>
    <row r="3694" hidden="1"/>
    <row r="3695" hidden="1"/>
    <row r="3696" hidden="1"/>
    <row r="3697" hidden="1"/>
    <row r="3698" hidden="1"/>
    <row r="3699" hidden="1"/>
    <row r="3700" hidden="1"/>
    <row r="3701" hidden="1"/>
    <row r="3702" hidden="1"/>
    <row r="3703" hidden="1"/>
    <row r="3704" hidden="1"/>
    <row r="3705" hidden="1"/>
    <row r="3706" hidden="1"/>
    <row r="3707" hidden="1"/>
    <row r="3708" hidden="1"/>
    <row r="3709" hidden="1"/>
    <row r="3710" hidden="1"/>
    <row r="3711" hidden="1"/>
    <row r="3712" hidden="1"/>
    <row r="3713" hidden="1"/>
    <row r="3714" hidden="1"/>
    <row r="3715" hidden="1"/>
    <row r="3716" hidden="1"/>
    <row r="3717" hidden="1"/>
    <row r="3718" hidden="1"/>
    <row r="3719" hidden="1"/>
    <row r="3720" hidden="1"/>
    <row r="3721" hidden="1"/>
    <row r="3722" hidden="1"/>
    <row r="3723" hidden="1"/>
    <row r="3724" hidden="1"/>
    <row r="3725" hidden="1"/>
    <row r="3726" hidden="1"/>
    <row r="3727" hidden="1"/>
    <row r="3728" hidden="1"/>
    <row r="3729" hidden="1"/>
    <row r="3730" hidden="1"/>
    <row r="3731" hidden="1"/>
    <row r="3732" hidden="1"/>
    <row r="3733" hidden="1"/>
    <row r="3734" hidden="1"/>
    <row r="3735" hidden="1"/>
    <row r="3736" hidden="1"/>
    <row r="3737" hidden="1"/>
    <row r="3738" hidden="1"/>
    <row r="3739" hidden="1"/>
    <row r="3740" hidden="1"/>
    <row r="3741" hidden="1"/>
    <row r="3742" hidden="1"/>
    <row r="3743" hidden="1"/>
    <row r="3744" hidden="1"/>
    <row r="3745" hidden="1"/>
    <row r="3746" hidden="1"/>
    <row r="3747" hidden="1"/>
    <row r="3748" hidden="1"/>
    <row r="3749" hidden="1"/>
    <row r="3750" hidden="1"/>
    <row r="3751" hidden="1"/>
    <row r="3752" hidden="1"/>
    <row r="3753" hidden="1"/>
    <row r="3754" hidden="1"/>
    <row r="3755" hidden="1"/>
    <row r="3756" hidden="1"/>
    <row r="3757" hidden="1"/>
    <row r="3758" hidden="1"/>
    <row r="3759" hidden="1"/>
    <row r="3760" hidden="1"/>
    <row r="3761" hidden="1"/>
    <row r="3762" hidden="1"/>
    <row r="3763" hidden="1"/>
    <row r="3764" hidden="1"/>
    <row r="3765" hidden="1"/>
    <row r="3766" hidden="1"/>
    <row r="3767" hidden="1"/>
    <row r="3768" hidden="1"/>
    <row r="3769" hidden="1"/>
    <row r="3770" hidden="1"/>
    <row r="3771" hidden="1"/>
    <row r="3772" hidden="1"/>
    <row r="3773" hidden="1"/>
    <row r="3774" hidden="1"/>
    <row r="3775" hidden="1"/>
    <row r="3776" hidden="1"/>
    <row r="3777" hidden="1"/>
    <row r="3778" hidden="1"/>
    <row r="3779" hidden="1"/>
    <row r="3780" hidden="1"/>
    <row r="3781" hidden="1"/>
    <row r="3782" hidden="1"/>
    <row r="3783" hidden="1"/>
    <row r="3784" hidden="1"/>
    <row r="3785" hidden="1"/>
    <row r="3786" hidden="1"/>
    <row r="3787" hidden="1"/>
    <row r="3788" hidden="1"/>
    <row r="3789" hidden="1"/>
    <row r="3790" hidden="1"/>
    <row r="3791" hidden="1"/>
    <row r="3792" hidden="1"/>
    <row r="3793" hidden="1"/>
    <row r="3794" hidden="1"/>
    <row r="3795" hidden="1"/>
    <row r="3796" hidden="1"/>
    <row r="3797" hidden="1"/>
    <row r="3798" hidden="1"/>
    <row r="3799" hidden="1"/>
    <row r="3800" hidden="1"/>
    <row r="3801" hidden="1"/>
    <row r="3802" hidden="1"/>
    <row r="3803" hidden="1"/>
    <row r="3804" hidden="1"/>
    <row r="3805" hidden="1"/>
    <row r="3806" hidden="1"/>
    <row r="3807" hidden="1"/>
    <row r="3808" hidden="1"/>
    <row r="3809" hidden="1"/>
    <row r="3810" hidden="1"/>
    <row r="3811" hidden="1"/>
    <row r="3812" hidden="1"/>
    <row r="3813" hidden="1"/>
    <row r="3814" hidden="1"/>
    <row r="3815" hidden="1"/>
    <row r="3816" hidden="1"/>
    <row r="3817" hidden="1"/>
    <row r="3818" hidden="1"/>
    <row r="3819" hidden="1"/>
    <row r="3820" hidden="1"/>
    <row r="3821" hidden="1"/>
    <row r="3822" hidden="1"/>
    <row r="3823" hidden="1"/>
    <row r="3824" hidden="1"/>
    <row r="3825" hidden="1"/>
    <row r="3826" hidden="1"/>
    <row r="3827" hidden="1"/>
    <row r="3828" hidden="1"/>
    <row r="3829" hidden="1"/>
    <row r="3830" hidden="1"/>
    <row r="3831" hidden="1"/>
    <row r="3832" hidden="1"/>
    <row r="3833" hidden="1"/>
    <row r="3834" hidden="1"/>
    <row r="3835" hidden="1"/>
    <row r="3836" hidden="1"/>
    <row r="3837" hidden="1"/>
    <row r="3838" hidden="1"/>
    <row r="3839" hidden="1"/>
    <row r="3840" hidden="1"/>
    <row r="3841" hidden="1"/>
    <row r="3842" hidden="1"/>
    <row r="3843" hidden="1"/>
    <row r="3844" hidden="1"/>
    <row r="3845" hidden="1"/>
    <row r="3846" hidden="1"/>
    <row r="3847" hidden="1"/>
    <row r="3848" hidden="1"/>
    <row r="3849" hidden="1"/>
    <row r="3850" hidden="1"/>
    <row r="3851" hidden="1"/>
    <row r="3852" hidden="1"/>
    <row r="3853" hidden="1"/>
    <row r="3854" hidden="1"/>
    <row r="3855" hidden="1"/>
    <row r="3856" hidden="1"/>
    <row r="3857" hidden="1"/>
    <row r="3858" hidden="1"/>
    <row r="3859" hidden="1"/>
    <row r="3860" hidden="1"/>
    <row r="3861" hidden="1"/>
    <row r="3862" hidden="1"/>
    <row r="3863" hidden="1"/>
    <row r="3864" hidden="1"/>
    <row r="3865" hidden="1"/>
    <row r="3866" hidden="1"/>
    <row r="3867" hidden="1"/>
    <row r="3868" hidden="1"/>
    <row r="3869" hidden="1"/>
    <row r="3870" hidden="1"/>
    <row r="3871" hidden="1"/>
    <row r="3872" hidden="1"/>
    <row r="3873" hidden="1"/>
    <row r="3874" hidden="1"/>
    <row r="3875" hidden="1"/>
    <row r="3876" hidden="1"/>
    <row r="3877" hidden="1"/>
    <row r="3878" hidden="1"/>
    <row r="3879" hidden="1"/>
    <row r="3880" hidden="1"/>
    <row r="3881" hidden="1"/>
    <row r="3882" hidden="1"/>
    <row r="3883" hidden="1"/>
    <row r="3884" hidden="1"/>
    <row r="3885" hidden="1"/>
    <row r="3886" hidden="1"/>
    <row r="3887" hidden="1"/>
    <row r="3888" hidden="1"/>
    <row r="3889" hidden="1"/>
    <row r="3890" hidden="1"/>
    <row r="3891" hidden="1"/>
    <row r="3892" hidden="1"/>
    <row r="3893" hidden="1"/>
    <row r="3894" hidden="1"/>
    <row r="3895" hidden="1"/>
    <row r="3896" hidden="1"/>
    <row r="3897" hidden="1"/>
    <row r="3898" hidden="1"/>
    <row r="3899" hidden="1"/>
    <row r="3900" hidden="1"/>
    <row r="3901" hidden="1"/>
    <row r="3902" hidden="1"/>
    <row r="3903" hidden="1"/>
    <row r="3904" hidden="1"/>
    <row r="3905" hidden="1"/>
    <row r="3906" hidden="1"/>
    <row r="3907" hidden="1"/>
    <row r="3908" hidden="1"/>
    <row r="3909" hidden="1"/>
    <row r="3910" hidden="1"/>
    <row r="3911" hidden="1"/>
    <row r="3912" hidden="1"/>
    <row r="3913" hidden="1"/>
    <row r="3914" hidden="1"/>
    <row r="3915" hidden="1"/>
    <row r="3916" hidden="1"/>
    <row r="3917" hidden="1"/>
    <row r="3918" hidden="1"/>
    <row r="3919" hidden="1"/>
    <row r="3920" hidden="1"/>
    <row r="3921" hidden="1"/>
    <row r="3922" hidden="1"/>
    <row r="3923" hidden="1"/>
    <row r="3924" hidden="1"/>
    <row r="3925" hidden="1"/>
    <row r="3926" hidden="1"/>
    <row r="3927" hidden="1"/>
    <row r="3928" hidden="1"/>
    <row r="3929" hidden="1"/>
    <row r="3930" hidden="1"/>
    <row r="3931" hidden="1"/>
    <row r="3932" hidden="1"/>
    <row r="3933" hidden="1"/>
    <row r="3934" hidden="1"/>
    <row r="3935" hidden="1"/>
    <row r="3936" hidden="1"/>
    <row r="3937" hidden="1"/>
    <row r="3938" hidden="1"/>
    <row r="3939" hidden="1"/>
    <row r="3940" hidden="1"/>
    <row r="3941" hidden="1"/>
    <row r="3942" hidden="1"/>
    <row r="3943" hidden="1"/>
    <row r="3944" hidden="1"/>
    <row r="3945" hidden="1"/>
    <row r="3946" hidden="1"/>
    <row r="3947" hidden="1"/>
    <row r="3948" hidden="1"/>
    <row r="3949" hidden="1"/>
    <row r="3950" hidden="1"/>
    <row r="3951" hidden="1"/>
    <row r="3952" hidden="1"/>
    <row r="3953" hidden="1"/>
    <row r="3954" hidden="1"/>
    <row r="3955" hidden="1"/>
    <row r="3956" hidden="1"/>
    <row r="3957" hidden="1"/>
    <row r="3958" hidden="1"/>
    <row r="3959" hidden="1"/>
    <row r="3960" hidden="1"/>
    <row r="3961" hidden="1"/>
    <row r="3962" hidden="1"/>
    <row r="3963" hidden="1"/>
    <row r="3964" hidden="1"/>
    <row r="3965" hidden="1"/>
    <row r="3966" hidden="1"/>
    <row r="3967" hidden="1"/>
    <row r="3968" hidden="1"/>
    <row r="3969" hidden="1"/>
    <row r="3970" hidden="1"/>
    <row r="3971" hidden="1"/>
    <row r="3972" hidden="1"/>
    <row r="3973" hidden="1"/>
    <row r="3974" hidden="1"/>
    <row r="3975" hidden="1"/>
    <row r="3976" hidden="1"/>
    <row r="3977" hidden="1"/>
    <row r="3978" hidden="1"/>
    <row r="3979" hidden="1"/>
    <row r="3980" hidden="1"/>
    <row r="3981" hidden="1"/>
    <row r="3982" hidden="1"/>
    <row r="3983" hidden="1"/>
    <row r="3984" hidden="1"/>
    <row r="3985" hidden="1"/>
    <row r="3986" hidden="1"/>
    <row r="3987" hidden="1"/>
    <row r="3988" hidden="1"/>
    <row r="3989" hidden="1"/>
    <row r="3990" hidden="1"/>
    <row r="3991" hidden="1"/>
    <row r="3992" hidden="1"/>
    <row r="3993" hidden="1"/>
    <row r="3994" hidden="1"/>
    <row r="3995" hidden="1"/>
    <row r="3996" hidden="1"/>
    <row r="3997" hidden="1"/>
    <row r="3998" hidden="1"/>
    <row r="3999" hidden="1"/>
    <row r="4000" hidden="1"/>
    <row r="4001" hidden="1"/>
    <row r="4002" hidden="1"/>
    <row r="4003" hidden="1"/>
    <row r="4004" hidden="1"/>
    <row r="4005" hidden="1"/>
    <row r="4006" hidden="1"/>
    <row r="4007" hidden="1"/>
    <row r="4008" hidden="1"/>
    <row r="4009" hidden="1"/>
    <row r="4010" hidden="1"/>
    <row r="4011" hidden="1"/>
    <row r="4012" hidden="1"/>
    <row r="4013" hidden="1"/>
    <row r="4014" hidden="1"/>
    <row r="4015" hidden="1"/>
    <row r="4016" hidden="1"/>
    <row r="4017" hidden="1"/>
    <row r="4018" hidden="1"/>
    <row r="4019" hidden="1"/>
    <row r="4020" hidden="1"/>
    <row r="4021" hidden="1"/>
    <row r="4022" hidden="1"/>
    <row r="4023" hidden="1"/>
    <row r="4024" hidden="1"/>
    <row r="4025" hidden="1"/>
    <row r="4026" hidden="1"/>
    <row r="4027" hidden="1"/>
    <row r="4028" hidden="1"/>
    <row r="4029" hidden="1"/>
    <row r="4030" hidden="1"/>
    <row r="4031" hidden="1"/>
    <row r="4032" hidden="1"/>
    <row r="4033" hidden="1"/>
    <row r="4034" hidden="1"/>
    <row r="4035" hidden="1"/>
    <row r="4036" hidden="1"/>
    <row r="4037" hidden="1"/>
    <row r="4038" hidden="1"/>
    <row r="4039" hidden="1"/>
    <row r="4040" hidden="1"/>
    <row r="4041" hidden="1"/>
    <row r="4042" hidden="1"/>
    <row r="4043" hidden="1"/>
    <row r="4044" hidden="1"/>
    <row r="4045" hidden="1"/>
    <row r="4046" hidden="1"/>
    <row r="4047" hidden="1"/>
    <row r="4048" hidden="1"/>
    <row r="4049" hidden="1"/>
    <row r="4050" hidden="1"/>
    <row r="4051" hidden="1"/>
    <row r="4052" hidden="1"/>
    <row r="4053" hidden="1"/>
    <row r="4054" hidden="1"/>
    <row r="4055" hidden="1"/>
    <row r="4056" hidden="1"/>
    <row r="4057" hidden="1"/>
    <row r="4058" hidden="1"/>
    <row r="4059" hidden="1"/>
    <row r="4060" hidden="1"/>
    <row r="4061" hidden="1"/>
    <row r="4062" hidden="1"/>
    <row r="4063" hidden="1"/>
    <row r="4064" hidden="1"/>
    <row r="4065" hidden="1"/>
    <row r="4066" hidden="1"/>
    <row r="4067" hidden="1"/>
    <row r="4068" hidden="1"/>
    <row r="4069" hidden="1"/>
    <row r="4070" hidden="1"/>
    <row r="4071" hidden="1"/>
    <row r="4072" hidden="1"/>
    <row r="4073" hidden="1"/>
    <row r="4074" hidden="1"/>
    <row r="4075" hidden="1"/>
    <row r="4076" hidden="1"/>
    <row r="4077" hidden="1"/>
    <row r="4078" hidden="1"/>
    <row r="4079" hidden="1"/>
    <row r="4080" hidden="1"/>
    <row r="4081" hidden="1"/>
    <row r="4082" hidden="1"/>
    <row r="4083" hidden="1"/>
    <row r="4084" hidden="1"/>
    <row r="4085" hidden="1"/>
    <row r="4086" hidden="1"/>
    <row r="4087" hidden="1"/>
    <row r="4088" hidden="1"/>
    <row r="4089" hidden="1"/>
    <row r="4090" hidden="1"/>
    <row r="4091" hidden="1"/>
    <row r="4092" hidden="1"/>
    <row r="4093" hidden="1"/>
    <row r="4094" hidden="1"/>
    <row r="4095" hidden="1"/>
    <row r="4096" hidden="1"/>
    <row r="4097" hidden="1"/>
    <row r="4098" hidden="1"/>
    <row r="4099" hidden="1"/>
    <row r="4100" hidden="1"/>
    <row r="4101" hidden="1"/>
    <row r="4102" hidden="1"/>
    <row r="4103" hidden="1"/>
    <row r="4104" hidden="1"/>
    <row r="4105" hidden="1"/>
    <row r="4106" hidden="1"/>
    <row r="4107" hidden="1"/>
    <row r="4108" hidden="1"/>
    <row r="4109" hidden="1"/>
    <row r="4110" hidden="1"/>
    <row r="4111" hidden="1"/>
    <row r="4112" hidden="1"/>
    <row r="4113" hidden="1"/>
    <row r="4114" hidden="1"/>
    <row r="4115" hidden="1"/>
    <row r="4116" hidden="1"/>
    <row r="4117" hidden="1"/>
    <row r="4118" hidden="1"/>
    <row r="4119" hidden="1"/>
    <row r="4120" hidden="1"/>
    <row r="4121" hidden="1"/>
    <row r="4122" hidden="1"/>
    <row r="4123" hidden="1"/>
    <row r="4124" hidden="1"/>
    <row r="4125" hidden="1"/>
    <row r="4126" hidden="1"/>
    <row r="4127" hidden="1"/>
    <row r="4128" hidden="1"/>
    <row r="4129" hidden="1"/>
    <row r="4130" hidden="1"/>
    <row r="4131" hidden="1"/>
    <row r="4132" hidden="1"/>
    <row r="4133" hidden="1"/>
    <row r="4134" hidden="1"/>
    <row r="4135" hidden="1"/>
    <row r="4136" hidden="1"/>
    <row r="4137" hidden="1"/>
    <row r="4138" hidden="1"/>
    <row r="4139" hidden="1"/>
    <row r="4140" hidden="1"/>
    <row r="4141" hidden="1"/>
    <row r="4142" hidden="1"/>
    <row r="4143" hidden="1"/>
    <row r="4144" hidden="1"/>
    <row r="4145" hidden="1"/>
    <row r="4146" hidden="1"/>
    <row r="4147" hidden="1"/>
    <row r="4148" hidden="1"/>
    <row r="4149" hidden="1"/>
    <row r="4150" hidden="1"/>
    <row r="4151" hidden="1"/>
    <row r="4152" hidden="1"/>
    <row r="4153" hidden="1"/>
    <row r="4154" hidden="1"/>
    <row r="4155" hidden="1"/>
    <row r="4156" hidden="1"/>
    <row r="4157" hidden="1"/>
    <row r="4158" hidden="1"/>
    <row r="4159" hidden="1"/>
    <row r="4160" hidden="1"/>
    <row r="4161" hidden="1"/>
    <row r="4162" hidden="1"/>
    <row r="4163" hidden="1"/>
    <row r="4164" hidden="1"/>
    <row r="4165" hidden="1"/>
    <row r="4166" hidden="1"/>
    <row r="4167" hidden="1"/>
    <row r="4168" hidden="1"/>
    <row r="4169" hidden="1"/>
    <row r="4170" hidden="1"/>
    <row r="4171" hidden="1"/>
    <row r="4172" hidden="1"/>
    <row r="4173" hidden="1"/>
    <row r="4174" hidden="1"/>
    <row r="4175" hidden="1"/>
    <row r="4176" hidden="1"/>
    <row r="4177" hidden="1"/>
    <row r="4178" hidden="1"/>
    <row r="4179" hidden="1"/>
    <row r="4180" hidden="1"/>
    <row r="4181" hidden="1"/>
    <row r="4182" hidden="1"/>
    <row r="4183" hidden="1"/>
    <row r="4184" hidden="1"/>
    <row r="4185" hidden="1"/>
    <row r="4186" hidden="1"/>
    <row r="4187" hidden="1"/>
    <row r="4188" hidden="1"/>
    <row r="4189" hidden="1"/>
    <row r="4190" hidden="1"/>
    <row r="4191" hidden="1"/>
    <row r="4192" hidden="1"/>
    <row r="4193" hidden="1"/>
    <row r="4194" hidden="1"/>
    <row r="4195" hidden="1"/>
    <row r="4196" hidden="1"/>
    <row r="4197" hidden="1"/>
    <row r="4198" hidden="1"/>
    <row r="4199" hidden="1"/>
    <row r="4200" hidden="1"/>
    <row r="4201" hidden="1"/>
    <row r="4202" hidden="1"/>
    <row r="4203" hidden="1"/>
    <row r="4204" hidden="1"/>
    <row r="4205" hidden="1"/>
    <row r="4206" hidden="1"/>
    <row r="4207" hidden="1"/>
    <row r="4208" hidden="1"/>
    <row r="4209" hidden="1"/>
    <row r="4210" hidden="1"/>
    <row r="4211" hidden="1"/>
    <row r="4212" hidden="1"/>
    <row r="4213" hidden="1"/>
    <row r="4214" hidden="1"/>
    <row r="4215" hidden="1"/>
    <row r="4216" hidden="1"/>
    <row r="4217" hidden="1"/>
    <row r="4218" hidden="1"/>
    <row r="4219" hidden="1"/>
    <row r="4220" hidden="1"/>
    <row r="4221" hidden="1"/>
    <row r="4222" hidden="1"/>
    <row r="4223" hidden="1"/>
    <row r="4224" hidden="1"/>
    <row r="4225" hidden="1"/>
    <row r="4226" hidden="1"/>
    <row r="4227" hidden="1"/>
    <row r="4228" hidden="1"/>
    <row r="4229" hidden="1"/>
    <row r="4230" hidden="1"/>
    <row r="4231" hidden="1"/>
    <row r="4232" hidden="1"/>
    <row r="4233" hidden="1"/>
    <row r="4234" hidden="1"/>
    <row r="4235" hidden="1"/>
    <row r="4236" hidden="1"/>
    <row r="4237" hidden="1"/>
    <row r="4238" hidden="1"/>
    <row r="4239" hidden="1"/>
    <row r="4240" hidden="1"/>
    <row r="4241" hidden="1"/>
    <row r="4242" hidden="1"/>
    <row r="4243" hidden="1"/>
    <row r="4244" hidden="1"/>
    <row r="4245" hidden="1"/>
    <row r="4246" hidden="1"/>
    <row r="4247" hidden="1"/>
    <row r="4248" hidden="1"/>
    <row r="4249" hidden="1"/>
    <row r="4250" hidden="1"/>
    <row r="4251" hidden="1"/>
    <row r="4252" hidden="1"/>
    <row r="4253" hidden="1"/>
    <row r="4254" hidden="1"/>
    <row r="4255" hidden="1"/>
    <row r="4256" hidden="1"/>
    <row r="4257" hidden="1"/>
    <row r="4258" hidden="1"/>
    <row r="4259" hidden="1"/>
    <row r="4260" hidden="1"/>
    <row r="4261" hidden="1"/>
    <row r="4262" hidden="1"/>
    <row r="4263" hidden="1"/>
    <row r="4264" hidden="1"/>
    <row r="4265" hidden="1"/>
    <row r="4266" hidden="1"/>
    <row r="4267" hidden="1"/>
    <row r="4268" hidden="1"/>
    <row r="4269" hidden="1"/>
    <row r="4270" hidden="1"/>
    <row r="4271" hidden="1"/>
    <row r="4272" hidden="1"/>
    <row r="4273" hidden="1"/>
    <row r="4274" hidden="1"/>
    <row r="4275" hidden="1"/>
    <row r="4276" hidden="1"/>
    <row r="4277" hidden="1"/>
    <row r="4278" hidden="1"/>
    <row r="4279" hidden="1"/>
    <row r="4280" hidden="1"/>
    <row r="4281" hidden="1"/>
    <row r="4282" hidden="1"/>
    <row r="4283" hidden="1"/>
    <row r="4284" hidden="1"/>
    <row r="4285" hidden="1"/>
    <row r="4286" hidden="1"/>
    <row r="4287" hidden="1"/>
    <row r="4288" hidden="1"/>
    <row r="4289" hidden="1"/>
    <row r="4290" hidden="1"/>
    <row r="4291" hidden="1"/>
    <row r="4292" hidden="1"/>
    <row r="4293" hidden="1"/>
    <row r="4294" hidden="1"/>
    <row r="4295" hidden="1"/>
    <row r="4296" hidden="1"/>
    <row r="4297" hidden="1"/>
    <row r="4298" hidden="1"/>
    <row r="4299" hidden="1"/>
    <row r="4300" hidden="1"/>
    <row r="4301" hidden="1"/>
    <row r="4302" hidden="1"/>
    <row r="4303" hidden="1"/>
    <row r="4304" hidden="1"/>
    <row r="4305" hidden="1"/>
    <row r="4306" hidden="1"/>
    <row r="4307" hidden="1"/>
    <row r="4308" hidden="1"/>
    <row r="4309" hidden="1"/>
    <row r="4310" hidden="1"/>
    <row r="4311" hidden="1"/>
    <row r="4312" hidden="1"/>
    <row r="4313" hidden="1"/>
    <row r="4314" hidden="1"/>
    <row r="4315" hidden="1"/>
    <row r="4316" hidden="1"/>
    <row r="4317" hidden="1"/>
    <row r="4318" hidden="1"/>
    <row r="4319" hidden="1"/>
    <row r="4320" hidden="1"/>
    <row r="4321" hidden="1"/>
    <row r="4322" hidden="1"/>
    <row r="4323" hidden="1"/>
    <row r="4324" hidden="1"/>
    <row r="4325" hidden="1"/>
    <row r="4326" hidden="1"/>
    <row r="4327" hidden="1"/>
    <row r="4328" hidden="1"/>
    <row r="4329" hidden="1"/>
    <row r="4330" hidden="1"/>
    <row r="4331" hidden="1"/>
    <row r="4332" hidden="1"/>
    <row r="4333" hidden="1"/>
    <row r="4334" hidden="1"/>
    <row r="4335" hidden="1"/>
    <row r="4336" hidden="1"/>
    <row r="4337" hidden="1"/>
    <row r="4338" hidden="1"/>
    <row r="4339" hidden="1"/>
    <row r="4340" hidden="1"/>
    <row r="4341" hidden="1"/>
    <row r="4342" hidden="1"/>
    <row r="4343" hidden="1"/>
    <row r="4344" hidden="1"/>
    <row r="4345" hidden="1"/>
    <row r="4346" hidden="1"/>
    <row r="4347" hidden="1"/>
    <row r="4348" hidden="1"/>
    <row r="4349" hidden="1"/>
    <row r="4350" hidden="1"/>
    <row r="4351" hidden="1"/>
    <row r="4352" hidden="1"/>
    <row r="4353" hidden="1"/>
    <row r="4354" hidden="1"/>
    <row r="4355" hidden="1"/>
    <row r="4356" hidden="1"/>
    <row r="4357" hidden="1"/>
    <row r="4358" hidden="1"/>
    <row r="4359" hidden="1"/>
    <row r="4360" hidden="1"/>
    <row r="4361" hidden="1"/>
    <row r="4362" hidden="1"/>
    <row r="4363" hidden="1"/>
    <row r="4364" hidden="1"/>
    <row r="4365" hidden="1"/>
    <row r="4366" hidden="1"/>
    <row r="4367" hidden="1"/>
    <row r="4368" hidden="1"/>
    <row r="4369" hidden="1"/>
    <row r="4370" hidden="1"/>
    <row r="4371" hidden="1"/>
    <row r="4372" hidden="1"/>
    <row r="4373" hidden="1"/>
    <row r="4374" hidden="1"/>
    <row r="4375" hidden="1"/>
    <row r="4376" hidden="1"/>
    <row r="4377" hidden="1"/>
    <row r="4378" hidden="1"/>
    <row r="4379" hidden="1"/>
    <row r="4380" hidden="1"/>
    <row r="4381" hidden="1"/>
    <row r="4382" hidden="1"/>
    <row r="4383" hidden="1"/>
    <row r="4384" hidden="1"/>
    <row r="4385" hidden="1"/>
    <row r="4386" hidden="1"/>
    <row r="4387" hidden="1"/>
    <row r="4388" hidden="1"/>
    <row r="4389" hidden="1"/>
    <row r="4390" hidden="1"/>
    <row r="4391" hidden="1"/>
    <row r="4392" hidden="1"/>
    <row r="4393" hidden="1"/>
    <row r="4394" hidden="1"/>
    <row r="4395" hidden="1"/>
    <row r="4396" hidden="1"/>
    <row r="4397" hidden="1"/>
    <row r="4398" hidden="1"/>
    <row r="4399" hidden="1"/>
    <row r="4400" hidden="1"/>
    <row r="4401" hidden="1"/>
    <row r="4402" hidden="1"/>
    <row r="4403" hidden="1"/>
    <row r="4404" hidden="1"/>
    <row r="4405" hidden="1"/>
    <row r="4406" hidden="1"/>
    <row r="4407" hidden="1"/>
    <row r="4408" hidden="1"/>
    <row r="4409" hidden="1"/>
    <row r="4410" hidden="1"/>
    <row r="4411" hidden="1"/>
    <row r="4412" hidden="1"/>
    <row r="4413" hidden="1"/>
    <row r="4414" hidden="1"/>
    <row r="4415" hidden="1"/>
    <row r="4416" hidden="1"/>
    <row r="4417" hidden="1"/>
    <row r="4418" hidden="1"/>
    <row r="4419" hidden="1"/>
    <row r="4420" hidden="1"/>
    <row r="4421" hidden="1"/>
    <row r="4422" hidden="1"/>
    <row r="4423" hidden="1"/>
    <row r="4424" hidden="1"/>
    <row r="4425" hidden="1"/>
    <row r="4426" hidden="1"/>
    <row r="4427" hidden="1"/>
    <row r="4428" hidden="1"/>
    <row r="4429" hidden="1"/>
    <row r="4430" hidden="1"/>
    <row r="4431" hidden="1"/>
    <row r="4432" hidden="1"/>
    <row r="4433" hidden="1"/>
    <row r="4434" hidden="1"/>
    <row r="4435" hidden="1"/>
    <row r="4436" hidden="1"/>
    <row r="4437" hidden="1"/>
    <row r="4438" hidden="1"/>
    <row r="4439" hidden="1"/>
    <row r="4440" hidden="1"/>
    <row r="4441" hidden="1"/>
    <row r="4442" hidden="1"/>
    <row r="4443" hidden="1"/>
    <row r="4444" hidden="1"/>
    <row r="4445" hidden="1"/>
    <row r="4446" hidden="1"/>
    <row r="4447" hidden="1"/>
    <row r="4448" hidden="1"/>
    <row r="4449" hidden="1"/>
    <row r="4450" hidden="1"/>
    <row r="4451" hidden="1"/>
    <row r="4452" hidden="1"/>
    <row r="4453" hidden="1"/>
    <row r="4454" hidden="1"/>
    <row r="4455" hidden="1"/>
    <row r="4456" hidden="1"/>
    <row r="4457" hidden="1"/>
    <row r="4458" hidden="1"/>
    <row r="4459" hidden="1"/>
    <row r="4460" hidden="1"/>
    <row r="4461" hidden="1"/>
    <row r="4462" hidden="1"/>
    <row r="4463" hidden="1"/>
    <row r="4464" hidden="1"/>
    <row r="4465" hidden="1"/>
    <row r="4466" hidden="1"/>
    <row r="4467" hidden="1"/>
    <row r="4468" hidden="1"/>
    <row r="4469" hidden="1"/>
    <row r="4470" hidden="1"/>
    <row r="4471" hidden="1"/>
    <row r="4472" hidden="1"/>
    <row r="4473" hidden="1"/>
    <row r="4474" hidden="1"/>
    <row r="4475" hidden="1"/>
    <row r="4476" hidden="1"/>
    <row r="4477" hidden="1"/>
    <row r="4478" hidden="1"/>
    <row r="4479" hidden="1"/>
    <row r="4480" hidden="1"/>
    <row r="4481" hidden="1"/>
    <row r="4482" hidden="1"/>
    <row r="4483" hidden="1"/>
    <row r="4484" hidden="1"/>
    <row r="4485" hidden="1"/>
    <row r="4486" hidden="1"/>
    <row r="4487" hidden="1"/>
    <row r="4488" hidden="1"/>
    <row r="4489" hidden="1"/>
    <row r="4490" hidden="1"/>
    <row r="4491" hidden="1"/>
    <row r="4492" hidden="1"/>
    <row r="4493" hidden="1"/>
    <row r="4494" hidden="1"/>
    <row r="4495" hidden="1"/>
    <row r="4496" hidden="1"/>
    <row r="4497" hidden="1"/>
    <row r="4498" hidden="1"/>
    <row r="4499" hidden="1"/>
    <row r="4500" hidden="1"/>
    <row r="4501" hidden="1"/>
    <row r="4502" hidden="1"/>
    <row r="4503" hidden="1"/>
    <row r="4504" hidden="1"/>
    <row r="4505" hidden="1"/>
    <row r="4506" hidden="1"/>
    <row r="4507" hidden="1"/>
    <row r="4508" hidden="1"/>
    <row r="4509" hidden="1"/>
    <row r="4510" hidden="1"/>
    <row r="4511" hidden="1"/>
    <row r="4512" hidden="1"/>
    <row r="4513" hidden="1"/>
    <row r="4514" hidden="1"/>
    <row r="4515" hidden="1"/>
    <row r="4516" hidden="1"/>
    <row r="4517" hidden="1"/>
    <row r="4518" hidden="1"/>
    <row r="4519" hidden="1"/>
    <row r="4520" hidden="1"/>
    <row r="4521" hidden="1"/>
    <row r="4522" hidden="1"/>
    <row r="4523" hidden="1"/>
    <row r="4524" hidden="1"/>
    <row r="4525" hidden="1"/>
    <row r="4526" hidden="1"/>
    <row r="4527" hidden="1"/>
    <row r="4528" hidden="1"/>
    <row r="4529" hidden="1"/>
    <row r="4530" hidden="1"/>
    <row r="4531" hidden="1"/>
    <row r="4532" hidden="1"/>
    <row r="4533" hidden="1"/>
    <row r="4534" hidden="1"/>
    <row r="4535" hidden="1"/>
    <row r="4536" hidden="1"/>
    <row r="4537" hidden="1"/>
    <row r="4538" hidden="1"/>
    <row r="4539" hidden="1"/>
    <row r="4540" hidden="1"/>
    <row r="4541" hidden="1"/>
    <row r="4542" hidden="1"/>
    <row r="4543" hidden="1"/>
    <row r="4544" hidden="1"/>
    <row r="4545" hidden="1"/>
    <row r="4546" hidden="1"/>
    <row r="4547" hidden="1"/>
    <row r="4548" hidden="1"/>
    <row r="4549" hidden="1"/>
    <row r="4550" hidden="1"/>
    <row r="4551" hidden="1"/>
    <row r="4552" hidden="1"/>
    <row r="4553" hidden="1"/>
    <row r="4554" hidden="1"/>
    <row r="4555" hidden="1"/>
    <row r="4556" hidden="1"/>
    <row r="4557" hidden="1"/>
    <row r="4558" hidden="1"/>
    <row r="4559" hidden="1"/>
    <row r="4560" hidden="1"/>
    <row r="4561" hidden="1"/>
    <row r="4562" hidden="1"/>
    <row r="4563" hidden="1"/>
    <row r="4564" hidden="1"/>
    <row r="4565" hidden="1"/>
    <row r="4566" hidden="1"/>
    <row r="4567" hidden="1"/>
    <row r="4568" hidden="1"/>
    <row r="4569" hidden="1"/>
    <row r="4570" hidden="1"/>
    <row r="4571" hidden="1"/>
    <row r="4572" hidden="1"/>
    <row r="4573" hidden="1"/>
    <row r="4574" hidden="1"/>
    <row r="4575" hidden="1"/>
    <row r="4576" hidden="1"/>
    <row r="4577" hidden="1"/>
    <row r="4578" hidden="1"/>
    <row r="4579" hidden="1"/>
    <row r="4580" hidden="1"/>
    <row r="4581" hidden="1"/>
    <row r="4582" hidden="1"/>
    <row r="4583" hidden="1"/>
    <row r="4584" hidden="1"/>
    <row r="4585" hidden="1"/>
    <row r="4586" hidden="1"/>
    <row r="4587" hidden="1"/>
    <row r="4588" hidden="1"/>
    <row r="4589" hidden="1"/>
    <row r="4590" hidden="1"/>
    <row r="4591" hidden="1"/>
    <row r="4592" hidden="1"/>
    <row r="4593" hidden="1"/>
    <row r="4594" hidden="1"/>
    <row r="4595" hidden="1"/>
    <row r="4596" hidden="1"/>
    <row r="4597" hidden="1"/>
    <row r="4598" hidden="1"/>
    <row r="4599" hidden="1"/>
    <row r="4600" hidden="1"/>
    <row r="4601" hidden="1"/>
    <row r="4602" hidden="1"/>
    <row r="4603" hidden="1"/>
    <row r="4604" hidden="1"/>
    <row r="4605" hidden="1"/>
    <row r="4606" hidden="1"/>
    <row r="4607" hidden="1"/>
    <row r="4608" hidden="1"/>
    <row r="4609" hidden="1"/>
    <row r="4610" hidden="1"/>
    <row r="4611" hidden="1"/>
    <row r="4612" hidden="1"/>
    <row r="4613" hidden="1"/>
    <row r="4614" hidden="1"/>
    <row r="4615" hidden="1"/>
    <row r="4616" hidden="1"/>
    <row r="4617" hidden="1"/>
    <row r="4618" hidden="1"/>
    <row r="4619" hidden="1"/>
    <row r="4620" hidden="1"/>
    <row r="4621" hidden="1"/>
    <row r="4622" hidden="1"/>
    <row r="4623" hidden="1"/>
    <row r="4624" hidden="1"/>
    <row r="4625" hidden="1"/>
    <row r="4626" hidden="1"/>
    <row r="4627" hidden="1"/>
    <row r="4628" hidden="1"/>
    <row r="4629" hidden="1"/>
    <row r="4630" hidden="1"/>
    <row r="4631" hidden="1"/>
    <row r="4632" hidden="1"/>
    <row r="4633" hidden="1"/>
    <row r="4634" hidden="1"/>
    <row r="4635" hidden="1"/>
    <row r="4636" hidden="1"/>
    <row r="4637" hidden="1"/>
    <row r="4638" hidden="1"/>
    <row r="4639" hidden="1"/>
    <row r="4640" hidden="1"/>
    <row r="4641" hidden="1"/>
    <row r="4642" hidden="1"/>
    <row r="4643" hidden="1"/>
    <row r="4644" hidden="1"/>
    <row r="4645" hidden="1"/>
    <row r="4646" hidden="1"/>
    <row r="4647" hidden="1"/>
    <row r="4648" hidden="1"/>
    <row r="4649" hidden="1"/>
    <row r="4650" hidden="1"/>
    <row r="4651" hidden="1"/>
    <row r="4652" hidden="1"/>
    <row r="4653" hidden="1"/>
    <row r="4654" hidden="1"/>
    <row r="4655" hidden="1"/>
    <row r="4656" hidden="1"/>
    <row r="4657" hidden="1"/>
    <row r="4658" hidden="1"/>
    <row r="4659" hidden="1"/>
    <row r="4660" hidden="1"/>
    <row r="4661" hidden="1"/>
    <row r="4662" hidden="1"/>
    <row r="4663" hidden="1"/>
    <row r="4664" hidden="1"/>
    <row r="4665" hidden="1"/>
    <row r="4666" hidden="1"/>
    <row r="4667" hidden="1"/>
    <row r="4668" hidden="1"/>
    <row r="4669" hidden="1"/>
    <row r="4670" hidden="1"/>
    <row r="4671" hidden="1"/>
    <row r="4672" hidden="1"/>
    <row r="4673" hidden="1"/>
    <row r="4674" hidden="1"/>
    <row r="4675" hidden="1"/>
    <row r="4676" hidden="1"/>
    <row r="4677" hidden="1"/>
    <row r="4678" hidden="1"/>
    <row r="4679" hidden="1"/>
    <row r="4680" hidden="1"/>
    <row r="4681" hidden="1"/>
    <row r="4682" hidden="1"/>
    <row r="4683" hidden="1"/>
    <row r="4684" hidden="1"/>
    <row r="4685" hidden="1"/>
    <row r="4686" hidden="1"/>
    <row r="4687" hidden="1"/>
    <row r="4688" hidden="1"/>
    <row r="4689" hidden="1"/>
    <row r="4690" hidden="1"/>
    <row r="4691" hidden="1"/>
    <row r="4692" hidden="1"/>
    <row r="4693" hidden="1"/>
    <row r="4694" hidden="1"/>
    <row r="4695" hidden="1"/>
    <row r="4696" hidden="1"/>
    <row r="4697" hidden="1"/>
    <row r="4698" hidden="1"/>
    <row r="4699" hidden="1"/>
    <row r="4700" hidden="1"/>
    <row r="4701" hidden="1"/>
    <row r="4702" hidden="1"/>
    <row r="4703" hidden="1"/>
    <row r="4704" hidden="1"/>
    <row r="4705" hidden="1"/>
    <row r="4706" hidden="1"/>
    <row r="4707" hidden="1"/>
    <row r="4708" hidden="1"/>
    <row r="4709" hidden="1"/>
    <row r="4710" hidden="1"/>
    <row r="4711" hidden="1"/>
    <row r="4712" hidden="1"/>
    <row r="4713" hidden="1"/>
    <row r="4714" hidden="1"/>
    <row r="4715" hidden="1"/>
    <row r="4716" hidden="1"/>
    <row r="4717" hidden="1"/>
    <row r="4718" hidden="1"/>
    <row r="4719" hidden="1"/>
    <row r="4720" hidden="1"/>
    <row r="4721" hidden="1"/>
    <row r="4722" hidden="1"/>
    <row r="4723" hidden="1"/>
    <row r="4724" hidden="1"/>
    <row r="4725" hidden="1"/>
    <row r="4726" hidden="1"/>
    <row r="4727" hidden="1"/>
    <row r="4728" hidden="1"/>
    <row r="4729" hidden="1"/>
    <row r="4730" hidden="1"/>
    <row r="4731" hidden="1"/>
    <row r="4732" hidden="1"/>
    <row r="4733" hidden="1"/>
    <row r="4734" hidden="1"/>
    <row r="4735" hidden="1"/>
    <row r="4736" hidden="1"/>
    <row r="4737" hidden="1"/>
    <row r="4738" hidden="1"/>
    <row r="4739" hidden="1"/>
    <row r="4740" hidden="1"/>
    <row r="4741" hidden="1"/>
    <row r="4742" hidden="1"/>
    <row r="4743" hidden="1"/>
    <row r="4744" hidden="1"/>
    <row r="4745" hidden="1"/>
    <row r="4746" hidden="1"/>
    <row r="4747" hidden="1"/>
    <row r="4748" hidden="1"/>
    <row r="4749" hidden="1"/>
    <row r="4750" hidden="1"/>
    <row r="4751" hidden="1"/>
    <row r="4752" hidden="1"/>
    <row r="4753" hidden="1"/>
    <row r="4754" hidden="1"/>
    <row r="4755" hidden="1"/>
    <row r="4756" hidden="1"/>
    <row r="4757" hidden="1"/>
    <row r="4758" hidden="1"/>
    <row r="4759" hidden="1"/>
    <row r="4760" hidden="1"/>
    <row r="4761" hidden="1"/>
    <row r="4762" hidden="1"/>
    <row r="4763" hidden="1"/>
    <row r="4764" hidden="1"/>
    <row r="4765" hidden="1"/>
    <row r="4766" hidden="1"/>
    <row r="4767" hidden="1"/>
    <row r="4768" hidden="1"/>
    <row r="4769" hidden="1"/>
    <row r="4770" hidden="1"/>
    <row r="4771" hidden="1"/>
    <row r="4772" hidden="1"/>
    <row r="4773" hidden="1"/>
    <row r="4774" hidden="1"/>
    <row r="4775" hidden="1"/>
    <row r="4776" hidden="1"/>
    <row r="4777" hidden="1"/>
    <row r="4778" hidden="1"/>
    <row r="4779" hidden="1"/>
    <row r="4780" hidden="1"/>
    <row r="4781" hidden="1"/>
    <row r="4782" hidden="1"/>
    <row r="4783" hidden="1"/>
    <row r="4784" hidden="1"/>
    <row r="4785" hidden="1"/>
    <row r="4786" hidden="1"/>
    <row r="4787" hidden="1"/>
    <row r="4788" hidden="1"/>
    <row r="4789" hidden="1"/>
    <row r="4790" hidden="1"/>
    <row r="4791" hidden="1"/>
    <row r="4792" hidden="1"/>
    <row r="4793" hidden="1"/>
    <row r="4794" hidden="1"/>
    <row r="4795" hidden="1"/>
    <row r="4796" hidden="1"/>
    <row r="4797" hidden="1"/>
    <row r="4798" hidden="1"/>
    <row r="4799" hidden="1"/>
    <row r="4800" hidden="1"/>
    <row r="4801" hidden="1"/>
    <row r="4802" hidden="1"/>
    <row r="4803" hidden="1"/>
    <row r="4804" hidden="1"/>
    <row r="4805" hidden="1"/>
    <row r="4806" hidden="1"/>
    <row r="4807" hidden="1"/>
    <row r="4808" hidden="1"/>
    <row r="4809" hidden="1"/>
    <row r="4810" hidden="1"/>
    <row r="4811" hidden="1"/>
    <row r="4812" hidden="1"/>
    <row r="4813" hidden="1"/>
    <row r="4814" hidden="1"/>
    <row r="4815" hidden="1"/>
    <row r="4816" hidden="1"/>
    <row r="4817" hidden="1"/>
    <row r="4818" hidden="1"/>
    <row r="4819" hidden="1"/>
    <row r="4820" hidden="1"/>
    <row r="4821" hidden="1"/>
    <row r="4822" hidden="1"/>
    <row r="4823" hidden="1"/>
    <row r="4824" hidden="1"/>
    <row r="4825" hidden="1"/>
    <row r="4826" hidden="1"/>
    <row r="4827" hidden="1"/>
    <row r="4828" hidden="1"/>
    <row r="4829" hidden="1"/>
    <row r="4830" hidden="1"/>
    <row r="4831" hidden="1"/>
    <row r="4832" hidden="1"/>
    <row r="4833" hidden="1"/>
    <row r="4834" hidden="1"/>
    <row r="4835" hidden="1"/>
    <row r="4836" hidden="1"/>
    <row r="4837" hidden="1"/>
    <row r="4838" hidden="1"/>
    <row r="4839" hidden="1"/>
    <row r="4840" hidden="1"/>
    <row r="4841" hidden="1"/>
    <row r="4842" hidden="1"/>
    <row r="4843" hidden="1"/>
    <row r="4844" hidden="1"/>
    <row r="4845" hidden="1"/>
    <row r="4846" hidden="1"/>
    <row r="4847" hidden="1"/>
    <row r="4848" hidden="1"/>
    <row r="4849" hidden="1"/>
    <row r="4850" hidden="1"/>
    <row r="4851" hidden="1"/>
    <row r="4852" hidden="1"/>
    <row r="4853" hidden="1"/>
    <row r="4854" hidden="1"/>
    <row r="4855" hidden="1"/>
    <row r="4856" hidden="1"/>
    <row r="4857" hidden="1"/>
    <row r="4858" hidden="1"/>
    <row r="4859" hidden="1"/>
    <row r="4860" hidden="1"/>
    <row r="4861" hidden="1"/>
    <row r="4862" hidden="1"/>
    <row r="4863" hidden="1"/>
    <row r="4864" hidden="1"/>
    <row r="4865" hidden="1"/>
    <row r="4866" hidden="1"/>
    <row r="4867" hidden="1"/>
    <row r="4868" hidden="1"/>
    <row r="4869" hidden="1"/>
    <row r="4870" hidden="1"/>
    <row r="4871" hidden="1"/>
    <row r="4872" hidden="1"/>
    <row r="4873" hidden="1"/>
    <row r="4874" hidden="1"/>
    <row r="4875" hidden="1"/>
    <row r="4876" hidden="1"/>
    <row r="4877" hidden="1"/>
    <row r="4878" hidden="1"/>
    <row r="4879" hidden="1"/>
    <row r="4880" hidden="1"/>
    <row r="4881" hidden="1"/>
    <row r="4882" hidden="1"/>
    <row r="4883" hidden="1"/>
    <row r="4884" hidden="1"/>
    <row r="4885" hidden="1"/>
    <row r="4886" hidden="1"/>
    <row r="4887" hidden="1"/>
    <row r="4888" hidden="1"/>
    <row r="4889" hidden="1"/>
    <row r="4890" hidden="1"/>
    <row r="4891" hidden="1"/>
    <row r="4892" hidden="1"/>
    <row r="4893" hidden="1"/>
    <row r="4894" hidden="1"/>
    <row r="4895" hidden="1"/>
    <row r="4896" hidden="1"/>
    <row r="4897" hidden="1"/>
    <row r="4898" hidden="1"/>
    <row r="4899" hidden="1"/>
    <row r="4900" hidden="1"/>
    <row r="4901" hidden="1"/>
    <row r="4902" hidden="1"/>
    <row r="4903" hidden="1"/>
    <row r="4904" hidden="1"/>
    <row r="4905" hidden="1"/>
    <row r="4906" hidden="1"/>
    <row r="4907" hidden="1"/>
    <row r="4908" hidden="1"/>
    <row r="4909" hidden="1"/>
    <row r="4910" hidden="1"/>
    <row r="4911" hidden="1"/>
    <row r="4912" hidden="1"/>
    <row r="4913" hidden="1"/>
    <row r="4914" hidden="1"/>
    <row r="4915" hidden="1"/>
    <row r="4916" hidden="1"/>
    <row r="4917" hidden="1"/>
    <row r="4918" hidden="1"/>
    <row r="4919" hidden="1"/>
    <row r="4920" hidden="1"/>
    <row r="4921" hidden="1"/>
    <row r="4922" hidden="1"/>
    <row r="4923" hidden="1"/>
    <row r="4924" hidden="1"/>
    <row r="4925" hidden="1"/>
    <row r="4926" hidden="1"/>
    <row r="4927" hidden="1"/>
    <row r="4928" hidden="1"/>
    <row r="4929" hidden="1"/>
    <row r="4930" hidden="1"/>
    <row r="4931" hidden="1"/>
    <row r="4932" hidden="1"/>
    <row r="4933" hidden="1"/>
    <row r="4934" hidden="1"/>
    <row r="4935" hidden="1"/>
    <row r="4936" hidden="1"/>
    <row r="4937" hidden="1"/>
    <row r="4938" hidden="1"/>
    <row r="4939" hidden="1"/>
    <row r="4940" hidden="1"/>
    <row r="4941" hidden="1"/>
    <row r="4942" hidden="1"/>
    <row r="4943" hidden="1"/>
    <row r="4944" hidden="1"/>
    <row r="4945" hidden="1"/>
    <row r="4946" hidden="1"/>
    <row r="4947" hidden="1"/>
    <row r="4948" hidden="1"/>
    <row r="4949" hidden="1"/>
    <row r="4950" hidden="1"/>
    <row r="4951" hidden="1"/>
    <row r="4952" hidden="1"/>
    <row r="4953" hidden="1"/>
    <row r="4954" hidden="1"/>
    <row r="4955" hidden="1"/>
    <row r="4956" hidden="1"/>
    <row r="4957" hidden="1"/>
    <row r="4958" hidden="1"/>
    <row r="4959" hidden="1"/>
    <row r="4960" hidden="1"/>
    <row r="4961" hidden="1"/>
    <row r="4962" hidden="1"/>
    <row r="4963" hidden="1"/>
    <row r="4964" hidden="1"/>
    <row r="4965" hidden="1"/>
    <row r="4966" hidden="1"/>
    <row r="4967" hidden="1"/>
    <row r="4968" hidden="1"/>
    <row r="4969" hidden="1"/>
    <row r="4970" hidden="1"/>
    <row r="4971" hidden="1"/>
    <row r="4972" hidden="1"/>
    <row r="4973" hidden="1"/>
    <row r="4974" hidden="1"/>
    <row r="4975" hidden="1"/>
    <row r="4976" hidden="1"/>
    <row r="4977" hidden="1"/>
    <row r="4978" hidden="1"/>
    <row r="4979" hidden="1"/>
    <row r="4980" hidden="1"/>
    <row r="4981" hidden="1"/>
    <row r="4982" hidden="1"/>
    <row r="4983" hidden="1"/>
    <row r="4984" hidden="1"/>
    <row r="4985" hidden="1"/>
    <row r="4986" hidden="1"/>
    <row r="4987" hidden="1"/>
    <row r="4988" hidden="1"/>
    <row r="4989" hidden="1"/>
    <row r="4990" hidden="1"/>
    <row r="4991" hidden="1"/>
    <row r="4992" hidden="1"/>
    <row r="4993" hidden="1"/>
    <row r="4994" hidden="1"/>
    <row r="4995" hidden="1"/>
    <row r="4996" hidden="1"/>
    <row r="4997" hidden="1"/>
    <row r="4998" hidden="1"/>
    <row r="4999" hidden="1"/>
    <row r="5000" hidden="1"/>
    <row r="5001" hidden="1"/>
    <row r="5002" hidden="1"/>
    <row r="5003" hidden="1"/>
    <row r="5004" hidden="1"/>
    <row r="5005" hidden="1"/>
    <row r="5006" hidden="1"/>
    <row r="5007" hidden="1"/>
    <row r="5008" hidden="1"/>
    <row r="5009" hidden="1"/>
    <row r="5010" hidden="1"/>
    <row r="5011" hidden="1"/>
    <row r="5012" hidden="1"/>
    <row r="5013" hidden="1"/>
    <row r="5014" hidden="1"/>
    <row r="5015" hidden="1"/>
    <row r="5016" hidden="1"/>
    <row r="5017" hidden="1"/>
    <row r="5018" hidden="1"/>
    <row r="5019" hidden="1"/>
    <row r="5020" hidden="1"/>
    <row r="5021" hidden="1"/>
    <row r="5022" hidden="1"/>
    <row r="5023" hidden="1"/>
    <row r="5024" hidden="1"/>
    <row r="5025" hidden="1"/>
    <row r="5026" hidden="1"/>
    <row r="5027" hidden="1"/>
    <row r="5028" hidden="1"/>
    <row r="5029" hidden="1"/>
    <row r="5030" hidden="1"/>
    <row r="5031" hidden="1"/>
    <row r="5032" hidden="1"/>
    <row r="5033" hidden="1"/>
    <row r="5034" hidden="1"/>
    <row r="5035" hidden="1"/>
    <row r="5036" hidden="1"/>
    <row r="5037" hidden="1"/>
    <row r="5038" hidden="1"/>
    <row r="5039" hidden="1"/>
    <row r="5040" hidden="1"/>
    <row r="5041" hidden="1"/>
    <row r="5042" hidden="1"/>
    <row r="5043" hidden="1"/>
    <row r="5044" hidden="1"/>
    <row r="5045" hidden="1"/>
    <row r="5046" hidden="1"/>
    <row r="5047" hidden="1"/>
    <row r="5048" hidden="1"/>
    <row r="5049" hidden="1"/>
    <row r="5050" hidden="1"/>
    <row r="5051" hidden="1"/>
    <row r="5052" hidden="1"/>
    <row r="5053" hidden="1"/>
    <row r="5054" hidden="1"/>
    <row r="5055" hidden="1"/>
    <row r="5056" hidden="1"/>
    <row r="5057" hidden="1"/>
    <row r="5058" hidden="1"/>
    <row r="5059" hidden="1"/>
    <row r="5060" hidden="1"/>
    <row r="5061" hidden="1"/>
    <row r="5062" hidden="1"/>
    <row r="5063" hidden="1"/>
    <row r="5064" hidden="1"/>
    <row r="5065" hidden="1"/>
    <row r="5066" hidden="1"/>
    <row r="5067" hidden="1"/>
    <row r="5068" hidden="1"/>
    <row r="5069" hidden="1"/>
    <row r="5070" hidden="1"/>
    <row r="5071" hidden="1"/>
    <row r="5072" hidden="1"/>
    <row r="5073" hidden="1"/>
    <row r="5074" hidden="1"/>
    <row r="5075" hidden="1"/>
    <row r="5076" hidden="1"/>
    <row r="5077" hidden="1"/>
    <row r="5078" hidden="1"/>
    <row r="5079" hidden="1"/>
    <row r="5080" hidden="1"/>
    <row r="5081" hidden="1"/>
    <row r="5082" hidden="1"/>
    <row r="5083" hidden="1"/>
    <row r="5084" hidden="1"/>
    <row r="5085" hidden="1"/>
    <row r="5086" hidden="1"/>
    <row r="5087" hidden="1"/>
    <row r="5088" hidden="1"/>
    <row r="5089" hidden="1"/>
    <row r="5090" hidden="1"/>
    <row r="5091" hidden="1"/>
    <row r="5092" hidden="1"/>
    <row r="5093" hidden="1"/>
    <row r="5094" hidden="1"/>
    <row r="5095" hidden="1"/>
    <row r="5096" hidden="1"/>
    <row r="5097" hidden="1"/>
    <row r="5098" hidden="1"/>
    <row r="5099" hidden="1"/>
    <row r="5100" hidden="1"/>
    <row r="5101" hidden="1"/>
    <row r="5102" hidden="1"/>
    <row r="5103" hidden="1"/>
    <row r="5104" hidden="1"/>
    <row r="5105" hidden="1"/>
    <row r="5106" hidden="1"/>
    <row r="5107" hidden="1"/>
    <row r="5108" hidden="1"/>
    <row r="5109" hidden="1"/>
    <row r="5110" hidden="1"/>
    <row r="5111" hidden="1"/>
    <row r="5112" hidden="1"/>
    <row r="5113" hidden="1"/>
    <row r="5114" hidden="1"/>
    <row r="5115" hidden="1"/>
    <row r="5116" hidden="1"/>
    <row r="5117" hidden="1"/>
    <row r="5118" hidden="1"/>
    <row r="5119" hidden="1"/>
    <row r="5120" hidden="1"/>
    <row r="5121" hidden="1"/>
    <row r="5122" hidden="1"/>
    <row r="5123" hidden="1"/>
    <row r="5124" hidden="1"/>
    <row r="5125" hidden="1"/>
    <row r="5126" hidden="1"/>
    <row r="5127" hidden="1"/>
    <row r="5128" hidden="1"/>
    <row r="5129" hidden="1"/>
    <row r="5130" hidden="1"/>
    <row r="5131" hidden="1"/>
    <row r="5132" hidden="1"/>
    <row r="5133" hidden="1"/>
    <row r="5134" hidden="1"/>
    <row r="5135" hidden="1"/>
    <row r="5136" hidden="1"/>
    <row r="5137" hidden="1"/>
    <row r="5138" hidden="1"/>
    <row r="5139" hidden="1"/>
    <row r="5140" hidden="1"/>
    <row r="5141" hidden="1"/>
    <row r="5142" hidden="1"/>
    <row r="5143" hidden="1"/>
    <row r="5144" hidden="1"/>
    <row r="5145" hidden="1"/>
    <row r="5146" hidden="1"/>
    <row r="5147" hidden="1"/>
    <row r="5148" hidden="1"/>
    <row r="5149" hidden="1"/>
    <row r="5150" hidden="1"/>
    <row r="5151" hidden="1"/>
    <row r="5152" hidden="1"/>
    <row r="5153" hidden="1"/>
    <row r="5154" hidden="1"/>
    <row r="5155" hidden="1"/>
    <row r="5156" hidden="1"/>
    <row r="5157" hidden="1"/>
    <row r="5158" hidden="1"/>
    <row r="5159" hidden="1"/>
    <row r="5160" hidden="1"/>
    <row r="5161" hidden="1"/>
    <row r="5162" hidden="1"/>
    <row r="5163" hidden="1"/>
    <row r="5164" hidden="1"/>
    <row r="5165" hidden="1"/>
    <row r="5166" hidden="1"/>
    <row r="5167" hidden="1"/>
    <row r="5168" hidden="1"/>
    <row r="5169" hidden="1"/>
    <row r="5170" hidden="1"/>
    <row r="5171" hidden="1"/>
    <row r="5172" hidden="1"/>
    <row r="5173" hidden="1"/>
    <row r="5174" hidden="1"/>
    <row r="5175" hidden="1"/>
    <row r="5176" hidden="1"/>
    <row r="5177" hidden="1"/>
    <row r="5178" hidden="1"/>
    <row r="5179" hidden="1"/>
    <row r="5180" hidden="1"/>
    <row r="5181" hidden="1"/>
    <row r="5182" hidden="1"/>
    <row r="5183" hidden="1"/>
    <row r="5184" hidden="1"/>
    <row r="5185" hidden="1"/>
    <row r="5186" hidden="1"/>
    <row r="5187" hidden="1"/>
    <row r="5188" hidden="1"/>
    <row r="5189" hidden="1"/>
    <row r="5190" hidden="1"/>
    <row r="5191" hidden="1"/>
    <row r="5192" hidden="1"/>
    <row r="5193" hidden="1"/>
    <row r="5194" hidden="1"/>
    <row r="5195" hidden="1"/>
    <row r="5196" hidden="1"/>
    <row r="5197" hidden="1"/>
    <row r="5198" hidden="1"/>
    <row r="5199" hidden="1"/>
    <row r="5200" hidden="1"/>
    <row r="5201" hidden="1"/>
    <row r="5202" hidden="1"/>
    <row r="5203" hidden="1"/>
    <row r="5204" hidden="1"/>
    <row r="5205" hidden="1"/>
    <row r="5206" hidden="1"/>
    <row r="5207" hidden="1"/>
    <row r="5208" hidden="1"/>
    <row r="5209" hidden="1"/>
    <row r="5210" hidden="1"/>
    <row r="5211" hidden="1"/>
    <row r="5212" hidden="1"/>
    <row r="5213" hidden="1"/>
    <row r="5214" hidden="1"/>
    <row r="5215" hidden="1"/>
    <row r="5216" hidden="1"/>
    <row r="5217" hidden="1"/>
    <row r="5218" hidden="1"/>
    <row r="5219" hidden="1"/>
    <row r="5220" hidden="1"/>
    <row r="5221" hidden="1"/>
    <row r="5222" hidden="1"/>
    <row r="5223" hidden="1"/>
    <row r="5224" hidden="1"/>
    <row r="5225" hidden="1"/>
    <row r="5226" hidden="1"/>
    <row r="5227" hidden="1"/>
    <row r="5228" hidden="1"/>
    <row r="5229" hidden="1"/>
    <row r="5230" hidden="1"/>
    <row r="5231" hidden="1"/>
    <row r="5232" hidden="1"/>
    <row r="5233" hidden="1"/>
    <row r="5234" hidden="1"/>
    <row r="5235" hidden="1"/>
    <row r="5236" hidden="1"/>
    <row r="5237" hidden="1"/>
    <row r="5238" hidden="1"/>
    <row r="5239" hidden="1"/>
    <row r="5240" hidden="1"/>
    <row r="5241" hidden="1"/>
    <row r="5242" hidden="1"/>
    <row r="5243" hidden="1"/>
    <row r="5244" hidden="1"/>
    <row r="5245" hidden="1"/>
    <row r="5246" hidden="1"/>
    <row r="5247" hidden="1"/>
    <row r="5248" hidden="1"/>
    <row r="5249" hidden="1"/>
    <row r="5250" hidden="1"/>
    <row r="5251" hidden="1"/>
    <row r="5252" hidden="1"/>
    <row r="5253" hidden="1"/>
    <row r="5254" hidden="1"/>
    <row r="5255" hidden="1"/>
    <row r="5256" hidden="1"/>
    <row r="5257" hidden="1"/>
    <row r="5258" hidden="1"/>
    <row r="5259" hidden="1"/>
    <row r="5260" hidden="1"/>
    <row r="5261" hidden="1"/>
    <row r="5262" hidden="1"/>
    <row r="5263" hidden="1"/>
    <row r="5264" hidden="1"/>
    <row r="5265" hidden="1"/>
    <row r="5266" hidden="1"/>
    <row r="5267" hidden="1"/>
    <row r="5268" hidden="1"/>
    <row r="5269" hidden="1"/>
    <row r="5270" hidden="1"/>
    <row r="5271" hidden="1"/>
    <row r="5272" hidden="1"/>
    <row r="5273" hidden="1"/>
    <row r="5274" hidden="1"/>
    <row r="5275" hidden="1"/>
    <row r="5276" hidden="1"/>
    <row r="5277" hidden="1"/>
    <row r="5278" hidden="1"/>
    <row r="5279" hidden="1"/>
    <row r="5280" hidden="1"/>
    <row r="5281" hidden="1"/>
    <row r="5282" hidden="1"/>
    <row r="5283" hidden="1"/>
    <row r="5284" hidden="1"/>
    <row r="5285" hidden="1"/>
    <row r="5286" hidden="1"/>
    <row r="5287" hidden="1"/>
    <row r="5288" hidden="1"/>
    <row r="5289" hidden="1"/>
    <row r="5290" hidden="1"/>
    <row r="5291" hidden="1"/>
    <row r="5292" hidden="1"/>
    <row r="5293" hidden="1"/>
    <row r="5294" hidden="1"/>
    <row r="5295" hidden="1"/>
    <row r="5296" hidden="1"/>
    <row r="5297" hidden="1"/>
    <row r="5298" hidden="1"/>
    <row r="5299" hidden="1"/>
    <row r="5300" hidden="1"/>
    <row r="5301" hidden="1"/>
    <row r="5302" hidden="1"/>
    <row r="5303" hidden="1"/>
    <row r="5304" hidden="1"/>
    <row r="5305" hidden="1"/>
    <row r="5306" hidden="1"/>
    <row r="5307" hidden="1"/>
    <row r="5308" hidden="1"/>
    <row r="5309" hidden="1"/>
    <row r="5310" hidden="1"/>
    <row r="5311" hidden="1"/>
    <row r="5312" hidden="1"/>
    <row r="5313" hidden="1"/>
    <row r="5314" hidden="1"/>
    <row r="5315" hidden="1"/>
    <row r="5316" hidden="1"/>
    <row r="5317" hidden="1"/>
    <row r="5318" hidden="1"/>
    <row r="5319" hidden="1"/>
    <row r="5320" hidden="1"/>
    <row r="5321" hidden="1"/>
    <row r="5322" hidden="1"/>
    <row r="5323" hidden="1"/>
    <row r="5324" hidden="1"/>
    <row r="5325" hidden="1"/>
    <row r="5326" hidden="1"/>
    <row r="5327" hidden="1"/>
    <row r="5328" hidden="1"/>
    <row r="5329" hidden="1"/>
    <row r="5330" hidden="1"/>
    <row r="5331" hidden="1"/>
    <row r="5332" hidden="1"/>
    <row r="5333" hidden="1"/>
    <row r="5334" hidden="1"/>
    <row r="5335" hidden="1"/>
    <row r="5336" hidden="1"/>
    <row r="5337" hidden="1"/>
    <row r="5338" hidden="1"/>
    <row r="5339" hidden="1"/>
    <row r="5340" hidden="1"/>
    <row r="5341" hidden="1"/>
    <row r="5342" hidden="1"/>
    <row r="5343" hidden="1"/>
    <row r="5344" hidden="1"/>
    <row r="5345" hidden="1"/>
    <row r="5346" hidden="1"/>
    <row r="5347" hidden="1"/>
    <row r="5348" hidden="1"/>
    <row r="5349" hidden="1"/>
    <row r="5350" hidden="1"/>
    <row r="5351" hidden="1"/>
    <row r="5352" hidden="1"/>
    <row r="5353" hidden="1"/>
    <row r="5354" hidden="1"/>
    <row r="5355" hidden="1"/>
    <row r="5356" hidden="1"/>
    <row r="5357" hidden="1"/>
    <row r="5358" hidden="1"/>
    <row r="5359" hidden="1"/>
    <row r="5360" hidden="1"/>
    <row r="5361" hidden="1"/>
    <row r="5362" hidden="1"/>
    <row r="5363" hidden="1"/>
    <row r="5364" hidden="1"/>
    <row r="5365" hidden="1"/>
    <row r="5366" hidden="1"/>
    <row r="5367" hidden="1"/>
    <row r="5368" hidden="1"/>
    <row r="5369" hidden="1"/>
    <row r="5370" hidden="1"/>
    <row r="5371" hidden="1"/>
    <row r="5372" hidden="1"/>
    <row r="5373" hidden="1"/>
    <row r="5374" hidden="1"/>
    <row r="5375" hidden="1"/>
    <row r="5376" hidden="1"/>
    <row r="5377" hidden="1"/>
    <row r="5378" hidden="1"/>
    <row r="5379" hidden="1"/>
    <row r="5380" hidden="1"/>
    <row r="5381" hidden="1"/>
    <row r="5382" hidden="1"/>
    <row r="5383" hidden="1"/>
    <row r="5384" hidden="1"/>
    <row r="5385" hidden="1"/>
    <row r="5386" hidden="1"/>
    <row r="5387" hidden="1"/>
    <row r="5388" hidden="1"/>
    <row r="5389" hidden="1"/>
    <row r="5390" hidden="1"/>
    <row r="5391" hidden="1"/>
    <row r="5392" hidden="1"/>
    <row r="5393" hidden="1"/>
    <row r="5394" hidden="1"/>
    <row r="5395" hidden="1"/>
    <row r="5396" hidden="1"/>
    <row r="5397" hidden="1"/>
    <row r="5398" hidden="1"/>
    <row r="5399" hidden="1"/>
    <row r="5400" hidden="1"/>
    <row r="5401" hidden="1"/>
    <row r="5402" hidden="1"/>
    <row r="5403" hidden="1"/>
    <row r="5404" hidden="1"/>
    <row r="5405" hidden="1"/>
    <row r="5406" hidden="1"/>
    <row r="5407" hidden="1"/>
    <row r="5408" hidden="1"/>
    <row r="5409" hidden="1"/>
    <row r="5410" hidden="1"/>
    <row r="5411" hidden="1"/>
    <row r="5412" hidden="1"/>
    <row r="5413" hidden="1"/>
    <row r="5414" hidden="1"/>
    <row r="5415" hidden="1"/>
    <row r="5416" hidden="1"/>
    <row r="5417" hidden="1"/>
    <row r="5418" hidden="1"/>
    <row r="5419" hidden="1"/>
    <row r="5420" hidden="1"/>
    <row r="5421" hidden="1"/>
    <row r="5422" hidden="1"/>
    <row r="5423" hidden="1"/>
    <row r="5424" hidden="1"/>
    <row r="5425" hidden="1"/>
    <row r="5426" hidden="1"/>
    <row r="5427" hidden="1"/>
    <row r="5428" hidden="1"/>
    <row r="5429" hidden="1"/>
    <row r="5430" hidden="1"/>
    <row r="5431" hidden="1"/>
    <row r="5432" hidden="1"/>
    <row r="5433" hidden="1"/>
    <row r="5434" hidden="1"/>
    <row r="5435" hidden="1"/>
    <row r="5436" hidden="1"/>
    <row r="5437" hidden="1"/>
    <row r="5438" hidden="1"/>
    <row r="5439" hidden="1"/>
    <row r="5440" hidden="1"/>
    <row r="5441" hidden="1"/>
    <row r="5442" hidden="1"/>
    <row r="5443" hidden="1"/>
    <row r="5444" hidden="1"/>
    <row r="5445" hidden="1"/>
    <row r="5446" hidden="1"/>
    <row r="5447" hidden="1"/>
    <row r="5448" hidden="1"/>
    <row r="5449" hidden="1"/>
    <row r="5450" hidden="1"/>
    <row r="5451" hidden="1"/>
    <row r="5452" hidden="1"/>
    <row r="5453" hidden="1"/>
    <row r="5454" hidden="1"/>
    <row r="5455" hidden="1"/>
    <row r="5456" hidden="1"/>
    <row r="5457" hidden="1"/>
    <row r="5458" hidden="1"/>
    <row r="5459" hidden="1"/>
    <row r="5460" hidden="1"/>
    <row r="5461" hidden="1"/>
    <row r="5462" hidden="1"/>
    <row r="5463" hidden="1"/>
    <row r="5464" hidden="1"/>
    <row r="5465" hidden="1"/>
    <row r="5466" hidden="1"/>
    <row r="5467" hidden="1"/>
    <row r="5468" hidden="1"/>
    <row r="5469" hidden="1"/>
    <row r="5470" hidden="1"/>
    <row r="5471" hidden="1"/>
    <row r="5472" hidden="1"/>
    <row r="5473" hidden="1"/>
    <row r="5474" hidden="1"/>
    <row r="5475" hidden="1"/>
    <row r="5476" hidden="1"/>
    <row r="5477" hidden="1"/>
    <row r="5478" hidden="1"/>
    <row r="5479" hidden="1"/>
    <row r="5480" hidden="1"/>
    <row r="5481" hidden="1"/>
    <row r="5482" hidden="1"/>
    <row r="5483" hidden="1"/>
    <row r="5484" hidden="1"/>
    <row r="5485" hidden="1"/>
    <row r="5486" hidden="1"/>
    <row r="5487" hidden="1"/>
    <row r="5488" hidden="1"/>
    <row r="5489" hidden="1"/>
    <row r="5490" hidden="1"/>
    <row r="5491" hidden="1"/>
    <row r="5492" hidden="1"/>
    <row r="5493" hidden="1"/>
    <row r="5494" hidden="1"/>
    <row r="5495" hidden="1"/>
    <row r="5496" hidden="1"/>
    <row r="5497" hidden="1"/>
    <row r="5498" hidden="1"/>
    <row r="5499" hidden="1"/>
    <row r="5500" hidden="1"/>
    <row r="5501" hidden="1"/>
    <row r="5502" hidden="1"/>
    <row r="5503" hidden="1"/>
    <row r="5504" hidden="1"/>
    <row r="5505" hidden="1"/>
    <row r="5506" hidden="1"/>
    <row r="5507" hidden="1"/>
    <row r="5508" hidden="1"/>
    <row r="5509" hidden="1"/>
    <row r="5510" hidden="1"/>
    <row r="5511" hidden="1"/>
    <row r="5512" hidden="1"/>
    <row r="5513" hidden="1"/>
    <row r="5514" hidden="1"/>
    <row r="5515" hidden="1"/>
    <row r="5516" hidden="1"/>
    <row r="5517" hidden="1"/>
    <row r="5518" hidden="1"/>
    <row r="5519" hidden="1"/>
    <row r="5520" hidden="1"/>
    <row r="5521" hidden="1"/>
    <row r="5522" hidden="1"/>
    <row r="5523" hidden="1"/>
    <row r="5524" hidden="1"/>
    <row r="5525" hidden="1"/>
    <row r="5526" hidden="1"/>
    <row r="5527" hidden="1"/>
    <row r="5528" hidden="1"/>
    <row r="5529" hidden="1"/>
    <row r="5530" hidden="1"/>
    <row r="5531" hidden="1"/>
    <row r="5532" hidden="1"/>
    <row r="5533" hidden="1"/>
    <row r="5534" hidden="1"/>
    <row r="5535" hidden="1"/>
    <row r="5536" hidden="1"/>
    <row r="5537" hidden="1"/>
    <row r="5538" hidden="1"/>
    <row r="5539" hidden="1"/>
    <row r="5540" hidden="1"/>
    <row r="5541" hidden="1"/>
    <row r="5542" hidden="1"/>
    <row r="5543" hidden="1"/>
    <row r="5544" hidden="1"/>
    <row r="5545" hidden="1"/>
    <row r="5546" hidden="1"/>
    <row r="5547" hidden="1"/>
    <row r="5548" hidden="1"/>
    <row r="5549" hidden="1"/>
    <row r="5550" hidden="1"/>
    <row r="5551" hidden="1"/>
    <row r="5552" hidden="1"/>
    <row r="5553" hidden="1"/>
    <row r="5554" hidden="1"/>
    <row r="5555" hidden="1"/>
    <row r="5556" hidden="1"/>
    <row r="5557" hidden="1"/>
    <row r="5558" hidden="1"/>
    <row r="5559" hidden="1"/>
    <row r="5560" hidden="1"/>
    <row r="5561" hidden="1"/>
    <row r="5562" hidden="1"/>
    <row r="5563" hidden="1"/>
    <row r="5564" hidden="1"/>
    <row r="5565" hidden="1"/>
    <row r="5566" hidden="1"/>
    <row r="5567" hidden="1"/>
    <row r="5568" hidden="1"/>
    <row r="5569" hidden="1"/>
    <row r="5570" hidden="1"/>
    <row r="5571" hidden="1"/>
    <row r="5572" hidden="1"/>
    <row r="5573" hidden="1"/>
    <row r="5574" hidden="1"/>
    <row r="5575" hidden="1"/>
    <row r="5576" hidden="1"/>
    <row r="5577" hidden="1"/>
    <row r="5578" hidden="1"/>
    <row r="5579" hidden="1"/>
    <row r="5580" hidden="1"/>
    <row r="5581" hidden="1"/>
    <row r="5582" hidden="1"/>
    <row r="5583" hidden="1"/>
    <row r="5584" hidden="1"/>
    <row r="5585" hidden="1"/>
    <row r="5586" hidden="1"/>
    <row r="5587" hidden="1"/>
    <row r="5588" hidden="1"/>
    <row r="5589" hidden="1"/>
    <row r="5590" hidden="1"/>
    <row r="5591" hidden="1"/>
    <row r="5592" hidden="1"/>
    <row r="5593" hidden="1"/>
    <row r="5594" hidden="1"/>
    <row r="5595" hidden="1"/>
    <row r="5596" hidden="1"/>
    <row r="5597" hidden="1"/>
    <row r="5598" hidden="1"/>
    <row r="5599" hidden="1"/>
    <row r="5600" hidden="1"/>
    <row r="5601" hidden="1"/>
    <row r="5602" hidden="1"/>
    <row r="5603" hidden="1"/>
    <row r="5604" hidden="1"/>
    <row r="5605" hidden="1"/>
    <row r="5606" hidden="1"/>
    <row r="5607" hidden="1"/>
    <row r="5608" hidden="1"/>
    <row r="5609" hidden="1"/>
    <row r="5610" hidden="1"/>
    <row r="5611" hidden="1"/>
    <row r="5612" hidden="1"/>
    <row r="5613" hidden="1"/>
    <row r="5614" hidden="1"/>
    <row r="5615" hidden="1"/>
    <row r="5616" hidden="1"/>
    <row r="5617" hidden="1"/>
    <row r="5618" hidden="1"/>
    <row r="5619" hidden="1"/>
    <row r="5620" hidden="1"/>
    <row r="5621" hidden="1"/>
    <row r="5622" hidden="1"/>
    <row r="5623" hidden="1"/>
    <row r="5624" hidden="1"/>
    <row r="5625" hidden="1"/>
    <row r="5626" hidden="1"/>
    <row r="5627" hidden="1"/>
    <row r="5628" hidden="1"/>
    <row r="5629" hidden="1"/>
    <row r="5630" hidden="1"/>
    <row r="5631" hidden="1"/>
    <row r="5632" hidden="1"/>
    <row r="5633" hidden="1"/>
    <row r="5634" hidden="1"/>
    <row r="5635" hidden="1"/>
    <row r="5636" hidden="1"/>
    <row r="5637" hidden="1"/>
    <row r="5638" hidden="1"/>
    <row r="5639" hidden="1"/>
    <row r="5640" hidden="1"/>
    <row r="5641" hidden="1"/>
    <row r="5642" hidden="1"/>
    <row r="5643" hidden="1"/>
    <row r="5644" hidden="1"/>
    <row r="5645" hidden="1"/>
    <row r="5646" hidden="1"/>
    <row r="5647" hidden="1"/>
    <row r="5648" hidden="1"/>
    <row r="5649" hidden="1"/>
    <row r="5650" hidden="1"/>
    <row r="5651" hidden="1"/>
    <row r="5652" hidden="1"/>
    <row r="5653" hidden="1"/>
    <row r="5654" hidden="1"/>
    <row r="5655" hidden="1"/>
    <row r="5656" hidden="1"/>
    <row r="5657" hidden="1"/>
    <row r="5658" hidden="1"/>
    <row r="5659" hidden="1"/>
    <row r="5660" hidden="1"/>
    <row r="5661" hidden="1"/>
    <row r="5662" hidden="1"/>
    <row r="5663" hidden="1"/>
    <row r="5664" hidden="1"/>
    <row r="5665" hidden="1"/>
    <row r="5666" hidden="1"/>
    <row r="5667" hidden="1"/>
    <row r="5668" hidden="1"/>
    <row r="5669" hidden="1"/>
    <row r="5670" hidden="1"/>
    <row r="5671" hidden="1"/>
    <row r="5672" hidden="1"/>
    <row r="5673" hidden="1"/>
    <row r="5674" hidden="1"/>
    <row r="5675" hidden="1"/>
    <row r="5676" hidden="1"/>
    <row r="5677" hidden="1"/>
    <row r="5678" hidden="1"/>
    <row r="5679" hidden="1"/>
    <row r="5680" hidden="1"/>
    <row r="5681" hidden="1"/>
    <row r="5682" hidden="1"/>
    <row r="5683" hidden="1"/>
    <row r="5684" hidden="1"/>
    <row r="5685" hidden="1"/>
    <row r="5686" hidden="1"/>
    <row r="5687" hidden="1"/>
    <row r="5688" hidden="1"/>
    <row r="5689" hidden="1"/>
    <row r="5690" hidden="1"/>
    <row r="5691" hidden="1"/>
    <row r="5692" hidden="1"/>
    <row r="5693" hidden="1"/>
    <row r="5694" hidden="1"/>
    <row r="5695" hidden="1"/>
    <row r="5696" hidden="1"/>
    <row r="5697" hidden="1"/>
    <row r="5698" hidden="1"/>
    <row r="5699" hidden="1"/>
    <row r="5700" hidden="1"/>
    <row r="5701" hidden="1"/>
    <row r="5702" hidden="1"/>
    <row r="5703" hidden="1"/>
    <row r="5704" hidden="1"/>
    <row r="5705" hidden="1"/>
    <row r="5706" hidden="1"/>
    <row r="5707" hidden="1"/>
    <row r="5708" hidden="1"/>
    <row r="5709" hidden="1"/>
    <row r="5710" hidden="1"/>
    <row r="5711" hidden="1"/>
    <row r="5712" hidden="1"/>
    <row r="5713" hidden="1"/>
    <row r="5714" hidden="1"/>
    <row r="5715" hidden="1"/>
    <row r="5716" hidden="1"/>
    <row r="5717" hidden="1"/>
    <row r="5718" hidden="1"/>
    <row r="5719" hidden="1"/>
    <row r="5720" hidden="1"/>
    <row r="5721" hidden="1"/>
    <row r="5722" hidden="1"/>
    <row r="5723" hidden="1"/>
    <row r="5724" hidden="1"/>
    <row r="5725" hidden="1"/>
    <row r="5726" hidden="1"/>
    <row r="5727" hidden="1"/>
    <row r="5728" hidden="1"/>
    <row r="5729" hidden="1"/>
    <row r="5730" hidden="1"/>
    <row r="5731" hidden="1"/>
    <row r="5732" hidden="1"/>
    <row r="5733" hidden="1"/>
    <row r="5734" hidden="1"/>
    <row r="5735" hidden="1"/>
    <row r="5736" hidden="1"/>
    <row r="5737" hidden="1"/>
    <row r="5738" hidden="1"/>
    <row r="5739" hidden="1"/>
    <row r="5740" hidden="1"/>
    <row r="5741" hidden="1"/>
    <row r="5742" hidden="1"/>
    <row r="5743" hidden="1"/>
    <row r="5744" hidden="1"/>
    <row r="5745" hidden="1"/>
    <row r="5746" hidden="1"/>
    <row r="5747" hidden="1"/>
    <row r="5748" hidden="1"/>
    <row r="5749" hidden="1"/>
    <row r="5750" hidden="1"/>
    <row r="5751" hidden="1"/>
    <row r="5752" hidden="1"/>
    <row r="5753" hidden="1"/>
    <row r="5754" hidden="1"/>
    <row r="5755" hidden="1"/>
    <row r="5756" hidden="1"/>
    <row r="5757" hidden="1"/>
    <row r="5758" hidden="1"/>
    <row r="5759" hidden="1"/>
    <row r="5760" hidden="1"/>
    <row r="5761" hidden="1"/>
    <row r="5762" hidden="1"/>
    <row r="5763" hidden="1"/>
    <row r="5764" hidden="1"/>
    <row r="5765" hidden="1"/>
    <row r="5766" hidden="1"/>
    <row r="5767" hidden="1"/>
    <row r="5768" hidden="1"/>
    <row r="5769" hidden="1"/>
    <row r="5770" hidden="1"/>
    <row r="5771" hidden="1"/>
    <row r="5772" hidden="1"/>
    <row r="5773" hidden="1"/>
    <row r="5774" hidden="1"/>
    <row r="5775" hidden="1"/>
    <row r="5776" hidden="1"/>
    <row r="5777" hidden="1"/>
    <row r="5778" hidden="1"/>
    <row r="5779" hidden="1"/>
    <row r="5780" hidden="1"/>
    <row r="5781" hidden="1"/>
    <row r="5782" hidden="1"/>
    <row r="5783" hidden="1"/>
    <row r="5784" hidden="1"/>
    <row r="5785" hidden="1"/>
    <row r="5786" hidden="1"/>
    <row r="5787" hidden="1"/>
    <row r="5788" hidden="1"/>
    <row r="5789" hidden="1"/>
    <row r="5790" hidden="1"/>
    <row r="5791" hidden="1"/>
    <row r="5792" hidden="1"/>
    <row r="5793" hidden="1"/>
    <row r="5794" hidden="1"/>
    <row r="5795" hidden="1"/>
    <row r="5796" hidden="1"/>
    <row r="5797" hidden="1"/>
    <row r="5798" hidden="1"/>
    <row r="5799" hidden="1"/>
    <row r="5800" hidden="1"/>
    <row r="5801" hidden="1"/>
    <row r="5802" hidden="1"/>
    <row r="5803" hidden="1"/>
    <row r="5804" hidden="1"/>
    <row r="5805" hidden="1"/>
    <row r="5806" hidden="1"/>
    <row r="5807" hidden="1"/>
    <row r="5808" hidden="1"/>
    <row r="5809" hidden="1"/>
    <row r="5810" hidden="1"/>
    <row r="5811" hidden="1"/>
    <row r="5812" hidden="1"/>
    <row r="5813" hidden="1"/>
    <row r="5814" hidden="1"/>
    <row r="5815" hidden="1"/>
    <row r="5816" hidden="1"/>
    <row r="5817" hidden="1"/>
    <row r="5818" hidden="1"/>
    <row r="5819" hidden="1"/>
    <row r="5820" hidden="1"/>
    <row r="5821" hidden="1"/>
    <row r="5822" hidden="1"/>
    <row r="5823" hidden="1"/>
    <row r="5824" hidden="1"/>
    <row r="5825" hidden="1"/>
    <row r="5826" hidden="1"/>
    <row r="5827" hidden="1"/>
    <row r="5828" hidden="1"/>
    <row r="5829" hidden="1"/>
    <row r="5830" hidden="1"/>
    <row r="5831" hidden="1"/>
    <row r="5832" hidden="1"/>
    <row r="5833" hidden="1"/>
    <row r="5834" hidden="1"/>
    <row r="5835" hidden="1"/>
    <row r="5836" hidden="1"/>
    <row r="5837" hidden="1"/>
    <row r="5838" hidden="1"/>
    <row r="5839" hidden="1"/>
    <row r="5840" hidden="1"/>
    <row r="5841" hidden="1"/>
    <row r="5842" hidden="1"/>
    <row r="5843" hidden="1"/>
    <row r="5844" hidden="1"/>
    <row r="5845" hidden="1"/>
    <row r="5846" hidden="1"/>
    <row r="5847" hidden="1"/>
    <row r="5848" hidden="1"/>
    <row r="5849" hidden="1"/>
    <row r="5850" hidden="1"/>
    <row r="5851" hidden="1"/>
    <row r="5852" hidden="1"/>
    <row r="5853" hidden="1"/>
    <row r="5854" hidden="1"/>
    <row r="5855" hidden="1"/>
    <row r="5856" hidden="1"/>
    <row r="5857" hidden="1"/>
    <row r="5858" hidden="1"/>
    <row r="5859" hidden="1"/>
    <row r="5860" hidden="1"/>
    <row r="5861" hidden="1"/>
    <row r="5862" hidden="1"/>
    <row r="5863" hidden="1"/>
    <row r="5864" hidden="1"/>
    <row r="5865" hidden="1"/>
    <row r="5866" hidden="1"/>
    <row r="5867" hidden="1"/>
    <row r="5868" hidden="1"/>
    <row r="5869" hidden="1"/>
    <row r="5870" hidden="1"/>
    <row r="5871" hidden="1"/>
    <row r="5872" hidden="1"/>
    <row r="5873" hidden="1"/>
    <row r="5874" hidden="1"/>
    <row r="5875" hidden="1"/>
    <row r="5876" hidden="1"/>
    <row r="5877" hidden="1"/>
    <row r="5878" hidden="1"/>
    <row r="5879" hidden="1"/>
    <row r="5880" hidden="1"/>
    <row r="5881" hidden="1"/>
    <row r="5882" hidden="1"/>
    <row r="5883" hidden="1"/>
    <row r="5884" hidden="1"/>
    <row r="5885" hidden="1"/>
    <row r="5886" hidden="1"/>
    <row r="5887" hidden="1"/>
    <row r="5888" hidden="1"/>
    <row r="5889" hidden="1"/>
    <row r="5890" hidden="1"/>
    <row r="5891" hidden="1"/>
    <row r="5892" hidden="1"/>
    <row r="5893" hidden="1"/>
    <row r="5894" hidden="1"/>
    <row r="5895" hidden="1"/>
    <row r="5896" hidden="1"/>
    <row r="5897" hidden="1"/>
    <row r="5898" hidden="1"/>
    <row r="5899" hidden="1"/>
    <row r="5900" hidden="1"/>
    <row r="5901" hidden="1"/>
    <row r="5902" hidden="1"/>
    <row r="5903" hidden="1"/>
    <row r="5904" hidden="1"/>
    <row r="5905" hidden="1"/>
    <row r="5906" hidden="1"/>
    <row r="5907" hidden="1"/>
    <row r="5908" hidden="1"/>
    <row r="5909" hidden="1"/>
    <row r="5910" hidden="1"/>
    <row r="5911" hidden="1"/>
    <row r="5912" hidden="1"/>
    <row r="5913" hidden="1"/>
    <row r="5914" hidden="1"/>
    <row r="5915" hidden="1"/>
    <row r="5916" hidden="1"/>
    <row r="5917" hidden="1"/>
    <row r="5918" hidden="1"/>
    <row r="5919" hidden="1"/>
    <row r="5920" hidden="1"/>
    <row r="5921" hidden="1"/>
    <row r="5922" hidden="1"/>
    <row r="5923" hidden="1"/>
    <row r="5924" hidden="1"/>
    <row r="5925" hidden="1"/>
    <row r="5926" hidden="1"/>
    <row r="5927" hidden="1"/>
    <row r="5928" hidden="1"/>
    <row r="5929" hidden="1"/>
    <row r="5930" hidden="1"/>
    <row r="5931" hidden="1"/>
    <row r="5932" hidden="1"/>
    <row r="5933" hidden="1"/>
    <row r="5934" hidden="1"/>
    <row r="5935" hidden="1"/>
    <row r="5936" hidden="1"/>
    <row r="5937" hidden="1"/>
    <row r="5938" hidden="1"/>
    <row r="5939" hidden="1"/>
    <row r="5940" hidden="1"/>
    <row r="5941" hidden="1"/>
    <row r="5942" hidden="1"/>
    <row r="5943" hidden="1"/>
    <row r="5944" hidden="1"/>
    <row r="5945" hidden="1"/>
    <row r="5946" hidden="1"/>
    <row r="5947" hidden="1"/>
    <row r="5948" hidden="1"/>
    <row r="5949" hidden="1"/>
    <row r="5950" hidden="1"/>
    <row r="5951" hidden="1"/>
    <row r="5952" hidden="1"/>
    <row r="5953" hidden="1"/>
    <row r="5954" hidden="1"/>
    <row r="5955" hidden="1"/>
    <row r="5956" hidden="1"/>
    <row r="5957" hidden="1"/>
    <row r="5958" hidden="1"/>
    <row r="5959" hidden="1"/>
    <row r="5960" hidden="1"/>
    <row r="5961" hidden="1"/>
    <row r="5962" hidden="1"/>
    <row r="5963" hidden="1"/>
    <row r="5964" hidden="1"/>
    <row r="5965" hidden="1"/>
    <row r="5966" hidden="1"/>
    <row r="5967" hidden="1"/>
    <row r="5968" hidden="1"/>
    <row r="5969" hidden="1"/>
    <row r="5970" hidden="1"/>
    <row r="5971" hidden="1"/>
    <row r="5972" hidden="1"/>
    <row r="5973" hidden="1"/>
    <row r="5974" hidden="1"/>
    <row r="5975" hidden="1"/>
    <row r="5976" hidden="1"/>
    <row r="5977" hidden="1"/>
    <row r="5978" hidden="1"/>
    <row r="5979" hidden="1"/>
    <row r="5980" hidden="1"/>
    <row r="5981" hidden="1"/>
    <row r="5982" hidden="1"/>
    <row r="5983" hidden="1"/>
    <row r="5984" hidden="1"/>
    <row r="5985" hidden="1"/>
    <row r="5986" hidden="1"/>
    <row r="5987" hidden="1"/>
    <row r="5988" hidden="1"/>
    <row r="5989" hidden="1"/>
    <row r="5990" hidden="1"/>
    <row r="5991" hidden="1"/>
    <row r="5992" hidden="1"/>
    <row r="5993" hidden="1"/>
    <row r="5994" hidden="1"/>
    <row r="5995" hidden="1"/>
    <row r="5996" hidden="1"/>
    <row r="5997" hidden="1"/>
    <row r="5998" hidden="1"/>
    <row r="5999" hidden="1"/>
    <row r="6000" hidden="1"/>
    <row r="6001" hidden="1"/>
    <row r="6002" hidden="1"/>
    <row r="6003" hidden="1"/>
    <row r="6004" hidden="1"/>
    <row r="6005" hidden="1"/>
    <row r="6006" hidden="1"/>
    <row r="6007" hidden="1"/>
    <row r="6008" hidden="1"/>
    <row r="6009" hidden="1"/>
    <row r="6010" hidden="1"/>
    <row r="6011" hidden="1"/>
    <row r="6012" hidden="1"/>
    <row r="6013" hidden="1"/>
    <row r="6014" hidden="1"/>
    <row r="6015" hidden="1"/>
    <row r="6016" hidden="1"/>
    <row r="6017" hidden="1"/>
    <row r="6018" hidden="1"/>
    <row r="6019" hidden="1"/>
    <row r="6020" hidden="1"/>
    <row r="6021" hidden="1"/>
    <row r="6022" hidden="1"/>
    <row r="6023" hidden="1"/>
    <row r="6024" hidden="1"/>
    <row r="6025" hidden="1"/>
    <row r="6026" hidden="1"/>
    <row r="6027" hidden="1"/>
    <row r="6028" hidden="1"/>
    <row r="6029" hidden="1"/>
    <row r="6030" hidden="1"/>
    <row r="6031" hidden="1"/>
    <row r="6032" hidden="1"/>
    <row r="6033" hidden="1"/>
    <row r="6034" hidden="1"/>
    <row r="6035" hidden="1"/>
    <row r="6036" hidden="1"/>
    <row r="6037" hidden="1"/>
    <row r="6038" hidden="1"/>
    <row r="6039" hidden="1"/>
    <row r="6040" hidden="1"/>
    <row r="6041" hidden="1"/>
    <row r="6042" hidden="1"/>
    <row r="6043" hidden="1"/>
    <row r="6044" hidden="1"/>
    <row r="6045" hidden="1"/>
    <row r="6046" hidden="1"/>
    <row r="6047" hidden="1"/>
    <row r="6048" hidden="1"/>
    <row r="6049" hidden="1"/>
    <row r="6050" hidden="1"/>
    <row r="6051" hidden="1"/>
    <row r="6052" hidden="1"/>
    <row r="6053" hidden="1"/>
    <row r="6054" hidden="1"/>
    <row r="6055" hidden="1"/>
    <row r="6056" hidden="1"/>
    <row r="6057" hidden="1"/>
    <row r="6058" hidden="1"/>
    <row r="6059" hidden="1"/>
    <row r="6060" hidden="1"/>
    <row r="6061" hidden="1"/>
    <row r="6062" hidden="1"/>
    <row r="6063" hidden="1"/>
    <row r="6064" hidden="1"/>
    <row r="6065" hidden="1"/>
    <row r="6066" hidden="1"/>
    <row r="6067" hidden="1"/>
    <row r="6068" hidden="1"/>
    <row r="6069" hidden="1"/>
    <row r="6070" hidden="1"/>
    <row r="6071" hidden="1"/>
    <row r="6072" hidden="1"/>
    <row r="6073" hidden="1"/>
    <row r="6074" hidden="1"/>
    <row r="6075" hidden="1"/>
    <row r="6076" hidden="1"/>
    <row r="6077" hidden="1"/>
    <row r="6078" hidden="1"/>
    <row r="6079" hidden="1"/>
    <row r="6080" hidden="1"/>
    <row r="6081" hidden="1"/>
    <row r="6082" hidden="1"/>
    <row r="6083" hidden="1"/>
    <row r="6084" hidden="1"/>
    <row r="6085" hidden="1"/>
    <row r="6086" hidden="1"/>
    <row r="6087" hidden="1"/>
    <row r="6088" hidden="1"/>
    <row r="6089" hidden="1"/>
    <row r="6090" hidden="1"/>
    <row r="6091" hidden="1"/>
    <row r="6092" hidden="1"/>
    <row r="6093" hidden="1"/>
    <row r="6094" hidden="1"/>
    <row r="6095" hidden="1"/>
    <row r="6096" hidden="1"/>
    <row r="6097" hidden="1"/>
    <row r="6098" hidden="1"/>
    <row r="6099" hidden="1"/>
    <row r="6100" hidden="1"/>
    <row r="6101" hidden="1"/>
    <row r="6102" hidden="1"/>
    <row r="6103" hidden="1"/>
    <row r="6104" hidden="1"/>
    <row r="6105" hidden="1"/>
    <row r="6106" hidden="1"/>
    <row r="6107" hidden="1"/>
    <row r="6108" hidden="1"/>
    <row r="6109" hidden="1"/>
    <row r="6110" hidden="1"/>
    <row r="6111" hidden="1"/>
    <row r="6112" hidden="1"/>
    <row r="6113" hidden="1"/>
    <row r="6114" hidden="1"/>
    <row r="6115" hidden="1"/>
    <row r="6116" hidden="1"/>
    <row r="6117" hidden="1"/>
    <row r="6118" hidden="1"/>
    <row r="6119" hidden="1"/>
    <row r="6120" hidden="1"/>
    <row r="6121" hidden="1"/>
    <row r="6122" hidden="1"/>
    <row r="6123" hidden="1"/>
    <row r="6124" hidden="1"/>
    <row r="6125" hidden="1"/>
    <row r="6126" hidden="1"/>
    <row r="6127" hidden="1"/>
    <row r="6128" hidden="1"/>
    <row r="6129" hidden="1"/>
    <row r="6130" hidden="1"/>
    <row r="6131" hidden="1"/>
    <row r="6132" hidden="1"/>
    <row r="6133" hidden="1"/>
    <row r="6134" hidden="1"/>
    <row r="6135" hidden="1"/>
    <row r="6136" hidden="1"/>
    <row r="6137" hidden="1"/>
    <row r="6138" hidden="1"/>
    <row r="6139" hidden="1"/>
    <row r="6140" hidden="1"/>
    <row r="6141" hidden="1"/>
    <row r="6142" hidden="1"/>
    <row r="6143" hidden="1"/>
    <row r="6144" hidden="1"/>
    <row r="6145" hidden="1"/>
    <row r="6146" hidden="1"/>
    <row r="6147" hidden="1"/>
    <row r="6148" hidden="1"/>
    <row r="6149" hidden="1"/>
    <row r="6150" hidden="1"/>
    <row r="6151" hidden="1"/>
    <row r="6152" hidden="1"/>
    <row r="6153" hidden="1"/>
    <row r="6154" hidden="1"/>
    <row r="6155" hidden="1"/>
    <row r="6156" hidden="1"/>
    <row r="6157" hidden="1"/>
    <row r="6158" hidden="1"/>
    <row r="6159" hidden="1"/>
    <row r="6160" hidden="1"/>
    <row r="6161" hidden="1"/>
    <row r="6162" hidden="1"/>
    <row r="6163" hidden="1"/>
    <row r="6164" hidden="1"/>
    <row r="6165" hidden="1"/>
    <row r="6166" hidden="1"/>
    <row r="6167" hidden="1"/>
    <row r="6168" hidden="1"/>
    <row r="6169" hidden="1"/>
    <row r="6170" hidden="1"/>
    <row r="6171" hidden="1"/>
    <row r="6172" hidden="1"/>
    <row r="6173" hidden="1"/>
    <row r="6174" hidden="1"/>
    <row r="6175" hidden="1"/>
    <row r="6176" hidden="1"/>
    <row r="6177" hidden="1"/>
    <row r="6178" hidden="1"/>
    <row r="6179" hidden="1"/>
    <row r="6180" hidden="1"/>
    <row r="6181" hidden="1"/>
    <row r="6182" hidden="1"/>
    <row r="6183" hidden="1"/>
    <row r="6184" hidden="1"/>
    <row r="6185" hidden="1"/>
    <row r="6186" hidden="1"/>
    <row r="6187" hidden="1"/>
    <row r="6188" hidden="1"/>
    <row r="6189" hidden="1"/>
    <row r="6190" hidden="1"/>
    <row r="6191" hidden="1"/>
    <row r="6192" hidden="1"/>
    <row r="6193" hidden="1"/>
    <row r="6194" hidden="1"/>
    <row r="6195" hidden="1"/>
    <row r="6196" hidden="1"/>
    <row r="6197" hidden="1"/>
    <row r="6198" hidden="1"/>
    <row r="6199" hidden="1"/>
    <row r="6200" hidden="1"/>
    <row r="6201" hidden="1"/>
    <row r="6202" hidden="1"/>
    <row r="6203" hidden="1"/>
    <row r="6204" hidden="1"/>
    <row r="6205" hidden="1"/>
    <row r="6206" hidden="1"/>
    <row r="6207" hidden="1"/>
    <row r="6208" hidden="1"/>
    <row r="6209" hidden="1"/>
    <row r="6210" hidden="1"/>
    <row r="6211" hidden="1"/>
    <row r="6212" hidden="1"/>
    <row r="6213" hidden="1"/>
    <row r="6214" hidden="1"/>
    <row r="6215" hidden="1"/>
    <row r="6216" hidden="1"/>
    <row r="6217" hidden="1"/>
    <row r="6218" hidden="1"/>
    <row r="6219" hidden="1"/>
    <row r="6220" hidden="1"/>
    <row r="6221" hidden="1"/>
    <row r="6222" hidden="1"/>
    <row r="6223" hidden="1"/>
    <row r="6224" hidden="1"/>
    <row r="6225" hidden="1"/>
    <row r="6226" hidden="1"/>
    <row r="6227" hidden="1"/>
    <row r="6228" hidden="1"/>
    <row r="6229" hidden="1"/>
    <row r="6230" hidden="1"/>
    <row r="6231" hidden="1"/>
    <row r="6232" hidden="1"/>
    <row r="6233" hidden="1"/>
    <row r="6234" hidden="1"/>
    <row r="6235" hidden="1"/>
    <row r="6236" hidden="1"/>
    <row r="6237" hidden="1"/>
    <row r="6238" hidden="1"/>
    <row r="6239" hidden="1"/>
    <row r="6240" hidden="1"/>
    <row r="6241" hidden="1"/>
    <row r="6242" hidden="1"/>
    <row r="6243" hidden="1"/>
    <row r="6244" hidden="1"/>
    <row r="6245" hidden="1"/>
    <row r="6246" hidden="1"/>
    <row r="6247" hidden="1"/>
    <row r="6248" hidden="1"/>
    <row r="6249" hidden="1"/>
    <row r="6250" hidden="1"/>
    <row r="6251" hidden="1"/>
    <row r="6252" hidden="1"/>
    <row r="6253" hidden="1"/>
    <row r="6254" hidden="1"/>
    <row r="6255" hidden="1"/>
    <row r="6256" hidden="1"/>
    <row r="6257" hidden="1"/>
    <row r="6258" hidden="1"/>
    <row r="6259" hidden="1"/>
    <row r="6260" hidden="1"/>
    <row r="6261" hidden="1"/>
    <row r="6262" hidden="1"/>
    <row r="6263" hidden="1"/>
    <row r="6264" hidden="1"/>
    <row r="6265" hidden="1"/>
    <row r="6266" hidden="1"/>
    <row r="6267" hidden="1"/>
    <row r="6268" hidden="1"/>
    <row r="6269" hidden="1"/>
    <row r="6270" hidden="1"/>
    <row r="6271" hidden="1"/>
    <row r="6272" hidden="1"/>
    <row r="6273" hidden="1"/>
    <row r="6274" hidden="1"/>
    <row r="6275" hidden="1"/>
    <row r="6276" hidden="1"/>
    <row r="6277" hidden="1"/>
    <row r="6278" hidden="1"/>
    <row r="6279" hidden="1"/>
    <row r="6280" hidden="1"/>
    <row r="6281" hidden="1"/>
    <row r="6282" hidden="1"/>
    <row r="6283" hidden="1"/>
    <row r="6284" hidden="1"/>
    <row r="6285" hidden="1"/>
    <row r="6286" hidden="1"/>
    <row r="6287" hidden="1"/>
    <row r="6288" hidden="1"/>
    <row r="6289" hidden="1"/>
    <row r="6290" hidden="1"/>
    <row r="6291" hidden="1"/>
    <row r="6292" hidden="1"/>
    <row r="6293" hidden="1"/>
    <row r="6294" hidden="1"/>
    <row r="6295" hidden="1"/>
    <row r="6296" hidden="1"/>
    <row r="6297" hidden="1"/>
    <row r="6298" hidden="1"/>
    <row r="6299" hidden="1"/>
    <row r="6300" hidden="1"/>
    <row r="6301" hidden="1"/>
    <row r="6302" hidden="1"/>
    <row r="6303" hidden="1"/>
    <row r="6304" hidden="1"/>
    <row r="6305" hidden="1"/>
    <row r="6306" hidden="1"/>
    <row r="6307" hidden="1"/>
    <row r="6308" hidden="1"/>
    <row r="6309" hidden="1"/>
    <row r="6310" hidden="1"/>
    <row r="6311" hidden="1"/>
    <row r="6312" hidden="1"/>
    <row r="6313" hidden="1"/>
    <row r="6314" hidden="1"/>
    <row r="6315" hidden="1"/>
    <row r="6316" hidden="1"/>
    <row r="6317" hidden="1"/>
    <row r="6318" hidden="1"/>
    <row r="6319" hidden="1"/>
    <row r="6320" hidden="1"/>
    <row r="6321" hidden="1"/>
    <row r="6322" hidden="1"/>
    <row r="6323" hidden="1"/>
    <row r="6324" hidden="1"/>
    <row r="6325" hidden="1"/>
    <row r="6326" hidden="1"/>
    <row r="6327" hidden="1"/>
    <row r="6328" hidden="1"/>
    <row r="6329" hidden="1"/>
    <row r="6330" hidden="1"/>
    <row r="6331" hidden="1"/>
    <row r="6332" hidden="1"/>
    <row r="6333" hidden="1"/>
    <row r="6334" hidden="1"/>
    <row r="6335" hidden="1"/>
    <row r="6336" hidden="1"/>
    <row r="6337" hidden="1"/>
    <row r="6338" hidden="1"/>
    <row r="6339" hidden="1"/>
    <row r="6340" hidden="1"/>
    <row r="6341" hidden="1"/>
    <row r="6342" hidden="1"/>
    <row r="6343" hidden="1"/>
    <row r="6344" hidden="1"/>
    <row r="6345" hidden="1"/>
    <row r="6346" hidden="1"/>
    <row r="6347" hidden="1"/>
    <row r="6348" hidden="1"/>
    <row r="6349" hidden="1"/>
    <row r="6350" hidden="1"/>
    <row r="6351" hidden="1"/>
    <row r="6352" hidden="1"/>
    <row r="6353" hidden="1"/>
    <row r="6354" hidden="1"/>
    <row r="6355" hidden="1"/>
    <row r="6356" hidden="1"/>
    <row r="6357" hidden="1"/>
    <row r="6358" hidden="1"/>
    <row r="6359" hidden="1"/>
    <row r="6360" hidden="1"/>
    <row r="6361" hidden="1"/>
    <row r="6362" hidden="1"/>
    <row r="6363" hidden="1"/>
    <row r="6364" hidden="1"/>
    <row r="6365" hidden="1"/>
    <row r="6366" hidden="1"/>
    <row r="6367" hidden="1"/>
    <row r="6368" hidden="1"/>
    <row r="6369" hidden="1"/>
    <row r="6370" hidden="1"/>
    <row r="6371" hidden="1"/>
    <row r="6372" hidden="1"/>
    <row r="6373" hidden="1"/>
    <row r="6374" hidden="1"/>
    <row r="6375" hidden="1"/>
    <row r="6376" hidden="1"/>
    <row r="6377" hidden="1"/>
    <row r="6378" hidden="1"/>
    <row r="6379" hidden="1"/>
    <row r="6380" hidden="1"/>
    <row r="6381" hidden="1"/>
    <row r="6382" hidden="1"/>
    <row r="6383" hidden="1"/>
    <row r="6384" hidden="1"/>
    <row r="6385" hidden="1"/>
    <row r="6386" hidden="1"/>
    <row r="6387" hidden="1"/>
    <row r="6388" hidden="1"/>
    <row r="6389" hidden="1"/>
    <row r="6390" hidden="1"/>
    <row r="6391" hidden="1"/>
    <row r="6392" hidden="1"/>
    <row r="6393" hidden="1"/>
    <row r="6394" hidden="1"/>
    <row r="6395" hidden="1"/>
    <row r="6396" hidden="1"/>
    <row r="6397" hidden="1"/>
    <row r="6398" hidden="1"/>
    <row r="6399" hidden="1"/>
    <row r="6400" hidden="1"/>
    <row r="6401" hidden="1"/>
    <row r="6402" hidden="1"/>
    <row r="6403" hidden="1"/>
    <row r="6404" hidden="1"/>
    <row r="6405" hidden="1"/>
    <row r="6406" hidden="1"/>
    <row r="6407" hidden="1"/>
    <row r="6408" hidden="1"/>
    <row r="6409" hidden="1"/>
    <row r="6410" hidden="1"/>
    <row r="6411" hidden="1"/>
    <row r="6412" hidden="1"/>
    <row r="6413" hidden="1"/>
    <row r="6414" hidden="1"/>
    <row r="6415" hidden="1"/>
    <row r="6416" hidden="1"/>
    <row r="6417" hidden="1"/>
    <row r="6418" hidden="1"/>
    <row r="6419" hidden="1"/>
    <row r="6420" hidden="1"/>
    <row r="6421" hidden="1"/>
    <row r="6422" hidden="1"/>
    <row r="6423" hidden="1"/>
    <row r="6424" hidden="1"/>
    <row r="6425" hidden="1"/>
    <row r="6426" hidden="1"/>
    <row r="6427" hidden="1"/>
    <row r="6428" hidden="1"/>
    <row r="6429" hidden="1"/>
    <row r="6430" hidden="1"/>
    <row r="6431" hidden="1"/>
    <row r="6432" hidden="1"/>
    <row r="6433" hidden="1"/>
    <row r="6434" hidden="1"/>
    <row r="6435" hidden="1"/>
    <row r="6436" hidden="1"/>
    <row r="6437" hidden="1"/>
    <row r="6438" hidden="1"/>
    <row r="6439" hidden="1"/>
    <row r="6440" hidden="1"/>
    <row r="6441" hidden="1"/>
    <row r="6442" hidden="1"/>
    <row r="6443" hidden="1"/>
    <row r="6444" hidden="1"/>
    <row r="6445" hidden="1"/>
    <row r="6446" hidden="1"/>
    <row r="6447" hidden="1"/>
    <row r="6448" hidden="1"/>
    <row r="6449" hidden="1"/>
    <row r="6450" hidden="1"/>
    <row r="6451" hidden="1"/>
    <row r="6452" hidden="1"/>
    <row r="6453" hidden="1"/>
    <row r="6454" hidden="1"/>
    <row r="6455" hidden="1"/>
    <row r="6456" hidden="1"/>
    <row r="6457" hidden="1"/>
    <row r="6458" hidden="1"/>
    <row r="6459" hidden="1"/>
    <row r="6460" hidden="1"/>
    <row r="6461" hidden="1"/>
    <row r="6462" hidden="1"/>
    <row r="6463" hidden="1"/>
    <row r="6464" hidden="1"/>
    <row r="6465" hidden="1"/>
    <row r="6466" hidden="1"/>
    <row r="6467" hidden="1"/>
    <row r="6468" hidden="1"/>
    <row r="6469" hidden="1"/>
    <row r="6470" hidden="1"/>
    <row r="6471" hidden="1"/>
    <row r="6472" hidden="1"/>
    <row r="6473" hidden="1"/>
    <row r="6474" hidden="1"/>
    <row r="6475" hidden="1"/>
    <row r="6476" hidden="1"/>
    <row r="6477" hidden="1"/>
    <row r="6478" hidden="1"/>
    <row r="6479" hidden="1"/>
    <row r="6480" hidden="1"/>
    <row r="6481" hidden="1"/>
    <row r="6482" hidden="1"/>
    <row r="6483" hidden="1"/>
    <row r="6484" hidden="1"/>
    <row r="6485" hidden="1"/>
    <row r="6486" hidden="1"/>
    <row r="6487" hidden="1"/>
    <row r="6488" hidden="1"/>
    <row r="6489" hidden="1"/>
    <row r="6490" hidden="1"/>
    <row r="6491" hidden="1"/>
    <row r="6492" hidden="1"/>
    <row r="6493" hidden="1"/>
    <row r="6494" hidden="1"/>
    <row r="6495" hidden="1"/>
    <row r="6496" hidden="1"/>
    <row r="6497" hidden="1"/>
    <row r="6498" hidden="1"/>
    <row r="6499" hidden="1"/>
    <row r="6500" hidden="1"/>
    <row r="6501" hidden="1"/>
    <row r="6502" hidden="1"/>
    <row r="6503" hidden="1"/>
    <row r="6504" hidden="1"/>
    <row r="6505" hidden="1"/>
    <row r="6506" hidden="1"/>
    <row r="6507" hidden="1"/>
    <row r="6508" hidden="1"/>
    <row r="6509" hidden="1"/>
    <row r="6510" hidden="1"/>
    <row r="6511" hidden="1"/>
    <row r="6512" hidden="1"/>
    <row r="6513" hidden="1"/>
    <row r="6514" hidden="1"/>
    <row r="6515" hidden="1"/>
    <row r="6516" hidden="1"/>
    <row r="6517" hidden="1"/>
    <row r="6518" hidden="1"/>
    <row r="6519" hidden="1"/>
    <row r="6520" hidden="1"/>
    <row r="6521" hidden="1"/>
    <row r="6522" hidden="1"/>
    <row r="6523" hidden="1"/>
    <row r="6524" hidden="1"/>
    <row r="6525" hidden="1"/>
    <row r="6526" hidden="1"/>
    <row r="6527" hidden="1"/>
    <row r="6528" hidden="1"/>
    <row r="6529" hidden="1"/>
    <row r="6530" hidden="1"/>
    <row r="6531" hidden="1"/>
    <row r="6532" hidden="1"/>
    <row r="6533" hidden="1"/>
    <row r="6534" hidden="1"/>
    <row r="6535" hidden="1"/>
    <row r="6536" hidden="1"/>
    <row r="6537" hidden="1"/>
    <row r="6538" hidden="1"/>
    <row r="6539" hidden="1"/>
    <row r="6540" hidden="1"/>
    <row r="6541" hidden="1"/>
    <row r="6542" hidden="1"/>
    <row r="6543" hidden="1"/>
    <row r="6544" hidden="1"/>
    <row r="6545" hidden="1"/>
    <row r="6546" hidden="1"/>
    <row r="6547" hidden="1"/>
    <row r="6548" hidden="1"/>
    <row r="6549" hidden="1"/>
    <row r="6550" hidden="1"/>
    <row r="6551" hidden="1"/>
    <row r="6552" hidden="1"/>
    <row r="6553" hidden="1"/>
    <row r="6554" hidden="1"/>
    <row r="6555" hidden="1"/>
    <row r="6556" hidden="1"/>
    <row r="6557" hidden="1"/>
    <row r="6558" hidden="1"/>
    <row r="6559" hidden="1"/>
    <row r="6560" hidden="1"/>
    <row r="6561" hidden="1"/>
    <row r="6562" hidden="1"/>
    <row r="6563" hidden="1"/>
    <row r="6564" hidden="1"/>
    <row r="6565" hidden="1"/>
    <row r="6566" hidden="1"/>
    <row r="6567" hidden="1"/>
    <row r="6568" hidden="1"/>
    <row r="6569" hidden="1"/>
    <row r="6570" hidden="1"/>
    <row r="6571" hidden="1"/>
    <row r="6572" hidden="1"/>
    <row r="6573" hidden="1"/>
    <row r="6574" hidden="1"/>
    <row r="6575" hidden="1"/>
    <row r="6576" hidden="1"/>
    <row r="6577" hidden="1"/>
    <row r="6578" hidden="1"/>
    <row r="6579" hidden="1"/>
    <row r="6580" hidden="1"/>
    <row r="6581" hidden="1"/>
    <row r="6582" hidden="1"/>
    <row r="6583" hidden="1"/>
    <row r="6584" hidden="1"/>
    <row r="6585" hidden="1"/>
    <row r="6586" hidden="1"/>
    <row r="6587" hidden="1"/>
    <row r="6588" hidden="1"/>
    <row r="6589" hidden="1"/>
    <row r="6590" hidden="1"/>
    <row r="6591" hidden="1"/>
    <row r="6592" hidden="1"/>
    <row r="6593" hidden="1"/>
    <row r="6594" hidden="1"/>
    <row r="6595" hidden="1"/>
    <row r="6596" hidden="1"/>
    <row r="6597" hidden="1"/>
    <row r="6598" hidden="1"/>
    <row r="6599" hidden="1"/>
    <row r="6600" hidden="1"/>
    <row r="6601" hidden="1"/>
    <row r="6602" hidden="1"/>
    <row r="6603" hidden="1"/>
    <row r="6604" hidden="1"/>
    <row r="6605" hidden="1"/>
    <row r="6606" hidden="1"/>
    <row r="6607" hidden="1"/>
    <row r="6608" hidden="1"/>
    <row r="6609" hidden="1"/>
    <row r="6610" hidden="1"/>
    <row r="6611" hidden="1"/>
    <row r="6612" hidden="1"/>
    <row r="6613" hidden="1"/>
    <row r="6614" hidden="1"/>
    <row r="6615" hidden="1"/>
    <row r="6616" hidden="1"/>
    <row r="6617" hidden="1"/>
    <row r="6618" hidden="1"/>
    <row r="6619" hidden="1"/>
    <row r="6620" hidden="1"/>
    <row r="6621" hidden="1"/>
    <row r="6622" hidden="1"/>
    <row r="6623" hidden="1"/>
    <row r="6624" hidden="1"/>
    <row r="6625" hidden="1"/>
    <row r="6626" hidden="1"/>
    <row r="6627" hidden="1"/>
    <row r="6628" hidden="1"/>
    <row r="6629" hidden="1"/>
    <row r="6630" hidden="1"/>
    <row r="6631" hidden="1"/>
    <row r="6632" hidden="1"/>
    <row r="6633" hidden="1"/>
    <row r="6634" hidden="1"/>
    <row r="6635" hidden="1"/>
    <row r="6636" hidden="1"/>
    <row r="6637" hidden="1"/>
    <row r="6638" hidden="1"/>
    <row r="6639" hidden="1"/>
    <row r="6640" hidden="1"/>
    <row r="6641" hidden="1"/>
    <row r="6642" hidden="1"/>
    <row r="6643" hidden="1"/>
    <row r="6644" hidden="1"/>
    <row r="6645" hidden="1"/>
    <row r="6646" hidden="1"/>
    <row r="6647" hidden="1"/>
    <row r="6648" hidden="1"/>
    <row r="6649" hidden="1"/>
    <row r="6650" hidden="1"/>
    <row r="6651" hidden="1"/>
    <row r="6652" hidden="1"/>
    <row r="6653" hidden="1"/>
    <row r="6654" hidden="1"/>
    <row r="6655" hidden="1"/>
    <row r="6656" hidden="1"/>
    <row r="6657" hidden="1"/>
    <row r="6658" hidden="1"/>
    <row r="6659" hidden="1"/>
    <row r="6660" hidden="1"/>
    <row r="6661" hidden="1"/>
    <row r="6662" hidden="1"/>
    <row r="6663" hidden="1"/>
    <row r="6664" hidden="1"/>
    <row r="6665" hidden="1"/>
    <row r="6666" hidden="1"/>
    <row r="6667" hidden="1"/>
    <row r="6668" hidden="1"/>
    <row r="6669" hidden="1"/>
    <row r="6670" hidden="1"/>
    <row r="6671" hidden="1"/>
    <row r="6672" hidden="1"/>
    <row r="6673" hidden="1"/>
    <row r="6674" hidden="1"/>
    <row r="6675" hidden="1"/>
    <row r="6676" hidden="1"/>
    <row r="6677" hidden="1"/>
    <row r="6678" hidden="1"/>
    <row r="6679" hidden="1"/>
    <row r="6680" hidden="1"/>
    <row r="6681" hidden="1"/>
    <row r="6682" hidden="1"/>
    <row r="6683" hidden="1"/>
    <row r="6684" hidden="1"/>
    <row r="6685" hidden="1"/>
    <row r="6686" hidden="1"/>
    <row r="6687" hidden="1"/>
    <row r="6688" hidden="1"/>
    <row r="6689" hidden="1"/>
    <row r="6690" hidden="1"/>
    <row r="6691" hidden="1"/>
    <row r="6692" hidden="1"/>
    <row r="6693" hidden="1"/>
    <row r="6694" hidden="1"/>
    <row r="6695" hidden="1"/>
    <row r="6696" hidden="1"/>
    <row r="6697" hidden="1"/>
    <row r="6698" hidden="1"/>
    <row r="6699" hidden="1"/>
    <row r="6700" hidden="1"/>
    <row r="6701" hidden="1"/>
    <row r="6702" hidden="1"/>
    <row r="6703" hidden="1"/>
    <row r="6704" hidden="1"/>
    <row r="6705" hidden="1"/>
    <row r="6706" hidden="1"/>
    <row r="6707" hidden="1"/>
    <row r="6708" hidden="1"/>
    <row r="6709" hidden="1"/>
    <row r="6710" hidden="1"/>
    <row r="6711" hidden="1"/>
    <row r="6712" hidden="1"/>
    <row r="6713" hidden="1"/>
    <row r="6714" hidden="1"/>
    <row r="6715" hidden="1"/>
    <row r="6716" hidden="1"/>
    <row r="6717" hidden="1"/>
    <row r="6718" hidden="1"/>
    <row r="6719" hidden="1"/>
    <row r="6720" hidden="1"/>
    <row r="6721" hidden="1"/>
    <row r="6722" hidden="1"/>
    <row r="6723" hidden="1"/>
    <row r="6724" hidden="1"/>
    <row r="6725" hidden="1"/>
    <row r="6726" hidden="1"/>
    <row r="6727" hidden="1"/>
    <row r="6728" hidden="1"/>
    <row r="6729" hidden="1"/>
    <row r="6730" hidden="1"/>
    <row r="6731" hidden="1"/>
    <row r="6732" hidden="1"/>
    <row r="6733" hidden="1"/>
    <row r="6734" hidden="1"/>
    <row r="6735" hidden="1"/>
    <row r="6736" hidden="1"/>
    <row r="6737" hidden="1"/>
    <row r="6738" hidden="1"/>
    <row r="6739" hidden="1"/>
    <row r="6740" hidden="1"/>
    <row r="6741" hidden="1"/>
    <row r="6742" hidden="1"/>
    <row r="6743" hidden="1"/>
    <row r="6744" hidden="1"/>
    <row r="6745" hidden="1"/>
    <row r="6746" hidden="1"/>
    <row r="6747" hidden="1"/>
    <row r="6748" hidden="1"/>
    <row r="6749" hidden="1"/>
    <row r="6750" hidden="1"/>
    <row r="6751" hidden="1"/>
    <row r="6752" hidden="1"/>
    <row r="6753" hidden="1"/>
    <row r="6754" hidden="1"/>
    <row r="6755" hidden="1"/>
    <row r="6756" hidden="1"/>
    <row r="6757" hidden="1"/>
    <row r="6758" hidden="1"/>
    <row r="6759" hidden="1"/>
    <row r="6760" hidden="1"/>
    <row r="6761" hidden="1"/>
    <row r="6762" hidden="1"/>
    <row r="6763" hidden="1"/>
    <row r="6764" hidden="1"/>
    <row r="6765" hidden="1"/>
    <row r="6766" hidden="1"/>
    <row r="6767" hidden="1"/>
    <row r="6768" hidden="1"/>
    <row r="6769" hidden="1"/>
    <row r="6770" hidden="1"/>
    <row r="6771" hidden="1"/>
    <row r="6772" hidden="1"/>
    <row r="6773" hidden="1"/>
    <row r="6774" hidden="1"/>
    <row r="6775" hidden="1"/>
    <row r="6776" hidden="1"/>
    <row r="6777" hidden="1"/>
    <row r="6778" hidden="1"/>
    <row r="6779" hidden="1"/>
    <row r="6780" hidden="1"/>
    <row r="6781" hidden="1"/>
    <row r="6782" hidden="1"/>
    <row r="6783" hidden="1"/>
    <row r="6784" hidden="1"/>
    <row r="6785" hidden="1"/>
    <row r="6786" hidden="1"/>
    <row r="6787" hidden="1"/>
    <row r="6788" hidden="1"/>
    <row r="6789" hidden="1"/>
    <row r="6790" hidden="1"/>
    <row r="6791" hidden="1"/>
    <row r="6792" hidden="1"/>
    <row r="6793" hidden="1"/>
    <row r="6794" hidden="1"/>
    <row r="6795" hidden="1"/>
    <row r="6796" hidden="1"/>
    <row r="6797" hidden="1"/>
    <row r="6798" hidden="1"/>
    <row r="6799" hidden="1"/>
    <row r="6800" hidden="1"/>
    <row r="6801" hidden="1"/>
    <row r="6802" hidden="1"/>
    <row r="6803" hidden="1"/>
    <row r="6804" hidden="1"/>
    <row r="6805" hidden="1"/>
    <row r="6806" hidden="1"/>
    <row r="6807" hidden="1"/>
    <row r="6808" hidden="1"/>
    <row r="6809" hidden="1"/>
    <row r="6810" hidden="1"/>
    <row r="6811" hidden="1"/>
    <row r="6812" hidden="1"/>
    <row r="6813" hidden="1"/>
    <row r="6814" hidden="1"/>
    <row r="6815" hidden="1"/>
    <row r="6816" hidden="1"/>
    <row r="6817" hidden="1"/>
    <row r="6818" hidden="1"/>
    <row r="6819" hidden="1"/>
    <row r="6820" hidden="1"/>
    <row r="6821" hidden="1"/>
    <row r="6822" hidden="1"/>
    <row r="6823" hidden="1"/>
    <row r="6824" hidden="1"/>
    <row r="6825" hidden="1"/>
    <row r="6826" hidden="1"/>
    <row r="6827" hidden="1"/>
    <row r="6828" hidden="1"/>
    <row r="6829" hidden="1"/>
    <row r="6830" hidden="1"/>
    <row r="6831" hidden="1"/>
    <row r="6832" hidden="1"/>
    <row r="6833" hidden="1"/>
    <row r="6834" hidden="1"/>
    <row r="6835" hidden="1"/>
    <row r="6836" hidden="1"/>
    <row r="6837" hidden="1"/>
    <row r="6838" hidden="1"/>
    <row r="6839" hidden="1"/>
    <row r="6840" hidden="1"/>
    <row r="6841" hidden="1"/>
    <row r="6842" hidden="1"/>
    <row r="6843" hidden="1"/>
    <row r="6844" hidden="1"/>
    <row r="6845" hidden="1"/>
    <row r="6846" hidden="1"/>
    <row r="6847" hidden="1"/>
    <row r="6848" hidden="1"/>
    <row r="6849" hidden="1"/>
    <row r="6850" hidden="1"/>
    <row r="6851" hidden="1"/>
    <row r="6852" hidden="1"/>
    <row r="6853" hidden="1"/>
    <row r="6854" hidden="1"/>
    <row r="6855" hidden="1"/>
    <row r="6856" hidden="1"/>
    <row r="6857" hidden="1"/>
    <row r="6858" hidden="1"/>
    <row r="6859" hidden="1"/>
    <row r="6860" hidden="1"/>
    <row r="6861" hidden="1"/>
    <row r="6862" hidden="1"/>
    <row r="6863" hidden="1"/>
    <row r="6864" hidden="1"/>
    <row r="6865" hidden="1"/>
    <row r="6866" hidden="1"/>
    <row r="6867" hidden="1"/>
    <row r="6868" hidden="1"/>
    <row r="6869" hidden="1"/>
    <row r="6870" hidden="1"/>
    <row r="6871" hidden="1"/>
    <row r="6872" hidden="1"/>
    <row r="6873" hidden="1"/>
    <row r="6874" hidden="1"/>
    <row r="6875" hidden="1"/>
    <row r="6876" hidden="1"/>
    <row r="6877" hidden="1"/>
    <row r="6878" hidden="1"/>
    <row r="6879" hidden="1"/>
    <row r="6880" hidden="1"/>
    <row r="6881" hidden="1"/>
    <row r="6882" hidden="1"/>
    <row r="6883" hidden="1"/>
    <row r="6884" hidden="1"/>
    <row r="6885" hidden="1"/>
    <row r="6886" hidden="1"/>
    <row r="6887" hidden="1"/>
    <row r="6888" hidden="1"/>
    <row r="6889" hidden="1"/>
    <row r="6890" hidden="1"/>
    <row r="6891" hidden="1"/>
    <row r="6892" hidden="1"/>
    <row r="6893" hidden="1"/>
    <row r="6894" hidden="1"/>
    <row r="6895" hidden="1"/>
    <row r="6896" hidden="1"/>
    <row r="6897" hidden="1"/>
    <row r="6898" hidden="1"/>
    <row r="6899" hidden="1"/>
    <row r="6900" hidden="1"/>
    <row r="6901" hidden="1"/>
    <row r="6902" hidden="1"/>
    <row r="6903" hidden="1"/>
    <row r="6904" hidden="1"/>
    <row r="6905" hidden="1"/>
    <row r="6906" hidden="1"/>
    <row r="6907" hidden="1"/>
    <row r="6908" hidden="1"/>
    <row r="6909" hidden="1"/>
    <row r="6910" hidden="1"/>
    <row r="6911" hidden="1"/>
    <row r="6912" hidden="1"/>
    <row r="6913" hidden="1"/>
    <row r="6914" hidden="1"/>
    <row r="6915" hidden="1"/>
    <row r="6916" hidden="1"/>
    <row r="6917" hidden="1"/>
    <row r="6918" hidden="1"/>
    <row r="6919" hidden="1"/>
    <row r="6920" hidden="1"/>
    <row r="6921" hidden="1"/>
    <row r="6922" hidden="1"/>
    <row r="6923" hidden="1"/>
    <row r="6924" hidden="1"/>
    <row r="6925" hidden="1"/>
    <row r="6926" hidden="1"/>
    <row r="6927" hidden="1"/>
    <row r="6928" hidden="1"/>
    <row r="6929" hidden="1"/>
    <row r="6930" hidden="1"/>
    <row r="6931" hidden="1"/>
    <row r="6932" hidden="1"/>
    <row r="6933" hidden="1"/>
    <row r="6934" hidden="1"/>
    <row r="6935" hidden="1"/>
    <row r="6936" hidden="1"/>
    <row r="6937" hidden="1"/>
    <row r="6938" hidden="1"/>
    <row r="6939" hidden="1"/>
    <row r="6940" hidden="1"/>
    <row r="6941" hidden="1"/>
    <row r="6942" hidden="1"/>
    <row r="6943" hidden="1"/>
    <row r="6944" hidden="1"/>
    <row r="6945" hidden="1"/>
    <row r="6946" hidden="1"/>
    <row r="6947" hidden="1"/>
    <row r="6948" hidden="1"/>
    <row r="6949" hidden="1"/>
    <row r="6950" hidden="1"/>
    <row r="6951" hidden="1"/>
    <row r="6952" hidden="1"/>
    <row r="6953" hidden="1"/>
    <row r="6954" hidden="1"/>
    <row r="6955" hidden="1"/>
    <row r="6956" hidden="1"/>
    <row r="6957" hidden="1"/>
    <row r="6958" hidden="1"/>
    <row r="6959" hidden="1"/>
    <row r="6960" hidden="1"/>
    <row r="6961" hidden="1"/>
    <row r="6962" hidden="1"/>
    <row r="6963" hidden="1"/>
    <row r="6964" hidden="1"/>
    <row r="6965" hidden="1"/>
    <row r="6966" hidden="1"/>
    <row r="6967" hidden="1"/>
    <row r="6968" hidden="1"/>
    <row r="6969" hidden="1"/>
    <row r="6970" hidden="1"/>
    <row r="6971" hidden="1"/>
    <row r="6972" hidden="1"/>
    <row r="6973" hidden="1"/>
    <row r="6974" hidden="1"/>
    <row r="6975" hidden="1"/>
    <row r="6976" hidden="1"/>
    <row r="6977" hidden="1"/>
    <row r="6978" hidden="1"/>
    <row r="6979" hidden="1"/>
    <row r="6980" hidden="1"/>
    <row r="6981" hidden="1"/>
    <row r="6982" hidden="1"/>
    <row r="6983" hidden="1"/>
    <row r="6984" hidden="1"/>
    <row r="6985" hidden="1"/>
    <row r="6986" hidden="1"/>
    <row r="6987" hidden="1"/>
    <row r="6988" hidden="1"/>
    <row r="6989" hidden="1"/>
    <row r="6990" hidden="1"/>
    <row r="6991" hidden="1"/>
    <row r="6992" hidden="1"/>
    <row r="6993" hidden="1"/>
    <row r="6994" hidden="1"/>
    <row r="6995" hidden="1"/>
    <row r="6996" hidden="1"/>
    <row r="6997" hidden="1"/>
    <row r="6998" hidden="1"/>
    <row r="6999" hidden="1"/>
    <row r="7000" hidden="1"/>
    <row r="7001" hidden="1"/>
    <row r="7002" hidden="1"/>
    <row r="7003" hidden="1"/>
    <row r="7004" hidden="1"/>
    <row r="7005" hidden="1"/>
    <row r="7006" hidden="1"/>
    <row r="7007" hidden="1"/>
    <row r="7008" hidden="1"/>
    <row r="7009" hidden="1"/>
    <row r="7010" hidden="1"/>
    <row r="7011" hidden="1"/>
    <row r="7012" hidden="1"/>
    <row r="7013" hidden="1"/>
    <row r="7014" hidden="1"/>
    <row r="7015" hidden="1"/>
    <row r="7016" hidden="1"/>
    <row r="7017" hidden="1"/>
    <row r="7018" hidden="1"/>
    <row r="7019" hidden="1"/>
    <row r="7020" hidden="1"/>
    <row r="7021" hidden="1"/>
    <row r="7022" hidden="1"/>
    <row r="7023" hidden="1"/>
    <row r="7024" hidden="1"/>
    <row r="7025" hidden="1"/>
    <row r="7026" hidden="1"/>
    <row r="7027" hidden="1"/>
    <row r="7028" hidden="1"/>
    <row r="7029" hidden="1"/>
    <row r="7030" hidden="1"/>
    <row r="7031" hidden="1"/>
    <row r="7032" hidden="1"/>
    <row r="7033" hidden="1"/>
    <row r="7034" hidden="1"/>
    <row r="7035" hidden="1"/>
    <row r="7036" hidden="1"/>
    <row r="7037" hidden="1"/>
    <row r="7038" hidden="1"/>
    <row r="7039" hidden="1"/>
    <row r="7040" hidden="1"/>
    <row r="7041" hidden="1"/>
    <row r="7042" hidden="1"/>
    <row r="7043" hidden="1"/>
    <row r="7044" hidden="1"/>
    <row r="7045" hidden="1"/>
    <row r="7046" hidden="1"/>
    <row r="7047" hidden="1"/>
    <row r="7048" hidden="1"/>
    <row r="7049" hidden="1"/>
    <row r="7050" hidden="1"/>
    <row r="7051" hidden="1"/>
    <row r="7052" hidden="1"/>
    <row r="7053" hidden="1"/>
    <row r="7054" hidden="1"/>
    <row r="7055" hidden="1"/>
    <row r="7056" hidden="1"/>
    <row r="7057" hidden="1"/>
    <row r="7058" hidden="1"/>
    <row r="7059" hidden="1"/>
    <row r="7060" hidden="1"/>
    <row r="7061" hidden="1"/>
    <row r="7062" hidden="1"/>
    <row r="7063" hidden="1"/>
    <row r="7064" hidden="1"/>
    <row r="7065" hidden="1"/>
    <row r="7066" hidden="1"/>
    <row r="7067" hidden="1"/>
    <row r="7068" hidden="1"/>
    <row r="7069" hidden="1"/>
    <row r="7070" hidden="1"/>
    <row r="7071" hidden="1"/>
    <row r="7072" hidden="1"/>
    <row r="7073" hidden="1"/>
    <row r="7074" hidden="1"/>
    <row r="7075" hidden="1"/>
    <row r="7076" hidden="1"/>
    <row r="7077" hidden="1"/>
    <row r="7078" hidden="1"/>
    <row r="7079" hidden="1"/>
    <row r="7080" hidden="1"/>
    <row r="7081" hidden="1"/>
    <row r="7082" hidden="1"/>
    <row r="7083" hidden="1"/>
    <row r="7084" hidden="1"/>
    <row r="7085" hidden="1"/>
    <row r="7086" hidden="1"/>
    <row r="7087" hidden="1"/>
    <row r="7088" hidden="1"/>
    <row r="7089" hidden="1"/>
    <row r="7090" hidden="1"/>
    <row r="7091" hidden="1"/>
    <row r="7092" hidden="1"/>
    <row r="7093" hidden="1"/>
    <row r="7094" hidden="1"/>
    <row r="7095" hidden="1"/>
    <row r="7096" hidden="1"/>
    <row r="7097" hidden="1"/>
    <row r="7098" hidden="1"/>
    <row r="7099" hidden="1"/>
    <row r="7100" hidden="1"/>
    <row r="7101" hidden="1"/>
    <row r="7102" hidden="1"/>
    <row r="7103" hidden="1"/>
    <row r="7104" hidden="1"/>
    <row r="7105" hidden="1"/>
    <row r="7106" hidden="1"/>
    <row r="7107" hidden="1"/>
    <row r="7108" hidden="1"/>
    <row r="7109" hidden="1"/>
    <row r="7110" hidden="1"/>
    <row r="7111" hidden="1"/>
    <row r="7112" hidden="1"/>
    <row r="7113" hidden="1"/>
    <row r="7114" hidden="1"/>
    <row r="7115" hidden="1"/>
    <row r="7116" hidden="1"/>
    <row r="7117" hidden="1"/>
    <row r="7118" hidden="1"/>
    <row r="7119" hidden="1"/>
    <row r="7120" hidden="1"/>
    <row r="7121" hidden="1"/>
    <row r="7122" hidden="1"/>
    <row r="7123" hidden="1"/>
    <row r="7124" hidden="1"/>
    <row r="7125" hidden="1"/>
    <row r="7126" hidden="1"/>
    <row r="7127" hidden="1"/>
    <row r="7128" hidden="1"/>
    <row r="7129" hidden="1"/>
    <row r="7130" hidden="1"/>
    <row r="7131" hidden="1"/>
    <row r="7132" hidden="1"/>
    <row r="7133" hidden="1"/>
    <row r="7134" hidden="1"/>
    <row r="7135" hidden="1"/>
    <row r="7136" hidden="1"/>
    <row r="7137" hidden="1"/>
    <row r="7138" hidden="1"/>
    <row r="7139" hidden="1"/>
    <row r="7140" hidden="1"/>
    <row r="7141" hidden="1"/>
    <row r="7142" hidden="1"/>
    <row r="7143" hidden="1"/>
    <row r="7144" hidden="1"/>
    <row r="7145" hidden="1"/>
    <row r="7146" hidden="1"/>
    <row r="7147" hidden="1"/>
    <row r="7148" hidden="1"/>
    <row r="7149" hidden="1"/>
    <row r="7150" hidden="1"/>
    <row r="7151" hidden="1"/>
    <row r="7152" hidden="1"/>
    <row r="7153" hidden="1"/>
    <row r="7154" hidden="1"/>
    <row r="7155" hidden="1"/>
    <row r="7156" hidden="1"/>
    <row r="7157" hidden="1"/>
    <row r="7158" hidden="1"/>
    <row r="7159" hidden="1"/>
    <row r="7160" hidden="1"/>
    <row r="7161" hidden="1"/>
    <row r="7162" hidden="1"/>
    <row r="7163" hidden="1"/>
    <row r="7164" hidden="1"/>
    <row r="7165" hidden="1"/>
    <row r="7166" hidden="1"/>
    <row r="7167" hidden="1"/>
    <row r="7168" hidden="1"/>
    <row r="7169" hidden="1"/>
    <row r="7170" hidden="1"/>
    <row r="7171" hidden="1"/>
    <row r="7172" hidden="1"/>
    <row r="7173" hidden="1"/>
    <row r="7174" hidden="1"/>
    <row r="7175" hidden="1"/>
    <row r="7176" hidden="1"/>
    <row r="7177" hidden="1"/>
    <row r="7178" hidden="1"/>
    <row r="7179" hidden="1"/>
    <row r="7180" hidden="1"/>
    <row r="7181" hidden="1"/>
    <row r="7182" hidden="1"/>
    <row r="7183" hidden="1"/>
    <row r="7184" hidden="1"/>
    <row r="7185" hidden="1"/>
    <row r="7186" hidden="1"/>
    <row r="7187" hidden="1"/>
    <row r="7188" hidden="1"/>
    <row r="7189" hidden="1"/>
    <row r="7190" hidden="1"/>
    <row r="7191" hidden="1"/>
    <row r="7192" hidden="1"/>
    <row r="7193" hidden="1"/>
    <row r="7194" hidden="1"/>
    <row r="7195" hidden="1"/>
    <row r="7196" hidden="1"/>
    <row r="7197" hidden="1"/>
    <row r="7198" hidden="1"/>
    <row r="7199" hidden="1"/>
    <row r="7200" hidden="1"/>
    <row r="7201" hidden="1"/>
    <row r="7202" hidden="1"/>
    <row r="7203" hidden="1"/>
    <row r="7204" hidden="1"/>
    <row r="7205" hidden="1"/>
    <row r="7206" hidden="1"/>
    <row r="7207" hidden="1"/>
    <row r="7208" hidden="1"/>
    <row r="7209" hidden="1"/>
    <row r="7210" hidden="1"/>
    <row r="7211" hidden="1"/>
    <row r="7212" hidden="1"/>
    <row r="7213" hidden="1"/>
    <row r="7214" hidden="1"/>
    <row r="7215" hidden="1"/>
    <row r="7216" hidden="1"/>
    <row r="7217" hidden="1"/>
    <row r="7218" hidden="1"/>
    <row r="7219" hidden="1"/>
    <row r="7220" hidden="1"/>
    <row r="7221" hidden="1"/>
    <row r="7222" hidden="1"/>
    <row r="7223" hidden="1"/>
    <row r="7224" hidden="1"/>
    <row r="7225" hidden="1"/>
    <row r="7226" hidden="1"/>
    <row r="7227" hidden="1"/>
    <row r="7228" hidden="1"/>
    <row r="7229" hidden="1"/>
    <row r="7230" hidden="1"/>
    <row r="7231" hidden="1"/>
    <row r="7232" hidden="1"/>
    <row r="7233" hidden="1"/>
    <row r="7234" hidden="1"/>
    <row r="7235" hidden="1"/>
    <row r="7236" hidden="1"/>
    <row r="7237" hidden="1"/>
    <row r="7238" hidden="1"/>
    <row r="7239" hidden="1"/>
    <row r="7240" hidden="1"/>
    <row r="7241" hidden="1"/>
    <row r="7242" hidden="1"/>
    <row r="7243" hidden="1"/>
    <row r="7244" hidden="1"/>
    <row r="7245" hidden="1"/>
    <row r="7246" hidden="1"/>
    <row r="7247" hidden="1"/>
    <row r="7248" hidden="1"/>
    <row r="7249" hidden="1"/>
    <row r="7250" hidden="1"/>
    <row r="7251" hidden="1"/>
    <row r="7252" hidden="1"/>
    <row r="7253" hidden="1"/>
    <row r="7254" hidden="1"/>
    <row r="7255" hidden="1"/>
    <row r="7256" hidden="1"/>
    <row r="7257" hidden="1"/>
    <row r="7258" hidden="1"/>
    <row r="7259" hidden="1"/>
    <row r="7260" hidden="1"/>
    <row r="7261" hidden="1"/>
    <row r="7262" hidden="1"/>
    <row r="7263" hidden="1"/>
    <row r="7264" hidden="1"/>
    <row r="7265" hidden="1"/>
    <row r="7266" hidden="1"/>
    <row r="7267" hidden="1"/>
    <row r="7268" hidden="1"/>
    <row r="7269" hidden="1"/>
    <row r="7270" hidden="1"/>
    <row r="7271" hidden="1"/>
    <row r="7272" hidden="1"/>
    <row r="7273" hidden="1"/>
    <row r="7274" hidden="1"/>
    <row r="7275" hidden="1"/>
    <row r="7276" hidden="1"/>
    <row r="7277" hidden="1"/>
    <row r="7278" hidden="1"/>
    <row r="7279" hidden="1"/>
    <row r="7280" hidden="1"/>
    <row r="7281" hidden="1"/>
    <row r="7282" hidden="1"/>
    <row r="7283" hidden="1"/>
    <row r="7284" hidden="1"/>
    <row r="7285" hidden="1"/>
    <row r="7286" hidden="1"/>
    <row r="7287" hidden="1"/>
    <row r="7288" hidden="1"/>
    <row r="7289" hidden="1"/>
    <row r="7290" hidden="1"/>
    <row r="7291" hidden="1"/>
    <row r="7292" hidden="1"/>
    <row r="7293" hidden="1"/>
    <row r="7294" hidden="1"/>
    <row r="7295" hidden="1"/>
    <row r="7296" hidden="1"/>
    <row r="7297" hidden="1"/>
    <row r="7298" hidden="1"/>
    <row r="7299" hidden="1"/>
    <row r="7300" hidden="1"/>
    <row r="7301" hidden="1"/>
    <row r="7302" hidden="1"/>
    <row r="7303" hidden="1"/>
    <row r="7304" hidden="1"/>
    <row r="7305" hidden="1"/>
    <row r="7306" hidden="1"/>
    <row r="7307" hidden="1"/>
    <row r="7308" hidden="1"/>
    <row r="7309" hidden="1"/>
    <row r="7310" hidden="1"/>
    <row r="7311" hidden="1"/>
    <row r="7312" hidden="1"/>
    <row r="7313" hidden="1"/>
    <row r="7314" hidden="1"/>
    <row r="7315" hidden="1"/>
    <row r="7316" hidden="1"/>
    <row r="7317" hidden="1"/>
    <row r="7318" hidden="1"/>
    <row r="7319" hidden="1"/>
    <row r="7320" hidden="1"/>
    <row r="7321" hidden="1"/>
    <row r="7322" hidden="1"/>
    <row r="7323" hidden="1"/>
    <row r="7324" hidden="1"/>
    <row r="7325" hidden="1"/>
    <row r="7326" hidden="1"/>
    <row r="7327" hidden="1"/>
    <row r="7328" hidden="1"/>
    <row r="7329" hidden="1"/>
    <row r="7330" hidden="1"/>
    <row r="7331" hidden="1"/>
    <row r="7332" hidden="1"/>
    <row r="7333" hidden="1"/>
    <row r="7334" hidden="1"/>
    <row r="7335" hidden="1"/>
    <row r="7336" hidden="1"/>
    <row r="7337" hidden="1"/>
    <row r="7338" hidden="1"/>
    <row r="7339" hidden="1"/>
    <row r="7340" hidden="1"/>
    <row r="7341" hidden="1"/>
    <row r="7342" hidden="1"/>
    <row r="7343" hidden="1"/>
    <row r="7344" hidden="1"/>
    <row r="7345" hidden="1"/>
    <row r="7346" hidden="1"/>
    <row r="7347" hidden="1"/>
    <row r="7348" hidden="1"/>
    <row r="7349" hidden="1"/>
    <row r="7350" hidden="1"/>
    <row r="7351" hidden="1"/>
    <row r="7352" hidden="1"/>
    <row r="7353" hidden="1"/>
    <row r="7354" hidden="1"/>
    <row r="7355" hidden="1"/>
    <row r="7356" hidden="1"/>
    <row r="7357" hidden="1"/>
    <row r="7358" hidden="1"/>
    <row r="7359" hidden="1"/>
    <row r="7360" hidden="1"/>
    <row r="7361" hidden="1"/>
    <row r="7362" hidden="1"/>
    <row r="7363" hidden="1"/>
    <row r="7364" hidden="1"/>
    <row r="7365" hidden="1"/>
    <row r="7366" hidden="1"/>
    <row r="7367" hidden="1"/>
    <row r="7368" hidden="1"/>
    <row r="7369" hidden="1"/>
    <row r="7370" hidden="1"/>
    <row r="7371" hidden="1"/>
    <row r="7372" hidden="1"/>
    <row r="7373" hidden="1"/>
    <row r="7374" hidden="1"/>
    <row r="7375" hidden="1"/>
    <row r="7376" hidden="1"/>
    <row r="7377" hidden="1"/>
    <row r="7378" hidden="1"/>
    <row r="7379" hidden="1"/>
    <row r="7380" hidden="1"/>
    <row r="7381" hidden="1"/>
    <row r="7382" hidden="1"/>
    <row r="7383" hidden="1"/>
    <row r="7384" hidden="1"/>
    <row r="7385" hidden="1"/>
    <row r="7386" hidden="1"/>
    <row r="7387" hidden="1"/>
    <row r="7388" hidden="1"/>
    <row r="7389" hidden="1"/>
    <row r="7390" hidden="1"/>
    <row r="7391" hidden="1"/>
    <row r="7392" hidden="1"/>
    <row r="7393" hidden="1"/>
    <row r="7394" hidden="1"/>
    <row r="7395" hidden="1"/>
    <row r="7396" hidden="1"/>
    <row r="7397" hidden="1"/>
    <row r="7398" hidden="1"/>
    <row r="7399" hidden="1"/>
    <row r="7400" hidden="1"/>
    <row r="7401" hidden="1"/>
    <row r="7402" hidden="1"/>
    <row r="7403" hidden="1"/>
    <row r="7404" hidden="1"/>
    <row r="7405" hidden="1"/>
    <row r="7406" hidden="1"/>
    <row r="7407" hidden="1"/>
    <row r="7408" hidden="1"/>
    <row r="7409" hidden="1"/>
    <row r="7410" hidden="1"/>
    <row r="7411" hidden="1"/>
    <row r="7412" hidden="1"/>
    <row r="7413" hidden="1"/>
    <row r="7414" hidden="1"/>
    <row r="7415" hidden="1"/>
    <row r="7416" hidden="1"/>
    <row r="7417" hidden="1"/>
    <row r="7418" hidden="1"/>
    <row r="7419" hidden="1"/>
    <row r="7420" hidden="1"/>
    <row r="7421" hidden="1"/>
    <row r="7422" hidden="1"/>
    <row r="7423" hidden="1"/>
    <row r="7424" hidden="1"/>
    <row r="7425" hidden="1"/>
    <row r="7426" hidden="1"/>
    <row r="7427" hidden="1"/>
    <row r="7428" hidden="1"/>
    <row r="7429" hidden="1"/>
    <row r="7430" hidden="1"/>
    <row r="7431" hidden="1"/>
    <row r="7432" hidden="1"/>
    <row r="7433" hidden="1"/>
    <row r="7434" hidden="1"/>
    <row r="7435" hidden="1"/>
    <row r="7436" hidden="1"/>
    <row r="7437" hidden="1"/>
    <row r="7438" hidden="1"/>
    <row r="7439" hidden="1"/>
    <row r="7440" hidden="1"/>
    <row r="7441" hidden="1"/>
    <row r="7442" hidden="1"/>
    <row r="7443" hidden="1"/>
    <row r="7444" hidden="1"/>
    <row r="7445" hidden="1"/>
    <row r="7446" hidden="1"/>
    <row r="7447" hidden="1"/>
    <row r="7448" hidden="1"/>
    <row r="7449" hidden="1"/>
    <row r="7450" hidden="1"/>
    <row r="7451" hidden="1"/>
    <row r="7452" hidden="1"/>
    <row r="7453" hidden="1"/>
    <row r="7454" hidden="1"/>
    <row r="7455" hidden="1"/>
    <row r="7456" hidden="1"/>
    <row r="7457" hidden="1"/>
    <row r="7458" hidden="1"/>
    <row r="7459" hidden="1"/>
    <row r="7460" hidden="1"/>
    <row r="7461" hidden="1"/>
    <row r="7462" hidden="1"/>
    <row r="7463" hidden="1"/>
    <row r="7464" hidden="1"/>
    <row r="7465" hidden="1"/>
    <row r="7466" hidden="1"/>
    <row r="7467" hidden="1"/>
    <row r="7468" hidden="1"/>
    <row r="7469" hidden="1"/>
    <row r="7470" hidden="1"/>
    <row r="7471" hidden="1"/>
    <row r="7472" hidden="1"/>
    <row r="7473" hidden="1"/>
    <row r="7474" hidden="1"/>
    <row r="7475" hidden="1"/>
    <row r="7476" hidden="1"/>
    <row r="7477" hidden="1"/>
    <row r="7478" hidden="1"/>
    <row r="7479" hidden="1"/>
    <row r="7480" hidden="1"/>
    <row r="7481" hidden="1"/>
    <row r="7482" hidden="1"/>
    <row r="7483" hidden="1"/>
    <row r="7484" hidden="1"/>
    <row r="7485" hidden="1"/>
    <row r="7486" hidden="1"/>
    <row r="7487" hidden="1"/>
    <row r="7488" hidden="1"/>
    <row r="7489" hidden="1"/>
    <row r="7490" hidden="1"/>
    <row r="7491" hidden="1"/>
    <row r="7492" hidden="1"/>
    <row r="7493" hidden="1"/>
    <row r="7494" hidden="1"/>
    <row r="7495" hidden="1"/>
    <row r="7496" hidden="1"/>
    <row r="7497" hidden="1"/>
    <row r="7498" hidden="1"/>
    <row r="7499" hidden="1"/>
    <row r="7500" hidden="1"/>
    <row r="7501" hidden="1"/>
    <row r="7502" hidden="1"/>
    <row r="7503" hidden="1"/>
    <row r="7504" hidden="1"/>
    <row r="7505" hidden="1"/>
    <row r="7506" hidden="1"/>
    <row r="7507" hidden="1"/>
    <row r="7508" hidden="1"/>
    <row r="7509" hidden="1"/>
    <row r="7510" hidden="1"/>
    <row r="7511" hidden="1"/>
    <row r="7512" hidden="1"/>
    <row r="7513" hidden="1"/>
    <row r="7514" hidden="1"/>
    <row r="7515" hidden="1"/>
    <row r="7516" hidden="1"/>
    <row r="7517" hidden="1"/>
    <row r="7518" hidden="1"/>
    <row r="7519" hidden="1"/>
    <row r="7520" hidden="1"/>
    <row r="7521" hidden="1"/>
    <row r="7522" hidden="1"/>
    <row r="7523" hidden="1"/>
    <row r="7524" hidden="1"/>
    <row r="7525" hidden="1"/>
    <row r="7526" hidden="1"/>
    <row r="7527" hidden="1"/>
    <row r="7528" hidden="1"/>
    <row r="7529" hidden="1"/>
    <row r="7530" hidden="1"/>
    <row r="7531" hidden="1"/>
    <row r="7532" hidden="1"/>
    <row r="7533" hidden="1"/>
    <row r="7534" hidden="1"/>
    <row r="7535" hidden="1"/>
    <row r="7536" hidden="1"/>
    <row r="7537" hidden="1"/>
    <row r="7538" hidden="1"/>
    <row r="7539" hidden="1"/>
    <row r="7540" hidden="1"/>
    <row r="7541" hidden="1"/>
    <row r="7542" hidden="1"/>
    <row r="7543" hidden="1"/>
    <row r="7544" hidden="1"/>
    <row r="7545" hidden="1"/>
    <row r="7546" hidden="1"/>
    <row r="7547" hidden="1"/>
    <row r="7548" hidden="1"/>
    <row r="7549" hidden="1"/>
    <row r="7550" hidden="1"/>
    <row r="7551" hidden="1"/>
    <row r="7552" hidden="1"/>
    <row r="7553" hidden="1"/>
    <row r="7554" hidden="1"/>
    <row r="7555" hidden="1"/>
    <row r="7556" hidden="1"/>
    <row r="7557" hidden="1"/>
    <row r="7558" hidden="1"/>
    <row r="7559" hidden="1"/>
    <row r="7560" hidden="1"/>
    <row r="7561" hidden="1"/>
    <row r="7562" hidden="1"/>
    <row r="7563" hidden="1"/>
    <row r="7564" hidden="1"/>
    <row r="7565" hidden="1"/>
    <row r="7566" hidden="1"/>
    <row r="7567" hidden="1"/>
    <row r="7568" hidden="1"/>
    <row r="7569" hidden="1"/>
    <row r="7570" hidden="1"/>
    <row r="7571" hidden="1"/>
    <row r="7572" hidden="1"/>
    <row r="7573" hidden="1"/>
    <row r="7574" hidden="1"/>
    <row r="7575" hidden="1"/>
    <row r="7576" hidden="1"/>
    <row r="7577" hidden="1"/>
    <row r="7578" hidden="1"/>
    <row r="7579" hidden="1"/>
    <row r="7580" hidden="1"/>
    <row r="7581" hidden="1"/>
    <row r="7582" hidden="1"/>
    <row r="7583" hidden="1"/>
    <row r="7584" hidden="1"/>
    <row r="7585" hidden="1"/>
    <row r="7586" hidden="1"/>
    <row r="7587" hidden="1"/>
    <row r="7588" hidden="1"/>
    <row r="7589" hidden="1"/>
    <row r="7590" hidden="1"/>
    <row r="7591" hidden="1"/>
    <row r="7592" hidden="1"/>
    <row r="7593" hidden="1"/>
    <row r="7594" hidden="1"/>
    <row r="7595" hidden="1"/>
    <row r="7596" hidden="1"/>
    <row r="7597" hidden="1"/>
    <row r="7598" hidden="1"/>
    <row r="7599" hidden="1"/>
    <row r="7600" hidden="1"/>
    <row r="7601" spans="1:4" hidden="1"/>
    <row r="7602" spans="1:4" hidden="1"/>
    <row r="7603" spans="1:4" hidden="1"/>
    <row r="7604" spans="1:4" hidden="1"/>
    <row r="7605" spans="1:4" ht="18">
      <c r="A7605" s="10" t="s">
        <v>2860</v>
      </c>
    </row>
    <row r="7606" spans="1:4">
      <c r="A7606" s="9" t="s">
        <v>2230</v>
      </c>
      <c r="B7606" s="9" t="s">
        <v>2235</v>
      </c>
      <c r="C7606" t="s">
        <v>4442</v>
      </c>
      <c r="D7606" t="s">
        <v>2861</v>
      </c>
    </row>
    <row r="7607" spans="1:4">
      <c r="A7607" t="s">
        <v>2841</v>
      </c>
      <c r="B7607" t="s">
        <v>2277</v>
      </c>
      <c r="C7607" s="66">
        <v>33547.870000000003</v>
      </c>
      <c r="D7607" s="66">
        <v>0</v>
      </c>
    </row>
    <row r="7608" spans="1:4">
      <c r="A7608" t="s">
        <v>2272</v>
      </c>
      <c r="B7608" t="s">
        <v>2264</v>
      </c>
      <c r="C7608" s="66">
        <v>7104.77</v>
      </c>
      <c r="D7608" s="66">
        <v>0</v>
      </c>
    </row>
    <row r="7609" spans="1:4">
      <c r="A7609" t="s">
        <v>2259</v>
      </c>
      <c r="B7609" t="s">
        <v>2264</v>
      </c>
      <c r="C7609" s="66">
        <v>7104.77</v>
      </c>
      <c r="D7609" s="66">
        <v>0</v>
      </c>
    </row>
    <row r="7610" spans="1:4">
      <c r="A7610" t="s">
        <v>3690</v>
      </c>
      <c r="B7610" t="s">
        <v>3677</v>
      </c>
      <c r="C7610" s="66">
        <v>518.20000000000005</v>
      </c>
      <c r="D7610" s="66">
        <v>0</v>
      </c>
    </row>
    <row r="7611" spans="1:4">
      <c r="A7611" t="s">
        <v>3684</v>
      </c>
      <c r="B7611" t="s">
        <v>3677</v>
      </c>
      <c r="C7611" s="66">
        <v>9956.73</v>
      </c>
      <c r="D7611" s="66">
        <v>0</v>
      </c>
    </row>
    <row r="7612" spans="1:4">
      <c r="A7612" t="s">
        <v>3674</v>
      </c>
      <c r="B7612" t="s">
        <v>3677</v>
      </c>
      <c r="C7612" s="66">
        <v>15530.55</v>
      </c>
      <c r="D7612" s="66">
        <v>0</v>
      </c>
    </row>
    <row r="7613" spans="1:4">
      <c r="A7613" t="s">
        <v>2294</v>
      </c>
      <c r="B7613" t="s">
        <v>2280</v>
      </c>
      <c r="C7613" s="66">
        <v>0</v>
      </c>
      <c r="D7613" s="66">
        <v>1464.91</v>
      </c>
    </row>
    <row r="7614" spans="1:4">
      <c r="A7614" t="s">
        <v>2746</v>
      </c>
      <c r="B7614" t="s">
        <v>2280</v>
      </c>
      <c r="C7614" s="66">
        <v>2186.85</v>
      </c>
      <c r="D7614" s="66">
        <v>0</v>
      </c>
    </row>
    <row r="7615" spans="1:4">
      <c r="A7615" t="s">
        <v>2720</v>
      </c>
      <c r="B7615" t="s">
        <v>2280</v>
      </c>
      <c r="C7615" s="66">
        <v>4470.63</v>
      </c>
      <c r="D7615" s="66">
        <v>0</v>
      </c>
    </row>
    <row r="7616" spans="1:4">
      <c r="A7616" t="s">
        <v>2729</v>
      </c>
      <c r="B7616" t="s">
        <v>2280</v>
      </c>
      <c r="C7616" s="66">
        <v>2765.42</v>
      </c>
      <c r="D7616" s="66">
        <v>0</v>
      </c>
    </row>
    <row r="7617" spans="1:4">
      <c r="A7617" t="s">
        <v>2742</v>
      </c>
      <c r="B7617" t="s">
        <v>2280</v>
      </c>
      <c r="C7617" s="66">
        <v>3419.35</v>
      </c>
      <c r="D7617" s="66">
        <v>0</v>
      </c>
    </row>
    <row r="7618" spans="1:4">
      <c r="A7618" t="s">
        <v>2710</v>
      </c>
      <c r="B7618" t="s">
        <v>2280</v>
      </c>
      <c r="C7618" s="66">
        <v>2916.44</v>
      </c>
      <c r="D7618" s="66">
        <v>0</v>
      </c>
    </row>
    <row r="7619" spans="1:4">
      <c r="A7619" t="s">
        <v>2735</v>
      </c>
      <c r="B7619" t="s">
        <v>2280</v>
      </c>
      <c r="C7619" s="66">
        <v>8418.35</v>
      </c>
      <c r="D7619" s="66">
        <v>0</v>
      </c>
    </row>
    <row r="7620" spans="1:4">
      <c r="A7620" t="s">
        <v>2276</v>
      </c>
      <c r="B7620" t="s">
        <v>2280</v>
      </c>
      <c r="C7620" s="66">
        <v>1926.94</v>
      </c>
      <c r="D7620" s="66">
        <v>0</v>
      </c>
    </row>
    <row r="7621" spans="1:4">
      <c r="A7621" t="s">
        <v>2286</v>
      </c>
      <c r="B7621" t="s">
        <v>2280</v>
      </c>
      <c r="C7621" s="66">
        <v>11952.71</v>
      </c>
      <c r="D7621" s="66">
        <v>0</v>
      </c>
    </row>
    <row r="7622" spans="1:4">
      <c r="A7622" t="s">
        <v>2751</v>
      </c>
      <c r="B7622" t="s">
        <v>2308</v>
      </c>
      <c r="C7622" s="66">
        <v>8418.35</v>
      </c>
      <c r="D7622" s="66">
        <v>0</v>
      </c>
    </row>
    <row r="7623" spans="1:4">
      <c r="A7623" t="s">
        <v>2323</v>
      </c>
      <c r="B7623" t="s">
        <v>2308</v>
      </c>
      <c r="C7623" s="66">
        <v>689.3599999999999</v>
      </c>
      <c r="D7623" s="66">
        <v>0</v>
      </c>
    </row>
    <row r="7624" spans="1:4">
      <c r="A7624" t="s">
        <v>2329</v>
      </c>
      <c r="B7624" t="s">
        <v>2308</v>
      </c>
      <c r="C7624" s="66">
        <v>7635.58</v>
      </c>
      <c r="D7624" s="66">
        <v>0</v>
      </c>
    </row>
    <row r="7625" spans="1:4">
      <c r="A7625" t="s">
        <v>2304</v>
      </c>
      <c r="B7625" t="s">
        <v>2308</v>
      </c>
      <c r="C7625" s="66">
        <v>3419.35</v>
      </c>
      <c r="D7625" s="66">
        <v>0</v>
      </c>
    </row>
    <row r="7626" spans="1:4">
      <c r="A7626" t="s">
        <v>2315</v>
      </c>
      <c r="B7626" t="s">
        <v>2308</v>
      </c>
      <c r="C7626" s="66">
        <v>2049.08</v>
      </c>
      <c r="D7626" s="66">
        <v>0</v>
      </c>
    </row>
    <row r="7627" spans="1:4">
      <c r="A7627" t="s">
        <v>2756</v>
      </c>
      <c r="B7627" t="s">
        <v>2308</v>
      </c>
      <c r="C7627" s="66">
        <v>8045.09</v>
      </c>
      <c r="D7627" s="66">
        <v>0</v>
      </c>
    </row>
    <row r="7628" spans="1:4">
      <c r="A7628" t="s">
        <v>2588</v>
      </c>
      <c r="B7628" t="s">
        <v>2308</v>
      </c>
      <c r="C7628" s="66">
        <v>396.47</v>
      </c>
      <c r="D7628" s="66">
        <v>0</v>
      </c>
    </row>
    <row r="7629" spans="1:4">
      <c r="A7629" t="s">
        <v>2335</v>
      </c>
      <c r="B7629" t="s">
        <v>2308</v>
      </c>
      <c r="C7629" s="66">
        <v>7104.77</v>
      </c>
      <c r="D7629" s="66">
        <v>0</v>
      </c>
    </row>
    <row r="7630" spans="1:4">
      <c r="A7630" t="s">
        <v>2563</v>
      </c>
      <c r="B7630" t="s">
        <v>2565</v>
      </c>
      <c r="C7630" s="66">
        <v>2964.75</v>
      </c>
      <c r="D7630" s="66">
        <v>0</v>
      </c>
    </row>
    <row r="7631" spans="1:4">
      <c r="A7631" t="s">
        <v>2621</v>
      </c>
      <c r="B7631" t="s">
        <v>2565</v>
      </c>
      <c r="C7631" s="66">
        <v>3186</v>
      </c>
      <c r="D7631" s="66">
        <v>0</v>
      </c>
    </row>
    <row r="7632" spans="1:4">
      <c r="A7632" t="s">
        <v>2681</v>
      </c>
      <c r="B7632" t="s">
        <v>2308</v>
      </c>
      <c r="C7632" s="66">
        <v>53.1</v>
      </c>
      <c r="D7632" s="66">
        <v>0</v>
      </c>
    </row>
    <row r="7633" spans="1:4">
      <c r="A7633" t="s">
        <v>2500</v>
      </c>
      <c r="B7633" t="s">
        <v>2308</v>
      </c>
      <c r="C7633" s="66">
        <v>53.1</v>
      </c>
      <c r="D7633" s="66">
        <v>0</v>
      </c>
    </row>
    <row r="7634" spans="1:4">
      <c r="A7634" t="s">
        <v>2611</v>
      </c>
      <c r="B7634" t="s">
        <v>2308</v>
      </c>
      <c r="C7634" s="66">
        <v>53.1</v>
      </c>
      <c r="D7634" s="66">
        <v>0</v>
      </c>
    </row>
    <row r="7635" spans="1:4">
      <c r="A7635" t="s">
        <v>2437</v>
      </c>
      <c r="B7635" t="s">
        <v>2308</v>
      </c>
      <c r="C7635" s="66">
        <v>53.1</v>
      </c>
      <c r="D7635" s="66">
        <v>0</v>
      </c>
    </row>
    <row r="7636" spans="1:4">
      <c r="A7636" t="s">
        <v>2554</v>
      </c>
      <c r="B7636" t="s">
        <v>2308</v>
      </c>
      <c r="C7636" s="66">
        <v>53.1</v>
      </c>
      <c r="D7636" s="66">
        <v>0</v>
      </c>
    </row>
    <row r="7637" spans="1:4">
      <c r="A7637" t="s">
        <v>2382</v>
      </c>
      <c r="B7637" t="s">
        <v>2308</v>
      </c>
      <c r="C7637" s="66">
        <v>53.1</v>
      </c>
      <c r="D7637" s="66">
        <v>0</v>
      </c>
    </row>
    <row r="7638" spans="1:4">
      <c r="A7638" t="s">
        <v>2404</v>
      </c>
      <c r="B7638" t="s">
        <v>2308</v>
      </c>
      <c r="C7638" s="66">
        <v>53.1</v>
      </c>
      <c r="D7638" s="66">
        <v>0</v>
      </c>
    </row>
    <row r="7639" spans="1:4">
      <c r="A7639" t="s">
        <v>2585</v>
      </c>
      <c r="B7639" t="s">
        <v>2308</v>
      </c>
      <c r="C7639" s="66">
        <v>53.1</v>
      </c>
      <c r="D7639" s="66">
        <v>0</v>
      </c>
    </row>
    <row r="7640" spans="1:4">
      <c r="A7640" t="s">
        <v>2354</v>
      </c>
      <c r="B7640" t="s">
        <v>2308</v>
      </c>
      <c r="C7640" s="66">
        <v>53.1</v>
      </c>
      <c r="D7640" s="66">
        <v>0</v>
      </c>
    </row>
    <row r="7641" spans="1:4">
      <c r="A7641" t="s">
        <v>2652</v>
      </c>
      <c r="B7641" t="s">
        <v>2308</v>
      </c>
      <c r="C7641" s="66">
        <v>53.1</v>
      </c>
      <c r="D7641" s="66">
        <v>0</v>
      </c>
    </row>
    <row r="7642" spans="1:4">
      <c r="A7642" t="s">
        <v>2446</v>
      </c>
      <c r="B7642" t="s">
        <v>2342</v>
      </c>
      <c r="C7642" s="66">
        <v>53.1</v>
      </c>
      <c r="D7642" s="66">
        <v>0</v>
      </c>
    </row>
    <row r="7643" spans="1:4">
      <c r="A7643" t="s">
        <v>2536</v>
      </c>
      <c r="B7643" t="s">
        <v>2342</v>
      </c>
      <c r="C7643" s="66">
        <v>53.1</v>
      </c>
      <c r="D7643" s="66">
        <v>0</v>
      </c>
    </row>
    <row r="7644" spans="1:4">
      <c r="A7644" t="s">
        <v>2667</v>
      </c>
      <c r="B7644" t="s">
        <v>2342</v>
      </c>
      <c r="C7644" s="66">
        <v>53.1</v>
      </c>
      <c r="D7644" s="66">
        <v>0</v>
      </c>
    </row>
    <row r="7645" spans="1:4">
      <c r="A7645" t="s">
        <v>2459</v>
      </c>
      <c r="B7645" t="s">
        <v>2342</v>
      </c>
      <c r="C7645" s="66">
        <v>53.1</v>
      </c>
      <c r="D7645" s="66">
        <v>0</v>
      </c>
    </row>
    <row r="7646" spans="1:4">
      <c r="A7646" t="s">
        <v>2777</v>
      </c>
      <c r="B7646" t="s">
        <v>2342</v>
      </c>
      <c r="C7646" s="66">
        <v>53.1</v>
      </c>
      <c r="D7646" s="66">
        <v>0</v>
      </c>
    </row>
    <row r="7647" spans="1:4">
      <c r="A7647" t="s">
        <v>2657</v>
      </c>
      <c r="B7647" t="s">
        <v>2342</v>
      </c>
      <c r="C7647" s="66">
        <v>61.95</v>
      </c>
      <c r="D7647" s="66">
        <v>0</v>
      </c>
    </row>
    <row r="7648" spans="1:4">
      <c r="A7648" t="s">
        <v>2633</v>
      </c>
      <c r="B7648" t="s">
        <v>2342</v>
      </c>
      <c r="C7648" s="66">
        <v>61.95</v>
      </c>
      <c r="D7648" s="66">
        <v>0</v>
      </c>
    </row>
    <row r="7649" spans="1:4">
      <c r="A7649" t="s">
        <v>2470</v>
      </c>
      <c r="B7649" t="s">
        <v>2342</v>
      </c>
      <c r="C7649" s="66">
        <v>61.95</v>
      </c>
      <c r="D7649" s="66">
        <v>0</v>
      </c>
    </row>
    <row r="7650" spans="1:4">
      <c r="A7650" t="s">
        <v>2638</v>
      </c>
      <c r="B7650" t="s">
        <v>2342</v>
      </c>
      <c r="C7650" s="66">
        <v>61.95</v>
      </c>
      <c r="D7650" s="66">
        <v>0</v>
      </c>
    </row>
    <row r="7651" spans="1:4">
      <c r="A7651" t="s">
        <v>2648</v>
      </c>
      <c r="B7651" t="s">
        <v>2342</v>
      </c>
      <c r="C7651" s="66">
        <v>61.95</v>
      </c>
      <c r="D7651" s="66">
        <v>0</v>
      </c>
    </row>
    <row r="7652" spans="1:4">
      <c r="A7652" t="s">
        <v>2596</v>
      </c>
      <c r="B7652" t="s">
        <v>2342</v>
      </c>
      <c r="C7652" s="66">
        <v>61.95</v>
      </c>
      <c r="D7652" s="66">
        <v>0</v>
      </c>
    </row>
    <row r="7653" spans="1:4">
      <c r="A7653" t="s">
        <v>2432</v>
      </c>
      <c r="B7653" t="s">
        <v>2342</v>
      </c>
      <c r="C7653" s="66">
        <v>61.95</v>
      </c>
      <c r="D7653" s="66">
        <v>0</v>
      </c>
    </row>
    <row r="7654" spans="1:4">
      <c r="A7654" t="s">
        <v>2376</v>
      </c>
      <c r="B7654" t="s">
        <v>2342</v>
      </c>
      <c r="C7654" s="66">
        <v>61.95</v>
      </c>
      <c r="D7654" s="66">
        <v>0</v>
      </c>
    </row>
    <row r="7655" spans="1:4">
      <c r="A7655" t="s">
        <v>2570</v>
      </c>
      <c r="B7655" t="s">
        <v>2342</v>
      </c>
      <c r="C7655" s="66">
        <v>61.95</v>
      </c>
      <c r="D7655" s="66">
        <v>0</v>
      </c>
    </row>
    <row r="7656" spans="1:4">
      <c r="A7656" t="s">
        <v>2365</v>
      </c>
      <c r="B7656" t="s">
        <v>2342</v>
      </c>
      <c r="C7656" s="66">
        <v>61.95</v>
      </c>
      <c r="D7656" s="66">
        <v>0</v>
      </c>
    </row>
    <row r="7657" spans="1:4">
      <c r="A7657" t="s">
        <v>2558</v>
      </c>
      <c r="B7657" t="s">
        <v>2342</v>
      </c>
      <c r="C7657" s="66">
        <v>61.95</v>
      </c>
      <c r="D7657" s="66">
        <v>0</v>
      </c>
    </row>
    <row r="7658" spans="1:4">
      <c r="A7658" t="s">
        <v>2662</v>
      </c>
      <c r="B7658" t="s">
        <v>2342</v>
      </c>
      <c r="C7658" s="66">
        <v>61.95</v>
      </c>
      <c r="D7658" s="66">
        <v>0</v>
      </c>
    </row>
    <row r="7659" spans="1:4">
      <c r="A7659" t="s">
        <v>2481</v>
      </c>
      <c r="B7659" t="s">
        <v>2342</v>
      </c>
      <c r="C7659" s="66">
        <v>61.95</v>
      </c>
      <c r="D7659" s="66">
        <v>0</v>
      </c>
    </row>
    <row r="7660" spans="1:4">
      <c r="A7660" t="s">
        <v>2391</v>
      </c>
      <c r="B7660" t="s">
        <v>2342</v>
      </c>
      <c r="C7660" s="66">
        <v>61.95</v>
      </c>
      <c r="D7660" s="66">
        <v>0</v>
      </c>
    </row>
    <row r="7661" spans="1:4">
      <c r="A7661" t="s">
        <v>2396</v>
      </c>
      <c r="B7661" t="s">
        <v>2342</v>
      </c>
      <c r="C7661" s="66">
        <v>61.95</v>
      </c>
      <c r="D7661" s="66">
        <v>0</v>
      </c>
    </row>
    <row r="7662" spans="1:4">
      <c r="A7662" t="s">
        <v>2454</v>
      </c>
      <c r="B7662" t="s">
        <v>2342</v>
      </c>
      <c r="C7662" s="66">
        <v>61.95</v>
      </c>
      <c r="D7662" s="66">
        <v>0</v>
      </c>
    </row>
    <row r="7663" spans="1:4">
      <c r="A7663" t="s">
        <v>2497</v>
      </c>
      <c r="B7663" t="s">
        <v>2342</v>
      </c>
      <c r="C7663" s="66">
        <v>61.95</v>
      </c>
      <c r="D7663" s="66">
        <v>0</v>
      </c>
    </row>
    <row r="7664" spans="1:4">
      <c r="A7664" t="s">
        <v>2517</v>
      </c>
      <c r="B7664" t="s">
        <v>2342</v>
      </c>
      <c r="C7664" s="66">
        <v>61.95</v>
      </c>
      <c r="D7664" s="66">
        <v>0</v>
      </c>
    </row>
    <row r="7665" spans="1:4">
      <c r="A7665" t="s">
        <v>2503</v>
      </c>
      <c r="B7665" t="s">
        <v>2342</v>
      </c>
      <c r="C7665" s="66">
        <v>61.95</v>
      </c>
      <c r="D7665" s="66">
        <v>0</v>
      </c>
    </row>
    <row r="7666" spans="1:4">
      <c r="A7666" t="s">
        <v>2465</v>
      </c>
      <c r="B7666" t="s">
        <v>2342</v>
      </c>
      <c r="C7666" s="66">
        <v>61.95</v>
      </c>
      <c r="D7666" s="66">
        <v>0</v>
      </c>
    </row>
    <row r="7667" spans="1:4">
      <c r="A7667" t="s">
        <v>2399</v>
      </c>
      <c r="B7667" t="s">
        <v>2342</v>
      </c>
      <c r="C7667" s="66">
        <v>61.95</v>
      </c>
      <c r="D7667" s="66">
        <v>0</v>
      </c>
    </row>
    <row r="7668" spans="1:4">
      <c r="A7668" t="s">
        <v>2527</v>
      </c>
      <c r="B7668" t="s">
        <v>2342</v>
      </c>
      <c r="C7668" s="66">
        <v>61.95</v>
      </c>
      <c r="D7668" s="66">
        <v>0</v>
      </c>
    </row>
    <row r="7669" spans="1:4">
      <c r="A7669" t="s">
        <v>2475</v>
      </c>
      <c r="B7669" t="s">
        <v>2342</v>
      </c>
      <c r="C7669" s="66">
        <v>61.95</v>
      </c>
      <c r="D7669" s="66">
        <v>0</v>
      </c>
    </row>
    <row r="7670" spans="1:4">
      <c r="A7670" t="s">
        <v>2512</v>
      </c>
      <c r="B7670" t="s">
        <v>2342</v>
      </c>
      <c r="C7670" s="66">
        <v>61.95</v>
      </c>
      <c r="D7670" s="66">
        <v>0</v>
      </c>
    </row>
    <row r="7671" spans="1:4">
      <c r="A7671" t="s">
        <v>2601</v>
      </c>
      <c r="B7671" t="s">
        <v>2342</v>
      </c>
      <c r="C7671" s="66">
        <v>61.95</v>
      </c>
      <c r="D7671" s="66">
        <v>0</v>
      </c>
    </row>
    <row r="7672" spans="1:4">
      <c r="A7672" t="s">
        <v>2782</v>
      </c>
      <c r="B7672" t="s">
        <v>2342</v>
      </c>
      <c r="C7672" s="66">
        <v>61.95</v>
      </c>
      <c r="D7672" s="66">
        <v>0</v>
      </c>
    </row>
    <row r="7673" spans="1:4">
      <c r="A7673" t="s">
        <v>2417</v>
      </c>
      <c r="B7673" t="s">
        <v>2342</v>
      </c>
      <c r="C7673" s="66">
        <v>61.95</v>
      </c>
      <c r="D7673" s="66">
        <v>0</v>
      </c>
    </row>
    <row r="7674" spans="1:4">
      <c r="A7674" t="s">
        <v>2770</v>
      </c>
      <c r="B7674" t="s">
        <v>2342</v>
      </c>
      <c r="C7674" s="66">
        <v>61.95</v>
      </c>
      <c r="D7674" s="66">
        <v>0</v>
      </c>
    </row>
    <row r="7675" spans="1:4">
      <c r="A7675" t="s">
        <v>2507</v>
      </c>
      <c r="B7675" t="s">
        <v>2342</v>
      </c>
      <c r="C7675" s="66">
        <v>61.95</v>
      </c>
      <c r="D7675" s="66">
        <v>0</v>
      </c>
    </row>
    <row r="7676" spans="1:4">
      <c r="A7676" t="s">
        <v>2793</v>
      </c>
      <c r="B7676" t="s">
        <v>2342</v>
      </c>
      <c r="C7676" s="66">
        <v>61.95</v>
      </c>
      <c r="D7676" s="66">
        <v>0</v>
      </c>
    </row>
    <row r="7677" spans="1:4">
      <c r="A7677" t="s">
        <v>2531</v>
      </c>
      <c r="B7677" t="s">
        <v>2342</v>
      </c>
      <c r="C7677" s="66">
        <v>61.95</v>
      </c>
      <c r="D7677" s="66">
        <v>0</v>
      </c>
    </row>
    <row r="7678" spans="1:4">
      <c r="A7678" t="s">
        <v>2360</v>
      </c>
      <c r="B7678" t="s">
        <v>2342</v>
      </c>
      <c r="C7678" s="66">
        <v>61.95</v>
      </c>
      <c r="D7678" s="66">
        <v>0</v>
      </c>
    </row>
    <row r="7679" spans="1:4">
      <c r="A7679" t="s">
        <v>2616</v>
      </c>
      <c r="B7679" t="s">
        <v>2342</v>
      </c>
      <c r="C7679" s="66">
        <v>61.95</v>
      </c>
      <c r="D7679" s="66">
        <v>0</v>
      </c>
    </row>
    <row r="7680" spans="1:4">
      <c r="A7680" t="s">
        <v>2672</v>
      </c>
      <c r="B7680" t="s">
        <v>2342</v>
      </c>
      <c r="C7680" s="66">
        <v>61.95</v>
      </c>
      <c r="D7680" s="66">
        <v>0</v>
      </c>
    </row>
    <row r="7681" spans="1:4">
      <c r="A7681" t="s">
        <v>2580</v>
      </c>
      <c r="B7681" t="s">
        <v>2342</v>
      </c>
      <c r="C7681" s="66">
        <v>61.95</v>
      </c>
      <c r="D7681" s="66">
        <v>0</v>
      </c>
    </row>
    <row r="7682" spans="1:4">
      <c r="A7682" t="s">
        <v>2371</v>
      </c>
      <c r="B7682" t="s">
        <v>2342</v>
      </c>
      <c r="C7682" s="66">
        <v>61.95</v>
      </c>
      <c r="D7682" s="66">
        <v>0</v>
      </c>
    </row>
    <row r="7683" spans="1:4">
      <c r="A7683" t="s">
        <v>2643</v>
      </c>
      <c r="B7683" t="s">
        <v>2342</v>
      </c>
      <c r="C7683" s="66">
        <v>61.95</v>
      </c>
      <c r="D7683" s="66">
        <v>0</v>
      </c>
    </row>
    <row r="7684" spans="1:4">
      <c r="A7684" t="s">
        <v>2478</v>
      </c>
      <c r="B7684" t="s">
        <v>2342</v>
      </c>
      <c r="C7684" s="66">
        <v>61.95</v>
      </c>
      <c r="D7684" s="66">
        <v>0</v>
      </c>
    </row>
    <row r="7685" spans="1:4">
      <c r="A7685" t="s">
        <v>2340</v>
      </c>
      <c r="B7685" t="s">
        <v>2342</v>
      </c>
      <c r="C7685" s="66">
        <v>61.95</v>
      </c>
      <c r="D7685" s="66">
        <v>0</v>
      </c>
    </row>
    <row r="7686" spans="1:4">
      <c r="A7686" t="s">
        <v>2521</v>
      </c>
      <c r="B7686" t="s">
        <v>2342</v>
      </c>
      <c r="C7686" s="66">
        <v>61.95</v>
      </c>
      <c r="D7686" s="66">
        <v>0</v>
      </c>
    </row>
    <row r="7687" spans="1:4">
      <c r="A7687" t="s">
        <v>2575</v>
      </c>
      <c r="B7687" t="s">
        <v>2342</v>
      </c>
      <c r="C7687" s="66">
        <v>61.95</v>
      </c>
      <c r="D7687" s="66">
        <v>0</v>
      </c>
    </row>
    <row r="7688" spans="1:4">
      <c r="A7688" t="s">
        <v>2787</v>
      </c>
      <c r="B7688" t="s">
        <v>2342</v>
      </c>
      <c r="C7688" s="66">
        <v>61.95</v>
      </c>
      <c r="D7688" s="66">
        <v>0</v>
      </c>
    </row>
    <row r="7689" spans="1:4">
      <c r="A7689" t="s">
        <v>2796</v>
      </c>
      <c r="B7689" t="s">
        <v>2342</v>
      </c>
      <c r="C7689" s="66">
        <v>61.95</v>
      </c>
      <c r="D7689" s="66">
        <v>0</v>
      </c>
    </row>
    <row r="7690" spans="1:4">
      <c r="A7690" t="s">
        <v>2387</v>
      </c>
      <c r="B7690" t="s">
        <v>2342</v>
      </c>
      <c r="C7690" s="66">
        <v>61.95</v>
      </c>
      <c r="D7690" s="66">
        <v>0</v>
      </c>
    </row>
    <row r="7691" spans="1:4">
      <c r="A7691" t="s">
        <v>2409</v>
      </c>
      <c r="B7691" t="s">
        <v>2342</v>
      </c>
      <c r="C7691" s="66">
        <v>61.95</v>
      </c>
      <c r="D7691" s="66">
        <v>0</v>
      </c>
    </row>
    <row r="7692" spans="1:4">
      <c r="A7692" t="s">
        <v>2546</v>
      </c>
      <c r="B7692" t="s">
        <v>2342</v>
      </c>
      <c r="C7692" s="66">
        <v>61.95</v>
      </c>
      <c r="D7692" s="66">
        <v>0</v>
      </c>
    </row>
    <row r="7693" spans="1:4">
      <c r="A7693" t="s">
        <v>2541</v>
      </c>
      <c r="B7693" t="s">
        <v>2342</v>
      </c>
      <c r="C7693" s="66">
        <v>61.95</v>
      </c>
      <c r="D7693" s="66">
        <v>0</v>
      </c>
    </row>
    <row r="7694" spans="1:4">
      <c r="A7694" t="s">
        <v>2784</v>
      </c>
      <c r="B7694" t="s">
        <v>2342</v>
      </c>
      <c r="C7694" s="66">
        <v>61.95</v>
      </c>
      <c r="D7694" s="66">
        <v>0</v>
      </c>
    </row>
    <row r="7695" spans="1:4">
      <c r="A7695" t="s">
        <v>2802</v>
      </c>
      <c r="B7695" t="s">
        <v>2342</v>
      </c>
      <c r="C7695" s="66">
        <v>61.95</v>
      </c>
      <c r="D7695" s="66">
        <v>0</v>
      </c>
    </row>
    <row r="7696" spans="1:4">
      <c r="A7696" t="s">
        <v>2789</v>
      </c>
      <c r="B7696" t="s">
        <v>2342</v>
      </c>
      <c r="C7696" s="66">
        <v>61.95</v>
      </c>
      <c r="D7696" s="66">
        <v>0</v>
      </c>
    </row>
    <row r="7697" spans="1:4">
      <c r="A7697" t="s">
        <v>2768</v>
      </c>
      <c r="B7697" t="s">
        <v>2342</v>
      </c>
      <c r="C7697" s="66">
        <v>61.95</v>
      </c>
      <c r="D7697" s="66">
        <v>0</v>
      </c>
    </row>
    <row r="7698" spans="1:4">
      <c r="A7698" t="s">
        <v>2686</v>
      </c>
      <c r="B7698" t="s">
        <v>2342</v>
      </c>
      <c r="C7698" s="66">
        <v>61.95</v>
      </c>
      <c r="D7698" s="66">
        <v>0</v>
      </c>
    </row>
    <row r="7699" spans="1:4">
      <c r="A7699" t="s">
        <v>2689</v>
      </c>
      <c r="B7699" t="s">
        <v>2342</v>
      </c>
      <c r="C7699" s="66">
        <v>61.95</v>
      </c>
      <c r="D7699" s="66">
        <v>0</v>
      </c>
    </row>
    <row r="7700" spans="1:4">
      <c r="A7700" t="s">
        <v>2486</v>
      </c>
      <c r="B7700" t="s">
        <v>2342</v>
      </c>
      <c r="C7700" s="66">
        <v>61.95</v>
      </c>
      <c r="D7700" s="66">
        <v>0</v>
      </c>
    </row>
    <row r="7701" spans="1:4">
      <c r="A7701" t="s">
        <v>2544</v>
      </c>
      <c r="B7701" t="s">
        <v>2342</v>
      </c>
      <c r="C7701" s="66">
        <v>61.95</v>
      </c>
      <c r="D7701" s="66">
        <v>0</v>
      </c>
    </row>
    <row r="7702" spans="1:4">
      <c r="A7702" t="s">
        <v>2451</v>
      </c>
      <c r="B7702" t="s">
        <v>2342</v>
      </c>
      <c r="C7702" s="66">
        <v>61.95</v>
      </c>
      <c r="D7702" s="66">
        <v>0</v>
      </c>
    </row>
    <row r="7703" spans="1:4">
      <c r="A7703" t="s">
        <v>2524</v>
      </c>
      <c r="B7703" t="s">
        <v>2342</v>
      </c>
      <c r="C7703" s="66">
        <v>61.95</v>
      </c>
      <c r="D7703" s="66">
        <v>0</v>
      </c>
    </row>
    <row r="7704" spans="1:4">
      <c r="A7704" t="s">
        <v>2775</v>
      </c>
      <c r="B7704" t="s">
        <v>2342</v>
      </c>
      <c r="C7704" s="66">
        <v>61.95</v>
      </c>
      <c r="D7704" s="66">
        <v>0</v>
      </c>
    </row>
    <row r="7705" spans="1:4">
      <c r="A7705" t="s">
        <v>2551</v>
      </c>
      <c r="B7705" t="s">
        <v>2342</v>
      </c>
      <c r="C7705" s="66">
        <v>61.95</v>
      </c>
      <c r="D7705" s="66">
        <v>0</v>
      </c>
    </row>
    <row r="7706" spans="1:4">
      <c r="A7706" t="s">
        <v>2429</v>
      </c>
      <c r="B7706" t="s">
        <v>2342</v>
      </c>
      <c r="C7706" s="66">
        <v>61.95</v>
      </c>
      <c r="D7706" s="66">
        <v>0</v>
      </c>
    </row>
    <row r="7707" spans="1:4">
      <c r="A7707" t="s">
        <v>2765</v>
      </c>
      <c r="B7707" t="s">
        <v>2342</v>
      </c>
      <c r="C7707" s="66">
        <v>61.95</v>
      </c>
      <c r="D7707" s="66">
        <v>0</v>
      </c>
    </row>
    <row r="7708" spans="1:4">
      <c r="A7708" t="s">
        <v>2348</v>
      </c>
      <c r="B7708" t="s">
        <v>2342</v>
      </c>
      <c r="C7708" s="66">
        <v>61.95</v>
      </c>
      <c r="D7708" s="66">
        <v>0</v>
      </c>
    </row>
    <row r="7709" spans="1:4">
      <c r="A7709" t="s">
        <v>2799</v>
      </c>
      <c r="B7709" t="s">
        <v>2342</v>
      </c>
      <c r="C7709" s="66">
        <v>61.95</v>
      </c>
      <c r="D7709" s="66">
        <v>0</v>
      </c>
    </row>
    <row r="7710" spans="1:4">
      <c r="A7710" t="s">
        <v>2412</v>
      </c>
      <c r="B7710" t="s">
        <v>2342</v>
      </c>
      <c r="C7710" s="66">
        <v>61.95</v>
      </c>
      <c r="D7710" s="66">
        <v>0</v>
      </c>
    </row>
    <row r="7711" spans="1:4">
      <c r="A7711" t="s">
        <v>2604</v>
      </c>
      <c r="B7711" t="s">
        <v>2342</v>
      </c>
      <c r="C7711" s="66">
        <v>61.95</v>
      </c>
      <c r="D7711" s="66">
        <v>0</v>
      </c>
    </row>
    <row r="7712" spans="1:4">
      <c r="A7712" t="s">
        <v>2577</v>
      </c>
      <c r="B7712" t="s">
        <v>2342</v>
      </c>
      <c r="C7712" s="66">
        <v>61.95</v>
      </c>
      <c r="D7712" s="66">
        <v>0</v>
      </c>
    </row>
    <row r="7713" spans="1:4">
      <c r="A7713" t="s">
        <v>2491</v>
      </c>
      <c r="B7713" t="s">
        <v>2342</v>
      </c>
      <c r="C7713" s="66">
        <v>61.95</v>
      </c>
      <c r="D7713" s="66">
        <v>0</v>
      </c>
    </row>
    <row r="7714" spans="1:4">
      <c r="A7714" t="s">
        <v>2462</v>
      </c>
      <c r="B7714" t="s">
        <v>2342</v>
      </c>
      <c r="C7714" s="66">
        <v>61.95</v>
      </c>
      <c r="D7714" s="66">
        <v>0</v>
      </c>
    </row>
    <row r="7715" spans="1:4">
      <c r="A7715" t="s">
        <v>2676</v>
      </c>
      <c r="B7715" t="s">
        <v>2342</v>
      </c>
      <c r="C7715" s="66">
        <v>61.95</v>
      </c>
      <c r="D7715" s="66">
        <v>0</v>
      </c>
    </row>
    <row r="7716" spans="1:4">
      <c r="A7716" t="s">
        <v>2422</v>
      </c>
      <c r="B7716" t="s">
        <v>2342</v>
      </c>
      <c r="C7716" s="66">
        <v>61.95</v>
      </c>
      <c r="D7716" s="66">
        <v>0</v>
      </c>
    </row>
    <row r="7717" spans="1:4">
      <c r="A7717" t="s">
        <v>2807</v>
      </c>
      <c r="B7717" t="s">
        <v>2342</v>
      </c>
      <c r="C7717" s="66">
        <v>61.95</v>
      </c>
      <c r="D7717" s="66">
        <v>0</v>
      </c>
    </row>
    <row r="7718" spans="1:4">
      <c r="A7718" t="s">
        <v>2440</v>
      </c>
      <c r="B7718" t="s">
        <v>2342</v>
      </c>
      <c r="C7718" s="66">
        <v>61.95</v>
      </c>
      <c r="D7718" s="66">
        <v>0</v>
      </c>
    </row>
    <row r="7719" spans="1:4">
      <c r="A7719" t="s">
        <v>2443</v>
      </c>
      <c r="B7719" t="s">
        <v>2342</v>
      </c>
      <c r="C7719" s="66">
        <v>61.95</v>
      </c>
      <c r="D7719" s="66">
        <v>0</v>
      </c>
    </row>
    <row r="7720" spans="1:4">
      <c r="A7720" t="s">
        <v>2606</v>
      </c>
      <c r="B7720" t="s">
        <v>2342</v>
      </c>
      <c r="C7720" s="66">
        <v>61.95</v>
      </c>
      <c r="D7720" s="66">
        <v>0</v>
      </c>
    </row>
    <row r="7721" spans="1:4">
      <c r="A7721" t="s">
        <v>2628</v>
      </c>
      <c r="B7721" t="s">
        <v>2342</v>
      </c>
      <c r="C7721" s="66">
        <v>61.95</v>
      </c>
      <c r="D7721" s="66">
        <v>0</v>
      </c>
    </row>
    <row r="7722" spans="1:4">
      <c r="A7722" t="s">
        <v>2805</v>
      </c>
      <c r="B7722" t="s">
        <v>2342</v>
      </c>
      <c r="C7722" s="66">
        <v>61.95</v>
      </c>
      <c r="D7722" s="66">
        <v>0</v>
      </c>
    </row>
    <row r="7723" spans="1:4">
      <c r="A7723" t="s">
        <v>2814</v>
      </c>
      <c r="B7723" t="s">
        <v>3270</v>
      </c>
      <c r="C7723" s="66">
        <v>2538.69</v>
      </c>
      <c r="D7723" s="66">
        <v>0</v>
      </c>
    </row>
    <row r="7724" spans="1:4">
      <c r="A7724" t="s">
        <v>2817</v>
      </c>
      <c r="B7724" t="s">
        <v>3270</v>
      </c>
      <c r="C7724" s="66">
        <v>88274.19</v>
      </c>
      <c r="D7724" s="66">
        <v>0</v>
      </c>
    </row>
    <row r="7725" spans="1:4">
      <c r="A7725" t="s">
        <v>2694</v>
      </c>
      <c r="B7725" t="s">
        <v>3270</v>
      </c>
      <c r="C7725" s="66">
        <v>11164.7</v>
      </c>
      <c r="D7725" s="66">
        <v>3794.88</v>
      </c>
    </row>
    <row r="7726" spans="1:4">
      <c r="A7726" t="s">
        <v>2809</v>
      </c>
      <c r="B7726" t="s">
        <v>3270</v>
      </c>
      <c r="C7726" s="66">
        <v>11794.92</v>
      </c>
      <c r="D7726" s="66">
        <v>0</v>
      </c>
    </row>
    <row r="7727" spans="1:4">
      <c r="A7727" t="s">
        <v>2704</v>
      </c>
      <c r="B7727" t="s">
        <v>3270</v>
      </c>
      <c r="C7727" s="66">
        <v>8539.08</v>
      </c>
      <c r="D7727" s="66">
        <v>0</v>
      </c>
    </row>
    <row r="7728" spans="1:4">
      <c r="A7728" t="s">
        <v>2855</v>
      </c>
      <c r="B7728" t="s">
        <v>2855</v>
      </c>
      <c r="C7728" s="66"/>
      <c r="D7728" s="66"/>
    </row>
    <row r="7729" spans="1:4">
      <c r="A7729" t="s">
        <v>3073</v>
      </c>
      <c r="B7729" t="s">
        <v>3270</v>
      </c>
      <c r="C7729" s="66">
        <v>0</v>
      </c>
      <c r="D7729" s="66">
        <v>29237.72</v>
      </c>
    </row>
    <row r="7730" spans="1:4">
      <c r="A7730" t="s">
        <v>2966</v>
      </c>
      <c r="B7730" t="s">
        <v>3270</v>
      </c>
      <c r="C7730" s="66">
        <v>2881.94</v>
      </c>
      <c r="D7730" s="66">
        <v>0</v>
      </c>
    </row>
    <row r="7731" spans="1:4">
      <c r="A7731" t="s">
        <v>3063</v>
      </c>
      <c r="B7731" t="s">
        <v>3270</v>
      </c>
      <c r="C7731" s="66">
        <v>5719.86</v>
      </c>
      <c r="D7731" s="66">
        <v>0</v>
      </c>
    </row>
    <row r="7732" spans="1:4">
      <c r="A7732" t="s">
        <v>2971</v>
      </c>
      <c r="B7732" t="s">
        <v>3270</v>
      </c>
      <c r="C7732" s="66">
        <v>1446.8600000000001</v>
      </c>
      <c r="D7732" s="66">
        <v>0</v>
      </c>
    </row>
    <row r="7733" spans="1:4">
      <c r="A7733" t="s">
        <v>2869</v>
      </c>
      <c r="B7733" t="s">
        <v>2873</v>
      </c>
      <c r="C7733" s="66">
        <v>61.95</v>
      </c>
      <c r="D7733" s="66">
        <v>0</v>
      </c>
    </row>
    <row r="7734" spans="1:4">
      <c r="A7734" t="s">
        <v>2888</v>
      </c>
      <c r="B7734" t="s">
        <v>2873</v>
      </c>
      <c r="C7734" s="66">
        <v>61.95</v>
      </c>
      <c r="D7734" s="66">
        <v>0</v>
      </c>
    </row>
    <row r="7735" spans="1:4">
      <c r="A7735" t="s">
        <v>2928</v>
      </c>
      <c r="B7735" t="s">
        <v>2873</v>
      </c>
      <c r="C7735" s="66">
        <v>61.95</v>
      </c>
      <c r="D7735" s="66">
        <v>0</v>
      </c>
    </row>
    <row r="7736" spans="1:4">
      <c r="A7736" t="s">
        <v>2986</v>
      </c>
      <c r="B7736" t="s">
        <v>2873</v>
      </c>
      <c r="C7736" s="66">
        <v>61.95</v>
      </c>
      <c r="D7736" s="66">
        <v>0</v>
      </c>
    </row>
    <row r="7737" spans="1:4">
      <c r="A7737" t="s">
        <v>2875</v>
      </c>
      <c r="B7737" t="s">
        <v>2873</v>
      </c>
      <c r="C7737" s="66">
        <v>61.95</v>
      </c>
      <c r="D7737" s="66">
        <v>0</v>
      </c>
    </row>
    <row r="7738" spans="1:4">
      <c r="A7738" t="s">
        <v>2991</v>
      </c>
      <c r="B7738" t="s">
        <v>2873</v>
      </c>
      <c r="C7738" s="66">
        <v>61.95</v>
      </c>
      <c r="D7738" s="66">
        <v>0</v>
      </c>
    </row>
    <row r="7739" spans="1:4">
      <c r="A7739" t="s">
        <v>3010</v>
      </c>
      <c r="B7739" t="s">
        <v>2873</v>
      </c>
      <c r="C7739" s="66">
        <v>61.95</v>
      </c>
      <c r="D7739" s="66">
        <v>0</v>
      </c>
    </row>
    <row r="7740" spans="1:4">
      <c r="A7740" t="s">
        <v>3044</v>
      </c>
      <c r="B7740" t="s">
        <v>2873</v>
      </c>
      <c r="C7740" s="66">
        <v>61.95</v>
      </c>
      <c r="D7740" s="66">
        <v>0</v>
      </c>
    </row>
    <row r="7741" spans="1:4">
      <c r="A7741" t="s">
        <v>3058</v>
      </c>
      <c r="B7741" t="s">
        <v>2873</v>
      </c>
      <c r="C7741" s="66">
        <v>61.95</v>
      </c>
      <c r="D7741" s="66">
        <v>0</v>
      </c>
    </row>
    <row r="7742" spans="1:4">
      <c r="A7742" t="s">
        <v>2882</v>
      </c>
      <c r="B7742" t="s">
        <v>2873</v>
      </c>
      <c r="C7742" s="66">
        <v>61.95</v>
      </c>
      <c r="D7742" s="66">
        <v>0</v>
      </c>
    </row>
    <row r="7743" spans="1:4">
      <c r="A7743" t="s">
        <v>2896</v>
      </c>
      <c r="B7743" t="s">
        <v>2873</v>
      </c>
      <c r="C7743" s="66">
        <v>61.95</v>
      </c>
      <c r="D7743" s="66">
        <v>0</v>
      </c>
    </row>
    <row r="7744" spans="1:4">
      <c r="A7744" t="s">
        <v>2926</v>
      </c>
      <c r="B7744" t="s">
        <v>2873</v>
      </c>
      <c r="C7744" s="66">
        <v>61.95</v>
      </c>
      <c r="D7744" s="66">
        <v>0</v>
      </c>
    </row>
    <row r="7745" spans="1:4">
      <c r="A7745" t="s">
        <v>2976</v>
      </c>
      <c r="B7745" t="s">
        <v>2873</v>
      </c>
      <c r="C7745" s="66">
        <v>61.95</v>
      </c>
      <c r="D7745" s="66">
        <v>0</v>
      </c>
    </row>
    <row r="7746" spans="1:4">
      <c r="A7746" t="s">
        <v>2996</v>
      </c>
      <c r="B7746" t="s">
        <v>2873</v>
      </c>
      <c r="C7746" s="66">
        <v>61.95</v>
      </c>
      <c r="D7746" s="66">
        <v>0</v>
      </c>
    </row>
    <row r="7747" spans="1:4">
      <c r="A7747" t="s">
        <v>2918</v>
      </c>
      <c r="B7747" t="s">
        <v>2873</v>
      </c>
      <c r="C7747" s="66">
        <v>61.95</v>
      </c>
      <c r="D7747" s="66">
        <v>0</v>
      </c>
    </row>
    <row r="7748" spans="1:4">
      <c r="A7748" t="s">
        <v>2933</v>
      </c>
      <c r="B7748" t="s">
        <v>2873</v>
      </c>
      <c r="C7748" s="66">
        <v>61.95</v>
      </c>
      <c r="D7748" s="66">
        <v>0</v>
      </c>
    </row>
    <row r="7749" spans="1:4">
      <c r="A7749" t="s">
        <v>2911</v>
      </c>
      <c r="B7749" t="s">
        <v>2873</v>
      </c>
      <c r="C7749" s="66">
        <v>61.95</v>
      </c>
      <c r="D7749" s="66">
        <v>0</v>
      </c>
    </row>
    <row r="7750" spans="1:4">
      <c r="A7750" t="s">
        <v>2901</v>
      </c>
      <c r="B7750" t="s">
        <v>2873</v>
      </c>
      <c r="C7750" s="66">
        <v>61.95</v>
      </c>
      <c r="D7750" s="66">
        <v>0</v>
      </c>
    </row>
    <row r="7751" spans="1:4">
      <c r="A7751" t="s">
        <v>3028</v>
      </c>
      <c r="B7751" t="s">
        <v>2873</v>
      </c>
      <c r="C7751" s="66">
        <v>61.95</v>
      </c>
      <c r="D7751" s="66">
        <v>0</v>
      </c>
    </row>
    <row r="7752" spans="1:4">
      <c r="A7752" t="s">
        <v>3034</v>
      </c>
      <c r="B7752" t="s">
        <v>2873</v>
      </c>
      <c r="C7752" s="66">
        <v>61.95</v>
      </c>
      <c r="D7752" s="66">
        <v>0</v>
      </c>
    </row>
    <row r="7753" spans="1:4">
      <c r="A7753" t="s">
        <v>3037</v>
      </c>
      <c r="B7753" t="s">
        <v>2873</v>
      </c>
      <c r="C7753" s="66">
        <v>61.95</v>
      </c>
      <c r="D7753" s="66">
        <v>0</v>
      </c>
    </row>
    <row r="7754" spans="1:4">
      <c r="A7754" t="s">
        <v>3056</v>
      </c>
      <c r="B7754" t="s">
        <v>2873</v>
      </c>
      <c r="C7754" s="66">
        <v>61.95</v>
      </c>
      <c r="D7754" s="66">
        <v>0</v>
      </c>
    </row>
    <row r="7755" spans="1:4">
      <c r="A7755" t="s">
        <v>3017</v>
      </c>
      <c r="B7755" t="s">
        <v>2873</v>
      </c>
      <c r="C7755" s="66">
        <v>61.95</v>
      </c>
      <c r="D7755" s="66">
        <v>0</v>
      </c>
    </row>
    <row r="7756" spans="1:4">
      <c r="A7756" t="s">
        <v>2903</v>
      </c>
      <c r="B7756" t="s">
        <v>2873</v>
      </c>
      <c r="C7756" s="66">
        <v>61.95</v>
      </c>
      <c r="D7756" s="66">
        <v>0</v>
      </c>
    </row>
    <row r="7757" spans="1:4">
      <c r="A7757" t="s">
        <v>2960</v>
      </c>
      <c r="B7757" t="s">
        <v>2873</v>
      </c>
      <c r="C7757" s="66">
        <v>61.95</v>
      </c>
      <c r="D7757" s="66">
        <v>0</v>
      </c>
    </row>
    <row r="7758" spans="1:4">
      <c r="A7758" t="s">
        <v>2879</v>
      </c>
      <c r="B7758" t="s">
        <v>2873</v>
      </c>
      <c r="C7758" s="66">
        <v>61.95</v>
      </c>
      <c r="D7758" s="66">
        <v>0</v>
      </c>
    </row>
    <row r="7759" spans="1:4">
      <c r="A7759" t="s">
        <v>2958</v>
      </c>
      <c r="B7759" t="s">
        <v>2873</v>
      </c>
      <c r="C7759" s="66">
        <v>61.95</v>
      </c>
      <c r="D7759" s="66">
        <v>0</v>
      </c>
    </row>
    <row r="7760" spans="1:4">
      <c r="A7760" t="s">
        <v>2941</v>
      </c>
      <c r="B7760" t="s">
        <v>2873</v>
      </c>
      <c r="C7760" s="66">
        <v>61.95</v>
      </c>
      <c r="D7760" s="66">
        <v>0</v>
      </c>
    </row>
    <row r="7761" spans="1:4">
      <c r="A7761" t="s">
        <v>2956</v>
      </c>
      <c r="B7761" t="s">
        <v>2873</v>
      </c>
      <c r="C7761" s="66">
        <v>61.95</v>
      </c>
      <c r="D7761" s="66">
        <v>0</v>
      </c>
    </row>
    <row r="7762" spans="1:4">
      <c r="A7762" t="s">
        <v>3000</v>
      </c>
      <c r="B7762" t="s">
        <v>2873</v>
      </c>
      <c r="C7762" s="66">
        <v>61.95</v>
      </c>
      <c r="D7762" s="66">
        <v>0</v>
      </c>
    </row>
    <row r="7763" spans="1:4">
      <c r="A7763" t="s">
        <v>2963</v>
      </c>
      <c r="B7763" t="s">
        <v>2873</v>
      </c>
      <c r="C7763" s="66">
        <v>61.95</v>
      </c>
      <c r="D7763" s="66">
        <v>0</v>
      </c>
    </row>
    <row r="7764" spans="1:4">
      <c r="A7764" t="s">
        <v>2938</v>
      </c>
      <c r="B7764" t="s">
        <v>2873</v>
      </c>
      <c r="C7764" s="66">
        <v>61.95</v>
      </c>
      <c r="D7764" s="66">
        <v>0</v>
      </c>
    </row>
    <row r="7765" spans="1:4">
      <c r="A7765" t="s">
        <v>2953</v>
      </c>
      <c r="B7765" t="s">
        <v>2873</v>
      </c>
      <c r="C7765" s="66">
        <v>61.95</v>
      </c>
      <c r="D7765" s="66">
        <v>0</v>
      </c>
    </row>
    <row r="7766" spans="1:4">
      <c r="A7766" t="s">
        <v>2907</v>
      </c>
      <c r="B7766" t="s">
        <v>2873</v>
      </c>
      <c r="C7766" s="66">
        <v>61.95</v>
      </c>
      <c r="D7766" s="66">
        <v>0</v>
      </c>
    </row>
    <row r="7767" spans="1:4">
      <c r="A7767" t="s">
        <v>3049</v>
      </c>
      <c r="B7767" t="s">
        <v>2873</v>
      </c>
      <c r="C7767" s="66">
        <v>61.95</v>
      </c>
      <c r="D7767" s="66">
        <v>0</v>
      </c>
    </row>
    <row r="7768" spans="1:4">
      <c r="A7768" t="s">
        <v>3071</v>
      </c>
      <c r="B7768" t="s">
        <v>2873</v>
      </c>
      <c r="C7768" s="66">
        <v>61.95</v>
      </c>
      <c r="D7768" s="66">
        <v>0</v>
      </c>
    </row>
    <row r="7769" spans="1:4">
      <c r="A7769" t="s">
        <v>3054</v>
      </c>
      <c r="B7769" t="s">
        <v>2873</v>
      </c>
      <c r="C7769" s="66">
        <v>61.95</v>
      </c>
      <c r="D7769" s="66">
        <v>0</v>
      </c>
    </row>
    <row r="7770" spans="1:4">
      <c r="A7770" t="s">
        <v>2914</v>
      </c>
      <c r="B7770" t="s">
        <v>2873</v>
      </c>
      <c r="C7770" s="66">
        <v>61.95</v>
      </c>
      <c r="D7770" s="66">
        <v>0</v>
      </c>
    </row>
    <row r="7771" spans="1:4">
      <c r="A7771" t="s">
        <v>3021</v>
      </c>
      <c r="B7771" t="s">
        <v>2873</v>
      </c>
      <c r="C7771" s="66">
        <v>61.95</v>
      </c>
      <c r="D7771" s="66">
        <v>0</v>
      </c>
    </row>
    <row r="7772" spans="1:4">
      <c r="A7772" t="s">
        <v>3015</v>
      </c>
      <c r="B7772" t="s">
        <v>2873</v>
      </c>
      <c r="C7772" s="66">
        <v>61.95</v>
      </c>
      <c r="D7772" s="66">
        <v>0</v>
      </c>
    </row>
    <row r="7773" spans="1:4">
      <c r="A7773" t="s">
        <v>2923</v>
      </c>
      <c r="B7773" t="s">
        <v>2873</v>
      </c>
      <c r="C7773" s="66">
        <v>61.95</v>
      </c>
      <c r="D7773" s="66">
        <v>0</v>
      </c>
    </row>
    <row r="7774" spans="1:4">
      <c r="A7774" t="s">
        <v>2948</v>
      </c>
      <c r="B7774" t="s">
        <v>2873</v>
      </c>
      <c r="C7774" s="66">
        <v>61.95</v>
      </c>
      <c r="D7774" s="66">
        <v>0</v>
      </c>
    </row>
    <row r="7775" spans="1:4">
      <c r="A7775" t="s">
        <v>3031</v>
      </c>
      <c r="B7775" t="s">
        <v>2873</v>
      </c>
      <c r="C7775" s="66">
        <v>61.95</v>
      </c>
      <c r="D7775" s="66">
        <v>0</v>
      </c>
    </row>
    <row r="7776" spans="1:4">
      <c r="A7776" t="s">
        <v>3005</v>
      </c>
      <c r="B7776" t="s">
        <v>2873</v>
      </c>
      <c r="C7776" s="66">
        <v>61.95</v>
      </c>
      <c r="D7776" s="66">
        <v>0</v>
      </c>
    </row>
    <row r="7777" spans="1:4">
      <c r="A7777" t="s">
        <v>2944</v>
      </c>
      <c r="B7777" t="s">
        <v>2873</v>
      </c>
      <c r="C7777" s="66">
        <v>61.95</v>
      </c>
      <c r="D7777" s="66">
        <v>0</v>
      </c>
    </row>
    <row r="7778" spans="1:4">
      <c r="A7778" t="s">
        <v>3007</v>
      </c>
      <c r="B7778" t="s">
        <v>2873</v>
      </c>
      <c r="C7778" s="66">
        <v>61.95</v>
      </c>
      <c r="D7778" s="66">
        <v>0</v>
      </c>
    </row>
    <row r="7779" spans="1:4">
      <c r="A7779" t="s">
        <v>2981</v>
      </c>
      <c r="B7779" t="s">
        <v>2873</v>
      </c>
      <c r="C7779" s="66">
        <v>61.95</v>
      </c>
      <c r="D7779" s="66">
        <v>0</v>
      </c>
    </row>
    <row r="7780" spans="1:4">
      <c r="A7780" t="s">
        <v>3023</v>
      </c>
      <c r="B7780" t="s">
        <v>2873</v>
      </c>
      <c r="C7780" s="66">
        <v>61.95</v>
      </c>
      <c r="D7780" s="66">
        <v>0</v>
      </c>
    </row>
    <row r="7781" spans="1:4">
      <c r="A7781" t="s">
        <v>2893</v>
      </c>
      <c r="B7781" t="s">
        <v>2873</v>
      </c>
      <c r="C7781" s="66">
        <v>61.95</v>
      </c>
      <c r="D7781" s="66">
        <v>0</v>
      </c>
    </row>
    <row r="7782" spans="1:4">
      <c r="A7782" t="s">
        <v>3039</v>
      </c>
      <c r="B7782" t="s">
        <v>2873</v>
      </c>
      <c r="C7782" s="66">
        <v>61.95</v>
      </c>
      <c r="D7782" s="66">
        <v>0</v>
      </c>
    </row>
    <row r="7783" spans="1:4">
      <c r="A7783" t="s">
        <v>3060</v>
      </c>
      <c r="B7783" t="s">
        <v>2873</v>
      </c>
      <c r="C7783" s="66">
        <v>61.95</v>
      </c>
      <c r="D7783" s="66">
        <v>0</v>
      </c>
    </row>
    <row r="7784" spans="1:4">
      <c r="A7784" t="s">
        <v>3271</v>
      </c>
      <c r="B7784" t="s">
        <v>3556</v>
      </c>
      <c r="C7784" s="66">
        <v>1989.73</v>
      </c>
      <c r="D7784" s="66">
        <v>0</v>
      </c>
    </row>
    <row r="7785" spans="1:4">
      <c r="A7785" t="s">
        <v>3278</v>
      </c>
      <c r="B7785" t="s">
        <v>3556</v>
      </c>
      <c r="C7785" s="66">
        <v>13666.75</v>
      </c>
      <c r="D7785" s="66">
        <v>0</v>
      </c>
    </row>
    <row r="7786" spans="1:4">
      <c r="A7786" t="s">
        <v>3287</v>
      </c>
      <c r="B7786" t="s">
        <v>3556</v>
      </c>
      <c r="C7786" s="66">
        <v>669.04</v>
      </c>
      <c r="D7786" s="66">
        <v>0</v>
      </c>
    </row>
    <row r="7787" spans="1:4">
      <c r="A7787" t="s">
        <v>3294</v>
      </c>
      <c r="B7787" t="s">
        <v>3556</v>
      </c>
      <c r="C7787" s="66">
        <v>299.79000000000002</v>
      </c>
      <c r="D7787" s="66">
        <v>0</v>
      </c>
    </row>
    <row r="7788" spans="1:4">
      <c r="A7788" t="s">
        <v>3299</v>
      </c>
      <c r="B7788" t="s">
        <v>3556</v>
      </c>
      <c r="C7788" s="66">
        <v>1120.1099999999999</v>
      </c>
      <c r="D7788" s="66">
        <v>0</v>
      </c>
    </row>
    <row r="7789" spans="1:4">
      <c r="A7789" t="s">
        <v>3306</v>
      </c>
      <c r="B7789" t="s">
        <v>3556</v>
      </c>
      <c r="C7789" s="66">
        <v>4180.87</v>
      </c>
      <c r="D7789" s="66">
        <v>0</v>
      </c>
    </row>
    <row r="7790" spans="1:4">
      <c r="A7790" t="s">
        <v>3311</v>
      </c>
      <c r="B7790" t="s">
        <v>3556</v>
      </c>
      <c r="C7790" s="66">
        <v>2937.7700000000004</v>
      </c>
      <c r="D7790" s="66">
        <v>0</v>
      </c>
    </row>
    <row r="7791" spans="1:4">
      <c r="A7791" t="s">
        <v>3318</v>
      </c>
      <c r="B7791" t="s">
        <v>3556</v>
      </c>
      <c r="C7791" s="66">
        <v>11505.64</v>
      </c>
      <c r="D7791" s="66">
        <v>0</v>
      </c>
    </row>
    <row r="7792" spans="1:4">
      <c r="A7792" t="s">
        <v>3346</v>
      </c>
      <c r="B7792" t="s">
        <v>3911</v>
      </c>
      <c r="C7792" s="66">
        <v>4956</v>
      </c>
      <c r="D7792" s="66">
        <v>0</v>
      </c>
    </row>
    <row r="7793" spans="1:4">
      <c r="A7793" t="s">
        <v>3340</v>
      </c>
      <c r="B7793" t="s">
        <v>3911</v>
      </c>
      <c r="C7793" s="66">
        <v>4956</v>
      </c>
      <c r="D7793" s="66">
        <v>0</v>
      </c>
    </row>
    <row r="7794" spans="1:4">
      <c r="A7794" t="s">
        <v>3339</v>
      </c>
      <c r="B7794" t="s">
        <v>3912</v>
      </c>
      <c r="C7794" s="66">
        <v>14673.92</v>
      </c>
      <c r="D7794" s="66">
        <v>0</v>
      </c>
    </row>
    <row r="7795" spans="1:4">
      <c r="A7795" t="s">
        <v>3344</v>
      </c>
      <c r="B7795" t="s">
        <v>3911</v>
      </c>
      <c r="C7795" s="66">
        <v>4956</v>
      </c>
      <c r="D7795" s="66">
        <v>0</v>
      </c>
    </row>
    <row r="7796" spans="1:4">
      <c r="A7796" t="s">
        <v>3338</v>
      </c>
      <c r="B7796" t="s">
        <v>3912</v>
      </c>
      <c r="C7796" s="66">
        <v>3485.93</v>
      </c>
      <c r="D7796" s="66">
        <v>11183.64</v>
      </c>
    </row>
    <row r="7797" spans="1:4">
      <c r="A7797" t="s">
        <v>3348</v>
      </c>
      <c r="B7797" t="s">
        <v>3911</v>
      </c>
      <c r="C7797" s="66">
        <v>4956</v>
      </c>
      <c r="D7797" s="66">
        <v>0</v>
      </c>
    </row>
    <row r="7798" spans="1:4">
      <c r="A7798" t="s">
        <v>3343</v>
      </c>
      <c r="B7798" t="s">
        <v>3911</v>
      </c>
      <c r="C7798" s="66">
        <v>4956</v>
      </c>
      <c r="D7798" s="66">
        <v>0</v>
      </c>
    </row>
    <row r="7799" spans="1:4">
      <c r="A7799" t="s">
        <v>3332</v>
      </c>
      <c r="B7799" t="s">
        <v>3912</v>
      </c>
      <c r="C7799" s="66">
        <v>3985.48</v>
      </c>
      <c r="D7799" s="66">
        <v>0</v>
      </c>
    </row>
    <row r="7800" spans="1:4">
      <c r="A7800" t="s">
        <v>3341</v>
      </c>
      <c r="B7800" t="s">
        <v>3911</v>
      </c>
      <c r="C7800" s="66">
        <v>4956</v>
      </c>
      <c r="D7800" s="66">
        <v>0</v>
      </c>
    </row>
    <row r="7801" spans="1:4">
      <c r="A7801" t="s">
        <v>3345</v>
      </c>
      <c r="B7801" t="s">
        <v>3911</v>
      </c>
      <c r="C7801" s="66">
        <v>4956</v>
      </c>
      <c r="D7801" s="66">
        <v>0</v>
      </c>
    </row>
    <row r="7802" spans="1:4">
      <c r="A7802" t="s">
        <v>3331</v>
      </c>
      <c r="B7802" t="s">
        <v>3912</v>
      </c>
      <c r="C7802" s="66">
        <v>1700.53</v>
      </c>
      <c r="D7802" s="66">
        <v>0</v>
      </c>
    </row>
    <row r="7803" spans="1:4">
      <c r="A7803" t="s">
        <v>3347</v>
      </c>
      <c r="B7803" t="s">
        <v>3911</v>
      </c>
      <c r="C7803" s="66">
        <v>4956</v>
      </c>
      <c r="D7803" s="66">
        <v>0</v>
      </c>
    </row>
    <row r="7804" spans="1:4">
      <c r="A7804" t="s">
        <v>3335</v>
      </c>
      <c r="B7804" t="s">
        <v>3912</v>
      </c>
      <c r="C7804" s="66">
        <v>10956.32</v>
      </c>
      <c r="D7804" s="66">
        <v>0</v>
      </c>
    </row>
    <row r="7805" spans="1:4">
      <c r="A7805" t="s">
        <v>3334</v>
      </c>
      <c r="B7805" t="s">
        <v>3912</v>
      </c>
      <c r="C7805" s="66">
        <v>0</v>
      </c>
      <c r="D7805" s="66">
        <v>3404.01</v>
      </c>
    </row>
    <row r="7806" spans="1:4">
      <c r="A7806" t="s">
        <v>3342</v>
      </c>
      <c r="B7806" t="s">
        <v>3911</v>
      </c>
      <c r="C7806" s="66">
        <v>4956</v>
      </c>
      <c r="D7806" s="66">
        <v>0</v>
      </c>
    </row>
    <row r="7807" spans="1:4">
      <c r="A7807" t="s">
        <v>3633</v>
      </c>
      <c r="B7807" t="s">
        <v>4448</v>
      </c>
      <c r="C7807" s="66">
        <v>31147.129999999997</v>
      </c>
      <c r="D7807" s="66">
        <v>0</v>
      </c>
    </row>
    <row r="7808" spans="1:4">
      <c r="A7808" t="s">
        <v>3330</v>
      </c>
      <c r="B7808" t="s">
        <v>3912</v>
      </c>
      <c r="C7808" s="66">
        <v>0</v>
      </c>
      <c r="D7808" s="66">
        <v>1327.45</v>
      </c>
    </row>
    <row r="7809" spans="1:4">
      <c r="A7809" t="s">
        <v>3329</v>
      </c>
      <c r="B7809" t="s">
        <v>3912</v>
      </c>
      <c r="C7809" s="66">
        <v>0</v>
      </c>
      <c r="D7809" s="66">
        <v>21666.44</v>
      </c>
    </row>
    <row r="7810" spans="1:4">
      <c r="A7810" t="s">
        <v>3328</v>
      </c>
      <c r="B7810" t="s">
        <v>3913</v>
      </c>
      <c r="C7810" s="66">
        <v>717.27</v>
      </c>
      <c r="D7810" s="66">
        <v>0</v>
      </c>
    </row>
    <row r="7811" spans="1:4">
      <c r="A7811" t="s">
        <v>3327</v>
      </c>
      <c r="B7811" t="s">
        <v>3912</v>
      </c>
      <c r="C7811" s="66">
        <v>2588.42</v>
      </c>
      <c r="D7811" s="66">
        <v>0</v>
      </c>
    </row>
    <row r="7812" spans="1:4">
      <c r="A7812" t="s">
        <v>3337</v>
      </c>
      <c r="B7812" t="s">
        <v>3912</v>
      </c>
      <c r="C7812" s="66">
        <v>1574.92</v>
      </c>
      <c r="D7812" s="66">
        <v>0</v>
      </c>
    </row>
    <row r="7813" spans="1:4">
      <c r="A7813" t="s">
        <v>3333</v>
      </c>
      <c r="B7813" t="s">
        <v>3912</v>
      </c>
      <c r="C7813" s="66">
        <v>4047.94</v>
      </c>
      <c r="D7813" s="66">
        <v>0</v>
      </c>
    </row>
    <row r="7814" spans="1:4">
      <c r="A7814" t="s">
        <v>3336</v>
      </c>
      <c r="B7814" t="s">
        <v>3912</v>
      </c>
      <c r="C7814" s="66">
        <v>3917.43</v>
      </c>
      <c r="D7814" s="66">
        <v>0</v>
      </c>
    </row>
    <row r="7815" spans="1:4">
      <c r="A7815" t="s">
        <v>3707</v>
      </c>
      <c r="B7815" t="s">
        <v>2855</v>
      </c>
      <c r="C7815" s="66">
        <v>35545.910000000003</v>
      </c>
      <c r="D7815" s="66">
        <v>0</v>
      </c>
    </row>
    <row r="7816" spans="1:4">
      <c r="A7816" t="s">
        <v>3836</v>
      </c>
      <c r="B7816" t="s">
        <v>3917</v>
      </c>
      <c r="C7816" s="66">
        <v>103.25</v>
      </c>
      <c r="D7816" s="66">
        <v>0</v>
      </c>
    </row>
    <row r="7817" spans="1:4">
      <c r="A7817" t="s">
        <v>3832</v>
      </c>
      <c r="B7817" t="s">
        <v>3917</v>
      </c>
      <c r="C7817" s="66">
        <v>103.25</v>
      </c>
      <c r="D7817" s="66">
        <v>0</v>
      </c>
    </row>
    <row r="7818" spans="1:4">
      <c r="A7818" t="s">
        <v>3845</v>
      </c>
      <c r="B7818" t="s">
        <v>3917</v>
      </c>
      <c r="C7818" s="66">
        <v>103.25</v>
      </c>
      <c r="D7818" s="66">
        <v>0</v>
      </c>
    </row>
    <row r="7819" spans="1:4">
      <c r="A7819" t="s">
        <v>3890</v>
      </c>
      <c r="B7819" t="s">
        <v>3911</v>
      </c>
      <c r="C7819" s="66">
        <v>103.25</v>
      </c>
      <c r="D7819" s="66">
        <v>0</v>
      </c>
    </row>
    <row r="7820" spans="1:4">
      <c r="A7820" t="s">
        <v>3846</v>
      </c>
      <c r="B7820" t="s">
        <v>3917</v>
      </c>
      <c r="C7820" s="66">
        <v>103.25</v>
      </c>
      <c r="D7820" s="66">
        <v>0</v>
      </c>
    </row>
    <row r="7821" spans="1:4">
      <c r="A7821" t="s">
        <v>3906</v>
      </c>
      <c r="B7821" t="s">
        <v>4449</v>
      </c>
      <c r="C7821" s="66">
        <v>717.27</v>
      </c>
      <c r="D7821" s="66">
        <v>0</v>
      </c>
    </row>
    <row r="7822" spans="1:4">
      <c r="A7822" t="s">
        <v>3840</v>
      </c>
      <c r="B7822" t="s">
        <v>3917</v>
      </c>
      <c r="C7822" s="66">
        <v>103.25</v>
      </c>
      <c r="D7822" s="66">
        <v>0</v>
      </c>
    </row>
    <row r="7823" spans="1:4">
      <c r="A7823" t="s">
        <v>3892</v>
      </c>
      <c r="B7823" t="s">
        <v>3911</v>
      </c>
      <c r="C7823" s="66">
        <v>103.25</v>
      </c>
      <c r="D7823" s="66">
        <v>0</v>
      </c>
    </row>
    <row r="7824" spans="1:4">
      <c r="A7824" t="s">
        <v>3849</v>
      </c>
      <c r="B7824" t="s">
        <v>3917</v>
      </c>
      <c r="C7824" s="66">
        <v>103.25</v>
      </c>
      <c r="D7824" s="66">
        <v>0</v>
      </c>
    </row>
    <row r="7825" spans="1:4">
      <c r="A7825" t="s">
        <v>3833</v>
      </c>
      <c r="B7825" t="s">
        <v>3917</v>
      </c>
      <c r="C7825" s="66">
        <v>103.25</v>
      </c>
      <c r="D7825" s="66">
        <v>0</v>
      </c>
    </row>
    <row r="7826" spans="1:4">
      <c r="A7826" t="s">
        <v>3903</v>
      </c>
      <c r="B7826" t="s">
        <v>3911</v>
      </c>
      <c r="C7826" s="66">
        <v>103.25</v>
      </c>
      <c r="D7826" s="66">
        <v>0</v>
      </c>
    </row>
    <row r="7827" spans="1:4">
      <c r="A7827" t="s">
        <v>3902</v>
      </c>
      <c r="B7827" t="s">
        <v>3911</v>
      </c>
      <c r="C7827" s="66">
        <v>103.25</v>
      </c>
      <c r="D7827" s="66">
        <v>0</v>
      </c>
    </row>
    <row r="7828" spans="1:4">
      <c r="A7828" t="s">
        <v>3857</v>
      </c>
      <c r="B7828" t="s">
        <v>3917</v>
      </c>
      <c r="C7828" s="66">
        <v>103.25</v>
      </c>
      <c r="D7828" s="66">
        <v>0</v>
      </c>
    </row>
    <row r="7829" spans="1:4">
      <c r="A7829" t="s">
        <v>3837</v>
      </c>
      <c r="B7829" t="s">
        <v>3917</v>
      </c>
      <c r="C7829" s="66">
        <v>103.25</v>
      </c>
      <c r="D7829" s="66">
        <v>0</v>
      </c>
    </row>
    <row r="7830" spans="1:4">
      <c r="A7830" t="s">
        <v>3852</v>
      </c>
      <c r="B7830" t="s">
        <v>3917</v>
      </c>
      <c r="C7830" s="66">
        <v>103.25</v>
      </c>
      <c r="D7830" s="66">
        <v>0</v>
      </c>
    </row>
    <row r="7831" spans="1:4">
      <c r="A7831" t="s">
        <v>3847</v>
      </c>
      <c r="B7831" t="s">
        <v>3917</v>
      </c>
      <c r="C7831" s="66">
        <v>103.25</v>
      </c>
      <c r="D7831" s="66">
        <v>0</v>
      </c>
    </row>
    <row r="7832" spans="1:4">
      <c r="A7832" t="s">
        <v>3844</v>
      </c>
      <c r="B7832" t="s">
        <v>3917</v>
      </c>
      <c r="C7832" s="66">
        <v>103.25</v>
      </c>
      <c r="D7832" s="66">
        <v>0</v>
      </c>
    </row>
    <row r="7833" spans="1:4">
      <c r="A7833" t="s">
        <v>3834</v>
      </c>
      <c r="B7833" t="s">
        <v>3917</v>
      </c>
      <c r="C7833" s="66">
        <v>103.25</v>
      </c>
      <c r="D7833" s="66">
        <v>0</v>
      </c>
    </row>
    <row r="7834" spans="1:4">
      <c r="A7834" t="s">
        <v>3843</v>
      </c>
      <c r="B7834" t="s">
        <v>3917</v>
      </c>
      <c r="C7834" s="66">
        <v>103.25</v>
      </c>
      <c r="D7834" s="66">
        <v>0</v>
      </c>
    </row>
    <row r="7835" spans="1:4">
      <c r="A7835" t="s">
        <v>3904</v>
      </c>
      <c r="B7835" t="s">
        <v>3911</v>
      </c>
      <c r="C7835" s="66">
        <v>103.25</v>
      </c>
      <c r="D7835" s="66">
        <v>0</v>
      </c>
    </row>
    <row r="7836" spans="1:4">
      <c r="A7836" t="s">
        <v>3899</v>
      </c>
      <c r="B7836" t="s">
        <v>3911</v>
      </c>
      <c r="C7836" s="66">
        <v>103.25</v>
      </c>
      <c r="D7836" s="66">
        <v>0</v>
      </c>
    </row>
    <row r="7837" spans="1:4">
      <c r="A7837" t="s">
        <v>3901</v>
      </c>
      <c r="B7837" t="s">
        <v>3911</v>
      </c>
      <c r="C7837" s="66">
        <v>103.25</v>
      </c>
      <c r="D7837" s="66">
        <v>0</v>
      </c>
    </row>
    <row r="7838" spans="1:4">
      <c r="A7838" t="s">
        <v>3898</v>
      </c>
      <c r="B7838" t="s">
        <v>3911</v>
      </c>
      <c r="C7838" s="66">
        <v>103.25</v>
      </c>
      <c r="D7838" s="66">
        <v>0</v>
      </c>
    </row>
    <row r="7839" spans="1:4">
      <c r="A7839" t="s">
        <v>3900</v>
      </c>
      <c r="B7839" t="s">
        <v>3911</v>
      </c>
      <c r="C7839" s="66">
        <v>103.25</v>
      </c>
      <c r="D7839" s="66">
        <v>0</v>
      </c>
    </row>
    <row r="7840" spans="1:4">
      <c r="A7840" t="s">
        <v>3838</v>
      </c>
      <c r="B7840" t="s">
        <v>3917</v>
      </c>
      <c r="C7840" s="66">
        <v>103.25</v>
      </c>
      <c r="D7840" s="66">
        <v>0</v>
      </c>
    </row>
    <row r="7841" spans="1:4">
      <c r="A7841" t="s">
        <v>3897</v>
      </c>
      <c r="B7841" t="s">
        <v>3911</v>
      </c>
      <c r="C7841" s="66">
        <v>103.25</v>
      </c>
      <c r="D7841" s="66">
        <v>0</v>
      </c>
    </row>
    <row r="7842" spans="1:4">
      <c r="A7842" t="s">
        <v>3842</v>
      </c>
      <c r="B7842" t="s">
        <v>3917</v>
      </c>
      <c r="C7842" s="66">
        <v>103.25</v>
      </c>
      <c r="D7842" s="66">
        <v>0</v>
      </c>
    </row>
    <row r="7843" spans="1:4">
      <c r="A7843" t="s">
        <v>3848</v>
      </c>
      <c r="B7843" t="s">
        <v>3917</v>
      </c>
      <c r="C7843" s="66">
        <v>103.25</v>
      </c>
      <c r="D7843" s="66">
        <v>0</v>
      </c>
    </row>
    <row r="7844" spans="1:4">
      <c r="A7844" t="s">
        <v>3894</v>
      </c>
      <c r="B7844" t="s">
        <v>3911</v>
      </c>
      <c r="C7844" s="66">
        <v>103.25</v>
      </c>
      <c r="D7844" s="66">
        <v>0</v>
      </c>
    </row>
    <row r="7845" spans="1:4">
      <c r="A7845" t="s">
        <v>3835</v>
      </c>
      <c r="B7845" t="s">
        <v>3917</v>
      </c>
      <c r="C7845" s="66">
        <v>103.25</v>
      </c>
      <c r="D7845" s="66">
        <v>0</v>
      </c>
    </row>
    <row r="7846" spans="1:4">
      <c r="A7846" t="s">
        <v>3893</v>
      </c>
      <c r="B7846" t="s">
        <v>3911</v>
      </c>
      <c r="C7846" s="66">
        <v>103.25</v>
      </c>
      <c r="D7846" s="66">
        <v>0</v>
      </c>
    </row>
    <row r="7847" spans="1:4">
      <c r="A7847" t="s">
        <v>3905</v>
      </c>
      <c r="B7847" t="s">
        <v>3911</v>
      </c>
      <c r="C7847" s="66">
        <v>103.25</v>
      </c>
      <c r="D7847" s="66">
        <v>0</v>
      </c>
    </row>
    <row r="7848" spans="1:4">
      <c r="A7848" t="s">
        <v>3856</v>
      </c>
      <c r="B7848" t="s">
        <v>3917</v>
      </c>
      <c r="C7848" s="66">
        <v>103.25</v>
      </c>
      <c r="D7848" s="66">
        <v>0</v>
      </c>
    </row>
    <row r="7849" spans="1:4">
      <c r="A7849" t="s">
        <v>3891</v>
      </c>
      <c r="B7849" t="s">
        <v>3911</v>
      </c>
      <c r="C7849" s="66">
        <v>103.25</v>
      </c>
      <c r="D7849" s="66">
        <v>0</v>
      </c>
    </row>
    <row r="7850" spans="1:4">
      <c r="A7850" t="s">
        <v>3841</v>
      </c>
      <c r="B7850" t="s">
        <v>3917</v>
      </c>
      <c r="C7850" s="66">
        <v>103.25</v>
      </c>
      <c r="D7850" s="66">
        <v>0</v>
      </c>
    </row>
    <row r="7851" spans="1:4">
      <c r="A7851" t="s">
        <v>3839</v>
      </c>
      <c r="B7851" t="s">
        <v>3917</v>
      </c>
      <c r="C7851" s="66">
        <v>103.25</v>
      </c>
      <c r="D7851" s="66">
        <v>0</v>
      </c>
    </row>
    <row r="7852" spans="1:4">
      <c r="A7852" t="s">
        <v>3855</v>
      </c>
      <c r="B7852" t="s">
        <v>3917</v>
      </c>
      <c r="C7852" s="66">
        <v>103.25</v>
      </c>
      <c r="D7852" s="66">
        <v>0</v>
      </c>
    </row>
    <row r="7853" spans="1:4">
      <c r="A7853" t="s">
        <v>3884</v>
      </c>
      <c r="B7853" t="s">
        <v>3917</v>
      </c>
      <c r="C7853" s="66">
        <v>61.95</v>
      </c>
      <c r="D7853" s="66">
        <v>0</v>
      </c>
    </row>
    <row r="7854" spans="1:4">
      <c r="A7854" t="s">
        <v>3869</v>
      </c>
      <c r="B7854" t="s">
        <v>3917</v>
      </c>
      <c r="C7854" s="66">
        <v>61.95</v>
      </c>
      <c r="D7854" s="66">
        <v>0</v>
      </c>
    </row>
    <row r="7855" spans="1:4">
      <c r="A7855" t="s">
        <v>3868</v>
      </c>
      <c r="B7855" t="s">
        <v>3917</v>
      </c>
      <c r="C7855" s="66">
        <v>61.95</v>
      </c>
      <c r="D7855" s="66">
        <v>0</v>
      </c>
    </row>
    <row r="7856" spans="1:4">
      <c r="A7856" t="s">
        <v>3883</v>
      </c>
      <c r="B7856" t="s">
        <v>3917</v>
      </c>
      <c r="C7856" s="66">
        <v>61.95</v>
      </c>
      <c r="D7856" s="66">
        <v>0</v>
      </c>
    </row>
    <row r="7857" spans="1:4">
      <c r="A7857" t="s">
        <v>3850</v>
      </c>
      <c r="B7857" t="s">
        <v>3917</v>
      </c>
      <c r="C7857" s="66">
        <v>103.25</v>
      </c>
      <c r="D7857" s="66">
        <v>0</v>
      </c>
    </row>
    <row r="7858" spans="1:4">
      <c r="A7858" t="s">
        <v>3851</v>
      </c>
      <c r="B7858" t="s">
        <v>3917</v>
      </c>
      <c r="C7858" s="66">
        <v>103.25</v>
      </c>
      <c r="D7858" s="66">
        <v>0</v>
      </c>
    </row>
    <row r="7859" spans="1:4">
      <c r="A7859" t="s">
        <v>3853</v>
      </c>
      <c r="B7859" t="s">
        <v>3917</v>
      </c>
      <c r="C7859" s="66">
        <v>103.25</v>
      </c>
      <c r="D7859" s="66">
        <v>0</v>
      </c>
    </row>
    <row r="7860" spans="1:4">
      <c r="A7860" t="s">
        <v>3896</v>
      </c>
      <c r="B7860" t="s">
        <v>3911</v>
      </c>
      <c r="C7860" s="66">
        <v>103.25</v>
      </c>
      <c r="D7860" s="66">
        <v>0</v>
      </c>
    </row>
    <row r="7861" spans="1:4">
      <c r="A7861" t="s">
        <v>3854</v>
      </c>
      <c r="B7861" t="s">
        <v>3917</v>
      </c>
      <c r="C7861" s="66">
        <v>103.25</v>
      </c>
      <c r="D7861" s="66">
        <v>0</v>
      </c>
    </row>
    <row r="7862" spans="1:4">
      <c r="A7862" t="s">
        <v>3895</v>
      </c>
      <c r="B7862" t="s">
        <v>3911</v>
      </c>
      <c r="C7862" s="66">
        <v>103.25</v>
      </c>
      <c r="D7862" s="66">
        <v>0</v>
      </c>
    </row>
    <row r="7863" spans="1:4">
      <c r="A7863" t="s">
        <v>3880</v>
      </c>
      <c r="B7863" t="s">
        <v>3917</v>
      </c>
      <c r="C7863" s="66">
        <v>61.95</v>
      </c>
      <c r="D7863" s="66">
        <v>0</v>
      </c>
    </row>
    <row r="7864" spans="1:4">
      <c r="A7864" t="s">
        <v>3889</v>
      </c>
      <c r="B7864" t="s">
        <v>3911</v>
      </c>
      <c r="C7864" s="66">
        <v>61.95</v>
      </c>
      <c r="D7864" s="66">
        <v>0</v>
      </c>
    </row>
    <row r="7865" spans="1:4">
      <c r="A7865" t="s">
        <v>3878</v>
      </c>
      <c r="B7865" t="s">
        <v>3917</v>
      </c>
      <c r="C7865" s="66">
        <v>61.95</v>
      </c>
      <c r="D7865" s="66">
        <v>0</v>
      </c>
    </row>
    <row r="7866" spans="1:4">
      <c r="A7866" t="s">
        <v>3778</v>
      </c>
      <c r="B7866" t="s">
        <v>4449</v>
      </c>
      <c r="C7866" s="66">
        <v>3465.96</v>
      </c>
      <c r="D7866" s="66">
        <v>0</v>
      </c>
    </row>
    <row r="7867" spans="1:4">
      <c r="A7867" t="s">
        <v>3861</v>
      </c>
      <c r="B7867" t="s">
        <v>3917</v>
      </c>
      <c r="C7867" s="66">
        <v>61.95</v>
      </c>
      <c r="D7867" s="66">
        <v>0</v>
      </c>
    </row>
    <row r="7868" spans="1:4">
      <c r="A7868" t="s">
        <v>3877</v>
      </c>
      <c r="B7868" t="s">
        <v>3917</v>
      </c>
      <c r="C7868" s="66">
        <v>61.95</v>
      </c>
      <c r="D7868" s="66">
        <v>0</v>
      </c>
    </row>
    <row r="7869" spans="1:4">
      <c r="A7869" t="s">
        <v>3879</v>
      </c>
      <c r="B7869" t="s">
        <v>3917</v>
      </c>
      <c r="C7869" s="66">
        <v>61.95</v>
      </c>
      <c r="D7869" s="66">
        <v>0</v>
      </c>
    </row>
    <row r="7870" spans="1:4">
      <c r="A7870" t="s">
        <v>3862</v>
      </c>
      <c r="B7870" t="s">
        <v>3917</v>
      </c>
      <c r="C7870" s="66">
        <v>61.95</v>
      </c>
      <c r="D7870" s="66">
        <v>0</v>
      </c>
    </row>
    <row r="7871" spans="1:4">
      <c r="A7871" t="s">
        <v>3786</v>
      </c>
      <c r="B7871" t="s">
        <v>3911</v>
      </c>
      <c r="C7871" s="66">
        <v>4956</v>
      </c>
      <c r="D7871" s="66">
        <v>0</v>
      </c>
    </row>
    <row r="7872" spans="1:4">
      <c r="A7872" t="s">
        <v>3866</v>
      </c>
      <c r="B7872" t="s">
        <v>3917</v>
      </c>
      <c r="C7872" s="66">
        <v>61.95</v>
      </c>
      <c r="D7872" s="66">
        <v>0</v>
      </c>
    </row>
    <row r="7873" spans="1:4">
      <c r="A7873" t="s">
        <v>3790</v>
      </c>
      <c r="B7873" t="s">
        <v>3911</v>
      </c>
      <c r="C7873" s="66">
        <v>4956</v>
      </c>
      <c r="D7873" s="66">
        <v>0</v>
      </c>
    </row>
    <row r="7874" spans="1:4">
      <c r="A7874" t="s">
        <v>3859</v>
      </c>
      <c r="B7874" t="s">
        <v>3917</v>
      </c>
      <c r="C7874" s="66">
        <v>61.95</v>
      </c>
      <c r="D7874" s="66">
        <v>0</v>
      </c>
    </row>
    <row r="7875" spans="1:4">
      <c r="A7875" t="s">
        <v>3789</v>
      </c>
      <c r="B7875" t="s">
        <v>3911</v>
      </c>
      <c r="C7875" s="66">
        <v>4956</v>
      </c>
      <c r="D7875" s="66">
        <v>0</v>
      </c>
    </row>
    <row r="7876" spans="1:4">
      <c r="A7876" t="s">
        <v>3867</v>
      </c>
      <c r="B7876" t="s">
        <v>3917</v>
      </c>
      <c r="C7876" s="66">
        <v>61.95</v>
      </c>
      <c r="D7876" s="66">
        <v>0</v>
      </c>
    </row>
    <row r="7877" spans="1:4">
      <c r="A7877" t="s">
        <v>3779</v>
      </c>
      <c r="B7877" t="s">
        <v>3911</v>
      </c>
      <c r="C7877" s="66">
        <v>4956</v>
      </c>
      <c r="D7877" s="66">
        <v>0</v>
      </c>
    </row>
    <row r="7878" spans="1:4">
      <c r="A7878" t="s">
        <v>3865</v>
      </c>
      <c r="B7878" t="s">
        <v>3917</v>
      </c>
      <c r="C7878" s="66">
        <v>61.95</v>
      </c>
      <c r="D7878" s="66">
        <v>0</v>
      </c>
    </row>
    <row r="7879" spans="1:4">
      <c r="A7879" t="s">
        <v>3876</v>
      </c>
      <c r="B7879" t="s">
        <v>3917</v>
      </c>
      <c r="C7879" s="66">
        <v>61.95</v>
      </c>
      <c r="D7879" s="66">
        <v>0</v>
      </c>
    </row>
    <row r="7880" spans="1:4">
      <c r="A7880" t="s">
        <v>3858</v>
      </c>
      <c r="B7880" t="s">
        <v>3917</v>
      </c>
      <c r="C7880" s="66">
        <v>61.95</v>
      </c>
      <c r="D7880" s="66">
        <v>0</v>
      </c>
    </row>
    <row r="7881" spans="1:4">
      <c r="A7881" t="s">
        <v>3874</v>
      </c>
      <c r="B7881" t="s">
        <v>3917</v>
      </c>
      <c r="C7881" s="66">
        <v>61.95</v>
      </c>
      <c r="D7881" s="66">
        <v>0</v>
      </c>
    </row>
    <row r="7882" spans="1:4">
      <c r="A7882" t="s">
        <v>3777</v>
      </c>
      <c r="B7882" t="s">
        <v>4449</v>
      </c>
      <c r="C7882" s="66">
        <v>203</v>
      </c>
      <c r="D7882" s="66">
        <v>0</v>
      </c>
    </row>
    <row r="7883" spans="1:4">
      <c r="A7883" t="s">
        <v>3785</v>
      </c>
      <c r="B7883" t="s">
        <v>3911</v>
      </c>
      <c r="C7883" s="66">
        <v>5451.6</v>
      </c>
      <c r="D7883" s="66">
        <v>0</v>
      </c>
    </row>
    <row r="7884" spans="1:4">
      <c r="A7884" t="s">
        <v>3860</v>
      </c>
      <c r="B7884" t="s">
        <v>3917</v>
      </c>
      <c r="C7884" s="66">
        <v>61.95</v>
      </c>
      <c r="D7884" s="66">
        <v>0</v>
      </c>
    </row>
    <row r="7885" spans="1:4">
      <c r="A7885" t="s">
        <v>3885</v>
      </c>
      <c r="B7885" t="s">
        <v>3917</v>
      </c>
      <c r="C7885" s="66">
        <v>61.95</v>
      </c>
      <c r="D7885" s="66">
        <v>0</v>
      </c>
    </row>
    <row r="7886" spans="1:4">
      <c r="A7886" t="s">
        <v>3780</v>
      </c>
      <c r="B7886" t="s">
        <v>3911</v>
      </c>
      <c r="C7886" s="66">
        <v>4956</v>
      </c>
      <c r="D7886" s="66">
        <v>0</v>
      </c>
    </row>
    <row r="7887" spans="1:4">
      <c r="A7887" t="s">
        <v>3787</v>
      </c>
      <c r="B7887" t="s">
        <v>3911</v>
      </c>
      <c r="C7887" s="66">
        <v>4956</v>
      </c>
      <c r="D7887" s="66">
        <v>0</v>
      </c>
    </row>
    <row r="7888" spans="1:4">
      <c r="A7888" t="s">
        <v>3783</v>
      </c>
      <c r="B7888" t="s">
        <v>3911</v>
      </c>
      <c r="C7888" s="66">
        <v>5451.6</v>
      </c>
      <c r="D7888" s="66">
        <v>0</v>
      </c>
    </row>
    <row r="7889" spans="1:4">
      <c r="A7889" t="s">
        <v>3781</v>
      </c>
      <c r="B7889" t="s">
        <v>3911</v>
      </c>
      <c r="C7889" s="66">
        <v>4956</v>
      </c>
      <c r="D7889" s="66">
        <v>0</v>
      </c>
    </row>
    <row r="7890" spans="1:4">
      <c r="A7890" t="s">
        <v>3791</v>
      </c>
      <c r="B7890" t="s">
        <v>3911</v>
      </c>
      <c r="C7890" s="66">
        <v>4956</v>
      </c>
      <c r="D7890" s="66">
        <v>0</v>
      </c>
    </row>
    <row r="7891" spans="1:4">
      <c r="A7891" t="s">
        <v>3872</v>
      </c>
      <c r="B7891" t="s">
        <v>3917</v>
      </c>
      <c r="C7891" s="66">
        <v>61.95</v>
      </c>
      <c r="D7891" s="66">
        <v>0</v>
      </c>
    </row>
    <row r="7892" spans="1:4">
      <c r="A7892" t="s">
        <v>3873</v>
      </c>
      <c r="B7892" t="s">
        <v>3917</v>
      </c>
      <c r="C7892" s="66">
        <v>61.95</v>
      </c>
      <c r="D7892" s="66">
        <v>0</v>
      </c>
    </row>
    <row r="7893" spans="1:4">
      <c r="A7893" t="s">
        <v>3784</v>
      </c>
      <c r="B7893" t="s">
        <v>3911</v>
      </c>
      <c r="C7893" s="66">
        <v>5451.6</v>
      </c>
      <c r="D7893" s="66">
        <v>0</v>
      </c>
    </row>
    <row r="7894" spans="1:4">
      <c r="A7894" t="s">
        <v>3792</v>
      </c>
      <c r="B7894" t="s">
        <v>3911</v>
      </c>
      <c r="C7894" s="66">
        <v>4956</v>
      </c>
      <c r="D7894" s="66">
        <v>0</v>
      </c>
    </row>
    <row r="7895" spans="1:4">
      <c r="A7895" t="s">
        <v>3882</v>
      </c>
      <c r="B7895" t="s">
        <v>3917</v>
      </c>
      <c r="C7895" s="66">
        <v>61.95</v>
      </c>
      <c r="D7895" s="66">
        <v>0</v>
      </c>
    </row>
    <row r="7896" spans="1:4">
      <c r="A7896" t="s">
        <v>3871</v>
      </c>
      <c r="B7896" t="s">
        <v>3917</v>
      </c>
      <c r="C7896" s="66">
        <v>61.95</v>
      </c>
      <c r="D7896" s="66">
        <v>0</v>
      </c>
    </row>
    <row r="7897" spans="1:4">
      <c r="A7897" t="s">
        <v>3888</v>
      </c>
      <c r="B7897" t="s">
        <v>3911</v>
      </c>
      <c r="C7897" s="66">
        <v>61.95</v>
      </c>
      <c r="D7897" s="66">
        <v>0</v>
      </c>
    </row>
    <row r="7898" spans="1:4">
      <c r="A7898" t="s">
        <v>3870</v>
      </c>
      <c r="B7898" t="s">
        <v>3917</v>
      </c>
      <c r="C7898" s="66">
        <v>61.95</v>
      </c>
      <c r="D7898" s="66">
        <v>0</v>
      </c>
    </row>
    <row r="7899" spans="1:4">
      <c r="A7899" t="s">
        <v>3887</v>
      </c>
      <c r="B7899" t="s">
        <v>3911</v>
      </c>
      <c r="C7899" s="66">
        <v>61.95</v>
      </c>
      <c r="D7899" s="66">
        <v>0</v>
      </c>
    </row>
    <row r="7900" spans="1:4">
      <c r="A7900" t="s">
        <v>3782</v>
      </c>
      <c r="B7900" t="s">
        <v>4450</v>
      </c>
      <c r="C7900" s="66">
        <v>4956</v>
      </c>
      <c r="D7900" s="66">
        <v>0</v>
      </c>
    </row>
    <row r="7901" spans="1:4">
      <c r="A7901" t="s">
        <v>3788</v>
      </c>
      <c r="B7901" t="s">
        <v>3911</v>
      </c>
      <c r="C7901" s="66">
        <v>4956</v>
      </c>
      <c r="D7901" s="66">
        <v>0</v>
      </c>
    </row>
    <row r="7902" spans="1:4">
      <c r="A7902" t="s">
        <v>3863</v>
      </c>
      <c r="B7902" t="s">
        <v>3917</v>
      </c>
      <c r="C7902" s="66">
        <v>61.95</v>
      </c>
      <c r="D7902" s="66">
        <v>0</v>
      </c>
    </row>
    <row r="7903" spans="1:4">
      <c r="A7903" t="s">
        <v>3864</v>
      </c>
      <c r="B7903" t="s">
        <v>3917</v>
      </c>
      <c r="C7903" s="66">
        <v>61.95</v>
      </c>
      <c r="D7903" s="66">
        <v>0</v>
      </c>
    </row>
    <row r="7904" spans="1:4">
      <c r="A7904" t="s">
        <v>3886</v>
      </c>
      <c r="B7904" t="s">
        <v>3917</v>
      </c>
      <c r="C7904" s="66">
        <v>61.95</v>
      </c>
      <c r="D7904" s="66">
        <v>0</v>
      </c>
    </row>
    <row r="7905" spans="1:4">
      <c r="A7905" t="s">
        <v>3802</v>
      </c>
      <c r="B7905" t="s">
        <v>4449</v>
      </c>
      <c r="C7905" s="66">
        <v>14673.92</v>
      </c>
      <c r="D7905" s="66">
        <v>0</v>
      </c>
    </row>
    <row r="7906" spans="1:4">
      <c r="A7906" t="s">
        <v>3817</v>
      </c>
      <c r="B7906" t="s">
        <v>4449</v>
      </c>
      <c r="C7906" s="66">
        <v>4956</v>
      </c>
      <c r="D7906" s="66">
        <v>0</v>
      </c>
    </row>
    <row r="7907" spans="1:4">
      <c r="A7907" t="s">
        <v>3810</v>
      </c>
      <c r="B7907" t="s">
        <v>4449</v>
      </c>
      <c r="C7907" s="66">
        <v>14601.64</v>
      </c>
      <c r="D7907" s="66">
        <v>0</v>
      </c>
    </row>
    <row r="7908" spans="1:4">
      <c r="A7908" t="s">
        <v>3807</v>
      </c>
      <c r="B7908" t="s">
        <v>4449</v>
      </c>
      <c r="C7908" s="66">
        <v>22191.559999999998</v>
      </c>
      <c r="D7908" s="66">
        <v>0</v>
      </c>
    </row>
    <row r="7909" spans="1:4">
      <c r="A7909" t="s">
        <v>3815</v>
      </c>
      <c r="B7909" t="s">
        <v>4449</v>
      </c>
      <c r="C7909" s="66">
        <v>4956</v>
      </c>
      <c r="D7909" s="66">
        <v>0</v>
      </c>
    </row>
    <row r="7910" spans="1:4">
      <c r="A7910" t="s">
        <v>3809</v>
      </c>
      <c r="B7910" t="s">
        <v>4449</v>
      </c>
      <c r="C7910" s="66">
        <v>17235.559999999998</v>
      </c>
      <c r="D7910" s="66">
        <v>0</v>
      </c>
    </row>
    <row r="7911" spans="1:4">
      <c r="A7911" t="s">
        <v>3819</v>
      </c>
      <c r="B7911" t="s">
        <v>4449</v>
      </c>
      <c r="C7911" s="66">
        <v>4956</v>
      </c>
      <c r="D7911" s="66">
        <v>0</v>
      </c>
    </row>
    <row r="7912" spans="1:4">
      <c r="A7912" t="s">
        <v>3814</v>
      </c>
      <c r="B7912" t="s">
        <v>4449</v>
      </c>
      <c r="C7912" s="66">
        <v>4956</v>
      </c>
      <c r="D7912" s="66">
        <v>0</v>
      </c>
    </row>
    <row r="7913" spans="1:4">
      <c r="A7913" t="s">
        <v>3806</v>
      </c>
      <c r="B7913" t="s">
        <v>4449</v>
      </c>
      <c r="C7913" s="66">
        <v>89.2</v>
      </c>
      <c r="D7913" s="66">
        <v>0</v>
      </c>
    </row>
    <row r="7914" spans="1:4">
      <c r="A7914" t="s">
        <v>3805</v>
      </c>
      <c r="B7914" t="s">
        <v>4449</v>
      </c>
      <c r="C7914" s="66">
        <v>3819.49</v>
      </c>
      <c r="D7914" s="66">
        <v>0</v>
      </c>
    </row>
    <row r="7915" spans="1:4">
      <c r="A7915" t="s">
        <v>3816</v>
      </c>
      <c r="B7915" t="s">
        <v>4449</v>
      </c>
      <c r="C7915" s="66">
        <v>128685.56999999999</v>
      </c>
      <c r="D7915" s="66">
        <v>0</v>
      </c>
    </row>
    <row r="7916" spans="1:4">
      <c r="A7916" t="s">
        <v>3818</v>
      </c>
      <c r="B7916" t="s">
        <v>4449</v>
      </c>
      <c r="C7916" s="66">
        <v>4956</v>
      </c>
      <c r="D7916" s="66">
        <v>0</v>
      </c>
    </row>
    <row r="7917" spans="1:4">
      <c r="A7917" t="s">
        <v>3804</v>
      </c>
      <c r="B7917" t="s">
        <v>4449</v>
      </c>
      <c r="C7917" s="66">
        <v>1537.01</v>
      </c>
      <c r="D7917" s="66">
        <v>0</v>
      </c>
    </row>
    <row r="7918" spans="1:4">
      <c r="A7918" t="s">
        <v>3820</v>
      </c>
      <c r="B7918" t="s">
        <v>4449</v>
      </c>
      <c r="C7918" s="66">
        <v>0</v>
      </c>
      <c r="D7918" s="66">
        <v>2677.94</v>
      </c>
    </row>
    <row r="7919" spans="1:4">
      <c r="A7919" t="s">
        <v>3823</v>
      </c>
      <c r="B7919" t="s">
        <v>4449</v>
      </c>
      <c r="C7919" s="66">
        <v>22191.559999999998</v>
      </c>
      <c r="D7919" s="66">
        <v>0</v>
      </c>
    </row>
    <row r="7920" spans="1:4">
      <c r="A7920" t="s">
        <v>3827</v>
      </c>
      <c r="B7920" t="s">
        <v>4449</v>
      </c>
      <c r="C7920" s="66">
        <v>4956</v>
      </c>
      <c r="D7920" s="66">
        <v>0</v>
      </c>
    </row>
    <row r="7921" spans="1:4">
      <c r="A7921" t="s">
        <v>3826</v>
      </c>
      <c r="B7921" t="s">
        <v>4449</v>
      </c>
      <c r="C7921" s="66">
        <v>4956</v>
      </c>
      <c r="D7921" s="66">
        <v>0</v>
      </c>
    </row>
    <row r="7922" spans="1:4">
      <c r="A7922" t="s">
        <v>3825</v>
      </c>
      <c r="B7922" t="s">
        <v>4449</v>
      </c>
      <c r="C7922" s="66">
        <v>4956</v>
      </c>
      <c r="D7922" s="66">
        <v>0</v>
      </c>
    </row>
    <row r="7923" spans="1:4">
      <c r="A7923" t="s">
        <v>3821</v>
      </c>
      <c r="B7923" t="s">
        <v>4449</v>
      </c>
      <c r="C7923" s="66">
        <v>495.6</v>
      </c>
      <c r="D7923" s="66">
        <v>0</v>
      </c>
    </row>
    <row r="7924" spans="1:4">
      <c r="A7924" t="s">
        <v>3824</v>
      </c>
      <c r="B7924" t="s">
        <v>4449</v>
      </c>
      <c r="C7924" s="66">
        <v>22191.559999999998</v>
      </c>
      <c r="D7924" s="66">
        <v>0</v>
      </c>
    </row>
    <row r="7925" spans="1:4">
      <c r="A7925" t="s">
        <v>3822</v>
      </c>
      <c r="B7925" t="s">
        <v>4449</v>
      </c>
      <c r="C7925" s="66">
        <v>22191.559999999998</v>
      </c>
      <c r="D7925" s="66">
        <v>0</v>
      </c>
    </row>
    <row r="7926" spans="1:4">
      <c r="A7926" t="s">
        <v>3808</v>
      </c>
      <c r="B7926" t="s">
        <v>4449</v>
      </c>
      <c r="C7926" s="66">
        <v>9691.2200000000012</v>
      </c>
      <c r="D7926" s="66">
        <v>0</v>
      </c>
    </row>
    <row r="7927" spans="1:4">
      <c r="A7927" t="s">
        <v>3812</v>
      </c>
      <c r="B7927" t="s">
        <v>4449</v>
      </c>
      <c r="C7927" s="66">
        <v>434.61</v>
      </c>
      <c r="D7927" s="66">
        <v>0</v>
      </c>
    </row>
    <row r="7928" spans="1:4">
      <c r="A7928" t="s">
        <v>3811</v>
      </c>
      <c r="B7928" t="s">
        <v>4449</v>
      </c>
      <c r="C7928" s="66">
        <v>434.61</v>
      </c>
      <c r="D7928" s="66">
        <v>0</v>
      </c>
    </row>
    <row r="7929" spans="1:4">
      <c r="A7929" t="s">
        <v>3803</v>
      </c>
      <c r="B7929" t="s">
        <v>4449</v>
      </c>
      <c r="C7929" s="66">
        <v>434.61</v>
      </c>
      <c r="D7929" s="66">
        <v>0</v>
      </c>
    </row>
    <row r="7930" spans="1:4">
      <c r="A7930" t="s">
        <v>3813</v>
      </c>
      <c r="B7930" t="s">
        <v>4449</v>
      </c>
      <c r="C7930" s="66">
        <v>30334.84</v>
      </c>
      <c r="D7930" s="66">
        <v>0</v>
      </c>
    </row>
    <row r="7931" spans="1:4">
      <c r="A7931" t="s">
        <v>3875</v>
      </c>
      <c r="B7931" t="s">
        <v>3917</v>
      </c>
      <c r="C7931" s="66">
        <v>61.95</v>
      </c>
      <c r="D7931" s="66">
        <v>0</v>
      </c>
    </row>
    <row r="7932" spans="1:4">
      <c r="A7932" t="s">
        <v>3881</v>
      </c>
      <c r="B7932" t="s">
        <v>3917</v>
      </c>
      <c r="C7932" s="66">
        <v>61.95</v>
      </c>
      <c r="D7932" s="66">
        <v>0</v>
      </c>
    </row>
    <row r="7933" spans="1:4">
      <c r="A7933" t="s">
        <v>4451</v>
      </c>
      <c r="B7933" t="s">
        <v>4455</v>
      </c>
      <c r="C7933" s="66">
        <v>103.25</v>
      </c>
      <c r="D7933" s="66">
        <v>0</v>
      </c>
    </row>
    <row r="7934" spans="1:4">
      <c r="A7934" t="s">
        <v>4458</v>
      </c>
      <c r="B7934" t="s">
        <v>4455</v>
      </c>
      <c r="C7934" s="66">
        <v>103.25</v>
      </c>
      <c r="D7934" s="66">
        <v>0</v>
      </c>
    </row>
    <row r="7935" spans="1:4">
      <c r="A7935" t="s">
        <v>4462</v>
      </c>
      <c r="B7935" t="s">
        <v>4455</v>
      </c>
      <c r="C7935" s="66">
        <v>103.25</v>
      </c>
      <c r="D7935" s="66">
        <v>0</v>
      </c>
    </row>
    <row r="7936" spans="1:4">
      <c r="A7936" t="s">
        <v>4465</v>
      </c>
      <c r="B7936" t="s">
        <v>4455</v>
      </c>
      <c r="C7936" s="66">
        <v>103.25</v>
      </c>
      <c r="D7936" s="66">
        <v>0</v>
      </c>
    </row>
    <row r="7937" spans="1:4">
      <c r="A7937" t="s">
        <v>4469</v>
      </c>
      <c r="B7937" t="s">
        <v>4455</v>
      </c>
      <c r="C7937" s="66">
        <v>103.25</v>
      </c>
      <c r="D7937" s="66">
        <v>0</v>
      </c>
    </row>
    <row r="7938" spans="1:4">
      <c r="A7938" t="s">
        <v>4476</v>
      </c>
      <c r="B7938" t="s">
        <v>4455</v>
      </c>
      <c r="C7938" s="66">
        <v>103.25</v>
      </c>
      <c r="D7938" s="66">
        <v>0</v>
      </c>
    </row>
    <row r="7939" spans="1:4">
      <c r="A7939" t="s">
        <v>4480</v>
      </c>
      <c r="B7939" t="s">
        <v>4455</v>
      </c>
      <c r="C7939" s="66">
        <v>103.25</v>
      </c>
      <c r="D7939" s="66">
        <v>0</v>
      </c>
    </row>
    <row r="7940" spans="1:4">
      <c r="A7940" t="s">
        <v>4484</v>
      </c>
      <c r="B7940" t="s">
        <v>4455</v>
      </c>
      <c r="C7940" s="66">
        <v>103.25</v>
      </c>
      <c r="D7940" s="66">
        <v>0</v>
      </c>
    </row>
    <row r="7941" spans="1:4">
      <c r="A7941" t="s">
        <v>4488</v>
      </c>
      <c r="B7941" t="s">
        <v>4455</v>
      </c>
      <c r="C7941" s="66">
        <v>103.25</v>
      </c>
      <c r="D7941" s="66">
        <v>0</v>
      </c>
    </row>
    <row r="7942" spans="1:4">
      <c r="A7942" t="s">
        <v>4494</v>
      </c>
      <c r="B7942" t="s">
        <v>4455</v>
      </c>
      <c r="C7942" s="66">
        <v>103.25</v>
      </c>
      <c r="D7942" s="66">
        <v>0</v>
      </c>
    </row>
    <row r="7943" spans="1:4">
      <c r="A7943" t="s">
        <v>4498</v>
      </c>
      <c r="B7943" t="s">
        <v>4455</v>
      </c>
      <c r="C7943" s="66">
        <v>103.25</v>
      </c>
      <c r="D7943" s="66">
        <v>0</v>
      </c>
    </row>
    <row r="7944" spans="1:4">
      <c r="A7944" t="s">
        <v>4501</v>
      </c>
      <c r="B7944" t="s">
        <v>4455</v>
      </c>
      <c r="C7944" s="66">
        <v>103.25</v>
      </c>
      <c r="D7944" s="66">
        <v>0</v>
      </c>
    </row>
    <row r="7945" spans="1:4">
      <c r="A7945" t="s">
        <v>4506</v>
      </c>
      <c r="B7945" t="s">
        <v>4455</v>
      </c>
      <c r="C7945" s="66">
        <v>103.25</v>
      </c>
      <c r="D7945" s="66">
        <v>0</v>
      </c>
    </row>
    <row r="7946" spans="1:4">
      <c r="A7946" t="s">
        <v>4510</v>
      </c>
      <c r="B7946" t="s">
        <v>4455</v>
      </c>
      <c r="C7946" s="66">
        <v>103.25</v>
      </c>
      <c r="D7946" s="66">
        <v>0</v>
      </c>
    </row>
    <row r="7947" spans="1:4">
      <c r="A7947" t="s">
        <v>4513</v>
      </c>
      <c r="B7947" t="s">
        <v>4455</v>
      </c>
      <c r="C7947" s="66">
        <v>103.25</v>
      </c>
      <c r="D7947" s="66">
        <v>0</v>
      </c>
    </row>
    <row r="7948" spans="1:4">
      <c r="A7948" t="s">
        <v>4517</v>
      </c>
      <c r="B7948" t="s">
        <v>4455</v>
      </c>
      <c r="C7948" s="66">
        <v>103.25</v>
      </c>
      <c r="D7948" s="66">
        <v>0</v>
      </c>
    </row>
    <row r="7949" spans="1:4">
      <c r="A7949" t="s">
        <v>4521</v>
      </c>
      <c r="B7949" t="s">
        <v>4455</v>
      </c>
      <c r="C7949" s="66">
        <v>103.25</v>
      </c>
      <c r="D7949" s="66">
        <v>0</v>
      </c>
    </row>
    <row r="7950" spans="1:4">
      <c r="A7950" t="s">
        <v>4525</v>
      </c>
      <c r="B7950" t="s">
        <v>4455</v>
      </c>
      <c r="C7950" s="66">
        <v>103.25</v>
      </c>
      <c r="D7950" s="66">
        <v>0</v>
      </c>
    </row>
    <row r="7951" spans="1:4">
      <c r="A7951" t="s">
        <v>4530</v>
      </c>
      <c r="B7951" t="s">
        <v>4455</v>
      </c>
      <c r="C7951" s="66">
        <v>103.25</v>
      </c>
      <c r="D7951" s="66">
        <v>0</v>
      </c>
    </row>
    <row r="7952" spans="1:4">
      <c r="A7952" t="s">
        <v>4534</v>
      </c>
      <c r="B7952" t="s">
        <v>4455</v>
      </c>
      <c r="C7952" s="66">
        <v>103.25</v>
      </c>
      <c r="D7952" s="66">
        <v>0</v>
      </c>
    </row>
    <row r="7953" spans="1:4">
      <c r="A7953" t="s">
        <v>4537</v>
      </c>
      <c r="B7953" t="s">
        <v>4455</v>
      </c>
      <c r="C7953" s="66">
        <v>103.25</v>
      </c>
      <c r="D7953" s="66">
        <v>0</v>
      </c>
    </row>
    <row r="7954" spans="1:4">
      <c r="A7954" t="s">
        <v>4541</v>
      </c>
      <c r="B7954" t="s">
        <v>4455</v>
      </c>
      <c r="C7954" s="66">
        <v>103.25</v>
      </c>
      <c r="D7954" s="66">
        <v>0</v>
      </c>
    </row>
    <row r="7955" spans="1:4">
      <c r="A7955" t="s">
        <v>4547</v>
      </c>
      <c r="B7955" t="s">
        <v>4455</v>
      </c>
      <c r="C7955" s="66">
        <v>103.25</v>
      </c>
      <c r="D7955" s="66">
        <v>0</v>
      </c>
    </row>
    <row r="7956" spans="1:4">
      <c r="A7956" t="s">
        <v>4551</v>
      </c>
      <c r="B7956" t="s">
        <v>4455</v>
      </c>
      <c r="C7956" s="66">
        <v>103.25</v>
      </c>
      <c r="D7956" s="66">
        <v>0</v>
      </c>
    </row>
    <row r="7957" spans="1:4">
      <c r="A7957" t="s">
        <v>4554</v>
      </c>
      <c r="B7957" t="s">
        <v>4455</v>
      </c>
      <c r="C7957" s="66">
        <v>103.25</v>
      </c>
      <c r="D7957" s="66">
        <v>0</v>
      </c>
    </row>
    <row r="7958" spans="1:4">
      <c r="A7958" t="s">
        <v>4559</v>
      </c>
      <c r="B7958" t="s">
        <v>4455</v>
      </c>
      <c r="C7958" s="66">
        <v>103.25</v>
      </c>
      <c r="D7958" s="66">
        <v>0</v>
      </c>
    </row>
    <row r="7959" spans="1:4">
      <c r="A7959" t="s">
        <v>4566</v>
      </c>
      <c r="B7959" t="s">
        <v>4455</v>
      </c>
      <c r="C7959" s="66">
        <v>103.25</v>
      </c>
      <c r="D7959" s="66">
        <v>0</v>
      </c>
    </row>
    <row r="7960" spans="1:4">
      <c r="A7960" t="s">
        <v>4569</v>
      </c>
      <c r="B7960" t="s">
        <v>4455</v>
      </c>
      <c r="C7960" s="66">
        <v>103.25</v>
      </c>
      <c r="D7960" s="66">
        <v>0</v>
      </c>
    </row>
    <row r="7961" spans="1:4">
      <c r="A7961" t="s">
        <v>4573</v>
      </c>
      <c r="B7961" t="s">
        <v>4455</v>
      </c>
      <c r="C7961" s="66">
        <v>103.25</v>
      </c>
      <c r="D7961" s="66">
        <v>0</v>
      </c>
    </row>
    <row r="7962" spans="1:4">
      <c r="A7962" t="s">
        <v>4578</v>
      </c>
      <c r="B7962" t="s">
        <v>4455</v>
      </c>
      <c r="C7962" s="66">
        <v>103.25</v>
      </c>
      <c r="D7962" s="66">
        <v>0</v>
      </c>
    </row>
    <row r="7963" spans="1:4">
      <c r="A7963" t="s">
        <v>4582</v>
      </c>
      <c r="B7963" t="s">
        <v>4455</v>
      </c>
      <c r="C7963" s="66">
        <v>103.25</v>
      </c>
      <c r="D7963" s="66">
        <v>0</v>
      </c>
    </row>
    <row r="7964" spans="1:4">
      <c r="A7964" t="s">
        <v>4588</v>
      </c>
      <c r="B7964" t="s">
        <v>4455</v>
      </c>
      <c r="C7964" s="66">
        <v>103.25</v>
      </c>
      <c r="D7964" s="66">
        <v>0</v>
      </c>
    </row>
    <row r="7965" spans="1:4">
      <c r="A7965" t="s">
        <v>4591</v>
      </c>
      <c r="B7965" t="s">
        <v>4455</v>
      </c>
      <c r="C7965" s="66">
        <v>103.25</v>
      </c>
      <c r="D7965" s="66">
        <v>0</v>
      </c>
    </row>
    <row r="7966" spans="1:4">
      <c r="A7966" t="s">
        <v>4595</v>
      </c>
      <c r="B7966" t="s">
        <v>4455</v>
      </c>
      <c r="C7966" s="66">
        <v>103.25</v>
      </c>
      <c r="D7966" s="66">
        <v>0</v>
      </c>
    </row>
    <row r="7967" spans="1:4">
      <c r="A7967" t="s">
        <v>4599</v>
      </c>
      <c r="B7967" t="s">
        <v>4455</v>
      </c>
      <c r="C7967" s="66">
        <v>103.25</v>
      </c>
      <c r="D7967" s="66">
        <v>0</v>
      </c>
    </row>
    <row r="7968" spans="1:4">
      <c r="A7968" t="s">
        <v>4605</v>
      </c>
      <c r="B7968" t="s">
        <v>4455</v>
      </c>
      <c r="C7968" s="66">
        <v>103.25</v>
      </c>
      <c r="D7968" s="66">
        <v>0</v>
      </c>
    </row>
    <row r="7969" spans="1:4">
      <c r="A7969" t="s">
        <v>4611</v>
      </c>
      <c r="B7969" t="s">
        <v>4455</v>
      </c>
      <c r="C7969" s="66">
        <v>103.25</v>
      </c>
      <c r="D7969" s="66">
        <v>0</v>
      </c>
    </row>
    <row r="7970" spans="1:4">
      <c r="A7970" t="s">
        <v>4617</v>
      </c>
      <c r="B7970" t="s">
        <v>4455</v>
      </c>
      <c r="C7970" s="66">
        <v>103.25</v>
      </c>
      <c r="D7970" s="66">
        <v>0</v>
      </c>
    </row>
    <row r="7971" spans="1:4">
      <c r="A7971" t="s">
        <v>4621</v>
      </c>
      <c r="B7971" t="s">
        <v>4455</v>
      </c>
      <c r="C7971" s="66">
        <v>103.25</v>
      </c>
      <c r="D7971" s="66">
        <v>0</v>
      </c>
    </row>
    <row r="7972" spans="1:4">
      <c r="A7972" t="s">
        <v>4626</v>
      </c>
      <c r="B7972" t="s">
        <v>4455</v>
      </c>
      <c r="C7972" s="66">
        <v>103.25</v>
      </c>
      <c r="D7972" s="66">
        <v>0</v>
      </c>
    </row>
    <row r="7973" spans="1:4">
      <c r="A7973" t="s">
        <v>4631</v>
      </c>
      <c r="B7973" t="s">
        <v>4455</v>
      </c>
      <c r="C7973" s="66">
        <v>103.25</v>
      </c>
      <c r="D7973" s="66">
        <v>0</v>
      </c>
    </row>
    <row r="7974" spans="1:4">
      <c r="A7974" t="s">
        <v>4634</v>
      </c>
      <c r="B7974" t="s">
        <v>4455</v>
      </c>
      <c r="C7974" s="66">
        <v>103.25</v>
      </c>
      <c r="D7974" s="66">
        <v>0</v>
      </c>
    </row>
    <row r="7975" spans="1:4">
      <c r="A7975" t="s">
        <v>4637</v>
      </c>
      <c r="B7975" t="s">
        <v>4455</v>
      </c>
      <c r="C7975" s="66">
        <v>103.25</v>
      </c>
      <c r="D7975" s="66">
        <v>0</v>
      </c>
    </row>
    <row r="7976" spans="1:4">
      <c r="A7976" t="s">
        <v>4640</v>
      </c>
      <c r="B7976" t="s">
        <v>4455</v>
      </c>
      <c r="C7976" s="66">
        <v>103.25</v>
      </c>
      <c r="D7976" s="66">
        <v>0</v>
      </c>
    </row>
    <row r="7977" spans="1:4">
      <c r="A7977" t="s">
        <v>4644</v>
      </c>
      <c r="B7977" t="s">
        <v>4455</v>
      </c>
      <c r="C7977" s="66">
        <v>103.25</v>
      </c>
      <c r="D7977" s="66">
        <v>0</v>
      </c>
    </row>
    <row r="7978" spans="1:4">
      <c r="A7978" t="s">
        <v>4648</v>
      </c>
      <c r="B7978" t="s">
        <v>4455</v>
      </c>
      <c r="C7978" s="66">
        <v>103.25</v>
      </c>
      <c r="D7978" s="66">
        <v>0</v>
      </c>
    </row>
    <row r="7979" spans="1:4">
      <c r="A7979" t="s">
        <v>4654</v>
      </c>
      <c r="B7979" t="s">
        <v>4455</v>
      </c>
      <c r="C7979" s="66">
        <v>103.25</v>
      </c>
      <c r="D7979" s="66">
        <v>0</v>
      </c>
    </row>
    <row r="7980" spans="1:4">
      <c r="A7980" t="s">
        <v>4658</v>
      </c>
      <c r="B7980" t="s">
        <v>4455</v>
      </c>
      <c r="C7980" s="66">
        <v>103.25</v>
      </c>
      <c r="D7980" s="66">
        <v>0</v>
      </c>
    </row>
    <row r="7981" spans="1:4">
      <c r="A7981" t="s">
        <v>4661</v>
      </c>
      <c r="B7981" t="s">
        <v>4455</v>
      </c>
      <c r="C7981" s="66">
        <v>103.25</v>
      </c>
      <c r="D7981" s="66">
        <v>0</v>
      </c>
    </row>
    <row r="7982" spans="1:4">
      <c r="A7982" t="s">
        <v>4665</v>
      </c>
      <c r="B7982" t="s">
        <v>4455</v>
      </c>
      <c r="C7982" s="66">
        <v>103.25</v>
      </c>
      <c r="D7982" s="66">
        <v>0</v>
      </c>
    </row>
    <row r="7983" spans="1:4">
      <c r="A7983" t="s">
        <v>4670</v>
      </c>
      <c r="B7983" t="s">
        <v>4455</v>
      </c>
      <c r="C7983" s="66">
        <v>103.25</v>
      </c>
      <c r="D7983" s="66">
        <v>0</v>
      </c>
    </row>
    <row r="7984" spans="1:4">
      <c r="A7984" t="s">
        <v>4673</v>
      </c>
      <c r="B7984" t="s">
        <v>4455</v>
      </c>
      <c r="C7984" s="66">
        <v>103.25</v>
      </c>
      <c r="D7984" s="66">
        <v>0</v>
      </c>
    </row>
    <row r="7985" spans="1:4">
      <c r="A7985" t="s">
        <v>4677</v>
      </c>
      <c r="B7985" t="s">
        <v>4455</v>
      </c>
      <c r="C7985" s="66">
        <v>103.25</v>
      </c>
      <c r="D7985" s="66">
        <v>0</v>
      </c>
    </row>
    <row r="7986" spans="1:4">
      <c r="A7986" t="s">
        <v>4681</v>
      </c>
      <c r="B7986" t="s">
        <v>4455</v>
      </c>
      <c r="C7986" s="66">
        <v>103.25</v>
      </c>
      <c r="D7986" s="66">
        <v>0</v>
      </c>
    </row>
    <row r="7987" spans="1:4">
      <c r="A7987" t="s">
        <v>4684</v>
      </c>
      <c r="B7987" t="s">
        <v>4455</v>
      </c>
      <c r="C7987" s="66">
        <v>103.25</v>
      </c>
      <c r="D7987" s="66">
        <v>0</v>
      </c>
    </row>
    <row r="7988" spans="1:4">
      <c r="A7988" t="s">
        <v>4687</v>
      </c>
      <c r="B7988" t="s">
        <v>4455</v>
      </c>
      <c r="C7988" s="66">
        <v>103.25</v>
      </c>
      <c r="D7988" s="66">
        <v>0</v>
      </c>
    </row>
    <row r="7989" spans="1:4">
      <c r="A7989" t="s">
        <v>4690</v>
      </c>
      <c r="B7989" t="s">
        <v>4455</v>
      </c>
      <c r="C7989" s="66">
        <v>103.25</v>
      </c>
      <c r="D7989" s="66">
        <v>0</v>
      </c>
    </row>
    <row r="7990" spans="1:4">
      <c r="A7990" t="s">
        <v>4695</v>
      </c>
      <c r="B7990" t="s">
        <v>4455</v>
      </c>
      <c r="C7990" s="66">
        <v>103.25</v>
      </c>
      <c r="D7990" s="66">
        <v>0</v>
      </c>
    </row>
    <row r="7991" spans="1:4">
      <c r="A7991" t="s">
        <v>4700</v>
      </c>
      <c r="B7991" t="s">
        <v>4455</v>
      </c>
      <c r="C7991" s="66">
        <v>103.25</v>
      </c>
      <c r="D7991" s="66">
        <v>0</v>
      </c>
    </row>
    <row r="7992" spans="1:4">
      <c r="A7992" t="s">
        <v>4704</v>
      </c>
      <c r="B7992" t="s">
        <v>4455</v>
      </c>
      <c r="C7992" s="66">
        <v>103.25</v>
      </c>
      <c r="D7992" s="66">
        <v>0</v>
      </c>
    </row>
    <row r="7993" spans="1:4">
      <c r="A7993" t="s">
        <v>4709</v>
      </c>
      <c r="B7993" t="s">
        <v>4455</v>
      </c>
      <c r="C7993" s="66">
        <v>103.25</v>
      </c>
      <c r="D7993" s="66">
        <v>0</v>
      </c>
    </row>
    <row r="7994" spans="1:4">
      <c r="A7994" t="s">
        <v>4714</v>
      </c>
      <c r="B7994" t="s">
        <v>4455</v>
      </c>
      <c r="C7994" s="66">
        <v>103.25</v>
      </c>
      <c r="D7994" s="66">
        <v>0</v>
      </c>
    </row>
    <row r="7995" spans="1:4">
      <c r="A7995" t="s">
        <v>4717</v>
      </c>
      <c r="B7995" t="s">
        <v>4455</v>
      </c>
      <c r="C7995" s="66">
        <v>103.25</v>
      </c>
      <c r="D7995" s="66">
        <v>0</v>
      </c>
    </row>
    <row r="7996" spans="1:4">
      <c r="A7996" t="s">
        <v>4721</v>
      </c>
      <c r="B7996" t="s">
        <v>4455</v>
      </c>
      <c r="C7996" s="66">
        <v>103.25</v>
      </c>
      <c r="D7996" s="66">
        <v>0</v>
      </c>
    </row>
    <row r="7997" spans="1:4">
      <c r="A7997" t="s">
        <v>4724</v>
      </c>
      <c r="B7997" t="s">
        <v>4455</v>
      </c>
      <c r="C7997" s="66">
        <v>103.25</v>
      </c>
      <c r="D7997" s="66">
        <v>0</v>
      </c>
    </row>
    <row r="7998" spans="1:4">
      <c r="A7998" t="s">
        <v>4727</v>
      </c>
      <c r="B7998" t="s">
        <v>4455</v>
      </c>
      <c r="C7998" s="66">
        <v>103.25</v>
      </c>
      <c r="D7998" s="66">
        <v>0</v>
      </c>
    </row>
    <row r="7999" spans="1:4">
      <c r="A7999" t="s">
        <v>4730</v>
      </c>
      <c r="B7999" t="s">
        <v>4455</v>
      </c>
      <c r="C7999" s="66">
        <v>103.25</v>
      </c>
      <c r="D7999" s="66">
        <v>0</v>
      </c>
    </row>
    <row r="8000" spans="1:4">
      <c r="A8000" t="s">
        <v>4733</v>
      </c>
      <c r="B8000" t="s">
        <v>4455</v>
      </c>
      <c r="C8000" s="66">
        <v>103.25</v>
      </c>
      <c r="D8000" s="66">
        <v>0</v>
      </c>
    </row>
    <row r="8001" spans="1:4">
      <c r="A8001" t="s">
        <v>4736</v>
      </c>
      <c r="B8001" t="s">
        <v>4455</v>
      </c>
      <c r="C8001" s="66">
        <v>103.25</v>
      </c>
      <c r="D8001" s="66">
        <v>0</v>
      </c>
    </row>
    <row r="8002" spans="1:4">
      <c r="A8002" t="s">
        <v>4740</v>
      </c>
      <c r="B8002" t="s">
        <v>2855</v>
      </c>
      <c r="C8002" s="66">
        <v>22191.559999999998</v>
      </c>
      <c r="D8002" s="66">
        <v>0</v>
      </c>
    </row>
    <row r="8003" spans="1:4">
      <c r="A8003" t="s">
        <v>4747</v>
      </c>
      <c r="B8003" t="s">
        <v>4455</v>
      </c>
      <c r="C8003" s="66">
        <v>4956</v>
      </c>
      <c r="D8003" s="66">
        <v>0</v>
      </c>
    </row>
    <row r="8004" spans="1:4">
      <c r="A8004" t="s">
        <v>4752</v>
      </c>
      <c r="B8004" t="s">
        <v>4455</v>
      </c>
      <c r="C8004" s="66">
        <v>4956</v>
      </c>
      <c r="D8004" s="66">
        <v>0</v>
      </c>
    </row>
    <row r="8005" spans="1:4">
      <c r="A8005" t="s">
        <v>4755</v>
      </c>
      <c r="B8005" t="s">
        <v>4455</v>
      </c>
      <c r="C8005" s="66">
        <v>4956</v>
      </c>
      <c r="D8005" s="66">
        <v>0</v>
      </c>
    </row>
    <row r="8006" spans="1:4">
      <c r="A8006" t="s">
        <v>4760</v>
      </c>
      <c r="B8006" t="s">
        <v>4455</v>
      </c>
      <c r="C8006" s="66">
        <v>103.25</v>
      </c>
      <c r="D8006" s="66">
        <v>0</v>
      </c>
    </row>
    <row r="8007" spans="1:4">
      <c r="A8007" t="s">
        <v>4765</v>
      </c>
      <c r="B8007" t="s">
        <v>4455</v>
      </c>
      <c r="C8007" s="66">
        <v>103.25</v>
      </c>
      <c r="D8007" s="66">
        <v>0</v>
      </c>
    </row>
    <row r="8008" spans="1:4">
      <c r="A8008" t="s">
        <v>4770</v>
      </c>
      <c r="B8008" t="s">
        <v>4455</v>
      </c>
      <c r="C8008" s="66">
        <v>103.25</v>
      </c>
      <c r="D8008" s="66">
        <v>0</v>
      </c>
    </row>
    <row r="8009" spans="1:4">
      <c r="A8009" t="s">
        <v>4774</v>
      </c>
      <c r="B8009" t="s">
        <v>4455</v>
      </c>
      <c r="C8009" s="66">
        <v>103.25</v>
      </c>
      <c r="D8009" s="66">
        <v>0</v>
      </c>
    </row>
    <row r="8010" spans="1:4">
      <c r="A8010" t="s">
        <v>4777</v>
      </c>
      <c r="B8010" t="s">
        <v>4455</v>
      </c>
      <c r="C8010" s="66">
        <v>103.25</v>
      </c>
      <c r="D8010" s="66">
        <v>0</v>
      </c>
    </row>
    <row r="8011" spans="1:4">
      <c r="A8011" t="s">
        <v>4780</v>
      </c>
      <c r="B8011" t="s">
        <v>4455</v>
      </c>
      <c r="C8011" s="66">
        <v>103.25</v>
      </c>
      <c r="D8011" s="66">
        <v>0</v>
      </c>
    </row>
    <row r="8012" spans="1:4">
      <c r="A8012" t="s">
        <v>4783</v>
      </c>
      <c r="B8012" t="s">
        <v>2855</v>
      </c>
      <c r="C8012" s="66">
        <v>54210.149999999994</v>
      </c>
      <c r="D8012" s="66">
        <v>0</v>
      </c>
    </row>
    <row r="8013" spans="1:4">
      <c r="A8013" t="s">
        <v>4788</v>
      </c>
      <c r="B8013" t="s">
        <v>4455</v>
      </c>
      <c r="C8013" s="66">
        <v>2070.4899999999998</v>
      </c>
      <c r="D8013" s="66">
        <v>0</v>
      </c>
    </row>
    <row r="8014" spans="1:4">
      <c r="A8014" t="s">
        <v>4801</v>
      </c>
      <c r="B8014" t="s">
        <v>4455</v>
      </c>
      <c r="C8014" s="66">
        <v>2837.9</v>
      </c>
      <c r="D8014" s="66">
        <v>0</v>
      </c>
    </row>
    <row r="8015" spans="1:4">
      <c r="A8015" t="s">
        <v>2856</v>
      </c>
      <c r="C8015" s="66">
        <v>1028447.570000001</v>
      </c>
      <c r="D8015" s="66">
        <v>74756.990000000005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Data Report sheet</vt:lpstr>
      <vt:lpstr>Claim Summary</vt:lpstr>
      <vt:lpstr>PDI report</vt:lpstr>
      <vt:lpstr>FSC report</vt:lpstr>
      <vt:lpstr>Warranty report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Goenka</dc:creator>
  <cp:lastModifiedBy>Harshit Goenka</cp:lastModifiedBy>
  <dcterms:created xsi:type="dcterms:W3CDTF">2025-08-13T08:10:03Z</dcterms:created>
  <dcterms:modified xsi:type="dcterms:W3CDTF">2026-03-03T09:47:28Z</dcterms:modified>
</cp:coreProperties>
</file>